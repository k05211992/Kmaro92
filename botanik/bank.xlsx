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5219\Downloads\"/>
    </mc:Choice>
  </mc:AlternateContent>
  <xr:revisionPtr revIDLastSave="0" documentId="8_{A8B80122-7EAA-4A7D-AB15-85939B1B9036}" xr6:coauthVersionLast="47" xr6:coauthVersionMax="47" xr10:uidLastSave="{00000000-0000-0000-0000-000000000000}"/>
  <bookViews>
    <workbookView xWindow="-110" yWindow="-110" windowWidth="19420" windowHeight="10300" xr2:uid="{5C84D94A-6E74-4CC4-ADEF-BCD3A30F398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3" i="1" l="1"/>
  <c r="E172" i="1"/>
  <c r="O53" i="1" s="1"/>
  <c r="E171" i="1"/>
  <c r="E140" i="1"/>
  <c r="L103" i="1"/>
  <c r="E69" i="1"/>
  <c r="E68" i="1"/>
  <c r="Q2" i="1"/>
  <c r="Q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Алексей</author>
  </authors>
  <commentList>
    <comment ref="E103" authorId="0" shapeId="0" xr:uid="{4CFD8431-F40F-46EB-8C19-0AC485B6DB17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переплата за 30меш торфогрунта</t>
        </r>
      </text>
    </comment>
    <comment ref="I103" authorId="0" shapeId="0" xr:uid="{7987F81B-F3BD-41FE-8E2F-8CEF4CD513FD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117300 р</t>
        </r>
      </text>
    </comment>
    <comment ref="E140" authorId="0" shapeId="0" xr:uid="{11AEF53D-E9B8-4E6E-83E7-0B77D1C29764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за вычетом переплаты за 30меш торфогрунта в мае 29700р</t>
        </r>
      </text>
    </comment>
    <comment ref="I140" authorId="0" shapeId="0" xr:uid="{5A1F82F4-053B-40FE-8482-3D8FB39E2D94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132000р</t>
        </r>
      </text>
    </comment>
    <comment ref="F165" authorId="0" shapeId="0" xr:uid="{5E999BAC-B1E4-4DCD-B775-1653CA7EE55E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предварительно за Вырицу</t>
        </r>
      </text>
    </comment>
    <comment ref="I171" authorId="0" shapeId="0" xr:uid="{1CD0F926-9D20-4B0E-9EB6-A7F49BD6B733}">
      <text>
        <r>
          <rPr>
            <b/>
            <sz val="9"/>
            <color indexed="81"/>
            <rFont val="Tahoma"/>
            <charset val="1"/>
          </rPr>
          <t>Алексей:</t>
        </r>
        <r>
          <rPr>
            <sz val="9"/>
            <color indexed="81"/>
            <rFont val="Tahoma"/>
            <charset val="1"/>
          </rPr>
          <t xml:space="preserve">
песок намыв 16м3 34100р</t>
        </r>
      </text>
    </comment>
    <comment ref="E177" authorId="0" shapeId="0" xr:uid="{F620EE11-FD61-418C-AEE0-AE09CDF33B2A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за вычетом неустойки 6084р</t>
        </r>
      </text>
    </comment>
  </commentList>
</comments>
</file>

<file path=xl/sharedStrings.xml><?xml version="1.0" encoding="utf-8"?>
<sst xmlns="http://schemas.openxmlformats.org/spreadsheetml/2006/main" count="1497" uniqueCount="273">
  <si>
    <t>Поступившие средства 2025г.</t>
  </si>
  <si>
    <t>дата</t>
  </si>
  <si>
    <t>в</t>
  </si>
  <si>
    <t>с</t>
  </si>
  <si>
    <t>Дата</t>
  </si>
  <si>
    <t>№ п/п</t>
  </si>
  <si>
    <t>Контрагент</t>
  </si>
  <si>
    <t>Сумма</t>
  </si>
  <si>
    <t>Назначение</t>
  </si>
  <si>
    <t>объект</t>
  </si>
  <si>
    <t>счет</t>
  </si>
  <si>
    <t>с/ф</t>
  </si>
  <si>
    <t>накл</t>
  </si>
  <si>
    <t>акт</t>
  </si>
  <si>
    <t>ООО "ЭКИПЦЕНТР"</t>
  </si>
  <si>
    <t>оплата по дог №34 от 10.09.24</t>
  </si>
  <si>
    <t>Залозье</t>
  </si>
  <si>
    <t>-</t>
  </si>
  <si>
    <t>озел-е</t>
  </si>
  <si>
    <t>ООО "Омела Студио"</t>
  </si>
  <si>
    <t>аванс на раст-я по дог 37 (Репино парк)</t>
  </si>
  <si>
    <t>Дылицы</t>
  </si>
  <si>
    <t>4</t>
  </si>
  <si>
    <t>27</t>
  </si>
  <si>
    <t>раст</t>
  </si>
  <si>
    <t>+</t>
  </si>
  <si>
    <t>Новиков С.А.</t>
  </si>
  <si>
    <t>аванс на раст-я по дог 36 (Новогорск)</t>
  </si>
  <si>
    <t>42</t>
  </si>
  <si>
    <t>остаток</t>
  </si>
  <si>
    <t>Баташев Д.Р.</t>
  </si>
  <si>
    <t>пополнение р/с</t>
  </si>
  <si>
    <t>офис</t>
  </si>
  <si>
    <t>банк</t>
  </si>
  <si>
    <t xml:space="preserve">ИП Ефремова-Райкова </t>
  </si>
  <si>
    <t>аванс по дог 39 (Изумруд.горки)</t>
  </si>
  <si>
    <t>11</t>
  </si>
  <si>
    <t>теллима 860шт (Новогорск)</t>
  </si>
  <si>
    <t>П-1</t>
  </si>
  <si>
    <t>41</t>
  </si>
  <si>
    <t>ООО "УК "Севкабель Порт"</t>
  </si>
  <si>
    <t>раст-я (Севкабель Порт)</t>
  </si>
  <si>
    <t>П-2</t>
  </si>
  <si>
    <t>12</t>
  </si>
  <si>
    <t>ООО "Тропик"</t>
  </si>
  <si>
    <t xml:space="preserve">оконч.расчет за уходы 2024-25 189770р, аванс-1 2025-26 400000р </t>
  </si>
  <si>
    <t>Рив Гош</t>
  </si>
  <si>
    <t>7,9</t>
  </si>
  <si>
    <t>уход</t>
  </si>
  <si>
    <t>ИП Легенчук</t>
  </si>
  <si>
    <t>бадан 100шт</t>
  </si>
  <si>
    <t>П-3</t>
  </si>
  <si>
    <t>7</t>
  </si>
  <si>
    <t>оконч.расчет по дог 39 (Изумруд.горки)</t>
  </si>
  <si>
    <t>ИП Сизова С.Н.</t>
  </si>
  <si>
    <t xml:space="preserve">раст-я </t>
  </si>
  <si>
    <t>П-17</t>
  </si>
  <si>
    <t>13</t>
  </si>
  <si>
    <t>ООО "Еваника"</t>
  </si>
  <si>
    <t>раст-я</t>
  </si>
  <si>
    <t>П-20</t>
  </si>
  <si>
    <t>14</t>
  </si>
  <si>
    <t>ООО "Ландшафтная компания Листва"</t>
  </si>
  <si>
    <t>П-26</t>
  </si>
  <si>
    <t>15</t>
  </si>
  <si>
    <t>П-33</t>
  </si>
  <si>
    <t>17</t>
  </si>
  <si>
    <t>П-36</t>
  </si>
  <si>
    <t>19</t>
  </si>
  <si>
    <t>ИП Киреева</t>
  </si>
  <si>
    <t>П-37</t>
  </si>
  <si>
    <t>20</t>
  </si>
  <si>
    <t>П-5</t>
  </si>
  <si>
    <t>21</t>
  </si>
  <si>
    <t>ООО "Пространство благоустройства"</t>
  </si>
  <si>
    <t>П-54</t>
  </si>
  <si>
    <t>28</t>
  </si>
  <si>
    <t>розы</t>
  </si>
  <si>
    <t>П-60</t>
  </si>
  <si>
    <t>26</t>
  </si>
  <si>
    <t>П-61</t>
  </si>
  <si>
    <t>31</t>
  </si>
  <si>
    <t>ООО "Аренда всего"</t>
  </si>
  <si>
    <t>П-56</t>
  </si>
  <si>
    <t>36</t>
  </si>
  <si>
    <t>ООО "Архитектура сада"</t>
  </si>
  <si>
    <t>п-78</t>
  </si>
  <si>
    <t>32</t>
  </si>
  <si>
    <t>ИП Зайцев Я.Е.</t>
  </si>
  <si>
    <t>П-77</t>
  </si>
  <si>
    <t>33</t>
  </si>
  <si>
    <t>П-76</t>
  </si>
  <si>
    <t>44</t>
  </si>
  <si>
    <t>34</t>
  </si>
  <si>
    <t>т</t>
  </si>
  <si>
    <t xml:space="preserve">оконч.расчет за уходы за фикусами 2024-25 113136р, аванс-1 2025-26 94596р </t>
  </si>
  <si>
    <t>24, 25</t>
  </si>
  <si>
    <t>ИП Ефремов</t>
  </si>
  <si>
    <t>П-95</t>
  </si>
  <si>
    <t>40</t>
  </si>
  <si>
    <t>38</t>
  </si>
  <si>
    <t>П-97</t>
  </si>
  <si>
    <t>48</t>
  </si>
  <si>
    <t>47</t>
  </si>
  <si>
    <t>озел-е (частично)</t>
  </si>
  <si>
    <t>П-106</t>
  </si>
  <si>
    <t>оконч.расчет за раст-я по дог 36 (Новогорск)</t>
  </si>
  <si>
    <t>29</t>
  </si>
  <si>
    <t>ИП Левина</t>
  </si>
  <si>
    <t>П-114</t>
  </si>
  <si>
    <t>ИП Павлов</t>
  </si>
  <si>
    <t>П-116</t>
  </si>
  <si>
    <t>ООО "Гринборг"</t>
  </si>
  <si>
    <t>П-125</t>
  </si>
  <si>
    <t>АО "СК "Олимп"</t>
  </si>
  <si>
    <t>топосъемка</t>
  </si>
  <si>
    <t>Ленинское</t>
  </si>
  <si>
    <t>56</t>
  </si>
  <si>
    <t>проект</t>
  </si>
  <si>
    <t>проект-е аванс-1</t>
  </si>
  <si>
    <t>аванс-2 2025-26</t>
  </si>
  <si>
    <t>П-128</t>
  </si>
  <si>
    <t>57</t>
  </si>
  <si>
    <t>П-130</t>
  </si>
  <si>
    <t>58</t>
  </si>
  <si>
    <t>П-132</t>
  </si>
  <si>
    <t>60</t>
  </si>
  <si>
    <t>ООО "Гранд Перспектив"</t>
  </si>
  <si>
    <t>п-137</t>
  </si>
  <si>
    <t>64</t>
  </si>
  <si>
    <t>ООО "МОХ"</t>
  </si>
  <si>
    <t>п-138</t>
  </si>
  <si>
    <t>67</t>
  </si>
  <si>
    <t>ИП Олейник</t>
  </si>
  <si>
    <t>аренда туал.кабины сент-окт - ВОЗВРАТ ПЕРЕПЛАТЫ</t>
  </si>
  <si>
    <t>Вырица</t>
  </si>
  <si>
    <t>возврат</t>
  </si>
  <si>
    <t>ООО "Вириде"</t>
  </si>
  <si>
    <t>раст-я (взаиморасчеты)</t>
  </si>
  <si>
    <t>ООО "Драйв-Мото"</t>
  </si>
  <si>
    <t>снегоуборщик - ВОЗВРАТ</t>
  </si>
  <si>
    <t>12846</t>
  </si>
  <si>
    <t xml:space="preserve">аванс-2 2025-26 94596р </t>
  </si>
  <si>
    <t>Итого:</t>
  </si>
  <si>
    <t>Потраченные средства 2025г.</t>
  </si>
  <si>
    <t>доход от предпр.деят-ти</t>
  </si>
  <si>
    <t>ИП Дельва</t>
  </si>
  <si>
    <t>экзамен по русс. 10000 (Жозеф), разреш-е на привлеч-е 14000 (Фабрис)</t>
  </si>
  <si>
    <t>АО "РСИЦ"</t>
  </si>
  <si>
    <t>перенос домена с ООО на ИП</t>
  </si>
  <si>
    <t>ООО "Эко-Точка"</t>
  </si>
  <si>
    <t>вывоз мусора дек</t>
  </si>
  <si>
    <t>перенос домена с ООО на ИП - доплата</t>
  </si>
  <si>
    <t>ГУ МВД</t>
  </si>
  <si>
    <t>госпошлина за привлечение иностр.РС (Фабрис)</t>
  </si>
  <si>
    <t>Шанаев А.А.</t>
  </si>
  <si>
    <t>подотчет</t>
  </si>
  <si>
    <t>Подготовка ходатайства о выдаче Разрешения на привлечение иностранных работников, отправка обращения на портале 78.мвд.рф (Фабрис)</t>
  </si>
  <si>
    <t>ООО "Гринкомплект"</t>
  </si>
  <si>
    <t>горшок д/рассады форм.: КВ9МР 0.8л 7360шт*5,55р; КВ11М 1л 11*11*11 18900шт*4,26р; КР13М 13*13*13 12960шт*6,43р</t>
  </si>
  <si>
    <t>1911</t>
  </si>
  <si>
    <t>Казначейство (ФНС)</t>
  </si>
  <si>
    <t>ЕНП</t>
  </si>
  <si>
    <t>ОСФР</t>
  </si>
  <si>
    <t>страх.взносы</t>
  </si>
  <si>
    <t>пени</t>
  </si>
  <si>
    <t>ООО "Флора Групп"</t>
  </si>
  <si>
    <t>78-250318-00013</t>
  </si>
  <si>
    <t>организация прохождения медицинской комиссии, оперативной проверки, передача их копий в подразделение по вопросам миграции (Фабрис)</t>
  </si>
  <si>
    <t>Оформление разрешения на привлечение иностранной РС (Фабрис)</t>
  </si>
  <si>
    <t>ФГУП "ПВС" МВД России</t>
  </si>
  <si>
    <t>предоплата по договору № 4356-МУ/47 от 18.03.2025</t>
  </si>
  <si>
    <t>вывоз мусора март</t>
  </si>
  <si>
    <t>78-250428-00002</t>
  </si>
  <si>
    <t>78-250428-00003</t>
  </si>
  <si>
    <t>78-250428-00001</t>
  </si>
  <si>
    <t>оф-е разр-й: на привлеч-е (СЕЛАТСА ЖОЗЕФ АСОНГО) 14000р;  на р-ту (ЛЕУГА ВИЛЛИАМС ФАБРИС) 7500р</t>
  </si>
  <si>
    <t>вывоз мусора апр</t>
  </si>
  <si>
    <t>госпошлина за выдача разреш-я на  привлечение (Жозеф)</t>
  </si>
  <si>
    <t>госпошлина за выдачу разреш-я на работу (Фабрис)</t>
  </si>
  <si>
    <t>ООО "Пельгорское-М"</t>
  </si>
  <si>
    <t xml:space="preserve">300л: торф кислый 10кип*840р, торфогрунт 110кип*990р (доставка 10т гидроборт 34т.р. нал) </t>
  </si>
  <si>
    <t>к возврату</t>
  </si>
  <si>
    <t>раст-я (частично, долг 358275р)</t>
  </si>
  <si>
    <t>78-250509-00002</t>
  </si>
  <si>
    <t>раст-я (частично, долг 208275р)</t>
  </si>
  <si>
    <t>раст-я (частично, долг 118275р)</t>
  </si>
  <si>
    <t>УСН 2024</t>
  </si>
  <si>
    <t xml:space="preserve">Подготовка ходатайства о сокращении сроков оформления документов, сопровождение (6 000), оформление приглашения на въезд (7 000) (ЛЕУГА ВИЛЛИАМС ФАБРИС) </t>
  </si>
  <si>
    <t>ООО "Компания "Тензор"</t>
  </si>
  <si>
    <t>права исп-я Saby Report, базовый ИП, сверка</t>
  </si>
  <si>
    <t>2609</t>
  </si>
  <si>
    <t>права исп-я Saby, Розница базовый</t>
  </si>
  <si>
    <t>0914</t>
  </si>
  <si>
    <t>госпошлина за оформление приглашения на въезд  (Фабрис)</t>
  </si>
  <si>
    <t>ООО "Питомник "Рыжики"</t>
  </si>
  <si>
    <t>голубика 10шт*3480р</t>
  </si>
  <si>
    <t>Борисова Нат</t>
  </si>
  <si>
    <t>604</t>
  </si>
  <si>
    <t>горшок д/рассады 2л черн: форм. Д16М 16*14,5см 2940шт*8,3р; ЗД17Ц 17*13см 3000шт*10,6р</t>
  </si>
  <si>
    <t>1943</t>
  </si>
  <si>
    <t>дост-ка 9т.р. Ярослав</t>
  </si>
  <si>
    <t>вывоз мусора май</t>
  </si>
  <si>
    <t>ИП Малин</t>
  </si>
  <si>
    <t>оконч.расчет за раст-я</t>
  </si>
  <si>
    <t>201</t>
  </si>
  <si>
    <t>131</t>
  </si>
  <si>
    <t>ООО "ТД Гекса"</t>
  </si>
  <si>
    <t>контейнеры для растений:40L (39*33) 200шт*177р; 40л (43*27) 200*160,9р; 60л (49*32) 80*229,6р; 78,5л (50*40) 80*270,7р; 115л (60*40) 100*389,6р; 133л (65*40) 20*405,6р.</t>
  </si>
  <si>
    <t>3254-25</t>
  </si>
  <si>
    <t>вывоз мусора июнь</t>
  </si>
  <si>
    <t>аванс на раст-я 20%</t>
  </si>
  <si>
    <t>159</t>
  </si>
  <si>
    <t>233</t>
  </si>
  <si>
    <t>ИП Сопова (Игорь Спирин)</t>
  </si>
  <si>
    <t>мульча ср.фр.сосн. Стандарт 50л 220шт*235р, дост-ка 7000р</t>
  </si>
  <si>
    <t>300л: торфогрунт 120кип*900р, включена доставка 10т гидроборт 24т.р.</t>
  </si>
  <si>
    <t>перевод паспортов 2*2500, полисов ДМС 2*3600, оф-е многокр.раб.визы 2*10420(Фабрис,Жозеф); оф-е РНР (Жозеф) 7500; прох-е медкомиссий и оп.проверка 14500 (Фабрис)</t>
  </si>
  <si>
    <t>вывоз мусора июль</t>
  </si>
  <si>
    <t>ИП Дмитриева (Альба)</t>
  </si>
  <si>
    <t>аванс70% за пошив костюмов 26шт*5200р</t>
  </si>
  <si>
    <t>ИП Безделев</t>
  </si>
  <si>
    <t>вывоз мусора авг</t>
  </si>
  <si>
    <t>ООО "Газоны и Ландшафты"</t>
  </si>
  <si>
    <t>газон унив 0,8м2 120шт*210р, доставка манипулятором 14200р</t>
  </si>
  <si>
    <t>Александровская</t>
  </si>
  <si>
    <t>эдо</t>
  </si>
  <si>
    <t>аренда туал.кабины сент-окт 8500р*2мес</t>
  </si>
  <si>
    <t>ООО "СПК ПромТорг"</t>
  </si>
  <si>
    <t>аренда бытовки 2мес, доставка 2р</t>
  </si>
  <si>
    <t>865</t>
  </si>
  <si>
    <t>залог за бытовку</t>
  </si>
  <si>
    <t>ООО "СТД "Петрович"</t>
  </si>
  <si>
    <t>торф 250л: нейтр 12уп*1750р, кисл 6уп*1600р, дост-ка 1738,8р</t>
  </si>
  <si>
    <t>9351767/4</t>
  </si>
  <si>
    <t>9351767/5</t>
  </si>
  <si>
    <t>НОУ ДПО "Кварта"</t>
  </si>
  <si>
    <t>обуч-е ОТ, первая помощь, пож.безоп-ть 2чел</t>
  </si>
  <si>
    <t>ООО "ЛНК"</t>
  </si>
  <si>
    <t>песок крупн намывн. 32*2193,75р</t>
  </si>
  <si>
    <t>переплата 36100р</t>
  </si>
  <si>
    <t>300л: торфогрунт 100кип*1040р, торф кисл. 20кип*890р,доставка 10т 20400р.</t>
  </si>
  <si>
    <t>300л: торфогрунт 50кип*1040р, торф кисл. 10кип*890р</t>
  </si>
  <si>
    <t>доставка 11тыс нал</t>
  </si>
  <si>
    <t>мульча ср.фр.сосн. Премиум 50л 460шт*420р, дост-ка 14500р</t>
  </si>
  <si>
    <t>вывоз мусора сен</t>
  </si>
  <si>
    <t>ООО "Аминатрейд"</t>
  </si>
  <si>
    <t>горшок форм.: FPC1.5 13*13*13 20150шт*6,24р; FC2 d17 h13 6300шт*7,56р; FRC-2 h18 d14 5400шт*7,56р; литой IC5 h17,5 d22 2000шт*19,8р</t>
  </si>
  <si>
    <t>оконч.расчет за пошив костюмов 26шт*5200р</t>
  </si>
  <si>
    <t>мульча ср.фр.сосн. Премиум 50л 220шт*420р, дост-ка 8500р</t>
  </si>
  <si>
    <t>ИП Михайлов (Вилла-Плант)</t>
  </si>
  <si>
    <t>ивы 23шт</t>
  </si>
  <si>
    <t>мульча ср.фр.сосн. Стандарт 50л 198шт*235р, дост-ка 9500р</t>
  </si>
  <si>
    <t>Стрельцово</t>
  </si>
  <si>
    <t>газон унив 0,8м2 263шт*210р, доставка манипулятором 27400р</t>
  </si>
  <si>
    <t>мульча сосн. Стандарт 50л: ср.фр.100шт*235р, мелк.фр. 400шт*185р; дост-ка 14500р</t>
  </si>
  <si>
    <t>вывоз мусора окт</t>
  </si>
  <si>
    <t>ИП Балыбердина</t>
  </si>
  <si>
    <t>дост-ка</t>
  </si>
  <si>
    <t>ИП Тихонов</t>
  </si>
  <si>
    <t>дост-ка из Аминатрейд</t>
  </si>
  <si>
    <t>ООО "Петроперлит"</t>
  </si>
  <si>
    <t>агроперлит 10м3*8000р</t>
  </si>
  <si>
    <t>снегоуборщик - предоплата 90%</t>
  </si>
  <si>
    <t>ООО Всеинструменты.ру</t>
  </si>
  <si>
    <t>снегоуборщик Gigant SP-7-560MS 1шт 39900р, масло 4тактн. 1л 428р</t>
  </si>
  <si>
    <t>вывоз мусора ноя</t>
  </si>
  <si>
    <t>ООО "Акуор"</t>
  </si>
  <si>
    <t>септик</t>
  </si>
  <si>
    <t>госпошлина за выдача разреш-я на привлечение (Фабрис)</t>
  </si>
  <si>
    <t>ООО "ТСК Комус"</t>
  </si>
  <si>
    <t>емкость РК-034 280шт 2уп*2787,995р, дост-ка 1200р</t>
  </si>
  <si>
    <t>Подготовка документов для оформления Разрешения на привлечение и использование иностранных работников 16000, оформление перевода паспорта 3000, организация прохождения медицинской комиссии и опер.проверки 15500 (Фабрис)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</si>
</sst>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;@"/>
    <numFmt numFmtId="165" formatCode="_-* #,##0_-;\-* #,##0_-;_-* &quot;-&quot;??_-;_-@_-"/>
    <numFmt numFmtId="166" formatCode="_-* #,##0.00\ _₽_-;\-* #,##0.00\ _₽_-;_-* &quot;-&quot;??\ _₽_-;_-@_-"/>
    <numFmt numFmtId="167" formatCode="[$-419]mmmm\ yyyy;@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sz val="10"/>
      <color rgb="FFFF0000"/>
      <name val="Arial Narrow"/>
      <family val="2"/>
      <charset val="204"/>
    </font>
    <font>
      <i/>
      <sz val="10"/>
      <name val="Arial Narrow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0" xfId="0" applyFont="1" applyFill="1" applyAlignment="1">
      <alignment horizontal="center" wrapText="1"/>
    </xf>
    <xf numFmtId="164" fontId="3" fillId="2" borderId="1" xfId="0" applyNumberFormat="1" applyFont="1" applyFill="1" applyBorder="1" applyAlignment="1">
      <alignment horizontal="left" wrapText="1"/>
    </xf>
    <xf numFmtId="3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4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5" fillId="2" borderId="2" xfId="0" applyFont="1" applyFill="1" applyBorder="1" applyAlignment="1">
      <alignment horizontal="center" vertical="center"/>
    </xf>
    <xf numFmtId="165" fontId="4" fillId="2" borderId="0" xfId="1" applyNumberFormat="1" applyFont="1" applyFill="1"/>
    <xf numFmtId="0" fontId="6" fillId="2" borderId="0" xfId="0" applyFont="1" applyFill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4" fontId="2" fillId="2" borderId="2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6" fontId="4" fillId="2" borderId="2" xfId="0" applyNumberFormat="1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wrapText="1"/>
    </xf>
    <xf numFmtId="164" fontId="6" fillId="2" borderId="2" xfId="0" applyNumberFormat="1" applyFont="1" applyFill="1" applyBorder="1" applyAlignment="1">
      <alignment horizontal="center" wrapText="1"/>
    </xf>
    <xf numFmtId="1" fontId="6" fillId="2" borderId="2" xfId="0" applyNumberFormat="1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left" wrapText="1"/>
    </xf>
    <xf numFmtId="4" fontId="6" fillId="2" borderId="2" xfId="1" applyNumberFormat="1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  <xf numFmtId="49" fontId="6" fillId="2" borderId="2" xfId="0" applyNumberFormat="1" applyFont="1" applyFill="1" applyBorder="1" applyAlignment="1">
      <alignment horizontal="center" wrapText="1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165" fontId="6" fillId="2" borderId="0" xfId="1" applyNumberFormat="1" applyFont="1" applyFill="1" applyAlignment="1">
      <alignment wrapText="1"/>
    </xf>
    <xf numFmtId="164" fontId="4" fillId="2" borderId="2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wrapText="1"/>
    </xf>
    <xf numFmtId="4" fontId="4" fillId="2" borderId="2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166" fontId="6" fillId="2" borderId="0" xfId="0" applyNumberFormat="1" applyFont="1" applyFill="1" applyAlignment="1">
      <alignment wrapText="1"/>
    </xf>
    <xf numFmtId="0" fontId="4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 wrapText="1"/>
    </xf>
    <xf numFmtId="3" fontId="6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4" fontId="2" fillId="2" borderId="0" xfId="1" applyNumberFormat="1" applyFont="1" applyFill="1" applyAlignment="1">
      <alignment wrapText="1"/>
    </xf>
    <xf numFmtId="49" fontId="6" fillId="2" borderId="0" xfId="0" applyNumberFormat="1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wrapText="1"/>
    </xf>
    <xf numFmtId="4" fontId="4" fillId="2" borderId="0" xfId="0" applyNumberFormat="1" applyFont="1" applyFill="1"/>
    <xf numFmtId="167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165" fontId="6" fillId="2" borderId="0" xfId="1" applyNumberFormat="1" applyFont="1" applyFill="1" applyAlignment="1">
      <alignment vertical="center" wrapText="1"/>
    </xf>
    <xf numFmtId="0" fontId="7" fillId="2" borderId="2" xfId="0" applyFont="1" applyFill="1" applyBorder="1" applyAlignment="1">
      <alignment horizontal="center" wrapText="1"/>
    </xf>
    <xf numFmtId="164" fontId="6" fillId="2" borderId="2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 wrapText="1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wrapText="1"/>
    </xf>
    <xf numFmtId="3" fontId="6" fillId="2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4" fillId="2" borderId="2" xfId="0" quotePrefix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53BF-1EB6-491F-AEAC-273DA994AA18}">
  <dimension ref="A1:Q203"/>
  <sheetViews>
    <sheetView tabSelected="1" workbookViewId="0">
      <selection sqref="A1:XFD1048576"/>
    </sheetView>
  </sheetViews>
  <sheetFormatPr defaultColWidth="8.81640625" defaultRowHeight="13" x14ac:dyDescent="0.3"/>
  <cols>
    <col min="1" max="1" width="2.453125" style="42" customWidth="1"/>
    <col min="2" max="2" width="6.81640625" style="49" customWidth="1"/>
    <col min="3" max="3" width="6.54296875" style="50" customWidth="1"/>
    <col min="4" max="4" width="22.1796875" style="51" customWidth="1"/>
    <col min="5" max="5" width="11.453125" style="52" customWidth="1"/>
    <col min="6" max="6" width="27.1796875" style="51" customWidth="1"/>
    <col min="7" max="7" width="14.1796875" style="42" customWidth="1"/>
    <col min="8" max="11" width="8.81640625" style="42"/>
    <col min="12" max="12" width="6.6328125" style="9" customWidth="1"/>
    <col min="13" max="13" width="8.81640625" style="10"/>
    <col min="14" max="14" width="10.36328125" style="10" bestFit="1" customWidth="1"/>
    <col min="15" max="15" width="12.08984375" style="10" bestFit="1" customWidth="1"/>
    <col min="16" max="16" width="10.36328125" style="10" bestFit="1" customWidth="1"/>
    <col min="17" max="17" width="9" style="12" bestFit="1" customWidth="1"/>
    <col min="18" max="16384" width="8.81640625" style="10"/>
  </cols>
  <sheetData>
    <row r="1" spans="1:17" x14ac:dyDescent="0.3">
      <c r="A1" s="1"/>
      <c r="B1" s="2" t="s">
        <v>0</v>
      </c>
      <c r="C1" s="3"/>
      <c r="D1" s="4"/>
      <c r="E1" s="5"/>
      <c r="F1" s="6"/>
      <c r="G1" s="7"/>
      <c r="H1" s="8"/>
      <c r="I1" s="7"/>
      <c r="J1" s="7"/>
      <c r="K1" s="7"/>
      <c r="N1" s="11" t="s">
        <v>1</v>
      </c>
      <c r="O1" s="11" t="s">
        <v>2</v>
      </c>
      <c r="P1" s="11" t="s">
        <v>3</v>
      </c>
    </row>
    <row r="2" spans="1:17" ht="15" customHeight="1" x14ac:dyDescent="0.3">
      <c r="A2" s="13"/>
      <c r="B2" s="14" t="s">
        <v>4</v>
      </c>
      <c r="C2" s="15" t="s">
        <v>5</v>
      </c>
      <c r="D2" s="16" t="s">
        <v>6</v>
      </c>
      <c r="E2" s="17" t="s">
        <v>7</v>
      </c>
      <c r="F2" s="18" t="s">
        <v>8</v>
      </c>
      <c r="G2" s="19" t="s">
        <v>9</v>
      </c>
      <c r="H2" s="20" t="s">
        <v>10</v>
      </c>
      <c r="I2" s="19" t="s">
        <v>11</v>
      </c>
      <c r="J2" s="19" t="s">
        <v>12</v>
      </c>
      <c r="K2" s="19" t="s">
        <v>13</v>
      </c>
      <c r="N2" s="21">
        <v>45995</v>
      </c>
      <c r="O2" s="22">
        <v>170512</v>
      </c>
      <c r="P2" s="22">
        <v>3272</v>
      </c>
      <c r="Q2" s="12">
        <f>SUM(O2:P2)</f>
        <v>173784</v>
      </c>
    </row>
    <row r="3" spans="1:17" ht="15.65" customHeight="1" x14ac:dyDescent="0.3">
      <c r="A3" s="23" t="s">
        <v>2</v>
      </c>
      <c r="B3" s="24">
        <v>45672</v>
      </c>
      <c r="C3" s="25">
        <v>216</v>
      </c>
      <c r="D3" s="26" t="s">
        <v>14</v>
      </c>
      <c r="E3" s="27">
        <v>1201218</v>
      </c>
      <c r="F3" s="28" t="s">
        <v>15</v>
      </c>
      <c r="G3" s="29" t="s">
        <v>16</v>
      </c>
      <c r="H3" s="30" t="s">
        <v>17</v>
      </c>
      <c r="I3" s="30" t="s">
        <v>17</v>
      </c>
      <c r="J3" s="30" t="s">
        <v>17</v>
      </c>
      <c r="K3" s="29">
        <v>1</v>
      </c>
      <c r="L3" s="9" t="s">
        <v>18</v>
      </c>
    </row>
    <row r="4" spans="1:17" ht="15" customHeight="1" x14ac:dyDescent="0.3">
      <c r="A4" s="23" t="s">
        <v>2</v>
      </c>
      <c r="B4" s="24">
        <v>45721</v>
      </c>
      <c r="C4" s="25">
        <v>68</v>
      </c>
      <c r="D4" s="26" t="s">
        <v>19</v>
      </c>
      <c r="E4" s="27">
        <v>612100</v>
      </c>
      <c r="F4" s="28" t="s">
        <v>20</v>
      </c>
      <c r="G4" s="29" t="s">
        <v>21</v>
      </c>
      <c r="H4" s="30" t="s">
        <v>22</v>
      </c>
      <c r="I4" s="30" t="s">
        <v>17</v>
      </c>
      <c r="J4" s="30" t="s">
        <v>23</v>
      </c>
      <c r="K4" s="29" t="s">
        <v>17</v>
      </c>
      <c r="L4" s="9" t="s">
        <v>24</v>
      </c>
      <c r="M4" s="10" t="s">
        <v>25</v>
      </c>
    </row>
    <row r="5" spans="1:17" ht="15" customHeight="1" x14ac:dyDescent="0.3">
      <c r="A5" s="23" t="s">
        <v>2</v>
      </c>
      <c r="B5" s="24">
        <v>45732</v>
      </c>
      <c r="C5" s="25">
        <v>461792</v>
      </c>
      <c r="D5" s="26" t="s">
        <v>26</v>
      </c>
      <c r="E5" s="27">
        <v>1550521</v>
      </c>
      <c r="F5" s="28" t="s">
        <v>27</v>
      </c>
      <c r="G5" s="29" t="s">
        <v>21</v>
      </c>
      <c r="H5" s="30" t="s">
        <v>17</v>
      </c>
      <c r="I5" s="30" t="s">
        <v>17</v>
      </c>
      <c r="J5" s="30" t="s">
        <v>28</v>
      </c>
      <c r="K5" s="29" t="s">
        <v>17</v>
      </c>
      <c r="L5" s="9" t="s">
        <v>24</v>
      </c>
      <c r="M5" s="10" t="s">
        <v>25</v>
      </c>
      <c r="P5" s="10" t="s">
        <v>29</v>
      </c>
      <c r="Q5" s="12">
        <f>Q2-Q3</f>
        <v>173784</v>
      </c>
    </row>
    <row r="6" spans="1:17" ht="15" customHeight="1" x14ac:dyDescent="0.3">
      <c r="A6" s="23" t="s">
        <v>3</v>
      </c>
      <c r="B6" s="24">
        <v>45748</v>
      </c>
      <c r="C6" s="25">
        <v>736248</v>
      </c>
      <c r="D6" s="26" t="s">
        <v>30</v>
      </c>
      <c r="E6" s="27">
        <v>12500</v>
      </c>
      <c r="F6" s="28" t="s">
        <v>31</v>
      </c>
      <c r="G6" s="29" t="s">
        <v>32</v>
      </c>
      <c r="H6" s="30" t="s">
        <v>17</v>
      </c>
      <c r="I6" s="30" t="s">
        <v>17</v>
      </c>
      <c r="J6" s="30" t="s">
        <v>17</v>
      </c>
      <c r="K6" s="29" t="s">
        <v>17</v>
      </c>
      <c r="L6" s="9" t="s">
        <v>33</v>
      </c>
    </row>
    <row r="7" spans="1:17" ht="15" customHeight="1" x14ac:dyDescent="0.3">
      <c r="A7" s="23" t="s">
        <v>2</v>
      </c>
      <c r="B7" s="24">
        <v>45757</v>
      </c>
      <c r="C7" s="25">
        <v>25</v>
      </c>
      <c r="D7" s="26" t="s">
        <v>34</v>
      </c>
      <c r="E7" s="27">
        <v>54000</v>
      </c>
      <c r="F7" s="28" t="s">
        <v>35</v>
      </c>
      <c r="G7" s="29" t="s">
        <v>21</v>
      </c>
      <c r="H7" s="30" t="s">
        <v>17</v>
      </c>
      <c r="I7" s="30" t="s">
        <v>17</v>
      </c>
      <c r="J7" s="30" t="s">
        <v>36</v>
      </c>
      <c r="K7" s="29" t="s">
        <v>17</v>
      </c>
      <c r="L7" s="9" t="s">
        <v>24</v>
      </c>
      <c r="M7" s="10" t="s">
        <v>25</v>
      </c>
    </row>
    <row r="8" spans="1:17" ht="15" customHeight="1" x14ac:dyDescent="0.3">
      <c r="A8" s="23" t="s">
        <v>2</v>
      </c>
      <c r="B8" s="24">
        <v>45763</v>
      </c>
      <c r="C8" s="25">
        <v>598135</v>
      </c>
      <c r="D8" s="26" t="s">
        <v>26</v>
      </c>
      <c r="E8" s="27">
        <v>445265</v>
      </c>
      <c r="F8" s="28" t="s">
        <v>37</v>
      </c>
      <c r="G8" s="29" t="s">
        <v>21</v>
      </c>
      <c r="H8" s="30" t="s">
        <v>38</v>
      </c>
      <c r="I8" s="30" t="s">
        <v>17</v>
      </c>
      <c r="J8" s="30" t="s">
        <v>39</v>
      </c>
      <c r="K8" s="29" t="s">
        <v>17</v>
      </c>
      <c r="L8" s="9" t="s">
        <v>24</v>
      </c>
      <c r="M8" s="10" t="s">
        <v>25</v>
      </c>
    </row>
    <row r="9" spans="1:17" ht="15.65" customHeight="1" x14ac:dyDescent="0.3">
      <c r="A9" s="23"/>
      <c r="B9" s="24">
        <v>45770</v>
      </c>
      <c r="C9" s="25">
        <v>1140</v>
      </c>
      <c r="D9" s="26" t="s">
        <v>40</v>
      </c>
      <c r="E9" s="27">
        <v>179086</v>
      </c>
      <c r="F9" s="28" t="s">
        <v>41</v>
      </c>
      <c r="G9" s="29" t="s">
        <v>21</v>
      </c>
      <c r="H9" s="30" t="s">
        <v>42</v>
      </c>
      <c r="I9" s="30" t="s">
        <v>17</v>
      </c>
      <c r="J9" s="30" t="s">
        <v>43</v>
      </c>
      <c r="K9" s="29" t="s">
        <v>17</v>
      </c>
      <c r="L9" s="9" t="s">
        <v>24</v>
      </c>
      <c r="M9" s="10" t="s">
        <v>25</v>
      </c>
    </row>
    <row r="10" spans="1:17" ht="15" customHeight="1" x14ac:dyDescent="0.3">
      <c r="A10" s="23" t="s">
        <v>2</v>
      </c>
      <c r="B10" s="24">
        <v>45771</v>
      </c>
      <c r="C10" s="25">
        <v>412305</v>
      </c>
      <c r="D10" s="26" t="s">
        <v>30</v>
      </c>
      <c r="E10" s="27">
        <v>160000</v>
      </c>
      <c r="F10" s="28" t="s">
        <v>31</v>
      </c>
      <c r="G10" s="29" t="s">
        <v>32</v>
      </c>
      <c r="H10" s="30" t="s">
        <v>17</v>
      </c>
      <c r="I10" s="30" t="s">
        <v>17</v>
      </c>
      <c r="J10" s="30" t="s">
        <v>17</v>
      </c>
      <c r="K10" s="29" t="s">
        <v>17</v>
      </c>
      <c r="L10" s="9" t="s">
        <v>33</v>
      </c>
    </row>
    <row r="11" spans="1:17" s="33" customFormat="1" ht="27" customHeight="1" x14ac:dyDescent="0.3">
      <c r="A11" s="23" t="s">
        <v>2</v>
      </c>
      <c r="B11" s="24">
        <v>45783</v>
      </c>
      <c r="C11" s="25">
        <v>524</v>
      </c>
      <c r="D11" s="26" t="s">
        <v>44</v>
      </c>
      <c r="E11" s="27">
        <v>589770</v>
      </c>
      <c r="F11" s="28" t="s">
        <v>45</v>
      </c>
      <c r="G11" s="29" t="s">
        <v>46</v>
      </c>
      <c r="H11" s="30" t="s">
        <v>47</v>
      </c>
      <c r="I11" s="30" t="s">
        <v>17</v>
      </c>
      <c r="J11" s="30" t="s">
        <v>17</v>
      </c>
      <c r="K11" s="29">
        <v>5</v>
      </c>
      <c r="L11" s="31" t="s">
        <v>48</v>
      </c>
      <c r="M11" s="32"/>
      <c r="Q11" s="34"/>
    </row>
    <row r="12" spans="1:17" ht="15" customHeight="1" x14ac:dyDescent="0.3">
      <c r="A12" s="23" t="s">
        <v>2</v>
      </c>
      <c r="B12" s="35">
        <v>45789</v>
      </c>
      <c r="C12" s="36">
        <v>103</v>
      </c>
      <c r="D12" s="37" t="s">
        <v>49</v>
      </c>
      <c r="E12" s="38">
        <v>34000</v>
      </c>
      <c r="F12" s="37" t="s">
        <v>50</v>
      </c>
      <c r="G12" s="39" t="s">
        <v>21</v>
      </c>
      <c r="H12" s="39" t="s">
        <v>51</v>
      </c>
      <c r="I12" s="30" t="s">
        <v>17</v>
      </c>
      <c r="J12" s="30" t="s">
        <v>52</v>
      </c>
      <c r="K12" s="29" t="s">
        <v>17</v>
      </c>
      <c r="L12" s="9" t="s">
        <v>24</v>
      </c>
      <c r="M12" s="10" t="s">
        <v>25</v>
      </c>
    </row>
    <row r="13" spans="1:17" ht="15" customHeight="1" x14ac:dyDescent="0.3">
      <c r="A13" s="23" t="s">
        <v>2</v>
      </c>
      <c r="B13" s="24">
        <v>45795</v>
      </c>
      <c r="C13" s="25">
        <v>188</v>
      </c>
      <c r="D13" s="26" t="s">
        <v>34</v>
      </c>
      <c r="E13" s="27">
        <v>55886</v>
      </c>
      <c r="F13" s="28" t="s">
        <v>35</v>
      </c>
      <c r="G13" s="29" t="s">
        <v>21</v>
      </c>
      <c r="H13" s="30" t="s">
        <v>36</v>
      </c>
      <c r="I13" s="30" t="s">
        <v>17</v>
      </c>
      <c r="J13" s="30" t="s">
        <v>36</v>
      </c>
      <c r="K13" s="29" t="s">
        <v>17</v>
      </c>
      <c r="L13" s="9" t="s">
        <v>24</v>
      </c>
      <c r="M13" s="10" t="s">
        <v>25</v>
      </c>
    </row>
    <row r="14" spans="1:17" ht="16.25" customHeight="1" x14ac:dyDescent="0.3">
      <c r="A14" s="23" t="s">
        <v>2</v>
      </c>
      <c r="B14" s="24">
        <v>45796</v>
      </c>
      <c r="C14" s="25">
        <v>27</v>
      </c>
      <c r="D14" s="26" t="s">
        <v>34</v>
      </c>
      <c r="E14" s="27">
        <v>100000</v>
      </c>
      <c r="F14" s="28" t="s">
        <v>53</v>
      </c>
      <c r="G14" s="29" t="s">
        <v>21</v>
      </c>
      <c r="H14" s="30" t="s">
        <v>36</v>
      </c>
      <c r="I14" s="30" t="s">
        <v>17</v>
      </c>
      <c r="J14" s="30" t="s">
        <v>36</v>
      </c>
      <c r="K14" s="29" t="s">
        <v>17</v>
      </c>
      <c r="L14" s="9" t="s">
        <v>24</v>
      </c>
      <c r="M14" s="10" t="s">
        <v>25</v>
      </c>
    </row>
    <row r="15" spans="1:17" ht="15" customHeight="1" x14ac:dyDescent="0.3">
      <c r="A15" s="23" t="s">
        <v>2</v>
      </c>
      <c r="B15" s="35">
        <v>45798</v>
      </c>
      <c r="C15" s="36">
        <v>95</v>
      </c>
      <c r="D15" s="37" t="s">
        <v>54</v>
      </c>
      <c r="E15" s="38">
        <v>64940</v>
      </c>
      <c r="F15" s="37" t="s">
        <v>55</v>
      </c>
      <c r="G15" s="39" t="s">
        <v>21</v>
      </c>
      <c r="H15" s="39" t="s">
        <v>56</v>
      </c>
      <c r="I15" s="30" t="s">
        <v>17</v>
      </c>
      <c r="J15" s="30" t="s">
        <v>57</v>
      </c>
      <c r="K15" s="29" t="s">
        <v>17</v>
      </c>
      <c r="L15" s="9" t="s">
        <v>24</v>
      </c>
      <c r="M15" s="10" t="s">
        <v>25</v>
      </c>
    </row>
    <row r="16" spans="1:17" ht="15" customHeight="1" x14ac:dyDescent="0.3">
      <c r="A16" s="23" t="s">
        <v>2</v>
      </c>
      <c r="B16" s="35">
        <v>45799</v>
      </c>
      <c r="C16" s="36">
        <v>7</v>
      </c>
      <c r="D16" s="37" t="s">
        <v>58</v>
      </c>
      <c r="E16" s="38">
        <v>187300</v>
      </c>
      <c r="F16" s="37" t="s">
        <v>59</v>
      </c>
      <c r="G16" s="39" t="s">
        <v>21</v>
      </c>
      <c r="H16" s="39" t="s">
        <v>60</v>
      </c>
      <c r="I16" s="30" t="s">
        <v>17</v>
      </c>
      <c r="J16" s="30" t="s">
        <v>61</v>
      </c>
      <c r="K16" s="29" t="s">
        <v>17</v>
      </c>
      <c r="L16" s="9" t="s">
        <v>24</v>
      </c>
      <c r="M16" s="10" t="s">
        <v>25</v>
      </c>
    </row>
    <row r="17" spans="1:13" ht="30" customHeight="1" x14ac:dyDescent="0.3">
      <c r="A17" s="23" t="s">
        <v>2</v>
      </c>
      <c r="B17" s="35">
        <v>45804</v>
      </c>
      <c r="C17" s="36">
        <v>10</v>
      </c>
      <c r="D17" s="37" t="s">
        <v>62</v>
      </c>
      <c r="E17" s="38">
        <v>159649</v>
      </c>
      <c r="F17" s="37" t="s">
        <v>59</v>
      </c>
      <c r="G17" s="39" t="s">
        <v>21</v>
      </c>
      <c r="H17" s="39" t="s">
        <v>63</v>
      </c>
      <c r="I17" s="30" t="s">
        <v>17</v>
      </c>
      <c r="J17" s="30" t="s">
        <v>64</v>
      </c>
      <c r="K17" s="29" t="s">
        <v>17</v>
      </c>
      <c r="L17" s="9" t="s">
        <v>24</v>
      </c>
      <c r="M17" s="10" t="s">
        <v>25</v>
      </c>
    </row>
    <row r="18" spans="1:13" ht="15.65" customHeight="1" x14ac:dyDescent="0.3">
      <c r="A18" s="23" t="s">
        <v>2</v>
      </c>
      <c r="B18" s="24">
        <v>45812</v>
      </c>
      <c r="C18" s="25">
        <v>2916</v>
      </c>
      <c r="D18" s="26" t="s">
        <v>14</v>
      </c>
      <c r="E18" s="27">
        <v>197355</v>
      </c>
      <c r="F18" s="28" t="s">
        <v>59</v>
      </c>
      <c r="G18" s="29" t="s">
        <v>16</v>
      </c>
      <c r="H18" s="30" t="s">
        <v>65</v>
      </c>
      <c r="I18" s="30" t="s">
        <v>17</v>
      </c>
      <c r="J18" s="30" t="s">
        <v>66</v>
      </c>
      <c r="K18" s="29" t="s">
        <v>17</v>
      </c>
      <c r="L18" s="9" t="s">
        <v>24</v>
      </c>
      <c r="M18" s="10" t="s">
        <v>25</v>
      </c>
    </row>
    <row r="19" spans="1:13" ht="15" customHeight="1" x14ac:dyDescent="0.3">
      <c r="A19" s="23" t="s">
        <v>2</v>
      </c>
      <c r="B19" s="35">
        <v>45812</v>
      </c>
      <c r="C19" s="36">
        <v>116</v>
      </c>
      <c r="D19" s="37" t="s">
        <v>54</v>
      </c>
      <c r="E19" s="38">
        <v>125300</v>
      </c>
      <c r="F19" s="37" t="s">
        <v>55</v>
      </c>
      <c r="G19" s="39" t="s">
        <v>21</v>
      </c>
      <c r="H19" s="39" t="s">
        <v>67</v>
      </c>
      <c r="I19" s="30" t="s">
        <v>17</v>
      </c>
      <c r="J19" s="30" t="s">
        <v>68</v>
      </c>
      <c r="K19" s="29" t="s">
        <v>17</v>
      </c>
      <c r="L19" s="9" t="s">
        <v>24</v>
      </c>
      <c r="M19" s="10" t="s">
        <v>25</v>
      </c>
    </row>
    <row r="20" spans="1:13" ht="15" customHeight="1" x14ac:dyDescent="0.3">
      <c r="A20" s="23" t="s">
        <v>2</v>
      </c>
      <c r="B20" s="35">
        <v>45813</v>
      </c>
      <c r="C20" s="36">
        <v>85</v>
      </c>
      <c r="D20" s="37" t="s">
        <v>69</v>
      </c>
      <c r="E20" s="38">
        <v>159494</v>
      </c>
      <c r="F20" s="37" t="s">
        <v>55</v>
      </c>
      <c r="G20" s="39" t="s">
        <v>21</v>
      </c>
      <c r="H20" s="39" t="s">
        <v>70</v>
      </c>
      <c r="I20" s="30" t="s">
        <v>17</v>
      </c>
      <c r="J20" s="30" t="s">
        <v>71</v>
      </c>
      <c r="K20" s="29" t="s">
        <v>17</v>
      </c>
      <c r="L20" s="9" t="s">
        <v>24</v>
      </c>
      <c r="M20" s="10" t="s">
        <v>25</v>
      </c>
    </row>
    <row r="21" spans="1:13" ht="15" customHeight="1" x14ac:dyDescent="0.3">
      <c r="A21" s="23" t="s">
        <v>2</v>
      </c>
      <c r="B21" s="35">
        <v>45814</v>
      </c>
      <c r="C21" s="36">
        <v>2998</v>
      </c>
      <c r="D21" s="37" t="s">
        <v>14</v>
      </c>
      <c r="E21" s="38">
        <v>600000</v>
      </c>
      <c r="F21" s="40" t="s">
        <v>18</v>
      </c>
      <c r="G21" s="39" t="s">
        <v>16</v>
      </c>
      <c r="H21" s="39">
        <v>12</v>
      </c>
      <c r="I21" s="30" t="s">
        <v>17</v>
      </c>
      <c r="J21" s="30" t="s">
        <v>17</v>
      </c>
      <c r="K21" s="29">
        <v>18</v>
      </c>
      <c r="L21" s="9" t="s">
        <v>18</v>
      </c>
    </row>
    <row r="22" spans="1:13" ht="30" customHeight="1" x14ac:dyDescent="0.3">
      <c r="A22" s="23" t="s">
        <v>2</v>
      </c>
      <c r="B22" s="35">
        <v>45819</v>
      </c>
      <c r="C22" s="36">
        <v>55</v>
      </c>
      <c r="D22" s="37" t="s">
        <v>62</v>
      </c>
      <c r="E22" s="38">
        <v>29160</v>
      </c>
      <c r="F22" s="40" t="s">
        <v>59</v>
      </c>
      <c r="G22" s="39" t="s">
        <v>21</v>
      </c>
      <c r="H22" s="39" t="s">
        <v>72</v>
      </c>
      <c r="I22" s="30" t="s">
        <v>17</v>
      </c>
      <c r="J22" s="30" t="s">
        <v>73</v>
      </c>
      <c r="K22" s="29" t="s">
        <v>17</v>
      </c>
      <c r="L22" s="9" t="s">
        <v>24</v>
      </c>
      <c r="M22" s="10" t="s">
        <v>25</v>
      </c>
    </row>
    <row r="23" spans="1:13" ht="15" customHeight="1" x14ac:dyDescent="0.3">
      <c r="A23" s="23" t="s">
        <v>2</v>
      </c>
      <c r="B23" s="35">
        <v>45819</v>
      </c>
      <c r="C23" s="36">
        <v>3082</v>
      </c>
      <c r="D23" s="37" t="s">
        <v>14</v>
      </c>
      <c r="E23" s="38">
        <v>500000</v>
      </c>
      <c r="F23" s="40" t="s">
        <v>18</v>
      </c>
      <c r="G23" s="39" t="s">
        <v>16</v>
      </c>
      <c r="H23" s="39">
        <v>12</v>
      </c>
      <c r="I23" s="30" t="s">
        <v>17</v>
      </c>
      <c r="J23" s="30" t="s">
        <v>17</v>
      </c>
      <c r="K23" s="29">
        <v>18</v>
      </c>
      <c r="L23" s="9" t="s">
        <v>18</v>
      </c>
    </row>
    <row r="24" spans="1:13" ht="15" customHeight="1" x14ac:dyDescent="0.3">
      <c r="A24" s="23" t="s">
        <v>2</v>
      </c>
      <c r="B24" s="35">
        <v>45826</v>
      </c>
      <c r="C24" s="36">
        <v>3207</v>
      </c>
      <c r="D24" s="37" t="s">
        <v>14</v>
      </c>
      <c r="E24" s="38">
        <v>770683</v>
      </c>
      <c r="F24" s="40" t="s">
        <v>18</v>
      </c>
      <c r="G24" s="39" t="s">
        <v>16</v>
      </c>
      <c r="H24" s="39">
        <v>12</v>
      </c>
      <c r="I24" s="30" t="s">
        <v>17</v>
      </c>
      <c r="J24" s="30" t="s">
        <v>17</v>
      </c>
      <c r="K24" s="29">
        <v>18</v>
      </c>
      <c r="L24" s="9" t="s">
        <v>18</v>
      </c>
    </row>
    <row r="25" spans="1:13" ht="15" customHeight="1" x14ac:dyDescent="0.3">
      <c r="A25" s="23" t="s">
        <v>2</v>
      </c>
      <c r="B25" s="35">
        <v>45831</v>
      </c>
      <c r="C25" s="36">
        <v>3317</v>
      </c>
      <c r="D25" s="37" t="s">
        <v>14</v>
      </c>
      <c r="E25" s="38">
        <v>715400</v>
      </c>
      <c r="F25" s="40" t="s">
        <v>18</v>
      </c>
      <c r="G25" s="39" t="s">
        <v>16</v>
      </c>
      <c r="H25" s="39">
        <v>15</v>
      </c>
      <c r="I25" s="30" t="s">
        <v>17</v>
      </c>
      <c r="J25" s="30" t="s">
        <v>17</v>
      </c>
      <c r="K25" s="29">
        <v>25</v>
      </c>
      <c r="L25" s="9" t="s">
        <v>18</v>
      </c>
    </row>
    <row r="26" spans="1:13" ht="29.4" customHeight="1" x14ac:dyDescent="0.3">
      <c r="A26" s="23" t="s">
        <v>2</v>
      </c>
      <c r="B26" s="35">
        <v>45831</v>
      </c>
      <c r="C26" s="36">
        <v>193</v>
      </c>
      <c r="D26" s="37" t="s">
        <v>74</v>
      </c>
      <c r="E26" s="38">
        <v>269545</v>
      </c>
      <c r="F26" s="37" t="s">
        <v>59</v>
      </c>
      <c r="G26" s="39" t="s">
        <v>21</v>
      </c>
      <c r="H26" s="39" t="s">
        <v>75</v>
      </c>
      <c r="I26" s="30" t="s">
        <v>17</v>
      </c>
      <c r="J26" s="30" t="s">
        <v>76</v>
      </c>
      <c r="K26" s="29" t="s">
        <v>17</v>
      </c>
      <c r="L26" s="9" t="s">
        <v>24</v>
      </c>
      <c r="M26" s="10" t="s">
        <v>25</v>
      </c>
    </row>
    <row r="27" spans="1:13" ht="15" customHeight="1" x14ac:dyDescent="0.3">
      <c r="A27" s="23" t="s">
        <v>2</v>
      </c>
      <c r="B27" s="35">
        <v>45835</v>
      </c>
      <c r="C27" s="36">
        <v>115</v>
      </c>
      <c r="D27" s="37" t="s">
        <v>69</v>
      </c>
      <c r="E27" s="38">
        <v>69768</v>
      </c>
      <c r="F27" s="37" t="s">
        <v>77</v>
      </c>
      <c r="G27" s="39" t="s">
        <v>21</v>
      </c>
      <c r="H27" s="39" t="s">
        <v>78</v>
      </c>
      <c r="I27" s="30" t="s">
        <v>17</v>
      </c>
      <c r="J27" s="30" t="s">
        <v>79</v>
      </c>
      <c r="K27" s="29" t="s">
        <v>17</v>
      </c>
      <c r="L27" s="9" t="s">
        <v>24</v>
      </c>
      <c r="M27" s="10" t="s">
        <v>25</v>
      </c>
    </row>
    <row r="28" spans="1:13" ht="15" customHeight="1" x14ac:dyDescent="0.3">
      <c r="A28" s="23" t="s">
        <v>2</v>
      </c>
      <c r="B28" s="35">
        <v>45835</v>
      </c>
      <c r="C28" s="36">
        <v>116</v>
      </c>
      <c r="D28" s="37" t="s">
        <v>69</v>
      </c>
      <c r="E28" s="38">
        <v>47856</v>
      </c>
      <c r="F28" s="37" t="s">
        <v>77</v>
      </c>
      <c r="G28" s="39" t="s">
        <v>21</v>
      </c>
      <c r="H28" s="39" t="s">
        <v>80</v>
      </c>
      <c r="I28" s="30" t="s">
        <v>17</v>
      </c>
      <c r="J28" s="30" t="s">
        <v>79</v>
      </c>
      <c r="K28" s="29" t="s">
        <v>17</v>
      </c>
      <c r="L28" s="9" t="s">
        <v>24</v>
      </c>
      <c r="M28" s="10" t="s">
        <v>25</v>
      </c>
    </row>
    <row r="29" spans="1:13" ht="15" customHeight="1" x14ac:dyDescent="0.3">
      <c r="A29" s="23" t="s">
        <v>2</v>
      </c>
      <c r="B29" s="35">
        <v>45838</v>
      </c>
      <c r="C29" s="36">
        <v>3445</v>
      </c>
      <c r="D29" s="37" t="s">
        <v>14</v>
      </c>
      <c r="E29" s="38">
        <v>638800</v>
      </c>
      <c r="F29" s="40" t="s">
        <v>18</v>
      </c>
      <c r="G29" s="39" t="s">
        <v>16</v>
      </c>
      <c r="H29" s="39">
        <v>13</v>
      </c>
      <c r="I29" s="30" t="s">
        <v>17</v>
      </c>
      <c r="J29" s="30" t="s">
        <v>17</v>
      </c>
      <c r="K29" s="29">
        <v>23</v>
      </c>
      <c r="L29" s="9" t="s">
        <v>18</v>
      </c>
    </row>
    <row r="30" spans="1:13" ht="15" customHeight="1" x14ac:dyDescent="0.3">
      <c r="A30" s="23" t="s">
        <v>2</v>
      </c>
      <c r="B30" s="35">
        <v>45845</v>
      </c>
      <c r="C30" s="36">
        <v>3608</v>
      </c>
      <c r="D30" s="37" t="s">
        <v>14</v>
      </c>
      <c r="E30" s="38">
        <v>405200</v>
      </c>
      <c r="F30" s="40" t="s">
        <v>18</v>
      </c>
      <c r="G30" s="39" t="s">
        <v>16</v>
      </c>
      <c r="H30" s="39">
        <v>16</v>
      </c>
      <c r="I30" s="30" t="s">
        <v>17</v>
      </c>
      <c r="J30" s="30" t="s">
        <v>17</v>
      </c>
      <c r="K30" s="29">
        <v>30</v>
      </c>
      <c r="L30" s="9" t="s">
        <v>18</v>
      </c>
    </row>
    <row r="31" spans="1:13" ht="15" customHeight="1" x14ac:dyDescent="0.3">
      <c r="A31" s="23" t="s">
        <v>2</v>
      </c>
      <c r="B31" s="35">
        <v>45852</v>
      </c>
      <c r="C31" s="36">
        <v>3728</v>
      </c>
      <c r="D31" s="37" t="s">
        <v>14</v>
      </c>
      <c r="E31" s="38">
        <v>279470</v>
      </c>
      <c r="F31" s="40" t="s">
        <v>59</v>
      </c>
      <c r="G31" s="39" t="s">
        <v>16</v>
      </c>
      <c r="H31" s="39">
        <v>17</v>
      </c>
      <c r="I31" s="30" t="s">
        <v>17</v>
      </c>
      <c r="J31" s="30" t="s">
        <v>81</v>
      </c>
      <c r="K31" s="29" t="s">
        <v>17</v>
      </c>
      <c r="L31" s="9" t="s">
        <v>24</v>
      </c>
      <c r="M31" s="10" t="s">
        <v>25</v>
      </c>
    </row>
    <row r="32" spans="1:13" ht="15" customHeight="1" x14ac:dyDescent="0.3">
      <c r="A32" s="23" t="s">
        <v>2</v>
      </c>
      <c r="B32" s="35">
        <v>45854</v>
      </c>
      <c r="C32" s="36">
        <v>890</v>
      </c>
      <c r="D32" s="37" t="s">
        <v>82</v>
      </c>
      <c r="E32" s="38">
        <v>261576</v>
      </c>
      <c r="F32" s="37" t="s">
        <v>55</v>
      </c>
      <c r="G32" s="39" t="s">
        <v>21</v>
      </c>
      <c r="H32" s="39" t="s">
        <v>83</v>
      </c>
      <c r="I32" s="30" t="s">
        <v>17</v>
      </c>
      <c r="J32" s="30" t="s">
        <v>84</v>
      </c>
      <c r="K32" s="29" t="s">
        <v>17</v>
      </c>
      <c r="L32" s="9" t="s">
        <v>24</v>
      </c>
      <c r="M32" s="10" t="s">
        <v>25</v>
      </c>
    </row>
    <row r="33" spans="1:17" ht="15" customHeight="1" x14ac:dyDescent="0.3">
      <c r="A33" s="23" t="s">
        <v>2</v>
      </c>
      <c r="B33" s="35">
        <v>45855</v>
      </c>
      <c r="C33" s="36">
        <v>1372</v>
      </c>
      <c r="D33" s="37" t="s">
        <v>85</v>
      </c>
      <c r="E33" s="38">
        <v>62220</v>
      </c>
      <c r="F33" s="37" t="s">
        <v>59</v>
      </c>
      <c r="G33" s="39" t="s">
        <v>21</v>
      </c>
      <c r="H33" s="39" t="s">
        <v>86</v>
      </c>
      <c r="I33" s="30" t="s">
        <v>17</v>
      </c>
      <c r="J33" s="30" t="s">
        <v>87</v>
      </c>
      <c r="K33" s="29" t="s">
        <v>17</v>
      </c>
      <c r="L33" s="9" t="s">
        <v>24</v>
      </c>
      <c r="M33" s="10" t="s">
        <v>25</v>
      </c>
    </row>
    <row r="34" spans="1:17" ht="15" customHeight="1" x14ac:dyDescent="0.3">
      <c r="A34" s="23" t="s">
        <v>2</v>
      </c>
      <c r="B34" s="35">
        <v>45856</v>
      </c>
      <c r="C34" s="36">
        <v>356</v>
      </c>
      <c r="D34" s="37" t="s">
        <v>88</v>
      </c>
      <c r="E34" s="38">
        <v>22605</v>
      </c>
      <c r="F34" s="37" t="s">
        <v>55</v>
      </c>
      <c r="G34" s="39" t="s">
        <v>21</v>
      </c>
      <c r="H34" s="39" t="s">
        <v>89</v>
      </c>
      <c r="I34" s="30" t="s">
        <v>17</v>
      </c>
      <c r="J34" s="30" t="s">
        <v>90</v>
      </c>
      <c r="K34" s="29" t="s">
        <v>17</v>
      </c>
      <c r="L34" s="9" t="s">
        <v>24</v>
      </c>
      <c r="M34" s="10" t="s">
        <v>25</v>
      </c>
    </row>
    <row r="35" spans="1:17" ht="15" customHeight="1" x14ac:dyDescent="0.3">
      <c r="A35" s="23" t="s">
        <v>2</v>
      </c>
      <c r="B35" s="35">
        <v>45868</v>
      </c>
      <c r="C35" s="36">
        <v>16</v>
      </c>
      <c r="D35" s="37" t="s">
        <v>14</v>
      </c>
      <c r="E35" s="38">
        <v>1265490</v>
      </c>
      <c r="F35" s="40" t="s">
        <v>18</v>
      </c>
      <c r="G35" s="39" t="s">
        <v>16</v>
      </c>
      <c r="H35" s="39">
        <v>21</v>
      </c>
      <c r="I35" s="30" t="s">
        <v>17</v>
      </c>
      <c r="J35" s="30" t="s">
        <v>17</v>
      </c>
      <c r="K35" s="29">
        <v>35</v>
      </c>
      <c r="L35" s="9" t="s">
        <v>18</v>
      </c>
    </row>
    <row r="36" spans="1:17" ht="15" customHeight="1" x14ac:dyDescent="0.3">
      <c r="A36" s="23" t="s">
        <v>2</v>
      </c>
      <c r="B36" s="35">
        <v>45875</v>
      </c>
      <c r="C36" s="36">
        <v>920</v>
      </c>
      <c r="D36" s="37" t="s">
        <v>82</v>
      </c>
      <c r="E36" s="38">
        <v>86500</v>
      </c>
      <c r="F36" s="37" t="s">
        <v>55</v>
      </c>
      <c r="G36" s="39" t="s">
        <v>21</v>
      </c>
      <c r="H36" s="39" t="s">
        <v>91</v>
      </c>
      <c r="I36" s="30" t="s">
        <v>17</v>
      </c>
      <c r="J36" s="30" t="s">
        <v>92</v>
      </c>
      <c r="K36" s="29" t="s">
        <v>17</v>
      </c>
      <c r="L36" s="9" t="s">
        <v>24</v>
      </c>
      <c r="M36" s="10" t="s">
        <v>25</v>
      </c>
    </row>
    <row r="37" spans="1:17" ht="15" customHeight="1" x14ac:dyDescent="0.3">
      <c r="A37" s="23" t="s">
        <v>2</v>
      </c>
      <c r="B37" s="35">
        <v>45881</v>
      </c>
      <c r="C37" s="36">
        <v>4410</v>
      </c>
      <c r="D37" s="37" t="s">
        <v>14</v>
      </c>
      <c r="E37" s="38">
        <v>797400</v>
      </c>
      <c r="F37" s="40" t="s">
        <v>59</v>
      </c>
      <c r="G37" s="39" t="s">
        <v>16</v>
      </c>
      <c r="H37" s="39">
        <v>26</v>
      </c>
      <c r="I37" s="30" t="s">
        <v>17</v>
      </c>
      <c r="J37" s="30" t="s">
        <v>93</v>
      </c>
      <c r="K37" s="29" t="s">
        <v>17</v>
      </c>
      <c r="L37" s="9" t="s">
        <v>24</v>
      </c>
      <c r="M37" s="10" t="s">
        <v>25</v>
      </c>
    </row>
    <row r="38" spans="1:17" s="33" customFormat="1" ht="28.75" customHeight="1" x14ac:dyDescent="0.3">
      <c r="A38" s="23" t="s">
        <v>94</v>
      </c>
      <c r="B38" s="24">
        <v>45884</v>
      </c>
      <c r="C38" s="25">
        <v>524</v>
      </c>
      <c r="D38" s="26" t="s">
        <v>44</v>
      </c>
      <c r="E38" s="27">
        <v>207732</v>
      </c>
      <c r="F38" s="28" t="s">
        <v>95</v>
      </c>
      <c r="G38" s="29" t="s">
        <v>46</v>
      </c>
      <c r="H38" s="30" t="s">
        <v>96</v>
      </c>
      <c r="I38" s="30" t="s">
        <v>17</v>
      </c>
      <c r="J38" s="30" t="s">
        <v>17</v>
      </c>
      <c r="K38" s="29">
        <v>36</v>
      </c>
      <c r="L38" s="31" t="s">
        <v>48</v>
      </c>
      <c r="M38" s="32"/>
      <c r="Q38" s="34"/>
    </row>
    <row r="39" spans="1:17" ht="15" customHeight="1" x14ac:dyDescent="0.3">
      <c r="A39" s="23" t="s">
        <v>2</v>
      </c>
      <c r="B39" s="24">
        <v>45887</v>
      </c>
      <c r="C39" s="25">
        <v>380</v>
      </c>
      <c r="D39" s="26" t="s">
        <v>97</v>
      </c>
      <c r="E39" s="27">
        <v>264413</v>
      </c>
      <c r="F39" s="40" t="s">
        <v>59</v>
      </c>
      <c r="G39" s="29" t="s">
        <v>21</v>
      </c>
      <c r="H39" s="30" t="s">
        <v>98</v>
      </c>
      <c r="I39" s="30" t="s">
        <v>17</v>
      </c>
      <c r="J39" s="30" t="s">
        <v>99</v>
      </c>
      <c r="K39" s="29" t="s">
        <v>17</v>
      </c>
      <c r="L39" s="9" t="s">
        <v>24</v>
      </c>
      <c r="M39" s="10" t="s">
        <v>25</v>
      </c>
    </row>
    <row r="40" spans="1:17" ht="15" customHeight="1" x14ac:dyDescent="0.3">
      <c r="A40" s="23" t="s">
        <v>2</v>
      </c>
      <c r="B40" s="35">
        <v>45887</v>
      </c>
      <c r="C40" s="36">
        <v>4510</v>
      </c>
      <c r="D40" s="37" t="s">
        <v>14</v>
      </c>
      <c r="E40" s="38">
        <v>741090</v>
      </c>
      <c r="F40" s="40" t="s">
        <v>59</v>
      </c>
      <c r="G40" s="39" t="s">
        <v>16</v>
      </c>
      <c r="H40" s="39">
        <v>27</v>
      </c>
      <c r="I40" s="30" t="s">
        <v>17</v>
      </c>
      <c r="J40" s="30" t="s">
        <v>100</v>
      </c>
      <c r="K40" s="29" t="s">
        <v>17</v>
      </c>
      <c r="L40" s="9" t="s">
        <v>24</v>
      </c>
      <c r="M40" s="10" t="s">
        <v>25</v>
      </c>
    </row>
    <row r="41" spans="1:17" ht="15" customHeight="1" x14ac:dyDescent="0.3">
      <c r="A41" s="23" t="s">
        <v>2</v>
      </c>
      <c r="B41" s="24">
        <v>45887</v>
      </c>
      <c r="C41" s="25">
        <v>395</v>
      </c>
      <c r="D41" s="26" t="s">
        <v>97</v>
      </c>
      <c r="E41" s="27">
        <v>170640</v>
      </c>
      <c r="F41" s="40" t="s">
        <v>59</v>
      </c>
      <c r="G41" s="29" t="s">
        <v>21</v>
      </c>
      <c r="H41" s="30" t="s">
        <v>101</v>
      </c>
      <c r="I41" s="30" t="s">
        <v>17</v>
      </c>
      <c r="J41" s="30" t="s">
        <v>102</v>
      </c>
      <c r="K41" s="29" t="s">
        <v>17</v>
      </c>
      <c r="L41" s="9" t="s">
        <v>24</v>
      </c>
      <c r="M41" s="10" t="s">
        <v>25</v>
      </c>
    </row>
    <row r="42" spans="1:17" ht="15" customHeight="1" x14ac:dyDescent="0.3">
      <c r="A42" s="23" t="s">
        <v>2</v>
      </c>
      <c r="B42" s="24">
        <v>45896</v>
      </c>
      <c r="C42" s="25">
        <v>343</v>
      </c>
      <c r="D42" s="26" t="s">
        <v>34</v>
      </c>
      <c r="E42" s="27">
        <v>87467</v>
      </c>
      <c r="F42" s="40" t="s">
        <v>59</v>
      </c>
      <c r="G42" s="29" t="s">
        <v>21</v>
      </c>
      <c r="H42" s="30" t="s">
        <v>17</v>
      </c>
      <c r="I42" s="30" t="s">
        <v>17</v>
      </c>
      <c r="J42" s="30" t="s">
        <v>103</v>
      </c>
      <c r="K42" s="29" t="s">
        <v>17</v>
      </c>
      <c r="L42" s="9" t="s">
        <v>24</v>
      </c>
      <c r="M42" s="10" t="s">
        <v>25</v>
      </c>
    </row>
    <row r="43" spans="1:17" ht="15" customHeight="1" x14ac:dyDescent="0.3">
      <c r="A43" s="23" t="s">
        <v>2</v>
      </c>
      <c r="B43" s="35">
        <v>45896</v>
      </c>
      <c r="C43" s="36">
        <v>4706</v>
      </c>
      <c r="D43" s="37" t="s">
        <v>14</v>
      </c>
      <c r="E43" s="38">
        <v>500000</v>
      </c>
      <c r="F43" s="40" t="s">
        <v>104</v>
      </c>
      <c r="G43" s="39" t="s">
        <v>16</v>
      </c>
      <c r="H43" s="39">
        <v>28</v>
      </c>
      <c r="I43" s="30" t="s">
        <v>17</v>
      </c>
      <c r="J43" s="30" t="s">
        <v>17</v>
      </c>
      <c r="K43" s="29">
        <v>39</v>
      </c>
      <c r="L43" s="9" t="s">
        <v>18</v>
      </c>
    </row>
    <row r="44" spans="1:17" s="33" customFormat="1" ht="15" customHeight="1" x14ac:dyDescent="0.3">
      <c r="A44" s="23" t="s">
        <v>2</v>
      </c>
      <c r="B44" s="35">
        <v>45901</v>
      </c>
      <c r="C44" s="36">
        <v>4783</v>
      </c>
      <c r="D44" s="37" t="s">
        <v>14</v>
      </c>
      <c r="E44" s="38">
        <v>700000</v>
      </c>
      <c r="F44" s="40" t="s">
        <v>104</v>
      </c>
      <c r="G44" s="39" t="s">
        <v>16</v>
      </c>
      <c r="H44" s="39">
        <v>28</v>
      </c>
      <c r="I44" s="30" t="s">
        <v>17</v>
      </c>
      <c r="J44" s="30" t="s">
        <v>17</v>
      </c>
      <c r="K44" s="29">
        <v>39</v>
      </c>
      <c r="L44" s="9" t="s">
        <v>18</v>
      </c>
      <c r="M44" s="32"/>
      <c r="Q44" s="34"/>
    </row>
    <row r="45" spans="1:17" ht="15" customHeight="1" x14ac:dyDescent="0.3">
      <c r="A45" s="23" t="s">
        <v>2</v>
      </c>
      <c r="B45" s="24">
        <v>45902</v>
      </c>
      <c r="C45" s="25">
        <v>428</v>
      </c>
      <c r="D45" s="26" t="s">
        <v>97</v>
      </c>
      <c r="E45" s="27">
        <v>145414</v>
      </c>
      <c r="F45" s="28" t="s">
        <v>59</v>
      </c>
      <c r="G45" s="29" t="s">
        <v>21</v>
      </c>
      <c r="H45" s="30" t="s">
        <v>101</v>
      </c>
      <c r="I45" s="30" t="s">
        <v>17</v>
      </c>
      <c r="J45" s="30" t="s">
        <v>102</v>
      </c>
      <c r="K45" s="29" t="s">
        <v>17</v>
      </c>
      <c r="L45" s="9" t="s">
        <v>24</v>
      </c>
      <c r="M45" s="10" t="s">
        <v>25</v>
      </c>
    </row>
    <row r="46" spans="1:17" ht="15" customHeight="1" x14ac:dyDescent="0.3">
      <c r="A46" s="23" t="s">
        <v>2</v>
      </c>
      <c r="B46" s="24">
        <v>45902</v>
      </c>
      <c r="C46" s="25">
        <v>349</v>
      </c>
      <c r="D46" s="26" t="s">
        <v>34</v>
      </c>
      <c r="E46" s="27">
        <v>13608</v>
      </c>
      <c r="F46" s="28" t="s">
        <v>59</v>
      </c>
      <c r="G46" s="29" t="s">
        <v>21</v>
      </c>
      <c r="H46" s="30" t="s">
        <v>105</v>
      </c>
      <c r="I46" s="30" t="s">
        <v>17</v>
      </c>
      <c r="J46" s="30" t="s">
        <v>103</v>
      </c>
      <c r="K46" s="29" t="s">
        <v>17</v>
      </c>
      <c r="L46" s="9" t="s">
        <v>24</v>
      </c>
      <c r="M46" s="10" t="s">
        <v>25</v>
      </c>
    </row>
    <row r="47" spans="1:17" ht="16.25" customHeight="1" x14ac:dyDescent="0.3">
      <c r="A47" s="23" t="s">
        <v>2</v>
      </c>
      <c r="B47" s="24">
        <v>45903</v>
      </c>
      <c r="C47" s="25">
        <v>103138</v>
      </c>
      <c r="D47" s="26" t="s">
        <v>26</v>
      </c>
      <c r="E47" s="27">
        <v>601299.75</v>
      </c>
      <c r="F47" s="28" t="s">
        <v>106</v>
      </c>
      <c r="G47" s="29" t="s">
        <v>21</v>
      </c>
      <c r="H47" s="30" t="s">
        <v>107</v>
      </c>
      <c r="I47" s="30" t="s">
        <v>17</v>
      </c>
      <c r="J47" s="30" t="s">
        <v>28</v>
      </c>
      <c r="K47" s="29" t="s">
        <v>17</v>
      </c>
      <c r="L47" s="9" t="s">
        <v>24</v>
      </c>
      <c r="M47" s="10" t="s">
        <v>25</v>
      </c>
    </row>
    <row r="48" spans="1:17" s="33" customFormat="1" ht="15" customHeight="1" x14ac:dyDescent="0.3">
      <c r="A48" s="23" t="s">
        <v>2</v>
      </c>
      <c r="B48" s="35">
        <v>45910</v>
      </c>
      <c r="C48" s="36">
        <v>4968</v>
      </c>
      <c r="D48" s="37" t="s">
        <v>14</v>
      </c>
      <c r="E48" s="38">
        <v>600000</v>
      </c>
      <c r="F48" s="40" t="s">
        <v>104</v>
      </c>
      <c r="G48" s="39" t="s">
        <v>16</v>
      </c>
      <c r="H48" s="39">
        <v>28</v>
      </c>
      <c r="I48" s="30" t="s">
        <v>17</v>
      </c>
      <c r="J48" s="30" t="s">
        <v>17</v>
      </c>
      <c r="K48" s="29">
        <v>39.450000000000003</v>
      </c>
      <c r="L48" s="9" t="s">
        <v>18</v>
      </c>
      <c r="M48" s="32"/>
      <c r="Q48" s="34"/>
    </row>
    <row r="49" spans="1:17" s="33" customFormat="1" ht="15" customHeight="1" x14ac:dyDescent="0.3">
      <c r="A49" s="23" t="s">
        <v>2</v>
      </c>
      <c r="B49" s="35">
        <v>45919</v>
      </c>
      <c r="C49" s="36">
        <v>5200</v>
      </c>
      <c r="D49" s="37" t="s">
        <v>14</v>
      </c>
      <c r="E49" s="38">
        <v>872000</v>
      </c>
      <c r="F49" s="40" t="s">
        <v>104</v>
      </c>
      <c r="G49" s="39" t="s">
        <v>16</v>
      </c>
      <c r="H49" s="39">
        <v>30</v>
      </c>
      <c r="I49" s="30" t="s">
        <v>17</v>
      </c>
      <c r="J49" s="30" t="s">
        <v>17</v>
      </c>
      <c r="K49" s="29">
        <v>45</v>
      </c>
      <c r="L49" s="9" t="s">
        <v>18</v>
      </c>
      <c r="M49" s="32"/>
      <c r="Q49" s="34"/>
    </row>
    <row r="50" spans="1:17" s="33" customFormat="1" ht="15" customHeight="1" x14ac:dyDescent="0.3">
      <c r="A50" s="23" t="s">
        <v>2</v>
      </c>
      <c r="B50" s="35">
        <v>45922</v>
      </c>
      <c r="C50" s="36">
        <v>112</v>
      </c>
      <c r="D50" s="37" t="s">
        <v>108</v>
      </c>
      <c r="E50" s="38">
        <v>60250</v>
      </c>
      <c r="F50" s="40" t="s">
        <v>59</v>
      </c>
      <c r="G50" s="39" t="s">
        <v>21</v>
      </c>
      <c r="H50" s="39" t="s">
        <v>109</v>
      </c>
      <c r="I50" s="30" t="s">
        <v>17</v>
      </c>
      <c r="J50" s="29">
        <v>52</v>
      </c>
      <c r="K50" s="29" t="s">
        <v>17</v>
      </c>
      <c r="L50" s="9" t="s">
        <v>24</v>
      </c>
      <c r="M50" s="10" t="s">
        <v>25</v>
      </c>
      <c r="Q50" s="34"/>
    </row>
    <row r="51" spans="1:17" s="33" customFormat="1" ht="15" customHeight="1" x14ac:dyDescent="0.3">
      <c r="A51" s="23" t="s">
        <v>2</v>
      </c>
      <c r="B51" s="35">
        <v>45923</v>
      </c>
      <c r="C51" s="36">
        <v>153</v>
      </c>
      <c r="D51" s="37" t="s">
        <v>110</v>
      </c>
      <c r="E51" s="38">
        <v>187670</v>
      </c>
      <c r="F51" s="40" t="s">
        <v>59</v>
      </c>
      <c r="G51" s="39" t="s">
        <v>21</v>
      </c>
      <c r="H51" s="39" t="s">
        <v>111</v>
      </c>
      <c r="I51" s="30" t="s">
        <v>17</v>
      </c>
      <c r="J51" s="29">
        <v>51</v>
      </c>
      <c r="K51" s="29" t="s">
        <v>17</v>
      </c>
      <c r="L51" s="9" t="s">
        <v>24</v>
      </c>
      <c r="M51" s="10" t="s">
        <v>25</v>
      </c>
      <c r="Q51" s="34"/>
    </row>
    <row r="52" spans="1:17" s="33" customFormat="1" ht="15" customHeight="1" x14ac:dyDescent="0.3">
      <c r="A52" s="23" t="s">
        <v>2</v>
      </c>
      <c r="B52" s="35">
        <v>45936</v>
      </c>
      <c r="C52" s="36">
        <v>118</v>
      </c>
      <c r="D52" s="37" t="s">
        <v>112</v>
      </c>
      <c r="E52" s="38">
        <v>30080</v>
      </c>
      <c r="F52" s="40" t="s">
        <v>59</v>
      </c>
      <c r="G52" s="39" t="s">
        <v>21</v>
      </c>
      <c r="H52" s="39" t="s">
        <v>113</v>
      </c>
      <c r="I52" s="30" t="s">
        <v>17</v>
      </c>
      <c r="J52" s="29">
        <v>55</v>
      </c>
      <c r="K52" s="29" t="s">
        <v>17</v>
      </c>
      <c r="L52" s="9" t="s">
        <v>24</v>
      </c>
      <c r="M52" s="10" t="s">
        <v>25</v>
      </c>
      <c r="Q52" s="34"/>
    </row>
    <row r="53" spans="1:17" s="33" customFormat="1" ht="15" customHeight="1" x14ac:dyDescent="0.3">
      <c r="A53" s="23" t="s">
        <v>2</v>
      </c>
      <c r="B53" s="35">
        <v>45937</v>
      </c>
      <c r="C53" s="36">
        <v>1582</v>
      </c>
      <c r="D53" s="37" t="s">
        <v>114</v>
      </c>
      <c r="E53" s="38">
        <v>112752</v>
      </c>
      <c r="F53" s="40" t="s">
        <v>115</v>
      </c>
      <c r="G53" s="39" t="s">
        <v>116</v>
      </c>
      <c r="H53" s="39">
        <v>32</v>
      </c>
      <c r="I53" s="30" t="s">
        <v>17</v>
      </c>
      <c r="J53" s="30" t="s">
        <v>117</v>
      </c>
      <c r="K53" s="29"/>
      <c r="L53" s="9" t="s">
        <v>118</v>
      </c>
      <c r="M53" s="32"/>
      <c r="O53" s="41">
        <f>O2+E52+E53-E172-E173-E174-E175-45000-80000-125-1480+E54</f>
        <v>170539</v>
      </c>
      <c r="Q53" s="34"/>
    </row>
    <row r="54" spans="1:17" s="33" customFormat="1" ht="15" customHeight="1" x14ac:dyDescent="0.3">
      <c r="A54" s="23" t="s">
        <v>2</v>
      </c>
      <c r="B54" s="35">
        <v>45938</v>
      </c>
      <c r="C54" s="36">
        <v>1591</v>
      </c>
      <c r="D54" s="37" t="s">
        <v>114</v>
      </c>
      <c r="E54" s="38">
        <v>400000</v>
      </c>
      <c r="F54" s="40" t="s">
        <v>119</v>
      </c>
      <c r="G54" s="39" t="s">
        <v>116</v>
      </c>
      <c r="H54" s="39">
        <v>33</v>
      </c>
      <c r="I54" s="30" t="s">
        <v>17</v>
      </c>
      <c r="J54" s="30"/>
      <c r="K54" s="29"/>
      <c r="L54" s="9" t="s">
        <v>118</v>
      </c>
      <c r="M54" s="32"/>
      <c r="Q54" s="34"/>
    </row>
    <row r="55" spans="1:17" s="33" customFormat="1" ht="15" customHeight="1" x14ac:dyDescent="0.3">
      <c r="A55" s="23" t="s">
        <v>2</v>
      </c>
      <c r="B55" s="24">
        <v>45944</v>
      </c>
      <c r="C55" s="25">
        <v>1139</v>
      </c>
      <c r="D55" s="26" t="s">
        <v>44</v>
      </c>
      <c r="E55" s="27">
        <v>400000</v>
      </c>
      <c r="F55" s="28" t="s">
        <v>120</v>
      </c>
      <c r="G55" s="29" t="s">
        <v>46</v>
      </c>
      <c r="H55" s="30" t="s">
        <v>93</v>
      </c>
      <c r="I55" s="30"/>
      <c r="J55" s="30"/>
      <c r="K55" s="29"/>
      <c r="L55" s="31" t="s">
        <v>48</v>
      </c>
      <c r="M55" s="32"/>
      <c r="Q55" s="34"/>
    </row>
    <row r="56" spans="1:17" ht="15" customHeight="1" x14ac:dyDescent="0.3">
      <c r="A56" s="23" t="s">
        <v>2</v>
      </c>
      <c r="B56" s="24">
        <v>45944</v>
      </c>
      <c r="C56" s="25">
        <v>547</v>
      </c>
      <c r="D56" s="26" t="s">
        <v>97</v>
      </c>
      <c r="E56" s="27">
        <v>18460</v>
      </c>
      <c r="F56" s="28" t="s">
        <v>59</v>
      </c>
      <c r="G56" s="29" t="s">
        <v>21</v>
      </c>
      <c r="H56" s="30" t="s">
        <v>121</v>
      </c>
      <c r="I56" s="30" t="s">
        <v>17</v>
      </c>
      <c r="J56" s="30" t="s">
        <v>122</v>
      </c>
      <c r="K56" s="29" t="s">
        <v>17</v>
      </c>
      <c r="L56" s="9" t="s">
        <v>24</v>
      </c>
      <c r="M56" s="10" t="s">
        <v>25</v>
      </c>
    </row>
    <row r="57" spans="1:17" s="33" customFormat="1" ht="15" customHeight="1" x14ac:dyDescent="0.3">
      <c r="A57" s="23" t="s">
        <v>2</v>
      </c>
      <c r="B57" s="35">
        <v>45945</v>
      </c>
      <c r="C57" s="36">
        <v>174</v>
      </c>
      <c r="D57" s="37" t="s">
        <v>110</v>
      </c>
      <c r="E57" s="38">
        <v>62740</v>
      </c>
      <c r="F57" s="28" t="s">
        <v>59</v>
      </c>
      <c r="G57" s="29" t="s">
        <v>21</v>
      </c>
      <c r="H57" s="39" t="s">
        <v>123</v>
      </c>
      <c r="I57" s="30" t="s">
        <v>17</v>
      </c>
      <c r="J57" s="30" t="s">
        <v>124</v>
      </c>
      <c r="K57" s="29" t="s">
        <v>17</v>
      </c>
      <c r="L57" s="9" t="s">
        <v>24</v>
      </c>
      <c r="M57" s="32" t="s">
        <v>25</v>
      </c>
      <c r="Q57" s="34"/>
    </row>
    <row r="58" spans="1:17" s="33" customFormat="1" ht="15" customHeight="1" x14ac:dyDescent="0.3">
      <c r="A58" s="23" t="s">
        <v>2</v>
      </c>
      <c r="B58" s="24">
        <v>45951</v>
      </c>
      <c r="C58" s="25">
        <v>175</v>
      </c>
      <c r="D58" s="37" t="s">
        <v>110</v>
      </c>
      <c r="E58" s="38">
        <v>18220</v>
      </c>
      <c r="F58" s="28" t="s">
        <v>59</v>
      </c>
      <c r="G58" s="29" t="s">
        <v>21</v>
      </c>
      <c r="H58" s="39" t="s">
        <v>125</v>
      </c>
      <c r="I58" s="30" t="s">
        <v>17</v>
      </c>
      <c r="J58" s="30" t="s">
        <v>126</v>
      </c>
      <c r="K58" s="29" t="s">
        <v>17</v>
      </c>
      <c r="L58" s="9" t="s">
        <v>24</v>
      </c>
      <c r="M58" s="32" t="s">
        <v>25</v>
      </c>
      <c r="Q58" s="34"/>
    </row>
    <row r="59" spans="1:17" s="33" customFormat="1" ht="15" customHeight="1" x14ac:dyDescent="0.3">
      <c r="A59" s="23" t="s">
        <v>2</v>
      </c>
      <c r="B59" s="35">
        <v>45951</v>
      </c>
      <c r="C59" s="36">
        <v>5789</v>
      </c>
      <c r="D59" s="37" t="s">
        <v>14</v>
      </c>
      <c r="E59" s="38">
        <v>954965</v>
      </c>
      <c r="F59" s="40" t="s">
        <v>59</v>
      </c>
      <c r="G59" s="39" t="s">
        <v>16</v>
      </c>
      <c r="H59" s="39">
        <v>35</v>
      </c>
      <c r="I59" s="30" t="s">
        <v>17</v>
      </c>
      <c r="J59" s="30" t="s">
        <v>17</v>
      </c>
      <c r="K59" s="29"/>
      <c r="L59" s="9" t="s">
        <v>24</v>
      </c>
      <c r="M59" s="32"/>
      <c r="Q59" s="34"/>
    </row>
    <row r="60" spans="1:17" s="33" customFormat="1" ht="15" customHeight="1" x14ac:dyDescent="0.3">
      <c r="A60" s="23" t="s">
        <v>2</v>
      </c>
      <c r="B60" s="24">
        <v>45960</v>
      </c>
      <c r="C60" s="25">
        <v>11</v>
      </c>
      <c r="D60" s="26" t="s">
        <v>127</v>
      </c>
      <c r="E60" s="27">
        <v>28000</v>
      </c>
      <c r="F60" s="28" t="s">
        <v>59</v>
      </c>
      <c r="G60" s="29" t="s">
        <v>21</v>
      </c>
      <c r="H60" s="30" t="s">
        <v>128</v>
      </c>
      <c r="I60" s="30" t="s">
        <v>17</v>
      </c>
      <c r="J60" s="30" t="s">
        <v>129</v>
      </c>
      <c r="K60" s="29" t="s">
        <v>17</v>
      </c>
      <c r="L60" s="9" t="s">
        <v>24</v>
      </c>
      <c r="M60" s="32"/>
      <c r="Q60" s="34"/>
    </row>
    <row r="61" spans="1:17" ht="15" customHeight="1" x14ac:dyDescent="0.3">
      <c r="A61" s="23" t="s">
        <v>2</v>
      </c>
      <c r="B61" s="35">
        <v>45972</v>
      </c>
      <c r="C61" s="36">
        <v>582</v>
      </c>
      <c r="D61" s="37" t="s">
        <v>130</v>
      </c>
      <c r="E61" s="38">
        <v>14000</v>
      </c>
      <c r="F61" s="37" t="s">
        <v>59</v>
      </c>
      <c r="G61" s="39" t="s">
        <v>21</v>
      </c>
      <c r="H61" s="39" t="s">
        <v>131</v>
      </c>
      <c r="I61" s="30"/>
      <c r="J61" s="30" t="s">
        <v>132</v>
      </c>
      <c r="K61" s="29"/>
      <c r="L61" s="9" t="s">
        <v>24</v>
      </c>
    </row>
    <row r="62" spans="1:17" ht="15" customHeight="1" x14ac:dyDescent="0.3">
      <c r="A62" s="42" t="s">
        <v>2</v>
      </c>
      <c r="B62" s="35">
        <v>45982</v>
      </c>
      <c r="C62" s="36">
        <v>183</v>
      </c>
      <c r="D62" s="37" t="s">
        <v>133</v>
      </c>
      <c r="E62" s="38">
        <v>5950</v>
      </c>
      <c r="F62" s="37" t="s">
        <v>134</v>
      </c>
      <c r="G62" s="39" t="s">
        <v>135</v>
      </c>
      <c r="H62" s="39">
        <v>1307</v>
      </c>
      <c r="I62" s="39" t="s">
        <v>17</v>
      </c>
      <c r="J62" s="39" t="s">
        <v>17</v>
      </c>
      <c r="K62" s="39" t="s">
        <v>17</v>
      </c>
      <c r="L62" s="9" t="s">
        <v>136</v>
      </c>
    </row>
    <row r="63" spans="1:17" ht="15" customHeight="1" x14ac:dyDescent="0.3">
      <c r="A63" s="23" t="s">
        <v>2</v>
      </c>
      <c r="B63" s="35">
        <v>45988</v>
      </c>
      <c r="C63" s="36">
        <v>360</v>
      </c>
      <c r="D63" s="37" t="s">
        <v>137</v>
      </c>
      <c r="E63" s="38">
        <v>320000</v>
      </c>
      <c r="F63" s="37" t="s">
        <v>138</v>
      </c>
      <c r="G63" s="39" t="s">
        <v>21</v>
      </c>
      <c r="H63" s="39">
        <v>37</v>
      </c>
      <c r="I63" s="30"/>
      <c r="J63" s="30"/>
      <c r="K63" s="29"/>
      <c r="L63" s="9" t="s">
        <v>24</v>
      </c>
    </row>
    <row r="64" spans="1:17" ht="15" customHeight="1" x14ac:dyDescent="0.3">
      <c r="A64" s="23" t="s">
        <v>2</v>
      </c>
      <c r="B64" s="35">
        <v>45989</v>
      </c>
      <c r="C64" s="36">
        <v>6422</v>
      </c>
      <c r="D64" s="37" t="s">
        <v>14</v>
      </c>
      <c r="E64" s="38">
        <v>500000</v>
      </c>
      <c r="F64" s="40" t="s">
        <v>104</v>
      </c>
      <c r="G64" s="39" t="s">
        <v>16</v>
      </c>
      <c r="H64" s="39">
        <v>36</v>
      </c>
      <c r="I64" s="30" t="s">
        <v>17</v>
      </c>
      <c r="J64" s="30" t="s">
        <v>17</v>
      </c>
      <c r="K64" s="29"/>
      <c r="L64" s="9" t="s">
        <v>18</v>
      </c>
    </row>
    <row r="65" spans="1:17" ht="13.75" customHeight="1" x14ac:dyDescent="0.3">
      <c r="A65" s="23" t="s">
        <v>2</v>
      </c>
      <c r="B65" s="24">
        <v>45993</v>
      </c>
      <c r="C65" s="36">
        <v>2640</v>
      </c>
      <c r="D65" s="26" t="s">
        <v>139</v>
      </c>
      <c r="E65" s="27">
        <v>34830</v>
      </c>
      <c r="F65" s="28" t="s">
        <v>140</v>
      </c>
      <c r="G65" s="29" t="s">
        <v>21</v>
      </c>
      <c r="H65" s="30" t="s">
        <v>141</v>
      </c>
      <c r="I65" s="30" t="s">
        <v>17</v>
      </c>
      <c r="J65" s="30" t="s">
        <v>17</v>
      </c>
      <c r="K65" s="30" t="s">
        <v>17</v>
      </c>
      <c r="L65" s="9" t="s">
        <v>136</v>
      </c>
    </row>
    <row r="66" spans="1:17" s="33" customFormat="1" ht="13.75" customHeight="1" x14ac:dyDescent="0.3">
      <c r="A66" s="23" t="s">
        <v>94</v>
      </c>
      <c r="B66" s="24">
        <v>45995</v>
      </c>
      <c r="C66" s="25">
        <v>1301</v>
      </c>
      <c r="D66" s="26" t="s">
        <v>44</v>
      </c>
      <c r="E66" s="27">
        <v>94596</v>
      </c>
      <c r="F66" s="28" t="s">
        <v>142</v>
      </c>
      <c r="G66" s="29" t="s">
        <v>46</v>
      </c>
      <c r="H66" s="30" t="s">
        <v>100</v>
      </c>
      <c r="I66" s="30" t="s">
        <v>17</v>
      </c>
      <c r="J66" s="30" t="s">
        <v>17</v>
      </c>
      <c r="K66" s="29"/>
      <c r="L66" s="31" t="s">
        <v>48</v>
      </c>
      <c r="M66" s="32"/>
      <c r="Q66" s="34"/>
    </row>
    <row r="67" spans="1:17" ht="15" customHeight="1" x14ac:dyDescent="0.3">
      <c r="A67" s="23" t="s">
        <v>2</v>
      </c>
      <c r="B67" s="35">
        <v>46014</v>
      </c>
      <c r="C67" s="36">
        <v>6828</v>
      </c>
      <c r="D67" s="37" t="s">
        <v>14</v>
      </c>
      <c r="E67" s="38">
        <v>500000</v>
      </c>
      <c r="F67" s="40" t="s">
        <v>104</v>
      </c>
      <c r="G67" s="39" t="s">
        <v>16</v>
      </c>
      <c r="H67" s="39">
        <v>36</v>
      </c>
      <c r="I67" s="30" t="s">
        <v>17</v>
      </c>
      <c r="J67" s="30" t="s">
        <v>17</v>
      </c>
      <c r="K67" s="29"/>
      <c r="L67" s="9" t="s">
        <v>18</v>
      </c>
    </row>
    <row r="68" spans="1:17" s="33" customFormat="1" ht="24.75" customHeight="1" x14ac:dyDescent="0.3">
      <c r="A68" s="23"/>
      <c r="B68" s="43"/>
      <c r="C68" s="44"/>
      <c r="D68" s="45" t="s">
        <v>143</v>
      </c>
      <c r="E68" s="46">
        <f>SUM(E3:E67)</f>
        <v>21356233.75</v>
      </c>
      <c r="G68" s="23"/>
      <c r="H68" s="47"/>
      <c r="I68" s="23"/>
      <c r="J68" s="23"/>
      <c r="K68" s="23"/>
      <c r="L68" s="23"/>
      <c r="M68" s="23"/>
      <c r="N68" s="48"/>
    </row>
    <row r="69" spans="1:17" ht="15" customHeight="1" x14ac:dyDescent="0.3">
      <c r="E69" s="52">
        <f>SUBTOTAL(9,E18:E67)</f>
        <v>15949998.75</v>
      </c>
    </row>
    <row r="70" spans="1:17" s="33" customFormat="1" ht="15" customHeight="1" x14ac:dyDescent="0.3">
      <c r="A70" s="23"/>
      <c r="B70" s="2" t="s">
        <v>144</v>
      </c>
      <c r="C70" s="3"/>
      <c r="D70" s="53"/>
      <c r="E70" s="5"/>
      <c r="F70" s="6"/>
      <c r="G70" s="7"/>
      <c r="H70" s="8"/>
      <c r="I70" s="7"/>
      <c r="J70" s="7"/>
      <c r="K70" s="7"/>
      <c r="L70" s="54"/>
      <c r="M70" s="48"/>
      <c r="Q70" s="34"/>
    </row>
    <row r="71" spans="1:17" s="57" customFormat="1" ht="15" customHeight="1" x14ac:dyDescent="0.35">
      <c r="A71" s="13"/>
      <c r="B71" s="14" t="s">
        <v>1</v>
      </c>
      <c r="C71" s="15" t="s">
        <v>5</v>
      </c>
      <c r="D71" s="16" t="s">
        <v>6</v>
      </c>
      <c r="E71" s="17" t="s">
        <v>7</v>
      </c>
      <c r="F71" s="18" t="s">
        <v>8</v>
      </c>
      <c r="G71" s="19" t="s">
        <v>9</v>
      </c>
      <c r="H71" s="20" t="s">
        <v>10</v>
      </c>
      <c r="I71" s="19" t="s">
        <v>11</v>
      </c>
      <c r="J71" s="19" t="s">
        <v>12</v>
      </c>
      <c r="K71" s="19" t="s">
        <v>13</v>
      </c>
      <c r="L71" s="55"/>
      <c r="M71" s="56"/>
      <c r="Q71" s="58"/>
    </row>
    <row r="72" spans="1:17" s="33" customFormat="1" ht="14.4" customHeight="1" x14ac:dyDescent="0.3">
      <c r="A72" s="23" t="s">
        <v>2</v>
      </c>
      <c r="B72" s="24">
        <v>45672</v>
      </c>
      <c r="C72" s="25">
        <v>5</v>
      </c>
      <c r="D72" s="26" t="s">
        <v>30</v>
      </c>
      <c r="E72" s="27">
        <v>850000</v>
      </c>
      <c r="F72" s="28" t="s">
        <v>145</v>
      </c>
      <c r="G72" s="29" t="s">
        <v>32</v>
      </c>
      <c r="H72" s="30" t="s">
        <v>17</v>
      </c>
      <c r="I72" s="30" t="s">
        <v>17</v>
      </c>
      <c r="J72" s="30" t="s">
        <v>17</v>
      </c>
      <c r="K72" s="30" t="s">
        <v>17</v>
      </c>
      <c r="L72" s="31"/>
      <c r="M72" s="48"/>
      <c r="Q72" s="34"/>
    </row>
    <row r="73" spans="1:17" s="33" customFormat="1" ht="28.25" customHeight="1" x14ac:dyDescent="0.3">
      <c r="A73" s="23" t="s">
        <v>2</v>
      </c>
      <c r="B73" s="24">
        <v>45673</v>
      </c>
      <c r="C73" s="25">
        <v>4</v>
      </c>
      <c r="D73" s="26" t="s">
        <v>146</v>
      </c>
      <c r="E73" s="27">
        <v>24000</v>
      </c>
      <c r="F73" s="28" t="s">
        <v>147</v>
      </c>
      <c r="G73" s="29" t="s">
        <v>32</v>
      </c>
      <c r="H73" s="29">
        <v>3</v>
      </c>
      <c r="I73" s="39" t="s">
        <v>25</v>
      </c>
      <c r="J73" s="39" t="s">
        <v>25</v>
      </c>
      <c r="K73" s="39" t="s">
        <v>25</v>
      </c>
      <c r="L73" s="31"/>
      <c r="M73" s="48"/>
      <c r="Q73" s="34"/>
    </row>
    <row r="74" spans="1:17" s="33" customFormat="1" ht="14.4" customHeight="1" x14ac:dyDescent="0.3">
      <c r="A74" s="23" t="s">
        <v>2</v>
      </c>
      <c r="B74" s="24">
        <v>45673</v>
      </c>
      <c r="C74" s="25">
        <v>2</v>
      </c>
      <c r="D74" s="26" t="s">
        <v>148</v>
      </c>
      <c r="E74" s="27">
        <v>45590</v>
      </c>
      <c r="F74" s="28" t="s">
        <v>149</v>
      </c>
      <c r="G74" s="29" t="s">
        <v>32</v>
      </c>
      <c r="H74" s="29">
        <v>4779312</v>
      </c>
      <c r="I74" s="30" t="s">
        <v>25</v>
      </c>
      <c r="J74" s="30"/>
      <c r="K74" s="59" t="s">
        <v>25</v>
      </c>
      <c r="L74" s="31"/>
      <c r="M74" s="48"/>
      <c r="Q74" s="34"/>
    </row>
    <row r="75" spans="1:17" s="33" customFormat="1" ht="14.4" customHeight="1" x14ac:dyDescent="0.3">
      <c r="A75" s="23" t="s">
        <v>2</v>
      </c>
      <c r="B75" s="24">
        <v>45673</v>
      </c>
      <c r="C75" s="25">
        <v>7</v>
      </c>
      <c r="D75" s="26" t="s">
        <v>150</v>
      </c>
      <c r="E75" s="27">
        <v>1000</v>
      </c>
      <c r="F75" s="28" t="s">
        <v>151</v>
      </c>
      <c r="G75" s="29" t="s">
        <v>21</v>
      </c>
      <c r="H75" s="29">
        <v>7840</v>
      </c>
      <c r="I75" s="30" t="s">
        <v>17</v>
      </c>
      <c r="J75" s="30" t="s">
        <v>17</v>
      </c>
      <c r="K75" s="59">
        <v>8285</v>
      </c>
      <c r="L75" s="31"/>
      <c r="M75" s="48"/>
      <c r="Q75" s="34"/>
    </row>
    <row r="76" spans="1:17" s="33" customFormat="1" ht="14.4" customHeight="1" x14ac:dyDescent="0.3">
      <c r="A76" s="23" t="s">
        <v>2</v>
      </c>
      <c r="B76" s="24">
        <v>45673</v>
      </c>
      <c r="C76" s="25">
        <v>8</v>
      </c>
      <c r="D76" s="26" t="s">
        <v>148</v>
      </c>
      <c r="E76" s="27">
        <v>100</v>
      </c>
      <c r="F76" s="28" t="s">
        <v>152</v>
      </c>
      <c r="G76" s="29" t="s">
        <v>32</v>
      </c>
      <c r="H76" s="29">
        <v>4791569</v>
      </c>
      <c r="I76" s="30" t="s">
        <v>25</v>
      </c>
      <c r="J76" s="30"/>
      <c r="K76" s="59" t="s">
        <v>25</v>
      </c>
      <c r="L76" s="31"/>
      <c r="M76" s="48"/>
      <c r="Q76" s="34"/>
    </row>
    <row r="77" spans="1:17" s="33" customFormat="1" ht="15.65" customHeight="1" x14ac:dyDescent="0.3">
      <c r="A77" s="23" t="s">
        <v>3</v>
      </c>
      <c r="B77" s="24">
        <v>45673</v>
      </c>
      <c r="C77" s="25">
        <v>1</v>
      </c>
      <c r="D77" s="26" t="s">
        <v>153</v>
      </c>
      <c r="E77" s="27">
        <v>12000</v>
      </c>
      <c r="F77" s="28" t="s">
        <v>154</v>
      </c>
      <c r="G77" s="29" t="s">
        <v>32</v>
      </c>
      <c r="H77" s="29" t="s">
        <v>17</v>
      </c>
      <c r="I77" s="29" t="s">
        <v>17</v>
      </c>
      <c r="J77" s="29" t="s">
        <v>17</v>
      </c>
      <c r="K77" s="29" t="s">
        <v>17</v>
      </c>
      <c r="L77" s="31"/>
      <c r="M77" s="48"/>
      <c r="Q77" s="34"/>
    </row>
    <row r="78" spans="1:17" s="33" customFormat="1" ht="14.4" customHeight="1" x14ac:dyDescent="0.3">
      <c r="A78" s="23" t="s">
        <v>2</v>
      </c>
      <c r="B78" s="24">
        <v>45676</v>
      </c>
      <c r="C78" s="25">
        <v>10</v>
      </c>
      <c r="D78" s="26" t="s">
        <v>155</v>
      </c>
      <c r="E78" s="27">
        <v>100000</v>
      </c>
      <c r="F78" s="28" t="s">
        <v>156</v>
      </c>
      <c r="G78" s="29" t="s">
        <v>32</v>
      </c>
      <c r="H78" s="30" t="s">
        <v>17</v>
      </c>
      <c r="I78" s="30" t="s">
        <v>17</v>
      </c>
      <c r="J78" s="30" t="s">
        <v>17</v>
      </c>
      <c r="K78" s="30" t="s">
        <v>17</v>
      </c>
      <c r="L78" s="31"/>
      <c r="M78" s="48"/>
      <c r="Q78" s="34"/>
    </row>
    <row r="79" spans="1:17" s="33" customFormat="1" ht="42" customHeight="1" x14ac:dyDescent="0.3">
      <c r="A79" s="23" t="s">
        <v>2</v>
      </c>
      <c r="B79" s="24">
        <v>45706</v>
      </c>
      <c r="C79" s="25">
        <v>11</v>
      </c>
      <c r="D79" s="26" t="s">
        <v>146</v>
      </c>
      <c r="E79" s="27">
        <v>10000</v>
      </c>
      <c r="F79" s="28" t="s">
        <v>157</v>
      </c>
      <c r="G79" s="29" t="s">
        <v>32</v>
      </c>
      <c r="H79" s="29">
        <v>19</v>
      </c>
      <c r="I79" s="39" t="s">
        <v>25</v>
      </c>
      <c r="J79" s="39" t="s">
        <v>25</v>
      </c>
      <c r="K79" s="39" t="s">
        <v>25</v>
      </c>
      <c r="L79" s="31"/>
      <c r="M79" s="48"/>
      <c r="Q79" s="34"/>
    </row>
    <row r="80" spans="1:17" ht="42" customHeight="1" x14ac:dyDescent="0.3">
      <c r="A80" s="23" t="s">
        <v>2</v>
      </c>
      <c r="B80" s="60">
        <v>45721</v>
      </c>
      <c r="C80" s="61">
        <v>12</v>
      </c>
      <c r="D80" s="26" t="s">
        <v>158</v>
      </c>
      <c r="E80" s="27">
        <v>143286.35999999999</v>
      </c>
      <c r="F80" s="28" t="s">
        <v>159</v>
      </c>
      <c r="G80" s="29" t="s">
        <v>21</v>
      </c>
      <c r="H80" s="30" t="s">
        <v>160</v>
      </c>
      <c r="I80" s="62">
        <v>719</v>
      </c>
      <c r="J80" s="62">
        <v>719</v>
      </c>
      <c r="K80" s="63" t="s">
        <v>17</v>
      </c>
    </row>
    <row r="81" spans="1:17" x14ac:dyDescent="0.3">
      <c r="A81" s="23" t="s">
        <v>2</v>
      </c>
      <c r="B81" s="35">
        <v>45721</v>
      </c>
      <c r="C81" s="36">
        <v>13</v>
      </c>
      <c r="D81" s="26" t="s">
        <v>161</v>
      </c>
      <c r="E81" s="27">
        <v>118000</v>
      </c>
      <c r="F81" s="28" t="s">
        <v>162</v>
      </c>
      <c r="G81" s="29" t="s">
        <v>32</v>
      </c>
      <c r="H81" s="30" t="s">
        <v>17</v>
      </c>
      <c r="I81" s="30" t="s">
        <v>17</v>
      </c>
      <c r="J81" s="30" t="s">
        <v>17</v>
      </c>
      <c r="K81" s="30" t="s">
        <v>17</v>
      </c>
    </row>
    <row r="82" spans="1:17" ht="14.4" customHeight="1" x14ac:dyDescent="0.3">
      <c r="A82" s="23" t="s">
        <v>2</v>
      </c>
      <c r="B82" s="35">
        <v>45721</v>
      </c>
      <c r="C82" s="36">
        <v>15</v>
      </c>
      <c r="D82" s="26" t="s">
        <v>30</v>
      </c>
      <c r="E82" s="27">
        <v>200000</v>
      </c>
      <c r="F82" s="28" t="s">
        <v>145</v>
      </c>
      <c r="G82" s="29" t="s">
        <v>32</v>
      </c>
      <c r="H82" s="30" t="s">
        <v>17</v>
      </c>
      <c r="I82" s="30" t="s">
        <v>17</v>
      </c>
      <c r="J82" s="30" t="s">
        <v>17</v>
      </c>
      <c r="K82" s="30" t="s">
        <v>17</v>
      </c>
    </row>
    <row r="83" spans="1:17" x14ac:dyDescent="0.3">
      <c r="A83" s="42" t="s">
        <v>3</v>
      </c>
      <c r="B83" s="35">
        <v>45721</v>
      </c>
      <c r="C83" s="36">
        <v>4</v>
      </c>
      <c r="D83" s="37" t="s">
        <v>163</v>
      </c>
      <c r="E83" s="38">
        <v>8610</v>
      </c>
      <c r="F83" s="37" t="s">
        <v>164</v>
      </c>
      <c r="G83" s="39" t="s">
        <v>32</v>
      </c>
      <c r="H83" s="39" t="s">
        <v>17</v>
      </c>
      <c r="I83" s="39" t="s">
        <v>17</v>
      </c>
      <c r="J83" s="39" t="s">
        <v>17</v>
      </c>
      <c r="K83" s="39" t="s">
        <v>17</v>
      </c>
    </row>
    <row r="84" spans="1:17" x14ac:dyDescent="0.3">
      <c r="A84" s="42" t="s">
        <v>3</v>
      </c>
      <c r="B84" s="35">
        <v>45721</v>
      </c>
      <c r="C84" s="36">
        <v>5</v>
      </c>
      <c r="D84" s="37" t="s">
        <v>163</v>
      </c>
      <c r="E84" s="38">
        <v>200</v>
      </c>
      <c r="F84" s="37" t="s">
        <v>165</v>
      </c>
      <c r="G84" s="39" t="s">
        <v>32</v>
      </c>
      <c r="H84" s="39" t="s">
        <v>17</v>
      </c>
      <c r="I84" s="39" t="s">
        <v>17</v>
      </c>
      <c r="J84" s="39" t="s">
        <v>17</v>
      </c>
      <c r="K84" s="39" t="s">
        <v>17</v>
      </c>
    </row>
    <row r="85" spans="1:17" x14ac:dyDescent="0.3">
      <c r="A85" s="23" t="s">
        <v>2</v>
      </c>
      <c r="B85" s="35">
        <v>45733</v>
      </c>
      <c r="C85" s="36">
        <v>19</v>
      </c>
      <c r="D85" s="26" t="s">
        <v>161</v>
      </c>
      <c r="E85" s="27">
        <v>1500</v>
      </c>
      <c r="F85" s="28" t="s">
        <v>162</v>
      </c>
      <c r="G85" s="29" t="s">
        <v>32</v>
      </c>
      <c r="H85" s="30" t="s">
        <v>17</v>
      </c>
      <c r="I85" s="30" t="s">
        <v>17</v>
      </c>
      <c r="J85" s="30" t="s">
        <v>17</v>
      </c>
      <c r="K85" s="30" t="s">
        <v>17</v>
      </c>
    </row>
    <row r="86" spans="1:17" x14ac:dyDescent="0.3">
      <c r="A86" s="42" t="s">
        <v>2</v>
      </c>
      <c r="B86" s="35">
        <v>45733</v>
      </c>
      <c r="C86" s="36">
        <v>17</v>
      </c>
      <c r="D86" s="37" t="s">
        <v>166</v>
      </c>
      <c r="E86" s="38">
        <v>451900</v>
      </c>
      <c r="F86" s="37" t="s">
        <v>59</v>
      </c>
      <c r="G86" s="39" t="s">
        <v>21</v>
      </c>
      <c r="H86" s="39">
        <v>8465</v>
      </c>
      <c r="I86" s="39" t="s">
        <v>167</v>
      </c>
      <c r="J86" s="39" t="s">
        <v>167</v>
      </c>
      <c r="K86" s="30" t="s">
        <v>17</v>
      </c>
      <c r="L86" s="9" t="s">
        <v>24</v>
      </c>
    </row>
    <row r="87" spans="1:17" ht="42.65" customHeight="1" x14ac:dyDescent="0.3">
      <c r="A87" s="23" t="s">
        <v>2</v>
      </c>
      <c r="B87" s="35">
        <v>45733</v>
      </c>
      <c r="C87" s="36">
        <v>18</v>
      </c>
      <c r="D87" s="26" t="s">
        <v>146</v>
      </c>
      <c r="E87" s="27">
        <v>16500</v>
      </c>
      <c r="F87" s="28" t="s">
        <v>168</v>
      </c>
      <c r="G87" s="29" t="s">
        <v>32</v>
      </c>
      <c r="H87" s="39">
        <v>28</v>
      </c>
      <c r="I87" s="39" t="s">
        <v>25</v>
      </c>
      <c r="J87" s="39" t="s">
        <v>25</v>
      </c>
      <c r="K87" s="39" t="s">
        <v>25</v>
      </c>
    </row>
    <row r="88" spans="1:17" ht="15" customHeight="1" x14ac:dyDescent="0.3">
      <c r="A88" s="23" t="s">
        <v>2</v>
      </c>
      <c r="B88" s="35">
        <v>45733</v>
      </c>
      <c r="C88" s="36">
        <v>21</v>
      </c>
      <c r="D88" s="26" t="s">
        <v>30</v>
      </c>
      <c r="E88" s="27">
        <v>600000</v>
      </c>
      <c r="F88" s="28" t="s">
        <v>145</v>
      </c>
      <c r="G88" s="29" t="s">
        <v>32</v>
      </c>
      <c r="H88" s="30" t="s">
        <v>17</v>
      </c>
      <c r="I88" s="30" t="s">
        <v>17</v>
      </c>
      <c r="J88" s="30" t="s">
        <v>17</v>
      </c>
      <c r="K88" s="30" t="s">
        <v>17</v>
      </c>
    </row>
    <row r="89" spans="1:17" x14ac:dyDescent="0.3">
      <c r="A89" s="23" t="s">
        <v>2</v>
      </c>
      <c r="B89" s="35">
        <v>45734</v>
      </c>
      <c r="C89" s="36">
        <v>22</v>
      </c>
      <c r="D89" s="26" t="s">
        <v>161</v>
      </c>
      <c r="E89" s="27">
        <v>92000</v>
      </c>
      <c r="F89" s="28" t="s">
        <v>162</v>
      </c>
      <c r="G89" s="29" t="s">
        <v>32</v>
      </c>
      <c r="H89" s="30" t="s">
        <v>17</v>
      </c>
      <c r="I89" s="30" t="s">
        <v>17</v>
      </c>
      <c r="J89" s="30" t="s">
        <v>17</v>
      </c>
      <c r="K89" s="30" t="s">
        <v>17</v>
      </c>
    </row>
    <row r="90" spans="1:17" ht="13.75" customHeight="1" x14ac:dyDescent="0.3">
      <c r="A90" s="23" t="s">
        <v>2</v>
      </c>
      <c r="B90" s="35">
        <v>45735</v>
      </c>
      <c r="C90" s="36">
        <v>23</v>
      </c>
      <c r="D90" s="26" t="s">
        <v>30</v>
      </c>
      <c r="E90" s="27">
        <v>200000</v>
      </c>
      <c r="F90" s="28" t="s">
        <v>145</v>
      </c>
      <c r="G90" s="29" t="s">
        <v>32</v>
      </c>
      <c r="H90" s="30" t="s">
        <v>17</v>
      </c>
      <c r="I90" s="30" t="s">
        <v>17</v>
      </c>
      <c r="J90" s="30" t="s">
        <v>17</v>
      </c>
      <c r="K90" s="30" t="s">
        <v>17</v>
      </c>
    </row>
    <row r="91" spans="1:17" ht="28.75" customHeight="1" x14ac:dyDescent="0.3">
      <c r="A91" s="23" t="s">
        <v>2</v>
      </c>
      <c r="B91" s="35">
        <v>45748</v>
      </c>
      <c r="C91" s="36">
        <v>24</v>
      </c>
      <c r="D91" s="26" t="s">
        <v>146</v>
      </c>
      <c r="E91" s="27">
        <v>14000</v>
      </c>
      <c r="F91" s="28" t="s">
        <v>169</v>
      </c>
      <c r="G91" s="29" t="s">
        <v>32</v>
      </c>
      <c r="H91" s="39">
        <v>35</v>
      </c>
      <c r="I91" s="39" t="s">
        <v>25</v>
      </c>
      <c r="J91" s="39" t="s">
        <v>25</v>
      </c>
      <c r="K91" s="39" t="s">
        <v>25</v>
      </c>
    </row>
    <row r="92" spans="1:17" ht="15.65" customHeight="1" x14ac:dyDescent="0.3">
      <c r="A92" s="42" t="s">
        <v>2</v>
      </c>
      <c r="B92" s="35">
        <v>45748</v>
      </c>
      <c r="C92" s="36">
        <v>25</v>
      </c>
      <c r="D92" s="37" t="s">
        <v>170</v>
      </c>
      <c r="E92" s="38">
        <v>5000</v>
      </c>
      <c r="F92" s="37" t="s">
        <v>171</v>
      </c>
      <c r="G92" s="39" t="s">
        <v>32</v>
      </c>
      <c r="H92" s="39" t="s">
        <v>17</v>
      </c>
      <c r="I92" s="39" t="s">
        <v>25</v>
      </c>
      <c r="J92" s="39"/>
      <c r="K92" s="39"/>
    </row>
    <row r="93" spans="1:17" s="33" customFormat="1" ht="15.65" customHeight="1" x14ac:dyDescent="0.3">
      <c r="A93" s="23" t="s">
        <v>3</v>
      </c>
      <c r="B93" s="24">
        <v>45748</v>
      </c>
      <c r="C93" s="25">
        <v>9</v>
      </c>
      <c r="D93" s="26" t="s">
        <v>153</v>
      </c>
      <c r="E93" s="27">
        <v>12000</v>
      </c>
      <c r="F93" s="28" t="s">
        <v>154</v>
      </c>
      <c r="G93" s="29" t="s">
        <v>32</v>
      </c>
      <c r="H93" s="29" t="s">
        <v>17</v>
      </c>
      <c r="I93" s="29" t="s">
        <v>17</v>
      </c>
      <c r="J93" s="29" t="s">
        <v>17</v>
      </c>
      <c r="K93" s="29" t="s">
        <v>17</v>
      </c>
      <c r="L93" s="31"/>
      <c r="M93" s="48"/>
      <c r="Q93" s="34"/>
    </row>
    <row r="94" spans="1:17" s="33" customFormat="1" ht="14.4" customHeight="1" x14ac:dyDescent="0.3">
      <c r="A94" s="23" t="s">
        <v>3</v>
      </c>
      <c r="B94" s="24">
        <v>45749</v>
      </c>
      <c r="C94" s="25">
        <v>10</v>
      </c>
      <c r="D94" s="26" t="s">
        <v>150</v>
      </c>
      <c r="E94" s="27">
        <v>1350</v>
      </c>
      <c r="F94" s="28" t="s">
        <v>172</v>
      </c>
      <c r="G94" s="29" t="s">
        <v>21</v>
      </c>
      <c r="H94" s="29">
        <v>1387</v>
      </c>
      <c r="I94" s="30" t="s">
        <v>17</v>
      </c>
      <c r="J94" s="30" t="s">
        <v>17</v>
      </c>
      <c r="K94" s="59">
        <v>1628</v>
      </c>
      <c r="L94" s="31"/>
      <c r="M94" s="48"/>
      <c r="Q94" s="34"/>
    </row>
    <row r="95" spans="1:17" x14ac:dyDescent="0.3">
      <c r="A95" s="23" t="s">
        <v>2</v>
      </c>
      <c r="B95" s="35">
        <v>45757</v>
      </c>
      <c r="C95" s="36">
        <v>26</v>
      </c>
      <c r="D95" s="26" t="s">
        <v>161</v>
      </c>
      <c r="E95" s="27">
        <v>100</v>
      </c>
      <c r="F95" s="28" t="s">
        <v>162</v>
      </c>
      <c r="G95" s="29" t="s">
        <v>32</v>
      </c>
      <c r="H95" s="30" t="s">
        <v>17</v>
      </c>
      <c r="I95" s="30" t="s">
        <v>17</v>
      </c>
      <c r="J95" s="30" t="s">
        <v>17</v>
      </c>
      <c r="K95" s="30" t="s">
        <v>17</v>
      </c>
    </row>
    <row r="96" spans="1:17" ht="15" customHeight="1" x14ac:dyDescent="0.3">
      <c r="A96" s="23" t="s">
        <v>2</v>
      </c>
      <c r="B96" s="35">
        <v>45763</v>
      </c>
      <c r="C96" s="36">
        <v>27</v>
      </c>
      <c r="D96" s="26" t="s">
        <v>30</v>
      </c>
      <c r="E96" s="27">
        <v>450000</v>
      </c>
      <c r="F96" s="28" t="s">
        <v>145</v>
      </c>
      <c r="G96" s="29" t="s">
        <v>32</v>
      </c>
      <c r="H96" s="30" t="s">
        <v>17</v>
      </c>
      <c r="I96" s="30" t="s">
        <v>17</v>
      </c>
      <c r="J96" s="30" t="s">
        <v>17</v>
      </c>
      <c r="K96" s="30" t="s">
        <v>17</v>
      </c>
    </row>
    <row r="97" spans="1:17" x14ac:dyDescent="0.3">
      <c r="A97" s="42" t="s">
        <v>2</v>
      </c>
      <c r="B97" s="35">
        <v>45771</v>
      </c>
      <c r="C97" s="36">
        <v>29</v>
      </c>
      <c r="D97" s="37" t="s">
        <v>166</v>
      </c>
      <c r="E97" s="38">
        <v>339510</v>
      </c>
      <c r="F97" s="37" t="s">
        <v>59</v>
      </c>
      <c r="G97" s="39" t="s">
        <v>21</v>
      </c>
      <c r="H97" s="39">
        <v>13823</v>
      </c>
      <c r="I97" s="39" t="s">
        <v>173</v>
      </c>
      <c r="J97" s="39" t="s">
        <v>174</v>
      </c>
      <c r="K97" s="30" t="s">
        <v>17</v>
      </c>
      <c r="L97" s="9" t="s">
        <v>24</v>
      </c>
    </row>
    <row r="98" spans="1:17" x14ac:dyDescent="0.3">
      <c r="A98" s="42" t="s">
        <v>2</v>
      </c>
      <c r="B98" s="35">
        <v>45771</v>
      </c>
      <c r="C98" s="36">
        <v>28</v>
      </c>
      <c r="D98" s="37" t="s">
        <v>166</v>
      </c>
      <c r="E98" s="38">
        <v>18070</v>
      </c>
      <c r="F98" s="37" t="s">
        <v>59</v>
      </c>
      <c r="G98" s="39" t="s">
        <v>21</v>
      </c>
      <c r="H98" s="39">
        <v>10056</v>
      </c>
      <c r="I98" s="39" t="s">
        <v>175</v>
      </c>
      <c r="J98" s="39" t="s">
        <v>173</v>
      </c>
      <c r="K98" s="30" t="s">
        <v>17</v>
      </c>
      <c r="L98" s="9" t="s">
        <v>24</v>
      </c>
    </row>
    <row r="99" spans="1:17" ht="42.65" customHeight="1" x14ac:dyDescent="0.3">
      <c r="A99" s="42" t="s">
        <v>2</v>
      </c>
      <c r="B99" s="35">
        <v>45782</v>
      </c>
      <c r="C99" s="36">
        <v>31</v>
      </c>
      <c r="D99" s="26" t="s">
        <v>146</v>
      </c>
      <c r="E99" s="38">
        <v>21500</v>
      </c>
      <c r="F99" s="51" t="s">
        <v>176</v>
      </c>
      <c r="G99" s="39" t="s">
        <v>32</v>
      </c>
      <c r="H99" s="39">
        <v>44</v>
      </c>
      <c r="I99" s="39" t="s">
        <v>25</v>
      </c>
      <c r="J99" s="39" t="s">
        <v>25</v>
      </c>
      <c r="K99" s="39" t="s">
        <v>25</v>
      </c>
    </row>
    <row r="100" spans="1:17" s="33" customFormat="1" ht="14.4" customHeight="1" x14ac:dyDescent="0.3">
      <c r="A100" s="23" t="s">
        <v>2</v>
      </c>
      <c r="B100" s="24">
        <v>45782</v>
      </c>
      <c r="C100" s="25">
        <v>30</v>
      </c>
      <c r="D100" s="26" t="s">
        <v>150</v>
      </c>
      <c r="E100" s="27">
        <v>2970</v>
      </c>
      <c r="F100" s="28" t="s">
        <v>177</v>
      </c>
      <c r="G100" s="29" t="s">
        <v>21</v>
      </c>
      <c r="H100" s="29">
        <v>2212</v>
      </c>
      <c r="I100" s="30" t="s">
        <v>17</v>
      </c>
      <c r="J100" s="30" t="s">
        <v>17</v>
      </c>
      <c r="K100" s="59">
        <v>1628</v>
      </c>
      <c r="L100" s="31"/>
      <c r="M100" s="48"/>
      <c r="Q100" s="34"/>
    </row>
    <row r="101" spans="1:17" s="33" customFormat="1" ht="28.25" customHeight="1" x14ac:dyDescent="0.3">
      <c r="A101" s="23" t="s">
        <v>3</v>
      </c>
      <c r="B101" s="24">
        <v>45783</v>
      </c>
      <c r="C101" s="25">
        <v>11</v>
      </c>
      <c r="D101" s="26" t="s">
        <v>153</v>
      </c>
      <c r="E101" s="27">
        <v>12000</v>
      </c>
      <c r="F101" s="28" t="s">
        <v>178</v>
      </c>
      <c r="G101" s="29" t="s">
        <v>32</v>
      </c>
      <c r="H101" s="29" t="s">
        <v>17</v>
      </c>
      <c r="I101" s="29" t="s">
        <v>17</v>
      </c>
      <c r="J101" s="29" t="s">
        <v>17</v>
      </c>
      <c r="K101" s="29" t="s">
        <v>17</v>
      </c>
      <c r="L101" s="31"/>
      <c r="M101" s="48"/>
      <c r="Q101" s="34"/>
    </row>
    <row r="102" spans="1:17" s="33" customFormat="1" ht="13.25" customHeight="1" x14ac:dyDescent="0.3">
      <c r="A102" s="23" t="s">
        <v>3</v>
      </c>
      <c r="B102" s="24">
        <v>45783</v>
      </c>
      <c r="C102" s="25">
        <v>12</v>
      </c>
      <c r="D102" s="26" t="s">
        <v>153</v>
      </c>
      <c r="E102" s="27">
        <v>4200</v>
      </c>
      <c r="F102" s="28" t="s">
        <v>179</v>
      </c>
      <c r="G102" s="29" t="s">
        <v>32</v>
      </c>
      <c r="H102" s="29" t="s">
        <v>17</v>
      </c>
      <c r="I102" s="29" t="s">
        <v>17</v>
      </c>
      <c r="J102" s="29" t="s">
        <v>17</v>
      </c>
      <c r="K102" s="29" t="s">
        <v>17</v>
      </c>
      <c r="L102" s="31"/>
      <c r="M102" s="48"/>
      <c r="Q102" s="34"/>
    </row>
    <row r="103" spans="1:17" s="33" customFormat="1" ht="43.75" customHeight="1" x14ac:dyDescent="0.3">
      <c r="A103" s="23" t="s">
        <v>2</v>
      </c>
      <c r="B103" s="24">
        <v>45784</v>
      </c>
      <c r="C103" s="64">
        <v>33</v>
      </c>
      <c r="D103" s="26" t="s">
        <v>180</v>
      </c>
      <c r="E103" s="27">
        <v>147000</v>
      </c>
      <c r="F103" s="28" t="s">
        <v>181</v>
      </c>
      <c r="G103" s="29" t="s">
        <v>21</v>
      </c>
      <c r="H103" s="29">
        <v>1552</v>
      </c>
      <c r="I103" s="29">
        <v>1556</v>
      </c>
      <c r="J103" s="29">
        <v>1556</v>
      </c>
      <c r="K103" s="29" t="s">
        <v>17</v>
      </c>
      <c r="L103" s="65">
        <f>(140-110)*990</f>
        <v>29700</v>
      </c>
      <c r="M103" s="66" t="s">
        <v>182</v>
      </c>
      <c r="Q103" s="34"/>
    </row>
    <row r="104" spans="1:17" ht="17.399999999999999" customHeight="1" x14ac:dyDescent="0.3">
      <c r="A104" s="42" t="s">
        <v>2</v>
      </c>
      <c r="B104" s="35">
        <v>45784</v>
      </c>
      <c r="C104" s="36">
        <v>34</v>
      </c>
      <c r="D104" s="37" t="s">
        <v>166</v>
      </c>
      <c r="E104" s="38">
        <v>400000</v>
      </c>
      <c r="F104" s="37" t="s">
        <v>183</v>
      </c>
      <c r="G104" s="39" t="s">
        <v>21</v>
      </c>
      <c r="H104" s="39">
        <v>16784</v>
      </c>
      <c r="I104" s="39" t="s">
        <v>184</v>
      </c>
      <c r="J104" s="39" t="s">
        <v>184</v>
      </c>
      <c r="K104" s="30" t="s">
        <v>17</v>
      </c>
      <c r="L104" s="9" t="s">
        <v>24</v>
      </c>
    </row>
    <row r="105" spans="1:17" ht="25.75" customHeight="1" x14ac:dyDescent="0.3">
      <c r="A105" s="42" t="s">
        <v>2</v>
      </c>
      <c r="B105" s="35">
        <v>45791</v>
      </c>
      <c r="C105" s="36">
        <v>36</v>
      </c>
      <c r="D105" s="37" t="s">
        <v>170</v>
      </c>
      <c r="E105" s="38">
        <v>5000</v>
      </c>
      <c r="F105" s="37" t="s">
        <v>171</v>
      </c>
      <c r="G105" s="39" t="s">
        <v>32</v>
      </c>
      <c r="H105" s="39" t="s">
        <v>17</v>
      </c>
      <c r="I105" s="39" t="s">
        <v>25</v>
      </c>
      <c r="J105" s="39"/>
      <c r="K105" s="39"/>
    </row>
    <row r="106" spans="1:17" ht="15" customHeight="1" x14ac:dyDescent="0.3">
      <c r="A106" s="42" t="s">
        <v>2</v>
      </c>
      <c r="B106" s="35">
        <v>45796</v>
      </c>
      <c r="C106" s="36">
        <v>37</v>
      </c>
      <c r="D106" s="37" t="s">
        <v>166</v>
      </c>
      <c r="E106" s="38">
        <v>150000</v>
      </c>
      <c r="F106" s="37" t="s">
        <v>185</v>
      </c>
      <c r="G106" s="39" t="s">
        <v>21</v>
      </c>
      <c r="H106" s="39">
        <v>16784</v>
      </c>
      <c r="I106" s="39" t="s">
        <v>184</v>
      </c>
      <c r="J106" s="39" t="s">
        <v>184</v>
      </c>
      <c r="K106" s="30" t="s">
        <v>17</v>
      </c>
      <c r="L106" s="9" t="s">
        <v>24</v>
      </c>
    </row>
    <row r="107" spans="1:17" ht="15" customHeight="1" x14ac:dyDescent="0.3">
      <c r="A107" s="42" t="s">
        <v>2</v>
      </c>
      <c r="B107" s="35">
        <v>45800</v>
      </c>
      <c r="C107" s="36">
        <v>40</v>
      </c>
      <c r="D107" s="37" t="s">
        <v>166</v>
      </c>
      <c r="E107" s="38">
        <v>90000</v>
      </c>
      <c r="F107" s="37" t="s">
        <v>186</v>
      </c>
      <c r="G107" s="39" t="s">
        <v>21</v>
      </c>
      <c r="H107" s="39">
        <v>16784</v>
      </c>
      <c r="I107" s="39" t="s">
        <v>184</v>
      </c>
      <c r="J107" s="39" t="s">
        <v>184</v>
      </c>
      <c r="K107" s="30" t="s">
        <v>17</v>
      </c>
      <c r="L107" s="9" t="s">
        <v>24</v>
      </c>
    </row>
    <row r="108" spans="1:17" x14ac:dyDescent="0.3">
      <c r="A108" s="23" t="s">
        <v>2</v>
      </c>
      <c r="B108" s="35">
        <v>45800</v>
      </c>
      <c r="C108" s="36">
        <v>41</v>
      </c>
      <c r="D108" s="26" t="s">
        <v>161</v>
      </c>
      <c r="E108" s="27">
        <v>50000</v>
      </c>
      <c r="F108" s="28" t="s">
        <v>187</v>
      </c>
      <c r="G108" s="29" t="s">
        <v>32</v>
      </c>
      <c r="H108" s="30" t="s">
        <v>17</v>
      </c>
      <c r="I108" s="30" t="s">
        <v>17</v>
      </c>
      <c r="J108" s="30" t="s">
        <v>17</v>
      </c>
      <c r="K108" s="30" t="s">
        <v>17</v>
      </c>
    </row>
    <row r="109" spans="1:17" ht="55.75" customHeight="1" x14ac:dyDescent="0.3">
      <c r="A109" s="23" t="s">
        <v>2</v>
      </c>
      <c r="B109" s="35">
        <v>45803</v>
      </c>
      <c r="C109" s="36">
        <v>42</v>
      </c>
      <c r="D109" s="26" t="s">
        <v>146</v>
      </c>
      <c r="E109" s="27">
        <v>13000</v>
      </c>
      <c r="F109" s="28" t="s">
        <v>188</v>
      </c>
      <c r="G109" s="29" t="s">
        <v>32</v>
      </c>
      <c r="H109" s="39">
        <v>52</v>
      </c>
      <c r="I109" s="39" t="s">
        <v>25</v>
      </c>
      <c r="J109" s="39" t="s">
        <v>25</v>
      </c>
      <c r="K109" s="39" t="s">
        <v>25</v>
      </c>
    </row>
    <row r="110" spans="1:17" s="33" customFormat="1" ht="14.4" customHeight="1" x14ac:dyDescent="0.3">
      <c r="A110" s="23" t="s">
        <v>2</v>
      </c>
      <c r="B110" s="35">
        <v>45803</v>
      </c>
      <c r="C110" s="64">
        <v>44</v>
      </c>
      <c r="D110" s="26" t="s">
        <v>189</v>
      </c>
      <c r="E110" s="27">
        <v>10000</v>
      </c>
      <c r="F110" s="28" t="s">
        <v>190</v>
      </c>
      <c r="G110" s="29" t="s">
        <v>32</v>
      </c>
      <c r="H110" s="30" t="s">
        <v>191</v>
      </c>
      <c r="I110" s="30"/>
      <c r="J110" s="30"/>
      <c r="K110" s="30"/>
      <c r="L110" s="67"/>
      <c r="M110" s="23"/>
      <c r="N110" s="48"/>
    </row>
    <row r="111" spans="1:17" s="33" customFormat="1" ht="14.4" customHeight="1" x14ac:dyDescent="0.3">
      <c r="A111" s="23" t="s">
        <v>2</v>
      </c>
      <c r="B111" s="35">
        <v>45803</v>
      </c>
      <c r="C111" s="64">
        <v>43</v>
      </c>
      <c r="D111" s="26" t="s">
        <v>189</v>
      </c>
      <c r="E111" s="27">
        <v>7700</v>
      </c>
      <c r="F111" s="28" t="s">
        <v>192</v>
      </c>
      <c r="G111" s="29" t="s">
        <v>32</v>
      </c>
      <c r="H111" s="30" t="s">
        <v>193</v>
      </c>
      <c r="I111" s="30"/>
      <c r="J111" s="30"/>
      <c r="K111" s="30"/>
      <c r="L111" s="67"/>
      <c r="M111" s="23"/>
      <c r="N111" s="48"/>
    </row>
    <row r="112" spans="1:17" s="33" customFormat="1" ht="28.25" customHeight="1" x14ac:dyDescent="0.3">
      <c r="A112" s="23" t="s">
        <v>3</v>
      </c>
      <c r="B112" s="24">
        <v>45803</v>
      </c>
      <c r="C112" s="25">
        <v>13</v>
      </c>
      <c r="D112" s="26" t="s">
        <v>153</v>
      </c>
      <c r="E112" s="27">
        <v>960</v>
      </c>
      <c r="F112" s="28" t="s">
        <v>194</v>
      </c>
      <c r="G112" s="29" t="s">
        <v>32</v>
      </c>
      <c r="H112" s="29" t="s">
        <v>17</v>
      </c>
      <c r="I112" s="29" t="s">
        <v>17</v>
      </c>
      <c r="J112" s="29" t="s">
        <v>17</v>
      </c>
      <c r="K112" s="29" t="s">
        <v>17</v>
      </c>
      <c r="L112" s="31"/>
      <c r="M112" s="48"/>
      <c r="Q112" s="34"/>
    </row>
    <row r="113" spans="1:17" x14ac:dyDescent="0.3">
      <c r="A113" s="42" t="s">
        <v>2</v>
      </c>
      <c r="B113" s="35">
        <v>45804</v>
      </c>
      <c r="C113" s="36">
        <v>45</v>
      </c>
      <c r="D113" s="37" t="s">
        <v>166</v>
      </c>
      <c r="E113" s="38">
        <v>118275</v>
      </c>
      <c r="F113" s="37" t="s">
        <v>55</v>
      </c>
      <c r="G113" s="39" t="s">
        <v>21</v>
      </c>
      <c r="H113" s="39">
        <v>16784</v>
      </c>
      <c r="I113" s="39" t="s">
        <v>184</v>
      </c>
      <c r="J113" s="39" t="s">
        <v>184</v>
      </c>
      <c r="K113" s="30" t="s">
        <v>17</v>
      </c>
      <c r="L113" s="9" t="s">
        <v>24</v>
      </c>
    </row>
    <row r="114" spans="1:17" x14ac:dyDescent="0.3">
      <c r="A114" s="23" t="s">
        <v>2</v>
      </c>
      <c r="B114" s="35">
        <v>45804</v>
      </c>
      <c r="C114" s="36">
        <v>46</v>
      </c>
      <c r="D114" s="26" t="s">
        <v>161</v>
      </c>
      <c r="E114" s="27">
        <v>40000</v>
      </c>
      <c r="F114" s="28" t="s">
        <v>187</v>
      </c>
      <c r="G114" s="29" t="s">
        <v>32</v>
      </c>
      <c r="H114" s="30" t="s">
        <v>17</v>
      </c>
      <c r="I114" s="30" t="s">
        <v>17</v>
      </c>
      <c r="J114" s="30" t="s">
        <v>17</v>
      </c>
      <c r="K114" s="30" t="s">
        <v>17</v>
      </c>
    </row>
    <row r="115" spans="1:17" s="33" customFormat="1" ht="16.25" customHeight="1" x14ac:dyDescent="0.3">
      <c r="A115" s="23" t="s">
        <v>2</v>
      </c>
      <c r="B115" s="60">
        <v>45813</v>
      </c>
      <c r="C115" s="68">
        <v>47</v>
      </c>
      <c r="D115" s="26" t="s">
        <v>195</v>
      </c>
      <c r="E115" s="27">
        <v>34800</v>
      </c>
      <c r="F115" s="28" t="s">
        <v>196</v>
      </c>
      <c r="G115" s="29" t="s">
        <v>197</v>
      </c>
      <c r="H115" s="30"/>
      <c r="I115" s="30" t="s">
        <v>17</v>
      </c>
      <c r="J115" s="30" t="s">
        <v>198</v>
      </c>
      <c r="K115" s="30" t="s">
        <v>17</v>
      </c>
      <c r="L115" s="67" t="s">
        <v>24</v>
      </c>
      <c r="M115" s="23"/>
      <c r="N115" s="48"/>
    </row>
    <row r="116" spans="1:17" ht="28.25" customHeight="1" x14ac:dyDescent="0.3">
      <c r="A116" s="23" t="s">
        <v>2</v>
      </c>
      <c r="B116" s="60">
        <v>45813</v>
      </c>
      <c r="C116" s="61">
        <v>48</v>
      </c>
      <c r="D116" s="26" t="s">
        <v>158</v>
      </c>
      <c r="E116" s="27">
        <v>56202</v>
      </c>
      <c r="F116" s="28" t="s">
        <v>199</v>
      </c>
      <c r="G116" s="29" t="s">
        <v>21</v>
      </c>
      <c r="H116" s="30" t="s">
        <v>200</v>
      </c>
      <c r="I116" s="63"/>
      <c r="J116" s="63"/>
      <c r="K116" s="63" t="s">
        <v>17</v>
      </c>
      <c r="L116" s="9" t="s">
        <v>201</v>
      </c>
    </row>
    <row r="117" spans="1:17" s="33" customFormat="1" ht="14.4" customHeight="1" x14ac:dyDescent="0.3">
      <c r="A117" s="23" t="s">
        <v>2</v>
      </c>
      <c r="B117" s="24">
        <v>45813</v>
      </c>
      <c r="C117" s="25">
        <v>49</v>
      </c>
      <c r="D117" s="26" t="s">
        <v>150</v>
      </c>
      <c r="E117" s="27">
        <v>13500</v>
      </c>
      <c r="F117" s="28" t="s">
        <v>202</v>
      </c>
      <c r="G117" s="29" t="s">
        <v>21</v>
      </c>
      <c r="H117" s="29">
        <v>2757</v>
      </c>
      <c r="I117" s="30" t="s">
        <v>17</v>
      </c>
      <c r="J117" s="30" t="s">
        <v>17</v>
      </c>
      <c r="K117" s="59"/>
      <c r="L117" s="31"/>
      <c r="M117" s="48"/>
      <c r="Q117" s="34"/>
    </row>
    <row r="118" spans="1:17" x14ac:dyDescent="0.3">
      <c r="A118" s="23" t="s">
        <v>2</v>
      </c>
      <c r="B118" s="35">
        <v>45814</v>
      </c>
      <c r="C118" s="36">
        <v>50</v>
      </c>
      <c r="D118" s="26" t="s">
        <v>161</v>
      </c>
      <c r="E118" s="27">
        <v>300000</v>
      </c>
      <c r="F118" s="28" t="s">
        <v>187</v>
      </c>
      <c r="G118" s="29" t="s">
        <v>32</v>
      </c>
      <c r="H118" s="30" t="s">
        <v>17</v>
      </c>
      <c r="I118" s="30" t="s">
        <v>17</v>
      </c>
      <c r="J118" s="30" t="s">
        <v>17</v>
      </c>
      <c r="K118" s="30" t="s">
        <v>17</v>
      </c>
    </row>
    <row r="119" spans="1:17" x14ac:dyDescent="0.3">
      <c r="A119" s="23" t="s">
        <v>2</v>
      </c>
      <c r="B119" s="35">
        <v>45814</v>
      </c>
      <c r="C119" s="36">
        <v>51</v>
      </c>
      <c r="D119" s="26" t="s">
        <v>30</v>
      </c>
      <c r="E119" s="27">
        <v>500000</v>
      </c>
      <c r="F119" s="28" t="s">
        <v>145</v>
      </c>
      <c r="G119" s="29" t="s">
        <v>32</v>
      </c>
      <c r="H119" s="30" t="s">
        <v>17</v>
      </c>
      <c r="I119" s="30" t="s">
        <v>17</v>
      </c>
      <c r="J119" s="30" t="s">
        <v>17</v>
      </c>
      <c r="K119" s="30" t="s">
        <v>17</v>
      </c>
    </row>
    <row r="120" spans="1:17" x14ac:dyDescent="0.3">
      <c r="A120" s="23" t="s">
        <v>2</v>
      </c>
      <c r="B120" s="35">
        <v>45819</v>
      </c>
      <c r="C120" s="36">
        <v>53</v>
      </c>
      <c r="D120" s="26" t="s">
        <v>161</v>
      </c>
      <c r="E120" s="27">
        <v>120000</v>
      </c>
      <c r="F120" s="28" t="s">
        <v>187</v>
      </c>
      <c r="G120" s="29" t="s">
        <v>32</v>
      </c>
      <c r="H120" s="30" t="s">
        <v>17</v>
      </c>
      <c r="I120" s="30" t="s">
        <v>17</v>
      </c>
      <c r="J120" s="30" t="s">
        <v>17</v>
      </c>
      <c r="K120" s="30" t="s">
        <v>17</v>
      </c>
    </row>
    <row r="121" spans="1:17" s="33" customFormat="1" ht="14.4" customHeight="1" x14ac:dyDescent="0.3">
      <c r="A121" s="23" t="s">
        <v>2</v>
      </c>
      <c r="B121" s="24">
        <v>45819</v>
      </c>
      <c r="C121" s="64">
        <v>55</v>
      </c>
      <c r="D121" s="26" t="s">
        <v>203</v>
      </c>
      <c r="E121" s="27">
        <v>279600</v>
      </c>
      <c r="F121" s="28" t="s">
        <v>204</v>
      </c>
      <c r="G121" s="29" t="s">
        <v>21</v>
      </c>
      <c r="H121" s="30" t="s">
        <v>205</v>
      </c>
      <c r="I121" s="30" t="s">
        <v>17</v>
      </c>
      <c r="J121" s="30" t="s">
        <v>206</v>
      </c>
      <c r="K121" s="30" t="s">
        <v>17</v>
      </c>
      <c r="L121" s="23"/>
      <c r="M121" s="23"/>
      <c r="N121" s="48"/>
    </row>
    <row r="122" spans="1:17" x14ac:dyDescent="0.3">
      <c r="A122" s="23" t="s">
        <v>2</v>
      </c>
      <c r="B122" s="35">
        <v>45819</v>
      </c>
      <c r="C122" s="36">
        <v>54</v>
      </c>
      <c r="D122" s="26" t="s">
        <v>161</v>
      </c>
      <c r="E122" s="27">
        <v>145000</v>
      </c>
      <c r="F122" s="28" t="s">
        <v>187</v>
      </c>
      <c r="G122" s="29" t="s">
        <v>32</v>
      </c>
      <c r="H122" s="30" t="s">
        <v>17</v>
      </c>
      <c r="I122" s="30" t="s">
        <v>17</v>
      </c>
      <c r="J122" s="30" t="s">
        <v>17</v>
      </c>
      <c r="K122" s="30" t="s">
        <v>17</v>
      </c>
    </row>
    <row r="123" spans="1:17" ht="13.75" customHeight="1" x14ac:dyDescent="0.3">
      <c r="A123" s="23" t="s">
        <v>2</v>
      </c>
      <c r="B123" s="35">
        <v>45824</v>
      </c>
      <c r="C123" s="36">
        <v>56</v>
      </c>
      <c r="D123" s="26" t="s">
        <v>30</v>
      </c>
      <c r="E123" s="27">
        <v>80000</v>
      </c>
      <c r="F123" s="28" t="s">
        <v>145</v>
      </c>
      <c r="G123" s="29" t="s">
        <v>32</v>
      </c>
      <c r="H123" s="39" t="s">
        <v>17</v>
      </c>
      <c r="I123" s="39" t="s">
        <v>17</v>
      </c>
      <c r="J123" s="39" t="s">
        <v>17</v>
      </c>
      <c r="K123" s="39" t="s">
        <v>17</v>
      </c>
    </row>
    <row r="124" spans="1:17" ht="13.75" customHeight="1" x14ac:dyDescent="0.3">
      <c r="A124" s="23" t="s">
        <v>2</v>
      </c>
      <c r="B124" s="35">
        <v>45826</v>
      </c>
      <c r="C124" s="36">
        <v>57</v>
      </c>
      <c r="D124" s="26" t="s">
        <v>30</v>
      </c>
      <c r="E124" s="27">
        <v>500000</v>
      </c>
      <c r="F124" s="28" t="s">
        <v>145</v>
      </c>
      <c r="G124" s="29" t="s">
        <v>32</v>
      </c>
      <c r="H124" s="30" t="s">
        <v>17</v>
      </c>
      <c r="I124" s="30" t="s">
        <v>17</v>
      </c>
      <c r="J124" s="30" t="s">
        <v>17</v>
      </c>
      <c r="K124" s="30" t="s">
        <v>17</v>
      </c>
    </row>
    <row r="125" spans="1:17" ht="13.75" customHeight="1" x14ac:dyDescent="0.3">
      <c r="A125" s="23" t="s">
        <v>2</v>
      </c>
      <c r="B125" s="35">
        <v>45827</v>
      </c>
      <c r="C125" s="36">
        <v>59</v>
      </c>
      <c r="D125" s="26" t="s">
        <v>30</v>
      </c>
      <c r="E125" s="27">
        <v>130000</v>
      </c>
      <c r="F125" s="28" t="s">
        <v>145</v>
      </c>
      <c r="G125" s="29" t="s">
        <v>32</v>
      </c>
      <c r="H125" s="30" t="s">
        <v>17</v>
      </c>
      <c r="I125" s="30" t="s">
        <v>17</v>
      </c>
      <c r="J125" s="30" t="s">
        <v>17</v>
      </c>
      <c r="K125" s="30" t="s">
        <v>17</v>
      </c>
    </row>
    <row r="126" spans="1:17" ht="13.75" customHeight="1" x14ac:dyDescent="0.3">
      <c r="A126" s="42" t="s">
        <v>3</v>
      </c>
      <c r="B126" s="35">
        <v>45827</v>
      </c>
      <c r="C126" s="36">
        <v>15</v>
      </c>
      <c r="D126" s="37" t="s">
        <v>163</v>
      </c>
      <c r="E126" s="38">
        <v>4500</v>
      </c>
      <c r="F126" s="37" t="s">
        <v>164</v>
      </c>
      <c r="G126" s="39" t="s">
        <v>32</v>
      </c>
      <c r="H126" s="39" t="s">
        <v>17</v>
      </c>
      <c r="I126" s="39" t="s">
        <v>17</v>
      </c>
      <c r="J126" s="39" t="s">
        <v>17</v>
      </c>
      <c r="K126" s="39" t="s">
        <v>17</v>
      </c>
    </row>
    <row r="127" spans="1:17" ht="13.75" customHeight="1" x14ac:dyDescent="0.3">
      <c r="A127" s="23" t="s">
        <v>2</v>
      </c>
      <c r="B127" s="35">
        <v>45831</v>
      </c>
      <c r="C127" s="36">
        <v>60</v>
      </c>
      <c r="D127" s="26" t="s">
        <v>30</v>
      </c>
      <c r="E127" s="27">
        <v>600000</v>
      </c>
      <c r="F127" s="28" t="s">
        <v>145</v>
      </c>
      <c r="G127" s="29" t="s">
        <v>32</v>
      </c>
      <c r="H127" s="30" t="s">
        <v>17</v>
      </c>
      <c r="I127" s="30" t="s">
        <v>17</v>
      </c>
      <c r="J127" s="30" t="s">
        <v>17</v>
      </c>
      <c r="K127" s="30" t="s">
        <v>17</v>
      </c>
    </row>
    <row r="128" spans="1:17" ht="13.75" customHeight="1" x14ac:dyDescent="0.3">
      <c r="A128" s="23" t="s">
        <v>2</v>
      </c>
      <c r="B128" s="35">
        <v>45757</v>
      </c>
      <c r="C128" s="36">
        <v>61</v>
      </c>
      <c r="D128" s="26" t="s">
        <v>161</v>
      </c>
      <c r="E128" s="27">
        <v>77650</v>
      </c>
      <c r="F128" s="28" t="s">
        <v>162</v>
      </c>
      <c r="G128" s="29" t="s">
        <v>32</v>
      </c>
      <c r="H128" s="30" t="s">
        <v>17</v>
      </c>
      <c r="I128" s="30" t="s">
        <v>17</v>
      </c>
      <c r="J128" s="30" t="s">
        <v>17</v>
      </c>
      <c r="K128" s="30" t="s">
        <v>17</v>
      </c>
    </row>
    <row r="129" spans="1:17" ht="13.75" customHeight="1" x14ac:dyDescent="0.3">
      <c r="A129" s="23" t="s">
        <v>2</v>
      </c>
      <c r="B129" s="35">
        <v>45834</v>
      </c>
      <c r="C129" s="36">
        <v>63</v>
      </c>
      <c r="D129" s="26" t="s">
        <v>30</v>
      </c>
      <c r="E129" s="27">
        <v>200000</v>
      </c>
      <c r="F129" s="28" t="s">
        <v>145</v>
      </c>
      <c r="G129" s="29" t="s">
        <v>32</v>
      </c>
      <c r="H129" s="30" t="s">
        <v>17</v>
      </c>
      <c r="I129" s="30" t="s">
        <v>17</v>
      </c>
      <c r="J129" s="30" t="s">
        <v>17</v>
      </c>
      <c r="K129" s="30" t="s">
        <v>17</v>
      </c>
    </row>
    <row r="130" spans="1:17" s="33" customFormat="1" ht="56.4" customHeight="1" x14ac:dyDescent="0.3">
      <c r="A130" s="23" t="s">
        <v>2</v>
      </c>
      <c r="B130" s="24">
        <v>45835</v>
      </c>
      <c r="C130" s="64">
        <v>65</v>
      </c>
      <c r="D130" s="26" t="s">
        <v>207</v>
      </c>
      <c r="E130" s="27">
        <v>154676</v>
      </c>
      <c r="F130" s="28" t="s">
        <v>208</v>
      </c>
      <c r="G130" s="29" t="s">
        <v>21</v>
      </c>
      <c r="H130" s="29">
        <v>3681</v>
      </c>
      <c r="I130" s="29" t="s">
        <v>209</v>
      </c>
      <c r="J130" s="29" t="s">
        <v>209</v>
      </c>
      <c r="K130" s="29" t="s">
        <v>17</v>
      </c>
      <c r="L130" s="23"/>
      <c r="M130" s="23"/>
      <c r="N130" s="48"/>
    </row>
    <row r="131" spans="1:17" ht="13.75" customHeight="1" x14ac:dyDescent="0.3">
      <c r="A131" s="23" t="s">
        <v>2</v>
      </c>
      <c r="B131" s="35">
        <v>45838</v>
      </c>
      <c r="C131" s="36">
        <v>66</v>
      </c>
      <c r="D131" s="26" t="s">
        <v>30</v>
      </c>
      <c r="E131" s="27">
        <v>640000</v>
      </c>
      <c r="F131" s="28" t="s">
        <v>145</v>
      </c>
      <c r="G131" s="29" t="s">
        <v>32</v>
      </c>
      <c r="H131" s="30" t="s">
        <v>17</v>
      </c>
      <c r="I131" s="30" t="s">
        <v>17</v>
      </c>
      <c r="J131" s="30" t="s">
        <v>17</v>
      </c>
      <c r="K131" s="30" t="s">
        <v>17</v>
      </c>
    </row>
    <row r="132" spans="1:17" s="33" customFormat="1" ht="13.75" customHeight="1" x14ac:dyDescent="0.3">
      <c r="A132" s="23" t="s">
        <v>2</v>
      </c>
      <c r="B132" s="24">
        <v>45840</v>
      </c>
      <c r="C132" s="25">
        <v>67</v>
      </c>
      <c r="D132" s="26" t="s">
        <v>150</v>
      </c>
      <c r="E132" s="27">
        <v>2700</v>
      </c>
      <c r="F132" s="28" t="s">
        <v>210</v>
      </c>
      <c r="G132" s="29" t="s">
        <v>21</v>
      </c>
      <c r="H132" s="29"/>
      <c r="I132" s="30" t="s">
        <v>17</v>
      </c>
      <c r="J132" s="30" t="s">
        <v>17</v>
      </c>
      <c r="K132" s="59"/>
      <c r="L132" s="31"/>
      <c r="M132" s="48"/>
      <c r="Q132" s="34"/>
    </row>
    <row r="133" spans="1:17" ht="13.75" customHeight="1" x14ac:dyDescent="0.3">
      <c r="A133" s="23" t="s">
        <v>2</v>
      </c>
      <c r="B133" s="35">
        <v>45846</v>
      </c>
      <c r="C133" s="36">
        <v>69</v>
      </c>
      <c r="D133" s="26" t="s">
        <v>161</v>
      </c>
      <c r="E133" s="27">
        <v>80000</v>
      </c>
      <c r="F133" s="28" t="s">
        <v>162</v>
      </c>
      <c r="G133" s="29" t="s">
        <v>32</v>
      </c>
      <c r="H133" s="30" t="s">
        <v>17</v>
      </c>
      <c r="I133" s="30" t="s">
        <v>17</v>
      </c>
      <c r="J133" s="30" t="s">
        <v>17</v>
      </c>
      <c r="K133" s="30" t="s">
        <v>17</v>
      </c>
    </row>
    <row r="134" spans="1:17" s="33" customFormat="1" ht="13.75" customHeight="1" x14ac:dyDescent="0.3">
      <c r="A134" s="23" t="s">
        <v>2</v>
      </c>
      <c r="B134" s="24">
        <v>45848</v>
      </c>
      <c r="C134" s="64">
        <v>70</v>
      </c>
      <c r="D134" s="26" t="s">
        <v>203</v>
      </c>
      <c r="E134" s="27">
        <v>39810</v>
      </c>
      <c r="F134" s="28" t="s">
        <v>211</v>
      </c>
      <c r="G134" s="29" t="s">
        <v>21</v>
      </c>
      <c r="H134" s="30" t="s">
        <v>212</v>
      </c>
      <c r="I134" s="30" t="s">
        <v>17</v>
      </c>
      <c r="J134" s="30" t="s">
        <v>213</v>
      </c>
      <c r="K134" s="30" t="s">
        <v>17</v>
      </c>
      <c r="L134" s="23"/>
      <c r="M134" s="23"/>
      <c r="N134" s="48"/>
    </row>
    <row r="135" spans="1:17" ht="13.75" customHeight="1" x14ac:dyDescent="0.3">
      <c r="A135" s="23" t="s">
        <v>2</v>
      </c>
      <c r="B135" s="35">
        <v>45852</v>
      </c>
      <c r="C135" s="36">
        <v>72</v>
      </c>
      <c r="D135" s="26" t="s">
        <v>30</v>
      </c>
      <c r="E135" s="27">
        <v>350000</v>
      </c>
      <c r="F135" s="28" t="s">
        <v>145</v>
      </c>
      <c r="G135" s="29" t="s">
        <v>32</v>
      </c>
      <c r="H135" s="30" t="s">
        <v>17</v>
      </c>
      <c r="I135" s="30" t="s">
        <v>17</v>
      </c>
      <c r="J135" s="30" t="s">
        <v>17</v>
      </c>
      <c r="K135" s="30" t="s">
        <v>17</v>
      </c>
    </row>
    <row r="136" spans="1:17" ht="30" customHeight="1" x14ac:dyDescent="0.3">
      <c r="A136" s="42" t="s">
        <v>2</v>
      </c>
      <c r="B136" s="24">
        <v>45853</v>
      </c>
      <c r="C136" s="64">
        <v>73</v>
      </c>
      <c r="D136" s="26" t="s">
        <v>214</v>
      </c>
      <c r="E136" s="27">
        <v>58700</v>
      </c>
      <c r="F136" s="28" t="s">
        <v>215</v>
      </c>
      <c r="G136" s="29" t="s">
        <v>46</v>
      </c>
      <c r="H136" s="39">
        <v>50</v>
      </c>
      <c r="I136" s="39"/>
      <c r="J136" s="39"/>
      <c r="K136" s="39"/>
    </row>
    <row r="137" spans="1:17" ht="16.75" customHeight="1" x14ac:dyDescent="0.3">
      <c r="A137" s="23" t="s">
        <v>2</v>
      </c>
      <c r="B137" s="35">
        <v>45857</v>
      </c>
      <c r="C137" s="36">
        <v>74</v>
      </c>
      <c r="D137" s="26" t="s">
        <v>30</v>
      </c>
      <c r="E137" s="27">
        <v>350000</v>
      </c>
      <c r="F137" s="28" t="s">
        <v>145</v>
      </c>
      <c r="G137" s="29" t="s">
        <v>32</v>
      </c>
      <c r="H137" s="30" t="s">
        <v>17</v>
      </c>
      <c r="I137" s="30" t="s">
        <v>17</v>
      </c>
      <c r="J137" s="30" t="s">
        <v>17</v>
      </c>
      <c r="K137" s="30" t="s">
        <v>17</v>
      </c>
    </row>
    <row r="138" spans="1:17" ht="14.4" customHeight="1" x14ac:dyDescent="0.3">
      <c r="A138" s="42" t="s">
        <v>2</v>
      </c>
      <c r="B138" s="35">
        <v>45868</v>
      </c>
      <c r="C138" s="36">
        <v>76</v>
      </c>
      <c r="D138" s="37" t="s">
        <v>170</v>
      </c>
      <c r="E138" s="38">
        <v>10000</v>
      </c>
      <c r="F138" s="37" t="s">
        <v>171</v>
      </c>
      <c r="G138" s="39" t="s">
        <v>32</v>
      </c>
      <c r="H138" s="39" t="s">
        <v>17</v>
      </c>
      <c r="I138" s="39" t="s">
        <v>25</v>
      </c>
      <c r="J138" s="39"/>
      <c r="K138" s="39"/>
    </row>
    <row r="139" spans="1:17" x14ac:dyDescent="0.3">
      <c r="A139" s="23" t="s">
        <v>2</v>
      </c>
      <c r="B139" s="35">
        <v>45868</v>
      </c>
      <c r="C139" s="36">
        <v>77</v>
      </c>
      <c r="D139" s="26" t="s">
        <v>161</v>
      </c>
      <c r="E139" s="27">
        <v>78000</v>
      </c>
      <c r="F139" s="28" t="s">
        <v>162</v>
      </c>
      <c r="G139" s="29" t="s">
        <v>32</v>
      </c>
      <c r="H139" s="30" t="s">
        <v>17</v>
      </c>
      <c r="I139" s="30" t="s">
        <v>17</v>
      </c>
      <c r="J139" s="30" t="s">
        <v>17</v>
      </c>
      <c r="K139" s="30" t="s">
        <v>17</v>
      </c>
    </row>
    <row r="140" spans="1:17" s="33" customFormat="1" ht="28.25" customHeight="1" x14ac:dyDescent="0.3">
      <c r="A140" s="23" t="s">
        <v>2</v>
      </c>
      <c r="B140" s="24">
        <v>45868</v>
      </c>
      <c r="C140" s="64">
        <v>78</v>
      </c>
      <c r="D140" s="26" t="s">
        <v>180</v>
      </c>
      <c r="E140" s="27">
        <f>132000-29700</f>
        <v>102300</v>
      </c>
      <c r="F140" s="28" t="s">
        <v>216</v>
      </c>
      <c r="G140" s="29" t="s">
        <v>21</v>
      </c>
      <c r="H140" s="29">
        <v>3014</v>
      </c>
      <c r="I140" s="29">
        <v>2971</v>
      </c>
      <c r="J140" s="29">
        <v>2971</v>
      </c>
      <c r="K140" s="29" t="s">
        <v>17</v>
      </c>
      <c r="L140" s="65"/>
      <c r="M140" s="66"/>
      <c r="Q140" s="34"/>
    </row>
    <row r="141" spans="1:17" s="33" customFormat="1" ht="15.65" customHeight="1" x14ac:dyDescent="0.3">
      <c r="A141" s="23" t="s">
        <v>3</v>
      </c>
      <c r="B141" s="24">
        <v>45868</v>
      </c>
      <c r="C141" s="25"/>
      <c r="D141" s="26" t="s">
        <v>153</v>
      </c>
      <c r="E141" s="27">
        <v>4200</v>
      </c>
      <c r="F141" s="28" t="s">
        <v>154</v>
      </c>
      <c r="G141" s="29" t="s">
        <v>32</v>
      </c>
      <c r="H141" s="29" t="s">
        <v>17</v>
      </c>
      <c r="I141" s="29" t="s">
        <v>17</v>
      </c>
      <c r="J141" s="29" t="s">
        <v>17</v>
      </c>
      <c r="K141" s="29" t="s">
        <v>17</v>
      </c>
      <c r="L141" s="31"/>
      <c r="M141" s="48"/>
      <c r="Q141" s="34"/>
    </row>
    <row r="142" spans="1:17" ht="57.65" customHeight="1" x14ac:dyDescent="0.3">
      <c r="A142" s="23" t="s">
        <v>2</v>
      </c>
      <c r="B142" s="24">
        <v>45868</v>
      </c>
      <c r="C142" s="36">
        <v>75</v>
      </c>
      <c r="D142" s="26" t="s">
        <v>146</v>
      </c>
      <c r="E142" s="27">
        <v>55040</v>
      </c>
      <c r="F142" s="28" t="s">
        <v>217</v>
      </c>
      <c r="G142" s="29" t="s">
        <v>32</v>
      </c>
      <c r="H142" s="39">
        <v>63</v>
      </c>
      <c r="I142" s="39" t="s">
        <v>25</v>
      </c>
      <c r="J142" s="39" t="s">
        <v>25</v>
      </c>
      <c r="K142" s="39" t="s">
        <v>25</v>
      </c>
    </row>
    <row r="143" spans="1:17" ht="13.75" customHeight="1" x14ac:dyDescent="0.3">
      <c r="A143" s="23" t="s">
        <v>2</v>
      </c>
      <c r="B143" s="24">
        <v>45868</v>
      </c>
      <c r="C143" s="36">
        <v>81</v>
      </c>
      <c r="D143" s="26" t="s">
        <v>30</v>
      </c>
      <c r="E143" s="27">
        <v>770000</v>
      </c>
      <c r="F143" s="28" t="s">
        <v>145</v>
      </c>
      <c r="G143" s="29" t="s">
        <v>32</v>
      </c>
      <c r="H143" s="30" t="s">
        <v>17</v>
      </c>
      <c r="I143" s="30" t="s">
        <v>17</v>
      </c>
      <c r="J143" s="30" t="s">
        <v>17</v>
      </c>
      <c r="K143" s="30" t="s">
        <v>17</v>
      </c>
    </row>
    <row r="144" spans="1:17" s="33" customFormat="1" ht="13.75" customHeight="1" x14ac:dyDescent="0.3">
      <c r="A144" s="23" t="s">
        <v>2</v>
      </c>
      <c r="B144" s="24">
        <v>45868</v>
      </c>
      <c r="C144" s="64">
        <v>70</v>
      </c>
      <c r="D144" s="26" t="s">
        <v>203</v>
      </c>
      <c r="E144" s="27">
        <v>123240</v>
      </c>
      <c r="F144" s="28" t="s">
        <v>59</v>
      </c>
      <c r="G144" s="29" t="s">
        <v>21</v>
      </c>
      <c r="H144" s="30" t="s">
        <v>212</v>
      </c>
      <c r="I144" s="30" t="s">
        <v>17</v>
      </c>
      <c r="J144" s="30" t="s">
        <v>213</v>
      </c>
      <c r="K144" s="30" t="s">
        <v>17</v>
      </c>
      <c r="L144" s="23"/>
      <c r="M144" s="23"/>
      <c r="N144" s="48"/>
    </row>
    <row r="145" spans="1:17" s="33" customFormat="1" ht="13.75" customHeight="1" x14ac:dyDescent="0.3">
      <c r="A145" s="23" t="s">
        <v>2</v>
      </c>
      <c r="B145" s="24">
        <v>45873</v>
      </c>
      <c r="C145" s="25">
        <v>84</v>
      </c>
      <c r="D145" s="26" t="s">
        <v>150</v>
      </c>
      <c r="E145" s="27">
        <v>2700</v>
      </c>
      <c r="F145" s="28" t="s">
        <v>218</v>
      </c>
      <c r="G145" s="29" t="s">
        <v>21</v>
      </c>
      <c r="H145" s="29"/>
      <c r="I145" s="30" t="s">
        <v>17</v>
      </c>
      <c r="J145" s="30" t="s">
        <v>17</v>
      </c>
      <c r="K145" s="59"/>
      <c r="L145" s="31"/>
      <c r="M145" s="48"/>
      <c r="Q145" s="34"/>
    </row>
    <row r="146" spans="1:17" ht="13.75" customHeight="1" x14ac:dyDescent="0.3">
      <c r="A146" s="23" t="s">
        <v>2</v>
      </c>
      <c r="B146" s="24">
        <v>45877</v>
      </c>
      <c r="C146" s="36">
        <v>85</v>
      </c>
      <c r="D146" s="26" t="s">
        <v>30</v>
      </c>
      <c r="E146" s="27">
        <v>770000</v>
      </c>
      <c r="F146" s="28" t="s">
        <v>145</v>
      </c>
      <c r="G146" s="29" t="s">
        <v>32</v>
      </c>
      <c r="H146" s="30" t="s">
        <v>17</v>
      </c>
      <c r="I146" s="30" t="s">
        <v>17</v>
      </c>
      <c r="J146" s="30" t="s">
        <v>17</v>
      </c>
      <c r="K146" s="30" t="s">
        <v>17</v>
      </c>
    </row>
    <row r="147" spans="1:17" ht="13.75" customHeight="1" x14ac:dyDescent="0.3">
      <c r="A147" s="23" t="s">
        <v>2</v>
      </c>
      <c r="B147" s="24">
        <v>45882</v>
      </c>
      <c r="C147" s="36">
        <v>86</v>
      </c>
      <c r="D147" s="26" t="s">
        <v>30</v>
      </c>
      <c r="E147" s="27">
        <v>760000</v>
      </c>
      <c r="F147" s="28" t="s">
        <v>145</v>
      </c>
      <c r="G147" s="29" t="s">
        <v>32</v>
      </c>
      <c r="H147" s="30" t="s">
        <v>17</v>
      </c>
      <c r="I147" s="30" t="s">
        <v>17</v>
      </c>
      <c r="J147" s="30" t="s">
        <v>17</v>
      </c>
      <c r="K147" s="30" t="s">
        <v>17</v>
      </c>
    </row>
    <row r="148" spans="1:17" ht="13.75" customHeight="1" x14ac:dyDescent="0.3">
      <c r="A148" s="23" t="s">
        <v>2</v>
      </c>
      <c r="B148" s="24">
        <v>45884</v>
      </c>
      <c r="C148" s="36">
        <v>88</v>
      </c>
      <c r="D148" s="26" t="s">
        <v>30</v>
      </c>
      <c r="E148" s="27">
        <v>100000</v>
      </c>
      <c r="F148" s="28" t="s">
        <v>145</v>
      </c>
      <c r="G148" s="29" t="s">
        <v>32</v>
      </c>
      <c r="H148" s="30" t="s">
        <v>17</v>
      </c>
      <c r="I148" s="30" t="s">
        <v>17</v>
      </c>
      <c r="J148" s="30" t="s">
        <v>17</v>
      </c>
      <c r="K148" s="30" t="s">
        <v>17</v>
      </c>
    </row>
    <row r="149" spans="1:17" ht="28.25" customHeight="1" x14ac:dyDescent="0.3">
      <c r="A149" s="42" t="s">
        <v>2</v>
      </c>
      <c r="B149" s="35">
        <v>45884</v>
      </c>
      <c r="C149" s="36">
        <v>89</v>
      </c>
      <c r="D149" s="37" t="s">
        <v>219</v>
      </c>
      <c r="E149" s="38">
        <v>94640</v>
      </c>
      <c r="F149" s="37" t="s">
        <v>220</v>
      </c>
      <c r="G149" s="39" t="s">
        <v>32</v>
      </c>
      <c r="H149" s="39">
        <v>47</v>
      </c>
      <c r="I149" s="39" t="s">
        <v>17</v>
      </c>
      <c r="J149" s="39">
        <v>55</v>
      </c>
      <c r="K149" s="39" t="s">
        <v>17</v>
      </c>
    </row>
    <row r="150" spans="1:17" x14ac:dyDescent="0.3">
      <c r="A150" s="42" t="s">
        <v>2</v>
      </c>
      <c r="B150" s="24">
        <v>45884</v>
      </c>
      <c r="C150" s="36">
        <v>90</v>
      </c>
      <c r="D150" s="37" t="s">
        <v>163</v>
      </c>
      <c r="E150" s="38">
        <v>2300</v>
      </c>
      <c r="F150" s="37"/>
      <c r="G150" s="39" t="s">
        <v>32</v>
      </c>
      <c r="H150" s="39" t="s">
        <v>17</v>
      </c>
      <c r="I150" s="39" t="s">
        <v>17</v>
      </c>
      <c r="J150" s="39" t="s">
        <v>17</v>
      </c>
      <c r="K150" s="39" t="s">
        <v>17</v>
      </c>
    </row>
    <row r="151" spans="1:17" ht="14.4" customHeight="1" x14ac:dyDescent="0.3">
      <c r="A151" s="23" t="s">
        <v>2</v>
      </c>
      <c r="B151" s="24">
        <v>45887</v>
      </c>
      <c r="C151" s="36">
        <v>91</v>
      </c>
      <c r="D151" s="26" t="s">
        <v>30</v>
      </c>
      <c r="E151" s="27">
        <v>200000</v>
      </c>
      <c r="F151" s="28" t="s">
        <v>145</v>
      </c>
      <c r="G151" s="29" t="s">
        <v>32</v>
      </c>
      <c r="H151" s="30" t="s">
        <v>17</v>
      </c>
      <c r="I151" s="30" t="s">
        <v>17</v>
      </c>
      <c r="J151" s="30" t="s">
        <v>17</v>
      </c>
      <c r="K151" s="30" t="s">
        <v>17</v>
      </c>
    </row>
    <row r="152" spans="1:17" ht="14.4" customHeight="1" x14ac:dyDescent="0.3">
      <c r="A152" s="23" t="s">
        <v>2</v>
      </c>
      <c r="B152" s="24">
        <v>45889</v>
      </c>
      <c r="C152" s="36">
        <v>92</v>
      </c>
      <c r="D152" s="26" t="s">
        <v>30</v>
      </c>
      <c r="E152" s="27">
        <v>500000</v>
      </c>
      <c r="F152" s="28" t="s">
        <v>145</v>
      </c>
      <c r="G152" s="29" t="s">
        <v>32</v>
      </c>
      <c r="H152" s="30" t="s">
        <v>17</v>
      </c>
      <c r="I152" s="30" t="s">
        <v>17</v>
      </c>
      <c r="J152" s="30" t="s">
        <v>17</v>
      </c>
      <c r="K152" s="30" t="s">
        <v>17</v>
      </c>
    </row>
    <row r="153" spans="1:17" s="33" customFormat="1" ht="14.4" customHeight="1" x14ac:dyDescent="0.3">
      <c r="A153" s="23" t="s">
        <v>2</v>
      </c>
      <c r="B153" s="24">
        <v>45889</v>
      </c>
      <c r="C153" s="64">
        <v>93</v>
      </c>
      <c r="D153" s="26" t="s">
        <v>221</v>
      </c>
      <c r="E153" s="27">
        <v>118000</v>
      </c>
      <c r="F153" s="28" t="s">
        <v>59</v>
      </c>
      <c r="G153" s="29" t="s">
        <v>21</v>
      </c>
      <c r="H153" s="29">
        <v>28</v>
      </c>
      <c r="I153" s="29" t="s">
        <v>17</v>
      </c>
      <c r="J153" s="59"/>
      <c r="K153" s="29" t="s">
        <v>17</v>
      </c>
      <c r="L153" s="23" t="s">
        <v>24</v>
      </c>
      <c r="M153" s="23"/>
      <c r="N153" s="48"/>
    </row>
    <row r="154" spans="1:17" s="33" customFormat="1" ht="14.4" customHeight="1" x14ac:dyDescent="0.3">
      <c r="A154" s="23" t="s">
        <v>2</v>
      </c>
      <c r="B154" s="24">
        <v>45889</v>
      </c>
      <c r="C154" s="64">
        <v>94</v>
      </c>
      <c r="D154" s="26" t="s">
        <v>221</v>
      </c>
      <c r="E154" s="27">
        <v>77560</v>
      </c>
      <c r="F154" s="28" t="s">
        <v>59</v>
      </c>
      <c r="G154" s="29" t="s">
        <v>21</v>
      </c>
      <c r="H154" s="29">
        <v>24</v>
      </c>
      <c r="I154" s="29" t="s">
        <v>17</v>
      </c>
      <c r="J154" s="59"/>
      <c r="K154" s="29" t="s">
        <v>17</v>
      </c>
      <c r="L154" s="23" t="s">
        <v>24</v>
      </c>
      <c r="M154" s="23"/>
      <c r="N154" s="48"/>
    </row>
    <row r="155" spans="1:17" ht="14.4" customHeight="1" x14ac:dyDescent="0.3">
      <c r="A155" s="23" t="s">
        <v>2</v>
      </c>
      <c r="B155" s="24">
        <v>45894</v>
      </c>
      <c r="C155" s="36">
        <v>96</v>
      </c>
      <c r="D155" s="26" t="s">
        <v>30</v>
      </c>
      <c r="E155" s="27">
        <v>270000</v>
      </c>
      <c r="F155" s="28" t="s">
        <v>145</v>
      </c>
      <c r="G155" s="29" t="s">
        <v>32</v>
      </c>
      <c r="H155" s="30" t="s">
        <v>17</v>
      </c>
      <c r="I155" s="30" t="s">
        <v>17</v>
      </c>
      <c r="J155" s="30" t="s">
        <v>17</v>
      </c>
      <c r="K155" s="30" t="s">
        <v>17</v>
      </c>
    </row>
    <row r="156" spans="1:17" ht="14.4" customHeight="1" x14ac:dyDescent="0.3">
      <c r="A156" s="23" t="s">
        <v>2</v>
      </c>
      <c r="B156" s="24">
        <v>45896</v>
      </c>
      <c r="C156" s="36">
        <v>97</v>
      </c>
      <c r="D156" s="26" t="s">
        <v>30</v>
      </c>
      <c r="E156" s="27">
        <v>435000</v>
      </c>
      <c r="F156" s="28" t="s">
        <v>145</v>
      </c>
      <c r="G156" s="29" t="s">
        <v>32</v>
      </c>
      <c r="H156" s="30" t="s">
        <v>17</v>
      </c>
      <c r="I156" s="30" t="s">
        <v>17</v>
      </c>
      <c r="J156" s="30" t="s">
        <v>17</v>
      </c>
      <c r="K156" s="30" t="s">
        <v>17</v>
      </c>
    </row>
    <row r="157" spans="1:17" ht="14.4" customHeight="1" x14ac:dyDescent="0.3">
      <c r="A157" s="23" t="s">
        <v>2</v>
      </c>
      <c r="B157" s="35">
        <v>45896</v>
      </c>
      <c r="C157" s="36">
        <v>100</v>
      </c>
      <c r="D157" s="26" t="s">
        <v>161</v>
      </c>
      <c r="E157" s="27">
        <v>66160</v>
      </c>
      <c r="F157" s="28" t="s">
        <v>162</v>
      </c>
      <c r="G157" s="29" t="s">
        <v>32</v>
      </c>
      <c r="H157" s="30" t="s">
        <v>17</v>
      </c>
      <c r="I157" s="30" t="s">
        <v>17</v>
      </c>
      <c r="J157" s="30" t="s">
        <v>17</v>
      </c>
      <c r="K157" s="30" t="s">
        <v>17</v>
      </c>
    </row>
    <row r="158" spans="1:17" ht="14.4" customHeight="1" x14ac:dyDescent="0.3">
      <c r="A158" s="23" t="s">
        <v>2</v>
      </c>
      <c r="B158" s="24">
        <v>45901</v>
      </c>
      <c r="C158" s="36">
        <v>101</v>
      </c>
      <c r="D158" s="26" t="s">
        <v>30</v>
      </c>
      <c r="E158" s="27">
        <v>600000</v>
      </c>
      <c r="F158" s="28" t="s">
        <v>145</v>
      </c>
      <c r="G158" s="29" t="s">
        <v>32</v>
      </c>
      <c r="H158" s="30" t="s">
        <v>17</v>
      </c>
      <c r="I158" s="30" t="s">
        <v>17</v>
      </c>
      <c r="J158" s="30" t="s">
        <v>17</v>
      </c>
      <c r="K158" s="30" t="s">
        <v>17</v>
      </c>
    </row>
    <row r="159" spans="1:17" ht="28.75" customHeight="1" x14ac:dyDescent="0.3">
      <c r="A159" s="42" t="s">
        <v>2</v>
      </c>
      <c r="B159" s="35">
        <v>45901</v>
      </c>
      <c r="C159" s="36">
        <v>102</v>
      </c>
      <c r="D159" s="37" t="s">
        <v>170</v>
      </c>
      <c r="E159" s="38">
        <v>5000</v>
      </c>
      <c r="F159" s="37" t="s">
        <v>171</v>
      </c>
      <c r="G159" s="39" t="s">
        <v>32</v>
      </c>
      <c r="H159" s="39" t="s">
        <v>17</v>
      </c>
      <c r="I159" s="39" t="s">
        <v>25</v>
      </c>
      <c r="J159" s="39"/>
      <c r="K159" s="39"/>
    </row>
    <row r="160" spans="1:17" s="33" customFormat="1" ht="14.4" customHeight="1" x14ac:dyDescent="0.3">
      <c r="A160" s="23" t="s">
        <v>2</v>
      </c>
      <c r="B160" s="24">
        <v>45901</v>
      </c>
      <c r="C160" s="25">
        <v>104</v>
      </c>
      <c r="D160" s="26" t="s">
        <v>150</v>
      </c>
      <c r="E160" s="27">
        <v>4725</v>
      </c>
      <c r="F160" s="28" t="s">
        <v>222</v>
      </c>
      <c r="G160" s="29" t="s">
        <v>21</v>
      </c>
      <c r="H160" s="29"/>
      <c r="I160" s="30" t="s">
        <v>17</v>
      </c>
      <c r="J160" s="30" t="s">
        <v>17</v>
      </c>
      <c r="K160" s="59"/>
      <c r="L160" s="31"/>
      <c r="M160" s="48"/>
      <c r="Q160" s="34"/>
    </row>
    <row r="161" spans="1:17" x14ac:dyDescent="0.3">
      <c r="A161" s="23" t="s">
        <v>2</v>
      </c>
      <c r="B161" s="24">
        <v>45915</v>
      </c>
      <c r="C161" s="64">
        <v>108</v>
      </c>
      <c r="D161" s="26" t="s">
        <v>221</v>
      </c>
      <c r="E161" s="27">
        <v>387080</v>
      </c>
      <c r="F161" s="28" t="s">
        <v>59</v>
      </c>
      <c r="G161" s="29" t="s">
        <v>21</v>
      </c>
      <c r="H161" s="29">
        <v>48</v>
      </c>
      <c r="I161" s="29" t="s">
        <v>17</v>
      </c>
      <c r="J161" s="59"/>
      <c r="K161" s="29" t="s">
        <v>17</v>
      </c>
      <c r="L161" s="23" t="s">
        <v>24</v>
      </c>
    </row>
    <row r="162" spans="1:17" ht="27" customHeight="1" x14ac:dyDescent="0.3">
      <c r="A162" s="42" t="s">
        <v>2</v>
      </c>
      <c r="B162" s="35">
        <v>45916</v>
      </c>
      <c r="C162" s="36">
        <v>110</v>
      </c>
      <c r="D162" s="37" t="s">
        <v>223</v>
      </c>
      <c r="E162" s="38">
        <v>39400</v>
      </c>
      <c r="F162" s="37" t="s">
        <v>224</v>
      </c>
      <c r="G162" s="39" t="s">
        <v>225</v>
      </c>
      <c r="H162" s="39">
        <v>1180</v>
      </c>
      <c r="I162" s="39" t="s">
        <v>226</v>
      </c>
      <c r="J162" s="39" t="s">
        <v>226</v>
      </c>
      <c r="K162" s="39"/>
    </row>
    <row r="163" spans="1:17" x14ac:dyDescent="0.3">
      <c r="A163" s="23" t="s">
        <v>2</v>
      </c>
      <c r="B163" s="24">
        <v>45917</v>
      </c>
      <c r="C163" s="64">
        <v>111</v>
      </c>
      <c r="D163" s="26" t="s">
        <v>221</v>
      </c>
      <c r="E163" s="27">
        <v>162000</v>
      </c>
      <c r="F163" s="28" t="s">
        <v>59</v>
      </c>
      <c r="G163" s="29" t="s">
        <v>21</v>
      </c>
      <c r="H163" s="29">
        <v>56</v>
      </c>
      <c r="I163" s="29" t="s">
        <v>17</v>
      </c>
      <c r="J163" s="59"/>
      <c r="K163" s="29" t="s">
        <v>17</v>
      </c>
      <c r="L163" s="23" t="s">
        <v>24</v>
      </c>
    </row>
    <row r="164" spans="1:17" ht="15" customHeight="1" x14ac:dyDescent="0.3">
      <c r="A164" s="42" t="s">
        <v>2</v>
      </c>
      <c r="B164" s="35">
        <v>45917</v>
      </c>
      <c r="C164" s="36">
        <v>112</v>
      </c>
      <c r="D164" s="37" t="s">
        <v>133</v>
      </c>
      <c r="E164" s="38">
        <v>17000</v>
      </c>
      <c r="F164" s="37" t="s">
        <v>227</v>
      </c>
      <c r="G164" s="39" t="s">
        <v>135</v>
      </c>
      <c r="H164" s="39">
        <v>1307</v>
      </c>
      <c r="I164" s="39"/>
      <c r="J164" s="39"/>
      <c r="K164" s="39"/>
    </row>
    <row r="165" spans="1:17" s="33" customFormat="1" ht="15.65" customHeight="1" x14ac:dyDescent="0.3">
      <c r="A165" s="23" t="s">
        <v>2</v>
      </c>
      <c r="B165" s="24">
        <v>45919</v>
      </c>
      <c r="C165" s="25">
        <v>113</v>
      </c>
      <c r="D165" s="28" t="s">
        <v>228</v>
      </c>
      <c r="E165" s="27">
        <v>48000</v>
      </c>
      <c r="F165" s="69" t="s">
        <v>229</v>
      </c>
      <c r="G165" s="70" t="s">
        <v>17</v>
      </c>
      <c r="H165" s="30" t="s">
        <v>230</v>
      </c>
      <c r="I165" s="30" t="s">
        <v>17</v>
      </c>
      <c r="J165" s="30" t="s">
        <v>17</v>
      </c>
      <c r="K165" s="59"/>
      <c r="L165" s="23"/>
      <c r="M165" s="32"/>
    </row>
    <row r="166" spans="1:17" x14ac:dyDescent="0.3">
      <c r="A166" s="42" t="s">
        <v>2</v>
      </c>
      <c r="B166" s="35">
        <v>45919</v>
      </c>
      <c r="C166" s="36">
        <v>114</v>
      </c>
      <c r="D166" s="28" t="s">
        <v>228</v>
      </c>
      <c r="E166" s="38">
        <v>30000</v>
      </c>
      <c r="F166" s="37" t="s">
        <v>231</v>
      </c>
      <c r="G166" s="39" t="s">
        <v>17</v>
      </c>
      <c r="H166" s="39">
        <v>866</v>
      </c>
      <c r="I166" s="39"/>
      <c r="J166" s="39"/>
      <c r="K166" s="39"/>
    </row>
    <row r="167" spans="1:17" ht="29.4" customHeight="1" x14ac:dyDescent="0.3">
      <c r="A167" s="42" t="s">
        <v>2</v>
      </c>
      <c r="B167" s="35">
        <v>45920</v>
      </c>
      <c r="C167" s="36">
        <v>115</v>
      </c>
      <c r="D167" s="37" t="s">
        <v>232</v>
      </c>
      <c r="E167" s="38">
        <v>32338.799999999999</v>
      </c>
      <c r="F167" s="37" t="s">
        <v>233</v>
      </c>
      <c r="G167" s="39" t="s">
        <v>46</v>
      </c>
      <c r="H167" s="39">
        <v>660038</v>
      </c>
      <c r="I167" s="71" t="s">
        <v>234</v>
      </c>
      <c r="J167" s="71" t="s">
        <v>235</v>
      </c>
      <c r="K167" s="39" t="s">
        <v>17</v>
      </c>
    </row>
    <row r="168" spans="1:17" ht="29.4" customHeight="1" x14ac:dyDescent="0.3">
      <c r="A168" s="42" t="s">
        <v>2</v>
      </c>
      <c r="B168" s="35">
        <v>45923</v>
      </c>
      <c r="C168" s="36">
        <v>116</v>
      </c>
      <c r="D168" s="37" t="s">
        <v>236</v>
      </c>
      <c r="E168" s="38">
        <v>16400</v>
      </c>
      <c r="F168" s="37" t="s">
        <v>237</v>
      </c>
      <c r="G168" s="39" t="s">
        <v>32</v>
      </c>
      <c r="H168" s="39">
        <v>1812</v>
      </c>
      <c r="I168" s="39" t="s">
        <v>25</v>
      </c>
      <c r="J168" s="39"/>
      <c r="K168" s="39" t="s">
        <v>25</v>
      </c>
    </row>
    <row r="169" spans="1:17" x14ac:dyDescent="0.3">
      <c r="A169" s="42" t="s">
        <v>2</v>
      </c>
      <c r="B169" s="35">
        <v>45924</v>
      </c>
      <c r="C169" s="36">
        <v>118</v>
      </c>
      <c r="D169" s="26" t="s">
        <v>161</v>
      </c>
      <c r="E169" s="27">
        <v>118000</v>
      </c>
      <c r="F169" s="28" t="s">
        <v>162</v>
      </c>
      <c r="G169" s="29" t="s">
        <v>32</v>
      </c>
      <c r="H169" s="30" t="s">
        <v>17</v>
      </c>
      <c r="I169" s="30" t="s">
        <v>17</v>
      </c>
      <c r="J169" s="30" t="s">
        <v>17</v>
      </c>
      <c r="K169" s="30" t="s">
        <v>17</v>
      </c>
    </row>
    <row r="170" spans="1:17" x14ac:dyDescent="0.3">
      <c r="A170" s="42" t="s">
        <v>2</v>
      </c>
      <c r="B170" s="35">
        <v>45924</v>
      </c>
      <c r="C170" s="36">
        <v>121</v>
      </c>
      <c r="D170" s="37" t="s">
        <v>163</v>
      </c>
      <c r="E170" s="38">
        <v>2500</v>
      </c>
      <c r="F170" s="37" t="s">
        <v>164</v>
      </c>
      <c r="G170" s="39" t="s">
        <v>32</v>
      </c>
      <c r="H170" s="39"/>
      <c r="I170" s="39"/>
      <c r="J170" s="39"/>
      <c r="K170" s="39"/>
    </row>
    <row r="171" spans="1:17" ht="13.75" customHeight="1" x14ac:dyDescent="0.3">
      <c r="A171" s="42" t="s">
        <v>2</v>
      </c>
      <c r="B171" s="35">
        <v>45924</v>
      </c>
      <c r="C171" s="36">
        <v>120</v>
      </c>
      <c r="D171" s="37" t="s">
        <v>238</v>
      </c>
      <c r="E171" s="38">
        <f>35100*2</f>
        <v>70200</v>
      </c>
      <c r="F171" s="37" t="s">
        <v>239</v>
      </c>
      <c r="G171" s="39" t="s">
        <v>135</v>
      </c>
      <c r="H171" s="39">
        <v>417</v>
      </c>
      <c r="I171" s="39" t="s">
        <v>226</v>
      </c>
      <c r="J171" s="39" t="s">
        <v>226</v>
      </c>
      <c r="K171" s="39" t="s">
        <v>17</v>
      </c>
      <c r="L171" s="9" t="s">
        <v>240</v>
      </c>
    </row>
    <row r="172" spans="1:17" ht="26.5" customHeight="1" x14ac:dyDescent="0.3">
      <c r="A172" s="42" t="s">
        <v>2</v>
      </c>
      <c r="B172" s="35">
        <v>45926</v>
      </c>
      <c r="C172" s="36">
        <v>122</v>
      </c>
      <c r="D172" s="26" t="s">
        <v>180</v>
      </c>
      <c r="E172" s="27">
        <f>890*20+100*1040+20400</f>
        <v>142200</v>
      </c>
      <c r="F172" s="28" t="s">
        <v>241</v>
      </c>
      <c r="G172" s="29" t="s">
        <v>21</v>
      </c>
      <c r="H172" s="39">
        <v>3946</v>
      </c>
      <c r="I172" s="39">
        <v>3963</v>
      </c>
      <c r="J172" s="39">
        <v>3963</v>
      </c>
      <c r="K172" s="39" t="s">
        <v>17</v>
      </c>
    </row>
    <row r="173" spans="1:17" ht="13.75" customHeight="1" x14ac:dyDescent="0.3">
      <c r="A173" s="42" t="s">
        <v>2</v>
      </c>
      <c r="B173" s="35">
        <v>45931</v>
      </c>
      <c r="C173" s="36">
        <v>123</v>
      </c>
      <c r="D173" s="26" t="s">
        <v>180</v>
      </c>
      <c r="E173" s="27">
        <v>60900</v>
      </c>
      <c r="F173" s="28" t="s">
        <v>242</v>
      </c>
      <c r="G173" s="29" t="s">
        <v>135</v>
      </c>
      <c r="H173" s="39">
        <v>3945</v>
      </c>
      <c r="I173" s="39"/>
      <c r="J173" s="39"/>
      <c r="K173" s="39"/>
      <c r="L173" s="9" t="s">
        <v>243</v>
      </c>
    </row>
    <row r="174" spans="1:17" ht="27.65" customHeight="1" x14ac:dyDescent="0.3">
      <c r="A174" s="42" t="s">
        <v>2</v>
      </c>
      <c r="B174" s="24">
        <v>45931</v>
      </c>
      <c r="C174" s="64">
        <v>124</v>
      </c>
      <c r="D174" s="26" t="s">
        <v>214</v>
      </c>
      <c r="E174" s="27">
        <v>207700</v>
      </c>
      <c r="F174" s="28" t="s">
        <v>244</v>
      </c>
      <c r="G174" s="29" t="s">
        <v>135</v>
      </c>
      <c r="H174" s="39">
        <v>68</v>
      </c>
      <c r="I174" s="39"/>
      <c r="J174" s="39"/>
      <c r="K174" s="39"/>
    </row>
    <row r="175" spans="1:17" s="33" customFormat="1" ht="14.4" customHeight="1" x14ac:dyDescent="0.3">
      <c r="A175" s="23" t="s">
        <v>2</v>
      </c>
      <c r="B175" s="24">
        <v>45932</v>
      </c>
      <c r="C175" s="25">
        <v>125</v>
      </c>
      <c r="D175" s="26" t="s">
        <v>150</v>
      </c>
      <c r="E175" s="27">
        <v>5400</v>
      </c>
      <c r="F175" s="28" t="s">
        <v>245</v>
      </c>
      <c r="G175" s="29" t="s">
        <v>21</v>
      </c>
      <c r="H175" s="29"/>
      <c r="I175" s="30" t="s">
        <v>17</v>
      </c>
      <c r="J175" s="30" t="s">
        <v>17</v>
      </c>
      <c r="K175" s="59"/>
      <c r="L175" s="31"/>
      <c r="M175" s="48"/>
      <c r="Q175" s="34"/>
    </row>
    <row r="176" spans="1:17" ht="41.4" customHeight="1" x14ac:dyDescent="0.3">
      <c r="A176" s="42" t="s">
        <v>2</v>
      </c>
      <c r="B176" s="35">
        <v>45940</v>
      </c>
      <c r="C176" s="36">
        <v>128</v>
      </c>
      <c r="D176" s="37" t="s">
        <v>246</v>
      </c>
      <c r="E176" s="38">
        <v>253788</v>
      </c>
      <c r="F176" s="28" t="s">
        <v>247</v>
      </c>
      <c r="G176" s="39" t="s">
        <v>21</v>
      </c>
      <c r="H176" s="39">
        <v>4985</v>
      </c>
      <c r="I176" s="39">
        <v>5110</v>
      </c>
      <c r="J176" s="39">
        <v>5110</v>
      </c>
      <c r="K176" s="39" t="s">
        <v>17</v>
      </c>
    </row>
    <row r="177" spans="1:17" ht="15" customHeight="1" x14ac:dyDescent="0.3">
      <c r="A177" s="42" t="s">
        <v>2</v>
      </c>
      <c r="B177" s="35">
        <v>45940</v>
      </c>
      <c r="C177" s="36">
        <v>129</v>
      </c>
      <c r="D177" s="37" t="s">
        <v>219</v>
      </c>
      <c r="E177" s="38">
        <v>34476</v>
      </c>
      <c r="F177" s="37" t="s">
        <v>248</v>
      </c>
      <c r="G177" s="39" t="s">
        <v>21</v>
      </c>
      <c r="H177" s="39">
        <v>47</v>
      </c>
      <c r="I177" s="39" t="s">
        <v>25</v>
      </c>
      <c r="J177" s="39" t="s">
        <v>25</v>
      </c>
      <c r="K177" s="39"/>
    </row>
    <row r="178" spans="1:17" ht="27.65" customHeight="1" x14ac:dyDescent="0.3">
      <c r="A178" s="42" t="s">
        <v>2</v>
      </c>
      <c r="B178" s="24">
        <v>45944</v>
      </c>
      <c r="C178" s="64">
        <v>131</v>
      </c>
      <c r="D178" s="26" t="s">
        <v>214</v>
      </c>
      <c r="E178" s="27">
        <v>100900</v>
      </c>
      <c r="F178" s="28" t="s">
        <v>249</v>
      </c>
      <c r="G178" s="29" t="s">
        <v>225</v>
      </c>
      <c r="H178" s="39">
        <v>69</v>
      </c>
      <c r="I178" s="39"/>
      <c r="J178" s="39"/>
      <c r="K178" s="39"/>
    </row>
    <row r="179" spans="1:17" ht="14.4" customHeight="1" x14ac:dyDescent="0.3">
      <c r="A179" s="42" t="s">
        <v>2</v>
      </c>
      <c r="B179" s="35">
        <v>45945</v>
      </c>
      <c r="C179" s="36">
        <v>133</v>
      </c>
      <c r="D179" s="37" t="s">
        <v>250</v>
      </c>
      <c r="E179" s="38">
        <v>104487</v>
      </c>
      <c r="F179" s="37" t="s">
        <v>251</v>
      </c>
      <c r="G179" s="39" t="s">
        <v>16</v>
      </c>
      <c r="H179" s="39">
        <v>182</v>
      </c>
      <c r="I179" s="39"/>
      <c r="J179" s="39"/>
      <c r="K179" s="39"/>
    </row>
    <row r="180" spans="1:17" ht="28.75" customHeight="1" x14ac:dyDescent="0.3">
      <c r="A180" s="42" t="s">
        <v>2</v>
      </c>
      <c r="B180" s="24">
        <v>45953</v>
      </c>
      <c r="C180" s="64">
        <v>136</v>
      </c>
      <c r="D180" s="26" t="s">
        <v>214</v>
      </c>
      <c r="E180" s="27">
        <v>56030</v>
      </c>
      <c r="F180" s="28" t="s">
        <v>252</v>
      </c>
      <c r="G180" s="29" t="s">
        <v>253</v>
      </c>
      <c r="H180" s="39">
        <v>76</v>
      </c>
      <c r="I180" s="39"/>
      <c r="J180" s="39"/>
      <c r="K180" s="39"/>
    </row>
    <row r="181" spans="1:17" ht="27.65" customHeight="1" x14ac:dyDescent="0.3">
      <c r="A181" s="42" t="s">
        <v>2</v>
      </c>
      <c r="B181" s="35">
        <v>45957</v>
      </c>
      <c r="C181" s="36">
        <v>137</v>
      </c>
      <c r="D181" s="37" t="s">
        <v>223</v>
      </c>
      <c r="E181" s="38">
        <v>82630</v>
      </c>
      <c r="F181" s="37" t="s">
        <v>254</v>
      </c>
      <c r="G181" s="39" t="s">
        <v>135</v>
      </c>
      <c r="H181" s="39">
        <v>1370</v>
      </c>
      <c r="I181" s="39" t="s">
        <v>226</v>
      </c>
      <c r="J181" s="39" t="s">
        <v>226</v>
      </c>
      <c r="K181" s="39"/>
    </row>
    <row r="182" spans="1:17" x14ac:dyDescent="0.3">
      <c r="A182" s="42" t="s">
        <v>2</v>
      </c>
      <c r="B182" s="35">
        <v>45958</v>
      </c>
      <c r="C182" s="36">
        <v>138</v>
      </c>
      <c r="D182" s="26" t="s">
        <v>161</v>
      </c>
      <c r="E182" s="27">
        <v>650000</v>
      </c>
      <c r="F182" s="28" t="s">
        <v>162</v>
      </c>
      <c r="G182" s="29" t="s">
        <v>32</v>
      </c>
      <c r="H182" s="30" t="s">
        <v>17</v>
      </c>
      <c r="I182" s="30" t="s">
        <v>17</v>
      </c>
      <c r="J182" s="30" t="s">
        <v>17</v>
      </c>
      <c r="K182" s="39"/>
    </row>
    <row r="183" spans="1:17" ht="27" customHeight="1" x14ac:dyDescent="0.3">
      <c r="A183" s="42" t="s">
        <v>2</v>
      </c>
      <c r="B183" s="24">
        <v>36556</v>
      </c>
      <c r="C183" s="64">
        <v>141</v>
      </c>
      <c r="D183" s="26" t="s">
        <v>214</v>
      </c>
      <c r="E183" s="27">
        <v>112000</v>
      </c>
      <c r="F183" s="28" t="s">
        <v>255</v>
      </c>
      <c r="G183" s="29" t="s">
        <v>253</v>
      </c>
      <c r="H183" s="39">
        <v>82</v>
      </c>
      <c r="I183" s="39"/>
      <c r="J183" s="39"/>
      <c r="K183" s="39"/>
    </row>
    <row r="184" spans="1:17" s="33" customFormat="1" ht="14.4" customHeight="1" x14ac:dyDescent="0.3">
      <c r="A184" s="23" t="s">
        <v>2</v>
      </c>
      <c r="B184" s="24">
        <v>45966</v>
      </c>
      <c r="C184" s="25">
        <v>142</v>
      </c>
      <c r="D184" s="26" t="s">
        <v>150</v>
      </c>
      <c r="E184" s="27">
        <v>5940</v>
      </c>
      <c r="F184" s="28" t="s">
        <v>256</v>
      </c>
      <c r="G184" s="29" t="s">
        <v>21</v>
      </c>
      <c r="H184" s="29"/>
      <c r="I184" s="30" t="s">
        <v>17</v>
      </c>
      <c r="J184" s="30" t="s">
        <v>17</v>
      </c>
      <c r="K184" s="59"/>
      <c r="L184" s="31"/>
      <c r="M184" s="48"/>
      <c r="Q184" s="34"/>
    </row>
    <row r="185" spans="1:17" x14ac:dyDescent="0.3">
      <c r="A185" s="42" t="s">
        <v>2</v>
      </c>
      <c r="B185" s="35">
        <v>45966</v>
      </c>
      <c r="C185" s="36">
        <v>143</v>
      </c>
      <c r="D185" s="37" t="s">
        <v>257</v>
      </c>
      <c r="E185" s="38">
        <v>4800</v>
      </c>
      <c r="F185" s="37" t="s">
        <v>258</v>
      </c>
      <c r="G185" s="39" t="s">
        <v>32</v>
      </c>
      <c r="H185" s="39">
        <v>592</v>
      </c>
      <c r="I185" s="39"/>
      <c r="J185" s="39"/>
      <c r="K185" s="39"/>
    </row>
    <row r="186" spans="1:17" ht="15" customHeight="1" x14ac:dyDescent="0.3">
      <c r="A186" s="42" t="s">
        <v>2</v>
      </c>
      <c r="B186" s="35">
        <v>45973</v>
      </c>
      <c r="C186" s="36">
        <v>144</v>
      </c>
      <c r="D186" s="37" t="s">
        <v>259</v>
      </c>
      <c r="E186" s="38">
        <v>26000</v>
      </c>
      <c r="F186" s="37" t="s">
        <v>260</v>
      </c>
      <c r="G186" s="39" t="s">
        <v>21</v>
      </c>
      <c r="H186" s="39">
        <v>752</v>
      </c>
      <c r="I186" s="39"/>
      <c r="J186" s="39"/>
      <c r="K186" s="39"/>
    </row>
    <row r="187" spans="1:17" ht="15" customHeight="1" x14ac:dyDescent="0.3">
      <c r="A187" s="42" t="s">
        <v>2</v>
      </c>
      <c r="B187" s="35">
        <v>45979</v>
      </c>
      <c r="C187" s="36">
        <v>145</v>
      </c>
      <c r="D187" s="37" t="s">
        <v>261</v>
      </c>
      <c r="E187" s="38">
        <v>80000</v>
      </c>
      <c r="F187" s="37" t="s">
        <v>262</v>
      </c>
      <c r="G187" s="39" t="s">
        <v>21</v>
      </c>
      <c r="H187" s="39">
        <v>911</v>
      </c>
      <c r="I187" s="39">
        <v>1291</v>
      </c>
      <c r="J187" s="39">
        <v>1291</v>
      </c>
      <c r="K187" s="39" t="s">
        <v>17</v>
      </c>
    </row>
    <row r="188" spans="1:17" ht="15" customHeight="1" x14ac:dyDescent="0.3">
      <c r="A188" s="23" t="s">
        <v>2</v>
      </c>
      <c r="B188" s="24">
        <v>45987</v>
      </c>
      <c r="C188" s="36">
        <v>147</v>
      </c>
      <c r="D188" s="26" t="s">
        <v>139</v>
      </c>
      <c r="E188" s="27">
        <v>34830</v>
      </c>
      <c r="F188" s="28" t="s">
        <v>263</v>
      </c>
      <c r="G188" s="29" t="s">
        <v>21</v>
      </c>
      <c r="H188" s="30" t="s">
        <v>141</v>
      </c>
      <c r="I188" s="30" t="s">
        <v>17</v>
      </c>
      <c r="J188" s="30" t="s">
        <v>17</v>
      </c>
      <c r="K188" s="30" t="s">
        <v>17</v>
      </c>
    </row>
    <row r="189" spans="1:17" ht="15" customHeight="1" x14ac:dyDescent="0.3">
      <c r="A189" s="23" t="s">
        <v>2</v>
      </c>
      <c r="B189" s="24">
        <v>45987</v>
      </c>
      <c r="C189" s="36">
        <v>148</v>
      </c>
      <c r="D189" s="26" t="s">
        <v>30</v>
      </c>
      <c r="E189" s="27">
        <v>80000</v>
      </c>
      <c r="F189" s="28" t="s">
        <v>145</v>
      </c>
      <c r="G189" s="29" t="s">
        <v>32</v>
      </c>
      <c r="H189" s="30" t="s">
        <v>17</v>
      </c>
      <c r="I189" s="30" t="s">
        <v>17</v>
      </c>
      <c r="J189" s="30" t="s">
        <v>17</v>
      </c>
      <c r="K189" s="30" t="s">
        <v>17</v>
      </c>
    </row>
    <row r="190" spans="1:17" ht="15" customHeight="1" x14ac:dyDescent="0.3">
      <c r="A190" s="23" t="s">
        <v>2</v>
      </c>
      <c r="B190" s="24">
        <v>45988</v>
      </c>
      <c r="C190" s="36">
        <v>149</v>
      </c>
      <c r="D190" s="26" t="s">
        <v>30</v>
      </c>
      <c r="E190" s="27">
        <v>300000</v>
      </c>
      <c r="F190" s="28" t="s">
        <v>145</v>
      </c>
      <c r="G190" s="29" t="s">
        <v>32</v>
      </c>
      <c r="H190" s="30" t="s">
        <v>17</v>
      </c>
      <c r="I190" s="30" t="s">
        <v>17</v>
      </c>
      <c r="J190" s="30" t="s">
        <v>17</v>
      </c>
      <c r="K190" s="30" t="s">
        <v>17</v>
      </c>
    </row>
    <row r="191" spans="1:17" ht="27.65" customHeight="1" x14ac:dyDescent="0.3">
      <c r="A191" s="23" t="s">
        <v>2</v>
      </c>
      <c r="B191" s="35">
        <v>45989</v>
      </c>
      <c r="C191" s="36">
        <v>151</v>
      </c>
      <c r="D191" s="37" t="s">
        <v>264</v>
      </c>
      <c r="E191" s="38">
        <v>40328</v>
      </c>
      <c r="F191" s="37" t="s">
        <v>265</v>
      </c>
      <c r="G191" s="39" t="s">
        <v>21</v>
      </c>
      <c r="H191" s="39">
        <v>3894</v>
      </c>
      <c r="I191" s="39"/>
      <c r="J191" s="39"/>
      <c r="K191" s="39"/>
    </row>
    <row r="192" spans="1:17" ht="15" customHeight="1" x14ac:dyDescent="0.3">
      <c r="A192" s="23" t="s">
        <v>2</v>
      </c>
      <c r="B192" s="24">
        <v>45993</v>
      </c>
      <c r="C192" s="36">
        <v>152</v>
      </c>
      <c r="D192" s="26" t="s">
        <v>30</v>
      </c>
      <c r="E192" s="27">
        <v>300000</v>
      </c>
      <c r="F192" s="28" t="s">
        <v>145</v>
      </c>
      <c r="G192" s="29" t="s">
        <v>32</v>
      </c>
      <c r="H192" s="30" t="s">
        <v>17</v>
      </c>
      <c r="I192" s="30" t="s">
        <v>17</v>
      </c>
      <c r="J192" s="30" t="s">
        <v>17</v>
      </c>
      <c r="K192" s="30" t="s">
        <v>17</v>
      </c>
    </row>
    <row r="193" spans="1:17" s="33" customFormat="1" ht="14.4" customHeight="1" x14ac:dyDescent="0.3">
      <c r="A193" s="23" t="s">
        <v>2</v>
      </c>
      <c r="B193" s="24">
        <v>45993</v>
      </c>
      <c r="C193" s="25">
        <v>153</v>
      </c>
      <c r="D193" s="26" t="s">
        <v>150</v>
      </c>
      <c r="E193" s="27">
        <v>1350</v>
      </c>
      <c r="F193" s="28" t="s">
        <v>266</v>
      </c>
      <c r="G193" s="29" t="s">
        <v>21</v>
      </c>
      <c r="H193" s="29"/>
      <c r="I193" s="30" t="s">
        <v>17</v>
      </c>
      <c r="J193" s="30" t="s">
        <v>17</v>
      </c>
      <c r="K193" s="59"/>
      <c r="L193" s="31"/>
      <c r="M193" s="48"/>
      <c r="Q193" s="34"/>
    </row>
    <row r="194" spans="1:17" x14ac:dyDescent="0.3">
      <c r="A194" s="23" t="s">
        <v>2</v>
      </c>
      <c r="B194" s="35">
        <v>45994</v>
      </c>
      <c r="C194" s="36">
        <v>155</v>
      </c>
      <c r="D194" s="26" t="s">
        <v>161</v>
      </c>
      <c r="E194" s="27">
        <v>118000</v>
      </c>
      <c r="F194" s="28" t="s">
        <v>162</v>
      </c>
      <c r="G194" s="29" t="s">
        <v>32</v>
      </c>
      <c r="H194" s="30" t="s">
        <v>17</v>
      </c>
      <c r="I194" s="30" t="s">
        <v>17</v>
      </c>
      <c r="J194" s="30" t="s">
        <v>17</v>
      </c>
      <c r="K194" s="30" t="s">
        <v>17</v>
      </c>
    </row>
    <row r="195" spans="1:17" x14ac:dyDescent="0.3">
      <c r="A195" s="23" t="s">
        <v>2</v>
      </c>
      <c r="B195" s="35">
        <v>45995</v>
      </c>
      <c r="C195" s="36">
        <v>157</v>
      </c>
      <c r="D195" s="26" t="s">
        <v>161</v>
      </c>
      <c r="E195" s="27">
        <v>150</v>
      </c>
      <c r="F195" s="28" t="s">
        <v>162</v>
      </c>
      <c r="G195" s="29" t="s">
        <v>32</v>
      </c>
      <c r="H195" s="30" t="s">
        <v>17</v>
      </c>
      <c r="I195" s="30" t="s">
        <v>17</v>
      </c>
      <c r="J195" s="30" t="s">
        <v>17</v>
      </c>
      <c r="K195" s="30" t="s">
        <v>17</v>
      </c>
    </row>
    <row r="196" spans="1:17" x14ac:dyDescent="0.3">
      <c r="B196" s="35">
        <v>45999</v>
      </c>
      <c r="C196" s="36">
        <v>158</v>
      </c>
      <c r="D196" s="37" t="s">
        <v>267</v>
      </c>
      <c r="E196" s="38">
        <v>178310</v>
      </c>
      <c r="F196" s="37" t="s">
        <v>268</v>
      </c>
      <c r="G196" s="39" t="s">
        <v>21</v>
      </c>
      <c r="H196" s="39">
        <v>1183</v>
      </c>
      <c r="I196" s="39">
        <v>0</v>
      </c>
      <c r="J196" s="39"/>
      <c r="K196" s="39"/>
    </row>
    <row r="197" spans="1:17" ht="30.65" customHeight="1" x14ac:dyDescent="0.3">
      <c r="A197" s="42" t="s">
        <v>2</v>
      </c>
      <c r="B197" s="35">
        <v>46003</v>
      </c>
      <c r="C197" s="36">
        <v>160</v>
      </c>
      <c r="D197" s="37" t="s">
        <v>170</v>
      </c>
      <c r="E197" s="38">
        <v>5000</v>
      </c>
      <c r="F197" s="37" t="s">
        <v>171</v>
      </c>
      <c r="G197" s="39" t="s">
        <v>32</v>
      </c>
      <c r="H197" s="39" t="s">
        <v>17</v>
      </c>
      <c r="I197" s="39" t="s">
        <v>25</v>
      </c>
      <c r="J197" s="39"/>
      <c r="K197" s="39"/>
    </row>
    <row r="198" spans="1:17" s="33" customFormat="1" ht="28.25" customHeight="1" x14ac:dyDescent="0.3">
      <c r="A198" s="23" t="s">
        <v>3</v>
      </c>
      <c r="B198" s="24">
        <v>46003</v>
      </c>
      <c r="C198" s="25">
        <v>23</v>
      </c>
      <c r="D198" s="26" t="s">
        <v>153</v>
      </c>
      <c r="E198" s="27">
        <v>12000</v>
      </c>
      <c r="F198" s="28" t="s">
        <v>269</v>
      </c>
      <c r="G198" s="29" t="s">
        <v>32</v>
      </c>
      <c r="H198" s="29" t="s">
        <v>17</v>
      </c>
      <c r="I198" s="29" t="s">
        <v>17</v>
      </c>
      <c r="J198" s="29" t="s">
        <v>17</v>
      </c>
      <c r="K198" s="29" t="s">
        <v>17</v>
      </c>
      <c r="L198" s="31"/>
      <c r="M198" s="48"/>
      <c r="Q198" s="34"/>
    </row>
    <row r="199" spans="1:17" ht="27" customHeight="1" x14ac:dyDescent="0.3">
      <c r="A199" s="42" t="s">
        <v>2</v>
      </c>
      <c r="B199" s="35">
        <v>46013</v>
      </c>
      <c r="C199" s="36">
        <v>161</v>
      </c>
      <c r="D199" s="37" t="s">
        <v>270</v>
      </c>
      <c r="E199" s="38">
        <v>6775.99</v>
      </c>
      <c r="F199" s="37" t="s">
        <v>271</v>
      </c>
      <c r="G199" s="39" t="s">
        <v>32</v>
      </c>
      <c r="H199" s="39">
        <v>7478</v>
      </c>
      <c r="I199" s="39"/>
      <c r="J199" s="39"/>
      <c r="K199" s="39"/>
    </row>
    <row r="200" spans="1:17" ht="108.65" customHeight="1" x14ac:dyDescent="0.3">
      <c r="A200" s="23" t="s">
        <v>2</v>
      </c>
      <c r="B200" s="35">
        <v>46014</v>
      </c>
      <c r="C200" s="36">
        <v>162</v>
      </c>
      <c r="D200" s="26" t="s">
        <v>146</v>
      </c>
      <c r="E200" s="27">
        <v>34500</v>
      </c>
      <c r="F200" s="28" t="s">
        <v>272</v>
      </c>
      <c r="G200" s="29" t="s">
        <v>32</v>
      </c>
      <c r="H200" s="39">
        <v>28</v>
      </c>
      <c r="I200" s="39"/>
      <c r="J200" s="39"/>
      <c r="K200" s="39"/>
    </row>
    <row r="201" spans="1:17" x14ac:dyDescent="0.3">
      <c r="A201" s="42" t="s">
        <v>3</v>
      </c>
      <c r="B201" s="35">
        <v>46015</v>
      </c>
      <c r="C201" s="36">
        <v>25</v>
      </c>
      <c r="D201" s="37" t="s">
        <v>163</v>
      </c>
      <c r="E201" s="38">
        <v>4750</v>
      </c>
      <c r="F201" s="37" t="s">
        <v>164</v>
      </c>
      <c r="G201" s="39" t="s">
        <v>32</v>
      </c>
      <c r="H201" s="39" t="s">
        <v>17</v>
      </c>
      <c r="I201" s="39" t="s">
        <v>17</v>
      </c>
      <c r="J201" s="39" t="s">
        <v>17</v>
      </c>
      <c r="K201" s="39" t="s">
        <v>17</v>
      </c>
    </row>
    <row r="202" spans="1:17" x14ac:dyDescent="0.3">
      <c r="A202" s="23" t="s">
        <v>2</v>
      </c>
      <c r="B202" s="35">
        <v>46020</v>
      </c>
      <c r="C202" s="36">
        <v>164</v>
      </c>
      <c r="D202" s="26" t="s">
        <v>161</v>
      </c>
      <c r="E202" s="27">
        <v>183000</v>
      </c>
      <c r="F202" s="28" t="s">
        <v>162</v>
      </c>
      <c r="G202" s="29" t="s">
        <v>32</v>
      </c>
      <c r="H202" s="30" t="s">
        <v>17</v>
      </c>
      <c r="I202" s="30" t="s">
        <v>17</v>
      </c>
      <c r="J202" s="30" t="s">
        <v>17</v>
      </c>
      <c r="K202" s="30" t="s">
        <v>17</v>
      </c>
    </row>
    <row r="203" spans="1:17" s="33" customFormat="1" ht="24.75" customHeight="1" x14ac:dyDescent="0.3">
      <c r="A203" s="23"/>
      <c r="B203" s="43"/>
      <c r="C203" s="44"/>
      <c r="D203" s="45" t="s">
        <v>143</v>
      </c>
      <c r="E203" s="46">
        <f>SUM(E72:E202)</f>
        <v>18802488.149999999</v>
      </c>
      <c r="G203" s="23"/>
      <c r="H203" s="47"/>
      <c r="I203" s="23"/>
      <c r="J203" s="23"/>
      <c r="K203" s="23"/>
      <c r="L203" s="23"/>
      <c r="M203" s="23"/>
      <c r="N203" s="48"/>
    </row>
  </sheetData>
  <mergeCells count="2">
    <mergeCell ref="B1:D1"/>
    <mergeCell ref="B70:D7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05219</dc:creator>
  <cp:lastModifiedBy>05219</cp:lastModifiedBy>
  <dcterms:created xsi:type="dcterms:W3CDTF">2026-02-11T20:10:06Z</dcterms:created>
  <dcterms:modified xsi:type="dcterms:W3CDTF">2026-02-11T20:10:55Z</dcterms:modified>
</cp:coreProperties>
</file>