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\"/>
    </mc:Choice>
  </mc:AlternateContent>
  <xr:revisionPtr revIDLastSave="0" documentId="8_{916C0DA8-5BF5-469B-8E54-985E90C3E1C5}" xr6:coauthVersionLast="47" xr6:coauthVersionMax="47" xr10:uidLastSave="{00000000-0000-0000-0000-000000000000}"/>
  <bookViews>
    <workbookView xWindow="-110" yWindow="-110" windowWidth="19420" windowHeight="10300" xr2:uid="{467053AB-566E-4869-B390-0CB270C0350C}"/>
  </bookViews>
  <sheets>
    <sheet name="Лист1" sheetId="1" r:id="rId1"/>
  </sheets>
  <definedNames>
    <definedName name="_xlnm._FilterDatabase" localSheetId="0" hidden="1">Лист1!$A$2:$XFB$835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21" i="1" l="1"/>
  <c r="C777" i="1"/>
  <c r="C757" i="1"/>
  <c r="C749" i="1"/>
  <c r="C720" i="1"/>
  <c r="C708" i="1"/>
  <c r="B685" i="1"/>
  <c r="C620" i="1"/>
  <c r="C609" i="1"/>
  <c r="B594" i="1"/>
  <c r="B593" i="1"/>
  <c r="C585" i="1"/>
  <c r="C580" i="1"/>
  <c r="C571" i="1"/>
  <c r="C555" i="1"/>
  <c r="C545" i="1"/>
  <c r="C530" i="1"/>
  <c r="C415" i="1"/>
  <c r="C362" i="1"/>
  <c r="C354" i="1"/>
  <c r="C349" i="1"/>
  <c r="C242" i="1"/>
  <c r="C222" i="1"/>
  <c r="C207" i="1"/>
  <c r="C194" i="1"/>
  <c r="C152" i="1"/>
  <c r="C113" i="1"/>
  <c r="C111" i="1"/>
  <c r="C106" i="1"/>
  <c r="C105" i="1"/>
  <c r="C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Алексей</author>
  </authors>
  <commentList>
    <comment ref="C303" authorId="0" shapeId="0" xr:uid="{05EDDC98-ED7C-4742-9A0F-23762CBC3A4C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всего 9000, Лена еще 2000</t>
        </r>
      </text>
    </comment>
    <comment ref="C309" authorId="0" shapeId="0" xr:uid="{E9F0ACFE-5262-4CA1-B98C-BD235A6A470F}">
      <text>
        <r>
          <rPr>
            <b/>
            <sz val="9"/>
            <color indexed="81"/>
            <rFont val="Tahoma"/>
            <family val="2"/>
            <charset val="204"/>
          </rPr>
          <t>Алексей:</t>
        </r>
        <r>
          <rPr>
            <sz val="9"/>
            <color indexed="81"/>
            <rFont val="Tahoma"/>
            <family val="2"/>
            <charset val="204"/>
          </rPr>
          <t xml:space="preserve">
всего 9000, Лена еще 2000</t>
        </r>
      </text>
    </comment>
  </commentList>
</comments>
</file>

<file path=xl/sharedStrings.xml><?xml version="1.0" encoding="utf-8"?>
<sst xmlns="http://schemas.openxmlformats.org/spreadsheetml/2006/main" count="2367" uniqueCount="435">
  <si>
    <t>Остаток на начало:</t>
  </si>
  <si>
    <t>на 01.01.25</t>
  </si>
  <si>
    <t>дата</t>
  </si>
  <si>
    <t>приход</t>
  </si>
  <si>
    <t>расход</t>
  </si>
  <si>
    <t>евро</t>
  </si>
  <si>
    <t>кому</t>
  </si>
  <si>
    <t>основание (на что)</t>
  </si>
  <si>
    <t>субъект</t>
  </si>
  <si>
    <t>Леша</t>
  </si>
  <si>
    <t>Лена Ш</t>
  </si>
  <si>
    <t>премия</t>
  </si>
  <si>
    <t>Даниэль</t>
  </si>
  <si>
    <t>ДР</t>
  </si>
  <si>
    <t>Чарльз</t>
  </si>
  <si>
    <t>Жозеф</t>
  </si>
  <si>
    <t>Обед</t>
  </si>
  <si>
    <t>Фабрис</t>
  </si>
  <si>
    <t>Ден</t>
  </si>
  <si>
    <t>с р/с</t>
  </si>
  <si>
    <t>банк</t>
  </si>
  <si>
    <t>Женя</t>
  </si>
  <si>
    <t>дрова Дылицы</t>
  </si>
  <si>
    <t>Дима</t>
  </si>
  <si>
    <t>на карту</t>
  </si>
  <si>
    <t>ЗСД</t>
  </si>
  <si>
    <t>офис</t>
  </si>
  <si>
    <t>бензин</t>
  </si>
  <si>
    <t>аванс янв</t>
  </si>
  <si>
    <t>ж/д билет в Тверь</t>
  </si>
  <si>
    <t>Маша</t>
  </si>
  <si>
    <t>Кожева</t>
  </si>
  <si>
    <t>уход за фикусами за период 09/12/24-05/01/25 (на карту ГГ)</t>
  </si>
  <si>
    <t>раст-я Дубовая Роща - на карту Михаилу Сергееву</t>
  </si>
  <si>
    <t>Дылицы</t>
  </si>
  <si>
    <t>штрафы ГИБДД</t>
  </si>
  <si>
    <t>Максидом</t>
  </si>
  <si>
    <t>э/э</t>
  </si>
  <si>
    <t>за препараты по чеку</t>
  </si>
  <si>
    <t>Алан</t>
  </si>
  <si>
    <t>лечение</t>
  </si>
  <si>
    <t>Стивен</t>
  </si>
  <si>
    <t>в счет зп 2025 (оформл-е доков)</t>
  </si>
  <si>
    <t>займ</t>
  </si>
  <si>
    <t>трансп. На карту Дэвида</t>
  </si>
  <si>
    <t>трансп.</t>
  </si>
  <si>
    <t>Ирина Савватеева - займ</t>
  </si>
  <si>
    <t>Савватеева</t>
  </si>
  <si>
    <t>зп янв</t>
  </si>
  <si>
    <t>Наталья Борисова - займ</t>
  </si>
  <si>
    <t>Наталья Борисова</t>
  </si>
  <si>
    <t>семена ИП Семенюк</t>
  </si>
  <si>
    <t>Аня</t>
  </si>
  <si>
    <t>Тамара Павлова в счет оплаты за растения</t>
  </si>
  <si>
    <t>питомник</t>
  </si>
  <si>
    <t>Тамара Павлова</t>
  </si>
  <si>
    <t>Репино парк</t>
  </si>
  <si>
    <t>дог 37</t>
  </si>
  <si>
    <t>Надежда</t>
  </si>
  <si>
    <t>страховка Фиат</t>
  </si>
  <si>
    <t>в т.ч. на карту 5000</t>
  </si>
  <si>
    <t>подотчет</t>
  </si>
  <si>
    <t>Руслан Калина - аванс на проект-е (Стрельцово)</t>
  </si>
  <si>
    <t>Стрельцово</t>
  </si>
  <si>
    <t>проект-е</t>
  </si>
  <si>
    <t>аванс фев</t>
  </si>
  <si>
    <t>Татьяна Моисеева -оконч.расчет за проект-е (Соловьево)</t>
  </si>
  <si>
    <t>Соловьево</t>
  </si>
  <si>
    <t>семена ИП Филимонова</t>
  </si>
  <si>
    <t>зп фев</t>
  </si>
  <si>
    <t>Абу</t>
  </si>
  <si>
    <t>для Обеда</t>
  </si>
  <si>
    <t xml:space="preserve">Тамара Павлова займ </t>
  </si>
  <si>
    <t>Максим</t>
  </si>
  <si>
    <t>3 ремонта Пежо и Фиата</t>
  </si>
  <si>
    <t>обеды Денис, Дима</t>
  </si>
  <si>
    <t>Залозье</t>
  </si>
  <si>
    <t>еда Ден, Дима</t>
  </si>
  <si>
    <t>аванс-1 на проект (Переславль-Залесский) от Игоря Шпагина</t>
  </si>
  <si>
    <t>Переславль</t>
  </si>
  <si>
    <t xml:space="preserve">продукты </t>
  </si>
  <si>
    <t>аванс март</t>
  </si>
  <si>
    <t>уход за фикусами: 7, 14, 21 28 фев (на карту ГГ)</t>
  </si>
  <si>
    <t>доставка горшков из Троицка в Дылицы - аванс Ярославу</t>
  </si>
  <si>
    <t>Гринкомплект</t>
  </si>
  <si>
    <t>яро</t>
  </si>
  <si>
    <t>Тамара Павлова возврат займа</t>
  </si>
  <si>
    <t>Федор - 18 уроков русс.яз. 18уроков (1000р/акад.час, 4 часа в день): янв 14,16,21 23,28,30 (6); фев 4, 6, 11,13,18,20,25,27 (8), март 4,6,11,13 (4)</t>
  </si>
  <si>
    <t>русский</t>
  </si>
  <si>
    <t>Федор - 2 урока русс.яз.: 18/03, 20/03</t>
  </si>
  <si>
    <t>доставка горшков из из Троицка в Дылицы  - итог расчет</t>
  </si>
  <si>
    <t>Сами</t>
  </si>
  <si>
    <t>авиабилет</t>
  </si>
  <si>
    <t>Сэмюэль</t>
  </si>
  <si>
    <t>подарок 8 марта</t>
  </si>
  <si>
    <t>подарок 8 марта через Лешу</t>
  </si>
  <si>
    <t>окон.расчет за уходы 2024 Левашово (с карты Андрей Кичигин)</t>
  </si>
  <si>
    <t>Левашово</t>
  </si>
  <si>
    <t>уход</t>
  </si>
  <si>
    <t>аванс на раст-я 5plusroses</t>
  </si>
  <si>
    <t>Ирина Савватеева - возврат займа</t>
  </si>
  <si>
    <t>Наталья Борисова - возврат займа</t>
  </si>
  <si>
    <t>Арина</t>
  </si>
  <si>
    <t>НПФ Шар (Пленка Светица) - пленка</t>
  </si>
  <si>
    <t>Федор - 5 уроков русс.яз.: 08/01, 25/03, 27/03, 01/04, 02/04</t>
  </si>
  <si>
    <t>со сбера</t>
  </si>
  <si>
    <t>с карты Сергея Васильевича Васютина - Александровская работы 2024</t>
  </si>
  <si>
    <t>Александровская</t>
  </si>
  <si>
    <t>благоустройство</t>
  </si>
  <si>
    <t>через Диму</t>
  </si>
  <si>
    <t>абу</t>
  </si>
  <si>
    <t>на карту Евгению Валерьевичу П</t>
  </si>
  <si>
    <t>?</t>
  </si>
  <si>
    <t>сбер, тбанк</t>
  </si>
  <si>
    <t>зп март</t>
  </si>
  <si>
    <t>уход за фикусами: 7,14, 21 28 марта</t>
  </si>
  <si>
    <t>альфа, тбанк</t>
  </si>
  <si>
    <t>Вильям</t>
  </si>
  <si>
    <t>Влад</t>
  </si>
  <si>
    <t>взаиморасчет</t>
  </si>
  <si>
    <t>tutu.ru</t>
  </si>
  <si>
    <t>Анна Салакина - аванс на раст-я (Озерное, Всеволожск)</t>
  </si>
  <si>
    <t>Анна Салакина</t>
  </si>
  <si>
    <t>Озерное</t>
  </si>
  <si>
    <t>дог 40</t>
  </si>
  <si>
    <t>Павел Остапчук дизайнер %% за Озерное</t>
  </si>
  <si>
    <t>от Леши</t>
  </si>
  <si>
    <t>касса</t>
  </si>
  <si>
    <t>ВСТ - ж/д перевозка-1 раст-й из Владивостока</t>
  </si>
  <si>
    <t>Безделев</t>
  </si>
  <si>
    <t>ВСТ - ж/д перевозка-2 раст-й из Владивостока</t>
  </si>
  <si>
    <t>обрезка, корчевка (Левашово) - с карты Андрея Кичигина</t>
  </si>
  <si>
    <t>работы 13-19 апр. - Залозье</t>
  </si>
  <si>
    <t>озел-е</t>
  </si>
  <si>
    <t>аванс - уход за фикусами: апрель</t>
  </si>
  <si>
    <t>ВСТ - ж/д перевозка-3 раст-й из Владивостока</t>
  </si>
  <si>
    <t>а/билет SVO-LED 28/04</t>
  </si>
  <si>
    <t>ж/д билет в Мск 28/04 4755+3948р</t>
  </si>
  <si>
    <t>на карту Инне Жук за вывоз инструмента из Залозья Мерс 3м 26/04</t>
  </si>
  <si>
    <t>Тамара Павлова - дог 37 оконч.расчет</t>
  </si>
  <si>
    <t>участковому</t>
  </si>
  <si>
    <t>Тамара Павлова - дерен 70шт</t>
  </si>
  <si>
    <t>Анна Лоренс - розы</t>
  </si>
  <si>
    <t>Анна Лоренс</t>
  </si>
  <si>
    <t>Тамара Павлова - аванс на раст-я</t>
  </si>
  <si>
    <t>дост-ка из 7цветов</t>
  </si>
  <si>
    <t>в тч 2000 на карту</t>
  </si>
  <si>
    <t>на карту Инне Жук за доставку торфа кисл 10шт и торфогрунта 110шт из Пельгорского гидробортом 10т 12/05</t>
  </si>
  <si>
    <t>дост-ка торфогрунта из Пельгорского</t>
  </si>
  <si>
    <t>Тамара Павлова за раст-я Комарово</t>
  </si>
  <si>
    <t>Комарово</t>
  </si>
  <si>
    <t>мульча Моторное</t>
  </si>
  <si>
    <t>Моторное</t>
  </si>
  <si>
    <t>Крис</t>
  </si>
  <si>
    <t>от Криса - возмещ-е офиц зп</t>
  </si>
  <si>
    <t xml:space="preserve"> Осмокот Про 5-6 мес. (19-9-10+2MgO+МЭ) 25кг</t>
  </si>
  <si>
    <t>Галина К. - аванс на посадку плодовых (Левашово)</t>
  </si>
  <si>
    <t>такси</t>
  </si>
  <si>
    <t>Владимир Семенов - оконч.расчет за проект-е Вырица дог 28-П</t>
  </si>
  <si>
    <t>Вырица</t>
  </si>
  <si>
    <t>-</t>
  </si>
  <si>
    <t>Галина К. -оконч.расчет за посадку плодовых (Левашово)</t>
  </si>
  <si>
    <t>зп апр</t>
  </si>
  <si>
    <t>Ирина Мацукова (ООО Еваника) - раст-я</t>
  </si>
  <si>
    <t>Ирина Мацукова (Еваника)</t>
  </si>
  <si>
    <t>ден</t>
  </si>
  <si>
    <t>Константин Николаевич Криулин, оплата выезда и консультации на объекте</t>
  </si>
  <si>
    <t>Сосново</t>
  </si>
  <si>
    <t>Залозье - озел-е</t>
  </si>
  <si>
    <t>Головлёва Л. (Листва) - раст-я с карты Сергея Николаевича Г.</t>
  </si>
  <si>
    <t>Головлёва Л. (Листва)</t>
  </si>
  <si>
    <t>через Чарльза</t>
  </si>
  <si>
    <t>аванс на проект-е Вырица - Павел Румянцев дог 41-п</t>
  </si>
  <si>
    <t>Вырица Боровая</t>
  </si>
  <si>
    <t>Самуэль</t>
  </si>
  <si>
    <t>Газель 3т раст-я 31/05: Дылицы - Малые Борницы (Вириде) - Залозье аванс Ярославу</t>
  </si>
  <si>
    <t>Наталья Заведий, в т.ч. 640 от Лены на карту</t>
  </si>
  <si>
    <t>Наталья Заведий</t>
  </si>
  <si>
    <t>сдача Наталье Заведий</t>
  </si>
  <si>
    <t>зп май</t>
  </si>
  <si>
    <t xml:space="preserve">Дэвид </t>
  </si>
  <si>
    <t>на карту Бренды Карель М.</t>
  </si>
  <si>
    <t>Дэвид</t>
  </si>
  <si>
    <t>Газель 3т раст-я 31/05: Дылицы - Малые Борницы (Вириде) - Залозье водителю</t>
  </si>
  <si>
    <t>Принс</t>
  </si>
  <si>
    <t>Анаит Акопян - раст-я</t>
  </si>
  <si>
    <t>Анаит</t>
  </si>
  <si>
    <t>Тамара Павлова - раст-я</t>
  </si>
  <si>
    <t>Амина-Трейд - горшки по счету 2784</t>
  </si>
  <si>
    <t>Светлана Сизова - доплата за безнал за раст-я</t>
  </si>
  <si>
    <t>Светлана Сизова</t>
  </si>
  <si>
    <t>Газель горшки 06/06: Троицк-Дылицы аванс Ярославу</t>
  </si>
  <si>
    <t>Доминик</t>
  </si>
  <si>
    <t>Газель горшки 06/06: Троицк-Дылицы водителю</t>
  </si>
  <si>
    <t>втб</t>
  </si>
  <si>
    <t>Дарья Вячесл-на А</t>
  </si>
  <si>
    <t>Наталья Легенчук - раст-я</t>
  </si>
  <si>
    <t>Наталья Легенчук</t>
  </si>
  <si>
    <t>Наталья Бендер - раст-я (аванс)</t>
  </si>
  <si>
    <t>Наталья Бендер</t>
  </si>
  <si>
    <t>Валентин</t>
  </si>
  <si>
    <t>ремонт Фиата?</t>
  </si>
  <si>
    <t>Газель 3т 5м раст-я 16/06: Малые Борницы (Вириде) - Дылицы - Залозье Ярославу</t>
  </si>
  <si>
    <t>Питомники-шоп</t>
  </si>
  <si>
    <t>аванс июль</t>
  </si>
  <si>
    <t>Еваника раст</t>
  </si>
  <si>
    <t>Еваника</t>
  </si>
  <si>
    <t>Татьяна Бушкова - раст-я</t>
  </si>
  <si>
    <t>Татьяна Бушкова</t>
  </si>
  <si>
    <t>Татьяна Егоровна Савова - раст-я</t>
  </si>
  <si>
    <t>Татьяна Савова</t>
  </si>
  <si>
    <t>20 тбанк, 20 альфа</t>
  </si>
  <si>
    <t>уход за фикусами: 01/05-08/06 (6 выездов)</t>
  </si>
  <si>
    <t>Ирина Фрик - раст-я</t>
  </si>
  <si>
    <t>ирина фрик</t>
  </si>
  <si>
    <t>в т.ч. втб 100000</t>
  </si>
  <si>
    <t>эвакуатор Пено-СПб</t>
  </si>
  <si>
    <t>топосъемка Тапио - Андрей Едовин</t>
  </si>
  <si>
    <t>Тапио</t>
  </si>
  <si>
    <t>Елена Конькова - раст-я</t>
  </si>
  <si>
    <t>Елена Конькова</t>
  </si>
  <si>
    <t>ремонт Фиата</t>
  </si>
  <si>
    <t>удобр-я Питомники-шоп</t>
  </si>
  <si>
    <t>доставка уд-й из Красновидово в Дылицы - аванс Ярославу (6тыс Лена 27/06)</t>
  </si>
  <si>
    <t>ремонт Пежо нал</t>
  </si>
  <si>
    <t>ж/д билеты в Лодейное поле (Ден+Дима)</t>
  </si>
  <si>
    <t>Лодейное поле</t>
  </si>
  <si>
    <t>Токсово уходы</t>
  </si>
  <si>
    <t>Токсово</t>
  </si>
  <si>
    <t>Ал-ра Вл-на М. - спиреи</t>
  </si>
  <si>
    <t>Александра</t>
  </si>
  <si>
    <t>аванс-2 на проект (Переславль-Залесский) от Игоря Шпагина</t>
  </si>
  <si>
    <t>Светлана Цупко - раст-я</t>
  </si>
  <si>
    <t>Светлана Цупко</t>
  </si>
  <si>
    <t>Хвоя (Зайцев Ярослав) - раст-я 669240, в т.ч. 34600 на карту (за 2ю доставку)</t>
  </si>
  <si>
    <t>хвоя</t>
  </si>
  <si>
    <t>Максидом-6</t>
  </si>
  <si>
    <t>от Вадима Борисовича (Хвоя 1я дост-ка)</t>
  </si>
  <si>
    <t>за две Газели 3т раст-я 01/07: Дылицы - Мытищи аванс Ярославу (остаток 38000 Леша)</t>
  </si>
  <si>
    <t>Екатерина Венедиктова</t>
  </si>
  <si>
    <t>Юрий М. (Светлана Сизова) - раст-я</t>
  </si>
  <si>
    <t>зп июн</t>
  </si>
  <si>
    <t>аренда гаража 3й кв Валентину</t>
  </si>
  <si>
    <t>Наталья Бендер - раст-я</t>
  </si>
  <si>
    <t>Лещинский - раст-я</t>
  </si>
  <si>
    <t>Лещинский</t>
  </si>
  <si>
    <t>Тропченко Виктор - раст-я</t>
  </si>
  <si>
    <t>Виктор Тропченко</t>
  </si>
  <si>
    <t>Наталья Заведий - раст-я</t>
  </si>
  <si>
    <t>дост-ка горшков из АминыТрейд - Константин Ал-ч А.</t>
  </si>
  <si>
    <t>АминаТрейд</t>
  </si>
  <si>
    <t>николай</t>
  </si>
  <si>
    <t>Николай А - песок, щебень (12 сбер, 52 тбанк)</t>
  </si>
  <si>
    <t>зсд</t>
  </si>
  <si>
    <t>Наталии Алексеевне Н.</t>
  </si>
  <si>
    <t>Крис - раст-я</t>
  </si>
  <si>
    <t>Елена Конькова - %% ЛД (ООО "Аренда всего")</t>
  </si>
  <si>
    <t>Аренда всего</t>
  </si>
  <si>
    <t>оконч.расчет за проект Андрей Кичигин - Истра</t>
  </si>
  <si>
    <t>Лесная бухта (Истра)</t>
  </si>
  <si>
    <t>дось-ка из Цвет.поляны</t>
  </si>
  <si>
    <t>через Фабриса</t>
  </si>
  <si>
    <t>Мария Сергеевна К. (Северная флора) - раст-я</t>
  </si>
  <si>
    <t>Северная флора</t>
  </si>
  <si>
    <t>Елена Олеговна А. (Ломоносов) - раст-я</t>
  </si>
  <si>
    <t>Анастасия Золотова</t>
  </si>
  <si>
    <t>%%ЛД - Анастасия Золотова</t>
  </si>
  <si>
    <t>Сергею Вл-чу П.</t>
  </si>
  <si>
    <t>Евгению Валеоьевичу П.</t>
  </si>
  <si>
    <t>аванс на раб.проект Андрей Кичигин - Истра</t>
  </si>
  <si>
    <t>Сильвия - раст-я</t>
  </si>
  <si>
    <t>Сильвия</t>
  </si>
  <si>
    <t>в т.ч. 1тр. На карту</t>
  </si>
  <si>
    <t>Катя</t>
  </si>
  <si>
    <t>Амандин Линда</t>
  </si>
  <si>
    <t>втб зп июл</t>
  </si>
  <si>
    <t>Алла Анатольевна Ш. - геодезия</t>
  </si>
  <si>
    <t>Верховье (Лодейное поле)</t>
  </si>
  <si>
    <t>Андрей Ендовин - геодезия Лодейное поле</t>
  </si>
  <si>
    <t>займ на билеты</t>
  </si>
  <si>
    <t>Петрович</t>
  </si>
  <si>
    <t>Газель 6т 7м раст-я 31/07: Дылицы - Малые Борницы (Вириде) - Залозье на карту Анастасии Алексеевне Т.</t>
  </si>
  <si>
    <t>ОБИ</t>
  </si>
  <si>
    <t>с втб</t>
  </si>
  <si>
    <t>через Обеда со сбера</t>
  </si>
  <si>
    <t>Екатерина В. - раст-я</t>
  </si>
  <si>
    <t>Татьяна Коновалова - раст-я</t>
  </si>
  <si>
    <t>Татьяна Коновалова</t>
  </si>
  <si>
    <t>уход за фикусами: 07/07-03/08 (4 выезда)</t>
  </si>
  <si>
    <t>на карту Дмитрия Макаревича - эвакуатор Залозье-СПб Фиата</t>
  </si>
  <si>
    <t>займ от Бармина</t>
  </si>
  <si>
    <t>Бармин</t>
  </si>
  <si>
    <t>ж/д билет Обед Тверь-Спб</t>
  </si>
  <si>
    <t>Леонид</t>
  </si>
  <si>
    <t>билет на поезд Обеду из Твери в СПб</t>
  </si>
  <si>
    <t>ремонта Фиата</t>
  </si>
  <si>
    <t>топосъемка Стрельцово - на карту Ал-ру Вл-чу Е.</t>
  </si>
  <si>
    <t>билет на автобус Обеду Пено-Тверь</t>
  </si>
  <si>
    <t>гидроборт 6м 6т 25/08: Дылицы-Химки (Наталья Борисова) - аванс Ярославу</t>
  </si>
  <si>
    <t>Химки</t>
  </si>
  <si>
    <t>Тензор: онлайн-касса</t>
  </si>
  <si>
    <t>Тензор: ЭЦП рутокен</t>
  </si>
  <si>
    <t>гидроборт 6м 6т 25/08: Дылицы-Химки (Наталья Борисова) - водителю</t>
  </si>
  <si>
    <t>влад</t>
  </si>
  <si>
    <t>Авто 26/08 тролли: химки-СПР</t>
  </si>
  <si>
    <t>хран-е раст-й (Конькова Елена), с карты Ал-ра Евг-ча Д.</t>
  </si>
  <si>
    <t>Стройудача</t>
  </si>
  <si>
    <t>дрова</t>
  </si>
  <si>
    <t>опилки</t>
  </si>
  <si>
    <t>альфА</t>
  </si>
  <si>
    <t>женя</t>
  </si>
  <si>
    <t>31 нал, 4 втб</t>
  </si>
  <si>
    <t>Ирина Васильевна В.  - аванс-1 на работы</t>
  </si>
  <si>
    <t>15000 сбер, 15000 тбанк</t>
  </si>
  <si>
    <t>сбер зп авг</t>
  </si>
  <si>
    <t>возврат долга Бармину - на карту Рейхану Загуддин Кызы М.</t>
  </si>
  <si>
    <t>возврат долга Бармину - на карту Наталье Юрьевне Р</t>
  </si>
  <si>
    <t>Виктория Самгина - раст-я</t>
  </si>
  <si>
    <t>Виктория Самгина</t>
  </si>
  <si>
    <t>15+5</t>
  </si>
  <si>
    <t>возврат долга Бармину - на карту Анне Васильевне Ф.</t>
  </si>
  <si>
    <t>ф/билет</t>
  </si>
  <si>
    <t>аренда троллей СПР 19шт*800р - на карту Валерию</t>
  </si>
  <si>
    <t>песок 24м3 - на карту Виталию</t>
  </si>
  <si>
    <t>на карту Борису С. - аренда соседнего уч-ка (20 сбер, 15 тбанк)</t>
  </si>
  <si>
    <t>аванс на проект-е - Алла Шкуро</t>
  </si>
  <si>
    <t>уход за фикусами: 04-31/08 (4 выезда)</t>
  </si>
  <si>
    <t>Таисия Игошина - раст-я</t>
  </si>
  <si>
    <t>Таисия Игошина</t>
  </si>
  <si>
    <t>алан</t>
  </si>
  <si>
    <t>Руслан Калина - окон.расчет за проект-е</t>
  </si>
  <si>
    <t>Руслан Калина - аванс на озел-е</t>
  </si>
  <si>
    <t>из них погашен займ Абу 115000</t>
  </si>
  <si>
    <t>%%  архитектору за Стрельцово - на карту Семену</t>
  </si>
  <si>
    <t>доставка сосен в Александровскую из Дуброво 17/09 13ч - аванс Ярославу (12000 еще Обед)</t>
  </si>
  <si>
    <t>Евгений Ващенков (Дуброво Новг.обл.) - сосны 7шт</t>
  </si>
  <si>
    <t>аванс-1 озел-е Вырица - Вл-р Семенов</t>
  </si>
  <si>
    <t>с карты Сергея Васильевича Васютина - аванс-2 на работы</t>
  </si>
  <si>
    <t>топосъемка - Марина Мусина</t>
  </si>
  <si>
    <t>Морские Террасы</t>
  </si>
  <si>
    <t>Дэниэль</t>
  </si>
  <si>
    <t>помощь</t>
  </si>
  <si>
    <t>САП - насосы Дылицы</t>
  </si>
  <si>
    <t>доставка сосен в Вырицу из Дуброво 23/09 14ч - аванс Ярославу</t>
  </si>
  <si>
    <t>дост</t>
  </si>
  <si>
    <t>доставка сосен в Вырицу из Дуброво 23/09 14ч - водителю Алексею Соколову</t>
  </si>
  <si>
    <t>доставка Дылицы-Вырица 24/09 9ч 5т 6м - аванс Ярославу (8000 Леша)</t>
  </si>
  <si>
    <t>5т 6м раст-я 26/09 10ч: Малые Борницы (Вириде) - Вырица аванс Ярославу</t>
  </si>
  <si>
    <t>Николай Анисимов - песок 20м3</t>
  </si>
  <si>
    <t>матер</t>
  </si>
  <si>
    <t>Вириде - раст-я</t>
  </si>
  <si>
    <t>раст</t>
  </si>
  <si>
    <t>5т 6м раст-я 26/09 10ч: Малые Борницы (Вириде) - Вырица Дмитрию Ал-чу С.</t>
  </si>
  <si>
    <t>ДР Самсона</t>
  </si>
  <si>
    <t>Самсон</t>
  </si>
  <si>
    <t>топосъемка - Андрею Е.</t>
  </si>
  <si>
    <t>анемона на карту Юрию</t>
  </si>
  <si>
    <t>уход за фикусами: 01/09-28/09 (4 выезда)</t>
  </si>
  <si>
    <t>доставка Дылицы-Софрино 30/09 12ч 6.6м гидроборт 5т - аванс Ярославу</t>
  </si>
  <si>
    <t>Людмила Ижукова</t>
  </si>
  <si>
    <t>119, 120</t>
  </si>
  <si>
    <t>доставка Дылицы-Софрино 30/09 12ч 6.6м гидроборт 5т - на карту Павла</t>
  </si>
  <si>
    <t>Авто 02/10 тролли: Софрино-СПР - аванс Ярославу</t>
  </si>
  <si>
    <t>аванс-2 на проект-е Вырица - Павел Румянцев</t>
  </si>
  <si>
    <t>Ленинское</t>
  </si>
  <si>
    <t xml:space="preserve">Авто 02/10 тролли: Софрино-СПР - водителю </t>
  </si>
  <si>
    <t>аренда гаража 4й квартал Валентину</t>
  </si>
  <si>
    <t>аванс-3 на проект Тапио от Натальи Шилкиной</t>
  </si>
  <si>
    <t>аванс-2 озел-е Вырица - Вл-р Семенов</t>
  </si>
  <si>
    <t>лещина 25шт*2000р (5 Дылицы, 20 Залозье), кизильник 50шт*350р - пит-к Нагорный</t>
  </si>
  <si>
    <t>туи 30шт*9450р</t>
  </si>
  <si>
    <t>через Жозефа</t>
  </si>
  <si>
    <t>оконч.расчет за проект (Переславль-Залесский) от Игоря Шпагина</t>
  </si>
  <si>
    <t>брат передал Борисовой %%</t>
  </si>
  <si>
    <t>брату от Людмилы Ижуковой за раст</t>
  </si>
  <si>
    <t>доставка Малое Карлино (пит-к Нагорный)-Дылицы-М.Борницы-Залозье 06/10 4м 3т - нал водителю (аванс 5000 Леша 06/10 Ярославу)</t>
  </si>
  <si>
    <t>30 туй с доставкой Вырица - Вл-р Семенов</t>
  </si>
  <si>
    <t>раст-я на карту Михаилу Г (пит-к Нагорный)</t>
  </si>
  <si>
    <t>доставка Вириде-Дылицы-Стрельцово 15/10 9ч 6м гидроборт 5т - аванс Ярославу</t>
  </si>
  <si>
    <t>доставка Вириде-Дылицы-Стрельцово 15/10 9ч 6м гидроборт 5т - нал водителю</t>
  </si>
  <si>
    <t>Ирина Сергеевна И - сосны 3шт Кудрово 69</t>
  </si>
  <si>
    <t>грунт 18м3 (цена как за 15м3) - на карту Эдгару к.</t>
  </si>
  <si>
    <t>доставка м.Карлино (пит-к Нагорный)-Вириде-Дылицы-Залозье 16/10 5т 6м - аванс Ярославу</t>
  </si>
  <si>
    <t>доставка м.Карлино (пит-к Нагорный)-Вириде-Дылицы-Залозье 16/10 5т 6м - водителю</t>
  </si>
  <si>
    <t>стивен</t>
  </si>
  <si>
    <t>через Обеда</t>
  </si>
  <si>
    <t>доставка Похомовка (Пск.обл., пит-к Villa Planta-Залозье 17/10 газель - аванс Ярославу</t>
  </si>
  <si>
    <t>доставка Похомовка (Пск.обл., пит-к Villa Planta-Залозье 17/10 газель - на карту водителю Андрею Чурилову</t>
  </si>
  <si>
    <t>возврат займа</t>
  </si>
  <si>
    <t>Наталья Вл-на Т</t>
  </si>
  <si>
    <t>Владимир Семенов - Вырица оконч.расчет озел-е 1150460р, аванс газон 349540р</t>
  </si>
  <si>
    <t>48 зп окт, 2 подотчет</t>
  </si>
  <si>
    <t>зп окт</t>
  </si>
  <si>
    <t>окон.расчет за озел-е, аванс на газон Вырица - Владимир Семенов</t>
  </si>
  <si>
    <t>Тамара Павлова - земл-ка</t>
  </si>
  <si>
    <t>тамара Павлова</t>
  </si>
  <si>
    <t>займ до конца след.сезона</t>
  </si>
  <si>
    <t>светлана цупко -раст-я</t>
  </si>
  <si>
    <t>Владимир Семенов - Вырица оконч.расчет за газон</t>
  </si>
  <si>
    <t>5ка</t>
  </si>
  <si>
    <t>уход за фикусами: 29/09-26/10 (4 выезда)</t>
  </si>
  <si>
    <t>Пено Лизы Чайкиной</t>
  </si>
  <si>
    <t>апт.пункт</t>
  </si>
  <si>
    <t>стройдвиж</t>
  </si>
  <si>
    <t>оконч.расчет за озел-е Стрельцово (Руслан Калина)</t>
  </si>
  <si>
    <t>фабрис</t>
  </si>
  <si>
    <t>надежда</t>
  </si>
  <si>
    <t>страховка ПЕЖО</t>
  </si>
  <si>
    <t>Алексей Шестериков - доставка 10м3 перлита</t>
  </si>
  <si>
    <t>страховка кв-ры на полгода</t>
  </si>
  <si>
    <t>штрафы Госуслуги</t>
  </si>
  <si>
    <t>Сани</t>
  </si>
  <si>
    <t>на карту Алекс Чима Б.</t>
  </si>
  <si>
    <t>Августин</t>
  </si>
  <si>
    <t>займ до  след.сезона</t>
  </si>
  <si>
    <t>YM ruspitomniki</t>
  </si>
  <si>
    <t>проект-е - аванс-1 Игорь Угаров (Репинская усадьба-4, 38)</t>
  </si>
  <si>
    <t>Репинская усадьба-4, 38</t>
  </si>
  <si>
    <t>Петрович - м-лы</t>
  </si>
  <si>
    <t>ремонт ноутбука</t>
  </si>
  <si>
    <t>зп ноя</t>
  </si>
  <si>
    <t>антивирус</t>
  </si>
  <si>
    <t>с карты Сергея Васильевича Васютина - Александровская</t>
  </si>
  <si>
    <t>доплата за простыни</t>
  </si>
  <si>
    <t>аренда бани</t>
  </si>
  <si>
    <t>продукты, алко в баню</t>
  </si>
  <si>
    <t>Оливер</t>
  </si>
  <si>
    <t>подг-ка к бане, транспорт</t>
  </si>
  <si>
    <t xml:space="preserve">ремонт принтера Canon </t>
  </si>
  <si>
    <t>ремонт окон</t>
  </si>
  <si>
    <t>Коновалова Екаьерина</t>
  </si>
  <si>
    <t>екатерина коновалова</t>
  </si>
  <si>
    <t>Павел Петрович Пульманен - топосъемка Репинская усадьба</t>
  </si>
  <si>
    <t>дэвид</t>
  </si>
  <si>
    <t>Кеша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</si>
</sst>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;@"/>
    <numFmt numFmtId="166" formatCode="_-* #,##0_р_._-;\-* #,##0_р_._-;_-* \-??_р_._-;_-@_-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0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sz val="10"/>
      <color rgb="FF00B050"/>
      <name val="Arial Narrow"/>
      <family val="2"/>
      <charset val="204"/>
    </font>
    <font>
      <sz val="10"/>
      <color rgb="FF0070C0"/>
      <name val="Arial Narrow"/>
      <family val="2"/>
      <charset val="204"/>
    </font>
    <font>
      <sz val="10"/>
      <color rgb="FF7030A0"/>
      <name val="Arial Narrow"/>
      <family val="2"/>
      <charset val="204"/>
    </font>
    <font>
      <sz val="10"/>
      <color rgb="FFFF0000"/>
      <name val="Arial Narrow"/>
      <family val="2"/>
      <charset val="204"/>
    </font>
    <font>
      <sz val="10"/>
      <color theme="7" tint="-0.249977111117893"/>
      <name val="Arial Narrow"/>
      <family val="2"/>
      <charset val="204"/>
    </font>
    <font>
      <sz val="10"/>
      <color rgb="FFC00000"/>
      <name val="Arial Narrow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164" fontId="2" fillId="2" borderId="0" xfId="0" applyNumberFormat="1" applyFont="1" applyFill="1" applyAlignment="1">
      <alignment horizontal="left"/>
    </xf>
    <xf numFmtId="3" fontId="3" fillId="2" borderId="0" xfId="1" applyNumberFormat="1" applyFont="1" applyFill="1" applyAlignment="1">
      <alignment wrapText="1"/>
    </xf>
    <xf numFmtId="3" fontId="3" fillId="3" borderId="0" xfId="1" applyNumberFormat="1" applyFont="1" applyFill="1" applyAlignment="1">
      <alignment wrapText="1"/>
    </xf>
    <xf numFmtId="166" fontId="4" fillId="2" borderId="0" xfId="1" applyNumberFormat="1" applyFont="1" applyFill="1" applyAlignment="1">
      <alignment horizontal="center"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164" fontId="4" fillId="2" borderId="1" xfId="0" applyNumberFormat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3" fontId="4" fillId="3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wrapText="1"/>
    </xf>
    <xf numFmtId="3" fontId="3" fillId="2" borderId="1" xfId="0" applyNumberFormat="1" applyFont="1" applyFill="1" applyBorder="1"/>
    <xf numFmtId="3" fontId="3" fillId="3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wrapText="1"/>
    </xf>
    <xf numFmtId="164" fontId="3" fillId="2" borderId="1" xfId="0" applyNumberFormat="1" applyFont="1" applyFill="1" applyBorder="1" applyAlignment="1">
      <alignment horizontal="center"/>
    </xf>
    <xf numFmtId="0" fontId="3" fillId="2" borderId="0" xfId="0" applyFont="1" applyFill="1"/>
    <xf numFmtId="3" fontId="3" fillId="2" borderId="1" xfId="0" applyNumberFormat="1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left" wrapText="1"/>
    </xf>
    <xf numFmtId="3" fontId="3" fillId="4" borderId="1" xfId="0" applyNumberFormat="1" applyFont="1" applyFill="1" applyBorder="1"/>
    <xf numFmtId="0" fontId="3" fillId="2" borderId="1" xfId="0" applyFont="1" applyFill="1" applyBorder="1" applyAlignment="1">
      <alignment wrapText="1"/>
    </xf>
    <xf numFmtId="164" fontId="5" fillId="2" borderId="1" xfId="0" applyNumberFormat="1" applyFont="1" applyFill="1" applyBorder="1" applyAlignment="1">
      <alignment horizontal="center"/>
    </xf>
    <xf numFmtId="3" fontId="5" fillId="2" borderId="1" xfId="0" applyNumberFormat="1" applyFont="1" applyFill="1" applyBorder="1"/>
    <xf numFmtId="3" fontId="5" fillId="3" borderId="1" xfId="0" applyNumberFormat="1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6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3" fontId="3" fillId="2" borderId="1" xfId="1" applyNumberFormat="1" applyFont="1" applyFill="1" applyBorder="1" applyAlignment="1">
      <alignment wrapText="1"/>
    </xf>
    <xf numFmtId="3" fontId="3" fillId="2" borderId="0" xfId="0" applyNumberFormat="1" applyFont="1" applyFill="1" applyAlignment="1">
      <alignment horizontal="center" wrapText="1"/>
    </xf>
    <xf numFmtId="3" fontId="5" fillId="4" borderId="1" xfId="0" applyNumberFormat="1" applyFont="1" applyFill="1" applyBorder="1"/>
    <xf numFmtId="0" fontId="3" fillId="0" borderId="1" xfId="0" applyFont="1" applyBorder="1" applyAlignment="1">
      <alignment wrapText="1"/>
    </xf>
    <xf numFmtId="0" fontId="3" fillId="2" borderId="2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wrapText="1"/>
    </xf>
    <xf numFmtId="164" fontId="7" fillId="2" borderId="1" xfId="0" applyNumberFormat="1" applyFont="1" applyFill="1" applyBorder="1" applyAlignment="1">
      <alignment horizontal="center"/>
    </xf>
    <xf numFmtId="3" fontId="7" fillId="2" borderId="1" xfId="0" applyNumberFormat="1" applyFont="1" applyFill="1" applyBorder="1"/>
    <xf numFmtId="3" fontId="7" fillId="3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8" fillId="0" borderId="0" xfId="0" applyFont="1"/>
    <xf numFmtId="164" fontId="8" fillId="2" borderId="1" xfId="0" applyNumberFormat="1" applyFont="1" applyFill="1" applyBorder="1" applyAlignment="1">
      <alignment horizontal="center"/>
    </xf>
    <xf numFmtId="3" fontId="8" fillId="2" borderId="1" xfId="0" applyNumberFormat="1" applyFont="1" applyFill="1" applyBorder="1"/>
    <xf numFmtId="3" fontId="8" fillId="3" borderId="1" xfId="0" applyNumberFormat="1" applyFont="1" applyFill="1" applyBorder="1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 wrapText="1"/>
    </xf>
    <xf numFmtId="0" fontId="8" fillId="2" borderId="0" xfId="0" applyFont="1" applyFill="1" applyAlignment="1">
      <alignment horizontal="center" wrapText="1"/>
    </xf>
    <xf numFmtId="0" fontId="8" fillId="0" borderId="0" xfId="0" applyFont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 wrapText="1"/>
    </xf>
    <xf numFmtId="0" fontId="9" fillId="0" borderId="0" xfId="0" applyFont="1"/>
    <xf numFmtId="0" fontId="7" fillId="2" borderId="0" xfId="0" applyFont="1" applyFill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164" fontId="9" fillId="2" borderId="1" xfId="0" applyNumberFormat="1" applyFont="1" applyFill="1" applyBorder="1" applyAlignment="1">
      <alignment horizontal="center"/>
    </xf>
    <xf numFmtId="3" fontId="9" fillId="2" borderId="1" xfId="0" applyNumberFormat="1" applyFont="1" applyFill="1" applyBorder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wrapText="1"/>
    </xf>
    <xf numFmtId="0" fontId="9" fillId="2" borderId="0" xfId="0" applyFont="1" applyFill="1" applyAlignment="1">
      <alignment horizontal="center" wrapText="1"/>
    </xf>
    <xf numFmtId="0" fontId="9" fillId="0" borderId="0" xfId="0" applyFont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3" fontId="6" fillId="2" borderId="1" xfId="0" applyNumberFormat="1" applyFont="1" applyFill="1" applyBorder="1"/>
    <xf numFmtId="3" fontId="6" fillId="3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wrapText="1"/>
    </xf>
    <xf numFmtId="3" fontId="6" fillId="2" borderId="1" xfId="0" applyNumberFormat="1" applyFont="1" applyFill="1" applyBorder="1" applyAlignment="1">
      <alignment horizontal="left" vertical="center" wrapText="1"/>
    </xf>
    <xf numFmtId="164" fontId="10" fillId="2" borderId="1" xfId="0" applyNumberFormat="1" applyFont="1" applyFill="1" applyBorder="1" applyAlignment="1">
      <alignment horizontal="center"/>
    </xf>
    <xf numFmtId="3" fontId="10" fillId="2" borderId="1" xfId="0" applyNumberFormat="1" applyFont="1" applyFill="1" applyBorder="1"/>
    <xf numFmtId="3" fontId="10" fillId="3" borderId="1" xfId="0" applyNumberFormat="1" applyFont="1" applyFill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wrapText="1"/>
    </xf>
    <xf numFmtId="0" fontId="10" fillId="2" borderId="0" xfId="0" applyFont="1" applyFill="1" applyAlignment="1">
      <alignment horizontal="center" wrapText="1"/>
    </xf>
    <xf numFmtId="164" fontId="3" fillId="2" borderId="0" xfId="0" applyNumberFormat="1" applyFont="1" applyFill="1" applyAlignment="1">
      <alignment horizontal="center"/>
    </xf>
    <xf numFmtId="3" fontId="3" fillId="2" borderId="0" xfId="0" applyNumberFormat="1" applyFont="1" applyFill="1"/>
    <xf numFmtId="3" fontId="3" fillId="3" borderId="0" xfId="0" applyNumberFormat="1" applyFont="1" applyFill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B859-C3EB-4355-96A7-146AB6D7FDC2}">
  <dimension ref="A1:XFB860"/>
  <sheetViews>
    <sheetView tabSelected="1" topLeftCell="A133" workbookViewId="0">
      <selection activeCell="G3" sqref="G3:G833"/>
    </sheetView>
  </sheetViews>
  <sheetFormatPr defaultColWidth="8.81640625" defaultRowHeight="13" x14ac:dyDescent="0.3"/>
  <cols>
    <col min="1" max="1" width="7.1796875" style="82" customWidth="1"/>
    <col min="2" max="2" width="9" style="83" customWidth="1"/>
    <col min="3" max="3" width="7.81640625" style="83" customWidth="1"/>
    <col min="4" max="4" width="8" style="84" hidden="1" customWidth="1"/>
    <col min="5" max="5" width="9.81640625" style="34" customWidth="1"/>
    <col min="6" max="6" width="25.36328125" style="5" customWidth="1"/>
    <col min="7" max="7" width="14.81640625" style="6" customWidth="1"/>
    <col min="8" max="8" width="13.81640625" style="6" customWidth="1"/>
    <col min="9" max="9" width="6.36328125" style="7" customWidth="1"/>
    <col min="10" max="10" width="7.453125" style="7" customWidth="1"/>
    <col min="11" max="16384" width="8.81640625" style="8"/>
  </cols>
  <sheetData>
    <row r="1" spans="1:8" x14ac:dyDescent="0.3">
      <c r="A1" s="1" t="s">
        <v>0</v>
      </c>
      <c r="B1" s="2"/>
      <c r="C1" s="2"/>
      <c r="D1" s="3"/>
      <c r="E1" s="4">
        <v>0</v>
      </c>
      <c r="F1" s="5" t="s">
        <v>1</v>
      </c>
    </row>
    <row r="2" spans="1:8" x14ac:dyDescent="0.3">
      <c r="A2" s="9" t="s">
        <v>2</v>
      </c>
      <c r="B2" s="10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4" t="s">
        <v>8</v>
      </c>
      <c r="H2" s="14"/>
    </row>
    <row r="3" spans="1:8" x14ac:dyDescent="0.3">
      <c r="A3" s="15">
        <v>45659</v>
      </c>
      <c r="B3" s="16"/>
      <c r="C3" s="16">
        <v>15000</v>
      </c>
      <c r="D3" s="17"/>
      <c r="E3" s="18" t="s">
        <v>434</v>
      </c>
      <c r="F3" s="19"/>
      <c r="G3" s="6" t="s">
        <v>434</v>
      </c>
    </row>
    <row r="4" spans="1:8" x14ac:dyDescent="0.3">
      <c r="A4" s="15">
        <v>45662</v>
      </c>
      <c r="B4" s="16"/>
      <c r="C4" s="16">
        <v>15000</v>
      </c>
      <c r="D4" s="17"/>
      <c r="E4" s="18" t="s">
        <v>434</v>
      </c>
      <c r="F4" s="19"/>
      <c r="G4" s="6" t="s">
        <v>434</v>
      </c>
    </row>
    <row r="5" spans="1:8" x14ac:dyDescent="0.3">
      <c r="A5" s="20">
        <v>45662</v>
      </c>
      <c r="B5" s="16"/>
      <c r="C5" s="16">
        <v>20000</v>
      </c>
      <c r="D5" s="17"/>
      <c r="E5" s="18" t="s">
        <v>10</v>
      </c>
      <c r="F5" s="19" t="s">
        <v>11</v>
      </c>
      <c r="G5" s="6" t="s">
        <v>10</v>
      </c>
    </row>
    <row r="6" spans="1:8" x14ac:dyDescent="0.3">
      <c r="A6" s="20">
        <v>45662</v>
      </c>
      <c r="B6" s="16"/>
      <c r="C6" s="16">
        <v>3500</v>
      </c>
      <c r="D6" s="17"/>
      <c r="E6" s="18" t="s">
        <v>12</v>
      </c>
      <c r="F6" s="19" t="s">
        <v>13</v>
      </c>
      <c r="G6" s="6" t="s">
        <v>12</v>
      </c>
    </row>
    <row r="7" spans="1:8" x14ac:dyDescent="0.3">
      <c r="A7" s="20">
        <v>45663</v>
      </c>
      <c r="B7" s="16"/>
      <c r="C7" s="16">
        <v>2000</v>
      </c>
      <c r="D7" s="17"/>
      <c r="E7" s="18" t="s">
        <v>14</v>
      </c>
      <c r="F7" s="19"/>
      <c r="G7" s="6" t="s">
        <v>14</v>
      </c>
    </row>
    <row r="8" spans="1:8" x14ac:dyDescent="0.3">
      <c r="A8" s="20">
        <v>45664</v>
      </c>
      <c r="B8" s="16"/>
      <c r="C8" s="16">
        <v>10000</v>
      </c>
      <c r="D8" s="17"/>
      <c r="E8" s="18" t="s">
        <v>14</v>
      </c>
      <c r="F8" s="19"/>
      <c r="G8" s="6" t="s">
        <v>14</v>
      </c>
    </row>
    <row r="9" spans="1:8" x14ac:dyDescent="0.3">
      <c r="A9" s="20">
        <v>45665</v>
      </c>
      <c r="B9" s="16"/>
      <c r="C9" s="16">
        <v>5000</v>
      </c>
      <c r="D9" s="17"/>
      <c r="E9" s="18" t="s">
        <v>15</v>
      </c>
      <c r="F9" s="19"/>
      <c r="G9" s="6" t="s">
        <v>15</v>
      </c>
    </row>
    <row r="10" spans="1:8" x14ac:dyDescent="0.3">
      <c r="A10" s="20">
        <v>45665</v>
      </c>
      <c r="B10" s="16"/>
      <c r="C10" s="16">
        <v>2000</v>
      </c>
      <c r="D10" s="17"/>
      <c r="E10" s="18" t="s">
        <v>16</v>
      </c>
      <c r="F10" s="19"/>
      <c r="G10" s="6" t="s">
        <v>16</v>
      </c>
    </row>
    <row r="11" spans="1:8" x14ac:dyDescent="0.3">
      <c r="A11" s="20">
        <v>45665</v>
      </c>
      <c r="B11" s="16"/>
      <c r="C11" s="16">
        <v>10000</v>
      </c>
      <c r="D11" s="17"/>
      <c r="E11" s="18" t="s">
        <v>17</v>
      </c>
      <c r="F11" s="19"/>
      <c r="G11" s="6" t="s">
        <v>17</v>
      </c>
    </row>
    <row r="12" spans="1:8" x14ac:dyDescent="0.3">
      <c r="A12" s="20">
        <v>45671</v>
      </c>
      <c r="B12" s="16"/>
      <c r="C12" s="16">
        <v>1000</v>
      </c>
      <c r="D12" s="17"/>
      <c r="E12" s="18" t="s">
        <v>15</v>
      </c>
      <c r="F12" s="19"/>
      <c r="G12" s="6" t="s">
        <v>15</v>
      </c>
    </row>
    <row r="13" spans="1:8" x14ac:dyDescent="0.3">
      <c r="A13" s="20">
        <v>45672</v>
      </c>
      <c r="B13" s="16">
        <v>850000</v>
      </c>
      <c r="C13" s="16"/>
      <c r="D13" s="17"/>
      <c r="E13" s="18" t="s">
        <v>18</v>
      </c>
      <c r="F13" s="19" t="s">
        <v>19</v>
      </c>
      <c r="G13" s="6" t="s">
        <v>20</v>
      </c>
      <c r="H13" s="6" t="s">
        <v>20</v>
      </c>
    </row>
    <row r="14" spans="1:8" x14ac:dyDescent="0.3">
      <c r="A14" s="20">
        <v>45672</v>
      </c>
      <c r="B14" s="16"/>
      <c r="C14" s="16">
        <v>27000</v>
      </c>
      <c r="D14" s="17"/>
      <c r="E14" s="18" t="s">
        <v>21</v>
      </c>
      <c r="F14" s="19" t="s">
        <v>22</v>
      </c>
      <c r="G14" s="6" t="s">
        <v>21</v>
      </c>
    </row>
    <row r="15" spans="1:8" x14ac:dyDescent="0.3">
      <c r="A15" s="20">
        <v>45672</v>
      </c>
      <c r="B15" s="16"/>
      <c r="C15" s="16">
        <v>15000</v>
      </c>
      <c r="D15" s="17"/>
      <c r="E15" s="18" t="s">
        <v>23</v>
      </c>
      <c r="F15" s="19" t="s">
        <v>24</v>
      </c>
      <c r="G15" s="6" t="s">
        <v>23</v>
      </c>
    </row>
    <row r="16" spans="1:8" x14ac:dyDescent="0.3">
      <c r="A16" s="20">
        <v>45672</v>
      </c>
      <c r="B16" s="16"/>
      <c r="C16" s="16">
        <v>500</v>
      </c>
      <c r="D16" s="17"/>
      <c r="E16" s="18" t="s">
        <v>18</v>
      </c>
      <c r="F16" s="19" t="s">
        <v>25</v>
      </c>
      <c r="G16" s="6" t="s">
        <v>26</v>
      </c>
    </row>
    <row r="17" spans="1:10" x14ac:dyDescent="0.3">
      <c r="A17" s="20">
        <v>45672</v>
      </c>
      <c r="B17" s="16"/>
      <c r="C17" s="16">
        <v>1863</v>
      </c>
      <c r="D17" s="17"/>
      <c r="E17" s="18" t="s">
        <v>18</v>
      </c>
      <c r="F17" s="19" t="s">
        <v>27</v>
      </c>
      <c r="G17" s="6" t="s">
        <v>26</v>
      </c>
    </row>
    <row r="18" spans="1:10" x14ac:dyDescent="0.3">
      <c r="A18" s="20">
        <v>45672</v>
      </c>
      <c r="B18" s="16"/>
      <c r="C18" s="16">
        <v>15000</v>
      </c>
      <c r="D18" s="17"/>
      <c r="E18" s="18" t="s">
        <v>23</v>
      </c>
      <c r="F18" s="19" t="s">
        <v>28</v>
      </c>
      <c r="G18" s="6" t="s">
        <v>23</v>
      </c>
    </row>
    <row r="19" spans="1:10" x14ac:dyDescent="0.3">
      <c r="A19" s="20">
        <v>45673</v>
      </c>
      <c r="B19" s="16"/>
      <c r="C19" s="16">
        <v>3151</v>
      </c>
      <c r="D19" s="17"/>
      <c r="E19" s="18" t="s">
        <v>18</v>
      </c>
      <c r="F19" s="19" t="s">
        <v>29</v>
      </c>
      <c r="G19" s="6" t="s">
        <v>26</v>
      </c>
    </row>
    <row r="20" spans="1:10" s="21" customFormat="1" ht="15" customHeight="1" x14ac:dyDescent="0.3">
      <c r="A20" s="20">
        <v>45673</v>
      </c>
      <c r="B20" s="16"/>
      <c r="C20" s="16">
        <v>40000</v>
      </c>
      <c r="D20" s="17"/>
      <c r="E20" s="18" t="s">
        <v>434</v>
      </c>
      <c r="F20" s="19"/>
      <c r="G20" s="6" t="s">
        <v>434</v>
      </c>
      <c r="H20" s="6"/>
      <c r="I20" s="7"/>
      <c r="J20" s="7"/>
    </row>
    <row r="21" spans="1:10" x14ac:dyDescent="0.3">
      <c r="A21" s="20">
        <v>45673</v>
      </c>
      <c r="B21" s="16"/>
      <c r="C21" s="16">
        <v>140000</v>
      </c>
      <c r="D21" s="17"/>
      <c r="E21" s="18" t="s">
        <v>16</v>
      </c>
      <c r="F21" s="19"/>
      <c r="G21" s="6" t="s">
        <v>16</v>
      </c>
      <c r="J21" s="6"/>
    </row>
    <row r="22" spans="1:10" x14ac:dyDescent="0.3">
      <c r="A22" s="20">
        <v>45673</v>
      </c>
      <c r="B22" s="16"/>
      <c r="C22" s="16">
        <v>33000</v>
      </c>
      <c r="D22" s="17"/>
      <c r="E22" s="18" t="s">
        <v>23</v>
      </c>
      <c r="F22" s="19" t="s">
        <v>28</v>
      </c>
      <c r="G22" s="6" t="s">
        <v>23</v>
      </c>
    </row>
    <row r="23" spans="1:10" x14ac:dyDescent="0.3">
      <c r="A23" s="20">
        <v>45673</v>
      </c>
      <c r="B23" s="16"/>
      <c r="C23" s="16">
        <v>20000</v>
      </c>
      <c r="D23" s="17"/>
      <c r="E23" s="18" t="s">
        <v>30</v>
      </c>
      <c r="F23" s="19" t="s">
        <v>28</v>
      </c>
      <c r="G23" s="6" t="s">
        <v>30</v>
      </c>
      <c r="I23" s="6"/>
    </row>
    <row r="24" spans="1:10" ht="26" x14ac:dyDescent="0.3">
      <c r="A24" s="20">
        <v>45673</v>
      </c>
      <c r="B24" s="16"/>
      <c r="C24" s="16">
        <v>13200</v>
      </c>
      <c r="D24" s="17"/>
      <c r="E24" s="18" t="s">
        <v>31</v>
      </c>
      <c r="F24" s="22" t="s">
        <v>32</v>
      </c>
      <c r="G24" s="6" t="s">
        <v>31</v>
      </c>
    </row>
    <row r="25" spans="1:10" x14ac:dyDescent="0.3">
      <c r="A25" s="20">
        <v>45673</v>
      </c>
      <c r="B25" s="16"/>
      <c r="C25" s="16">
        <v>35000</v>
      </c>
      <c r="D25" s="17"/>
      <c r="E25" s="18" t="s">
        <v>14</v>
      </c>
      <c r="F25" s="19"/>
      <c r="G25" s="6" t="s">
        <v>14</v>
      </c>
    </row>
    <row r="26" spans="1:10" x14ac:dyDescent="0.3">
      <c r="A26" s="20">
        <v>45673</v>
      </c>
      <c r="B26" s="16"/>
      <c r="C26" s="16">
        <v>10000</v>
      </c>
      <c r="D26" s="17"/>
      <c r="E26" s="18" t="s">
        <v>15</v>
      </c>
      <c r="F26" s="19"/>
      <c r="G26" s="6" t="s">
        <v>15</v>
      </c>
    </row>
    <row r="27" spans="1:10" x14ac:dyDescent="0.3">
      <c r="A27" s="20">
        <v>45674</v>
      </c>
      <c r="B27" s="16"/>
      <c r="C27" s="16">
        <v>130000</v>
      </c>
      <c r="D27" s="17"/>
      <c r="E27" s="18" t="s">
        <v>15</v>
      </c>
      <c r="F27" s="19"/>
      <c r="G27" s="6" t="s">
        <v>15</v>
      </c>
    </row>
    <row r="28" spans="1:10" ht="26" x14ac:dyDescent="0.3">
      <c r="A28" s="20">
        <v>45674</v>
      </c>
      <c r="B28" s="16"/>
      <c r="C28" s="16">
        <v>27370</v>
      </c>
      <c r="D28" s="17"/>
      <c r="E28" s="18" t="s">
        <v>18</v>
      </c>
      <c r="F28" s="19" t="s">
        <v>33</v>
      </c>
      <c r="G28" s="6" t="s">
        <v>34</v>
      </c>
    </row>
    <row r="29" spans="1:10" x14ac:dyDescent="0.3">
      <c r="A29" s="20">
        <v>45674</v>
      </c>
      <c r="B29" s="16"/>
      <c r="C29" s="16">
        <v>1000</v>
      </c>
      <c r="D29" s="17"/>
      <c r="E29" s="18" t="s">
        <v>18</v>
      </c>
      <c r="F29" s="19" t="s">
        <v>35</v>
      </c>
      <c r="G29" s="6" t="s">
        <v>26</v>
      </c>
    </row>
    <row r="30" spans="1:10" x14ac:dyDescent="0.3">
      <c r="A30" s="20">
        <v>45674</v>
      </c>
      <c r="B30" s="16"/>
      <c r="C30" s="16">
        <v>2461</v>
      </c>
      <c r="D30" s="17"/>
      <c r="E30" s="18" t="s">
        <v>18</v>
      </c>
      <c r="F30" s="19" t="s">
        <v>36</v>
      </c>
      <c r="G30" s="6" t="s">
        <v>34</v>
      </c>
    </row>
    <row r="31" spans="1:10" x14ac:dyDescent="0.3">
      <c r="A31" s="20">
        <v>45674</v>
      </c>
      <c r="B31" s="16"/>
      <c r="C31" s="16">
        <v>27682</v>
      </c>
      <c r="D31" s="17"/>
      <c r="E31" s="18" t="s">
        <v>18</v>
      </c>
      <c r="F31" s="19" t="s">
        <v>37</v>
      </c>
      <c r="G31" s="6" t="s">
        <v>34</v>
      </c>
    </row>
    <row r="32" spans="1:10" x14ac:dyDescent="0.3">
      <c r="A32" s="20">
        <v>45674</v>
      </c>
      <c r="B32" s="16"/>
      <c r="C32" s="16">
        <v>75000</v>
      </c>
      <c r="D32" s="17"/>
      <c r="E32" s="18" t="s">
        <v>17</v>
      </c>
      <c r="F32" s="19"/>
      <c r="G32" s="6" t="s">
        <v>17</v>
      </c>
    </row>
    <row r="33" spans="1:8" x14ac:dyDescent="0.3">
      <c r="A33" s="20">
        <v>45674</v>
      </c>
      <c r="B33" s="16"/>
      <c r="C33" s="16">
        <v>20000</v>
      </c>
      <c r="D33" s="17"/>
      <c r="E33" s="18" t="s">
        <v>10</v>
      </c>
      <c r="F33" s="19" t="s">
        <v>28</v>
      </c>
      <c r="G33" s="6" t="s">
        <v>10</v>
      </c>
    </row>
    <row r="34" spans="1:8" x14ac:dyDescent="0.3">
      <c r="A34" s="20">
        <v>45678</v>
      </c>
      <c r="B34" s="16"/>
      <c r="C34" s="16">
        <v>2930</v>
      </c>
      <c r="D34" s="17"/>
      <c r="E34" s="18" t="s">
        <v>31</v>
      </c>
      <c r="F34" s="19" t="s">
        <v>38</v>
      </c>
      <c r="G34" s="6" t="s">
        <v>31</v>
      </c>
    </row>
    <row r="35" spans="1:8" ht="15" customHeight="1" x14ac:dyDescent="0.3">
      <c r="A35" s="20">
        <v>45678</v>
      </c>
      <c r="B35" s="16"/>
      <c r="C35" s="16">
        <v>1500</v>
      </c>
      <c r="D35" s="17"/>
      <c r="E35" s="18" t="s">
        <v>14</v>
      </c>
      <c r="F35" s="19"/>
      <c r="G35" s="6" t="s">
        <v>14</v>
      </c>
    </row>
    <row r="36" spans="1:8" x14ac:dyDescent="0.3">
      <c r="A36" s="20">
        <v>45678</v>
      </c>
      <c r="B36" s="16"/>
      <c r="C36" s="16">
        <v>12000</v>
      </c>
      <c r="D36" s="17"/>
      <c r="E36" s="18" t="s">
        <v>39</v>
      </c>
      <c r="F36" s="19" t="s">
        <v>40</v>
      </c>
      <c r="G36" s="6" t="s">
        <v>39</v>
      </c>
    </row>
    <row r="37" spans="1:8" x14ac:dyDescent="0.3">
      <c r="A37" s="20">
        <v>45682</v>
      </c>
      <c r="B37" s="16"/>
      <c r="C37" s="16">
        <v>50000</v>
      </c>
      <c r="D37" s="17"/>
      <c r="E37" s="18" t="s">
        <v>41</v>
      </c>
      <c r="F37" s="23" t="s">
        <v>42</v>
      </c>
      <c r="G37" s="6" t="s">
        <v>41</v>
      </c>
      <c r="H37" s="6" t="s">
        <v>43</v>
      </c>
    </row>
    <row r="38" spans="1:8" x14ac:dyDescent="0.3">
      <c r="A38" s="20">
        <v>45688</v>
      </c>
      <c r="B38" s="16"/>
      <c r="C38" s="16">
        <v>5000</v>
      </c>
      <c r="D38" s="17"/>
      <c r="E38" s="18" t="s">
        <v>15</v>
      </c>
      <c r="F38" s="19"/>
      <c r="G38" s="6" t="s">
        <v>15</v>
      </c>
    </row>
    <row r="39" spans="1:8" x14ac:dyDescent="0.3">
      <c r="A39" s="20">
        <v>45688</v>
      </c>
      <c r="B39" s="16"/>
      <c r="C39" s="16">
        <v>5000</v>
      </c>
      <c r="D39" s="17"/>
      <c r="E39" s="18" t="s">
        <v>14</v>
      </c>
      <c r="F39" s="19"/>
      <c r="G39" s="6" t="s">
        <v>14</v>
      </c>
    </row>
    <row r="40" spans="1:8" x14ac:dyDescent="0.3">
      <c r="A40" s="20">
        <v>45690</v>
      </c>
      <c r="B40" s="16"/>
      <c r="C40" s="16">
        <v>1000</v>
      </c>
      <c r="D40" s="17"/>
      <c r="E40" s="18" t="s">
        <v>41</v>
      </c>
      <c r="F40" s="19" t="s">
        <v>44</v>
      </c>
      <c r="G40" s="6" t="s">
        <v>41</v>
      </c>
    </row>
    <row r="41" spans="1:8" x14ac:dyDescent="0.3">
      <c r="A41" s="20">
        <v>45690</v>
      </c>
      <c r="B41" s="16"/>
      <c r="C41" s="16">
        <v>500</v>
      </c>
      <c r="D41" s="17"/>
      <c r="E41" s="18" t="s">
        <v>14</v>
      </c>
      <c r="F41" s="19" t="s">
        <v>45</v>
      </c>
      <c r="G41" s="6" t="s">
        <v>14</v>
      </c>
    </row>
    <row r="42" spans="1:8" x14ac:dyDescent="0.3">
      <c r="A42" s="20">
        <v>45691</v>
      </c>
      <c r="B42" s="16"/>
      <c r="C42" s="16">
        <v>20000</v>
      </c>
      <c r="D42" s="17"/>
      <c r="E42" s="18" t="s">
        <v>14</v>
      </c>
      <c r="F42" s="19"/>
      <c r="G42" s="6" t="s">
        <v>14</v>
      </c>
    </row>
    <row r="43" spans="1:8" x14ac:dyDescent="0.3">
      <c r="A43" s="20">
        <v>45691</v>
      </c>
      <c r="B43" s="16"/>
      <c r="C43" s="16">
        <v>25000</v>
      </c>
      <c r="D43" s="17"/>
      <c r="E43" s="18" t="s">
        <v>15</v>
      </c>
      <c r="F43" s="19"/>
      <c r="G43" s="6" t="s">
        <v>15</v>
      </c>
    </row>
    <row r="44" spans="1:8" x14ac:dyDescent="0.3">
      <c r="A44" s="20">
        <v>45691</v>
      </c>
      <c r="B44" s="16">
        <v>100000</v>
      </c>
      <c r="C44" s="16"/>
      <c r="D44" s="17"/>
      <c r="E44" s="18" t="s">
        <v>18</v>
      </c>
      <c r="F44" s="19" t="s">
        <v>46</v>
      </c>
      <c r="G44" s="6" t="s">
        <v>47</v>
      </c>
      <c r="H44" s="6" t="s">
        <v>43</v>
      </c>
    </row>
    <row r="45" spans="1:8" x14ac:dyDescent="0.3">
      <c r="A45" s="20">
        <v>45692</v>
      </c>
      <c r="B45" s="16"/>
      <c r="C45" s="16">
        <v>60000</v>
      </c>
      <c r="D45" s="17"/>
      <c r="E45" s="18" t="s">
        <v>23</v>
      </c>
      <c r="F45" s="19" t="s">
        <v>48</v>
      </c>
      <c r="G45" s="6" t="s">
        <v>23</v>
      </c>
    </row>
    <row r="46" spans="1:8" x14ac:dyDescent="0.3">
      <c r="A46" s="20">
        <v>45692</v>
      </c>
      <c r="B46" s="16"/>
      <c r="C46" s="16">
        <v>20000</v>
      </c>
      <c r="D46" s="17"/>
      <c r="E46" s="18" t="s">
        <v>10</v>
      </c>
      <c r="F46" s="19" t="s">
        <v>48</v>
      </c>
      <c r="G46" s="6" t="s">
        <v>10</v>
      </c>
    </row>
    <row r="47" spans="1:8" x14ac:dyDescent="0.3">
      <c r="A47" s="20">
        <v>45692</v>
      </c>
      <c r="B47" s="16">
        <v>200000</v>
      </c>
      <c r="C47" s="16"/>
      <c r="D47" s="17"/>
      <c r="E47" s="18" t="s">
        <v>18</v>
      </c>
      <c r="F47" s="19" t="s">
        <v>49</v>
      </c>
      <c r="G47" s="6" t="s">
        <v>50</v>
      </c>
      <c r="H47" s="6" t="s">
        <v>43</v>
      </c>
    </row>
    <row r="48" spans="1:8" x14ac:dyDescent="0.3">
      <c r="A48" s="20">
        <v>45692</v>
      </c>
      <c r="B48" s="16"/>
      <c r="C48" s="16">
        <v>15000</v>
      </c>
      <c r="D48" s="17"/>
      <c r="E48" s="18" t="s">
        <v>30</v>
      </c>
      <c r="F48" s="19" t="s">
        <v>48</v>
      </c>
      <c r="G48" s="6" t="s">
        <v>30</v>
      </c>
    </row>
    <row r="49" spans="1:10" x14ac:dyDescent="0.3">
      <c r="A49" s="20">
        <v>45692</v>
      </c>
      <c r="B49" s="16"/>
      <c r="C49" s="16">
        <v>3500</v>
      </c>
      <c r="D49" s="17"/>
      <c r="E49" s="18" t="s">
        <v>23</v>
      </c>
      <c r="F49" s="19" t="s">
        <v>48</v>
      </c>
      <c r="G49" s="6" t="s">
        <v>23</v>
      </c>
    </row>
    <row r="50" spans="1:10" x14ac:dyDescent="0.3">
      <c r="A50" s="20">
        <v>45693</v>
      </c>
      <c r="B50" s="16"/>
      <c r="C50" s="16">
        <v>20000</v>
      </c>
      <c r="D50" s="17"/>
      <c r="E50" s="18" t="s">
        <v>17</v>
      </c>
      <c r="F50" s="19"/>
      <c r="G50" s="6" t="s">
        <v>17</v>
      </c>
    </row>
    <row r="51" spans="1:10" x14ac:dyDescent="0.3">
      <c r="A51" s="20">
        <v>45694</v>
      </c>
      <c r="B51" s="16"/>
      <c r="C51" s="16">
        <v>1395</v>
      </c>
      <c r="D51" s="17"/>
      <c r="E51" s="18" t="s">
        <v>18</v>
      </c>
      <c r="F51" s="19" t="s">
        <v>51</v>
      </c>
      <c r="G51" s="6" t="s">
        <v>34</v>
      </c>
    </row>
    <row r="52" spans="1:10" x14ac:dyDescent="0.3">
      <c r="A52" s="20">
        <v>45694</v>
      </c>
      <c r="B52" s="16"/>
      <c r="C52" s="16">
        <v>10000</v>
      </c>
      <c r="D52" s="17"/>
      <c r="E52" s="18" t="s">
        <v>16</v>
      </c>
      <c r="F52" s="19"/>
      <c r="G52" s="6" t="s">
        <v>16</v>
      </c>
    </row>
    <row r="53" spans="1:10" x14ac:dyDescent="0.3">
      <c r="A53" s="20">
        <v>45694</v>
      </c>
      <c r="B53" s="16"/>
      <c r="C53" s="16">
        <v>20000</v>
      </c>
      <c r="D53" s="17"/>
      <c r="E53" s="18" t="s">
        <v>52</v>
      </c>
      <c r="F53" s="19" t="s">
        <v>48</v>
      </c>
      <c r="G53" s="6" t="s">
        <v>52</v>
      </c>
    </row>
    <row r="54" spans="1:10" x14ac:dyDescent="0.3">
      <c r="A54" s="20">
        <v>45694</v>
      </c>
      <c r="B54" s="16"/>
      <c r="C54" s="16">
        <v>15000</v>
      </c>
      <c r="D54" s="17"/>
      <c r="E54" s="18" t="s">
        <v>30</v>
      </c>
      <c r="F54" s="19" t="s">
        <v>48</v>
      </c>
      <c r="G54" s="6" t="s">
        <v>30</v>
      </c>
    </row>
    <row r="55" spans="1:10" x14ac:dyDescent="0.3">
      <c r="A55" s="20">
        <v>45695</v>
      </c>
      <c r="B55" s="16"/>
      <c r="C55" s="16">
        <v>2781</v>
      </c>
      <c r="D55" s="17"/>
      <c r="E55" s="18" t="s">
        <v>18</v>
      </c>
      <c r="F55" s="19" t="s">
        <v>27</v>
      </c>
      <c r="G55" s="6" t="s">
        <v>26</v>
      </c>
    </row>
    <row r="56" spans="1:10" x14ac:dyDescent="0.3">
      <c r="A56" s="20">
        <v>45695</v>
      </c>
      <c r="B56" s="16"/>
      <c r="C56" s="16">
        <v>8500</v>
      </c>
      <c r="D56" s="17"/>
      <c r="E56" s="18" t="s">
        <v>14</v>
      </c>
      <c r="F56" s="19"/>
      <c r="G56" s="6" t="s">
        <v>14</v>
      </c>
    </row>
    <row r="57" spans="1:10" x14ac:dyDescent="0.3">
      <c r="A57" s="20">
        <v>45697</v>
      </c>
      <c r="B57" s="16"/>
      <c r="C57" s="16">
        <v>12000</v>
      </c>
      <c r="D57" s="17"/>
      <c r="E57" s="18" t="s">
        <v>17</v>
      </c>
      <c r="F57" s="19"/>
      <c r="G57" s="6" t="s">
        <v>17</v>
      </c>
    </row>
    <row r="58" spans="1:10" x14ac:dyDescent="0.3">
      <c r="A58" s="20">
        <v>45700</v>
      </c>
      <c r="B58" s="16"/>
      <c r="C58" s="16">
        <v>2000</v>
      </c>
      <c r="D58" s="17"/>
      <c r="E58" s="18" t="s">
        <v>14</v>
      </c>
      <c r="F58" s="19"/>
      <c r="G58" s="6" t="s">
        <v>14</v>
      </c>
    </row>
    <row r="59" spans="1:10" x14ac:dyDescent="0.3">
      <c r="A59" s="20">
        <v>45701</v>
      </c>
      <c r="B59" s="16"/>
      <c r="C59" s="16">
        <v>15000</v>
      </c>
      <c r="D59" s="17"/>
      <c r="E59" s="18" t="s">
        <v>15</v>
      </c>
      <c r="F59" s="19"/>
      <c r="G59" s="6" t="s">
        <v>15</v>
      </c>
    </row>
    <row r="60" spans="1:10" x14ac:dyDescent="0.3">
      <c r="A60" s="20">
        <v>45701</v>
      </c>
      <c r="B60" s="16"/>
      <c r="C60" s="16">
        <v>15000</v>
      </c>
      <c r="D60" s="17"/>
      <c r="E60" s="18" t="s">
        <v>16</v>
      </c>
      <c r="F60" s="19"/>
      <c r="G60" s="6" t="s">
        <v>16</v>
      </c>
    </row>
    <row r="61" spans="1:10" x14ac:dyDescent="0.3">
      <c r="A61" s="20">
        <v>45701</v>
      </c>
      <c r="B61" s="16"/>
      <c r="C61" s="16">
        <v>15980</v>
      </c>
      <c r="D61" s="17"/>
      <c r="E61" s="18" t="s">
        <v>14</v>
      </c>
      <c r="F61" s="19"/>
      <c r="G61" s="6" t="s">
        <v>14</v>
      </c>
    </row>
    <row r="62" spans="1:10" ht="26" x14ac:dyDescent="0.3">
      <c r="A62" s="20">
        <v>45701</v>
      </c>
      <c r="B62" s="16">
        <v>200000</v>
      </c>
      <c r="C62" s="16"/>
      <c r="D62" s="17"/>
      <c r="E62" s="18" t="s">
        <v>18</v>
      </c>
      <c r="F62" s="19" t="s">
        <v>53</v>
      </c>
      <c r="G62" s="6" t="s">
        <v>54</v>
      </c>
      <c r="H62" s="6" t="s">
        <v>55</v>
      </c>
      <c r="I62" s="7" t="s">
        <v>56</v>
      </c>
      <c r="J62" s="7" t="s">
        <v>57</v>
      </c>
    </row>
    <row r="63" spans="1:10" x14ac:dyDescent="0.3">
      <c r="A63" s="20">
        <v>45701</v>
      </c>
      <c r="B63" s="16"/>
      <c r="C63" s="16">
        <f>9000+1075</f>
        <v>10075</v>
      </c>
      <c r="D63" s="17"/>
      <c r="E63" s="18" t="s">
        <v>58</v>
      </c>
      <c r="F63" s="19" t="s">
        <v>59</v>
      </c>
      <c r="G63" s="6" t="s">
        <v>26</v>
      </c>
    </row>
    <row r="64" spans="1:10" x14ac:dyDescent="0.3">
      <c r="A64" s="20">
        <v>45702</v>
      </c>
      <c r="B64" s="16"/>
      <c r="C64" s="16">
        <v>35000</v>
      </c>
      <c r="D64" s="17"/>
      <c r="E64" s="18" t="s">
        <v>17</v>
      </c>
      <c r="F64" s="19" t="s">
        <v>60</v>
      </c>
      <c r="G64" s="6" t="s">
        <v>17</v>
      </c>
    </row>
    <row r="65" spans="1:8" x14ac:dyDescent="0.3">
      <c r="A65" s="20">
        <v>45704</v>
      </c>
      <c r="B65" s="16"/>
      <c r="C65" s="16">
        <v>1000</v>
      </c>
      <c r="D65" s="17"/>
      <c r="E65" s="18" t="s">
        <v>14</v>
      </c>
      <c r="F65" s="19"/>
      <c r="G65" s="6" t="s">
        <v>14</v>
      </c>
    </row>
    <row r="66" spans="1:8" x14ac:dyDescent="0.3">
      <c r="A66" s="20">
        <v>45706</v>
      </c>
      <c r="B66" s="16"/>
      <c r="C66" s="16">
        <v>500</v>
      </c>
      <c r="D66" s="17"/>
      <c r="E66" s="18" t="s">
        <v>14</v>
      </c>
      <c r="F66" s="19"/>
      <c r="G66" s="6" t="s">
        <v>14</v>
      </c>
    </row>
    <row r="67" spans="1:8" x14ac:dyDescent="0.3">
      <c r="A67" s="20">
        <v>45707</v>
      </c>
      <c r="B67" s="16"/>
      <c r="C67" s="16">
        <v>3000</v>
      </c>
      <c r="D67" s="17"/>
      <c r="E67" s="18" t="s">
        <v>14</v>
      </c>
      <c r="F67" s="23"/>
      <c r="G67" s="6" t="s">
        <v>14</v>
      </c>
    </row>
    <row r="68" spans="1:8" x14ac:dyDescent="0.3">
      <c r="A68" s="20">
        <v>45709</v>
      </c>
      <c r="B68" s="16"/>
      <c r="C68" s="16">
        <v>1000</v>
      </c>
      <c r="D68" s="17"/>
      <c r="E68" s="18" t="s">
        <v>14</v>
      </c>
      <c r="F68" s="23"/>
      <c r="G68" s="6" t="s">
        <v>14</v>
      </c>
    </row>
    <row r="69" spans="1:8" x14ac:dyDescent="0.3">
      <c r="A69" s="20">
        <v>45711</v>
      </c>
      <c r="B69" s="16"/>
      <c r="C69" s="16">
        <v>1000</v>
      </c>
      <c r="D69" s="17"/>
      <c r="E69" s="18" t="s">
        <v>14</v>
      </c>
      <c r="F69" s="23"/>
      <c r="G69" s="6" t="s">
        <v>14</v>
      </c>
    </row>
    <row r="70" spans="1:8" x14ac:dyDescent="0.3">
      <c r="A70" s="20">
        <v>45713</v>
      </c>
      <c r="B70" s="16"/>
      <c r="C70" s="16">
        <v>30000</v>
      </c>
      <c r="D70" s="17"/>
      <c r="E70" s="18" t="s">
        <v>434</v>
      </c>
      <c r="F70" s="19"/>
      <c r="G70" s="6" t="s">
        <v>434</v>
      </c>
    </row>
    <row r="71" spans="1:8" x14ac:dyDescent="0.3">
      <c r="A71" s="20">
        <v>45713</v>
      </c>
      <c r="B71" s="16"/>
      <c r="C71" s="16">
        <v>15000</v>
      </c>
      <c r="D71" s="17"/>
      <c r="E71" s="18" t="s">
        <v>434</v>
      </c>
      <c r="F71" s="19" t="s">
        <v>61</v>
      </c>
      <c r="G71" s="6" t="s">
        <v>434</v>
      </c>
    </row>
    <row r="72" spans="1:8" ht="26" x14ac:dyDescent="0.3">
      <c r="A72" s="20">
        <v>45713</v>
      </c>
      <c r="B72" s="16">
        <v>232000</v>
      </c>
      <c r="C72" s="16"/>
      <c r="D72" s="17"/>
      <c r="E72" s="18" t="s">
        <v>434</v>
      </c>
      <c r="F72" s="19" t="s">
        <v>62</v>
      </c>
      <c r="G72" s="6" t="s">
        <v>63</v>
      </c>
      <c r="H72" s="6" t="s">
        <v>64</v>
      </c>
    </row>
    <row r="73" spans="1:8" x14ac:dyDescent="0.3">
      <c r="A73" s="20">
        <v>45713</v>
      </c>
      <c r="B73" s="16"/>
      <c r="C73" s="16">
        <v>53000</v>
      </c>
      <c r="D73" s="17"/>
      <c r="E73" s="18" t="s">
        <v>23</v>
      </c>
      <c r="F73" s="19" t="s">
        <v>65</v>
      </c>
      <c r="G73" s="6" t="s">
        <v>23</v>
      </c>
    </row>
    <row r="74" spans="1:8" x14ac:dyDescent="0.3">
      <c r="A74" s="20">
        <v>45713</v>
      </c>
      <c r="B74" s="16"/>
      <c r="C74" s="16">
        <v>20000</v>
      </c>
      <c r="D74" s="17"/>
      <c r="E74" s="18" t="s">
        <v>30</v>
      </c>
      <c r="F74" s="19" t="s">
        <v>65</v>
      </c>
      <c r="G74" s="6" t="s">
        <v>30</v>
      </c>
    </row>
    <row r="75" spans="1:8" x14ac:dyDescent="0.3">
      <c r="A75" s="20">
        <v>45713</v>
      </c>
      <c r="B75" s="16"/>
      <c r="C75" s="16">
        <v>1032</v>
      </c>
      <c r="D75" s="17"/>
      <c r="E75" s="18" t="s">
        <v>18</v>
      </c>
      <c r="F75" s="19" t="s">
        <v>36</v>
      </c>
      <c r="G75" s="6" t="s">
        <v>34</v>
      </c>
    </row>
    <row r="76" spans="1:8" x14ac:dyDescent="0.3">
      <c r="A76" s="20">
        <v>45713</v>
      </c>
      <c r="B76" s="16"/>
      <c r="C76" s="16">
        <v>10000</v>
      </c>
      <c r="D76" s="17"/>
      <c r="E76" s="18" t="s">
        <v>16</v>
      </c>
      <c r="F76" s="19"/>
      <c r="G76" s="6" t="s">
        <v>16</v>
      </c>
    </row>
    <row r="77" spans="1:8" x14ac:dyDescent="0.3">
      <c r="A77" s="20">
        <v>45713</v>
      </c>
      <c r="B77" s="16"/>
      <c r="C77" s="16">
        <v>10000</v>
      </c>
      <c r="D77" s="17"/>
      <c r="E77" s="18" t="s">
        <v>15</v>
      </c>
      <c r="F77" s="19"/>
      <c r="G77" s="6" t="s">
        <v>15</v>
      </c>
    </row>
    <row r="78" spans="1:8" x14ac:dyDescent="0.3">
      <c r="A78" s="20">
        <v>45713</v>
      </c>
      <c r="B78" s="16"/>
      <c r="C78" s="16">
        <v>30000</v>
      </c>
      <c r="D78" s="17"/>
      <c r="E78" s="18" t="s">
        <v>14</v>
      </c>
      <c r="F78" s="19"/>
      <c r="G78" s="6" t="s">
        <v>14</v>
      </c>
    </row>
    <row r="79" spans="1:8" x14ac:dyDescent="0.3">
      <c r="A79" s="20">
        <v>45713</v>
      </c>
      <c r="B79" s="16"/>
      <c r="C79" s="16">
        <v>20000</v>
      </c>
      <c r="D79" s="17"/>
      <c r="E79" s="18" t="s">
        <v>17</v>
      </c>
      <c r="F79" s="19"/>
      <c r="G79" s="6" t="s">
        <v>17</v>
      </c>
    </row>
    <row r="80" spans="1:8" ht="14.4" customHeight="1" x14ac:dyDescent="0.3">
      <c r="A80" s="20">
        <v>45714</v>
      </c>
      <c r="B80" s="16"/>
      <c r="C80" s="16">
        <v>5000</v>
      </c>
      <c r="D80" s="17"/>
      <c r="E80" s="18" t="s">
        <v>16</v>
      </c>
      <c r="F80" s="19"/>
      <c r="G80" s="6" t="s">
        <v>16</v>
      </c>
    </row>
    <row r="81" spans="1:8" x14ac:dyDescent="0.3">
      <c r="A81" s="20">
        <v>45715</v>
      </c>
      <c r="B81" s="16"/>
      <c r="C81" s="16"/>
      <c r="D81" s="17">
        <v>550</v>
      </c>
      <c r="E81" s="18" t="s">
        <v>16</v>
      </c>
      <c r="F81" s="19"/>
      <c r="G81" s="6" t="s">
        <v>16</v>
      </c>
    </row>
    <row r="82" spans="1:8" x14ac:dyDescent="0.3">
      <c r="A82" s="20">
        <v>45716</v>
      </c>
      <c r="B82" s="16"/>
      <c r="C82" s="16">
        <v>1000</v>
      </c>
      <c r="D82" s="17"/>
      <c r="E82" s="18" t="s">
        <v>14</v>
      </c>
      <c r="F82" s="19"/>
      <c r="G82" s="6" t="s">
        <v>14</v>
      </c>
    </row>
    <row r="83" spans="1:8" x14ac:dyDescent="0.3">
      <c r="A83" s="20">
        <v>45719</v>
      </c>
      <c r="B83" s="16"/>
      <c r="C83" s="16">
        <v>2031</v>
      </c>
      <c r="D83" s="17"/>
      <c r="E83" s="18" t="s">
        <v>18</v>
      </c>
      <c r="F83" s="19" t="s">
        <v>51</v>
      </c>
      <c r="G83" s="6" t="s">
        <v>34</v>
      </c>
    </row>
    <row r="84" spans="1:8" x14ac:dyDescent="0.3">
      <c r="A84" s="20">
        <v>45719</v>
      </c>
      <c r="B84" s="16"/>
      <c r="C84" s="16">
        <v>1000</v>
      </c>
      <c r="D84" s="17"/>
      <c r="E84" s="18" t="s">
        <v>14</v>
      </c>
      <c r="F84" s="19"/>
      <c r="G84" s="6" t="s">
        <v>14</v>
      </c>
    </row>
    <row r="85" spans="1:8" x14ac:dyDescent="0.3">
      <c r="A85" s="20">
        <v>45721</v>
      </c>
      <c r="B85" s="16">
        <v>200000</v>
      </c>
      <c r="C85" s="16"/>
      <c r="D85" s="17"/>
      <c r="E85" s="18" t="s">
        <v>18</v>
      </c>
      <c r="F85" s="19" t="s">
        <v>19</v>
      </c>
      <c r="G85" s="6" t="s">
        <v>20</v>
      </c>
      <c r="H85" s="6" t="s">
        <v>20</v>
      </c>
    </row>
    <row r="86" spans="1:8" ht="27" customHeight="1" x14ac:dyDescent="0.3">
      <c r="A86" s="20">
        <v>45721</v>
      </c>
      <c r="B86" s="16">
        <v>282300</v>
      </c>
      <c r="C86" s="16"/>
      <c r="D86" s="17"/>
      <c r="E86" s="18" t="s">
        <v>18</v>
      </c>
      <c r="F86" s="19" t="s">
        <v>66</v>
      </c>
      <c r="G86" s="6" t="s">
        <v>67</v>
      </c>
      <c r="H86" s="6" t="s">
        <v>64</v>
      </c>
    </row>
    <row r="87" spans="1:8" x14ac:dyDescent="0.3">
      <c r="A87" s="20">
        <v>45721</v>
      </c>
      <c r="B87" s="16"/>
      <c r="C87" s="16">
        <v>3208</v>
      </c>
      <c r="D87" s="17"/>
      <c r="E87" s="18" t="s">
        <v>18</v>
      </c>
      <c r="F87" s="19" t="s">
        <v>68</v>
      </c>
      <c r="G87" s="6" t="s">
        <v>34</v>
      </c>
    </row>
    <row r="88" spans="1:8" x14ac:dyDescent="0.3">
      <c r="A88" s="20">
        <v>45721</v>
      </c>
      <c r="B88" s="16"/>
      <c r="C88" s="16">
        <v>30000</v>
      </c>
      <c r="D88" s="17"/>
      <c r="E88" s="18" t="s">
        <v>15</v>
      </c>
      <c r="F88" s="19"/>
      <c r="G88" s="6" t="s">
        <v>15</v>
      </c>
    </row>
    <row r="89" spans="1:8" x14ac:dyDescent="0.3">
      <c r="A89" s="20">
        <v>45721</v>
      </c>
      <c r="B89" s="16"/>
      <c r="C89" s="16">
        <v>30000</v>
      </c>
      <c r="D89" s="17"/>
      <c r="E89" s="18" t="s">
        <v>17</v>
      </c>
      <c r="F89" s="19"/>
      <c r="G89" s="6" t="s">
        <v>17</v>
      </c>
    </row>
    <row r="90" spans="1:8" x14ac:dyDescent="0.3">
      <c r="A90" s="20">
        <v>45722</v>
      </c>
      <c r="B90" s="16"/>
      <c r="C90" s="16">
        <v>30000</v>
      </c>
      <c r="D90" s="17"/>
      <c r="E90" s="18" t="s">
        <v>30</v>
      </c>
      <c r="F90" s="19" t="s">
        <v>69</v>
      </c>
      <c r="G90" s="6" t="s">
        <v>30</v>
      </c>
    </row>
    <row r="91" spans="1:8" x14ac:dyDescent="0.3">
      <c r="A91" s="20">
        <v>45722</v>
      </c>
      <c r="B91" s="16"/>
      <c r="C91" s="16">
        <v>75000</v>
      </c>
      <c r="D91" s="17"/>
      <c r="E91" s="18" t="s">
        <v>23</v>
      </c>
      <c r="F91" s="19" t="s">
        <v>69</v>
      </c>
      <c r="G91" s="6" t="s">
        <v>23</v>
      </c>
    </row>
    <row r="92" spans="1:8" x14ac:dyDescent="0.3">
      <c r="A92" s="20">
        <v>45722</v>
      </c>
      <c r="B92" s="16"/>
      <c r="C92" s="16">
        <v>25000</v>
      </c>
      <c r="D92" s="17"/>
      <c r="E92" s="18" t="s">
        <v>14</v>
      </c>
      <c r="F92" s="19"/>
      <c r="G92" s="6" t="s">
        <v>14</v>
      </c>
    </row>
    <row r="93" spans="1:8" x14ac:dyDescent="0.3">
      <c r="A93" s="20">
        <v>45722</v>
      </c>
      <c r="B93" s="16"/>
      <c r="C93" s="16">
        <v>5000</v>
      </c>
      <c r="D93" s="17"/>
      <c r="E93" s="18" t="s">
        <v>70</v>
      </c>
      <c r="F93" s="19" t="s">
        <v>71</v>
      </c>
      <c r="G93" s="6" t="s">
        <v>16</v>
      </c>
    </row>
    <row r="94" spans="1:8" x14ac:dyDescent="0.3">
      <c r="A94" s="20">
        <v>45722</v>
      </c>
      <c r="B94" s="16"/>
      <c r="C94" s="16">
        <v>60000</v>
      </c>
      <c r="D94" s="17"/>
      <c r="E94" s="18" t="s">
        <v>15</v>
      </c>
      <c r="F94" s="19"/>
      <c r="G94" s="6" t="s">
        <v>15</v>
      </c>
    </row>
    <row r="95" spans="1:8" x14ac:dyDescent="0.3">
      <c r="A95" s="20">
        <v>45722</v>
      </c>
      <c r="B95" s="16"/>
      <c r="C95" s="24">
        <v>20000</v>
      </c>
      <c r="D95" s="17"/>
      <c r="E95" s="18" t="s">
        <v>52</v>
      </c>
      <c r="F95" s="19" t="s">
        <v>69</v>
      </c>
      <c r="G95" s="6" t="s">
        <v>52</v>
      </c>
    </row>
    <row r="96" spans="1:8" x14ac:dyDescent="0.3">
      <c r="A96" s="20">
        <v>45722</v>
      </c>
      <c r="B96" s="16"/>
      <c r="C96" s="16">
        <v>20000</v>
      </c>
      <c r="D96" s="17"/>
      <c r="E96" s="18" t="s">
        <v>10</v>
      </c>
      <c r="F96" s="19" t="s">
        <v>65</v>
      </c>
      <c r="G96" s="6" t="s">
        <v>10</v>
      </c>
    </row>
    <row r="97" spans="1:8" x14ac:dyDescent="0.3">
      <c r="A97" s="20">
        <v>45722</v>
      </c>
      <c r="B97" s="16"/>
      <c r="C97" s="16">
        <v>2000</v>
      </c>
      <c r="D97" s="17"/>
      <c r="E97" s="18" t="s">
        <v>14</v>
      </c>
      <c r="F97" s="19"/>
      <c r="G97" s="6" t="s">
        <v>14</v>
      </c>
    </row>
    <row r="98" spans="1:8" x14ac:dyDescent="0.3">
      <c r="A98" s="20">
        <v>45723</v>
      </c>
      <c r="B98" s="16"/>
      <c r="C98" s="16">
        <v>20000</v>
      </c>
      <c r="D98" s="17"/>
      <c r="E98" s="18" t="s">
        <v>10</v>
      </c>
      <c r="F98" s="19" t="s">
        <v>69</v>
      </c>
      <c r="G98" s="6" t="s">
        <v>10</v>
      </c>
    </row>
    <row r="99" spans="1:8" x14ac:dyDescent="0.3">
      <c r="A99" s="20">
        <v>45727</v>
      </c>
      <c r="B99" s="16"/>
      <c r="C99" s="16">
        <v>5000</v>
      </c>
      <c r="D99" s="17"/>
      <c r="E99" s="18" t="s">
        <v>16</v>
      </c>
      <c r="F99" s="19"/>
      <c r="G99" s="6" t="s">
        <v>16</v>
      </c>
    </row>
    <row r="100" spans="1:8" x14ac:dyDescent="0.3">
      <c r="A100" s="20">
        <v>45728</v>
      </c>
      <c r="B100" s="16"/>
      <c r="C100" s="16">
        <v>700</v>
      </c>
      <c r="D100" s="17"/>
      <c r="E100" s="18" t="s">
        <v>18</v>
      </c>
      <c r="F100" s="19" t="s">
        <v>51</v>
      </c>
      <c r="G100" s="6" t="s">
        <v>34</v>
      </c>
    </row>
    <row r="101" spans="1:8" x14ac:dyDescent="0.3">
      <c r="A101" s="20">
        <v>45729</v>
      </c>
      <c r="B101" s="16">
        <v>45000</v>
      </c>
      <c r="C101" s="16"/>
      <c r="D101" s="17"/>
      <c r="E101" s="18" t="s">
        <v>18</v>
      </c>
      <c r="F101" s="19" t="s">
        <v>72</v>
      </c>
      <c r="G101" s="6" t="s">
        <v>55</v>
      </c>
      <c r="H101" s="6" t="s">
        <v>43</v>
      </c>
    </row>
    <row r="102" spans="1:8" x14ac:dyDescent="0.3">
      <c r="A102" s="20">
        <v>45729</v>
      </c>
      <c r="B102" s="16"/>
      <c r="C102" s="16">
        <v>5000</v>
      </c>
      <c r="D102" s="17"/>
      <c r="E102" s="18" t="s">
        <v>14</v>
      </c>
      <c r="F102" s="19"/>
      <c r="G102" s="6" t="s">
        <v>14</v>
      </c>
    </row>
    <row r="103" spans="1:8" x14ac:dyDescent="0.3">
      <c r="A103" s="20">
        <v>45730</v>
      </c>
      <c r="B103" s="16"/>
      <c r="C103" s="16">
        <v>15000</v>
      </c>
      <c r="D103" s="17"/>
      <c r="E103" s="18" t="s">
        <v>73</v>
      </c>
      <c r="F103" s="19" t="s">
        <v>74</v>
      </c>
      <c r="G103" s="6" t="s">
        <v>26</v>
      </c>
    </row>
    <row r="104" spans="1:8" x14ac:dyDescent="0.3">
      <c r="A104" s="20">
        <v>45730</v>
      </c>
      <c r="B104" s="16"/>
      <c r="C104" s="16">
        <v>1000</v>
      </c>
      <c r="D104" s="17"/>
      <c r="E104" s="18" t="s">
        <v>70</v>
      </c>
      <c r="F104" s="19"/>
      <c r="G104" s="6" t="s">
        <v>70</v>
      </c>
    </row>
    <row r="105" spans="1:8" x14ac:dyDescent="0.3">
      <c r="A105" s="20">
        <v>45731</v>
      </c>
      <c r="B105" s="16"/>
      <c r="C105" s="16">
        <f>3320+1681</f>
        <v>5001</v>
      </c>
      <c r="D105" s="17"/>
      <c r="E105" s="18" t="s">
        <v>18</v>
      </c>
      <c r="F105" s="19" t="s">
        <v>75</v>
      </c>
      <c r="G105" s="6" t="s">
        <v>76</v>
      </c>
    </row>
    <row r="106" spans="1:8" x14ac:dyDescent="0.3">
      <c r="A106" s="20">
        <v>45731</v>
      </c>
      <c r="B106" s="16"/>
      <c r="C106" s="16">
        <f>2530+3037+3122</f>
        <v>8689</v>
      </c>
      <c r="D106" s="17"/>
      <c r="E106" s="18" t="s">
        <v>18</v>
      </c>
      <c r="F106" s="19" t="s">
        <v>27</v>
      </c>
      <c r="G106" s="6" t="s">
        <v>76</v>
      </c>
    </row>
    <row r="107" spans="1:8" ht="12.65" customHeight="1" x14ac:dyDescent="0.3">
      <c r="A107" s="20">
        <v>45731</v>
      </c>
      <c r="B107" s="16"/>
      <c r="C107" s="16">
        <v>500</v>
      </c>
      <c r="D107" s="17"/>
      <c r="E107" s="18" t="s">
        <v>18</v>
      </c>
      <c r="F107" s="19" t="s">
        <v>25</v>
      </c>
      <c r="G107" s="6" t="s">
        <v>26</v>
      </c>
    </row>
    <row r="108" spans="1:8" ht="15" customHeight="1" x14ac:dyDescent="0.3">
      <c r="A108" s="20">
        <v>45731</v>
      </c>
      <c r="B108" s="16"/>
      <c r="C108" s="16">
        <v>1681</v>
      </c>
      <c r="D108" s="17"/>
      <c r="E108" s="18" t="s">
        <v>18</v>
      </c>
      <c r="F108" s="19" t="s">
        <v>77</v>
      </c>
      <c r="G108" s="6" t="s">
        <v>76</v>
      </c>
    </row>
    <row r="109" spans="1:8" x14ac:dyDescent="0.3">
      <c r="A109" s="20">
        <v>45731</v>
      </c>
      <c r="B109" s="16"/>
      <c r="C109" s="16">
        <v>5000</v>
      </c>
      <c r="D109" s="17"/>
      <c r="E109" s="18" t="s">
        <v>18</v>
      </c>
      <c r="F109" s="19" t="s">
        <v>25</v>
      </c>
      <c r="G109" s="6" t="s">
        <v>26</v>
      </c>
    </row>
    <row r="110" spans="1:8" ht="26" x14ac:dyDescent="0.3">
      <c r="A110" s="20">
        <v>45732</v>
      </c>
      <c r="B110" s="16">
        <v>300000</v>
      </c>
      <c r="C110" s="16"/>
      <c r="D110" s="17"/>
      <c r="E110" s="18" t="s">
        <v>18</v>
      </c>
      <c r="F110" s="19" t="s">
        <v>78</v>
      </c>
      <c r="G110" s="6" t="s">
        <v>79</v>
      </c>
      <c r="H110" s="6" t="s">
        <v>64</v>
      </c>
    </row>
    <row r="111" spans="1:8" x14ac:dyDescent="0.3">
      <c r="A111" s="20">
        <v>45732</v>
      </c>
      <c r="B111" s="16"/>
      <c r="C111" s="16">
        <f>1918+2104+1602</f>
        <v>5624</v>
      </c>
      <c r="D111" s="17"/>
      <c r="E111" s="18" t="s">
        <v>18</v>
      </c>
      <c r="F111" s="19" t="s">
        <v>27</v>
      </c>
      <c r="G111" s="6" t="s">
        <v>79</v>
      </c>
    </row>
    <row r="112" spans="1:8" x14ac:dyDescent="0.3">
      <c r="A112" s="20">
        <v>45732</v>
      </c>
      <c r="B112" s="16"/>
      <c r="C112" s="16">
        <v>15000</v>
      </c>
      <c r="D112" s="17"/>
      <c r="E112" s="18" t="s">
        <v>434</v>
      </c>
      <c r="F112" s="19" t="s">
        <v>69</v>
      </c>
      <c r="G112" s="6" t="s">
        <v>434</v>
      </c>
    </row>
    <row r="113" spans="1:9" x14ac:dyDescent="0.3">
      <c r="A113" s="20">
        <v>45732</v>
      </c>
      <c r="B113" s="16"/>
      <c r="C113" s="16">
        <f>1918+2104+1602</f>
        <v>5624</v>
      </c>
      <c r="D113" s="17"/>
      <c r="E113" s="18" t="s">
        <v>18</v>
      </c>
      <c r="F113" s="19" t="s">
        <v>27</v>
      </c>
      <c r="G113" s="6" t="s">
        <v>76</v>
      </c>
    </row>
    <row r="114" spans="1:9" x14ac:dyDescent="0.3">
      <c r="A114" s="20">
        <v>45732</v>
      </c>
      <c r="B114" s="16"/>
      <c r="C114" s="16">
        <v>40000</v>
      </c>
      <c r="D114" s="17"/>
      <c r="E114" s="18" t="s">
        <v>17</v>
      </c>
      <c r="F114" s="19"/>
      <c r="G114" s="6" t="s">
        <v>17</v>
      </c>
    </row>
    <row r="115" spans="1:9" x14ac:dyDescent="0.3">
      <c r="A115" s="20">
        <v>45732</v>
      </c>
      <c r="B115" s="16"/>
      <c r="C115" s="16">
        <v>25000</v>
      </c>
      <c r="D115" s="17"/>
      <c r="E115" s="18" t="s">
        <v>14</v>
      </c>
      <c r="F115" s="19"/>
      <c r="G115" s="6" t="s">
        <v>14</v>
      </c>
    </row>
    <row r="116" spans="1:9" ht="14.4" customHeight="1" x14ac:dyDescent="0.3">
      <c r="A116" s="20">
        <v>45732</v>
      </c>
      <c r="B116" s="16"/>
      <c r="C116" s="16">
        <v>951</v>
      </c>
      <c r="D116" s="17"/>
      <c r="E116" s="18" t="s">
        <v>18</v>
      </c>
      <c r="F116" s="19" t="s">
        <v>80</v>
      </c>
      <c r="G116" s="6" t="s">
        <v>79</v>
      </c>
    </row>
    <row r="117" spans="1:9" x14ac:dyDescent="0.3">
      <c r="A117" s="20">
        <v>45733</v>
      </c>
      <c r="B117" s="16">
        <v>600000</v>
      </c>
      <c r="C117" s="16"/>
      <c r="D117" s="17"/>
      <c r="E117" s="18" t="s">
        <v>18</v>
      </c>
      <c r="F117" s="19" t="s">
        <v>19</v>
      </c>
      <c r="G117" s="6" t="s">
        <v>20</v>
      </c>
      <c r="H117" s="6" t="s">
        <v>20</v>
      </c>
    </row>
    <row r="118" spans="1:9" x14ac:dyDescent="0.3">
      <c r="A118" s="20">
        <v>45733</v>
      </c>
      <c r="B118" s="16"/>
      <c r="C118" s="16">
        <v>48000</v>
      </c>
      <c r="D118" s="17"/>
      <c r="E118" s="18" t="s">
        <v>23</v>
      </c>
      <c r="F118" s="19" t="s">
        <v>81</v>
      </c>
      <c r="G118" s="6" t="s">
        <v>23</v>
      </c>
    </row>
    <row r="119" spans="1:9" ht="25.25" customHeight="1" x14ac:dyDescent="0.3">
      <c r="A119" s="20">
        <v>45733</v>
      </c>
      <c r="B119" s="16"/>
      <c r="C119" s="16">
        <v>13200</v>
      </c>
      <c r="D119" s="17"/>
      <c r="E119" s="18" t="s">
        <v>31</v>
      </c>
      <c r="F119" s="23" t="s">
        <v>82</v>
      </c>
      <c r="G119" s="6" t="s">
        <v>31</v>
      </c>
    </row>
    <row r="120" spans="1:9" ht="26" x14ac:dyDescent="0.3">
      <c r="A120" s="20">
        <v>45733</v>
      </c>
      <c r="B120" s="16"/>
      <c r="C120" s="16">
        <v>3000</v>
      </c>
      <c r="D120" s="17"/>
      <c r="E120" s="18" t="s">
        <v>18</v>
      </c>
      <c r="F120" s="25" t="s">
        <v>83</v>
      </c>
      <c r="G120" s="6" t="s">
        <v>34</v>
      </c>
      <c r="H120" s="6" t="s">
        <v>84</v>
      </c>
      <c r="I120" s="7" t="s">
        <v>85</v>
      </c>
    </row>
    <row r="121" spans="1:9" ht="13.75" customHeight="1" x14ac:dyDescent="0.3">
      <c r="A121" s="20">
        <v>45733</v>
      </c>
      <c r="B121" s="16"/>
      <c r="C121" s="16">
        <v>12000</v>
      </c>
      <c r="D121" s="17"/>
      <c r="E121" s="18" t="s">
        <v>39</v>
      </c>
      <c r="F121" s="19" t="s">
        <v>40</v>
      </c>
      <c r="G121" s="6" t="s">
        <v>39</v>
      </c>
    </row>
    <row r="122" spans="1:9" ht="13.75" customHeight="1" x14ac:dyDescent="0.3">
      <c r="A122" s="20">
        <v>45733</v>
      </c>
      <c r="B122" s="16"/>
      <c r="C122" s="16">
        <v>2071</v>
      </c>
      <c r="D122" s="17"/>
      <c r="E122" s="18" t="s">
        <v>18</v>
      </c>
      <c r="F122" s="19" t="s">
        <v>27</v>
      </c>
      <c r="G122" s="6" t="s">
        <v>26</v>
      </c>
    </row>
    <row r="123" spans="1:9" ht="13.75" customHeight="1" x14ac:dyDescent="0.3">
      <c r="A123" s="20">
        <v>45733</v>
      </c>
      <c r="B123" s="16"/>
      <c r="C123" s="16">
        <v>45000</v>
      </c>
      <c r="D123" s="17"/>
      <c r="E123" s="18" t="s">
        <v>18</v>
      </c>
      <c r="F123" s="19" t="s">
        <v>86</v>
      </c>
      <c r="G123" s="6" t="s">
        <v>55</v>
      </c>
      <c r="H123" s="6" t="s">
        <v>43</v>
      </c>
    </row>
    <row r="124" spans="1:9" ht="13.75" customHeight="1" x14ac:dyDescent="0.3">
      <c r="A124" s="20">
        <v>45734</v>
      </c>
      <c r="B124" s="16"/>
      <c r="C124" s="16">
        <v>5000</v>
      </c>
      <c r="D124" s="17"/>
      <c r="E124" s="18" t="s">
        <v>14</v>
      </c>
      <c r="F124" s="19"/>
      <c r="G124" s="6" t="s">
        <v>14</v>
      </c>
    </row>
    <row r="125" spans="1:9" ht="69" customHeight="1" x14ac:dyDescent="0.3">
      <c r="A125" s="20">
        <v>45734</v>
      </c>
      <c r="B125" s="16"/>
      <c r="C125" s="16">
        <v>72000</v>
      </c>
      <c r="D125" s="17"/>
      <c r="E125" s="18" t="s">
        <v>18</v>
      </c>
      <c r="F125" s="19" t="s">
        <v>87</v>
      </c>
      <c r="G125" s="6" t="s">
        <v>88</v>
      </c>
    </row>
    <row r="126" spans="1:9" ht="26" x14ac:dyDescent="0.3">
      <c r="A126" s="20">
        <v>45734</v>
      </c>
      <c r="B126" s="16"/>
      <c r="C126" s="16">
        <v>8000</v>
      </c>
      <c r="D126" s="17"/>
      <c r="E126" s="18" t="s">
        <v>18</v>
      </c>
      <c r="F126" s="19" t="s">
        <v>89</v>
      </c>
      <c r="G126" s="6" t="s">
        <v>88</v>
      </c>
    </row>
    <row r="127" spans="1:9" ht="26" x14ac:dyDescent="0.3">
      <c r="A127" s="20">
        <v>45734</v>
      </c>
      <c r="B127" s="16"/>
      <c r="C127" s="16">
        <v>7000</v>
      </c>
      <c r="D127" s="17"/>
      <c r="E127" s="18" t="s">
        <v>18</v>
      </c>
      <c r="F127" s="25" t="s">
        <v>90</v>
      </c>
      <c r="G127" s="6" t="s">
        <v>34</v>
      </c>
      <c r="H127" s="6" t="s">
        <v>84</v>
      </c>
      <c r="I127" s="7" t="s">
        <v>85</v>
      </c>
    </row>
    <row r="128" spans="1:9" x14ac:dyDescent="0.3">
      <c r="A128" s="20">
        <v>45734</v>
      </c>
      <c r="B128" s="16"/>
      <c r="C128" s="16">
        <v>110000</v>
      </c>
      <c r="D128" s="17"/>
      <c r="E128" s="18" t="s">
        <v>16</v>
      </c>
      <c r="F128" s="19"/>
      <c r="G128" s="6" t="s">
        <v>16</v>
      </c>
    </row>
    <row r="129" spans="1:8" x14ac:dyDescent="0.3">
      <c r="A129" s="20">
        <v>45734</v>
      </c>
      <c r="B129" s="16"/>
      <c r="C129" s="16">
        <v>80000</v>
      </c>
      <c r="D129" s="17"/>
      <c r="E129" s="18" t="s">
        <v>91</v>
      </c>
      <c r="F129" s="19" t="s">
        <v>92</v>
      </c>
      <c r="G129" s="6" t="s">
        <v>93</v>
      </c>
      <c r="H129" s="6" t="s">
        <v>43</v>
      </c>
    </row>
    <row r="130" spans="1:8" x14ac:dyDescent="0.3">
      <c r="A130" s="20">
        <v>45734</v>
      </c>
      <c r="B130" s="16"/>
      <c r="C130" s="16">
        <v>5000</v>
      </c>
      <c r="D130" s="17"/>
      <c r="E130" s="18" t="s">
        <v>15</v>
      </c>
      <c r="F130" s="19"/>
      <c r="G130" s="6" t="s">
        <v>15</v>
      </c>
    </row>
    <row r="131" spans="1:8" x14ac:dyDescent="0.3">
      <c r="A131" s="20">
        <v>45734</v>
      </c>
      <c r="B131" s="16"/>
      <c r="C131" s="16">
        <v>20000</v>
      </c>
      <c r="D131" s="17"/>
      <c r="E131" s="18" t="s">
        <v>10</v>
      </c>
      <c r="F131" s="19" t="s">
        <v>81</v>
      </c>
      <c r="G131" s="6" t="s">
        <v>10</v>
      </c>
    </row>
    <row r="132" spans="1:8" x14ac:dyDescent="0.3">
      <c r="A132" s="20">
        <v>45734</v>
      </c>
      <c r="B132" s="16"/>
      <c r="C132" s="16">
        <v>5000</v>
      </c>
      <c r="D132" s="17"/>
      <c r="E132" s="18" t="s">
        <v>10</v>
      </c>
      <c r="F132" s="19" t="s">
        <v>94</v>
      </c>
      <c r="G132" s="6" t="s">
        <v>10</v>
      </c>
    </row>
    <row r="133" spans="1:8" x14ac:dyDescent="0.3">
      <c r="A133" s="20">
        <v>45734</v>
      </c>
      <c r="B133" s="16"/>
      <c r="C133" s="16">
        <v>91835</v>
      </c>
      <c r="D133" s="17"/>
      <c r="E133" s="18" t="s">
        <v>73</v>
      </c>
      <c r="F133" s="19" t="s">
        <v>74</v>
      </c>
      <c r="G133" s="6" t="s">
        <v>26</v>
      </c>
    </row>
    <row r="134" spans="1:8" x14ac:dyDescent="0.3">
      <c r="A134" s="20">
        <v>45735</v>
      </c>
      <c r="B134" s="16">
        <v>200000</v>
      </c>
      <c r="C134" s="16"/>
      <c r="D134" s="17"/>
      <c r="E134" s="18" t="s">
        <v>18</v>
      </c>
      <c r="F134" s="19" t="s">
        <v>19</v>
      </c>
      <c r="G134" s="6" t="s">
        <v>20</v>
      </c>
      <c r="H134" s="6" t="s">
        <v>20</v>
      </c>
    </row>
    <row r="135" spans="1:8" x14ac:dyDescent="0.3">
      <c r="A135" s="20">
        <v>45735</v>
      </c>
      <c r="B135" s="16"/>
      <c r="C135" s="16">
        <v>40000</v>
      </c>
      <c r="D135" s="17"/>
      <c r="E135" s="18" t="s">
        <v>434</v>
      </c>
      <c r="F135" s="19" t="s">
        <v>81</v>
      </c>
      <c r="G135" s="6" t="s">
        <v>434</v>
      </c>
    </row>
    <row r="136" spans="1:8" x14ac:dyDescent="0.3">
      <c r="A136" s="20">
        <v>45735</v>
      </c>
      <c r="B136" s="16"/>
      <c r="C136" s="24">
        <v>5000</v>
      </c>
      <c r="D136" s="17"/>
      <c r="E136" s="18" t="s">
        <v>52</v>
      </c>
      <c r="F136" s="19" t="s">
        <v>95</v>
      </c>
      <c r="G136" s="6" t="s">
        <v>52</v>
      </c>
    </row>
    <row r="137" spans="1:8" ht="39" x14ac:dyDescent="0.3">
      <c r="A137" s="20">
        <v>45735</v>
      </c>
      <c r="B137" s="16">
        <v>531140</v>
      </c>
      <c r="C137" s="16"/>
      <c r="D137" s="17"/>
      <c r="E137" s="18" t="s">
        <v>18</v>
      </c>
      <c r="F137" s="19" t="s">
        <v>96</v>
      </c>
      <c r="G137" s="6" t="s">
        <v>97</v>
      </c>
      <c r="H137" s="6" t="s">
        <v>98</v>
      </c>
    </row>
    <row r="138" spans="1:8" x14ac:dyDescent="0.3">
      <c r="A138" s="20">
        <v>45735</v>
      </c>
      <c r="B138" s="16"/>
      <c r="C138" s="16">
        <v>50000</v>
      </c>
      <c r="D138" s="17"/>
      <c r="E138" s="18" t="s">
        <v>15</v>
      </c>
      <c r="F138" s="19"/>
      <c r="G138" s="6" t="s">
        <v>15</v>
      </c>
    </row>
    <row r="139" spans="1:8" x14ac:dyDescent="0.3">
      <c r="A139" s="20">
        <v>45736</v>
      </c>
      <c r="B139" s="16"/>
      <c r="C139" s="16">
        <v>7825</v>
      </c>
      <c r="D139" s="17"/>
      <c r="E139" s="18" t="s">
        <v>18</v>
      </c>
      <c r="F139" s="19" t="s">
        <v>99</v>
      </c>
      <c r="G139" s="6" t="s">
        <v>34</v>
      </c>
    </row>
    <row r="140" spans="1:8" ht="26" x14ac:dyDescent="0.3">
      <c r="A140" s="20">
        <v>45736</v>
      </c>
      <c r="B140" s="16"/>
      <c r="C140" s="16">
        <v>100000</v>
      </c>
      <c r="D140" s="17"/>
      <c r="E140" s="18" t="s">
        <v>18</v>
      </c>
      <c r="F140" s="19" t="s">
        <v>100</v>
      </c>
      <c r="G140" s="6" t="s">
        <v>47</v>
      </c>
      <c r="H140" s="6" t="s">
        <v>43</v>
      </c>
    </row>
    <row r="141" spans="1:8" ht="26" x14ac:dyDescent="0.3">
      <c r="A141" s="20">
        <v>45736</v>
      </c>
      <c r="B141" s="16"/>
      <c r="C141" s="16">
        <v>100000</v>
      </c>
      <c r="D141" s="17"/>
      <c r="E141" s="18" t="s">
        <v>18</v>
      </c>
      <c r="F141" s="19" t="s">
        <v>101</v>
      </c>
      <c r="G141" s="6" t="s">
        <v>50</v>
      </c>
      <c r="H141" s="6" t="s">
        <v>43</v>
      </c>
    </row>
    <row r="142" spans="1:8" x14ac:dyDescent="0.3">
      <c r="A142" s="20">
        <v>45736</v>
      </c>
      <c r="B142" s="16"/>
      <c r="C142" s="16">
        <v>16000</v>
      </c>
      <c r="D142" s="17"/>
      <c r="E142" s="18" t="s">
        <v>102</v>
      </c>
      <c r="F142" s="19" t="s">
        <v>81</v>
      </c>
      <c r="G142" s="6" t="s">
        <v>102</v>
      </c>
    </row>
    <row r="143" spans="1:8" x14ac:dyDescent="0.3">
      <c r="A143" s="20">
        <v>45736</v>
      </c>
      <c r="B143" s="16"/>
      <c r="C143" s="16">
        <v>3000</v>
      </c>
      <c r="D143" s="17"/>
      <c r="E143" s="18" t="s">
        <v>102</v>
      </c>
      <c r="F143" s="19" t="s">
        <v>94</v>
      </c>
      <c r="G143" s="6" t="s">
        <v>102</v>
      </c>
    </row>
    <row r="144" spans="1:8" x14ac:dyDescent="0.3">
      <c r="A144" s="20">
        <v>45736</v>
      </c>
      <c r="B144" s="16"/>
      <c r="C144" s="16">
        <v>20000</v>
      </c>
      <c r="D144" s="17"/>
      <c r="E144" s="18" t="s">
        <v>30</v>
      </c>
      <c r="F144" s="19" t="s">
        <v>81</v>
      </c>
      <c r="G144" s="6" t="s">
        <v>30</v>
      </c>
    </row>
    <row r="145" spans="1:8" ht="15" customHeight="1" x14ac:dyDescent="0.3">
      <c r="A145" s="20">
        <v>45736</v>
      </c>
      <c r="B145" s="16"/>
      <c r="C145" s="16">
        <v>45000</v>
      </c>
      <c r="D145" s="17"/>
      <c r="E145" s="18" t="s">
        <v>15</v>
      </c>
      <c r="F145" s="19"/>
      <c r="G145" s="6" t="s">
        <v>15</v>
      </c>
    </row>
    <row r="146" spans="1:8" ht="26" x14ac:dyDescent="0.3">
      <c r="A146" s="20">
        <v>45737</v>
      </c>
      <c r="B146" s="16"/>
      <c r="C146" s="16">
        <v>67872.149999999994</v>
      </c>
      <c r="D146" s="17"/>
      <c r="E146" s="18" t="s">
        <v>18</v>
      </c>
      <c r="F146" s="19" t="s">
        <v>103</v>
      </c>
      <c r="G146" s="6" t="s">
        <v>34</v>
      </c>
    </row>
    <row r="147" spans="1:8" x14ac:dyDescent="0.3">
      <c r="A147" s="20">
        <v>45737</v>
      </c>
      <c r="B147" s="16"/>
      <c r="C147" s="16">
        <v>5000</v>
      </c>
      <c r="D147" s="17"/>
      <c r="E147" s="18" t="s">
        <v>434</v>
      </c>
      <c r="F147" s="19"/>
      <c r="G147" s="6" t="s">
        <v>434</v>
      </c>
    </row>
    <row r="148" spans="1:8" ht="15" customHeight="1" x14ac:dyDescent="0.3">
      <c r="A148" s="20">
        <v>45737</v>
      </c>
      <c r="B148" s="16"/>
      <c r="C148" s="16">
        <v>80000</v>
      </c>
      <c r="D148" s="17"/>
      <c r="E148" s="18" t="s">
        <v>17</v>
      </c>
      <c r="F148" s="19"/>
      <c r="G148" s="6" t="s">
        <v>17</v>
      </c>
    </row>
    <row r="149" spans="1:8" x14ac:dyDescent="0.3">
      <c r="A149" s="20">
        <v>45737</v>
      </c>
      <c r="B149" s="16"/>
      <c r="C149" s="16">
        <v>15000</v>
      </c>
      <c r="D149" s="17"/>
      <c r="E149" s="18" t="s">
        <v>14</v>
      </c>
      <c r="F149" s="19"/>
      <c r="G149" s="6" t="s">
        <v>14</v>
      </c>
    </row>
    <row r="150" spans="1:8" x14ac:dyDescent="0.3">
      <c r="A150" s="20">
        <v>45739</v>
      </c>
      <c r="B150" s="16"/>
      <c r="C150" s="16">
        <v>3000</v>
      </c>
      <c r="D150" s="17"/>
      <c r="E150" s="18" t="s">
        <v>16</v>
      </c>
      <c r="F150" s="19"/>
      <c r="G150" s="6" t="s">
        <v>16</v>
      </c>
    </row>
    <row r="151" spans="1:8" ht="14.4" customHeight="1" x14ac:dyDescent="0.3">
      <c r="A151" s="20">
        <v>45747</v>
      </c>
      <c r="B151" s="16"/>
      <c r="C151" s="16">
        <v>15000</v>
      </c>
      <c r="D151" s="17"/>
      <c r="E151" s="18" t="s">
        <v>434</v>
      </c>
      <c r="F151" s="19"/>
      <c r="G151" s="6" t="s">
        <v>434</v>
      </c>
    </row>
    <row r="152" spans="1:8" ht="26" x14ac:dyDescent="0.3">
      <c r="A152" s="20">
        <v>45747</v>
      </c>
      <c r="B152" s="16"/>
      <c r="C152" s="16">
        <f>20000</f>
        <v>20000</v>
      </c>
      <c r="D152" s="17"/>
      <c r="E152" s="18" t="s">
        <v>18</v>
      </c>
      <c r="F152" s="19" t="s">
        <v>104</v>
      </c>
      <c r="G152" s="6" t="s">
        <v>88</v>
      </c>
    </row>
    <row r="153" spans="1:8" x14ac:dyDescent="0.3">
      <c r="A153" s="20">
        <v>45748</v>
      </c>
      <c r="B153" s="16"/>
      <c r="C153" s="16">
        <v>5000</v>
      </c>
      <c r="D153" s="17"/>
      <c r="E153" s="18" t="s">
        <v>16</v>
      </c>
      <c r="F153" s="19" t="s">
        <v>105</v>
      </c>
      <c r="G153" s="6" t="s">
        <v>16</v>
      </c>
    </row>
    <row r="154" spans="1:8" ht="39" x14ac:dyDescent="0.3">
      <c r="A154" s="20">
        <v>45750</v>
      </c>
      <c r="B154" s="16">
        <v>1000000</v>
      </c>
      <c r="C154" s="16"/>
      <c r="D154" s="17"/>
      <c r="E154" s="18" t="s">
        <v>18</v>
      </c>
      <c r="F154" s="19" t="s">
        <v>106</v>
      </c>
      <c r="G154" s="6" t="s">
        <v>107</v>
      </c>
      <c r="H154" s="6" t="s">
        <v>108</v>
      </c>
    </row>
    <row r="155" spans="1:8" x14ac:dyDescent="0.3">
      <c r="A155" s="20">
        <v>45750</v>
      </c>
      <c r="B155" s="16"/>
      <c r="C155" s="16">
        <v>4760</v>
      </c>
      <c r="D155" s="17"/>
      <c r="E155" s="18" t="s">
        <v>18</v>
      </c>
      <c r="F155" s="19" t="s">
        <v>68</v>
      </c>
      <c r="G155" s="6" t="s">
        <v>34</v>
      </c>
    </row>
    <row r="156" spans="1:8" x14ac:dyDescent="0.3">
      <c r="A156" s="20">
        <v>45750</v>
      </c>
      <c r="B156" s="16"/>
      <c r="C156" s="16">
        <v>5000</v>
      </c>
      <c r="D156" s="17"/>
      <c r="E156" s="18" t="s">
        <v>14</v>
      </c>
      <c r="F156" s="19"/>
      <c r="G156" s="6" t="s">
        <v>14</v>
      </c>
    </row>
    <row r="157" spans="1:8" x14ac:dyDescent="0.3">
      <c r="A157" s="20">
        <v>45750</v>
      </c>
      <c r="B157" s="16"/>
      <c r="C157" s="16">
        <v>5000</v>
      </c>
      <c r="D157" s="17"/>
      <c r="E157" s="18" t="s">
        <v>16</v>
      </c>
      <c r="F157" s="19" t="s">
        <v>105</v>
      </c>
      <c r="G157" s="6" t="s">
        <v>16</v>
      </c>
    </row>
    <row r="158" spans="1:8" x14ac:dyDescent="0.3">
      <c r="A158" s="20">
        <v>45750</v>
      </c>
      <c r="B158" s="16"/>
      <c r="C158" s="16">
        <v>15000</v>
      </c>
      <c r="D158" s="17"/>
      <c r="E158" s="18" t="s">
        <v>17</v>
      </c>
      <c r="F158" s="19"/>
      <c r="G158" s="6" t="s">
        <v>17</v>
      </c>
    </row>
    <row r="159" spans="1:8" x14ac:dyDescent="0.3">
      <c r="A159" s="20">
        <v>45751</v>
      </c>
      <c r="B159" s="16"/>
      <c r="C159" s="16">
        <v>55000</v>
      </c>
      <c r="D159" s="17"/>
      <c r="E159" s="18" t="s">
        <v>23</v>
      </c>
      <c r="F159" s="19"/>
      <c r="G159" s="6" t="s">
        <v>23</v>
      </c>
    </row>
    <row r="160" spans="1:8" x14ac:dyDescent="0.3">
      <c r="A160" s="20">
        <v>45751</v>
      </c>
      <c r="B160" s="16"/>
      <c r="C160" s="16">
        <v>15000</v>
      </c>
      <c r="D160" s="17"/>
      <c r="E160" s="18" t="s">
        <v>30</v>
      </c>
      <c r="F160" s="19" t="s">
        <v>109</v>
      </c>
      <c r="G160" s="6" t="s">
        <v>30</v>
      </c>
    </row>
    <row r="161" spans="1:8" x14ac:dyDescent="0.3">
      <c r="A161" s="20">
        <v>45751</v>
      </c>
      <c r="B161" s="16"/>
      <c r="C161" s="16">
        <v>15000</v>
      </c>
      <c r="D161" s="17"/>
      <c r="E161" s="18" t="s">
        <v>30</v>
      </c>
      <c r="F161" s="19" t="s">
        <v>24</v>
      </c>
      <c r="G161" s="6" t="s">
        <v>30</v>
      </c>
    </row>
    <row r="162" spans="1:8" x14ac:dyDescent="0.3">
      <c r="A162" s="20">
        <v>45751</v>
      </c>
      <c r="B162" s="16"/>
      <c r="C162" s="16">
        <v>12600</v>
      </c>
      <c r="D162" s="17"/>
      <c r="E162" s="18" t="s">
        <v>102</v>
      </c>
      <c r="F162" s="19" t="s">
        <v>24</v>
      </c>
      <c r="G162" s="6" t="s">
        <v>102</v>
      </c>
    </row>
    <row r="163" spans="1:8" x14ac:dyDescent="0.3">
      <c r="A163" s="20">
        <v>45751</v>
      </c>
      <c r="B163" s="16"/>
      <c r="C163" s="16">
        <v>75000</v>
      </c>
      <c r="D163" s="17"/>
      <c r="E163" s="18" t="s">
        <v>17</v>
      </c>
      <c r="F163" s="19"/>
      <c r="G163" s="6" t="s">
        <v>17</v>
      </c>
    </row>
    <row r="164" spans="1:8" x14ac:dyDescent="0.3">
      <c r="A164" s="20">
        <v>45751</v>
      </c>
      <c r="B164" s="16"/>
      <c r="C164" s="16">
        <v>80000</v>
      </c>
      <c r="D164" s="17"/>
      <c r="E164" s="18" t="s">
        <v>110</v>
      </c>
      <c r="F164" s="19"/>
      <c r="G164" s="6" t="s">
        <v>110</v>
      </c>
      <c r="H164" s="6" t="s">
        <v>43</v>
      </c>
    </row>
    <row r="165" spans="1:8" x14ac:dyDescent="0.3">
      <c r="A165" s="20">
        <v>45751</v>
      </c>
      <c r="B165" s="16"/>
      <c r="C165" s="16">
        <v>125000</v>
      </c>
      <c r="D165" s="17"/>
      <c r="E165" s="18" t="s">
        <v>16</v>
      </c>
      <c r="F165" s="19"/>
      <c r="G165" s="6" t="s">
        <v>16</v>
      </c>
    </row>
    <row r="166" spans="1:8" ht="15" customHeight="1" x14ac:dyDescent="0.3">
      <c r="A166" s="20">
        <v>45751</v>
      </c>
      <c r="B166" s="16"/>
      <c r="C166" s="16">
        <v>150000</v>
      </c>
      <c r="D166" s="17"/>
      <c r="E166" s="18" t="s">
        <v>15</v>
      </c>
      <c r="F166" s="19"/>
      <c r="G166" s="6" t="s">
        <v>15</v>
      </c>
    </row>
    <row r="167" spans="1:8" x14ac:dyDescent="0.3">
      <c r="A167" s="20">
        <v>45751</v>
      </c>
      <c r="B167" s="16"/>
      <c r="C167" s="16">
        <v>20000</v>
      </c>
      <c r="D167" s="17"/>
      <c r="E167" s="18" t="s">
        <v>14</v>
      </c>
      <c r="F167" s="19"/>
      <c r="G167" s="6" t="s">
        <v>14</v>
      </c>
    </row>
    <row r="168" spans="1:8" x14ac:dyDescent="0.3">
      <c r="A168" s="20">
        <v>45751</v>
      </c>
      <c r="B168" s="16"/>
      <c r="C168" s="16">
        <v>10000</v>
      </c>
      <c r="D168" s="17"/>
      <c r="E168" s="18" t="s">
        <v>18</v>
      </c>
      <c r="F168" s="19" t="s">
        <v>111</v>
      </c>
      <c r="G168" s="6" t="s">
        <v>112</v>
      </c>
    </row>
    <row r="169" spans="1:8" x14ac:dyDescent="0.3">
      <c r="A169" s="20">
        <v>45751</v>
      </c>
      <c r="B169" s="16"/>
      <c r="C169" s="16">
        <v>3320</v>
      </c>
      <c r="D169" s="17"/>
      <c r="E169" s="18" t="s">
        <v>18</v>
      </c>
      <c r="F169" s="19" t="s">
        <v>27</v>
      </c>
      <c r="G169" s="6" t="s">
        <v>26</v>
      </c>
    </row>
    <row r="170" spans="1:8" x14ac:dyDescent="0.3">
      <c r="A170" s="20">
        <v>45751</v>
      </c>
      <c r="B170" s="16"/>
      <c r="C170" s="16">
        <v>7608</v>
      </c>
      <c r="D170" s="17"/>
      <c r="E170" s="18" t="s">
        <v>18</v>
      </c>
      <c r="F170" s="23" t="s">
        <v>36</v>
      </c>
      <c r="G170" s="6" t="s">
        <v>112</v>
      </c>
    </row>
    <row r="171" spans="1:8" ht="14.4" customHeight="1" x14ac:dyDescent="0.3">
      <c r="A171" s="20">
        <v>45752</v>
      </c>
      <c r="B171" s="16"/>
      <c r="C171" s="16">
        <v>30000</v>
      </c>
      <c r="D171" s="17"/>
      <c r="E171" s="18" t="s">
        <v>434</v>
      </c>
      <c r="F171" s="19" t="s">
        <v>113</v>
      </c>
      <c r="G171" s="6" t="s">
        <v>434</v>
      </c>
    </row>
    <row r="172" spans="1:8" ht="15.65" customHeight="1" x14ac:dyDescent="0.3">
      <c r="A172" s="20">
        <v>45752</v>
      </c>
      <c r="B172" s="16"/>
      <c r="C172" s="16">
        <v>20000</v>
      </c>
      <c r="D172" s="17"/>
      <c r="E172" s="18" t="s">
        <v>52</v>
      </c>
      <c r="F172" s="19" t="s">
        <v>114</v>
      </c>
      <c r="G172" s="6" t="s">
        <v>52</v>
      </c>
    </row>
    <row r="173" spans="1:8" ht="15.65" customHeight="1" x14ac:dyDescent="0.3">
      <c r="A173" s="20">
        <v>45752</v>
      </c>
      <c r="B173" s="16"/>
      <c r="C173" s="16">
        <v>5000</v>
      </c>
      <c r="D173" s="17"/>
      <c r="E173" s="18" t="s">
        <v>14</v>
      </c>
      <c r="F173" s="19"/>
      <c r="G173" s="6" t="s">
        <v>14</v>
      </c>
    </row>
    <row r="174" spans="1:8" ht="25.25" customHeight="1" x14ac:dyDescent="0.3">
      <c r="A174" s="20">
        <v>45754</v>
      </c>
      <c r="B174" s="16"/>
      <c r="C174" s="16">
        <v>13200</v>
      </c>
      <c r="D174" s="17"/>
      <c r="E174" s="18" t="s">
        <v>31</v>
      </c>
      <c r="F174" s="22" t="s">
        <v>115</v>
      </c>
      <c r="G174" s="6" t="s">
        <v>31</v>
      </c>
    </row>
    <row r="175" spans="1:8" x14ac:dyDescent="0.3">
      <c r="A175" s="20">
        <v>45754</v>
      </c>
      <c r="B175" s="16"/>
      <c r="C175" s="16">
        <v>20000</v>
      </c>
      <c r="D175" s="17"/>
      <c r="E175" s="18" t="s">
        <v>10</v>
      </c>
      <c r="F175" s="19" t="s">
        <v>114</v>
      </c>
      <c r="G175" s="6" t="s">
        <v>10</v>
      </c>
    </row>
    <row r="176" spans="1:8" ht="14.4" customHeight="1" x14ac:dyDescent="0.3">
      <c r="A176" s="20">
        <v>45754</v>
      </c>
      <c r="B176" s="16"/>
      <c r="C176" s="16">
        <v>25000</v>
      </c>
      <c r="D176" s="17"/>
      <c r="E176" s="18" t="s">
        <v>434</v>
      </c>
      <c r="F176" s="19" t="s">
        <v>116</v>
      </c>
      <c r="G176" s="6" t="s">
        <v>434</v>
      </c>
    </row>
    <row r="177" spans="1:10" x14ac:dyDescent="0.3">
      <c r="A177" s="20">
        <v>45754</v>
      </c>
      <c r="B177" s="16"/>
      <c r="C177" s="16">
        <v>150000</v>
      </c>
      <c r="D177" s="17"/>
      <c r="E177" s="18" t="s">
        <v>117</v>
      </c>
      <c r="F177" s="19"/>
      <c r="G177" s="6" t="s">
        <v>117</v>
      </c>
    </row>
    <row r="178" spans="1:10" ht="18" customHeight="1" x14ac:dyDescent="0.3">
      <c r="A178" s="20">
        <v>45755</v>
      </c>
      <c r="B178" s="16"/>
      <c r="C178" s="16">
        <v>6760</v>
      </c>
      <c r="D178" s="17"/>
      <c r="E178" s="18" t="s">
        <v>118</v>
      </c>
      <c r="F178" s="19" t="s">
        <v>119</v>
      </c>
      <c r="G178" s="6" t="s">
        <v>118</v>
      </c>
    </row>
    <row r="179" spans="1:10" x14ac:dyDescent="0.3">
      <c r="A179" s="20">
        <v>45756</v>
      </c>
      <c r="B179" s="16"/>
      <c r="C179" s="16">
        <v>63287</v>
      </c>
      <c r="D179" s="17"/>
      <c r="E179" s="18" t="s">
        <v>18</v>
      </c>
      <c r="F179" s="19" t="s">
        <v>120</v>
      </c>
      <c r="G179" s="6" t="s">
        <v>112</v>
      </c>
    </row>
    <row r="180" spans="1:10" ht="27.65" customHeight="1" x14ac:dyDescent="0.3">
      <c r="A180" s="20">
        <v>45759</v>
      </c>
      <c r="B180" s="16">
        <v>195000</v>
      </c>
      <c r="C180" s="16"/>
      <c r="D180" s="17"/>
      <c r="E180" s="18" t="s">
        <v>18</v>
      </c>
      <c r="F180" s="19" t="s">
        <v>121</v>
      </c>
      <c r="G180" s="6" t="s">
        <v>54</v>
      </c>
      <c r="H180" s="6" t="s">
        <v>122</v>
      </c>
      <c r="I180" s="6" t="s">
        <v>123</v>
      </c>
      <c r="J180" s="7" t="s">
        <v>124</v>
      </c>
    </row>
    <row r="181" spans="1:10" ht="27.65" customHeight="1" x14ac:dyDescent="0.3">
      <c r="A181" s="20">
        <v>45759</v>
      </c>
      <c r="B181" s="16"/>
      <c r="C181" s="16">
        <v>43000</v>
      </c>
      <c r="D181" s="17"/>
      <c r="E181" s="18" t="s">
        <v>18</v>
      </c>
      <c r="F181" s="19" t="s">
        <v>125</v>
      </c>
      <c r="G181" s="6" t="s">
        <v>54</v>
      </c>
      <c r="H181" s="6" t="s">
        <v>122</v>
      </c>
      <c r="I181" s="6" t="s">
        <v>123</v>
      </c>
      <c r="J181" s="7" t="s">
        <v>124</v>
      </c>
    </row>
    <row r="182" spans="1:10" x14ac:dyDescent="0.3">
      <c r="A182" s="20">
        <v>45759</v>
      </c>
      <c r="B182" s="16"/>
      <c r="C182" s="16">
        <v>6000</v>
      </c>
      <c r="D182" s="17"/>
      <c r="E182" s="18" t="s">
        <v>16</v>
      </c>
      <c r="F182" s="19" t="s">
        <v>105</v>
      </c>
      <c r="G182" s="6" t="s">
        <v>16</v>
      </c>
    </row>
    <row r="183" spans="1:10" x14ac:dyDescent="0.3">
      <c r="A183" s="20">
        <v>45759</v>
      </c>
      <c r="B183" s="16"/>
      <c r="C183" s="16">
        <v>15000</v>
      </c>
      <c r="D183" s="17"/>
      <c r="E183" s="18" t="s">
        <v>14</v>
      </c>
      <c r="F183" s="19"/>
      <c r="G183" s="6" t="s">
        <v>14</v>
      </c>
    </row>
    <row r="184" spans="1:10" x14ac:dyDescent="0.3">
      <c r="A184" s="20">
        <v>45760</v>
      </c>
      <c r="B184" s="16"/>
      <c r="C184" s="16">
        <v>86860</v>
      </c>
      <c r="D184" s="17"/>
      <c r="E184" s="18" t="s">
        <v>18</v>
      </c>
      <c r="F184" s="19" t="s">
        <v>120</v>
      </c>
      <c r="G184" s="6" t="s">
        <v>112</v>
      </c>
    </row>
    <row r="185" spans="1:10" x14ac:dyDescent="0.3">
      <c r="A185" s="20">
        <v>45763</v>
      </c>
      <c r="B185" s="16">
        <v>450000</v>
      </c>
      <c r="C185" s="16"/>
      <c r="D185" s="17"/>
      <c r="E185" s="18" t="s">
        <v>18</v>
      </c>
      <c r="F185" s="19" t="s">
        <v>19</v>
      </c>
      <c r="G185" s="6" t="s">
        <v>20</v>
      </c>
      <c r="H185" s="6" t="s">
        <v>20</v>
      </c>
    </row>
    <row r="186" spans="1:10" x14ac:dyDescent="0.3">
      <c r="A186" s="20">
        <v>45763</v>
      </c>
      <c r="B186" s="16"/>
      <c r="C186" s="16">
        <v>2771</v>
      </c>
      <c r="D186" s="17"/>
      <c r="E186" s="18" t="s">
        <v>18</v>
      </c>
      <c r="F186" s="19" t="s">
        <v>27</v>
      </c>
      <c r="G186" s="6" t="s">
        <v>26</v>
      </c>
    </row>
    <row r="187" spans="1:10" x14ac:dyDescent="0.3">
      <c r="A187" s="20">
        <v>45764</v>
      </c>
      <c r="B187" s="16"/>
      <c r="C187" s="16">
        <v>48000</v>
      </c>
      <c r="D187" s="17"/>
      <c r="E187" s="18" t="s">
        <v>23</v>
      </c>
      <c r="F187" s="19"/>
      <c r="G187" s="6" t="s">
        <v>23</v>
      </c>
    </row>
    <row r="188" spans="1:10" x14ac:dyDescent="0.3">
      <c r="A188" s="20">
        <v>45764</v>
      </c>
      <c r="B188" s="16"/>
      <c r="C188" s="16">
        <v>20000</v>
      </c>
      <c r="D188" s="17"/>
      <c r="E188" s="18" t="s">
        <v>30</v>
      </c>
      <c r="F188" s="19"/>
      <c r="G188" s="6" t="s">
        <v>30</v>
      </c>
    </row>
    <row r="189" spans="1:10" ht="14.4" customHeight="1" x14ac:dyDescent="0.3">
      <c r="A189" s="26">
        <v>45765</v>
      </c>
      <c r="B189" s="27"/>
      <c r="C189" s="27">
        <v>51000</v>
      </c>
      <c r="D189" s="28"/>
      <c r="E189" s="29" t="s">
        <v>10</v>
      </c>
      <c r="F189" s="30"/>
      <c r="G189" s="31" t="s">
        <v>10</v>
      </c>
      <c r="H189" s="32"/>
      <c r="I189" s="33"/>
      <c r="J189" s="33"/>
    </row>
    <row r="190" spans="1:10" x14ac:dyDescent="0.3">
      <c r="A190" s="20">
        <v>45766</v>
      </c>
      <c r="B190" s="16">
        <v>54000</v>
      </c>
      <c r="C190" s="16"/>
      <c r="D190" s="17"/>
      <c r="E190" s="18" t="s">
        <v>18</v>
      </c>
      <c r="F190" s="19" t="s">
        <v>126</v>
      </c>
      <c r="G190" s="6" t="s">
        <v>9</v>
      </c>
      <c r="H190" s="6" t="s">
        <v>127</v>
      </c>
    </row>
    <row r="191" spans="1:10" ht="15.65" customHeight="1" x14ac:dyDescent="0.3">
      <c r="A191" s="20">
        <v>45766</v>
      </c>
      <c r="B191" s="16"/>
      <c r="C191" s="16">
        <v>23000</v>
      </c>
      <c r="D191" s="17"/>
      <c r="E191" s="18" t="s">
        <v>17</v>
      </c>
      <c r="F191" s="19"/>
      <c r="G191" s="6" t="s">
        <v>17</v>
      </c>
    </row>
    <row r="192" spans="1:10" ht="15" customHeight="1" x14ac:dyDescent="0.3">
      <c r="A192" s="20">
        <v>45766</v>
      </c>
      <c r="B192" s="16"/>
      <c r="C192" s="16">
        <v>35000</v>
      </c>
      <c r="D192" s="17"/>
      <c r="E192" s="18" t="s">
        <v>14</v>
      </c>
      <c r="F192" s="19"/>
      <c r="G192" s="6" t="s">
        <v>14</v>
      </c>
    </row>
    <row r="193" spans="1:16382" x14ac:dyDescent="0.3">
      <c r="A193" s="20">
        <v>45766</v>
      </c>
      <c r="B193" s="16"/>
      <c r="C193" s="16">
        <v>118000</v>
      </c>
      <c r="D193" s="17"/>
      <c r="E193" s="18" t="s">
        <v>15</v>
      </c>
      <c r="F193" s="19"/>
      <c r="G193" s="6" t="s">
        <v>15</v>
      </c>
    </row>
    <row r="194" spans="1:16382" x14ac:dyDescent="0.3">
      <c r="A194" s="20">
        <v>45767</v>
      </c>
      <c r="B194" s="16"/>
      <c r="C194" s="16">
        <f>2358+1917</f>
        <v>4275</v>
      </c>
      <c r="D194" s="17"/>
      <c r="E194" s="18" t="s">
        <v>18</v>
      </c>
      <c r="F194" s="19" t="s">
        <v>27</v>
      </c>
      <c r="G194" s="6" t="s">
        <v>76</v>
      </c>
    </row>
    <row r="195" spans="1:16382" ht="26" x14ac:dyDescent="0.3">
      <c r="A195" s="20">
        <v>45768</v>
      </c>
      <c r="B195" s="16"/>
      <c r="C195" s="16">
        <v>13000</v>
      </c>
      <c r="D195" s="17"/>
      <c r="E195" s="18" t="s">
        <v>18</v>
      </c>
      <c r="F195" s="19" t="s">
        <v>128</v>
      </c>
      <c r="G195" s="6" t="s">
        <v>34</v>
      </c>
      <c r="H195" s="6" t="s">
        <v>129</v>
      </c>
    </row>
    <row r="196" spans="1:16382" x14ac:dyDescent="0.3">
      <c r="A196" s="20">
        <v>45768</v>
      </c>
      <c r="B196" s="16"/>
      <c r="C196" s="16">
        <v>130000</v>
      </c>
      <c r="D196" s="17"/>
      <c r="E196" s="18" t="s">
        <v>16</v>
      </c>
      <c r="F196" s="19"/>
      <c r="G196" s="6" t="s">
        <v>16</v>
      </c>
    </row>
    <row r="197" spans="1:16382" ht="26" x14ac:dyDescent="0.3">
      <c r="A197" s="20">
        <v>45769</v>
      </c>
      <c r="B197" s="16"/>
      <c r="C197" s="16">
        <v>13000</v>
      </c>
      <c r="D197" s="17"/>
      <c r="E197" s="18" t="s">
        <v>18</v>
      </c>
      <c r="F197" s="19" t="s">
        <v>130</v>
      </c>
      <c r="G197" s="6" t="s">
        <v>34</v>
      </c>
      <c r="H197" s="6" t="s">
        <v>129</v>
      </c>
    </row>
    <row r="198" spans="1:16382" ht="26" x14ac:dyDescent="0.3">
      <c r="A198" s="20">
        <v>45769</v>
      </c>
      <c r="B198" s="16">
        <v>137940</v>
      </c>
      <c r="C198" s="16"/>
      <c r="D198" s="17"/>
      <c r="E198" s="18" t="s">
        <v>18</v>
      </c>
      <c r="F198" s="19" t="s">
        <v>131</v>
      </c>
      <c r="G198" s="6" t="s">
        <v>97</v>
      </c>
      <c r="H198" s="6" t="s">
        <v>98</v>
      </c>
    </row>
    <row r="199" spans="1:16382" x14ac:dyDescent="0.3">
      <c r="A199" s="20">
        <v>45769</v>
      </c>
      <c r="B199" s="16">
        <v>523000</v>
      </c>
      <c r="C199" s="16"/>
      <c r="D199" s="17"/>
      <c r="E199" s="18" t="s">
        <v>18</v>
      </c>
      <c r="F199" s="19" t="s">
        <v>132</v>
      </c>
      <c r="G199" s="6" t="s">
        <v>76</v>
      </c>
      <c r="H199" s="6" t="s">
        <v>133</v>
      </c>
    </row>
    <row r="200" spans="1:16382" x14ac:dyDescent="0.3">
      <c r="A200" s="20">
        <v>45769</v>
      </c>
      <c r="B200" s="16"/>
      <c r="C200" s="16">
        <v>13200</v>
      </c>
      <c r="D200" s="17"/>
      <c r="E200" s="18" t="s">
        <v>31</v>
      </c>
      <c r="F200" s="22" t="s">
        <v>134</v>
      </c>
      <c r="G200" s="6" t="s">
        <v>31</v>
      </c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  <c r="IY200" s="21"/>
      <c r="IZ200" s="21"/>
      <c r="JA200" s="21"/>
      <c r="JB200" s="21"/>
      <c r="JC200" s="21"/>
      <c r="JD200" s="21"/>
      <c r="JE200" s="21"/>
      <c r="JF200" s="21"/>
      <c r="JG200" s="21"/>
      <c r="JH200" s="21"/>
      <c r="JI200" s="21"/>
      <c r="JJ200" s="21"/>
      <c r="JK200" s="21"/>
      <c r="JL200" s="21"/>
      <c r="JM200" s="21"/>
      <c r="JN200" s="21"/>
      <c r="JO200" s="21"/>
      <c r="JP200" s="21"/>
      <c r="JQ200" s="21"/>
      <c r="JR200" s="21"/>
      <c r="JS200" s="21"/>
      <c r="JT200" s="21"/>
      <c r="JU200" s="21"/>
      <c r="JV200" s="21"/>
      <c r="JW200" s="21"/>
      <c r="JX200" s="21"/>
      <c r="JY200" s="21"/>
      <c r="JZ200" s="21"/>
      <c r="KA200" s="21"/>
      <c r="KB200" s="21"/>
      <c r="KC200" s="21"/>
      <c r="KD200" s="21"/>
      <c r="KE200" s="21"/>
      <c r="KF200" s="21"/>
      <c r="KG200" s="21"/>
      <c r="KH200" s="21"/>
      <c r="KI200" s="21"/>
      <c r="KJ200" s="21"/>
      <c r="KK200" s="21"/>
      <c r="KL200" s="21"/>
      <c r="KM200" s="21"/>
      <c r="KN200" s="21"/>
      <c r="KO200" s="21"/>
      <c r="KP200" s="21"/>
      <c r="KQ200" s="21"/>
      <c r="KR200" s="21"/>
      <c r="KS200" s="21"/>
      <c r="KT200" s="21"/>
      <c r="KU200" s="21"/>
      <c r="KV200" s="21"/>
      <c r="KW200" s="21"/>
      <c r="KX200" s="21"/>
      <c r="KY200" s="21"/>
      <c r="KZ200" s="21"/>
      <c r="LA200" s="21"/>
      <c r="LB200" s="21"/>
      <c r="LC200" s="21"/>
      <c r="LD200" s="21"/>
      <c r="LE200" s="21"/>
      <c r="LF200" s="21"/>
      <c r="LG200" s="21"/>
      <c r="LH200" s="21"/>
      <c r="LI200" s="21"/>
      <c r="LJ200" s="21"/>
      <c r="LK200" s="21"/>
      <c r="LL200" s="21"/>
      <c r="LM200" s="21"/>
      <c r="LN200" s="21"/>
      <c r="LO200" s="21"/>
      <c r="LP200" s="21"/>
      <c r="LQ200" s="21"/>
      <c r="LR200" s="21"/>
      <c r="LS200" s="21"/>
      <c r="LT200" s="21"/>
      <c r="LU200" s="21"/>
      <c r="LV200" s="21"/>
      <c r="LW200" s="21"/>
      <c r="LX200" s="21"/>
      <c r="LY200" s="21"/>
      <c r="LZ200" s="21"/>
      <c r="MA200" s="21"/>
      <c r="MB200" s="21"/>
      <c r="MC200" s="21"/>
      <c r="MD200" s="21"/>
      <c r="ME200" s="21"/>
      <c r="MF200" s="21"/>
      <c r="MG200" s="21"/>
      <c r="MH200" s="21"/>
      <c r="MI200" s="21"/>
      <c r="MJ200" s="21"/>
      <c r="MK200" s="21"/>
      <c r="ML200" s="21"/>
      <c r="MM200" s="21"/>
      <c r="MN200" s="21"/>
      <c r="MO200" s="21"/>
      <c r="MP200" s="21"/>
      <c r="MQ200" s="21"/>
      <c r="MR200" s="21"/>
      <c r="MS200" s="21"/>
      <c r="MT200" s="21"/>
      <c r="MU200" s="21"/>
      <c r="MV200" s="21"/>
      <c r="MW200" s="21"/>
      <c r="MX200" s="21"/>
      <c r="MY200" s="21"/>
      <c r="MZ200" s="21"/>
      <c r="NA200" s="21"/>
      <c r="NB200" s="21"/>
      <c r="NC200" s="21"/>
      <c r="ND200" s="21"/>
      <c r="NE200" s="21"/>
      <c r="NF200" s="21"/>
      <c r="NG200" s="21"/>
      <c r="NH200" s="21"/>
      <c r="NI200" s="21"/>
      <c r="NJ200" s="21"/>
      <c r="NK200" s="21"/>
      <c r="NL200" s="21"/>
      <c r="NM200" s="21"/>
      <c r="NN200" s="21"/>
      <c r="NO200" s="21"/>
      <c r="NP200" s="21"/>
      <c r="NQ200" s="21"/>
      <c r="NR200" s="21"/>
      <c r="NS200" s="21"/>
      <c r="NT200" s="21"/>
      <c r="NU200" s="21"/>
      <c r="NV200" s="21"/>
      <c r="NW200" s="21"/>
      <c r="NX200" s="21"/>
      <c r="NY200" s="21"/>
      <c r="NZ200" s="21"/>
      <c r="OA200" s="21"/>
      <c r="OB200" s="21"/>
      <c r="OC200" s="21"/>
      <c r="OD200" s="21"/>
      <c r="OE200" s="21"/>
      <c r="OF200" s="21"/>
      <c r="OG200" s="21"/>
      <c r="OH200" s="21"/>
      <c r="OI200" s="21"/>
      <c r="OJ200" s="21"/>
      <c r="OK200" s="21"/>
      <c r="OL200" s="21"/>
      <c r="OM200" s="21"/>
      <c r="ON200" s="21"/>
      <c r="OO200" s="21"/>
      <c r="OP200" s="21"/>
      <c r="OQ200" s="21"/>
      <c r="OR200" s="21"/>
      <c r="OS200" s="21"/>
      <c r="OT200" s="21"/>
      <c r="OU200" s="21"/>
      <c r="OV200" s="21"/>
      <c r="OW200" s="21"/>
      <c r="OX200" s="21"/>
      <c r="OY200" s="21"/>
      <c r="OZ200" s="21"/>
      <c r="PA200" s="21"/>
      <c r="PB200" s="21"/>
      <c r="PC200" s="21"/>
      <c r="PD200" s="21"/>
      <c r="PE200" s="21"/>
      <c r="PF200" s="21"/>
      <c r="PG200" s="21"/>
      <c r="PH200" s="21"/>
      <c r="PI200" s="21"/>
      <c r="PJ200" s="21"/>
      <c r="PK200" s="21"/>
      <c r="PL200" s="21"/>
      <c r="PM200" s="21"/>
      <c r="PN200" s="21"/>
      <c r="PO200" s="21"/>
      <c r="PP200" s="21"/>
      <c r="PQ200" s="21"/>
      <c r="PR200" s="21"/>
      <c r="PS200" s="21"/>
      <c r="PT200" s="21"/>
      <c r="PU200" s="21"/>
      <c r="PV200" s="21"/>
      <c r="PW200" s="21"/>
      <c r="PX200" s="21"/>
      <c r="PY200" s="21"/>
      <c r="PZ200" s="21"/>
      <c r="QA200" s="21"/>
      <c r="QB200" s="21"/>
      <c r="QC200" s="21"/>
      <c r="QD200" s="21"/>
      <c r="QE200" s="21"/>
      <c r="QF200" s="21"/>
      <c r="QG200" s="21"/>
      <c r="QH200" s="21"/>
      <c r="QI200" s="21"/>
      <c r="QJ200" s="21"/>
      <c r="QK200" s="21"/>
      <c r="QL200" s="21"/>
      <c r="QM200" s="21"/>
      <c r="QN200" s="21"/>
      <c r="QO200" s="21"/>
      <c r="QP200" s="21"/>
      <c r="QQ200" s="21"/>
      <c r="QR200" s="21"/>
      <c r="QS200" s="21"/>
      <c r="QT200" s="21"/>
      <c r="QU200" s="21"/>
      <c r="QV200" s="21"/>
      <c r="QW200" s="21"/>
      <c r="QX200" s="21"/>
      <c r="QY200" s="21"/>
      <c r="QZ200" s="21"/>
      <c r="RA200" s="21"/>
      <c r="RB200" s="21"/>
      <c r="RC200" s="21"/>
      <c r="RD200" s="21"/>
      <c r="RE200" s="21"/>
      <c r="RF200" s="21"/>
      <c r="RG200" s="21"/>
      <c r="RH200" s="21"/>
      <c r="RI200" s="21"/>
      <c r="RJ200" s="21"/>
      <c r="RK200" s="21"/>
      <c r="RL200" s="21"/>
      <c r="RM200" s="21"/>
      <c r="RN200" s="21"/>
      <c r="RO200" s="21"/>
      <c r="RP200" s="21"/>
      <c r="RQ200" s="21"/>
      <c r="RR200" s="21"/>
      <c r="RS200" s="21"/>
      <c r="RT200" s="21"/>
      <c r="RU200" s="21"/>
      <c r="RV200" s="21"/>
      <c r="RW200" s="21"/>
      <c r="RX200" s="21"/>
      <c r="RY200" s="21"/>
      <c r="RZ200" s="21"/>
      <c r="SA200" s="21"/>
      <c r="SB200" s="21"/>
      <c r="SC200" s="21"/>
      <c r="SD200" s="21"/>
      <c r="SE200" s="21"/>
      <c r="SF200" s="21"/>
      <c r="SG200" s="21"/>
      <c r="SH200" s="21"/>
      <c r="SI200" s="21"/>
      <c r="SJ200" s="21"/>
      <c r="SK200" s="21"/>
      <c r="SL200" s="21"/>
      <c r="SM200" s="21"/>
      <c r="SN200" s="21"/>
      <c r="SO200" s="21"/>
      <c r="SP200" s="21"/>
      <c r="SQ200" s="21"/>
      <c r="SR200" s="21"/>
      <c r="SS200" s="21"/>
      <c r="ST200" s="21"/>
      <c r="SU200" s="21"/>
      <c r="SV200" s="21"/>
      <c r="SW200" s="21"/>
      <c r="SX200" s="21"/>
      <c r="SY200" s="21"/>
      <c r="SZ200" s="21"/>
      <c r="TA200" s="21"/>
      <c r="TB200" s="21"/>
      <c r="TC200" s="21"/>
      <c r="TD200" s="21"/>
      <c r="TE200" s="21"/>
      <c r="TF200" s="21"/>
      <c r="TG200" s="21"/>
      <c r="TH200" s="21"/>
      <c r="TI200" s="21"/>
      <c r="TJ200" s="21"/>
      <c r="TK200" s="21"/>
      <c r="TL200" s="21"/>
      <c r="TM200" s="21"/>
      <c r="TN200" s="21"/>
      <c r="TO200" s="21"/>
      <c r="TP200" s="21"/>
      <c r="TQ200" s="21"/>
      <c r="TR200" s="21"/>
      <c r="TS200" s="21"/>
      <c r="TT200" s="21"/>
      <c r="TU200" s="21"/>
      <c r="TV200" s="21"/>
      <c r="TW200" s="21"/>
      <c r="TX200" s="21"/>
      <c r="TY200" s="21"/>
      <c r="TZ200" s="21"/>
      <c r="UA200" s="21"/>
      <c r="UB200" s="21"/>
      <c r="UC200" s="21"/>
      <c r="UD200" s="21"/>
      <c r="UE200" s="21"/>
      <c r="UF200" s="21"/>
      <c r="UG200" s="21"/>
      <c r="UH200" s="21"/>
      <c r="UI200" s="21"/>
      <c r="UJ200" s="21"/>
      <c r="UK200" s="21"/>
      <c r="UL200" s="21"/>
      <c r="UM200" s="21"/>
      <c r="UN200" s="21"/>
      <c r="UO200" s="21"/>
      <c r="UP200" s="21"/>
      <c r="UQ200" s="21"/>
      <c r="UR200" s="21"/>
      <c r="US200" s="21"/>
      <c r="UT200" s="21"/>
      <c r="UU200" s="21"/>
      <c r="UV200" s="21"/>
      <c r="UW200" s="21"/>
      <c r="UX200" s="21"/>
      <c r="UY200" s="21"/>
      <c r="UZ200" s="21"/>
      <c r="VA200" s="21"/>
      <c r="VB200" s="21"/>
      <c r="VC200" s="21"/>
      <c r="VD200" s="21"/>
      <c r="VE200" s="21"/>
      <c r="VF200" s="21"/>
      <c r="VG200" s="21"/>
      <c r="VH200" s="21"/>
      <c r="VI200" s="21"/>
      <c r="VJ200" s="21"/>
      <c r="VK200" s="21"/>
      <c r="VL200" s="21"/>
      <c r="VM200" s="21"/>
      <c r="VN200" s="21"/>
      <c r="VO200" s="21"/>
      <c r="VP200" s="21"/>
      <c r="VQ200" s="21"/>
      <c r="VR200" s="21"/>
      <c r="VS200" s="21"/>
      <c r="VT200" s="21"/>
      <c r="VU200" s="21"/>
      <c r="VV200" s="21"/>
      <c r="VW200" s="21"/>
      <c r="VX200" s="21"/>
      <c r="VY200" s="21"/>
      <c r="VZ200" s="21"/>
      <c r="WA200" s="21"/>
      <c r="WB200" s="21"/>
      <c r="WC200" s="21"/>
      <c r="WD200" s="21"/>
      <c r="WE200" s="21"/>
      <c r="WF200" s="21"/>
      <c r="WG200" s="21"/>
      <c r="WH200" s="21"/>
      <c r="WI200" s="21"/>
      <c r="WJ200" s="21"/>
      <c r="WK200" s="21"/>
      <c r="WL200" s="21"/>
      <c r="WM200" s="21"/>
      <c r="WN200" s="21"/>
      <c r="WO200" s="21"/>
      <c r="WP200" s="21"/>
      <c r="WQ200" s="21"/>
      <c r="WR200" s="21"/>
      <c r="WS200" s="21"/>
      <c r="WT200" s="21"/>
      <c r="WU200" s="21"/>
      <c r="WV200" s="21"/>
      <c r="WW200" s="21"/>
      <c r="WX200" s="21"/>
      <c r="WY200" s="21"/>
      <c r="WZ200" s="21"/>
      <c r="XA200" s="21"/>
      <c r="XB200" s="21"/>
      <c r="XC200" s="21"/>
      <c r="XD200" s="21"/>
      <c r="XE200" s="21"/>
      <c r="XF200" s="21"/>
      <c r="XG200" s="21"/>
      <c r="XH200" s="21"/>
      <c r="XI200" s="21"/>
      <c r="XJ200" s="21"/>
      <c r="XK200" s="21"/>
      <c r="XL200" s="21"/>
      <c r="XM200" s="21"/>
      <c r="XN200" s="21"/>
      <c r="XO200" s="21"/>
      <c r="XP200" s="21"/>
      <c r="XQ200" s="21"/>
      <c r="XR200" s="21"/>
      <c r="XS200" s="21"/>
      <c r="XT200" s="21"/>
      <c r="XU200" s="21"/>
      <c r="XV200" s="21"/>
      <c r="XW200" s="21"/>
      <c r="XX200" s="21"/>
      <c r="XY200" s="21"/>
      <c r="XZ200" s="21"/>
      <c r="YA200" s="21"/>
      <c r="YB200" s="21"/>
      <c r="YC200" s="21"/>
      <c r="YD200" s="21"/>
      <c r="YE200" s="21"/>
      <c r="YF200" s="21"/>
      <c r="YG200" s="21"/>
      <c r="YH200" s="21"/>
      <c r="YI200" s="21"/>
      <c r="YJ200" s="21"/>
      <c r="YK200" s="21"/>
      <c r="YL200" s="21"/>
      <c r="YM200" s="21"/>
      <c r="YN200" s="21"/>
      <c r="YO200" s="21"/>
      <c r="YP200" s="21"/>
      <c r="YQ200" s="21"/>
      <c r="YR200" s="21"/>
      <c r="YS200" s="21"/>
      <c r="YT200" s="21"/>
      <c r="YU200" s="21"/>
      <c r="YV200" s="21"/>
      <c r="YW200" s="21"/>
      <c r="YX200" s="21"/>
      <c r="YY200" s="21"/>
      <c r="YZ200" s="21"/>
      <c r="ZA200" s="21"/>
      <c r="ZB200" s="21"/>
      <c r="ZC200" s="21"/>
      <c r="ZD200" s="21"/>
      <c r="ZE200" s="21"/>
      <c r="ZF200" s="21"/>
      <c r="ZG200" s="21"/>
      <c r="ZH200" s="21"/>
      <c r="ZI200" s="21"/>
      <c r="ZJ200" s="21"/>
      <c r="ZK200" s="21"/>
      <c r="ZL200" s="21"/>
      <c r="ZM200" s="21"/>
      <c r="ZN200" s="21"/>
      <c r="ZO200" s="21"/>
      <c r="ZP200" s="21"/>
      <c r="ZQ200" s="21"/>
      <c r="ZR200" s="21"/>
      <c r="ZS200" s="21"/>
      <c r="ZT200" s="21"/>
      <c r="ZU200" s="21"/>
      <c r="ZV200" s="21"/>
      <c r="ZW200" s="21"/>
      <c r="ZX200" s="21"/>
      <c r="ZY200" s="21"/>
      <c r="ZZ200" s="21"/>
      <c r="AAA200" s="21"/>
      <c r="AAB200" s="21"/>
      <c r="AAC200" s="21"/>
      <c r="AAD200" s="21"/>
      <c r="AAE200" s="21"/>
      <c r="AAF200" s="21"/>
      <c r="AAG200" s="21"/>
      <c r="AAH200" s="21"/>
      <c r="AAI200" s="21"/>
      <c r="AAJ200" s="21"/>
      <c r="AAK200" s="21"/>
      <c r="AAL200" s="21"/>
      <c r="AAM200" s="21"/>
      <c r="AAN200" s="21"/>
      <c r="AAO200" s="21"/>
      <c r="AAP200" s="21"/>
      <c r="AAQ200" s="21"/>
      <c r="AAR200" s="21"/>
      <c r="AAS200" s="21"/>
      <c r="AAT200" s="21"/>
      <c r="AAU200" s="21"/>
      <c r="AAV200" s="21"/>
      <c r="AAW200" s="21"/>
      <c r="AAX200" s="21"/>
      <c r="AAY200" s="21"/>
      <c r="AAZ200" s="21"/>
      <c r="ABA200" s="21"/>
      <c r="ABB200" s="21"/>
      <c r="ABC200" s="21"/>
      <c r="ABD200" s="21"/>
      <c r="ABE200" s="21"/>
      <c r="ABF200" s="21"/>
      <c r="ABG200" s="21"/>
      <c r="ABH200" s="21"/>
      <c r="ABI200" s="21"/>
      <c r="ABJ200" s="21"/>
      <c r="ABK200" s="21"/>
      <c r="ABL200" s="21"/>
      <c r="ABM200" s="21"/>
      <c r="ABN200" s="21"/>
      <c r="ABO200" s="21"/>
      <c r="ABP200" s="21"/>
      <c r="ABQ200" s="21"/>
      <c r="ABR200" s="21"/>
      <c r="ABS200" s="21"/>
      <c r="ABT200" s="21"/>
      <c r="ABU200" s="21"/>
      <c r="ABV200" s="21"/>
      <c r="ABW200" s="21"/>
      <c r="ABX200" s="21"/>
      <c r="ABY200" s="21"/>
      <c r="ABZ200" s="21"/>
      <c r="ACA200" s="21"/>
      <c r="ACB200" s="21"/>
      <c r="ACC200" s="21"/>
      <c r="ACD200" s="21"/>
      <c r="ACE200" s="21"/>
      <c r="ACF200" s="21"/>
      <c r="ACG200" s="21"/>
      <c r="ACH200" s="21"/>
      <c r="ACI200" s="21"/>
      <c r="ACJ200" s="21"/>
      <c r="ACK200" s="21"/>
      <c r="ACL200" s="21"/>
      <c r="ACM200" s="21"/>
      <c r="ACN200" s="21"/>
      <c r="ACO200" s="21"/>
      <c r="ACP200" s="21"/>
      <c r="ACQ200" s="21"/>
      <c r="ACR200" s="21"/>
      <c r="ACS200" s="21"/>
      <c r="ACT200" s="21"/>
      <c r="ACU200" s="21"/>
      <c r="ACV200" s="21"/>
      <c r="ACW200" s="21"/>
      <c r="ACX200" s="21"/>
      <c r="ACY200" s="21"/>
      <c r="ACZ200" s="21"/>
      <c r="ADA200" s="21"/>
      <c r="ADB200" s="21"/>
      <c r="ADC200" s="21"/>
      <c r="ADD200" s="21"/>
      <c r="ADE200" s="21"/>
      <c r="ADF200" s="21"/>
      <c r="ADG200" s="21"/>
      <c r="ADH200" s="21"/>
      <c r="ADI200" s="21"/>
      <c r="ADJ200" s="21"/>
      <c r="ADK200" s="21"/>
      <c r="ADL200" s="21"/>
      <c r="ADM200" s="21"/>
      <c r="ADN200" s="21"/>
      <c r="ADO200" s="21"/>
      <c r="ADP200" s="21"/>
      <c r="ADQ200" s="21"/>
      <c r="ADR200" s="21"/>
      <c r="ADS200" s="21"/>
      <c r="ADT200" s="21"/>
      <c r="ADU200" s="21"/>
      <c r="ADV200" s="21"/>
      <c r="ADW200" s="21"/>
      <c r="ADX200" s="21"/>
      <c r="ADY200" s="21"/>
      <c r="ADZ200" s="21"/>
      <c r="AEA200" s="21"/>
      <c r="AEB200" s="21"/>
      <c r="AEC200" s="21"/>
      <c r="AED200" s="21"/>
      <c r="AEE200" s="21"/>
      <c r="AEF200" s="21"/>
      <c r="AEG200" s="21"/>
      <c r="AEH200" s="21"/>
      <c r="AEI200" s="21"/>
      <c r="AEJ200" s="21"/>
      <c r="AEK200" s="21"/>
      <c r="AEL200" s="21"/>
      <c r="AEM200" s="21"/>
      <c r="AEN200" s="21"/>
      <c r="AEO200" s="21"/>
      <c r="AEP200" s="21"/>
      <c r="AEQ200" s="21"/>
      <c r="AER200" s="21"/>
      <c r="AES200" s="21"/>
      <c r="AET200" s="21"/>
      <c r="AEU200" s="21"/>
      <c r="AEV200" s="21"/>
      <c r="AEW200" s="21"/>
      <c r="AEX200" s="21"/>
      <c r="AEY200" s="21"/>
      <c r="AEZ200" s="21"/>
      <c r="AFA200" s="21"/>
      <c r="AFB200" s="21"/>
      <c r="AFC200" s="21"/>
      <c r="AFD200" s="21"/>
      <c r="AFE200" s="21"/>
      <c r="AFF200" s="21"/>
      <c r="AFG200" s="21"/>
      <c r="AFH200" s="21"/>
      <c r="AFI200" s="21"/>
      <c r="AFJ200" s="21"/>
      <c r="AFK200" s="21"/>
      <c r="AFL200" s="21"/>
      <c r="AFM200" s="21"/>
      <c r="AFN200" s="21"/>
      <c r="AFO200" s="21"/>
      <c r="AFP200" s="21"/>
      <c r="AFQ200" s="21"/>
      <c r="AFR200" s="21"/>
      <c r="AFS200" s="21"/>
      <c r="AFT200" s="21"/>
      <c r="AFU200" s="21"/>
      <c r="AFV200" s="21"/>
      <c r="AFW200" s="21"/>
      <c r="AFX200" s="21"/>
      <c r="AFY200" s="21"/>
      <c r="AFZ200" s="21"/>
      <c r="AGA200" s="21"/>
      <c r="AGB200" s="21"/>
      <c r="AGC200" s="21"/>
      <c r="AGD200" s="21"/>
      <c r="AGE200" s="21"/>
      <c r="AGF200" s="21"/>
      <c r="AGG200" s="21"/>
      <c r="AGH200" s="21"/>
      <c r="AGI200" s="21"/>
      <c r="AGJ200" s="21"/>
      <c r="AGK200" s="21"/>
      <c r="AGL200" s="21"/>
      <c r="AGM200" s="21"/>
      <c r="AGN200" s="21"/>
      <c r="AGO200" s="21"/>
      <c r="AGP200" s="21"/>
      <c r="AGQ200" s="21"/>
      <c r="AGR200" s="21"/>
      <c r="AGS200" s="21"/>
      <c r="AGT200" s="21"/>
      <c r="AGU200" s="21"/>
      <c r="AGV200" s="21"/>
      <c r="AGW200" s="21"/>
      <c r="AGX200" s="21"/>
      <c r="AGY200" s="21"/>
      <c r="AGZ200" s="21"/>
      <c r="AHA200" s="21"/>
      <c r="AHB200" s="21"/>
      <c r="AHC200" s="21"/>
      <c r="AHD200" s="21"/>
      <c r="AHE200" s="21"/>
      <c r="AHF200" s="21"/>
      <c r="AHG200" s="21"/>
      <c r="AHH200" s="21"/>
      <c r="AHI200" s="21"/>
      <c r="AHJ200" s="21"/>
      <c r="AHK200" s="21"/>
      <c r="AHL200" s="21"/>
      <c r="AHM200" s="21"/>
      <c r="AHN200" s="21"/>
      <c r="AHO200" s="21"/>
      <c r="AHP200" s="21"/>
      <c r="AHQ200" s="21"/>
      <c r="AHR200" s="21"/>
      <c r="AHS200" s="21"/>
      <c r="AHT200" s="21"/>
      <c r="AHU200" s="21"/>
      <c r="AHV200" s="21"/>
      <c r="AHW200" s="21"/>
      <c r="AHX200" s="21"/>
      <c r="AHY200" s="21"/>
      <c r="AHZ200" s="21"/>
      <c r="AIA200" s="21"/>
      <c r="AIB200" s="21"/>
      <c r="AIC200" s="21"/>
      <c r="AID200" s="21"/>
      <c r="AIE200" s="21"/>
      <c r="AIF200" s="21"/>
      <c r="AIG200" s="21"/>
      <c r="AIH200" s="21"/>
      <c r="AII200" s="21"/>
      <c r="AIJ200" s="21"/>
      <c r="AIK200" s="21"/>
      <c r="AIL200" s="21"/>
      <c r="AIM200" s="21"/>
      <c r="AIN200" s="21"/>
      <c r="AIO200" s="21"/>
      <c r="AIP200" s="21"/>
      <c r="AIQ200" s="21"/>
      <c r="AIR200" s="21"/>
      <c r="AIS200" s="21"/>
      <c r="AIT200" s="21"/>
      <c r="AIU200" s="21"/>
      <c r="AIV200" s="21"/>
      <c r="AIW200" s="21"/>
      <c r="AIX200" s="21"/>
      <c r="AIY200" s="21"/>
      <c r="AIZ200" s="21"/>
      <c r="AJA200" s="21"/>
      <c r="AJB200" s="21"/>
      <c r="AJC200" s="21"/>
      <c r="AJD200" s="21"/>
      <c r="AJE200" s="21"/>
      <c r="AJF200" s="21"/>
      <c r="AJG200" s="21"/>
      <c r="AJH200" s="21"/>
      <c r="AJI200" s="21"/>
      <c r="AJJ200" s="21"/>
      <c r="AJK200" s="21"/>
      <c r="AJL200" s="21"/>
      <c r="AJM200" s="21"/>
      <c r="AJN200" s="21"/>
      <c r="AJO200" s="21"/>
      <c r="AJP200" s="21"/>
      <c r="AJQ200" s="21"/>
      <c r="AJR200" s="21"/>
      <c r="AJS200" s="21"/>
      <c r="AJT200" s="21"/>
      <c r="AJU200" s="21"/>
      <c r="AJV200" s="21"/>
      <c r="AJW200" s="21"/>
      <c r="AJX200" s="21"/>
      <c r="AJY200" s="21"/>
      <c r="AJZ200" s="21"/>
      <c r="AKA200" s="21"/>
      <c r="AKB200" s="21"/>
      <c r="AKC200" s="21"/>
      <c r="AKD200" s="21"/>
      <c r="AKE200" s="21"/>
      <c r="AKF200" s="21"/>
      <c r="AKG200" s="21"/>
      <c r="AKH200" s="21"/>
      <c r="AKI200" s="21"/>
      <c r="AKJ200" s="21"/>
      <c r="AKK200" s="21"/>
      <c r="AKL200" s="21"/>
      <c r="AKM200" s="21"/>
      <c r="AKN200" s="21"/>
      <c r="AKO200" s="21"/>
      <c r="AKP200" s="21"/>
      <c r="AKQ200" s="21"/>
      <c r="AKR200" s="21"/>
      <c r="AKS200" s="21"/>
      <c r="AKT200" s="21"/>
      <c r="AKU200" s="21"/>
      <c r="AKV200" s="21"/>
      <c r="AKW200" s="21"/>
      <c r="AKX200" s="21"/>
      <c r="AKY200" s="21"/>
      <c r="AKZ200" s="21"/>
      <c r="ALA200" s="21"/>
      <c r="ALB200" s="21"/>
      <c r="ALC200" s="21"/>
      <c r="ALD200" s="21"/>
      <c r="ALE200" s="21"/>
      <c r="ALF200" s="21"/>
      <c r="ALG200" s="21"/>
      <c r="ALH200" s="21"/>
      <c r="ALI200" s="21"/>
      <c r="ALJ200" s="21"/>
      <c r="ALK200" s="21"/>
      <c r="ALL200" s="21"/>
      <c r="ALM200" s="21"/>
      <c r="ALN200" s="21"/>
      <c r="ALO200" s="21"/>
      <c r="ALP200" s="21"/>
      <c r="ALQ200" s="21"/>
      <c r="ALR200" s="21"/>
      <c r="ALS200" s="21"/>
      <c r="ALT200" s="21"/>
      <c r="ALU200" s="21"/>
      <c r="ALV200" s="21"/>
      <c r="ALW200" s="21"/>
      <c r="ALX200" s="21"/>
      <c r="ALY200" s="21"/>
      <c r="ALZ200" s="21"/>
      <c r="AMA200" s="21"/>
      <c r="AMB200" s="21"/>
      <c r="AMC200" s="21"/>
      <c r="AMD200" s="21"/>
      <c r="AME200" s="21"/>
      <c r="AMF200" s="21"/>
      <c r="AMG200" s="21"/>
      <c r="AMH200" s="21"/>
      <c r="AMI200" s="21"/>
      <c r="AMJ200" s="21"/>
      <c r="AMK200" s="21"/>
      <c r="AML200" s="21"/>
      <c r="AMM200" s="21"/>
      <c r="AMN200" s="21"/>
      <c r="AMO200" s="21"/>
      <c r="AMP200" s="21"/>
      <c r="AMQ200" s="21"/>
      <c r="AMR200" s="21"/>
      <c r="AMS200" s="21"/>
      <c r="AMT200" s="21"/>
      <c r="AMU200" s="21"/>
      <c r="AMV200" s="21"/>
      <c r="AMW200" s="21"/>
      <c r="AMX200" s="21"/>
      <c r="AMY200" s="21"/>
      <c r="AMZ200" s="21"/>
      <c r="ANA200" s="21"/>
      <c r="ANB200" s="21"/>
      <c r="ANC200" s="21"/>
      <c r="AND200" s="21"/>
      <c r="ANE200" s="21"/>
      <c r="ANF200" s="21"/>
      <c r="ANG200" s="21"/>
      <c r="ANH200" s="21"/>
      <c r="ANI200" s="21"/>
      <c r="ANJ200" s="21"/>
      <c r="ANK200" s="21"/>
      <c r="ANL200" s="21"/>
      <c r="ANM200" s="21"/>
      <c r="ANN200" s="21"/>
      <c r="ANO200" s="21"/>
      <c r="ANP200" s="21"/>
      <c r="ANQ200" s="21"/>
      <c r="ANR200" s="21"/>
      <c r="ANS200" s="21"/>
      <c r="ANT200" s="21"/>
      <c r="ANU200" s="21"/>
      <c r="ANV200" s="21"/>
      <c r="ANW200" s="21"/>
      <c r="ANX200" s="21"/>
      <c r="ANY200" s="21"/>
      <c r="ANZ200" s="21"/>
      <c r="AOA200" s="21"/>
      <c r="AOB200" s="21"/>
      <c r="AOC200" s="21"/>
      <c r="AOD200" s="21"/>
      <c r="AOE200" s="21"/>
      <c r="AOF200" s="21"/>
      <c r="AOG200" s="21"/>
      <c r="AOH200" s="21"/>
      <c r="AOI200" s="21"/>
      <c r="AOJ200" s="21"/>
      <c r="AOK200" s="21"/>
      <c r="AOL200" s="21"/>
      <c r="AOM200" s="21"/>
      <c r="AON200" s="21"/>
      <c r="AOO200" s="21"/>
      <c r="AOP200" s="21"/>
      <c r="AOQ200" s="21"/>
      <c r="AOR200" s="21"/>
      <c r="AOS200" s="21"/>
      <c r="AOT200" s="21"/>
      <c r="AOU200" s="21"/>
      <c r="AOV200" s="21"/>
      <c r="AOW200" s="21"/>
      <c r="AOX200" s="21"/>
      <c r="AOY200" s="21"/>
      <c r="AOZ200" s="21"/>
      <c r="APA200" s="21"/>
      <c r="APB200" s="21"/>
      <c r="APC200" s="21"/>
      <c r="APD200" s="21"/>
      <c r="APE200" s="21"/>
      <c r="APF200" s="21"/>
      <c r="APG200" s="21"/>
      <c r="APH200" s="21"/>
      <c r="API200" s="21"/>
      <c r="APJ200" s="21"/>
      <c r="APK200" s="21"/>
      <c r="APL200" s="21"/>
      <c r="APM200" s="21"/>
      <c r="APN200" s="21"/>
      <c r="APO200" s="21"/>
      <c r="APP200" s="21"/>
      <c r="APQ200" s="21"/>
      <c r="APR200" s="21"/>
      <c r="APS200" s="21"/>
      <c r="APT200" s="21"/>
      <c r="APU200" s="21"/>
      <c r="APV200" s="21"/>
      <c r="APW200" s="21"/>
      <c r="APX200" s="21"/>
      <c r="APY200" s="21"/>
      <c r="APZ200" s="21"/>
      <c r="AQA200" s="21"/>
      <c r="AQB200" s="21"/>
      <c r="AQC200" s="21"/>
      <c r="AQD200" s="21"/>
      <c r="AQE200" s="21"/>
      <c r="AQF200" s="21"/>
      <c r="AQG200" s="21"/>
      <c r="AQH200" s="21"/>
      <c r="AQI200" s="21"/>
      <c r="AQJ200" s="21"/>
      <c r="AQK200" s="21"/>
      <c r="AQL200" s="21"/>
      <c r="AQM200" s="21"/>
      <c r="AQN200" s="21"/>
      <c r="AQO200" s="21"/>
      <c r="AQP200" s="21"/>
      <c r="AQQ200" s="21"/>
      <c r="AQR200" s="21"/>
      <c r="AQS200" s="21"/>
      <c r="AQT200" s="21"/>
      <c r="AQU200" s="21"/>
      <c r="AQV200" s="21"/>
      <c r="AQW200" s="21"/>
      <c r="AQX200" s="21"/>
      <c r="AQY200" s="21"/>
      <c r="AQZ200" s="21"/>
      <c r="ARA200" s="21"/>
      <c r="ARB200" s="21"/>
      <c r="ARC200" s="21"/>
      <c r="ARD200" s="21"/>
      <c r="ARE200" s="21"/>
      <c r="ARF200" s="21"/>
      <c r="ARG200" s="21"/>
      <c r="ARH200" s="21"/>
      <c r="ARI200" s="21"/>
      <c r="ARJ200" s="21"/>
      <c r="ARK200" s="21"/>
      <c r="ARL200" s="21"/>
      <c r="ARM200" s="21"/>
      <c r="ARN200" s="21"/>
      <c r="ARO200" s="21"/>
      <c r="ARP200" s="21"/>
      <c r="ARQ200" s="21"/>
      <c r="ARR200" s="21"/>
      <c r="ARS200" s="21"/>
      <c r="ART200" s="21"/>
      <c r="ARU200" s="21"/>
      <c r="ARV200" s="21"/>
      <c r="ARW200" s="21"/>
      <c r="ARX200" s="21"/>
      <c r="ARY200" s="21"/>
      <c r="ARZ200" s="21"/>
      <c r="ASA200" s="21"/>
      <c r="ASB200" s="21"/>
      <c r="ASC200" s="21"/>
      <c r="ASD200" s="21"/>
      <c r="ASE200" s="21"/>
      <c r="ASF200" s="21"/>
      <c r="ASG200" s="21"/>
      <c r="ASH200" s="21"/>
      <c r="ASI200" s="21"/>
      <c r="ASJ200" s="21"/>
      <c r="ASK200" s="21"/>
      <c r="ASL200" s="21"/>
      <c r="ASM200" s="21"/>
      <c r="ASN200" s="21"/>
      <c r="ASO200" s="21"/>
      <c r="ASP200" s="21"/>
      <c r="ASQ200" s="21"/>
      <c r="ASR200" s="21"/>
      <c r="ASS200" s="21"/>
      <c r="AST200" s="21"/>
      <c r="ASU200" s="21"/>
      <c r="ASV200" s="21"/>
      <c r="ASW200" s="21"/>
      <c r="ASX200" s="21"/>
      <c r="ASY200" s="21"/>
      <c r="ASZ200" s="21"/>
      <c r="ATA200" s="21"/>
      <c r="ATB200" s="21"/>
      <c r="ATC200" s="21"/>
      <c r="ATD200" s="21"/>
      <c r="ATE200" s="21"/>
      <c r="ATF200" s="21"/>
      <c r="ATG200" s="21"/>
      <c r="ATH200" s="21"/>
      <c r="ATI200" s="21"/>
      <c r="ATJ200" s="21"/>
      <c r="ATK200" s="21"/>
      <c r="ATL200" s="21"/>
      <c r="ATM200" s="21"/>
      <c r="ATN200" s="21"/>
      <c r="ATO200" s="21"/>
      <c r="ATP200" s="21"/>
      <c r="ATQ200" s="21"/>
      <c r="ATR200" s="21"/>
      <c r="ATS200" s="21"/>
      <c r="ATT200" s="21"/>
      <c r="ATU200" s="21"/>
      <c r="ATV200" s="21"/>
      <c r="ATW200" s="21"/>
      <c r="ATX200" s="21"/>
      <c r="ATY200" s="21"/>
      <c r="ATZ200" s="21"/>
      <c r="AUA200" s="21"/>
      <c r="AUB200" s="21"/>
      <c r="AUC200" s="21"/>
      <c r="AUD200" s="21"/>
      <c r="AUE200" s="21"/>
      <c r="AUF200" s="21"/>
      <c r="AUG200" s="21"/>
      <c r="AUH200" s="21"/>
      <c r="AUI200" s="21"/>
      <c r="AUJ200" s="21"/>
      <c r="AUK200" s="21"/>
      <c r="AUL200" s="21"/>
      <c r="AUM200" s="21"/>
      <c r="AUN200" s="21"/>
      <c r="AUO200" s="21"/>
      <c r="AUP200" s="21"/>
      <c r="AUQ200" s="21"/>
      <c r="AUR200" s="21"/>
      <c r="AUS200" s="21"/>
      <c r="AUT200" s="21"/>
      <c r="AUU200" s="21"/>
      <c r="AUV200" s="21"/>
      <c r="AUW200" s="21"/>
      <c r="AUX200" s="21"/>
      <c r="AUY200" s="21"/>
      <c r="AUZ200" s="21"/>
      <c r="AVA200" s="21"/>
      <c r="AVB200" s="21"/>
      <c r="AVC200" s="21"/>
      <c r="AVD200" s="21"/>
      <c r="AVE200" s="21"/>
      <c r="AVF200" s="21"/>
      <c r="AVG200" s="21"/>
      <c r="AVH200" s="21"/>
      <c r="AVI200" s="21"/>
      <c r="AVJ200" s="21"/>
      <c r="AVK200" s="21"/>
      <c r="AVL200" s="21"/>
      <c r="AVM200" s="21"/>
      <c r="AVN200" s="21"/>
      <c r="AVO200" s="21"/>
      <c r="AVP200" s="21"/>
      <c r="AVQ200" s="21"/>
      <c r="AVR200" s="21"/>
      <c r="AVS200" s="21"/>
      <c r="AVT200" s="21"/>
      <c r="AVU200" s="21"/>
      <c r="AVV200" s="21"/>
      <c r="AVW200" s="21"/>
      <c r="AVX200" s="21"/>
      <c r="AVY200" s="21"/>
      <c r="AVZ200" s="21"/>
      <c r="AWA200" s="21"/>
      <c r="AWB200" s="21"/>
      <c r="AWC200" s="21"/>
      <c r="AWD200" s="21"/>
      <c r="AWE200" s="21"/>
      <c r="AWF200" s="21"/>
      <c r="AWG200" s="21"/>
      <c r="AWH200" s="21"/>
      <c r="AWI200" s="21"/>
      <c r="AWJ200" s="21"/>
      <c r="AWK200" s="21"/>
      <c r="AWL200" s="21"/>
      <c r="AWM200" s="21"/>
      <c r="AWN200" s="21"/>
      <c r="AWO200" s="21"/>
      <c r="AWP200" s="21"/>
      <c r="AWQ200" s="21"/>
      <c r="AWR200" s="21"/>
      <c r="AWS200" s="21"/>
      <c r="AWT200" s="21"/>
      <c r="AWU200" s="21"/>
      <c r="AWV200" s="21"/>
      <c r="AWW200" s="21"/>
      <c r="AWX200" s="21"/>
      <c r="AWY200" s="21"/>
      <c r="AWZ200" s="21"/>
      <c r="AXA200" s="21"/>
      <c r="AXB200" s="21"/>
      <c r="AXC200" s="21"/>
      <c r="AXD200" s="21"/>
      <c r="AXE200" s="21"/>
      <c r="AXF200" s="21"/>
      <c r="AXG200" s="21"/>
      <c r="AXH200" s="21"/>
      <c r="AXI200" s="21"/>
      <c r="AXJ200" s="21"/>
      <c r="AXK200" s="21"/>
      <c r="AXL200" s="21"/>
      <c r="AXM200" s="21"/>
      <c r="AXN200" s="21"/>
      <c r="AXO200" s="21"/>
      <c r="AXP200" s="21"/>
      <c r="AXQ200" s="21"/>
      <c r="AXR200" s="21"/>
      <c r="AXS200" s="21"/>
      <c r="AXT200" s="21"/>
      <c r="AXU200" s="21"/>
      <c r="AXV200" s="21"/>
      <c r="AXW200" s="21"/>
      <c r="AXX200" s="21"/>
      <c r="AXY200" s="21"/>
      <c r="AXZ200" s="21"/>
      <c r="AYA200" s="21"/>
      <c r="AYB200" s="21"/>
      <c r="AYC200" s="21"/>
      <c r="AYD200" s="21"/>
      <c r="AYE200" s="21"/>
      <c r="AYF200" s="21"/>
      <c r="AYG200" s="21"/>
      <c r="AYH200" s="21"/>
      <c r="AYI200" s="21"/>
      <c r="AYJ200" s="21"/>
      <c r="AYK200" s="21"/>
      <c r="AYL200" s="21"/>
      <c r="AYM200" s="21"/>
      <c r="AYN200" s="21"/>
      <c r="AYO200" s="21"/>
      <c r="AYP200" s="21"/>
      <c r="AYQ200" s="21"/>
      <c r="AYR200" s="21"/>
      <c r="AYS200" s="21"/>
      <c r="AYT200" s="21"/>
      <c r="AYU200" s="21"/>
      <c r="AYV200" s="21"/>
      <c r="AYW200" s="21"/>
      <c r="AYX200" s="21"/>
      <c r="AYY200" s="21"/>
      <c r="AYZ200" s="21"/>
      <c r="AZA200" s="21"/>
      <c r="AZB200" s="21"/>
      <c r="AZC200" s="21"/>
      <c r="AZD200" s="21"/>
      <c r="AZE200" s="21"/>
      <c r="AZF200" s="21"/>
      <c r="AZG200" s="21"/>
      <c r="AZH200" s="21"/>
      <c r="AZI200" s="21"/>
      <c r="AZJ200" s="21"/>
      <c r="AZK200" s="21"/>
      <c r="AZL200" s="21"/>
      <c r="AZM200" s="21"/>
      <c r="AZN200" s="21"/>
      <c r="AZO200" s="21"/>
      <c r="AZP200" s="21"/>
      <c r="AZQ200" s="21"/>
      <c r="AZR200" s="21"/>
      <c r="AZS200" s="21"/>
      <c r="AZT200" s="21"/>
      <c r="AZU200" s="21"/>
      <c r="AZV200" s="21"/>
      <c r="AZW200" s="21"/>
      <c r="AZX200" s="21"/>
      <c r="AZY200" s="21"/>
      <c r="AZZ200" s="21"/>
      <c r="BAA200" s="21"/>
      <c r="BAB200" s="21"/>
      <c r="BAC200" s="21"/>
      <c r="BAD200" s="21"/>
      <c r="BAE200" s="21"/>
      <c r="BAF200" s="21"/>
      <c r="BAG200" s="21"/>
      <c r="BAH200" s="21"/>
      <c r="BAI200" s="21"/>
      <c r="BAJ200" s="21"/>
      <c r="BAK200" s="21"/>
      <c r="BAL200" s="21"/>
      <c r="BAM200" s="21"/>
      <c r="BAN200" s="21"/>
      <c r="BAO200" s="21"/>
      <c r="BAP200" s="21"/>
      <c r="BAQ200" s="21"/>
      <c r="BAR200" s="21"/>
      <c r="BAS200" s="21"/>
      <c r="BAT200" s="21"/>
      <c r="BAU200" s="21"/>
      <c r="BAV200" s="21"/>
      <c r="BAW200" s="21"/>
      <c r="BAX200" s="21"/>
      <c r="BAY200" s="21"/>
      <c r="BAZ200" s="21"/>
      <c r="BBA200" s="21"/>
      <c r="BBB200" s="21"/>
      <c r="BBC200" s="21"/>
      <c r="BBD200" s="21"/>
      <c r="BBE200" s="21"/>
      <c r="BBF200" s="21"/>
      <c r="BBG200" s="21"/>
      <c r="BBH200" s="21"/>
      <c r="BBI200" s="21"/>
      <c r="BBJ200" s="21"/>
      <c r="BBK200" s="21"/>
      <c r="BBL200" s="21"/>
      <c r="BBM200" s="21"/>
      <c r="BBN200" s="21"/>
      <c r="BBO200" s="21"/>
      <c r="BBP200" s="21"/>
      <c r="BBQ200" s="21"/>
      <c r="BBR200" s="21"/>
      <c r="BBS200" s="21"/>
      <c r="BBT200" s="21"/>
      <c r="BBU200" s="21"/>
      <c r="BBV200" s="21"/>
      <c r="BBW200" s="21"/>
      <c r="BBX200" s="21"/>
      <c r="BBY200" s="21"/>
      <c r="BBZ200" s="21"/>
      <c r="BCA200" s="21"/>
      <c r="BCB200" s="21"/>
      <c r="BCC200" s="21"/>
      <c r="BCD200" s="21"/>
      <c r="BCE200" s="21"/>
      <c r="BCF200" s="21"/>
      <c r="BCG200" s="21"/>
      <c r="BCH200" s="21"/>
      <c r="BCI200" s="21"/>
      <c r="BCJ200" s="21"/>
      <c r="BCK200" s="21"/>
      <c r="BCL200" s="21"/>
      <c r="BCM200" s="21"/>
      <c r="BCN200" s="21"/>
      <c r="BCO200" s="21"/>
      <c r="BCP200" s="21"/>
      <c r="BCQ200" s="21"/>
      <c r="BCR200" s="21"/>
      <c r="BCS200" s="21"/>
      <c r="BCT200" s="21"/>
      <c r="BCU200" s="21"/>
      <c r="BCV200" s="21"/>
      <c r="BCW200" s="21"/>
      <c r="BCX200" s="21"/>
      <c r="BCY200" s="21"/>
      <c r="BCZ200" s="21"/>
      <c r="BDA200" s="21"/>
      <c r="BDB200" s="21"/>
      <c r="BDC200" s="21"/>
      <c r="BDD200" s="21"/>
      <c r="BDE200" s="21"/>
      <c r="BDF200" s="21"/>
      <c r="BDG200" s="21"/>
      <c r="BDH200" s="21"/>
      <c r="BDI200" s="21"/>
      <c r="BDJ200" s="21"/>
      <c r="BDK200" s="21"/>
      <c r="BDL200" s="21"/>
      <c r="BDM200" s="21"/>
      <c r="BDN200" s="21"/>
      <c r="BDO200" s="21"/>
      <c r="BDP200" s="21"/>
      <c r="BDQ200" s="21"/>
      <c r="BDR200" s="21"/>
      <c r="BDS200" s="21"/>
      <c r="BDT200" s="21"/>
      <c r="BDU200" s="21"/>
      <c r="BDV200" s="21"/>
      <c r="BDW200" s="21"/>
      <c r="BDX200" s="21"/>
      <c r="BDY200" s="21"/>
      <c r="BDZ200" s="21"/>
      <c r="BEA200" s="21"/>
      <c r="BEB200" s="21"/>
      <c r="BEC200" s="21"/>
      <c r="BED200" s="21"/>
      <c r="BEE200" s="21"/>
      <c r="BEF200" s="21"/>
      <c r="BEG200" s="21"/>
      <c r="BEH200" s="21"/>
      <c r="BEI200" s="21"/>
      <c r="BEJ200" s="21"/>
      <c r="BEK200" s="21"/>
      <c r="BEL200" s="21"/>
      <c r="BEM200" s="21"/>
      <c r="BEN200" s="21"/>
      <c r="BEO200" s="21"/>
      <c r="BEP200" s="21"/>
      <c r="BEQ200" s="21"/>
      <c r="BER200" s="21"/>
      <c r="BES200" s="21"/>
      <c r="BET200" s="21"/>
      <c r="BEU200" s="21"/>
      <c r="BEV200" s="21"/>
      <c r="BEW200" s="21"/>
      <c r="BEX200" s="21"/>
      <c r="BEY200" s="21"/>
      <c r="BEZ200" s="21"/>
      <c r="BFA200" s="21"/>
      <c r="BFB200" s="21"/>
      <c r="BFC200" s="21"/>
      <c r="BFD200" s="21"/>
      <c r="BFE200" s="21"/>
      <c r="BFF200" s="21"/>
      <c r="BFG200" s="21"/>
      <c r="BFH200" s="21"/>
      <c r="BFI200" s="21"/>
      <c r="BFJ200" s="21"/>
      <c r="BFK200" s="21"/>
      <c r="BFL200" s="21"/>
      <c r="BFM200" s="21"/>
      <c r="BFN200" s="21"/>
      <c r="BFO200" s="21"/>
      <c r="BFP200" s="21"/>
      <c r="BFQ200" s="21"/>
      <c r="BFR200" s="21"/>
      <c r="BFS200" s="21"/>
      <c r="BFT200" s="21"/>
      <c r="BFU200" s="21"/>
      <c r="BFV200" s="21"/>
      <c r="BFW200" s="21"/>
      <c r="BFX200" s="21"/>
      <c r="BFY200" s="21"/>
      <c r="BFZ200" s="21"/>
      <c r="BGA200" s="21"/>
      <c r="BGB200" s="21"/>
      <c r="BGC200" s="21"/>
      <c r="BGD200" s="21"/>
      <c r="BGE200" s="21"/>
      <c r="BGF200" s="21"/>
      <c r="BGG200" s="21"/>
      <c r="BGH200" s="21"/>
      <c r="BGI200" s="21"/>
      <c r="BGJ200" s="21"/>
      <c r="BGK200" s="21"/>
      <c r="BGL200" s="21"/>
      <c r="BGM200" s="21"/>
      <c r="BGN200" s="21"/>
      <c r="BGO200" s="21"/>
      <c r="BGP200" s="21"/>
      <c r="BGQ200" s="21"/>
      <c r="BGR200" s="21"/>
      <c r="BGS200" s="21"/>
      <c r="BGT200" s="21"/>
      <c r="BGU200" s="21"/>
      <c r="BGV200" s="21"/>
      <c r="BGW200" s="21"/>
      <c r="BGX200" s="21"/>
      <c r="BGY200" s="21"/>
      <c r="BGZ200" s="21"/>
      <c r="BHA200" s="21"/>
      <c r="BHB200" s="21"/>
      <c r="BHC200" s="21"/>
      <c r="BHD200" s="21"/>
      <c r="BHE200" s="21"/>
      <c r="BHF200" s="21"/>
      <c r="BHG200" s="21"/>
      <c r="BHH200" s="21"/>
      <c r="BHI200" s="21"/>
      <c r="BHJ200" s="21"/>
      <c r="BHK200" s="21"/>
      <c r="BHL200" s="21"/>
      <c r="BHM200" s="21"/>
      <c r="BHN200" s="21"/>
      <c r="BHO200" s="21"/>
      <c r="BHP200" s="21"/>
      <c r="BHQ200" s="21"/>
      <c r="BHR200" s="21"/>
      <c r="BHS200" s="21"/>
      <c r="BHT200" s="21"/>
      <c r="BHU200" s="21"/>
      <c r="BHV200" s="21"/>
      <c r="BHW200" s="21"/>
      <c r="BHX200" s="21"/>
      <c r="BHY200" s="21"/>
      <c r="BHZ200" s="21"/>
      <c r="BIA200" s="21"/>
      <c r="BIB200" s="21"/>
      <c r="BIC200" s="21"/>
      <c r="BID200" s="21"/>
      <c r="BIE200" s="21"/>
      <c r="BIF200" s="21"/>
      <c r="BIG200" s="21"/>
      <c r="BIH200" s="21"/>
      <c r="BII200" s="21"/>
      <c r="BIJ200" s="21"/>
      <c r="BIK200" s="21"/>
      <c r="BIL200" s="21"/>
      <c r="BIM200" s="21"/>
      <c r="BIN200" s="21"/>
      <c r="BIO200" s="21"/>
      <c r="BIP200" s="21"/>
      <c r="BIQ200" s="21"/>
      <c r="BIR200" s="21"/>
      <c r="BIS200" s="21"/>
      <c r="BIT200" s="21"/>
      <c r="BIU200" s="21"/>
      <c r="BIV200" s="21"/>
      <c r="BIW200" s="21"/>
      <c r="BIX200" s="21"/>
      <c r="BIY200" s="21"/>
      <c r="BIZ200" s="21"/>
      <c r="BJA200" s="21"/>
      <c r="BJB200" s="21"/>
      <c r="BJC200" s="21"/>
      <c r="BJD200" s="21"/>
      <c r="BJE200" s="21"/>
      <c r="BJF200" s="21"/>
      <c r="BJG200" s="21"/>
      <c r="BJH200" s="21"/>
      <c r="BJI200" s="21"/>
      <c r="BJJ200" s="21"/>
      <c r="BJK200" s="21"/>
      <c r="BJL200" s="21"/>
      <c r="BJM200" s="21"/>
      <c r="BJN200" s="21"/>
      <c r="BJO200" s="21"/>
      <c r="BJP200" s="21"/>
      <c r="BJQ200" s="21"/>
      <c r="BJR200" s="21"/>
      <c r="BJS200" s="21"/>
      <c r="BJT200" s="21"/>
      <c r="BJU200" s="21"/>
      <c r="BJV200" s="21"/>
      <c r="BJW200" s="21"/>
      <c r="BJX200" s="21"/>
      <c r="BJY200" s="21"/>
      <c r="BJZ200" s="21"/>
      <c r="BKA200" s="21"/>
      <c r="BKB200" s="21"/>
      <c r="BKC200" s="21"/>
      <c r="BKD200" s="21"/>
      <c r="BKE200" s="21"/>
      <c r="BKF200" s="21"/>
      <c r="BKG200" s="21"/>
      <c r="BKH200" s="21"/>
      <c r="BKI200" s="21"/>
      <c r="BKJ200" s="21"/>
      <c r="BKK200" s="21"/>
      <c r="BKL200" s="21"/>
      <c r="BKM200" s="21"/>
      <c r="BKN200" s="21"/>
      <c r="BKO200" s="21"/>
      <c r="BKP200" s="21"/>
      <c r="BKQ200" s="21"/>
      <c r="BKR200" s="21"/>
      <c r="BKS200" s="21"/>
      <c r="BKT200" s="21"/>
      <c r="BKU200" s="21"/>
      <c r="BKV200" s="21"/>
      <c r="BKW200" s="21"/>
      <c r="BKX200" s="21"/>
      <c r="BKY200" s="21"/>
      <c r="BKZ200" s="21"/>
      <c r="BLA200" s="21"/>
      <c r="BLB200" s="21"/>
      <c r="BLC200" s="21"/>
      <c r="BLD200" s="21"/>
      <c r="BLE200" s="21"/>
      <c r="BLF200" s="21"/>
      <c r="BLG200" s="21"/>
      <c r="BLH200" s="21"/>
      <c r="BLI200" s="21"/>
      <c r="BLJ200" s="21"/>
      <c r="BLK200" s="21"/>
      <c r="BLL200" s="21"/>
      <c r="BLM200" s="21"/>
      <c r="BLN200" s="21"/>
      <c r="BLO200" s="21"/>
      <c r="BLP200" s="21"/>
      <c r="BLQ200" s="21"/>
      <c r="BLR200" s="21"/>
      <c r="BLS200" s="21"/>
      <c r="BLT200" s="21"/>
      <c r="BLU200" s="21"/>
      <c r="BLV200" s="21"/>
      <c r="BLW200" s="21"/>
      <c r="BLX200" s="21"/>
      <c r="BLY200" s="21"/>
      <c r="BLZ200" s="21"/>
      <c r="BMA200" s="21"/>
      <c r="BMB200" s="21"/>
      <c r="BMC200" s="21"/>
      <c r="BMD200" s="21"/>
      <c r="BME200" s="21"/>
      <c r="BMF200" s="21"/>
      <c r="BMG200" s="21"/>
      <c r="BMH200" s="21"/>
      <c r="BMI200" s="21"/>
      <c r="BMJ200" s="21"/>
      <c r="BMK200" s="21"/>
      <c r="BML200" s="21"/>
      <c r="BMM200" s="21"/>
      <c r="BMN200" s="21"/>
      <c r="BMO200" s="21"/>
      <c r="BMP200" s="21"/>
      <c r="BMQ200" s="21"/>
      <c r="BMR200" s="21"/>
      <c r="BMS200" s="21"/>
      <c r="BMT200" s="21"/>
      <c r="BMU200" s="21"/>
      <c r="BMV200" s="21"/>
      <c r="BMW200" s="21"/>
      <c r="BMX200" s="21"/>
      <c r="BMY200" s="21"/>
      <c r="BMZ200" s="21"/>
      <c r="BNA200" s="21"/>
      <c r="BNB200" s="21"/>
      <c r="BNC200" s="21"/>
      <c r="BND200" s="21"/>
      <c r="BNE200" s="21"/>
      <c r="BNF200" s="21"/>
      <c r="BNG200" s="21"/>
      <c r="BNH200" s="21"/>
      <c r="BNI200" s="21"/>
      <c r="BNJ200" s="21"/>
      <c r="BNK200" s="21"/>
      <c r="BNL200" s="21"/>
      <c r="BNM200" s="21"/>
      <c r="BNN200" s="21"/>
      <c r="BNO200" s="21"/>
      <c r="BNP200" s="21"/>
      <c r="BNQ200" s="21"/>
      <c r="BNR200" s="21"/>
      <c r="BNS200" s="21"/>
      <c r="BNT200" s="21"/>
      <c r="BNU200" s="21"/>
      <c r="BNV200" s="21"/>
      <c r="BNW200" s="21"/>
      <c r="BNX200" s="21"/>
      <c r="BNY200" s="21"/>
      <c r="BNZ200" s="21"/>
      <c r="BOA200" s="21"/>
      <c r="BOB200" s="21"/>
      <c r="BOC200" s="21"/>
      <c r="BOD200" s="21"/>
      <c r="BOE200" s="21"/>
      <c r="BOF200" s="21"/>
      <c r="BOG200" s="21"/>
      <c r="BOH200" s="21"/>
      <c r="BOI200" s="21"/>
      <c r="BOJ200" s="21"/>
      <c r="BOK200" s="21"/>
      <c r="BOL200" s="21"/>
      <c r="BOM200" s="21"/>
      <c r="BON200" s="21"/>
      <c r="BOO200" s="21"/>
      <c r="BOP200" s="21"/>
      <c r="BOQ200" s="21"/>
      <c r="BOR200" s="21"/>
      <c r="BOS200" s="21"/>
      <c r="BOT200" s="21"/>
      <c r="BOU200" s="21"/>
      <c r="BOV200" s="21"/>
      <c r="BOW200" s="21"/>
      <c r="BOX200" s="21"/>
      <c r="BOY200" s="21"/>
      <c r="BOZ200" s="21"/>
      <c r="BPA200" s="21"/>
      <c r="BPB200" s="21"/>
      <c r="BPC200" s="21"/>
      <c r="BPD200" s="21"/>
      <c r="BPE200" s="21"/>
      <c r="BPF200" s="21"/>
      <c r="BPG200" s="21"/>
      <c r="BPH200" s="21"/>
      <c r="BPI200" s="21"/>
      <c r="BPJ200" s="21"/>
      <c r="BPK200" s="21"/>
      <c r="BPL200" s="21"/>
      <c r="BPM200" s="21"/>
      <c r="BPN200" s="21"/>
      <c r="BPO200" s="21"/>
      <c r="BPP200" s="21"/>
      <c r="BPQ200" s="21"/>
      <c r="BPR200" s="21"/>
      <c r="BPS200" s="21"/>
      <c r="BPT200" s="21"/>
      <c r="BPU200" s="21"/>
      <c r="BPV200" s="21"/>
      <c r="BPW200" s="21"/>
      <c r="BPX200" s="21"/>
      <c r="BPY200" s="21"/>
      <c r="BPZ200" s="21"/>
      <c r="BQA200" s="21"/>
      <c r="BQB200" s="21"/>
      <c r="BQC200" s="21"/>
      <c r="BQD200" s="21"/>
      <c r="BQE200" s="21"/>
      <c r="BQF200" s="21"/>
      <c r="BQG200" s="21"/>
      <c r="BQH200" s="21"/>
      <c r="BQI200" s="21"/>
      <c r="BQJ200" s="21"/>
      <c r="BQK200" s="21"/>
      <c r="BQL200" s="21"/>
      <c r="BQM200" s="21"/>
      <c r="BQN200" s="21"/>
      <c r="BQO200" s="21"/>
      <c r="BQP200" s="21"/>
      <c r="BQQ200" s="21"/>
      <c r="BQR200" s="21"/>
      <c r="BQS200" s="21"/>
      <c r="BQT200" s="21"/>
      <c r="BQU200" s="21"/>
      <c r="BQV200" s="21"/>
      <c r="BQW200" s="21"/>
      <c r="BQX200" s="21"/>
      <c r="BQY200" s="21"/>
      <c r="BQZ200" s="21"/>
      <c r="BRA200" s="21"/>
      <c r="BRB200" s="21"/>
      <c r="BRC200" s="21"/>
      <c r="BRD200" s="21"/>
      <c r="BRE200" s="21"/>
      <c r="BRF200" s="21"/>
      <c r="BRG200" s="21"/>
      <c r="BRH200" s="21"/>
      <c r="BRI200" s="21"/>
      <c r="BRJ200" s="21"/>
      <c r="BRK200" s="21"/>
      <c r="BRL200" s="21"/>
      <c r="BRM200" s="21"/>
      <c r="BRN200" s="21"/>
      <c r="BRO200" s="21"/>
      <c r="BRP200" s="21"/>
      <c r="BRQ200" s="21"/>
      <c r="BRR200" s="21"/>
      <c r="BRS200" s="21"/>
      <c r="BRT200" s="21"/>
      <c r="BRU200" s="21"/>
      <c r="BRV200" s="21"/>
      <c r="BRW200" s="21"/>
      <c r="BRX200" s="21"/>
      <c r="BRY200" s="21"/>
      <c r="BRZ200" s="21"/>
      <c r="BSA200" s="21"/>
      <c r="BSB200" s="21"/>
      <c r="BSC200" s="21"/>
      <c r="BSD200" s="21"/>
      <c r="BSE200" s="21"/>
      <c r="BSF200" s="21"/>
      <c r="BSG200" s="21"/>
      <c r="BSH200" s="21"/>
      <c r="BSI200" s="21"/>
      <c r="BSJ200" s="21"/>
      <c r="BSK200" s="21"/>
      <c r="BSL200" s="21"/>
      <c r="BSM200" s="21"/>
      <c r="BSN200" s="21"/>
      <c r="BSO200" s="21"/>
      <c r="BSP200" s="21"/>
      <c r="BSQ200" s="21"/>
      <c r="BSR200" s="21"/>
      <c r="BSS200" s="21"/>
      <c r="BST200" s="21"/>
      <c r="BSU200" s="21"/>
      <c r="BSV200" s="21"/>
      <c r="BSW200" s="21"/>
      <c r="BSX200" s="21"/>
      <c r="BSY200" s="21"/>
      <c r="BSZ200" s="21"/>
      <c r="BTA200" s="21"/>
      <c r="BTB200" s="21"/>
      <c r="BTC200" s="21"/>
      <c r="BTD200" s="21"/>
      <c r="BTE200" s="21"/>
      <c r="BTF200" s="21"/>
      <c r="BTG200" s="21"/>
      <c r="BTH200" s="21"/>
      <c r="BTI200" s="21"/>
      <c r="BTJ200" s="21"/>
      <c r="BTK200" s="21"/>
      <c r="BTL200" s="21"/>
      <c r="BTM200" s="21"/>
      <c r="BTN200" s="21"/>
      <c r="BTO200" s="21"/>
      <c r="BTP200" s="21"/>
      <c r="BTQ200" s="21"/>
      <c r="BTR200" s="21"/>
      <c r="BTS200" s="21"/>
      <c r="BTT200" s="21"/>
      <c r="BTU200" s="21"/>
      <c r="BTV200" s="21"/>
      <c r="BTW200" s="21"/>
      <c r="BTX200" s="21"/>
      <c r="BTY200" s="21"/>
      <c r="BTZ200" s="21"/>
      <c r="BUA200" s="21"/>
      <c r="BUB200" s="21"/>
      <c r="BUC200" s="21"/>
      <c r="BUD200" s="21"/>
      <c r="BUE200" s="21"/>
      <c r="BUF200" s="21"/>
      <c r="BUG200" s="21"/>
      <c r="BUH200" s="21"/>
      <c r="BUI200" s="21"/>
      <c r="BUJ200" s="21"/>
      <c r="BUK200" s="21"/>
      <c r="BUL200" s="21"/>
      <c r="BUM200" s="21"/>
      <c r="BUN200" s="21"/>
      <c r="BUO200" s="21"/>
      <c r="BUP200" s="21"/>
      <c r="BUQ200" s="21"/>
      <c r="BUR200" s="21"/>
      <c r="BUS200" s="21"/>
      <c r="BUT200" s="21"/>
      <c r="BUU200" s="21"/>
      <c r="BUV200" s="21"/>
      <c r="BUW200" s="21"/>
      <c r="BUX200" s="21"/>
      <c r="BUY200" s="21"/>
      <c r="BUZ200" s="21"/>
      <c r="BVA200" s="21"/>
      <c r="BVB200" s="21"/>
      <c r="BVC200" s="21"/>
      <c r="BVD200" s="21"/>
      <c r="BVE200" s="21"/>
      <c r="BVF200" s="21"/>
      <c r="BVG200" s="21"/>
      <c r="BVH200" s="21"/>
      <c r="BVI200" s="21"/>
      <c r="BVJ200" s="21"/>
      <c r="BVK200" s="21"/>
      <c r="BVL200" s="21"/>
      <c r="BVM200" s="21"/>
      <c r="BVN200" s="21"/>
      <c r="BVO200" s="21"/>
      <c r="BVP200" s="21"/>
      <c r="BVQ200" s="21"/>
      <c r="BVR200" s="21"/>
      <c r="BVS200" s="21"/>
      <c r="BVT200" s="21"/>
      <c r="BVU200" s="21"/>
      <c r="BVV200" s="21"/>
      <c r="BVW200" s="21"/>
      <c r="BVX200" s="21"/>
      <c r="BVY200" s="21"/>
      <c r="BVZ200" s="21"/>
      <c r="BWA200" s="21"/>
      <c r="BWB200" s="21"/>
      <c r="BWC200" s="21"/>
      <c r="BWD200" s="21"/>
      <c r="BWE200" s="21"/>
      <c r="BWF200" s="21"/>
      <c r="BWG200" s="21"/>
      <c r="BWH200" s="21"/>
      <c r="BWI200" s="21"/>
      <c r="BWJ200" s="21"/>
      <c r="BWK200" s="21"/>
      <c r="BWL200" s="21"/>
      <c r="BWM200" s="21"/>
      <c r="BWN200" s="21"/>
      <c r="BWO200" s="21"/>
      <c r="BWP200" s="21"/>
      <c r="BWQ200" s="21"/>
      <c r="BWR200" s="21"/>
      <c r="BWS200" s="21"/>
      <c r="BWT200" s="21"/>
      <c r="BWU200" s="21"/>
      <c r="BWV200" s="21"/>
      <c r="BWW200" s="21"/>
      <c r="BWX200" s="21"/>
      <c r="BWY200" s="21"/>
      <c r="BWZ200" s="21"/>
      <c r="BXA200" s="21"/>
      <c r="BXB200" s="21"/>
      <c r="BXC200" s="21"/>
      <c r="BXD200" s="21"/>
      <c r="BXE200" s="21"/>
      <c r="BXF200" s="21"/>
      <c r="BXG200" s="21"/>
      <c r="BXH200" s="21"/>
      <c r="BXI200" s="21"/>
      <c r="BXJ200" s="21"/>
      <c r="BXK200" s="21"/>
      <c r="BXL200" s="21"/>
      <c r="BXM200" s="21"/>
      <c r="BXN200" s="21"/>
      <c r="BXO200" s="21"/>
      <c r="BXP200" s="21"/>
      <c r="BXQ200" s="21"/>
      <c r="BXR200" s="21"/>
      <c r="BXS200" s="21"/>
      <c r="BXT200" s="21"/>
      <c r="BXU200" s="21"/>
      <c r="BXV200" s="21"/>
      <c r="BXW200" s="21"/>
      <c r="BXX200" s="21"/>
      <c r="BXY200" s="21"/>
      <c r="BXZ200" s="21"/>
      <c r="BYA200" s="21"/>
      <c r="BYB200" s="21"/>
      <c r="BYC200" s="21"/>
      <c r="BYD200" s="21"/>
      <c r="BYE200" s="21"/>
      <c r="BYF200" s="21"/>
      <c r="BYG200" s="21"/>
      <c r="BYH200" s="21"/>
      <c r="BYI200" s="21"/>
      <c r="BYJ200" s="21"/>
      <c r="BYK200" s="21"/>
      <c r="BYL200" s="21"/>
      <c r="BYM200" s="21"/>
      <c r="BYN200" s="21"/>
      <c r="BYO200" s="21"/>
      <c r="BYP200" s="21"/>
      <c r="BYQ200" s="21"/>
      <c r="BYR200" s="21"/>
      <c r="BYS200" s="21"/>
      <c r="BYT200" s="21"/>
      <c r="BYU200" s="21"/>
      <c r="BYV200" s="21"/>
      <c r="BYW200" s="21"/>
      <c r="BYX200" s="21"/>
      <c r="BYY200" s="21"/>
      <c r="BYZ200" s="21"/>
      <c r="BZA200" s="21"/>
      <c r="BZB200" s="21"/>
      <c r="BZC200" s="21"/>
      <c r="BZD200" s="21"/>
      <c r="BZE200" s="21"/>
      <c r="BZF200" s="21"/>
      <c r="BZG200" s="21"/>
      <c r="BZH200" s="21"/>
      <c r="BZI200" s="21"/>
      <c r="BZJ200" s="21"/>
      <c r="BZK200" s="21"/>
      <c r="BZL200" s="21"/>
      <c r="BZM200" s="21"/>
      <c r="BZN200" s="21"/>
      <c r="BZO200" s="21"/>
      <c r="BZP200" s="21"/>
      <c r="BZQ200" s="21"/>
      <c r="BZR200" s="21"/>
      <c r="BZS200" s="21"/>
      <c r="BZT200" s="21"/>
      <c r="BZU200" s="21"/>
      <c r="BZV200" s="21"/>
      <c r="BZW200" s="21"/>
      <c r="BZX200" s="21"/>
      <c r="BZY200" s="21"/>
      <c r="BZZ200" s="21"/>
      <c r="CAA200" s="21"/>
      <c r="CAB200" s="21"/>
      <c r="CAC200" s="21"/>
      <c r="CAD200" s="21"/>
      <c r="CAE200" s="21"/>
      <c r="CAF200" s="21"/>
      <c r="CAG200" s="21"/>
      <c r="CAH200" s="21"/>
      <c r="CAI200" s="21"/>
      <c r="CAJ200" s="21"/>
      <c r="CAK200" s="21"/>
      <c r="CAL200" s="21"/>
      <c r="CAM200" s="21"/>
      <c r="CAN200" s="21"/>
      <c r="CAO200" s="21"/>
      <c r="CAP200" s="21"/>
      <c r="CAQ200" s="21"/>
      <c r="CAR200" s="21"/>
      <c r="CAS200" s="21"/>
      <c r="CAT200" s="21"/>
      <c r="CAU200" s="21"/>
      <c r="CAV200" s="21"/>
      <c r="CAW200" s="21"/>
      <c r="CAX200" s="21"/>
      <c r="CAY200" s="21"/>
      <c r="CAZ200" s="21"/>
      <c r="CBA200" s="21"/>
      <c r="CBB200" s="21"/>
      <c r="CBC200" s="21"/>
      <c r="CBD200" s="21"/>
      <c r="CBE200" s="21"/>
      <c r="CBF200" s="21"/>
      <c r="CBG200" s="21"/>
      <c r="CBH200" s="21"/>
      <c r="CBI200" s="21"/>
      <c r="CBJ200" s="21"/>
      <c r="CBK200" s="21"/>
      <c r="CBL200" s="21"/>
      <c r="CBM200" s="21"/>
      <c r="CBN200" s="21"/>
      <c r="CBO200" s="21"/>
      <c r="CBP200" s="21"/>
      <c r="CBQ200" s="21"/>
      <c r="CBR200" s="21"/>
      <c r="CBS200" s="21"/>
      <c r="CBT200" s="21"/>
      <c r="CBU200" s="21"/>
      <c r="CBV200" s="21"/>
      <c r="CBW200" s="21"/>
      <c r="CBX200" s="21"/>
      <c r="CBY200" s="21"/>
      <c r="CBZ200" s="21"/>
      <c r="CCA200" s="21"/>
      <c r="CCB200" s="21"/>
      <c r="CCC200" s="21"/>
      <c r="CCD200" s="21"/>
      <c r="CCE200" s="21"/>
      <c r="CCF200" s="21"/>
      <c r="CCG200" s="21"/>
      <c r="CCH200" s="21"/>
      <c r="CCI200" s="21"/>
      <c r="CCJ200" s="21"/>
      <c r="CCK200" s="21"/>
      <c r="CCL200" s="21"/>
      <c r="CCM200" s="21"/>
      <c r="CCN200" s="21"/>
      <c r="CCO200" s="21"/>
      <c r="CCP200" s="21"/>
      <c r="CCQ200" s="21"/>
      <c r="CCR200" s="21"/>
      <c r="CCS200" s="21"/>
      <c r="CCT200" s="21"/>
      <c r="CCU200" s="21"/>
      <c r="CCV200" s="21"/>
      <c r="CCW200" s="21"/>
      <c r="CCX200" s="21"/>
      <c r="CCY200" s="21"/>
      <c r="CCZ200" s="21"/>
      <c r="CDA200" s="21"/>
      <c r="CDB200" s="21"/>
      <c r="CDC200" s="21"/>
      <c r="CDD200" s="21"/>
      <c r="CDE200" s="21"/>
      <c r="CDF200" s="21"/>
      <c r="CDG200" s="21"/>
      <c r="CDH200" s="21"/>
      <c r="CDI200" s="21"/>
      <c r="CDJ200" s="21"/>
      <c r="CDK200" s="21"/>
      <c r="CDL200" s="21"/>
      <c r="CDM200" s="21"/>
      <c r="CDN200" s="21"/>
      <c r="CDO200" s="21"/>
      <c r="CDP200" s="21"/>
      <c r="CDQ200" s="21"/>
      <c r="CDR200" s="21"/>
      <c r="CDS200" s="21"/>
      <c r="CDT200" s="21"/>
      <c r="CDU200" s="21"/>
      <c r="CDV200" s="21"/>
      <c r="CDW200" s="21"/>
      <c r="CDX200" s="21"/>
      <c r="CDY200" s="21"/>
      <c r="CDZ200" s="21"/>
      <c r="CEA200" s="21"/>
      <c r="CEB200" s="21"/>
      <c r="CEC200" s="21"/>
      <c r="CED200" s="21"/>
      <c r="CEE200" s="21"/>
      <c r="CEF200" s="21"/>
      <c r="CEG200" s="21"/>
      <c r="CEH200" s="21"/>
      <c r="CEI200" s="21"/>
      <c r="CEJ200" s="21"/>
      <c r="CEK200" s="21"/>
      <c r="CEL200" s="21"/>
      <c r="CEM200" s="21"/>
      <c r="CEN200" s="21"/>
      <c r="CEO200" s="21"/>
      <c r="CEP200" s="21"/>
      <c r="CEQ200" s="21"/>
      <c r="CER200" s="21"/>
      <c r="CES200" s="21"/>
      <c r="CET200" s="21"/>
      <c r="CEU200" s="21"/>
      <c r="CEV200" s="21"/>
      <c r="CEW200" s="21"/>
      <c r="CEX200" s="21"/>
      <c r="CEY200" s="21"/>
      <c r="CEZ200" s="21"/>
      <c r="CFA200" s="21"/>
      <c r="CFB200" s="21"/>
      <c r="CFC200" s="21"/>
      <c r="CFD200" s="21"/>
      <c r="CFE200" s="21"/>
      <c r="CFF200" s="21"/>
      <c r="CFG200" s="21"/>
      <c r="CFH200" s="21"/>
      <c r="CFI200" s="21"/>
      <c r="CFJ200" s="21"/>
      <c r="CFK200" s="21"/>
      <c r="CFL200" s="21"/>
      <c r="CFM200" s="21"/>
      <c r="CFN200" s="21"/>
      <c r="CFO200" s="21"/>
      <c r="CFP200" s="21"/>
      <c r="CFQ200" s="21"/>
      <c r="CFR200" s="21"/>
      <c r="CFS200" s="21"/>
      <c r="CFT200" s="21"/>
      <c r="CFU200" s="21"/>
      <c r="CFV200" s="21"/>
      <c r="CFW200" s="21"/>
      <c r="CFX200" s="21"/>
      <c r="CFY200" s="21"/>
      <c r="CFZ200" s="21"/>
      <c r="CGA200" s="21"/>
      <c r="CGB200" s="21"/>
      <c r="CGC200" s="21"/>
      <c r="CGD200" s="21"/>
      <c r="CGE200" s="21"/>
      <c r="CGF200" s="21"/>
      <c r="CGG200" s="21"/>
      <c r="CGH200" s="21"/>
      <c r="CGI200" s="21"/>
      <c r="CGJ200" s="21"/>
      <c r="CGK200" s="21"/>
      <c r="CGL200" s="21"/>
      <c r="CGM200" s="21"/>
      <c r="CGN200" s="21"/>
      <c r="CGO200" s="21"/>
      <c r="CGP200" s="21"/>
      <c r="CGQ200" s="21"/>
      <c r="CGR200" s="21"/>
      <c r="CGS200" s="21"/>
      <c r="CGT200" s="21"/>
      <c r="CGU200" s="21"/>
      <c r="CGV200" s="21"/>
      <c r="CGW200" s="21"/>
      <c r="CGX200" s="21"/>
      <c r="CGY200" s="21"/>
      <c r="CGZ200" s="21"/>
      <c r="CHA200" s="21"/>
      <c r="CHB200" s="21"/>
      <c r="CHC200" s="21"/>
      <c r="CHD200" s="21"/>
      <c r="CHE200" s="21"/>
      <c r="CHF200" s="21"/>
      <c r="CHG200" s="21"/>
      <c r="CHH200" s="21"/>
      <c r="CHI200" s="21"/>
      <c r="CHJ200" s="21"/>
      <c r="CHK200" s="21"/>
      <c r="CHL200" s="21"/>
      <c r="CHM200" s="21"/>
      <c r="CHN200" s="21"/>
      <c r="CHO200" s="21"/>
      <c r="CHP200" s="21"/>
      <c r="CHQ200" s="21"/>
      <c r="CHR200" s="21"/>
      <c r="CHS200" s="21"/>
      <c r="CHT200" s="21"/>
      <c r="CHU200" s="21"/>
      <c r="CHV200" s="21"/>
      <c r="CHW200" s="21"/>
      <c r="CHX200" s="21"/>
      <c r="CHY200" s="21"/>
      <c r="CHZ200" s="21"/>
      <c r="CIA200" s="21"/>
      <c r="CIB200" s="21"/>
      <c r="CIC200" s="21"/>
      <c r="CID200" s="21"/>
      <c r="CIE200" s="21"/>
      <c r="CIF200" s="21"/>
      <c r="CIG200" s="21"/>
      <c r="CIH200" s="21"/>
      <c r="CII200" s="21"/>
      <c r="CIJ200" s="21"/>
      <c r="CIK200" s="21"/>
      <c r="CIL200" s="21"/>
      <c r="CIM200" s="21"/>
      <c r="CIN200" s="21"/>
      <c r="CIO200" s="21"/>
      <c r="CIP200" s="21"/>
      <c r="CIQ200" s="21"/>
      <c r="CIR200" s="21"/>
      <c r="CIS200" s="21"/>
      <c r="CIT200" s="21"/>
      <c r="CIU200" s="21"/>
      <c r="CIV200" s="21"/>
      <c r="CIW200" s="21"/>
      <c r="CIX200" s="21"/>
      <c r="CIY200" s="21"/>
      <c r="CIZ200" s="21"/>
      <c r="CJA200" s="21"/>
      <c r="CJB200" s="21"/>
      <c r="CJC200" s="21"/>
      <c r="CJD200" s="21"/>
      <c r="CJE200" s="21"/>
      <c r="CJF200" s="21"/>
      <c r="CJG200" s="21"/>
      <c r="CJH200" s="21"/>
      <c r="CJI200" s="21"/>
      <c r="CJJ200" s="21"/>
      <c r="CJK200" s="21"/>
      <c r="CJL200" s="21"/>
      <c r="CJM200" s="21"/>
      <c r="CJN200" s="21"/>
      <c r="CJO200" s="21"/>
      <c r="CJP200" s="21"/>
      <c r="CJQ200" s="21"/>
      <c r="CJR200" s="21"/>
      <c r="CJS200" s="21"/>
      <c r="CJT200" s="21"/>
      <c r="CJU200" s="21"/>
      <c r="CJV200" s="21"/>
      <c r="CJW200" s="21"/>
      <c r="CJX200" s="21"/>
      <c r="CJY200" s="21"/>
      <c r="CJZ200" s="21"/>
      <c r="CKA200" s="21"/>
      <c r="CKB200" s="21"/>
      <c r="CKC200" s="21"/>
      <c r="CKD200" s="21"/>
      <c r="CKE200" s="21"/>
      <c r="CKF200" s="21"/>
      <c r="CKG200" s="21"/>
      <c r="CKH200" s="21"/>
      <c r="CKI200" s="21"/>
      <c r="CKJ200" s="21"/>
      <c r="CKK200" s="21"/>
      <c r="CKL200" s="21"/>
      <c r="CKM200" s="21"/>
      <c r="CKN200" s="21"/>
      <c r="CKO200" s="21"/>
      <c r="CKP200" s="21"/>
      <c r="CKQ200" s="21"/>
      <c r="CKR200" s="21"/>
      <c r="CKS200" s="21"/>
      <c r="CKT200" s="21"/>
      <c r="CKU200" s="21"/>
      <c r="CKV200" s="21"/>
      <c r="CKW200" s="21"/>
      <c r="CKX200" s="21"/>
      <c r="CKY200" s="21"/>
      <c r="CKZ200" s="21"/>
      <c r="CLA200" s="21"/>
      <c r="CLB200" s="21"/>
      <c r="CLC200" s="21"/>
      <c r="CLD200" s="21"/>
      <c r="CLE200" s="21"/>
      <c r="CLF200" s="21"/>
      <c r="CLG200" s="21"/>
      <c r="CLH200" s="21"/>
      <c r="CLI200" s="21"/>
      <c r="CLJ200" s="21"/>
      <c r="CLK200" s="21"/>
      <c r="CLL200" s="21"/>
      <c r="CLM200" s="21"/>
      <c r="CLN200" s="21"/>
      <c r="CLO200" s="21"/>
      <c r="CLP200" s="21"/>
      <c r="CLQ200" s="21"/>
      <c r="CLR200" s="21"/>
      <c r="CLS200" s="21"/>
      <c r="CLT200" s="21"/>
      <c r="CLU200" s="21"/>
      <c r="CLV200" s="21"/>
      <c r="CLW200" s="21"/>
      <c r="CLX200" s="21"/>
      <c r="CLY200" s="21"/>
      <c r="CLZ200" s="21"/>
      <c r="CMA200" s="21"/>
      <c r="CMB200" s="21"/>
      <c r="CMC200" s="21"/>
      <c r="CMD200" s="21"/>
      <c r="CME200" s="21"/>
      <c r="CMF200" s="21"/>
      <c r="CMG200" s="21"/>
      <c r="CMH200" s="21"/>
      <c r="CMI200" s="21"/>
      <c r="CMJ200" s="21"/>
      <c r="CMK200" s="21"/>
      <c r="CML200" s="21"/>
      <c r="CMM200" s="21"/>
      <c r="CMN200" s="21"/>
      <c r="CMO200" s="21"/>
      <c r="CMP200" s="21"/>
      <c r="CMQ200" s="21"/>
      <c r="CMR200" s="21"/>
      <c r="CMS200" s="21"/>
      <c r="CMT200" s="21"/>
      <c r="CMU200" s="21"/>
      <c r="CMV200" s="21"/>
      <c r="CMW200" s="21"/>
      <c r="CMX200" s="21"/>
      <c r="CMY200" s="21"/>
      <c r="CMZ200" s="21"/>
      <c r="CNA200" s="21"/>
      <c r="CNB200" s="21"/>
      <c r="CNC200" s="21"/>
      <c r="CND200" s="21"/>
      <c r="CNE200" s="21"/>
      <c r="CNF200" s="21"/>
      <c r="CNG200" s="21"/>
      <c r="CNH200" s="21"/>
      <c r="CNI200" s="21"/>
      <c r="CNJ200" s="21"/>
      <c r="CNK200" s="21"/>
      <c r="CNL200" s="21"/>
      <c r="CNM200" s="21"/>
      <c r="CNN200" s="21"/>
      <c r="CNO200" s="21"/>
      <c r="CNP200" s="21"/>
      <c r="CNQ200" s="21"/>
      <c r="CNR200" s="21"/>
      <c r="CNS200" s="21"/>
      <c r="CNT200" s="21"/>
      <c r="CNU200" s="21"/>
      <c r="CNV200" s="21"/>
      <c r="CNW200" s="21"/>
      <c r="CNX200" s="21"/>
      <c r="CNY200" s="21"/>
      <c r="CNZ200" s="21"/>
      <c r="COA200" s="21"/>
      <c r="COB200" s="21"/>
      <c r="COC200" s="21"/>
      <c r="COD200" s="21"/>
      <c r="COE200" s="21"/>
      <c r="COF200" s="21"/>
      <c r="COG200" s="21"/>
      <c r="COH200" s="21"/>
      <c r="COI200" s="21"/>
      <c r="COJ200" s="21"/>
      <c r="COK200" s="21"/>
      <c r="COL200" s="21"/>
      <c r="COM200" s="21"/>
      <c r="CON200" s="21"/>
      <c r="COO200" s="21"/>
      <c r="COP200" s="21"/>
      <c r="COQ200" s="21"/>
      <c r="COR200" s="21"/>
      <c r="COS200" s="21"/>
      <c r="COT200" s="21"/>
      <c r="COU200" s="21"/>
      <c r="COV200" s="21"/>
      <c r="COW200" s="21"/>
      <c r="COX200" s="21"/>
      <c r="COY200" s="21"/>
      <c r="COZ200" s="21"/>
      <c r="CPA200" s="21"/>
      <c r="CPB200" s="21"/>
      <c r="CPC200" s="21"/>
      <c r="CPD200" s="21"/>
      <c r="CPE200" s="21"/>
      <c r="CPF200" s="21"/>
      <c r="CPG200" s="21"/>
      <c r="CPH200" s="21"/>
      <c r="CPI200" s="21"/>
      <c r="CPJ200" s="21"/>
      <c r="CPK200" s="21"/>
      <c r="CPL200" s="21"/>
      <c r="CPM200" s="21"/>
      <c r="CPN200" s="21"/>
      <c r="CPO200" s="21"/>
      <c r="CPP200" s="21"/>
      <c r="CPQ200" s="21"/>
      <c r="CPR200" s="21"/>
      <c r="CPS200" s="21"/>
      <c r="CPT200" s="21"/>
      <c r="CPU200" s="21"/>
      <c r="CPV200" s="21"/>
      <c r="CPW200" s="21"/>
      <c r="CPX200" s="21"/>
      <c r="CPY200" s="21"/>
      <c r="CPZ200" s="21"/>
      <c r="CQA200" s="21"/>
      <c r="CQB200" s="21"/>
      <c r="CQC200" s="21"/>
      <c r="CQD200" s="21"/>
      <c r="CQE200" s="21"/>
      <c r="CQF200" s="21"/>
      <c r="CQG200" s="21"/>
      <c r="CQH200" s="21"/>
      <c r="CQI200" s="21"/>
      <c r="CQJ200" s="21"/>
      <c r="CQK200" s="21"/>
      <c r="CQL200" s="21"/>
      <c r="CQM200" s="21"/>
      <c r="CQN200" s="21"/>
      <c r="CQO200" s="21"/>
      <c r="CQP200" s="21"/>
      <c r="CQQ200" s="21"/>
      <c r="CQR200" s="21"/>
      <c r="CQS200" s="21"/>
      <c r="CQT200" s="21"/>
      <c r="CQU200" s="21"/>
      <c r="CQV200" s="21"/>
      <c r="CQW200" s="21"/>
      <c r="CQX200" s="21"/>
      <c r="CQY200" s="21"/>
      <c r="CQZ200" s="21"/>
      <c r="CRA200" s="21"/>
      <c r="CRB200" s="21"/>
      <c r="CRC200" s="21"/>
      <c r="CRD200" s="21"/>
      <c r="CRE200" s="21"/>
      <c r="CRF200" s="21"/>
      <c r="CRG200" s="21"/>
      <c r="CRH200" s="21"/>
      <c r="CRI200" s="21"/>
      <c r="CRJ200" s="21"/>
      <c r="CRK200" s="21"/>
      <c r="CRL200" s="21"/>
      <c r="CRM200" s="21"/>
      <c r="CRN200" s="21"/>
      <c r="CRO200" s="21"/>
      <c r="CRP200" s="21"/>
      <c r="CRQ200" s="21"/>
      <c r="CRR200" s="21"/>
      <c r="CRS200" s="21"/>
      <c r="CRT200" s="21"/>
      <c r="CRU200" s="21"/>
      <c r="CRV200" s="21"/>
      <c r="CRW200" s="21"/>
      <c r="CRX200" s="21"/>
      <c r="CRY200" s="21"/>
      <c r="CRZ200" s="21"/>
      <c r="CSA200" s="21"/>
      <c r="CSB200" s="21"/>
      <c r="CSC200" s="21"/>
      <c r="CSD200" s="21"/>
      <c r="CSE200" s="21"/>
      <c r="CSF200" s="21"/>
      <c r="CSG200" s="21"/>
      <c r="CSH200" s="21"/>
      <c r="CSI200" s="21"/>
      <c r="CSJ200" s="21"/>
      <c r="CSK200" s="21"/>
      <c r="CSL200" s="21"/>
      <c r="CSM200" s="21"/>
      <c r="CSN200" s="21"/>
      <c r="CSO200" s="21"/>
      <c r="CSP200" s="21"/>
      <c r="CSQ200" s="21"/>
      <c r="CSR200" s="21"/>
      <c r="CSS200" s="21"/>
      <c r="CST200" s="21"/>
      <c r="CSU200" s="21"/>
      <c r="CSV200" s="21"/>
      <c r="CSW200" s="21"/>
      <c r="CSX200" s="21"/>
      <c r="CSY200" s="21"/>
      <c r="CSZ200" s="21"/>
      <c r="CTA200" s="21"/>
      <c r="CTB200" s="21"/>
      <c r="CTC200" s="21"/>
      <c r="CTD200" s="21"/>
      <c r="CTE200" s="21"/>
      <c r="CTF200" s="21"/>
      <c r="CTG200" s="21"/>
      <c r="CTH200" s="21"/>
      <c r="CTI200" s="21"/>
      <c r="CTJ200" s="21"/>
      <c r="CTK200" s="21"/>
      <c r="CTL200" s="21"/>
      <c r="CTM200" s="21"/>
      <c r="CTN200" s="21"/>
      <c r="CTO200" s="21"/>
      <c r="CTP200" s="21"/>
      <c r="CTQ200" s="21"/>
      <c r="CTR200" s="21"/>
      <c r="CTS200" s="21"/>
      <c r="CTT200" s="21"/>
      <c r="CTU200" s="21"/>
      <c r="CTV200" s="21"/>
      <c r="CTW200" s="21"/>
      <c r="CTX200" s="21"/>
      <c r="CTY200" s="21"/>
      <c r="CTZ200" s="21"/>
      <c r="CUA200" s="21"/>
      <c r="CUB200" s="21"/>
      <c r="CUC200" s="21"/>
      <c r="CUD200" s="21"/>
      <c r="CUE200" s="21"/>
      <c r="CUF200" s="21"/>
      <c r="CUG200" s="21"/>
      <c r="CUH200" s="21"/>
      <c r="CUI200" s="21"/>
      <c r="CUJ200" s="21"/>
      <c r="CUK200" s="21"/>
      <c r="CUL200" s="21"/>
      <c r="CUM200" s="21"/>
      <c r="CUN200" s="21"/>
      <c r="CUO200" s="21"/>
      <c r="CUP200" s="21"/>
      <c r="CUQ200" s="21"/>
      <c r="CUR200" s="21"/>
      <c r="CUS200" s="21"/>
      <c r="CUT200" s="21"/>
      <c r="CUU200" s="21"/>
      <c r="CUV200" s="21"/>
      <c r="CUW200" s="21"/>
      <c r="CUX200" s="21"/>
      <c r="CUY200" s="21"/>
      <c r="CUZ200" s="21"/>
      <c r="CVA200" s="21"/>
      <c r="CVB200" s="21"/>
      <c r="CVC200" s="21"/>
      <c r="CVD200" s="21"/>
      <c r="CVE200" s="21"/>
      <c r="CVF200" s="21"/>
      <c r="CVG200" s="21"/>
      <c r="CVH200" s="21"/>
      <c r="CVI200" s="21"/>
      <c r="CVJ200" s="21"/>
      <c r="CVK200" s="21"/>
      <c r="CVL200" s="21"/>
      <c r="CVM200" s="21"/>
      <c r="CVN200" s="21"/>
      <c r="CVO200" s="21"/>
      <c r="CVP200" s="21"/>
      <c r="CVQ200" s="21"/>
      <c r="CVR200" s="21"/>
      <c r="CVS200" s="21"/>
      <c r="CVT200" s="21"/>
      <c r="CVU200" s="21"/>
      <c r="CVV200" s="21"/>
      <c r="CVW200" s="21"/>
      <c r="CVX200" s="21"/>
      <c r="CVY200" s="21"/>
      <c r="CVZ200" s="21"/>
      <c r="CWA200" s="21"/>
      <c r="CWB200" s="21"/>
      <c r="CWC200" s="21"/>
      <c r="CWD200" s="21"/>
      <c r="CWE200" s="21"/>
      <c r="CWF200" s="21"/>
      <c r="CWG200" s="21"/>
      <c r="CWH200" s="21"/>
      <c r="CWI200" s="21"/>
      <c r="CWJ200" s="21"/>
      <c r="CWK200" s="21"/>
      <c r="CWL200" s="21"/>
      <c r="CWM200" s="21"/>
      <c r="CWN200" s="21"/>
      <c r="CWO200" s="21"/>
      <c r="CWP200" s="21"/>
      <c r="CWQ200" s="21"/>
      <c r="CWR200" s="21"/>
      <c r="CWS200" s="21"/>
      <c r="CWT200" s="21"/>
      <c r="CWU200" s="21"/>
      <c r="CWV200" s="21"/>
      <c r="CWW200" s="21"/>
      <c r="CWX200" s="21"/>
      <c r="CWY200" s="21"/>
      <c r="CWZ200" s="21"/>
      <c r="CXA200" s="21"/>
      <c r="CXB200" s="21"/>
      <c r="CXC200" s="21"/>
      <c r="CXD200" s="21"/>
      <c r="CXE200" s="21"/>
      <c r="CXF200" s="21"/>
      <c r="CXG200" s="21"/>
      <c r="CXH200" s="21"/>
      <c r="CXI200" s="21"/>
      <c r="CXJ200" s="21"/>
      <c r="CXK200" s="21"/>
      <c r="CXL200" s="21"/>
      <c r="CXM200" s="21"/>
      <c r="CXN200" s="21"/>
      <c r="CXO200" s="21"/>
      <c r="CXP200" s="21"/>
      <c r="CXQ200" s="21"/>
      <c r="CXR200" s="21"/>
      <c r="CXS200" s="21"/>
      <c r="CXT200" s="21"/>
      <c r="CXU200" s="21"/>
      <c r="CXV200" s="21"/>
      <c r="CXW200" s="21"/>
      <c r="CXX200" s="21"/>
      <c r="CXY200" s="21"/>
      <c r="CXZ200" s="21"/>
      <c r="CYA200" s="21"/>
      <c r="CYB200" s="21"/>
      <c r="CYC200" s="21"/>
      <c r="CYD200" s="21"/>
      <c r="CYE200" s="21"/>
      <c r="CYF200" s="21"/>
      <c r="CYG200" s="21"/>
      <c r="CYH200" s="21"/>
      <c r="CYI200" s="21"/>
      <c r="CYJ200" s="21"/>
      <c r="CYK200" s="21"/>
      <c r="CYL200" s="21"/>
      <c r="CYM200" s="21"/>
      <c r="CYN200" s="21"/>
      <c r="CYO200" s="21"/>
      <c r="CYP200" s="21"/>
      <c r="CYQ200" s="21"/>
      <c r="CYR200" s="21"/>
      <c r="CYS200" s="21"/>
      <c r="CYT200" s="21"/>
      <c r="CYU200" s="21"/>
      <c r="CYV200" s="21"/>
      <c r="CYW200" s="21"/>
      <c r="CYX200" s="21"/>
      <c r="CYY200" s="21"/>
      <c r="CYZ200" s="21"/>
      <c r="CZA200" s="21"/>
      <c r="CZB200" s="21"/>
      <c r="CZC200" s="21"/>
      <c r="CZD200" s="21"/>
      <c r="CZE200" s="21"/>
      <c r="CZF200" s="21"/>
      <c r="CZG200" s="21"/>
      <c r="CZH200" s="21"/>
      <c r="CZI200" s="21"/>
      <c r="CZJ200" s="21"/>
      <c r="CZK200" s="21"/>
      <c r="CZL200" s="21"/>
      <c r="CZM200" s="21"/>
      <c r="CZN200" s="21"/>
      <c r="CZO200" s="21"/>
      <c r="CZP200" s="21"/>
      <c r="CZQ200" s="21"/>
      <c r="CZR200" s="21"/>
      <c r="CZS200" s="21"/>
      <c r="CZT200" s="21"/>
      <c r="CZU200" s="21"/>
      <c r="CZV200" s="21"/>
      <c r="CZW200" s="21"/>
      <c r="CZX200" s="21"/>
      <c r="CZY200" s="21"/>
      <c r="CZZ200" s="21"/>
      <c r="DAA200" s="21"/>
      <c r="DAB200" s="21"/>
      <c r="DAC200" s="21"/>
      <c r="DAD200" s="21"/>
      <c r="DAE200" s="21"/>
      <c r="DAF200" s="21"/>
      <c r="DAG200" s="21"/>
      <c r="DAH200" s="21"/>
      <c r="DAI200" s="21"/>
      <c r="DAJ200" s="21"/>
      <c r="DAK200" s="21"/>
      <c r="DAL200" s="21"/>
      <c r="DAM200" s="21"/>
      <c r="DAN200" s="21"/>
      <c r="DAO200" s="21"/>
      <c r="DAP200" s="21"/>
      <c r="DAQ200" s="21"/>
      <c r="DAR200" s="21"/>
      <c r="DAS200" s="21"/>
      <c r="DAT200" s="21"/>
      <c r="DAU200" s="21"/>
      <c r="DAV200" s="21"/>
      <c r="DAW200" s="21"/>
      <c r="DAX200" s="21"/>
      <c r="DAY200" s="21"/>
      <c r="DAZ200" s="21"/>
      <c r="DBA200" s="21"/>
      <c r="DBB200" s="21"/>
      <c r="DBC200" s="21"/>
      <c r="DBD200" s="21"/>
      <c r="DBE200" s="21"/>
      <c r="DBF200" s="21"/>
      <c r="DBG200" s="21"/>
      <c r="DBH200" s="21"/>
      <c r="DBI200" s="21"/>
      <c r="DBJ200" s="21"/>
      <c r="DBK200" s="21"/>
      <c r="DBL200" s="21"/>
      <c r="DBM200" s="21"/>
      <c r="DBN200" s="21"/>
      <c r="DBO200" s="21"/>
      <c r="DBP200" s="21"/>
      <c r="DBQ200" s="21"/>
      <c r="DBR200" s="21"/>
      <c r="DBS200" s="21"/>
      <c r="DBT200" s="21"/>
      <c r="DBU200" s="21"/>
      <c r="DBV200" s="21"/>
      <c r="DBW200" s="21"/>
      <c r="DBX200" s="21"/>
      <c r="DBY200" s="21"/>
      <c r="DBZ200" s="21"/>
      <c r="DCA200" s="21"/>
      <c r="DCB200" s="21"/>
      <c r="DCC200" s="21"/>
      <c r="DCD200" s="21"/>
      <c r="DCE200" s="21"/>
      <c r="DCF200" s="21"/>
      <c r="DCG200" s="21"/>
      <c r="DCH200" s="21"/>
      <c r="DCI200" s="21"/>
      <c r="DCJ200" s="21"/>
      <c r="DCK200" s="21"/>
      <c r="DCL200" s="21"/>
      <c r="DCM200" s="21"/>
      <c r="DCN200" s="21"/>
      <c r="DCO200" s="21"/>
      <c r="DCP200" s="21"/>
      <c r="DCQ200" s="21"/>
      <c r="DCR200" s="21"/>
      <c r="DCS200" s="21"/>
      <c r="DCT200" s="21"/>
      <c r="DCU200" s="21"/>
      <c r="DCV200" s="21"/>
      <c r="DCW200" s="21"/>
      <c r="DCX200" s="21"/>
      <c r="DCY200" s="21"/>
      <c r="DCZ200" s="21"/>
      <c r="DDA200" s="21"/>
      <c r="DDB200" s="21"/>
      <c r="DDC200" s="21"/>
      <c r="DDD200" s="21"/>
      <c r="DDE200" s="21"/>
      <c r="DDF200" s="21"/>
      <c r="DDG200" s="21"/>
      <c r="DDH200" s="21"/>
      <c r="DDI200" s="21"/>
      <c r="DDJ200" s="21"/>
      <c r="DDK200" s="21"/>
      <c r="DDL200" s="21"/>
      <c r="DDM200" s="21"/>
      <c r="DDN200" s="21"/>
      <c r="DDO200" s="21"/>
      <c r="DDP200" s="21"/>
      <c r="DDQ200" s="21"/>
      <c r="DDR200" s="21"/>
      <c r="DDS200" s="21"/>
      <c r="DDT200" s="21"/>
      <c r="DDU200" s="21"/>
      <c r="DDV200" s="21"/>
      <c r="DDW200" s="21"/>
      <c r="DDX200" s="21"/>
      <c r="DDY200" s="21"/>
      <c r="DDZ200" s="21"/>
      <c r="DEA200" s="21"/>
      <c r="DEB200" s="21"/>
      <c r="DEC200" s="21"/>
      <c r="DED200" s="21"/>
      <c r="DEE200" s="21"/>
      <c r="DEF200" s="21"/>
      <c r="DEG200" s="21"/>
      <c r="DEH200" s="21"/>
      <c r="DEI200" s="21"/>
      <c r="DEJ200" s="21"/>
      <c r="DEK200" s="21"/>
      <c r="DEL200" s="21"/>
      <c r="DEM200" s="21"/>
      <c r="DEN200" s="21"/>
      <c r="DEO200" s="21"/>
      <c r="DEP200" s="21"/>
      <c r="DEQ200" s="21"/>
      <c r="DER200" s="21"/>
      <c r="DES200" s="21"/>
      <c r="DET200" s="21"/>
      <c r="DEU200" s="21"/>
      <c r="DEV200" s="21"/>
      <c r="DEW200" s="21"/>
      <c r="DEX200" s="21"/>
      <c r="DEY200" s="21"/>
      <c r="DEZ200" s="21"/>
      <c r="DFA200" s="21"/>
      <c r="DFB200" s="21"/>
      <c r="DFC200" s="21"/>
      <c r="DFD200" s="21"/>
      <c r="DFE200" s="21"/>
      <c r="DFF200" s="21"/>
      <c r="DFG200" s="21"/>
      <c r="DFH200" s="21"/>
      <c r="DFI200" s="21"/>
      <c r="DFJ200" s="21"/>
      <c r="DFK200" s="21"/>
      <c r="DFL200" s="21"/>
      <c r="DFM200" s="21"/>
      <c r="DFN200" s="21"/>
      <c r="DFO200" s="21"/>
      <c r="DFP200" s="21"/>
      <c r="DFQ200" s="21"/>
      <c r="DFR200" s="21"/>
      <c r="DFS200" s="21"/>
      <c r="DFT200" s="21"/>
      <c r="DFU200" s="21"/>
      <c r="DFV200" s="21"/>
      <c r="DFW200" s="21"/>
      <c r="DFX200" s="21"/>
      <c r="DFY200" s="21"/>
      <c r="DFZ200" s="21"/>
      <c r="DGA200" s="21"/>
      <c r="DGB200" s="21"/>
      <c r="DGC200" s="21"/>
      <c r="DGD200" s="21"/>
      <c r="DGE200" s="21"/>
      <c r="DGF200" s="21"/>
      <c r="DGG200" s="21"/>
      <c r="DGH200" s="21"/>
      <c r="DGI200" s="21"/>
      <c r="DGJ200" s="21"/>
      <c r="DGK200" s="21"/>
      <c r="DGL200" s="21"/>
      <c r="DGM200" s="21"/>
      <c r="DGN200" s="21"/>
      <c r="DGO200" s="21"/>
      <c r="DGP200" s="21"/>
      <c r="DGQ200" s="21"/>
      <c r="DGR200" s="21"/>
      <c r="DGS200" s="21"/>
      <c r="DGT200" s="21"/>
      <c r="DGU200" s="21"/>
      <c r="DGV200" s="21"/>
      <c r="DGW200" s="21"/>
      <c r="DGX200" s="21"/>
      <c r="DGY200" s="21"/>
      <c r="DGZ200" s="21"/>
      <c r="DHA200" s="21"/>
      <c r="DHB200" s="21"/>
      <c r="DHC200" s="21"/>
      <c r="DHD200" s="21"/>
      <c r="DHE200" s="21"/>
      <c r="DHF200" s="21"/>
      <c r="DHG200" s="21"/>
      <c r="DHH200" s="21"/>
      <c r="DHI200" s="21"/>
      <c r="DHJ200" s="21"/>
      <c r="DHK200" s="21"/>
      <c r="DHL200" s="21"/>
      <c r="DHM200" s="21"/>
      <c r="DHN200" s="21"/>
      <c r="DHO200" s="21"/>
      <c r="DHP200" s="21"/>
      <c r="DHQ200" s="21"/>
      <c r="DHR200" s="21"/>
      <c r="DHS200" s="21"/>
      <c r="DHT200" s="21"/>
      <c r="DHU200" s="21"/>
      <c r="DHV200" s="21"/>
      <c r="DHW200" s="21"/>
      <c r="DHX200" s="21"/>
      <c r="DHY200" s="21"/>
      <c r="DHZ200" s="21"/>
      <c r="DIA200" s="21"/>
      <c r="DIB200" s="21"/>
      <c r="DIC200" s="21"/>
      <c r="DID200" s="21"/>
      <c r="DIE200" s="21"/>
      <c r="DIF200" s="21"/>
      <c r="DIG200" s="21"/>
      <c r="DIH200" s="21"/>
      <c r="DII200" s="21"/>
      <c r="DIJ200" s="21"/>
      <c r="DIK200" s="21"/>
      <c r="DIL200" s="21"/>
      <c r="DIM200" s="21"/>
      <c r="DIN200" s="21"/>
      <c r="DIO200" s="21"/>
      <c r="DIP200" s="21"/>
      <c r="DIQ200" s="21"/>
      <c r="DIR200" s="21"/>
      <c r="DIS200" s="21"/>
      <c r="DIT200" s="21"/>
      <c r="DIU200" s="21"/>
      <c r="DIV200" s="21"/>
      <c r="DIW200" s="21"/>
      <c r="DIX200" s="21"/>
      <c r="DIY200" s="21"/>
      <c r="DIZ200" s="21"/>
      <c r="DJA200" s="21"/>
      <c r="DJB200" s="21"/>
      <c r="DJC200" s="21"/>
      <c r="DJD200" s="21"/>
      <c r="DJE200" s="21"/>
      <c r="DJF200" s="21"/>
      <c r="DJG200" s="21"/>
      <c r="DJH200" s="21"/>
      <c r="DJI200" s="21"/>
      <c r="DJJ200" s="21"/>
      <c r="DJK200" s="21"/>
      <c r="DJL200" s="21"/>
      <c r="DJM200" s="21"/>
      <c r="DJN200" s="21"/>
      <c r="DJO200" s="21"/>
      <c r="DJP200" s="21"/>
      <c r="DJQ200" s="21"/>
      <c r="DJR200" s="21"/>
      <c r="DJS200" s="21"/>
      <c r="DJT200" s="21"/>
      <c r="DJU200" s="21"/>
      <c r="DJV200" s="21"/>
      <c r="DJW200" s="21"/>
      <c r="DJX200" s="21"/>
      <c r="DJY200" s="21"/>
      <c r="DJZ200" s="21"/>
      <c r="DKA200" s="21"/>
      <c r="DKB200" s="21"/>
      <c r="DKC200" s="21"/>
      <c r="DKD200" s="21"/>
      <c r="DKE200" s="21"/>
      <c r="DKF200" s="21"/>
      <c r="DKG200" s="21"/>
      <c r="DKH200" s="21"/>
      <c r="DKI200" s="21"/>
      <c r="DKJ200" s="21"/>
      <c r="DKK200" s="21"/>
      <c r="DKL200" s="21"/>
      <c r="DKM200" s="21"/>
      <c r="DKN200" s="21"/>
      <c r="DKO200" s="21"/>
      <c r="DKP200" s="21"/>
      <c r="DKQ200" s="21"/>
      <c r="DKR200" s="21"/>
      <c r="DKS200" s="21"/>
      <c r="DKT200" s="21"/>
      <c r="DKU200" s="21"/>
      <c r="DKV200" s="21"/>
      <c r="DKW200" s="21"/>
      <c r="DKX200" s="21"/>
      <c r="DKY200" s="21"/>
      <c r="DKZ200" s="21"/>
      <c r="DLA200" s="21"/>
      <c r="DLB200" s="21"/>
      <c r="DLC200" s="21"/>
      <c r="DLD200" s="21"/>
      <c r="DLE200" s="21"/>
      <c r="DLF200" s="21"/>
      <c r="DLG200" s="21"/>
      <c r="DLH200" s="21"/>
      <c r="DLI200" s="21"/>
      <c r="DLJ200" s="21"/>
      <c r="DLK200" s="21"/>
      <c r="DLL200" s="21"/>
      <c r="DLM200" s="21"/>
      <c r="DLN200" s="21"/>
      <c r="DLO200" s="21"/>
      <c r="DLP200" s="21"/>
      <c r="DLQ200" s="21"/>
      <c r="DLR200" s="21"/>
      <c r="DLS200" s="21"/>
      <c r="DLT200" s="21"/>
      <c r="DLU200" s="21"/>
      <c r="DLV200" s="21"/>
      <c r="DLW200" s="21"/>
      <c r="DLX200" s="21"/>
      <c r="DLY200" s="21"/>
      <c r="DLZ200" s="21"/>
      <c r="DMA200" s="21"/>
      <c r="DMB200" s="21"/>
      <c r="DMC200" s="21"/>
      <c r="DMD200" s="21"/>
      <c r="DME200" s="21"/>
      <c r="DMF200" s="21"/>
      <c r="DMG200" s="21"/>
      <c r="DMH200" s="21"/>
      <c r="DMI200" s="21"/>
      <c r="DMJ200" s="21"/>
      <c r="DMK200" s="21"/>
      <c r="DML200" s="21"/>
      <c r="DMM200" s="21"/>
      <c r="DMN200" s="21"/>
      <c r="DMO200" s="21"/>
      <c r="DMP200" s="21"/>
      <c r="DMQ200" s="21"/>
      <c r="DMR200" s="21"/>
      <c r="DMS200" s="21"/>
      <c r="DMT200" s="21"/>
      <c r="DMU200" s="21"/>
      <c r="DMV200" s="21"/>
      <c r="DMW200" s="21"/>
      <c r="DMX200" s="21"/>
      <c r="DMY200" s="21"/>
      <c r="DMZ200" s="21"/>
      <c r="DNA200" s="21"/>
      <c r="DNB200" s="21"/>
      <c r="DNC200" s="21"/>
      <c r="DND200" s="21"/>
      <c r="DNE200" s="21"/>
      <c r="DNF200" s="21"/>
      <c r="DNG200" s="21"/>
      <c r="DNH200" s="21"/>
      <c r="DNI200" s="21"/>
      <c r="DNJ200" s="21"/>
      <c r="DNK200" s="21"/>
      <c r="DNL200" s="21"/>
      <c r="DNM200" s="21"/>
      <c r="DNN200" s="21"/>
      <c r="DNO200" s="21"/>
      <c r="DNP200" s="21"/>
      <c r="DNQ200" s="21"/>
      <c r="DNR200" s="21"/>
      <c r="DNS200" s="21"/>
      <c r="DNT200" s="21"/>
      <c r="DNU200" s="21"/>
      <c r="DNV200" s="21"/>
      <c r="DNW200" s="21"/>
      <c r="DNX200" s="21"/>
      <c r="DNY200" s="21"/>
      <c r="DNZ200" s="21"/>
      <c r="DOA200" s="21"/>
      <c r="DOB200" s="21"/>
      <c r="DOC200" s="21"/>
      <c r="DOD200" s="21"/>
      <c r="DOE200" s="21"/>
      <c r="DOF200" s="21"/>
      <c r="DOG200" s="21"/>
      <c r="DOH200" s="21"/>
      <c r="DOI200" s="21"/>
      <c r="DOJ200" s="21"/>
      <c r="DOK200" s="21"/>
      <c r="DOL200" s="21"/>
      <c r="DOM200" s="21"/>
      <c r="DON200" s="21"/>
      <c r="DOO200" s="21"/>
      <c r="DOP200" s="21"/>
      <c r="DOQ200" s="21"/>
      <c r="DOR200" s="21"/>
      <c r="DOS200" s="21"/>
      <c r="DOT200" s="21"/>
      <c r="DOU200" s="21"/>
      <c r="DOV200" s="21"/>
      <c r="DOW200" s="21"/>
      <c r="DOX200" s="21"/>
      <c r="DOY200" s="21"/>
      <c r="DOZ200" s="21"/>
      <c r="DPA200" s="21"/>
      <c r="DPB200" s="21"/>
      <c r="DPC200" s="21"/>
      <c r="DPD200" s="21"/>
      <c r="DPE200" s="21"/>
      <c r="DPF200" s="21"/>
      <c r="DPG200" s="21"/>
      <c r="DPH200" s="21"/>
      <c r="DPI200" s="21"/>
      <c r="DPJ200" s="21"/>
      <c r="DPK200" s="21"/>
      <c r="DPL200" s="21"/>
      <c r="DPM200" s="21"/>
      <c r="DPN200" s="21"/>
      <c r="DPO200" s="21"/>
      <c r="DPP200" s="21"/>
      <c r="DPQ200" s="21"/>
      <c r="DPR200" s="21"/>
      <c r="DPS200" s="21"/>
      <c r="DPT200" s="21"/>
      <c r="DPU200" s="21"/>
      <c r="DPV200" s="21"/>
      <c r="DPW200" s="21"/>
      <c r="DPX200" s="21"/>
      <c r="DPY200" s="21"/>
      <c r="DPZ200" s="21"/>
      <c r="DQA200" s="21"/>
      <c r="DQB200" s="21"/>
      <c r="DQC200" s="21"/>
      <c r="DQD200" s="21"/>
      <c r="DQE200" s="21"/>
      <c r="DQF200" s="21"/>
      <c r="DQG200" s="21"/>
      <c r="DQH200" s="21"/>
      <c r="DQI200" s="21"/>
      <c r="DQJ200" s="21"/>
      <c r="DQK200" s="21"/>
      <c r="DQL200" s="21"/>
      <c r="DQM200" s="21"/>
      <c r="DQN200" s="21"/>
      <c r="DQO200" s="21"/>
      <c r="DQP200" s="21"/>
      <c r="DQQ200" s="21"/>
      <c r="DQR200" s="21"/>
      <c r="DQS200" s="21"/>
      <c r="DQT200" s="21"/>
      <c r="DQU200" s="21"/>
      <c r="DQV200" s="21"/>
      <c r="DQW200" s="21"/>
      <c r="DQX200" s="21"/>
      <c r="DQY200" s="21"/>
      <c r="DQZ200" s="21"/>
      <c r="DRA200" s="21"/>
      <c r="DRB200" s="21"/>
      <c r="DRC200" s="21"/>
      <c r="DRD200" s="21"/>
      <c r="DRE200" s="21"/>
      <c r="DRF200" s="21"/>
      <c r="DRG200" s="21"/>
      <c r="DRH200" s="21"/>
      <c r="DRI200" s="21"/>
      <c r="DRJ200" s="21"/>
      <c r="DRK200" s="21"/>
      <c r="DRL200" s="21"/>
      <c r="DRM200" s="21"/>
      <c r="DRN200" s="21"/>
      <c r="DRO200" s="21"/>
      <c r="DRP200" s="21"/>
      <c r="DRQ200" s="21"/>
      <c r="DRR200" s="21"/>
      <c r="DRS200" s="21"/>
      <c r="DRT200" s="21"/>
      <c r="DRU200" s="21"/>
      <c r="DRV200" s="21"/>
      <c r="DRW200" s="21"/>
      <c r="DRX200" s="21"/>
      <c r="DRY200" s="21"/>
      <c r="DRZ200" s="21"/>
      <c r="DSA200" s="21"/>
      <c r="DSB200" s="21"/>
      <c r="DSC200" s="21"/>
      <c r="DSD200" s="21"/>
      <c r="DSE200" s="21"/>
      <c r="DSF200" s="21"/>
      <c r="DSG200" s="21"/>
      <c r="DSH200" s="21"/>
      <c r="DSI200" s="21"/>
      <c r="DSJ200" s="21"/>
      <c r="DSK200" s="21"/>
      <c r="DSL200" s="21"/>
      <c r="DSM200" s="21"/>
      <c r="DSN200" s="21"/>
      <c r="DSO200" s="21"/>
      <c r="DSP200" s="21"/>
      <c r="DSQ200" s="21"/>
      <c r="DSR200" s="21"/>
      <c r="DSS200" s="21"/>
      <c r="DST200" s="21"/>
      <c r="DSU200" s="21"/>
      <c r="DSV200" s="21"/>
      <c r="DSW200" s="21"/>
      <c r="DSX200" s="21"/>
      <c r="DSY200" s="21"/>
      <c r="DSZ200" s="21"/>
      <c r="DTA200" s="21"/>
      <c r="DTB200" s="21"/>
      <c r="DTC200" s="21"/>
      <c r="DTD200" s="21"/>
      <c r="DTE200" s="21"/>
      <c r="DTF200" s="21"/>
      <c r="DTG200" s="21"/>
      <c r="DTH200" s="21"/>
      <c r="DTI200" s="21"/>
      <c r="DTJ200" s="21"/>
      <c r="DTK200" s="21"/>
      <c r="DTL200" s="21"/>
      <c r="DTM200" s="21"/>
      <c r="DTN200" s="21"/>
      <c r="DTO200" s="21"/>
      <c r="DTP200" s="21"/>
      <c r="DTQ200" s="21"/>
      <c r="DTR200" s="21"/>
      <c r="DTS200" s="21"/>
      <c r="DTT200" s="21"/>
      <c r="DTU200" s="21"/>
      <c r="DTV200" s="21"/>
      <c r="DTW200" s="21"/>
      <c r="DTX200" s="21"/>
      <c r="DTY200" s="21"/>
      <c r="DTZ200" s="21"/>
      <c r="DUA200" s="21"/>
      <c r="DUB200" s="21"/>
      <c r="DUC200" s="21"/>
      <c r="DUD200" s="21"/>
      <c r="DUE200" s="21"/>
      <c r="DUF200" s="21"/>
      <c r="DUG200" s="21"/>
      <c r="DUH200" s="21"/>
      <c r="DUI200" s="21"/>
      <c r="DUJ200" s="21"/>
      <c r="DUK200" s="21"/>
      <c r="DUL200" s="21"/>
      <c r="DUM200" s="21"/>
      <c r="DUN200" s="21"/>
      <c r="DUO200" s="21"/>
      <c r="DUP200" s="21"/>
      <c r="DUQ200" s="21"/>
      <c r="DUR200" s="21"/>
      <c r="DUS200" s="21"/>
      <c r="DUT200" s="21"/>
      <c r="DUU200" s="21"/>
      <c r="DUV200" s="21"/>
      <c r="DUW200" s="21"/>
      <c r="DUX200" s="21"/>
      <c r="DUY200" s="21"/>
      <c r="DUZ200" s="21"/>
      <c r="DVA200" s="21"/>
      <c r="DVB200" s="21"/>
      <c r="DVC200" s="21"/>
      <c r="DVD200" s="21"/>
      <c r="DVE200" s="21"/>
      <c r="DVF200" s="21"/>
      <c r="DVG200" s="21"/>
      <c r="DVH200" s="21"/>
      <c r="DVI200" s="21"/>
      <c r="DVJ200" s="21"/>
      <c r="DVK200" s="21"/>
      <c r="DVL200" s="21"/>
      <c r="DVM200" s="21"/>
      <c r="DVN200" s="21"/>
      <c r="DVO200" s="21"/>
      <c r="DVP200" s="21"/>
      <c r="DVQ200" s="21"/>
      <c r="DVR200" s="21"/>
      <c r="DVS200" s="21"/>
      <c r="DVT200" s="21"/>
      <c r="DVU200" s="21"/>
      <c r="DVV200" s="21"/>
      <c r="DVW200" s="21"/>
      <c r="DVX200" s="21"/>
      <c r="DVY200" s="21"/>
      <c r="DVZ200" s="21"/>
      <c r="DWA200" s="21"/>
      <c r="DWB200" s="21"/>
      <c r="DWC200" s="21"/>
      <c r="DWD200" s="21"/>
      <c r="DWE200" s="21"/>
      <c r="DWF200" s="21"/>
      <c r="DWG200" s="21"/>
      <c r="DWH200" s="21"/>
      <c r="DWI200" s="21"/>
      <c r="DWJ200" s="21"/>
      <c r="DWK200" s="21"/>
      <c r="DWL200" s="21"/>
      <c r="DWM200" s="21"/>
      <c r="DWN200" s="21"/>
      <c r="DWO200" s="21"/>
      <c r="DWP200" s="21"/>
      <c r="DWQ200" s="21"/>
      <c r="DWR200" s="21"/>
      <c r="DWS200" s="21"/>
      <c r="DWT200" s="21"/>
      <c r="DWU200" s="21"/>
      <c r="DWV200" s="21"/>
      <c r="DWW200" s="21"/>
      <c r="DWX200" s="21"/>
      <c r="DWY200" s="21"/>
      <c r="DWZ200" s="21"/>
      <c r="DXA200" s="21"/>
      <c r="DXB200" s="21"/>
      <c r="DXC200" s="21"/>
      <c r="DXD200" s="21"/>
      <c r="DXE200" s="21"/>
      <c r="DXF200" s="21"/>
      <c r="DXG200" s="21"/>
      <c r="DXH200" s="21"/>
      <c r="DXI200" s="21"/>
      <c r="DXJ200" s="21"/>
      <c r="DXK200" s="21"/>
      <c r="DXL200" s="21"/>
      <c r="DXM200" s="21"/>
      <c r="DXN200" s="21"/>
      <c r="DXO200" s="21"/>
      <c r="DXP200" s="21"/>
      <c r="DXQ200" s="21"/>
      <c r="DXR200" s="21"/>
      <c r="DXS200" s="21"/>
      <c r="DXT200" s="21"/>
      <c r="DXU200" s="21"/>
      <c r="DXV200" s="21"/>
      <c r="DXW200" s="21"/>
      <c r="DXX200" s="21"/>
      <c r="DXY200" s="21"/>
      <c r="DXZ200" s="21"/>
      <c r="DYA200" s="21"/>
      <c r="DYB200" s="21"/>
      <c r="DYC200" s="21"/>
      <c r="DYD200" s="21"/>
      <c r="DYE200" s="21"/>
      <c r="DYF200" s="21"/>
      <c r="DYG200" s="21"/>
      <c r="DYH200" s="21"/>
      <c r="DYI200" s="21"/>
      <c r="DYJ200" s="21"/>
      <c r="DYK200" s="21"/>
      <c r="DYL200" s="21"/>
      <c r="DYM200" s="21"/>
      <c r="DYN200" s="21"/>
      <c r="DYO200" s="21"/>
      <c r="DYP200" s="21"/>
      <c r="DYQ200" s="21"/>
      <c r="DYR200" s="21"/>
      <c r="DYS200" s="21"/>
      <c r="DYT200" s="21"/>
      <c r="DYU200" s="21"/>
      <c r="DYV200" s="21"/>
      <c r="DYW200" s="21"/>
      <c r="DYX200" s="21"/>
      <c r="DYY200" s="21"/>
      <c r="DYZ200" s="21"/>
      <c r="DZA200" s="21"/>
      <c r="DZB200" s="21"/>
      <c r="DZC200" s="21"/>
      <c r="DZD200" s="21"/>
      <c r="DZE200" s="21"/>
      <c r="DZF200" s="21"/>
      <c r="DZG200" s="21"/>
      <c r="DZH200" s="21"/>
      <c r="DZI200" s="21"/>
      <c r="DZJ200" s="21"/>
      <c r="DZK200" s="21"/>
      <c r="DZL200" s="21"/>
      <c r="DZM200" s="21"/>
      <c r="DZN200" s="21"/>
      <c r="DZO200" s="21"/>
      <c r="DZP200" s="21"/>
      <c r="DZQ200" s="21"/>
      <c r="DZR200" s="21"/>
      <c r="DZS200" s="21"/>
      <c r="DZT200" s="21"/>
      <c r="DZU200" s="21"/>
      <c r="DZV200" s="21"/>
      <c r="DZW200" s="21"/>
      <c r="DZX200" s="21"/>
      <c r="DZY200" s="21"/>
      <c r="DZZ200" s="21"/>
      <c r="EAA200" s="21"/>
      <c r="EAB200" s="21"/>
      <c r="EAC200" s="21"/>
      <c r="EAD200" s="21"/>
      <c r="EAE200" s="21"/>
      <c r="EAF200" s="21"/>
      <c r="EAG200" s="21"/>
      <c r="EAH200" s="21"/>
      <c r="EAI200" s="21"/>
      <c r="EAJ200" s="21"/>
      <c r="EAK200" s="21"/>
      <c r="EAL200" s="21"/>
      <c r="EAM200" s="21"/>
      <c r="EAN200" s="21"/>
      <c r="EAO200" s="21"/>
      <c r="EAP200" s="21"/>
      <c r="EAQ200" s="21"/>
      <c r="EAR200" s="21"/>
      <c r="EAS200" s="21"/>
      <c r="EAT200" s="21"/>
      <c r="EAU200" s="21"/>
      <c r="EAV200" s="21"/>
      <c r="EAW200" s="21"/>
      <c r="EAX200" s="21"/>
      <c r="EAY200" s="21"/>
      <c r="EAZ200" s="21"/>
      <c r="EBA200" s="21"/>
      <c r="EBB200" s="21"/>
      <c r="EBC200" s="21"/>
      <c r="EBD200" s="21"/>
      <c r="EBE200" s="21"/>
      <c r="EBF200" s="21"/>
      <c r="EBG200" s="21"/>
      <c r="EBH200" s="21"/>
      <c r="EBI200" s="21"/>
      <c r="EBJ200" s="21"/>
      <c r="EBK200" s="21"/>
      <c r="EBL200" s="21"/>
      <c r="EBM200" s="21"/>
      <c r="EBN200" s="21"/>
      <c r="EBO200" s="21"/>
      <c r="EBP200" s="21"/>
      <c r="EBQ200" s="21"/>
      <c r="EBR200" s="21"/>
      <c r="EBS200" s="21"/>
      <c r="EBT200" s="21"/>
      <c r="EBU200" s="21"/>
      <c r="EBV200" s="21"/>
      <c r="EBW200" s="21"/>
      <c r="EBX200" s="21"/>
      <c r="EBY200" s="21"/>
      <c r="EBZ200" s="21"/>
      <c r="ECA200" s="21"/>
      <c r="ECB200" s="21"/>
      <c r="ECC200" s="21"/>
      <c r="ECD200" s="21"/>
      <c r="ECE200" s="21"/>
      <c r="ECF200" s="21"/>
      <c r="ECG200" s="21"/>
      <c r="ECH200" s="21"/>
      <c r="ECI200" s="21"/>
      <c r="ECJ200" s="21"/>
      <c r="ECK200" s="21"/>
      <c r="ECL200" s="21"/>
      <c r="ECM200" s="21"/>
      <c r="ECN200" s="21"/>
      <c r="ECO200" s="21"/>
      <c r="ECP200" s="21"/>
      <c r="ECQ200" s="21"/>
      <c r="ECR200" s="21"/>
      <c r="ECS200" s="21"/>
      <c r="ECT200" s="21"/>
      <c r="ECU200" s="21"/>
      <c r="ECV200" s="21"/>
      <c r="ECW200" s="21"/>
      <c r="ECX200" s="21"/>
      <c r="ECY200" s="21"/>
      <c r="ECZ200" s="21"/>
      <c r="EDA200" s="21"/>
      <c r="EDB200" s="21"/>
      <c r="EDC200" s="21"/>
      <c r="EDD200" s="21"/>
      <c r="EDE200" s="21"/>
      <c r="EDF200" s="21"/>
      <c r="EDG200" s="21"/>
      <c r="EDH200" s="21"/>
      <c r="EDI200" s="21"/>
      <c r="EDJ200" s="21"/>
      <c r="EDK200" s="21"/>
      <c r="EDL200" s="21"/>
      <c r="EDM200" s="21"/>
      <c r="EDN200" s="21"/>
      <c r="EDO200" s="21"/>
      <c r="EDP200" s="21"/>
      <c r="EDQ200" s="21"/>
      <c r="EDR200" s="21"/>
      <c r="EDS200" s="21"/>
      <c r="EDT200" s="21"/>
      <c r="EDU200" s="21"/>
      <c r="EDV200" s="21"/>
      <c r="EDW200" s="21"/>
      <c r="EDX200" s="21"/>
      <c r="EDY200" s="21"/>
      <c r="EDZ200" s="21"/>
      <c r="EEA200" s="21"/>
      <c r="EEB200" s="21"/>
      <c r="EEC200" s="21"/>
      <c r="EED200" s="21"/>
      <c r="EEE200" s="21"/>
      <c r="EEF200" s="21"/>
      <c r="EEG200" s="21"/>
      <c r="EEH200" s="21"/>
      <c r="EEI200" s="21"/>
      <c r="EEJ200" s="21"/>
      <c r="EEK200" s="21"/>
      <c r="EEL200" s="21"/>
      <c r="EEM200" s="21"/>
      <c r="EEN200" s="21"/>
      <c r="EEO200" s="21"/>
      <c r="EEP200" s="21"/>
      <c r="EEQ200" s="21"/>
      <c r="EER200" s="21"/>
      <c r="EES200" s="21"/>
      <c r="EET200" s="21"/>
      <c r="EEU200" s="21"/>
      <c r="EEV200" s="21"/>
      <c r="EEW200" s="21"/>
      <c r="EEX200" s="21"/>
      <c r="EEY200" s="21"/>
      <c r="EEZ200" s="21"/>
      <c r="EFA200" s="21"/>
      <c r="EFB200" s="21"/>
      <c r="EFC200" s="21"/>
      <c r="EFD200" s="21"/>
      <c r="EFE200" s="21"/>
      <c r="EFF200" s="21"/>
      <c r="EFG200" s="21"/>
      <c r="EFH200" s="21"/>
      <c r="EFI200" s="21"/>
      <c r="EFJ200" s="21"/>
      <c r="EFK200" s="21"/>
      <c r="EFL200" s="21"/>
      <c r="EFM200" s="21"/>
      <c r="EFN200" s="21"/>
      <c r="EFO200" s="21"/>
      <c r="EFP200" s="21"/>
      <c r="EFQ200" s="21"/>
      <c r="EFR200" s="21"/>
      <c r="EFS200" s="21"/>
      <c r="EFT200" s="21"/>
      <c r="EFU200" s="21"/>
      <c r="EFV200" s="21"/>
      <c r="EFW200" s="21"/>
      <c r="EFX200" s="21"/>
      <c r="EFY200" s="21"/>
      <c r="EFZ200" s="21"/>
      <c r="EGA200" s="21"/>
      <c r="EGB200" s="21"/>
      <c r="EGC200" s="21"/>
      <c r="EGD200" s="21"/>
      <c r="EGE200" s="21"/>
      <c r="EGF200" s="21"/>
      <c r="EGG200" s="21"/>
      <c r="EGH200" s="21"/>
      <c r="EGI200" s="21"/>
      <c r="EGJ200" s="21"/>
      <c r="EGK200" s="21"/>
      <c r="EGL200" s="21"/>
      <c r="EGM200" s="21"/>
      <c r="EGN200" s="21"/>
      <c r="EGO200" s="21"/>
      <c r="EGP200" s="21"/>
      <c r="EGQ200" s="21"/>
      <c r="EGR200" s="21"/>
      <c r="EGS200" s="21"/>
      <c r="EGT200" s="21"/>
      <c r="EGU200" s="21"/>
      <c r="EGV200" s="21"/>
      <c r="EGW200" s="21"/>
      <c r="EGX200" s="21"/>
      <c r="EGY200" s="21"/>
      <c r="EGZ200" s="21"/>
      <c r="EHA200" s="21"/>
      <c r="EHB200" s="21"/>
      <c r="EHC200" s="21"/>
      <c r="EHD200" s="21"/>
      <c r="EHE200" s="21"/>
      <c r="EHF200" s="21"/>
      <c r="EHG200" s="21"/>
      <c r="EHH200" s="21"/>
      <c r="EHI200" s="21"/>
      <c r="EHJ200" s="21"/>
      <c r="EHK200" s="21"/>
      <c r="EHL200" s="21"/>
      <c r="EHM200" s="21"/>
      <c r="EHN200" s="21"/>
      <c r="EHO200" s="21"/>
      <c r="EHP200" s="21"/>
      <c r="EHQ200" s="21"/>
      <c r="EHR200" s="21"/>
      <c r="EHS200" s="21"/>
      <c r="EHT200" s="21"/>
      <c r="EHU200" s="21"/>
      <c r="EHV200" s="21"/>
      <c r="EHW200" s="21"/>
      <c r="EHX200" s="21"/>
      <c r="EHY200" s="21"/>
      <c r="EHZ200" s="21"/>
      <c r="EIA200" s="21"/>
      <c r="EIB200" s="21"/>
      <c r="EIC200" s="21"/>
      <c r="EID200" s="21"/>
      <c r="EIE200" s="21"/>
      <c r="EIF200" s="21"/>
      <c r="EIG200" s="21"/>
      <c r="EIH200" s="21"/>
      <c r="EII200" s="21"/>
      <c r="EIJ200" s="21"/>
      <c r="EIK200" s="21"/>
      <c r="EIL200" s="21"/>
      <c r="EIM200" s="21"/>
      <c r="EIN200" s="21"/>
      <c r="EIO200" s="21"/>
      <c r="EIP200" s="21"/>
      <c r="EIQ200" s="21"/>
      <c r="EIR200" s="21"/>
      <c r="EIS200" s="21"/>
      <c r="EIT200" s="21"/>
      <c r="EIU200" s="21"/>
      <c r="EIV200" s="21"/>
      <c r="EIW200" s="21"/>
      <c r="EIX200" s="21"/>
      <c r="EIY200" s="21"/>
      <c r="EIZ200" s="21"/>
      <c r="EJA200" s="21"/>
      <c r="EJB200" s="21"/>
      <c r="EJC200" s="21"/>
      <c r="EJD200" s="21"/>
      <c r="EJE200" s="21"/>
      <c r="EJF200" s="21"/>
      <c r="EJG200" s="21"/>
      <c r="EJH200" s="21"/>
      <c r="EJI200" s="21"/>
      <c r="EJJ200" s="21"/>
      <c r="EJK200" s="21"/>
      <c r="EJL200" s="21"/>
      <c r="EJM200" s="21"/>
      <c r="EJN200" s="21"/>
      <c r="EJO200" s="21"/>
      <c r="EJP200" s="21"/>
      <c r="EJQ200" s="21"/>
      <c r="EJR200" s="21"/>
      <c r="EJS200" s="21"/>
      <c r="EJT200" s="21"/>
      <c r="EJU200" s="21"/>
      <c r="EJV200" s="21"/>
      <c r="EJW200" s="21"/>
      <c r="EJX200" s="21"/>
      <c r="EJY200" s="21"/>
      <c r="EJZ200" s="21"/>
      <c r="EKA200" s="21"/>
      <c r="EKB200" s="21"/>
      <c r="EKC200" s="21"/>
      <c r="EKD200" s="21"/>
      <c r="EKE200" s="21"/>
      <c r="EKF200" s="21"/>
      <c r="EKG200" s="21"/>
      <c r="EKH200" s="21"/>
      <c r="EKI200" s="21"/>
      <c r="EKJ200" s="21"/>
      <c r="EKK200" s="21"/>
      <c r="EKL200" s="21"/>
      <c r="EKM200" s="21"/>
      <c r="EKN200" s="21"/>
      <c r="EKO200" s="21"/>
      <c r="EKP200" s="21"/>
      <c r="EKQ200" s="21"/>
      <c r="EKR200" s="21"/>
      <c r="EKS200" s="21"/>
      <c r="EKT200" s="21"/>
      <c r="EKU200" s="21"/>
      <c r="EKV200" s="21"/>
      <c r="EKW200" s="21"/>
      <c r="EKX200" s="21"/>
      <c r="EKY200" s="21"/>
      <c r="EKZ200" s="21"/>
      <c r="ELA200" s="21"/>
      <c r="ELB200" s="21"/>
      <c r="ELC200" s="21"/>
      <c r="ELD200" s="21"/>
      <c r="ELE200" s="21"/>
      <c r="ELF200" s="21"/>
      <c r="ELG200" s="21"/>
      <c r="ELH200" s="21"/>
      <c r="ELI200" s="21"/>
      <c r="ELJ200" s="21"/>
      <c r="ELK200" s="21"/>
      <c r="ELL200" s="21"/>
      <c r="ELM200" s="21"/>
      <c r="ELN200" s="21"/>
      <c r="ELO200" s="21"/>
      <c r="ELP200" s="21"/>
      <c r="ELQ200" s="21"/>
      <c r="ELR200" s="21"/>
      <c r="ELS200" s="21"/>
      <c r="ELT200" s="21"/>
      <c r="ELU200" s="21"/>
      <c r="ELV200" s="21"/>
      <c r="ELW200" s="21"/>
      <c r="ELX200" s="21"/>
      <c r="ELY200" s="21"/>
      <c r="ELZ200" s="21"/>
      <c r="EMA200" s="21"/>
      <c r="EMB200" s="21"/>
      <c r="EMC200" s="21"/>
      <c r="EMD200" s="21"/>
      <c r="EME200" s="21"/>
      <c r="EMF200" s="21"/>
      <c r="EMG200" s="21"/>
      <c r="EMH200" s="21"/>
      <c r="EMI200" s="21"/>
      <c r="EMJ200" s="21"/>
      <c r="EMK200" s="21"/>
      <c r="EML200" s="21"/>
      <c r="EMM200" s="21"/>
      <c r="EMN200" s="21"/>
      <c r="EMO200" s="21"/>
      <c r="EMP200" s="21"/>
      <c r="EMQ200" s="21"/>
      <c r="EMR200" s="21"/>
      <c r="EMS200" s="21"/>
      <c r="EMT200" s="21"/>
      <c r="EMU200" s="21"/>
      <c r="EMV200" s="21"/>
      <c r="EMW200" s="21"/>
      <c r="EMX200" s="21"/>
      <c r="EMY200" s="21"/>
      <c r="EMZ200" s="21"/>
      <c r="ENA200" s="21"/>
      <c r="ENB200" s="21"/>
      <c r="ENC200" s="21"/>
      <c r="END200" s="21"/>
      <c r="ENE200" s="21"/>
      <c r="ENF200" s="21"/>
      <c r="ENG200" s="21"/>
      <c r="ENH200" s="21"/>
      <c r="ENI200" s="21"/>
      <c r="ENJ200" s="21"/>
      <c r="ENK200" s="21"/>
      <c r="ENL200" s="21"/>
      <c r="ENM200" s="21"/>
      <c r="ENN200" s="21"/>
      <c r="ENO200" s="21"/>
      <c r="ENP200" s="21"/>
      <c r="ENQ200" s="21"/>
      <c r="ENR200" s="21"/>
      <c r="ENS200" s="21"/>
      <c r="ENT200" s="21"/>
      <c r="ENU200" s="21"/>
      <c r="ENV200" s="21"/>
      <c r="ENW200" s="21"/>
      <c r="ENX200" s="21"/>
      <c r="ENY200" s="21"/>
      <c r="ENZ200" s="21"/>
      <c r="EOA200" s="21"/>
      <c r="EOB200" s="21"/>
      <c r="EOC200" s="21"/>
      <c r="EOD200" s="21"/>
      <c r="EOE200" s="21"/>
      <c r="EOF200" s="21"/>
      <c r="EOG200" s="21"/>
      <c r="EOH200" s="21"/>
      <c r="EOI200" s="21"/>
      <c r="EOJ200" s="21"/>
      <c r="EOK200" s="21"/>
      <c r="EOL200" s="21"/>
      <c r="EOM200" s="21"/>
      <c r="EON200" s="21"/>
      <c r="EOO200" s="21"/>
      <c r="EOP200" s="21"/>
      <c r="EOQ200" s="21"/>
      <c r="EOR200" s="21"/>
      <c r="EOS200" s="21"/>
      <c r="EOT200" s="21"/>
      <c r="EOU200" s="21"/>
      <c r="EOV200" s="21"/>
      <c r="EOW200" s="21"/>
      <c r="EOX200" s="21"/>
      <c r="EOY200" s="21"/>
      <c r="EOZ200" s="21"/>
      <c r="EPA200" s="21"/>
      <c r="EPB200" s="21"/>
      <c r="EPC200" s="21"/>
      <c r="EPD200" s="21"/>
      <c r="EPE200" s="21"/>
      <c r="EPF200" s="21"/>
      <c r="EPG200" s="21"/>
      <c r="EPH200" s="21"/>
      <c r="EPI200" s="21"/>
      <c r="EPJ200" s="21"/>
      <c r="EPK200" s="21"/>
      <c r="EPL200" s="21"/>
      <c r="EPM200" s="21"/>
      <c r="EPN200" s="21"/>
      <c r="EPO200" s="21"/>
      <c r="EPP200" s="21"/>
      <c r="EPQ200" s="21"/>
      <c r="EPR200" s="21"/>
      <c r="EPS200" s="21"/>
      <c r="EPT200" s="21"/>
      <c r="EPU200" s="21"/>
      <c r="EPV200" s="21"/>
      <c r="EPW200" s="21"/>
      <c r="EPX200" s="21"/>
      <c r="EPY200" s="21"/>
      <c r="EPZ200" s="21"/>
      <c r="EQA200" s="21"/>
      <c r="EQB200" s="21"/>
      <c r="EQC200" s="21"/>
      <c r="EQD200" s="21"/>
      <c r="EQE200" s="21"/>
      <c r="EQF200" s="21"/>
      <c r="EQG200" s="21"/>
      <c r="EQH200" s="21"/>
      <c r="EQI200" s="21"/>
      <c r="EQJ200" s="21"/>
      <c r="EQK200" s="21"/>
      <c r="EQL200" s="21"/>
      <c r="EQM200" s="21"/>
      <c r="EQN200" s="21"/>
      <c r="EQO200" s="21"/>
      <c r="EQP200" s="21"/>
      <c r="EQQ200" s="21"/>
      <c r="EQR200" s="21"/>
      <c r="EQS200" s="21"/>
      <c r="EQT200" s="21"/>
      <c r="EQU200" s="21"/>
      <c r="EQV200" s="21"/>
      <c r="EQW200" s="21"/>
      <c r="EQX200" s="21"/>
      <c r="EQY200" s="21"/>
      <c r="EQZ200" s="21"/>
      <c r="ERA200" s="21"/>
      <c r="ERB200" s="21"/>
      <c r="ERC200" s="21"/>
      <c r="ERD200" s="21"/>
      <c r="ERE200" s="21"/>
      <c r="ERF200" s="21"/>
      <c r="ERG200" s="21"/>
      <c r="ERH200" s="21"/>
      <c r="ERI200" s="21"/>
      <c r="ERJ200" s="21"/>
      <c r="ERK200" s="21"/>
      <c r="ERL200" s="21"/>
      <c r="ERM200" s="21"/>
      <c r="ERN200" s="21"/>
      <c r="ERO200" s="21"/>
      <c r="ERP200" s="21"/>
      <c r="ERQ200" s="21"/>
      <c r="ERR200" s="21"/>
      <c r="ERS200" s="21"/>
      <c r="ERT200" s="21"/>
      <c r="ERU200" s="21"/>
      <c r="ERV200" s="21"/>
      <c r="ERW200" s="21"/>
      <c r="ERX200" s="21"/>
      <c r="ERY200" s="21"/>
      <c r="ERZ200" s="21"/>
      <c r="ESA200" s="21"/>
      <c r="ESB200" s="21"/>
      <c r="ESC200" s="21"/>
      <c r="ESD200" s="21"/>
      <c r="ESE200" s="21"/>
      <c r="ESF200" s="21"/>
      <c r="ESG200" s="21"/>
      <c r="ESH200" s="21"/>
      <c r="ESI200" s="21"/>
      <c r="ESJ200" s="21"/>
      <c r="ESK200" s="21"/>
      <c r="ESL200" s="21"/>
      <c r="ESM200" s="21"/>
      <c r="ESN200" s="21"/>
      <c r="ESO200" s="21"/>
      <c r="ESP200" s="21"/>
      <c r="ESQ200" s="21"/>
      <c r="ESR200" s="21"/>
      <c r="ESS200" s="21"/>
      <c r="EST200" s="21"/>
      <c r="ESU200" s="21"/>
      <c r="ESV200" s="21"/>
      <c r="ESW200" s="21"/>
      <c r="ESX200" s="21"/>
      <c r="ESY200" s="21"/>
      <c r="ESZ200" s="21"/>
      <c r="ETA200" s="21"/>
      <c r="ETB200" s="21"/>
      <c r="ETC200" s="21"/>
      <c r="ETD200" s="21"/>
      <c r="ETE200" s="21"/>
      <c r="ETF200" s="21"/>
      <c r="ETG200" s="21"/>
      <c r="ETH200" s="21"/>
      <c r="ETI200" s="21"/>
      <c r="ETJ200" s="21"/>
      <c r="ETK200" s="21"/>
      <c r="ETL200" s="21"/>
      <c r="ETM200" s="21"/>
      <c r="ETN200" s="21"/>
      <c r="ETO200" s="21"/>
      <c r="ETP200" s="21"/>
      <c r="ETQ200" s="21"/>
      <c r="ETR200" s="21"/>
      <c r="ETS200" s="21"/>
      <c r="ETT200" s="21"/>
      <c r="ETU200" s="21"/>
      <c r="ETV200" s="21"/>
      <c r="ETW200" s="21"/>
      <c r="ETX200" s="21"/>
      <c r="ETY200" s="21"/>
      <c r="ETZ200" s="21"/>
      <c r="EUA200" s="21"/>
      <c r="EUB200" s="21"/>
      <c r="EUC200" s="21"/>
      <c r="EUD200" s="21"/>
      <c r="EUE200" s="21"/>
      <c r="EUF200" s="21"/>
      <c r="EUG200" s="21"/>
      <c r="EUH200" s="21"/>
      <c r="EUI200" s="21"/>
      <c r="EUJ200" s="21"/>
      <c r="EUK200" s="21"/>
      <c r="EUL200" s="21"/>
      <c r="EUM200" s="21"/>
      <c r="EUN200" s="21"/>
      <c r="EUO200" s="21"/>
      <c r="EUP200" s="21"/>
      <c r="EUQ200" s="21"/>
      <c r="EUR200" s="21"/>
      <c r="EUS200" s="21"/>
      <c r="EUT200" s="21"/>
      <c r="EUU200" s="21"/>
      <c r="EUV200" s="21"/>
      <c r="EUW200" s="21"/>
      <c r="EUX200" s="21"/>
      <c r="EUY200" s="21"/>
      <c r="EUZ200" s="21"/>
      <c r="EVA200" s="21"/>
      <c r="EVB200" s="21"/>
      <c r="EVC200" s="21"/>
      <c r="EVD200" s="21"/>
      <c r="EVE200" s="21"/>
      <c r="EVF200" s="21"/>
      <c r="EVG200" s="21"/>
      <c r="EVH200" s="21"/>
      <c r="EVI200" s="21"/>
      <c r="EVJ200" s="21"/>
      <c r="EVK200" s="21"/>
      <c r="EVL200" s="21"/>
      <c r="EVM200" s="21"/>
      <c r="EVN200" s="21"/>
      <c r="EVO200" s="21"/>
      <c r="EVP200" s="21"/>
      <c r="EVQ200" s="21"/>
      <c r="EVR200" s="21"/>
      <c r="EVS200" s="21"/>
      <c r="EVT200" s="21"/>
      <c r="EVU200" s="21"/>
      <c r="EVV200" s="21"/>
      <c r="EVW200" s="21"/>
      <c r="EVX200" s="21"/>
      <c r="EVY200" s="21"/>
      <c r="EVZ200" s="21"/>
      <c r="EWA200" s="21"/>
      <c r="EWB200" s="21"/>
      <c r="EWC200" s="21"/>
      <c r="EWD200" s="21"/>
      <c r="EWE200" s="21"/>
      <c r="EWF200" s="21"/>
      <c r="EWG200" s="21"/>
      <c r="EWH200" s="21"/>
      <c r="EWI200" s="21"/>
      <c r="EWJ200" s="21"/>
      <c r="EWK200" s="21"/>
      <c r="EWL200" s="21"/>
      <c r="EWM200" s="21"/>
      <c r="EWN200" s="21"/>
      <c r="EWO200" s="21"/>
      <c r="EWP200" s="21"/>
      <c r="EWQ200" s="21"/>
      <c r="EWR200" s="21"/>
      <c r="EWS200" s="21"/>
      <c r="EWT200" s="21"/>
      <c r="EWU200" s="21"/>
      <c r="EWV200" s="21"/>
      <c r="EWW200" s="21"/>
      <c r="EWX200" s="21"/>
      <c r="EWY200" s="21"/>
      <c r="EWZ200" s="21"/>
      <c r="EXA200" s="21"/>
      <c r="EXB200" s="21"/>
      <c r="EXC200" s="21"/>
      <c r="EXD200" s="21"/>
      <c r="EXE200" s="21"/>
      <c r="EXF200" s="21"/>
      <c r="EXG200" s="21"/>
      <c r="EXH200" s="21"/>
      <c r="EXI200" s="21"/>
      <c r="EXJ200" s="21"/>
      <c r="EXK200" s="21"/>
      <c r="EXL200" s="21"/>
      <c r="EXM200" s="21"/>
      <c r="EXN200" s="21"/>
      <c r="EXO200" s="21"/>
      <c r="EXP200" s="21"/>
      <c r="EXQ200" s="21"/>
      <c r="EXR200" s="21"/>
      <c r="EXS200" s="21"/>
      <c r="EXT200" s="21"/>
      <c r="EXU200" s="21"/>
      <c r="EXV200" s="21"/>
      <c r="EXW200" s="21"/>
      <c r="EXX200" s="21"/>
      <c r="EXY200" s="21"/>
      <c r="EXZ200" s="21"/>
      <c r="EYA200" s="21"/>
      <c r="EYB200" s="21"/>
      <c r="EYC200" s="21"/>
      <c r="EYD200" s="21"/>
      <c r="EYE200" s="21"/>
      <c r="EYF200" s="21"/>
      <c r="EYG200" s="21"/>
      <c r="EYH200" s="21"/>
      <c r="EYI200" s="21"/>
      <c r="EYJ200" s="21"/>
      <c r="EYK200" s="21"/>
      <c r="EYL200" s="21"/>
      <c r="EYM200" s="21"/>
      <c r="EYN200" s="21"/>
      <c r="EYO200" s="21"/>
      <c r="EYP200" s="21"/>
      <c r="EYQ200" s="21"/>
      <c r="EYR200" s="21"/>
      <c r="EYS200" s="21"/>
      <c r="EYT200" s="21"/>
      <c r="EYU200" s="21"/>
      <c r="EYV200" s="21"/>
      <c r="EYW200" s="21"/>
      <c r="EYX200" s="21"/>
      <c r="EYY200" s="21"/>
      <c r="EYZ200" s="21"/>
      <c r="EZA200" s="21"/>
      <c r="EZB200" s="21"/>
      <c r="EZC200" s="21"/>
      <c r="EZD200" s="21"/>
      <c r="EZE200" s="21"/>
      <c r="EZF200" s="21"/>
      <c r="EZG200" s="21"/>
      <c r="EZH200" s="21"/>
      <c r="EZI200" s="21"/>
      <c r="EZJ200" s="21"/>
      <c r="EZK200" s="21"/>
      <c r="EZL200" s="21"/>
      <c r="EZM200" s="21"/>
      <c r="EZN200" s="21"/>
      <c r="EZO200" s="21"/>
      <c r="EZP200" s="21"/>
      <c r="EZQ200" s="21"/>
      <c r="EZR200" s="21"/>
      <c r="EZS200" s="21"/>
      <c r="EZT200" s="21"/>
      <c r="EZU200" s="21"/>
      <c r="EZV200" s="21"/>
      <c r="EZW200" s="21"/>
      <c r="EZX200" s="21"/>
      <c r="EZY200" s="21"/>
      <c r="EZZ200" s="21"/>
      <c r="FAA200" s="21"/>
      <c r="FAB200" s="21"/>
      <c r="FAC200" s="21"/>
      <c r="FAD200" s="21"/>
      <c r="FAE200" s="21"/>
      <c r="FAF200" s="21"/>
      <c r="FAG200" s="21"/>
      <c r="FAH200" s="21"/>
      <c r="FAI200" s="21"/>
      <c r="FAJ200" s="21"/>
      <c r="FAK200" s="21"/>
      <c r="FAL200" s="21"/>
      <c r="FAM200" s="21"/>
      <c r="FAN200" s="21"/>
      <c r="FAO200" s="21"/>
      <c r="FAP200" s="21"/>
      <c r="FAQ200" s="21"/>
      <c r="FAR200" s="21"/>
      <c r="FAS200" s="21"/>
      <c r="FAT200" s="21"/>
      <c r="FAU200" s="21"/>
      <c r="FAV200" s="21"/>
      <c r="FAW200" s="21"/>
      <c r="FAX200" s="21"/>
      <c r="FAY200" s="21"/>
      <c r="FAZ200" s="21"/>
      <c r="FBA200" s="21"/>
      <c r="FBB200" s="21"/>
      <c r="FBC200" s="21"/>
      <c r="FBD200" s="21"/>
      <c r="FBE200" s="21"/>
      <c r="FBF200" s="21"/>
      <c r="FBG200" s="21"/>
      <c r="FBH200" s="21"/>
      <c r="FBI200" s="21"/>
      <c r="FBJ200" s="21"/>
      <c r="FBK200" s="21"/>
      <c r="FBL200" s="21"/>
      <c r="FBM200" s="21"/>
      <c r="FBN200" s="21"/>
      <c r="FBO200" s="21"/>
      <c r="FBP200" s="21"/>
      <c r="FBQ200" s="21"/>
      <c r="FBR200" s="21"/>
      <c r="FBS200" s="21"/>
      <c r="FBT200" s="21"/>
      <c r="FBU200" s="21"/>
      <c r="FBV200" s="21"/>
      <c r="FBW200" s="21"/>
      <c r="FBX200" s="21"/>
      <c r="FBY200" s="21"/>
      <c r="FBZ200" s="21"/>
      <c r="FCA200" s="21"/>
      <c r="FCB200" s="21"/>
      <c r="FCC200" s="21"/>
      <c r="FCD200" s="21"/>
      <c r="FCE200" s="21"/>
      <c r="FCF200" s="21"/>
      <c r="FCG200" s="21"/>
      <c r="FCH200" s="21"/>
      <c r="FCI200" s="21"/>
      <c r="FCJ200" s="21"/>
      <c r="FCK200" s="21"/>
      <c r="FCL200" s="21"/>
      <c r="FCM200" s="21"/>
      <c r="FCN200" s="21"/>
      <c r="FCO200" s="21"/>
      <c r="FCP200" s="21"/>
      <c r="FCQ200" s="21"/>
      <c r="FCR200" s="21"/>
      <c r="FCS200" s="21"/>
      <c r="FCT200" s="21"/>
      <c r="FCU200" s="21"/>
      <c r="FCV200" s="21"/>
      <c r="FCW200" s="21"/>
      <c r="FCX200" s="21"/>
      <c r="FCY200" s="21"/>
      <c r="FCZ200" s="21"/>
      <c r="FDA200" s="21"/>
      <c r="FDB200" s="21"/>
      <c r="FDC200" s="21"/>
      <c r="FDD200" s="21"/>
      <c r="FDE200" s="21"/>
      <c r="FDF200" s="21"/>
      <c r="FDG200" s="21"/>
      <c r="FDH200" s="21"/>
      <c r="FDI200" s="21"/>
      <c r="FDJ200" s="21"/>
      <c r="FDK200" s="21"/>
      <c r="FDL200" s="21"/>
      <c r="FDM200" s="21"/>
      <c r="FDN200" s="21"/>
      <c r="FDO200" s="21"/>
      <c r="FDP200" s="21"/>
      <c r="FDQ200" s="21"/>
      <c r="FDR200" s="21"/>
      <c r="FDS200" s="21"/>
      <c r="FDT200" s="21"/>
      <c r="FDU200" s="21"/>
      <c r="FDV200" s="21"/>
      <c r="FDW200" s="21"/>
      <c r="FDX200" s="21"/>
      <c r="FDY200" s="21"/>
      <c r="FDZ200" s="21"/>
      <c r="FEA200" s="21"/>
      <c r="FEB200" s="21"/>
      <c r="FEC200" s="21"/>
      <c r="FED200" s="21"/>
      <c r="FEE200" s="21"/>
      <c r="FEF200" s="21"/>
      <c r="FEG200" s="21"/>
      <c r="FEH200" s="21"/>
      <c r="FEI200" s="21"/>
      <c r="FEJ200" s="21"/>
      <c r="FEK200" s="21"/>
      <c r="FEL200" s="21"/>
      <c r="FEM200" s="21"/>
      <c r="FEN200" s="21"/>
      <c r="FEO200" s="21"/>
      <c r="FEP200" s="21"/>
      <c r="FEQ200" s="21"/>
      <c r="FER200" s="21"/>
      <c r="FES200" s="21"/>
      <c r="FET200" s="21"/>
      <c r="FEU200" s="21"/>
      <c r="FEV200" s="21"/>
      <c r="FEW200" s="21"/>
      <c r="FEX200" s="21"/>
      <c r="FEY200" s="21"/>
      <c r="FEZ200" s="21"/>
      <c r="FFA200" s="21"/>
      <c r="FFB200" s="21"/>
      <c r="FFC200" s="21"/>
      <c r="FFD200" s="21"/>
      <c r="FFE200" s="21"/>
      <c r="FFF200" s="21"/>
      <c r="FFG200" s="21"/>
      <c r="FFH200" s="21"/>
      <c r="FFI200" s="21"/>
      <c r="FFJ200" s="21"/>
      <c r="FFK200" s="21"/>
      <c r="FFL200" s="21"/>
      <c r="FFM200" s="21"/>
      <c r="FFN200" s="21"/>
      <c r="FFO200" s="21"/>
      <c r="FFP200" s="21"/>
      <c r="FFQ200" s="21"/>
      <c r="FFR200" s="21"/>
      <c r="FFS200" s="21"/>
      <c r="FFT200" s="21"/>
      <c r="FFU200" s="21"/>
      <c r="FFV200" s="21"/>
      <c r="FFW200" s="21"/>
      <c r="FFX200" s="21"/>
      <c r="FFY200" s="21"/>
      <c r="FFZ200" s="21"/>
      <c r="FGA200" s="21"/>
      <c r="FGB200" s="21"/>
      <c r="FGC200" s="21"/>
      <c r="FGD200" s="21"/>
      <c r="FGE200" s="21"/>
      <c r="FGF200" s="21"/>
      <c r="FGG200" s="21"/>
      <c r="FGH200" s="21"/>
      <c r="FGI200" s="21"/>
      <c r="FGJ200" s="21"/>
      <c r="FGK200" s="21"/>
      <c r="FGL200" s="21"/>
      <c r="FGM200" s="21"/>
      <c r="FGN200" s="21"/>
      <c r="FGO200" s="21"/>
      <c r="FGP200" s="21"/>
      <c r="FGQ200" s="21"/>
      <c r="FGR200" s="21"/>
      <c r="FGS200" s="21"/>
      <c r="FGT200" s="21"/>
      <c r="FGU200" s="21"/>
      <c r="FGV200" s="21"/>
      <c r="FGW200" s="21"/>
      <c r="FGX200" s="21"/>
      <c r="FGY200" s="21"/>
      <c r="FGZ200" s="21"/>
      <c r="FHA200" s="21"/>
      <c r="FHB200" s="21"/>
      <c r="FHC200" s="21"/>
      <c r="FHD200" s="21"/>
      <c r="FHE200" s="21"/>
      <c r="FHF200" s="21"/>
      <c r="FHG200" s="21"/>
      <c r="FHH200" s="21"/>
      <c r="FHI200" s="21"/>
      <c r="FHJ200" s="21"/>
      <c r="FHK200" s="21"/>
      <c r="FHL200" s="21"/>
      <c r="FHM200" s="21"/>
      <c r="FHN200" s="21"/>
      <c r="FHO200" s="21"/>
      <c r="FHP200" s="21"/>
      <c r="FHQ200" s="21"/>
      <c r="FHR200" s="21"/>
      <c r="FHS200" s="21"/>
      <c r="FHT200" s="21"/>
      <c r="FHU200" s="21"/>
      <c r="FHV200" s="21"/>
      <c r="FHW200" s="21"/>
      <c r="FHX200" s="21"/>
      <c r="FHY200" s="21"/>
      <c r="FHZ200" s="21"/>
      <c r="FIA200" s="21"/>
      <c r="FIB200" s="21"/>
      <c r="FIC200" s="21"/>
      <c r="FID200" s="21"/>
      <c r="FIE200" s="21"/>
      <c r="FIF200" s="21"/>
      <c r="FIG200" s="21"/>
      <c r="FIH200" s="21"/>
      <c r="FII200" s="21"/>
      <c r="FIJ200" s="21"/>
      <c r="FIK200" s="21"/>
      <c r="FIL200" s="21"/>
      <c r="FIM200" s="21"/>
      <c r="FIN200" s="21"/>
      <c r="FIO200" s="21"/>
      <c r="FIP200" s="21"/>
      <c r="FIQ200" s="21"/>
      <c r="FIR200" s="21"/>
      <c r="FIS200" s="21"/>
      <c r="FIT200" s="21"/>
      <c r="FIU200" s="21"/>
      <c r="FIV200" s="21"/>
      <c r="FIW200" s="21"/>
      <c r="FIX200" s="21"/>
      <c r="FIY200" s="21"/>
      <c r="FIZ200" s="21"/>
      <c r="FJA200" s="21"/>
      <c r="FJB200" s="21"/>
      <c r="FJC200" s="21"/>
      <c r="FJD200" s="21"/>
      <c r="FJE200" s="21"/>
      <c r="FJF200" s="21"/>
      <c r="FJG200" s="21"/>
      <c r="FJH200" s="21"/>
      <c r="FJI200" s="21"/>
      <c r="FJJ200" s="21"/>
      <c r="FJK200" s="21"/>
      <c r="FJL200" s="21"/>
      <c r="FJM200" s="21"/>
      <c r="FJN200" s="21"/>
      <c r="FJO200" s="21"/>
      <c r="FJP200" s="21"/>
      <c r="FJQ200" s="21"/>
      <c r="FJR200" s="21"/>
      <c r="FJS200" s="21"/>
      <c r="FJT200" s="21"/>
      <c r="FJU200" s="21"/>
      <c r="FJV200" s="21"/>
      <c r="FJW200" s="21"/>
      <c r="FJX200" s="21"/>
      <c r="FJY200" s="21"/>
      <c r="FJZ200" s="21"/>
      <c r="FKA200" s="21"/>
      <c r="FKB200" s="21"/>
      <c r="FKC200" s="21"/>
      <c r="FKD200" s="21"/>
      <c r="FKE200" s="21"/>
      <c r="FKF200" s="21"/>
      <c r="FKG200" s="21"/>
      <c r="FKH200" s="21"/>
      <c r="FKI200" s="21"/>
      <c r="FKJ200" s="21"/>
      <c r="FKK200" s="21"/>
      <c r="FKL200" s="21"/>
      <c r="FKM200" s="21"/>
      <c r="FKN200" s="21"/>
      <c r="FKO200" s="21"/>
      <c r="FKP200" s="21"/>
      <c r="FKQ200" s="21"/>
      <c r="FKR200" s="21"/>
      <c r="FKS200" s="21"/>
      <c r="FKT200" s="21"/>
      <c r="FKU200" s="21"/>
      <c r="FKV200" s="21"/>
      <c r="FKW200" s="21"/>
      <c r="FKX200" s="21"/>
      <c r="FKY200" s="21"/>
      <c r="FKZ200" s="21"/>
      <c r="FLA200" s="21"/>
      <c r="FLB200" s="21"/>
      <c r="FLC200" s="21"/>
      <c r="FLD200" s="21"/>
      <c r="FLE200" s="21"/>
      <c r="FLF200" s="21"/>
      <c r="FLG200" s="21"/>
      <c r="FLH200" s="21"/>
      <c r="FLI200" s="21"/>
      <c r="FLJ200" s="21"/>
      <c r="FLK200" s="21"/>
      <c r="FLL200" s="21"/>
      <c r="FLM200" s="21"/>
      <c r="FLN200" s="21"/>
      <c r="FLO200" s="21"/>
      <c r="FLP200" s="21"/>
      <c r="FLQ200" s="21"/>
      <c r="FLR200" s="21"/>
      <c r="FLS200" s="21"/>
      <c r="FLT200" s="21"/>
      <c r="FLU200" s="21"/>
      <c r="FLV200" s="21"/>
      <c r="FLW200" s="21"/>
      <c r="FLX200" s="21"/>
      <c r="FLY200" s="21"/>
      <c r="FLZ200" s="21"/>
      <c r="FMA200" s="21"/>
      <c r="FMB200" s="21"/>
      <c r="FMC200" s="21"/>
      <c r="FMD200" s="21"/>
      <c r="FME200" s="21"/>
      <c r="FMF200" s="21"/>
      <c r="FMG200" s="21"/>
      <c r="FMH200" s="21"/>
      <c r="FMI200" s="21"/>
      <c r="FMJ200" s="21"/>
      <c r="FMK200" s="21"/>
      <c r="FML200" s="21"/>
      <c r="FMM200" s="21"/>
      <c r="FMN200" s="21"/>
      <c r="FMO200" s="21"/>
      <c r="FMP200" s="21"/>
      <c r="FMQ200" s="21"/>
      <c r="FMR200" s="21"/>
      <c r="FMS200" s="21"/>
      <c r="FMT200" s="21"/>
      <c r="FMU200" s="21"/>
      <c r="FMV200" s="21"/>
      <c r="FMW200" s="21"/>
      <c r="FMX200" s="21"/>
      <c r="FMY200" s="21"/>
      <c r="FMZ200" s="21"/>
      <c r="FNA200" s="21"/>
      <c r="FNB200" s="21"/>
      <c r="FNC200" s="21"/>
      <c r="FND200" s="21"/>
      <c r="FNE200" s="21"/>
      <c r="FNF200" s="21"/>
      <c r="FNG200" s="21"/>
      <c r="FNH200" s="21"/>
      <c r="FNI200" s="21"/>
      <c r="FNJ200" s="21"/>
      <c r="FNK200" s="21"/>
      <c r="FNL200" s="21"/>
      <c r="FNM200" s="21"/>
      <c r="FNN200" s="21"/>
      <c r="FNO200" s="21"/>
      <c r="FNP200" s="21"/>
      <c r="FNQ200" s="21"/>
      <c r="FNR200" s="21"/>
      <c r="FNS200" s="21"/>
      <c r="FNT200" s="21"/>
      <c r="FNU200" s="21"/>
      <c r="FNV200" s="21"/>
      <c r="FNW200" s="21"/>
      <c r="FNX200" s="21"/>
      <c r="FNY200" s="21"/>
      <c r="FNZ200" s="21"/>
      <c r="FOA200" s="21"/>
      <c r="FOB200" s="21"/>
      <c r="FOC200" s="21"/>
      <c r="FOD200" s="21"/>
      <c r="FOE200" s="21"/>
      <c r="FOF200" s="21"/>
      <c r="FOG200" s="21"/>
      <c r="FOH200" s="21"/>
      <c r="FOI200" s="21"/>
      <c r="FOJ200" s="21"/>
      <c r="FOK200" s="21"/>
      <c r="FOL200" s="21"/>
      <c r="FOM200" s="21"/>
      <c r="FON200" s="21"/>
      <c r="FOO200" s="21"/>
      <c r="FOP200" s="21"/>
      <c r="FOQ200" s="21"/>
      <c r="FOR200" s="21"/>
      <c r="FOS200" s="21"/>
      <c r="FOT200" s="21"/>
      <c r="FOU200" s="21"/>
      <c r="FOV200" s="21"/>
      <c r="FOW200" s="21"/>
      <c r="FOX200" s="21"/>
      <c r="FOY200" s="21"/>
      <c r="FOZ200" s="21"/>
      <c r="FPA200" s="21"/>
      <c r="FPB200" s="21"/>
      <c r="FPC200" s="21"/>
      <c r="FPD200" s="21"/>
      <c r="FPE200" s="21"/>
      <c r="FPF200" s="21"/>
      <c r="FPG200" s="21"/>
      <c r="FPH200" s="21"/>
      <c r="FPI200" s="21"/>
      <c r="FPJ200" s="21"/>
      <c r="FPK200" s="21"/>
      <c r="FPL200" s="21"/>
      <c r="FPM200" s="21"/>
      <c r="FPN200" s="21"/>
      <c r="FPO200" s="21"/>
      <c r="FPP200" s="21"/>
      <c r="FPQ200" s="21"/>
      <c r="FPR200" s="21"/>
      <c r="FPS200" s="21"/>
      <c r="FPT200" s="21"/>
      <c r="FPU200" s="21"/>
      <c r="FPV200" s="21"/>
      <c r="FPW200" s="21"/>
      <c r="FPX200" s="21"/>
      <c r="FPY200" s="21"/>
      <c r="FPZ200" s="21"/>
      <c r="FQA200" s="21"/>
      <c r="FQB200" s="21"/>
      <c r="FQC200" s="21"/>
      <c r="FQD200" s="21"/>
      <c r="FQE200" s="21"/>
      <c r="FQF200" s="21"/>
      <c r="FQG200" s="21"/>
      <c r="FQH200" s="21"/>
      <c r="FQI200" s="21"/>
      <c r="FQJ200" s="21"/>
      <c r="FQK200" s="21"/>
      <c r="FQL200" s="21"/>
      <c r="FQM200" s="21"/>
      <c r="FQN200" s="21"/>
      <c r="FQO200" s="21"/>
      <c r="FQP200" s="21"/>
      <c r="FQQ200" s="21"/>
      <c r="FQR200" s="21"/>
      <c r="FQS200" s="21"/>
      <c r="FQT200" s="21"/>
      <c r="FQU200" s="21"/>
      <c r="FQV200" s="21"/>
      <c r="FQW200" s="21"/>
      <c r="FQX200" s="21"/>
      <c r="FQY200" s="21"/>
      <c r="FQZ200" s="21"/>
      <c r="FRA200" s="21"/>
      <c r="FRB200" s="21"/>
      <c r="FRC200" s="21"/>
      <c r="FRD200" s="21"/>
      <c r="FRE200" s="21"/>
      <c r="FRF200" s="21"/>
      <c r="FRG200" s="21"/>
      <c r="FRH200" s="21"/>
      <c r="FRI200" s="21"/>
      <c r="FRJ200" s="21"/>
      <c r="FRK200" s="21"/>
      <c r="FRL200" s="21"/>
      <c r="FRM200" s="21"/>
      <c r="FRN200" s="21"/>
      <c r="FRO200" s="21"/>
      <c r="FRP200" s="21"/>
      <c r="FRQ200" s="21"/>
      <c r="FRR200" s="21"/>
      <c r="FRS200" s="21"/>
      <c r="FRT200" s="21"/>
      <c r="FRU200" s="21"/>
      <c r="FRV200" s="21"/>
      <c r="FRW200" s="21"/>
      <c r="FRX200" s="21"/>
      <c r="FRY200" s="21"/>
      <c r="FRZ200" s="21"/>
      <c r="FSA200" s="21"/>
      <c r="FSB200" s="21"/>
      <c r="FSC200" s="21"/>
      <c r="FSD200" s="21"/>
      <c r="FSE200" s="21"/>
      <c r="FSF200" s="21"/>
      <c r="FSG200" s="21"/>
      <c r="FSH200" s="21"/>
      <c r="FSI200" s="21"/>
      <c r="FSJ200" s="21"/>
      <c r="FSK200" s="21"/>
      <c r="FSL200" s="21"/>
      <c r="FSM200" s="21"/>
      <c r="FSN200" s="21"/>
      <c r="FSO200" s="21"/>
      <c r="FSP200" s="21"/>
      <c r="FSQ200" s="21"/>
      <c r="FSR200" s="21"/>
      <c r="FSS200" s="21"/>
      <c r="FST200" s="21"/>
      <c r="FSU200" s="21"/>
      <c r="FSV200" s="21"/>
      <c r="FSW200" s="21"/>
      <c r="FSX200" s="21"/>
      <c r="FSY200" s="21"/>
      <c r="FSZ200" s="21"/>
      <c r="FTA200" s="21"/>
      <c r="FTB200" s="21"/>
      <c r="FTC200" s="21"/>
      <c r="FTD200" s="21"/>
      <c r="FTE200" s="21"/>
      <c r="FTF200" s="21"/>
      <c r="FTG200" s="21"/>
      <c r="FTH200" s="21"/>
      <c r="FTI200" s="21"/>
      <c r="FTJ200" s="21"/>
      <c r="FTK200" s="21"/>
      <c r="FTL200" s="21"/>
      <c r="FTM200" s="21"/>
      <c r="FTN200" s="21"/>
      <c r="FTO200" s="21"/>
      <c r="FTP200" s="21"/>
      <c r="FTQ200" s="21"/>
      <c r="FTR200" s="21"/>
      <c r="FTS200" s="21"/>
      <c r="FTT200" s="21"/>
      <c r="FTU200" s="21"/>
      <c r="FTV200" s="21"/>
      <c r="FTW200" s="21"/>
      <c r="FTX200" s="21"/>
      <c r="FTY200" s="21"/>
      <c r="FTZ200" s="21"/>
      <c r="FUA200" s="21"/>
      <c r="FUB200" s="21"/>
      <c r="FUC200" s="21"/>
      <c r="FUD200" s="21"/>
      <c r="FUE200" s="21"/>
      <c r="FUF200" s="21"/>
      <c r="FUG200" s="21"/>
      <c r="FUH200" s="21"/>
      <c r="FUI200" s="21"/>
      <c r="FUJ200" s="21"/>
      <c r="FUK200" s="21"/>
      <c r="FUL200" s="21"/>
      <c r="FUM200" s="21"/>
      <c r="FUN200" s="21"/>
      <c r="FUO200" s="21"/>
      <c r="FUP200" s="21"/>
      <c r="FUQ200" s="21"/>
      <c r="FUR200" s="21"/>
      <c r="FUS200" s="21"/>
      <c r="FUT200" s="21"/>
      <c r="FUU200" s="21"/>
      <c r="FUV200" s="21"/>
      <c r="FUW200" s="21"/>
      <c r="FUX200" s="21"/>
      <c r="FUY200" s="21"/>
      <c r="FUZ200" s="21"/>
      <c r="FVA200" s="21"/>
      <c r="FVB200" s="21"/>
      <c r="FVC200" s="21"/>
      <c r="FVD200" s="21"/>
      <c r="FVE200" s="21"/>
      <c r="FVF200" s="21"/>
      <c r="FVG200" s="21"/>
      <c r="FVH200" s="21"/>
      <c r="FVI200" s="21"/>
      <c r="FVJ200" s="21"/>
      <c r="FVK200" s="21"/>
      <c r="FVL200" s="21"/>
      <c r="FVM200" s="21"/>
      <c r="FVN200" s="21"/>
      <c r="FVO200" s="21"/>
      <c r="FVP200" s="21"/>
      <c r="FVQ200" s="21"/>
      <c r="FVR200" s="21"/>
      <c r="FVS200" s="21"/>
      <c r="FVT200" s="21"/>
      <c r="FVU200" s="21"/>
      <c r="FVV200" s="21"/>
      <c r="FVW200" s="21"/>
      <c r="FVX200" s="21"/>
      <c r="FVY200" s="21"/>
      <c r="FVZ200" s="21"/>
      <c r="FWA200" s="21"/>
      <c r="FWB200" s="21"/>
      <c r="FWC200" s="21"/>
      <c r="FWD200" s="21"/>
      <c r="FWE200" s="21"/>
      <c r="FWF200" s="21"/>
      <c r="FWG200" s="21"/>
      <c r="FWH200" s="21"/>
      <c r="FWI200" s="21"/>
      <c r="FWJ200" s="21"/>
      <c r="FWK200" s="21"/>
      <c r="FWL200" s="21"/>
      <c r="FWM200" s="21"/>
      <c r="FWN200" s="21"/>
      <c r="FWO200" s="21"/>
      <c r="FWP200" s="21"/>
      <c r="FWQ200" s="21"/>
      <c r="FWR200" s="21"/>
      <c r="FWS200" s="21"/>
      <c r="FWT200" s="21"/>
      <c r="FWU200" s="21"/>
      <c r="FWV200" s="21"/>
      <c r="FWW200" s="21"/>
      <c r="FWX200" s="21"/>
      <c r="FWY200" s="21"/>
      <c r="FWZ200" s="21"/>
      <c r="FXA200" s="21"/>
      <c r="FXB200" s="21"/>
      <c r="FXC200" s="21"/>
      <c r="FXD200" s="21"/>
      <c r="FXE200" s="21"/>
      <c r="FXF200" s="21"/>
      <c r="FXG200" s="21"/>
      <c r="FXH200" s="21"/>
      <c r="FXI200" s="21"/>
      <c r="FXJ200" s="21"/>
      <c r="FXK200" s="21"/>
      <c r="FXL200" s="21"/>
      <c r="FXM200" s="21"/>
      <c r="FXN200" s="21"/>
      <c r="FXO200" s="21"/>
      <c r="FXP200" s="21"/>
      <c r="FXQ200" s="21"/>
      <c r="FXR200" s="21"/>
      <c r="FXS200" s="21"/>
      <c r="FXT200" s="21"/>
      <c r="FXU200" s="21"/>
      <c r="FXV200" s="21"/>
      <c r="FXW200" s="21"/>
      <c r="FXX200" s="21"/>
      <c r="FXY200" s="21"/>
      <c r="FXZ200" s="21"/>
      <c r="FYA200" s="21"/>
      <c r="FYB200" s="21"/>
      <c r="FYC200" s="21"/>
      <c r="FYD200" s="21"/>
      <c r="FYE200" s="21"/>
      <c r="FYF200" s="21"/>
      <c r="FYG200" s="21"/>
      <c r="FYH200" s="21"/>
      <c r="FYI200" s="21"/>
      <c r="FYJ200" s="21"/>
      <c r="FYK200" s="21"/>
      <c r="FYL200" s="21"/>
      <c r="FYM200" s="21"/>
      <c r="FYN200" s="21"/>
      <c r="FYO200" s="21"/>
      <c r="FYP200" s="21"/>
      <c r="FYQ200" s="21"/>
      <c r="FYR200" s="21"/>
      <c r="FYS200" s="21"/>
      <c r="FYT200" s="21"/>
      <c r="FYU200" s="21"/>
      <c r="FYV200" s="21"/>
      <c r="FYW200" s="21"/>
      <c r="FYX200" s="21"/>
      <c r="FYY200" s="21"/>
      <c r="FYZ200" s="21"/>
      <c r="FZA200" s="21"/>
      <c r="FZB200" s="21"/>
      <c r="FZC200" s="21"/>
      <c r="FZD200" s="21"/>
      <c r="FZE200" s="21"/>
      <c r="FZF200" s="21"/>
      <c r="FZG200" s="21"/>
      <c r="FZH200" s="21"/>
      <c r="FZI200" s="21"/>
      <c r="FZJ200" s="21"/>
      <c r="FZK200" s="21"/>
      <c r="FZL200" s="21"/>
      <c r="FZM200" s="21"/>
      <c r="FZN200" s="21"/>
      <c r="FZO200" s="21"/>
      <c r="FZP200" s="21"/>
      <c r="FZQ200" s="21"/>
      <c r="FZR200" s="21"/>
      <c r="FZS200" s="21"/>
      <c r="FZT200" s="21"/>
      <c r="FZU200" s="21"/>
      <c r="FZV200" s="21"/>
      <c r="FZW200" s="21"/>
      <c r="FZX200" s="21"/>
      <c r="FZY200" s="21"/>
      <c r="FZZ200" s="21"/>
      <c r="GAA200" s="21"/>
      <c r="GAB200" s="21"/>
      <c r="GAC200" s="21"/>
      <c r="GAD200" s="21"/>
      <c r="GAE200" s="21"/>
      <c r="GAF200" s="21"/>
      <c r="GAG200" s="21"/>
      <c r="GAH200" s="21"/>
      <c r="GAI200" s="21"/>
      <c r="GAJ200" s="21"/>
      <c r="GAK200" s="21"/>
      <c r="GAL200" s="21"/>
      <c r="GAM200" s="21"/>
      <c r="GAN200" s="21"/>
      <c r="GAO200" s="21"/>
      <c r="GAP200" s="21"/>
      <c r="GAQ200" s="21"/>
      <c r="GAR200" s="21"/>
      <c r="GAS200" s="21"/>
      <c r="GAT200" s="21"/>
      <c r="GAU200" s="21"/>
      <c r="GAV200" s="21"/>
      <c r="GAW200" s="21"/>
      <c r="GAX200" s="21"/>
      <c r="GAY200" s="21"/>
      <c r="GAZ200" s="21"/>
      <c r="GBA200" s="21"/>
      <c r="GBB200" s="21"/>
      <c r="GBC200" s="21"/>
      <c r="GBD200" s="21"/>
      <c r="GBE200" s="21"/>
      <c r="GBF200" s="21"/>
      <c r="GBG200" s="21"/>
      <c r="GBH200" s="21"/>
      <c r="GBI200" s="21"/>
      <c r="GBJ200" s="21"/>
      <c r="GBK200" s="21"/>
      <c r="GBL200" s="21"/>
      <c r="GBM200" s="21"/>
      <c r="GBN200" s="21"/>
      <c r="GBO200" s="21"/>
      <c r="GBP200" s="21"/>
      <c r="GBQ200" s="21"/>
      <c r="GBR200" s="21"/>
      <c r="GBS200" s="21"/>
      <c r="GBT200" s="21"/>
      <c r="GBU200" s="21"/>
      <c r="GBV200" s="21"/>
      <c r="GBW200" s="21"/>
      <c r="GBX200" s="21"/>
      <c r="GBY200" s="21"/>
      <c r="GBZ200" s="21"/>
      <c r="GCA200" s="21"/>
      <c r="GCB200" s="21"/>
      <c r="GCC200" s="21"/>
      <c r="GCD200" s="21"/>
      <c r="GCE200" s="21"/>
      <c r="GCF200" s="21"/>
      <c r="GCG200" s="21"/>
      <c r="GCH200" s="21"/>
      <c r="GCI200" s="21"/>
      <c r="GCJ200" s="21"/>
      <c r="GCK200" s="21"/>
      <c r="GCL200" s="21"/>
      <c r="GCM200" s="21"/>
      <c r="GCN200" s="21"/>
      <c r="GCO200" s="21"/>
      <c r="GCP200" s="21"/>
      <c r="GCQ200" s="21"/>
      <c r="GCR200" s="21"/>
      <c r="GCS200" s="21"/>
      <c r="GCT200" s="21"/>
      <c r="GCU200" s="21"/>
      <c r="GCV200" s="21"/>
      <c r="GCW200" s="21"/>
      <c r="GCX200" s="21"/>
      <c r="GCY200" s="21"/>
      <c r="GCZ200" s="21"/>
      <c r="GDA200" s="21"/>
      <c r="GDB200" s="21"/>
      <c r="GDC200" s="21"/>
      <c r="GDD200" s="21"/>
      <c r="GDE200" s="21"/>
      <c r="GDF200" s="21"/>
      <c r="GDG200" s="21"/>
      <c r="GDH200" s="21"/>
      <c r="GDI200" s="21"/>
      <c r="GDJ200" s="21"/>
      <c r="GDK200" s="21"/>
      <c r="GDL200" s="21"/>
      <c r="GDM200" s="21"/>
      <c r="GDN200" s="21"/>
      <c r="GDO200" s="21"/>
      <c r="GDP200" s="21"/>
      <c r="GDQ200" s="21"/>
      <c r="GDR200" s="21"/>
      <c r="GDS200" s="21"/>
      <c r="GDT200" s="21"/>
      <c r="GDU200" s="21"/>
      <c r="GDV200" s="21"/>
      <c r="GDW200" s="21"/>
      <c r="GDX200" s="21"/>
      <c r="GDY200" s="21"/>
      <c r="GDZ200" s="21"/>
      <c r="GEA200" s="21"/>
      <c r="GEB200" s="21"/>
      <c r="GEC200" s="21"/>
      <c r="GED200" s="21"/>
      <c r="GEE200" s="21"/>
      <c r="GEF200" s="21"/>
      <c r="GEG200" s="21"/>
      <c r="GEH200" s="21"/>
      <c r="GEI200" s="21"/>
      <c r="GEJ200" s="21"/>
      <c r="GEK200" s="21"/>
      <c r="GEL200" s="21"/>
      <c r="GEM200" s="21"/>
      <c r="GEN200" s="21"/>
      <c r="GEO200" s="21"/>
      <c r="GEP200" s="21"/>
      <c r="GEQ200" s="21"/>
      <c r="GER200" s="21"/>
      <c r="GES200" s="21"/>
      <c r="GET200" s="21"/>
      <c r="GEU200" s="21"/>
      <c r="GEV200" s="21"/>
      <c r="GEW200" s="21"/>
      <c r="GEX200" s="21"/>
      <c r="GEY200" s="21"/>
      <c r="GEZ200" s="21"/>
      <c r="GFA200" s="21"/>
      <c r="GFB200" s="21"/>
      <c r="GFC200" s="21"/>
      <c r="GFD200" s="21"/>
      <c r="GFE200" s="21"/>
      <c r="GFF200" s="21"/>
      <c r="GFG200" s="21"/>
      <c r="GFH200" s="21"/>
      <c r="GFI200" s="21"/>
      <c r="GFJ200" s="21"/>
      <c r="GFK200" s="21"/>
      <c r="GFL200" s="21"/>
      <c r="GFM200" s="21"/>
      <c r="GFN200" s="21"/>
      <c r="GFO200" s="21"/>
      <c r="GFP200" s="21"/>
      <c r="GFQ200" s="21"/>
      <c r="GFR200" s="21"/>
      <c r="GFS200" s="21"/>
      <c r="GFT200" s="21"/>
      <c r="GFU200" s="21"/>
      <c r="GFV200" s="21"/>
      <c r="GFW200" s="21"/>
      <c r="GFX200" s="21"/>
      <c r="GFY200" s="21"/>
      <c r="GFZ200" s="21"/>
      <c r="GGA200" s="21"/>
      <c r="GGB200" s="21"/>
      <c r="GGC200" s="21"/>
      <c r="GGD200" s="21"/>
      <c r="GGE200" s="21"/>
      <c r="GGF200" s="21"/>
      <c r="GGG200" s="21"/>
      <c r="GGH200" s="21"/>
      <c r="GGI200" s="21"/>
      <c r="GGJ200" s="21"/>
      <c r="GGK200" s="21"/>
      <c r="GGL200" s="21"/>
      <c r="GGM200" s="21"/>
      <c r="GGN200" s="21"/>
      <c r="GGO200" s="21"/>
      <c r="GGP200" s="21"/>
      <c r="GGQ200" s="21"/>
      <c r="GGR200" s="21"/>
      <c r="GGS200" s="21"/>
      <c r="GGT200" s="21"/>
      <c r="GGU200" s="21"/>
      <c r="GGV200" s="21"/>
      <c r="GGW200" s="21"/>
      <c r="GGX200" s="21"/>
      <c r="GGY200" s="21"/>
      <c r="GGZ200" s="21"/>
      <c r="GHA200" s="21"/>
      <c r="GHB200" s="21"/>
      <c r="GHC200" s="21"/>
      <c r="GHD200" s="21"/>
      <c r="GHE200" s="21"/>
      <c r="GHF200" s="21"/>
      <c r="GHG200" s="21"/>
      <c r="GHH200" s="21"/>
      <c r="GHI200" s="21"/>
      <c r="GHJ200" s="21"/>
      <c r="GHK200" s="21"/>
      <c r="GHL200" s="21"/>
      <c r="GHM200" s="21"/>
      <c r="GHN200" s="21"/>
      <c r="GHO200" s="21"/>
      <c r="GHP200" s="21"/>
      <c r="GHQ200" s="21"/>
      <c r="GHR200" s="21"/>
      <c r="GHS200" s="21"/>
      <c r="GHT200" s="21"/>
      <c r="GHU200" s="21"/>
      <c r="GHV200" s="21"/>
      <c r="GHW200" s="21"/>
      <c r="GHX200" s="21"/>
      <c r="GHY200" s="21"/>
      <c r="GHZ200" s="21"/>
      <c r="GIA200" s="21"/>
      <c r="GIB200" s="21"/>
      <c r="GIC200" s="21"/>
      <c r="GID200" s="21"/>
      <c r="GIE200" s="21"/>
      <c r="GIF200" s="21"/>
      <c r="GIG200" s="21"/>
      <c r="GIH200" s="21"/>
      <c r="GII200" s="21"/>
      <c r="GIJ200" s="21"/>
      <c r="GIK200" s="21"/>
      <c r="GIL200" s="21"/>
      <c r="GIM200" s="21"/>
      <c r="GIN200" s="21"/>
      <c r="GIO200" s="21"/>
      <c r="GIP200" s="21"/>
      <c r="GIQ200" s="21"/>
      <c r="GIR200" s="21"/>
      <c r="GIS200" s="21"/>
      <c r="GIT200" s="21"/>
      <c r="GIU200" s="21"/>
      <c r="GIV200" s="21"/>
      <c r="GIW200" s="21"/>
      <c r="GIX200" s="21"/>
      <c r="GIY200" s="21"/>
      <c r="GIZ200" s="21"/>
      <c r="GJA200" s="21"/>
      <c r="GJB200" s="21"/>
      <c r="GJC200" s="21"/>
      <c r="GJD200" s="21"/>
      <c r="GJE200" s="21"/>
      <c r="GJF200" s="21"/>
      <c r="GJG200" s="21"/>
      <c r="GJH200" s="21"/>
      <c r="GJI200" s="21"/>
      <c r="GJJ200" s="21"/>
      <c r="GJK200" s="21"/>
      <c r="GJL200" s="21"/>
      <c r="GJM200" s="21"/>
      <c r="GJN200" s="21"/>
      <c r="GJO200" s="21"/>
      <c r="GJP200" s="21"/>
      <c r="GJQ200" s="21"/>
      <c r="GJR200" s="21"/>
      <c r="GJS200" s="21"/>
      <c r="GJT200" s="21"/>
      <c r="GJU200" s="21"/>
      <c r="GJV200" s="21"/>
      <c r="GJW200" s="21"/>
      <c r="GJX200" s="21"/>
      <c r="GJY200" s="21"/>
      <c r="GJZ200" s="21"/>
      <c r="GKA200" s="21"/>
      <c r="GKB200" s="21"/>
      <c r="GKC200" s="21"/>
      <c r="GKD200" s="21"/>
      <c r="GKE200" s="21"/>
      <c r="GKF200" s="21"/>
      <c r="GKG200" s="21"/>
      <c r="GKH200" s="21"/>
      <c r="GKI200" s="21"/>
      <c r="GKJ200" s="21"/>
      <c r="GKK200" s="21"/>
      <c r="GKL200" s="21"/>
      <c r="GKM200" s="21"/>
      <c r="GKN200" s="21"/>
      <c r="GKO200" s="21"/>
      <c r="GKP200" s="21"/>
      <c r="GKQ200" s="21"/>
      <c r="GKR200" s="21"/>
      <c r="GKS200" s="21"/>
      <c r="GKT200" s="21"/>
      <c r="GKU200" s="21"/>
      <c r="GKV200" s="21"/>
      <c r="GKW200" s="21"/>
      <c r="GKX200" s="21"/>
      <c r="GKY200" s="21"/>
      <c r="GKZ200" s="21"/>
      <c r="GLA200" s="21"/>
      <c r="GLB200" s="21"/>
      <c r="GLC200" s="21"/>
      <c r="GLD200" s="21"/>
      <c r="GLE200" s="21"/>
      <c r="GLF200" s="21"/>
      <c r="GLG200" s="21"/>
      <c r="GLH200" s="21"/>
      <c r="GLI200" s="21"/>
      <c r="GLJ200" s="21"/>
      <c r="GLK200" s="21"/>
      <c r="GLL200" s="21"/>
      <c r="GLM200" s="21"/>
      <c r="GLN200" s="21"/>
      <c r="GLO200" s="21"/>
      <c r="GLP200" s="21"/>
      <c r="GLQ200" s="21"/>
      <c r="GLR200" s="21"/>
      <c r="GLS200" s="21"/>
      <c r="GLT200" s="21"/>
      <c r="GLU200" s="21"/>
      <c r="GLV200" s="21"/>
      <c r="GLW200" s="21"/>
      <c r="GLX200" s="21"/>
      <c r="GLY200" s="21"/>
      <c r="GLZ200" s="21"/>
      <c r="GMA200" s="21"/>
      <c r="GMB200" s="21"/>
      <c r="GMC200" s="21"/>
      <c r="GMD200" s="21"/>
      <c r="GME200" s="21"/>
      <c r="GMF200" s="21"/>
      <c r="GMG200" s="21"/>
      <c r="GMH200" s="21"/>
      <c r="GMI200" s="21"/>
      <c r="GMJ200" s="21"/>
      <c r="GMK200" s="21"/>
      <c r="GML200" s="21"/>
      <c r="GMM200" s="21"/>
      <c r="GMN200" s="21"/>
      <c r="GMO200" s="21"/>
      <c r="GMP200" s="21"/>
      <c r="GMQ200" s="21"/>
      <c r="GMR200" s="21"/>
      <c r="GMS200" s="21"/>
      <c r="GMT200" s="21"/>
      <c r="GMU200" s="21"/>
      <c r="GMV200" s="21"/>
      <c r="GMW200" s="21"/>
      <c r="GMX200" s="21"/>
      <c r="GMY200" s="21"/>
      <c r="GMZ200" s="21"/>
      <c r="GNA200" s="21"/>
      <c r="GNB200" s="21"/>
      <c r="GNC200" s="21"/>
      <c r="GND200" s="21"/>
      <c r="GNE200" s="21"/>
      <c r="GNF200" s="21"/>
      <c r="GNG200" s="21"/>
      <c r="GNH200" s="21"/>
      <c r="GNI200" s="21"/>
      <c r="GNJ200" s="21"/>
      <c r="GNK200" s="21"/>
      <c r="GNL200" s="21"/>
      <c r="GNM200" s="21"/>
      <c r="GNN200" s="21"/>
      <c r="GNO200" s="21"/>
      <c r="GNP200" s="21"/>
      <c r="GNQ200" s="21"/>
      <c r="GNR200" s="21"/>
      <c r="GNS200" s="21"/>
      <c r="GNT200" s="21"/>
      <c r="GNU200" s="21"/>
      <c r="GNV200" s="21"/>
      <c r="GNW200" s="21"/>
      <c r="GNX200" s="21"/>
      <c r="GNY200" s="21"/>
      <c r="GNZ200" s="21"/>
      <c r="GOA200" s="21"/>
      <c r="GOB200" s="21"/>
      <c r="GOC200" s="21"/>
      <c r="GOD200" s="21"/>
      <c r="GOE200" s="21"/>
      <c r="GOF200" s="21"/>
      <c r="GOG200" s="21"/>
      <c r="GOH200" s="21"/>
      <c r="GOI200" s="21"/>
      <c r="GOJ200" s="21"/>
      <c r="GOK200" s="21"/>
      <c r="GOL200" s="21"/>
      <c r="GOM200" s="21"/>
      <c r="GON200" s="21"/>
      <c r="GOO200" s="21"/>
      <c r="GOP200" s="21"/>
      <c r="GOQ200" s="21"/>
      <c r="GOR200" s="21"/>
      <c r="GOS200" s="21"/>
      <c r="GOT200" s="21"/>
      <c r="GOU200" s="21"/>
      <c r="GOV200" s="21"/>
      <c r="GOW200" s="21"/>
      <c r="GOX200" s="21"/>
      <c r="GOY200" s="21"/>
      <c r="GOZ200" s="21"/>
      <c r="GPA200" s="21"/>
      <c r="GPB200" s="21"/>
      <c r="GPC200" s="21"/>
      <c r="GPD200" s="21"/>
      <c r="GPE200" s="21"/>
      <c r="GPF200" s="21"/>
      <c r="GPG200" s="21"/>
      <c r="GPH200" s="21"/>
      <c r="GPI200" s="21"/>
      <c r="GPJ200" s="21"/>
      <c r="GPK200" s="21"/>
      <c r="GPL200" s="21"/>
      <c r="GPM200" s="21"/>
      <c r="GPN200" s="21"/>
      <c r="GPO200" s="21"/>
      <c r="GPP200" s="21"/>
      <c r="GPQ200" s="21"/>
      <c r="GPR200" s="21"/>
      <c r="GPS200" s="21"/>
      <c r="GPT200" s="21"/>
      <c r="GPU200" s="21"/>
      <c r="GPV200" s="21"/>
      <c r="GPW200" s="21"/>
      <c r="GPX200" s="21"/>
      <c r="GPY200" s="21"/>
      <c r="GPZ200" s="21"/>
      <c r="GQA200" s="21"/>
      <c r="GQB200" s="21"/>
      <c r="GQC200" s="21"/>
      <c r="GQD200" s="21"/>
      <c r="GQE200" s="21"/>
      <c r="GQF200" s="21"/>
      <c r="GQG200" s="21"/>
      <c r="GQH200" s="21"/>
      <c r="GQI200" s="21"/>
      <c r="GQJ200" s="21"/>
      <c r="GQK200" s="21"/>
      <c r="GQL200" s="21"/>
      <c r="GQM200" s="21"/>
      <c r="GQN200" s="21"/>
      <c r="GQO200" s="21"/>
      <c r="GQP200" s="21"/>
      <c r="GQQ200" s="21"/>
      <c r="GQR200" s="21"/>
      <c r="GQS200" s="21"/>
      <c r="GQT200" s="21"/>
      <c r="GQU200" s="21"/>
      <c r="GQV200" s="21"/>
      <c r="GQW200" s="21"/>
      <c r="GQX200" s="21"/>
      <c r="GQY200" s="21"/>
      <c r="GQZ200" s="21"/>
      <c r="GRA200" s="21"/>
      <c r="GRB200" s="21"/>
      <c r="GRC200" s="21"/>
      <c r="GRD200" s="21"/>
      <c r="GRE200" s="21"/>
      <c r="GRF200" s="21"/>
      <c r="GRG200" s="21"/>
      <c r="GRH200" s="21"/>
      <c r="GRI200" s="21"/>
      <c r="GRJ200" s="21"/>
      <c r="GRK200" s="21"/>
      <c r="GRL200" s="21"/>
      <c r="GRM200" s="21"/>
      <c r="GRN200" s="21"/>
      <c r="GRO200" s="21"/>
      <c r="GRP200" s="21"/>
      <c r="GRQ200" s="21"/>
      <c r="GRR200" s="21"/>
      <c r="GRS200" s="21"/>
      <c r="GRT200" s="21"/>
      <c r="GRU200" s="21"/>
      <c r="GRV200" s="21"/>
      <c r="GRW200" s="21"/>
      <c r="GRX200" s="21"/>
      <c r="GRY200" s="21"/>
      <c r="GRZ200" s="21"/>
      <c r="GSA200" s="21"/>
      <c r="GSB200" s="21"/>
      <c r="GSC200" s="21"/>
      <c r="GSD200" s="21"/>
      <c r="GSE200" s="21"/>
      <c r="GSF200" s="21"/>
      <c r="GSG200" s="21"/>
      <c r="GSH200" s="21"/>
      <c r="GSI200" s="21"/>
      <c r="GSJ200" s="21"/>
      <c r="GSK200" s="21"/>
      <c r="GSL200" s="21"/>
      <c r="GSM200" s="21"/>
      <c r="GSN200" s="21"/>
      <c r="GSO200" s="21"/>
      <c r="GSP200" s="21"/>
      <c r="GSQ200" s="21"/>
      <c r="GSR200" s="21"/>
      <c r="GSS200" s="21"/>
      <c r="GST200" s="21"/>
      <c r="GSU200" s="21"/>
      <c r="GSV200" s="21"/>
      <c r="GSW200" s="21"/>
      <c r="GSX200" s="21"/>
      <c r="GSY200" s="21"/>
      <c r="GSZ200" s="21"/>
      <c r="GTA200" s="21"/>
      <c r="GTB200" s="21"/>
      <c r="GTC200" s="21"/>
      <c r="GTD200" s="21"/>
      <c r="GTE200" s="21"/>
      <c r="GTF200" s="21"/>
      <c r="GTG200" s="21"/>
      <c r="GTH200" s="21"/>
      <c r="GTI200" s="21"/>
      <c r="GTJ200" s="21"/>
      <c r="GTK200" s="21"/>
      <c r="GTL200" s="21"/>
      <c r="GTM200" s="21"/>
      <c r="GTN200" s="21"/>
      <c r="GTO200" s="21"/>
      <c r="GTP200" s="21"/>
      <c r="GTQ200" s="21"/>
      <c r="GTR200" s="21"/>
      <c r="GTS200" s="21"/>
      <c r="GTT200" s="21"/>
      <c r="GTU200" s="21"/>
      <c r="GTV200" s="21"/>
      <c r="GTW200" s="21"/>
      <c r="GTX200" s="21"/>
      <c r="GTY200" s="21"/>
      <c r="GTZ200" s="21"/>
      <c r="GUA200" s="21"/>
      <c r="GUB200" s="21"/>
      <c r="GUC200" s="21"/>
      <c r="GUD200" s="21"/>
      <c r="GUE200" s="21"/>
      <c r="GUF200" s="21"/>
      <c r="GUG200" s="21"/>
      <c r="GUH200" s="21"/>
      <c r="GUI200" s="21"/>
      <c r="GUJ200" s="21"/>
      <c r="GUK200" s="21"/>
      <c r="GUL200" s="21"/>
      <c r="GUM200" s="21"/>
      <c r="GUN200" s="21"/>
      <c r="GUO200" s="21"/>
      <c r="GUP200" s="21"/>
      <c r="GUQ200" s="21"/>
      <c r="GUR200" s="21"/>
      <c r="GUS200" s="21"/>
      <c r="GUT200" s="21"/>
      <c r="GUU200" s="21"/>
      <c r="GUV200" s="21"/>
      <c r="GUW200" s="21"/>
      <c r="GUX200" s="21"/>
      <c r="GUY200" s="21"/>
      <c r="GUZ200" s="21"/>
      <c r="GVA200" s="21"/>
      <c r="GVB200" s="21"/>
      <c r="GVC200" s="21"/>
      <c r="GVD200" s="21"/>
      <c r="GVE200" s="21"/>
      <c r="GVF200" s="21"/>
      <c r="GVG200" s="21"/>
      <c r="GVH200" s="21"/>
      <c r="GVI200" s="21"/>
      <c r="GVJ200" s="21"/>
      <c r="GVK200" s="21"/>
      <c r="GVL200" s="21"/>
      <c r="GVM200" s="21"/>
      <c r="GVN200" s="21"/>
      <c r="GVO200" s="21"/>
      <c r="GVP200" s="21"/>
      <c r="GVQ200" s="21"/>
      <c r="GVR200" s="21"/>
      <c r="GVS200" s="21"/>
      <c r="GVT200" s="21"/>
      <c r="GVU200" s="21"/>
      <c r="GVV200" s="21"/>
      <c r="GVW200" s="21"/>
      <c r="GVX200" s="21"/>
      <c r="GVY200" s="21"/>
      <c r="GVZ200" s="21"/>
      <c r="GWA200" s="21"/>
      <c r="GWB200" s="21"/>
      <c r="GWC200" s="21"/>
      <c r="GWD200" s="21"/>
      <c r="GWE200" s="21"/>
      <c r="GWF200" s="21"/>
      <c r="GWG200" s="21"/>
      <c r="GWH200" s="21"/>
      <c r="GWI200" s="21"/>
      <c r="GWJ200" s="21"/>
      <c r="GWK200" s="21"/>
      <c r="GWL200" s="21"/>
      <c r="GWM200" s="21"/>
      <c r="GWN200" s="21"/>
      <c r="GWO200" s="21"/>
      <c r="GWP200" s="21"/>
      <c r="GWQ200" s="21"/>
      <c r="GWR200" s="21"/>
      <c r="GWS200" s="21"/>
      <c r="GWT200" s="21"/>
      <c r="GWU200" s="21"/>
      <c r="GWV200" s="21"/>
      <c r="GWW200" s="21"/>
      <c r="GWX200" s="21"/>
      <c r="GWY200" s="21"/>
      <c r="GWZ200" s="21"/>
      <c r="GXA200" s="21"/>
      <c r="GXB200" s="21"/>
      <c r="GXC200" s="21"/>
      <c r="GXD200" s="21"/>
      <c r="GXE200" s="21"/>
      <c r="GXF200" s="21"/>
      <c r="GXG200" s="21"/>
      <c r="GXH200" s="21"/>
      <c r="GXI200" s="21"/>
      <c r="GXJ200" s="21"/>
      <c r="GXK200" s="21"/>
      <c r="GXL200" s="21"/>
      <c r="GXM200" s="21"/>
      <c r="GXN200" s="21"/>
      <c r="GXO200" s="21"/>
      <c r="GXP200" s="21"/>
      <c r="GXQ200" s="21"/>
      <c r="GXR200" s="21"/>
      <c r="GXS200" s="21"/>
      <c r="GXT200" s="21"/>
      <c r="GXU200" s="21"/>
      <c r="GXV200" s="21"/>
      <c r="GXW200" s="21"/>
      <c r="GXX200" s="21"/>
      <c r="GXY200" s="21"/>
      <c r="GXZ200" s="21"/>
      <c r="GYA200" s="21"/>
      <c r="GYB200" s="21"/>
      <c r="GYC200" s="21"/>
      <c r="GYD200" s="21"/>
      <c r="GYE200" s="21"/>
      <c r="GYF200" s="21"/>
      <c r="GYG200" s="21"/>
      <c r="GYH200" s="21"/>
      <c r="GYI200" s="21"/>
      <c r="GYJ200" s="21"/>
      <c r="GYK200" s="21"/>
      <c r="GYL200" s="21"/>
      <c r="GYM200" s="21"/>
      <c r="GYN200" s="21"/>
      <c r="GYO200" s="21"/>
      <c r="GYP200" s="21"/>
      <c r="GYQ200" s="21"/>
      <c r="GYR200" s="21"/>
      <c r="GYS200" s="21"/>
      <c r="GYT200" s="21"/>
      <c r="GYU200" s="21"/>
      <c r="GYV200" s="21"/>
      <c r="GYW200" s="21"/>
      <c r="GYX200" s="21"/>
      <c r="GYY200" s="21"/>
      <c r="GYZ200" s="21"/>
      <c r="GZA200" s="21"/>
      <c r="GZB200" s="21"/>
      <c r="GZC200" s="21"/>
      <c r="GZD200" s="21"/>
      <c r="GZE200" s="21"/>
      <c r="GZF200" s="21"/>
      <c r="GZG200" s="21"/>
      <c r="GZH200" s="21"/>
      <c r="GZI200" s="21"/>
      <c r="GZJ200" s="21"/>
      <c r="GZK200" s="21"/>
      <c r="GZL200" s="21"/>
      <c r="GZM200" s="21"/>
      <c r="GZN200" s="21"/>
      <c r="GZO200" s="21"/>
      <c r="GZP200" s="21"/>
      <c r="GZQ200" s="21"/>
      <c r="GZR200" s="21"/>
      <c r="GZS200" s="21"/>
      <c r="GZT200" s="21"/>
      <c r="GZU200" s="21"/>
      <c r="GZV200" s="21"/>
      <c r="GZW200" s="21"/>
      <c r="GZX200" s="21"/>
      <c r="GZY200" s="21"/>
      <c r="GZZ200" s="21"/>
      <c r="HAA200" s="21"/>
      <c r="HAB200" s="21"/>
      <c r="HAC200" s="21"/>
      <c r="HAD200" s="21"/>
      <c r="HAE200" s="21"/>
      <c r="HAF200" s="21"/>
      <c r="HAG200" s="21"/>
      <c r="HAH200" s="21"/>
      <c r="HAI200" s="21"/>
      <c r="HAJ200" s="21"/>
      <c r="HAK200" s="21"/>
      <c r="HAL200" s="21"/>
      <c r="HAM200" s="21"/>
      <c r="HAN200" s="21"/>
      <c r="HAO200" s="21"/>
      <c r="HAP200" s="21"/>
      <c r="HAQ200" s="21"/>
      <c r="HAR200" s="21"/>
      <c r="HAS200" s="21"/>
      <c r="HAT200" s="21"/>
      <c r="HAU200" s="21"/>
      <c r="HAV200" s="21"/>
      <c r="HAW200" s="21"/>
      <c r="HAX200" s="21"/>
      <c r="HAY200" s="21"/>
      <c r="HAZ200" s="21"/>
      <c r="HBA200" s="21"/>
      <c r="HBB200" s="21"/>
      <c r="HBC200" s="21"/>
      <c r="HBD200" s="21"/>
      <c r="HBE200" s="21"/>
      <c r="HBF200" s="21"/>
      <c r="HBG200" s="21"/>
      <c r="HBH200" s="21"/>
      <c r="HBI200" s="21"/>
      <c r="HBJ200" s="21"/>
      <c r="HBK200" s="21"/>
      <c r="HBL200" s="21"/>
      <c r="HBM200" s="21"/>
      <c r="HBN200" s="21"/>
      <c r="HBO200" s="21"/>
      <c r="HBP200" s="21"/>
      <c r="HBQ200" s="21"/>
      <c r="HBR200" s="21"/>
      <c r="HBS200" s="21"/>
      <c r="HBT200" s="21"/>
      <c r="HBU200" s="21"/>
      <c r="HBV200" s="21"/>
      <c r="HBW200" s="21"/>
      <c r="HBX200" s="21"/>
      <c r="HBY200" s="21"/>
      <c r="HBZ200" s="21"/>
      <c r="HCA200" s="21"/>
      <c r="HCB200" s="21"/>
      <c r="HCC200" s="21"/>
      <c r="HCD200" s="21"/>
      <c r="HCE200" s="21"/>
      <c r="HCF200" s="21"/>
      <c r="HCG200" s="21"/>
      <c r="HCH200" s="21"/>
      <c r="HCI200" s="21"/>
      <c r="HCJ200" s="21"/>
      <c r="HCK200" s="21"/>
      <c r="HCL200" s="21"/>
      <c r="HCM200" s="21"/>
      <c r="HCN200" s="21"/>
      <c r="HCO200" s="21"/>
      <c r="HCP200" s="21"/>
      <c r="HCQ200" s="21"/>
      <c r="HCR200" s="21"/>
      <c r="HCS200" s="21"/>
      <c r="HCT200" s="21"/>
      <c r="HCU200" s="21"/>
      <c r="HCV200" s="21"/>
      <c r="HCW200" s="21"/>
      <c r="HCX200" s="21"/>
      <c r="HCY200" s="21"/>
      <c r="HCZ200" s="21"/>
      <c r="HDA200" s="21"/>
      <c r="HDB200" s="21"/>
      <c r="HDC200" s="21"/>
      <c r="HDD200" s="21"/>
      <c r="HDE200" s="21"/>
      <c r="HDF200" s="21"/>
      <c r="HDG200" s="21"/>
      <c r="HDH200" s="21"/>
      <c r="HDI200" s="21"/>
      <c r="HDJ200" s="21"/>
      <c r="HDK200" s="21"/>
      <c r="HDL200" s="21"/>
      <c r="HDM200" s="21"/>
      <c r="HDN200" s="21"/>
      <c r="HDO200" s="21"/>
      <c r="HDP200" s="21"/>
      <c r="HDQ200" s="21"/>
      <c r="HDR200" s="21"/>
      <c r="HDS200" s="21"/>
      <c r="HDT200" s="21"/>
      <c r="HDU200" s="21"/>
      <c r="HDV200" s="21"/>
      <c r="HDW200" s="21"/>
      <c r="HDX200" s="21"/>
      <c r="HDY200" s="21"/>
      <c r="HDZ200" s="21"/>
      <c r="HEA200" s="21"/>
      <c r="HEB200" s="21"/>
      <c r="HEC200" s="21"/>
      <c r="HED200" s="21"/>
      <c r="HEE200" s="21"/>
      <c r="HEF200" s="21"/>
      <c r="HEG200" s="21"/>
      <c r="HEH200" s="21"/>
      <c r="HEI200" s="21"/>
      <c r="HEJ200" s="21"/>
      <c r="HEK200" s="21"/>
      <c r="HEL200" s="21"/>
      <c r="HEM200" s="21"/>
      <c r="HEN200" s="21"/>
      <c r="HEO200" s="21"/>
      <c r="HEP200" s="21"/>
      <c r="HEQ200" s="21"/>
      <c r="HER200" s="21"/>
      <c r="HES200" s="21"/>
      <c r="HET200" s="21"/>
      <c r="HEU200" s="21"/>
      <c r="HEV200" s="21"/>
      <c r="HEW200" s="21"/>
      <c r="HEX200" s="21"/>
      <c r="HEY200" s="21"/>
      <c r="HEZ200" s="21"/>
      <c r="HFA200" s="21"/>
      <c r="HFB200" s="21"/>
      <c r="HFC200" s="21"/>
      <c r="HFD200" s="21"/>
      <c r="HFE200" s="21"/>
      <c r="HFF200" s="21"/>
      <c r="HFG200" s="21"/>
      <c r="HFH200" s="21"/>
      <c r="HFI200" s="21"/>
      <c r="HFJ200" s="21"/>
      <c r="HFK200" s="21"/>
      <c r="HFL200" s="21"/>
      <c r="HFM200" s="21"/>
      <c r="HFN200" s="21"/>
      <c r="HFO200" s="21"/>
      <c r="HFP200" s="21"/>
      <c r="HFQ200" s="21"/>
      <c r="HFR200" s="21"/>
      <c r="HFS200" s="21"/>
      <c r="HFT200" s="21"/>
      <c r="HFU200" s="21"/>
      <c r="HFV200" s="21"/>
      <c r="HFW200" s="21"/>
      <c r="HFX200" s="21"/>
      <c r="HFY200" s="21"/>
      <c r="HFZ200" s="21"/>
      <c r="HGA200" s="21"/>
      <c r="HGB200" s="21"/>
      <c r="HGC200" s="21"/>
      <c r="HGD200" s="21"/>
      <c r="HGE200" s="21"/>
      <c r="HGF200" s="21"/>
      <c r="HGG200" s="21"/>
      <c r="HGH200" s="21"/>
      <c r="HGI200" s="21"/>
      <c r="HGJ200" s="21"/>
      <c r="HGK200" s="21"/>
      <c r="HGL200" s="21"/>
      <c r="HGM200" s="21"/>
      <c r="HGN200" s="21"/>
      <c r="HGO200" s="21"/>
      <c r="HGP200" s="21"/>
      <c r="HGQ200" s="21"/>
      <c r="HGR200" s="21"/>
      <c r="HGS200" s="21"/>
      <c r="HGT200" s="21"/>
      <c r="HGU200" s="21"/>
      <c r="HGV200" s="21"/>
      <c r="HGW200" s="21"/>
      <c r="HGX200" s="21"/>
      <c r="HGY200" s="21"/>
      <c r="HGZ200" s="21"/>
      <c r="HHA200" s="21"/>
      <c r="HHB200" s="21"/>
      <c r="HHC200" s="21"/>
      <c r="HHD200" s="21"/>
      <c r="HHE200" s="21"/>
      <c r="HHF200" s="21"/>
      <c r="HHG200" s="21"/>
      <c r="HHH200" s="21"/>
      <c r="HHI200" s="21"/>
      <c r="HHJ200" s="21"/>
      <c r="HHK200" s="21"/>
      <c r="HHL200" s="21"/>
      <c r="HHM200" s="21"/>
      <c r="HHN200" s="21"/>
      <c r="HHO200" s="21"/>
      <c r="HHP200" s="21"/>
      <c r="HHQ200" s="21"/>
      <c r="HHR200" s="21"/>
      <c r="HHS200" s="21"/>
      <c r="HHT200" s="21"/>
      <c r="HHU200" s="21"/>
      <c r="HHV200" s="21"/>
      <c r="HHW200" s="21"/>
      <c r="HHX200" s="21"/>
      <c r="HHY200" s="21"/>
      <c r="HHZ200" s="21"/>
      <c r="HIA200" s="21"/>
      <c r="HIB200" s="21"/>
      <c r="HIC200" s="21"/>
      <c r="HID200" s="21"/>
      <c r="HIE200" s="21"/>
      <c r="HIF200" s="21"/>
      <c r="HIG200" s="21"/>
      <c r="HIH200" s="21"/>
      <c r="HII200" s="21"/>
      <c r="HIJ200" s="21"/>
      <c r="HIK200" s="21"/>
      <c r="HIL200" s="21"/>
      <c r="HIM200" s="21"/>
      <c r="HIN200" s="21"/>
      <c r="HIO200" s="21"/>
      <c r="HIP200" s="21"/>
      <c r="HIQ200" s="21"/>
      <c r="HIR200" s="21"/>
      <c r="HIS200" s="21"/>
      <c r="HIT200" s="21"/>
      <c r="HIU200" s="21"/>
      <c r="HIV200" s="21"/>
      <c r="HIW200" s="21"/>
      <c r="HIX200" s="21"/>
      <c r="HIY200" s="21"/>
      <c r="HIZ200" s="21"/>
      <c r="HJA200" s="21"/>
      <c r="HJB200" s="21"/>
      <c r="HJC200" s="21"/>
      <c r="HJD200" s="21"/>
      <c r="HJE200" s="21"/>
      <c r="HJF200" s="21"/>
      <c r="HJG200" s="21"/>
      <c r="HJH200" s="21"/>
      <c r="HJI200" s="21"/>
      <c r="HJJ200" s="21"/>
      <c r="HJK200" s="21"/>
      <c r="HJL200" s="21"/>
      <c r="HJM200" s="21"/>
      <c r="HJN200" s="21"/>
      <c r="HJO200" s="21"/>
      <c r="HJP200" s="21"/>
      <c r="HJQ200" s="21"/>
      <c r="HJR200" s="21"/>
      <c r="HJS200" s="21"/>
      <c r="HJT200" s="21"/>
      <c r="HJU200" s="21"/>
      <c r="HJV200" s="21"/>
      <c r="HJW200" s="21"/>
      <c r="HJX200" s="21"/>
      <c r="HJY200" s="21"/>
      <c r="HJZ200" s="21"/>
      <c r="HKA200" s="21"/>
      <c r="HKB200" s="21"/>
      <c r="HKC200" s="21"/>
      <c r="HKD200" s="21"/>
      <c r="HKE200" s="21"/>
      <c r="HKF200" s="21"/>
      <c r="HKG200" s="21"/>
      <c r="HKH200" s="21"/>
      <c r="HKI200" s="21"/>
      <c r="HKJ200" s="21"/>
      <c r="HKK200" s="21"/>
      <c r="HKL200" s="21"/>
      <c r="HKM200" s="21"/>
      <c r="HKN200" s="21"/>
      <c r="HKO200" s="21"/>
      <c r="HKP200" s="21"/>
      <c r="HKQ200" s="21"/>
      <c r="HKR200" s="21"/>
      <c r="HKS200" s="21"/>
      <c r="HKT200" s="21"/>
      <c r="HKU200" s="21"/>
      <c r="HKV200" s="21"/>
      <c r="HKW200" s="21"/>
      <c r="HKX200" s="21"/>
      <c r="HKY200" s="21"/>
      <c r="HKZ200" s="21"/>
      <c r="HLA200" s="21"/>
      <c r="HLB200" s="21"/>
      <c r="HLC200" s="21"/>
      <c r="HLD200" s="21"/>
      <c r="HLE200" s="21"/>
      <c r="HLF200" s="21"/>
      <c r="HLG200" s="21"/>
      <c r="HLH200" s="21"/>
      <c r="HLI200" s="21"/>
      <c r="HLJ200" s="21"/>
      <c r="HLK200" s="21"/>
      <c r="HLL200" s="21"/>
      <c r="HLM200" s="21"/>
      <c r="HLN200" s="21"/>
      <c r="HLO200" s="21"/>
      <c r="HLP200" s="21"/>
      <c r="HLQ200" s="21"/>
      <c r="HLR200" s="21"/>
      <c r="HLS200" s="21"/>
      <c r="HLT200" s="21"/>
      <c r="HLU200" s="21"/>
      <c r="HLV200" s="21"/>
      <c r="HLW200" s="21"/>
      <c r="HLX200" s="21"/>
      <c r="HLY200" s="21"/>
      <c r="HLZ200" s="21"/>
      <c r="HMA200" s="21"/>
      <c r="HMB200" s="21"/>
      <c r="HMC200" s="21"/>
      <c r="HMD200" s="21"/>
      <c r="HME200" s="21"/>
      <c r="HMF200" s="21"/>
      <c r="HMG200" s="21"/>
      <c r="HMH200" s="21"/>
      <c r="HMI200" s="21"/>
      <c r="HMJ200" s="21"/>
      <c r="HMK200" s="21"/>
      <c r="HML200" s="21"/>
      <c r="HMM200" s="21"/>
      <c r="HMN200" s="21"/>
      <c r="HMO200" s="21"/>
      <c r="HMP200" s="21"/>
      <c r="HMQ200" s="21"/>
      <c r="HMR200" s="21"/>
      <c r="HMS200" s="21"/>
      <c r="HMT200" s="21"/>
      <c r="HMU200" s="21"/>
      <c r="HMV200" s="21"/>
      <c r="HMW200" s="21"/>
      <c r="HMX200" s="21"/>
      <c r="HMY200" s="21"/>
      <c r="HMZ200" s="21"/>
      <c r="HNA200" s="21"/>
      <c r="HNB200" s="21"/>
      <c r="HNC200" s="21"/>
      <c r="HND200" s="21"/>
      <c r="HNE200" s="21"/>
      <c r="HNF200" s="21"/>
      <c r="HNG200" s="21"/>
      <c r="HNH200" s="21"/>
      <c r="HNI200" s="21"/>
      <c r="HNJ200" s="21"/>
      <c r="HNK200" s="21"/>
      <c r="HNL200" s="21"/>
      <c r="HNM200" s="21"/>
      <c r="HNN200" s="21"/>
      <c r="HNO200" s="21"/>
      <c r="HNP200" s="21"/>
      <c r="HNQ200" s="21"/>
      <c r="HNR200" s="21"/>
      <c r="HNS200" s="21"/>
      <c r="HNT200" s="21"/>
      <c r="HNU200" s="21"/>
      <c r="HNV200" s="21"/>
      <c r="HNW200" s="21"/>
      <c r="HNX200" s="21"/>
      <c r="HNY200" s="21"/>
      <c r="HNZ200" s="21"/>
      <c r="HOA200" s="21"/>
      <c r="HOB200" s="21"/>
      <c r="HOC200" s="21"/>
      <c r="HOD200" s="21"/>
      <c r="HOE200" s="21"/>
      <c r="HOF200" s="21"/>
      <c r="HOG200" s="21"/>
      <c r="HOH200" s="21"/>
      <c r="HOI200" s="21"/>
      <c r="HOJ200" s="21"/>
      <c r="HOK200" s="21"/>
      <c r="HOL200" s="21"/>
      <c r="HOM200" s="21"/>
      <c r="HON200" s="21"/>
      <c r="HOO200" s="21"/>
      <c r="HOP200" s="21"/>
      <c r="HOQ200" s="21"/>
      <c r="HOR200" s="21"/>
      <c r="HOS200" s="21"/>
      <c r="HOT200" s="21"/>
      <c r="HOU200" s="21"/>
      <c r="HOV200" s="21"/>
      <c r="HOW200" s="21"/>
      <c r="HOX200" s="21"/>
      <c r="HOY200" s="21"/>
      <c r="HOZ200" s="21"/>
      <c r="HPA200" s="21"/>
      <c r="HPB200" s="21"/>
      <c r="HPC200" s="21"/>
      <c r="HPD200" s="21"/>
      <c r="HPE200" s="21"/>
      <c r="HPF200" s="21"/>
      <c r="HPG200" s="21"/>
      <c r="HPH200" s="21"/>
      <c r="HPI200" s="21"/>
      <c r="HPJ200" s="21"/>
      <c r="HPK200" s="21"/>
      <c r="HPL200" s="21"/>
      <c r="HPM200" s="21"/>
      <c r="HPN200" s="21"/>
      <c r="HPO200" s="21"/>
      <c r="HPP200" s="21"/>
      <c r="HPQ200" s="21"/>
      <c r="HPR200" s="21"/>
      <c r="HPS200" s="21"/>
      <c r="HPT200" s="21"/>
      <c r="HPU200" s="21"/>
      <c r="HPV200" s="21"/>
      <c r="HPW200" s="21"/>
      <c r="HPX200" s="21"/>
      <c r="HPY200" s="21"/>
      <c r="HPZ200" s="21"/>
      <c r="HQA200" s="21"/>
      <c r="HQB200" s="21"/>
      <c r="HQC200" s="21"/>
      <c r="HQD200" s="21"/>
      <c r="HQE200" s="21"/>
      <c r="HQF200" s="21"/>
      <c r="HQG200" s="21"/>
      <c r="HQH200" s="21"/>
      <c r="HQI200" s="21"/>
      <c r="HQJ200" s="21"/>
      <c r="HQK200" s="21"/>
      <c r="HQL200" s="21"/>
      <c r="HQM200" s="21"/>
      <c r="HQN200" s="21"/>
      <c r="HQO200" s="21"/>
      <c r="HQP200" s="21"/>
      <c r="HQQ200" s="21"/>
      <c r="HQR200" s="21"/>
      <c r="HQS200" s="21"/>
      <c r="HQT200" s="21"/>
      <c r="HQU200" s="21"/>
      <c r="HQV200" s="21"/>
      <c r="HQW200" s="21"/>
      <c r="HQX200" s="21"/>
      <c r="HQY200" s="21"/>
      <c r="HQZ200" s="21"/>
      <c r="HRA200" s="21"/>
      <c r="HRB200" s="21"/>
      <c r="HRC200" s="21"/>
      <c r="HRD200" s="21"/>
      <c r="HRE200" s="21"/>
      <c r="HRF200" s="21"/>
      <c r="HRG200" s="21"/>
      <c r="HRH200" s="21"/>
      <c r="HRI200" s="21"/>
      <c r="HRJ200" s="21"/>
      <c r="HRK200" s="21"/>
      <c r="HRL200" s="21"/>
      <c r="HRM200" s="21"/>
      <c r="HRN200" s="21"/>
      <c r="HRO200" s="21"/>
      <c r="HRP200" s="21"/>
      <c r="HRQ200" s="21"/>
      <c r="HRR200" s="21"/>
      <c r="HRS200" s="21"/>
      <c r="HRT200" s="21"/>
      <c r="HRU200" s="21"/>
      <c r="HRV200" s="21"/>
      <c r="HRW200" s="21"/>
      <c r="HRX200" s="21"/>
      <c r="HRY200" s="21"/>
      <c r="HRZ200" s="21"/>
      <c r="HSA200" s="21"/>
      <c r="HSB200" s="21"/>
      <c r="HSC200" s="21"/>
      <c r="HSD200" s="21"/>
      <c r="HSE200" s="21"/>
      <c r="HSF200" s="21"/>
      <c r="HSG200" s="21"/>
      <c r="HSH200" s="21"/>
      <c r="HSI200" s="21"/>
      <c r="HSJ200" s="21"/>
      <c r="HSK200" s="21"/>
      <c r="HSL200" s="21"/>
      <c r="HSM200" s="21"/>
      <c r="HSN200" s="21"/>
      <c r="HSO200" s="21"/>
      <c r="HSP200" s="21"/>
      <c r="HSQ200" s="21"/>
      <c r="HSR200" s="21"/>
      <c r="HSS200" s="21"/>
      <c r="HST200" s="21"/>
      <c r="HSU200" s="21"/>
      <c r="HSV200" s="21"/>
      <c r="HSW200" s="21"/>
      <c r="HSX200" s="21"/>
      <c r="HSY200" s="21"/>
      <c r="HSZ200" s="21"/>
      <c r="HTA200" s="21"/>
      <c r="HTB200" s="21"/>
      <c r="HTC200" s="21"/>
      <c r="HTD200" s="21"/>
      <c r="HTE200" s="21"/>
      <c r="HTF200" s="21"/>
      <c r="HTG200" s="21"/>
      <c r="HTH200" s="21"/>
      <c r="HTI200" s="21"/>
      <c r="HTJ200" s="21"/>
      <c r="HTK200" s="21"/>
      <c r="HTL200" s="21"/>
      <c r="HTM200" s="21"/>
      <c r="HTN200" s="21"/>
      <c r="HTO200" s="21"/>
      <c r="HTP200" s="21"/>
      <c r="HTQ200" s="21"/>
      <c r="HTR200" s="21"/>
      <c r="HTS200" s="21"/>
      <c r="HTT200" s="21"/>
      <c r="HTU200" s="21"/>
      <c r="HTV200" s="21"/>
      <c r="HTW200" s="21"/>
      <c r="HTX200" s="21"/>
      <c r="HTY200" s="21"/>
      <c r="HTZ200" s="21"/>
      <c r="HUA200" s="21"/>
      <c r="HUB200" s="21"/>
      <c r="HUC200" s="21"/>
      <c r="HUD200" s="21"/>
      <c r="HUE200" s="21"/>
      <c r="HUF200" s="21"/>
      <c r="HUG200" s="21"/>
      <c r="HUH200" s="21"/>
      <c r="HUI200" s="21"/>
      <c r="HUJ200" s="21"/>
      <c r="HUK200" s="21"/>
      <c r="HUL200" s="21"/>
      <c r="HUM200" s="21"/>
      <c r="HUN200" s="21"/>
      <c r="HUO200" s="21"/>
      <c r="HUP200" s="21"/>
      <c r="HUQ200" s="21"/>
      <c r="HUR200" s="21"/>
      <c r="HUS200" s="21"/>
      <c r="HUT200" s="21"/>
      <c r="HUU200" s="21"/>
      <c r="HUV200" s="21"/>
      <c r="HUW200" s="21"/>
      <c r="HUX200" s="21"/>
      <c r="HUY200" s="21"/>
      <c r="HUZ200" s="21"/>
      <c r="HVA200" s="21"/>
      <c r="HVB200" s="21"/>
      <c r="HVC200" s="21"/>
      <c r="HVD200" s="21"/>
      <c r="HVE200" s="21"/>
      <c r="HVF200" s="21"/>
      <c r="HVG200" s="21"/>
      <c r="HVH200" s="21"/>
      <c r="HVI200" s="21"/>
      <c r="HVJ200" s="21"/>
      <c r="HVK200" s="21"/>
      <c r="HVL200" s="21"/>
      <c r="HVM200" s="21"/>
      <c r="HVN200" s="21"/>
      <c r="HVO200" s="21"/>
      <c r="HVP200" s="21"/>
      <c r="HVQ200" s="21"/>
      <c r="HVR200" s="21"/>
      <c r="HVS200" s="21"/>
      <c r="HVT200" s="21"/>
      <c r="HVU200" s="21"/>
      <c r="HVV200" s="21"/>
      <c r="HVW200" s="21"/>
      <c r="HVX200" s="21"/>
      <c r="HVY200" s="21"/>
      <c r="HVZ200" s="21"/>
      <c r="HWA200" s="21"/>
      <c r="HWB200" s="21"/>
      <c r="HWC200" s="21"/>
      <c r="HWD200" s="21"/>
      <c r="HWE200" s="21"/>
      <c r="HWF200" s="21"/>
      <c r="HWG200" s="21"/>
      <c r="HWH200" s="21"/>
      <c r="HWI200" s="21"/>
      <c r="HWJ200" s="21"/>
      <c r="HWK200" s="21"/>
      <c r="HWL200" s="21"/>
      <c r="HWM200" s="21"/>
      <c r="HWN200" s="21"/>
      <c r="HWO200" s="21"/>
      <c r="HWP200" s="21"/>
      <c r="HWQ200" s="21"/>
      <c r="HWR200" s="21"/>
      <c r="HWS200" s="21"/>
      <c r="HWT200" s="21"/>
      <c r="HWU200" s="21"/>
      <c r="HWV200" s="21"/>
      <c r="HWW200" s="21"/>
      <c r="HWX200" s="21"/>
      <c r="HWY200" s="21"/>
      <c r="HWZ200" s="21"/>
      <c r="HXA200" s="21"/>
      <c r="HXB200" s="21"/>
      <c r="HXC200" s="21"/>
      <c r="HXD200" s="21"/>
      <c r="HXE200" s="21"/>
      <c r="HXF200" s="21"/>
      <c r="HXG200" s="21"/>
      <c r="HXH200" s="21"/>
      <c r="HXI200" s="21"/>
      <c r="HXJ200" s="21"/>
      <c r="HXK200" s="21"/>
      <c r="HXL200" s="21"/>
      <c r="HXM200" s="21"/>
      <c r="HXN200" s="21"/>
      <c r="HXO200" s="21"/>
      <c r="HXP200" s="21"/>
      <c r="HXQ200" s="21"/>
      <c r="HXR200" s="21"/>
      <c r="HXS200" s="21"/>
      <c r="HXT200" s="21"/>
      <c r="HXU200" s="21"/>
      <c r="HXV200" s="21"/>
      <c r="HXW200" s="21"/>
      <c r="HXX200" s="21"/>
      <c r="HXY200" s="21"/>
      <c r="HXZ200" s="21"/>
      <c r="HYA200" s="21"/>
      <c r="HYB200" s="21"/>
      <c r="HYC200" s="21"/>
      <c r="HYD200" s="21"/>
      <c r="HYE200" s="21"/>
      <c r="HYF200" s="21"/>
      <c r="HYG200" s="21"/>
      <c r="HYH200" s="21"/>
      <c r="HYI200" s="21"/>
      <c r="HYJ200" s="21"/>
      <c r="HYK200" s="21"/>
      <c r="HYL200" s="21"/>
      <c r="HYM200" s="21"/>
      <c r="HYN200" s="21"/>
      <c r="HYO200" s="21"/>
      <c r="HYP200" s="21"/>
      <c r="HYQ200" s="21"/>
      <c r="HYR200" s="21"/>
      <c r="HYS200" s="21"/>
      <c r="HYT200" s="21"/>
      <c r="HYU200" s="21"/>
      <c r="HYV200" s="21"/>
      <c r="HYW200" s="21"/>
      <c r="HYX200" s="21"/>
      <c r="HYY200" s="21"/>
      <c r="HYZ200" s="21"/>
      <c r="HZA200" s="21"/>
      <c r="HZB200" s="21"/>
      <c r="HZC200" s="21"/>
      <c r="HZD200" s="21"/>
      <c r="HZE200" s="21"/>
      <c r="HZF200" s="21"/>
      <c r="HZG200" s="21"/>
      <c r="HZH200" s="21"/>
      <c r="HZI200" s="21"/>
      <c r="HZJ200" s="21"/>
      <c r="HZK200" s="21"/>
      <c r="HZL200" s="21"/>
      <c r="HZM200" s="21"/>
      <c r="HZN200" s="21"/>
      <c r="HZO200" s="21"/>
      <c r="HZP200" s="21"/>
      <c r="HZQ200" s="21"/>
      <c r="HZR200" s="21"/>
      <c r="HZS200" s="21"/>
      <c r="HZT200" s="21"/>
      <c r="HZU200" s="21"/>
      <c r="HZV200" s="21"/>
      <c r="HZW200" s="21"/>
      <c r="HZX200" s="21"/>
      <c r="HZY200" s="21"/>
      <c r="HZZ200" s="21"/>
      <c r="IAA200" s="21"/>
      <c r="IAB200" s="21"/>
      <c r="IAC200" s="21"/>
      <c r="IAD200" s="21"/>
      <c r="IAE200" s="21"/>
      <c r="IAF200" s="21"/>
      <c r="IAG200" s="21"/>
      <c r="IAH200" s="21"/>
      <c r="IAI200" s="21"/>
      <c r="IAJ200" s="21"/>
      <c r="IAK200" s="21"/>
      <c r="IAL200" s="21"/>
      <c r="IAM200" s="21"/>
      <c r="IAN200" s="21"/>
      <c r="IAO200" s="21"/>
      <c r="IAP200" s="21"/>
      <c r="IAQ200" s="21"/>
      <c r="IAR200" s="21"/>
      <c r="IAS200" s="21"/>
      <c r="IAT200" s="21"/>
      <c r="IAU200" s="21"/>
      <c r="IAV200" s="21"/>
      <c r="IAW200" s="21"/>
      <c r="IAX200" s="21"/>
      <c r="IAY200" s="21"/>
      <c r="IAZ200" s="21"/>
      <c r="IBA200" s="21"/>
      <c r="IBB200" s="21"/>
      <c r="IBC200" s="21"/>
      <c r="IBD200" s="21"/>
      <c r="IBE200" s="21"/>
      <c r="IBF200" s="21"/>
      <c r="IBG200" s="21"/>
      <c r="IBH200" s="21"/>
      <c r="IBI200" s="21"/>
      <c r="IBJ200" s="21"/>
      <c r="IBK200" s="21"/>
      <c r="IBL200" s="21"/>
      <c r="IBM200" s="21"/>
      <c r="IBN200" s="21"/>
      <c r="IBO200" s="21"/>
      <c r="IBP200" s="21"/>
      <c r="IBQ200" s="21"/>
      <c r="IBR200" s="21"/>
      <c r="IBS200" s="21"/>
      <c r="IBT200" s="21"/>
      <c r="IBU200" s="21"/>
      <c r="IBV200" s="21"/>
      <c r="IBW200" s="21"/>
      <c r="IBX200" s="21"/>
      <c r="IBY200" s="21"/>
      <c r="IBZ200" s="21"/>
      <c r="ICA200" s="21"/>
      <c r="ICB200" s="21"/>
      <c r="ICC200" s="21"/>
      <c r="ICD200" s="21"/>
      <c r="ICE200" s="21"/>
      <c r="ICF200" s="21"/>
      <c r="ICG200" s="21"/>
      <c r="ICH200" s="21"/>
      <c r="ICI200" s="21"/>
      <c r="ICJ200" s="21"/>
      <c r="ICK200" s="21"/>
      <c r="ICL200" s="21"/>
      <c r="ICM200" s="21"/>
      <c r="ICN200" s="21"/>
      <c r="ICO200" s="21"/>
      <c r="ICP200" s="21"/>
      <c r="ICQ200" s="21"/>
      <c r="ICR200" s="21"/>
      <c r="ICS200" s="21"/>
      <c r="ICT200" s="21"/>
      <c r="ICU200" s="21"/>
      <c r="ICV200" s="21"/>
      <c r="ICW200" s="21"/>
      <c r="ICX200" s="21"/>
      <c r="ICY200" s="21"/>
      <c r="ICZ200" s="21"/>
      <c r="IDA200" s="21"/>
      <c r="IDB200" s="21"/>
      <c r="IDC200" s="21"/>
      <c r="IDD200" s="21"/>
      <c r="IDE200" s="21"/>
      <c r="IDF200" s="21"/>
      <c r="IDG200" s="21"/>
      <c r="IDH200" s="21"/>
      <c r="IDI200" s="21"/>
      <c r="IDJ200" s="21"/>
      <c r="IDK200" s="21"/>
      <c r="IDL200" s="21"/>
      <c r="IDM200" s="21"/>
      <c r="IDN200" s="21"/>
      <c r="IDO200" s="21"/>
      <c r="IDP200" s="21"/>
      <c r="IDQ200" s="21"/>
      <c r="IDR200" s="21"/>
      <c r="IDS200" s="21"/>
      <c r="IDT200" s="21"/>
      <c r="IDU200" s="21"/>
      <c r="IDV200" s="21"/>
      <c r="IDW200" s="21"/>
      <c r="IDX200" s="21"/>
      <c r="IDY200" s="21"/>
      <c r="IDZ200" s="21"/>
      <c r="IEA200" s="21"/>
      <c r="IEB200" s="21"/>
      <c r="IEC200" s="21"/>
      <c r="IED200" s="21"/>
      <c r="IEE200" s="21"/>
      <c r="IEF200" s="21"/>
      <c r="IEG200" s="21"/>
      <c r="IEH200" s="21"/>
      <c r="IEI200" s="21"/>
      <c r="IEJ200" s="21"/>
      <c r="IEK200" s="21"/>
      <c r="IEL200" s="21"/>
      <c r="IEM200" s="21"/>
      <c r="IEN200" s="21"/>
      <c r="IEO200" s="21"/>
      <c r="IEP200" s="21"/>
      <c r="IEQ200" s="21"/>
      <c r="IER200" s="21"/>
      <c r="IES200" s="21"/>
      <c r="IET200" s="21"/>
      <c r="IEU200" s="21"/>
      <c r="IEV200" s="21"/>
      <c r="IEW200" s="21"/>
      <c r="IEX200" s="21"/>
      <c r="IEY200" s="21"/>
      <c r="IEZ200" s="21"/>
      <c r="IFA200" s="21"/>
      <c r="IFB200" s="21"/>
      <c r="IFC200" s="21"/>
      <c r="IFD200" s="21"/>
      <c r="IFE200" s="21"/>
      <c r="IFF200" s="21"/>
      <c r="IFG200" s="21"/>
      <c r="IFH200" s="21"/>
      <c r="IFI200" s="21"/>
      <c r="IFJ200" s="21"/>
      <c r="IFK200" s="21"/>
      <c r="IFL200" s="21"/>
      <c r="IFM200" s="21"/>
      <c r="IFN200" s="21"/>
      <c r="IFO200" s="21"/>
      <c r="IFP200" s="21"/>
      <c r="IFQ200" s="21"/>
      <c r="IFR200" s="21"/>
      <c r="IFS200" s="21"/>
      <c r="IFT200" s="21"/>
      <c r="IFU200" s="21"/>
      <c r="IFV200" s="21"/>
      <c r="IFW200" s="21"/>
      <c r="IFX200" s="21"/>
      <c r="IFY200" s="21"/>
      <c r="IFZ200" s="21"/>
      <c r="IGA200" s="21"/>
      <c r="IGB200" s="21"/>
      <c r="IGC200" s="21"/>
      <c r="IGD200" s="21"/>
      <c r="IGE200" s="21"/>
      <c r="IGF200" s="21"/>
      <c r="IGG200" s="21"/>
      <c r="IGH200" s="21"/>
      <c r="IGI200" s="21"/>
      <c r="IGJ200" s="21"/>
      <c r="IGK200" s="21"/>
      <c r="IGL200" s="21"/>
      <c r="IGM200" s="21"/>
      <c r="IGN200" s="21"/>
      <c r="IGO200" s="21"/>
      <c r="IGP200" s="21"/>
      <c r="IGQ200" s="21"/>
      <c r="IGR200" s="21"/>
      <c r="IGS200" s="21"/>
      <c r="IGT200" s="21"/>
      <c r="IGU200" s="21"/>
      <c r="IGV200" s="21"/>
      <c r="IGW200" s="21"/>
      <c r="IGX200" s="21"/>
      <c r="IGY200" s="21"/>
      <c r="IGZ200" s="21"/>
      <c r="IHA200" s="21"/>
      <c r="IHB200" s="21"/>
      <c r="IHC200" s="21"/>
      <c r="IHD200" s="21"/>
      <c r="IHE200" s="21"/>
      <c r="IHF200" s="21"/>
      <c r="IHG200" s="21"/>
      <c r="IHH200" s="21"/>
      <c r="IHI200" s="21"/>
      <c r="IHJ200" s="21"/>
      <c r="IHK200" s="21"/>
      <c r="IHL200" s="21"/>
      <c r="IHM200" s="21"/>
      <c r="IHN200" s="21"/>
      <c r="IHO200" s="21"/>
      <c r="IHP200" s="21"/>
      <c r="IHQ200" s="21"/>
      <c r="IHR200" s="21"/>
      <c r="IHS200" s="21"/>
      <c r="IHT200" s="21"/>
      <c r="IHU200" s="21"/>
      <c r="IHV200" s="21"/>
      <c r="IHW200" s="21"/>
      <c r="IHX200" s="21"/>
      <c r="IHY200" s="21"/>
      <c r="IHZ200" s="21"/>
      <c r="IIA200" s="21"/>
      <c r="IIB200" s="21"/>
      <c r="IIC200" s="21"/>
      <c r="IID200" s="21"/>
      <c r="IIE200" s="21"/>
      <c r="IIF200" s="21"/>
      <c r="IIG200" s="21"/>
      <c r="IIH200" s="21"/>
      <c r="III200" s="21"/>
      <c r="IIJ200" s="21"/>
      <c r="IIK200" s="21"/>
      <c r="IIL200" s="21"/>
      <c r="IIM200" s="21"/>
      <c r="IIN200" s="21"/>
      <c r="IIO200" s="21"/>
      <c r="IIP200" s="21"/>
      <c r="IIQ200" s="21"/>
      <c r="IIR200" s="21"/>
      <c r="IIS200" s="21"/>
      <c r="IIT200" s="21"/>
      <c r="IIU200" s="21"/>
      <c r="IIV200" s="21"/>
      <c r="IIW200" s="21"/>
      <c r="IIX200" s="21"/>
      <c r="IIY200" s="21"/>
      <c r="IIZ200" s="21"/>
      <c r="IJA200" s="21"/>
      <c r="IJB200" s="21"/>
      <c r="IJC200" s="21"/>
      <c r="IJD200" s="21"/>
      <c r="IJE200" s="21"/>
      <c r="IJF200" s="21"/>
      <c r="IJG200" s="21"/>
      <c r="IJH200" s="21"/>
      <c r="IJI200" s="21"/>
      <c r="IJJ200" s="21"/>
      <c r="IJK200" s="21"/>
      <c r="IJL200" s="21"/>
      <c r="IJM200" s="21"/>
      <c r="IJN200" s="21"/>
      <c r="IJO200" s="21"/>
      <c r="IJP200" s="21"/>
      <c r="IJQ200" s="21"/>
      <c r="IJR200" s="21"/>
      <c r="IJS200" s="21"/>
      <c r="IJT200" s="21"/>
      <c r="IJU200" s="21"/>
      <c r="IJV200" s="21"/>
      <c r="IJW200" s="21"/>
      <c r="IJX200" s="21"/>
      <c r="IJY200" s="21"/>
      <c r="IJZ200" s="21"/>
      <c r="IKA200" s="21"/>
      <c r="IKB200" s="21"/>
      <c r="IKC200" s="21"/>
      <c r="IKD200" s="21"/>
      <c r="IKE200" s="21"/>
      <c r="IKF200" s="21"/>
      <c r="IKG200" s="21"/>
      <c r="IKH200" s="21"/>
      <c r="IKI200" s="21"/>
      <c r="IKJ200" s="21"/>
      <c r="IKK200" s="21"/>
      <c r="IKL200" s="21"/>
      <c r="IKM200" s="21"/>
      <c r="IKN200" s="21"/>
      <c r="IKO200" s="21"/>
      <c r="IKP200" s="21"/>
      <c r="IKQ200" s="21"/>
      <c r="IKR200" s="21"/>
      <c r="IKS200" s="21"/>
      <c r="IKT200" s="21"/>
      <c r="IKU200" s="21"/>
      <c r="IKV200" s="21"/>
      <c r="IKW200" s="21"/>
      <c r="IKX200" s="21"/>
      <c r="IKY200" s="21"/>
      <c r="IKZ200" s="21"/>
      <c r="ILA200" s="21"/>
      <c r="ILB200" s="21"/>
      <c r="ILC200" s="21"/>
      <c r="ILD200" s="21"/>
      <c r="ILE200" s="21"/>
      <c r="ILF200" s="21"/>
      <c r="ILG200" s="21"/>
      <c r="ILH200" s="21"/>
      <c r="ILI200" s="21"/>
      <c r="ILJ200" s="21"/>
      <c r="ILK200" s="21"/>
      <c r="ILL200" s="21"/>
      <c r="ILM200" s="21"/>
      <c r="ILN200" s="21"/>
      <c r="ILO200" s="21"/>
      <c r="ILP200" s="21"/>
      <c r="ILQ200" s="21"/>
      <c r="ILR200" s="21"/>
      <c r="ILS200" s="21"/>
      <c r="ILT200" s="21"/>
      <c r="ILU200" s="21"/>
      <c r="ILV200" s="21"/>
      <c r="ILW200" s="21"/>
      <c r="ILX200" s="21"/>
      <c r="ILY200" s="21"/>
      <c r="ILZ200" s="21"/>
      <c r="IMA200" s="21"/>
      <c r="IMB200" s="21"/>
      <c r="IMC200" s="21"/>
      <c r="IMD200" s="21"/>
      <c r="IME200" s="21"/>
      <c r="IMF200" s="21"/>
      <c r="IMG200" s="21"/>
      <c r="IMH200" s="21"/>
      <c r="IMI200" s="21"/>
      <c r="IMJ200" s="21"/>
      <c r="IMK200" s="21"/>
      <c r="IML200" s="21"/>
      <c r="IMM200" s="21"/>
      <c r="IMN200" s="21"/>
      <c r="IMO200" s="21"/>
      <c r="IMP200" s="21"/>
      <c r="IMQ200" s="21"/>
      <c r="IMR200" s="21"/>
      <c r="IMS200" s="21"/>
      <c r="IMT200" s="21"/>
      <c r="IMU200" s="21"/>
      <c r="IMV200" s="21"/>
      <c r="IMW200" s="21"/>
      <c r="IMX200" s="21"/>
      <c r="IMY200" s="21"/>
      <c r="IMZ200" s="21"/>
      <c r="INA200" s="21"/>
      <c r="INB200" s="21"/>
      <c r="INC200" s="21"/>
      <c r="IND200" s="21"/>
      <c r="INE200" s="21"/>
      <c r="INF200" s="21"/>
      <c r="ING200" s="21"/>
      <c r="INH200" s="21"/>
      <c r="INI200" s="21"/>
      <c r="INJ200" s="21"/>
      <c r="INK200" s="21"/>
      <c r="INL200" s="21"/>
      <c r="INM200" s="21"/>
      <c r="INN200" s="21"/>
      <c r="INO200" s="21"/>
      <c r="INP200" s="21"/>
      <c r="INQ200" s="21"/>
      <c r="INR200" s="21"/>
      <c r="INS200" s="21"/>
      <c r="INT200" s="21"/>
      <c r="INU200" s="21"/>
      <c r="INV200" s="21"/>
      <c r="INW200" s="21"/>
      <c r="INX200" s="21"/>
      <c r="INY200" s="21"/>
      <c r="INZ200" s="21"/>
      <c r="IOA200" s="21"/>
      <c r="IOB200" s="21"/>
      <c r="IOC200" s="21"/>
      <c r="IOD200" s="21"/>
      <c r="IOE200" s="21"/>
      <c r="IOF200" s="21"/>
      <c r="IOG200" s="21"/>
      <c r="IOH200" s="21"/>
      <c r="IOI200" s="21"/>
      <c r="IOJ200" s="21"/>
      <c r="IOK200" s="21"/>
      <c r="IOL200" s="21"/>
      <c r="IOM200" s="21"/>
      <c r="ION200" s="21"/>
      <c r="IOO200" s="21"/>
      <c r="IOP200" s="21"/>
      <c r="IOQ200" s="21"/>
      <c r="IOR200" s="21"/>
      <c r="IOS200" s="21"/>
      <c r="IOT200" s="21"/>
      <c r="IOU200" s="21"/>
      <c r="IOV200" s="21"/>
      <c r="IOW200" s="21"/>
      <c r="IOX200" s="21"/>
      <c r="IOY200" s="21"/>
      <c r="IOZ200" s="21"/>
      <c r="IPA200" s="21"/>
      <c r="IPB200" s="21"/>
      <c r="IPC200" s="21"/>
      <c r="IPD200" s="21"/>
      <c r="IPE200" s="21"/>
      <c r="IPF200" s="21"/>
      <c r="IPG200" s="21"/>
      <c r="IPH200" s="21"/>
      <c r="IPI200" s="21"/>
      <c r="IPJ200" s="21"/>
      <c r="IPK200" s="21"/>
      <c r="IPL200" s="21"/>
      <c r="IPM200" s="21"/>
      <c r="IPN200" s="21"/>
      <c r="IPO200" s="21"/>
      <c r="IPP200" s="21"/>
      <c r="IPQ200" s="21"/>
      <c r="IPR200" s="21"/>
      <c r="IPS200" s="21"/>
      <c r="IPT200" s="21"/>
      <c r="IPU200" s="21"/>
      <c r="IPV200" s="21"/>
      <c r="IPW200" s="21"/>
      <c r="IPX200" s="21"/>
      <c r="IPY200" s="21"/>
      <c r="IPZ200" s="21"/>
      <c r="IQA200" s="21"/>
      <c r="IQB200" s="21"/>
      <c r="IQC200" s="21"/>
      <c r="IQD200" s="21"/>
      <c r="IQE200" s="21"/>
      <c r="IQF200" s="21"/>
      <c r="IQG200" s="21"/>
      <c r="IQH200" s="21"/>
      <c r="IQI200" s="21"/>
      <c r="IQJ200" s="21"/>
      <c r="IQK200" s="21"/>
      <c r="IQL200" s="21"/>
      <c r="IQM200" s="21"/>
      <c r="IQN200" s="21"/>
      <c r="IQO200" s="21"/>
      <c r="IQP200" s="21"/>
      <c r="IQQ200" s="21"/>
      <c r="IQR200" s="21"/>
      <c r="IQS200" s="21"/>
      <c r="IQT200" s="21"/>
      <c r="IQU200" s="21"/>
      <c r="IQV200" s="21"/>
      <c r="IQW200" s="21"/>
      <c r="IQX200" s="21"/>
      <c r="IQY200" s="21"/>
      <c r="IQZ200" s="21"/>
      <c r="IRA200" s="21"/>
      <c r="IRB200" s="21"/>
      <c r="IRC200" s="21"/>
      <c r="IRD200" s="21"/>
      <c r="IRE200" s="21"/>
      <c r="IRF200" s="21"/>
      <c r="IRG200" s="21"/>
      <c r="IRH200" s="21"/>
      <c r="IRI200" s="21"/>
      <c r="IRJ200" s="21"/>
      <c r="IRK200" s="21"/>
      <c r="IRL200" s="21"/>
      <c r="IRM200" s="21"/>
      <c r="IRN200" s="21"/>
      <c r="IRO200" s="21"/>
      <c r="IRP200" s="21"/>
      <c r="IRQ200" s="21"/>
      <c r="IRR200" s="21"/>
      <c r="IRS200" s="21"/>
      <c r="IRT200" s="21"/>
      <c r="IRU200" s="21"/>
      <c r="IRV200" s="21"/>
      <c r="IRW200" s="21"/>
      <c r="IRX200" s="21"/>
      <c r="IRY200" s="21"/>
      <c r="IRZ200" s="21"/>
      <c r="ISA200" s="21"/>
      <c r="ISB200" s="21"/>
      <c r="ISC200" s="21"/>
      <c r="ISD200" s="21"/>
      <c r="ISE200" s="21"/>
      <c r="ISF200" s="21"/>
      <c r="ISG200" s="21"/>
      <c r="ISH200" s="21"/>
      <c r="ISI200" s="21"/>
      <c r="ISJ200" s="21"/>
      <c r="ISK200" s="21"/>
      <c r="ISL200" s="21"/>
      <c r="ISM200" s="21"/>
      <c r="ISN200" s="21"/>
      <c r="ISO200" s="21"/>
      <c r="ISP200" s="21"/>
      <c r="ISQ200" s="21"/>
      <c r="ISR200" s="21"/>
      <c r="ISS200" s="21"/>
      <c r="IST200" s="21"/>
      <c r="ISU200" s="21"/>
      <c r="ISV200" s="21"/>
      <c r="ISW200" s="21"/>
      <c r="ISX200" s="21"/>
      <c r="ISY200" s="21"/>
      <c r="ISZ200" s="21"/>
      <c r="ITA200" s="21"/>
      <c r="ITB200" s="21"/>
      <c r="ITC200" s="21"/>
      <c r="ITD200" s="21"/>
      <c r="ITE200" s="21"/>
      <c r="ITF200" s="21"/>
      <c r="ITG200" s="21"/>
      <c r="ITH200" s="21"/>
      <c r="ITI200" s="21"/>
      <c r="ITJ200" s="21"/>
      <c r="ITK200" s="21"/>
      <c r="ITL200" s="21"/>
      <c r="ITM200" s="21"/>
      <c r="ITN200" s="21"/>
      <c r="ITO200" s="21"/>
      <c r="ITP200" s="21"/>
      <c r="ITQ200" s="21"/>
      <c r="ITR200" s="21"/>
      <c r="ITS200" s="21"/>
      <c r="ITT200" s="21"/>
      <c r="ITU200" s="21"/>
      <c r="ITV200" s="21"/>
      <c r="ITW200" s="21"/>
      <c r="ITX200" s="21"/>
      <c r="ITY200" s="21"/>
      <c r="ITZ200" s="21"/>
      <c r="IUA200" s="21"/>
      <c r="IUB200" s="21"/>
      <c r="IUC200" s="21"/>
      <c r="IUD200" s="21"/>
      <c r="IUE200" s="21"/>
      <c r="IUF200" s="21"/>
      <c r="IUG200" s="21"/>
      <c r="IUH200" s="21"/>
      <c r="IUI200" s="21"/>
      <c r="IUJ200" s="21"/>
      <c r="IUK200" s="21"/>
      <c r="IUL200" s="21"/>
      <c r="IUM200" s="21"/>
      <c r="IUN200" s="21"/>
      <c r="IUO200" s="21"/>
      <c r="IUP200" s="21"/>
      <c r="IUQ200" s="21"/>
      <c r="IUR200" s="21"/>
      <c r="IUS200" s="21"/>
      <c r="IUT200" s="21"/>
      <c r="IUU200" s="21"/>
      <c r="IUV200" s="21"/>
      <c r="IUW200" s="21"/>
      <c r="IUX200" s="21"/>
      <c r="IUY200" s="21"/>
      <c r="IUZ200" s="21"/>
      <c r="IVA200" s="21"/>
      <c r="IVB200" s="21"/>
      <c r="IVC200" s="21"/>
      <c r="IVD200" s="21"/>
      <c r="IVE200" s="21"/>
      <c r="IVF200" s="21"/>
      <c r="IVG200" s="21"/>
      <c r="IVH200" s="21"/>
      <c r="IVI200" s="21"/>
      <c r="IVJ200" s="21"/>
      <c r="IVK200" s="21"/>
      <c r="IVL200" s="21"/>
      <c r="IVM200" s="21"/>
      <c r="IVN200" s="21"/>
      <c r="IVO200" s="21"/>
      <c r="IVP200" s="21"/>
      <c r="IVQ200" s="21"/>
      <c r="IVR200" s="21"/>
      <c r="IVS200" s="21"/>
      <c r="IVT200" s="21"/>
      <c r="IVU200" s="21"/>
      <c r="IVV200" s="21"/>
      <c r="IVW200" s="21"/>
      <c r="IVX200" s="21"/>
      <c r="IVY200" s="21"/>
      <c r="IVZ200" s="21"/>
      <c r="IWA200" s="21"/>
      <c r="IWB200" s="21"/>
      <c r="IWC200" s="21"/>
      <c r="IWD200" s="21"/>
      <c r="IWE200" s="21"/>
      <c r="IWF200" s="21"/>
      <c r="IWG200" s="21"/>
      <c r="IWH200" s="21"/>
      <c r="IWI200" s="21"/>
      <c r="IWJ200" s="21"/>
      <c r="IWK200" s="21"/>
      <c r="IWL200" s="21"/>
      <c r="IWM200" s="21"/>
      <c r="IWN200" s="21"/>
      <c r="IWO200" s="21"/>
      <c r="IWP200" s="21"/>
      <c r="IWQ200" s="21"/>
      <c r="IWR200" s="21"/>
      <c r="IWS200" s="21"/>
      <c r="IWT200" s="21"/>
      <c r="IWU200" s="21"/>
      <c r="IWV200" s="21"/>
      <c r="IWW200" s="21"/>
      <c r="IWX200" s="21"/>
      <c r="IWY200" s="21"/>
      <c r="IWZ200" s="21"/>
      <c r="IXA200" s="21"/>
      <c r="IXB200" s="21"/>
      <c r="IXC200" s="21"/>
      <c r="IXD200" s="21"/>
      <c r="IXE200" s="21"/>
      <c r="IXF200" s="21"/>
      <c r="IXG200" s="21"/>
      <c r="IXH200" s="21"/>
      <c r="IXI200" s="21"/>
      <c r="IXJ200" s="21"/>
      <c r="IXK200" s="21"/>
      <c r="IXL200" s="21"/>
      <c r="IXM200" s="21"/>
      <c r="IXN200" s="21"/>
      <c r="IXO200" s="21"/>
      <c r="IXP200" s="21"/>
      <c r="IXQ200" s="21"/>
      <c r="IXR200" s="21"/>
      <c r="IXS200" s="21"/>
      <c r="IXT200" s="21"/>
      <c r="IXU200" s="21"/>
      <c r="IXV200" s="21"/>
      <c r="IXW200" s="21"/>
      <c r="IXX200" s="21"/>
      <c r="IXY200" s="21"/>
      <c r="IXZ200" s="21"/>
      <c r="IYA200" s="21"/>
      <c r="IYB200" s="21"/>
      <c r="IYC200" s="21"/>
      <c r="IYD200" s="21"/>
      <c r="IYE200" s="21"/>
      <c r="IYF200" s="21"/>
      <c r="IYG200" s="21"/>
      <c r="IYH200" s="21"/>
      <c r="IYI200" s="21"/>
      <c r="IYJ200" s="21"/>
      <c r="IYK200" s="21"/>
      <c r="IYL200" s="21"/>
      <c r="IYM200" s="21"/>
      <c r="IYN200" s="21"/>
      <c r="IYO200" s="21"/>
      <c r="IYP200" s="21"/>
      <c r="IYQ200" s="21"/>
      <c r="IYR200" s="21"/>
      <c r="IYS200" s="21"/>
      <c r="IYT200" s="21"/>
      <c r="IYU200" s="21"/>
      <c r="IYV200" s="21"/>
      <c r="IYW200" s="21"/>
      <c r="IYX200" s="21"/>
      <c r="IYY200" s="21"/>
      <c r="IYZ200" s="21"/>
      <c r="IZA200" s="21"/>
      <c r="IZB200" s="21"/>
      <c r="IZC200" s="21"/>
      <c r="IZD200" s="21"/>
      <c r="IZE200" s="21"/>
      <c r="IZF200" s="21"/>
      <c r="IZG200" s="21"/>
      <c r="IZH200" s="21"/>
      <c r="IZI200" s="21"/>
      <c r="IZJ200" s="21"/>
      <c r="IZK200" s="21"/>
      <c r="IZL200" s="21"/>
      <c r="IZM200" s="21"/>
      <c r="IZN200" s="21"/>
      <c r="IZO200" s="21"/>
      <c r="IZP200" s="21"/>
      <c r="IZQ200" s="21"/>
      <c r="IZR200" s="21"/>
      <c r="IZS200" s="21"/>
      <c r="IZT200" s="21"/>
      <c r="IZU200" s="21"/>
      <c r="IZV200" s="21"/>
      <c r="IZW200" s="21"/>
      <c r="IZX200" s="21"/>
      <c r="IZY200" s="21"/>
      <c r="IZZ200" s="21"/>
      <c r="JAA200" s="21"/>
      <c r="JAB200" s="21"/>
      <c r="JAC200" s="21"/>
      <c r="JAD200" s="21"/>
      <c r="JAE200" s="21"/>
      <c r="JAF200" s="21"/>
      <c r="JAG200" s="21"/>
      <c r="JAH200" s="21"/>
      <c r="JAI200" s="21"/>
      <c r="JAJ200" s="21"/>
      <c r="JAK200" s="21"/>
      <c r="JAL200" s="21"/>
      <c r="JAM200" s="21"/>
      <c r="JAN200" s="21"/>
      <c r="JAO200" s="21"/>
      <c r="JAP200" s="21"/>
      <c r="JAQ200" s="21"/>
      <c r="JAR200" s="21"/>
      <c r="JAS200" s="21"/>
      <c r="JAT200" s="21"/>
      <c r="JAU200" s="21"/>
      <c r="JAV200" s="21"/>
      <c r="JAW200" s="21"/>
      <c r="JAX200" s="21"/>
      <c r="JAY200" s="21"/>
      <c r="JAZ200" s="21"/>
      <c r="JBA200" s="21"/>
      <c r="JBB200" s="21"/>
      <c r="JBC200" s="21"/>
      <c r="JBD200" s="21"/>
      <c r="JBE200" s="21"/>
      <c r="JBF200" s="21"/>
      <c r="JBG200" s="21"/>
      <c r="JBH200" s="21"/>
      <c r="JBI200" s="21"/>
      <c r="JBJ200" s="21"/>
      <c r="JBK200" s="21"/>
      <c r="JBL200" s="21"/>
      <c r="JBM200" s="21"/>
      <c r="JBN200" s="21"/>
      <c r="JBO200" s="21"/>
      <c r="JBP200" s="21"/>
      <c r="JBQ200" s="21"/>
      <c r="JBR200" s="21"/>
      <c r="JBS200" s="21"/>
      <c r="JBT200" s="21"/>
      <c r="JBU200" s="21"/>
      <c r="JBV200" s="21"/>
      <c r="JBW200" s="21"/>
      <c r="JBX200" s="21"/>
      <c r="JBY200" s="21"/>
      <c r="JBZ200" s="21"/>
      <c r="JCA200" s="21"/>
      <c r="JCB200" s="21"/>
      <c r="JCC200" s="21"/>
      <c r="JCD200" s="21"/>
      <c r="JCE200" s="21"/>
      <c r="JCF200" s="21"/>
      <c r="JCG200" s="21"/>
      <c r="JCH200" s="21"/>
      <c r="JCI200" s="21"/>
      <c r="JCJ200" s="21"/>
      <c r="JCK200" s="21"/>
      <c r="JCL200" s="21"/>
      <c r="JCM200" s="21"/>
      <c r="JCN200" s="21"/>
      <c r="JCO200" s="21"/>
      <c r="JCP200" s="21"/>
      <c r="JCQ200" s="21"/>
      <c r="JCR200" s="21"/>
      <c r="JCS200" s="21"/>
      <c r="JCT200" s="21"/>
      <c r="JCU200" s="21"/>
      <c r="JCV200" s="21"/>
      <c r="JCW200" s="21"/>
      <c r="JCX200" s="21"/>
      <c r="JCY200" s="21"/>
      <c r="JCZ200" s="21"/>
      <c r="JDA200" s="21"/>
      <c r="JDB200" s="21"/>
      <c r="JDC200" s="21"/>
      <c r="JDD200" s="21"/>
      <c r="JDE200" s="21"/>
      <c r="JDF200" s="21"/>
      <c r="JDG200" s="21"/>
      <c r="JDH200" s="21"/>
      <c r="JDI200" s="21"/>
      <c r="JDJ200" s="21"/>
      <c r="JDK200" s="21"/>
      <c r="JDL200" s="21"/>
      <c r="JDM200" s="21"/>
      <c r="JDN200" s="21"/>
      <c r="JDO200" s="21"/>
      <c r="JDP200" s="21"/>
      <c r="JDQ200" s="21"/>
      <c r="JDR200" s="21"/>
      <c r="JDS200" s="21"/>
      <c r="JDT200" s="21"/>
      <c r="JDU200" s="21"/>
      <c r="JDV200" s="21"/>
      <c r="JDW200" s="21"/>
      <c r="JDX200" s="21"/>
      <c r="JDY200" s="21"/>
      <c r="JDZ200" s="21"/>
      <c r="JEA200" s="21"/>
      <c r="JEB200" s="21"/>
      <c r="JEC200" s="21"/>
      <c r="JED200" s="21"/>
      <c r="JEE200" s="21"/>
      <c r="JEF200" s="21"/>
      <c r="JEG200" s="21"/>
      <c r="JEH200" s="21"/>
      <c r="JEI200" s="21"/>
      <c r="JEJ200" s="21"/>
      <c r="JEK200" s="21"/>
      <c r="JEL200" s="21"/>
      <c r="JEM200" s="21"/>
      <c r="JEN200" s="21"/>
      <c r="JEO200" s="21"/>
      <c r="JEP200" s="21"/>
      <c r="JEQ200" s="21"/>
      <c r="JER200" s="21"/>
      <c r="JES200" s="21"/>
      <c r="JET200" s="21"/>
      <c r="JEU200" s="21"/>
      <c r="JEV200" s="21"/>
      <c r="JEW200" s="21"/>
      <c r="JEX200" s="21"/>
      <c r="JEY200" s="21"/>
      <c r="JEZ200" s="21"/>
      <c r="JFA200" s="21"/>
      <c r="JFB200" s="21"/>
      <c r="JFC200" s="21"/>
      <c r="JFD200" s="21"/>
      <c r="JFE200" s="21"/>
      <c r="JFF200" s="21"/>
      <c r="JFG200" s="21"/>
      <c r="JFH200" s="21"/>
      <c r="JFI200" s="21"/>
      <c r="JFJ200" s="21"/>
      <c r="JFK200" s="21"/>
      <c r="JFL200" s="21"/>
      <c r="JFM200" s="21"/>
      <c r="JFN200" s="21"/>
      <c r="JFO200" s="21"/>
      <c r="JFP200" s="21"/>
      <c r="JFQ200" s="21"/>
      <c r="JFR200" s="21"/>
      <c r="JFS200" s="21"/>
      <c r="JFT200" s="21"/>
      <c r="JFU200" s="21"/>
      <c r="JFV200" s="21"/>
      <c r="JFW200" s="21"/>
      <c r="JFX200" s="21"/>
      <c r="JFY200" s="21"/>
      <c r="JFZ200" s="21"/>
      <c r="JGA200" s="21"/>
      <c r="JGB200" s="21"/>
      <c r="JGC200" s="21"/>
      <c r="JGD200" s="21"/>
      <c r="JGE200" s="21"/>
      <c r="JGF200" s="21"/>
      <c r="JGG200" s="21"/>
      <c r="JGH200" s="21"/>
      <c r="JGI200" s="21"/>
      <c r="JGJ200" s="21"/>
      <c r="JGK200" s="21"/>
      <c r="JGL200" s="21"/>
      <c r="JGM200" s="21"/>
      <c r="JGN200" s="21"/>
      <c r="JGO200" s="21"/>
      <c r="JGP200" s="21"/>
      <c r="JGQ200" s="21"/>
      <c r="JGR200" s="21"/>
      <c r="JGS200" s="21"/>
      <c r="JGT200" s="21"/>
      <c r="JGU200" s="21"/>
      <c r="JGV200" s="21"/>
      <c r="JGW200" s="21"/>
      <c r="JGX200" s="21"/>
      <c r="JGY200" s="21"/>
      <c r="JGZ200" s="21"/>
      <c r="JHA200" s="21"/>
      <c r="JHB200" s="21"/>
      <c r="JHC200" s="21"/>
      <c r="JHD200" s="21"/>
      <c r="JHE200" s="21"/>
      <c r="JHF200" s="21"/>
      <c r="JHG200" s="21"/>
      <c r="JHH200" s="21"/>
      <c r="JHI200" s="21"/>
      <c r="JHJ200" s="21"/>
      <c r="JHK200" s="21"/>
      <c r="JHL200" s="21"/>
      <c r="JHM200" s="21"/>
      <c r="JHN200" s="21"/>
      <c r="JHO200" s="21"/>
      <c r="JHP200" s="21"/>
      <c r="JHQ200" s="21"/>
      <c r="JHR200" s="21"/>
      <c r="JHS200" s="21"/>
      <c r="JHT200" s="21"/>
      <c r="JHU200" s="21"/>
      <c r="JHV200" s="21"/>
      <c r="JHW200" s="21"/>
      <c r="JHX200" s="21"/>
      <c r="JHY200" s="21"/>
      <c r="JHZ200" s="21"/>
      <c r="JIA200" s="21"/>
      <c r="JIB200" s="21"/>
      <c r="JIC200" s="21"/>
      <c r="JID200" s="21"/>
      <c r="JIE200" s="21"/>
      <c r="JIF200" s="21"/>
      <c r="JIG200" s="21"/>
      <c r="JIH200" s="21"/>
      <c r="JII200" s="21"/>
      <c r="JIJ200" s="21"/>
      <c r="JIK200" s="21"/>
      <c r="JIL200" s="21"/>
      <c r="JIM200" s="21"/>
      <c r="JIN200" s="21"/>
      <c r="JIO200" s="21"/>
      <c r="JIP200" s="21"/>
      <c r="JIQ200" s="21"/>
      <c r="JIR200" s="21"/>
      <c r="JIS200" s="21"/>
      <c r="JIT200" s="21"/>
      <c r="JIU200" s="21"/>
      <c r="JIV200" s="21"/>
      <c r="JIW200" s="21"/>
      <c r="JIX200" s="21"/>
      <c r="JIY200" s="21"/>
      <c r="JIZ200" s="21"/>
      <c r="JJA200" s="21"/>
      <c r="JJB200" s="21"/>
      <c r="JJC200" s="21"/>
      <c r="JJD200" s="21"/>
      <c r="JJE200" s="21"/>
      <c r="JJF200" s="21"/>
      <c r="JJG200" s="21"/>
      <c r="JJH200" s="21"/>
      <c r="JJI200" s="21"/>
      <c r="JJJ200" s="21"/>
      <c r="JJK200" s="21"/>
      <c r="JJL200" s="21"/>
      <c r="JJM200" s="21"/>
      <c r="JJN200" s="21"/>
      <c r="JJO200" s="21"/>
      <c r="JJP200" s="21"/>
      <c r="JJQ200" s="21"/>
      <c r="JJR200" s="21"/>
      <c r="JJS200" s="21"/>
      <c r="JJT200" s="21"/>
      <c r="JJU200" s="21"/>
      <c r="JJV200" s="21"/>
      <c r="JJW200" s="21"/>
      <c r="JJX200" s="21"/>
      <c r="JJY200" s="21"/>
      <c r="JJZ200" s="21"/>
      <c r="JKA200" s="21"/>
      <c r="JKB200" s="21"/>
      <c r="JKC200" s="21"/>
      <c r="JKD200" s="21"/>
      <c r="JKE200" s="21"/>
      <c r="JKF200" s="21"/>
      <c r="JKG200" s="21"/>
      <c r="JKH200" s="21"/>
      <c r="JKI200" s="21"/>
      <c r="JKJ200" s="21"/>
      <c r="JKK200" s="21"/>
      <c r="JKL200" s="21"/>
      <c r="JKM200" s="21"/>
      <c r="JKN200" s="21"/>
      <c r="JKO200" s="21"/>
      <c r="JKP200" s="21"/>
      <c r="JKQ200" s="21"/>
      <c r="JKR200" s="21"/>
      <c r="JKS200" s="21"/>
      <c r="JKT200" s="21"/>
      <c r="JKU200" s="21"/>
      <c r="JKV200" s="21"/>
      <c r="JKW200" s="21"/>
      <c r="JKX200" s="21"/>
      <c r="JKY200" s="21"/>
      <c r="JKZ200" s="21"/>
      <c r="JLA200" s="21"/>
      <c r="JLB200" s="21"/>
      <c r="JLC200" s="21"/>
      <c r="JLD200" s="21"/>
      <c r="JLE200" s="21"/>
      <c r="JLF200" s="21"/>
      <c r="JLG200" s="21"/>
      <c r="JLH200" s="21"/>
      <c r="JLI200" s="21"/>
      <c r="JLJ200" s="21"/>
      <c r="JLK200" s="21"/>
      <c r="JLL200" s="21"/>
      <c r="JLM200" s="21"/>
      <c r="JLN200" s="21"/>
      <c r="JLO200" s="21"/>
      <c r="JLP200" s="21"/>
      <c r="JLQ200" s="21"/>
      <c r="JLR200" s="21"/>
      <c r="JLS200" s="21"/>
      <c r="JLT200" s="21"/>
      <c r="JLU200" s="21"/>
      <c r="JLV200" s="21"/>
      <c r="JLW200" s="21"/>
      <c r="JLX200" s="21"/>
      <c r="JLY200" s="21"/>
      <c r="JLZ200" s="21"/>
      <c r="JMA200" s="21"/>
      <c r="JMB200" s="21"/>
      <c r="JMC200" s="21"/>
      <c r="JMD200" s="21"/>
      <c r="JME200" s="21"/>
      <c r="JMF200" s="21"/>
      <c r="JMG200" s="21"/>
      <c r="JMH200" s="21"/>
      <c r="JMI200" s="21"/>
      <c r="JMJ200" s="21"/>
      <c r="JMK200" s="21"/>
      <c r="JML200" s="21"/>
      <c r="JMM200" s="21"/>
      <c r="JMN200" s="21"/>
      <c r="JMO200" s="21"/>
      <c r="JMP200" s="21"/>
      <c r="JMQ200" s="21"/>
      <c r="JMR200" s="21"/>
      <c r="JMS200" s="21"/>
      <c r="JMT200" s="21"/>
      <c r="JMU200" s="21"/>
      <c r="JMV200" s="21"/>
      <c r="JMW200" s="21"/>
      <c r="JMX200" s="21"/>
      <c r="JMY200" s="21"/>
      <c r="JMZ200" s="21"/>
      <c r="JNA200" s="21"/>
      <c r="JNB200" s="21"/>
      <c r="JNC200" s="21"/>
      <c r="JND200" s="21"/>
      <c r="JNE200" s="21"/>
      <c r="JNF200" s="21"/>
      <c r="JNG200" s="21"/>
      <c r="JNH200" s="21"/>
      <c r="JNI200" s="21"/>
      <c r="JNJ200" s="21"/>
      <c r="JNK200" s="21"/>
      <c r="JNL200" s="21"/>
      <c r="JNM200" s="21"/>
      <c r="JNN200" s="21"/>
      <c r="JNO200" s="21"/>
      <c r="JNP200" s="21"/>
      <c r="JNQ200" s="21"/>
      <c r="JNR200" s="21"/>
      <c r="JNS200" s="21"/>
      <c r="JNT200" s="21"/>
      <c r="JNU200" s="21"/>
      <c r="JNV200" s="21"/>
      <c r="JNW200" s="21"/>
      <c r="JNX200" s="21"/>
      <c r="JNY200" s="21"/>
      <c r="JNZ200" s="21"/>
      <c r="JOA200" s="21"/>
      <c r="JOB200" s="21"/>
      <c r="JOC200" s="21"/>
      <c r="JOD200" s="21"/>
      <c r="JOE200" s="21"/>
      <c r="JOF200" s="21"/>
      <c r="JOG200" s="21"/>
      <c r="JOH200" s="21"/>
      <c r="JOI200" s="21"/>
      <c r="JOJ200" s="21"/>
      <c r="JOK200" s="21"/>
      <c r="JOL200" s="21"/>
      <c r="JOM200" s="21"/>
      <c r="JON200" s="21"/>
      <c r="JOO200" s="21"/>
      <c r="JOP200" s="21"/>
      <c r="JOQ200" s="21"/>
      <c r="JOR200" s="21"/>
      <c r="JOS200" s="21"/>
      <c r="JOT200" s="21"/>
      <c r="JOU200" s="21"/>
      <c r="JOV200" s="21"/>
      <c r="JOW200" s="21"/>
      <c r="JOX200" s="21"/>
      <c r="JOY200" s="21"/>
      <c r="JOZ200" s="21"/>
      <c r="JPA200" s="21"/>
      <c r="JPB200" s="21"/>
      <c r="JPC200" s="21"/>
      <c r="JPD200" s="21"/>
      <c r="JPE200" s="21"/>
      <c r="JPF200" s="21"/>
      <c r="JPG200" s="21"/>
      <c r="JPH200" s="21"/>
      <c r="JPI200" s="21"/>
      <c r="JPJ200" s="21"/>
      <c r="JPK200" s="21"/>
      <c r="JPL200" s="21"/>
      <c r="JPM200" s="21"/>
      <c r="JPN200" s="21"/>
      <c r="JPO200" s="21"/>
      <c r="JPP200" s="21"/>
      <c r="JPQ200" s="21"/>
      <c r="JPR200" s="21"/>
      <c r="JPS200" s="21"/>
      <c r="JPT200" s="21"/>
      <c r="JPU200" s="21"/>
      <c r="JPV200" s="21"/>
      <c r="JPW200" s="21"/>
      <c r="JPX200" s="21"/>
      <c r="JPY200" s="21"/>
      <c r="JPZ200" s="21"/>
      <c r="JQA200" s="21"/>
      <c r="JQB200" s="21"/>
      <c r="JQC200" s="21"/>
      <c r="JQD200" s="21"/>
      <c r="JQE200" s="21"/>
      <c r="JQF200" s="21"/>
      <c r="JQG200" s="21"/>
      <c r="JQH200" s="21"/>
      <c r="JQI200" s="21"/>
      <c r="JQJ200" s="21"/>
      <c r="JQK200" s="21"/>
      <c r="JQL200" s="21"/>
      <c r="JQM200" s="21"/>
      <c r="JQN200" s="21"/>
      <c r="JQO200" s="21"/>
      <c r="JQP200" s="21"/>
      <c r="JQQ200" s="21"/>
      <c r="JQR200" s="21"/>
      <c r="JQS200" s="21"/>
      <c r="JQT200" s="21"/>
      <c r="JQU200" s="21"/>
      <c r="JQV200" s="21"/>
      <c r="JQW200" s="21"/>
      <c r="JQX200" s="21"/>
      <c r="JQY200" s="21"/>
      <c r="JQZ200" s="21"/>
      <c r="JRA200" s="21"/>
      <c r="JRB200" s="21"/>
      <c r="JRC200" s="21"/>
      <c r="JRD200" s="21"/>
      <c r="JRE200" s="21"/>
      <c r="JRF200" s="21"/>
      <c r="JRG200" s="21"/>
      <c r="JRH200" s="21"/>
      <c r="JRI200" s="21"/>
      <c r="JRJ200" s="21"/>
      <c r="JRK200" s="21"/>
      <c r="JRL200" s="21"/>
      <c r="JRM200" s="21"/>
      <c r="JRN200" s="21"/>
      <c r="JRO200" s="21"/>
      <c r="JRP200" s="21"/>
      <c r="JRQ200" s="21"/>
      <c r="JRR200" s="21"/>
      <c r="JRS200" s="21"/>
      <c r="JRT200" s="21"/>
      <c r="JRU200" s="21"/>
      <c r="JRV200" s="21"/>
      <c r="JRW200" s="21"/>
      <c r="JRX200" s="21"/>
      <c r="JRY200" s="21"/>
      <c r="JRZ200" s="21"/>
      <c r="JSA200" s="21"/>
      <c r="JSB200" s="21"/>
      <c r="JSC200" s="21"/>
      <c r="JSD200" s="21"/>
      <c r="JSE200" s="21"/>
      <c r="JSF200" s="21"/>
      <c r="JSG200" s="21"/>
      <c r="JSH200" s="21"/>
      <c r="JSI200" s="21"/>
      <c r="JSJ200" s="21"/>
      <c r="JSK200" s="21"/>
      <c r="JSL200" s="21"/>
      <c r="JSM200" s="21"/>
      <c r="JSN200" s="21"/>
      <c r="JSO200" s="21"/>
      <c r="JSP200" s="21"/>
      <c r="JSQ200" s="21"/>
      <c r="JSR200" s="21"/>
      <c r="JSS200" s="21"/>
      <c r="JST200" s="21"/>
      <c r="JSU200" s="21"/>
      <c r="JSV200" s="21"/>
      <c r="JSW200" s="21"/>
      <c r="JSX200" s="21"/>
      <c r="JSY200" s="21"/>
      <c r="JSZ200" s="21"/>
      <c r="JTA200" s="21"/>
      <c r="JTB200" s="21"/>
      <c r="JTC200" s="21"/>
      <c r="JTD200" s="21"/>
      <c r="JTE200" s="21"/>
      <c r="JTF200" s="21"/>
      <c r="JTG200" s="21"/>
      <c r="JTH200" s="21"/>
      <c r="JTI200" s="21"/>
      <c r="JTJ200" s="21"/>
      <c r="JTK200" s="21"/>
      <c r="JTL200" s="21"/>
      <c r="JTM200" s="21"/>
      <c r="JTN200" s="21"/>
      <c r="JTO200" s="21"/>
      <c r="JTP200" s="21"/>
      <c r="JTQ200" s="21"/>
      <c r="JTR200" s="21"/>
      <c r="JTS200" s="21"/>
      <c r="JTT200" s="21"/>
      <c r="JTU200" s="21"/>
      <c r="JTV200" s="21"/>
      <c r="JTW200" s="21"/>
      <c r="JTX200" s="21"/>
      <c r="JTY200" s="21"/>
      <c r="JTZ200" s="21"/>
      <c r="JUA200" s="21"/>
      <c r="JUB200" s="21"/>
      <c r="JUC200" s="21"/>
      <c r="JUD200" s="21"/>
      <c r="JUE200" s="21"/>
      <c r="JUF200" s="21"/>
      <c r="JUG200" s="21"/>
      <c r="JUH200" s="21"/>
      <c r="JUI200" s="21"/>
      <c r="JUJ200" s="21"/>
      <c r="JUK200" s="21"/>
      <c r="JUL200" s="21"/>
      <c r="JUM200" s="21"/>
      <c r="JUN200" s="21"/>
      <c r="JUO200" s="21"/>
      <c r="JUP200" s="21"/>
      <c r="JUQ200" s="21"/>
      <c r="JUR200" s="21"/>
      <c r="JUS200" s="21"/>
      <c r="JUT200" s="21"/>
      <c r="JUU200" s="21"/>
      <c r="JUV200" s="21"/>
      <c r="JUW200" s="21"/>
      <c r="JUX200" s="21"/>
      <c r="JUY200" s="21"/>
      <c r="JUZ200" s="21"/>
      <c r="JVA200" s="21"/>
      <c r="JVB200" s="21"/>
      <c r="JVC200" s="21"/>
      <c r="JVD200" s="21"/>
      <c r="JVE200" s="21"/>
      <c r="JVF200" s="21"/>
      <c r="JVG200" s="21"/>
      <c r="JVH200" s="21"/>
      <c r="JVI200" s="21"/>
      <c r="JVJ200" s="21"/>
      <c r="JVK200" s="21"/>
      <c r="JVL200" s="21"/>
      <c r="JVM200" s="21"/>
      <c r="JVN200" s="21"/>
      <c r="JVO200" s="21"/>
      <c r="JVP200" s="21"/>
      <c r="JVQ200" s="21"/>
      <c r="JVR200" s="21"/>
      <c r="JVS200" s="21"/>
      <c r="JVT200" s="21"/>
      <c r="JVU200" s="21"/>
      <c r="JVV200" s="21"/>
      <c r="JVW200" s="21"/>
      <c r="JVX200" s="21"/>
      <c r="JVY200" s="21"/>
      <c r="JVZ200" s="21"/>
      <c r="JWA200" s="21"/>
      <c r="JWB200" s="21"/>
      <c r="JWC200" s="21"/>
      <c r="JWD200" s="21"/>
      <c r="JWE200" s="21"/>
      <c r="JWF200" s="21"/>
      <c r="JWG200" s="21"/>
      <c r="JWH200" s="21"/>
      <c r="JWI200" s="21"/>
      <c r="JWJ200" s="21"/>
      <c r="JWK200" s="21"/>
      <c r="JWL200" s="21"/>
      <c r="JWM200" s="21"/>
      <c r="JWN200" s="21"/>
      <c r="JWO200" s="21"/>
      <c r="JWP200" s="21"/>
      <c r="JWQ200" s="21"/>
      <c r="JWR200" s="21"/>
      <c r="JWS200" s="21"/>
      <c r="JWT200" s="21"/>
      <c r="JWU200" s="21"/>
      <c r="JWV200" s="21"/>
      <c r="JWW200" s="21"/>
      <c r="JWX200" s="21"/>
      <c r="JWY200" s="21"/>
      <c r="JWZ200" s="21"/>
      <c r="JXA200" s="21"/>
      <c r="JXB200" s="21"/>
      <c r="JXC200" s="21"/>
      <c r="JXD200" s="21"/>
      <c r="JXE200" s="21"/>
      <c r="JXF200" s="21"/>
      <c r="JXG200" s="21"/>
      <c r="JXH200" s="21"/>
      <c r="JXI200" s="21"/>
      <c r="JXJ200" s="21"/>
      <c r="JXK200" s="21"/>
      <c r="JXL200" s="21"/>
      <c r="JXM200" s="21"/>
      <c r="JXN200" s="21"/>
      <c r="JXO200" s="21"/>
      <c r="JXP200" s="21"/>
      <c r="JXQ200" s="21"/>
      <c r="JXR200" s="21"/>
      <c r="JXS200" s="21"/>
      <c r="JXT200" s="21"/>
      <c r="JXU200" s="21"/>
      <c r="JXV200" s="21"/>
      <c r="JXW200" s="21"/>
      <c r="JXX200" s="21"/>
      <c r="JXY200" s="21"/>
      <c r="JXZ200" s="21"/>
      <c r="JYA200" s="21"/>
      <c r="JYB200" s="21"/>
      <c r="JYC200" s="21"/>
      <c r="JYD200" s="21"/>
      <c r="JYE200" s="21"/>
      <c r="JYF200" s="21"/>
      <c r="JYG200" s="21"/>
      <c r="JYH200" s="21"/>
      <c r="JYI200" s="21"/>
      <c r="JYJ200" s="21"/>
      <c r="JYK200" s="21"/>
      <c r="JYL200" s="21"/>
      <c r="JYM200" s="21"/>
      <c r="JYN200" s="21"/>
      <c r="JYO200" s="21"/>
      <c r="JYP200" s="21"/>
      <c r="JYQ200" s="21"/>
      <c r="JYR200" s="21"/>
      <c r="JYS200" s="21"/>
      <c r="JYT200" s="21"/>
      <c r="JYU200" s="21"/>
      <c r="JYV200" s="21"/>
      <c r="JYW200" s="21"/>
      <c r="JYX200" s="21"/>
      <c r="JYY200" s="21"/>
      <c r="JYZ200" s="21"/>
      <c r="JZA200" s="21"/>
      <c r="JZB200" s="21"/>
      <c r="JZC200" s="21"/>
      <c r="JZD200" s="21"/>
      <c r="JZE200" s="21"/>
      <c r="JZF200" s="21"/>
      <c r="JZG200" s="21"/>
      <c r="JZH200" s="21"/>
      <c r="JZI200" s="21"/>
      <c r="JZJ200" s="21"/>
      <c r="JZK200" s="21"/>
      <c r="JZL200" s="21"/>
      <c r="JZM200" s="21"/>
      <c r="JZN200" s="21"/>
      <c r="JZO200" s="21"/>
      <c r="JZP200" s="21"/>
      <c r="JZQ200" s="21"/>
      <c r="JZR200" s="21"/>
      <c r="JZS200" s="21"/>
      <c r="JZT200" s="21"/>
      <c r="JZU200" s="21"/>
      <c r="JZV200" s="21"/>
      <c r="JZW200" s="21"/>
      <c r="JZX200" s="21"/>
      <c r="JZY200" s="21"/>
      <c r="JZZ200" s="21"/>
      <c r="KAA200" s="21"/>
      <c r="KAB200" s="21"/>
      <c r="KAC200" s="21"/>
      <c r="KAD200" s="21"/>
      <c r="KAE200" s="21"/>
      <c r="KAF200" s="21"/>
      <c r="KAG200" s="21"/>
      <c r="KAH200" s="21"/>
      <c r="KAI200" s="21"/>
      <c r="KAJ200" s="21"/>
      <c r="KAK200" s="21"/>
      <c r="KAL200" s="21"/>
      <c r="KAM200" s="21"/>
      <c r="KAN200" s="21"/>
      <c r="KAO200" s="21"/>
      <c r="KAP200" s="21"/>
      <c r="KAQ200" s="21"/>
      <c r="KAR200" s="21"/>
      <c r="KAS200" s="21"/>
      <c r="KAT200" s="21"/>
      <c r="KAU200" s="21"/>
      <c r="KAV200" s="21"/>
      <c r="KAW200" s="21"/>
      <c r="KAX200" s="21"/>
      <c r="KAY200" s="21"/>
      <c r="KAZ200" s="21"/>
      <c r="KBA200" s="21"/>
      <c r="KBB200" s="21"/>
      <c r="KBC200" s="21"/>
      <c r="KBD200" s="21"/>
      <c r="KBE200" s="21"/>
      <c r="KBF200" s="21"/>
      <c r="KBG200" s="21"/>
      <c r="KBH200" s="21"/>
      <c r="KBI200" s="21"/>
      <c r="KBJ200" s="21"/>
      <c r="KBK200" s="21"/>
      <c r="KBL200" s="21"/>
      <c r="KBM200" s="21"/>
      <c r="KBN200" s="21"/>
      <c r="KBO200" s="21"/>
      <c r="KBP200" s="21"/>
      <c r="KBQ200" s="21"/>
      <c r="KBR200" s="21"/>
      <c r="KBS200" s="21"/>
      <c r="KBT200" s="21"/>
      <c r="KBU200" s="21"/>
      <c r="KBV200" s="21"/>
      <c r="KBW200" s="21"/>
      <c r="KBX200" s="21"/>
      <c r="KBY200" s="21"/>
      <c r="KBZ200" s="21"/>
      <c r="KCA200" s="21"/>
      <c r="KCB200" s="21"/>
      <c r="KCC200" s="21"/>
      <c r="KCD200" s="21"/>
      <c r="KCE200" s="21"/>
      <c r="KCF200" s="21"/>
      <c r="KCG200" s="21"/>
      <c r="KCH200" s="21"/>
      <c r="KCI200" s="21"/>
      <c r="KCJ200" s="21"/>
      <c r="KCK200" s="21"/>
      <c r="KCL200" s="21"/>
      <c r="KCM200" s="21"/>
      <c r="KCN200" s="21"/>
      <c r="KCO200" s="21"/>
      <c r="KCP200" s="21"/>
      <c r="KCQ200" s="21"/>
      <c r="KCR200" s="21"/>
      <c r="KCS200" s="21"/>
      <c r="KCT200" s="21"/>
      <c r="KCU200" s="21"/>
      <c r="KCV200" s="21"/>
      <c r="KCW200" s="21"/>
      <c r="KCX200" s="21"/>
      <c r="KCY200" s="21"/>
      <c r="KCZ200" s="21"/>
      <c r="KDA200" s="21"/>
      <c r="KDB200" s="21"/>
      <c r="KDC200" s="21"/>
      <c r="KDD200" s="21"/>
      <c r="KDE200" s="21"/>
      <c r="KDF200" s="21"/>
      <c r="KDG200" s="21"/>
      <c r="KDH200" s="21"/>
      <c r="KDI200" s="21"/>
      <c r="KDJ200" s="21"/>
      <c r="KDK200" s="21"/>
      <c r="KDL200" s="21"/>
      <c r="KDM200" s="21"/>
      <c r="KDN200" s="21"/>
      <c r="KDO200" s="21"/>
      <c r="KDP200" s="21"/>
      <c r="KDQ200" s="21"/>
      <c r="KDR200" s="21"/>
      <c r="KDS200" s="21"/>
      <c r="KDT200" s="21"/>
      <c r="KDU200" s="21"/>
      <c r="KDV200" s="21"/>
      <c r="KDW200" s="21"/>
      <c r="KDX200" s="21"/>
      <c r="KDY200" s="21"/>
      <c r="KDZ200" s="21"/>
      <c r="KEA200" s="21"/>
      <c r="KEB200" s="21"/>
      <c r="KEC200" s="21"/>
      <c r="KED200" s="21"/>
      <c r="KEE200" s="21"/>
      <c r="KEF200" s="21"/>
      <c r="KEG200" s="21"/>
      <c r="KEH200" s="21"/>
      <c r="KEI200" s="21"/>
      <c r="KEJ200" s="21"/>
      <c r="KEK200" s="21"/>
      <c r="KEL200" s="21"/>
      <c r="KEM200" s="21"/>
      <c r="KEN200" s="21"/>
      <c r="KEO200" s="21"/>
      <c r="KEP200" s="21"/>
      <c r="KEQ200" s="21"/>
      <c r="KER200" s="21"/>
      <c r="KES200" s="21"/>
      <c r="KET200" s="21"/>
      <c r="KEU200" s="21"/>
      <c r="KEV200" s="21"/>
      <c r="KEW200" s="21"/>
      <c r="KEX200" s="21"/>
      <c r="KEY200" s="21"/>
      <c r="KEZ200" s="21"/>
      <c r="KFA200" s="21"/>
      <c r="KFB200" s="21"/>
      <c r="KFC200" s="21"/>
      <c r="KFD200" s="21"/>
      <c r="KFE200" s="21"/>
      <c r="KFF200" s="21"/>
      <c r="KFG200" s="21"/>
      <c r="KFH200" s="21"/>
      <c r="KFI200" s="21"/>
      <c r="KFJ200" s="21"/>
      <c r="KFK200" s="21"/>
      <c r="KFL200" s="21"/>
      <c r="KFM200" s="21"/>
      <c r="KFN200" s="21"/>
      <c r="KFO200" s="21"/>
      <c r="KFP200" s="21"/>
      <c r="KFQ200" s="21"/>
      <c r="KFR200" s="21"/>
      <c r="KFS200" s="21"/>
      <c r="KFT200" s="21"/>
      <c r="KFU200" s="21"/>
      <c r="KFV200" s="21"/>
      <c r="KFW200" s="21"/>
      <c r="KFX200" s="21"/>
      <c r="KFY200" s="21"/>
      <c r="KFZ200" s="21"/>
      <c r="KGA200" s="21"/>
      <c r="KGB200" s="21"/>
      <c r="KGC200" s="21"/>
      <c r="KGD200" s="21"/>
      <c r="KGE200" s="21"/>
      <c r="KGF200" s="21"/>
      <c r="KGG200" s="21"/>
      <c r="KGH200" s="21"/>
      <c r="KGI200" s="21"/>
      <c r="KGJ200" s="21"/>
      <c r="KGK200" s="21"/>
      <c r="KGL200" s="21"/>
      <c r="KGM200" s="21"/>
      <c r="KGN200" s="21"/>
      <c r="KGO200" s="21"/>
      <c r="KGP200" s="21"/>
      <c r="KGQ200" s="21"/>
      <c r="KGR200" s="21"/>
      <c r="KGS200" s="21"/>
      <c r="KGT200" s="21"/>
      <c r="KGU200" s="21"/>
      <c r="KGV200" s="21"/>
      <c r="KGW200" s="21"/>
      <c r="KGX200" s="21"/>
      <c r="KGY200" s="21"/>
      <c r="KGZ200" s="21"/>
      <c r="KHA200" s="21"/>
      <c r="KHB200" s="21"/>
      <c r="KHC200" s="21"/>
      <c r="KHD200" s="21"/>
      <c r="KHE200" s="21"/>
      <c r="KHF200" s="21"/>
      <c r="KHG200" s="21"/>
      <c r="KHH200" s="21"/>
      <c r="KHI200" s="21"/>
      <c r="KHJ200" s="21"/>
      <c r="KHK200" s="21"/>
      <c r="KHL200" s="21"/>
      <c r="KHM200" s="21"/>
      <c r="KHN200" s="21"/>
      <c r="KHO200" s="21"/>
      <c r="KHP200" s="21"/>
      <c r="KHQ200" s="21"/>
      <c r="KHR200" s="21"/>
      <c r="KHS200" s="21"/>
      <c r="KHT200" s="21"/>
      <c r="KHU200" s="21"/>
      <c r="KHV200" s="21"/>
      <c r="KHW200" s="21"/>
      <c r="KHX200" s="21"/>
      <c r="KHY200" s="21"/>
      <c r="KHZ200" s="21"/>
      <c r="KIA200" s="21"/>
      <c r="KIB200" s="21"/>
      <c r="KIC200" s="21"/>
      <c r="KID200" s="21"/>
      <c r="KIE200" s="21"/>
      <c r="KIF200" s="21"/>
      <c r="KIG200" s="21"/>
      <c r="KIH200" s="21"/>
      <c r="KII200" s="21"/>
      <c r="KIJ200" s="21"/>
      <c r="KIK200" s="21"/>
      <c r="KIL200" s="21"/>
      <c r="KIM200" s="21"/>
      <c r="KIN200" s="21"/>
      <c r="KIO200" s="21"/>
      <c r="KIP200" s="21"/>
      <c r="KIQ200" s="21"/>
      <c r="KIR200" s="21"/>
      <c r="KIS200" s="21"/>
      <c r="KIT200" s="21"/>
      <c r="KIU200" s="21"/>
      <c r="KIV200" s="21"/>
      <c r="KIW200" s="21"/>
      <c r="KIX200" s="21"/>
      <c r="KIY200" s="21"/>
      <c r="KIZ200" s="21"/>
      <c r="KJA200" s="21"/>
      <c r="KJB200" s="21"/>
      <c r="KJC200" s="21"/>
      <c r="KJD200" s="21"/>
      <c r="KJE200" s="21"/>
      <c r="KJF200" s="21"/>
      <c r="KJG200" s="21"/>
      <c r="KJH200" s="21"/>
      <c r="KJI200" s="21"/>
      <c r="KJJ200" s="21"/>
      <c r="KJK200" s="21"/>
      <c r="KJL200" s="21"/>
      <c r="KJM200" s="21"/>
      <c r="KJN200" s="21"/>
      <c r="KJO200" s="21"/>
      <c r="KJP200" s="21"/>
      <c r="KJQ200" s="21"/>
      <c r="KJR200" s="21"/>
      <c r="KJS200" s="21"/>
      <c r="KJT200" s="21"/>
      <c r="KJU200" s="21"/>
      <c r="KJV200" s="21"/>
      <c r="KJW200" s="21"/>
      <c r="KJX200" s="21"/>
      <c r="KJY200" s="21"/>
      <c r="KJZ200" s="21"/>
      <c r="KKA200" s="21"/>
      <c r="KKB200" s="21"/>
      <c r="KKC200" s="21"/>
      <c r="KKD200" s="21"/>
      <c r="KKE200" s="21"/>
      <c r="KKF200" s="21"/>
      <c r="KKG200" s="21"/>
      <c r="KKH200" s="21"/>
      <c r="KKI200" s="21"/>
      <c r="KKJ200" s="21"/>
      <c r="KKK200" s="21"/>
      <c r="KKL200" s="21"/>
      <c r="KKM200" s="21"/>
      <c r="KKN200" s="21"/>
      <c r="KKO200" s="21"/>
      <c r="KKP200" s="21"/>
      <c r="KKQ200" s="21"/>
      <c r="KKR200" s="21"/>
      <c r="KKS200" s="21"/>
      <c r="KKT200" s="21"/>
      <c r="KKU200" s="21"/>
      <c r="KKV200" s="21"/>
      <c r="KKW200" s="21"/>
      <c r="KKX200" s="21"/>
      <c r="KKY200" s="21"/>
      <c r="KKZ200" s="21"/>
      <c r="KLA200" s="21"/>
      <c r="KLB200" s="21"/>
      <c r="KLC200" s="21"/>
      <c r="KLD200" s="21"/>
      <c r="KLE200" s="21"/>
      <c r="KLF200" s="21"/>
      <c r="KLG200" s="21"/>
      <c r="KLH200" s="21"/>
      <c r="KLI200" s="21"/>
      <c r="KLJ200" s="21"/>
      <c r="KLK200" s="21"/>
      <c r="KLL200" s="21"/>
      <c r="KLM200" s="21"/>
      <c r="KLN200" s="21"/>
      <c r="KLO200" s="21"/>
      <c r="KLP200" s="21"/>
      <c r="KLQ200" s="21"/>
      <c r="KLR200" s="21"/>
      <c r="KLS200" s="21"/>
      <c r="KLT200" s="21"/>
      <c r="KLU200" s="21"/>
      <c r="KLV200" s="21"/>
      <c r="KLW200" s="21"/>
      <c r="KLX200" s="21"/>
      <c r="KLY200" s="21"/>
      <c r="KLZ200" s="21"/>
      <c r="KMA200" s="21"/>
      <c r="KMB200" s="21"/>
      <c r="KMC200" s="21"/>
      <c r="KMD200" s="21"/>
      <c r="KME200" s="21"/>
      <c r="KMF200" s="21"/>
      <c r="KMG200" s="21"/>
      <c r="KMH200" s="21"/>
      <c r="KMI200" s="21"/>
      <c r="KMJ200" s="21"/>
      <c r="KMK200" s="21"/>
      <c r="KML200" s="21"/>
      <c r="KMM200" s="21"/>
      <c r="KMN200" s="21"/>
      <c r="KMO200" s="21"/>
      <c r="KMP200" s="21"/>
      <c r="KMQ200" s="21"/>
      <c r="KMR200" s="21"/>
      <c r="KMS200" s="21"/>
      <c r="KMT200" s="21"/>
      <c r="KMU200" s="21"/>
      <c r="KMV200" s="21"/>
      <c r="KMW200" s="21"/>
      <c r="KMX200" s="21"/>
      <c r="KMY200" s="21"/>
      <c r="KMZ200" s="21"/>
      <c r="KNA200" s="21"/>
      <c r="KNB200" s="21"/>
      <c r="KNC200" s="21"/>
      <c r="KND200" s="21"/>
      <c r="KNE200" s="21"/>
      <c r="KNF200" s="21"/>
      <c r="KNG200" s="21"/>
      <c r="KNH200" s="21"/>
      <c r="KNI200" s="21"/>
      <c r="KNJ200" s="21"/>
      <c r="KNK200" s="21"/>
      <c r="KNL200" s="21"/>
      <c r="KNM200" s="21"/>
      <c r="KNN200" s="21"/>
      <c r="KNO200" s="21"/>
      <c r="KNP200" s="21"/>
      <c r="KNQ200" s="21"/>
      <c r="KNR200" s="21"/>
      <c r="KNS200" s="21"/>
      <c r="KNT200" s="21"/>
      <c r="KNU200" s="21"/>
      <c r="KNV200" s="21"/>
      <c r="KNW200" s="21"/>
      <c r="KNX200" s="21"/>
      <c r="KNY200" s="21"/>
      <c r="KNZ200" s="21"/>
      <c r="KOA200" s="21"/>
      <c r="KOB200" s="21"/>
      <c r="KOC200" s="21"/>
      <c r="KOD200" s="21"/>
      <c r="KOE200" s="21"/>
      <c r="KOF200" s="21"/>
      <c r="KOG200" s="21"/>
      <c r="KOH200" s="21"/>
      <c r="KOI200" s="21"/>
      <c r="KOJ200" s="21"/>
      <c r="KOK200" s="21"/>
      <c r="KOL200" s="21"/>
      <c r="KOM200" s="21"/>
      <c r="KON200" s="21"/>
      <c r="KOO200" s="21"/>
      <c r="KOP200" s="21"/>
      <c r="KOQ200" s="21"/>
      <c r="KOR200" s="21"/>
      <c r="KOS200" s="21"/>
      <c r="KOT200" s="21"/>
      <c r="KOU200" s="21"/>
      <c r="KOV200" s="21"/>
      <c r="KOW200" s="21"/>
      <c r="KOX200" s="21"/>
      <c r="KOY200" s="21"/>
      <c r="KOZ200" s="21"/>
      <c r="KPA200" s="21"/>
      <c r="KPB200" s="21"/>
      <c r="KPC200" s="21"/>
      <c r="KPD200" s="21"/>
      <c r="KPE200" s="21"/>
      <c r="KPF200" s="21"/>
      <c r="KPG200" s="21"/>
      <c r="KPH200" s="21"/>
      <c r="KPI200" s="21"/>
      <c r="KPJ200" s="21"/>
      <c r="KPK200" s="21"/>
      <c r="KPL200" s="21"/>
      <c r="KPM200" s="21"/>
      <c r="KPN200" s="21"/>
      <c r="KPO200" s="21"/>
      <c r="KPP200" s="21"/>
      <c r="KPQ200" s="21"/>
      <c r="KPR200" s="21"/>
      <c r="KPS200" s="21"/>
      <c r="KPT200" s="21"/>
      <c r="KPU200" s="21"/>
      <c r="KPV200" s="21"/>
      <c r="KPW200" s="21"/>
      <c r="KPX200" s="21"/>
      <c r="KPY200" s="21"/>
      <c r="KPZ200" s="21"/>
      <c r="KQA200" s="21"/>
      <c r="KQB200" s="21"/>
      <c r="KQC200" s="21"/>
      <c r="KQD200" s="21"/>
      <c r="KQE200" s="21"/>
      <c r="KQF200" s="21"/>
      <c r="KQG200" s="21"/>
      <c r="KQH200" s="21"/>
      <c r="KQI200" s="21"/>
      <c r="KQJ200" s="21"/>
      <c r="KQK200" s="21"/>
      <c r="KQL200" s="21"/>
      <c r="KQM200" s="21"/>
      <c r="KQN200" s="21"/>
      <c r="KQO200" s="21"/>
      <c r="KQP200" s="21"/>
      <c r="KQQ200" s="21"/>
      <c r="KQR200" s="21"/>
      <c r="KQS200" s="21"/>
      <c r="KQT200" s="21"/>
      <c r="KQU200" s="21"/>
      <c r="KQV200" s="21"/>
      <c r="KQW200" s="21"/>
      <c r="KQX200" s="21"/>
      <c r="KQY200" s="21"/>
      <c r="KQZ200" s="21"/>
      <c r="KRA200" s="21"/>
      <c r="KRB200" s="21"/>
      <c r="KRC200" s="21"/>
      <c r="KRD200" s="21"/>
      <c r="KRE200" s="21"/>
      <c r="KRF200" s="21"/>
      <c r="KRG200" s="21"/>
      <c r="KRH200" s="21"/>
      <c r="KRI200" s="21"/>
      <c r="KRJ200" s="21"/>
      <c r="KRK200" s="21"/>
      <c r="KRL200" s="21"/>
      <c r="KRM200" s="21"/>
      <c r="KRN200" s="21"/>
      <c r="KRO200" s="21"/>
      <c r="KRP200" s="21"/>
      <c r="KRQ200" s="21"/>
      <c r="KRR200" s="21"/>
      <c r="KRS200" s="21"/>
      <c r="KRT200" s="21"/>
      <c r="KRU200" s="21"/>
      <c r="KRV200" s="21"/>
      <c r="KRW200" s="21"/>
      <c r="KRX200" s="21"/>
      <c r="KRY200" s="21"/>
      <c r="KRZ200" s="21"/>
      <c r="KSA200" s="21"/>
      <c r="KSB200" s="21"/>
      <c r="KSC200" s="21"/>
      <c r="KSD200" s="21"/>
      <c r="KSE200" s="21"/>
      <c r="KSF200" s="21"/>
      <c r="KSG200" s="21"/>
      <c r="KSH200" s="21"/>
      <c r="KSI200" s="21"/>
      <c r="KSJ200" s="21"/>
      <c r="KSK200" s="21"/>
      <c r="KSL200" s="21"/>
      <c r="KSM200" s="21"/>
      <c r="KSN200" s="21"/>
      <c r="KSO200" s="21"/>
      <c r="KSP200" s="21"/>
      <c r="KSQ200" s="21"/>
      <c r="KSR200" s="21"/>
      <c r="KSS200" s="21"/>
      <c r="KST200" s="21"/>
      <c r="KSU200" s="21"/>
      <c r="KSV200" s="21"/>
      <c r="KSW200" s="21"/>
      <c r="KSX200" s="21"/>
      <c r="KSY200" s="21"/>
      <c r="KSZ200" s="21"/>
      <c r="KTA200" s="21"/>
      <c r="KTB200" s="21"/>
      <c r="KTC200" s="21"/>
      <c r="KTD200" s="21"/>
      <c r="KTE200" s="21"/>
      <c r="KTF200" s="21"/>
      <c r="KTG200" s="21"/>
      <c r="KTH200" s="21"/>
      <c r="KTI200" s="21"/>
      <c r="KTJ200" s="21"/>
      <c r="KTK200" s="21"/>
      <c r="KTL200" s="21"/>
      <c r="KTM200" s="21"/>
      <c r="KTN200" s="21"/>
      <c r="KTO200" s="21"/>
      <c r="KTP200" s="21"/>
      <c r="KTQ200" s="21"/>
      <c r="KTR200" s="21"/>
      <c r="KTS200" s="21"/>
      <c r="KTT200" s="21"/>
      <c r="KTU200" s="21"/>
      <c r="KTV200" s="21"/>
      <c r="KTW200" s="21"/>
      <c r="KTX200" s="21"/>
      <c r="KTY200" s="21"/>
      <c r="KTZ200" s="21"/>
      <c r="KUA200" s="21"/>
      <c r="KUB200" s="21"/>
      <c r="KUC200" s="21"/>
      <c r="KUD200" s="21"/>
      <c r="KUE200" s="21"/>
      <c r="KUF200" s="21"/>
      <c r="KUG200" s="21"/>
      <c r="KUH200" s="21"/>
      <c r="KUI200" s="21"/>
      <c r="KUJ200" s="21"/>
      <c r="KUK200" s="21"/>
      <c r="KUL200" s="21"/>
      <c r="KUM200" s="21"/>
      <c r="KUN200" s="21"/>
      <c r="KUO200" s="21"/>
      <c r="KUP200" s="21"/>
      <c r="KUQ200" s="21"/>
      <c r="KUR200" s="21"/>
      <c r="KUS200" s="21"/>
      <c r="KUT200" s="21"/>
      <c r="KUU200" s="21"/>
      <c r="KUV200" s="21"/>
      <c r="KUW200" s="21"/>
      <c r="KUX200" s="21"/>
      <c r="KUY200" s="21"/>
      <c r="KUZ200" s="21"/>
      <c r="KVA200" s="21"/>
      <c r="KVB200" s="21"/>
      <c r="KVC200" s="21"/>
      <c r="KVD200" s="21"/>
      <c r="KVE200" s="21"/>
      <c r="KVF200" s="21"/>
      <c r="KVG200" s="21"/>
      <c r="KVH200" s="21"/>
      <c r="KVI200" s="21"/>
      <c r="KVJ200" s="21"/>
      <c r="KVK200" s="21"/>
      <c r="KVL200" s="21"/>
      <c r="KVM200" s="21"/>
      <c r="KVN200" s="21"/>
      <c r="KVO200" s="21"/>
      <c r="KVP200" s="21"/>
      <c r="KVQ200" s="21"/>
      <c r="KVR200" s="21"/>
      <c r="KVS200" s="21"/>
      <c r="KVT200" s="21"/>
      <c r="KVU200" s="21"/>
      <c r="KVV200" s="21"/>
      <c r="KVW200" s="21"/>
      <c r="KVX200" s="21"/>
      <c r="KVY200" s="21"/>
      <c r="KVZ200" s="21"/>
      <c r="KWA200" s="21"/>
      <c r="KWB200" s="21"/>
      <c r="KWC200" s="21"/>
      <c r="KWD200" s="21"/>
      <c r="KWE200" s="21"/>
      <c r="KWF200" s="21"/>
      <c r="KWG200" s="21"/>
      <c r="KWH200" s="21"/>
      <c r="KWI200" s="21"/>
      <c r="KWJ200" s="21"/>
      <c r="KWK200" s="21"/>
      <c r="KWL200" s="21"/>
      <c r="KWM200" s="21"/>
      <c r="KWN200" s="21"/>
      <c r="KWO200" s="21"/>
      <c r="KWP200" s="21"/>
      <c r="KWQ200" s="21"/>
      <c r="KWR200" s="21"/>
      <c r="KWS200" s="21"/>
      <c r="KWT200" s="21"/>
      <c r="KWU200" s="21"/>
      <c r="KWV200" s="21"/>
      <c r="KWW200" s="21"/>
      <c r="KWX200" s="21"/>
      <c r="KWY200" s="21"/>
      <c r="KWZ200" s="21"/>
      <c r="KXA200" s="21"/>
      <c r="KXB200" s="21"/>
      <c r="KXC200" s="21"/>
      <c r="KXD200" s="21"/>
      <c r="KXE200" s="21"/>
      <c r="KXF200" s="21"/>
      <c r="KXG200" s="21"/>
      <c r="KXH200" s="21"/>
      <c r="KXI200" s="21"/>
      <c r="KXJ200" s="21"/>
      <c r="KXK200" s="21"/>
      <c r="KXL200" s="21"/>
      <c r="KXM200" s="21"/>
      <c r="KXN200" s="21"/>
      <c r="KXO200" s="21"/>
      <c r="KXP200" s="21"/>
      <c r="KXQ200" s="21"/>
      <c r="KXR200" s="21"/>
      <c r="KXS200" s="21"/>
      <c r="KXT200" s="21"/>
      <c r="KXU200" s="21"/>
      <c r="KXV200" s="21"/>
      <c r="KXW200" s="21"/>
      <c r="KXX200" s="21"/>
      <c r="KXY200" s="21"/>
      <c r="KXZ200" s="21"/>
      <c r="KYA200" s="21"/>
      <c r="KYB200" s="21"/>
      <c r="KYC200" s="21"/>
      <c r="KYD200" s="21"/>
      <c r="KYE200" s="21"/>
      <c r="KYF200" s="21"/>
      <c r="KYG200" s="21"/>
      <c r="KYH200" s="21"/>
      <c r="KYI200" s="21"/>
      <c r="KYJ200" s="21"/>
      <c r="KYK200" s="21"/>
      <c r="KYL200" s="21"/>
      <c r="KYM200" s="21"/>
      <c r="KYN200" s="21"/>
      <c r="KYO200" s="21"/>
      <c r="KYP200" s="21"/>
      <c r="KYQ200" s="21"/>
      <c r="KYR200" s="21"/>
      <c r="KYS200" s="21"/>
      <c r="KYT200" s="21"/>
      <c r="KYU200" s="21"/>
      <c r="KYV200" s="21"/>
      <c r="KYW200" s="21"/>
      <c r="KYX200" s="21"/>
      <c r="KYY200" s="21"/>
      <c r="KYZ200" s="21"/>
      <c r="KZA200" s="21"/>
      <c r="KZB200" s="21"/>
      <c r="KZC200" s="21"/>
      <c r="KZD200" s="21"/>
      <c r="KZE200" s="21"/>
      <c r="KZF200" s="21"/>
      <c r="KZG200" s="21"/>
      <c r="KZH200" s="21"/>
      <c r="KZI200" s="21"/>
      <c r="KZJ200" s="21"/>
      <c r="KZK200" s="21"/>
      <c r="KZL200" s="21"/>
      <c r="KZM200" s="21"/>
      <c r="KZN200" s="21"/>
      <c r="KZO200" s="21"/>
      <c r="KZP200" s="21"/>
      <c r="KZQ200" s="21"/>
      <c r="KZR200" s="21"/>
      <c r="KZS200" s="21"/>
      <c r="KZT200" s="21"/>
      <c r="KZU200" s="21"/>
      <c r="KZV200" s="21"/>
      <c r="KZW200" s="21"/>
      <c r="KZX200" s="21"/>
      <c r="KZY200" s="21"/>
      <c r="KZZ200" s="21"/>
      <c r="LAA200" s="21"/>
      <c r="LAB200" s="21"/>
      <c r="LAC200" s="21"/>
      <c r="LAD200" s="21"/>
      <c r="LAE200" s="21"/>
      <c r="LAF200" s="21"/>
      <c r="LAG200" s="21"/>
      <c r="LAH200" s="21"/>
      <c r="LAI200" s="21"/>
      <c r="LAJ200" s="21"/>
      <c r="LAK200" s="21"/>
      <c r="LAL200" s="21"/>
      <c r="LAM200" s="21"/>
      <c r="LAN200" s="21"/>
      <c r="LAO200" s="21"/>
      <c r="LAP200" s="21"/>
      <c r="LAQ200" s="21"/>
      <c r="LAR200" s="21"/>
      <c r="LAS200" s="21"/>
      <c r="LAT200" s="21"/>
      <c r="LAU200" s="21"/>
      <c r="LAV200" s="21"/>
      <c r="LAW200" s="21"/>
      <c r="LAX200" s="21"/>
      <c r="LAY200" s="21"/>
      <c r="LAZ200" s="21"/>
      <c r="LBA200" s="21"/>
      <c r="LBB200" s="21"/>
      <c r="LBC200" s="21"/>
      <c r="LBD200" s="21"/>
      <c r="LBE200" s="21"/>
      <c r="LBF200" s="21"/>
      <c r="LBG200" s="21"/>
      <c r="LBH200" s="21"/>
      <c r="LBI200" s="21"/>
      <c r="LBJ200" s="21"/>
      <c r="LBK200" s="21"/>
      <c r="LBL200" s="21"/>
      <c r="LBM200" s="21"/>
      <c r="LBN200" s="21"/>
      <c r="LBO200" s="21"/>
      <c r="LBP200" s="21"/>
      <c r="LBQ200" s="21"/>
      <c r="LBR200" s="21"/>
      <c r="LBS200" s="21"/>
      <c r="LBT200" s="21"/>
      <c r="LBU200" s="21"/>
      <c r="LBV200" s="21"/>
      <c r="LBW200" s="21"/>
      <c r="LBX200" s="21"/>
      <c r="LBY200" s="21"/>
      <c r="LBZ200" s="21"/>
      <c r="LCA200" s="21"/>
      <c r="LCB200" s="21"/>
      <c r="LCC200" s="21"/>
      <c r="LCD200" s="21"/>
      <c r="LCE200" s="21"/>
      <c r="LCF200" s="21"/>
      <c r="LCG200" s="21"/>
      <c r="LCH200" s="21"/>
      <c r="LCI200" s="21"/>
      <c r="LCJ200" s="21"/>
      <c r="LCK200" s="21"/>
      <c r="LCL200" s="21"/>
      <c r="LCM200" s="21"/>
      <c r="LCN200" s="21"/>
      <c r="LCO200" s="21"/>
      <c r="LCP200" s="21"/>
      <c r="LCQ200" s="21"/>
      <c r="LCR200" s="21"/>
      <c r="LCS200" s="21"/>
      <c r="LCT200" s="21"/>
      <c r="LCU200" s="21"/>
      <c r="LCV200" s="21"/>
      <c r="LCW200" s="21"/>
      <c r="LCX200" s="21"/>
      <c r="LCY200" s="21"/>
      <c r="LCZ200" s="21"/>
      <c r="LDA200" s="21"/>
      <c r="LDB200" s="21"/>
      <c r="LDC200" s="21"/>
      <c r="LDD200" s="21"/>
      <c r="LDE200" s="21"/>
      <c r="LDF200" s="21"/>
      <c r="LDG200" s="21"/>
      <c r="LDH200" s="21"/>
      <c r="LDI200" s="21"/>
      <c r="LDJ200" s="21"/>
      <c r="LDK200" s="21"/>
      <c r="LDL200" s="21"/>
      <c r="LDM200" s="21"/>
      <c r="LDN200" s="21"/>
      <c r="LDO200" s="21"/>
      <c r="LDP200" s="21"/>
      <c r="LDQ200" s="21"/>
      <c r="LDR200" s="21"/>
      <c r="LDS200" s="21"/>
      <c r="LDT200" s="21"/>
      <c r="LDU200" s="21"/>
      <c r="LDV200" s="21"/>
      <c r="LDW200" s="21"/>
      <c r="LDX200" s="21"/>
      <c r="LDY200" s="21"/>
      <c r="LDZ200" s="21"/>
      <c r="LEA200" s="21"/>
      <c r="LEB200" s="21"/>
      <c r="LEC200" s="21"/>
      <c r="LED200" s="21"/>
      <c r="LEE200" s="21"/>
      <c r="LEF200" s="21"/>
      <c r="LEG200" s="21"/>
      <c r="LEH200" s="21"/>
      <c r="LEI200" s="21"/>
      <c r="LEJ200" s="21"/>
      <c r="LEK200" s="21"/>
      <c r="LEL200" s="21"/>
      <c r="LEM200" s="21"/>
      <c r="LEN200" s="21"/>
      <c r="LEO200" s="21"/>
      <c r="LEP200" s="21"/>
      <c r="LEQ200" s="21"/>
      <c r="LER200" s="21"/>
      <c r="LES200" s="21"/>
      <c r="LET200" s="21"/>
      <c r="LEU200" s="21"/>
      <c r="LEV200" s="21"/>
      <c r="LEW200" s="21"/>
      <c r="LEX200" s="21"/>
      <c r="LEY200" s="21"/>
      <c r="LEZ200" s="21"/>
      <c r="LFA200" s="21"/>
      <c r="LFB200" s="21"/>
      <c r="LFC200" s="21"/>
      <c r="LFD200" s="21"/>
      <c r="LFE200" s="21"/>
      <c r="LFF200" s="21"/>
      <c r="LFG200" s="21"/>
      <c r="LFH200" s="21"/>
      <c r="LFI200" s="21"/>
      <c r="LFJ200" s="21"/>
      <c r="LFK200" s="21"/>
      <c r="LFL200" s="21"/>
      <c r="LFM200" s="21"/>
      <c r="LFN200" s="21"/>
      <c r="LFO200" s="21"/>
      <c r="LFP200" s="21"/>
      <c r="LFQ200" s="21"/>
      <c r="LFR200" s="21"/>
      <c r="LFS200" s="21"/>
      <c r="LFT200" s="21"/>
      <c r="LFU200" s="21"/>
      <c r="LFV200" s="21"/>
      <c r="LFW200" s="21"/>
      <c r="LFX200" s="21"/>
      <c r="LFY200" s="21"/>
      <c r="LFZ200" s="21"/>
      <c r="LGA200" s="21"/>
      <c r="LGB200" s="21"/>
      <c r="LGC200" s="21"/>
      <c r="LGD200" s="21"/>
      <c r="LGE200" s="21"/>
      <c r="LGF200" s="21"/>
      <c r="LGG200" s="21"/>
      <c r="LGH200" s="21"/>
      <c r="LGI200" s="21"/>
      <c r="LGJ200" s="21"/>
      <c r="LGK200" s="21"/>
      <c r="LGL200" s="21"/>
      <c r="LGM200" s="21"/>
      <c r="LGN200" s="21"/>
      <c r="LGO200" s="21"/>
      <c r="LGP200" s="21"/>
      <c r="LGQ200" s="21"/>
      <c r="LGR200" s="21"/>
      <c r="LGS200" s="21"/>
      <c r="LGT200" s="21"/>
      <c r="LGU200" s="21"/>
      <c r="LGV200" s="21"/>
      <c r="LGW200" s="21"/>
      <c r="LGX200" s="21"/>
      <c r="LGY200" s="21"/>
      <c r="LGZ200" s="21"/>
      <c r="LHA200" s="21"/>
      <c r="LHB200" s="21"/>
      <c r="LHC200" s="21"/>
      <c r="LHD200" s="21"/>
      <c r="LHE200" s="21"/>
      <c r="LHF200" s="21"/>
      <c r="LHG200" s="21"/>
      <c r="LHH200" s="21"/>
      <c r="LHI200" s="21"/>
      <c r="LHJ200" s="21"/>
      <c r="LHK200" s="21"/>
      <c r="LHL200" s="21"/>
      <c r="LHM200" s="21"/>
      <c r="LHN200" s="21"/>
      <c r="LHO200" s="21"/>
      <c r="LHP200" s="21"/>
      <c r="LHQ200" s="21"/>
      <c r="LHR200" s="21"/>
      <c r="LHS200" s="21"/>
      <c r="LHT200" s="21"/>
      <c r="LHU200" s="21"/>
      <c r="LHV200" s="21"/>
      <c r="LHW200" s="21"/>
      <c r="LHX200" s="21"/>
      <c r="LHY200" s="21"/>
      <c r="LHZ200" s="21"/>
      <c r="LIA200" s="21"/>
      <c r="LIB200" s="21"/>
      <c r="LIC200" s="21"/>
      <c r="LID200" s="21"/>
      <c r="LIE200" s="21"/>
      <c r="LIF200" s="21"/>
      <c r="LIG200" s="21"/>
      <c r="LIH200" s="21"/>
      <c r="LII200" s="21"/>
      <c r="LIJ200" s="21"/>
      <c r="LIK200" s="21"/>
      <c r="LIL200" s="21"/>
      <c r="LIM200" s="21"/>
      <c r="LIN200" s="21"/>
      <c r="LIO200" s="21"/>
      <c r="LIP200" s="21"/>
      <c r="LIQ200" s="21"/>
      <c r="LIR200" s="21"/>
      <c r="LIS200" s="21"/>
      <c r="LIT200" s="21"/>
      <c r="LIU200" s="21"/>
      <c r="LIV200" s="21"/>
      <c r="LIW200" s="21"/>
      <c r="LIX200" s="21"/>
      <c r="LIY200" s="21"/>
      <c r="LIZ200" s="21"/>
      <c r="LJA200" s="21"/>
      <c r="LJB200" s="21"/>
      <c r="LJC200" s="21"/>
      <c r="LJD200" s="21"/>
      <c r="LJE200" s="21"/>
      <c r="LJF200" s="21"/>
      <c r="LJG200" s="21"/>
      <c r="LJH200" s="21"/>
      <c r="LJI200" s="21"/>
      <c r="LJJ200" s="21"/>
      <c r="LJK200" s="21"/>
      <c r="LJL200" s="21"/>
      <c r="LJM200" s="21"/>
      <c r="LJN200" s="21"/>
      <c r="LJO200" s="21"/>
      <c r="LJP200" s="21"/>
      <c r="LJQ200" s="21"/>
      <c r="LJR200" s="21"/>
      <c r="LJS200" s="21"/>
      <c r="LJT200" s="21"/>
      <c r="LJU200" s="21"/>
      <c r="LJV200" s="21"/>
      <c r="LJW200" s="21"/>
      <c r="LJX200" s="21"/>
      <c r="LJY200" s="21"/>
      <c r="LJZ200" s="21"/>
      <c r="LKA200" s="21"/>
      <c r="LKB200" s="21"/>
      <c r="LKC200" s="21"/>
      <c r="LKD200" s="21"/>
      <c r="LKE200" s="21"/>
      <c r="LKF200" s="21"/>
      <c r="LKG200" s="21"/>
      <c r="LKH200" s="21"/>
      <c r="LKI200" s="21"/>
      <c r="LKJ200" s="21"/>
      <c r="LKK200" s="21"/>
      <c r="LKL200" s="21"/>
      <c r="LKM200" s="21"/>
      <c r="LKN200" s="21"/>
      <c r="LKO200" s="21"/>
      <c r="LKP200" s="21"/>
      <c r="LKQ200" s="21"/>
      <c r="LKR200" s="21"/>
      <c r="LKS200" s="21"/>
      <c r="LKT200" s="21"/>
      <c r="LKU200" s="21"/>
      <c r="LKV200" s="21"/>
      <c r="LKW200" s="21"/>
      <c r="LKX200" s="21"/>
      <c r="LKY200" s="21"/>
      <c r="LKZ200" s="21"/>
      <c r="LLA200" s="21"/>
      <c r="LLB200" s="21"/>
      <c r="LLC200" s="21"/>
      <c r="LLD200" s="21"/>
      <c r="LLE200" s="21"/>
      <c r="LLF200" s="21"/>
      <c r="LLG200" s="21"/>
      <c r="LLH200" s="21"/>
      <c r="LLI200" s="21"/>
      <c r="LLJ200" s="21"/>
      <c r="LLK200" s="21"/>
      <c r="LLL200" s="21"/>
      <c r="LLM200" s="21"/>
      <c r="LLN200" s="21"/>
      <c r="LLO200" s="21"/>
      <c r="LLP200" s="21"/>
      <c r="LLQ200" s="21"/>
      <c r="LLR200" s="21"/>
      <c r="LLS200" s="21"/>
      <c r="LLT200" s="21"/>
      <c r="LLU200" s="21"/>
      <c r="LLV200" s="21"/>
      <c r="LLW200" s="21"/>
      <c r="LLX200" s="21"/>
      <c r="LLY200" s="21"/>
      <c r="LLZ200" s="21"/>
      <c r="LMA200" s="21"/>
      <c r="LMB200" s="21"/>
      <c r="LMC200" s="21"/>
      <c r="LMD200" s="21"/>
      <c r="LME200" s="21"/>
      <c r="LMF200" s="21"/>
      <c r="LMG200" s="21"/>
      <c r="LMH200" s="21"/>
      <c r="LMI200" s="21"/>
      <c r="LMJ200" s="21"/>
      <c r="LMK200" s="21"/>
      <c r="LML200" s="21"/>
      <c r="LMM200" s="21"/>
      <c r="LMN200" s="21"/>
      <c r="LMO200" s="21"/>
      <c r="LMP200" s="21"/>
      <c r="LMQ200" s="21"/>
      <c r="LMR200" s="21"/>
      <c r="LMS200" s="21"/>
      <c r="LMT200" s="21"/>
      <c r="LMU200" s="21"/>
      <c r="LMV200" s="21"/>
      <c r="LMW200" s="21"/>
      <c r="LMX200" s="21"/>
      <c r="LMY200" s="21"/>
      <c r="LMZ200" s="21"/>
      <c r="LNA200" s="21"/>
      <c r="LNB200" s="21"/>
      <c r="LNC200" s="21"/>
      <c r="LND200" s="21"/>
      <c r="LNE200" s="21"/>
      <c r="LNF200" s="21"/>
      <c r="LNG200" s="21"/>
      <c r="LNH200" s="21"/>
      <c r="LNI200" s="21"/>
      <c r="LNJ200" s="21"/>
      <c r="LNK200" s="21"/>
      <c r="LNL200" s="21"/>
      <c r="LNM200" s="21"/>
      <c r="LNN200" s="21"/>
      <c r="LNO200" s="21"/>
      <c r="LNP200" s="21"/>
      <c r="LNQ200" s="21"/>
      <c r="LNR200" s="21"/>
      <c r="LNS200" s="21"/>
      <c r="LNT200" s="21"/>
      <c r="LNU200" s="21"/>
      <c r="LNV200" s="21"/>
      <c r="LNW200" s="21"/>
      <c r="LNX200" s="21"/>
      <c r="LNY200" s="21"/>
      <c r="LNZ200" s="21"/>
      <c r="LOA200" s="21"/>
      <c r="LOB200" s="21"/>
      <c r="LOC200" s="21"/>
      <c r="LOD200" s="21"/>
      <c r="LOE200" s="21"/>
      <c r="LOF200" s="21"/>
      <c r="LOG200" s="21"/>
      <c r="LOH200" s="21"/>
      <c r="LOI200" s="21"/>
      <c r="LOJ200" s="21"/>
      <c r="LOK200" s="21"/>
      <c r="LOL200" s="21"/>
      <c r="LOM200" s="21"/>
      <c r="LON200" s="21"/>
      <c r="LOO200" s="21"/>
      <c r="LOP200" s="21"/>
      <c r="LOQ200" s="21"/>
      <c r="LOR200" s="21"/>
      <c r="LOS200" s="21"/>
      <c r="LOT200" s="21"/>
      <c r="LOU200" s="21"/>
      <c r="LOV200" s="21"/>
      <c r="LOW200" s="21"/>
      <c r="LOX200" s="21"/>
      <c r="LOY200" s="21"/>
      <c r="LOZ200" s="21"/>
      <c r="LPA200" s="21"/>
      <c r="LPB200" s="21"/>
      <c r="LPC200" s="21"/>
      <c r="LPD200" s="21"/>
      <c r="LPE200" s="21"/>
      <c r="LPF200" s="21"/>
      <c r="LPG200" s="21"/>
      <c r="LPH200" s="21"/>
      <c r="LPI200" s="21"/>
      <c r="LPJ200" s="21"/>
      <c r="LPK200" s="21"/>
      <c r="LPL200" s="21"/>
      <c r="LPM200" s="21"/>
      <c r="LPN200" s="21"/>
      <c r="LPO200" s="21"/>
      <c r="LPP200" s="21"/>
      <c r="LPQ200" s="21"/>
      <c r="LPR200" s="21"/>
      <c r="LPS200" s="21"/>
      <c r="LPT200" s="21"/>
      <c r="LPU200" s="21"/>
      <c r="LPV200" s="21"/>
      <c r="LPW200" s="21"/>
      <c r="LPX200" s="21"/>
      <c r="LPY200" s="21"/>
      <c r="LPZ200" s="21"/>
      <c r="LQA200" s="21"/>
      <c r="LQB200" s="21"/>
      <c r="LQC200" s="21"/>
      <c r="LQD200" s="21"/>
      <c r="LQE200" s="21"/>
      <c r="LQF200" s="21"/>
      <c r="LQG200" s="21"/>
      <c r="LQH200" s="21"/>
      <c r="LQI200" s="21"/>
      <c r="LQJ200" s="21"/>
      <c r="LQK200" s="21"/>
      <c r="LQL200" s="21"/>
      <c r="LQM200" s="21"/>
      <c r="LQN200" s="21"/>
      <c r="LQO200" s="21"/>
      <c r="LQP200" s="21"/>
      <c r="LQQ200" s="21"/>
      <c r="LQR200" s="21"/>
      <c r="LQS200" s="21"/>
      <c r="LQT200" s="21"/>
      <c r="LQU200" s="21"/>
      <c r="LQV200" s="21"/>
      <c r="LQW200" s="21"/>
      <c r="LQX200" s="21"/>
      <c r="LQY200" s="21"/>
      <c r="LQZ200" s="21"/>
      <c r="LRA200" s="21"/>
      <c r="LRB200" s="21"/>
      <c r="LRC200" s="21"/>
      <c r="LRD200" s="21"/>
      <c r="LRE200" s="21"/>
      <c r="LRF200" s="21"/>
      <c r="LRG200" s="21"/>
      <c r="LRH200" s="21"/>
      <c r="LRI200" s="21"/>
      <c r="LRJ200" s="21"/>
      <c r="LRK200" s="21"/>
      <c r="LRL200" s="21"/>
      <c r="LRM200" s="21"/>
      <c r="LRN200" s="21"/>
      <c r="LRO200" s="21"/>
      <c r="LRP200" s="21"/>
      <c r="LRQ200" s="21"/>
      <c r="LRR200" s="21"/>
      <c r="LRS200" s="21"/>
      <c r="LRT200" s="21"/>
      <c r="LRU200" s="21"/>
      <c r="LRV200" s="21"/>
      <c r="LRW200" s="21"/>
      <c r="LRX200" s="21"/>
      <c r="LRY200" s="21"/>
      <c r="LRZ200" s="21"/>
      <c r="LSA200" s="21"/>
      <c r="LSB200" s="21"/>
      <c r="LSC200" s="21"/>
      <c r="LSD200" s="21"/>
      <c r="LSE200" s="21"/>
      <c r="LSF200" s="21"/>
      <c r="LSG200" s="21"/>
      <c r="LSH200" s="21"/>
      <c r="LSI200" s="21"/>
      <c r="LSJ200" s="21"/>
      <c r="LSK200" s="21"/>
      <c r="LSL200" s="21"/>
      <c r="LSM200" s="21"/>
      <c r="LSN200" s="21"/>
      <c r="LSO200" s="21"/>
      <c r="LSP200" s="21"/>
      <c r="LSQ200" s="21"/>
      <c r="LSR200" s="21"/>
      <c r="LSS200" s="21"/>
      <c r="LST200" s="21"/>
      <c r="LSU200" s="21"/>
      <c r="LSV200" s="21"/>
      <c r="LSW200" s="21"/>
      <c r="LSX200" s="21"/>
      <c r="LSY200" s="21"/>
      <c r="LSZ200" s="21"/>
      <c r="LTA200" s="21"/>
      <c r="LTB200" s="21"/>
      <c r="LTC200" s="21"/>
      <c r="LTD200" s="21"/>
      <c r="LTE200" s="21"/>
      <c r="LTF200" s="21"/>
      <c r="LTG200" s="21"/>
      <c r="LTH200" s="21"/>
      <c r="LTI200" s="21"/>
      <c r="LTJ200" s="21"/>
      <c r="LTK200" s="21"/>
      <c r="LTL200" s="21"/>
      <c r="LTM200" s="21"/>
      <c r="LTN200" s="21"/>
      <c r="LTO200" s="21"/>
      <c r="LTP200" s="21"/>
      <c r="LTQ200" s="21"/>
      <c r="LTR200" s="21"/>
      <c r="LTS200" s="21"/>
      <c r="LTT200" s="21"/>
      <c r="LTU200" s="21"/>
      <c r="LTV200" s="21"/>
      <c r="LTW200" s="21"/>
      <c r="LTX200" s="21"/>
      <c r="LTY200" s="21"/>
      <c r="LTZ200" s="21"/>
      <c r="LUA200" s="21"/>
      <c r="LUB200" s="21"/>
      <c r="LUC200" s="21"/>
      <c r="LUD200" s="21"/>
      <c r="LUE200" s="21"/>
      <c r="LUF200" s="21"/>
      <c r="LUG200" s="21"/>
      <c r="LUH200" s="21"/>
      <c r="LUI200" s="21"/>
      <c r="LUJ200" s="21"/>
      <c r="LUK200" s="21"/>
      <c r="LUL200" s="21"/>
      <c r="LUM200" s="21"/>
      <c r="LUN200" s="21"/>
      <c r="LUO200" s="21"/>
      <c r="LUP200" s="21"/>
      <c r="LUQ200" s="21"/>
      <c r="LUR200" s="21"/>
      <c r="LUS200" s="21"/>
      <c r="LUT200" s="21"/>
      <c r="LUU200" s="21"/>
      <c r="LUV200" s="21"/>
      <c r="LUW200" s="21"/>
      <c r="LUX200" s="21"/>
      <c r="LUY200" s="21"/>
      <c r="LUZ200" s="21"/>
      <c r="LVA200" s="21"/>
      <c r="LVB200" s="21"/>
      <c r="LVC200" s="21"/>
      <c r="LVD200" s="21"/>
      <c r="LVE200" s="21"/>
      <c r="LVF200" s="21"/>
      <c r="LVG200" s="21"/>
      <c r="LVH200" s="21"/>
      <c r="LVI200" s="21"/>
      <c r="LVJ200" s="21"/>
      <c r="LVK200" s="21"/>
      <c r="LVL200" s="21"/>
      <c r="LVM200" s="21"/>
      <c r="LVN200" s="21"/>
      <c r="LVO200" s="21"/>
      <c r="LVP200" s="21"/>
      <c r="LVQ200" s="21"/>
      <c r="LVR200" s="21"/>
      <c r="LVS200" s="21"/>
      <c r="LVT200" s="21"/>
      <c r="LVU200" s="21"/>
      <c r="LVV200" s="21"/>
      <c r="LVW200" s="21"/>
      <c r="LVX200" s="21"/>
      <c r="LVY200" s="21"/>
      <c r="LVZ200" s="21"/>
      <c r="LWA200" s="21"/>
      <c r="LWB200" s="21"/>
      <c r="LWC200" s="21"/>
      <c r="LWD200" s="21"/>
      <c r="LWE200" s="21"/>
      <c r="LWF200" s="21"/>
      <c r="LWG200" s="21"/>
      <c r="LWH200" s="21"/>
      <c r="LWI200" s="21"/>
      <c r="LWJ200" s="21"/>
      <c r="LWK200" s="21"/>
      <c r="LWL200" s="21"/>
      <c r="LWM200" s="21"/>
      <c r="LWN200" s="21"/>
      <c r="LWO200" s="21"/>
      <c r="LWP200" s="21"/>
      <c r="LWQ200" s="21"/>
      <c r="LWR200" s="21"/>
      <c r="LWS200" s="21"/>
      <c r="LWT200" s="21"/>
      <c r="LWU200" s="21"/>
      <c r="LWV200" s="21"/>
      <c r="LWW200" s="21"/>
      <c r="LWX200" s="21"/>
      <c r="LWY200" s="21"/>
      <c r="LWZ200" s="21"/>
      <c r="LXA200" s="21"/>
      <c r="LXB200" s="21"/>
      <c r="LXC200" s="21"/>
      <c r="LXD200" s="21"/>
      <c r="LXE200" s="21"/>
      <c r="LXF200" s="21"/>
      <c r="LXG200" s="21"/>
      <c r="LXH200" s="21"/>
      <c r="LXI200" s="21"/>
      <c r="LXJ200" s="21"/>
      <c r="LXK200" s="21"/>
      <c r="LXL200" s="21"/>
      <c r="LXM200" s="21"/>
      <c r="LXN200" s="21"/>
      <c r="LXO200" s="21"/>
      <c r="LXP200" s="21"/>
      <c r="LXQ200" s="21"/>
      <c r="LXR200" s="21"/>
      <c r="LXS200" s="21"/>
      <c r="LXT200" s="21"/>
      <c r="LXU200" s="21"/>
      <c r="LXV200" s="21"/>
      <c r="LXW200" s="21"/>
      <c r="LXX200" s="21"/>
      <c r="LXY200" s="21"/>
      <c r="LXZ200" s="21"/>
      <c r="LYA200" s="21"/>
      <c r="LYB200" s="21"/>
      <c r="LYC200" s="21"/>
      <c r="LYD200" s="21"/>
      <c r="LYE200" s="21"/>
      <c r="LYF200" s="21"/>
      <c r="LYG200" s="21"/>
      <c r="LYH200" s="21"/>
      <c r="LYI200" s="21"/>
      <c r="LYJ200" s="21"/>
      <c r="LYK200" s="21"/>
      <c r="LYL200" s="21"/>
      <c r="LYM200" s="21"/>
      <c r="LYN200" s="21"/>
      <c r="LYO200" s="21"/>
      <c r="LYP200" s="21"/>
      <c r="LYQ200" s="21"/>
      <c r="LYR200" s="21"/>
      <c r="LYS200" s="21"/>
      <c r="LYT200" s="21"/>
      <c r="LYU200" s="21"/>
      <c r="LYV200" s="21"/>
      <c r="LYW200" s="21"/>
      <c r="LYX200" s="21"/>
      <c r="LYY200" s="21"/>
      <c r="LYZ200" s="21"/>
      <c r="LZA200" s="21"/>
      <c r="LZB200" s="21"/>
      <c r="LZC200" s="21"/>
      <c r="LZD200" s="21"/>
      <c r="LZE200" s="21"/>
      <c r="LZF200" s="21"/>
      <c r="LZG200" s="21"/>
      <c r="LZH200" s="21"/>
      <c r="LZI200" s="21"/>
      <c r="LZJ200" s="21"/>
      <c r="LZK200" s="21"/>
      <c r="LZL200" s="21"/>
      <c r="LZM200" s="21"/>
      <c r="LZN200" s="21"/>
      <c r="LZO200" s="21"/>
      <c r="LZP200" s="21"/>
      <c r="LZQ200" s="21"/>
      <c r="LZR200" s="21"/>
      <c r="LZS200" s="21"/>
      <c r="LZT200" s="21"/>
      <c r="LZU200" s="21"/>
      <c r="LZV200" s="21"/>
      <c r="LZW200" s="21"/>
      <c r="LZX200" s="21"/>
      <c r="LZY200" s="21"/>
      <c r="LZZ200" s="21"/>
      <c r="MAA200" s="21"/>
      <c r="MAB200" s="21"/>
      <c r="MAC200" s="21"/>
      <c r="MAD200" s="21"/>
      <c r="MAE200" s="21"/>
      <c r="MAF200" s="21"/>
      <c r="MAG200" s="21"/>
      <c r="MAH200" s="21"/>
      <c r="MAI200" s="21"/>
      <c r="MAJ200" s="21"/>
      <c r="MAK200" s="21"/>
      <c r="MAL200" s="21"/>
      <c r="MAM200" s="21"/>
      <c r="MAN200" s="21"/>
      <c r="MAO200" s="21"/>
      <c r="MAP200" s="21"/>
      <c r="MAQ200" s="21"/>
      <c r="MAR200" s="21"/>
      <c r="MAS200" s="21"/>
      <c r="MAT200" s="21"/>
      <c r="MAU200" s="21"/>
      <c r="MAV200" s="21"/>
      <c r="MAW200" s="21"/>
      <c r="MAX200" s="21"/>
      <c r="MAY200" s="21"/>
      <c r="MAZ200" s="21"/>
      <c r="MBA200" s="21"/>
      <c r="MBB200" s="21"/>
      <c r="MBC200" s="21"/>
      <c r="MBD200" s="21"/>
      <c r="MBE200" s="21"/>
      <c r="MBF200" s="21"/>
      <c r="MBG200" s="21"/>
      <c r="MBH200" s="21"/>
      <c r="MBI200" s="21"/>
      <c r="MBJ200" s="21"/>
      <c r="MBK200" s="21"/>
      <c r="MBL200" s="21"/>
      <c r="MBM200" s="21"/>
      <c r="MBN200" s="21"/>
      <c r="MBO200" s="21"/>
      <c r="MBP200" s="21"/>
      <c r="MBQ200" s="21"/>
      <c r="MBR200" s="21"/>
      <c r="MBS200" s="21"/>
      <c r="MBT200" s="21"/>
      <c r="MBU200" s="21"/>
      <c r="MBV200" s="21"/>
      <c r="MBW200" s="21"/>
      <c r="MBX200" s="21"/>
      <c r="MBY200" s="21"/>
      <c r="MBZ200" s="21"/>
      <c r="MCA200" s="21"/>
      <c r="MCB200" s="21"/>
      <c r="MCC200" s="21"/>
      <c r="MCD200" s="21"/>
      <c r="MCE200" s="21"/>
      <c r="MCF200" s="21"/>
      <c r="MCG200" s="21"/>
      <c r="MCH200" s="21"/>
      <c r="MCI200" s="21"/>
      <c r="MCJ200" s="21"/>
      <c r="MCK200" s="21"/>
      <c r="MCL200" s="21"/>
      <c r="MCM200" s="21"/>
      <c r="MCN200" s="21"/>
      <c r="MCO200" s="21"/>
      <c r="MCP200" s="21"/>
      <c r="MCQ200" s="21"/>
      <c r="MCR200" s="21"/>
      <c r="MCS200" s="21"/>
      <c r="MCT200" s="21"/>
      <c r="MCU200" s="21"/>
      <c r="MCV200" s="21"/>
      <c r="MCW200" s="21"/>
      <c r="MCX200" s="21"/>
      <c r="MCY200" s="21"/>
      <c r="MCZ200" s="21"/>
      <c r="MDA200" s="21"/>
      <c r="MDB200" s="21"/>
      <c r="MDC200" s="21"/>
      <c r="MDD200" s="21"/>
      <c r="MDE200" s="21"/>
      <c r="MDF200" s="21"/>
      <c r="MDG200" s="21"/>
      <c r="MDH200" s="21"/>
      <c r="MDI200" s="21"/>
      <c r="MDJ200" s="21"/>
      <c r="MDK200" s="21"/>
      <c r="MDL200" s="21"/>
      <c r="MDM200" s="21"/>
      <c r="MDN200" s="21"/>
      <c r="MDO200" s="21"/>
      <c r="MDP200" s="21"/>
      <c r="MDQ200" s="21"/>
      <c r="MDR200" s="21"/>
      <c r="MDS200" s="21"/>
      <c r="MDT200" s="21"/>
      <c r="MDU200" s="21"/>
      <c r="MDV200" s="21"/>
      <c r="MDW200" s="21"/>
      <c r="MDX200" s="21"/>
      <c r="MDY200" s="21"/>
      <c r="MDZ200" s="21"/>
      <c r="MEA200" s="21"/>
      <c r="MEB200" s="21"/>
      <c r="MEC200" s="21"/>
      <c r="MED200" s="21"/>
      <c r="MEE200" s="21"/>
      <c r="MEF200" s="21"/>
      <c r="MEG200" s="21"/>
      <c r="MEH200" s="21"/>
      <c r="MEI200" s="21"/>
      <c r="MEJ200" s="21"/>
      <c r="MEK200" s="21"/>
      <c r="MEL200" s="21"/>
      <c r="MEM200" s="21"/>
      <c r="MEN200" s="21"/>
      <c r="MEO200" s="21"/>
      <c r="MEP200" s="21"/>
      <c r="MEQ200" s="21"/>
      <c r="MER200" s="21"/>
      <c r="MES200" s="21"/>
      <c r="MET200" s="21"/>
      <c r="MEU200" s="21"/>
      <c r="MEV200" s="21"/>
      <c r="MEW200" s="21"/>
      <c r="MEX200" s="21"/>
      <c r="MEY200" s="21"/>
      <c r="MEZ200" s="21"/>
      <c r="MFA200" s="21"/>
      <c r="MFB200" s="21"/>
      <c r="MFC200" s="21"/>
      <c r="MFD200" s="21"/>
      <c r="MFE200" s="21"/>
      <c r="MFF200" s="21"/>
      <c r="MFG200" s="21"/>
      <c r="MFH200" s="21"/>
      <c r="MFI200" s="21"/>
      <c r="MFJ200" s="21"/>
      <c r="MFK200" s="21"/>
      <c r="MFL200" s="21"/>
      <c r="MFM200" s="21"/>
      <c r="MFN200" s="21"/>
      <c r="MFO200" s="21"/>
      <c r="MFP200" s="21"/>
      <c r="MFQ200" s="21"/>
      <c r="MFR200" s="21"/>
      <c r="MFS200" s="21"/>
      <c r="MFT200" s="21"/>
      <c r="MFU200" s="21"/>
      <c r="MFV200" s="21"/>
      <c r="MFW200" s="21"/>
      <c r="MFX200" s="21"/>
      <c r="MFY200" s="21"/>
      <c r="MFZ200" s="21"/>
      <c r="MGA200" s="21"/>
      <c r="MGB200" s="21"/>
      <c r="MGC200" s="21"/>
      <c r="MGD200" s="21"/>
      <c r="MGE200" s="21"/>
      <c r="MGF200" s="21"/>
      <c r="MGG200" s="21"/>
      <c r="MGH200" s="21"/>
      <c r="MGI200" s="21"/>
      <c r="MGJ200" s="21"/>
      <c r="MGK200" s="21"/>
      <c r="MGL200" s="21"/>
      <c r="MGM200" s="21"/>
      <c r="MGN200" s="21"/>
      <c r="MGO200" s="21"/>
      <c r="MGP200" s="21"/>
      <c r="MGQ200" s="21"/>
      <c r="MGR200" s="21"/>
      <c r="MGS200" s="21"/>
      <c r="MGT200" s="21"/>
      <c r="MGU200" s="21"/>
      <c r="MGV200" s="21"/>
      <c r="MGW200" s="21"/>
      <c r="MGX200" s="21"/>
      <c r="MGY200" s="21"/>
      <c r="MGZ200" s="21"/>
      <c r="MHA200" s="21"/>
      <c r="MHB200" s="21"/>
      <c r="MHC200" s="21"/>
      <c r="MHD200" s="21"/>
      <c r="MHE200" s="21"/>
      <c r="MHF200" s="21"/>
      <c r="MHG200" s="21"/>
      <c r="MHH200" s="21"/>
      <c r="MHI200" s="21"/>
      <c r="MHJ200" s="21"/>
      <c r="MHK200" s="21"/>
      <c r="MHL200" s="21"/>
      <c r="MHM200" s="21"/>
      <c r="MHN200" s="21"/>
      <c r="MHO200" s="21"/>
      <c r="MHP200" s="21"/>
      <c r="MHQ200" s="21"/>
      <c r="MHR200" s="21"/>
      <c r="MHS200" s="21"/>
      <c r="MHT200" s="21"/>
      <c r="MHU200" s="21"/>
      <c r="MHV200" s="21"/>
      <c r="MHW200" s="21"/>
      <c r="MHX200" s="21"/>
      <c r="MHY200" s="21"/>
      <c r="MHZ200" s="21"/>
      <c r="MIA200" s="21"/>
      <c r="MIB200" s="21"/>
      <c r="MIC200" s="21"/>
      <c r="MID200" s="21"/>
      <c r="MIE200" s="21"/>
      <c r="MIF200" s="21"/>
      <c r="MIG200" s="21"/>
      <c r="MIH200" s="21"/>
      <c r="MII200" s="21"/>
      <c r="MIJ200" s="21"/>
      <c r="MIK200" s="21"/>
      <c r="MIL200" s="21"/>
      <c r="MIM200" s="21"/>
      <c r="MIN200" s="21"/>
      <c r="MIO200" s="21"/>
      <c r="MIP200" s="21"/>
      <c r="MIQ200" s="21"/>
      <c r="MIR200" s="21"/>
      <c r="MIS200" s="21"/>
      <c r="MIT200" s="21"/>
      <c r="MIU200" s="21"/>
      <c r="MIV200" s="21"/>
      <c r="MIW200" s="21"/>
      <c r="MIX200" s="21"/>
      <c r="MIY200" s="21"/>
      <c r="MIZ200" s="21"/>
      <c r="MJA200" s="21"/>
      <c r="MJB200" s="21"/>
      <c r="MJC200" s="21"/>
      <c r="MJD200" s="21"/>
      <c r="MJE200" s="21"/>
      <c r="MJF200" s="21"/>
      <c r="MJG200" s="21"/>
      <c r="MJH200" s="21"/>
      <c r="MJI200" s="21"/>
      <c r="MJJ200" s="21"/>
      <c r="MJK200" s="21"/>
      <c r="MJL200" s="21"/>
      <c r="MJM200" s="21"/>
      <c r="MJN200" s="21"/>
      <c r="MJO200" s="21"/>
      <c r="MJP200" s="21"/>
      <c r="MJQ200" s="21"/>
      <c r="MJR200" s="21"/>
      <c r="MJS200" s="21"/>
      <c r="MJT200" s="21"/>
      <c r="MJU200" s="21"/>
      <c r="MJV200" s="21"/>
      <c r="MJW200" s="21"/>
      <c r="MJX200" s="21"/>
      <c r="MJY200" s="21"/>
      <c r="MJZ200" s="21"/>
      <c r="MKA200" s="21"/>
      <c r="MKB200" s="21"/>
      <c r="MKC200" s="21"/>
      <c r="MKD200" s="21"/>
      <c r="MKE200" s="21"/>
      <c r="MKF200" s="21"/>
      <c r="MKG200" s="21"/>
      <c r="MKH200" s="21"/>
      <c r="MKI200" s="21"/>
      <c r="MKJ200" s="21"/>
      <c r="MKK200" s="21"/>
      <c r="MKL200" s="21"/>
      <c r="MKM200" s="21"/>
      <c r="MKN200" s="21"/>
      <c r="MKO200" s="21"/>
      <c r="MKP200" s="21"/>
      <c r="MKQ200" s="21"/>
      <c r="MKR200" s="21"/>
      <c r="MKS200" s="21"/>
      <c r="MKT200" s="21"/>
      <c r="MKU200" s="21"/>
      <c r="MKV200" s="21"/>
      <c r="MKW200" s="21"/>
      <c r="MKX200" s="21"/>
      <c r="MKY200" s="21"/>
      <c r="MKZ200" s="21"/>
      <c r="MLA200" s="21"/>
      <c r="MLB200" s="21"/>
      <c r="MLC200" s="21"/>
      <c r="MLD200" s="21"/>
      <c r="MLE200" s="21"/>
      <c r="MLF200" s="21"/>
      <c r="MLG200" s="21"/>
      <c r="MLH200" s="21"/>
      <c r="MLI200" s="21"/>
      <c r="MLJ200" s="21"/>
      <c r="MLK200" s="21"/>
      <c r="MLL200" s="21"/>
      <c r="MLM200" s="21"/>
      <c r="MLN200" s="21"/>
      <c r="MLO200" s="21"/>
      <c r="MLP200" s="21"/>
      <c r="MLQ200" s="21"/>
      <c r="MLR200" s="21"/>
      <c r="MLS200" s="21"/>
      <c r="MLT200" s="21"/>
      <c r="MLU200" s="21"/>
      <c r="MLV200" s="21"/>
      <c r="MLW200" s="21"/>
      <c r="MLX200" s="21"/>
      <c r="MLY200" s="21"/>
      <c r="MLZ200" s="21"/>
      <c r="MMA200" s="21"/>
      <c r="MMB200" s="21"/>
      <c r="MMC200" s="21"/>
      <c r="MMD200" s="21"/>
      <c r="MME200" s="21"/>
      <c r="MMF200" s="21"/>
      <c r="MMG200" s="21"/>
      <c r="MMH200" s="21"/>
      <c r="MMI200" s="21"/>
      <c r="MMJ200" s="21"/>
      <c r="MMK200" s="21"/>
      <c r="MML200" s="21"/>
      <c r="MMM200" s="21"/>
      <c r="MMN200" s="21"/>
      <c r="MMO200" s="21"/>
      <c r="MMP200" s="21"/>
      <c r="MMQ200" s="21"/>
      <c r="MMR200" s="21"/>
      <c r="MMS200" s="21"/>
      <c r="MMT200" s="21"/>
      <c r="MMU200" s="21"/>
      <c r="MMV200" s="21"/>
      <c r="MMW200" s="21"/>
      <c r="MMX200" s="21"/>
      <c r="MMY200" s="21"/>
      <c r="MMZ200" s="21"/>
      <c r="MNA200" s="21"/>
      <c r="MNB200" s="21"/>
      <c r="MNC200" s="21"/>
      <c r="MND200" s="21"/>
      <c r="MNE200" s="21"/>
      <c r="MNF200" s="21"/>
      <c r="MNG200" s="21"/>
      <c r="MNH200" s="21"/>
      <c r="MNI200" s="21"/>
      <c r="MNJ200" s="21"/>
      <c r="MNK200" s="21"/>
      <c r="MNL200" s="21"/>
      <c r="MNM200" s="21"/>
      <c r="MNN200" s="21"/>
      <c r="MNO200" s="21"/>
      <c r="MNP200" s="21"/>
      <c r="MNQ200" s="21"/>
      <c r="MNR200" s="21"/>
      <c r="MNS200" s="21"/>
      <c r="MNT200" s="21"/>
      <c r="MNU200" s="21"/>
      <c r="MNV200" s="21"/>
      <c r="MNW200" s="21"/>
      <c r="MNX200" s="21"/>
      <c r="MNY200" s="21"/>
      <c r="MNZ200" s="21"/>
      <c r="MOA200" s="21"/>
      <c r="MOB200" s="21"/>
      <c r="MOC200" s="21"/>
      <c r="MOD200" s="21"/>
      <c r="MOE200" s="21"/>
      <c r="MOF200" s="21"/>
      <c r="MOG200" s="21"/>
      <c r="MOH200" s="21"/>
      <c r="MOI200" s="21"/>
      <c r="MOJ200" s="21"/>
      <c r="MOK200" s="21"/>
      <c r="MOL200" s="21"/>
      <c r="MOM200" s="21"/>
      <c r="MON200" s="21"/>
      <c r="MOO200" s="21"/>
      <c r="MOP200" s="21"/>
      <c r="MOQ200" s="21"/>
      <c r="MOR200" s="21"/>
      <c r="MOS200" s="21"/>
      <c r="MOT200" s="21"/>
      <c r="MOU200" s="21"/>
      <c r="MOV200" s="21"/>
      <c r="MOW200" s="21"/>
      <c r="MOX200" s="21"/>
      <c r="MOY200" s="21"/>
      <c r="MOZ200" s="21"/>
      <c r="MPA200" s="21"/>
      <c r="MPB200" s="21"/>
      <c r="MPC200" s="21"/>
      <c r="MPD200" s="21"/>
      <c r="MPE200" s="21"/>
      <c r="MPF200" s="21"/>
      <c r="MPG200" s="21"/>
      <c r="MPH200" s="21"/>
      <c r="MPI200" s="21"/>
      <c r="MPJ200" s="21"/>
      <c r="MPK200" s="21"/>
      <c r="MPL200" s="21"/>
      <c r="MPM200" s="21"/>
      <c r="MPN200" s="21"/>
      <c r="MPO200" s="21"/>
      <c r="MPP200" s="21"/>
      <c r="MPQ200" s="21"/>
      <c r="MPR200" s="21"/>
      <c r="MPS200" s="21"/>
      <c r="MPT200" s="21"/>
      <c r="MPU200" s="21"/>
      <c r="MPV200" s="21"/>
      <c r="MPW200" s="21"/>
      <c r="MPX200" s="21"/>
      <c r="MPY200" s="21"/>
      <c r="MPZ200" s="21"/>
      <c r="MQA200" s="21"/>
      <c r="MQB200" s="21"/>
      <c r="MQC200" s="21"/>
      <c r="MQD200" s="21"/>
      <c r="MQE200" s="21"/>
      <c r="MQF200" s="21"/>
      <c r="MQG200" s="21"/>
      <c r="MQH200" s="21"/>
      <c r="MQI200" s="21"/>
      <c r="MQJ200" s="21"/>
      <c r="MQK200" s="21"/>
      <c r="MQL200" s="21"/>
      <c r="MQM200" s="21"/>
      <c r="MQN200" s="21"/>
      <c r="MQO200" s="21"/>
      <c r="MQP200" s="21"/>
      <c r="MQQ200" s="21"/>
      <c r="MQR200" s="21"/>
      <c r="MQS200" s="21"/>
      <c r="MQT200" s="21"/>
      <c r="MQU200" s="21"/>
      <c r="MQV200" s="21"/>
      <c r="MQW200" s="21"/>
      <c r="MQX200" s="21"/>
      <c r="MQY200" s="21"/>
      <c r="MQZ200" s="21"/>
      <c r="MRA200" s="21"/>
      <c r="MRB200" s="21"/>
      <c r="MRC200" s="21"/>
      <c r="MRD200" s="21"/>
      <c r="MRE200" s="21"/>
      <c r="MRF200" s="21"/>
      <c r="MRG200" s="21"/>
      <c r="MRH200" s="21"/>
      <c r="MRI200" s="21"/>
      <c r="MRJ200" s="21"/>
      <c r="MRK200" s="21"/>
      <c r="MRL200" s="21"/>
      <c r="MRM200" s="21"/>
      <c r="MRN200" s="21"/>
      <c r="MRO200" s="21"/>
      <c r="MRP200" s="21"/>
      <c r="MRQ200" s="21"/>
      <c r="MRR200" s="21"/>
      <c r="MRS200" s="21"/>
      <c r="MRT200" s="21"/>
      <c r="MRU200" s="21"/>
      <c r="MRV200" s="21"/>
      <c r="MRW200" s="21"/>
      <c r="MRX200" s="21"/>
      <c r="MRY200" s="21"/>
      <c r="MRZ200" s="21"/>
      <c r="MSA200" s="21"/>
      <c r="MSB200" s="21"/>
      <c r="MSC200" s="21"/>
      <c r="MSD200" s="21"/>
      <c r="MSE200" s="21"/>
      <c r="MSF200" s="21"/>
      <c r="MSG200" s="21"/>
      <c r="MSH200" s="21"/>
      <c r="MSI200" s="21"/>
      <c r="MSJ200" s="21"/>
      <c r="MSK200" s="21"/>
      <c r="MSL200" s="21"/>
      <c r="MSM200" s="21"/>
      <c r="MSN200" s="21"/>
      <c r="MSO200" s="21"/>
      <c r="MSP200" s="21"/>
      <c r="MSQ200" s="21"/>
      <c r="MSR200" s="21"/>
      <c r="MSS200" s="21"/>
      <c r="MST200" s="21"/>
      <c r="MSU200" s="21"/>
      <c r="MSV200" s="21"/>
      <c r="MSW200" s="21"/>
      <c r="MSX200" s="21"/>
      <c r="MSY200" s="21"/>
      <c r="MSZ200" s="21"/>
      <c r="MTA200" s="21"/>
      <c r="MTB200" s="21"/>
      <c r="MTC200" s="21"/>
      <c r="MTD200" s="21"/>
      <c r="MTE200" s="21"/>
      <c r="MTF200" s="21"/>
      <c r="MTG200" s="21"/>
      <c r="MTH200" s="21"/>
      <c r="MTI200" s="21"/>
      <c r="MTJ200" s="21"/>
      <c r="MTK200" s="21"/>
      <c r="MTL200" s="21"/>
      <c r="MTM200" s="21"/>
      <c r="MTN200" s="21"/>
      <c r="MTO200" s="21"/>
      <c r="MTP200" s="21"/>
      <c r="MTQ200" s="21"/>
      <c r="MTR200" s="21"/>
      <c r="MTS200" s="21"/>
      <c r="MTT200" s="21"/>
      <c r="MTU200" s="21"/>
      <c r="MTV200" s="21"/>
      <c r="MTW200" s="21"/>
      <c r="MTX200" s="21"/>
      <c r="MTY200" s="21"/>
      <c r="MTZ200" s="21"/>
      <c r="MUA200" s="21"/>
      <c r="MUB200" s="21"/>
      <c r="MUC200" s="21"/>
      <c r="MUD200" s="21"/>
      <c r="MUE200" s="21"/>
      <c r="MUF200" s="21"/>
      <c r="MUG200" s="21"/>
      <c r="MUH200" s="21"/>
      <c r="MUI200" s="21"/>
      <c r="MUJ200" s="21"/>
      <c r="MUK200" s="21"/>
      <c r="MUL200" s="21"/>
      <c r="MUM200" s="21"/>
      <c r="MUN200" s="21"/>
      <c r="MUO200" s="21"/>
      <c r="MUP200" s="21"/>
      <c r="MUQ200" s="21"/>
      <c r="MUR200" s="21"/>
      <c r="MUS200" s="21"/>
      <c r="MUT200" s="21"/>
      <c r="MUU200" s="21"/>
      <c r="MUV200" s="21"/>
      <c r="MUW200" s="21"/>
      <c r="MUX200" s="21"/>
      <c r="MUY200" s="21"/>
      <c r="MUZ200" s="21"/>
      <c r="MVA200" s="21"/>
      <c r="MVB200" s="21"/>
      <c r="MVC200" s="21"/>
      <c r="MVD200" s="21"/>
      <c r="MVE200" s="21"/>
      <c r="MVF200" s="21"/>
      <c r="MVG200" s="21"/>
      <c r="MVH200" s="21"/>
      <c r="MVI200" s="21"/>
      <c r="MVJ200" s="21"/>
      <c r="MVK200" s="21"/>
      <c r="MVL200" s="21"/>
      <c r="MVM200" s="21"/>
      <c r="MVN200" s="21"/>
      <c r="MVO200" s="21"/>
      <c r="MVP200" s="21"/>
      <c r="MVQ200" s="21"/>
      <c r="MVR200" s="21"/>
      <c r="MVS200" s="21"/>
      <c r="MVT200" s="21"/>
      <c r="MVU200" s="21"/>
      <c r="MVV200" s="21"/>
      <c r="MVW200" s="21"/>
      <c r="MVX200" s="21"/>
      <c r="MVY200" s="21"/>
      <c r="MVZ200" s="21"/>
      <c r="MWA200" s="21"/>
      <c r="MWB200" s="21"/>
      <c r="MWC200" s="21"/>
      <c r="MWD200" s="21"/>
      <c r="MWE200" s="21"/>
      <c r="MWF200" s="21"/>
      <c r="MWG200" s="21"/>
      <c r="MWH200" s="21"/>
      <c r="MWI200" s="21"/>
      <c r="MWJ200" s="21"/>
      <c r="MWK200" s="21"/>
      <c r="MWL200" s="21"/>
      <c r="MWM200" s="21"/>
      <c r="MWN200" s="21"/>
      <c r="MWO200" s="21"/>
      <c r="MWP200" s="21"/>
      <c r="MWQ200" s="21"/>
      <c r="MWR200" s="21"/>
      <c r="MWS200" s="21"/>
      <c r="MWT200" s="21"/>
      <c r="MWU200" s="21"/>
      <c r="MWV200" s="21"/>
      <c r="MWW200" s="21"/>
      <c r="MWX200" s="21"/>
      <c r="MWY200" s="21"/>
      <c r="MWZ200" s="21"/>
      <c r="MXA200" s="21"/>
      <c r="MXB200" s="21"/>
      <c r="MXC200" s="21"/>
      <c r="MXD200" s="21"/>
      <c r="MXE200" s="21"/>
      <c r="MXF200" s="21"/>
      <c r="MXG200" s="21"/>
      <c r="MXH200" s="21"/>
      <c r="MXI200" s="21"/>
      <c r="MXJ200" s="21"/>
      <c r="MXK200" s="21"/>
      <c r="MXL200" s="21"/>
      <c r="MXM200" s="21"/>
      <c r="MXN200" s="21"/>
      <c r="MXO200" s="21"/>
      <c r="MXP200" s="21"/>
      <c r="MXQ200" s="21"/>
      <c r="MXR200" s="21"/>
      <c r="MXS200" s="21"/>
      <c r="MXT200" s="21"/>
      <c r="MXU200" s="21"/>
      <c r="MXV200" s="21"/>
      <c r="MXW200" s="21"/>
      <c r="MXX200" s="21"/>
      <c r="MXY200" s="21"/>
      <c r="MXZ200" s="21"/>
      <c r="MYA200" s="21"/>
      <c r="MYB200" s="21"/>
      <c r="MYC200" s="21"/>
      <c r="MYD200" s="21"/>
      <c r="MYE200" s="21"/>
      <c r="MYF200" s="21"/>
      <c r="MYG200" s="21"/>
      <c r="MYH200" s="21"/>
      <c r="MYI200" s="21"/>
      <c r="MYJ200" s="21"/>
      <c r="MYK200" s="21"/>
      <c r="MYL200" s="21"/>
      <c r="MYM200" s="21"/>
      <c r="MYN200" s="21"/>
      <c r="MYO200" s="21"/>
      <c r="MYP200" s="21"/>
      <c r="MYQ200" s="21"/>
      <c r="MYR200" s="21"/>
      <c r="MYS200" s="21"/>
      <c r="MYT200" s="21"/>
      <c r="MYU200" s="21"/>
      <c r="MYV200" s="21"/>
      <c r="MYW200" s="21"/>
      <c r="MYX200" s="21"/>
      <c r="MYY200" s="21"/>
      <c r="MYZ200" s="21"/>
      <c r="MZA200" s="21"/>
      <c r="MZB200" s="21"/>
      <c r="MZC200" s="21"/>
      <c r="MZD200" s="21"/>
      <c r="MZE200" s="21"/>
      <c r="MZF200" s="21"/>
      <c r="MZG200" s="21"/>
      <c r="MZH200" s="21"/>
      <c r="MZI200" s="21"/>
      <c r="MZJ200" s="21"/>
      <c r="MZK200" s="21"/>
      <c r="MZL200" s="21"/>
      <c r="MZM200" s="21"/>
      <c r="MZN200" s="21"/>
      <c r="MZO200" s="21"/>
      <c r="MZP200" s="21"/>
      <c r="MZQ200" s="21"/>
      <c r="MZR200" s="21"/>
      <c r="MZS200" s="21"/>
      <c r="MZT200" s="21"/>
      <c r="MZU200" s="21"/>
      <c r="MZV200" s="21"/>
      <c r="MZW200" s="21"/>
      <c r="MZX200" s="21"/>
      <c r="MZY200" s="21"/>
      <c r="MZZ200" s="21"/>
      <c r="NAA200" s="21"/>
      <c r="NAB200" s="21"/>
      <c r="NAC200" s="21"/>
      <c r="NAD200" s="21"/>
      <c r="NAE200" s="21"/>
      <c r="NAF200" s="21"/>
      <c r="NAG200" s="21"/>
      <c r="NAH200" s="21"/>
      <c r="NAI200" s="21"/>
      <c r="NAJ200" s="21"/>
      <c r="NAK200" s="21"/>
      <c r="NAL200" s="21"/>
      <c r="NAM200" s="21"/>
      <c r="NAN200" s="21"/>
      <c r="NAO200" s="21"/>
      <c r="NAP200" s="21"/>
      <c r="NAQ200" s="21"/>
      <c r="NAR200" s="21"/>
      <c r="NAS200" s="21"/>
      <c r="NAT200" s="21"/>
      <c r="NAU200" s="21"/>
      <c r="NAV200" s="21"/>
      <c r="NAW200" s="21"/>
      <c r="NAX200" s="21"/>
      <c r="NAY200" s="21"/>
      <c r="NAZ200" s="21"/>
      <c r="NBA200" s="21"/>
      <c r="NBB200" s="21"/>
      <c r="NBC200" s="21"/>
      <c r="NBD200" s="21"/>
      <c r="NBE200" s="21"/>
      <c r="NBF200" s="21"/>
      <c r="NBG200" s="21"/>
      <c r="NBH200" s="21"/>
      <c r="NBI200" s="21"/>
      <c r="NBJ200" s="21"/>
      <c r="NBK200" s="21"/>
      <c r="NBL200" s="21"/>
      <c r="NBM200" s="21"/>
      <c r="NBN200" s="21"/>
      <c r="NBO200" s="21"/>
      <c r="NBP200" s="21"/>
      <c r="NBQ200" s="21"/>
      <c r="NBR200" s="21"/>
      <c r="NBS200" s="21"/>
      <c r="NBT200" s="21"/>
      <c r="NBU200" s="21"/>
      <c r="NBV200" s="21"/>
      <c r="NBW200" s="21"/>
      <c r="NBX200" s="21"/>
      <c r="NBY200" s="21"/>
      <c r="NBZ200" s="21"/>
      <c r="NCA200" s="21"/>
      <c r="NCB200" s="21"/>
      <c r="NCC200" s="21"/>
      <c r="NCD200" s="21"/>
      <c r="NCE200" s="21"/>
      <c r="NCF200" s="21"/>
      <c r="NCG200" s="21"/>
      <c r="NCH200" s="21"/>
      <c r="NCI200" s="21"/>
      <c r="NCJ200" s="21"/>
      <c r="NCK200" s="21"/>
      <c r="NCL200" s="21"/>
      <c r="NCM200" s="21"/>
      <c r="NCN200" s="21"/>
      <c r="NCO200" s="21"/>
      <c r="NCP200" s="21"/>
      <c r="NCQ200" s="21"/>
      <c r="NCR200" s="21"/>
      <c r="NCS200" s="21"/>
      <c r="NCT200" s="21"/>
      <c r="NCU200" s="21"/>
      <c r="NCV200" s="21"/>
      <c r="NCW200" s="21"/>
      <c r="NCX200" s="21"/>
      <c r="NCY200" s="21"/>
      <c r="NCZ200" s="21"/>
      <c r="NDA200" s="21"/>
      <c r="NDB200" s="21"/>
      <c r="NDC200" s="21"/>
      <c r="NDD200" s="21"/>
      <c r="NDE200" s="21"/>
      <c r="NDF200" s="21"/>
      <c r="NDG200" s="21"/>
      <c r="NDH200" s="21"/>
      <c r="NDI200" s="21"/>
      <c r="NDJ200" s="21"/>
      <c r="NDK200" s="21"/>
      <c r="NDL200" s="21"/>
      <c r="NDM200" s="21"/>
      <c r="NDN200" s="21"/>
      <c r="NDO200" s="21"/>
      <c r="NDP200" s="21"/>
      <c r="NDQ200" s="21"/>
      <c r="NDR200" s="21"/>
      <c r="NDS200" s="21"/>
      <c r="NDT200" s="21"/>
      <c r="NDU200" s="21"/>
      <c r="NDV200" s="21"/>
      <c r="NDW200" s="21"/>
      <c r="NDX200" s="21"/>
      <c r="NDY200" s="21"/>
      <c r="NDZ200" s="21"/>
      <c r="NEA200" s="21"/>
      <c r="NEB200" s="21"/>
      <c r="NEC200" s="21"/>
      <c r="NED200" s="21"/>
      <c r="NEE200" s="21"/>
      <c r="NEF200" s="21"/>
      <c r="NEG200" s="21"/>
      <c r="NEH200" s="21"/>
      <c r="NEI200" s="21"/>
      <c r="NEJ200" s="21"/>
      <c r="NEK200" s="21"/>
      <c r="NEL200" s="21"/>
      <c r="NEM200" s="21"/>
      <c r="NEN200" s="21"/>
      <c r="NEO200" s="21"/>
      <c r="NEP200" s="21"/>
      <c r="NEQ200" s="21"/>
      <c r="NER200" s="21"/>
      <c r="NES200" s="21"/>
      <c r="NET200" s="21"/>
      <c r="NEU200" s="21"/>
      <c r="NEV200" s="21"/>
      <c r="NEW200" s="21"/>
      <c r="NEX200" s="21"/>
      <c r="NEY200" s="21"/>
      <c r="NEZ200" s="21"/>
      <c r="NFA200" s="21"/>
      <c r="NFB200" s="21"/>
      <c r="NFC200" s="21"/>
      <c r="NFD200" s="21"/>
      <c r="NFE200" s="21"/>
      <c r="NFF200" s="21"/>
      <c r="NFG200" s="21"/>
      <c r="NFH200" s="21"/>
      <c r="NFI200" s="21"/>
      <c r="NFJ200" s="21"/>
      <c r="NFK200" s="21"/>
      <c r="NFL200" s="21"/>
      <c r="NFM200" s="21"/>
      <c r="NFN200" s="21"/>
      <c r="NFO200" s="21"/>
      <c r="NFP200" s="21"/>
      <c r="NFQ200" s="21"/>
      <c r="NFR200" s="21"/>
      <c r="NFS200" s="21"/>
      <c r="NFT200" s="21"/>
      <c r="NFU200" s="21"/>
      <c r="NFV200" s="21"/>
      <c r="NFW200" s="21"/>
      <c r="NFX200" s="21"/>
      <c r="NFY200" s="21"/>
      <c r="NFZ200" s="21"/>
      <c r="NGA200" s="21"/>
      <c r="NGB200" s="21"/>
      <c r="NGC200" s="21"/>
      <c r="NGD200" s="21"/>
      <c r="NGE200" s="21"/>
      <c r="NGF200" s="21"/>
      <c r="NGG200" s="21"/>
      <c r="NGH200" s="21"/>
      <c r="NGI200" s="21"/>
      <c r="NGJ200" s="21"/>
      <c r="NGK200" s="21"/>
      <c r="NGL200" s="21"/>
      <c r="NGM200" s="21"/>
      <c r="NGN200" s="21"/>
      <c r="NGO200" s="21"/>
      <c r="NGP200" s="21"/>
      <c r="NGQ200" s="21"/>
      <c r="NGR200" s="21"/>
      <c r="NGS200" s="21"/>
      <c r="NGT200" s="21"/>
      <c r="NGU200" s="21"/>
      <c r="NGV200" s="21"/>
      <c r="NGW200" s="21"/>
      <c r="NGX200" s="21"/>
      <c r="NGY200" s="21"/>
      <c r="NGZ200" s="21"/>
      <c r="NHA200" s="21"/>
      <c r="NHB200" s="21"/>
      <c r="NHC200" s="21"/>
      <c r="NHD200" s="21"/>
      <c r="NHE200" s="21"/>
      <c r="NHF200" s="21"/>
      <c r="NHG200" s="21"/>
      <c r="NHH200" s="21"/>
      <c r="NHI200" s="21"/>
      <c r="NHJ200" s="21"/>
      <c r="NHK200" s="21"/>
      <c r="NHL200" s="21"/>
      <c r="NHM200" s="21"/>
      <c r="NHN200" s="21"/>
      <c r="NHO200" s="21"/>
      <c r="NHP200" s="21"/>
      <c r="NHQ200" s="21"/>
      <c r="NHR200" s="21"/>
      <c r="NHS200" s="21"/>
      <c r="NHT200" s="21"/>
      <c r="NHU200" s="21"/>
      <c r="NHV200" s="21"/>
      <c r="NHW200" s="21"/>
      <c r="NHX200" s="21"/>
      <c r="NHY200" s="21"/>
      <c r="NHZ200" s="21"/>
      <c r="NIA200" s="21"/>
      <c r="NIB200" s="21"/>
      <c r="NIC200" s="21"/>
      <c r="NID200" s="21"/>
      <c r="NIE200" s="21"/>
      <c r="NIF200" s="21"/>
      <c r="NIG200" s="21"/>
      <c r="NIH200" s="21"/>
      <c r="NII200" s="21"/>
      <c r="NIJ200" s="21"/>
      <c r="NIK200" s="21"/>
      <c r="NIL200" s="21"/>
      <c r="NIM200" s="21"/>
      <c r="NIN200" s="21"/>
      <c r="NIO200" s="21"/>
      <c r="NIP200" s="21"/>
      <c r="NIQ200" s="21"/>
      <c r="NIR200" s="21"/>
      <c r="NIS200" s="21"/>
      <c r="NIT200" s="21"/>
      <c r="NIU200" s="21"/>
      <c r="NIV200" s="21"/>
      <c r="NIW200" s="21"/>
      <c r="NIX200" s="21"/>
      <c r="NIY200" s="21"/>
      <c r="NIZ200" s="21"/>
      <c r="NJA200" s="21"/>
      <c r="NJB200" s="21"/>
      <c r="NJC200" s="21"/>
      <c r="NJD200" s="21"/>
      <c r="NJE200" s="21"/>
      <c r="NJF200" s="21"/>
      <c r="NJG200" s="21"/>
      <c r="NJH200" s="21"/>
      <c r="NJI200" s="21"/>
      <c r="NJJ200" s="21"/>
      <c r="NJK200" s="21"/>
      <c r="NJL200" s="21"/>
      <c r="NJM200" s="21"/>
      <c r="NJN200" s="21"/>
      <c r="NJO200" s="21"/>
      <c r="NJP200" s="21"/>
      <c r="NJQ200" s="21"/>
      <c r="NJR200" s="21"/>
      <c r="NJS200" s="21"/>
      <c r="NJT200" s="21"/>
      <c r="NJU200" s="21"/>
      <c r="NJV200" s="21"/>
      <c r="NJW200" s="21"/>
      <c r="NJX200" s="21"/>
      <c r="NJY200" s="21"/>
      <c r="NJZ200" s="21"/>
      <c r="NKA200" s="21"/>
      <c r="NKB200" s="21"/>
      <c r="NKC200" s="21"/>
      <c r="NKD200" s="21"/>
      <c r="NKE200" s="21"/>
      <c r="NKF200" s="21"/>
      <c r="NKG200" s="21"/>
      <c r="NKH200" s="21"/>
      <c r="NKI200" s="21"/>
      <c r="NKJ200" s="21"/>
      <c r="NKK200" s="21"/>
      <c r="NKL200" s="21"/>
      <c r="NKM200" s="21"/>
      <c r="NKN200" s="21"/>
      <c r="NKO200" s="21"/>
      <c r="NKP200" s="21"/>
      <c r="NKQ200" s="21"/>
      <c r="NKR200" s="21"/>
      <c r="NKS200" s="21"/>
      <c r="NKT200" s="21"/>
      <c r="NKU200" s="21"/>
      <c r="NKV200" s="21"/>
      <c r="NKW200" s="21"/>
      <c r="NKX200" s="21"/>
      <c r="NKY200" s="21"/>
      <c r="NKZ200" s="21"/>
      <c r="NLA200" s="21"/>
      <c r="NLB200" s="21"/>
      <c r="NLC200" s="21"/>
      <c r="NLD200" s="21"/>
      <c r="NLE200" s="21"/>
      <c r="NLF200" s="21"/>
      <c r="NLG200" s="21"/>
      <c r="NLH200" s="21"/>
      <c r="NLI200" s="21"/>
      <c r="NLJ200" s="21"/>
      <c r="NLK200" s="21"/>
      <c r="NLL200" s="21"/>
      <c r="NLM200" s="21"/>
      <c r="NLN200" s="21"/>
      <c r="NLO200" s="21"/>
      <c r="NLP200" s="21"/>
      <c r="NLQ200" s="21"/>
      <c r="NLR200" s="21"/>
      <c r="NLS200" s="21"/>
      <c r="NLT200" s="21"/>
      <c r="NLU200" s="21"/>
      <c r="NLV200" s="21"/>
      <c r="NLW200" s="21"/>
      <c r="NLX200" s="21"/>
      <c r="NLY200" s="21"/>
      <c r="NLZ200" s="21"/>
      <c r="NMA200" s="21"/>
      <c r="NMB200" s="21"/>
      <c r="NMC200" s="21"/>
      <c r="NMD200" s="21"/>
      <c r="NME200" s="21"/>
      <c r="NMF200" s="21"/>
      <c r="NMG200" s="21"/>
      <c r="NMH200" s="21"/>
      <c r="NMI200" s="21"/>
      <c r="NMJ200" s="21"/>
      <c r="NMK200" s="21"/>
      <c r="NML200" s="21"/>
      <c r="NMM200" s="21"/>
      <c r="NMN200" s="21"/>
      <c r="NMO200" s="21"/>
      <c r="NMP200" s="21"/>
      <c r="NMQ200" s="21"/>
      <c r="NMR200" s="21"/>
      <c r="NMS200" s="21"/>
      <c r="NMT200" s="21"/>
      <c r="NMU200" s="21"/>
      <c r="NMV200" s="21"/>
      <c r="NMW200" s="21"/>
      <c r="NMX200" s="21"/>
      <c r="NMY200" s="21"/>
      <c r="NMZ200" s="21"/>
      <c r="NNA200" s="21"/>
      <c r="NNB200" s="21"/>
      <c r="NNC200" s="21"/>
      <c r="NND200" s="21"/>
      <c r="NNE200" s="21"/>
      <c r="NNF200" s="21"/>
      <c r="NNG200" s="21"/>
      <c r="NNH200" s="21"/>
      <c r="NNI200" s="21"/>
      <c r="NNJ200" s="21"/>
      <c r="NNK200" s="21"/>
      <c r="NNL200" s="21"/>
      <c r="NNM200" s="21"/>
      <c r="NNN200" s="21"/>
      <c r="NNO200" s="21"/>
      <c r="NNP200" s="21"/>
      <c r="NNQ200" s="21"/>
      <c r="NNR200" s="21"/>
      <c r="NNS200" s="21"/>
      <c r="NNT200" s="21"/>
      <c r="NNU200" s="21"/>
      <c r="NNV200" s="21"/>
      <c r="NNW200" s="21"/>
      <c r="NNX200" s="21"/>
      <c r="NNY200" s="21"/>
      <c r="NNZ200" s="21"/>
      <c r="NOA200" s="21"/>
      <c r="NOB200" s="21"/>
      <c r="NOC200" s="21"/>
      <c r="NOD200" s="21"/>
      <c r="NOE200" s="21"/>
      <c r="NOF200" s="21"/>
      <c r="NOG200" s="21"/>
      <c r="NOH200" s="21"/>
      <c r="NOI200" s="21"/>
      <c r="NOJ200" s="21"/>
      <c r="NOK200" s="21"/>
      <c r="NOL200" s="21"/>
      <c r="NOM200" s="21"/>
      <c r="NON200" s="21"/>
      <c r="NOO200" s="21"/>
      <c r="NOP200" s="21"/>
      <c r="NOQ200" s="21"/>
      <c r="NOR200" s="21"/>
      <c r="NOS200" s="21"/>
      <c r="NOT200" s="21"/>
      <c r="NOU200" s="21"/>
      <c r="NOV200" s="21"/>
      <c r="NOW200" s="21"/>
      <c r="NOX200" s="21"/>
      <c r="NOY200" s="21"/>
      <c r="NOZ200" s="21"/>
      <c r="NPA200" s="21"/>
      <c r="NPB200" s="21"/>
      <c r="NPC200" s="21"/>
      <c r="NPD200" s="21"/>
      <c r="NPE200" s="21"/>
      <c r="NPF200" s="21"/>
      <c r="NPG200" s="21"/>
      <c r="NPH200" s="21"/>
      <c r="NPI200" s="21"/>
      <c r="NPJ200" s="21"/>
      <c r="NPK200" s="21"/>
      <c r="NPL200" s="21"/>
      <c r="NPM200" s="21"/>
      <c r="NPN200" s="21"/>
      <c r="NPO200" s="21"/>
      <c r="NPP200" s="21"/>
      <c r="NPQ200" s="21"/>
      <c r="NPR200" s="21"/>
      <c r="NPS200" s="21"/>
      <c r="NPT200" s="21"/>
      <c r="NPU200" s="21"/>
      <c r="NPV200" s="21"/>
      <c r="NPW200" s="21"/>
      <c r="NPX200" s="21"/>
      <c r="NPY200" s="21"/>
      <c r="NPZ200" s="21"/>
      <c r="NQA200" s="21"/>
      <c r="NQB200" s="21"/>
      <c r="NQC200" s="21"/>
      <c r="NQD200" s="21"/>
      <c r="NQE200" s="21"/>
      <c r="NQF200" s="21"/>
      <c r="NQG200" s="21"/>
      <c r="NQH200" s="21"/>
      <c r="NQI200" s="21"/>
      <c r="NQJ200" s="21"/>
      <c r="NQK200" s="21"/>
      <c r="NQL200" s="21"/>
      <c r="NQM200" s="21"/>
      <c r="NQN200" s="21"/>
      <c r="NQO200" s="21"/>
      <c r="NQP200" s="21"/>
      <c r="NQQ200" s="21"/>
      <c r="NQR200" s="21"/>
      <c r="NQS200" s="21"/>
      <c r="NQT200" s="21"/>
      <c r="NQU200" s="21"/>
      <c r="NQV200" s="21"/>
      <c r="NQW200" s="21"/>
      <c r="NQX200" s="21"/>
      <c r="NQY200" s="21"/>
      <c r="NQZ200" s="21"/>
      <c r="NRA200" s="21"/>
      <c r="NRB200" s="21"/>
      <c r="NRC200" s="21"/>
      <c r="NRD200" s="21"/>
      <c r="NRE200" s="21"/>
      <c r="NRF200" s="21"/>
      <c r="NRG200" s="21"/>
      <c r="NRH200" s="21"/>
      <c r="NRI200" s="21"/>
      <c r="NRJ200" s="21"/>
      <c r="NRK200" s="21"/>
      <c r="NRL200" s="21"/>
      <c r="NRM200" s="21"/>
      <c r="NRN200" s="21"/>
      <c r="NRO200" s="21"/>
      <c r="NRP200" s="21"/>
      <c r="NRQ200" s="21"/>
      <c r="NRR200" s="21"/>
      <c r="NRS200" s="21"/>
      <c r="NRT200" s="21"/>
      <c r="NRU200" s="21"/>
      <c r="NRV200" s="21"/>
      <c r="NRW200" s="21"/>
      <c r="NRX200" s="21"/>
      <c r="NRY200" s="21"/>
      <c r="NRZ200" s="21"/>
      <c r="NSA200" s="21"/>
      <c r="NSB200" s="21"/>
      <c r="NSC200" s="21"/>
      <c r="NSD200" s="21"/>
      <c r="NSE200" s="21"/>
      <c r="NSF200" s="21"/>
      <c r="NSG200" s="21"/>
      <c r="NSH200" s="21"/>
      <c r="NSI200" s="21"/>
      <c r="NSJ200" s="21"/>
      <c r="NSK200" s="21"/>
      <c r="NSL200" s="21"/>
      <c r="NSM200" s="21"/>
      <c r="NSN200" s="21"/>
      <c r="NSO200" s="21"/>
      <c r="NSP200" s="21"/>
      <c r="NSQ200" s="21"/>
      <c r="NSR200" s="21"/>
      <c r="NSS200" s="21"/>
      <c r="NST200" s="21"/>
      <c r="NSU200" s="21"/>
      <c r="NSV200" s="21"/>
      <c r="NSW200" s="21"/>
      <c r="NSX200" s="21"/>
      <c r="NSY200" s="21"/>
      <c r="NSZ200" s="21"/>
      <c r="NTA200" s="21"/>
      <c r="NTB200" s="21"/>
      <c r="NTC200" s="21"/>
      <c r="NTD200" s="21"/>
      <c r="NTE200" s="21"/>
      <c r="NTF200" s="21"/>
      <c r="NTG200" s="21"/>
      <c r="NTH200" s="21"/>
      <c r="NTI200" s="21"/>
      <c r="NTJ200" s="21"/>
      <c r="NTK200" s="21"/>
      <c r="NTL200" s="21"/>
      <c r="NTM200" s="21"/>
      <c r="NTN200" s="21"/>
      <c r="NTO200" s="21"/>
      <c r="NTP200" s="21"/>
      <c r="NTQ200" s="21"/>
      <c r="NTR200" s="21"/>
      <c r="NTS200" s="21"/>
      <c r="NTT200" s="21"/>
      <c r="NTU200" s="21"/>
      <c r="NTV200" s="21"/>
      <c r="NTW200" s="21"/>
      <c r="NTX200" s="21"/>
      <c r="NTY200" s="21"/>
      <c r="NTZ200" s="21"/>
      <c r="NUA200" s="21"/>
      <c r="NUB200" s="21"/>
      <c r="NUC200" s="21"/>
      <c r="NUD200" s="21"/>
      <c r="NUE200" s="21"/>
      <c r="NUF200" s="21"/>
      <c r="NUG200" s="21"/>
      <c r="NUH200" s="21"/>
      <c r="NUI200" s="21"/>
      <c r="NUJ200" s="21"/>
      <c r="NUK200" s="21"/>
      <c r="NUL200" s="21"/>
      <c r="NUM200" s="21"/>
      <c r="NUN200" s="21"/>
      <c r="NUO200" s="21"/>
      <c r="NUP200" s="21"/>
      <c r="NUQ200" s="21"/>
      <c r="NUR200" s="21"/>
      <c r="NUS200" s="21"/>
      <c r="NUT200" s="21"/>
      <c r="NUU200" s="21"/>
      <c r="NUV200" s="21"/>
      <c r="NUW200" s="21"/>
      <c r="NUX200" s="21"/>
      <c r="NUY200" s="21"/>
      <c r="NUZ200" s="21"/>
      <c r="NVA200" s="21"/>
      <c r="NVB200" s="21"/>
      <c r="NVC200" s="21"/>
      <c r="NVD200" s="21"/>
      <c r="NVE200" s="21"/>
      <c r="NVF200" s="21"/>
      <c r="NVG200" s="21"/>
      <c r="NVH200" s="21"/>
      <c r="NVI200" s="21"/>
      <c r="NVJ200" s="21"/>
      <c r="NVK200" s="21"/>
      <c r="NVL200" s="21"/>
      <c r="NVM200" s="21"/>
      <c r="NVN200" s="21"/>
      <c r="NVO200" s="21"/>
      <c r="NVP200" s="21"/>
      <c r="NVQ200" s="21"/>
      <c r="NVR200" s="21"/>
      <c r="NVS200" s="21"/>
      <c r="NVT200" s="21"/>
      <c r="NVU200" s="21"/>
      <c r="NVV200" s="21"/>
      <c r="NVW200" s="21"/>
      <c r="NVX200" s="21"/>
      <c r="NVY200" s="21"/>
      <c r="NVZ200" s="21"/>
      <c r="NWA200" s="21"/>
      <c r="NWB200" s="21"/>
      <c r="NWC200" s="21"/>
      <c r="NWD200" s="21"/>
      <c r="NWE200" s="21"/>
      <c r="NWF200" s="21"/>
      <c r="NWG200" s="21"/>
      <c r="NWH200" s="21"/>
      <c r="NWI200" s="21"/>
      <c r="NWJ200" s="21"/>
      <c r="NWK200" s="21"/>
      <c r="NWL200" s="21"/>
      <c r="NWM200" s="21"/>
      <c r="NWN200" s="21"/>
      <c r="NWO200" s="21"/>
      <c r="NWP200" s="21"/>
      <c r="NWQ200" s="21"/>
      <c r="NWR200" s="21"/>
      <c r="NWS200" s="21"/>
      <c r="NWT200" s="21"/>
      <c r="NWU200" s="21"/>
      <c r="NWV200" s="21"/>
      <c r="NWW200" s="21"/>
      <c r="NWX200" s="21"/>
      <c r="NWY200" s="21"/>
      <c r="NWZ200" s="21"/>
      <c r="NXA200" s="21"/>
      <c r="NXB200" s="21"/>
      <c r="NXC200" s="21"/>
      <c r="NXD200" s="21"/>
      <c r="NXE200" s="21"/>
      <c r="NXF200" s="21"/>
      <c r="NXG200" s="21"/>
      <c r="NXH200" s="21"/>
      <c r="NXI200" s="21"/>
      <c r="NXJ200" s="21"/>
      <c r="NXK200" s="21"/>
      <c r="NXL200" s="21"/>
      <c r="NXM200" s="21"/>
      <c r="NXN200" s="21"/>
      <c r="NXO200" s="21"/>
      <c r="NXP200" s="21"/>
      <c r="NXQ200" s="21"/>
      <c r="NXR200" s="21"/>
      <c r="NXS200" s="21"/>
      <c r="NXT200" s="21"/>
      <c r="NXU200" s="21"/>
      <c r="NXV200" s="21"/>
      <c r="NXW200" s="21"/>
      <c r="NXX200" s="21"/>
      <c r="NXY200" s="21"/>
      <c r="NXZ200" s="21"/>
      <c r="NYA200" s="21"/>
      <c r="NYB200" s="21"/>
      <c r="NYC200" s="21"/>
      <c r="NYD200" s="21"/>
      <c r="NYE200" s="21"/>
      <c r="NYF200" s="21"/>
      <c r="NYG200" s="21"/>
      <c r="NYH200" s="21"/>
      <c r="NYI200" s="21"/>
      <c r="NYJ200" s="21"/>
      <c r="NYK200" s="21"/>
      <c r="NYL200" s="21"/>
      <c r="NYM200" s="21"/>
      <c r="NYN200" s="21"/>
      <c r="NYO200" s="21"/>
      <c r="NYP200" s="21"/>
      <c r="NYQ200" s="21"/>
      <c r="NYR200" s="21"/>
      <c r="NYS200" s="21"/>
      <c r="NYT200" s="21"/>
      <c r="NYU200" s="21"/>
      <c r="NYV200" s="21"/>
      <c r="NYW200" s="21"/>
      <c r="NYX200" s="21"/>
      <c r="NYY200" s="21"/>
      <c r="NYZ200" s="21"/>
      <c r="NZA200" s="21"/>
      <c r="NZB200" s="21"/>
      <c r="NZC200" s="21"/>
      <c r="NZD200" s="21"/>
      <c r="NZE200" s="21"/>
      <c r="NZF200" s="21"/>
      <c r="NZG200" s="21"/>
      <c r="NZH200" s="21"/>
      <c r="NZI200" s="21"/>
      <c r="NZJ200" s="21"/>
      <c r="NZK200" s="21"/>
      <c r="NZL200" s="21"/>
      <c r="NZM200" s="21"/>
      <c r="NZN200" s="21"/>
      <c r="NZO200" s="21"/>
      <c r="NZP200" s="21"/>
      <c r="NZQ200" s="21"/>
      <c r="NZR200" s="21"/>
      <c r="NZS200" s="21"/>
      <c r="NZT200" s="21"/>
      <c r="NZU200" s="21"/>
      <c r="NZV200" s="21"/>
      <c r="NZW200" s="21"/>
      <c r="NZX200" s="21"/>
      <c r="NZY200" s="21"/>
      <c r="NZZ200" s="21"/>
      <c r="OAA200" s="21"/>
      <c r="OAB200" s="21"/>
      <c r="OAC200" s="21"/>
      <c r="OAD200" s="21"/>
      <c r="OAE200" s="21"/>
      <c r="OAF200" s="21"/>
      <c r="OAG200" s="21"/>
      <c r="OAH200" s="21"/>
      <c r="OAI200" s="21"/>
      <c r="OAJ200" s="21"/>
      <c r="OAK200" s="21"/>
      <c r="OAL200" s="21"/>
      <c r="OAM200" s="21"/>
      <c r="OAN200" s="21"/>
      <c r="OAO200" s="21"/>
      <c r="OAP200" s="21"/>
      <c r="OAQ200" s="21"/>
      <c r="OAR200" s="21"/>
      <c r="OAS200" s="21"/>
      <c r="OAT200" s="21"/>
      <c r="OAU200" s="21"/>
      <c r="OAV200" s="21"/>
      <c r="OAW200" s="21"/>
      <c r="OAX200" s="21"/>
      <c r="OAY200" s="21"/>
      <c r="OAZ200" s="21"/>
      <c r="OBA200" s="21"/>
      <c r="OBB200" s="21"/>
      <c r="OBC200" s="21"/>
      <c r="OBD200" s="21"/>
      <c r="OBE200" s="21"/>
      <c r="OBF200" s="21"/>
      <c r="OBG200" s="21"/>
      <c r="OBH200" s="21"/>
      <c r="OBI200" s="21"/>
      <c r="OBJ200" s="21"/>
      <c r="OBK200" s="21"/>
      <c r="OBL200" s="21"/>
      <c r="OBM200" s="21"/>
      <c r="OBN200" s="21"/>
      <c r="OBO200" s="21"/>
      <c r="OBP200" s="21"/>
      <c r="OBQ200" s="21"/>
      <c r="OBR200" s="21"/>
      <c r="OBS200" s="21"/>
      <c r="OBT200" s="21"/>
      <c r="OBU200" s="21"/>
      <c r="OBV200" s="21"/>
      <c r="OBW200" s="21"/>
      <c r="OBX200" s="21"/>
      <c r="OBY200" s="21"/>
      <c r="OBZ200" s="21"/>
      <c r="OCA200" s="21"/>
      <c r="OCB200" s="21"/>
      <c r="OCC200" s="21"/>
      <c r="OCD200" s="21"/>
      <c r="OCE200" s="21"/>
      <c r="OCF200" s="21"/>
      <c r="OCG200" s="21"/>
      <c r="OCH200" s="21"/>
      <c r="OCI200" s="21"/>
      <c r="OCJ200" s="21"/>
      <c r="OCK200" s="21"/>
      <c r="OCL200" s="21"/>
      <c r="OCM200" s="21"/>
      <c r="OCN200" s="21"/>
      <c r="OCO200" s="21"/>
      <c r="OCP200" s="21"/>
      <c r="OCQ200" s="21"/>
      <c r="OCR200" s="21"/>
      <c r="OCS200" s="21"/>
      <c r="OCT200" s="21"/>
      <c r="OCU200" s="21"/>
      <c r="OCV200" s="21"/>
      <c r="OCW200" s="21"/>
      <c r="OCX200" s="21"/>
      <c r="OCY200" s="21"/>
      <c r="OCZ200" s="21"/>
      <c r="ODA200" s="21"/>
      <c r="ODB200" s="21"/>
      <c r="ODC200" s="21"/>
      <c r="ODD200" s="21"/>
      <c r="ODE200" s="21"/>
      <c r="ODF200" s="21"/>
      <c r="ODG200" s="21"/>
      <c r="ODH200" s="21"/>
      <c r="ODI200" s="21"/>
      <c r="ODJ200" s="21"/>
      <c r="ODK200" s="21"/>
      <c r="ODL200" s="21"/>
      <c r="ODM200" s="21"/>
      <c r="ODN200" s="21"/>
      <c r="ODO200" s="21"/>
      <c r="ODP200" s="21"/>
      <c r="ODQ200" s="21"/>
      <c r="ODR200" s="21"/>
      <c r="ODS200" s="21"/>
      <c r="ODT200" s="21"/>
      <c r="ODU200" s="21"/>
      <c r="ODV200" s="21"/>
      <c r="ODW200" s="21"/>
      <c r="ODX200" s="21"/>
      <c r="ODY200" s="21"/>
      <c r="ODZ200" s="21"/>
      <c r="OEA200" s="21"/>
      <c r="OEB200" s="21"/>
      <c r="OEC200" s="21"/>
      <c r="OED200" s="21"/>
      <c r="OEE200" s="21"/>
      <c r="OEF200" s="21"/>
      <c r="OEG200" s="21"/>
      <c r="OEH200" s="21"/>
      <c r="OEI200" s="21"/>
      <c r="OEJ200" s="21"/>
      <c r="OEK200" s="21"/>
      <c r="OEL200" s="21"/>
      <c r="OEM200" s="21"/>
      <c r="OEN200" s="21"/>
      <c r="OEO200" s="21"/>
      <c r="OEP200" s="21"/>
      <c r="OEQ200" s="21"/>
      <c r="OER200" s="21"/>
      <c r="OES200" s="21"/>
      <c r="OET200" s="21"/>
      <c r="OEU200" s="21"/>
      <c r="OEV200" s="21"/>
      <c r="OEW200" s="21"/>
      <c r="OEX200" s="21"/>
      <c r="OEY200" s="21"/>
      <c r="OEZ200" s="21"/>
      <c r="OFA200" s="21"/>
      <c r="OFB200" s="21"/>
      <c r="OFC200" s="21"/>
      <c r="OFD200" s="21"/>
      <c r="OFE200" s="21"/>
      <c r="OFF200" s="21"/>
      <c r="OFG200" s="21"/>
      <c r="OFH200" s="21"/>
      <c r="OFI200" s="21"/>
      <c r="OFJ200" s="21"/>
      <c r="OFK200" s="21"/>
      <c r="OFL200" s="21"/>
      <c r="OFM200" s="21"/>
      <c r="OFN200" s="21"/>
      <c r="OFO200" s="21"/>
      <c r="OFP200" s="21"/>
      <c r="OFQ200" s="21"/>
      <c r="OFR200" s="21"/>
      <c r="OFS200" s="21"/>
      <c r="OFT200" s="21"/>
      <c r="OFU200" s="21"/>
      <c r="OFV200" s="21"/>
      <c r="OFW200" s="21"/>
      <c r="OFX200" s="21"/>
      <c r="OFY200" s="21"/>
      <c r="OFZ200" s="21"/>
      <c r="OGA200" s="21"/>
      <c r="OGB200" s="21"/>
      <c r="OGC200" s="21"/>
      <c r="OGD200" s="21"/>
      <c r="OGE200" s="21"/>
      <c r="OGF200" s="21"/>
      <c r="OGG200" s="21"/>
      <c r="OGH200" s="21"/>
      <c r="OGI200" s="21"/>
      <c r="OGJ200" s="21"/>
      <c r="OGK200" s="21"/>
      <c r="OGL200" s="21"/>
      <c r="OGM200" s="21"/>
      <c r="OGN200" s="21"/>
      <c r="OGO200" s="21"/>
      <c r="OGP200" s="21"/>
      <c r="OGQ200" s="21"/>
      <c r="OGR200" s="21"/>
      <c r="OGS200" s="21"/>
      <c r="OGT200" s="21"/>
      <c r="OGU200" s="21"/>
      <c r="OGV200" s="21"/>
      <c r="OGW200" s="21"/>
      <c r="OGX200" s="21"/>
      <c r="OGY200" s="21"/>
      <c r="OGZ200" s="21"/>
      <c r="OHA200" s="21"/>
      <c r="OHB200" s="21"/>
      <c r="OHC200" s="21"/>
      <c r="OHD200" s="21"/>
      <c r="OHE200" s="21"/>
      <c r="OHF200" s="21"/>
      <c r="OHG200" s="21"/>
      <c r="OHH200" s="21"/>
      <c r="OHI200" s="21"/>
      <c r="OHJ200" s="21"/>
      <c r="OHK200" s="21"/>
      <c r="OHL200" s="21"/>
      <c r="OHM200" s="21"/>
      <c r="OHN200" s="21"/>
      <c r="OHO200" s="21"/>
      <c r="OHP200" s="21"/>
      <c r="OHQ200" s="21"/>
      <c r="OHR200" s="21"/>
      <c r="OHS200" s="21"/>
      <c r="OHT200" s="21"/>
      <c r="OHU200" s="21"/>
      <c r="OHV200" s="21"/>
      <c r="OHW200" s="21"/>
      <c r="OHX200" s="21"/>
      <c r="OHY200" s="21"/>
      <c r="OHZ200" s="21"/>
      <c r="OIA200" s="21"/>
      <c r="OIB200" s="21"/>
      <c r="OIC200" s="21"/>
      <c r="OID200" s="21"/>
      <c r="OIE200" s="21"/>
      <c r="OIF200" s="21"/>
      <c r="OIG200" s="21"/>
      <c r="OIH200" s="21"/>
      <c r="OII200" s="21"/>
      <c r="OIJ200" s="21"/>
      <c r="OIK200" s="21"/>
      <c r="OIL200" s="21"/>
      <c r="OIM200" s="21"/>
      <c r="OIN200" s="21"/>
      <c r="OIO200" s="21"/>
      <c r="OIP200" s="21"/>
      <c r="OIQ200" s="21"/>
      <c r="OIR200" s="21"/>
      <c r="OIS200" s="21"/>
      <c r="OIT200" s="21"/>
      <c r="OIU200" s="21"/>
      <c r="OIV200" s="21"/>
      <c r="OIW200" s="21"/>
      <c r="OIX200" s="21"/>
      <c r="OIY200" s="21"/>
      <c r="OIZ200" s="21"/>
      <c r="OJA200" s="21"/>
      <c r="OJB200" s="21"/>
      <c r="OJC200" s="21"/>
      <c r="OJD200" s="21"/>
      <c r="OJE200" s="21"/>
      <c r="OJF200" s="21"/>
      <c r="OJG200" s="21"/>
      <c r="OJH200" s="21"/>
      <c r="OJI200" s="21"/>
      <c r="OJJ200" s="21"/>
      <c r="OJK200" s="21"/>
      <c r="OJL200" s="21"/>
      <c r="OJM200" s="21"/>
      <c r="OJN200" s="21"/>
      <c r="OJO200" s="21"/>
      <c r="OJP200" s="21"/>
      <c r="OJQ200" s="21"/>
      <c r="OJR200" s="21"/>
      <c r="OJS200" s="21"/>
      <c r="OJT200" s="21"/>
      <c r="OJU200" s="21"/>
      <c r="OJV200" s="21"/>
      <c r="OJW200" s="21"/>
      <c r="OJX200" s="21"/>
      <c r="OJY200" s="21"/>
      <c r="OJZ200" s="21"/>
      <c r="OKA200" s="21"/>
      <c r="OKB200" s="21"/>
      <c r="OKC200" s="21"/>
      <c r="OKD200" s="21"/>
      <c r="OKE200" s="21"/>
      <c r="OKF200" s="21"/>
      <c r="OKG200" s="21"/>
      <c r="OKH200" s="21"/>
      <c r="OKI200" s="21"/>
      <c r="OKJ200" s="21"/>
      <c r="OKK200" s="21"/>
      <c r="OKL200" s="21"/>
      <c r="OKM200" s="21"/>
      <c r="OKN200" s="21"/>
      <c r="OKO200" s="21"/>
      <c r="OKP200" s="21"/>
      <c r="OKQ200" s="21"/>
      <c r="OKR200" s="21"/>
      <c r="OKS200" s="21"/>
      <c r="OKT200" s="21"/>
      <c r="OKU200" s="21"/>
      <c r="OKV200" s="21"/>
      <c r="OKW200" s="21"/>
      <c r="OKX200" s="21"/>
      <c r="OKY200" s="21"/>
      <c r="OKZ200" s="21"/>
      <c r="OLA200" s="21"/>
      <c r="OLB200" s="21"/>
      <c r="OLC200" s="21"/>
      <c r="OLD200" s="21"/>
      <c r="OLE200" s="21"/>
      <c r="OLF200" s="21"/>
      <c r="OLG200" s="21"/>
      <c r="OLH200" s="21"/>
      <c r="OLI200" s="21"/>
      <c r="OLJ200" s="21"/>
      <c r="OLK200" s="21"/>
      <c r="OLL200" s="21"/>
      <c r="OLM200" s="21"/>
      <c r="OLN200" s="21"/>
      <c r="OLO200" s="21"/>
      <c r="OLP200" s="21"/>
      <c r="OLQ200" s="21"/>
      <c r="OLR200" s="21"/>
      <c r="OLS200" s="21"/>
      <c r="OLT200" s="21"/>
      <c r="OLU200" s="21"/>
      <c r="OLV200" s="21"/>
      <c r="OLW200" s="21"/>
      <c r="OLX200" s="21"/>
      <c r="OLY200" s="21"/>
      <c r="OLZ200" s="21"/>
      <c r="OMA200" s="21"/>
      <c r="OMB200" s="21"/>
      <c r="OMC200" s="21"/>
      <c r="OMD200" s="21"/>
      <c r="OME200" s="21"/>
      <c r="OMF200" s="21"/>
      <c r="OMG200" s="21"/>
      <c r="OMH200" s="21"/>
      <c r="OMI200" s="21"/>
      <c r="OMJ200" s="21"/>
      <c r="OMK200" s="21"/>
      <c r="OML200" s="21"/>
      <c r="OMM200" s="21"/>
      <c r="OMN200" s="21"/>
      <c r="OMO200" s="21"/>
      <c r="OMP200" s="21"/>
      <c r="OMQ200" s="21"/>
      <c r="OMR200" s="21"/>
      <c r="OMS200" s="21"/>
      <c r="OMT200" s="21"/>
      <c r="OMU200" s="21"/>
      <c r="OMV200" s="21"/>
      <c r="OMW200" s="21"/>
      <c r="OMX200" s="21"/>
      <c r="OMY200" s="21"/>
      <c r="OMZ200" s="21"/>
      <c r="ONA200" s="21"/>
      <c r="ONB200" s="21"/>
      <c r="ONC200" s="21"/>
      <c r="OND200" s="21"/>
      <c r="ONE200" s="21"/>
      <c r="ONF200" s="21"/>
      <c r="ONG200" s="21"/>
      <c r="ONH200" s="21"/>
      <c r="ONI200" s="21"/>
      <c r="ONJ200" s="21"/>
      <c r="ONK200" s="21"/>
      <c r="ONL200" s="21"/>
      <c r="ONM200" s="21"/>
      <c r="ONN200" s="21"/>
      <c r="ONO200" s="21"/>
      <c r="ONP200" s="21"/>
      <c r="ONQ200" s="21"/>
      <c r="ONR200" s="21"/>
      <c r="ONS200" s="21"/>
      <c r="ONT200" s="21"/>
      <c r="ONU200" s="21"/>
      <c r="ONV200" s="21"/>
      <c r="ONW200" s="21"/>
      <c r="ONX200" s="21"/>
      <c r="ONY200" s="21"/>
      <c r="ONZ200" s="21"/>
      <c r="OOA200" s="21"/>
      <c r="OOB200" s="21"/>
      <c r="OOC200" s="21"/>
      <c r="OOD200" s="21"/>
      <c r="OOE200" s="21"/>
      <c r="OOF200" s="21"/>
      <c r="OOG200" s="21"/>
      <c r="OOH200" s="21"/>
      <c r="OOI200" s="21"/>
      <c r="OOJ200" s="21"/>
      <c r="OOK200" s="21"/>
      <c r="OOL200" s="21"/>
      <c r="OOM200" s="21"/>
      <c r="OON200" s="21"/>
      <c r="OOO200" s="21"/>
      <c r="OOP200" s="21"/>
      <c r="OOQ200" s="21"/>
      <c r="OOR200" s="21"/>
      <c r="OOS200" s="21"/>
      <c r="OOT200" s="21"/>
      <c r="OOU200" s="21"/>
      <c r="OOV200" s="21"/>
      <c r="OOW200" s="21"/>
      <c r="OOX200" s="21"/>
      <c r="OOY200" s="21"/>
      <c r="OOZ200" s="21"/>
      <c r="OPA200" s="21"/>
      <c r="OPB200" s="21"/>
      <c r="OPC200" s="21"/>
      <c r="OPD200" s="21"/>
      <c r="OPE200" s="21"/>
      <c r="OPF200" s="21"/>
      <c r="OPG200" s="21"/>
      <c r="OPH200" s="21"/>
      <c r="OPI200" s="21"/>
      <c r="OPJ200" s="21"/>
      <c r="OPK200" s="21"/>
      <c r="OPL200" s="21"/>
      <c r="OPM200" s="21"/>
      <c r="OPN200" s="21"/>
      <c r="OPO200" s="21"/>
      <c r="OPP200" s="21"/>
      <c r="OPQ200" s="21"/>
      <c r="OPR200" s="21"/>
      <c r="OPS200" s="21"/>
      <c r="OPT200" s="21"/>
      <c r="OPU200" s="21"/>
      <c r="OPV200" s="21"/>
      <c r="OPW200" s="21"/>
      <c r="OPX200" s="21"/>
      <c r="OPY200" s="21"/>
      <c r="OPZ200" s="21"/>
      <c r="OQA200" s="21"/>
      <c r="OQB200" s="21"/>
      <c r="OQC200" s="21"/>
      <c r="OQD200" s="21"/>
      <c r="OQE200" s="21"/>
      <c r="OQF200" s="21"/>
      <c r="OQG200" s="21"/>
      <c r="OQH200" s="21"/>
      <c r="OQI200" s="21"/>
      <c r="OQJ200" s="21"/>
      <c r="OQK200" s="21"/>
      <c r="OQL200" s="21"/>
      <c r="OQM200" s="21"/>
      <c r="OQN200" s="21"/>
      <c r="OQO200" s="21"/>
      <c r="OQP200" s="21"/>
      <c r="OQQ200" s="21"/>
      <c r="OQR200" s="21"/>
      <c r="OQS200" s="21"/>
      <c r="OQT200" s="21"/>
      <c r="OQU200" s="21"/>
      <c r="OQV200" s="21"/>
      <c r="OQW200" s="21"/>
      <c r="OQX200" s="21"/>
      <c r="OQY200" s="21"/>
      <c r="OQZ200" s="21"/>
      <c r="ORA200" s="21"/>
      <c r="ORB200" s="21"/>
      <c r="ORC200" s="21"/>
      <c r="ORD200" s="21"/>
      <c r="ORE200" s="21"/>
      <c r="ORF200" s="21"/>
      <c r="ORG200" s="21"/>
      <c r="ORH200" s="21"/>
      <c r="ORI200" s="21"/>
      <c r="ORJ200" s="21"/>
      <c r="ORK200" s="21"/>
      <c r="ORL200" s="21"/>
      <c r="ORM200" s="21"/>
      <c r="ORN200" s="21"/>
      <c r="ORO200" s="21"/>
      <c r="ORP200" s="21"/>
      <c r="ORQ200" s="21"/>
      <c r="ORR200" s="21"/>
      <c r="ORS200" s="21"/>
      <c r="ORT200" s="21"/>
      <c r="ORU200" s="21"/>
      <c r="ORV200" s="21"/>
      <c r="ORW200" s="21"/>
      <c r="ORX200" s="21"/>
      <c r="ORY200" s="21"/>
      <c r="ORZ200" s="21"/>
      <c r="OSA200" s="21"/>
      <c r="OSB200" s="21"/>
      <c r="OSC200" s="21"/>
      <c r="OSD200" s="21"/>
      <c r="OSE200" s="21"/>
      <c r="OSF200" s="21"/>
      <c r="OSG200" s="21"/>
      <c r="OSH200" s="21"/>
      <c r="OSI200" s="21"/>
      <c r="OSJ200" s="21"/>
      <c r="OSK200" s="21"/>
      <c r="OSL200" s="21"/>
      <c r="OSM200" s="21"/>
      <c r="OSN200" s="21"/>
      <c r="OSO200" s="21"/>
      <c r="OSP200" s="21"/>
      <c r="OSQ200" s="21"/>
      <c r="OSR200" s="21"/>
      <c r="OSS200" s="21"/>
      <c r="OST200" s="21"/>
      <c r="OSU200" s="21"/>
      <c r="OSV200" s="21"/>
      <c r="OSW200" s="21"/>
      <c r="OSX200" s="21"/>
      <c r="OSY200" s="21"/>
      <c r="OSZ200" s="21"/>
      <c r="OTA200" s="21"/>
      <c r="OTB200" s="21"/>
      <c r="OTC200" s="21"/>
      <c r="OTD200" s="21"/>
      <c r="OTE200" s="21"/>
      <c r="OTF200" s="21"/>
      <c r="OTG200" s="21"/>
      <c r="OTH200" s="21"/>
      <c r="OTI200" s="21"/>
      <c r="OTJ200" s="21"/>
      <c r="OTK200" s="21"/>
      <c r="OTL200" s="21"/>
      <c r="OTM200" s="21"/>
      <c r="OTN200" s="21"/>
      <c r="OTO200" s="21"/>
      <c r="OTP200" s="21"/>
      <c r="OTQ200" s="21"/>
      <c r="OTR200" s="21"/>
      <c r="OTS200" s="21"/>
      <c r="OTT200" s="21"/>
      <c r="OTU200" s="21"/>
      <c r="OTV200" s="21"/>
      <c r="OTW200" s="21"/>
      <c r="OTX200" s="21"/>
      <c r="OTY200" s="21"/>
      <c r="OTZ200" s="21"/>
      <c r="OUA200" s="21"/>
      <c r="OUB200" s="21"/>
      <c r="OUC200" s="21"/>
      <c r="OUD200" s="21"/>
      <c r="OUE200" s="21"/>
      <c r="OUF200" s="21"/>
      <c r="OUG200" s="21"/>
      <c r="OUH200" s="21"/>
      <c r="OUI200" s="21"/>
      <c r="OUJ200" s="21"/>
      <c r="OUK200" s="21"/>
      <c r="OUL200" s="21"/>
      <c r="OUM200" s="21"/>
      <c r="OUN200" s="21"/>
      <c r="OUO200" s="21"/>
      <c r="OUP200" s="21"/>
      <c r="OUQ200" s="21"/>
      <c r="OUR200" s="21"/>
      <c r="OUS200" s="21"/>
      <c r="OUT200" s="21"/>
      <c r="OUU200" s="21"/>
      <c r="OUV200" s="21"/>
      <c r="OUW200" s="21"/>
      <c r="OUX200" s="21"/>
      <c r="OUY200" s="21"/>
      <c r="OUZ200" s="21"/>
      <c r="OVA200" s="21"/>
      <c r="OVB200" s="21"/>
      <c r="OVC200" s="21"/>
      <c r="OVD200" s="21"/>
      <c r="OVE200" s="21"/>
      <c r="OVF200" s="21"/>
      <c r="OVG200" s="21"/>
      <c r="OVH200" s="21"/>
      <c r="OVI200" s="21"/>
      <c r="OVJ200" s="21"/>
      <c r="OVK200" s="21"/>
      <c r="OVL200" s="21"/>
      <c r="OVM200" s="21"/>
      <c r="OVN200" s="21"/>
      <c r="OVO200" s="21"/>
      <c r="OVP200" s="21"/>
      <c r="OVQ200" s="21"/>
      <c r="OVR200" s="21"/>
      <c r="OVS200" s="21"/>
      <c r="OVT200" s="21"/>
      <c r="OVU200" s="21"/>
      <c r="OVV200" s="21"/>
      <c r="OVW200" s="21"/>
      <c r="OVX200" s="21"/>
      <c r="OVY200" s="21"/>
      <c r="OVZ200" s="21"/>
      <c r="OWA200" s="21"/>
      <c r="OWB200" s="21"/>
      <c r="OWC200" s="21"/>
      <c r="OWD200" s="21"/>
      <c r="OWE200" s="21"/>
      <c r="OWF200" s="21"/>
      <c r="OWG200" s="21"/>
      <c r="OWH200" s="21"/>
      <c r="OWI200" s="21"/>
      <c r="OWJ200" s="21"/>
      <c r="OWK200" s="21"/>
      <c r="OWL200" s="21"/>
      <c r="OWM200" s="21"/>
      <c r="OWN200" s="21"/>
      <c r="OWO200" s="21"/>
      <c r="OWP200" s="21"/>
      <c r="OWQ200" s="21"/>
      <c r="OWR200" s="21"/>
      <c r="OWS200" s="21"/>
      <c r="OWT200" s="21"/>
      <c r="OWU200" s="21"/>
      <c r="OWV200" s="21"/>
      <c r="OWW200" s="21"/>
      <c r="OWX200" s="21"/>
      <c r="OWY200" s="21"/>
      <c r="OWZ200" s="21"/>
      <c r="OXA200" s="21"/>
      <c r="OXB200" s="21"/>
      <c r="OXC200" s="21"/>
      <c r="OXD200" s="21"/>
      <c r="OXE200" s="21"/>
      <c r="OXF200" s="21"/>
      <c r="OXG200" s="21"/>
      <c r="OXH200" s="21"/>
      <c r="OXI200" s="21"/>
      <c r="OXJ200" s="21"/>
      <c r="OXK200" s="21"/>
      <c r="OXL200" s="21"/>
      <c r="OXM200" s="21"/>
      <c r="OXN200" s="21"/>
      <c r="OXO200" s="21"/>
      <c r="OXP200" s="21"/>
      <c r="OXQ200" s="21"/>
      <c r="OXR200" s="21"/>
      <c r="OXS200" s="21"/>
      <c r="OXT200" s="21"/>
      <c r="OXU200" s="21"/>
      <c r="OXV200" s="21"/>
      <c r="OXW200" s="21"/>
      <c r="OXX200" s="21"/>
      <c r="OXY200" s="21"/>
      <c r="OXZ200" s="21"/>
      <c r="OYA200" s="21"/>
      <c r="OYB200" s="21"/>
      <c r="OYC200" s="21"/>
      <c r="OYD200" s="21"/>
      <c r="OYE200" s="21"/>
      <c r="OYF200" s="21"/>
      <c r="OYG200" s="21"/>
      <c r="OYH200" s="21"/>
      <c r="OYI200" s="21"/>
      <c r="OYJ200" s="21"/>
      <c r="OYK200" s="21"/>
      <c r="OYL200" s="21"/>
      <c r="OYM200" s="21"/>
      <c r="OYN200" s="21"/>
      <c r="OYO200" s="21"/>
      <c r="OYP200" s="21"/>
      <c r="OYQ200" s="21"/>
      <c r="OYR200" s="21"/>
      <c r="OYS200" s="21"/>
      <c r="OYT200" s="21"/>
      <c r="OYU200" s="21"/>
      <c r="OYV200" s="21"/>
      <c r="OYW200" s="21"/>
      <c r="OYX200" s="21"/>
      <c r="OYY200" s="21"/>
      <c r="OYZ200" s="21"/>
      <c r="OZA200" s="21"/>
      <c r="OZB200" s="21"/>
      <c r="OZC200" s="21"/>
      <c r="OZD200" s="21"/>
      <c r="OZE200" s="21"/>
      <c r="OZF200" s="21"/>
      <c r="OZG200" s="21"/>
      <c r="OZH200" s="21"/>
      <c r="OZI200" s="21"/>
      <c r="OZJ200" s="21"/>
      <c r="OZK200" s="21"/>
      <c r="OZL200" s="21"/>
      <c r="OZM200" s="21"/>
      <c r="OZN200" s="21"/>
      <c r="OZO200" s="21"/>
      <c r="OZP200" s="21"/>
      <c r="OZQ200" s="21"/>
      <c r="OZR200" s="21"/>
      <c r="OZS200" s="21"/>
      <c r="OZT200" s="21"/>
      <c r="OZU200" s="21"/>
      <c r="OZV200" s="21"/>
      <c r="OZW200" s="21"/>
      <c r="OZX200" s="21"/>
      <c r="OZY200" s="21"/>
      <c r="OZZ200" s="21"/>
      <c r="PAA200" s="21"/>
      <c r="PAB200" s="21"/>
      <c r="PAC200" s="21"/>
      <c r="PAD200" s="21"/>
      <c r="PAE200" s="21"/>
      <c r="PAF200" s="21"/>
      <c r="PAG200" s="21"/>
      <c r="PAH200" s="21"/>
      <c r="PAI200" s="21"/>
      <c r="PAJ200" s="21"/>
      <c r="PAK200" s="21"/>
      <c r="PAL200" s="21"/>
      <c r="PAM200" s="21"/>
      <c r="PAN200" s="21"/>
      <c r="PAO200" s="21"/>
      <c r="PAP200" s="21"/>
      <c r="PAQ200" s="21"/>
      <c r="PAR200" s="21"/>
      <c r="PAS200" s="21"/>
      <c r="PAT200" s="21"/>
      <c r="PAU200" s="21"/>
      <c r="PAV200" s="21"/>
      <c r="PAW200" s="21"/>
      <c r="PAX200" s="21"/>
      <c r="PAY200" s="21"/>
      <c r="PAZ200" s="21"/>
      <c r="PBA200" s="21"/>
      <c r="PBB200" s="21"/>
      <c r="PBC200" s="21"/>
      <c r="PBD200" s="21"/>
      <c r="PBE200" s="21"/>
      <c r="PBF200" s="21"/>
      <c r="PBG200" s="21"/>
      <c r="PBH200" s="21"/>
      <c r="PBI200" s="21"/>
      <c r="PBJ200" s="21"/>
      <c r="PBK200" s="21"/>
      <c r="PBL200" s="21"/>
      <c r="PBM200" s="21"/>
      <c r="PBN200" s="21"/>
      <c r="PBO200" s="21"/>
      <c r="PBP200" s="21"/>
      <c r="PBQ200" s="21"/>
      <c r="PBR200" s="21"/>
      <c r="PBS200" s="21"/>
      <c r="PBT200" s="21"/>
      <c r="PBU200" s="21"/>
      <c r="PBV200" s="21"/>
      <c r="PBW200" s="21"/>
      <c r="PBX200" s="21"/>
      <c r="PBY200" s="21"/>
      <c r="PBZ200" s="21"/>
      <c r="PCA200" s="21"/>
      <c r="PCB200" s="21"/>
      <c r="PCC200" s="21"/>
      <c r="PCD200" s="21"/>
      <c r="PCE200" s="21"/>
      <c r="PCF200" s="21"/>
      <c r="PCG200" s="21"/>
      <c r="PCH200" s="21"/>
      <c r="PCI200" s="21"/>
      <c r="PCJ200" s="21"/>
      <c r="PCK200" s="21"/>
      <c r="PCL200" s="21"/>
      <c r="PCM200" s="21"/>
      <c r="PCN200" s="21"/>
      <c r="PCO200" s="21"/>
      <c r="PCP200" s="21"/>
      <c r="PCQ200" s="21"/>
      <c r="PCR200" s="21"/>
      <c r="PCS200" s="21"/>
      <c r="PCT200" s="21"/>
      <c r="PCU200" s="21"/>
      <c r="PCV200" s="21"/>
      <c r="PCW200" s="21"/>
      <c r="PCX200" s="21"/>
      <c r="PCY200" s="21"/>
      <c r="PCZ200" s="21"/>
      <c r="PDA200" s="21"/>
      <c r="PDB200" s="21"/>
      <c r="PDC200" s="21"/>
      <c r="PDD200" s="21"/>
      <c r="PDE200" s="21"/>
      <c r="PDF200" s="21"/>
      <c r="PDG200" s="21"/>
      <c r="PDH200" s="21"/>
      <c r="PDI200" s="21"/>
      <c r="PDJ200" s="21"/>
      <c r="PDK200" s="21"/>
      <c r="PDL200" s="21"/>
      <c r="PDM200" s="21"/>
      <c r="PDN200" s="21"/>
      <c r="PDO200" s="21"/>
      <c r="PDP200" s="21"/>
      <c r="PDQ200" s="21"/>
      <c r="PDR200" s="21"/>
      <c r="PDS200" s="21"/>
      <c r="PDT200" s="21"/>
      <c r="PDU200" s="21"/>
      <c r="PDV200" s="21"/>
      <c r="PDW200" s="21"/>
      <c r="PDX200" s="21"/>
      <c r="PDY200" s="21"/>
      <c r="PDZ200" s="21"/>
      <c r="PEA200" s="21"/>
      <c r="PEB200" s="21"/>
      <c r="PEC200" s="21"/>
      <c r="PED200" s="21"/>
      <c r="PEE200" s="21"/>
      <c r="PEF200" s="21"/>
      <c r="PEG200" s="21"/>
      <c r="PEH200" s="21"/>
      <c r="PEI200" s="21"/>
      <c r="PEJ200" s="21"/>
      <c r="PEK200" s="21"/>
      <c r="PEL200" s="21"/>
      <c r="PEM200" s="21"/>
      <c r="PEN200" s="21"/>
      <c r="PEO200" s="21"/>
      <c r="PEP200" s="21"/>
      <c r="PEQ200" s="21"/>
      <c r="PER200" s="21"/>
      <c r="PES200" s="21"/>
      <c r="PET200" s="21"/>
      <c r="PEU200" s="21"/>
      <c r="PEV200" s="21"/>
      <c r="PEW200" s="21"/>
      <c r="PEX200" s="21"/>
      <c r="PEY200" s="21"/>
      <c r="PEZ200" s="21"/>
      <c r="PFA200" s="21"/>
      <c r="PFB200" s="21"/>
      <c r="PFC200" s="21"/>
      <c r="PFD200" s="21"/>
      <c r="PFE200" s="21"/>
      <c r="PFF200" s="21"/>
      <c r="PFG200" s="21"/>
      <c r="PFH200" s="21"/>
      <c r="PFI200" s="21"/>
      <c r="PFJ200" s="21"/>
      <c r="PFK200" s="21"/>
      <c r="PFL200" s="21"/>
      <c r="PFM200" s="21"/>
      <c r="PFN200" s="21"/>
      <c r="PFO200" s="21"/>
      <c r="PFP200" s="21"/>
      <c r="PFQ200" s="21"/>
      <c r="PFR200" s="21"/>
      <c r="PFS200" s="21"/>
      <c r="PFT200" s="21"/>
      <c r="PFU200" s="21"/>
      <c r="PFV200" s="21"/>
      <c r="PFW200" s="21"/>
      <c r="PFX200" s="21"/>
      <c r="PFY200" s="21"/>
      <c r="PFZ200" s="21"/>
      <c r="PGA200" s="21"/>
      <c r="PGB200" s="21"/>
      <c r="PGC200" s="21"/>
      <c r="PGD200" s="21"/>
      <c r="PGE200" s="21"/>
      <c r="PGF200" s="21"/>
      <c r="PGG200" s="21"/>
      <c r="PGH200" s="21"/>
      <c r="PGI200" s="21"/>
      <c r="PGJ200" s="21"/>
      <c r="PGK200" s="21"/>
      <c r="PGL200" s="21"/>
      <c r="PGM200" s="21"/>
      <c r="PGN200" s="21"/>
      <c r="PGO200" s="21"/>
      <c r="PGP200" s="21"/>
      <c r="PGQ200" s="21"/>
      <c r="PGR200" s="21"/>
      <c r="PGS200" s="21"/>
      <c r="PGT200" s="21"/>
      <c r="PGU200" s="21"/>
      <c r="PGV200" s="21"/>
      <c r="PGW200" s="21"/>
      <c r="PGX200" s="21"/>
      <c r="PGY200" s="21"/>
      <c r="PGZ200" s="21"/>
      <c r="PHA200" s="21"/>
      <c r="PHB200" s="21"/>
      <c r="PHC200" s="21"/>
      <c r="PHD200" s="21"/>
      <c r="PHE200" s="21"/>
      <c r="PHF200" s="21"/>
      <c r="PHG200" s="21"/>
      <c r="PHH200" s="21"/>
      <c r="PHI200" s="21"/>
      <c r="PHJ200" s="21"/>
      <c r="PHK200" s="21"/>
      <c r="PHL200" s="21"/>
      <c r="PHM200" s="21"/>
      <c r="PHN200" s="21"/>
      <c r="PHO200" s="21"/>
      <c r="PHP200" s="21"/>
      <c r="PHQ200" s="21"/>
      <c r="PHR200" s="21"/>
      <c r="PHS200" s="21"/>
      <c r="PHT200" s="21"/>
      <c r="PHU200" s="21"/>
      <c r="PHV200" s="21"/>
      <c r="PHW200" s="21"/>
      <c r="PHX200" s="21"/>
      <c r="PHY200" s="21"/>
      <c r="PHZ200" s="21"/>
      <c r="PIA200" s="21"/>
      <c r="PIB200" s="21"/>
      <c r="PIC200" s="21"/>
      <c r="PID200" s="21"/>
      <c r="PIE200" s="21"/>
      <c r="PIF200" s="21"/>
      <c r="PIG200" s="21"/>
      <c r="PIH200" s="21"/>
      <c r="PII200" s="21"/>
      <c r="PIJ200" s="21"/>
      <c r="PIK200" s="21"/>
      <c r="PIL200" s="21"/>
      <c r="PIM200" s="21"/>
      <c r="PIN200" s="21"/>
      <c r="PIO200" s="21"/>
      <c r="PIP200" s="21"/>
      <c r="PIQ200" s="21"/>
      <c r="PIR200" s="21"/>
      <c r="PIS200" s="21"/>
      <c r="PIT200" s="21"/>
      <c r="PIU200" s="21"/>
      <c r="PIV200" s="21"/>
      <c r="PIW200" s="21"/>
      <c r="PIX200" s="21"/>
      <c r="PIY200" s="21"/>
      <c r="PIZ200" s="21"/>
      <c r="PJA200" s="21"/>
      <c r="PJB200" s="21"/>
      <c r="PJC200" s="21"/>
      <c r="PJD200" s="21"/>
      <c r="PJE200" s="21"/>
      <c r="PJF200" s="21"/>
      <c r="PJG200" s="21"/>
      <c r="PJH200" s="21"/>
      <c r="PJI200" s="21"/>
      <c r="PJJ200" s="21"/>
      <c r="PJK200" s="21"/>
      <c r="PJL200" s="21"/>
      <c r="PJM200" s="21"/>
      <c r="PJN200" s="21"/>
      <c r="PJO200" s="21"/>
      <c r="PJP200" s="21"/>
      <c r="PJQ200" s="21"/>
      <c r="PJR200" s="21"/>
      <c r="PJS200" s="21"/>
      <c r="PJT200" s="21"/>
      <c r="PJU200" s="21"/>
      <c r="PJV200" s="21"/>
      <c r="PJW200" s="21"/>
      <c r="PJX200" s="21"/>
      <c r="PJY200" s="21"/>
      <c r="PJZ200" s="21"/>
      <c r="PKA200" s="21"/>
      <c r="PKB200" s="21"/>
      <c r="PKC200" s="21"/>
      <c r="PKD200" s="21"/>
      <c r="PKE200" s="21"/>
      <c r="PKF200" s="21"/>
      <c r="PKG200" s="21"/>
      <c r="PKH200" s="21"/>
      <c r="PKI200" s="21"/>
      <c r="PKJ200" s="21"/>
      <c r="PKK200" s="21"/>
      <c r="PKL200" s="21"/>
      <c r="PKM200" s="21"/>
      <c r="PKN200" s="21"/>
      <c r="PKO200" s="21"/>
      <c r="PKP200" s="21"/>
      <c r="PKQ200" s="21"/>
      <c r="PKR200" s="21"/>
      <c r="PKS200" s="21"/>
      <c r="PKT200" s="21"/>
      <c r="PKU200" s="21"/>
      <c r="PKV200" s="21"/>
      <c r="PKW200" s="21"/>
      <c r="PKX200" s="21"/>
      <c r="PKY200" s="21"/>
      <c r="PKZ200" s="21"/>
      <c r="PLA200" s="21"/>
      <c r="PLB200" s="21"/>
      <c r="PLC200" s="21"/>
      <c r="PLD200" s="21"/>
      <c r="PLE200" s="21"/>
      <c r="PLF200" s="21"/>
      <c r="PLG200" s="21"/>
      <c r="PLH200" s="21"/>
      <c r="PLI200" s="21"/>
      <c r="PLJ200" s="21"/>
      <c r="PLK200" s="21"/>
      <c r="PLL200" s="21"/>
      <c r="PLM200" s="21"/>
      <c r="PLN200" s="21"/>
      <c r="PLO200" s="21"/>
      <c r="PLP200" s="21"/>
      <c r="PLQ200" s="21"/>
      <c r="PLR200" s="21"/>
      <c r="PLS200" s="21"/>
      <c r="PLT200" s="21"/>
      <c r="PLU200" s="21"/>
      <c r="PLV200" s="21"/>
      <c r="PLW200" s="21"/>
      <c r="PLX200" s="21"/>
      <c r="PLY200" s="21"/>
      <c r="PLZ200" s="21"/>
      <c r="PMA200" s="21"/>
      <c r="PMB200" s="21"/>
      <c r="PMC200" s="21"/>
      <c r="PMD200" s="21"/>
      <c r="PME200" s="21"/>
      <c r="PMF200" s="21"/>
      <c r="PMG200" s="21"/>
      <c r="PMH200" s="21"/>
      <c r="PMI200" s="21"/>
      <c r="PMJ200" s="21"/>
      <c r="PMK200" s="21"/>
      <c r="PML200" s="21"/>
      <c r="PMM200" s="21"/>
      <c r="PMN200" s="21"/>
      <c r="PMO200" s="21"/>
      <c r="PMP200" s="21"/>
      <c r="PMQ200" s="21"/>
      <c r="PMR200" s="21"/>
      <c r="PMS200" s="21"/>
      <c r="PMT200" s="21"/>
      <c r="PMU200" s="21"/>
      <c r="PMV200" s="21"/>
      <c r="PMW200" s="21"/>
      <c r="PMX200" s="21"/>
      <c r="PMY200" s="21"/>
      <c r="PMZ200" s="21"/>
      <c r="PNA200" s="21"/>
      <c r="PNB200" s="21"/>
      <c r="PNC200" s="21"/>
      <c r="PND200" s="21"/>
      <c r="PNE200" s="21"/>
      <c r="PNF200" s="21"/>
      <c r="PNG200" s="21"/>
      <c r="PNH200" s="21"/>
      <c r="PNI200" s="21"/>
      <c r="PNJ200" s="21"/>
      <c r="PNK200" s="21"/>
      <c r="PNL200" s="21"/>
      <c r="PNM200" s="21"/>
      <c r="PNN200" s="21"/>
      <c r="PNO200" s="21"/>
      <c r="PNP200" s="21"/>
      <c r="PNQ200" s="21"/>
      <c r="PNR200" s="21"/>
      <c r="PNS200" s="21"/>
      <c r="PNT200" s="21"/>
      <c r="PNU200" s="21"/>
      <c r="PNV200" s="21"/>
      <c r="PNW200" s="21"/>
      <c r="PNX200" s="21"/>
      <c r="PNY200" s="21"/>
      <c r="PNZ200" s="21"/>
      <c r="POA200" s="21"/>
      <c r="POB200" s="21"/>
      <c r="POC200" s="21"/>
      <c r="POD200" s="21"/>
      <c r="POE200" s="21"/>
      <c r="POF200" s="21"/>
      <c r="POG200" s="21"/>
      <c r="POH200" s="21"/>
      <c r="POI200" s="21"/>
      <c r="POJ200" s="21"/>
      <c r="POK200" s="21"/>
      <c r="POL200" s="21"/>
      <c r="POM200" s="21"/>
      <c r="PON200" s="21"/>
      <c r="POO200" s="21"/>
      <c r="POP200" s="21"/>
      <c r="POQ200" s="21"/>
      <c r="POR200" s="21"/>
      <c r="POS200" s="21"/>
      <c r="POT200" s="21"/>
      <c r="POU200" s="21"/>
      <c r="POV200" s="21"/>
      <c r="POW200" s="21"/>
      <c r="POX200" s="21"/>
      <c r="POY200" s="21"/>
      <c r="POZ200" s="21"/>
      <c r="PPA200" s="21"/>
      <c r="PPB200" s="21"/>
      <c r="PPC200" s="21"/>
      <c r="PPD200" s="21"/>
      <c r="PPE200" s="21"/>
      <c r="PPF200" s="21"/>
      <c r="PPG200" s="21"/>
      <c r="PPH200" s="21"/>
      <c r="PPI200" s="21"/>
      <c r="PPJ200" s="21"/>
      <c r="PPK200" s="21"/>
      <c r="PPL200" s="21"/>
      <c r="PPM200" s="21"/>
      <c r="PPN200" s="21"/>
      <c r="PPO200" s="21"/>
      <c r="PPP200" s="21"/>
      <c r="PPQ200" s="21"/>
      <c r="PPR200" s="21"/>
      <c r="PPS200" s="21"/>
      <c r="PPT200" s="21"/>
      <c r="PPU200" s="21"/>
      <c r="PPV200" s="21"/>
      <c r="PPW200" s="21"/>
      <c r="PPX200" s="21"/>
      <c r="PPY200" s="21"/>
      <c r="PPZ200" s="21"/>
      <c r="PQA200" s="21"/>
      <c r="PQB200" s="21"/>
      <c r="PQC200" s="21"/>
      <c r="PQD200" s="21"/>
      <c r="PQE200" s="21"/>
      <c r="PQF200" s="21"/>
      <c r="PQG200" s="21"/>
      <c r="PQH200" s="21"/>
      <c r="PQI200" s="21"/>
      <c r="PQJ200" s="21"/>
      <c r="PQK200" s="21"/>
      <c r="PQL200" s="21"/>
      <c r="PQM200" s="21"/>
      <c r="PQN200" s="21"/>
      <c r="PQO200" s="21"/>
      <c r="PQP200" s="21"/>
      <c r="PQQ200" s="21"/>
      <c r="PQR200" s="21"/>
      <c r="PQS200" s="21"/>
      <c r="PQT200" s="21"/>
      <c r="PQU200" s="21"/>
      <c r="PQV200" s="21"/>
      <c r="PQW200" s="21"/>
      <c r="PQX200" s="21"/>
      <c r="PQY200" s="21"/>
      <c r="PQZ200" s="21"/>
      <c r="PRA200" s="21"/>
      <c r="PRB200" s="21"/>
      <c r="PRC200" s="21"/>
      <c r="PRD200" s="21"/>
      <c r="PRE200" s="21"/>
      <c r="PRF200" s="21"/>
      <c r="PRG200" s="21"/>
      <c r="PRH200" s="21"/>
      <c r="PRI200" s="21"/>
      <c r="PRJ200" s="21"/>
      <c r="PRK200" s="21"/>
      <c r="PRL200" s="21"/>
      <c r="PRM200" s="21"/>
      <c r="PRN200" s="21"/>
      <c r="PRO200" s="21"/>
      <c r="PRP200" s="21"/>
      <c r="PRQ200" s="21"/>
      <c r="PRR200" s="21"/>
      <c r="PRS200" s="21"/>
      <c r="PRT200" s="21"/>
      <c r="PRU200" s="21"/>
      <c r="PRV200" s="21"/>
      <c r="PRW200" s="21"/>
      <c r="PRX200" s="21"/>
      <c r="PRY200" s="21"/>
      <c r="PRZ200" s="21"/>
      <c r="PSA200" s="21"/>
      <c r="PSB200" s="21"/>
      <c r="PSC200" s="21"/>
      <c r="PSD200" s="21"/>
      <c r="PSE200" s="21"/>
      <c r="PSF200" s="21"/>
      <c r="PSG200" s="21"/>
      <c r="PSH200" s="21"/>
      <c r="PSI200" s="21"/>
      <c r="PSJ200" s="21"/>
      <c r="PSK200" s="21"/>
      <c r="PSL200" s="21"/>
      <c r="PSM200" s="21"/>
      <c r="PSN200" s="21"/>
      <c r="PSO200" s="21"/>
      <c r="PSP200" s="21"/>
      <c r="PSQ200" s="21"/>
      <c r="PSR200" s="21"/>
      <c r="PSS200" s="21"/>
      <c r="PST200" s="21"/>
      <c r="PSU200" s="21"/>
      <c r="PSV200" s="21"/>
      <c r="PSW200" s="21"/>
      <c r="PSX200" s="21"/>
      <c r="PSY200" s="21"/>
      <c r="PSZ200" s="21"/>
      <c r="PTA200" s="21"/>
      <c r="PTB200" s="21"/>
      <c r="PTC200" s="21"/>
      <c r="PTD200" s="21"/>
      <c r="PTE200" s="21"/>
      <c r="PTF200" s="21"/>
      <c r="PTG200" s="21"/>
      <c r="PTH200" s="21"/>
      <c r="PTI200" s="21"/>
      <c r="PTJ200" s="21"/>
      <c r="PTK200" s="21"/>
      <c r="PTL200" s="21"/>
      <c r="PTM200" s="21"/>
      <c r="PTN200" s="21"/>
      <c r="PTO200" s="21"/>
      <c r="PTP200" s="21"/>
      <c r="PTQ200" s="21"/>
      <c r="PTR200" s="21"/>
      <c r="PTS200" s="21"/>
      <c r="PTT200" s="21"/>
      <c r="PTU200" s="21"/>
      <c r="PTV200" s="21"/>
      <c r="PTW200" s="21"/>
      <c r="PTX200" s="21"/>
      <c r="PTY200" s="21"/>
      <c r="PTZ200" s="21"/>
      <c r="PUA200" s="21"/>
      <c r="PUB200" s="21"/>
      <c r="PUC200" s="21"/>
      <c r="PUD200" s="21"/>
      <c r="PUE200" s="21"/>
      <c r="PUF200" s="21"/>
      <c r="PUG200" s="21"/>
      <c r="PUH200" s="21"/>
      <c r="PUI200" s="21"/>
      <c r="PUJ200" s="21"/>
      <c r="PUK200" s="21"/>
      <c r="PUL200" s="21"/>
      <c r="PUM200" s="21"/>
      <c r="PUN200" s="21"/>
      <c r="PUO200" s="21"/>
      <c r="PUP200" s="21"/>
      <c r="PUQ200" s="21"/>
      <c r="PUR200" s="21"/>
      <c r="PUS200" s="21"/>
      <c r="PUT200" s="21"/>
      <c r="PUU200" s="21"/>
      <c r="PUV200" s="21"/>
      <c r="PUW200" s="21"/>
      <c r="PUX200" s="21"/>
      <c r="PUY200" s="21"/>
      <c r="PUZ200" s="21"/>
      <c r="PVA200" s="21"/>
      <c r="PVB200" s="21"/>
      <c r="PVC200" s="21"/>
      <c r="PVD200" s="21"/>
      <c r="PVE200" s="21"/>
      <c r="PVF200" s="21"/>
      <c r="PVG200" s="21"/>
      <c r="PVH200" s="21"/>
      <c r="PVI200" s="21"/>
      <c r="PVJ200" s="21"/>
      <c r="PVK200" s="21"/>
      <c r="PVL200" s="21"/>
      <c r="PVM200" s="21"/>
      <c r="PVN200" s="21"/>
      <c r="PVO200" s="21"/>
      <c r="PVP200" s="21"/>
      <c r="PVQ200" s="21"/>
      <c r="PVR200" s="21"/>
      <c r="PVS200" s="21"/>
      <c r="PVT200" s="21"/>
      <c r="PVU200" s="21"/>
      <c r="PVV200" s="21"/>
      <c r="PVW200" s="21"/>
      <c r="PVX200" s="21"/>
      <c r="PVY200" s="21"/>
      <c r="PVZ200" s="21"/>
      <c r="PWA200" s="21"/>
      <c r="PWB200" s="21"/>
      <c r="PWC200" s="21"/>
      <c r="PWD200" s="21"/>
      <c r="PWE200" s="21"/>
      <c r="PWF200" s="21"/>
      <c r="PWG200" s="21"/>
      <c r="PWH200" s="21"/>
      <c r="PWI200" s="21"/>
      <c r="PWJ200" s="21"/>
      <c r="PWK200" s="21"/>
      <c r="PWL200" s="21"/>
      <c r="PWM200" s="21"/>
      <c r="PWN200" s="21"/>
      <c r="PWO200" s="21"/>
      <c r="PWP200" s="21"/>
      <c r="PWQ200" s="21"/>
      <c r="PWR200" s="21"/>
      <c r="PWS200" s="21"/>
      <c r="PWT200" s="21"/>
      <c r="PWU200" s="21"/>
      <c r="PWV200" s="21"/>
      <c r="PWW200" s="21"/>
      <c r="PWX200" s="21"/>
      <c r="PWY200" s="21"/>
      <c r="PWZ200" s="21"/>
      <c r="PXA200" s="21"/>
      <c r="PXB200" s="21"/>
      <c r="PXC200" s="21"/>
      <c r="PXD200" s="21"/>
      <c r="PXE200" s="21"/>
      <c r="PXF200" s="21"/>
      <c r="PXG200" s="21"/>
      <c r="PXH200" s="21"/>
      <c r="PXI200" s="21"/>
      <c r="PXJ200" s="21"/>
      <c r="PXK200" s="21"/>
      <c r="PXL200" s="21"/>
      <c r="PXM200" s="21"/>
      <c r="PXN200" s="21"/>
      <c r="PXO200" s="21"/>
      <c r="PXP200" s="21"/>
      <c r="PXQ200" s="21"/>
      <c r="PXR200" s="21"/>
      <c r="PXS200" s="21"/>
      <c r="PXT200" s="21"/>
      <c r="PXU200" s="21"/>
      <c r="PXV200" s="21"/>
      <c r="PXW200" s="21"/>
      <c r="PXX200" s="21"/>
      <c r="PXY200" s="21"/>
      <c r="PXZ200" s="21"/>
      <c r="PYA200" s="21"/>
      <c r="PYB200" s="21"/>
      <c r="PYC200" s="21"/>
      <c r="PYD200" s="21"/>
      <c r="PYE200" s="21"/>
      <c r="PYF200" s="21"/>
      <c r="PYG200" s="21"/>
      <c r="PYH200" s="21"/>
      <c r="PYI200" s="21"/>
      <c r="PYJ200" s="21"/>
      <c r="PYK200" s="21"/>
      <c r="PYL200" s="21"/>
      <c r="PYM200" s="21"/>
      <c r="PYN200" s="21"/>
      <c r="PYO200" s="21"/>
      <c r="PYP200" s="21"/>
      <c r="PYQ200" s="21"/>
      <c r="PYR200" s="21"/>
      <c r="PYS200" s="21"/>
      <c r="PYT200" s="21"/>
      <c r="PYU200" s="21"/>
      <c r="PYV200" s="21"/>
      <c r="PYW200" s="21"/>
      <c r="PYX200" s="21"/>
      <c r="PYY200" s="21"/>
      <c r="PYZ200" s="21"/>
      <c r="PZA200" s="21"/>
      <c r="PZB200" s="21"/>
      <c r="PZC200" s="21"/>
      <c r="PZD200" s="21"/>
      <c r="PZE200" s="21"/>
      <c r="PZF200" s="21"/>
      <c r="PZG200" s="21"/>
      <c r="PZH200" s="21"/>
      <c r="PZI200" s="21"/>
      <c r="PZJ200" s="21"/>
      <c r="PZK200" s="21"/>
      <c r="PZL200" s="21"/>
      <c r="PZM200" s="21"/>
      <c r="PZN200" s="21"/>
      <c r="PZO200" s="21"/>
      <c r="PZP200" s="21"/>
      <c r="PZQ200" s="21"/>
      <c r="PZR200" s="21"/>
      <c r="PZS200" s="21"/>
      <c r="PZT200" s="21"/>
      <c r="PZU200" s="21"/>
      <c r="PZV200" s="21"/>
      <c r="PZW200" s="21"/>
      <c r="PZX200" s="21"/>
      <c r="PZY200" s="21"/>
      <c r="PZZ200" s="21"/>
      <c r="QAA200" s="21"/>
      <c r="QAB200" s="21"/>
      <c r="QAC200" s="21"/>
      <c r="QAD200" s="21"/>
      <c r="QAE200" s="21"/>
      <c r="QAF200" s="21"/>
      <c r="QAG200" s="21"/>
      <c r="QAH200" s="21"/>
      <c r="QAI200" s="21"/>
      <c r="QAJ200" s="21"/>
      <c r="QAK200" s="21"/>
      <c r="QAL200" s="21"/>
      <c r="QAM200" s="21"/>
      <c r="QAN200" s="21"/>
      <c r="QAO200" s="21"/>
      <c r="QAP200" s="21"/>
      <c r="QAQ200" s="21"/>
      <c r="QAR200" s="21"/>
      <c r="QAS200" s="21"/>
      <c r="QAT200" s="21"/>
      <c r="QAU200" s="21"/>
      <c r="QAV200" s="21"/>
      <c r="QAW200" s="21"/>
      <c r="QAX200" s="21"/>
      <c r="QAY200" s="21"/>
      <c r="QAZ200" s="21"/>
      <c r="QBA200" s="21"/>
      <c r="QBB200" s="21"/>
      <c r="QBC200" s="21"/>
      <c r="QBD200" s="21"/>
      <c r="QBE200" s="21"/>
      <c r="QBF200" s="21"/>
      <c r="QBG200" s="21"/>
      <c r="QBH200" s="21"/>
      <c r="QBI200" s="21"/>
      <c r="QBJ200" s="21"/>
      <c r="QBK200" s="21"/>
      <c r="QBL200" s="21"/>
      <c r="QBM200" s="21"/>
      <c r="QBN200" s="21"/>
      <c r="QBO200" s="21"/>
      <c r="QBP200" s="21"/>
      <c r="QBQ200" s="21"/>
      <c r="QBR200" s="21"/>
      <c r="QBS200" s="21"/>
      <c r="QBT200" s="21"/>
      <c r="QBU200" s="21"/>
      <c r="QBV200" s="21"/>
      <c r="QBW200" s="21"/>
      <c r="QBX200" s="21"/>
      <c r="QBY200" s="21"/>
      <c r="QBZ200" s="21"/>
      <c r="QCA200" s="21"/>
      <c r="QCB200" s="21"/>
      <c r="QCC200" s="21"/>
      <c r="QCD200" s="21"/>
      <c r="QCE200" s="21"/>
      <c r="QCF200" s="21"/>
      <c r="QCG200" s="21"/>
      <c r="QCH200" s="21"/>
      <c r="QCI200" s="21"/>
      <c r="QCJ200" s="21"/>
      <c r="QCK200" s="21"/>
      <c r="QCL200" s="21"/>
      <c r="QCM200" s="21"/>
      <c r="QCN200" s="21"/>
      <c r="QCO200" s="21"/>
      <c r="QCP200" s="21"/>
      <c r="QCQ200" s="21"/>
      <c r="QCR200" s="21"/>
      <c r="QCS200" s="21"/>
      <c r="QCT200" s="21"/>
      <c r="QCU200" s="21"/>
      <c r="QCV200" s="21"/>
      <c r="QCW200" s="21"/>
      <c r="QCX200" s="21"/>
      <c r="QCY200" s="21"/>
      <c r="QCZ200" s="21"/>
      <c r="QDA200" s="21"/>
      <c r="QDB200" s="21"/>
      <c r="QDC200" s="21"/>
      <c r="QDD200" s="21"/>
      <c r="QDE200" s="21"/>
      <c r="QDF200" s="21"/>
      <c r="QDG200" s="21"/>
      <c r="QDH200" s="21"/>
      <c r="QDI200" s="21"/>
      <c r="QDJ200" s="21"/>
      <c r="QDK200" s="21"/>
      <c r="QDL200" s="21"/>
      <c r="QDM200" s="21"/>
      <c r="QDN200" s="21"/>
      <c r="QDO200" s="21"/>
      <c r="QDP200" s="21"/>
      <c r="QDQ200" s="21"/>
      <c r="QDR200" s="21"/>
      <c r="QDS200" s="21"/>
      <c r="QDT200" s="21"/>
      <c r="QDU200" s="21"/>
      <c r="QDV200" s="21"/>
      <c r="QDW200" s="21"/>
      <c r="QDX200" s="21"/>
      <c r="QDY200" s="21"/>
      <c r="QDZ200" s="21"/>
      <c r="QEA200" s="21"/>
      <c r="QEB200" s="21"/>
      <c r="QEC200" s="21"/>
      <c r="QED200" s="21"/>
      <c r="QEE200" s="21"/>
      <c r="QEF200" s="21"/>
      <c r="QEG200" s="21"/>
      <c r="QEH200" s="21"/>
      <c r="QEI200" s="21"/>
      <c r="QEJ200" s="21"/>
      <c r="QEK200" s="21"/>
      <c r="QEL200" s="21"/>
      <c r="QEM200" s="21"/>
      <c r="QEN200" s="21"/>
      <c r="QEO200" s="21"/>
      <c r="QEP200" s="21"/>
      <c r="QEQ200" s="21"/>
      <c r="QER200" s="21"/>
      <c r="QES200" s="21"/>
      <c r="QET200" s="21"/>
      <c r="QEU200" s="21"/>
      <c r="QEV200" s="21"/>
      <c r="QEW200" s="21"/>
      <c r="QEX200" s="21"/>
      <c r="QEY200" s="21"/>
      <c r="QEZ200" s="21"/>
      <c r="QFA200" s="21"/>
      <c r="QFB200" s="21"/>
      <c r="QFC200" s="21"/>
      <c r="QFD200" s="21"/>
      <c r="QFE200" s="21"/>
      <c r="QFF200" s="21"/>
      <c r="QFG200" s="21"/>
      <c r="QFH200" s="21"/>
      <c r="QFI200" s="21"/>
      <c r="QFJ200" s="21"/>
      <c r="QFK200" s="21"/>
      <c r="QFL200" s="21"/>
      <c r="QFM200" s="21"/>
      <c r="QFN200" s="21"/>
      <c r="QFO200" s="21"/>
      <c r="QFP200" s="21"/>
      <c r="QFQ200" s="21"/>
      <c r="QFR200" s="21"/>
      <c r="QFS200" s="21"/>
      <c r="QFT200" s="21"/>
      <c r="QFU200" s="21"/>
      <c r="QFV200" s="21"/>
      <c r="QFW200" s="21"/>
      <c r="QFX200" s="21"/>
      <c r="QFY200" s="21"/>
      <c r="QFZ200" s="21"/>
      <c r="QGA200" s="21"/>
      <c r="QGB200" s="21"/>
      <c r="QGC200" s="21"/>
      <c r="QGD200" s="21"/>
      <c r="QGE200" s="21"/>
      <c r="QGF200" s="21"/>
      <c r="QGG200" s="21"/>
      <c r="QGH200" s="21"/>
      <c r="QGI200" s="21"/>
      <c r="QGJ200" s="21"/>
      <c r="QGK200" s="21"/>
      <c r="QGL200" s="21"/>
      <c r="QGM200" s="21"/>
      <c r="QGN200" s="21"/>
      <c r="QGO200" s="21"/>
      <c r="QGP200" s="21"/>
      <c r="QGQ200" s="21"/>
      <c r="QGR200" s="21"/>
      <c r="QGS200" s="21"/>
      <c r="QGT200" s="21"/>
      <c r="QGU200" s="21"/>
      <c r="QGV200" s="21"/>
      <c r="QGW200" s="21"/>
      <c r="QGX200" s="21"/>
      <c r="QGY200" s="21"/>
      <c r="QGZ200" s="21"/>
      <c r="QHA200" s="21"/>
      <c r="QHB200" s="21"/>
      <c r="QHC200" s="21"/>
      <c r="QHD200" s="21"/>
      <c r="QHE200" s="21"/>
      <c r="QHF200" s="21"/>
      <c r="QHG200" s="21"/>
      <c r="QHH200" s="21"/>
      <c r="QHI200" s="21"/>
      <c r="QHJ200" s="21"/>
      <c r="QHK200" s="21"/>
      <c r="QHL200" s="21"/>
      <c r="QHM200" s="21"/>
      <c r="QHN200" s="21"/>
      <c r="QHO200" s="21"/>
      <c r="QHP200" s="21"/>
      <c r="QHQ200" s="21"/>
      <c r="QHR200" s="21"/>
      <c r="QHS200" s="21"/>
      <c r="QHT200" s="21"/>
      <c r="QHU200" s="21"/>
      <c r="QHV200" s="21"/>
      <c r="QHW200" s="21"/>
      <c r="QHX200" s="21"/>
      <c r="QHY200" s="21"/>
      <c r="QHZ200" s="21"/>
      <c r="QIA200" s="21"/>
      <c r="QIB200" s="21"/>
      <c r="QIC200" s="21"/>
      <c r="QID200" s="21"/>
      <c r="QIE200" s="21"/>
      <c r="QIF200" s="21"/>
      <c r="QIG200" s="21"/>
      <c r="QIH200" s="21"/>
      <c r="QII200" s="21"/>
      <c r="QIJ200" s="21"/>
      <c r="QIK200" s="21"/>
      <c r="QIL200" s="21"/>
      <c r="QIM200" s="21"/>
      <c r="QIN200" s="21"/>
      <c r="QIO200" s="21"/>
      <c r="QIP200" s="21"/>
      <c r="QIQ200" s="21"/>
      <c r="QIR200" s="21"/>
      <c r="QIS200" s="21"/>
      <c r="QIT200" s="21"/>
      <c r="QIU200" s="21"/>
      <c r="QIV200" s="21"/>
      <c r="QIW200" s="21"/>
      <c r="QIX200" s="21"/>
      <c r="QIY200" s="21"/>
      <c r="QIZ200" s="21"/>
      <c r="QJA200" s="21"/>
      <c r="QJB200" s="21"/>
      <c r="QJC200" s="21"/>
      <c r="QJD200" s="21"/>
      <c r="QJE200" s="21"/>
      <c r="QJF200" s="21"/>
      <c r="QJG200" s="21"/>
      <c r="QJH200" s="21"/>
      <c r="QJI200" s="21"/>
      <c r="QJJ200" s="21"/>
      <c r="QJK200" s="21"/>
      <c r="QJL200" s="21"/>
      <c r="QJM200" s="21"/>
      <c r="QJN200" s="21"/>
      <c r="QJO200" s="21"/>
      <c r="QJP200" s="21"/>
      <c r="QJQ200" s="21"/>
      <c r="QJR200" s="21"/>
      <c r="QJS200" s="21"/>
      <c r="QJT200" s="21"/>
      <c r="QJU200" s="21"/>
      <c r="QJV200" s="21"/>
      <c r="QJW200" s="21"/>
      <c r="QJX200" s="21"/>
      <c r="QJY200" s="21"/>
      <c r="QJZ200" s="21"/>
      <c r="QKA200" s="21"/>
      <c r="QKB200" s="21"/>
      <c r="QKC200" s="21"/>
      <c r="QKD200" s="21"/>
      <c r="QKE200" s="21"/>
      <c r="QKF200" s="21"/>
      <c r="QKG200" s="21"/>
      <c r="QKH200" s="21"/>
      <c r="QKI200" s="21"/>
      <c r="QKJ200" s="21"/>
      <c r="QKK200" s="21"/>
      <c r="QKL200" s="21"/>
      <c r="QKM200" s="21"/>
      <c r="QKN200" s="21"/>
      <c r="QKO200" s="21"/>
      <c r="QKP200" s="21"/>
      <c r="QKQ200" s="21"/>
      <c r="QKR200" s="21"/>
      <c r="QKS200" s="21"/>
      <c r="QKT200" s="21"/>
      <c r="QKU200" s="21"/>
      <c r="QKV200" s="21"/>
      <c r="QKW200" s="21"/>
      <c r="QKX200" s="21"/>
      <c r="QKY200" s="21"/>
      <c r="QKZ200" s="21"/>
      <c r="QLA200" s="21"/>
      <c r="QLB200" s="21"/>
      <c r="QLC200" s="21"/>
      <c r="QLD200" s="21"/>
      <c r="QLE200" s="21"/>
      <c r="QLF200" s="21"/>
      <c r="QLG200" s="21"/>
      <c r="QLH200" s="21"/>
      <c r="QLI200" s="21"/>
      <c r="QLJ200" s="21"/>
      <c r="QLK200" s="21"/>
      <c r="QLL200" s="21"/>
      <c r="QLM200" s="21"/>
      <c r="QLN200" s="21"/>
      <c r="QLO200" s="21"/>
      <c r="QLP200" s="21"/>
      <c r="QLQ200" s="21"/>
      <c r="QLR200" s="21"/>
      <c r="QLS200" s="21"/>
      <c r="QLT200" s="21"/>
      <c r="QLU200" s="21"/>
      <c r="QLV200" s="21"/>
      <c r="QLW200" s="21"/>
      <c r="QLX200" s="21"/>
      <c r="QLY200" s="21"/>
      <c r="QLZ200" s="21"/>
      <c r="QMA200" s="21"/>
      <c r="QMB200" s="21"/>
      <c r="QMC200" s="21"/>
      <c r="QMD200" s="21"/>
      <c r="QME200" s="21"/>
      <c r="QMF200" s="21"/>
      <c r="QMG200" s="21"/>
      <c r="QMH200" s="21"/>
      <c r="QMI200" s="21"/>
      <c r="QMJ200" s="21"/>
      <c r="QMK200" s="21"/>
      <c r="QML200" s="21"/>
      <c r="QMM200" s="21"/>
      <c r="QMN200" s="21"/>
      <c r="QMO200" s="21"/>
      <c r="QMP200" s="21"/>
      <c r="QMQ200" s="21"/>
      <c r="QMR200" s="21"/>
      <c r="QMS200" s="21"/>
      <c r="QMT200" s="21"/>
      <c r="QMU200" s="21"/>
      <c r="QMV200" s="21"/>
      <c r="QMW200" s="21"/>
      <c r="QMX200" s="21"/>
      <c r="QMY200" s="21"/>
      <c r="QMZ200" s="21"/>
      <c r="QNA200" s="21"/>
      <c r="QNB200" s="21"/>
      <c r="QNC200" s="21"/>
      <c r="QND200" s="21"/>
      <c r="QNE200" s="21"/>
      <c r="QNF200" s="21"/>
      <c r="QNG200" s="21"/>
      <c r="QNH200" s="21"/>
      <c r="QNI200" s="21"/>
      <c r="QNJ200" s="21"/>
      <c r="QNK200" s="21"/>
      <c r="QNL200" s="21"/>
      <c r="QNM200" s="21"/>
      <c r="QNN200" s="21"/>
      <c r="QNO200" s="21"/>
      <c r="QNP200" s="21"/>
      <c r="QNQ200" s="21"/>
      <c r="QNR200" s="21"/>
      <c r="QNS200" s="21"/>
      <c r="QNT200" s="21"/>
      <c r="QNU200" s="21"/>
      <c r="QNV200" s="21"/>
      <c r="QNW200" s="21"/>
      <c r="QNX200" s="21"/>
      <c r="QNY200" s="21"/>
      <c r="QNZ200" s="21"/>
      <c r="QOA200" s="21"/>
      <c r="QOB200" s="21"/>
      <c r="QOC200" s="21"/>
      <c r="QOD200" s="21"/>
      <c r="QOE200" s="21"/>
      <c r="QOF200" s="21"/>
      <c r="QOG200" s="21"/>
      <c r="QOH200" s="21"/>
      <c r="QOI200" s="21"/>
      <c r="QOJ200" s="21"/>
      <c r="QOK200" s="21"/>
      <c r="QOL200" s="21"/>
      <c r="QOM200" s="21"/>
      <c r="QON200" s="21"/>
      <c r="QOO200" s="21"/>
      <c r="QOP200" s="21"/>
      <c r="QOQ200" s="21"/>
      <c r="QOR200" s="21"/>
      <c r="QOS200" s="21"/>
      <c r="QOT200" s="21"/>
      <c r="QOU200" s="21"/>
      <c r="QOV200" s="21"/>
      <c r="QOW200" s="21"/>
      <c r="QOX200" s="21"/>
      <c r="QOY200" s="21"/>
      <c r="QOZ200" s="21"/>
      <c r="QPA200" s="21"/>
      <c r="QPB200" s="21"/>
      <c r="QPC200" s="21"/>
      <c r="QPD200" s="21"/>
      <c r="QPE200" s="21"/>
      <c r="QPF200" s="21"/>
      <c r="QPG200" s="21"/>
      <c r="QPH200" s="21"/>
      <c r="QPI200" s="21"/>
      <c r="QPJ200" s="21"/>
      <c r="QPK200" s="21"/>
      <c r="QPL200" s="21"/>
      <c r="QPM200" s="21"/>
      <c r="QPN200" s="21"/>
      <c r="QPO200" s="21"/>
      <c r="QPP200" s="21"/>
      <c r="QPQ200" s="21"/>
      <c r="QPR200" s="21"/>
      <c r="QPS200" s="21"/>
      <c r="QPT200" s="21"/>
      <c r="QPU200" s="21"/>
      <c r="QPV200" s="21"/>
      <c r="QPW200" s="21"/>
      <c r="QPX200" s="21"/>
      <c r="QPY200" s="21"/>
      <c r="QPZ200" s="21"/>
      <c r="QQA200" s="21"/>
      <c r="QQB200" s="21"/>
      <c r="QQC200" s="21"/>
      <c r="QQD200" s="21"/>
      <c r="QQE200" s="21"/>
      <c r="QQF200" s="21"/>
      <c r="QQG200" s="21"/>
      <c r="QQH200" s="21"/>
      <c r="QQI200" s="21"/>
      <c r="QQJ200" s="21"/>
      <c r="QQK200" s="21"/>
      <c r="QQL200" s="21"/>
      <c r="QQM200" s="21"/>
      <c r="QQN200" s="21"/>
      <c r="QQO200" s="21"/>
      <c r="QQP200" s="21"/>
      <c r="QQQ200" s="21"/>
      <c r="QQR200" s="21"/>
      <c r="QQS200" s="21"/>
      <c r="QQT200" s="21"/>
      <c r="QQU200" s="21"/>
      <c r="QQV200" s="21"/>
      <c r="QQW200" s="21"/>
      <c r="QQX200" s="21"/>
      <c r="QQY200" s="21"/>
      <c r="QQZ200" s="21"/>
      <c r="QRA200" s="21"/>
      <c r="QRB200" s="21"/>
      <c r="QRC200" s="21"/>
      <c r="QRD200" s="21"/>
      <c r="QRE200" s="21"/>
      <c r="QRF200" s="21"/>
      <c r="QRG200" s="21"/>
      <c r="QRH200" s="21"/>
      <c r="QRI200" s="21"/>
      <c r="QRJ200" s="21"/>
      <c r="QRK200" s="21"/>
      <c r="QRL200" s="21"/>
      <c r="QRM200" s="21"/>
      <c r="QRN200" s="21"/>
      <c r="QRO200" s="21"/>
      <c r="QRP200" s="21"/>
      <c r="QRQ200" s="21"/>
      <c r="QRR200" s="21"/>
      <c r="QRS200" s="21"/>
      <c r="QRT200" s="21"/>
      <c r="QRU200" s="21"/>
      <c r="QRV200" s="21"/>
      <c r="QRW200" s="21"/>
      <c r="QRX200" s="21"/>
      <c r="QRY200" s="21"/>
      <c r="QRZ200" s="21"/>
      <c r="QSA200" s="21"/>
      <c r="QSB200" s="21"/>
      <c r="QSC200" s="21"/>
      <c r="QSD200" s="21"/>
      <c r="QSE200" s="21"/>
      <c r="QSF200" s="21"/>
      <c r="QSG200" s="21"/>
      <c r="QSH200" s="21"/>
      <c r="QSI200" s="21"/>
      <c r="QSJ200" s="21"/>
      <c r="QSK200" s="21"/>
      <c r="QSL200" s="21"/>
      <c r="QSM200" s="21"/>
      <c r="QSN200" s="21"/>
      <c r="QSO200" s="21"/>
      <c r="QSP200" s="21"/>
      <c r="QSQ200" s="21"/>
      <c r="QSR200" s="21"/>
      <c r="QSS200" s="21"/>
      <c r="QST200" s="21"/>
      <c r="QSU200" s="21"/>
      <c r="QSV200" s="21"/>
      <c r="QSW200" s="21"/>
      <c r="QSX200" s="21"/>
      <c r="QSY200" s="21"/>
      <c r="QSZ200" s="21"/>
      <c r="QTA200" s="21"/>
      <c r="QTB200" s="21"/>
      <c r="QTC200" s="21"/>
      <c r="QTD200" s="21"/>
      <c r="QTE200" s="21"/>
      <c r="QTF200" s="21"/>
      <c r="QTG200" s="21"/>
      <c r="QTH200" s="21"/>
      <c r="QTI200" s="21"/>
      <c r="QTJ200" s="21"/>
      <c r="QTK200" s="21"/>
      <c r="QTL200" s="21"/>
      <c r="QTM200" s="21"/>
      <c r="QTN200" s="21"/>
      <c r="QTO200" s="21"/>
      <c r="QTP200" s="21"/>
      <c r="QTQ200" s="21"/>
      <c r="QTR200" s="21"/>
      <c r="QTS200" s="21"/>
      <c r="QTT200" s="21"/>
      <c r="QTU200" s="21"/>
      <c r="QTV200" s="21"/>
      <c r="QTW200" s="21"/>
      <c r="QTX200" s="21"/>
      <c r="QTY200" s="21"/>
      <c r="QTZ200" s="21"/>
      <c r="QUA200" s="21"/>
      <c r="QUB200" s="21"/>
      <c r="QUC200" s="21"/>
      <c r="QUD200" s="21"/>
      <c r="QUE200" s="21"/>
      <c r="QUF200" s="21"/>
      <c r="QUG200" s="21"/>
      <c r="QUH200" s="21"/>
      <c r="QUI200" s="21"/>
      <c r="QUJ200" s="21"/>
      <c r="QUK200" s="21"/>
      <c r="QUL200" s="21"/>
      <c r="QUM200" s="21"/>
      <c r="QUN200" s="21"/>
      <c r="QUO200" s="21"/>
      <c r="QUP200" s="21"/>
      <c r="QUQ200" s="21"/>
      <c r="QUR200" s="21"/>
      <c r="QUS200" s="21"/>
      <c r="QUT200" s="21"/>
      <c r="QUU200" s="21"/>
      <c r="QUV200" s="21"/>
      <c r="QUW200" s="21"/>
      <c r="QUX200" s="21"/>
      <c r="QUY200" s="21"/>
      <c r="QUZ200" s="21"/>
      <c r="QVA200" s="21"/>
      <c r="QVB200" s="21"/>
      <c r="QVC200" s="21"/>
      <c r="QVD200" s="21"/>
      <c r="QVE200" s="21"/>
      <c r="QVF200" s="21"/>
      <c r="QVG200" s="21"/>
      <c r="QVH200" s="21"/>
      <c r="QVI200" s="21"/>
      <c r="QVJ200" s="21"/>
      <c r="QVK200" s="21"/>
      <c r="QVL200" s="21"/>
      <c r="QVM200" s="21"/>
      <c r="QVN200" s="21"/>
      <c r="QVO200" s="21"/>
      <c r="QVP200" s="21"/>
      <c r="QVQ200" s="21"/>
      <c r="QVR200" s="21"/>
      <c r="QVS200" s="21"/>
      <c r="QVT200" s="21"/>
      <c r="QVU200" s="21"/>
      <c r="QVV200" s="21"/>
      <c r="QVW200" s="21"/>
      <c r="QVX200" s="21"/>
      <c r="QVY200" s="21"/>
      <c r="QVZ200" s="21"/>
      <c r="QWA200" s="21"/>
      <c r="QWB200" s="21"/>
      <c r="QWC200" s="21"/>
      <c r="QWD200" s="21"/>
      <c r="QWE200" s="21"/>
      <c r="QWF200" s="21"/>
      <c r="QWG200" s="21"/>
      <c r="QWH200" s="21"/>
      <c r="QWI200" s="21"/>
      <c r="QWJ200" s="21"/>
      <c r="QWK200" s="21"/>
      <c r="QWL200" s="21"/>
      <c r="QWM200" s="21"/>
      <c r="QWN200" s="21"/>
      <c r="QWO200" s="21"/>
      <c r="QWP200" s="21"/>
      <c r="QWQ200" s="21"/>
      <c r="QWR200" s="21"/>
      <c r="QWS200" s="21"/>
      <c r="QWT200" s="21"/>
      <c r="QWU200" s="21"/>
      <c r="QWV200" s="21"/>
      <c r="QWW200" s="21"/>
      <c r="QWX200" s="21"/>
      <c r="QWY200" s="21"/>
      <c r="QWZ200" s="21"/>
      <c r="QXA200" s="21"/>
      <c r="QXB200" s="21"/>
      <c r="QXC200" s="21"/>
      <c r="QXD200" s="21"/>
      <c r="QXE200" s="21"/>
      <c r="QXF200" s="21"/>
      <c r="QXG200" s="21"/>
      <c r="QXH200" s="21"/>
      <c r="QXI200" s="21"/>
      <c r="QXJ200" s="21"/>
      <c r="QXK200" s="21"/>
      <c r="QXL200" s="21"/>
      <c r="QXM200" s="21"/>
      <c r="QXN200" s="21"/>
      <c r="QXO200" s="21"/>
      <c r="QXP200" s="21"/>
      <c r="QXQ200" s="21"/>
      <c r="QXR200" s="21"/>
      <c r="QXS200" s="21"/>
      <c r="QXT200" s="21"/>
      <c r="QXU200" s="21"/>
      <c r="QXV200" s="21"/>
      <c r="QXW200" s="21"/>
      <c r="QXX200" s="21"/>
      <c r="QXY200" s="21"/>
      <c r="QXZ200" s="21"/>
      <c r="QYA200" s="21"/>
      <c r="QYB200" s="21"/>
      <c r="QYC200" s="21"/>
      <c r="QYD200" s="21"/>
      <c r="QYE200" s="21"/>
      <c r="QYF200" s="21"/>
      <c r="QYG200" s="21"/>
      <c r="QYH200" s="21"/>
      <c r="QYI200" s="21"/>
      <c r="QYJ200" s="21"/>
      <c r="QYK200" s="21"/>
      <c r="QYL200" s="21"/>
      <c r="QYM200" s="21"/>
      <c r="QYN200" s="21"/>
      <c r="QYO200" s="21"/>
      <c r="QYP200" s="21"/>
      <c r="QYQ200" s="21"/>
      <c r="QYR200" s="21"/>
      <c r="QYS200" s="21"/>
      <c r="QYT200" s="21"/>
      <c r="QYU200" s="21"/>
      <c r="QYV200" s="21"/>
      <c r="QYW200" s="21"/>
      <c r="QYX200" s="21"/>
      <c r="QYY200" s="21"/>
      <c r="QYZ200" s="21"/>
      <c r="QZA200" s="21"/>
      <c r="QZB200" s="21"/>
      <c r="QZC200" s="21"/>
      <c r="QZD200" s="21"/>
      <c r="QZE200" s="21"/>
      <c r="QZF200" s="21"/>
      <c r="QZG200" s="21"/>
      <c r="QZH200" s="21"/>
      <c r="QZI200" s="21"/>
      <c r="QZJ200" s="21"/>
      <c r="QZK200" s="21"/>
      <c r="QZL200" s="21"/>
      <c r="QZM200" s="21"/>
      <c r="QZN200" s="21"/>
      <c r="QZO200" s="21"/>
      <c r="QZP200" s="21"/>
      <c r="QZQ200" s="21"/>
      <c r="QZR200" s="21"/>
      <c r="QZS200" s="21"/>
      <c r="QZT200" s="21"/>
      <c r="QZU200" s="21"/>
      <c r="QZV200" s="21"/>
      <c r="QZW200" s="21"/>
      <c r="QZX200" s="21"/>
      <c r="QZY200" s="21"/>
      <c r="QZZ200" s="21"/>
      <c r="RAA200" s="21"/>
      <c r="RAB200" s="21"/>
      <c r="RAC200" s="21"/>
      <c r="RAD200" s="21"/>
      <c r="RAE200" s="21"/>
      <c r="RAF200" s="21"/>
      <c r="RAG200" s="21"/>
      <c r="RAH200" s="21"/>
      <c r="RAI200" s="21"/>
      <c r="RAJ200" s="21"/>
      <c r="RAK200" s="21"/>
      <c r="RAL200" s="21"/>
      <c r="RAM200" s="21"/>
      <c r="RAN200" s="21"/>
      <c r="RAO200" s="21"/>
      <c r="RAP200" s="21"/>
      <c r="RAQ200" s="21"/>
      <c r="RAR200" s="21"/>
      <c r="RAS200" s="21"/>
      <c r="RAT200" s="21"/>
      <c r="RAU200" s="21"/>
      <c r="RAV200" s="21"/>
      <c r="RAW200" s="21"/>
      <c r="RAX200" s="21"/>
      <c r="RAY200" s="21"/>
      <c r="RAZ200" s="21"/>
      <c r="RBA200" s="21"/>
      <c r="RBB200" s="21"/>
      <c r="RBC200" s="21"/>
      <c r="RBD200" s="21"/>
      <c r="RBE200" s="21"/>
      <c r="RBF200" s="21"/>
      <c r="RBG200" s="21"/>
      <c r="RBH200" s="21"/>
      <c r="RBI200" s="21"/>
      <c r="RBJ200" s="21"/>
      <c r="RBK200" s="21"/>
      <c r="RBL200" s="21"/>
      <c r="RBM200" s="21"/>
      <c r="RBN200" s="21"/>
      <c r="RBO200" s="21"/>
      <c r="RBP200" s="21"/>
      <c r="RBQ200" s="21"/>
      <c r="RBR200" s="21"/>
      <c r="RBS200" s="21"/>
      <c r="RBT200" s="21"/>
      <c r="RBU200" s="21"/>
      <c r="RBV200" s="21"/>
      <c r="RBW200" s="21"/>
      <c r="RBX200" s="21"/>
      <c r="RBY200" s="21"/>
      <c r="RBZ200" s="21"/>
      <c r="RCA200" s="21"/>
      <c r="RCB200" s="21"/>
      <c r="RCC200" s="21"/>
      <c r="RCD200" s="21"/>
      <c r="RCE200" s="21"/>
      <c r="RCF200" s="21"/>
      <c r="RCG200" s="21"/>
      <c r="RCH200" s="21"/>
      <c r="RCI200" s="21"/>
      <c r="RCJ200" s="21"/>
      <c r="RCK200" s="21"/>
      <c r="RCL200" s="21"/>
      <c r="RCM200" s="21"/>
      <c r="RCN200" s="21"/>
      <c r="RCO200" s="21"/>
      <c r="RCP200" s="21"/>
      <c r="RCQ200" s="21"/>
      <c r="RCR200" s="21"/>
      <c r="RCS200" s="21"/>
      <c r="RCT200" s="21"/>
      <c r="RCU200" s="21"/>
      <c r="RCV200" s="21"/>
      <c r="RCW200" s="21"/>
      <c r="RCX200" s="21"/>
      <c r="RCY200" s="21"/>
      <c r="RCZ200" s="21"/>
      <c r="RDA200" s="21"/>
      <c r="RDB200" s="21"/>
      <c r="RDC200" s="21"/>
      <c r="RDD200" s="21"/>
      <c r="RDE200" s="21"/>
      <c r="RDF200" s="21"/>
      <c r="RDG200" s="21"/>
      <c r="RDH200" s="21"/>
      <c r="RDI200" s="21"/>
      <c r="RDJ200" s="21"/>
      <c r="RDK200" s="21"/>
      <c r="RDL200" s="21"/>
      <c r="RDM200" s="21"/>
      <c r="RDN200" s="21"/>
      <c r="RDO200" s="21"/>
      <c r="RDP200" s="21"/>
      <c r="RDQ200" s="21"/>
      <c r="RDR200" s="21"/>
      <c r="RDS200" s="21"/>
      <c r="RDT200" s="21"/>
      <c r="RDU200" s="21"/>
      <c r="RDV200" s="21"/>
      <c r="RDW200" s="21"/>
      <c r="RDX200" s="21"/>
      <c r="RDY200" s="21"/>
      <c r="RDZ200" s="21"/>
      <c r="REA200" s="21"/>
      <c r="REB200" s="21"/>
      <c r="REC200" s="21"/>
      <c r="RED200" s="21"/>
      <c r="REE200" s="21"/>
      <c r="REF200" s="21"/>
      <c r="REG200" s="21"/>
      <c r="REH200" s="21"/>
      <c r="REI200" s="21"/>
      <c r="REJ200" s="21"/>
      <c r="REK200" s="21"/>
      <c r="REL200" s="21"/>
      <c r="REM200" s="21"/>
      <c r="REN200" s="21"/>
      <c r="REO200" s="21"/>
      <c r="REP200" s="21"/>
      <c r="REQ200" s="21"/>
      <c r="RER200" s="21"/>
      <c r="RES200" s="21"/>
      <c r="RET200" s="21"/>
      <c r="REU200" s="21"/>
      <c r="REV200" s="21"/>
      <c r="REW200" s="21"/>
      <c r="REX200" s="21"/>
      <c r="REY200" s="21"/>
      <c r="REZ200" s="21"/>
      <c r="RFA200" s="21"/>
      <c r="RFB200" s="21"/>
      <c r="RFC200" s="21"/>
      <c r="RFD200" s="21"/>
      <c r="RFE200" s="21"/>
      <c r="RFF200" s="21"/>
      <c r="RFG200" s="21"/>
      <c r="RFH200" s="21"/>
      <c r="RFI200" s="21"/>
      <c r="RFJ200" s="21"/>
      <c r="RFK200" s="21"/>
      <c r="RFL200" s="21"/>
      <c r="RFM200" s="21"/>
      <c r="RFN200" s="21"/>
      <c r="RFO200" s="21"/>
      <c r="RFP200" s="21"/>
      <c r="RFQ200" s="21"/>
      <c r="RFR200" s="21"/>
      <c r="RFS200" s="21"/>
      <c r="RFT200" s="21"/>
      <c r="RFU200" s="21"/>
      <c r="RFV200" s="21"/>
      <c r="RFW200" s="21"/>
      <c r="RFX200" s="21"/>
      <c r="RFY200" s="21"/>
      <c r="RFZ200" s="21"/>
      <c r="RGA200" s="21"/>
      <c r="RGB200" s="21"/>
      <c r="RGC200" s="21"/>
      <c r="RGD200" s="21"/>
      <c r="RGE200" s="21"/>
      <c r="RGF200" s="21"/>
      <c r="RGG200" s="21"/>
      <c r="RGH200" s="21"/>
      <c r="RGI200" s="21"/>
      <c r="RGJ200" s="21"/>
      <c r="RGK200" s="21"/>
      <c r="RGL200" s="21"/>
      <c r="RGM200" s="21"/>
      <c r="RGN200" s="21"/>
      <c r="RGO200" s="21"/>
      <c r="RGP200" s="21"/>
      <c r="RGQ200" s="21"/>
      <c r="RGR200" s="21"/>
      <c r="RGS200" s="21"/>
      <c r="RGT200" s="21"/>
      <c r="RGU200" s="21"/>
      <c r="RGV200" s="21"/>
      <c r="RGW200" s="21"/>
      <c r="RGX200" s="21"/>
      <c r="RGY200" s="21"/>
      <c r="RGZ200" s="21"/>
      <c r="RHA200" s="21"/>
      <c r="RHB200" s="21"/>
      <c r="RHC200" s="21"/>
      <c r="RHD200" s="21"/>
      <c r="RHE200" s="21"/>
      <c r="RHF200" s="21"/>
      <c r="RHG200" s="21"/>
      <c r="RHH200" s="21"/>
      <c r="RHI200" s="21"/>
      <c r="RHJ200" s="21"/>
      <c r="RHK200" s="21"/>
      <c r="RHL200" s="21"/>
      <c r="RHM200" s="21"/>
      <c r="RHN200" s="21"/>
      <c r="RHO200" s="21"/>
      <c r="RHP200" s="21"/>
      <c r="RHQ200" s="21"/>
      <c r="RHR200" s="21"/>
      <c r="RHS200" s="21"/>
      <c r="RHT200" s="21"/>
      <c r="RHU200" s="21"/>
      <c r="RHV200" s="21"/>
      <c r="RHW200" s="21"/>
      <c r="RHX200" s="21"/>
      <c r="RHY200" s="21"/>
      <c r="RHZ200" s="21"/>
      <c r="RIA200" s="21"/>
      <c r="RIB200" s="21"/>
      <c r="RIC200" s="21"/>
      <c r="RID200" s="21"/>
      <c r="RIE200" s="21"/>
      <c r="RIF200" s="21"/>
      <c r="RIG200" s="21"/>
      <c r="RIH200" s="21"/>
      <c r="RII200" s="21"/>
      <c r="RIJ200" s="21"/>
      <c r="RIK200" s="21"/>
      <c r="RIL200" s="21"/>
      <c r="RIM200" s="21"/>
      <c r="RIN200" s="21"/>
      <c r="RIO200" s="21"/>
      <c r="RIP200" s="21"/>
      <c r="RIQ200" s="21"/>
      <c r="RIR200" s="21"/>
      <c r="RIS200" s="21"/>
      <c r="RIT200" s="21"/>
      <c r="RIU200" s="21"/>
      <c r="RIV200" s="21"/>
      <c r="RIW200" s="21"/>
      <c r="RIX200" s="21"/>
      <c r="RIY200" s="21"/>
      <c r="RIZ200" s="21"/>
      <c r="RJA200" s="21"/>
      <c r="RJB200" s="21"/>
      <c r="RJC200" s="21"/>
      <c r="RJD200" s="21"/>
      <c r="RJE200" s="21"/>
      <c r="RJF200" s="21"/>
      <c r="RJG200" s="21"/>
      <c r="RJH200" s="21"/>
      <c r="RJI200" s="21"/>
      <c r="RJJ200" s="21"/>
      <c r="RJK200" s="21"/>
      <c r="RJL200" s="21"/>
      <c r="RJM200" s="21"/>
      <c r="RJN200" s="21"/>
      <c r="RJO200" s="21"/>
      <c r="RJP200" s="21"/>
      <c r="RJQ200" s="21"/>
      <c r="RJR200" s="21"/>
      <c r="RJS200" s="21"/>
      <c r="RJT200" s="21"/>
      <c r="RJU200" s="21"/>
      <c r="RJV200" s="21"/>
      <c r="RJW200" s="21"/>
      <c r="RJX200" s="21"/>
      <c r="RJY200" s="21"/>
      <c r="RJZ200" s="21"/>
      <c r="RKA200" s="21"/>
      <c r="RKB200" s="21"/>
      <c r="RKC200" s="21"/>
      <c r="RKD200" s="21"/>
      <c r="RKE200" s="21"/>
      <c r="RKF200" s="21"/>
      <c r="RKG200" s="21"/>
      <c r="RKH200" s="21"/>
      <c r="RKI200" s="21"/>
      <c r="RKJ200" s="21"/>
      <c r="RKK200" s="21"/>
      <c r="RKL200" s="21"/>
      <c r="RKM200" s="21"/>
      <c r="RKN200" s="21"/>
      <c r="RKO200" s="21"/>
      <c r="RKP200" s="21"/>
      <c r="RKQ200" s="21"/>
      <c r="RKR200" s="21"/>
      <c r="RKS200" s="21"/>
      <c r="RKT200" s="21"/>
      <c r="RKU200" s="21"/>
      <c r="RKV200" s="21"/>
      <c r="RKW200" s="21"/>
      <c r="RKX200" s="21"/>
      <c r="RKY200" s="21"/>
      <c r="RKZ200" s="21"/>
      <c r="RLA200" s="21"/>
      <c r="RLB200" s="21"/>
      <c r="RLC200" s="21"/>
      <c r="RLD200" s="21"/>
      <c r="RLE200" s="21"/>
      <c r="RLF200" s="21"/>
      <c r="RLG200" s="21"/>
      <c r="RLH200" s="21"/>
      <c r="RLI200" s="21"/>
      <c r="RLJ200" s="21"/>
      <c r="RLK200" s="21"/>
      <c r="RLL200" s="21"/>
      <c r="RLM200" s="21"/>
      <c r="RLN200" s="21"/>
      <c r="RLO200" s="21"/>
      <c r="RLP200" s="21"/>
      <c r="RLQ200" s="21"/>
      <c r="RLR200" s="21"/>
      <c r="RLS200" s="21"/>
      <c r="RLT200" s="21"/>
      <c r="RLU200" s="21"/>
      <c r="RLV200" s="21"/>
      <c r="RLW200" s="21"/>
      <c r="RLX200" s="21"/>
      <c r="RLY200" s="21"/>
      <c r="RLZ200" s="21"/>
      <c r="RMA200" s="21"/>
      <c r="RMB200" s="21"/>
      <c r="RMC200" s="21"/>
      <c r="RMD200" s="21"/>
      <c r="RME200" s="21"/>
      <c r="RMF200" s="21"/>
      <c r="RMG200" s="21"/>
      <c r="RMH200" s="21"/>
      <c r="RMI200" s="21"/>
      <c r="RMJ200" s="21"/>
      <c r="RMK200" s="21"/>
      <c r="RML200" s="21"/>
      <c r="RMM200" s="21"/>
      <c r="RMN200" s="21"/>
      <c r="RMO200" s="21"/>
      <c r="RMP200" s="21"/>
      <c r="RMQ200" s="21"/>
      <c r="RMR200" s="21"/>
      <c r="RMS200" s="21"/>
      <c r="RMT200" s="21"/>
      <c r="RMU200" s="21"/>
      <c r="RMV200" s="21"/>
      <c r="RMW200" s="21"/>
      <c r="RMX200" s="21"/>
      <c r="RMY200" s="21"/>
      <c r="RMZ200" s="21"/>
      <c r="RNA200" s="21"/>
      <c r="RNB200" s="21"/>
      <c r="RNC200" s="21"/>
      <c r="RND200" s="21"/>
      <c r="RNE200" s="21"/>
      <c r="RNF200" s="21"/>
      <c r="RNG200" s="21"/>
      <c r="RNH200" s="21"/>
      <c r="RNI200" s="21"/>
      <c r="RNJ200" s="21"/>
      <c r="RNK200" s="21"/>
      <c r="RNL200" s="21"/>
      <c r="RNM200" s="21"/>
      <c r="RNN200" s="21"/>
      <c r="RNO200" s="21"/>
      <c r="RNP200" s="21"/>
      <c r="RNQ200" s="21"/>
      <c r="RNR200" s="21"/>
      <c r="RNS200" s="21"/>
      <c r="RNT200" s="21"/>
      <c r="RNU200" s="21"/>
      <c r="RNV200" s="21"/>
      <c r="RNW200" s="21"/>
      <c r="RNX200" s="21"/>
      <c r="RNY200" s="21"/>
      <c r="RNZ200" s="21"/>
      <c r="ROA200" s="21"/>
      <c r="ROB200" s="21"/>
      <c r="ROC200" s="21"/>
      <c r="ROD200" s="21"/>
      <c r="ROE200" s="21"/>
      <c r="ROF200" s="21"/>
      <c r="ROG200" s="21"/>
      <c r="ROH200" s="21"/>
      <c r="ROI200" s="21"/>
      <c r="ROJ200" s="21"/>
      <c r="ROK200" s="21"/>
      <c r="ROL200" s="21"/>
      <c r="ROM200" s="21"/>
      <c r="RON200" s="21"/>
      <c r="ROO200" s="21"/>
      <c r="ROP200" s="21"/>
      <c r="ROQ200" s="21"/>
      <c r="ROR200" s="21"/>
      <c r="ROS200" s="21"/>
      <c r="ROT200" s="21"/>
      <c r="ROU200" s="21"/>
      <c r="ROV200" s="21"/>
      <c r="ROW200" s="21"/>
      <c r="ROX200" s="21"/>
      <c r="ROY200" s="21"/>
      <c r="ROZ200" s="21"/>
      <c r="RPA200" s="21"/>
      <c r="RPB200" s="21"/>
      <c r="RPC200" s="21"/>
      <c r="RPD200" s="21"/>
      <c r="RPE200" s="21"/>
      <c r="RPF200" s="21"/>
      <c r="RPG200" s="21"/>
      <c r="RPH200" s="21"/>
      <c r="RPI200" s="21"/>
      <c r="RPJ200" s="21"/>
      <c r="RPK200" s="21"/>
      <c r="RPL200" s="21"/>
      <c r="RPM200" s="21"/>
      <c r="RPN200" s="21"/>
      <c r="RPO200" s="21"/>
      <c r="RPP200" s="21"/>
      <c r="RPQ200" s="21"/>
      <c r="RPR200" s="21"/>
      <c r="RPS200" s="21"/>
      <c r="RPT200" s="21"/>
      <c r="RPU200" s="21"/>
      <c r="RPV200" s="21"/>
      <c r="RPW200" s="21"/>
      <c r="RPX200" s="21"/>
      <c r="RPY200" s="21"/>
      <c r="RPZ200" s="21"/>
      <c r="RQA200" s="21"/>
      <c r="RQB200" s="21"/>
      <c r="RQC200" s="21"/>
      <c r="RQD200" s="21"/>
      <c r="RQE200" s="21"/>
      <c r="RQF200" s="21"/>
      <c r="RQG200" s="21"/>
      <c r="RQH200" s="21"/>
      <c r="RQI200" s="21"/>
      <c r="RQJ200" s="21"/>
      <c r="RQK200" s="21"/>
      <c r="RQL200" s="21"/>
      <c r="RQM200" s="21"/>
      <c r="RQN200" s="21"/>
      <c r="RQO200" s="21"/>
      <c r="RQP200" s="21"/>
      <c r="RQQ200" s="21"/>
      <c r="RQR200" s="21"/>
      <c r="RQS200" s="21"/>
      <c r="RQT200" s="21"/>
      <c r="RQU200" s="21"/>
      <c r="RQV200" s="21"/>
      <c r="RQW200" s="21"/>
      <c r="RQX200" s="21"/>
      <c r="RQY200" s="21"/>
      <c r="RQZ200" s="21"/>
      <c r="RRA200" s="21"/>
      <c r="RRB200" s="21"/>
      <c r="RRC200" s="21"/>
      <c r="RRD200" s="21"/>
      <c r="RRE200" s="21"/>
      <c r="RRF200" s="21"/>
      <c r="RRG200" s="21"/>
      <c r="RRH200" s="21"/>
      <c r="RRI200" s="21"/>
      <c r="RRJ200" s="21"/>
      <c r="RRK200" s="21"/>
      <c r="RRL200" s="21"/>
      <c r="RRM200" s="21"/>
      <c r="RRN200" s="21"/>
      <c r="RRO200" s="21"/>
      <c r="RRP200" s="21"/>
      <c r="RRQ200" s="21"/>
      <c r="RRR200" s="21"/>
      <c r="RRS200" s="21"/>
      <c r="RRT200" s="21"/>
      <c r="RRU200" s="21"/>
      <c r="RRV200" s="21"/>
      <c r="RRW200" s="21"/>
      <c r="RRX200" s="21"/>
      <c r="RRY200" s="21"/>
      <c r="RRZ200" s="21"/>
      <c r="RSA200" s="21"/>
      <c r="RSB200" s="21"/>
      <c r="RSC200" s="21"/>
      <c r="RSD200" s="21"/>
      <c r="RSE200" s="21"/>
      <c r="RSF200" s="21"/>
      <c r="RSG200" s="21"/>
      <c r="RSH200" s="21"/>
      <c r="RSI200" s="21"/>
      <c r="RSJ200" s="21"/>
      <c r="RSK200" s="21"/>
      <c r="RSL200" s="21"/>
      <c r="RSM200" s="21"/>
      <c r="RSN200" s="21"/>
      <c r="RSO200" s="21"/>
      <c r="RSP200" s="21"/>
      <c r="RSQ200" s="21"/>
      <c r="RSR200" s="21"/>
      <c r="RSS200" s="21"/>
      <c r="RST200" s="21"/>
      <c r="RSU200" s="21"/>
      <c r="RSV200" s="21"/>
      <c r="RSW200" s="21"/>
      <c r="RSX200" s="21"/>
      <c r="RSY200" s="21"/>
      <c r="RSZ200" s="21"/>
      <c r="RTA200" s="21"/>
      <c r="RTB200" s="21"/>
      <c r="RTC200" s="21"/>
      <c r="RTD200" s="21"/>
      <c r="RTE200" s="21"/>
      <c r="RTF200" s="21"/>
      <c r="RTG200" s="21"/>
      <c r="RTH200" s="21"/>
      <c r="RTI200" s="21"/>
      <c r="RTJ200" s="21"/>
      <c r="RTK200" s="21"/>
      <c r="RTL200" s="21"/>
      <c r="RTM200" s="21"/>
      <c r="RTN200" s="21"/>
      <c r="RTO200" s="21"/>
      <c r="RTP200" s="21"/>
      <c r="RTQ200" s="21"/>
      <c r="RTR200" s="21"/>
      <c r="RTS200" s="21"/>
      <c r="RTT200" s="21"/>
      <c r="RTU200" s="21"/>
      <c r="RTV200" s="21"/>
      <c r="RTW200" s="21"/>
      <c r="RTX200" s="21"/>
      <c r="RTY200" s="21"/>
      <c r="RTZ200" s="21"/>
      <c r="RUA200" s="21"/>
      <c r="RUB200" s="21"/>
      <c r="RUC200" s="21"/>
      <c r="RUD200" s="21"/>
      <c r="RUE200" s="21"/>
      <c r="RUF200" s="21"/>
      <c r="RUG200" s="21"/>
      <c r="RUH200" s="21"/>
      <c r="RUI200" s="21"/>
      <c r="RUJ200" s="21"/>
      <c r="RUK200" s="21"/>
      <c r="RUL200" s="21"/>
      <c r="RUM200" s="21"/>
      <c r="RUN200" s="21"/>
      <c r="RUO200" s="21"/>
      <c r="RUP200" s="21"/>
      <c r="RUQ200" s="21"/>
      <c r="RUR200" s="21"/>
      <c r="RUS200" s="21"/>
      <c r="RUT200" s="21"/>
      <c r="RUU200" s="21"/>
      <c r="RUV200" s="21"/>
      <c r="RUW200" s="21"/>
      <c r="RUX200" s="21"/>
      <c r="RUY200" s="21"/>
      <c r="RUZ200" s="21"/>
      <c r="RVA200" s="21"/>
      <c r="RVB200" s="21"/>
      <c r="RVC200" s="21"/>
      <c r="RVD200" s="21"/>
      <c r="RVE200" s="21"/>
      <c r="RVF200" s="21"/>
      <c r="RVG200" s="21"/>
      <c r="RVH200" s="21"/>
      <c r="RVI200" s="21"/>
      <c r="RVJ200" s="21"/>
      <c r="RVK200" s="21"/>
      <c r="RVL200" s="21"/>
      <c r="RVM200" s="21"/>
      <c r="RVN200" s="21"/>
      <c r="RVO200" s="21"/>
      <c r="RVP200" s="21"/>
      <c r="RVQ200" s="21"/>
      <c r="RVR200" s="21"/>
      <c r="RVS200" s="21"/>
      <c r="RVT200" s="21"/>
      <c r="RVU200" s="21"/>
      <c r="RVV200" s="21"/>
      <c r="RVW200" s="21"/>
      <c r="RVX200" s="21"/>
      <c r="RVY200" s="21"/>
      <c r="RVZ200" s="21"/>
      <c r="RWA200" s="21"/>
      <c r="RWB200" s="21"/>
      <c r="RWC200" s="21"/>
      <c r="RWD200" s="21"/>
      <c r="RWE200" s="21"/>
      <c r="RWF200" s="21"/>
      <c r="RWG200" s="21"/>
      <c r="RWH200" s="21"/>
      <c r="RWI200" s="21"/>
      <c r="RWJ200" s="21"/>
      <c r="RWK200" s="21"/>
      <c r="RWL200" s="21"/>
      <c r="RWM200" s="21"/>
      <c r="RWN200" s="21"/>
      <c r="RWO200" s="21"/>
      <c r="RWP200" s="21"/>
      <c r="RWQ200" s="21"/>
      <c r="RWR200" s="21"/>
      <c r="RWS200" s="21"/>
      <c r="RWT200" s="21"/>
      <c r="RWU200" s="21"/>
      <c r="RWV200" s="21"/>
      <c r="RWW200" s="21"/>
      <c r="RWX200" s="21"/>
      <c r="RWY200" s="21"/>
      <c r="RWZ200" s="21"/>
      <c r="RXA200" s="21"/>
      <c r="RXB200" s="21"/>
      <c r="RXC200" s="21"/>
      <c r="RXD200" s="21"/>
      <c r="RXE200" s="21"/>
      <c r="RXF200" s="21"/>
      <c r="RXG200" s="21"/>
      <c r="RXH200" s="21"/>
      <c r="RXI200" s="21"/>
      <c r="RXJ200" s="21"/>
      <c r="RXK200" s="21"/>
      <c r="RXL200" s="21"/>
      <c r="RXM200" s="21"/>
      <c r="RXN200" s="21"/>
      <c r="RXO200" s="21"/>
      <c r="RXP200" s="21"/>
      <c r="RXQ200" s="21"/>
      <c r="RXR200" s="21"/>
      <c r="RXS200" s="21"/>
      <c r="RXT200" s="21"/>
      <c r="RXU200" s="21"/>
      <c r="RXV200" s="21"/>
      <c r="RXW200" s="21"/>
      <c r="RXX200" s="21"/>
      <c r="RXY200" s="21"/>
      <c r="RXZ200" s="21"/>
      <c r="RYA200" s="21"/>
      <c r="RYB200" s="21"/>
      <c r="RYC200" s="21"/>
      <c r="RYD200" s="21"/>
      <c r="RYE200" s="21"/>
      <c r="RYF200" s="21"/>
      <c r="RYG200" s="21"/>
      <c r="RYH200" s="21"/>
      <c r="RYI200" s="21"/>
      <c r="RYJ200" s="21"/>
      <c r="RYK200" s="21"/>
      <c r="RYL200" s="21"/>
      <c r="RYM200" s="21"/>
      <c r="RYN200" s="21"/>
      <c r="RYO200" s="21"/>
      <c r="RYP200" s="21"/>
      <c r="RYQ200" s="21"/>
      <c r="RYR200" s="21"/>
      <c r="RYS200" s="21"/>
      <c r="RYT200" s="21"/>
      <c r="RYU200" s="21"/>
      <c r="RYV200" s="21"/>
      <c r="RYW200" s="21"/>
      <c r="RYX200" s="21"/>
      <c r="RYY200" s="21"/>
      <c r="RYZ200" s="21"/>
      <c r="RZA200" s="21"/>
      <c r="RZB200" s="21"/>
      <c r="RZC200" s="21"/>
      <c r="RZD200" s="21"/>
      <c r="RZE200" s="21"/>
      <c r="RZF200" s="21"/>
      <c r="RZG200" s="21"/>
      <c r="RZH200" s="21"/>
      <c r="RZI200" s="21"/>
      <c r="RZJ200" s="21"/>
      <c r="RZK200" s="21"/>
      <c r="RZL200" s="21"/>
      <c r="RZM200" s="21"/>
      <c r="RZN200" s="21"/>
      <c r="RZO200" s="21"/>
      <c r="RZP200" s="21"/>
      <c r="RZQ200" s="21"/>
      <c r="RZR200" s="21"/>
      <c r="RZS200" s="21"/>
      <c r="RZT200" s="21"/>
      <c r="RZU200" s="21"/>
      <c r="RZV200" s="21"/>
      <c r="RZW200" s="21"/>
      <c r="RZX200" s="21"/>
      <c r="RZY200" s="21"/>
      <c r="RZZ200" s="21"/>
      <c r="SAA200" s="21"/>
      <c r="SAB200" s="21"/>
      <c r="SAC200" s="21"/>
      <c r="SAD200" s="21"/>
      <c r="SAE200" s="21"/>
      <c r="SAF200" s="21"/>
      <c r="SAG200" s="21"/>
      <c r="SAH200" s="21"/>
      <c r="SAI200" s="21"/>
      <c r="SAJ200" s="21"/>
      <c r="SAK200" s="21"/>
      <c r="SAL200" s="21"/>
      <c r="SAM200" s="21"/>
      <c r="SAN200" s="21"/>
      <c r="SAO200" s="21"/>
      <c r="SAP200" s="21"/>
      <c r="SAQ200" s="21"/>
      <c r="SAR200" s="21"/>
      <c r="SAS200" s="21"/>
      <c r="SAT200" s="21"/>
      <c r="SAU200" s="21"/>
      <c r="SAV200" s="21"/>
      <c r="SAW200" s="21"/>
      <c r="SAX200" s="21"/>
      <c r="SAY200" s="21"/>
      <c r="SAZ200" s="21"/>
      <c r="SBA200" s="21"/>
      <c r="SBB200" s="21"/>
      <c r="SBC200" s="21"/>
      <c r="SBD200" s="21"/>
      <c r="SBE200" s="21"/>
      <c r="SBF200" s="21"/>
      <c r="SBG200" s="21"/>
      <c r="SBH200" s="21"/>
      <c r="SBI200" s="21"/>
      <c r="SBJ200" s="21"/>
      <c r="SBK200" s="21"/>
      <c r="SBL200" s="21"/>
      <c r="SBM200" s="21"/>
      <c r="SBN200" s="21"/>
      <c r="SBO200" s="21"/>
      <c r="SBP200" s="21"/>
      <c r="SBQ200" s="21"/>
      <c r="SBR200" s="21"/>
      <c r="SBS200" s="21"/>
      <c r="SBT200" s="21"/>
      <c r="SBU200" s="21"/>
      <c r="SBV200" s="21"/>
      <c r="SBW200" s="21"/>
      <c r="SBX200" s="21"/>
      <c r="SBY200" s="21"/>
      <c r="SBZ200" s="21"/>
      <c r="SCA200" s="21"/>
      <c r="SCB200" s="21"/>
      <c r="SCC200" s="21"/>
      <c r="SCD200" s="21"/>
      <c r="SCE200" s="21"/>
      <c r="SCF200" s="21"/>
      <c r="SCG200" s="21"/>
      <c r="SCH200" s="21"/>
      <c r="SCI200" s="21"/>
      <c r="SCJ200" s="21"/>
      <c r="SCK200" s="21"/>
      <c r="SCL200" s="21"/>
      <c r="SCM200" s="21"/>
      <c r="SCN200" s="21"/>
      <c r="SCO200" s="21"/>
      <c r="SCP200" s="21"/>
      <c r="SCQ200" s="21"/>
      <c r="SCR200" s="21"/>
      <c r="SCS200" s="21"/>
      <c r="SCT200" s="21"/>
      <c r="SCU200" s="21"/>
      <c r="SCV200" s="21"/>
      <c r="SCW200" s="21"/>
      <c r="SCX200" s="21"/>
      <c r="SCY200" s="21"/>
      <c r="SCZ200" s="21"/>
      <c r="SDA200" s="21"/>
      <c r="SDB200" s="21"/>
      <c r="SDC200" s="21"/>
      <c r="SDD200" s="21"/>
      <c r="SDE200" s="21"/>
      <c r="SDF200" s="21"/>
      <c r="SDG200" s="21"/>
      <c r="SDH200" s="21"/>
      <c r="SDI200" s="21"/>
      <c r="SDJ200" s="21"/>
      <c r="SDK200" s="21"/>
      <c r="SDL200" s="21"/>
      <c r="SDM200" s="21"/>
      <c r="SDN200" s="21"/>
      <c r="SDO200" s="21"/>
      <c r="SDP200" s="21"/>
      <c r="SDQ200" s="21"/>
      <c r="SDR200" s="21"/>
      <c r="SDS200" s="21"/>
      <c r="SDT200" s="21"/>
      <c r="SDU200" s="21"/>
      <c r="SDV200" s="21"/>
      <c r="SDW200" s="21"/>
      <c r="SDX200" s="21"/>
      <c r="SDY200" s="21"/>
      <c r="SDZ200" s="21"/>
      <c r="SEA200" s="21"/>
      <c r="SEB200" s="21"/>
      <c r="SEC200" s="21"/>
      <c r="SED200" s="21"/>
      <c r="SEE200" s="21"/>
      <c r="SEF200" s="21"/>
      <c r="SEG200" s="21"/>
      <c r="SEH200" s="21"/>
      <c r="SEI200" s="21"/>
      <c r="SEJ200" s="21"/>
      <c r="SEK200" s="21"/>
      <c r="SEL200" s="21"/>
      <c r="SEM200" s="21"/>
      <c r="SEN200" s="21"/>
      <c r="SEO200" s="21"/>
      <c r="SEP200" s="21"/>
      <c r="SEQ200" s="21"/>
      <c r="SER200" s="21"/>
      <c r="SES200" s="21"/>
      <c r="SET200" s="21"/>
      <c r="SEU200" s="21"/>
      <c r="SEV200" s="21"/>
      <c r="SEW200" s="21"/>
      <c r="SEX200" s="21"/>
      <c r="SEY200" s="21"/>
      <c r="SEZ200" s="21"/>
      <c r="SFA200" s="21"/>
      <c r="SFB200" s="21"/>
      <c r="SFC200" s="21"/>
      <c r="SFD200" s="21"/>
      <c r="SFE200" s="21"/>
      <c r="SFF200" s="21"/>
      <c r="SFG200" s="21"/>
      <c r="SFH200" s="21"/>
      <c r="SFI200" s="21"/>
      <c r="SFJ200" s="21"/>
      <c r="SFK200" s="21"/>
      <c r="SFL200" s="21"/>
      <c r="SFM200" s="21"/>
      <c r="SFN200" s="21"/>
      <c r="SFO200" s="21"/>
      <c r="SFP200" s="21"/>
      <c r="SFQ200" s="21"/>
      <c r="SFR200" s="21"/>
      <c r="SFS200" s="21"/>
      <c r="SFT200" s="21"/>
      <c r="SFU200" s="21"/>
      <c r="SFV200" s="21"/>
      <c r="SFW200" s="21"/>
      <c r="SFX200" s="21"/>
      <c r="SFY200" s="21"/>
      <c r="SFZ200" s="21"/>
      <c r="SGA200" s="21"/>
      <c r="SGB200" s="21"/>
      <c r="SGC200" s="21"/>
      <c r="SGD200" s="21"/>
      <c r="SGE200" s="21"/>
      <c r="SGF200" s="21"/>
      <c r="SGG200" s="21"/>
      <c r="SGH200" s="21"/>
      <c r="SGI200" s="21"/>
      <c r="SGJ200" s="21"/>
      <c r="SGK200" s="21"/>
      <c r="SGL200" s="21"/>
      <c r="SGM200" s="21"/>
      <c r="SGN200" s="21"/>
      <c r="SGO200" s="21"/>
      <c r="SGP200" s="21"/>
      <c r="SGQ200" s="21"/>
      <c r="SGR200" s="21"/>
      <c r="SGS200" s="21"/>
      <c r="SGT200" s="21"/>
      <c r="SGU200" s="21"/>
      <c r="SGV200" s="21"/>
      <c r="SGW200" s="21"/>
      <c r="SGX200" s="21"/>
      <c r="SGY200" s="21"/>
      <c r="SGZ200" s="21"/>
      <c r="SHA200" s="21"/>
      <c r="SHB200" s="21"/>
      <c r="SHC200" s="21"/>
      <c r="SHD200" s="21"/>
      <c r="SHE200" s="21"/>
      <c r="SHF200" s="21"/>
      <c r="SHG200" s="21"/>
      <c r="SHH200" s="21"/>
      <c r="SHI200" s="21"/>
      <c r="SHJ200" s="21"/>
      <c r="SHK200" s="21"/>
      <c r="SHL200" s="21"/>
      <c r="SHM200" s="21"/>
      <c r="SHN200" s="21"/>
      <c r="SHO200" s="21"/>
      <c r="SHP200" s="21"/>
      <c r="SHQ200" s="21"/>
      <c r="SHR200" s="21"/>
      <c r="SHS200" s="21"/>
      <c r="SHT200" s="21"/>
      <c r="SHU200" s="21"/>
      <c r="SHV200" s="21"/>
      <c r="SHW200" s="21"/>
      <c r="SHX200" s="21"/>
      <c r="SHY200" s="21"/>
      <c r="SHZ200" s="21"/>
      <c r="SIA200" s="21"/>
      <c r="SIB200" s="21"/>
      <c r="SIC200" s="21"/>
      <c r="SID200" s="21"/>
      <c r="SIE200" s="21"/>
      <c r="SIF200" s="21"/>
      <c r="SIG200" s="21"/>
      <c r="SIH200" s="21"/>
      <c r="SII200" s="21"/>
      <c r="SIJ200" s="21"/>
      <c r="SIK200" s="21"/>
      <c r="SIL200" s="21"/>
      <c r="SIM200" s="21"/>
      <c r="SIN200" s="21"/>
      <c r="SIO200" s="21"/>
      <c r="SIP200" s="21"/>
      <c r="SIQ200" s="21"/>
      <c r="SIR200" s="21"/>
      <c r="SIS200" s="21"/>
      <c r="SIT200" s="21"/>
      <c r="SIU200" s="21"/>
      <c r="SIV200" s="21"/>
      <c r="SIW200" s="21"/>
      <c r="SIX200" s="21"/>
      <c r="SIY200" s="21"/>
      <c r="SIZ200" s="21"/>
      <c r="SJA200" s="21"/>
      <c r="SJB200" s="21"/>
      <c r="SJC200" s="21"/>
      <c r="SJD200" s="21"/>
      <c r="SJE200" s="21"/>
      <c r="SJF200" s="21"/>
      <c r="SJG200" s="21"/>
      <c r="SJH200" s="21"/>
      <c r="SJI200" s="21"/>
      <c r="SJJ200" s="21"/>
      <c r="SJK200" s="21"/>
      <c r="SJL200" s="21"/>
      <c r="SJM200" s="21"/>
      <c r="SJN200" s="21"/>
      <c r="SJO200" s="21"/>
      <c r="SJP200" s="21"/>
      <c r="SJQ200" s="21"/>
      <c r="SJR200" s="21"/>
      <c r="SJS200" s="21"/>
      <c r="SJT200" s="21"/>
      <c r="SJU200" s="21"/>
      <c r="SJV200" s="21"/>
      <c r="SJW200" s="21"/>
      <c r="SJX200" s="21"/>
      <c r="SJY200" s="21"/>
      <c r="SJZ200" s="21"/>
      <c r="SKA200" s="21"/>
      <c r="SKB200" s="21"/>
      <c r="SKC200" s="21"/>
      <c r="SKD200" s="21"/>
      <c r="SKE200" s="21"/>
      <c r="SKF200" s="21"/>
      <c r="SKG200" s="21"/>
      <c r="SKH200" s="21"/>
      <c r="SKI200" s="21"/>
      <c r="SKJ200" s="21"/>
      <c r="SKK200" s="21"/>
      <c r="SKL200" s="21"/>
      <c r="SKM200" s="21"/>
      <c r="SKN200" s="21"/>
      <c r="SKO200" s="21"/>
      <c r="SKP200" s="21"/>
      <c r="SKQ200" s="21"/>
      <c r="SKR200" s="21"/>
      <c r="SKS200" s="21"/>
      <c r="SKT200" s="21"/>
      <c r="SKU200" s="21"/>
      <c r="SKV200" s="21"/>
      <c r="SKW200" s="21"/>
      <c r="SKX200" s="21"/>
      <c r="SKY200" s="21"/>
      <c r="SKZ200" s="21"/>
      <c r="SLA200" s="21"/>
      <c r="SLB200" s="21"/>
      <c r="SLC200" s="21"/>
      <c r="SLD200" s="21"/>
      <c r="SLE200" s="21"/>
      <c r="SLF200" s="21"/>
      <c r="SLG200" s="21"/>
      <c r="SLH200" s="21"/>
      <c r="SLI200" s="21"/>
      <c r="SLJ200" s="21"/>
      <c r="SLK200" s="21"/>
      <c r="SLL200" s="21"/>
      <c r="SLM200" s="21"/>
      <c r="SLN200" s="21"/>
      <c r="SLO200" s="21"/>
      <c r="SLP200" s="21"/>
      <c r="SLQ200" s="21"/>
      <c r="SLR200" s="21"/>
      <c r="SLS200" s="21"/>
      <c r="SLT200" s="21"/>
      <c r="SLU200" s="21"/>
      <c r="SLV200" s="21"/>
      <c r="SLW200" s="21"/>
      <c r="SLX200" s="21"/>
      <c r="SLY200" s="21"/>
      <c r="SLZ200" s="21"/>
      <c r="SMA200" s="21"/>
      <c r="SMB200" s="21"/>
      <c r="SMC200" s="21"/>
      <c r="SMD200" s="21"/>
      <c r="SME200" s="21"/>
      <c r="SMF200" s="21"/>
      <c r="SMG200" s="21"/>
      <c r="SMH200" s="21"/>
      <c r="SMI200" s="21"/>
      <c r="SMJ200" s="21"/>
      <c r="SMK200" s="21"/>
      <c r="SML200" s="21"/>
      <c r="SMM200" s="21"/>
      <c r="SMN200" s="21"/>
      <c r="SMO200" s="21"/>
      <c r="SMP200" s="21"/>
      <c r="SMQ200" s="21"/>
      <c r="SMR200" s="21"/>
      <c r="SMS200" s="21"/>
      <c r="SMT200" s="21"/>
      <c r="SMU200" s="21"/>
      <c r="SMV200" s="21"/>
      <c r="SMW200" s="21"/>
      <c r="SMX200" s="21"/>
      <c r="SMY200" s="21"/>
      <c r="SMZ200" s="21"/>
      <c r="SNA200" s="21"/>
      <c r="SNB200" s="21"/>
      <c r="SNC200" s="21"/>
      <c r="SND200" s="21"/>
      <c r="SNE200" s="21"/>
      <c r="SNF200" s="21"/>
      <c r="SNG200" s="21"/>
      <c r="SNH200" s="21"/>
      <c r="SNI200" s="21"/>
      <c r="SNJ200" s="21"/>
      <c r="SNK200" s="21"/>
      <c r="SNL200" s="21"/>
      <c r="SNM200" s="21"/>
      <c r="SNN200" s="21"/>
      <c r="SNO200" s="21"/>
      <c r="SNP200" s="21"/>
      <c r="SNQ200" s="21"/>
      <c r="SNR200" s="21"/>
      <c r="SNS200" s="21"/>
      <c r="SNT200" s="21"/>
      <c r="SNU200" s="21"/>
      <c r="SNV200" s="21"/>
      <c r="SNW200" s="21"/>
      <c r="SNX200" s="21"/>
      <c r="SNY200" s="21"/>
      <c r="SNZ200" s="21"/>
      <c r="SOA200" s="21"/>
      <c r="SOB200" s="21"/>
      <c r="SOC200" s="21"/>
      <c r="SOD200" s="21"/>
      <c r="SOE200" s="21"/>
      <c r="SOF200" s="21"/>
      <c r="SOG200" s="21"/>
      <c r="SOH200" s="21"/>
      <c r="SOI200" s="21"/>
      <c r="SOJ200" s="21"/>
      <c r="SOK200" s="21"/>
      <c r="SOL200" s="21"/>
      <c r="SOM200" s="21"/>
      <c r="SON200" s="21"/>
      <c r="SOO200" s="21"/>
      <c r="SOP200" s="21"/>
      <c r="SOQ200" s="21"/>
      <c r="SOR200" s="21"/>
      <c r="SOS200" s="21"/>
      <c r="SOT200" s="21"/>
      <c r="SOU200" s="21"/>
      <c r="SOV200" s="21"/>
      <c r="SOW200" s="21"/>
      <c r="SOX200" s="21"/>
      <c r="SOY200" s="21"/>
      <c r="SOZ200" s="21"/>
      <c r="SPA200" s="21"/>
      <c r="SPB200" s="21"/>
      <c r="SPC200" s="21"/>
      <c r="SPD200" s="21"/>
      <c r="SPE200" s="21"/>
      <c r="SPF200" s="21"/>
      <c r="SPG200" s="21"/>
      <c r="SPH200" s="21"/>
      <c r="SPI200" s="21"/>
      <c r="SPJ200" s="21"/>
      <c r="SPK200" s="21"/>
      <c r="SPL200" s="21"/>
      <c r="SPM200" s="21"/>
      <c r="SPN200" s="21"/>
      <c r="SPO200" s="21"/>
      <c r="SPP200" s="21"/>
      <c r="SPQ200" s="21"/>
      <c r="SPR200" s="21"/>
      <c r="SPS200" s="21"/>
      <c r="SPT200" s="21"/>
      <c r="SPU200" s="21"/>
      <c r="SPV200" s="21"/>
      <c r="SPW200" s="21"/>
      <c r="SPX200" s="21"/>
      <c r="SPY200" s="21"/>
      <c r="SPZ200" s="21"/>
      <c r="SQA200" s="21"/>
      <c r="SQB200" s="21"/>
      <c r="SQC200" s="21"/>
      <c r="SQD200" s="21"/>
      <c r="SQE200" s="21"/>
      <c r="SQF200" s="21"/>
      <c r="SQG200" s="21"/>
      <c r="SQH200" s="21"/>
      <c r="SQI200" s="21"/>
      <c r="SQJ200" s="21"/>
      <c r="SQK200" s="21"/>
      <c r="SQL200" s="21"/>
      <c r="SQM200" s="21"/>
      <c r="SQN200" s="21"/>
      <c r="SQO200" s="21"/>
      <c r="SQP200" s="21"/>
      <c r="SQQ200" s="21"/>
      <c r="SQR200" s="21"/>
      <c r="SQS200" s="21"/>
      <c r="SQT200" s="21"/>
      <c r="SQU200" s="21"/>
      <c r="SQV200" s="21"/>
      <c r="SQW200" s="21"/>
      <c r="SQX200" s="21"/>
      <c r="SQY200" s="21"/>
      <c r="SQZ200" s="21"/>
      <c r="SRA200" s="21"/>
      <c r="SRB200" s="21"/>
      <c r="SRC200" s="21"/>
      <c r="SRD200" s="21"/>
      <c r="SRE200" s="21"/>
      <c r="SRF200" s="21"/>
      <c r="SRG200" s="21"/>
      <c r="SRH200" s="21"/>
      <c r="SRI200" s="21"/>
      <c r="SRJ200" s="21"/>
      <c r="SRK200" s="21"/>
      <c r="SRL200" s="21"/>
      <c r="SRM200" s="21"/>
      <c r="SRN200" s="21"/>
      <c r="SRO200" s="21"/>
      <c r="SRP200" s="21"/>
      <c r="SRQ200" s="21"/>
      <c r="SRR200" s="21"/>
      <c r="SRS200" s="21"/>
      <c r="SRT200" s="21"/>
      <c r="SRU200" s="21"/>
      <c r="SRV200" s="21"/>
      <c r="SRW200" s="21"/>
      <c r="SRX200" s="21"/>
      <c r="SRY200" s="21"/>
      <c r="SRZ200" s="21"/>
      <c r="SSA200" s="21"/>
      <c r="SSB200" s="21"/>
      <c r="SSC200" s="21"/>
      <c r="SSD200" s="21"/>
      <c r="SSE200" s="21"/>
      <c r="SSF200" s="21"/>
      <c r="SSG200" s="21"/>
      <c r="SSH200" s="21"/>
      <c r="SSI200" s="21"/>
      <c r="SSJ200" s="21"/>
      <c r="SSK200" s="21"/>
      <c r="SSL200" s="21"/>
      <c r="SSM200" s="21"/>
      <c r="SSN200" s="21"/>
      <c r="SSO200" s="21"/>
      <c r="SSP200" s="21"/>
      <c r="SSQ200" s="21"/>
      <c r="SSR200" s="21"/>
      <c r="SSS200" s="21"/>
      <c r="SST200" s="21"/>
      <c r="SSU200" s="21"/>
      <c r="SSV200" s="21"/>
      <c r="SSW200" s="21"/>
      <c r="SSX200" s="21"/>
      <c r="SSY200" s="21"/>
      <c r="SSZ200" s="21"/>
      <c r="STA200" s="21"/>
      <c r="STB200" s="21"/>
      <c r="STC200" s="21"/>
      <c r="STD200" s="21"/>
      <c r="STE200" s="21"/>
      <c r="STF200" s="21"/>
      <c r="STG200" s="21"/>
      <c r="STH200" s="21"/>
      <c r="STI200" s="21"/>
      <c r="STJ200" s="21"/>
      <c r="STK200" s="21"/>
      <c r="STL200" s="21"/>
      <c r="STM200" s="21"/>
      <c r="STN200" s="21"/>
      <c r="STO200" s="21"/>
      <c r="STP200" s="21"/>
      <c r="STQ200" s="21"/>
      <c r="STR200" s="21"/>
      <c r="STS200" s="21"/>
      <c r="STT200" s="21"/>
      <c r="STU200" s="21"/>
      <c r="STV200" s="21"/>
      <c r="STW200" s="21"/>
      <c r="STX200" s="21"/>
      <c r="STY200" s="21"/>
      <c r="STZ200" s="21"/>
      <c r="SUA200" s="21"/>
      <c r="SUB200" s="21"/>
      <c r="SUC200" s="21"/>
      <c r="SUD200" s="21"/>
      <c r="SUE200" s="21"/>
      <c r="SUF200" s="21"/>
      <c r="SUG200" s="21"/>
      <c r="SUH200" s="21"/>
      <c r="SUI200" s="21"/>
      <c r="SUJ200" s="21"/>
      <c r="SUK200" s="21"/>
      <c r="SUL200" s="21"/>
      <c r="SUM200" s="21"/>
      <c r="SUN200" s="21"/>
      <c r="SUO200" s="21"/>
      <c r="SUP200" s="21"/>
      <c r="SUQ200" s="21"/>
      <c r="SUR200" s="21"/>
      <c r="SUS200" s="21"/>
      <c r="SUT200" s="21"/>
      <c r="SUU200" s="21"/>
      <c r="SUV200" s="21"/>
      <c r="SUW200" s="21"/>
      <c r="SUX200" s="21"/>
      <c r="SUY200" s="21"/>
      <c r="SUZ200" s="21"/>
      <c r="SVA200" s="21"/>
      <c r="SVB200" s="21"/>
      <c r="SVC200" s="21"/>
      <c r="SVD200" s="21"/>
      <c r="SVE200" s="21"/>
      <c r="SVF200" s="21"/>
      <c r="SVG200" s="21"/>
      <c r="SVH200" s="21"/>
      <c r="SVI200" s="21"/>
      <c r="SVJ200" s="21"/>
      <c r="SVK200" s="21"/>
      <c r="SVL200" s="21"/>
      <c r="SVM200" s="21"/>
      <c r="SVN200" s="21"/>
      <c r="SVO200" s="21"/>
      <c r="SVP200" s="21"/>
      <c r="SVQ200" s="21"/>
      <c r="SVR200" s="21"/>
      <c r="SVS200" s="21"/>
      <c r="SVT200" s="21"/>
      <c r="SVU200" s="21"/>
      <c r="SVV200" s="21"/>
      <c r="SVW200" s="21"/>
      <c r="SVX200" s="21"/>
      <c r="SVY200" s="21"/>
      <c r="SVZ200" s="21"/>
      <c r="SWA200" s="21"/>
      <c r="SWB200" s="21"/>
      <c r="SWC200" s="21"/>
      <c r="SWD200" s="21"/>
      <c r="SWE200" s="21"/>
      <c r="SWF200" s="21"/>
      <c r="SWG200" s="21"/>
      <c r="SWH200" s="21"/>
      <c r="SWI200" s="21"/>
      <c r="SWJ200" s="21"/>
      <c r="SWK200" s="21"/>
      <c r="SWL200" s="21"/>
      <c r="SWM200" s="21"/>
      <c r="SWN200" s="21"/>
      <c r="SWO200" s="21"/>
      <c r="SWP200" s="21"/>
      <c r="SWQ200" s="21"/>
      <c r="SWR200" s="21"/>
      <c r="SWS200" s="21"/>
      <c r="SWT200" s="21"/>
      <c r="SWU200" s="21"/>
      <c r="SWV200" s="21"/>
      <c r="SWW200" s="21"/>
      <c r="SWX200" s="21"/>
      <c r="SWY200" s="21"/>
      <c r="SWZ200" s="21"/>
      <c r="SXA200" s="21"/>
      <c r="SXB200" s="21"/>
      <c r="SXC200" s="21"/>
      <c r="SXD200" s="21"/>
      <c r="SXE200" s="21"/>
      <c r="SXF200" s="21"/>
      <c r="SXG200" s="21"/>
      <c r="SXH200" s="21"/>
      <c r="SXI200" s="21"/>
      <c r="SXJ200" s="21"/>
      <c r="SXK200" s="21"/>
      <c r="SXL200" s="21"/>
      <c r="SXM200" s="21"/>
      <c r="SXN200" s="21"/>
      <c r="SXO200" s="21"/>
      <c r="SXP200" s="21"/>
      <c r="SXQ200" s="21"/>
      <c r="SXR200" s="21"/>
      <c r="SXS200" s="21"/>
      <c r="SXT200" s="21"/>
      <c r="SXU200" s="21"/>
      <c r="SXV200" s="21"/>
      <c r="SXW200" s="21"/>
      <c r="SXX200" s="21"/>
      <c r="SXY200" s="21"/>
      <c r="SXZ200" s="21"/>
      <c r="SYA200" s="21"/>
      <c r="SYB200" s="21"/>
      <c r="SYC200" s="21"/>
      <c r="SYD200" s="21"/>
      <c r="SYE200" s="21"/>
      <c r="SYF200" s="21"/>
      <c r="SYG200" s="21"/>
      <c r="SYH200" s="21"/>
      <c r="SYI200" s="21"/>
      <c r="SYJ200" s="21"/>
      <c r="SYK200" s="21"/>
      <c r="SYL200" s="21"/>
      <c r="SYM200" s="21"/>
      <c r="SYN200" s="21"/>
      <c r="SYO200" s="21"/>
      <c r="SYP200" s="21"/>
      <c r="SYQ200" s="21"/>
      <c r="SYR200" s="21"/>
      <c r="SYS200" s="21"/>
      <c r="SYT200" s="21"/>
      <c r="SYU200" s="21"/>
      <c r="SYV200" s="21"/>
      <c r="SYW200" s="21"/>
      <c r="SYX200" s="21"/>
      <c r="SYY200" s="21"/>
      <c r="SYZ200" s="21"/>
      <c r="SZA200" s="21"/>
      <c r="SZB200" s="21"/>
      <c r="SZC200" s="21"/>
      <c r="SZD200" s="21"/>
      <c r="SZE200" s="21"/>
      <c r="SZF200" s="21"/>
      <c r="SZG200" s="21"/>
      <c r="SZH200" s="21"/>
      <c r="SZI200" s="21"/>
      <c r="SZJ200" s="21"/>
      <c r="SZK200" s="21"/>
      <c r="SZL200" s="21"/>
      <c r="SZM200" s="21"/>
      <c r="SZN200" s="21"/>
      <c r="SZO200" s="21"/>
      <c r="SZP200" s="21"/>
      <c r="SZQ200" s="21"/>
      <c r="SZR200" s="21"/>
      <c r="SZS200" s="21"/>
      <c r="SZT200" s="21"/>
      <c r="SZU200" s="21"/>
      <c r="SZV200" s="21"/>
      <c r="SZW200" s="21"/>
      <c r="SZX200" s="21"/>
      <c r="SZY200" s="21"/>
      <c r="SZZ200" s="21"/>
      <c r="TAA200" s="21"/>
      <c r="TAB200" s="21"/>
      <c r="TAC200" s="21"/>
      <c r="TAD200" s="21"/>
      <c r="TAE200" s="21"/>
      <c r="TAF200" s="21"/>
      <c r="TAG200" s="21"/>
      <c r="TAH200" s="21"/>
      <c r="TAI200" s="21"/>
      <c r="TAJ200" s="21"/>
      <c r="TAK200" s="21"/>
      <c r="TAL200" s="21"/>
      <c r="TAM200" s="21"/>
      <c r="TAN200" s="21"/>
      <c r="TAO200" s="21"/>
      <c r="TAP200" s="21"/>
      <c r="TAQ200" s="21"/>
      <c r="TAR200" s="21"/>
      <c r="TAS200" s="21"/>
      <c r="TAT200" s="21"/>
      <c r="TAU200" s="21"/>
      <c r="TAV200" s="21"/>
      <c r="TAW200" s="21"/>
      <c r="TAX200" s="21"/>
      <c r="TAY200" s="21"/>
      <c r="TAZ200" s="21"/>
      <c r="TBA200" s="21"/>
      <c r="TBB200" s="21"/>
      <c r="TBC200" s="21"/>
      <c r="TBD200" s="21"/>
      <c r="TBE200" s="21"/>
      <c r="TBF200" s="21"/>
      <c r="TBG200" s="21"/>
      <c r="TBH200" s="21"/>
      <c r="TBI200" s="21"/>
      <c r="TBJ200" s="21"/>
      <c r="TBK200" s="21"/>
      <c r="TBL200" s="21"/>
      <c r="TBM200" s="21"/>
      <c r="TBN200" s="21"/>
      <c r="TBO200" s="21"/>
      <c r="TBP200" s="21"/>
      <c r="TBQ200" s="21"/>
      <c r="TBR200" s="21"/>
      <c r="TBS200" s="21"/>
      <c r="TBT200" s="21"/>
      <c r="TBU200" s="21"/>
      <c r="TBV200" s="21"/>
      <c r="TBW200" s="21"/>
      <c r="TBX200" s="21"/>
      <c r="TBY200" s="21"/>
      <c r="TBZ200" s="21"/>
      <c r="TCA200" s="21"/>
      <c r="TCB200" s="21"/>
      <c r="TCC200" s="21"/>
      <c r="TCD200" s="21"/>
      <c r="TCE200" s="21"/>
      <c r="TCF200" s="21"/>
      <c r="TCG200" s="21"/>
      <c r="TCH200" s="21"/>
      <c r="TCI200" s="21"/>
      <c r="TCJ200" s="21"/>
      <c r="TCK200" s="21"/>
      <c r="TCL200" s="21"/>
      <c r="TCM200" s="21"/>
      <c r="TCN200" s="21"/>
      <c r="TCO200" s="21"/>
      <c r="TCP200" s="21"/>
      <c r="TCQ200" s="21"/>
      <c r="TCR200" s="21"/>
      <c r="TCS200" s="21"/>
      <c r="TCT200" s="21"/>
      <c r="TCU200" s="21"/>
      <c r="TCV200" s="21"/>
      <c r="TCW200" s="21"/>
      <c r="TCX200" s="21"/>
      <c r="TCY200" s="21"/>
      <c r="TCZ200" s="21"/>
      <c r="TDA200" s="21"/>
      <c r="TDB200" s="21"/>
      <c r="TDC200" s="21"/>
      <c r="TDD200" s="21"/>
      <c r="TDE200" s="21"/>
      <c r="TDF200" s="21"/>
      <c r="TDG200" s="21"/>
      <c r="TDH200" s="21"/>
      <c r="TDI200" s="21"/>
      <c r="TDJ200" s="21"/>
      <c r="TDK200" s="21"/>
      <c r="TDL200" s="21"/>
      <c r="TDM200" s="21"/>
      <c r="TDN200" s="21"/>
      <c r="TDO200" s="21"/>
      <c r="TDP200" s="21"/>
      <c r="TDQ200" s="21"/>
      <c r="TDR200" s="21"/>
      <c r="TDS200" s="21"/>
      <c r="TDT200" s="21"/>
      <c r="TDU200" s="21"/>
      <c r="TDV200" s="21"/>
      <c r="TDW200" s="21"/>
      <c r="TDX200" s="21"/>
      <c r="TDY200" s="21"/>
      <c r="TDZ200" s="21"/>
      <c r="TEA200" s="21"/>
      <c r="TEB200" s="21"/>
      <c r="TEC200" s="21"/>
      <c r="TED200" s="21"/>
      <c r="TEE200" s="21"/>
      <c r="TEF200" s="21"/>
      <c r="TEG200" s="21"/>
      <c r="TEH200" s="21"/>
      <c r="TEI200" s="21"/>
      <c r="TEJ200" s="21"/>
      <c r="TEK200" s="21"/>
      <c r="TEL200" s="21"/>
      <c r="TEM200" s="21"/>
      <c r="TEN200" s="21"/>
      <c r="TEO200" s="21"/>
      <c r="TEP200" s="21"/>
      <c r="TEQ200" s="21"/>
      <c r="TER200" s="21"/>
      <c r="TES200" s="21"/>
      <c r="TET200" s="21"/>
      <c r="TEU200" s="21"/>
      <c r="TEV200" s="21"/>
      <c r="TEW200" s="21"/>
      <c r="TEX200" s="21"/>
      <c r="TEY200" s="21"/>
      <c r="TEZ200" s="21"/>
      <c r="TFA200" s="21"/>
      <c r="TFB200" s="21"/>
      <c r="TFC200" s="21"/>
      <c r="TFD200" s="21"/>
      <c r="TFE200" s="21"/>
      <c r="TFF200" s="21"/>
      <c r="TFG200" s="21"/>
      <c r="TFH200" s="21"/>
      <c r="TFI200" s="21"/>
      <c r="TFJ200" s="21"/>
      <c r="TFK200" s="21"/>
      <c r="TFL200" s="21"/>
      <c r="TFM200" s="21"/>
      <c r="TFN200" s="21"/>
      <c r="TFO200" s="21"/>
      <c r="TFP200" s="21"/>
      <c r="TFQ200" s="21"/>
      <c r="TFR200" s="21"/>
      <c r="TFS200" s="21"/>
      <c r="TFT200" s="21"/>
      <c r="TFU200" s="21"/>
      <c r="TFV200" s="21"/>
      <c r="TFW200" s="21"/>
      <c r="TFX200" s="21"/>
      <c r="TFY200" s="21"/>
      <c r="TFZ200" s="21"/>
      <c r="TGA200" s="21"/>
      <c r="TGB200" s="21"/>
      <c r="TGC200" s="21"/>
      <c r="TGD200" s="21"/>
      <c r="TGE200" s="21"/>
      <c r="TGF200" s="21"/>
      <c r="TGG200" s="21"/>
      <c r="TGH200" s="21"/>
      <c r="TGI200" s="21"/>
      <c r="TGJ200" s="21"/>
      <c r="TGK200" s="21"/>
      <c r="TGL200" s="21"/>
      <c r="TGM200" s="21"/>
      <c r="TGN200" s="21"/>
      <c r="TGO200" s="21"/>
      <c r="TGP200" s="21"/>
      <c r="TGQ200" s="21"/>
      <c r="TGR200" s="21"/>
      <c r="TGS200" s="21"/>
      <c r="TGT200" s="21"/>
      <c r="TGU200" s="21"/>
      <c r="TGV200" s="21"/>
      <c r="TGW200" s="21"/>
      <c r="TGX200" s="21"/>
      <c r="TGY200" s="21"/>
      <c r="TGZ200" s="21"/>
      <c r="THA200" s="21"/>
      <c r="THB200" s="21"/>
      <c r="THC200" s="21"/>
      <c r="THD200" s="21"/>
      <c r="THE200" s="21"/>
      <c r="THF200" s="21"/>
      <c r="THG200" s="21"/>
      <c r="THH200" s="21"/>
      <c r="THI200" s="21"/>
      <c r="THJ200" s="21"/>
      <c r="THK200" s="21"/>
      <c r="THL200" s="21"/>
      <c r="THM200" s="21"/>
      <c r="THN200" s="21"/>
      <c r="THO200" s="21"/>
      <c r="THP200" s="21"/>
      <c r="THQ200" s="21"/>
      <c r="THR200" s="21"/>
      <c r="THS200" s="21"/>
      <c r="THT200" s="21"/>
      <c r="THU200" s="21"/>
      <c r="THV200" s="21"/>
      <c r="THW200" s="21"/>
      <c r="THX200" s="21"/>
      <c r="THY200" s="21"/>
      <c r="THZ200" s="21"/>
      <c r="TIA200" s="21"/>
      <c r="TIB200" s="21"/>
      <c r="TIC200" s="21"/>
      <c r="TID200" s="21"/>
      <c r="TIE200" s="21"/>
      <c r="TIF200" s="21"/>
      <c r="TIG200" s="21"/>
      <c r="TIH200" s="21"/>
      <c r="TII200" s="21"/>
      <c r="TIJ200" s="21"/>
      <c r="TIK200" s="21"/>
      <c r="TIL200" s="21"/>
      <c r="TIM200" s="21"/>
      <c r="TIN200" s="21"/>
      <c r="TIO200" s="21"/>
      <c r="TIP200" s="21"/>
      <c r="TIQ200" s="21"/>
      <c r="TIR200" s="21"/>
      <c r="TIS200" s="21"/>
      <c r="TIT200" s="21"/>
      <c r="TIU200" s="21"/>
      <c r="TIV200" s="21"/>
      <c r="TIW200" s="21"/>
      <c r="TIX200" s="21"/>
      <c r="TIY200" s="21"/>
      <c r="TIZ200" s="21"/>
      <c r="TJA200" s="21"/>
      <c r="TJB200" s="21"/>
      <c r="TJC200" s="21"/>
      <c r="TJD200" s="21"/>
      <c r="TJE200" s="21"/>
      <c r="TJF200" s="21"/>
      <c r="TJG200" s="21"/>
      <c r="TJH200" s="21"/>
      <c r="TJI200" s="21"/>
      <c r="TJJ200" s="21"/>
      <c r="TJK200" s="21"/>
      <c r="TJL200" s="21"/>
      <c r="TJM200" s="21"/>
      <c r="TJN200" s="21"/>
      <c r="TJO200" s="21"/>
      <c r="TJP200" s="21"/>
      <c r="TJQ200" s="21"/>
      <c r="TJR200" s="21"/>
      <c r="TJS200" s="21"/>
      <c r="TJT200" s="21"/>
      <c r="TJU200" s="21"/>
      <c r="TJV200" s="21"/>
      <c r="TJW200" s="21"/>
      <c r="TJX200" s="21"/>
      <c r="TJY200" s="21"/>
      <c r="TJZ200" s="21"/>
      <c r="TKA200" s="21"/>
      <c r="TKB200" s="21"/>
      <c r="TKC200" s="21"/>
      <c r="TKD200" s="21"/>
      <c r="TKE200" s="21"/>
      <c r="TKF200" s="21"/>
      <c r="TKG200" s="21"/>
      <c r="TKH200" s="21"/>
      <c r="TKI200" s="21"/>
      <c r="TKJ200" s="21"/>
      <c r="TKK200" s="21"/>
      <c r="TKL200" s="21"/>
      <c r="TKM200" s="21"/>
      <c r="TKN200" s="21"/>
      <c r="TKO200" s="21"/>
      <c r="TKP200" s="21"/>
      <c r="TKQ200" s="21"/>
      <c r="TKR200" s="21"/>
      <c r="TKS200" s="21"/>
      <c r="TKT200" s="21"/>
      <c r="TKU200" s="21"/>
      <c r="TKV200" s="21"/>
      <c r="TKW200" s="21"/>
      <c r="TKX200" s="21"/>
      <c r="TKY200" s="21"/>
      <c r="TKZ200" s="21"/>
      <c r="TLA200" s="21"/>
      <c r="TLB200" s="21"/>
      <c r="TLC200" s="21"/>
      <c r="TLD200" s="21"/>
      <c r="TLE200" s="21"/>
      <c r="TLF200" s="21"/>
      <c r="TLG200" s="21"/>
      <c r="TLH200" s="21"/>
      <c r="TLI200" s="21"/>
      <c r="TLJ200" s="21"/>
      <c r="TLK200" s="21"/>
      <c r="TLL200" s="21"/>
      <c r="TLM200" s="21"/>
      <c r="TLN200" s="21"/>
      <c r="TLO200" s="21"/>
      <c r="TLP200" s="21"/>
      <c r="TLQ200" s="21"/>
      <c r="TLR200" s="21"/>
      <c r="TLS200" s="21"/>
      <c r="TLT200" s="21"/>
      <c r="TLU200" s="21"/>
      <c r="TLV200" s="21"/>
      <c r="TLW200" s="21"/>
      <c r="TLX200" s="21"/>
      <c r="TLY200" s="21"/>
      <c r="TLZ200" s="21"/>
      <c r="TMA200" s="21"/>
      <c r="TMB200" s="21"/>
      <c r="TMC200" s="21"/>
      <c r="TMD200" s="21"/>
      <c r="TME200" s="21"/>
      <c r="TMF200" s="21"/>
      <c r="TMG200" s="21"/>
      <c r="TMH200" s="21"/>
      <c r="TMI200" s="21"/>
      <c r="TMJ200" s="21"/>
      <c r="TMK200" s="21"/>
      <c r="TML200" s="21"/>
      <c r="TMM200" s="21"/>
      <c r="TMN200" s="21"/>
      <c r="TMO200" s="21"/>
      <c r="TMP200" s="21"/>
      <c r="TMQ200" s="21"/>
      <c r="TMR200" s="21"/>
      <c r="TMS200" s="21"/>
      <c r="TMT200" s="21"/>
      <c r="TMU200" s="21"/>
      <c r="TMV200" s="21"/>
      <c r="TMW200" s="21"/>
      <c r="TMX200" s="21"/>
      <c r="TMY200" s="21"/>
      <c r="TMZ200" s="21"/>
      <c r="TNA200" s="21"/>
      <c r="TNB200" s="21"/>
      <c r="TNC200" s="21"/>
      <c r="TND200" s="21"/>
      <c r="TNE200" s="21"/>
      <c r="TNF200" s="21"/>
      <c r="TNG200" s="21"/>
      <c r="TNH200" s="21"/>
      <c r="TNI200" s="21"/>
      <c r="TNJ200" s="21"/>
      <c r="TNK200" s="21"/>
      <c r="TNL200" s="21"/>
      <c r="TNM200" s="21"/>
      <c r="TNN200" s="21"/>
      <c r="TNO200" s="21"/>
      <c r="TNP200" s="21"/>
      <c r="TNQ200" s="21"/>
      <c r="TNR200" s="21"/>
      <c r="TNS200" s="21"/>
      <c r="TNT200" s="21"/>
      <c r="TNU200" s="21"/>
      <c r="TNV200" s="21"/>
      <c r="TNW200" s="21"/>
      <c r="TNX200" s="21"/>
      <c r="TNY200" s="21"/>
      <c r="TNZ200" s="21"/>
      <c r="TOA200" s="21"/>
      <c r="TOB200" s="21"/>
      <c r="TOC200" s="21"/>
      <c r="TOD200" s="21"/>
      <c r="TOE200" s="21"/>
      <c r="TOF200" s="21"/>
      <c r="TOG200" s="21"/>
      <c r="TOH200" s="21"/>
      <c r="TOI200" s="21"/>
      <c r="TOJ200" s="21"/>
      <c r="TOK200" s="21"/>
      <c r="TOL200" s="21"/>
      <c r="TOM200" s="21"/>
      <c r="TON200" s="21"/>
      <c r="TOO200" s="21"/>
      <c r="TOP200" s="21"/>
      <c r="TOQ200" s="21"/>
      <c r="TOR200" s="21"/>
      <c r="TOS200" s="21"/>
      <c r="TOT200" s="21"/>
      <c r="TOU200" s="21"/>
      <c r="TOV200" s="21"/>
      <c r="TOW200" s="21"/>
      <c r="TOX200" s="21"/>
      <c r="TOY200" s="21"/>
      <c r="TOZ200" s="21"/>
      <c r="TPA200" s="21"/>
      <c r="TPB200" s="21"/>
      <c r="TPC200" s="21"/>
      <c r="TPD200" s="21"/>
      <c r="TPE200" s="21"/>
      <c r="TPF200" s="21"/>
      <c r="TPG200" s="21"/>
      <c r="TPH200" s="21"/>
      <c r="TPI200" s="21"/>
      <c r="TPJ200" s="21"/>
      <c r="TPK200" s="21"/>
      <c r="TPL200" s="21"/>
      <c r="TPM200" s="21"/>
      <c r="TPN200" s="21"/>
      <c r="TPO200" s="21"/>
      <c r="TPP200" s="21"/>
      <c r="TPQ200" s="21"/>
      <c r="TPR200" s="21"/>
      <c r="TPS200" s="21"/>
      <c r="TPT200" s="21"/>
      <c r="TPU200" s="21"/>
      <c r="TPV200" s="21"/>
      <c r="TPW200" s="21"/>
      <c r="TPX200" s="21"/>
      <c r="TPY200" s="21"/>
      <c r="TPZ200" s="21"/>
      <c r="TQA200" s="21"/>
      <c r="TQB200" s="21"/>
      <c r="TQC200" s="21"/>
      <c r="TQD200" s="21"/>
      <c r="TQE200" s="21"/>
      <c r="TQF200" s="21"/>
      <c r="TQG200" s="21"/>
      <c r="TQH200" s="21"/>
      <c r="TQI200" s="21"/>
      <c r="TQJ200" s="21"/>
      <c r="TQK200" s="21"/>
      <c r="TQL200" s="21"/>
      <c r="TQM200" s="21"/>
      <c r="TQN200" s="21"/>
      <c r="TQO200" s="21"/>
      <c r="TQP200" s="21"/>
      <c r="TQQ200" s="21"/>
      <c r="TQR200" s="21"/>
      <c r="TQS200" s="21"/>
      <c r="TQT200" s="21"/>
      <c r="TQU200" s="21"/>
      <c r="TQV200" s="21"/>
      <c r="TQW200" s="21"/>
      <c r="TQX200" s="21"/>
      <c r="TQY200" s="21"/>
      <c r="TQZ200" s="21"/>
      <c r="TRA200" s="21"/>
      <c r="TRB200" s="21"/>
      <c r="TRC200" s="21"/>
      <c r="TRD200" s="21"/>
      <c r="TRE200" s="21"/>
      <c r="TRF200" s="21"/>
      <c r="TRG200" s="21"/>
      <c r="TRH200" s="21"/>
      <c r="TRI200" s="21"/>
      <c r="TRJ200" s="21"/>
      <c r="TRK200" s="21"/>
      <c r="TRL200" s="21"/>
      <c r="TRM200" s="21"/>
      <c r="TRN200" s="21"/>
      <c r="TRO200" s="21"/>
      <c r="TRP200" s="21"/>
      <c r="TRQ200" s="21"/>
      <c r="TRR200" s="21"/>
      <c r="TRS200" s="21"/>
      <c r="TRT200" s="21"/>
      <c r="TRU200" s="21"/>
      <c r="TRV200" s="21"/>
      <c r="TRW200" s="21"/>
      <c r="TRX200" s="21"/>
      <c r="TRY200" s="21"/>
      <c r="TRZ200" s="21"/>
      <c r="TSA200" s="21"/>
      <c r="TSB200" s="21"/>
      <c r="TSC200" s="21"/>
      <c r="TSD200" s="21"/>
      <c r="TSE200" s="21"/>
      <c r="TSF200" s="21"/>
      <c r="TSG200" s="21"/>
      <c r="TSH200" s="21"/>
      <c r="TSI200" s="21"/>
      <c r="TSJ200" s="21"/>
      <c r="TSK200" s="21"/>
      <c r="TSL200" s="21"/>
      <c r="TSM200" s="21"/>
      <c r="TSN200" s="21"/>
      <c r="TSO200" s="21"/>
      <c r="TSP200" s="21"/>
      <c r="TSQ200" s="21"/>
      <c r="TSR200" s="21"/>
      <c r="TSS200" s="21"/>
      <c r="TST200" s="21"/>
      <c r="TSU200" s="21"/>
      <c r="TSV200" s="21"/>
      <c r="TSW200" s="21"/>
      <c r="TSX200" s="21"/>
      <c r="TSY200" s="21"/>
      <c r="TSZ200" s="21"/>
      <c r="TTA200" s="21"/>
      <c r="TTB200" s="21"/>
      <c r="TTC200" s="21"/>
      <c r="TTD200" s="21"/>
      <c r="TTE200" s="21"/>
      <c r="TTF200" s="21"/>
      <c r="TTG200" s="21"/>
      <c r="TTH200" s="21"/>
      <c r="TTI200" s="21"/>
      <c r="TTJ200" s="21"/>
      <c r="TTK200" s="21"/>
      <c r="TTL200" s="21"/>
      <c r="TTM200" s="21"/>
      <c r="TTN200" s="21"/>
      <c r="TTO200" s="21"/>
      <c r="TTP200" s="21"/>
      <c r="TTQ200" s="21"/>
      <c r="TTR200" s="21"/>
      <c r="TTS200" s="21"/>
      <c r="TTT200" s="21"/>
      <c r="TTU200" s="21"/>
      <c r="TTV200" s="21"/>
      <c r="TTW200" s="21"/>
      <c r="TTX200" s="21"/>
      <c r="TTY200" s="21"/>
      <c r="TTZ200" s="21"/>
      <c r="TUA200" s="21"/>
      <c r="TUB200" s="21"/>
      <c r="TUC200" s="21"/>
      <c r="TUD200" s="21"/>
      <c r="TUE200" s="21"/>
      <c r="TUF200" s="21"/>
      <c r="TUG200" s="21"/>
      <c r="TUH200" s="21"/>
      <c r="TUI200" s="21"/>
      <c r="TUJ200" s="21"/>
      <c r="TUK200" s="21"/>
      <c r="TUL200" s="21"/>
      <c r="TUM200" s="21"/>
      <c r="TUN200" s="21"/>
      <c r="TUO200" s="21"/>
      <c r="TUP200" s="21"/>
      <c r="TUQ200" s="21"/>
      <c r="TUR200" s="21"/>
      <c r="TUS200" s="21"/>
      <c r="TUT200" s="21"/>
      <c r="TUU200" s="21"/>
      <c r="TUV200" s="21"/>
      <c r="TUW200" s="21"/>
      <c r="TUX200" s="21"/>
      <c r="TUY200" s="21"/>
      <c r="TUZ200" s="21"/>
      <c r="TVA200" s="21"/>
      <c r="TVB200" s="21"/>
      <c r="TVC200" s="21"/>
      <c r="TVD200" s="21"/>
      <c r="TVE200" s="21"/>
      <c r="TVF200" s="21"/>
      <c r="TVG200" s="21"/>
      <c r="TVH200" s="21"/>
      <c r="TVI200" s="21"/>
      <c r="TVJ200" s="21"/>
      <c r="TVK200" s="21"/>
      <c r="TVL200" s="21"/>
      <c r="TVM200" s="21"/>
      <c r="TVN200" s="21"/>
      <c r="TVO200" s="21"/>
      <c r="TVP200" s="21"/>
      <c r="TVQ200" s="21"/>
      <c r="TVR200" s="21"/>
      <c r="TVS200" s="21"/>
      <c r="TVT200" s="21"/>
      <c r="TVU200" s="21"/>
      <c r="TVV200" s="21"/>
      <c r="TVW200" s="21"/>
      <c r="TVX200" s="21"/>
      <c r="TVY200" s="21"/>
      <c r="TVZ200" s="21"/>
      <c r="TWA200" s="21"/>
      <c r="TWB200" s="21"/>
      <c r="TWC200" s="21"/>
      <c r="TWD200" s="21"/>
      <c r="TWE200" s="21"/>
      <c r="TWF200" s="21"/>
      <c r="TWG200" s="21"/>
      <c r="TWH200" s="21"/>
      <c r="TWI200" s="21"/>
      <c r="TWJ200" s="21"/>
      <c r="TWK200" s="21"/>
      <c r="TWL200" s="21"/>
      <c r="TWM200" s="21"/>
      <c r="TWN200" s="21"/>
      <c r="TWO200" s="21"/>
      <c r="TWP200" s="21"/>
      <c r="TWQ200" s="21"/>
      <c r="TWR200" s="21"/>
      <c r="TWS200" s="21"/>
      <c r="TWT200" s="21"/>
      <c r="TWU200" s="21"/>
      <c r="TWV200" s="21"/>
      <c r="TWW200" s="21"/>
      <c r="TWX200" s="21"/>
      <c r="TWY200" s="21"/>
      <c r="TWZ200" s="21"/>
      <c r="TXA200" s="21"/>
      <c r="TXB200" s="21"/>
      <c r="TXC200" s="21"/>
      <c r="TXD200" s="21"/>
      <c r="TXE200" s="21"/>
      <c r="TXF200" s="21"/>
      <c r="TXG200" s="21"/>
      <c r="TXH200" s="21"/>
      <c r="TXI200" s="21"/>
      <c r="TXJ200" s="21"/>
      <c r="TXK200" s="21"/>
      <c r="TXL200" s="21"/>
      <c r="TXM200" s="21"/>
      <c r="TXN200" s="21"/>
      <c r="TXO200" s="21"/>
      <c r="TXP200" s="21"/>
      <c r="TXQ200" s="21"/>
      <c r="TXR200" s="21"/>
      <c r="TXS200" s="21"/>
      <c r="TXT200" s="21"/>
      <c r="TXU200" s="21"/>
      <c r="TXV200" s="21"/>
      <c r="TXW200" s="21"/>
      <c r="TXX200" s="21"/>
      <c r="TXY200" s="21"/>
      <c r="TXZ200" s="21"/>
      <c r="TYA200" s="21"/>
      <c r="TYB200" s="21"/>
      <c r="TYC200" s="21"/>
      <c r="TYD200" s="21"/>
      <c r="TYE200" s="21"/>
      <c r="TYF200" s="21"/>
      <c r="TYG200" s="21"/>
      <c r="TYH200" s="21"/>
      <c r="TYI200" s="21"/>
      <c r="TYJ200" s="21"/>
      <c r="TYK200" s="21"/>
      <c r="TYL200" s="21"/>
      <c r="TYM200" s="21"/>
      <c r="TYN200" s="21"/>
      <c r="TYO200" s="21"/>
      <c r="TYP200" s="21"/>
      <c r="TYQ200" s="21"/>
      <c r="TYR200" s="21"/>
      <c r="TYS200" s="21"/>
      <c r="TYT200" s="21"/>
      <c r="TYU200" s="21"/>
      <c r="TYV200" s="21"/>
      <c r="TYW200" s="21"/>
      <c r="TYX200" s="21"/>
      <c r="TYY200" s="21"/>
      <c r="TYZ200" s="21"/>
      <c r="TZA200" s="21"/>
      <c r="TZB200" s="21"/>
      <c r="TZC200" s="21"/>
      <c r="TZD200" s="21"/>
      <c r="TZE200" s="21"/>
      <c r="TZF200" s="21"/>
      <c r="TZG200" s="21"/>
      <c r="TZH200" s="21"/>
      <c r="TZI200" s="21"/>
      <c r="TZJ200" s="21"/>
      <c r="TZK200" s="21"/>
      <c r="TZL200" s="21"/>
      <c r="TZM200" s="21"/>
      <c r="TZN200" s="21"/>
      <c r="TZO200" s="21"/>
      <c r="TZP200" s="21"/>
      <c r="TZQ200" s="21"/>
      <c r="TZR200" s="21"/>
      <c r="TZS200" s="21"/>
      <c r="TZT200" s="21"/>
      <c r="TZU200" s="21"/>
      <c r="TZV200" s="21"/>
      <c r="TZW200" s="21"/>
      <c r="TZX200" s="21"/>
      <c r="TZY200" s="21"/>
      <c r="TZZ200" s="21"/>
      <c r="UAA200" s="21"/>
      <c r="UAB200" s="21"/>
      <c r="UAC200" s="21"/>
      <c r="UAD200" s="21"/>
      <c r="UAE200" s="21"/>
      <c r="UAF200" s="21"/>
      <c r="UAG200" s="21"/>
      <c r="UAH200" s="21"/>
      <c r="UAI200" s="21"/>
      <c r="UAJ200" s="21"/>
      <c r="UAK200" s="21"/>
      <c r="UAL200" s="21"/>
      <c r="UAM200" s="21"/>
      <c r="UAN200" s="21"/>
      <c r="UAO200" s="21"/>
      <c r="UAP200" s="21"/>
      <c r="UAQ200" s="21"/>
      <c r="UAR200" s="21"/>
      <c r="UAS200" s="21"/>
      <c r="UAT200" s="21"/>
      <c r="UAU200" s="21"/>
      <c r="UAV200" s="21"/>
      <c r="UAW200" s="21"/>
      <c r="UAX200" s="21"/>
      <c r="UAY200" s="21"/>
      <c r="UAZ200" s="21"/>
      <c r="UBA200" s="21"/>
      <c r="UBB200" s="21"/>
      <c r="UBC200" s="21"/>
      <c r="UBD200" s="21"/>
      <c r="UBE200" s="21"/>
      <c r="UBF200" s="21"/>
      <c r="UBG200" s="21"/>
      <c r="UBH200" s="21"/>
      <c r="UBI200" s="21"/>
      <c r="UBJ200" s="21"/>
      <c r="UBK200" s="21"/>
      <c r="UBL200" s="21"/>
      <c r="UBM200" s="21"/>
      <c r="UBN200" s="21"/>
      <c r="UBO200" s="21"/>
      <c r="UBP200" s="21"/>
      <c r="UBQ200" s="21"/>
      <c r="UBR200" s="21"/>
      <c r="UBS200" s="21"/>
      <c r="UBT200" s="21"/>
      <c r="UBU200" s="21"/>
      <c r="UBV200" s="21"/>
      <c r="UBW200" s="21"/>
      <c r="UBX200" s="21"/>
      <c r="UBY200" s="21"/>
      <c r="UBZ200" s="21"/>
      <c r="UCA200" s="21"/>
      <c r="UCB200" s="21"/>
      <c r="UCC200" s="21"/>
      <c r="UCD200" s="21"/>
      <c r="UCE200" s="21"/>
      <c r="UCF200" s="21"/>
      <c r="UCG200" s="21"/>
      <c r="UCH200" s="21"/>
      <c r="UCI200" s="21"/>
      <c r="UCJ200" s="21"/>
      <c r="UCK200" s="21"/>
      <c r="UCL200" s="21"/>
      <c r="UCM200" s="21"/>
      <c r="UCN200" s="21"/>
      <c r="UCO200" s="21"/>
      <c r="UCP200" s="21"/>
      <c r="UCQ200" s="21"/>
      <c r="UCR200" s="21"/>
      <c r="UCS200" s="21"/>
      <c r="UCT200" s="21"/>
      <c r="UCU200" s="21"/>
      <c r="UCV200" s="21"/>
      <c r="UCW200" s="21"/>
      <c r="UCX200" s="21"/>
      <c r="UCY200" s="21"/>
      <c r="UCZ200" s="21"/>
      <c r="UDA200" s="21"/>
      <c r="UDB200" s="21"/>
      <c r="UDC200" s="21"/>
      <c r="UDD200" s="21"/>
      <c r="UDE200" s="21"/>
      <c r="UDF200" s="21"/>
      <c r="UDG200" s="21"/>
      <c r="UDH200" s="21"/>
      <c r="UDI200" s="21"/>
      <c r="UDJ200" s="21"/>
      <c r="UDK200" s="21"/>
      <c r="UDL200" s="21"/>
      <c r="UDM200" s="21"/>
      <c r="UDN200" s="21"/>
      <c r="UDO200" s="21"/>
      <c r="UDP200" s="21"/>
      <c r="UDQ200" s="21"/>
      <c r="UDR200" s="21"/>
      <c r="UDS200" s="21"/>
      <c r="UDT200" s="21"/>
      <c r="UDU200" s="21"/>
      <c r="UDV200" s="21"/>
      <c r="UDW200" s="21"/>
      <c r="UDX200" s="21"/>
      <c r="UDY200" s="21"/>
      <c r="UDZ200" s="21"/>
      <c r="UEA200" s="21"/>
      <c r="UEB200" s="21"/>
      <c r="UEC200" s="21"/>
      <c r="UED200" s="21"/>
      <c r="UEE200" s="21"/>
      <c r="UEF200" s="21"/>
      <c r="UEG200" s="21"/>
      <c r="UEH200" s="21"/>
      <c r="UEI200" s="21"/>
      <c r="UEJ200" s="21"/>
      <c r="UEK200" s="21"/>
      <c r="UEL200" s="21"/>
      <c r="UEM200" s="21"/>
      <c r="UEN200" s="21"/>
      <c r="UEO200" s="21"/>
      <c r="UEP200" s="21"/>
      <c r="UEQ200" s="21"/>
      <c r="UER200" s="21"/>
      <c r="UES200" s="21"/>
      <c r="UET200" s="21"/>
      <c r="UEU200" s="21"/>
      <c r="UEV200" s="21"/>
      <c r="UEW200" s="21"/>
      <c r="UEX200" s="21"/>
      <c r="UEY200" s="21"/>
      <c r="UEZ200" s="21"/>
      <c r="UFA200" s="21"/>
      <c r="UFB200" s="21"/>
      <c r="UFC200" s="21"/>
      <c r="UFD200" s="21"/>
      <c r="UFE200" s="21"/>
      <c r="UFF200" s="21"/>
      <c r="UFG200" s="21"/>
      <c r="UFH200" s="21"/>
      <c r="UFI200" s="21"/>
      <c r="UFJ200" s="21"/>
      <c r="UFK200" s="21"/>
      <c r="UFL200" s="21"/>
      <c r="UFM200" s="21"/>
      <c r="UFN200" s="21"/>
      <c r="UFO200" s="21"/>
      <c r="UFP200" s="21"/>
      <c r="UFQ200" s="21"/>
      <c r="UFR200" s="21"/>
      <c r="UFS200" s="21"/>
      <c r="UFT200" s="21"/>
      <c r="UFU200" s="21"/>
      <c r="UFV200" s="21"/>
      <c r="UFW200" s="21"/>
      <c r="UFX200" s="21"/>
      <c r="UFY200" s="21"/>
      <c r="UFZ200" s="21"/>
      <c r="UGA200" s="21"/>
      <c r="UGB200" s="21"/>
      <c r="UGC200" s="21"/>
      <c r="UGD200" s="21"/>
      <c r="UGE200" s="21"/>
      <c r="UGF200" s="21"/>
      <c r="UGG200" s="21"/>
      <c r="UGH200" s="21"/>
      <c r="UGI200" s="21"/>
      <c r="UGJ200" s="21"/>
      <c r="UGK200" s="21"/>
      <c r="UGL200" s="21"/>
      <c r="UGM200" s="21"/>
      <c r="UGN200" s="21"/>
      <c r="UGO200" s="21"/>
      <c r="UGP200" s="21"/>
      <c r="UGQ200" s="21"/>
      <c r="UGR200" s="21"/>
      <c r="UGS200" s="21"/>
      <c r="UGT200" s="21"/>
      <c r="UGU200" s="21"/>
      <c r="UGV200" s="21"/>
      <c r="UGW200" s="21"/>
      <c r="UGX200" s="21"/>
      <c r="UGY200" s="21"/>
      <c r="UGZ200" s="21"/>
      <c r="UHA200" s="21"/>
      <c r="UHB200" s="21"/>
      <c r="UHC200" s="21"/>
      <c r="UHD200" s="21"/>
      <c r="UHE200" s="21"/>
      <c r="UHF200" s="21"/>
      <c r="UHG200" s="21"/>
      <c r="UHH200" s="21"/>
      <c r="UHI200" s="21"/>
      <c r="UHJ200" s="21"/>
      <c r="UHK200" s="21"/>
      <c r="UHL200" s="21"/>
      <c r="UHM200" s="21"/>
      <c r="UHN200" s="21"/>
      <c r="UHO200" s="21"/>
      <c r="UHP200" s="21"/>
      <c r="UHQ200" s="21"/>
      <c r="UHR200" s="21"/>
      <c r="UHS200" s="21"/>
      <c r="UHT200" s="21"/>
      <c r="UHU200" s="21"/>
      <c r="UHV200" s="21"/>
      <c r="UHW200" s="21"/>
      <c r="UHX200" s="21"/>
      <c r="UHY200" s="21"/>
      <c r="UHZ200" s="21"/>
      <c r="UIA200" s="21"/>
      <c r="UIB200" s="21"/>
      <c r="UIC200" s="21"/>
      <c r="UID200" s="21"/>
      <c r="UIE200" s="21"/>
      <c r="UIF200" s="21"/>
      <c r="UIG200" s="21"/>
      <c r="UIH200" s="21"/>
      <c r="UII200" s="21"/>
      <c r="UIJ200" s="21"/>
      <c r="UIK200" s="21"/>
      <c r="UIL200" s="21"/>
      <c r="UIM200" s="21"/>
      <c r="UIN200" s="21"/>
      <c r="UIO200" s="21"/>
      <c r="UIP200" s="21"/>
      <c r="UIQ200" s="21"/>
      <c r="UIR200" s="21"/>
      <c r="UIS200" s="21"/>
      <c r="UIT200" s="21"/>
      <c r="UIU200" s="21"/>
      <c r="UIV200" s="21"/>
      <c r="UIW200" s="21"/>
      <c r="UIX200" s="21"/>
      <c r="UIY200" s="21"/>
      <c r="UIZ200" s="21"/>
      <c r="UJA200" s="21"/>
      <c r="UJB200" s="21"/>
      <c r="UJC200" s="21"/>
      <c r="UJD200" s="21"/>
      <c r="UJE200" s="21"/>
      <c r="UJF200" s="21"/>
      <c r="UJG200" s="21"/>
      <c r="UJH200" s="21"/>
      <c r="UJI200" s="21"/>
      <c r="UJJ200" s="21"/>
      <c r="UJK200" s="21"/>
      <c r="UJL200" s="21"/>
      <c r="UJM200" s="21"/>
      <c r="UJN200" s="21"/>
      <c r="UJO200" s="21"/>
      <c r="UJP200" s="21"/>
      <c r="UJQ200" s="21"/>
      <c r="UJR200" s="21"/>
      <c r="UJS200" s="21"/>
      <c r="UJT200" s="21"/>
      <c r="UJU200" s="21"/>
      <c r="UJV200" s="21"/>
      <c r="UJW200" s="21"/>
      <c r="UJX200" s="21"/>
      <c r="UJY200" s="21"/>
      <c r="UJZ200" s="21"/>
      <c r="UKA200" s="21"/>
      <c r="UKB200" s="21"/>
      <c r="UKC200" s="21"/>
      <c r="UKD200" s="21"/>
      <c r="UKE200" s="21"/>
      <c r="UKF200" s="21"/>
      <c r="UKG200" s="21"/>
      <c r="UKH200" s="21"/>
      <c r="UKI200" s="21"/>
      <c r="UKJ200" s="21"/>
      <c r="UKK200" s="21"/>
      <c r="UKL200" s="21"/>
      <c r="UKM200" s="21"/>
      <c r="UKN200" s="21"/>
      <c r="UKO200" s="21"/>
      <c r="UKP200" s="21"/>
      <c r="UKQ200" s="21"/>
      <c r="UKR200" s="21"/>
      <c r="UKS200" s="21"/>
      <c r="UKT200" s="21"/>
      <c r="UKU200" s="21"/>
      <c r="UKV200" s="21"/>
      <c r="UKW200" s="21"/>
      <c r="UKX200" s="21"/>
      <c r="UKY200" s="21"/>
      <c r="UKZ200" s="21"/>
      <c r="ULA200" s="21"/>
      <c r="ULB200" s="21"/>
      <c r="ULC200" s="21"/>
      <c r="ULD200" s="21"/>
      <c r="ULE200" s="21"/>
      <c r="ULF200" s="21"/>
      <c r="ULG200" s="21"/>
      <c r="ULH200" s="21"/>
      <c r="ULI200" s="21"/>
      <c r="ULJ200" s="21"/>
      <c r="ULK200" s="21"/>
      <c r="ULL200" s="21"/>
      <c r="ULM200" s="21"/>
      <c r="ULN200" s="21"/>
      <c r="ULO200" s="21"/>
      <c r="ULP200" s="21"/>
      <c r="ULQ200" s="21"/>
      <c r="ULR200" s="21"/>
      <c r="ULS200" s="21"/>
      <c r="ULT200" s="21"/>
      <c r="ULU200" s="21"/>
      <c r="ULV200" s="21"/>
      <c r="ULW200" s="21"/>
      <c r="ULX200" s="21"/>
      <c r="ULY200" s="21"/>
      <c r="ULZ200" s="21"/>
      <c r="UMA200" s="21"/>
      <c r="UMB200" s="21"/>
      <c r="UMC200" s="21"/>
      <c r="UMD200" s="21"/>
      <c r="UME200" s="21"/>
      <c r="UMF200" s="21"/>
      <c r="UMG200" s="21"/>
      <c r="UMH200" s="21"/>
      <c r="UMI200" s="21"/>
      <c r="UMJ200" s="21"/>
      <c r="UMK200" s="21"/>
      <c r="UML200" s="21"/>
      <c r="UMM200" s="21"/>
      <c r="UMN200" s="21"/>
      <c r="UMO200" s="21"/>
      <c r="UMP200" s="21"/>
      <c r="UMQ200" s="21"/>
      <c r="UMR200" s="21"/>
      <c r="UMS200" s="21"/>
      <c r="UMT200" s="21"/>
      <c r="UMU200" s="21"/>
      <c r="UMV200" s="21"/>
      <c r="UMW200" s="21"/>
      <c r="UMX200" s="21"/>
      <c r="UMY200" s="21"/>
      <c r="UMZ200" s="21"/>
      <c r="UNA200" s="21"/>
      <c r="UNB200" s="21"/>
      <c r="UNC200" s="21"/>
      <c r="UND200" s="21"/>
      <c r="UNE200" s="21"/>
      <c r="UNF200" s="21"/>
      <c r="UNG200" s="21"/>
      <c r="UNH200" s="21"/>
      <c r="UNI200" s="21"/>
      <c r="UNJ200" s="21"/>
      <c r="UNK200" s="21"/>
      <c r="UNL200" s="21"/>
      <c r="UNM200" s="21"/>
      <c r="UNN200" s="21"/>
      <c r="UNO200" s="21"/>
      <c r="UNP200" s="21"/>
      <c r="UNQ200" s="21"/>
      <c r="UNR200" s="21"/>
      <c r="UNS200" s="21"/>
      <c r="UNT200" s="21"/>
      <c r="UNU200" s="21"/>
      <c r="UNV200" s="21"/>
      <c r="UNW200" s="21"/>
      <c r="UNX200" s="21"/>
      <c r="UNY200" s="21"/>
      <c r="UNZ200" s="21"/>
      <c r="UOA200" s="21"/>
      <c r="UOB200" s="21"/>
      <c r="UOC200" s="21"/>
      <c r="UOD200" s="21"/>
      <c r="UOE200" s="21"/>
      <c r="UOF200" s="21"/>
      <c r="UOG200" s="21"/>
      <c r="UOH200" s="21"/>
      <c r="UOI200" s="21"/>
      <c r="UOJ200" s="21"/>
      <c r="UOK200" s="21"/>
      <c r="UOL200" s="21"/>
      <c r="UOM200" s="21"/>
      <c r="UON200" s="21"/>
      <c r="UOO200" s="21"/>
      <c r="UOP200" s="21"/>
      <c r="UOQ200" s="21"/>
      <c r="UOR200" s="21"/>
      <c r="UOS200" s="21"/>
      <c r="UOT200" s="21"/>
      <c r="UOU200" s="21"/>
      <c r="UOV200" s="21"/>
      <c r="UOW200" s="21"/>
      <c r="UOX200" s="21"/>
      <c r="UOY200" s="21"/>
      <c r="UOZ200" s="21"/>
      <c r="UPA200" s="21"/>
      <c r="UPB200" s="21"/>
      <c r="UPC200" s="21"/>
      <c r="UPD200" s="21"/>
      <c r="UPE200" s="21"/>
      <c r="UPF200" s="21"/>
      <c r="UPG200" s="21"/>
      <c r="UPH200" s="21"/>
      <c r="UPI200" s="21"/>
      <c r="UPJ200" s="21"/>
      <c r="UPK200" s="21"/>
      <c r="UPL200" s="21"/>
      <c r="UPM200" s="21"/>
      <c r="UPN200" s="21"/>
      <c r="UPO200" s="21"/>
      <c r="UPP200" s="21"/>
      <c r="UPQ200" s="21"/>
      <c r="UPR200" s="21"/>
      <c r="UPS200" s="21"/>
      <c r="UPT200" s="21"/>
      <c r="UPU200" s="21"/>
      <c r="UPV200" s="21"/>
      <c r="UPW200" s="21"/>
      <c r="UPX200" s="21"/>
      <c r="UPY200" s="21"/>
      <c r="UPZ200" s="21"/>
      <c r="UQA200" s="21"/>
      <c r="UQB200" s="21"/>
      <c r="UQC200" s="21"/>
      <c r="UQD200" s="21"/>
      <c r="UQE200" s="21"/>
      <c r="UQF200" s="21"/>
      <c r="UQG200" s="21"/>
      <c r="UQH200" s="21"/>
      <c r="UQI200" s="21"/>
      <c r="UQJ200" s="21"/>
      <c r="UQK200" s="21"/>
      <c r="UQL200" s="21"/>
      <c r="UQM200" s="21"/>
      <c r="UQN200" s="21"/>
      <c r="UQO200" s="21"/>
      <c r="UQP200" s="21"/>
      <c r="UQQ200" s="21"/>
      <c r="UQR200" s="21"/>
      <c r="UQS200" s="21"/>
      <c r="UQT200" s="21"/>
      <c r="UQU200" s="21"/>
      <c r="UQV200" s="21"/>
      <c r="UQW200" s="21"/>
      <c r="UQX200" s="21"/>
      <c r="UQY200" s="21"/>
      <c r="UQZ200" s="21"/>
      <c r="URA200" s="21"/>
      <c r="URB200" s="21"/>
      <c r="URC200" s="21"/>
      <c r="URD200" s="21"/>
      <c r="URE200" s="21"/>
      <c r="URF200" s="21"/>
      <c r="URG200" s="21"/>
      <c r="URH200" s="21"/>
      <c r="URI200" s="21"/>
      <c r="URJ200" s="21"/>
      <c r="URK200" s="21"/>
      <c r="URL200" s="21"/>
      <c r="URM200" s="21"/>
      <c r="URN200" s="21"/>
      <c r="URO200" s="21"/>
      <c r="URP200" s="21"/>
      <c r="URQ200" s="21"/>
      <c r="URR200" s="21"/>
      <c r="URS200" s="21"/>
      <c r="URT200" s="21"/>
      <c r="URU200" s="21"/>
      <c r="URV200" s="21"/>
      <c r="URW200" s="21"/>
      <c r="URX200" s="21"/>
      <c r="URY200" s="21"/>
      <c r="URZ200" s="21"/>
      <c r="USA200" s="21"/>
      <c r="USB200" s="21"/>
      <c r="USC200" s="21"/>
      <c r="USD200" s="21"/>
      <c r="USE200" s="21"/>
      <c r="USF200" s="21"/>
      <c r="USG200" s="21"/>
      <c r="USH200" s="21"/>
      <c r="USI200" s="21"/>
      <c r="USJ200" s="21"/>
      <c r="USK200" s="21"/>
      <c r="USL200" s="21"/>
      <c r="USM200" s="21"/>
      <c r="USN200" s="21"/>
      <c r="USO200" s="21"/>
      <c r="USP200" s="21"/>
      <c r="USQ200" s="21"/>
      <c r="USR200" s="21"/>
      <c r="USS200" s="21"/>
      <c r="UST200" s="21"/>
      <c r="USU200" s="21"/>
      <c r="USV200" s="21"/>
      <c r="USW200" s="21"/>
      <c r="USX200" s="21"/>
      <c r="USY200" s="21"/>
      <c r="USZ200" s="21"/>
      <c r="UTA200" s="21"/>
      <c r="UTB200" s="21"/>
      <c r="UTC200" s="21"/>
      <c r="UTD200" s="21"/>
      <c r="UTE200" s="21"/>
      <c r="UTF200" s="21"/>
      <c r="UTG200" s="21"/>
      <c r="UTH200" s="21"/>
      <c r="UTI200" s="21"/>
      <c r="UTJ200" s="21"/>
      <c r="UTK200" s="21"/>
      <c r="UTL200" s="21"/>
      <c r="UTM200" s="21"/>
      <c r="UTN200" s="21"/>
      <c r="UTO200" s="21"/>
      <c r="UTP200" s="21"/>
      <c r="UTQ200" s="21"/>
      <c r="UTR200" s="21"/>
      <c r="UTS200" s="21"/>
      <c r="UTT200" s="21"/>
      <c r="UTU200" s="21"/>
      <c r="UTV200" s="21"/>
      <c r="UTW200" s="21"/>
      <c r="UTX200" s="21"/>
      <c r="UTY200" s="21"/>
      <c r="UTZ200" s="21"/>
      <c r="UUA200" s="21"/>
      <c r="UUB200" s="21"/>
      <c r="UUC200" s="21"/>
      <c r="UUD200" s="21"/>
      <c r="UUE200" s="21"/>
      <c r="UUF200" s="21"/>
      <c r="UUG200" s="21"/>
      <c r="UUH200" s="21"/>
      <c r="UUI200" s="21"/>
      <c r="UUJ200" s="21"/>
      <c r="UUK200" s="21"/>
      <c r="UUL200" s="21"/>
      <c r="UUM200" s="21"/>
      <c r="UUN200" s="21"/>
      <c r="UUO200" s="21"/>
      <c r="UUP200" s="21"/>
      <c r="UUQ200" s="21"/>
      <c r="UUR200" s="21"/>
      <c r="UUS200" s="21"/>
      <c r="UUT200" s="21"/>
      <c r="UUU200" s="21"/>
      <c r="UUV200" s="21"/>
      <c r="UUW200" s="21"/>
      <c r="UUX200" s="21"/>
      <c r="UUY200" s="21"/>
      <c r="UUZ200" s="21"/>
      <c r="UVA200" s="21"/>
      <c r="UVB200" s="21"/>
      <c r="UVC200" s="21"/>
      <c r="UVD200" s="21"/>
      <c r="UVE200" s="21"/>
      <c r="UVF200" s="21"/>
      <c r="UVG200" s="21"/>
      <c r="UVH200" s="21"/>
      <c r="UVI200" s="21"/>
      <c r="UVJ200" s="21"/>
      <c r="UVK200" s="21"/>
      <c r="UVL200" s="21"/>
      <c r="UVM200" s="21"/>
      <c r="UVN200" s="21"/>
      <c r="UVO200" s="21"/>
      <c r="UVP200" s="21"/>
      <c r="UVQ200" s="21"/>
      <c r="UVR200" s="21"/>
      <c r="UVS200" s="21"/>
      <c r="UVT200" s="21"/>
      <c r="UVU200" s="21"/>
      <c r="UVV200" s="21"/>
      <c r="UVW200" s="21"/>
      <c r="UVX200" s="21"/>
      <c r="UVY200" s="21"/>
      <c r="UVZ200" s="21"/>
      <c r="UWA200" s="21"/>
      <c r="UWB200" s="21"/>
      <c r="UWC200" s="21"/>
      <c r="UWD200" s="21"/>
      <c r="UWE200" s="21"/>
      <c r="UWF200" s="21"/>
      <c r="UWG200" s="21"/>
      <c r="UWH200" s="21"/>
      <c r="UWI200" s="21"/>
      <c r="UWJ200" s="21"/>
      <c r="UWK200" s="21"/>
      <c r="UWL200" s="21"/>
      <c r="UWM200" s="21"/>
      <c r="UWN200" s="21"/>
      <c r="UWO200" s="21"/>
      <c r="UWP200" s="21"/>
      <c r="UWQ200" s="21"/>
      <c r="UWR200" s="21"/>
      <c r="UWS200" s="21"/>
      <c r="UWT200" s="21"/>
      <c r="UWU200" s="21"/>
      <c r="UWV200" s="21"/>
      <c r="UWW200" s="21"/>
      <c r="UWX200" s="21"/>
      <c r="UWY200" s="21"/>
      <c r="UWZ200" s="21"/>
      <c r="UXA200" s="21"/>
      <c r="UXB200" s="21"/>
      <c r="UXC200" s="21"/>
      <c r="UXD200" s="21"/>
      <c r="UXE200" s="21"/>
      <c r="UXF200" s="21"/>
      <c r="UXG200" s="21"/>
      <c r="UXH200" s="21"/>
      <c r="UXI200" s="21"/>
      <c r="UXJ200" s="21"/>
      <c r="UXK200" s="21"/>
      <c r="UXL200" s="21"/>
      <c r="UXM200" s="21"/>
      <c r="UXN200" s="21"/>
      <c r="UXO200" s="21"/>
      <c r="UXP200" s="21"/>
      <c r="UXQ200" s="21"/>
      <c r="UXR200" s="21"/>
      <c r="UXS200" s="21"/>
      <c r="UXT200" s="21"/>
      <c r="UXU200" s="21"/>
      <c r="UXV200" s="21"/>
      <c r="UXW200" s="21"/>
      <c r="UXX200" s="21"/>
      <c r="UXY200" s="21"/>
      <c r="UXZ200" s="21"/>
      <c r="UYA200" s="21"/>
      <c r="UYB200" s="21"/>
      <c r="UYC200" s="21"/>
      <c r="UYD200" s="21"/>
      <c r="UYE200" s="21"/>
      <c r="UYF200" s="21"/>
      <c r="UYG200" s="21"/>
      <c r="UYH200" s="21"/>
      <c r="UYI200" s="21"/>
      <c r="UYJ200" s="21"/>
      <c r="UYK200" s="21"/>
      <c r="UYL200" s="21"/>
      <c r="UYM200" s="21"/>
      <c r="UYN200" s="21"/>
      <c r="UYO200" s="21"/>
      <c r="UYP200" s="21"/>
      <c r="UYQ200" s="21"/>
      <c r="UYR200" s="21"/>
      <c r="UYS200" s="21"/>
      <c r="UYT200" s="21"/>
      <c r="UYU200" s="21"/>
      <c r="UYV200" s="21"/>
      <c r="UYW200" s="21"/>
      <c r="UYX200" s="21"/>
      <c r="UYY200" s="21"/>
      <c r="UYZ200" s="21"/>
      <c r="UZA200" s="21"/>
      <c r="UZB200" s="21"/>
      <c r="UZC200" s="21"/>
      <c r="UZD200" s="21"/>
      <c r="UZE200" s="21"/>
      <c r="UZF200" s="21"/>
      <c r="UZG200" s="21"/>
      <c r="UZH200" s="21"/>
      <c r="UZI200" s="21"/>
      <c r="UZJ200" s="21"/>
      <c r="UZK200" s="21"/>
      <c r="UZL200" s="21"/>
      <c r="UZM200" s="21"/>
      <c r="UZN200" s="21"/>
      <c r="UZO200" s="21"/>
      <c r="UZP200" s="21"/>
      <c r="UZQ200" s="21"/>
      <c r="UZR200" s="21"/>
      <c r="UZS200" s="21"/>
      <c r="UZT200" s="21"/>
      <c r="UZU200" s="21"/>
      <c r="UZV200" s="21"/>
      <c r="UZW200" s="21"/>
      <c r="UZX200" s="21"/>
      <c r="UZY200" s="21"/>
      <c r="UZZ200" s="21"/>
      <c r="VAA200" s="21"/>
      <c r="VAB200" s="21"/>
      <c r="VAC200" s="21"/>
      <c r="VAD200" s="21"/>
      <c r="VAE200" s="21"/>
      <c r="VAF200" s="21"/>
      <c r="VAG200" s="21"/>
      <c r="VAH200" s="21"/>
      <c r="VAI200" s="21"/>
      <c r="VAJ200" s="21"/>
      <c r="VAK200" s="21"/>
      <c r="VAL200" s="21"/>
      <c r="VAM200" s="21"/>
      <c r="VAN200" s="21"/>
      <c r="VAO200" s="21"/>
      <c r="VAP200" s="21"/>
      <c r="VAQ200" s="21"/>
      <c r="VAR200" s="21"/>
      <c r="VAS200" s="21"/>
      <c r="VAT200" s="21"/>
      <c r="VAU200" s="21"/>
      <c r="VAV200" s="21"/>
      <c r="VAW200" s="21"/>
      <c r="VAX200" s="21"/>
      <c r="VAY200" s="21"/>
      <c r="VAZ200" s="21"/>
      <c r="VBA200" s="21"/>
      <c r="VBB200" s="21"/>
      <c r="VBC200" s="21"/>
      <c r="VBD200" s="21"/>
      <c r="VBE200" s="21"/>
      <c r="VBF200" s="21"/>
      <c r="VBG200" s="21"/>
      <c r="VBH200" s="21"/>
      <c r="VBI200" s="21"/>
      <c r="VBJ200" s="21"/>
      <c r="VBK200" s="21"/>
      <c r="VBL200" s="21"/>
      <c r="VBM200" s="21"/>
      <c r="VBN200" s="21"/>
      <c r="VBO200" s="21"/>
      <c r="VBP200" s="21"/>
      <c r="VBQ200" s="21"/>
      <c r="VBR200" s="21"/>
      <c r="VBS200" s="21"/>
      <c r="VBT200" s="21"/>
      <c r="VBU200" s="21"/>
      <c r="VBV200" s="21"/>
      <c r="VBW200" s="21"/>
      <c r="VBX200" s="21"/>
      <c r="VBY200" s="21"/>
      <c r="VBZ200" s="21"/>
      <c r="VCA200" s="21"/>
      <c r="VCB200" s="21"/>
      <c r="VCC200" s="21"/>
      <c r="VCD200" s="21"/>
      <c r="VCE200" s="21"/>
      <c r="VCF200" s="21"/>
      <c r="VCG200" s="21"/>
      <c r="VCH200" s="21"/>
      <c r="VCI200" s="21"/>
      <c r="VCJ200" s="21"/>
      <c r="VCK200" s="21"/>
      <c r="VCL200" s="21"/>
      <c r="VCM200" s="21"/>
      <c r="VCN200" s="21"/>
      <c r="VCO200" s="21"/>
      <c r="VCP200" s="21"/>
      <c r="VCQ200" s="21"/>
      <c r="VCR200" s="21"/>
      <c r="VCS200" s="21"/>
      <c r="VCT200" s="21"/>
      <c r="VCU200" s="21"/>
      <c r="VCV200" s="21"/>
      <c r="VCW200" s="21"/>
      <c r="VCX200" s="21"/>
      <c r="VCY200" s="21"/>
      <c r="VCZ200" s="21"/>
      <c r="VDA200" s="21"/>
      <c r="VDB200" s="21"/>
      <c r="VDC200" s="21"/>
      <c r="VDD200" s="21"/>
      <c r="VDE200" s="21"/>
      <c r="VDF200" s="21"/>
      <c r="VDG200" s="21"/>
      <c r="VDH200" s="21"/>
      <c r="VDI200" s="21"/>
      <c r="VDJ200" s="21"/>
      <c r="VDK200" s="21"/>
      <c r="VDL200" s="21"/>
      <c r="VDM200" s="21"/>
      <c r="VDN200" s="21"/>
      <c r="VDO200" s="21"/>
      <c r="VDP200" s="21"/>
      <c r="VDQ200" s="21"/>
      <c r="VDR200" s="21"/>
      <c r="VDS200" s="21"/>
      <c r="VDT200" s="21"/>
      <c r="VDU200" s="21"/>
      <c r="VDV200" s="21"/>
      <c r="VDW200" s="21"/>
      <c r="VDX200" s="21"/>
      <c r="VDY200" s="21"/>
      <c r="VDZ200" s="21"/>
      <c r="VEA200" s="21"/>
      <c r="VEB200" s="21"/>
      <c r="VEC200" s="21"/>
      <c r="VED200" s="21"/>
      <c r="VEE200" s="21"/>
      <c r="VEF200" s="21"/>
      <c r="VEG200" s="21"/>
      <c r="VEH200" s="21"/>
      <c r="VEI200" s="21"/>
      <c r="VEJ200" s="21"/>
      <c r="VEK200" s="21"/>
      <c r="VEL200" s="21"/>
      <c r="VEM200" s="21"/>
      <c r="VEN200" s="21"/>
      <c r="VEO200" s="21"/>
      <c r="VEP200" s="21"/>
      <c r="VEQ200" s="21"/>
      <c r="VER200" s="21"/>
      <c r="VES200" s="21"/>
      <c r="VET200" s="21"/>
      <c r="VEU200" s="21"/>
      <c r="VEV200" s="21"/>
      <c r="VEW200" s="21"/>
      <c r="VEX200" s="21"/>
      <c r="VEY200" s="21"/>
      <c r="VEZ200" s="21"/>
      <c r="VFA200" s="21"/>
      <c r="VFB200" s="21"/>
      <c r="VFC200" s="21"/>
      <c r="VFD200" s="21"/>
      <c r="VFE200" s="21"/>
      <c r="VFF200" s="21"/>
      <c r="VFG200" s="21"/>
      <c r="VFH200" s="21"/>
      <c r="VFI200" s="21"/>
      <c r="VFJ200" s="21"/>
      <c r="VFK200" s="21"/>
      <c r="VFL200" s="21"/>
      <c r="VFM200" s="21"/>
      <c r="VFN200" s="21"/>
      <c r="VFO200" s="21"/>
      <c r="VFP200" s="21"/>
      <c r="VFQ200" s="21"/>
      <c r="VFR200" s="21"/>
      <c r="VFS200" s="21"/>
      <c r="VFT200" s="21"/>
      <c r="VFU200" s="21"/>
      <c r="VFV200" s="21"/>
      <c r="VFW200" s="21"/>
      <c r="VFX200" s="21"/>
      <c r="VFY200" s="21"/>
      <c r="VFZ200" s="21"/>
      <c r="VGA200" s="21"/>
      <c r="VGB200" s="21"/>
      <c r="VGC200" s="21"/>
      <c r="VGD200" s="21"/>
      <c r="VGE200" s="21"/>
      <c r="VGF200" s="21"/>
      <c r="VGG200" s="21"/>
      <c r="VGH200" s="21"/>
      <c r="VGI200" s="21"/>
      <c r="VGJ200" s="21"/>
      <c r="VGK200" s="21"/>
      <c r="VGL200" s="21"/>
      <c r="VGM200" s="21"/>
      <c r="VGN200" s="21"/>
      <c r="VGO200" s="21"/>
      <c r="VGP200" s="21"/>
      <c r="VGQ200" s="21"/>
      <c r="VGR200" s="21"/>
      <c r="VGS200" s="21"/>
      <c r="VGT200" s="21"/>
      <c r="VGU200" s="21"/>
      <c r="VGV200" s="21"/>
      <c r="VGW200" s="21"/>
      <c r="VGX200" s="21"/>
      <c r="VGY200" s="21"/>
      <c r="VGZ200" s="21"/>
      <c r="VHA200" s="21"/>
      <c r="VHB200" s="21"/>
      <c r="VHC200" s="21"/>
      <c r="VHD200" s="21"/>
      <c r="VHE200" s="21"/>
      <c r="VHF200" s="21"/>
      <c r="VHG200" s="21"/>
      <c r="VHH200" s="21"/>
      <c r="VHI200" s="21"/>
      <c r="VHJ200" s="21"/>
      <c r="VHK200" s="21"/>
      <c r="VHL200" s="21"/>
      <c r="VHM200" s="21"/>
      <c r="VHN200" s="21"/>
      <c r="VHO200" s="21"/>
      <c r="VHP200" s="21"/>
      <c r="VHQ200" s="21"/>
      <c r="VHR200" s="21"/>
      <c r="VHS200" s="21"/>
      <c r="VHT200" s="21"/>
      <c r="VHU200" s="21"/>
      <c r="VHV200" s="21"/>
      <c r="VHW200" s="21"/>
      <c r="VHX200" s="21"/>
      <c r="VHY200" s="21"/>
      <c r="VHZ200" s="21"/>
      <c r="VIA200" s="21"/>
      <c r="VIB200" s="21"/>
      <c r="VIC200" s="21"/>
      <c r="VID200" s="21"/>
      <c r="VIE200" s="21"/>
      <c r="VIF200" s="21"/>
      <c r="VIG200" s="21"/>
      <c r="VIH200" s="21"/>
      <c r="VII200" s="21"/>
      <c r="VIJ200" s="21"/>
      <c r="VIK200" s="21"/>
      <c r="VIL200" s="21"/>
      <c r="VIM200" s="21"/>
      <c r="VIN200" s="21"/>
      <c r="VIO200" s="21"/>
      <c r="VIP200" s="21"/>
      <c r="VIQ200" s="21"/>
      <c r="VIR200" s="21"/>
      <c r="VIS200" s="21"/>
      <c r="VIT200" s="21"/>
      <c r="VIU200" s="21"/>
      <c r="VIV200" s="21"/>
      <c r="VIW200" s="21"/>
      <c r="VIX200" s="21"/>
      <c r="VIY200" s="21"/>
      <c r="VIZ200" s="21"/>
      <c r="VJA200" s="21"/>
      <c r="VJB200" s="21"/>
      <c r="VJC200" s="21"/>
      <c r="VJD200" s="21"/>
      <c r="VJE200" s="21"/>
      <c r="VJF200" s="21"/>
      <c r="VJG200" s="21"/>
      <c r="VJH200" s="21"/>
      <c r="VJI200" s="21"/>
      <c r="VJJ200" s="21"/>
      <c r="VJK200" s="21"/>
      <c r="VJL200" s="21"/>
      <c r="VJM200" s="21"/>
      <c r="VJN200" s="21"/>
      <c r="VJO200" s="21"/>
      <c r="VJP200" s="21"/>
      <c r="VJQ200" s="21"/>
      <c r="VJR200" s="21"/>
      <c r="VJS200" s="21"/>
      <c r="VJT200" s="21"/>
      <c r="VJU200" s="21"/>
      <c r="VJV200" s="21"/>
      <c r="VJW200" s="21"/>
      <c r="VJX200" s="21"/>
      <c r="VJY200" s="21"/>
      <c r="VJZ200" s="21"/>
      <c r="VKA200" s="21"/>
      <c r="VKB200" s="21"/>
      <c r="VKC200" s="21"/>
      <c r="VKD200" s="21"/>
      <c r="VKE200" s="21"/>
      <c r="VKF200" s="21"/>
      <c r="VKG200" s="21"/>
      <c r="VKH200" s="21"/>
      <c r="VKI200" s="21"/>
      <c r="VKJ200" s="21"/>
      <c r="VKK200" s="21"/>
      <c r="VKL200" s="21"/>
      <c r="VKM200" s="21"/>
      <c r="VKN200" s="21"/>
      <c r="VKO200" s="21"/>
      <c r="VKP200" s="21"/>
      <c r="VKQ200" s="21"/>
      <c r="VKR200" s="21"/>
      <c r="VKS200" s="21"/>
      <c r="VKT200" s="21"/>
      <c r="VKU200" s="21"/>
      <c r="VKV200" s="21"/>
      <c r="VKW200" s="21"/>
      <c r="VKX200" s="21"/>
      <c r="VKY200" s="21"/>
      <c r="VKZ200" s="21"/>
      <c r="VLA200" s="21"/>
      <c r="VLB200" s="21"/>
      <c r="VLC200" s="21"/>
      <c r="VLD200" s="21"/>
      <c r="VLE200" s="21"/>
      <c r="VLF200" s="21"/>
      <c r="VLG200" s="21"/>
      <c r="VLH200" s="21"/>
      <c r="VLI200" s="21"/>
      <c r="VLJ200" s="21"/>
      <c r="VLK200" s="21"/>
      <c r="VLL200" s="21"/>
      <c r="VLM200" s="21"/>
      <c r="VLN200" s="21"/>
      <c r="VLO200" s="21"/>
      <c r="VLP200" s="21"/>
      <c r="VLQ200" s="21"/>
      <c r="VLR200" s="21"/>
      <c r="VLS200" s="21"/>
      <c r="VLT200" s="21"/>
      <c r="VLU200" s="21"/>
      <c r="VLV200" s="21"/>
      <c r="VLW200" s="21"/>
      <c r="VLX200" s="21"/>
      <c r="VLY200" s="21"/>
      <c r="VLZ200" s="21"/>
      <c r="VMA200" s="21"/>
      <c r="VMB200" s="21"/>
      <c r="VMC200" s="21"/>
      <c r="VMD200" s="21"/>
      <c r="VME200" s="21"/>
      <c r="VMF200" s="21"/>
      <c r="VMG200" s="21"/>
      <c r="VMH200" s="21"/>
      <c r="VMI200" s="21"/>
      <c r="VMJ200" s="21"/>
      <c r="VMK200" s="21"/>
      <c r="VML200" s="21"/>
      <c r="VMM200" s="21"/>
      <c r="VMN200" s="21"/>
      <c r="VMO200" s="21"/>
      <c r="VMP200" s="21"/>
      <c r="VMQ200" s="21"/>
      <c r="VMR200" s="21"/>
      <c r="VMS200" s="21"/>
      <c r="VMT200" s="21"/>
      <c r="VMU200" s="21"/>
      <c r="VMV200" s="21"/>
      <c r="VMW200" s="21"/>
      <c r="VMX200" s="21"/>
      <c r="VMY200" s="21"/>
      <c r="VMZ200" s="21"/>
      <c r="VNA200" s="21"/>
      <c r="VNB200" s="21"/>
      <c r="VNC200" s="21"/>
      <c r="VND200" s="21"/>
      <c r="VNE200" s="21"/>
      <c r="VNF200" s="21"/>
      <c r="VNG200" s="21"/>
      <c r="VNH200" s="21"/>
      <c r="VNI200" s="21"/>
      <c r="VNJ200" s="21"/>
      <c r="VNK200" s="21"/>
      <c r="VNL200" s="21"/>
      <c r="VNM200" s="21"/>
      <c r="VNN200" s="21"/>
      <c r="VNO200" s="21"/>
      <c r="VNP200" s="21"/>
      <c r="VNQ200" s="21"/>
      <c r="VNR200" s="21"/>
      <c r="VNS200" s="21"/>
      <c r="VNT200" s="21"/>
      <c r="VNU200" s="21"/>
      <c r="VNV200" s="21"/>
      <c r="VNW200" s="21"/>
      <c r="VNX200" s="21"/>
      <c r="VNY200" s="21"/>
      <c r="VNZ200" s="21"/>
      <c r="VOA200" s="21"/>
      <c r="VOB200" s="21"/>
      <c r="VOC200" s="21"/>
      <c r="VOD200" s="21"/>
      <c r="VOE200" s="21"/>
      <c r="VOF200" s="21"/>
      <c r="VOG200" s="21"/>
      <c r="VOH200" s="21"/>
      <c r="VOI200" s="21"/>
      <c r="VOJ200" s="21"/>
      <c r="VOK200" s="21"/>
      <c r="VOL200" s="21"/>
      <c r="VOM200" s="21"/>
      <c r="VON200" s="21"/>
      <c r="VOO200" s="21"/>
      <c r="VOP200" s="21"/>
      <c r="VOQ200" s="21"/>
      <c r="VOR200" s="21"/>
      <c r="VOS200" s="21"/>
      <c r="VOT200" s="21"/>
      <c r="VOU200" s="21"/>
      <c r="VOV200" s="21"/>
      <c r="VOW200" s="21"/>
      <c r="VOX200" s="21"/>
      <c r="VOY200" s="21"/>
      <c r="VOZ200" s="21"/>
      <c r="VPA200" s="21"/>
      <c r="VPB200" s="21"/>
      <c r="VPC200" s="21"/>
      <c r="VPD200" s="21"/>
      <c r="VPE200" s="21"/>
      <c r="VPF200" s="21"/>
      <c r="VPG200" s="21"/>
      <c r="VPH200" s="21"/>
      <c r="VPI200" s="21"/>
      <c r="VPJ200" s="21"/>
      <c r="VPK200" s="21"/>
      <c r="VPL200" s="21"/>
      <c r="VPM200" s="21"/>
      <c r="VPN200" s="21"/>
      <c r="VPO200" s="21"/>
      <c r="VPP200" s="21"/>
      <c r="VPQ200" s="21"/>
      <c r="VPR200" s="21"/>
      <c r="VPS200" s="21"/>
      <c r="VPT200" s="21"/>
      <c r="VPU200" s="21"/>
      <c r="VPV200" s="21"/>
      <c r="VPW200" s="21"/>
      <c r="VPX200" s="21"/>
      <c r="VPY200" s="21"/>
      <c r="VPZ200" s="21"/>
      <c r="VQA200" s="21"/>
      <c r="VQB200" s="21"/>
      <c r="VQC200" s="21"/>
      <c r="VQD200" s="21"/>
      <c r="VQE200" s="21"/>
      <c r="VQF200" s="21"/>
      <c r="VQG200" s="21"/>
      <c r="VQH200" s="21"/>
      <c r="VQI200" s="21"/>
      <c r="VQJ200" s="21"/>
      <c r="VQK200" s="21"/>
      <c r="VQL200" s="21"/>
      <c r="VQM200" s="21"/>
      <c r="VQN200" s="21"/>
      <c r="VQO200" s="21"/>
      <c r="VQP200" s="21"/>
      <c r="VQQ200" s="21"/>
      <c r="VQR200" s="21"/>
      <c r="VQS200" s="21"/>
      <c r="VQT200" s="21"/>
      <c r="VQU200" s="21"/>
      <c r="VQV200" s="21"/>
      <c r="VQW200" s="21"/>
      <c r="VQX200" s="21"/>
      <c r="VQY200" s="21"/>
      <c r="VQZ200" s="21"/>
      <c r="VRA200" s="21"/>
      <c r="VRB200" s="21"/>
      <c r="VRC200" s="21"/>
      <c r="VRD200" s="21"/>
      <c r="VRE200" s="21"/>
      <c r="VRF200" s="21"/>
      <c r="VRG200" s="21"/>
      <c r="VRH200" s="21"/>
      <c r="VRI200" s="21"/>
      <c r="VRJ200" s="21"/>
      <c r="VRK200" s="21"/>
      <c r="VRL200" s="21"/>
      <c r="VRM200" s="21"/>
      <c r="VRN200" s="21"/>
      <c r="VRO200" s="21"/>
      <c r="VRP200" s="21"/>
      <c r="VRQ200" s="21"/>
      <c r="VRR200" s="21"/>
      <c r="VRS200" s="21"/>
      <c r="VRT200" s="21"/>
      <c r="VRU200" s="21"/>
      <c r="VRV200" s="21"/>
      <c r="VRW200" s="21"/>
      <c r="VRX200" s="21"/>
      <c r="VRY200" s="21"/>
      <c r="VRZ200" s="21"/>
      <c r="VSA200" s="21"/>
      <c r="VSB200" s="21"/>
      <c r="VSC200" s="21"/>
      <c r="VSD200" s="21"/>
      <c r="VSE200" s="21"/>
      <c r="VSF200" s="21"/>
      <c r="VSG200" s="21"/>
      <c r="VSH200" s="21"/>
      <c r="VSI200" s="21"/>
      <c r="VSJ200" s="21"/>
      <c r="VSK200" s="21"/>
      <c r="VSL200" s="21"/>
      <c r="VSM200" s="21"/>
      <c r="VSN200" s="21"/>
      <c r="VSO200" s="21"/>
      <c r="VSP200" s="21"/>
      <c r="VSQ200" s="21"/>
      <c r="VSR200" s="21"/>
      <c r="VSS200" s="21"/>
      <c r="VST200" s="21"/>
      <c r="VSU200" s="21"/>
      <c r="VSV200" s="21"/>
      <c r="VSW200" s="21"/>
      <c r="VSX200" s="21"/>
      <c r="VSY200" s="21"/>
      <c r="VSZ200" s="21"/>
      <c r="VTA200" s="21"/>
      <c r="VTB200" s="21"/>
      <c r="VTC200" s="21"/>
      <c r="VTD200" s="21"/>
      <c r="VTE200" s="21"/>
      <c r="VTF200" s="21"/>
      <c r="VTG200" s="21"/>
      <c r="VTH200" s="21"/>
      <c r="VTI200" s="21"/>
      <c r="VTJ200" s="21"/>
      <c r="VTK200" s="21"/>
      <c r="VTL200" s="21"/>
      <c r="VTM200" s="21"/>
      <c r="VTN200" s="21"/>
      <c r="VTO200" s="21"/>
      <c r="VTP200" s="21"/>
      <c r="VTQ200" s="21"/>
      <c r="VTR200" s="21"/>
      <c r="VTS200" s="21"/>
      <c r="VTT200" s="21"/>
      <c r="VTU200" s="21"/>
      <c r="VTV200" s="21"/>
      <c r="VTW200" s="21"/>
      <c r="VTX200" s="21"/>
      <c r="VTY200" s="21"/>
      <c r="VTZ200" s="21"/>
      <c r="VUA200" s="21"/>
      <c r="VUB200" s="21"/>
      <c r="VUC200" s="21"/>
      <c r="VUD200" s="21"/>
      <c r="VUE200" s="21"/>
      <c r="VUF200" s="21"/>
      <c r="VUG200" s="21"/>
      <c r="VUH200" s="21"/>
      <c r="VUI200" s="21"/>
      <c r="VUJ200" s="21"/>
      <c r="VUK200" s="21"/>
      <c r="VUL200" s="21"/>
      <c r="VUM200" s="21"/>
      <c r="VUN200" s="21"/>
      <c r="VUO200" s="21"/>
      <c r="VUP200" s="21"/>
      <c r="VUQ200" s="21"/>
      <c r="VUR200" s="21"/>
      <c r="VUS200" s="21"/>
      <c r="VUT200" s="21"/>
      <c r="VUU200" s="21"/>
      <c r="VUV200" s="21"/>
      <c r="VUW200" s="21"/>
      <c r="VUX200" s="21"/>
      <c r="VUY200" s="21"/>
      <c r="VUZ200" s="21"/>
      <c r="VVA200" s="21"/>
      <c r="VVB200" s="21"/>
      <c r="VVC200" s="21"/>
      <c r="VVD200" s="21"/>
      <c r="VVE200" s="21"/>
      <c r="VVF200" s="21"/>
      <c r="VVG200" s="21"/>
      <c r="VVH200" s="21"/>
      <c r="VVI200" s="21"/>
      <c r="VVJ200" s="21"/>
      <c r="VVK200" s="21"/>
      <c r="VVL200" s="21"/>
      <c r="VVM200" s="21"/>
      <c r="VVN200" s="21"/>
      <c r="VVO200" s="21"/>
      <c r="VVP200" s="21"/>
      <c r="VVQ200" s="21"/>
      <c r="VVR200" s="21"/>
      <c r="VVS200" s="21"/>
      <c r="VVT200" s="21"/>
      <c r="VVU200" s="21"/>
      <c r="VVV200" s="21"/>
      <c r="VVW200" s="21"/>
      <c r="VVX200" s="21"/>
      <c r="VVY200" s="21"/>
      <c r="VVZ200" s="21"/>
      <c r="VWA200" s="21"/>
      <c r="VWB200" s="21"/>
      <c r="VWC200" s="21"/>
      <c r="VWD200" s="21"/>
      <c r="VWE200" s="21"/>
      <c r="VWF200" s="21"/>
      <c r="VWG200" s="21"/>
      <c r="VWH200" s="21"/>
      <c r="VWI200" s="21"/>
      <c r="VWJ200" s="21"/>
      <c r="VWK200" s="21"/>
      <c r="VWL200" s="21"/>
      <c r="VWM200" s="21"/>
      <c r="VWN200" s="21"/>
      <c r="VWO200" s="21"/>
      <c r="VWP200" s="21"/>
      <c r="VWQ200" s="21"/>
      <c r="VWR200" s="21"/>
      <c r="VWS200" s="21"/>
      <c r="VWT200" s="21"/>
      <c r="VWU200" s="21"/>
      <c r="VWV200" s="21"/>
      <c r="VWW200" s="21"/>
      <c r="VWX200" s="21"/>
      <c r="VWY200" s="21"/>
      <c r="VWZ200" s="21"/>
      <c r="VXA200" s="21"/>
      <c r="VXB200" s="21"/>
      <c r="VXC200" s="21"/>
      <c r="VXD200" s="21"/>
      <c r="VXE200" s="21"/>
      <c r="VXF200" s="21"/>
      <c r="VXG200" s="21"/>
      <c r="VXH200" s="21"/>
      <c r="VXI200" s="21"/>
      <c r="VXJ200" s="21"/>
      <c r="VXK200" s="21"/>
      <c r="VXL200" s="21"/>
      <c r="VXM200" s="21"/>
      <c r="VXN200" s="21"/>
      <c r="VXO200" s="21"/>
      <c r="VXP200" s="21"/>
      <c r="VXQ200" s="21"/>
      <c r="VXR200" s="21"/>
      <c r="VXS200" s="21"/>
      <c r="VXT200" s="21"/>
      <c r="VXU200" s="21"/>
      <c r="VXV200" s="21"/>
      <c r="VXW200" s="21"/>
      <c r="VXX200" s="21"/>
      <c r="VXY200" s="21"/>
      <c r="VXZ200" s="21"/>
      <c r="VYA200" s="21"/>
      <c r="VYB200" s="21"/>
      <c r="VYC200" s="21"/>
      <c r="VYD200" s="21"/>
      <c r="VYE200" s="21"/>
      <c r="VYF200" s="21"/>
      <c r="VYG200" s="21"/>
      <c r="VYH200" s="21"/>
      <c r="VYI200" s="21"/>
      <c r="VYJ200" s="21"/>
      <c r="VYK200" s="21"/>
      <c r="VYL200" s="21"/>
      <c r="VYM200" s="21"/>
      <c r="VYN200" s="21"/>
      <c r="VYO200" s="21"/>
      <c r="VYP200" s="21"/>
      <c r="VYQ200" s="21"/>
      <c r="VYR200" s="21"/>
      <c r="VYS200" s="21"/>
      <c r="VYT200" s="21"/>
      <c r="VYU200" s="21"/>
      <c r="VYV200" s="21"/>
      <c r="VYW200" s="21"/>
      <c r="VYX200" s="21"/>
      <c r="VYY200" s="21"/>
      <c r="VYZ200" s="21"/>
      <c r="VZA200" s="21"/>
      <c r="VZB200" s="21"/>
      <c r="VZC200" s="21"/>
      <c r="VZD200" s="21"/>
      <c r="VZE200" s="21"/>
      <c r="VZF200" s="21"/>
      <c r="VZG200" s="21"/>
      <c r="VZH200" s="21"/>
      <c r="VZI200" s="21"/>
      <c r="VZJ200" s="21"/>
      <c r="VZK200" s="21"/>
      <c r="VZL200" s="21"/>
      <c r="VZM200" s="21"/>
      <c r="VZN200" s="21"/>
      <c r="VZO200" s="21"/>
      <c r="VZP200" s="21"/>
      <c r="VZQ200" s="21"/>
      <c r="VZR200" s="21"/>
      <c r="VZS200" s="21"/>
      <c r="VZT200" s="21"/>
      <c r="VZU200" s="21"/>
      <c r="VZV200" s="21"/>
      <c r="VZW200" s="21"/>
      <c r="VZX200" s="21"/>
      <c r="VZY200" s="21"/>
      <c r="VZZ200" s="21"/>
      <c r="WAA200" s="21"/>
      <c r="WAB200" s="21"/>
      <c r="WAC200" s="21"/>
      <c r="WAD200" s="21"/>
      <c r="WAE200" s="21"/>
      <c r="WAF200" s="21"/>
      <c r="WAG200" s="21"/>
      <c r="WAH200" s="21"/>
      <c r="WAI200" s="21"/>
      <c r="WAJ200" s="21"/>
      <c r="WAK200" s="21"/>
      <c r="WAL200" s="21"/>
      <c r="WAM200" s="21"/>
      <c r="WAN200" s="21"/>
      <c r="WAO200" s="21"/>
      <c r="WAP200" s="21"/>
      <c r="WAQ200" s="21"/>
      <c r="WAR200" s="21"/>
      <c r="WAS200" s="21"/>
      <c r="WAT200" s="21"/>
      <c r="WAU200" s="21"/>
      <c r="WAV200" s="21"/>
      <c r="WAW200" s="21"/>
      <c r="WAX200" s="21"/>
      <c r="WAY200" s="21"/>
      <c r="WAZ200" s="21"/>
      <c r="WBA200" s="21"/>
      <c r="WBB200" s="21"/>
      <c r="WBC200" s="21"/>
      <c r="WBD200" s="21"/>
      <c r="WBE200" s="21"/>
      <c r="WBF200" s="21"/>
      <c r="WBG200" s="21"/>
      <c r="WBH200" s="21"/>
      <c r="WBI200" s="21"/>
      <c r="WBJ200" s="21"/>
      <c r="WBK200" s="21"/>
      <c r="WBL200" s="21"/>
      <c r="WBM200" s="21"/>
      <c r="WBN200" s="21"/>
      <c r="WBO200" s="21"/>
      <c r="WBP200" s="21"/>
      <c r="WBQ200" s="21"/>
      <c r="WBR200" s="21"/>
      <c r="WBS200" s="21"/>
      <c r="WBT200" s="21"/>
      <c r="WBU200" s="21"/>
      <c r="WBV200" s="21"/>
      <c r="WBW200" s="21"/>
      <c r="WBX200" s="21"/>
      <c r="WBY200" s="21"/>
      <c r="WBZ200" s="21"/>
      <c r="WCA200" s="21"/>
      <c r="WCB200" s="21"/>
      <c r="WCC200" s="21"/>
      <c r="WCD200" s="21"/>
      <c r="WCE200" s="21"/>
      <c r="WCF200" s="21"/>
      <c r="WCG200" s="21"/>
      <c r="WCH200" s="21"/>
      <c r="WCI200" s="21"/>
      <c r="WCJ200" s="21"/>
      <c r="WCK200" s="21"/>
      <c r="WCL200" s="21"/>
      <c r="WCM200" s="21"/>
      <c r="WCN200" s="21"/>
      <c r="WCO200" s="21"/>
      <c r="WCP200" s="21"/>
      <c r="WCQ200" s="21"/>
      <c r="WCR200" s="21"/>
      <c r="WCS200" s="21"/>
      <c r="WCT200" s="21"/>
      <c r="WCU200" s="21"/>
      <c r="WCV200" s="21"/>
      <c r="WCW200" s="21"/>
      <c r="WCX200" s="21"/>
      <c r="WCY200" s="21"/>
      <c r="WCZ200" s="21"/>
      <c r="WDA200" s="21"/>
      <c r="WDB200" s="21"/>
      <c r="WDC200" s="21"/>
      <c r="WDD200" s="21"/>
      <c r="WDE200" s="21"/>
      <c r="WDF200" s="21"/>
      <c r="WDG200" s="21"/>
      <c r="WDH200" s="21"/>
      <c r="WDI200" s="21"/>
      <c r="WDJ200" s="21"/>
      <c r="WDK200" s="21"/>
      <c r="WDL200" s="21"/>
      <c r="WDM200" s="21"/>
      <c r="WDN200" s="21"/>
      <c r="WDO200" s="21"/>
      <c r="WDP200" s="21"/>
      <c r="WDQ200" s="21"/>
      <c r="WDR200" s="21"/>
      <c r="WDS200" s="21"/>
      <c r="WDT200" s="21"/>
      <c r="WDU200" s="21"/>
      <c r="WDV200" s="21"/>
      <c r="WDW200" s="21"/>
      <c r="WDX200" s="21"/>
      <c r="WDY200" s="21"/>
      <c r="WDZ200" s="21"/>
      <c r="WEA200" s="21"/>
      <c r="WEB200" s="21"/>
      <c r="WEC200" s="21"/>
      <c r="WED200" s="21"/>
      <c r="WEE200" s="21"/>
      <c r="WEF200" s="21"/>
      <c r="WEG200" s="21"/>
      <c r="WEH200" s="21"/>
      <c r="WEI200" s="21"/>
      <c r="WEJ200" s="21"/>
      <c r="WEK200" s="21"/>
      <c r="WEL200" s="21"/>
      <c r="WEM200" s="21"/>
      <c r="WEN200" s="21"/>
      <c r="WEO200" s="21"/>
      <c r="WEP200" s="21"/>
      <c r="WEQ200" s="21"/>
      <c r="WER200" s="21"/>
      <c r="WES200" s="21"/>
      <c r="WET200" s="21"/>
      <c r="WEU200" s="21"/>
      <c r="WEV200" s="21"/>
      <c r="WEW200" s="21"/>
      <c r="WEX200" s="21"/>
      <c r="WEY200" s="21"/>
      <c r="WEZ200" s="21"/>
      <c r="WFA200" s="21"/>
      <c r="WFB200" s="21"/>
      <c r="WFC200" s="21"/>
      <c r="WFD200" s="21"/>
      <c r="WFE200" s="21"/>
      <c r="WFF200" s="21"/>
      <c r="WFG200" s="21"/>
      <c r="WFH200" s="21"/>
      <c r="WFI200" s="21"/>
      <c r="WFJ200" s="21"/>
      <c r="WFK200" s="21"/>
      <c r="WFL200" s="21"/>
      <c r="WFM200" s="21"/>
      <c r="WFN200" s="21"/>
      <c r="WFO200" s="21"/>
      <c r="WFP200" s="21"/>
      <c r="WFQ200" s="21"/>
      <c r="WFR200" s="21"/>
      <c r="WFS200" s="21"/>
      <c r="WFT200" s="21"/>
      <c r="WFU200" s="21"/>
      <c r="WFV200" s="21"/>
      <c r="WFW200" s="21"/>
      <c r="WFX200" s="21"/>
      <c r="WFY200" s="21"/>
      <c r="WFZ200" s="21"/>
      <c r="WGA200" s="21"/>
      <c r="WGB200" s="21"/>
      <c r="WGC200" s="21"/>
      <c r="WGD200" s="21"/>
      <c r="WGE200" s="21"/>
      <c r="WGF200" s="21"/>
      <c r="WGG200" s="21"/>
      <c r="WGH200" s="21"/>
      <c r="WGI200" s="21"/>
      <c r="WGJ200" s="21"/>
      <c r="WGK200" s="21"/>
      <c r="WGL200" s="21"/>
      <c r="WGM200" s="21"/>
      <c r="WGN200" s="21"/>
      <c r="WGO200" s="21"/>
      <c r="WGP200" s="21"/>
      <c r="WGQ200" s="21"/>
      <c r="WGR200" s="21"/>
      <c r="WGS200" s="21"/>
      <c r="WGT200" s="21"/>
      <c r="WGU200" s="21"/>
      <c r="WGV200" s="21"/>
      <c r="WGW200" s="21"/>
      <c r="WGX200" s="21"/>
      <c r="WGY200" s="21"/>
      <c r="WGZ200" s="21"/>
      <c r="WHA200" s="21"/>
      <c r="WHB200" s="21"/>
      <c r="WHC200" s="21"/>
      <c r="WHD200" s="21"/>
      <c r="WHE200" s="21"/>
      <c r="WHF200" s="21"/>
      <c r="WHG200" s="21"/>
      <c r="WHH200" s="21"/>
      <c r="WHI200" s="21"/>
      <c r="WHJ200" s="21"/>
      <c r="WHK200" s="21"/>
      <c r="WHL200" s="21"/>
      <c r="WHM200" s="21"/>
      <c r="WHN200" s="21"/>
      <c r="WHO200" s="21"/>
      <c r="WHP200" s="21"/>
      <c r="WHQ200" s="21"/>
      <c r="WHR200" s="21"/>
      <c r="WHS200" s="21"/>
      <c r="WHT200" s="21"/>
      <c r="WHU200" s="21"/>
      <c r="WHV200" s="21"/>
      <c r="WHW200" s="21"/>
      <c r="WHX200" s="21"/>
      <c r="WHY200" s="21"/>
      <c r="WHZ200" s="21"/>
      <c r="WIA200" s="21"/>
      <c r="WIB200" s="21"/>
      <c r="WIC200" s="21"/>
      <c r="WID200" s="21"/>
      <c r="WIE200" s="21"/>
      <c r="WIF200" s="21"/>
      <c r="WIG200" s="21"/>
      <c r="WIH200" s="21"/>
      <c r="WII200" s="21"/>
      <c r="WIJ200" s="21"/>
      <c r="WIK200" s="21"/>
      <c r="WIL200" s="21"/>
      <c r="WIM200" s="21"/>
      <c r="WIN200" s="21"/>
      <c r="WIO200" s="21"/>
      <c r="WIP200" s="21"/>
      <c r="WIQ200" s="21"/>
      <c r="WIR200" s="21"/>
      <c r="WIS200" s="21"/>
      <c r="WIT200" s="21"/>
      <c r="WIU200" s="21"/>
      <c r="WIV200" s="21"/>
      <c r="WIW200" s="21"/>
      <c r="WIX200" s="21"/>
      <c r="WIY200" s="21"/>
      <c r="WIZ200" s="21"/>
      <c r="WJA200" s="21"/>
      <c r="WJB200" s="21"/>
      <c r="WJC200" s="21"/>
      <c r="WJD200" s="21"/>
      <c r="WJE200" s="21"/>
      <c r="WJF200" s="21"/>
      <c r="WJG200" s="21"/>
      <c r="WJH200" s="21"/>
      <c r="WJI200" s="21"/>
      <c r="WJJ200" s="21"/>
      <c r="WJK200" s="21"/>
      <c r="WJL200" s="21"/>
      <c r="WJM200" s="21"/>
      <c r="WJN200" s="21"/>
      <c r="WJO200" s="21"/>
      <c r="WJP200" s="21"/>
      <c r="WJQ200" s="21"/>
      <c r="WJR200" s="21"/>
      <c r="WJS200" s="21"/>
      <c r="WJT200" s="21"/>
      <c r="WJU200" s="21"/>
      <c r="WJV200" s="21"/>
      <c r="WJW200" s="21"/>
      <c r="WJX200" s="21"/>
      <c r="WJY200" s="21"/>
      <c r="WJZ200" s="21"/>
      <c r="WKA200" s="21"/>
      <c r="WKB200" s="21"/>
      <c r="WKC200" s="21"/>
      <c r="WKD200" s="21"/>
      <c r="WKE200" s="21"/>
      <c r="WKF200" s="21"/>
      <c r="WKG200" s="21"/>
      <c r="WKH200" s="21"/>
      <c r="WKI200" s="21"/>
      <c r="WKJ200" s="21"/>
      <c r="WKK200" s="21"/>
      <c r="WKL200" s="21"/>
      <c r="WKM200" s="21"/>
      <c r="WKN200" s="21"/>
      <c r="WKO200" s="21"/>
      <c r="WKP200" s="21"/>
      <c r="WKQ200" s="21"/>
      <c r="WKR200" s="21"/>
      <c r="WKS200" s="21"/>
      <c r="WKT200" s="21"/>
      <c r="WKU200" s="21"/>
      <c r="WKV200" s="21"/>
      <c r="WKW200" s="21"/>
      <c r="WKX200" s="21"/>
      <c r="WKY200" s="21"/>
      <c r="WKZ200" s="21"/>
      <c r="WLA200" s="21"/>
      <c r="WLB200" s="21"/>
      <c r="WLC200" s="21"/>
      <c r="WLD200" s="21"/>
      <c r="WLE200" s="21"/>
      <c r="WLF200" s="21"/>
      <c r="WLG200" s="21"/>
      <c r="WLH200" s="21"/>
      <c r="WLI200" s="21"/>
      <c r="WLJ200" s="21"/>
      <c r="WLK200" s="21"/>
      <c r="WLL200" s="21"/>
      <c r="WLM200" s="21"/>
      <c r="WLN200" s="21"/>
      <c r="WLO200" s="21"/>
      <c r="WLP200" s="21"/>
      <c r="WLQ200" s="21"/>
      <c r="WLR200" s="21"/>
      <c r="WLS200" s="21"/>
      <c r="WLT200" s="21"/>
      <c r="WLU200" s="21"/>
      <c r="WLV200" s="21"/>
      <c r="WLW200" s="21"/>
      <c r="WLX200" s="21"/>
      <c r="WLY200" s="21"/>
      <c r="WLZ200" s="21"/>
      <c r="WMA200" s="21"/>
      <c r="WMB200" s="21"/>
      <c r="WMC200" s="21"/>
      <c r="WMD200" s="21"/>
      <c r="WME200" s="21"/>
      <c r="WMF200" s="21"/>
      <c r="WMG200" s="21"/>
      <c r="WMH200" s="21"/>
      <c r="WMI200" s="21"/>
      <c r="WMJ200" s="21"/>
      <c r="WMK200" s="21"/>
      <c r="WML200" s="21"/>
      <c r="WMM200" s="21"/>
      <c r="WMN200" s="21"/>
      <c r="WMO200" s="21"/>
      <c r="WMP200" s="21"/>
      <c r="WMQ200" s="21"/>
      <c r="WMR200" s="21"/>
      <c r="WMS200" s="21"/>
      <c r="WMT200" s="21"/>
      <c r="WMU200" s="21"/>
      <c r="WMV200" s="21"/>
      <c r="WMW200" s="21"/>
      <c r="WMX200" s="21"/>
      <c r="WMY200" s="21"/>
      <c r="WMZ200" s="21"/>
      <c r="WNA200" s="21"/>
      <c r="WNB200" s="21"/>
      <c r="WNC200" s="21"/>
      <c r="WND200" s="21"/>
      <c r="WNE200" s="21"/>
      <c r="WNF200" s="21"/>
      <c r="WNG200" s="21"/>
      <c r="WNH200" s="21"/>
      <c r="WNI200" s="21"/>
      <c r="WNJ200" s="21"/>
      <c r="WNK200" s="21"/>
      <c r="WNL200" s="21"/>
      <c r="WNM200" s="21"/>
      <c r="WNN200" s="21"/>
      <c r="WNO200" s="21"/>
      <c r="WNP200" s="21"/>
      <c r="WNQ200" s="21"/>
      <c r="WNR200" s="21"/>
      <c r="WNS200" s="21"/>
      <c r="WNT200" s="21"/>
      <c r="WNU200" s="21"/>
      <c r="WNV200" s="21"/>
      <c r="WNW200" s="21"/>
      <c r="WNX200" s="21"/>
      <c r="WNY200" s="21"/>
      <c r="WNZ200" s="21"/>
      <c r="WOA200" s="21"/>
      <c r="WOB200" s="21"/>
      <c r="WOC200" s="21"/>
      <c r="WOD200" s="21"/>
      <c r="WOE200" s="21"/>
      <c r="WOF200" s="21"/>
      <c r="WOG200" s="21"/>
      <c r="WOH200" s="21"/>
      <c r="WOI200" s="21"/>
      <c r="WOJ200" s="21"/>
      <c r="WOK200" s="21"/>
      <c r="WOL200" s="21"/>
      <c r="WOM200" s="21"/>
      <c r="WON200" s="21"/>
      <c r="WOO200" s="21"/>
      <c r="WOP200" s="21"/>
      <c r="WOQ200" s="21"/>
      <c r="WOR200" s="21"/>
      <c r="WOS200" s="21"/>
      <c r="WOT200" s="21"/>
      <c r="WOU200" s="21"/>
      <c r="WOV200" s="21"/>
      <c r="WOW200" s="21"/>
      <c r="WOX200" s="21"/>
      <c r="WOY200" s="21"/>
      <c r="WOZ200" s="21"/>
      <c r="WPA200" s="21"/>
      <c r="WPB200" s="21"/>
      <c r="WPC200" s="21"/>
      <c r="WPD200" s="21"/>
      <c r="WPE200" s="21"/>
      <c r="WPF200" s="21"/>
      <c r="WPG200" s="21"/>
      <c r="WPH200" s="21"/>
      <c r="WPI200" s="21"/>
      <c r="WPJ200" s="21"/>
      <c r="WPK200" s="21"/>
      <c r="WPL200" s="21"/>
      <c r="WPM200" s="21"/>
      <c r="WPN200" s="21"/>
      <c r="WPO200" s="21"/>
      <c r="WPP200" s="21"/>
      <c r="WPQ200" s="21"/>
      <c r="WPR200" s="21"/>
      <c r="WPS200" s="21"/>
      <c r="WPT200" s="21"/>
      <c r="WPU200" s="21"/>
      <c r="WPV200" s="21"/>
      <c r="WPW200" s="21"/>
      <c r="WPX200" s="21"/>
      <c r="WPY200" s="21"/>
      <c r="WPZ200" s="21"/>
      <c r="WQA200" s="21"/>
      <c r="WQB200" s="21"/>
      <c r="WQC200" s="21"/>
      <c r="WQD200" s="21"/>
      <c r="WQE200" s="21"/>
      <c r="WQF200" s="21"/>
      <c r="WQG200" s="21"/>
      <c r="WQH200" s="21"/>
      <c r="WQI200" s="21"/>
      <c r="WQJ200" s="21"/>
      <c r="WQK200" s="21"/>
      <c r="WQL200" s="21"/>
      <c r="WQM200" s="21"/>
      <c r="WQN200" s="21"/>
      <c r="WQO200" s="21"/>
      <c r="WQP200" s="21"/>
      <c r="WQQ200" s="21"/>
      <c r="WQR200" s="21"/>
      <c r="WQS200" s="21"/>
      <c r="WQT200" s="21"/>
      <c r="WQU200" s="21"/>
      <c r="WQV200" s="21"/>
      <c r="WQW200" s="21"/>
      <c r="WQX200" s="21"/>
      <c r="WQY200" s="21"/>
      <c r="WQZ200" s="21"/>
      <c r="WRA200" s="21"/>
      <c r="WRB200" s="21"/>
      <c r="WRC200" s="21"/>
      <c r="WRD200" s="21"/>
      <c r="WRE200" s="21"/>
      <c r="WRF200" s="21"/>
      <c r="WRG200" s="21"/>
      <c r="WRH200" s="21"/>
      <c r="WRI200" s="21"/>
      <c r="WRJ200" s="21"/>
      <c r="WRK200" s="21"/>
      <c r="WRL200" s="21"/>
      <c r="WRM200" s="21"/>
      <c r="WRN200" s="21"/>
      <c r="WRO200" s="21"/>
      <c r="WRP200" s="21"/>
      <c r="WRQ200" s="21"/>
      <c r="WRR200" s="21"/>
      <c r="WRS200" s="21"/>
      <c r="WRT200" s="21"/>
      <c r="WRU200" s="21"/>
      <c r="WRV200" s="21"/>
      <c r="WRW200" s="21"/>
      <c r="WRX200" s="21"/>
      <c r="WRY200" s="21"/>
      <c r="WRZ200" s="21"/>
      <c r="WSA200" s="21"/>
      <c r="WSB200" s="21"/>
      <c r="WSC200" s="21"/>
      <c r="WSD200" s="21"/>
      <c r="WSE200" s="21"/>
      <c r="WSF200" s="21"/>
      <c r="WSG200" s="21"/>
      <c r="WSH200" s="21"/>
      <c r="WSI200" s="21"/>
      <c r="WSJ200" s="21"/>
      <c r="WSK200" s="21"/>
      <c r="WSL200" s="21"/>
      <c r="WSM200" s="21"/>
      <c r="WSN200" s="21"/>
      <c r="WSO200" s="21"/>
      <c r="WSP200" s="21"/>
      <c r="WSQ200" s="21"/>
      <c r="WSR200" s="21"/>
      <c r="WSS200" s="21"/>
      <c r="WST200" s="21"/>
      <c r="WSU200" s="21"/>
      <c r="WSV200" s="21"/>
      <c r="WSW200" s="21"/>
      <c r="WSX200" s="21"/>
      <c r="WSY200" s="21"/>
      <c r="WSZ200" s="21"/>
      <c r="WTA200" s="21"/>
      <c r="WTB200" s="21"/>
      <c r="WTC200" s="21"/>
      <c r="WTD200" s="21"/>
      <c r="WTE200" s="21"/>
      <c r="WTF200" s="21"/>
      <c r="WTG200" s="21"/>
      <c r="WTH200" s="21"/>
      <c r="WTI200" s="21"/>
      <c r="WTJ200" s="21"/>
      <c r="WTK200" s="21"/>
      <c r="WTL200" s="21"/>
      <c r="WTM200" s="21"/>
      <c r="WTN200" s="21"/>
      <c r="WTO200" s="21"/>
      <c r="WTP200" s="21"/>
      <c r="WTQ200" s="21"/>
      <c r="WTR200" s="21"/>
      <c r="WTS200" s="21"/>
      <c r="WTT200" s="21"/>
      <c r="WTU200" s="21"/>
      <c r="WTV200" s="21"/>
      <c r="WTW200" s="21"/>
      <c r="WTX200" s="21"/>
      <c r="WTY200" s="21"/>
      <c r="WTZ200" s="21"/>
      <c r="WUA200" s="21"/>
      <c r="WUB200" s="21"/>
      <c r="WUC200" s="21"/>
      <c r="WUD200" s="21"/>
      <c r="WUE200" s="21"/>
      <c r="WUF200" s="21"/>
      <c r="WUG200" s="21"/>
      <c r="WUH200" s="21"/>
      <c r="WUI200" s="21"/>
      <c r="WUJ200" s="21"/>
      <c r="WUK200" s="21"/>
      <c r="WUL200" s="21"/>
      <c r="WUM200" s="21"/>
      <c r="WUN200" s="21"/>
      <c r="WUO200" s="21"/>
      <c r="WUP200" s="21"/>
      <c r="WUQ200" s="21"/>
      <c r="WUR200" s="21"/>
      <c r="WUS200" s="21"/>
      <c r="WUT200" s="21"/>
      <c r="WUU200" s="21"/>
      <c r="WUV200" s="21"/>
      <c r="WUW200" s="21"/>
      <c r="WUX200" s="21"/>
      <c r="WUY200" s="21"/>
      <c r="WUZ200" s="21"/>
      <c r="WVA200" s="21"/>
      <c r="WVB200" s="21"/>
      <c r="WVC200" s="21"/>
      <c r="WVD200" s="21"/>
      <c r="WVE200" s="21"/>
      <c r="WVF200" s="21"/>
      <c r="WVG200" s="21"/>
      <c r="WVH200" s="21"/>
      <c r="WVI200" s="21"/>
      <c r="WVJ200" s="21"/>
      <c r="WVK200" s="21"/>
      <c r="WVL200" s="21"/>
      <c r="WVM200" s="21"/>
      <c r="WVN200" s="21"/>
      <c r="WVO200" s="21"/>
      <c r="WVP200" s="21"/>
      <c r="WVQ200" s="21"/>
      <c r="WVR200" s="21"/>
      <c r="WVS200" s="21"/>
      <c r="WVT200" s="21"/>
      <c r="WVU200" s="21"/>
      <c r="WVV200" s="21"/>
      <c r="WVW200" s="21"/>
      <c r="WVX200" s="21"/>
      <c r="WVY200" s="21"/>
      <c r="WVZ200" s="21"/>
      <c r="WWA200" s="21"/>
      <c r="WWB200" s="21"/>
      <c r="WWC200" s="21"/>
      <c r="WWD200" s="21"/>
      <c r="WWE200" s="21"/>
      <c r="WWF200" s="21"/>
      <c r="WWG200" s="21"/>
      <c r="WWH200" s="21"/>
      <c r="WWI200" s="21"/>
      <c r="WWJ200" s="21"/>
      <c r="WWK200" s="21"/>
      <c r="WWL200" s="21"/>
      <c r="WWM200" s="21"/>
      <c r="WWN200" s="21"/>
      <c r="WWO200" s="21"/>
      <c r="WWP200" s="21"/>
      <c r="WWQ200" s="21"/>
      <c r="WWR200" s="21"/>
      <c r="WWS200" s="21"/>
      <c r="WWT200" s="21"/>
      <c r="WWU200" s="21"/>
      <c r="WWV200" s="21"/>
      <c r="WWW200" s="21"/>
      <c r="WWX200" s="21"/>
      <c r="WWY200" s="21"/>
      <c r="WWZ200" s="21"/>
      <c r="WXA200" s="21"/>
      <c r="WXB200" s="21"/>
      <c r="WXC200" s="21"/>
      <c r="WXD200" s="21"/>
      <c r="WXE200" s="21"/>
      <c r="WXF200" s="21"/>
      <c r="WXG200" s="21"/>
      <c r="WXH200" s="21"/>
      <c r="WXI200" s="21"/>
      <c r="WXJ200" s="21"/>
      <c r="WXK200" s="21"/>
      <c r="WXL200" s="21"/>
      <c r="WXM200" s="21"/>
      <c r="WXN200" s="21"/>
      <c r="WXO200" s="21"/>
      <c r="WXP200" s="21"/>
      <c r="WXQ200" s="21"/>
      <c r="WXR200" s="21"/>
      <c r="WXS200" s="21"/>
      <c r="WXT200" s="21"/>
      <c r="WXU200" s="21"/>
      <c r="WXV200" s="21"/>
      <c r="WXW200" s="21"/>
      <c r="WXX200" s="21"/>
      <c r="WXY200" s="21"/>
      <c r="WXZ200" s="21"/>
      <c r="WYA200" s="21"/>
      <c r="WYB200" s="21"/>
      <c r="WYC200" s="21"/>
      <c r="WYD200" s="21"/>
      <c r="WYE200" s="21"/>
      <c r="WYF200" s="21"/>
      <c r="WYG200" s="21"/>
      <c r="WYH200" s="21"/>
      <c r="WYI200" s="21"/>
      <c r="WYJ200" s="21"/>
      <c r="WYK200" s="21"/>
      <c r="WYL200" s="21"/>
      <c r="WYM200" s="21"/>
      <c r="WYN200" s="21"/>
      <c r="WYO200" s="21"/>
      <c r="WYP200" s="21"/>
      <c r="WYQ200" s="21"/>
      <c r="WYR200" s="21"/>
      <c r="WYS200" s="21"/>
      <c r="WYT200" s="21"/>
      <c r="WYU200" s="21"/>
      <c r="WYV200" s="21"/>
      <c r="WYW200" s="21"/>
      <c r="WYX200" s="21"/>
      <c r="WYY200" s="21"/>
      <c r="WYZ200" s="21"/>
      <c r="WZA200" s="21"/>
      <c r="WZB200" s="21"/>
      <c r="WZC200" s="21"/>
      <c r="WZD200" s="21"/>
      <c r="WZE200" s="21"/>
      <c r="WZF200" s="21"/>
      <c r="WZG200" s="21"/>
      <c r="WZH200" s="21"/>
      <c r="WZI200" s="21"/>
      <c r="WZJ200" s="21"/>
      <c r="WZK200" s="21"/>
      <c r="WZL200" s="21"/>
      <c r="WZM200" s="21"/>
      <c r="WZN200" s="21"/>
      <c r="WZO200" s="21"/>
      <c r="WZP200" s="21"/>
      <c r="WZQ200" s="21"/>
      <c r="WZR200" s="21"/>
      <c r="WZS200" s="21"/>
      <c r="WZT200" s="21"/>
      <c r="WZU200" s="21"/>
      <c r="WZV200" s="21"/>
      <c r="WZW200" s="21"/>
      <c r="WZX200" s="21"/>
      <c r="WZY200" s="21"/>
      <c r="WZZ200" s="21"/>
      <c r="XAA200" s="21"/>
      <c r="XAB200" s="21"/>
      <c r="XAC200" s="21"/>
      <c r="XAD200" s="21"/>
      <c r="XAE200" s="21"/>
      <c r="XAF200" s="21"/>
      <c r="XAG200" s="21"/>
      <c r="XAH200" s="21"/>
      <c r="XAI200" s="21"/>
      <c r="XAJ200" s="21"/>
      <c r="XAK200" s="21"/>
      <c r="XAL200" s="21"/>
      <c r="XAM200" s="21"/>
      <c r="XAN200" s="21"/>
      <c r="XAO200" s="21"/>
      <c r="XAP200" s="21"/>
      <c r="XAQ200" s="21"/>
      <c r="XAR200" s="21"/>
      <c r="XAS200" s="21"/>
      <c r="XAT200" s="21"/>
      <c r="XAU200" s="21"/>
      <c r="XAV200" s="21"/>
      <c r="XAW200" s="21"/>
      <c r="XAX200" s="21"/>
      <c r="XAY200" s="21"/>
      <c r="XAZ200" s="21"/>
      <c r="XBA200" s="21"/>
      <c r="XBB200" s="21"/>
      <c r="XBC200" s="21"/>
      <c r="XBD200" s="21"/>
      <c r="XBE200" s="21"/>
      <c r="XBF200" s="21"/>
      <c r="XBG200" s="21"/>
      <c r="XBH200" s="21"/>
      <c r="XBI200" s="21"/>
      <c r="XBJ200" s="21"/>
      <c r="XBK200" s="21"/>
      <c r="XBL200" s="21"/>
      <c r="XBM200" s="21"/>
      <c r="XBN200" s="21"/>
      <c r="XBO200" s="21"/>
      <c r="XBP200" s="21"/>
      <c r="XBQ200" s="21"/>
      <c r="XBR200" s="21"/>
      <c r="XBS200" s="21"/>
      <c r="XBT200" s="21"/>
      <c r="XBU200" s="21"/>
      <c r="XBV200" s="21"/>
      <c r="XBW200" s="21"/>
      <c r="XBX200" s="21"/>
      <c r="XBY200" s="21"/>
      <c r="XBZ200" s="21"/>
      <c r="XCA200" s="21"/>
      <c r="XCB200" s="21"/>
      <c r="XCC200" s="21"/>
      <c r="XCD200" s="21"/>
      <c r="XCE200" s="21"/>
      <c r="XCF200" s="21"/>
      <c r="XCG200" s="21"/>
      <c r="XCH200" s="21"/>
      <c r="XCI200" s="21"/>
      <c r="XCJ200" s="21"/>
      <c r="XCK200" s="21"/>
      <c r="XCL200" s="21"/>
      <c r="XCM200" s="21"/>
      <c r="XCN200" s="21"/>
      <c r="XCO200" s="21"/>
      <c r="XCP200" s="21"/>
      <c r="XCQ200" s="21"/>
      <c r="XCR200" s="21"/>
      <c r="XCS200" s="21"/>
      <c r="XCT200" s="21"/>
      <c r="XCU200" s="21"/>
      <c r="XCV200" s="21"/>
      <c r="XCW200" s="21"/>
      <c r="XCX200" s="21"/>
      <c r="XCY200" s="21"/>
      <c r="XCZ200" s="21"/>
      <c r="XDA200" s="21"/>
      <c r="XDB200" s="21"/>
      <c r="XDC200" s="21"/>
      <c r="XDD200" s="21"/>
      <c r="XDE200" s="21"/>
      <c r="XDF200" s="21"/>
      <c r="XDG200" s="21"/>
      <c r="XDH200" s="21"/>
      <c r="XDI200" s="21"/>
      <c r="XDJ200" s="21"/>
      <c r="XDK200" s="21"/>
      <c r="XDL200" s="21"/>
      <c r="XDM200" s="21"/>
      <c r="XDN200" s="21"/>
      <c r="XDO200" s="21"/>
      <c r="XDP200" s="21"/>
      <c r="XDQ200" s="21"/>
      <c r="XDR200" s="21"/>
      <c r="XDS200" s="21"/>
      <c r="XDT200" s="21"/>
      <c r="XDU200" s="21"/>
      <c r="XDV200" s="21"/>
      <c r="XDW200" s="21"/>
      <c r="XDX200" s="21"/>
      <c r="XDY200" s="21"/>
      <c r="XDZ200" s="21"/>
      <c r="XEA200" s="21"/>
      <c r="XEB200" s="21"/>
      <c r="XEC200" s="21"/>
      <c r="XED200" s="21"/>
      <c r="XEE200" s="21"/>
      <c r="XEF200" s="21"/>
      <c r="XEG200" s="21"/>
      <c r="XEH200" s="21"/>
      <c r="XEI200" s="21"/>
      <c r="XEJ200" s="21"/>
      <c r="XEK200" s="21"/>
      <c r="XEL200" s="21"/>
      <c r="XEM200" s="21"/>
      <c r="XEN200" s="21"/>
      <c r="XEO200" s="21"/>
      <c r="XEP200" s="21"/>
      <c r="XEQ200" s="21"/>
      <c r="XER200" s="21"/>
      <c r="XES200" s="21"/>
      <c r="XET200" s="21"/>
      <c r="XEU200" s="21"/>
      <c r="XEV200" s="21"/>
      <c r="XEW200" s="21"/>
      <c r="XEX200" s="21"/>
      <c r="XEY200" s="21"/>
      <c r="XEZ200" s="21"/>
      <c r="XFA200" s="21"/>
      <c r="XFB200" s="21"/>
    </row>
    <row r="201" spans="1:16382" x14ac:dyDescent="0.3">
      <c r="A201" s="20">
        <v>45769</v>
      </c>
      <c r="B201" s="16"/>
      <c r="C201" s="16">
        <v>90000</v>
      </c>
      <c r="D201" s="17"/>
      <c r="E201" s="18" t="s">
        <v>16</v>
      </c>
      <c r="F201" s="19"/>
      <c r="G201" s="6" t="s">
        <v>16</v>
      </c>
    </row>
    <row r="202" spans="1:16382" x14ac:dyDescent="0.3">
      <c r="A202" s="20">
        <v>45770</v>
      </c>
      <c r="B202" s="16"/>
      <c r="C202" s="16">
        <v>2000</v>
      </c>
      <c r="D202" s="17"/>
      <c r="E202" s="34" t="s">
        <v>14</v>
      </c>
      <c r="F202" s="19"/>
      <c r="G202" s="6" t="s">
        <v>14</v>
      </c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  <c r="IY202" s="21"/>
      <c r="IZ202" s="21"/>
      <c r="JA202" s="21"/>
      <c r="JB202" s="21"/>
      <c r="JC202" s="21"/>
      <c r="JD202" s="21"/>
      <c r="JE202" s="21"/>
      <c r="JF202" s="21"/>
      <c r="JG202" s="21"/>
      <c r="JH202" s="21"/>
      <c r="JI202" s="21"/>
      <c r="JJ202" s="21"/>
      <c r="JK202" s="21"/>
      <c r="JL202" s="21"/>
      <c r="JM202" s="21"/>
      <c r="JN202" s="21"/>
      <c r="JO202" s="21"/>
      <c r="JP202" s="21"/>
      <c r="JQ202" s="21"/>
      <c r="JR202" s="21"/>
      <c r="JS202" s="21"/>
      <c r="JT202" s="21"/>
      <c r="JU202" s="21"/>
      <c r="JV202" s="21"/>
      <c r="JW202" s="21"/>
      <c r="JX202" s="21"/>
      <c r="JY202" s="21"/>
      <c r="JZ202" s="21"/>
      <c r="KA202" s="21"/>
      <c r="KB202" s="21"/>
      <c r="KC202" s="21"/>
      <c r="KD202" s="21"/>
      <c r="KE202" s="21"/>
      <c r="KF202" s="21"/>
      <c r="KG202" s="21"/>
      <c r="KH202" s="21"/>
      <c r="KI202" s="21"/>
      <c r="KJ202" s="21"/>
      <c r="KK202" s="21"/>
      <c r="KL202" s="21"/>
      <c r="KM202" s="21"/>
      <c r="KN202" s="21"/>
      <c r="KO202" s="21"/>
      <c r="KP202" s="21"/>
      <c r="KQ202" s="21"/>
      <c r="KR202" s="21"/>
      <c r="KS202" s="21"/>
      <c r="KT202" s="21"/>
      <c r="KU202" s="21"/>
      <c r="KV202" s="21"/>
      <c r="KW202" s="21"/>
      <c r="KX202" s="21"/>
      <c r="KY202" s="21"/>
      <c r="KZ202" s="21"/>
      <c r="LA202" s="21"/>
      <c r="LB202" s="21"/>
      <c r="LC202" s="21"/>
      <c r="LD202" s="21"/>
      <c r="LE202" s="21"/>
      <c r="LF202" s="21"/>
      <c r="LG202" s="21"/>
      <c r="LH202" s="21"/>
      <c r="LI202" s="21"/>
      <c r="LJ202" s="21"/>
      <c r="LK202" s="21"/>
      <c r="LL202" s="21"/>
      <c r="LM202" s="21"/>
      <c r="LN202" s="21"/>
      <c r="LO202" s="21"/>
      <c r="LP202" s="21"/>
      <c r="LQ202" s="21"/>
      <c r="LR202" s="21"/>
      <c r="LS202" s="21"/>
      <c r="LT202" s="21"/>
      <c r="LU202" s="21"/>
      <c r="LV202" s="21"/>
      <c r="LW202" s="21"/>
      <c r="LX202" s="21"/>
      <c r="LY202" s="21"/>
      <c r="LZ202" s="21"/>
      <c r="MA202" s="21"/>
      <c r="MB202" s="21"/>
      <c r="MC202" s="21"/>
      <c r="MD202" s="21"/>
      <c r="ME202" s="21"/>
      <c r="MF202" s="21"/>
      <c r="MG202" s="21"/>
      <c r="MH202" s="21"/>
      <c r="MI202" s="21"/>
      <c r="MJ202" s="21"/>
      <c r="MK202" s="21"/>
      <c r="ML202" s="21"/>
      <c r="MM202" s="21"/>
      <c r="MN202" s="21"/>
      <c r="MO202" s="21"/>
      <c r="MP202" s="21"/>
      <c r="MQ202" s="21"/>
      <c r="MR202" s="21"/>
      <c r="MS202" s="21"/>
      <c r="MT202" s="21"/>
      <c r="MU202" s="21"/>
      <c r="MV202" s="21"/>
      <c r="MW202" s="21"/>
      <c r="MX202" s="21"/>
      <c r="MY202" s="21"/>
      <c r="MZ202" s="21"/>
      <c r="NA202" s="21"/>
      <c r="NB202" s="21"/>
      <c r="NC202" s="21"/>
      <c r="ND202" s="21"/>
      <c r="NE202" s="21"/>
      <c r="NF202" s="21"/>
      <c r="NG202" s="21"/>
      <c r="NH202" s="21"/>
      <c r="NI202" s="21"/>
      <c r="NJ202" s="21"/>
      <c r="NK202" s="21"/>
      <c r="NL202" s="21"/>
      <c r="NM202" s="21"/>
      <c r="NN202" s="21"/>
      <c r="NO202" s="21"/>
      <c r="NP202" s="21"/>
      <c r="NQ202" s="21"/>
      <c r="NR202" s="21"/>
      <c r="NS202" s="21"/>
      <c r="NT202" s="21"/>
      <c r="NU202" s="21"/>
      <c r="NV202" s="21"/>
      <c r="NW202" s="21"/>
      <c r="NX202" s="21"/>
      <c r="NY202" s="21"/>
      <c r="NZ202" s="21"/>
      <c r="OA202" s="21"/>
      <c r="OB202" s="21"/>
      <c r="OC202" s="21"/>
      <c r="OD202" s="21"/>
      <c r="OE202" s="21"/>
      <c r="OF202" s="21"/>
      <c r="OG202" s="21"/>
      <c r="OH202" s="21"/>
      <c r="OI202" s="21"/>
      <c r="OJ202" s="21"/>
      <c r="OK202" s="21"/>
      <c r="OL202" s="21"/>
      <c r="OM202" s="21"/>
      <c r="ON202" s="21"/>
      <c r="OO202" s="21"/>
      <c r="OP202" s="21"/>
      <c r="OQ202" s="21"/>
      <c r="OR202" s="21"/>
      <c r="OS202" s="21"/>
      <c r="OT202" s="21"/>
      <c r="OU202" s="21"/>
      <c r="OV202" s="21"/>
      <c r="OW202" s="21"/>
      <c r="OX202" s="21"/>
      <c r="OY202" s="21"/>
      <c r="OZ202" s="21"/>
      <c r="PA202" s="21"/>
      <c r="PB202" s="21"/>
      <c r="PC202" s="21"/>
      <c r="PD202" s="21"/>
      <c r="PE202" s="21"/>
      <c r="PF202" s="21"/>
      <c r="PG202" s="21"/>
      <c r="PH202" s="21"/>
      <c r="PI202" s="21"/>
      <c r="PJ202" s="21"/>
      <c r="PK202" s="21"/>
      <c r="PL202" s="21"/>
      <c r="PM202" s="21"/>
      <c r="PN202" s="21"/>
      <c r="PO202" s="21"/>
      <c r="PP202" s="21"/>
      <c r="PQ202" s="21"/>
      <c r="PR202" s="21"/>
      <c r="PS202" s="21"/>
      <c r="PT202" s="21"/>
      <c r="PU202" s="21"/>
      <c r="PV202" s="21"/>
      <c r="PW202" s="21"/>
      <c r="PX202" s="21"/>
      <c r="PY202" s="21"/>
      <c r="PZ202" s="21"/>
      <c r="QA202" s="21"/>
      <c r="QB202" s="21"/>
      <c r="QC202" s="21"/>
      <c r="QD202" s="21"/>
      <c r="QE202" s="21"/>
      <c r="QF202" s="21"/>
      <c r="QG202" s="21"/>
      <c r="QH202" s="21"/>
      <c r="QI202" s="21"/>
      <c r="QJ202" s="21"/>
      <c r="QK202" s="21"/>
      <c r="QL202" s="21"/>
      <c r="QM202" s="21"/>
      <c r="QN202" s="21"/>
      <c r="QO202" s="21"/>
      <c r="QP202" s="21"/>
      <c r="QQ202" s="21"/>
      <c r="QR202" s="21"/>
      <c r="QS202" s="21"/>
      <c r="QT202" s="21"/>
      <c r="QU202" s="21"/>
      <c r="QV202" s="21"/>
      <c r="QW202" s="21"/>
      <c r="QX202" s="21"/>
      <c r="QY202" s="21"/>
      <c r="QZ202" s="21"/>
      <c r="RA202" s="21"/>
      <c r="RB202" s="21"/>
      <c r="RC202" s="21"/>
      <c r="RD202" s="21"/>
      <c r="RE202" s="21"/>
      <c r="RF202" s="21"/>
      <c r="RG202" s="21"/>
      <c r="RH202" s="21"/>
      <c r="RI202" s="21"/>
      <c r="RJ202" s="21"/>
      <c r="RK202" s="21"/>
      <c r="RL202" s="21"/>
      <c r="RM202" s="21"/>
      <c r="RN202" s="21"/>
      <c r="RO202" s="21"/>
      <c r="RP202" s="21"/>
      <c r="RQ202" s="21"/>
      <c r="RR202" s="21"/>
      <c r="RS202" s="21"/>
      <c r="RT202" s="21"/>
      <c r="RU202" s="21"/>
      <c r="RV202" s="21"/>
      <c r="RW202" s="21"/>
      <c r="RX202" s="21"/>
      <c r="RY202" s="21"/>
      <c r="RZ202" s="21"/>
      <c r="SA202" s="21"/>
      <c r="SB202" s="21"/>
      <c r="SC202" s="21"/>
      <c r="SD202" s="21"/>
      <c r="SE202" s="21"/>
      <c r="SF202" s="21"/>
      <c r="SG202" s="21"/>
      <c r="SH202" s="21"/>
      <c r="SI202" s="21"/>
      <c r="SJ202" s="21"/>
      <c r="SK202" s="21"/>
      <c r="SL202" s="21"/>
      <c r="SM202" s="21"/>
      <c r="SN202" s="21"/>
      <c r="SO202" s="21"/>
      <c r="SP202" s="21"/>
      <c r="SQ202" s="21"/>
      <c r="SR202" s="21"/>
      <c r="SS202" s="21"/>
      <c r="ST202" s="21"/>
      <c r="SU202" s="21"/>
      <c r="SV202" s="21"/>
      <c r="SW202" s="21"/>
      <c r="SX202" s="21"/>
      <c r="SY202" s="21"/>
      <c r="SZ202" s="21"/>
      <c r="TA202" s="21"/>
      <c r="TB202" s="21"/>
      <c r="TC202" s="21"/>
      <c r="TD202" s="21"/>
      <c r="TE202" s="21"/>
      <c r="TF202" s="21"/>
      <c r="TG202" s="21"/>
      <c r="TH202" s="21"/>
      <c r="TI202" s="21"/>
      <c r="TJ202" s="21"/>
      <c r="TK202" s="21"/>
      <c r="TL202" s="21"/>
      <c r="TM202" s="21"/>
      <c r="TN202" s="21"/>
      <c r="TO202" s="21"/>
      <c r="TP202" s="21"/>
      <c r="TQ202" s="21"/>
      <c r="TR202" s="21"/>
      <c r="TS202" s="21"/>
      <c r="TT202" s="21"/>
      <c r="TU202" s="21"/>
      <c r="TV202" s="21"/>
      <c r="TW202" s="21"/>
      <c r="TX202" s="21"/>
      <c r="TY202" s="21"/>
      <c r="TZ202" s="21"/>
      <c r="UA202" s="21"/>
      <c r="UB202" s="21"/>
      <c r="UC202" s="21"/>
      <c r="UD202" s="21"/>
      <c r="UE202" s="21"/>
      <c r="UF202" s="21"/>
      <c r="UG202" s="21"/>
      <c r="UH202" s="21"/>
      <c r="UI202" s="21"/>
      <c r="UJ202" s="21"/>
      <c r="UK202" s="21"/>
      <c r="UL202" s="21"/>
      <c r="UM202" s="21"/>
      <c r="UN202" s="21"/>
      <c r="UO202" s="21"/>
      <c r="UP202" s="21"/>
      <c r="UQ202" s="21"/>
      <c r="UR202" s="21"/>
      <c r="US202" s="21"/>
      <c r="UT202" s="21"/>
      <c r="UU202" s="21"/>
      <c r="UV202" s="21"/>
      <c r="UW202" s="21"/>
      <c r="UX202" s="21"/>
      <c r="UY202" s="21"/>
      <c r="UZ202" s="21"/>
      <c r="VA202" s="21"/>
      <c r="VB202" s="21"/>
      <c r="VC202" s="21"/>
      <c r="VD202" s="21"/>
      <c r="VE202" s="21"/>
      <c r="VF202" s="21"/>
      <c r="VG202" s="21"/>
      <c r="VH202" s="21"/>
      <c r="VI202" s="21"/>
      <c r="VJ202" s="21"/>
      <c r="VK202" s="21"/>
      <c r="VL202" s="21"/>
      <c r="VM202" s="21"/>
      <c r="VN202" s="21"/>
      <c r="VO202" s="21"/>
      <c r="VP202" s="21"/>
      <c r="VQ202" s="21"/>
      <c r="VR202" s="21"/>
      <c r="VS202" s="21"/>
      <c r="VT202" s="21"/>
      <c r="VU202" s="21"/>
      <c r="VV202" s="21"/>
      <c r="VW202" s="21"/>
      <c r="VX202" s="21"/>
      <c r="VY202" s="21"/>
      <c r="VZ202" s="21"/>
      <c r="WA202" s="21"/>
      <c r="WB202" s="21"/>
      <c r="WC202" s="21"/>
      <c r="WD202" s="21"/>
      <c r="WE202" s="21"/>
      <c r="WF202" s="21"/>
      <c r="WG202" s="21"/>
      <c r="WH202" s="21"/>
      <c r="WI202" s="21"/>
      <c r="WJ202" s="21"/>
      <c r="WK202" s="21"/>
      <c r="WL202" s="21"/>
      <c r="WM202" s="21"/>
      <c r="WN202" s="21"/>
      <c r="WO202" s="21"/>
      <c r="WP202" s="21"/>
      <c r="WQ202" s="21"/>
      <c r="WR202" s="21"/>
      <c r="WS202" s="21"/>
      <c r="WT202" s="21"/>
      <c r="WU202" s="21"/>
      <c r="WV202" s="21"/>
      <c r="WW202" s="21"/>
      <c r="WX202" s="21"/>
      <c r="WY202" s="21"/>
      <c r="WZ202" s="21"/>
      <c r="XA202" s="21"/>
      <c r="XB202" s="21"/>
      <c r="XC202" s="21"/>
      <c r="XD202" s="21"/>
      <c r="XE202" s="21"/>
      <c r="XF202" s="21"/>
      <c r="XG202" s="21"/>
      <c r="XH202" s="21"/>
      <c r="XI202" s="21"/>
      <c r="XJ202" s="21"/>
      <c r="XK202" s="21"/>
      <c r="XL202" s="21"/>
      <c r="XM202" s="21"/>
      <c r="XN202" s="21"/>
      <c r="XO202" s="21"/>
      <c r="XP202" s="21"/>
      <c r="XQ202" s="21"/>
      <c r="XR202" s="21"/>
      <c r="XS202" s="21"/>
      <c r="XT202" s="21"/>
      <c r="XU202" s="21"/>
      <c r="XV202" s="21"/>
      <c r="XW202" s="21"/>
      <c r="XX202" s="21"/>
      <c r="XY202" s="21"/>
      <c r="XZ202" s="21"/>
      <c r="YA202" s="21"/>
      <c r="YB202" s="21"/>
      <c r="YC202" s="21"/>
      <c r="YD202" s="21"/>
      <c r="YE202" s="21"/>
      <c r="YF202" s="21"/>
      <c r="YG202" s="21"/>
      <c r="YH202" s="21"/>
      <c r="YI202" s="21"/>
      <c r="YJ202" s="21"/>
      <c r="YK202" s="21"/>
      <c r="YL202" s="21"/>
      <c r="YM202" s="21"/>
      <c r="YN202" s="21"/>
      <c r="YO202" s="21"/>
      <c r="YP202" s="21"/>
      <c r="YQ202" s="21"/>
      <c r="YR202" s="21"/>
      <c r="YS202" s="21"/>
      <c r="YT202" s="21"/>
      <c r="YU202" s="21"/>
      <c r="YV202" s="21"/>
      <c r="YW202" s="21"/>
      <c r="YX202" s="21"/>
      <c r="YY202" s="21"/>
      <c r="YZ202" s="21"/>
      <c r="ZA202" s="21"/>
      <c r="ZB202" s="21"/>
      <c r="ZC202" s="21"/>
      <c r="ZD202" s="21"/>
      <c r="ZE202" s="21"/>
      <c r="ZF202" s="21"/>
      <c r="ZG202" s="21"/>
      <c r="ZH202" s="21"/>
      <c r="ZI202" s="21"/>
      <c r="ZJ202" s="21"/>
      <c r="ZK202" s="21"/>
      <c r="ZL202" s="21"/>
      <c r="ZM202" s="21"/>
      <c r="ZN202" s="21"/>
      <c r="ZO202" s="21"/>
      <c r="ZP202" s="21"/>
      <c r="ZQ202" s="21"/>
      <c r="ZR202" s="21"/>
      <c r="ZS202" s="21"/>
      <c r="ZT202" s="21"/>
      <c r="ZU202" s="21"/>
      <c r="ZV202" s="21"/>
      <c r="ZW202" s="21"/>
      <c r="ZX202" s="21"/>
      <c r="ZY202" s="21"/>
      <c r="ZZ202" s="21"/>
      <c r="AAA202" s="21"/>
      <c r="AAB202" s="21"/>
      <c r="AAC202" s="21"/>
      <c r="AAD202" s="21"/>
      <c r="AAE202" s="21"/>
      <c r="AAF202" s="21"/>
      <c r="AAG202" s="21"/>
      <c r="AAH202" s="21"/>
      <c r="AAI202" s="21"/>
      <c r="AAJ202" s="21"/>
      <c r="AAK202" s="21"/>
      <c r="AAL202" s="21"/>
      <c r="AAM202" s="21"/>
      <c r="AAN202" s="21"/>
      <c r="AAO202" s="21"/>
      <c r="AAP202" s="21"/>
      <c r="AAQ202" s="21"/>
      <c r="AAR202" s="21"/>
      <c r="AAS202" s="21"/>
      <c r="AAT202" s="21"/>
      <c r="AAU202" s="21"/>
      <c r="AAV202" s="21"/>
      <c r="AAW202" s="21"/>
      <c r="AAX202" s="21"/>
      <c r="AAY202" s="21"/>
      <c r="AAZ202" s="21"/>
      <c r="ABA202" s="21"/>
      <c r="ABB202" s="21"/>
      <c r="ABC202" s="21"/>
      <c r="ABD202" s="21"/>
      <c r="ABE202" s="21"/>
      <c r="ABF202" s="21"/>
      <c r="ABG202" s="21"/>
      <c r="ABH202" s="21"/>
      <c r="ABI202" s="21"/>
      <c r="ABJ202" s="21"/>
      <c r="ABK202" s="21"/>
      <c r="ABL202" s="21"/>
      <c r="ABM202" s="21"/>
      <c r="ABN202" s="21"/>
      <c r="ABO202" s="21"/>
      <c r="ABP202" s="21"/>
      <c r="ABQ202" s="21"/>
      <c r="ABR202" s="21"/>
      <c r="ABS202" s="21"/>
      <c r="ABT202" s="21"/>
      <c r="ABU202" s="21"/>
      <c r="ABV202" s="21"/>
      <c r="ABW202" s="21"/>
      <c r="ABX202" s="21"/>
      <c r="ABY202" s="21"/>
      <c r="ABZ202" s="21"/>
      <c r="ACA202" s="21"/>
      <c r="ACB202" s="21"/>
      <c r="ACC202" s="21"/>
      <c r="ACD202" s="21"/>
      <c r="ACE202" s="21"/>
      <c r="ACF202" s="21"/>
      <c r="ACG202" s="21"/>
      <c r="ACH202" s="21"/>
      <c r="ACI202" s="21"/>
      <c r="ACJ202" s="21"/>
      <c r="ACK202" s="21"/>
      <c r="ACL202" s="21"/>
      <c r="ACM202" s="21"/>
      <c r="ACN202" s="21"/>
      <c r="ACO202" s="21"/>
      <c r="ACP202" s="21"/>
      <c r="ACQ202" s="21"/>
      <c r="ACR202" s="21"/>
      <c r="ACS202" s="21"/>
      <c r="ACT202" s="21"/>
      <c r="ACU202" s="21"/>
      <c r="ACV202" s="21"/>
      <c r="ACW202" s="21"/>
      <c r="ACX202" s="21"/>
      <c r="ACY202" s="21"/>
      <c r="ACZ202" s="21"/>
      <c r="ADA202" s="21"/>
      <c r="ADB202" s="21"/>
      <c r="ADC202" s="21"/>
      <c r="ADD202" s="21"/>
      <c r="ADE202" s="21"/>
      <c r="ADF202" s="21"/>
      <c r="ADG202" s="21"/>
      <c r="ADH202" s="21"/>
      <c r="ADI202" s="21"/>
      <c r="ADJ202" s="21"/>
      <c r="ADK202" s="21"/>
      <c r="ADL202" s="21"/>
      <c r="ADM202" s="21"/>
      <c r="ADN202" s="21"/>
      <c r="ADO202" s="21"/>
      <c r="ADP202" s="21"/>
      <c r="ADQ202" s="21"/>
      <c r="ADR202" s="21"/>
      <c r="ADS202" s="21"/>
      <c r="ADT202" s="21"/>
      <c r="ADU202" s="21"/>
      <c r="ADV202" s="21"/>
      <c r="ADW202" s="21"/>
      <c r="ADX202" s="21"/>
      <c r="ADY202" s="21"/>
      <c r="ADZ202" s="21"/>
      <c r="AEA202" s="21"/>
      <c r="AEB202" s="21"/>
      <c r="AEC202" s="21"/>
      <c r="AED202" s="21"/>
      <c r="AEE202" s="21"/>
      <c r="AEF202" s="21"/>
      <c r="AEG202" s="21"/>
      <c r="AEH202" s="21"/>
      <c r="AEI202" s="21"/>
      <c r="AEJ202" s="21"/>
      <c r="AEK202" s="21"/>
      <c r="AEL202" s="21"/>
      <c r="AEM202" s="21"/>
      <c r="AEN202" s="21"/>
      <c r="AEO202" s="21"/>
      <c r="AEP202" s="21"/>
      <c r="AEQ202" s="21"/>
      <c r="AER202" s="21"/>
      <c r="AES202" s="21"/>
      <c r="AET202" s="21"/>
      <c r="AEU202" s="21"/>
      <c r="AEV202" s="21"/>
      <c r="AEW202" s="21"/>
      <c r="AEX202" s="21"/>
      <c r="AEY202" s="21"/>
      <c r="AEZ202" s="21"/>
      <c r="AFA202" s="21"/>
      <c r="AFB202" s="21"/>
      <c r="AFC202" s="21"/>
      <c r="AFD202" s="21"/>
      <c r="AFE202" s="21"/>
      <c r="AFF202" s="21"/>
      <c r="AFG202" s="21"/>
      <c r="AFH202" s="21"/>
      <c r="AFI202" s="21"/>
      <c r="AFJ202" s="21"/>
      <c r="AFK202" s="21"/>
      <c r="AFL202" s="21"/>
      <c r="AFM202" s="21"/>
      <c r="AFN202" s="21"/>
      <c r="AFO202" s="21"/>
      <c r="AFP202" s="21"/>
      <c r="AFQ202" s="21"/>
      <c r="AFR202" s="21"/>
      <c r="AFS202" s="21"/>
      <c r="AFT202" s="21"/>
      <c r="AFU202" s="21"/>
      <c r="AFV202" s="21"/>
      <c r="AFW202" s="21"/>
      <c r="AFX202" s="21"/>
      <c r="AFY202" s="21"/>
      <c r="AFZ202" s="21"/>
      <c r="AGA202" s="21"/>
      <c r="AGB202" s="21"/>
      <c r="AGC202" s="21"/>
      <c r="AGD202" s="21"/>
      <c r="AGE202" s="21"/>
      <c r="AGF202" s="21"/>
      <c r="AGG202" s="21"/>
      <c r="AGH202" s="21"/>
      <c r="AGI202" s="21"/>
      <c r="AGJ202" s="21"/>
      <c r="AGK202" s="21"/>
      <c r="AGL202" s="21"/>
      <c r="AGM202" s="21"/>
      <c r="AGN202" s="21"/>
      <c r="AGO202" s="21"/>
      <c r="AGP202" s="21"/>
      <c r="AGQ202" s="21"/>
      <c r="AGR202" s="21"/>
      <c r="AGS202" s="21"/>
      <c r="AGT202" s="21"/>
      <c r="AGU202" s="21"/>
      <c r="AGV202" s="21"/>
      <c r="AGW202" s="21"/>
      <c r="AGX202" s="21"/>
      <c r="AGY202" s="21"/>
      <c r="AGZ202" s="21"/>
      <c r="AHA202" s="21"/>
      <c r="AHB202" s="21"/>
      <c r="AHC202" s="21"/>
      <c r="AHD202" s="21"/>
      <c r="AHE202" s="21"/>
      <c r="AHF202" s="21"/>
      <c r="AHG202" s="21"/>
      <c r="AHH202" s="21"/>
      <c r="AHI202" s="21"/>
      <c r="AHJ202" s="21"/>
      <c r="AHK202" s="21"/>
      <c r="AHL202" s="21"/>
      <c r="AHM202" s="21"/>
      <c r="AHN202" s="21"/>
      <c r="AHO202" s="21"/>
      <c r="AHP202" s="21"/>
      <c r="AHQ202" s="21"/>
      <c r="AHR202" s="21"/>
      <c r="AHS202" s="21"/>
      <c r="AHT202" s="21"/>
      <c r="AHU202" s="21"/>
      <c r="AHV202" s="21"/>
      <c r="AHW202" s="21"/>
      <c r="AHX202" s="21"/>
      <c r="AHY202" s="21"/>
      <c r="AHZ202" s="21"/>
      <c r="AIA202" s="21"/>
      <c r="AIB202" s="21"/>
      <c r="AIC202" s="21"/>
      <c r="AID202" s="21"/>
      <c r="AIE202" s="21"/>
      <c r="AIF202" s="21"/>
      <c r="AIG202" s="21"/>
      <c r="AIH202" s="21"/>
      <c r="AII202" s="21"/>
      <c r="AIJ202" s="21"/>
      <c r="AIK202" s="21"/>
      <c r="AIL202" s="21"/>
      <c r="AIM202" s="21"/>
      <c r="AIN202" s="21"/>
      <c r="AIO202" s="21"/>
      <c r="AIP202" s="21"/>
      <c r="AIQ202" s="21"/>
      <c r="AIR202" s="21"/>
      <c r="AIS202" s="21"/>
      <c r="AIT202" s="21"/>
      <c r="AIU202" s="21"/>
      <c r="AIV202" s="21"/>
      <c r="AIW202" s="21"/>
      <c r="AIX202" s="21"/>
      <c r="AIY202" s="21"/>
      <c r="AIZ202" s="21"/>
      <c r="AJA202" s="21"/>
      <c r="AJB202" s="21"/>
      <c r="AJC202" s="21"/>
      <c r="AJD202" s="21"/>
      <c r="AJE202" s="21"/>
      <c r="AJF202" s="21"/>
      <c r="AJG202" s="21"/>
      <c r="AJH202" s="21"/>
      <c r="AJI202" s="21"/>
      <c r="AJJ202" s="21"/>
      <c r="AJK202" s="21"/>
      <c r="AJL202" s="21"/>
      <c r="AJM202" s="21"/>
      <c r="AJN202" s="21"/>
      <c r="AJO202" s="21"/>
      <c r="AJP202" s="21"/>
      <c r="AJQ202" s="21"/>
      <c r="AJR202" s="21"/>
      <c r="AJS202" s="21"/>
      <c r="AJT202" s="21"/>
      <c r="AJU202" s="21"/>
      <c r="AJV202" s="21"/>
      <c r="AJW202" s="21"/>
      <c r="AJX202" s="21"/>
      <c r="AJY202" s="21"/>
      <c r="AJZ202" s="21"/>
      <c r="AKA202" s="21"/>
      <c r="AKB202" s="21"/>
      <c r="AKC202" s="21"/>
      <c r="AKD202" s="21"/>
      <c r="AKE202" s="21"/>
      <c r="AKF202" s="21"/>
      <c r="AKG202" s="21"/>
      <c r="AKH202" s="21"/>
      <c r="AKI202" s="21"/>
      <c r="AKJ202" s="21"/>
      <c r="AKK202" s="21"/>
      <c r="AKL202" s="21"/>
      <c r="AKM202" s="21"/>
      <c r="AKN202" s="21"/>
      <c r="AKO202" s="21"/>
      <c r="AKP202" s="21"/>
      <c r="AKQ202" s="21"/>
      <c r="AKR202" s="21"/>
      <c r="AKS202" s="21"/>
      <c r="AKT202" s="21"/>
      <c r="AKU202" s="21"/>
      <c r="AKV202" s="21"/>
      <c r="AKW202" s="21"/>
      <c r="AKX202" s="21"/>
      <c r="AKY202" s="21"/>
      <c r="AKZ202" s="21"/>
      <c r="ALA202" s="21"/>
      <c r="ALB202" s="21"/>
      <c r="ALC202" s="21"/>
      <c r="ALD202" s="21"/>
      <c r="ALE202" s="21"/>
      <c r="ALF202" s="21"/>
      <c r="ALG202" s="21"/>
      <c r="ALH202" s="21"/>
      <c r="ALI202" s="21"/>
      <c r="ALJ202" s="21"/>
      <c r="ALK202" s="21"/>
      <c r="ALL202" s="21"/>
      <c r="ALM202" s="21"/>
      <c r="ALN202" s="21"/>
      <c r="ALO202" s="21"/>
      <c r="ALP202" s="21"/>
      <c r="ALQ202" s="21"/>
      <c r="ALR202" s="21"/>
      <c r="ALS202" s="21"/>
      <c r="ALT202" s="21"/>
      <c r="ALU202" s="21"/>
      <c r="ALV202" s="21"/>
      <c r="ALW202" s="21"/>
      <c r="ALX202" s="21"/>
      <c r="ALY202" s="21"/>
      <c r="ALZ202" s="21"/>
      <c r="AMA202" s="21"/>
      <c r="AMB202" s="21"/>
      <c r="AMC202" s="21"/>
      <c r="AMD202" s="21"/>
      <c r="AME202" s="21"/>
      <c r="AMF202" s="21"/>
      <c r="AMG202" s="21"/>
      <c r="AMH202" s="21"/>
      <c r="AMI202" s="21"/>
      <c r="AMJ202" s="21"/>
      <c r="AMK202" s="21"/>
      <c r="AML202" s="21"/>
      <c r="AMM202" s="21"/>
      <c r="AMN202" s="21"/>
      <c r="AMO202" s="21"/>
      <c r="AMP202" s="21"/>
      <c r="AMQ202" s="21"/>
      <c r="AMR202" s="21"/>
      <c r="AMS202" s="21"/>
      <c r="AMT202" s="21"/>
      <c r="AMU202" s="21"/>
      <c r="AMV202" s="21"/>
      <c r="AMW202" s="21"/>
      <c r="AMX202" s="21"/>
      <c r="AMY202" s="21"/>
      <c r="AMZ202" s="21"/>
      <c r="ANA202" s="21"/>
      <c r="ANB202" s="21"/>
      <c r="ANC202" s="21"/>
      <c r="AND202" s="21"/>
      <c r="ANE202" s="21"/>
      <c r="ANF202" s="21"/>
      <c r="ANG202" s="21"/>
      <c r="ANH202" s="21"/>
      <c r="ANI202" s="21"/>
      <c r="ANJ202" s="21"/>
      <c r="ANK202" s="21"/>
      <c r="ANL202" s="21"/>
      <c r="ANM202" s="21"/>
      <c r="ANN202" s="21"/>
      <c r="ANO202" s="21"/>
      <c r="ANP202" s="21"/>
      <c r="ANQ202" s="21"/>
      <c r="ANR202" s="21"/>
      <c r="ANS202" s="21"/>
      <c r="ANT202" s="21"/>
      <c r="ANU202" s="21"/>
      <c r="ANV202" s="21"/>
      <c r="ANW202" s="21"/>
      <c r="ANX202" s="21"/>
      <c r="ANY202" s="21"/>
      <c r="ANZ202" s="21"/>
      <c r="AOA202" s="21"/>
      <c r="AOB202" s="21"/>
      <c r="AOC202" s="21"/>
      <c r="AOD202" s="21"/>
      <c r="AOE202" s="21"/>
      <c r="AOF202" s="21"/>
      <c r="AOG202" s="21"/>
      <c r="AOH202" s="21"/>
      <c r="AOI202" s="21"/>
      <c r="AOJ202" s="21"/>
      <c r="AOK202" s="21"/>
      <c r="AOL202" s="21"/>
      <c r="AOM202" s="21"/>
      <c r="AON202" s="21"/>
      <c r="AOO202" s="21"/>
      <c r="AOP202" s="21"/>
      <c r="AOQ202" s="21"/>
      <c r="AOR202" s="21"/>
      <c r="AOS202" s="21"/>
      <c r="AOT202" s="21"/>
      <c r="AOU202" s="21"/>
      <c r="AOV202" s="21"/>
      <c r="AOW202" s="21"/>
      <c r="AOX202" s="21"/>
      <c r="AOY202" s="21"/>
      <c r="AOZ202" s="21"/>
      <c r="APA202" s="21"/>
      <c r="APB202" s="21"/>
      <c r="APC202" s="21"/>
      <c r="APD202" s="21"/>
      <c r="APE202" s="21"/>
      <c r="APF202" s="21"/>
      <c r="APG202" s="21"/>
      <c r="APH202" s="21"/>
      <c r="API202" s="21"/>
      <c r="APJ202" s="21"/>
      <c r="APK202" s="21"/>
      <c r="APL202" s="21"/>
      <c r="APM202" s="21"/>
      <c r="APN202" s="21"/>
      <c r="APO202" s="21"/>
      <c r="APP202" s="21"/>
      <c r="APQ202" s="21"/>
      <c r="APR202" s="21"/>
      <c r="APS202" s="21"/>
      <c r="APT202" s="21"/>
      <c r="APU202" s="21"/>
      <c r="APV202" s="21"/>
      <c r="APW202" s="21"/>
      <c r="APX202" s="21"/>
      <c r="APY202" s="21"/>
      <c r="APZ202" s="21"/>
      <c r="AQA202" s="21"/>
      <c r="AQB202" s="21"/>
      <c r="AQC202" s="21"/>
      <c r="AQD202" s="21"/>
      <c r="AQE202" s="21"/>
      <c r="AQF202" s="21"/>
      <c r="AQG202" s="21"/>
      <c r="AQH202" s="21"/>
      <c r="AQI202" s="21"/>
      <c r="AQJ202" s="21"/>
      <c r="AQK202" s="21"/>
      <c r="AQL202" s="21"/>
      <c r="AQM202" s="21"/>
      <c r="AQN202" s="21"/>
      <c r="AQO202" s="21"/>
      <c r="AQP202" s="21"/>
      <c r="AQQ202" s="21"/>
      <c r="AQR202" s="21"/>
      <c r="AQS202" s="21"/>
      <c r="AQT202" s="21"/>
      <c r="AQU202" s="21"/>
      <c r="AQV202" s="21"/>
      <c r="AQW202" s="21"/>
      <c r="AQX202" s="21"/>
      <c r="AQY202" s="21"/>
      <c r="AQZ202" s="21"/>
      <c r="ARA202" s="21"/>
      <c r="ARB202" s="21"/>
      <c r="ARC202" s="21"/>
      <c r="ARD202" s="21"/>
      <c r="ARE202" s="21"/>
      <c r="ARF202" s="21"/>
      <c r="ARG202" s="21"/>
      <c r="ARH202" s="21"/>
      <c r="ARI202" s="21"/>
      <c r="ARJ202" s="21"/>
      <c r="ARK202" s="21"/>
      <c r="ARL202" s="21"/>
      <c r="ARM202" s="21"/>
      <c r="ARN202" s="21"/>
      <c r="ARO202" s="21"/>
      <c r="ARP202" s="21"/>
      <c r="ARQ202" s="21"/>
      <c r="ARR202" s="21"/>
      <c r="ARS202" s="21"/>
      <c r="ART202" s="21"/>
      <c r="ARU202" s="21"/>
      <c r="ARV202" s="21"/>
      <c r="ARW202" s="21"/>
      <c r="ARX202" s="21"/>
      <c r="ARY202" s="21"/>
      <c r="ARZ202" s="21"/>
      <c r="ASA202" s="21"/>
      <c r="ASB202" s="21"/>
      <c r="ASC202" s="21"/>
      <c r="ASD202" s="21"/>
      <c r="ASE202" s="21"/>
      <c r="ASF202" s="21"/>
      <c r="ASG202" s="21"/>
      <c r="ASH202" s="21"/>
      <c r="ASI202" s="21"/>
      <c r="ASJ202" s="21"/>
      <c r="ASK202" s="21"/>
      <c r="ASL202" s="21"/>
      <c r="ASM202" s="21"/>
      <c r="ASN202" s="21"/>
      <c r="ASO202" s="21"/>
      <c r="ASP202" s="21"/>
      <c r="ASQ202" s="21"/>
      <c r="ASR202" s="21"/>
      <c r="ASS202" s="21"/>
      <c r="AST202" s="21"/>
      <c r="ASU202" s="21"/>
      <c r="ASV202" s="21"/>
      <c r="ASW202" s="21"/>
      <c r="ASX202" s="21"/>
      <c r="ASY202" s="21"/>
      <c r="ASZ202" s="21"/>
      <c r="ATA202" s="21"/>
      <c r="ATB202" s="21"/>
      <c r="ATC202" s="21"/>
      <c r="ATD202" s="21"/>
      <c r="ATE202" s="21"/>
      <c r="ATF202" s="21"/>
      <c r="ATG202" s="21"/>
      <c r="ATH202" s="21"/>
      <c r="ATI202" s="21"/>
      <c r="ATJ202" s="21"/>
      <c r="ATK202" s="21"/>
      <c r="ATL202" s="21"/>
      <c r="ATM202" s="21"/>
      <c r="ATN202" s="21"/>
      <c r="ATO202" s="21"/>
      <c r="ATP202" s="21"/>
      <c r="ATQ202" s="21"/>
      <c r="ATR202" s="21"/>
      <c r="ATS202" s="21"/>
      <c r="ATT202" s="21"/>
      <c r="ATU202" s="21"/>
      <c r="ATV202" s="21"/>
      <c r="ATW202" s="21"/>
      <c r="ATX202" s="21"/>
      <c r="ATY202" s="21"/>
      <c r="ATZ202" s="21"/>
      <c r="AUA202" s="21"/>
      <c r="AUB202" s="21"/>
      <c r="AUC202" s="21"/>
      <c r="AUD202" s="21"/>
      <c r="AUE202" s="21"/>
      <c r="AUF202" s="21"/>
      <c r="AUG202" s="21"/>
      <c r="AUH202" s="21"/>
      <c r="AUI202" s="21"/>
      <c r="AUJ202" s="21"/>
      <c r="AUK202" s="21"/>
      <c r="AUL202" s="21"/>
      <c r="AUM202" s="21"/>
      <c r="AUN202" s="21"/>
      <c r="AUO202" s="21"/>
      <c r="AUP202" s="21"/>
      <c r="AUQ202" s="21"/>
      <c r="AUR202" s="21"/>
      <c r="AUS202" s="21"/>
      <c r="AUT202" s="21"/>
      <c r="AUU202" s="21"/>
      <c r="AUV202" s="21"/>
      <c r="AUW202" s="21"/>
      <c r="AUX202" s="21"/>
      <c r="AUY202" s="21"/>
      <c r="AUZ202" s="21"/>
      <c r="AVA202" s="21"/>
      <c r="AVB202" s="21"/>
      <c r="AVC202" s="21"/>
      <c r="AVD202" s="21"/>
      <c r="AVE202" s="21"/>
      <c r="AVF202" s="21"/>
      <c r="AVG202" s="21"/>
      <c r="AVH202" s="21"/>
      <c r="AVI202" s="21"/>
      <c r="AVJ202" s="21"/>
      <c r="AVK202" s="21"/>
      <c r="AVL202" s="21"/>
      <c r="AVM202" s="21"/>
      <c r="AVN202" s="21"/>
      <c r="AVO202" s="21"/>
      <c r="AVP202" s="21"/>
      <c r="AVQ202" s="21"/>
      <c r="AVR202" s="21"/>
      <c r="AVS202" s="21"/>
      <c r="AVT202" s="21"/>
      <c r="AVU202" s="21"/>
      <c r="AVV202" s="21"/>
      <c r="AVW202" s="21"/>
      <c r="AVX202" s="21"/>
      <c r="AVY202" s="21"/>
      <c r="AVZ202" s="21"/>
      <c r="AWA202" s="21"/>
      <c r="AWB202" s="21"/>
      <c r="AWC202" s="21"/>
      <c r="AWD202" s="21"/>
      <c r="AWE202" s="21"/>
      <c r="AWF202" s="21"/>
      <c r="AWG202" s="21"/>
      <c r="AWH202" s="21"/>
      <c r="AWI202" s="21"/>
      <c r="AWJ202" s="21"/>
      <c r="AWK202" s="21"/>
      <c r="AWL202" s="21"/>
      <c r="AWM202" s="21"/>
      <c r="AWN202" s="21"/>
      <c r="AWO202" s="21"/>
      <c r="AWP202" s="21"/>
      <c r="AWQ202" s="21"/>
      <c r="AWR202" s="21"/>
      <c r="AWS202" s="21"/>
      <c r="AWT202" s="21"/>
      <c r="AWU202" s="21"/>
      <c r="AWV202" s="21"/>
      <c r="AWW202" s="21"/>
      <c r="AWX202" s="21"/>
      <c r="AWY202" s="21"/>
      <c r="AWZ202" s="21"/>
      <c r="AXA202" s="21"/>
      <c r="AXB202" s="21"/>
      <c r="AXC202" s="21"/>
      <c r="AXD202" s="21"/>
      <c r="AXE202" s="21"/>
      <c r="AXF202" s="21"/>
      <c r="AXG202" s="21"/>
      <c r="AXH202" s="21"/>
      <c r="AXI202" s="21"/>
      <c r="AXJ202" s="21"/>
      <c r="AXK202" s="21"/>
      <c r="AXL202" s="21"/>
      <c r="AXM202" s="21"/>
      <c r="AXN202" s="21"/>
      <c r="AXO202" s="21"/>
      <c r="AXP202" s="21"/>
      <c r="AXQ202" s="21"/>
      <c r="AXR202" s="21"/>
      <c r="AXS202" s="21"/>
      <c r="AXT202" s="21"/>
      <c r="AXU202" s="21"/>
      <c r="AXV202" s="21"/>
      <c r="AXW202" s="21"/>
      <c r="AXX202" s="21"/>
      <c r="AXY202" s="21"/>
      <c r="AXZ202" s="21"/>
      <c r="AYA202" s="21"/>
      <c r="AYB202" s="21"/>
      <c r="AYC202" s="21"/>
      <c r="AYD202" s="21"/>
      <c r="AYE202" s="21"/>
      <c r="AYF202" s="21"/>
      <c r="AYG202" s="21"/>
      <c r="AYH202" s="21"/>
      <c r="AYI202" s="21"/>
      <c r="AYJ202" s="21"/>
      <c r="AYK202" s="21"/>
      <c r="AYL202" s="21"/>
      <c r="AYM202" s="21"/>
      <c r="AYN202" s="21"/>
      <c r="AYO202" s="21"/>
      <c r="AYP202" s="21"/>
      <c r="AYQ202" s="21"/>
      <c r="AYR202" s="21"/>
      <c r="AYS202" s="21"/>
      <c r="AYT202" s="21"/>
      <c r="AYU202" s="21"/>
      <c r="AYV202" s="21"/>
      <c r="AYW202" s="21"/>
      <c r="AYX202" s="21"/>
      <c r="AYY202" s="21"/>
      <c r="AYZ202" s="21"/>
      <c r="AZA202" s="21"/>
      <c r="AZB202" s="21"/>
      <c r="AZC202" s="21"/>
      <c r="AZD202" s="21"/>
      <c r="AZE202" s="21"/>
      <c r="AZF202" s="21"/>
      <c r="AZG202" s="21"/>
      <c r="AZH202" s="21"/>
      <c r="AZI202" s="21"/>
      <c r="AZJ202" s="21"/>
      <c r="AZK202" s="21"/>
      <c r="AZL202" s="21"/>
      <c r="AZM202" s="21"/>
      <c r="AZN202" s="21"/>
      <c r="AZO202" s="21"/>
      <c r="AZP202" s="21"/>
      <c r="AZQ202" s="21"/>
      <c r="AZR202" s="21"/>
      <c r="AZS202" s="21"/>
      <c r="AZT202" s="21"/>
      <c r="AZU202" s="21"/>
      <c r="AZV202" s="21"/>
      <c r="AZW202" s="21"/>
      <c r="AZX202" s="21"/>
      <c r="AZY202" s="21"/>
      <c r="AZZ202" s="21"/>
      <c r="BAA202" s="21"/>
      <c r="BAB202" s="21"/>
      <c r="BAC202" s="21"/>
      <c r="BAD202" s="21"/>
      <c r="BAE202" s="21"/>
      <c r="BAF202" s="21"/>
      <c r="BAG202" s="21"/>
      <c r="BAH202" s="21"/>
      <c r="BAI202" s="21"/>
      <c r="BAJ202" s="21"/>
      <c r="BAK202" s="21"/>
      <c r="BAL202" s="21"/>
      <c r="BAM202" s="21"/>
      <c r="BAN202" s="21"/>
      <c r="BAO202" s="21"/>
      <c r="BAP202" s="21"/>
      <c r="BAQ202" s="21"/>
      <c r="BAR202" s="21"/>
      <c r="BAS202" s="21"/>
      <c r="BAT202" s="21"/>
      <c r="BAU202" s="21"/>
      <c r="BAV202" s="21"/>
      <c r="BAW202" s="21"/>
      <c r="BAX202" s="21"/>
      <c r="BAY202" s="21"/>
      <c r="BAZ202" s="21"/>
      <c r="BBA202" s="21"/>
      <c r="BBB202" s="21"/>
      <c r="BBC202" s="21"/>
      <c r="BBD202" s="21"/>
      <c r="BBE202" s="21"/>
      <c r="BBF202" s="21"/>
      <c r="BBG202" s="21"/>
      <c r="BBH202" s="21"/>
      <c r="BBI202" s="21"/>
      <c r="BBJ202" s="21"/>
      <c r="BBK202" s="21"/>
      <c r="BBL202" s="21"/>
      <c r="BBM202" s="21"/>
      <c r="BBN202" s="21"/>
      <c r="BBO202" s="21"/>
      <c r="BBP202" s="21"/>
      <c r="BBQ202" s="21"/>
      <c r="BBR202" s="21"/>
      <c r="BBS202" s="21"/>
      <c r="BBT202" s="21"/>
      <c r="BBU202" s="21"/>
      <c r="BBV202" s="21"/>
      <c r="BBW202" s="21"/>
      <c r="BBX202" s="21"/>
      <c r="BBY202" s="21"/>
      <c r="BBZ202" s="21"/>
      <c r="BCA202" s="21"/>
      <c r="BCB202" s="21"/>
      <c r="BCC202" s="21"/>
      <c r="BCD202" s="21"/>
      <c r="BCE202" s="21"/>
      <c r="BCF202" s="21"/>
      <c r="BCG202" s="21"/>
      <c r="BCH202" s="21"/>
      <c r="BCI202" s="21"/>
      <c r="BCJ202" s="21"/>
      <c r="BCK202" s="21"/>
      <c r="BCL202" s="21"/>
      <c r="BCM202" s="21"/>
      <c r="BCN202" s="21"/>
      <c r="BCO202" s="21"/>
      <c r="BCP202" s="21"/>
      <c r="BCQ202" s="21"/>
      <c r="BCR202" s="21"/>
      <c r="BCS202" s="21"/>
      <c r="BCT202" s="21"/>
      <c r="BCU202" s="21"/>
      <c r="BCV202" s="21"/>
      <c r="BCW202" s="21"/>
      <c r="BCX202" s="21"/>
      <c r="BCY202" s="21"/>
      <c r="BCZ202" s="21"/>
      <c r="BDA202" s="21"/>
      <c r="BDB202" s="21"/>
      <c r="BDC202" s="21"/>
      <c r="BDD202" s="21"/>
      <c r="BDE202" s="21"/>
      <c r="BDF202" s="21"/>
      <c r="BDG202" s="21"/>
      <c r="BDH202" s="21"/>
      <c r="BDI202" s="21"/>
      <c r="BDJ202" s="21"/>
      <c r="BDK202" s="21"/>
      <c r="BDL202" s="21"/>
      <c r="BDM202" s="21"/>
      <c r="BDN202" s="21"/>
      <c r="BDO202" s="21"/>
      <c r="BDP202" s="21"/>
      <c r="BDQ202" s="21"/>
      <c r="BDR202" s="21"/>
      <c r="BDS202" s="21"/>
      <c r="BDT202" s="21"/>
      <c r="BDU202" s="21"/>
      <c r="BDV202" s="21"/>
      <c r="BDW202" s="21"/>
      <c r="BDX202" s="21"/>
      <c r="BDY202" s="21"/>
      <c r="BDZ202" s="21"/>
      <c r="BEA202" s="21"/>
      <c r="BEB202" s="21"/>
      <c r="BEC202" s="21"/>
      <c r="BED202" s="21"/>
      <c r="BEE202" s="21"/>
      <c r="BEF202" s="21"/>
      <c r="BEG202" s="21"/>
      <c r="BEH202" s="21"/>
      <c r="BEI202" s="21"/>
      <c r="BEJ202" s="21"/>
      <c r="BEK202" s="21"/>
      <c r="BEL202" s="21"/>
      <c r="BEM202" s="21"/>
      <c r="BEN202" s="21"/>
      <c r="BEO202" s="21"/>
      <c r="BEP202" s="21"/>
      <c r="BEQ202" s="21"/>
      <c r="BER202" s="21"/>
      <c r="BES202" s="21"/>
      <c r="BET202" s="21"/>
      <c r="BEU202" s="21"/>
      <c r="BEV202" s="21"/>
      <c r="BEW202" s="21"/>
      <c r="BEX202" s="21"/>
      <c r="BEY202" s="21"/>
      <c r="BEZ202" s="21"/>
      <c r="BFA202" s="21"/>
      <c r="BFB202" s="21"/>
      <c r="BFC202" s="21"/>
      <c r="BFD202" s="21"/>
      <c r="BFE202" s="21"/>
      <c r="BFF202" s="21"/>
      <c r="BFG202" s="21"/>
      <c r="BFH202" s="21"/>
      <c r="BFI202" s="21"/>
      <c r="BFJ202" s="21"/>
      <c r="BFK202" s="21"/>
      <c r="BFL202" s="21"/>
      <c r="BFM202" s="21"/>
      <c r="BFN202" s="21"/>
      <c r="BFO202" s="21"/>
      <c r="BFP202" s="21"/>
      <c r="BFQ202" s="21"/>
      <c r="BFR202" s="21"/>
      <c r="BFS202" s="21"/>
      <c r="BFT202" s="21"/>
      <c r="BFU202" s="21"/>
      <c r="BFV202" s="21"/>
      <c r="BFW202" s="21"/>
      <c r="BFX202" s="21"/>
      <c r="BFY202" s="21"/>
      <c r="BFZ202" s="21"/>
      <c r="BGA202" s="21"/>
      <c r="BGB202" s="21"/>
      <c r="BGC202" s="21"/>
      <c r="BGD202" s="21"/>
      <c r="BGE202" s="21"/>
      <c r="BGF202" s="21"/>
      <c r="BGG202" s="21"/>
      <c r="BGH202" s="21"/>
      <c r="BGI202" s="21"/>
      <c r="BGJ202" s="21"/>
      <c r="BGK202" s="21"/>
      <c r="BGL202" s="21"/>
      <c r="BGM202" s="21"/>
      <c r="BGN202" s="21"/>
      <c r="BGO202" s="21"/>
      <c r="BGP202" s="21"/>
      <c r="BGQ202" s="21"/>
      <c r="BGR202" s="21"/>
      <c r="BGS202" s="21"/>
      <c r="BGT202" s="21"/>
      <c r="BGU202" s="21"/>
      <c r="BGV202" s="21"/>
      <c r="BGW202" s="21"/>
      <c r="BGX202" s="21"/>
      <c r="BGY202" s="21"/>
      <c r="BGZ202" s="21"/>
      <c r="BHA202" s="21"/>
      <c r="BHB202" s="21"/>
      <c r="BHC202" s="21"/>
      <c r="BHD202" s="21"/>
      <c r="BHE202" s="21"/>
      <c r="BHF202" s="21"/>
      <c r="BHG202" s="21"/>
      <c r="BHH202" s="21"/>
      <c r="BHI202" s="21"/>
      <c r="BHJ202" s="21"/>
      <c r="BHK202" s="21"/>
      <c r="BHL202" s="21"/>
      <c r="BHM202" s="21"/>
      <c r="BHN202" s="21"/>
      <c r="BHO202" s="21"/>
      <c r="BHP202" s="21"/>
      <c r="BHQ202" s="21"/>
      <c r="BHR202" s="21"/>
      <c r="BHS202" s="21"/>
      <c r="BHT202" s="21"/>
      <c r="BHU202" s="21"/>
      <c r="BHV202" s="21"/>
      <c r="BHW202" s="21"/>
      <c r="BHX202" s="21"/>
      <c r="BHY202" s="21"/>
      <c r="BHZ202" s="21"/>
      <c r="BIA202" s="21"/>
      <c r="BIB202" s="21"/>
      <c r="BIC202" s="21"/>
      <c r="BID202" s="21"/>
      <c r="BIE202" s="21"/>
      <c r="BIF202" s="21"/>
      <c r="BIG202" s="21"/>
      <c r="BIH202" s="21"/>
      <c r="BII202" s="21"/>
      <c r="BIJ202" s="21"/>
      <c r="BIK202" s="21"/>
      <c r="BIL202" s="21"/>
      <c r="BIM202" s="21"/>
      <c r="BIN202" s="21"/>
      <c r="BIO202" s="21"/>
      <c r="BIP202" s="21"/>
      <c r="BIQ202" s="21"/>
      <c r="BIR202" s="21"/>
      <c r="BIS202" s="21"/>
      <c r="BIT202" s="21"/>
      <c r="BIU202" s="21"/>
      <c r="BIV202" s="21"/>
      <c r="BIW202" s="21"/>
      <c r="BIX202" s="21"/>
      <c r="BIY202" s="21"/>
      <c r="BIZ202" s="21"/>
      <c r="BJA202" s="21"/>
      <c r="BJB202" s="21"/>
      <c r="BJC202" s="21"/>
      <c r="BJD202" s="21"/>
      <c r="BJE202" s="21"/>
      <c r="BJF202" s="21"/>
      <c r="BJG202" s="21"/>
      <c r="BJH202" s="21"/>
      <c r="BJI202" s="21"/>
      <c r="BJJ202" s="21"/>
      <c r="BJK202" s="21"/>
      <c r="BJL202" s="21"/>
      <c r="BJM202" s="21"/>
      <c r="BJN202" s="21"/>
      <c r="BJO202" s="21"/>
      <c r="BJP202" s="21"/>
      <c r="BJQ202" s="21"/>
      <c r="BJR202" s="21"/>
      <c r="BJS202" s="21"/>
      <c r="BJT202" s="21"/>
      <c r="BJU202" s="21"/>
      <c r="BJV202" s="21"/>
      <c r="BJW202" s="21"/>
      <c r="BJX202" s="21"/>
      <c r="BJY202" s="21"/>
      <c r="BJZ202" s="21"/>
      <c r="BKA202" s="21"/>
      <c r="BKB202" s="21"/>
      <c r="BKC202" s="21"/>
      <c r="BKD202" s="21"/>
      <c r="BKE202" s="21"/>
      <c r="BKF202" s="21"/>
      <c r="BKG202" s="21"/>
      <c r="BKH202" s="21"/>
      <c r="BKI202" s="21"/>
      <c r="BKJ202" s="21"/>
      <c r="BKK202" s="21"/>
      <c r="BKL202" s="21"/>
      <c r="BKM202" s="21"/>
      <c r="BKN202" s="21"/>
      <c r="BKO202" s="21"/>
      <c r="BKP202" s="21"/>
      <c r="BKQ202" s="21"/>
      <c r="BKR202" s="21"/>
      <c r="BKS202" s="21"/>
      <c r="BKT202" s="21"/>
      <c r="BKU202" s="21"/>
      <c r="BKV202" s="21"/>
      <c r="BKW202" s="21"/>
      <c r="BKX202" s="21"/>
      <c r="BKY202" s="21"/>
      <c r="BKZ202" s="21"/>
      <c r="BLA202" s="21"/>
      <c r="BLB202" s="21"/>
      <c r="BLC202" s="21"/>
      <c r="BLD202" s="21"/>
      <c r="BLE202" s="21"/>
      <c r="BLF202" s="21"/>
      <c r="BLG202" s="21"/>
      <c r="BLH202" s="21"/>
      <c r="BLI202" s="21"/>
      <c r="BLJ202" s="21"/>
      <c r="BLK202" s="21"/>
      <c r="BLL202" s="21"/>
      <c r="BLM202" s="21"/>
      <c r="BLN202" s="21"/>
      <c r="BLO202" s="21"/>
      <c r="BLP202" s="21"/>
      <c r="BLQ202" s="21"/>
      <c r="BLR202" s="21"/>
      <c r="BLS202" s="21"/>
      <c r="BLT202" s="21"/>
      <c r="BLU202" s="21"/>
      <c r="BLV202" s="21"/>
      <c r="BLW202" s="21"/>
      <c r="BLX202" s="21"/>
      <c r="BLY202" s="21"/>
      <c r="BLZ202" s="21"/>
      <c r="BMA202" s="21"/>
      <c r="BMB202" s="21"/>
      <c r="BMC202" s="21"/>
      <c r="BMD202" s="21"/>
      <c r="BME202" s="21"/>
      <c r="BMF202" s="21"/>
      <c r="BMG202" s="21"/>
      <c r="BMH202" s="21"/>
      <c r="BMI202" s="21"/>
      <c r="BMJ202" s="21"/>
      <c r="BMK202" s="21"/>
      <c r="BML202" s="21"/>
      <c r="BMM202" s="21"/>
      <c r="BMN202" s="21"/>
      <c r="BMO202" s="21"/>
      <c r="BMP202" s="21"/>
      <c r="BMQ202" s="21"/>
      <c r="BMR202" s="21"/>
      <c r="BMS202" s="21"/>
      <c r="BMT202" s="21"/>
      <c r="BMU202" s="21"/>
      <c r="BMV202" s="21"/>
      <c r="BMW202" s="21"/>
      <c r="BMX202" s="21"/>
      <c r="BMY202" s="21"/>
      <c r="BMZ202" s="21"/>
      <c r="BNA202" s="21"/>
      <c r="BNB202" s="21"/>
      <c r="BNC202" s="21"/>
      <c r="BND202" s="21"/>
      <c r="BNE202" s="21"/>
      <c r="BNF202" s="21"/>
      <c r="BNG202" s="21"/>
      <c r="BNH202" s="21"/>
      <c r="BNI202" s="21"/>
      <c r="BNJ202" s="21"/>
      <c r="BNK202" s="21"/>
      <c r="BNL202" s="21"/>
      <c r="BNM202" s="21"/>
      <c r="BNN202" s="21"/>
      <c r="BNO202" s="21"/>
      <c r="BNP202" s="21"/>
      <c r="BNQ202" s="21"/>
      <c r="BNR202" s="21"/>
      <c r="BNS202" s="21"/>
      <c r="BNT202" s="21"/>
      <c r="BNU202" s="21"/>
      <c r="BNV202" s="21"/>
      <c r="BNW202" s="21"/>
      <c r="BNX202" s="21"/>
      <c r="BNY202" s="21"/>
      <c r="BNZ202" s="21"/>
      <c r="BOA202" s="21"/>
      <c r="BOB202" s="21"/>
      <c r="BOC202" s="21"/>
      <c r="BOD202" s="21"/>
      <c r="BOE202" s="21"/>
      <c r="BOF202" s="21"/>
      <c r="BOG202" s="21"/>
      <c r="BOH202" s="21"/>
      <c r="BOI202" s="21"/>
      <c r="BOJ202" s="21"/>
      <c r="BOK202" s="21"/>
      <c r="BOL202" s="21"/>
      <c r="BOM202" s="21"/>
      <c r="BON202" s="21"/>
      <c r="BOO202" s="21"/>
      <c r="BOP202" s="21"/>
      <c r="BOQ202" s="21"/>
      <c r="BOR202" s="21"/>
      <c r="BOS202" s="21"/>
      <c r="BOT202" s="21"/>
      <c r="BOU202" s="21"/>
      <c r="BOV202" s="21"/>
      <c r="BOW202" s="21"/>
      <c r="BOX202" s="21"/>
      <c r="BOY202" s="21"/>
      <c r="BOZ202" s="21"/>
      <c r="BPA202" s="21"/>
      <c r="BPB202" s="21"/>
      <c r="BPC202" s="21"/>
      <c r="BPD202" s="21"/>
      <c r="BPE202" s="21"/>
      <c r="BPF202" s="21"/>
      <c r="BPG202" s="21"/>
      <c r="BPH202" s="21"/>
      <c r="BPI202" s="21"/>
      <c r="BPJ202" s="21"/>
      <c r="BPK202" s="21"/>
      <c r="BPL202" s="21"/>
      <c r="BPM202" s="21"/>
      <c r="BPN202" s="21"/>
      <c r="BPO202" s="21"/>
      <c r="BPP202" s="21"/>
      <c r="BPQ202" s="21"/>
      <c r="BPR202" s="21"/>
      <c r="BPS202" s="21"/>
      <c r="BPT202" s="21"/>
      <c r="BPU202" s="21"/>
      <c r="BPV202" s="21"/>
      <c r="BPW202" s="21"/>
      <c r="BPX202" s="21"/>
      <c r="BPY202" s="21"/>
      <c r="BPZ202" s="21"/>
      <c r="BQA202" s="21"/>
      <c r="BQB202" s="21"/>
      <c r="BQC202" s="21"/>
      <c r="BQD202" s="21"/>
      <c r="BQE202" s="21"/>
      <c r="BQF202" s="21"/>
      <c r="BQG202" s="21"/>
      <c r="BQH202" s="21"/>
      <c r="BQI202" s="21"/>
      <c r="BQJ202" s="21"/>
      <c r="BQK202" s="21"/>
      <c r="BQL202" s="21"/>
      <c r="BQM202" s="21"/>
      <c r="BQN202" s="21"/>
      <c r="BQO202" s="21"/>
      <c r="BQP202" s="21"/>
      <c r="BQQ202" s="21"/>
      <c r="BQR202" s="21"/>
      <c r="BQS202" s="21"/>
      <c r="BQT202" s="21"/>
      <c r="BQU202" s="21"/>
      <c r="BQV202" s="21"/>
      <c r="BQW202" s="21"/>
      <c r="BQX202" s="21"/>
      <c r="BQY202" s="21"/>
      <c r="BQZ202" s="21"/>
      <c r="BRA202" s="21"/>
      <c r="BRB202" s="21"/>
      <c r="BRC202" s="21"/>
      <c r="BRD202" s="21"/>
      <c r="BRE202" s="21"/>
      <c r="BRF202" s="21"/>
      <c r="BRG202" s="21"/>
      <c r="BRH202" s="21"/>
      <c r="BRI202" s="21"/>
      <c r="BRJ202" s="21"/>
      <c r="BRK202" s="21"/>
      <c r="BRL202" s="21"/>
      <c r="BRM202" s="21"/>
      <c r="BRN202" s="21"/>
      <c r="BRO202" s="21"/>
      <c r="BRP202" s="21"/>
      <c r="BRQ202" s="21"/>
      <c r="BRR202" s="21"/>
      <c r="BRS202" s="21"/>
      <c r="BRT202" s="21"/>
      <c r="BRU202" s="21"/>
      <c r="BRV202" s="21"/>
      <c r="BRW202" s="21"/>
      <c r="BRX202" s="21"/>
      <c r="BRY202" s="21"/>
      <c r="BRZ202" s="21"/>
      <c r="BSA202" s="21"/>
      <c r="BSB202" s="21"/>
      <c r="BSC202" s="21"/>
      <c r="BSD202" s="21"/>
      <c r="BSE202" s="21"/>
      <c r="BSF202" s="21"/>
      <c r="BSG202" s="21"/>
      <c r="BSH202" s="21"/>
      <c r="BSI202" s="21"/>
      <c r="BSJ202" s="21"/>
      <c r="BSK202" s="21"/>
      <c r="BSL202" s="21"/>
      <c r="BSM202" s="21"/>
      <c r="BSN202" s="21"/>
      <c r="BSO202" s="21"/>
      <c r="BSP202" s="21"/>
      <c r="BSQ202" s="21"/>
      <c r="BSR202" s="21"/>
      <c r="BSS202" s="21"/>
      <c r="BST202" s="21"/>
      <c r="BSU202" s="21"/>
      <c r="BSV202" s="21"/>
      <c r="BSW202" s="21"/>
      <c r="BSX202" s="21"/>
      <c r="BSY202" s="21"/>
      <c r="BSZ202" s="21"/>
      <c r="BTA202" s="21"/>
      <c r="BTB202" s="21"/>
      <c r="BTC202" s="21"/>
      <c r="BTD202" s="21"/>
      <c r="BTE202" s="21"/>
      <c r="BTF202" s="21"/>
      <c r="BTG202" s="21"/>
      <c r="BTH202" s="21"/>
      <c r="BTI202" s="21"/>
      <c r="BTJ202" s="21"/>
      <c r="BTK202" s="21"/>
      <c r="BTL202" s="21"/>
      <c r="BTM202" s="21"/>
      <c r="BTN202" s="21"/>
      <c r="BTO202" s="21"/>
      <c r="BTP202" s="21"/>
      <c r="BTQ202" s="21"/>
      <c r="BTR202" s="21"/>
      <c r="BTS202" s="21"/>
      <c r="BTT202" s="21"/>
      <c r="BTU202" s="21"/>
      <c r="BTV202" s="21"/>
      <c r="BTW202" s="21"/>
      <c r="BTX202" s="21"/>
      <c r="BTY202" s="21"/>
      <c r="BTZ202" s="21"/>
      <c r="BUA202" s="21"/>
      <c r="BUB202" s="21"/>
      <c r="BUC202" s="21"/>
      <c r="BUD202" s="21"/>
      <c r="BUE202" s="21"/>
      <c r="BUF202" s="21"/>
      <c r="BUG202" s="21"/>
      <c r="BUH202" s="21"/>
      <c r="BUI202" s="21"/>
      <c r="BUJ202" s="21"/>
      <c r="BUK202" s="21"/>
      <c r="BUL202" s="21"/>
      <c r="BUM202" s="21"/>
      <c r="BUN202" s="21"/>
      <c r="BUO202" s="21"/>
      <c r="BUP202" s="21"/>
      <c r="BUQ202" s="21"/>
      <c r="BUR202" s="21"/>
      <c r="BUS202" s="21"/>
      <c r="BUT202" s="21"/>
      <c r="BUU202" s="21"/>
      <c r="BUV202" s="21"/>
      <c r="BUW202" s="21"/>
      <c r="BUX202" s="21"/>
      <c r="BUY202" s="21"/>
      <c r="BUZ202" s="21"/>
      <c r="BVA202" s="21"/>
      <c r="BVB202" s="21"/>
      <c r="BVC202" s="21"/>
      <c r="BVD202" s="21"/>
      <c r="BVE202" s="21"/>
      <c r="BVF202" s="21"/>
      <c r="BVG202" s="21"/>
      <c r="BVH202" s="21"/>
      <c r="BVI202" s="21"/>
      <c r="BVJ202" s="21"/>
      <c r="BVK202" s="21"/>
      <c r="BVL202" s="21"/>
      <c r="BVM202" s="21"/>
      <c r="BVN202" s="21"/>
      <c r="BVO202" s="21"/>
      <c r="BVP202" s="21"/>
      <c r="BVQ202" s="21"/>
      <c r="BVR202" s="21"/>
      <c r="BVS202" s="21"/>
      <c r="BVT202" s="21"/>
      <c r="BVU202" s="21"/>
      <c r="BVV202" s="21"/>
      <c r="BVW202" s="21"/>
      <c r="BVX202" s="21"/>
      <c r="BVY202" s="21"/>
      <c r="BVZ202" s="21"/>
      <c r="BWA202" s="21"/>
      <c r="BWB202" s="21"/>
      <c r="BWC202" s="21"/>
      <c r="BWD202" s="21"/>
      <c r="BWE202" s="21"/>
      <c r="BWF202" s="21"/>
      <c r="BWG202" s="21"/>
      <c r="BWH202" s="21"/>
      <c r="BWI202" s="21"/>
      <c r="BWJ202" s="21"/>
      <c r="BWK202" s="21"/>
      <c r="BWL202" s="21"/>
      <c r="BWM202" s="21"/>
      <c r="BWN202" s="21"/>
      <c r="BWO202" s="21"/>
      <c r="BWP202" s="21"/>
      <c r="BWQ202" s="21"/>
      <c r="BWR202" s="21"/>
      <c r="BWS202" s="21"/>
      <c r="BWT202" s="21"/>
      <c r="BWU202" s="21"/>
      <c r="BWV202" s="21"/>
      <c r="BWW202" s="21"/>
      <c r="BWX202" s="21"/>
      <c r="BWY202" s="21"/>
      <c r="BWZ202" s="21"/>
      <c r="BXA202" s="21"/>
      <c r="BXB202" s="21"/>
      <c r="BXC202" s="21"/>
      <c r="BXD202" s="21"/>
      <c r="BXE202" s="21"/>
      <c r="BXF202" s="21"/>
      <c r="BXG202" s="21"/>
      <c r="BXH202" s="21"/>
      <c r="BXI202" s="21"/>
      <c r="BXJ202" s="21"/>
      <c r="BXK202" s="21"/>
      <c r="BXL202" s="21"/>
      <c r="BXM202" s="21"/>
      <c r="BXN202" s="21"/>
      <c r="BXO202" s="21"/>
      <c r="BXP202" s="21"/>
      <c r="BXQ202" s="21"/>
      <c r="BXR202" s="21"/>
      <c r="BXS202" s="21"/>
      <c r="BXT202" s="21"/>
      <c r="BXU202" s="21"/>
      <c r="BXV202" s="21"/>
      <c r="BXW202" s="21"/>
      <c r="BXX202" s="21"/>
      <c r="BXY202" s="21"/>
      <c r="BXZ202" s="21"/>
      <c r="BYA202" s="21"/>
      <c r="BYB202" s="21"/>
      <c r="BYC202" s="21"/>
      <c r="BYD202" s="21"/>
      <c r="BYE202" s="21"/>
      <c r="BYF202" s="21"/>
      <c r="BYG202" s="21"/>
      <c r="BYH202" s="21"/>
      <c r="BYI202" s="21"/>
      <c r="BYJ202" s="21"/>
      <c r="BYK202" s="21"/>
      <c r="BYL202" s="21"/>
      <c r="BYM202" s="21"/>
      <c r="BYN202" s="21"/>
      <c r="BYO202" s="21"/>
      <c r="BYP202" s="21"/>
      <c r="BYQ202" s="21"/>
      <c r="BYR202" s="21"/>
      <c r="BYS202" s="21"/>
      <c r="BYT202" s="21"/>
      <c r="BYU202" s="21"/>
      <c r="BYV202" s="21"/>
      <c r="BYW202" s="21"/>
      <c r="BYX202" s="21"/>
      <c r="BYY202" s="21"/>
      <c r="BYZ202" s="21"/>
      <c r="BZA202" s="21"/>
      <c r="BZB202" s="21"/>
      <c r="BZC202" s="21"/>
      <c r="BZD202" s="21"/>
      <c r="BZE202" s="21"/>
      <c r="BZF202" s="21"/>
      <c r="BZG202" s="21"/>
      <c r="BZH202" s="21"/>
      <c r="BZI202" s="21"/>
      <c r="BZJ202" s="21"/>
      <c r="BZK202" s="21"/>
      <c r="BZL202" s="21"/>
      <c r="BZM202" s="21"/>
      <c r="BZN202" s="21"/>
      <c r="BZO202" s="21"/>
      <c r="BZP202" s="21"/>
      <c r="BZQ202" s="21"/>
      <c r="BZR202" s="21"/>
      <c r="BZS202" s="21"/>
      <c r="BZT202" s="21"/>
      <c r="BZU202" s="21"/>
      <c r="BZV202" s="21"/>
      <c r="BZW202" s="21"/>
      <c r="BZX202" s="21"/>
      <c r="BZY202" s="21"/>
      <c r="BZZ202" s="21"/>
      <c r="CAA202" s="21"/>
      <c r="CAB202" s="21"/>
      <c r="CAC202" s="21"/>
      <c r="CAD202" s="21"/>
      <c r="CAE202" s="21"/>
      <c r="CAF202" s="21"/>
      <c r="CAG202" s="21"/>
      <c r="CAH202" s="21"/>
      <c r="CAI202" s="21"/>
      <c r="CAJ202" s="21"/>
      <c r="CAK202" s="21"/>
      <c r="CAL202" s="21"/>
      <c r="CAM202" s="21"/>
      <c r="CAN202" s="21"/>
      <c r="CAO202" s="21"/>
      <c r="CAP202" s="21"/>
      <c r="CAQ202" s="21"/>
      <c r="CAR202" s="21"/>
      <c r="CAS202" s="21"/>
      <c r="CAT202" s="21"/>
      <c r="CAU202" s="21"/>
      <c r="CAV202" s="21"/>
      <c r="CAW202" s="21"/>
      <c r="CAX202" s="21"/>
      <c r="CAY202" s="21"/>
      <c r="CAZ202" s="21"/>
      <c r="CBA202" s="21"/>
      <c r="CBB202" s="21"/>
      <c r="CBC202" s="21"/>
      <c r="CBD202" s="21"/>
      <c r="CBE202" s="21"/>
      <c r="CBF202" s="21"/>
      <c r="CBG202" s="21"/>
      <c r="CBH202" s="21"/>
      <c r="CBI202" s="21"/>
      <c r="CBJ202" s="21"/>
      <c r="CBK202" s="21"/>
      <c r="CBL202" s="21"/>
      <c r="CBM202" s="21"/>
      <c r="CBN202" s="21"/>
      <c r="CBO202" s="21"/>
      <c r="CBP202" s="21"/>
      <c r="CBQ202" s="21"/>
      <c r="CBR202" s="21"/>
      <c r="CBS202" s="21"/>
      <c r="CBT202" s="21"/>
      <c r="CBU202" s="21"/>
      <c r="CBV202" s="21"/>
      <c r="CBW202" s="21"/>
      <c r="CBX202" s="21"/>
      <c r="CBY202" s="21"/>
      <c r="CBZ202" s="21"/>
      <c r="CCA202" s="21"/>
      <c r="CCB202" s="21"/>
      <c r="CCC202" s="21"/>
      <c r="CCD202" s="21"/>
      <c r="CCE202" s="21"/>
      <c r="CCF202" s="21"/>
      <c r="CCG202" s="21"/>
      <c r="CCH202" s="21"/>
      <c r="CCI202" s="21"/>
      <c r="CCJ202" s="21"/>
      <c r="CCK202" s="21"/>
      <c r="CCL202" s="21"/>
      <c r="CCM202" s="21"/>
      <c r="CCN202" s="21"/>
      <c r="CCO202" s="21"/>
      <c r="CCP202" s="21"/>
      <c r="CCQ202" s="21"/>
      <c r="CCR202" s="21"/>
      <c r="CCS202" s="21"/>
      <c r="CCT202" s="21"/>
      <c r="CCU202" s="21"/>
      <c r="CCV202" s="21"/>
      <c r="CCW202" s="21"/>
      <c r="CCX202" s="21"/>
      <c r="CCY202" s="21"/>
      <c r="CCZ202" s="21"/>
      <c r="CDA202" s="21"/>
      <c r="CDB202" s="21"/>
      <c r="CDC202" s="21"/>
      <c r="CDD202" s="21"/>
      <c r="CDE202" s="21"/>
      <c r="CDF202" s="21"/>
      <c r="CDG202" s="21"/>
      <c r="CDH202" s="21"/>
      <c r="CDI202" s="21"/>
      <c r="CDJ202" s="21"/>
      <c r="CDK202" s="21"/>
      <c r="CDL202" s="21"/>
      <c r="CDM202" s="21"/>
      <c r="CDN202" s="21"/>
      <c r="CDO202" s="21"/>
      <c r="CDP202" s="21"/>
      <c r="CDQ202" s="21"/>
      <c r="CDR202" s="21"/>
      <c r="CDS202" s="21"/>
      <c r="CDT202" s="21"/>
      <c r="CDU202" s="21"/>
      <c r="CDV202" s="21"/>
      <c r="CDW202" s="21"/>
      <c r="CDX202" s="21"/>
      <c r="CDY202" s="21"/>
      <c r="CDZ202" s="21"/>
      <c r="CEA202" s="21"/>
      <c r="CEB202" s="21"/>
      <c r="CEC202" s="21"/>
      <c r="CED202" s="21"/>
      <c r="CEE202" s="21"/>
      <c r="CEF202" s="21"/>
      <c r="CEG202" s="21"/>
      <c r="CEH202" s="21"/>
      <c r="CEI202" s="21"/>
      <c r="CEJ202" s="21"/>
      <c r="CEK202" s="21"/>
      <c r="CEL202" s="21"/>
      <c r="CEM202" s="21"/>
      <c r="CEN202" s="21"/>
      <c r="CEO202" s="21"/>
      <c r="CEP202" s="21"/>
      <c r="CEQ202" s="21"/>
      <c r="CER202" s="21"/>
      <c r="CES202" s="21"/>
      <c r="CET202" s="21"/>
      <c r="CEU202" s="21"/>
      <c r="CEV202" s="21"/>
      <c r="CEW202" s="21"/>
      <c r="CEX202" s="21"/>
      <c r="CEY202" s="21"/>
      <c r="CEZ202" s="21"/>
      <c r="CFA202" s="21"/>
      <c r="CFB202" s="21"/>
      <c r="CFC202" s="21"/>
      <c r="CFD202" s="21"/>
      <c r="CFE202" s="21"/>
      <c r="CFF202" s="21"/>
      <c r="CFG202" s="21"/>
      <c r="CFH202" s="21"/>
      <c r="CFI202" s="21"/>
      <c r="CFJ202" s="21"/>
      <c r="CFK202" s="21"/>
      <c r="CFL202" s="21"/>
      <c r="CFM202" s="21"/>
      <c r="CFN202" s="21"/>
      <c r="CFO202" s="21"/>
      <c r="CFP202" s="21"/>
      <c r="CFQ202" s="21"/>
      <c r="CFR202" s="21"/>
      <c r="CFS202" s="21"/>
      <c r="CFT202" s="21"/>
      <c r="CFU202" s="21"/>
      <c r="CFV202" s="21"/>
      <c r="CFW202" s="21"/>
      <c r="CFX202" s="21"/>
      <c r="CFY202" s="21"/>
      <c r="CFZ202" s="21"/>
      <c r="CGA202" s="21"/>
      <c r="CGB202" s="21"/>
      <c r="CGC202" s="21"/>
      <c r="CGD202" s="21"/>
      <c r="CGE202" s="21"/>
      <c r="CGF202" s="21"/>
      <c r="CGG202" s="21"/>
      <c r="CGH202" s="21"/>
      <c r="CGI202" s="21"/>
      <c r="CGJ202" s="21"/>
      <c r="CGK202" s="21"/>
      <c r="CGL202" s="21"/>
      <c r="CGM202" s="21"/>
      <c r="CGN202" s="21"/>
      <c r="CGO202" s="21"/>
      <c r="CGP202" s="21"/>
      <c r="CGQ202" s="21"/>
      <c r="CGR202" s="21"/>
      <c r="CGS202" s="21"/>
      <c r="CGT202" s="21"/>
      <c r="CGU202" s="21"/>
      <c r="CGV202" s="21"/>
      <c r="CGW202" s="21"/>
      <c r="CGX202" s="21"/>
      <c r="CGY202" s="21"/>
      <c r="CGZ202" s="21"/>
      <c r="CHA202" s="21"/>
      <c r="CHB202" s="21"/>
      <c r="CHC202" s="21"/>
      <c r="CHD202" s="21"/>
      <c r="CHE202" s="21"/>
      <c r="CHF202" s="21"/>
      <c r="CHG202" s="21"/>
      <c r="CHH202" s="21"/>
      <c r="CHI202" s="21"/>
      <c r="CHJ202" s="21"/>
      <c r="CHK202" s="21"/>
      <c r="CHL202" s="21"/>
      <c r="CHM202" s="21"/>
      <c r="CHN202" s="21"/>
      <c r="CHO202" s="21"/>
      <c r="CHP202" s="21"/>
      <c r="CHQ202" s="21"/>
      <c r="CHR202" s="21"/>
      <c r="CHS202" s="21"/>
      <c r="CHT202" s="21"/>
      <c r="CHU202" s="21"/>
      <c r="CHV202" s="21"/>
      <c r="CHW202" s="21"/>
      <c r="CHX202" s="21"/>
      <c r="CHY202" s="21"/>
      <c r="CHZ202" s="21"/>
      <c r="CIA202" s="21"/>
      <c r="CIB202" s="21"/>
      <c r="CIC202" s="21"/>
      <c r="CID202" s="21"/>
      <c r="CIE202" s="21"/>
      <c r="CIF202" s="21"/>
      <c r="CIG202" s="21"/>
      <c r="CIH202" s="21"/>
      <c r="CII202" s="21"/>
      <c r="CIJ202" s="21"/>
      <c r="CIK202" s="21"/>
      <c r="CIL202" s="21"/>
      <c r="CIM202" s="21"/>
      <c r="CIN202" s="21"/>
      <c r="CIO202" s="21"/>
      <c r="CIP202" s="21"/>
      <c r="CIQ202" s="21"/>
      <c r="CIR202" s="21"/>
      <c r="CIS202" s="21"/>
      <c r="CIT202" s="21"/>
      <c r="CIU202" s="21"/>
      <c r="CIV202" s="21"/>
      <c r="CIW202" s="21"/>
      <c r="CIX202" s="21"/>
      <c r="CIY202" s="21"/>
      <c r="CIZ202" s="21"/>
      <c r="CJA202" s="21"/>
      <c r="CJB202" s="21"/>
      <c r="CJC202" s="21"/>
      <c r="CJD202" s="21"/>
      <c r="CJE202" s="21"/>
      <c r="CJF202" s="21"/>
      <c r="CJG202" s="21"/>
      <c r="CJH202" s="21"/>
      <c r="CJI202" s="21"/>
      <c r="CJJ202" s="21"/>
      <c r="CJK202" s="21"/>
      <c r="CJL202" s="21"/>
      <c r="CJM202" s="21"/>
      <c r="CJN202" s="21"/>
      <c r="CJO202" s="21"/>
      <c r="CJP202" s="21"/>
      <c r="CJQ202" s="21"/>
      <c r="CJR202" s="21"/>
      <c r="CJS202" s="21"/>
      <c r="CJT202" s="21"/>
      <c r="CJU202" s="21"/>
      <c r="CJV202" s="21"/>
      <c r="CJW202" s="21"/>
      <c r="CJX202" s="21"/>
      <c r="CJY202" s="21"/>
      <c r="CJZ202" s="21"/>
      <c r="CKA202" s="21"/>
      <c r="CKB202" s="21"/>
      <c r="CKC202" s="21"/>
      <c r="CKD202" s="21"/>
      <c r="CKE202" s="21"/>
      <c r="CKF202" s="21"/>
      <c r="CKG202" s="21"/>
      <c r="CKH202" s="21"/>
      <c r="CKI202" s="21"/>
      <c r="CKJ202" s="21"/>
      <c r="CKK202" s="21"/>
      <c r="CKL202" s="21"/>
      <c r="CKM202" s="21"/>
      <c r="CKN202" s="21"/>
      <c r="CKO202" s="21"/>
      <c r="CKP202" s="21"/>
      <c r="CKQ202" s="21"/>
      <c r="CKR202" s="21"/>
      <c r="CKS202" s="21"/>
      <c r="CKT202" s="21"/>
      <c r="CKU202" s="21"/>
      <c r="CKV202" s="21"/>
      <c r="CKW202" s="21"/>
      <c r="CKX202" s="21"/>
      <c r="CKY202" s="21"/>
      <c r="CKZ202" s="21"/>
      <c r="CLA202" s="21"/>
      <c r="CLB202" s="21"/>
      <c r="CLC202" s="21"/>
      <c r="CLD202" s="21"/>
      <c r="CLE202" s="21"/>
      <c r="CLF202" s="21"/>
      <c r="CLG202" s="21"/>
      <c r="CLH202" s="21"/>
      <c r="CLI202" s="21"/>
      <c r="CLJ202" s="21"/>
      <c r="CLK202" s="21"/>
      <c r="CLL202" s="21"/>
      <c r="CLM202" s="21"/>
      <c r="CLN202" s="21"/>
      <c r="CLO202" s="21"/>
      <c r="CLP202" s="21"/>
      <c r="CLQ202" s="21"/>
      <c r="CLR202" s="21"/>
      <c r="CLS202" s="21"/>
      <c r="CLT202" s="21"/>
      <c r="CLU202" s="21"/>
      <c r="CLV202" s="21"/>
      <c r="CLW202" s="21"/>
      <c r="CLX202" s="21"/>
      <c r="CLY202" s="21"/>
      <c r="CLZ202" s="21"/>
      <c r="CMA202" s="21"/>
      <c r="CMB202" s="21"/>
      <c r="CMC202" s="21"/>
      <c r="CMD202" s="21"/>
      <c r="CME202" s="21"/>
      <c r="CMF202" s="21"/>
      <c r="CMG202" s="21"/>
      <c r="CMH202" s="21"/>
      <c r="CMI202" s="21"/>
      <c r="CMJ202" s="21"/>
      <c r="CMK202" s="21"/>
      <c r="CML202" s="21"/>
      <c r="CMM202" s="21"/>
      <c r="CMN202" s="21"/>
      <c r="CMO202" s="21"/>
      <c r="CMP202" s="21"/>
      <c r="CMQ202" s="21"/>
      <c r="CMR202" s="21"/>
      <c r="CMS202" s="21"/>
      <c r="CMT202" s="21"/>
      <c r="CMU202" s="21"/>
      <c r="CMV202" s="21"/>
      <c r="CMW202" s="21"/>
      <c r="CMX202" s="21"/>
      <c r="CMY202" s="21"/>
      <c r="CMZ202" s="21"/>
      <c r="CNA202" s="21"/>
      <c r="CNB202" s="21"/>
      <c r="CNC202" s="21"/>
      <c r="CND202" s="21"/>
      <c r="CNE202" s="21"/>
      <c r="CNF202" s="21"/>
      <c r="CNG202" s="21"/>
      <c r="CNH202" s="21"/>
      <c r="CNI202" s="21"/>
      <c r="CNJ202" s="21"/>
      <c r="CNK202" s="21"/>
      <c r="CNL202" s="21"/>
      <c r="CNM202" s="21"/>
      <c r="CNN202" s="21"/>
      <c r="CNO202" s="21"/>
      <c r="CNP202" s="21"/>
      <c r="CNQ202" s="21"/>
      <c r="CNR202" s="21"/>
      <c r="CNS202" s="21"/>
      <c r="CNT202" s="21"/>
      <c r="CNU202" s="21"/>
      <c r="CNV202" s="21"/>
      <c r="CNW202" s="21"/>
      <c r="CNX202" s="21"/>
      <c r="CNY202" s="21"/>
      <c r="CNZ202" s="21"/>
      <c r="COA202" s="21"/>
      <c r="COB202" s="21"/>
      <c r="COC202" s="21"/>
      <c r="COD202" s="21"/>
      <c r="COE202" s="21"/>
      <c r="COF202" s="21"/>
      <c r="COG202" s="21"/>
      <c r="COH202" s="21"/>
      <c r="COI202" s="21"/>
      <c r="COJ202" s="21"/>
      <c r="COK202" s="21"/>
      <c r="COL202" s="21"/>
      <c r="COM202" s="21"/>
      <c r="CON202" s="21"/>
      <c r="COO202" s="21"/>
      <c r="COP202" s="21"/>
      <c r="COQ202" s="21"/>
      <c r="COR202" s="21"/>
      <c r="COS202" s="21"/>
      <c r="COT202" s="21"/>
      <c r="COU202" s="21"/>
      <c r="COV202" s="21"/>
      <c r="COW202" s="21"/>
      <c r="COX202" s="21"/>
      <c r="COY202" s="21"/>
      <c r="COZ202" s="21"/>
      <c r="CPA202" s="21"/>
      <c r="CPB202" s="21"/>
      <c r="CPC202" s="21"/>
      <c r="CPD202" s="21"/>
      <c r="CPE202" s="21"/>
      <c r="CPF202" s="21"/>
      <c r="CPG202" s="21"/>
      <c r="CPH202" s="21"/>
      <c r="CPI202" s="21"/>
      <c r="CPJ202" s="21"/>
      <c r="CPK202" s="21"/>
      <c r="CPL202" s="21"/>
      <c r="CPM202" s="21"/>
      <c r="CPN202" s="21"/>
      <c r="CPO202" s="21"/>
      <c r="CPP202" s="21"/>
      <c r="CPQ202" s="21"/>
      <c r="CPR202" s="21"/>
      <c r="CPS202" s="21"/>
      <c r="CPT202" s="21"/>
      <c r="CPU202" s="21"/>
      <c r="CPV202" s="21"/>
      <c r="CPW202" s="21"/>
      <c r="CPX202" s="21"/>
      <c r="CPY202" s="21"/>
      <c r="CPZ202" s="21"/>
      <c r="CQA202" s="21"/>
      <c r="CQB202" s="21"/>
      <c r="CQC202" s="21"/>
      <c r="CQD202" s="21"/>
      <c r="CQE202" s="21"/>
      <c r="CQF202" s="21"/>
      <c r="CQG202" s="21"/>
      <c r="CQH202" s="21"/>
      <c r="CQI202" s="21"/>
      <c r="CQJ202" s="21"/>
      <c r="CQK202" s="21"/>
      <c r="CQL202" s="21"/>
      <c r="CQM202" s="21"/>
      <c r="CQN202" s="21"/>
      <c r="CQO202" s="21"/>
      <c r="CQP202" s="21"/>
      <c r="CQQ202" s="21"/>
      <c r="CQR202" s="21"/>
      <c r="CQS202" s="21"/>
      <c r="CQT202" s="21"/>
      <c r="CQU202" s="21"/>
      <c r="CQV202" s="21"/>
      <c r="CQW202" s="21"/>
      <c r="CQX202" s="21"/>
      <c r="CQY202" s="21"/>
      <c r="CQZ202" s="21"/>
      <c r="CRA202" s="21"/>
      <c r="CRB202" s="21"/>
      <c r="CRC202" s="21"/>
      <c r="CRD202" s="21"/>
      <c r="CRE202" s="21"/>
      <c r="CRF202" s="21"/>
      <c r="CRG202" s="21"/>
      <c r="CRH202" s="21"/>
      <c r="CRI202" s="21"/>
      <c r="CRJ202" s="21"/>
      <c r="CRK202" s="21"/>
      <c r="CRL202" s="21"/>
      <c r="CRM202" s="21"/>
      <c r="CRN202" s="21"/>
      <c r="CRO202" s="21"/>
      <c r="CRP202" s="21"/>
      <c r="CRQ202" s="21"/>
      <c r="CRR202" s="21"/>
      <c r="CRS202" s="21"/>
      <c r="CRT202" s="21"/>
      <c r="CRU202" s="21"/>
      <c r="CRV202" s="21"/>
      <c r="CRW202" s="21"/>
      <c r="CRX202" s="21"/>
      <c r="CRY202" s="21"/>
      <c r="CRZ202" s="21"/>
      <c r="CSA202" s="21"/>
      <c r="CSB202" s="21"/>
      <c r="CSC202" s="21"/>
      <c r="CSD202" s="21"/>
      <c r="CSE202" s="21"/>
      <c r="CSF202" s="21"/>
      <c r="CSG202" s="21"/>
      <c r="CSH202" s="21"/>
      <c r="CSI202" s="21"/>
      <c r="CSJ202" s="21"/>
      <c r="CSK202" s="21"/>
      <c r="CSL202" s="21"/>
      <c r="CSM202" s="21"/>
      <c r="CSN202" s="21"/>
      <c r="CSO202" s="21"/>
      <c r="CSP202" s="21"/>
      <c r="CSQ202" s="21"/>
      <c r="CSR202" s="21"/>
      <c r="CSS202" s="21"/>
      <c r="CST202" s="21"/>
      <c r="CSU202" s="21"/>
      <c r="CSV202" s="21"/>
      <c r="CSW202" s="21"/>
      <c r="CSX202" s="21"/>
      <c r="CSY202" s="21"/>
      <c r="CSZ202" s="21"/>
      <c r="CTA202" s="21"/>
      <c r="CTB202" s="21"/>
      <c r="CTC202" s="21"/>
      <c r="CTD202" s="21"/>
      <c r="CTE202" s="21"/>
      <c r="CTF202" s="21"/>
      <c r="CTG202" s="21"/>
      <c r="CTH202" s="21"/>
      <c r="CTI202" s="21"/>
      <c r="CTJ202" s="21"/>
      <c r="CTK202" s="21"/>
      <c r="CTL202" s="21"/>
      <c r="CTM202" s="21"/>
      <c r="CTN202" s="21"/>
      <c r="CTO202" s="21"/>
      <c r="CTP202" s="21"/>
      <c r="CTQ202" s="21"/>
      <c r="CTR202" s="21"/>
      <c r="CTS202" s="21"/>
      <c r="CTT202" s="21"/>
      <c r="CTU202" s="21"/>
      <c r="CTV202" s="21"/>
      <c r="CTW202" s="21"/>
      <c r="CTX202" s="21"/>
      <c r="CTY202" s="21"/>
      <c r="CTZ202" s="21"/>
      <c r="CUA202" s="21"/>
      <c r="CUB202" s="21"/>
      <c r="CUC202" s="21"/>
      <c r="CUD202" s="21"/>
      <c r="CUE202" s="21"/>
      <c r="CUF202" s="21"/>
      <c r="CUG202" s="21"/>
      <c r="CUH202" s="21"/>
      <c r="CUI202" s="21"/>
      <c r="CUJ202" s="21"/>
      <c r="CUK202" s="21"/>
      <c r="CUL202" s="21"/>
      <c r="CUM202" s="21"/>
      <c r="CUN202" s="21"/>
      <c r="CUO202" s="21"/>
      <c r="CUP202" s="21"/>
      <c r="CUQ202" s="21"/>
      <c r="CUR202" s="21"/>
      <c r="CUS202" s="21"/>
      <c r="CUT202" s="21"/>
      <c r="CUU202" s="21"/>
      <c r="CUV202" s="21"/>
      <c r="CUW202" s="21"/>
      <c r="CUX202" s="21"/>
      <c r="CUY202" s="21"/>
      <c r="CUZ202" s="21"/>
      <c r="CVA202" s="21"/>
      <c r="CVB202" s="21"/>
      <c r="CVC202" s="21"/>
      <c r="CVD202" s="21"/>
      <c r="CVE202" s="21"/>
      <c r="CVF202" s="21"/>
      <c r="CVG202" s="21"/>
      <c r="CVH202" s="21"/>
      <c r="CVI202" s="21"/>
      <c r="CVJ202" s="21"/>
      <c r="CVK202" s="21"/>
      <c r="CVL202" s="21"/>
      <c r="CVM202" s="21"/>
      <c r="CVN202" s="21"/>
      <c r="CVO202" s="21"/>
      <c r="CVP202" s="21"/>
      <c r="CVQ202" s="21"/>
      <c r="CVR202" s="21"/>
      <c r="CVS202" s="21"/>
      <c r="CVT202" s="21"/>
      <c r="CVU202" s="21"/>
      <c r="CVV202" s="21"/>
      <c r="CVW202" s="21"/>
      <c r="CVX202" s="21"/>
      <c r="CVY202" s="21"/>
      <c r="CVZ202" s="21"/>
      <c r="CWA202" s="21"/>
      <c r="CWB202" s="21"/>
      <c r="CWC202" s="21"/>
      <c r="CWD202" s="21"/>
      <c r="CWE202" s="21"/>
      <c r="CWF202" s="21"/>
      <c r="CWG202" s="21"/>
      <c r="CWH202" s="21"/>
      <c r="CWI202" s="21"/>
      <c r="CWJ202" s="21"/>
      <c r="CWK202" s="21"/>
      <c r="CWL202" s="21"/>
      <c r="CWM202" s="21"/>
      <c r="CWN202" s="21"/>
      <c r="CWO202" s="21"/>
      <c r="CWP202" s="21"/>
      <c r="CWQ202" s="21"/>
      <c r="CWR202" s="21"/>
      <c r="CWS202" s="21"/>
      <c r="CWT202" s="21"/>
      <c r="CWU202" s="21"/>
      <c r="CWV202" s="21"/>
      <c r="CWW202" s="21"/>
      <c r="CWX202" s="21"/>
      <c r="CWY202" s="21"/>
      <c r="CWZ202" s="21"/>
      <c r="CXA202" s="21"/>
      <c r="CXB202" s="21"/>
      <c r="CXC202" s="21"/>
      <c r="CXD202" s="21"/>
      <c r="CXE202" s="21"/>
      <c r="CXF202" s="21"/>
      <c r="CXG202" s="21"/>
      <c r="CXH202" s="21"/>
      <c r="CXI202" s="21"/>
      <c r="CXJ202" s="21"/>
      <c r="CXK202" s="21"/>
      <c r="CXL202" s="21"/>
      <c r="CXM202" s="21"/>
      <c r="CXN202" s="21"/>
      <c r="CXO202" s="21"/>
      <c r="CXP202" s="21"/>
      <c r="CXQ202" s="21"/>
      <c r="CXR202" s="21"/>
      <c r="CXS202" s="21"/>
      <c r="CXT202" s="21"/>
      <c r="CXU202" s="21"/>
      <c r="CXV202" s="21"/>
      <c r="CXW202" s="21"/>
      <c r="CXX202" s="21"/>
      <c r="CXY202" s="21"/>
      <c r="CXZ202" s="21"/>
      <c r="CYA202" s="21"/>
      <c r="CYB202" s="21"/>
      <c r="CYC202" s="21"/>
      <c r="CYD202" s="21"/>
      <c r="CYE202" s="21"/>
      <c r="CYF202" s="21"/>
      <c r="CYG202" s="21"/>
      <c r="CYH202" s="21"/>
      <c r="CYI202" s="21"/>
      <c r="CYJ202" s="21"/>
      <c r="CYK202" s="21"/>
      <c r="CYL202" s="21"/>
      <c r="CYM202" s="21"/>
      <c r="CYN202" s="21"/>
      <c r="CYO202" s="21"/>
      <c r="CYP202" s="21"/>
      <c r="CYQ202" s="21"/>
      <c r="CYR202" s="21"/>
      <c r="CYS202" s="21"/>
      <c r="CYT202" s="21"/>
      <c r="CYU202" s="21"/>
      <c r="CYV202" s="21"/>
      <c r="CYW202" s="21"/>
      <c r="CYX202" s="21"/>
      <c r="CYY202" s="21"/>
      <c r="CYZ202" s="21"/>
      <c r="CZA202" s="21"/>
      <c r="CZB202" s="21"/>
      <c r="CZC202" s="21"/>
      <c r="CZD202" s="21"/>
      <c r="CZE202" s="21"/>
      <c r="CZF202" s="21"/>
      <c r="CZG202" s="21"/>
      <c r="CZH202" s="21"/>
      <c r="CZI202" s="21"/>
      <c r="CZJ202" s="21"/>
      <c r="CZK202" s="21"/>
      <c r="CZL202" s="21"/>
      <c r="CZM202" s="21"/>
      <c r="CZN202" s="21"/>
      <c r="CZO202" s="21"/>
      <c r="CZP202" s="21"/>
      <c r="CZQ202" s="21"/>
      <c r="CZR202" s="21"/>
      <c r="CZS202" s="21"/>
      <c r="CZT202" s="21"/>
      <c r="CZU202" s="21"/>
      <c r="CZV202" s="21"/>
      <c r="CZW202" s="21"/>
      <c r="CZX202" s="21"/>
      <c r="CZY202" s="21"/>
      <c r="CZZ202" s="21"/>
      <c r="DAA202" s="21"/>
      <c r="DAB202" s="21"/>
      <c r="DAC202" s="21"/>
      <c r="DAD202" s="21"/>
      <c r="DAE202" s="21"/>
      <c r="DAF202" s="21"/>
      <c r="DAG202" s="21"/>
      <c r="DAH202" s="21"/>
      <c r="DAI202" s="21"/>
      <c r="DAJ202" s="21"/>
      <c r="DAK202" s="21"/>
      <c r="DAL202" s="21"/>
      <c r="DAM202" s="21"/>
      <c r="DAN202" s="21"/>
      <c r="DAO202" s="21"/>
      <c r="DAP202" s="21"/>
      <c r="DAQ202" s="21"/>
      <c r="DAR202" s="21"/>
      <c r="DAS202" s="21"/>
      <c r="DAT202" s="21"/>
      <c r="DAU202" s="21"/>
      <c r="DAV202" s="21"/>
      <c r="DAW202" s="21"/>
      <c r="DAX202" s="21"/>
      <c r="DAY202" s="21"/>
      <c r="DAZ202" s="21"/>
      <c r="DBA202" s="21"/>
      <c r="DBB202" s="21"/>
      <c r="DBC202" s="21"/>
      <c r="DBD202" s="21"/>
      <c r="DBE202" s="21"/>
      <c r="DBF202" s="21"/>
      <c r="DBG202" s="21"/>
      <c r="DBH202" s="21"/>
      <c r="DBI202" s="21"/>
      <c r="DBJ202" s="21"/>
      <c r="DBK202" s="21"/>
      <c r="DBL202" s="21"/>
      <c r="DBM202" s="21"/>
      <c r="DBN202" s="21"/>
      <c r="DBO202" s="21"/>
      <c r="DBP202" s="21"/>
      <c r="DBQ202" s="21"/>
      <c r="DBR202" s="21"/>
      <c r="DBS202" s="21"/>
      <c r="DBT202" s="21"/>
      <c r="DBU202" s="21"/>
      <c r="DBV202" s="21"/>
      <c r="DBW202" s="21"/>
      <c r="DBX202" s="21"/>
      <c r="DBY202" s="21"/>
      <c r="DBZ202" s="21"/>
      <c r="DCA202" s="21"/>
      <c r="DCB202" s="21"/>
      <c r="DCC202" s="21"/>
      <c r="DCD202" s="21"/>
      <c r="DCE202" s="21"/>
      <c r="DCF202" s="21"/>
      <c r="DCG202" s="21"/>
      <c r="DCH202" s="21"/>
      <c r="DCI202" s="21"/>
      <c r="DCJ202" s="21"/>
      <c r="DCK202" s="21"/>
      <c r="DCL202" s="21"/>
      <c r="DCM202" s="21"/>
      <c r="DCN202" s="21"/>
      <c r="DCO202" s="21"/>
      <c r="DCP202" s="21"/>
      <c r="DCQ202" s="21"/>
      <c r="DCR202" s="21"/>
      <c r="DCS202" s="21"/>
      <c r="DCT202" s="21"/>
      <c r="DCU202" s="21"/>
      <c r="DCV202" s="21"/>
      <c r="DCW202" s="21"/>
      <c r="DCX202" s="21"/>
      <c r="DCY202" s="21"/>
      <c r="DCZ202" s="21"/>
      <c r="DDA202" s="21"/>
      <c r="DDB202" s="21"/>
      <c r="DDC202" s="21"/>
      <c r="DDD202" s="21"/>
      <c r="DDE202" s="21"/>
      <c r="DDF202" s="21"/>
      <c r="DDG202" s="21"/>
      <c r="DDH202" s="21"/>
      <c r="DDI202" s="21"/>
      <c r="DDJ202" s="21"/>
      <c r="DDK202" s="21"/>
      <c r="DDL202" s="21"/>
      <c r="DDM202" s="21"/>
      <c r="DDN202" s="21"/>
      <c r="DDO202" s="21"/>
      <c r="DDP202" s="21"/>
      <c r="DDQ202" s="21"/>
      <c r="DDR202" s="21"/>
      <c r="DDS202" s="21"/>
      <c r="DDT202" s="21"/>
      <c r="DDU202" s="21"/>
      <c r="DDV202" s="21"/>
      <c r="DDW202" s="21"/>
      <c r="DDX202" s="21"/>
      <c r="DDY202" s="21"/>
      <c r="DDZ202" s="21"/>
      <c r="DEA202" s="21"/>
      <c r="DEB202" s="21"/>
      <c r="DEC202" s="21"/>
      <c r="DED202" s="21"/>
      <c r="DEE202" s="21"/>
      <c r="DEF202" s="21"/>
      <c r="DEG202" s="21"/>
      <c r="DEH202" s="21"/>
      <c r="DEI202" s="21"/>
      <c r="DEJ202" s="21"/>
      <c r="DEK202" s="21"/>
      <c r="DEL202" s="21"/>
      <c r="DEM202" s="21"/>
      <c r="DEN202" s="21"/>
      <c r="DEO202" s="21"/>
      <c r="DEP202" s="21"/>
      <c r="DEQ202" s="21"/>
      <c r="DER202" s="21"/>
      <c r="DES202" s="21"/>
      <c r="DET202" s="21"/>
      <c r="DEU202" s="21"/>
      <c r="DEV202" s="21"/>
      <c r="DEW202" s="21"/>
      <c r="DEX202" s="21"/>
      <c r="DEY202" s="21"/>
      <c r="DEZ202" s="21"/>
      <c r="DFA202" s="21"/>
      <c r="DFB202" s="21"/>
      <c r="DFC202" s="21"/>
      <c r="DFD202" s="21"/>
      <c r="DFE202" s="21"/>
      <c r="DFF202" s="21"/>
      <c r="DFG202" s="21"/>
      <c r="DFH202" s="21"/>
      <c r="DFI202" s="21"/>
      <c r="DFJ202" s="21"/>
      <c r="DFK202" s="21"/>
      <c r="DFL202" s="21"/>
      <c r="DFM202" s="21"/>
      <c r="DFN202" s="21"/>
      <c r="DFO202" s="21"/>
      <c r="DFP202" s="21"/>
      <c r="DFQ202" s="21"/>
      <c r="DFR202" s="21"/>
      <c r="DFS202" s="21"/>
      <c r="DFT202" s="21"/>
      <c r="DFU202" s="21"/>
      <c r="DFV202" s="21"/>
      <c r="DFW202" s="21"/>
      <c r="DFX202" s="21"/>
      <c r="DFY202" s="21"/>
      <c r="DFZ202" s="21"/>
      <c r="DGA202" s="21"/>
      <c r="DGB202" s="21"/>
      <c r="DGC202" s="21"/>
      <c r="DGD202" s="21"/>
      <c r="DGE202" s="21"/>
      <c r="DGF202" s="21"/>
      <c r="DGG202" s="21"/>
      <c r="DGH202" s="21"/>
      <c r="DGI202" s="21"/>
      <c r="DGJ202" s="21"/>
      <c r="DGK202" s="21"/>
      <c r="DGL202" s="21"/>
      <c r="DGM202" s="21"/>
      <c r="DGN202" s="21"/>
      <c r="DGO202" s="21"/>
      <c r="DGP202" s="21"/>
      <c r="DGQ202" s="21"/>
      <c r="DGR202" s="21"/>
      <c r="DGS202" s="21"/>
      <c r="DGT202" s="21"/>
      <c r="DGU202" s="21"/>
      <c r="DGV202" s="21"/>
      <c r="DGW202" s="21"/>
      <c r="DGX202" s="21"/>
      <c r="DGY202" s="21"/>
      <c r="DGZ202" s="21"/>
      <c r="DHA202" s="21"/>
      <c r="DHB202" s="21"/>
      <c r="DHC202" s="21"/>
      <c r="DHD202" s="21"/>
      <c r="DHE202" s="21"/>
      <c r="DHF202" s="21"/>
      <c r="DHG202" s="21"/>
      <c r="DHH202" s="21"/>
      <c r="DHI202" s="21"/>
      <c r="DHJ202" s="21"/>
      <c r="DHK202" s="21"/>
      <c r="DHL202" s="21"/>
      <c r="DHM202" s="21"/>
      <c r="DHN202" s="21"/>
      <c r="DHO202" s="21"/>
      <c r="DHP202" s="21"/>
      <c r="DHQ202" s="21"/>
      <c r="DHR202" s="21"/>
      <c r="DHS202" s="21"/>
      <c r="DHT202" s="21"/>
      <c r="DHU202" s="21"/>
      <c r="DHV202" s="21"/>
      <c r="DHW202" s="21"/>
      <c r="DHX202" s="21"/>
      <c r="DHY202" s="21"/>
      <c r="DHZ202" s="21"/>
      <c r="DIA202" s="21"/>
      <c r="DIB202" s="21"/>
      <c r="DIC202" s="21"/>
      <c r="DID202" s="21"/>
      <c r="DIE202" s="21"/>
      <c r="DIF202" s="21"/>
      <c r="DIG202" s="21"/>
      <c r="DIH202" s="21"/>
      <c r="DII202" s="21"/>
      <c r="DIJ202" s="21"/>
      <c r="DIK202" s="21"/>
      <c r="DIL202" s="21"/>
      <c r="DIM202" s="21"/>
      <c r="DIN202" s="21"/>
      <c r="DIO202" s="21"/>
      <c r="DIP202" s="21"/>
      <c r="DIQ202" s="21"/>
      <c r="DIR202" s="21"/>
      <c r="DIS202" s="21"/>
      <c r="DIT202" s="21"/>
      <c r="DIU202" s="21"/>
      <c r="DIV202" s="21"/>
      <c r="DIW202" s="21"/>
      <c r="DIX202" s="21"/>
      <c r="DIY202" s="21"/>
      <c r="DIZ202" s="21"/>
      <c r="DJA202" s="21"/>
      <c r="DJB202" s="21"/>
      <c r="DJC202" s="21"/>
      <c r="DJD202" s="21"/>
      <c r="DJE202" s="21"/>
      <c r="DJF202" s="21"/>
      <c r="DJG202" s="21"/>
      <c r="DJH202" s="21"/>
      <c r="DJI202" s="21"/>
      <c r="DJJ202" s="21"/>
      <c r="DJK202" s="21"/>
      <c r="DJL202" s="21"/>
      <c r="DJM202" s="21"/>
      <c r="DJN202" s="21"/>
      <c r="DJO202" s="21"/>
      <c r="DJP202" s="21"/>
      <c r="DJQ202" s="21"/>
      <c r="DJR202" s="21"/>
      <c r="DJS202" s="21"/>
      <c r="DJT202" s="21"/>
      <c r="DJU202" s="21"/>
      <c r="DJV202" s="21"/>
      <c r="DJW202" s="21"/>
      <c r="DJX202" s="21"/>
      <c r="DJY202" s="21"/>
      <c r="DJZ202" s="21"/>
      <c r="DKA202" s="21"/>
      <c r="DKB202" s="21"/>
      <c r="DKC202" s="21"/>
      <c r="DKD202" s="21"/>
      <c r="DKE202" s="21"/>
      <c r="DKF202" s="21"/>
      <c r="DKG202" s="21"/>
      <c r="DKH202" s="21"/>
      <c r="DKI202" s="21"/>
      <c r="DKJ202" s="21"/>
      <c r="DKK202" s="21"/>
      <c r="DKL202" s="21"/>
      <c r="DKM202" s="21"/>
      <c r="DKN202" s="21"/>
      <c r="DKO202" s="21"/>
      <c r="DKP202" s="21"/>
      <c r="DKQ202" s="21"/>
      <c r="DKR202" s="21"/>
      <c r="DKS202" s="21"/>
      <c r="DKT202" s="21"/>
      <c r="DKU202" s="21"/>
      <c r="DKV202" s="21"/>
      <c r="DKW202" s="21"/>
      <c r="DKX202" s="21"/>
      <c r="DKY202" s="21"/>
      <c r="DKZ202" s="21"/>
      <c r="DLA202" s="21"/>
      <c r="DLB202" s="21"/>
      <c r="DLC202" s="21"/>
      <c r="DLD202" s="21"/>
      <c r="DLE202" s="21"/>
      <c r="DLF202" s="21"/>
      <c r="DLG202" s="21"/>
      <c r="DLH202" s="21"/>
      <c r="DLI202" s="21"/>
      <c r="DLJ202" s="21"/>
      <c r="DLK202" s="21"/>
      <c r="DLL202" s="21"/>
      <c r="DLM202" s="21"/>
      <c r="DLN202" s="21"/>
      <c r="DLO202" s="21"/>
      <c r="DLP202" s="21"/>
      <c r="DLQ202" s="21"/>
      <c r="DLR202" s="21"/>
      <c r="DLS202" s="21"/>
      <c r="DLT202" s="21"/>
      <c r="DLU202" s="21"/>
      <c r="DLV202" s="21"/>
      <c r="DLW202" s="21"/>
      <c r="DLX202" s="21"/>
      <c r="DLY202" s="21"/>
      <c r="DLZ202" s="21"/>
      <c r="DMA202" s="21"/>
      <c r="DMB202" s="21"/>
      <c r="DMC202" s="21"/>
      <c r="DMD202" s="21"/>
      <c r="DME202" s="21"/>
      <c r="DMF202" s="21"/>
      <c r="DMG202" s="21"/>
      <c r="DMH202" s="21"/>
      <c r="DMI202" s="21"/>
      <c r="DMJ202" s="21"/>
      <c r="DMK202" s="21"/>
      <c r="DML202" s="21"/>
      <c r="DMM202" s="21"/>
      <c r="DMN202" s="21"/>
      <c r="DMO202" s="21"/>
      <c r="DMP202" s="21"/>
      <c r="DMQ202" s="21"/>
      <c r="DMR202" s="21"/>
      <c r="DMS202" s="21"/>
      <c r="DMT202" s="21"/>
      <c r="DMU202" s="21"/>
      <c r="DMV202" s="21"/>
      <c r="DMW202" s="21"/>
      <c r="DMX202" s="21"/>
      <c r="DMY202" s="21"/>
      <c r="DMZ202" s="21"/>
      <c r="DNA202" s="21"/>
      <c r="DNB202" s="21"/>
      <c r="DNC202" s="21"/>
      <c r="DND202" s="21"/>
      <c r="DNE202" s="21"/>
      <c r="DNF202" s="21"/>
      <c r="DNG202" s="21"/>
      <c r="DNH202" s="21"/>
      <c r="DNI202" s="21"/>
      <c r="DNJ202" s="21"/>
      <c r="DNK202" s="21"/>
      <c r="DNL202" s="21"/>
      <c r="DNM202" s="21"/>
      <c r="DNN202" s="21"/>
      <c r="DNO202" s="21"/>
      <c r="DNP202" s="21"/>
      <c r="DNQ202" s="21"/>
      <c r="DNR202" s="21"/>
      <c r="DNS202" s="21"/>
      <c r="DNT202" s="21"/>
      <c r="DNU202" s="21"/>
      <c r="DNV202" s="21"/>
      <c r="DNW202" s="21"/>
      <c r="DNX202" s="21"/>
      <c r="DNY202" s="21"/>
      <c r="DNZ202" s="21"/>
      <c r="DOA202" s="21"/>
      <c r="DOB202" s="21"/>
      <c r="DOC202" s="21"/>
      <c r="DOD202" s="21"/>
      <c r="DOE202" s="21"/>
      <c r="DOF202" s="21"/>
      <c r="DOG202" s="21"/>
      <c r="DOH202" s="21"/>
      <c r="DOI202" s="21"/>
      <c r="DOJ202" s="21"/>
      <c r="DOK202" s="21"/>
      <c r="DOL202" s="21"/>
      <c r="DOM202" s="21"/>
      <c r="DON202" s="21"/>
      <c r="DOO202" s="21"/>
      <c r="DOP202" s="21"/>
      <c r="DOQ202" s="21"/>
      <c r="DOR202" s="21"/>
      <c r="DOS202" s="21"/>
      <c r="DOT202" s="21"/>
      <c r="DOU202" s="21"/>
      <c r="DOV202" s="21"/>
      <c r="DOW202" s="21"/>
      <c r="DOX202" s="21"/>
      <c r="DOY202" s="21"/>
      <c r="DOZ202" s="21"/>
      <c r="DPA202" s="21"/>
      <c r="DPB202" s="21"/>
      <c r="DPC202" s="21"/>
      <c r="DPD202" s="21"/>
      <c r="DPE202" s="21"/>
      <c r="DPF202" s="21"/>
      <c r="DPG202" s="21"/>
      <c r="DPH202" s="21"/>
      <c r="DPI202" s="21"/>
      <c r="DPJ202" s="21"/>
      <c r="DPK202" s="21"/>
      <c r="DPL202" s="21"/>
      <c r="DPM202" s="21"/>
      <c r="DPN202" s="21"/>
      <c r="DPO202" s="21"/>
      <c r="DPP202" s="21"/>
      <c r="DPQ202" s="21"/>
      <c r="DPR202" s="21"/>
      <c r="DPS202" s="21"/>
      <c r="DPT202" s="21"/>
      <c r="DPU202" s="21"/>
      <c r="DPV202" s="21"/>
      <c r="DPW202" s="21"/>
      <c r="DPX202" s="21"/>
      <c r="DPY202" s="21"/>
      <c r="DPZ202" s="21"/>
      <c r="DQA202" s="21"/>
      <c r="DQB202" s="21"/>
      <c r="DQC202" s="21"/>
      <c r="DQD202" s="21"/>
      <c r="DQE202" s="21"/>
      <c r="DQF202" s="21"/>
      <c r="DQG202" s="21"/>
      <c r="DQH202" s="21"/>
      <c r="DQI202" s="21"/>
      <c r="DQJ202" s="21"/>
      <c r="DQK202" s="21"/>
      <c r="DQL202" s="21"/>
      <c r="DQM202" s="21"/>
      <c r="DQN202" s="21"/>
      <c r="DQO202" s="21"/>
      <c r="DQP202" s="21"/>
      <c r="DQQ202" s="21"/>
      <c r="DQR202" s="21"/>
      <c r="DQS202" s="21"/>
      <c r="DQT202" s="21"/>
      <c r="DQU202" s="21"/>
      <c r="DQV202" s="21"/>
      <c r="DQW202" s="21"/>
      <c r="DQX202" s="21"/>
      <c r="DQY202" s="21"/>
      <c r="DQZ202" s="21"/>
      <c r="DRA202" s="21"/>
      <c r="DRB202" s="21"/>
      <c r="DRC202" s="21"/>
      <c r="DRD202" s="21"/>
      <c r="DRE202" s="21"/>
      <c r="DRF202" s="21"/>
      <c r="DRG202" s="21"/>
      <c r="DRH202" s="21"/>
      <c r="DRI202" s="21"/>
      <c r="DRJ202" s="21"/>
      <c r="DRK202" s="21"/>
      <c r="DRL202" s="21"/>
      <c r="DRM202" s="21"/>
      <c r="DRN202" s="21"/>
      <c r="DRO202" s="21"/>
      <c r="DRP202" s="21"/>
      <c r="DRQ202" s="21"/>
      <c r="DRR202" s="21"/>
      <c r="DRS202" s="21"/>
      <c r="DRT202" s="21"/>
      <c r="DRU202" s="21"/>
      <c r="DRV202" s="21"/>
      <c r="DRW202" s="21"/>
      <c r="DRX202" s="21"/>
      <c r="DRY202" s="21"/>
      <c r="DRZ202" s="21"/>
      <c r="DSA202" s="21"/>
      <c r="DSB202" s="21"/>
      <c r="DSC202" s="21"/>
      <c r="DSD202" s="21"/>
      <c r="DSE202" s="21"/>
      <c r="DSF202" s="21"/>
      <c r="DSG202" s="21"/>
      <c r="DSH202" s="21"/>
      <c r="DSI202" s="21"/>
      <c r="DSJ202" s="21"/>
      <c r="DSK202" s="21"/>
      <c r="DSL202" s="21"/>
      <c r="DSM202" s="21"/>
      <c r="DSN202" s="21"/>
      <c r="DSO202" s="21"/>
      <c r="DSP202" s="21"/>
      <c r="DSQ202" s="21"/>
      <c r="DSR202" s="21"/>
      <c r="DSS202" s="21"/>
      <c r="DST202" s="21"/>
      <c r="DSU202" s="21"/>
      <c r="DSV202" s="21"/>
      <c r="DSW202" s="21"/>
      <c r="DSX202" s="21"/>
      <c r="DSY202" s="21"/>
      <c r="DSZ202" s="21"/>
      <c r="DTA202" s="21"/>
      <c r="DTB202" s="21"/>
      <c r="DTC202" s="21"/>
      <c r="DTD202" s="21"/>
      <c r="DTE202" s="21"/>
      <c r="DTF202" s="21"/>
      <c r="DTG202" s="21"/>
      <c r="DTH202" s="21"/>
      <c r="DTI202" s="21"/>
      <c r="DTJ202" s="21"/>
      <c r="DTK202" s="21"/>
      <c r="DTL202" s="21"/>
      <c r="DTM202" s="21"/>
      <c r="DTN202" s="21"/>
      <c r="DTO202" s="21"/>
      <c r="DTP202" s="21"/>
      <c r="DTQ202" s="21"/>
      <c r="DTR202" s="21"/>
      <c r="DTS202" s="21"/>
      <c r="DTT202" s="21"/>
      <c r="DTU202" s="21"/>
      <c r="DTV202" s="21"/>
      <c r="DTW202" s="21"/>
      <c r="DTX202" s="21"/>
      <c r="DTY202" s="21"/>
      <c r="DTZ202" s="21"/>
      <c r="DUA202" s="21"/>
      <c r="DUB202" s="21"/>
      <c r="DUC202" s="21"/>
      <c r="DUD202" s="21"/>
      <c r="DUE202" s="21"/>
      <c r="DUF202" s="21"/>
      <c r="DUG202" s="21"/>
      <c r="DUH202" s="21"/>
      <c r="DUI202" s="21"/>
      <c r="DUJ202" s="21"/>
      <c r="DUK202" s="21"/>
      <c r="DUL202" s="21"/>
      <c r="DUM202" s="21"/>
      <c r="DUN202" s="21"/>
      <c r="DUO202" s="21"/>
      <c r="DUP202" s="21"/>
      <c r="DUQ202" s="21"/>
      <c r="DUR202" s="21"/>
      <c r="DUS202" s="21"/>
      <c r="DUT202" s="21"/>
      <c r="DUU202" s="21"/>
      <c r="DUV202" s="21"/>
      <c r="DUW202" s="21"/>
      <c r="DUX202" s="21"/>
      <c r="DUY202" s="21"/>
      <c r="DUZ202" s="21"/>
      <c r="DVA202" s="21"/>
      <c r="DVB202" s="21"/>
      <c r="DVC202" s="21"/>
      <c r="DVD202" s="21"/>
      <c r="DVE202" s="21"/>
      <c r="DVF202" s="21"/>
      <c r="DVG202" s="21"/>
      <c r="DVH202" s="21"/>
      <c r="DVI202" s="21"/>
      <c r="DVJ202" s="21"/>
      <c r="DVK202" s="21"/>
      <c r="DVL202" s="21"/>
      <c r="DVM202" s="21"/>
      <c r="DVN202" s="21"/>
      <c r="DVO202" s="21"/>
      <c r="DVP202" s="21"/>
      <c r="DVQ202" s="21"/>
      <c r="DVR202" s="21"/>
      <c r="DVS202" s="21"/>
      <c r="DVT202" s="21"/>
      <c r="DVU202" s="21"/>
      <c r="DVV202" s="21"/>
      <c r="DVW202" s="21"/>
      <c r="DVX202" s="21"/>
      <c r="DVY202" s="21"/>
      <c r="DVZ202" s="21"/>
      <c r="DWA202" s="21"/>
      <c r="DWB202" s="21"/>
      <c r="DWC202" s="21"/>
      <c r="DWD202" s="21"/>
      <c r="DWE202" s="21"/>
      <c r="DWF202" s="21"/>
      <c r="DWG202" s="21"/>
      <c r="DWH202" s="21"/>
      <c r="DWI202" s="21"/>
      <c r="DWJ202" s="21"/>
      <c r="DWK202" s="21"/>
      <c r="DWL202" s="21"/>
      <c r="DWM202" s="21"/>
      <c r="DWN202" s="21"/>
      <c r="DWO202" s="21"/>
      <c r="DWP202" s="21"/>
      <c r="DWQ202" s="21"/>
      <c r="DWR202" s="21"/>
      <c r="DWS202" s="21"/>
      <c r="DWT202" s="21"/>
      <c r="DWU202" s="21"/>
      <c r="DWV202" s="21"/>
      <c r="DWW202" s="21"/>
      <c r="DWX202" s="21"/>
      <c r="DWY202" s="21"/>
      <c r="DWZ202" s="21"/>
      <c r="DXA202" s="21"/>
      <c r="DXB202" s="21"/>
      <c r="DXC202" s="21"/>
      <c r="DXD202" s="21"/>
      <c r="DXE202" s="21"/>
      <c r="DXF202" s="21"/>
      <c r="DXG202" s="21"/>
      <c r="DXH202" s="21"/>
      <c r="DXI202" s="21"/>
      <c r="DXJ202" s="21"/>
      <c r="DXK202" s="21"/>
      <c r="DXL202" s="21"/>
      <c r="DXM202" s="21"/>
      <c r="DXN202" s="21"/>
      <c r="DXO202" s="21"/>
      <c r="DXP202" s="21"/>
      <c r="DXQ202" s="21"/>
      <c r="DXR202" s="21"/>
      <c r="DXS202" s="21"/>
      <c r="DXT202" s="21"/>
      <c r="DXU202" s="21"/>
      <c r="DXV202" s="21"/>
      <c r="DXW202" s="21"/>
      <c r="DXX202" s="21"/>
      <c r="DXY202" s="21"/>
      <c r="DXZ202" s="21"/>
      <c r="DYA202" s="21"/>
      <c r="DYB202" s="21"/>
      <c r="DYC202" s="21"/>
      <c r="DYD202" s="21"/>
      <c r="DYE202" s="21"/>
      <c r="DYF202" s="21"/>
      <c r="DYG202" s="21"/>
      <c r="DYH202" s="21"/>
      <c r="DYI202" s="21"/>
      <c r="DYJ202" s="21"/>
      <c r="DYK202" s="21"/>
      <c r="DYL202" s="21"/>
      <c r="DYM202" s="21"/>
      <c r="DYN202" s="21"/>
      <c r="DYO202" s="21"/>
      <c r="DYP202" s="21"/>
      <c r="DYQ202" s="21"/>
      <c r="DYR202" s="21"/>
      <c r="DYS202" s="21"/>
      <c r="DYT202" s="21"/>
      <c r="DYU202" s="21"/>
      <c r="DYV202" s="21"/>
      <c r="DYW202" s="21"/>
      <c r="DYX202" s="21"/>
      <c r="DYY202" s="21"/>
      <c r="DYZ202" s="21"/>
      <c r="DZA202" s="21"/>
      <c r="DZB202" s="21"/>
      <c r="DZC202" s="21"/>
      <c r="DZD202" s="21"/>
      <c r="DZE202" s="21"/>
      <c r="DZF202" s="21"/>
      <c r="DZG202" s="21"/>
      <c r="DZH202" s="21"/>
      <c r="DZI202" s="21"/>
      <c r="DZJ202" s="21"/>
      <c r="DZK202" s="21"/>
      <c r="DZL202" s="21"/>
      <c r="DZM202" s="21"/>
      <c r="DZN202" s="21"/>
      <c r="DZO202" s="21"/>
      <c r="DZP202" s="21"/>
      <c r="DZQ202" s="21"/>
      <c r="DZR202" s="21"/>
      <c r="DZS202" s="21"/>
      <c r="DZT202" s="21"/>
      <c r="DZU202" s="21"/>
      <c r="DZV202" s="21"/>
      <c r="DZW202" s="21"/>
      <c r="DZX202" s="21"/>
      <c r="DZY202" s="21"/>
      <c r="DZZ202" s="21"/>
      <c r="EAA202" s="21"/>
      <c r="EAB202" s="21"/>
      <c r="EAC202" s="21"/>
      <c r="EAD202" s="21"/>
      <c r="EAE202" s="21"/>
      <c r="EAF202" s="21"/>
      <c r="EAG202" s="21"/>
      <c r="EAH202" s="21"/>
      <c r="EAI202" s="21"/>
      <c r="EAJ202" s="21"/>
      <c r="EAK202" s="21"/>
      <c r="EAL202" s="21"/>
      <c r="EAM202" s="21"/>
      <c r="EAN202" s="21"/>
      <c r="EAO202" s="21"/>
      <c r="EAP202" s="21"/>
      <c r="EAQ202" s="21"/>
      <c r="EAR202" s="21"/>
      <c r="EAS202" s="21"/>
      <c r="EAT202" s="21"/>
      <c r="EAU202" s="21"/>
      <c r="EAV202" s="21"/>
      <c r="EAW202" s="21"/>
      <c r="EAX202" s="21"/>
      <c r="EAY202" s="21"/>
      <c r="EAZ202" s="21"/>
      <c r="EBA202" s="21"/>
      <c r="EBB202" s="21"/>
      <c r="EBC202" s="21"/>
      <c r="EBD202" s="21"/>
      <c r="EBE202" s="21"/>
      <c r="EBF202" s="21"/>
      <c r="EBG202" s="21"/>
      <c r="EBH202" s="21"/>
      <c r="EBI202" s="21"/>
      <c r="EBJ202" s="21"/>
      <c r="EBK202" s="21"/>
      <c r="EBL202" s="21"/>
      <c r="EBM202" s="21"/>
      <c r="EBN202" s="21"/>
      <c r="EBO202" s="21"/>
      <c r="EBP202" s="21"/>
      <c r="EBQ202" s="21"/>
      <c r="EBR202" s="21"/>
      <c r="EBS202" s="21"/>
      <c r="EBT202" s="21"/>
      <c r="EBU202" s="21"/>
      <c r="EBV202" s="21"/>
      <c r="EBW202" s="21"/>
      <c r="EBX202" s="21"/>
      <c r="EBY202" s="21"/>
      <c r="EBZ202" s="21"/>
      <c r="ECA202" s="21"/>
      <c r="ECB202" s="21"/>
      <c r="ECC202" s="21"/>
      <c r="ECD202" s="21"/>
      <c r="ECE202" s="21"/>
      <c r="ECF202" s="21"/>
      <c r="ECG202" s="21"/>
      <c r="ECH202" s="21"/>
      <c r="ECI202" s="21"/>
      <c r="ECJ202" s="21"/>
      <c r="ECK202" s="21"/>
      <c r="ECL202" s="21"/>
      <c r="ECM202" s="21"/>
      <c r="ECN202" s="21"/>
      <c r="ECO202" s="21"/>
      <c r="ECP202" s="21"/>
      <c r="ECQ202" s="21"/>
      <c r="ECR202" s="21"/>
      <c r="ECS202" s="21"/>
      <c r="ECT202" s="21"/>
      <c r="ECU202" s="21"/>
      <c r="ECV202" s="21"/>
      <c r="ECW202" s="21"/>
      <c r="ECX202" s="21"/>
      <c r="ECY202" s="21"/>
      <c r="ECZ202" s="21"/>
      <c r="EDA202" s="21"/>
      <c r="EDB202" s="21"/>
      <c r="EDC202" s="21"/>
      <c r="EDD202" s="21"/>
      <c r="EDE202" s="21"/>
      <c r="EDF202" s="21"/>
      <c r="EDG202" s="21"/>
      <c r="EDH202" s="21"/>
      <c r="EDI202" s="21"/>
      <c r="EDJ202" s="21"/>
      <c r="EDK202" s="21"/>
      <c r="EDL202" s="21"/>
      <c r="EDM202" s="21"/>
      <c r="EDN202" s="21"/>
      <c r="EDO202" s="21"/>
      <c r="EDP202" s="21"/>
      <c r="EDQ202" s="21"/>
      <c r="EDR202" s="21"/>
      <c r="EDS202" s="21"/>
      <c r="EDT202" s="21"/>
      <c r="EDU202" s="21"/>
      <c r="EDV202" s="21"/>
      <c r="EDW202" s="21"/>
      <c r="EDX202" s="21"/>
      <c r="EDY202" s="21"/>
      <c r="EDZ202" s="21"/>
      <c r="EEA202" s="21"/>
      <c r="EEB202" s="21"/>
      <c r="EEC202" s="21"/>
      <c r="EED202" s="21"/>
      <c r="EEE202" s="21"/>
      <c r="EEF202" s="21"/>
      <c r="EEG202" s="21"/>
      <c r="EEH202" s="21"/>
      <c r="EEI202" s="21"/>
      <c r="EEJ202" s="21"/>
      <c r="EEK202" s="21"/>
      <c r="EEL202" s="21"/>
      <c r="EEM202" s="21"/>
      <c r="EEN202" s="21"/>
      <c r="EEO202" s="21"/>
      <c r="EEP202" s="21"/>
      <c r="EEQ202" s="21"/>
      <c r="EER202" s="21"/>
      <c r="EES202" s="21"/>
      <c r="EET202" s="21"/>
      <c r="EEU202" s="21"/>
      <c r="EEV202" s="21"/>
      <c r="EEW202" s="21"/>
      <c r="EEX202" s="21"/>
      <c r="EEY202" s="21"/>
      <c r="EEZ202" s="21"/>
      <c r="EFA202" s="21"/>
      <c r="EFB202" s="21"/>
      <c r="EFC202" s="21"/>
      <c r="EFD202" s="21"/>
      <c r="EFE202" s="21"/>
      <c r="EFF202" s="21"/>
      <c r="EFG202" s="21"/>
      <c r="EFH202" s="21"/>
      <c r="EFI202" s="21"/>
      <c r="EFJ202" s="21"/>
      <c r="EFK202" s="21"/>
      <c r="EFL202" s="21"/>
      <c r="EFM202" s="21"/>
      <c r="EFN202" s="21"/>
      <c r="EFO202" s="21"/>
      <c r="EFP202" s="21"/>
      <c r="EFQ202" s="21"/>
      <c r="EFR202" s="21"/>
      <c r="EFS202" s="21"/>
      <c r="EFT202" s="21"/>
      <c r="EFU202" s="21"/>
      <c r="EFV202" s="21"/>
      <c r="EFW202" s="21"/>
      <c r="EFX202" s="21"/>
      <c r="EFY202" s="21"/>
      <c r="EFZ202" s="21"/>
      <c r="EGA202" s="21"/>
      <c r="EGB202" s="21"/>
      <c r="EGC202" s="21"/>
      <c r="EGD202" s="21"/>
      <c r="EGE202" s="21"/>
      <c r="EGF202" s="21"/>
      <c r="EGG202" s="21"/>
      <c r="EGH202" s="21"/>
      <c r="EGI202" s="21"/>
      <c r="EGJ202" s="21"/>
      <c r="EGK202" s="21"/>
      <c r="EGL202" s="21"/>
      <c r="EGM202" s="21"/>
      <c r="EGN202" s="21"/>
      <c r="EGO202" s="21"/>
      <c r="EGP202" s="21"/>
      <c r="EGQ202" s="21"/>
      <c r="EGR202" s="21"/>
      <c r="EGS202" s="21"/>
      <c r="EGT202" s="21"/>
      <c r="EGU202" s="21"/>
      <c r="EGV202" s="21"/>
      <c r="EGW202" s="21"/>
      <c r="EGX202" s="21"/>
      <c r="EGY202" s="21"/>
      <c r="EGZ202" s="21"/>
      <c r="EHA202" s="21"/>
      <c r="EHB202" s="21"/>
      <c r="EHC202" s="21"/>
      <c r="EHD202" s="21"/>
      <c r="EHE202" s="21"/>
      <c r="EHF202" s="21"/>
      <c r="EHG202" s="21"/>
      <c r="EHH202" s="21"/>
      <c r="EHI202" s="21"/>
      <c r="EHJ202" s="21"/>
      <c r="EHK202" s="21"/>
      <c r="EHL202" s="21"/>
      <c r="EHM202" s="21"/>
      <c r="EHN202" s="21"/>
      <c r="EHO202" s="21"/>
      <c r="EHP202" s="21"/>
      <c r="EHQ202" s="21"/>
      <c r="EHR202" s="21"/>
      <c r="EHS202" s="21"/>
      <c r="EHT202" s="21"/>
      <c r="EHU202" s="21"/>
      <c r="EHV202" s="21"/>
      <c r="EHW202" s="21"/>
      <c r="EHX202" s="21"/>
      <c r="EHY202" s="21"/>
      <c r="EHZ202" s="21"/>
      <c r="EIA202" s="21"/>
      <c r="EIB202" s="21"/>
      <c r="EIC202" s="21"/>
      <c r="EID202" s="21"/>
      <c r="EIE202" s="21"/>
      <c r="EIF202" s="21"/>
      <c r="EIG202" s="21"/>
      <c r="EIH202" s="21"/>
      <c r="EII202" s="21"/>
      <c r="EIJ202" s="21"/>
      <c r="EIK202" s="21"/>
      <c r="EIL202" s="21"/>
      <c r="EIM202" s="21"/>
      <c r="EIN202" s="21"/>
      <c r="EIO202" s="21"/>
      <c r="EIP202" s="21"/>
      <c r="EIQ202" s="21"/>
      <c r="EIR202" s="21"/>
      <c r="EIS202" s="21"/>
      <c r="EIT202" s="21"/>
      <c r="EIU202" s="21"/>
      <c r="EIV202" s="21"/>
      <c r="EIW202" s="21"/>
      <c r="EIX202" s="21"/>
      <c r="EIY202" s="21"/>
      <c r="EIZ202" s="21"/>
      <c r="EJA202" s="21"/>
      <c r="EJB202" s="21"/>
      <c r="EJC202" s="21"/>
      <c r="EJD202" s="21"/>
      <c r="EJE202" s="21"/>
      <c r="EJF202" s="21"/>
      <c r="EJG202" s="21"/>
      <c r="EJH202" s="21"/>
      <c r="EJI202" s="21"/>
      <c r="EJJ202" s="21"/>
      <c r="EJK202" s="21"/>
      <c r="EJL202" s="21"/>
      <c r="EJM202" s="21"/>
      <c r="EJN202" s="21"/>
      <c r="EJO202" s="21"/>
      <c r="EJP202" s="21"/>
      <c r="EJQ202" s="21"/>
      <c r="EJR202" s="21"/>
      <c r="EJS202" s="21"/>
      <c r="EJT202" s="21"/>
      <c r="EJU202" s="21"/>
      <c r="EJV202" s="21"/>
      <c r="EJW202" s="21"/>
      <c r="EJX202" s="21"/>
      <c r="EJY202" s="21"/>
      <c r="EJZ202" s="21"/>
      <c r="EKA202" s="21"/>
      <c r="EKB202" s="21"/>
      <c r="EKC202" s="21"/>
      <c r="EKD202" s="21"/>
      <c r="EKE202" s="21"/>
      <c r="EKF202" s="21"/>
      <c r="EKG202" s="21"/>
      <c r="EKH202" s="21"/>
      <c r="EKI202" s="21"/>
      <c r="EKJ202" s="21"/>
      <c r="EKK202" s="21"/>
      <c r="EKL202" s="21"/>
      <c r="EKM202" s="21"/>
      <c r="EKN202" s="21"/>
      <c r="EKO202" s="21"/>
      <c r="EKP202" s="21"/>
      <c r="EKQ202" s="21"/>
      <c r="EKR202" s="21"/>
      <c r="EKS202" s="21"/>
      <c r="EKT202" s="21"/>
      <c r="EKU202" s="21"/>
      <c r="EKV202" s="21"/>
      <c r="EKW202" s="21"/>
      <c r="EKX202" s="21"/>
      <c r="EKY202" s="21"/>
      <c r="EKZ202" s="21"/>
      <c r="ELA202" s="21"/>
      <c r="ELB202" s="21"/>
      <c r="ELC202" s="21"/>
      <c r="ELD202" s="21"/>
      <c r="ELE202" s="21"/>
      <c r="ELF202" s="21"/>
      <c r="ELG202" s="21"/>
      <c r="ELH202" s="21"/>
      <c r="ELI202" s="21"/>
      <c r="ELJ202" s="21"/>
      <c r="ELK202" s="21"/>
      <c r="ELL202" s="21"/>
      <c r="ELM202" s="21"/>
      <c r="ELN202" s="21"/>
      <c r="ELO202" s="21"/>
      <c r="ELP202" s="21"/>
      <c r="ELQ202" s="21"/>
      <c r="ELR202" s="21"/>
      <c r="ELS202" s="21"/>
      <c r="ELT202" s="21"/>
      <c r="ELU202" s="21"/>
      <c r="ELV202" s="21"/>
      <c r="ELW202" s="21"/>
      <c r="ELX202" s="21"/>
      <c r="ELY202" s="21"/>
      <c r="ELZ202" s="21"/>
      <c r="EMA202" s="21"/>
      <c r="EMB202" s="21"/>
      <c r="EMC202" s="21"/>
      <c r="EMD202" s="21"/>
      <c r="EME202" s="21"/>
      <c r="EMF202" s="21"/>
      <c r="EMG202" s="21"/>
      <c r="EMH202" s="21"/>
      <c r="EMI202" s="21"/>
      <c r="EMJ202" s="21"/>
      <c r="EMK202" s="21"/>
      <c r="EML202" s="21"/>
      <c r="EMM202" s="21"/>
      <c r="EMN202" s="21"/>
      <c r="EMO202" s="21"/>
      <c r="EMP202" s="21"/>
      <c r="EMQ202" s="21"/>
      <c r="EMR202" s="21"/>
      <c r="EMS202" s="21"/>
      <c r="EMT202" s="21"/>
      <c r="EMU202" s="21"/>
      <c r="EMV202" s="21"/>
      <c r="EMW202" s="21"/>
      <c r="EMX202" s="21"/>
      <c r="EMY202" s="21"/>
      <c r="EMZ202" s="21"/>
      <c r="ENA202" s="21"/>
      <c r="ENB202" s="21"/>
      <c r="ENC202" s="21"/>
      <c r="END202" s="21"/>
      <c r="ENE202" s="21"/>
      <c r="ENF202" s="21"/>
      <c r="ENG202" s="21"/>
      <c r="ENH202" s="21"/>
      <c r="ENI202" s="21"/>
      <c r="ENJ202" s="21"/>
      <c r="ENK202" s="21"/>
      <c r="ENL202" s="21"/>
      <c r="ENM202" s="21"/>
      <c r="ENN202" s="21"/>
      <c r="ENO202" s="21"/>
      <c r="ENP202" s="21"/>
      <c r="ENQ202" s="21"/>
      <c r="ENR202" s="21"/>
      <c r="ENS202" s="21"/>
      <c r="ENT202" s="21"/>
      <c r="ENU202" s="21"/>
      <c r="ENV202" s="21"/>
      <c r="ENW202" s="21"/>
      <c r="ENX202" s="21"/>
      <c r="ENY202" s="21"/>
      <c r="ENZ202" s="21"/>
      <c r="EOA202" s="21"/>
      <c r="EOB202" s="21"/>
      <c r="EOC202" s="21"/>
      <c r="EOD202" s="21"/>
      <c r="EOE202" s="21"/>
      <c r="EOF202" s="21"/>
      <c r="EOG202" s="21"/>
      <c r="EOH202" s="21"/>
      <c r="EOI202" s="21"/>
      <c r="EOJ202" s="21"/>
      <c r="EOK202" s="21"/>
      <c r="EOL202" s="21"/>
      <c r="EOM202" s="21"/>
      <c r="EON202" s="21"/>
      <c r="EOO202" s="21"/>
      <c r="EOP202" s="21"/>
      <c r="EOQ202" s="21"/>
      <c r="EOR202" s="21"/>
      <c r="EOS202" s="21"/>
      <c r="EOT202" s="21"/>
      <c r="EOU202" s="21"/>
      <c r="EOV202" s="21"/>
      <c r="EOW202" s="21"/>
      <c r="EOX202" s="21"/>
      <c r="EOY202" s="21"/>
      <c r="EOZ202" s="21"/>
      <c r="EPA202" s="21"/>
      <c r="EPB202" s="21"/>
      <c r="EPC202" s="21"/>
      <c r="EPD202" s="21"/>
      <c r="EPE202" s="21"/>
      <c r="EPF202" s="21"/>
      <c r="EPG202" s="21"/>
      <c r="EPH202" s="21"/>
      <c r="EPI202" s="21"/>
      <c r="EPJ202" s="21"/>
      <c r="EPK202" s="21"/>
      <c r="EPL202" s="21"/>
      <c r="EPM202" s="21"/>
      <c r="EPN202" s="21"/>
      <c r="EPO202" s="21"/>
      <c r="EPP202" s="21"/>
      <c r="EPQ202" s="21"/>
      <c r="EPR202" s="21"/>
      <c r="EPS202" s="21"/>
      <c r="EPT202" s="21"/>
      <c r="EPU202" s="21"/>
      <c r="EPV202" s="21"/>
      <c r="EPW202" s="21"/>
      <c r="EPX202" s="21"/>
      <c r="EPY202" s="21"/>
      <c r="EPZ202" s="21"/>
      <c r="EQA202" s="21"/>
      <c r="EQB202" s="21"/>
      <c r="EQC202" s="21"/>
      <c r="EQD202" s="21"/>
      <c r="EQE202" s="21"/>
      <c r="EQF202" s="21"/>
      <c r="EQG202" s="21"/>
      <c r="EQH202" s="21"/>
      <c r="EQI202" s="21"/>
      <c r="EQJ202" s="21"/>
      <c r="EQK202" s="21"/>
      <c r="EQL202" s="21"/>
      <c r="EQM202" s="21"/>
      <c r="EQN202" s="21"/>
      <c r="EQO202" s="21"/>
      <c r="EQP202" s="21"/>
      <c r="EQQ202" s="21"/>
      <c r="EQR202" s="21"/>
      <c r="EQS202" s="21"/>
      <c r="EQT202" s="21"/>
      <c r="EQU202" s="21"/>
      <c r="EQV202" s="21"/>
      <c r="EQW202" s="21"/>
      <c r="EQX202" s="21"/>
      <c r="EQY202" s="21"/>
      <c r="EQZ202" s="21"/>
      <c r="ERA202" s="21"/>
      <c r="ERB202" s="21"/>
      <c r="ERC202" s="21"/>
      <c r="ERD202" s="21"/>
      <c r="ERE202" s="21"/>
      <c r="ERF202" s="21"/>
      <c r="ERG202" s="21"/>
      <c r="ERH202" s="21"/>
      <c r="ERI202" s="21"/>
      <c r="ERJ202" s="21"/>
      <c r="ERK202" s="21"/>
      <c r="ERL202" s="21"/>
      <c r="ERM202" s="21"/>
      <c r="ERN202" s="21"/>
      <c r="ERO202" s="21"/>
      <c r="ERP202" s="21"/>
      <c r="ERQ202" s="21"/>
      <c r="ERR202" s="21"/>
      <c r="ERS202" s="21"/>
      <c r="ERT202" s="21"/>
      <c r="ERU202" s="21"/>
      <c r="ERV202" s="21"/>
      <c r="ERW202" s="21"/>
      <c r="ERX202" s="21"/>
      <c r="ERY202" s="21"/>
      <c r="ERZ202" s="21"/>
      <c r="ESA202" s="21"/>
      <c r="ESB202" s="21"/>
      <c r="ESC202" s="21"/>
      <c r="ESD202" s="21"/>
      <c r="ESE202" s="21"/>
      <c r="ESF202" s="21"/>
      <c r="ESG202" s="21"/>
      <c r="ESH202" s="21"/>
      <c r="ESI202" s="21"/>
      <c r="ESJ202" s="21"/>
      <c r="ESK202" s="21"/>
      <c r="ESL202" s="21"/>
      <c r="ESM202" s="21"/>
      <c r="ESN202" s="21"/>
      <c r="ESO202" s="21"/>
      <c r="ESP202" s="21"/>
      <c r="ESQ202" s="21"/>
      <c r="ESR202" s="21"/>
      <c r="ESS202" s="21"/>
      <c r="EST202" s="21"/>
      <c r="ESU202" s="21"/>
      <c r="ESV202" s="21"/>
      <c r="ESW202" s="21"/>
      <c r="ESX202" s="21"/>
      <c r="ESY202" s="21"/>
      <c r="ESZ202" s="21"/>
      <c r="ETA202" s="21"/>
      <c r="ETB202" s="21"/>
      <c r="ETC202" s="21"/>
      <c r="ETD202" s="21"/>
      <c r="ETE202" s="21"/>
      <c r="ETF202" s="21"/>
      <c r="ETG202" s="21"/>
      <c r="ETH202" s="21"/>
      <c r="ETI202" s="21"/>
      <c r="ETJ202" s="21"/>
      <c r="ETK202" s="21"/>
      <c r="ETL202" s="21"/>
      <c r="ETM202" s="21"/>
      <c r="ETN202" s="21"/>
      <c r="ETO202" s="21"/>
      <c r="ETP202" s="21"/>
      <c r="ETQ202" s="21"/>
      <c r="ETR202" s="21"/>
      <c r="ETS202" s="21"/>
      <c r="ETT202" s="21"/>
      <c r="ETU202" s="21"/>
      <c r="ETV202" s="21"/>
      <c r="ETW202" s="21"/>
      <c r="ETX202" s="21"/>
      <c r="ETY202" s="21"/>
      <c r="ETZ202" s="21"/>
      <c r="EUA202" s="21"/>
      <c r="EUB202" s="21"/>
      <c r="EUC202" s="21"/>
      <c r="EUD202" s="21"/>
      <c r="EUE202" s="21"/>
      <c r="EUF202" s="21"/>
      <c r="EUG202" s="21"/>
      <c r="EUH202" s="21"/>
      <c r="EUI202" s="21"/>
      <c r="EUJ202" s="21"/>
      <c r="EUK202" s="21"/>
      <c r="EUL202" s="21"/>
      <c r="EUM202" s="21"/>
      <c r="EUN202" s="21"/>
      <c r="EUO202" s="21"/>
      <c r="EUP202" s="21"/>
      <c r="EUQ202" s="21"/>
      <c r="EUR202" s="21"/>
      <c r="EUS202" s="21"/>
      <c r="EUT202" s="21"/>
      <c r="EUU202" s="21"/>
      <c r="EUV202" s="21"/>
      <c r="EUW202" s="21"/>
      <c r="EUX202" s="21"/>
      <c r="EUY202" s="21"/>
      <c r="EUZ202" s="21"/>
      <c r="EVA202" s="21"/>
      <c r="EVB202" s="21"/>
      <c r="EVC202" s="21"/>
      <c r="EVD202" s="21"/>
      <c r="EVE202" s="21"/>
      <c r="EVF202" s="21"/>
      <c r="EVG202" s="21"/>
      <c r="EVH202" s="21"/>
      <c r="EVI202" s="21"/>
      <c r="EVJ202" s="21"/>
      <c r="EVK202" s="21"/>
      <c r="EVL202" s="21"/>
      <c r="EVM202" s="21"/>
      <c r="EVN202" s="21"/>
      <c r="EVO202" s="21"/>
      <c r="EVP202" s="21"/>
      <c r="EVQ202" s="21"/>
      <c r="EVR202" s="21"/>
      <c r="EVS202" s="21"/>
      <c r="EVT202" s="21"/>
      <c r="EVU202" s="21"/>
      <c r="EVV202" s="21"/>
      <c r="EVW202" s="21"/>
      <c r="EVX202" s="21"/>
      <c r="EVY202" s="21"/>
      <c r="EVZ202" s="21"/>
      <c r="EWA202" s="21"/>
      <c r="EWB202" s="21"/>
      <c r="EWC202" s="21"/>
      <c r="EWD202" s="21"/>
      <c r="EWE202" s="21"/>
      <c r="EWF202" s="21"/>
      <c r="EWG202" s="21"/>
      <c r="EWH202" s="21"/>
      <c r="EWI202" s="21"/>
      <c r="EWJ202" s="21"/>
      <c r="EWK202" s="21"/>
      <c r="EWL202" s="21"/>
      <c r="EWM202" s="21"/>
      <c r="EWN202" s="21"/>
      <c r="EWO202" s="21"/>
      <c r="EWP202" s="21"/>
      <c r="EWQ202" s="21"/>
      <c r="EWR202" s="21"/>
      <c r="EWS202" s="21"/>
      <c r="EWT202" s="21"/>
      <c r="EWU202" s="21"/>
      <c r="EWV202" s="21"/>
      <c r="EWW202" s="21"/>
      <c r="EWX202" s="21"/>
      <c r="EWY202" s="21"/>
      <c r="EWZ202" s="21"/>
      <c r="EXA202" s="21"/>
      <c r="EXB202" s="21"/>
      <c r="EXC202" s="21"/>
      <c r="EXD202" s="21"/>
      <c r="EXE202" s="21"/>
      <c r="EXF202" s="21"/>
      <c r="EXG202" s="21"/>
      <c r="EXH202" s="21"/>
      <c r="EXI202" s="21"/>
      <c r="EXJ202" s="21"/>
      <c r="EXK202" s="21"/>
      <c r="EXL202" s="21"/>
      <c r="EXM202" s="21"/>
      <c r="EXN202" s="21"/>
      <c r="EXO202" s="21"/>
      <c r="EXP202" s="21"/>
      <c r="EXQ202" s="21"/>
      <c r="EXR202" s="21"/>
      <c r="EXS202" s="21"/>
      <c r="EXT202" s="21"/>
      <c r="EXU202" s="21"/>
      <c r="EXV202" s="21"/>
      <c r="EXW202" s="21"/>
      <c r="EXX202" s="21"/>
      <c r="EXY202" s="21"/>
      <c r="EXZ202" s="21"/>
      <c r="EYA202" s="21"/>
      <c r="EYB202" s="21"/>
      <c r="EYC202" s="21"/>
      <c r="EYD202" s="21"/>
      <c r="EYE202" s="21"/>
      <c r="EYF202" s="21"/>
      <c r="EYG202" s="21"/>
      <c r="EYH202" s="21"/>
      <c r="EYI202" s="21"/>
      <c r="EYJ202" s="21"/>
      <c r="EYK202" s="21"/>
      <c r="EYL202" s="21"/>
      <c r="EYM202" s="21"/>
      <c r="EYN202" s="21"/>
      <c r="EYO202" s="21"/>
      <c r="EYP202" s="21"/>
      <c r="EYQ202" s="21"/>
      <c r="EYR202" s="21"/>
      <c r="EYS202" s="21"/>
      <c r="EYT202" s="21"/>
      <c r="EYU202" s="21"/>
      <c r="EYV202" s="21"/>
      <c r="EYW202" s="21"/>
      <c r="EYX202" s="21"/>
      <c r="EYY202" s="21"/>
      <c r="EYZ202" s="21"/>
      <c r="EZA202" s="21"/>
      <c r="EZB202" s="21"/>
      <c r="EZC202" s="21"/>
      <c r="EZD202" s="21"/>
      <c r="EZE202" s="21"/>
      <c r="EZF202" s="21"/>
      <c r="EZG202" s="21"/>
      <c r="EZH202" s="21"/>
      <c r="EZI202" s="21"/>
      <c r="EZJ202" s="21"/>
      <c r="EZK202" s="21"/>
      <c r="EZL202" s="21"/>
      <c r="EZM202" s="21"/>
      <c r="EZN202" s="21"/>
      <c r="EZO202" s="21"/>
      <c r="EZP202" s="21"/>
      <c r="EZQ202" s="21"/>
      <c r="EZR202" s="21"/>
      <c r="EZS202" s="21"/>
      <c r="EZT202" s="21"/>
      <c r="EZU202" s="21"/>
      <c r="EZV202" s="21"/>
      <c r="EZW202" s="21"/>
      <c r="EZX202" s="21"/>
      <c r="EZY202" s="21"/>
      <c r="EZZ202" s="21"/>
      <c r="FAA202" s="21"/>
      <c r="FAB202" s="21"/>
      <c r="FAC202" s="21"/>
      <c r="FAD202" s="21"/>
      <c r="FAE202" s="21"/>
      <c r="FAF202" s="21"/>
      <c r="FAG202" s="21"/>
      <c r="FAH202" s="21"/>
      <c r="FAI202" s="21"/>
      <c r="FAJ202" s="21"/>
      <c r="FAK202" s="21"/>
      <c r="FAL202" s="21"/>
      <c r="FAM202" s="21"/>
      <c r="FAN202" s="21"/>
      <c r="FAO202" s="21"/>
      <c r="FAP202" s="21"/>
      <c r="FAQ202" s="21"/>
      <c r="FAR202" s="21"/>
      <c r="FAS202" s="21"/>
      <c r="FAT202" s="21"/>
      <c r="FAU202" s="21"/>
      <c r="FAV202" s="21"/>
      <c r="FAW202" s="21"/>
      <c r="FAX202" s="21"/>
      <c r="FAY202" s="21"/>
      <c r="FAZ202" s="21"/>
      <c r="FBA202" s="21"/>
      <c r="FBB202" s="21"/>
      <c r="FBC202" s="21"/>
      <c r="FBD202" s="21"/>
      <c r="FBE202" s="21"/>
      <c r="FBF202" s="21"/>
      <c r="FBG202" s="21"/>
      <c r="FBH202" s="21"/>
      <c r="FBI202" s="21"/>
      <c r="FBJ202" s="21"/>
      <c r="FBK202" s="21"/>
      <c r="FBL202" s="21"/>
      <c r="FBM202" s="21"/>
      <c r="FBN202" s="21"/>
      <c r="FBO202" s="21"/>
      <c r="FBP202" s="21"/>
      <c r="FBQ202" s="21"/>
      <c r="FBR202" s="21"/>
      <c r="FBS202" s="21"/>
      <c r="FBT202" s="21"/>
      <c r="FBU202" s="21"/>
      <c r="FBV202" s="21"/>
      <c r="FBW202" s="21"/>
      <c r="FBX202" s="21"/>
      <c r="FBY202" s="21"/>
      <c r="FBZ202" s="21"/>
      <c r="FCA202" s="21"/>
      <c r="FCB202" s="21"/>
      <c r="FCC202" s="21"/>
      <c r="FCD202" s="21"/>
      <c r="FCE202" s="21"/>
      <c r="FCF202" s="21"/>
      <c r="FCG202" s="21"/>
      <c r="FCH202" s="21"/>
      <c r="FCI202" s="21"/>
      <c r="FCJ202" s="21"/>
      <c r="FCK202" s="21"/>
      <c r="FCL202" s="21"/>
      <c r="FCM202" s="21"/>
      <c r="FCN202" s="21"/>
      <c r="FCO202" s="21"/>
      <c r="FCP202" s="21"/>
      <c r="FCQ202" s="21"/>
      <c r="FCR202" s="21"/>
      <c r="FCS202" s="21"/>
      <c r="FCT202" s="21"/>
      <c r="FCU202" s="21"/>
      <c r="FCV202" s="21"/>
      <c r="FCW202" s="21"/>
      <c r="FCX202" s="21"/>
      <c r="FCY202" s="21"/>
      <c r="FCZ202" s="21"/>
      <c r="FDA202" s="21"/>
      <c r="FDB202" s="21"/>
      <c r="FDC202" s="21"/>
      <c r="FDD202" s="21"/>
      <c r="FDE202" s="21"/>
      <c r="FDF202" s="21"/>
      <c r="FDG202" s="21"/>
      <c r="FDH202" s="21"/>
      <c r="FDI202" s="21"/>
      <c r="FDJ202" s="21"/>
      <c r="FDK202" s="21"/>
      <c r="FDL202" s="21"/>
      <c r="FDM202" s="21"/>
      <c r="FDN202" s="21"/>
      <c r="FDO202" s="21"/>
      <c r="FDP202" s="21"/>
      <c r="FDQ202" s="21"/>
      <c r="FDR202" s="21"/>
      <c r="FDS202" s="21"/>
      <c r="FDT202" s="21"/>
      <c r="FDU202" s="21"/>
      <c r="FDV202" s="21"/>
      <c r="FDW202" s="21"/>
      <c r="FDX202" s="21"/>
      <c r="FDY202" s="21"/>
      <c r="FDZ202" s="21"/>
      <c r="FEA202" s="21"/>
      <c r="FEB202" s="21"/>
      <c r="FEC202" s="21"/>
      <c r="FED202" s="21"/>
      <c r="FEE202" s="21"/>
      <c r="FEF202" s="21"/>
      <c r="FEG202" s="21"/>
      <c r="FEH202" s="21"/>
      <c r="FEI202" s="21"/>
      <c r="FEJ202" s="21"/>
      <c r="FEK202" s="21"/>
      <c r="FEL202" s="21"/>
      <c r="FEM202" s="21"/>
      <c r="FEN202" s="21"/>
      <c r="FEO202" s="21"/>
      <c r="FEP202" s="21"/>
      <c r="FEQ202" s="21"/>
      <c r="FER202" s="21"/>
      <c r="FES202" s="21"/>
      <c r="FET202" s="21"/>
      <c r="FEU202" s="21"/>
      <c r="FEV202" s="21"/>
      <c r="FEW202" s="21"/>
      <c r="FEX202" s="21"/>
      <c r="FEY202" s="21"/>
      <c r="FEZ202" s="21"/>
      <c r="FFA202" s="21"/>
      <c r="FFB202" s="21"/>
      <c r="FFC202" s="21"/>
      <c r="FFD202" s="21"/>
      <c r="FFE202" s="21"/>
      <c r="FFF202" s="21"/>
      <c r="FFG202" s="21"/>
      <c r="FFH202" s="21"/>
      <c r="FFI202" s="21"/>
      <c r="FFJ202" s="21"/>
      <c r="FFK202" s="21"/>
      <c r="FFL202" s="21"/>
      <c r="FFM202" s="21"/>
      <c r="FFN202" s="21"/>
      <c r="FFO202" s="21"/>
      <c r="FFP202" s="21"/>
      <c r="FFQ202" s="21"/>
      <c r="FFR202" s="21"/>
      <c r="FFS202" s="21"/>
      <c r="FFT202" s="21"/>
      <c r="FFU202" s="21"/>
      <c r="FFV202" s="21"/>
      <c r="FFW202" s="21"/>
      <c r="FFX202" s="21"/>
      <c r="FFY202" s="21"/>
      <c r="FFZ202" s="21"/>
      <c r="FGA202" s="21"/>
      <c r="FGB202" s="21"/>
      <c r="FGC202" s="21"/>
      <c r="FGD202" s="21"/>
      <c r="FGE202" s="21"/>
      <c r="FGF202" s="21"/>
      <c r="FGG202" s="21"/>
      <c r="FGH202" s="21"/>
      <c r="FGI202" s="21"/>
      <c r="FGJ202" s="21"/>
      <c r="FGK202" s="21"/>
      <c r="FGL202" s="21"/>
      <c r="FGM202" s="21"/>
      <c r="FGN202" s="21"/>
      <c r="FGO202" s="21"/>
      <c r="FGP202" s="21"/>
      <c r="FGQ202" s="21"/>
      <c r="FGR202" s="21"/>
      <c r="FGS202" s="21"/>
      <c r="FGT202" s="21"/>
      <c r="FGU202" s="21"/>
      <c r="FGV202" s="21"/>
      <c r="FGW202" s="21"/>
      <c r="FGX202" s="21"/>
      <c r="FGY202" s="21"/>
      <c r="FGZ202" s="21"/>
      <c r="FHA202" s="21"/>
      <c r="FHB202" s="21"/>
      <c r="FHC202" s="21"/>
      <c r="FHD202" s="21"/>
      <c r="FHE202" s="21"/>
      <c r="FHF202" s="21"/>
      <c r="FHG202" s="21"/>
      <c r="FHH202" s="21"/>
      <c r="FHI202" s="21"/>
      <c r="FHJ202" s="21"/>
      <c r="FHK202" s="21"/>
      <c r="FHL202" s="21"/>
      <c r="FHM202" s="21"/>
      <c r="FHN202" s="21"/>
      <c r="FHO202" s="21"/>
      <c r="FHP202" s="21"/>
      <c r="FHQ202" s="21"/>
      <c r="FHR202" s="21"/>
      <c r="FHS202" s="21"/>
      <c r="FHT202" s="21"/>
      <c r="FHU202" s="21"/>
      <c r="FHV202" s="21"/>
      <c r="FHW202" s="21"/>
      <c r="FHX202" s="21"/>
      <c r="FHY202" s="21"/>
      <c r="FHZ202" s="21"/>
      <c r="FIA202" s="21"/>
      <c r="FIB202" s="21"/>
      <c r="FIC202" s="21"/>
      <c r="FID202" s="21"/>
      <c r="FIE202" s="21"/>
      <c r="FIF202" s="21"/>
      <c r="FIG202" s="21"/>
      <c r="FIH202" s="21"/>
      <c r="FII202" s="21"/>
      <c r="FIJ202" s="21"/>
      <c r="FIK202" s="21"/>
      <c r="FIL202" s="21"/>
      <c r="FIM202" s="21"/>
      <c r="FIN202" s="21"/>
      <c r="FIO202" s="21"/>
      <c r="FIP202" s="21"/>
      <c r="FIQ202" s="21"/>
      <c r="FIR202" s="21"/>
      <c r="FIS202" s="21"/>
      <c r="FIT202" s="21"/>
      <c r="FIU202" s="21"/>
      <c r="FIV202" s="21"/>
      <c r="FIW202" s="21"/>
      <c r="FIX202" s="21"/>
      <c r="FIY202" s="21"/>
      <c r="FIZ202" s="21"/>
      <c r="FJA202" s="21"/>
      <c r="FJB202" s="21"/>
      <c r="FJC202" s="21"/>
      <c r="FJD202" s="21"/>
      <c r="FJE202" s="21"/>
      <c r="FJF202" s="21"/>
      <c r="FJG202" s="21"/>
      <c r="FJH202" s="21"/>
      <c r="FJI202" s="21"/>
      <c r="FJJ202" s="21"/>
      <c r="FJK202" s="21"/>
      <c r="FJL202" s="21"/>
      <c r="FJM202" s="21"/>
      <c r="FJN202" s="21"/>
      <c r="FJO202" s="21"/>
      <c r="FJP202" s="21"/>
      <c r="FJQ202" s="21"/>
      <c r="FJR202" s="21"/>
      <c r="FJS202" s="21"/>
      <c r="FJT202" s="21"/>
      <c r="FJU202" s="21"/>
      <c r="FJV202" s="21"/>
      <c r="FJW202" s="21"/>
      <c r="FJX202" s="21"/>
      <c r="FJY202" s="21"/>
      <c r="FJZ202" s="21"/>
      <c r="FKA202" s="21"/>
      <c r="FKB202" s="21"/>
      <c r="FKC202" s="21"/>
      <c r="FKD202" s="21"/>
      <c r="FKE202" s="21"/>
      <c r="FKF202" s="21"/>
      <c r="FKG202" s="21"/>
      <c r="FKH202" s="21"/>
      <c r="FKI202" s="21"/>
      <c r="FKJ202" s="21"/>
      <c r="FKK202" s="21"/>
      <c r="FKL202" s="21"/>
      <c r="FKM202" s="21"/>
      <c r="FKN202" s="21"/>
      <c r="FKO202" s="21"/>
      <c r="FKP202" s="21"/>
      <c r="FKQ202" s="21"/>
      <c r="FKR202" s="21"/>
      <c r="FKS202" s="21"/>
      <c r="FKT202" s="21"/>
      <c r="FKU202" s="21"/>
      <c r="FKV202" s="21"/>
      <c r="FKW202" s="21"/>
      <c r="FKX202" s="21"/>
      <c r="FKY202" s="21"/>
      <c r="FKZ202" s="21"/>
      <c r="FLA202" s="21"/>
      <c r="FLB202" s="21"/>
      <c r="FLC202" s="21"/>
      <c r="FLD202" s="21"/>
      <c r="FLE202" s="21"/>
      <c r="FLF202" s="21"/>
      <c r="FLG202" s="21"/>
      <c r="FLH202" s="21"/>
      <c r="FLI202" s="21"/>
      <c r="FLJ202" s="21"/>
      <c r="FLK202" s="21"/>
      <c r="FLL202" s="21"/>
      <c r="FLM202" s="21"/>
      <c r="FLN202" s="21"/>
      <c r="FLO202" s="21"/>
      <c r="FLP202" s="21"/>
      <c r="FLQ202" s="21"/>
      <c r="FLR202" s="21"/>
      <c r="FLS202" s="21"/>
      <c r="FLT202" s="21"/>
      <c r="FLU202" s="21"/>
      <c r="FLV202" s="21"/>
      <c r="FLW202" s="21"/>
      <c r="FLX202" s="21"/>
      <c r="FLY202" s="21"/>
      <c r="FLZ202" s="21"/>
      <c r="FMA202" s="21"/>
      <c r="FMB202" s="21"/>
      <c r="FMC202" s="21"/>
      <c r="FMD202" s="21"/>
      <c r="FME202" s="21"/>
      <c r="FMF202" s="21"/>
      <c r="FMG202" s="21"/>
      <c r="FMH202" s="21"/>
      <c r="FMI202" s="21"/>
      <c r="FMJ202" s="21"/>
      <c r="FMK202" s="21"/>
      <c r="FML202" s="21"/>
      <c r="FMM202" s="21"/>
      <c r="FMN202" s="21"/>
      <c r="FMO202" s="21"/>
      <c r="FMP202" s="21"/>
      <c r="FMQ202" s="21"/>
      <c r="FMR202" s="21"/>
      <c r="FMS202" s="21"/>
      <c r="FMT202" s="21"/>
      <c r="FMU202" s="21"/>
      <c r="FMV202" s="21"/>
      <c r="FMW202" s="21"/>
      <c r="FMX202" s="21"/>
      <c r="FMY202" s="21"/>
      <c r="FMZ202" s="21"/>
      <c r="FNA202" s="21"/>
      <c r="FNB202" s="21"/>
      <c r="FNC202" s="21"/>
      <c r="FND202" s="21"/>
      <c r="FNE202" s="21"/>
      <c r="FNF202" s="21"/>
      <c r="FNG202" s="21"/>
      <c r="FNH202" s="21"/>
      <c r="FNI202" s="21"/>
      <c r="FNJ202" s="21"/>
      <c r="FNK202" s="21"/>
      <c r="FNL202" s="21"/>
      <c r="FNM202" s="21"/>
      <c r="FNN202" s="21"/>
      <c r="FNO202" s="21"/>
      <c r="FNP202" s="21"/>
      <c r="FNQ202" s="21"/>
      <c r="FNR202" s="21"/>
      <c r="FNS202" s="21"/>
      <c r="FNT202" s="21"/>
      <c r="FNU202" s="21"/>
      <c r="FNV202" s="21"/>
      <c r="FNW202" s="21"/>
      <c r="FNX202" s="21"/>
      <c r="FNY202" s="21"/>
      <c r="FNZ202" s="21"/>
      <c r="FOA202" s="21"/>
      <c r="FOB202" s="21"/>
      <c r="FOC202" s="21"/>
      <c r="FOD202" s="21"/>
      <c r="FOE202" s="21"/>
      <c r="FOF202" s="21"/>
      <c r="FOG202" s="21"/>
      <c r="FOH202" s="21"/>
      <c r="FOI202" s="21"/>
      <c r="FOJ202" s="21"/>
      <c r="FOK202" s="21"/>
      <c r="FOL202" s="21"/>
      <c r="FOM202" s="21"/>
      <c r="FON202" s="21"/>
      <c r="FOO202" s="21"/>
      <c r="FOP202" s="21"/>
      <c r="FOQ202" s="21"/>
      <c r="FOR202" s="21"/>
      <c r="FOS202" s="21"/>
      <c r="FOT202" s="21"/>
      <c r="FOU202" s="21"/>
      <c r="FOV202" s="21"/>
      <c r="FOW202" s="21"/>
      <c r="FOX202" s="21"/>
      <c r="FOY202" s="21"/>
      <c r="FOZ202" s="21"/>
      <c r="FPA202" s="21"/>
      <c r="FPB202" s="21"/>
      <c r="FPC202" s="21"/>
      <c r="FPD202" s="21"/>
      <c r="FPE202" s="21"/>
      <c r="FPF202" s="21"/>
      <c r="FPG202" s="21"/>
      <c r="FPH202" s="21"/>
      <c r="FPI202" s="21"/>
      <c r="FPJ202" s="21"/>
      <c r="FPK202" s="21"/>
      <c r="FPL202" s="21"/>
      <c r="FPM202" s="21"/>
      <c r="FPN202" s="21"/>
      <c r="FPO202" s="21"/>
      <c r="FPP202" s="21"/>
      <c r="FPQ202" s="21"/>
      <c r="FPR202" s="21"/>
      <c r="FPS202" s="21"/>
      <c r="FPT202" s="21"/>
      <c r="FPU202" s="21"/>
      <c r="FPV202" s="21"/>
      <c r="FPW202" s="21"/>
      <c r="FPX202" s="21"/>
      <c r="FPY202" s="21"/>
      <c r="FPZ202" s="21"/>
      <c r="FQA202" s="21"/>
      <c r="FQB202" s="21"/>
      <c r="FQC202" s="21"/>
      <c r="FQD202" s="21"/>
      <c r="FQE202" s="21"/>
      <c r="FQF202" s="21"/>
      <c r="FQG202" s="21"/>
      <c r="FQH202" s="21"/>
      <c r="FQI202" s="21"/>
      <c r="FQJ202" s="21"/>
      <c r="FQK202" s="21"/>
      <c r="FQL202" s="21"/>
      <c r="FQM202" s="21"/>
      <c r="FQN202" s="21"/>
      <c r="FQO202" s="21"/>
      <c r="FQP202" s="21"/>
      <c r="FQQ202" s="21"/>
      <c r="FQR202" s="21"/>
      <c r="FQS202" s="21"/>
      <c r="FQT202" s="21"/>
      <c r="FQU202" s="21"/>
      <c r="FQV202" s="21"/>
      <c r="FQW202" s="21"/>
      <c r="FQX202" s="21"/>
      <c r="FQY202" s="21"/>
      <c r="FQZ202" s="21"/>
      <c r="FRA202" s="21"/>
      <c r="FRB202" s="21"/>
      <c r="FRC202" s="21"/>
      <c r="FRD202" s="21"/>
      <c r="FRE202" s="21"/>
      <c r="FRF202" s="21"/>
      <c r="FRG202" s="21"/>
      <c r="FRH202" s="21"/>
      <c r="FRI202" s="21"/>
      <c r="FRJ202" s="21"/>
      <c r="FRK202" s="21"/>
      <c r="FRL202" s="21"/>
      <c r="FRM202" s="21"/>
      <c r="FRN202" s="21"/>
      <c r="FRO202" s="21"/>
      <c r="FRP202" s="21"/>
      <c r="FRQ202" s="21"/>
      <c r="FRR202" s="21"/>
      <c r="FRS202" s="21"/>
      <c r="FRT202" s="21"/>
      <c r="FRU202" s="21"/>
      <c r="FRV202" s="21"/>
      <c r="FRW202" s="21"/>
      <c r="FRX202" s="21"/>
      <c r="FRY202" s="21"/>
      <c r="FRZ202" s="21"/>
      <c r="FSA202" s="21"/>
      <c r="FSB202" s="21"/>
      <c r="FSC202" s="21"/>
      <c r="FSD202" s="21"/>
      <c r="FSE202" s="21"/>
      <c r="FSF202" s="21"/>
      <c r="FSG202" s="21"/>
      <c r="FSH202" s="21"/>
      <c r="FSI202" s="21"/>
      <c r="FSJ202" s="21"/>
      <c r="FSK202" s="21"/>
      <c r="FSL202" s="21"/>
      <c r="FSM202" s="21"/>
      <c r="FSN202" s="21"/>
      <c r="FSO202" s="21"/>
      <c r="FSP202" s="21"/>
      <c r="FSQ202" s="21"/>
      <c r="FSR202" s="21"/>
      <c r="FSS202" s="21"/>
      <c r="FST202" s="21"/>
      <c r="FSU202" s="21"/>
      <c r="FSV202" s="21"/>
      <c r="FSW202" s="21"/>
      <c r="FSX202" s="21"/>
      <c r="FSY202" s="21"/>
      <c r="FSZ202" s="21"/>
      <c r="FTA202" s="21"/>
      <c r="FTB202" s="21"/>
      <c r="FTC202" s="21"/>
      <c r="FTD202" s="21"/>
      <c r="FTE202" s="21"/>
      <c r="FTF202" s="21"/>
      <c r="FTG202" s="21"/>
      <c r="FTH202" s="21"/>
      <c r="FTI202" s="21"/>
      <c r="FTJ202" s="21"/>
      <c r="FTK202" s="21"/>
      <c r="FTL202" s="21"/>
      <c r="FTM202" s="21"/>
      <c r="FTN202" s="21"/>
      <c r="FTO202" s="21"/>
      <c r="FTP202" s="21"/>
      <c r="FTQ202" s="21"/>
      <c r="FTR202" s="21"/>
      <c r="FTS202" s="21"/>
      <c r="FTT202" s="21"/>
      <c r="FTU202" s="21"/>
      <c r="FTV202" s="21"/>
      <c r="FTW202" s="21"/>
      <c r="FTX202" s="21"/>
      <c r="FTY202" s="21"/>
      <c r="FTZ202" s="21"/>
      <c r="FUA202" s="21"/>
      <c r="FUB202" s="21"/>
      <c r="FUC202" s="21"/>
      <c r="FUD202" s="21"/>
      <c r="FUE202" s="21"/>
      <c r="FUF202" s="21"/>
      <c r="FUG202" s="21"/>
      <c r="FUH202" s="21"/>
      <c r="FUI202" s="21"/>
      <c r="FUJ202" s="21"/>
      <c r="FUK202" s="21"/>
      <c r="FUL202" s="21"/>
      <c r="FUM202" s="21"/>
      <c r="FUN202" s="21"/>
      <c r="FUO202" s="21"/>
      <c r="FUP202" s="21"/>
      <c r="FUQ202" s="21"/>
      <c r="FUR202" s="21"/>
      <c r="FUS202" s="21"/>
      <c r="FUT202" s="21"/>
      <c r="FUU202" s="21"/>
      <c r="FUV202" s="21"/>
      <c r="FUW202" s="21"/>
      <c r="FUX202" s="21"/>
      <c r="FUY202" s="21"/>
      <c r="FUZ202" s="21"/>
      <c r="FVA202" s="21"/>
      <c r="FVB202" s="21"/>
      <c r="FVC202" s="21"/>
      <c r="FVD202" s="21"/>
      <c r="FVE202" s="21"/>
      <c r="FVF202" s="21"/>
      <c r="FVG202" s="21"/>
      <c r="FVH202" s="21"/>
      <c r="FVI202" s="21"/>
      <c r="FVJ202" s="21"/>
      <c r="FVK202" s="21"/>
      <c r="FVL202" s="21"/>
      <c r="FVM202" s="21"/>
      <c r="FVN202" s="21"/>
      <c r="FVO202" s="21"/>
      <c r="FVP202" s="21"/>
      <c r="FVQ202" s="21"/>
      <c r="FVR202" s="21"/>
      <c r="FVS202" s="21"/>
      <c r="FVT202" s="21"/>
      <c r="FVU202" s="21"/>
      <c r="FVV202" s="21"/>
      <c r="FVW202" s="21"/>
      <c r="FVX202" s="21"/>
      <c r="FVY202" s="21"/>
      <c r="FVZ202" s="21"/>
      <c r="FWA202" s="21"/>
      <c r="FWB202" s="21"/>
      <c r="FWC202" s="21"/>
      <c r="FWD202" s="21"/>
      <c r="FWE202" s="21"/>
      <c r="FWF202" s="21"/>
      <c r="FWG202" s="21"/>
      <c r="FWH202" s="21"/>
      <c r="FWI202" s="21"/>
      <c r="FWJ202" s="21"/>
      <c r="FWK202" s="21"/>
      <c r="FWL202" s="21"/>
      <c r="FWM202" s="21"/>
      <c r="FWN202" s="21"/>
      <c r="FWO202" s="21"/>
      <c r="FWP202" s="21"/>
      <c r="FWQ202" s="21"/>
      <c r="FWR202" s="21"/>
      <c r="FWS202" s="21"/>
      <c r="FWT202" s="21"/>
      <c r="FWU202" s="21"/>
      <c r="FWV202" s="21"/>
      <c r="FWW202" s="21"/>
      <c r="FWX202" s="21"/>
      <c r="FWY202" s="21"/>
      <c r="FWZ202" s="21"/>
      <c r="FXA202" s="21"/>
      <c r="FXB202" s="21"/>
      <c r="FXC202" s="21"/>
      <c r="FXD202" s="21"/>
      <c r="FXE202" s="21"/>
      <c r="FXF202" s="21"/>
      <c r="FXG202" s="21"/>
      <c r="FXH202" s="21"/>
      <c r="FXI202" s="21"/>
      <c r="FXJ202" s="21"/>
      <c r="FXK202" s="21"/>
      <c r="FXL202" s="21"/>
      <c r="FXM202" s="21"/>
      <c r="FXN202" s="21"/>
      <c r="FXO202" s="21"/>
      <c r="FXP202" s="21"/>
      <c r="FXQ202" s="21"/>
      <c r="FXR202" s="21"/>
      <c r="FXS202" s="21"/>
      <c r="FXT202" s="21"/>
      <c r="FXU202" s="21"/>
      <c r="FXV202" s="21"/>
      <c r="FXW202" s="21"/>
      <c r="FXX202" s="21"/>
      <c r="FXY202" s="21"/>
      <c r="FXZ202" s="21"/>
      <c r="FYA202" s="21"/>
      <c r="FYB202" s="21"/>
      <c r="FYC202" s="21"/>
      <c r="FYD202" s="21"/>
      <c r="FYE202" s="21"/>
      <c r="FYF202" s="21"/>
      <c r="FYG202" s="21"/>
      <c r="FYH202" s="21"/>
      <c r="FYI202" s="21"/>
      <c r="FYJ202" s="21"/>
      <c r="FYK202" s="21"/>
      <c r="FYL202" s="21"/>
      <c r="FYM202" s="21"/>
      <c r="FYN202" s="21"/>
      <c r="FYO202" s="21"/>
      <c r="FYP202" s="21"/>
      <c r="FYQ202" s="21"/>
      <c r="FYR202" s="21"/>
      <c r="FYS202" s="21"/>
      <c r="FYT202" s="21"/>
      <c r="FYU202" s="21"/>
      <c r="FYV202" s="21"/>
      <c r="FYW202" s="21"/>
      <c r="FYX202" s="21"/>
      <c r="FYY202" s="21"/>
      <c r="FYZ202" s="21"/>
      <c r="FZA202" s="21"/>
      <c r="FZB202" s="21"/>
      <c r="FZC202" s="21"/>
      <c r="FZD202" s="21"/>
      <c r="FZE202" s="21"/>
      <c r="FZF202" s="21"/>
      <c r="FZG202" s="21"/>
      <c r="FZH202" s="21"/>
      <c r="FZI202" s="21"/>
      <c r="FZJ202" s="21"/>
      <c r="FZK202" s="21"/>
      <c r="FZL202" s="21"/>
      <c r="FZM202" s="21"/>
      <c r="FZN202" s="21"/>
      <c r="FZO202" s="21"/>
      <c r="FZP202" s="21"/>
      <c r="FZQ202" s="21"/>
      <c r="FZR202" s="21"/>
      <c r="FZS202" s="21"/>
      <c r="FZT202" s="21"/>
      <c r="FZU202" s="21"/>
      <c r="FZV202" s="21"/>
      <c r="FZW202" s="21"/>
      <c r="FZX202" s="21"/>
      <c r="FZY202" s="21"/>
      <c r="FZZ202" s="21"/>
      <c r="GAA202" s="21"/>
      <c r="GAB202" s="21"/>
      <c r="GAC202" s="21"/>
      <c r="GAD202" s="21"/>
      <c r="GAE202" s="21"/>
      <c r="GAF202" s="21"/>
      <c r="GAG202" s="21"/>
      <c r="GAH202" s="21"/>
      <c r="GAI202" s="21"/>
      <c r="GAJ202" s="21"/>
      <c r="GAK202" s="21"/>
      <c r="GAL202" s="21"/>
      <c r="GAM202" s="21"/>
      <c r="GAN202" s="21"/>
      <c r="GAO202" s="21"/>
      <c r="GAP202" s="21"/>
      <c r="GAQ202" s="21"/>
      <c r="GAR202" s="21"/>
      <c r="GAS202" s="21"/>
      <c r="GAT202" s="21"/>
      <c r="GAU202" s="21"/>
      <c r="GAV202" s="21"/>
      <c r="GAW202" s="21"/>
      <c r="GAX202" s="21"/>
      <c r="GAY202" s="21"/>
      <c r="GAZ202" s="21"/>
      <c r="GBA202" s="21"/>
      <c r="GBB202" s="21"/>
      <c r="GBC202" s="21"/>
      <c r="GBD202" s="21"/>
      <c r="GBE202" s="21"/>
      <c r="GBF202" s="21"/>
      <c r="GBG202" s="21"/>
      <c r="GBH202" s="21"/>
      <c r="GBI202" s="21"/>
      <c r="GBJ202" s="21"/>
      <c r="GBK202" s="21"/>
      <c r="GBL202" s="21"/>
      <c r="GBM202" s="21"/>
      <c r="GBN202" s="21"/>
      <c r="GBO202" s="21"/>
      <c r="GBP202" s="21"/>
      <c r="GBQ202" s="21"/>
      <c r="GBR202" s="21"/>
      <c r="GBS202" s="21"/>
      <c r="GBT202" s="21"/>
      <c r="GBU202" s="21"/>
      <c r="GBV202" s="21"/>
      <c r="GBW202" s="21"/>
      <c r="GBX202" s="21"/>
      <c r="GBY202" s="21"/>
      <c r="GBZ202" s="21"/>
      <c r="GCA202" s="21"/>
      <c r="GCB202" s="21"/>
      <c r="GCC202" s="21"/>
      <c r="GCD202" s="21"/>
      <c r="GCE202" s="21"/>
      <c r="GCF202" s="21"/>
      <c r="GCG202" s="21"/>
      <c r="GCH202" s="21"/>
      <c r="GCI202" s="21"/>
      <c r="GCJ202" s="21"/>
      <c r="GCK202" s="21"/>
      <c r="GCL202" s="21"/>
      <c r="GCM202" s="21"/>
      <c r="GCN202" s="21"/>
      <c r="GCO202" s="21"/>
      <c r="GCP202" s="21"/>
      <c r="GCQ202" s="21"/>
      <c r="GCR202" s="21"/>
      <c r="GCS202" s="21"/>
      <c r="GCT202" s="21"/>
      <c r="GCU202" s="21"/>
      <c r="GCV202" s="21"/>
      <c r="GCW202" s="21"/>
      <c r="GCX202" s="21"/>
      <c r="GCY202" s="21"/>
      <c r="GCZ202" s="21"/>
      <c r="GDA202" s="21"/>
      <c r="GDB202" s="21"/>
      <c r="GDC202" s="21"/>
      <c r="GDD202" s="21"/>
      <c r="GDE202" s="21"/>
      <c r="GDF202" s="21"/>
      <c r="GDG202" s="21"/>
      <c r="GDH202" s="21"/>
      <c r="GDI202" s="21"/>
      <c r="GDJ202" s="21"/>
      <c r="GDK202" s="21"/>
      <c r="GDL202" s="21"/>
      <c r="GDM202" s="21"/>
      <c r="GDN202" s="21"/>
      <c r="GDO202" s="21"/>
      <c r="GDP202" s="21"/>
      <c r="GDQ202" s="21"/>
      <c r="GDR202" s="21"/>
      <c r="GDS202" s="21"/>
      <c r="GDT202" s="21"/>
      <c r="GDU202" s="21"/>
      <c r="GDV202" s="21"/>
      <c r="GDW202" s="21"/>
      <c r="GDX202" s="21"/>
      <c r="GDY202" s="21"/>
      <c r="GDZ202" s="21"/>
      <c r="GEA202" s="21"/>
      <c r="GEB202" s="21"/>
      <c r="GEC202" s="21"/>
      <c r="GED202" s="21"/>
      <c r="GEE202" s="21"/>
      <c r="GEF202" s="21"/>
      <c r="GEG202" s="21"/>
      <c r="GEH202" s="21"/>
      <c r="GEI202" s="21"/>
      <c r="GEJ202" s="21"/>
      <c r="GEK202" s="21"/>
      <c r="GEL202" s="21"/>
      <c r="GEM202" s="21"/>
      <c r="GEN202" s="21"/>
      <c r="GEO202" s="21"/>
      <c r="GEP202" s="21"/>
      <c r="GEQ202" s="21"/>
      <c r="GER202" s="21"/>
      <c r="GES202" s="21"/>
      <c r="GET202" s="21"/>
      <c r="GEU202" s="21"/>
      <c r="GEV202" s="21"/>
      <c r="GEW202" s="21"/>
      <c r="GEX202" s="21"/>
      <c r="GEY202" s="21"/>
      <c r="GEZ202" s="21"/>
      <c r="GFA202" s="21"/>
      <c r="GFB202" s="21"/>
      <c r="GFC202" s="21"/>
      <c r="GFD202" s="21"/>
      <c r="GFE202" s="21"/>
      <c r="GFF202" s="21"/>
      <c r="GFG202" s="21"/>
      <c r="GFH202" s="21"/>
      <c r="GFI202" s="21"/>
      <c r="GFJ202" s="21"/>
      <c r="GFK202" s="21"/>
      <c r="GFL202" s="21"/>
      <c r="GFM202" s="21"/>
      <c r="GFN202" s="21"/>
      <c r="GFO202" s="21"/>
      <c r="GFP202" s="21"/>
      <c r="GFQ202" s="21"/>
      <c r="GFR202" s="21"/>
      <c r="GFS202" s="21"/>
      <c r="GFT202" s="21"/>
      <c r="GFU202" s="21"/>
      <c r="GFV202" s="21"/>
      <c r="GFW202" s="21"/>
      <c r="GFX202" s="21"/>
      <c r="GFY202" s="21"/>
      <c r="GFZ202" s="21"/>
      <c r="GGA202" s="21"/>
      <c r="GGB202" s="21"/>
      <c r="GGC202" s="21"/>
      <c r="GGD202" s="21"/>
      <c r="GGE202" s="21"/>
      <c r="GGF202" s="21"/>
      <c r="GGG202" s="21"/>
      <c r="GGH202" s="21"/>
      <c r="GGI202" s="21"/>
      <c r="GGJ202" s="21"/>
      <c r="GGK202" s="21"/>
      <c r="GGL202" s="21"/>
      <c r="GGM202" s="21"/>
      <c r="GGN202" s="21"/>
      <c r="GGO202" s="21"/>
      <c r="GGP202" s="21"/>
      <c r="GGQ202" s="21"/>
      <c r="GGR202" s="21"/>
      <c r="GGS202" s="21"/>
      <c r="GGT202" s="21"/>
      <c r="GGU202" s="21"/>
      <c r="GGV202" s="21"/>
      <c r="GGW202" s="21"/>
      <c r="GGX202" s="21"/>
      <c r="GGY202" s="21"/>
      <c r="GGZ202" s="21"/>
      <c r="GHA202" s="21"/>
      <c r="GHB202" s="21"/>
      <c r="GHC202" s="21"/>
      <c r="GHD202" s="21"/>
      <c r="GHE202" s="21"/>
      <c r="GHF202" s="21"/>
      <c r="GHG202" s="21"/>
      <c r="GHH202" s="21"/>
      <c r="GHI202" s="21"/>
      <c r="GHJ202" s="21"/>
      <c r="GHK202" s="21"/>
      <c r="GHL202" s="21"/>
      <c r="GHM202" s="21"/>
      <c r="GHN202" s="21"/>
      <c r="GHO202" s="21"/>
      <c r="GHP202" s="21"/>
      <c r="GHQ202" s="21"/>
      <c r="GHR202" s="21"/>
      <c r="GHS202" s="21"/>
      <c r="GHT202" s="21"/>
      <c r="GHU202" s="21"/>
      <c r="GHV202" s="21"/>
      <c r="GHW202" s="21"/>
      <c r="GHX202" s="21"/>
      <c r="GHY202" s="21"/>
      <c r="GHZ202" s="21"/>
      <c r="GIA202" s="21"/>
      <c r="GIB202" s="21"/>
      <c r="GIC202" s="21"/>
      <c r="GID202" s="21"/>
      <c r="GIE202" s="21"/>
      <c r="GIF202" s="21"/>
      <c r="GIG202" s="21"/>
      <c r="GIH202" s="21"/>
      <c r="GII202" s="21"/>
      <c r="GIJ202" s="21"/>
      <c r="GIK202" s="21"/>
      <c r="GIL202" s="21"/>
      <c r="GIM202" s="21"/>
      <c r="GIN202" s="21"/>
      <c r="GIO202" s="21"/>
      <c r="GIP202" s="21"/>
      <c r="GIQ202" s="21"/>
      <c r="GIR202" s="21"/>
      <c r="GIS202" s="21"/>
      <c r="GIT202" s="21"/>
      <c r="GIU202" s="21"/>
      <c r="GIV202" s="21"/>
      <c r="GIW202" s="21"/>
      <c r="GIX202" s="21"/>
      <c r="GIY202" s="21"/>
      <c r="GIZ202" s="21"/>
      <c r="GJA202" s="21"/>
      <c r="GJB202" s="21"/>
      <c r="GJC202" s="21"/>
      <c r="GJD202" s="21"/>
      <c r="GJE202" s="21"/>
      <c r="GJF202" s="21"/>
      <c r="GJG202" s="21"/>
      <c r="GJH202" s="21"/>
      <c r="GJI202" s="21"/>
      <c r="GJJ202" s="21"/>
      <c r="GJK202" s="21"/>
      <c r="GJL202" s="21"/>
      <c r="GJM202" s="21"/>
      <c r="GJN202" s="21"/>
      <c r="GJO202" s="21"/>
      <c r="GJP202" s="21"/>
      <c r="GJQ202" s="21"/>
      <c r="GJR202" s="21"/>
      <c r="GJS202" s="21"/>
      <c r="GJT202" s="21"/>
      <c r="GJU202" s="21"/>
      <c r="GJV202" s="21"/>
      <c r="GJW202" s="21"/>
      <c r="GJX202" s="21"/>
      <c r="GJY202" s="21"/>
      <c r="GJZ202" s="21"/>
      <c r="GKA202" s="21"/>
      <c r="GKB202" s="21"/>
      <c r="GKC202" s="21"/>
      <c r="GKD202" s="21"/>
      <c r="GKE202" s="21"/>
      <c r="GKF202" s="21"/>
      <c r="GKG202" s="21"/>
      <c r="GKH202" s="21"/>
      <c r="GKI202" s="21"/>
      <c r="GKJ202" s="21"/>
      <c r="GKK202" s="21"/>
      <c r="GKL202" s="21"/>
      <c r="GKM202" s="21"/>
      <c r="GKN202" s="21"/>
      <c r="GKO202" s="21"/>
      <c r="GKP202" s="21"/>
      <c r="GKQ202" s="21"/>
      <c r="GKR202" s="21"/>
      <c r="GKS202" s="21"/>
      <c r="GKT202" s="21"/>
      <c r="GKU202" s="21"/>
      <c r="GKV202" s="21"/>
      <c r="GKW202" s="21"/>
      <c r="GKX202" s="21"/>
      <c r="GKY202" s="21"/>
      <c r="GKZ202" s="21"/>
      <c r="GLA202" s="21"/>
      <c r="GLB202" s="21"/>
      <c r="GLC202" s="21"/>
      <c r="GLD202" s="21"/>
      <c r="GLE202" s="21"/>
      <c r="GLF202" s="21"/>
      <c r="GLG202" s="21"/>
      <c r="GLH202" s="21"/>
      <c r="GLI202" s="21"/>
      <c r="GLJ202" s="21"/>
      <c r="GLK202" s="21"/>
      <c r="GLL202" s="21"/>
      <c r="GLM202" s="21"/>
      <c r="GLN202" s="21"/>
      <c r="GLO202" s="21"/>
      <c r="GLP202" s="21"/>
      <c r="GLQ202" s="21"/>
      <c r="GLR202" s="21"/>
      <c r="GLS202" s="21"/>
      <c r="GLT202" s="21"/>
      <c r="GLU202" s="21"/>
      <c r="GLV202" s="21"/>
      <c r="GLW202" s="21"/>
      <c r="GLX202" s="21"/>
      <c r="GLY202" s="21"/>
      <c r="GLZ202" s="21"/>
      <c r="GMA202" s="21"/>
      <c r="GMB202" s="21"/>
      <c r="GMC202" s="21"/>
      <c r="GMD202" s="21"/>
      <c r="GME202" s="21"/>
      <c r="GMF202" s="21"/>
      <c r="GMG202" s="21"/>
      <c r="GMH202" s="21"/>
      <c r="GMI202" s="21"/>
      <c r="GMJ202" s="21"/>
      <c r="GMK202" s="21"/>
      <c r="GML202" s="21"/>
      <c r="GMM202" s="21"/>
      <c r="GMN202" s="21"/>
      <c r="GMO202" s="21"/>
      <c r="GMP202" s="21"/>
      <c r="GMQ202" s="21"/>
      <c r="GMR202" s="21"/>
      <c r="GMS202" s="21"/>
      <c r="GMT202" s="21"/>
      <c r="GMU202" s="21"/>
      <c r="GMV202" s="21"/>
      <c r="GMW202" s="21"/>
      <c r="GMX202" s="21"/>
      <c r="GMY202" s="21"/>
      <c r="GMZ202" s="21"/>
      <c r="GNA202" s="21"/>
      <c r="GNB202" s="21"/>
      <c r="GNC202" s="21"/>
      <c r="GND202" s="21"/>
      <c r="GNE202" s="21"/>
      <c r="GNF202" s="21"/>
      <c r="GNG202" s="21"/>
      <c r="GNH202" s="21"/>
      <c r="GNI202" s="21"/>
      <c r="GNJ202" s="21"/>
      <c r="GNK202" s="21"/>
      <c r="GNL202" s="21"/>
      <c r="GNM202" s="21"/>
      <c r="GNN202" s="21"/>
      <c r="GNO202" s="21"/>
      <c r="GNP202" s="21"/>
      <c r="GNQ202" s="21"/>
      <c r="GNR202" s="21"/>
      <c r="GNS202" s="21"/>
      <c r="GNT202" s="21"/>
      <c r="GNU202" s="21"/>
      <c r="GNV202" s="21"/>
      <c r="GNW202" s="21"/>
      <c r="GNX202" s="21"/>
      <c r="GNY202" s="21"/>
      <c r="GNZ202" s="21"/>
      <c r="GOA202" s="21"/>
      <c r="GOB202" s="21"/>
      <c r="GOC202" s="21"/>
      <c r="GOD202" s="21"/>
      <c r="GOE202" s="21"/>
      <c r="GOF202" s="21"/>
      <c r="GOG202" s="21"/>
      <c r="GOH202" s="21"/>
      <c r="GOI202" s="21"/>
      <c r="GOJ202" s="21"/>
      <c r="GOK202" s="21"/>
      <c r="GOL202" s="21"/>
      <c r="GOM202" s="21"/>
      <c r="GON202" s="21"/>
      <c r="GOO202" s="21"/>
      <c r="GOP202" s="21"/>
      <c r="GOQ202" s="21"/>
      <c r="GOR202" s="21"/>
      <c r="GOS202" s="21"/>
      <c r="GOT202" s="21"/>
      <c r="GOU202" s="21"/>
      <c r="GOV202" s="21"/>
      <c r="GOW202" s="21"/>
      <c r="GOX202" s="21"/>
      <c r="GOY202" s="21"/>
      <c r="GOZ202" s="21"/>
      <c r="GPA202" s="21"/>
      <c r="GPB202" s="21"/>
      <c r="GPC202" s="21"/>
      <c r="GPD202" s="21"/>
      <c r="GPE202" s="21"/>
      <c r="GPF202" s="21"/>
      <c r="GPG202" s="21"/>
      <c r="GPH202" s="21"/>
      <c r="GPI202" s="21"/>
      <c r="GPJ202" s="21"/>
      <c r="GPK202" s="21"/>
      <c r="GPL202" s="21"/>
      <c r="GPM202" s="21"/>
      <c r="GPN202" s="21"/>
      <c r="GPO202" s="21"/>
      <c r="GPP202" s="21"/>
      <c r="GPQ202" s="21"/>
      <c r="GPR202" s="21"/>
      <c r="GPS202" s="21"/>
      <c r="GPT202" s="21"/>
      <c r="GPU202" s="21"/>
      <c r="GPV202" s="21"/>
      <c r="GPW202" s="21"/>
      <c r="GPX202" s="21"/>
      <c r="GPY202" s="21"/>
      <c r="GPZ202" s="21"/>
      <c r="GQA202" s="21"/>
      <c r="GQB202" s="21"/>
      <c r="GQC202" s="21"/>
      <c r="GQD202" s="21"/>
      <c r="GQE202" s="21"/>
      <c r="GQF202" s="21"/>
      <c r="GQG202" s="21"/>
      <c r="GQH202" s="21"/>
      <c r="GQI202" s="21"/>
      <c r="GQJ202" s="21"/>
      <c r="GQK202" s="21"/>
      <c r="GQL202" s="21"/>
      <c r="GQM202" s="21"/>
      <c r="GQN202" s="21"/>
      <c r="GQO202" s="21"/>
      <c r="GQP202" s="21"/>
      <c r="GQQ202" s="21"/>
      <c r="GQR202" s="21"/>
      <c r="GQS202" s="21"/>
      <c r="GQT202" s="21"/>
      <c r="GQU202" s="21"/>
      <c r="GQV202" s="21"/>
      <c r="GQW202" s="21"/>
      <c r="GQX202" s="21"/>
      <c r="GQY202" s="21"/>
      <c r="GQZ202" s="21"/>
      <c r="GRA202" s="21"/>
      <c r="GRB202" s="21"/>
      <c r="GRC202" s="21"/>
      <c r="GRD202" s="21"/>
      <c r="GRE202" s="21"/>
      <c r="GRF202" s="21"/>
      <c r="GRG202" s="21"/>
      <c r="GRH202" s="21"/>
      <c r="GRI202" s="21"/>
      <c r="GRJ202" s="21"/>
      <c r="GRK202" s="21"/>
      <c r="GRL202" s="21"/>
      <c r="GRM202" s="21"/>
      <c r="GRN202" s="21"/>
      <c r="GRO202" s="21"/>
      <c r="GRP202" s="21"/>
      <c r="GRQ202" s="21"/>
      <c r="GRR202" s="21"/>
      <c r="GRS202" s="21"/>
      <c r="GRT202" s="21"/>
      <c r="GRU202" s="21"/>
      <c r="GRV202" s="21"/>
      <c r="GRW202" s="21"/>
      <c r="GRX202" s="21"/>
      <c r="GRY202" s="21"/>
      <c r="GRZ202" s="21"/>
      <c r="GSA202" s="21"/>
      <c r="GSB202" s="21"/>
      <c r="GSC202" s="21"/>
      <c r="GSD202" s="21"/>
      <c r="GSE202" s="21"/>
      <c r="GSF202" s="21"/>
      <c r="GSG202" s="21"/>
      <c r="GSH202" s="21"/>
      <c r="GSI202" s="21"/>
      <c r="GSJ202" s="21"/>
      <c r="GSK202" s="21"/>
      <c r="GSL202" s="21"/>
      <c r="GSM202" s="21"/>
      <c r="GSN202" s="21"/>
      <c r="GSO202" s="21"/>
      <c r="GSP202" s="21"/>
      <c r="GSQ202" s="21"/>
      <c r="GSR202" s="21"/>
      <c r="GSS202" s="21"/>
      <c r="GST202" s="21"/>
      <c r="GSU202" s="21"/>
      <c r="GSV202" s="21"/>
      <c r="GSW202" s="21"/>
      <c r="GSX202" s="21"/>
      <c r="GSY202" s="21"/>
      <c r="GSZ202" s="21"/>
      <c r="GTA202" s="21"/>
      <c r="GTB202" s="21"/>
      <c r="GTC202" s="21"/>
      <c r="GTD202" s="21"/>
      <c r="GTE202" s="21"/>
      <c r="GTF202" s="21"/>
      <c r="GTG202" s="21"/>
      <c r="GTH202" s="21"/>
      <c r="GTI202" s="21"/>
      <c r="GTJ202" s="21"/>
      <c r="GTK202" s="21"/>
      <c r="GTL202" s="21"/>
      <c r="GTM202" s="21"/>
      <c r="GTN202" s="21"/>
      <c r="GTO202" s="21"/>
      <c r="GTP202" s="21"/>
      <c r="GTQ202" s="21"/>
      <c r="GTR202" s="21"/>
      <c r="GTS202" s="21"/>
      <c r="GTT202" s="21"/>
      <c r="GTU202" s="21"/>
      <c r="GTV202" s="21"/>
      <c r="GTW202" s="21"/>
      <c r="GTX202" s="21"/>
      <c r="GTY202" s="21"/>
      <c r="GTZ202" s="21"/>
      <c r="GUA202" s="21"/>
      <c r="GUB202" s="21"/>
      <c r="GUC202" s="21"/>
      <c r="GUD202" s="21"/>
      <c r="GUE202" s="21"/>
      <c r="GUF202" s="21"/>
      <c r="GUG202" s="21"/>
      <c r="GUH202" s="21"/>
      <c r="GUI202" s="21"/>
      <c r="GUJ202" s="21"/>
      <c r="GUK202" s="21"/>
      <c r="GUL202" s="21"/>
      <c r="GUM202" s="21"/>
      <c r="GUN202" s="21"/>
      <c r="GUO202" s="21"/>
      <c r="GUP202" s="21"/>
      <c r="GUQ202" s="21"/>
      <c r="GUR202" s="21"/>
      <c r="GUS202" s="21"/>
      <c r="GUT202" s="21"/>
      <c r="GUU202" s="21"/>
      <c r="GUV202" s="21"/>
      <c r="GUW202" s="21"/>
      <c r="GUX202" s="21"/>
      <c r="GUY202" s="21"/>
      <c r="GUZ202" s="21"/>
      <c r="GVA202" s="21"/>
      <c r="GVB202" s="21"/>
      <c r="GVC202" s="21"/>
      <c r="GVD202" s="21"/>
      <c r="GVE202" s="21"/>
      <c r="GVF202" s="21"/>
      <c r="GVG202" s="21"/>
      <c r="GVH202" s="21"/>
      <c r="GVI202" s="21"/>
      <c r="GVJ202" s="21"/>
      <c r="GVK202" s="21"/>
      <c r="GVL202" s="21"/>
      <c r="GVM202" s="21"/>
      <c r="GVN202" s="21"/>
      <c r="GVO202" s="21"/>
      <c r="GVP202" s="21"/>
      <c r="GVQ202" s="21"/>
      <c r="GVR202" s="21"/>
      <c r="GVS202" s="21"/>
      <c r="GVT202" s="21"/>
      <c r="GVU202" s="21"/>
      <c r="GVV202" s="21"/>
      <c r="GVW202" s="21"/>
      <c r="GVX202" s="21"/>
      <c r="GVY202" s="21"/>
      <c r="GVZ202" s="21"/>
      <c r="GWA202" s="21"/>
      <c r="GWB202" s="21"/>
      <c r="GWC202" s="21"/>
      <c r="GWD202" s="21"/>
      <c r="GWE202" s="21"/>
      <c r="GWF202" s="21"/>
      <c r="GWG202" s="21"/>
      <c r="GWH202" s="21"/>
      <c r="GWI202" s="21"/>
      <c r="GWJ202" s="21"/>
      <c r="GWK202" s="21"/>
      <c r="GWL202" s="21"/>
      <c r="GWM202" s="21"/>
      <c r="GWN202" s="21"/>
      <c r="GWO202" s="21"/>
      <c r="GWP202" s="21"/>
      <c r="GWQ202" s="21"/>
      <c r="GWR202" s="21"/>
      <c r="GWS202" s="21"/>
      <c r="GWT202" s="21"/>
      <c r="GWU202" s="21"/>
      <c r="GWV202" s="21"/>
      <c r="GWW202" s="21"/>
      <c r="GWX202" s="21"/>
      <c r="GWY202" s="21"/>
      <c r="GWZ202" s="21"/>
      <c r="GXA202" s="21"/>
      <c r="GXB202" s="21"/>
      <c r="GXC202" s="21"/>
      <c r="GXD202" s="21"/>
      <c r="GXE202" s="21"/>
      <c r="GXF202" s="21"/>
      <c r="GXG202" s="21"/>
      <c r="GXH202" s="21"/>
      <c r="GXI202" s="21"/>
      <c r="GXJ202" s="21"/>
      <c r="GXK202" s="21"/>
      <c r="GXL202" s="21"/>
      <c r="GXM202" s="21"/>
      <c r="GXN202" s="21"/>
      <c r="GXO202" s="21"/>
      <c r="GXP202" s="21"/>
      <c r="GXQ202" s="21"/>
      <c r="GXR202" s="21"/>
      <c r="GXS202" s="21"/>
      <c r="GXT202" s="21"/>
      <c r="GXU202" s="21"/>
      <c r="GXV202" s="21"/>
      <c r="GXW202" s="21"/>
      <c r="GXX202" s="21"/>
      <c r="GXY202" s="21"/>
      <c r="GXZ202" s="21"/>
      <c r="GYA202" s="21"/>
      <c r="GYB202" s="21"/>
      <c r="GYC202" s="21"/>
      <c r="GYD202" s="21"/>
      <c r="GYE202" s="21"/>
      <c r="GYF202" s="21"/>
      <c r="GYG202" s="21"/>
      <c r="GYH202" s="21"/>
      <c r="GYI202" s="21"/>
      <c r="GYJ202" s="21"/>
      <c r="GYK202" s="21"/>
      <c r="GYL202" s="21"/>
      <c r="GYM202" s="21"/>
      <c r="GYN202" s="21"/>
      <c r="GYO202" s="21"/>
      <c r="GYP202" s="21"/>
      <c r="GYQ202" s="21"/>
      <c r="GYR202" s="21"/>
      <c r="GYS202" s="21"/>
      <c r="GYT202" s="21"/>
      <c r="GYU202" s="21"/>
      <c r="GYV202" s="21"/>
      <c r="GYW202" s="21"/>
      <c r="GYX202" s="21"/>
      <c r="GYY202" s="21"/>
      <c r="GYZ202" s="21"/>
      <c r="GZA202" s="21"/>
      <c r="GZB202" s="21"/>
      <c r="GZC202" s="21"/>
      <c r="GZD202" s="21"/>
      <c r="GZE202" s="21"/>
      <c r="GZF202" s="21"/>
      <c r="GZG202" s="21"/>
      <c r="GZH202" s="21"/>
      <c r="GZI202" s="21"/>
      <c r="GZJ202" s="21"/>
      <c r="GZK202" s="21"/>
      <c r="GZL202" s="21"/>
      <c r="GZM202" s="21"/>
      <c r="GZN202" s="21"/>
      <c r="GZO202" s="21"/>
      <c r="GZP202" s="21"/>
      <c r="GZQ202" s="21"/>
      <c r="GZR202" s="21"/>
      <c r="GZS202" s="21"/>
      <c r="GZT202" s="21"/>
      <c r="GZU202" s="21"/>
      <c r="GZV202" s="21"/>
      <c r="GZW202" s="21"/>
      <c r="GZX202" s="21"/>
      <c r="GZY202" s="21"/>
      <c r="GZZ202" s="21"/>
      <c r="HAA202" s="21"/>
      <c r="HAB202" s="21"/>
      <c r="HAC202" s="21"/>
      <c r="HAD202" s="21"/>
      <c r="HAE202" s="21"/>
      <c r="HAF202" s="21"/>
      <c r="HAG202" s="21"/>
      <c r="HAH202" s="21"/>
      <c r="HAI202" s="21"/>
      <c r="HAJ202" s="21"/>
      <c r="HAK202" s="21"/>
      <c r="HAL202" s="21"/>
      <c r="HAM202" s="21"/>
      <c r="HAN202" s="21"/>
      <c r="HAO202" s="21"/>
      <c r="HAP202" s="21"/>
      <c r="HAQ202" s="21"/>
      <c r="HAR202" s="21"/>
      <c r="HAS202" s="21"/>
      <c r="HAT202" s="21"/>
      <c r="HAU202" s="21"/>
      <c r="HAV202" s="21"/>
      <c r="HAW202" s="21"/>
      <c r="HAX202" s="21"/>
      <c r="HAY202" s="21"/>
      <c r="HAZ202" s="21"/>
      <c r="HBA202" s="21"/>
      <c r="HBB202" s="21"/>
      <c r="HBC202" s="21"/>
      <c r="HBD202" s="21"/>
      <c r="HBE202" s="21"/>
      <c r="HBF202" s="21"/>
      <c r="HBG202" s="21"/>
      <c r="HBH202" s="21"/>
      <c r="HBI202" s="21"/>
      <c r="HBJ202" s="21"/>
      <c r="HBK202" s="21"/>
      <c r="HBL202" s="21"/>
      <c r="HBM202" s="21"/>
      <c r="HBN202" s="21"/>
      <c r="HBO202" s="21"/>
      <c r="HBP202" s="21"/>
      <c r="HBQ202" s="21"/>
      <c r="HBR202" s="21"/>
      <c r="HBS202" s="21"/>
      <c r="HBT202" s="21"/>
      <c r="HBU202" s="21"/>
      <c r="HBV202" s="21"/>
      <c r="HBW202" s="21"/>
      <c r="HBX202" s="21"/>
      <c r="HBY202" s="21"/>
      <c r="HBZ202" s="21"/>
      <c r="HCA202" s="21"/>
      <c r="HCB202" s="21"/>
      <c r="HCC202" s="21"/>
      <c r="HCD202" s="21"/>
      <c r="HCE202" s="21"/>
      <c r="HCF202" s="21"/>
      <c r="HCG202" s="21"/>
      <c r="HCH202" s="21"/>
      <c r="HCI202" s="21"/>
      <c r="HCJ202" s="21"/>
      <c r="HCK202" s="21"/>
      <c r="HCL202" s="21"/>
      <c r="HCM202" s="21"/>
      <c r="HCN202" s="21"/>
      <c r="HCO202" s="21"/>
      <c r="HCP202" s="21"/>
      <c r="HCQ202" s="21"/>
      <c r="HCR202" s="21"/>
      <c r="HCS202" s="21"/>
      <c r="HCT202" s="21"/>
      <c r="HCU202" s="21"/>
      <c r="HCV202" s="21"/>
      <c r="HCW202" s="21"/>
      <c r="HCX202" s="21"/>
      <c r="HCY202" s="21"/>
      <c r="HCZ202" s="21"/>
      <c r="HDA202" s="21"/>
      <c r="HDB202" s="21"/>
      <c r="HDC202" s="21"/>
      <c r="HDD202" s="21"/>
      <c r="HDE202" s="21"/>
      <c r="HDF202" s="21"/>
      <c r="HDG202" s="21"/>
      <c r="HDH202" s="21"/>
      <c r="HDI202" s="21"/>
      <c r="HDJ202" s="21"/>
      <c r="HDK202" s="21"/>
      <c r="HDL202" s="21"/>
      <c r="HDM202" s="21"/>
      <c r="HDN202" s="21"/>
      <c r="HDO202" s="21"/>
      <c r="HDP202" s="21"/>
      <c r="HDQ202" s="21"/>
      <c r="HDR202" s="21"/>
      <c r="HDS202" s="21"/>
      <c r="HDT202" s="21"/>
      <c r="HDU202" s="21"/>
      <c r="HDV202" s="21"/>
      <c r="HDW202" s="21"/>
      <c r="HDX202" s="21"/>
      <c r="HDY202" s="21"/>
      <c r="HDZ202" s="21"/>
      <c r="HEA202" s="21"/>
      <c r="HEB202" s="21"/>
      <c r="HEC202" s="21"/>
      <c r="HED202" s="21"/>
      <c r="HEE202" s="21"/>
      <c r="HEF202" s="21"/>
      <c r="HEG202" s="21"/>
      <c r="HEH202" s="21"/>
      <c r="HEI202" s="21"/>
      <c r="HEJ202" s="21"/>
      <c r="HEK202" s="21"/>
      <c r="HEL202" s="21"/>
      <c r="HEM202" s="21"/>
      <c r="HEN202" s="21"/>
      <c r="HEO202" s="21"/>
      <c r="HEP202" s="21"/>
      <c r="HEQ202" s="21"/>
      <c r="HER202" s="21"/>
      <c r="HES202" s="21"/>
      <c r="HET202" s="21"/>
      <c r="HEU202" s="21"/>
      <c r="HEV202" s="21"/>
      <c r="HEW202" s="21"/>
      <c r="HEX202" s="21"/>
      <c r="HEY202" s="21"/>
      <c r="HEZ202" s="21"/>
      <c r="HFA202" s="21"/>
      <c r="HFB202" s="21"/>
      <c r="HFC202" s="21"/>
      <c r="HFD202" s="21"/>
      <c r="HFE202" s="21"/>
      <c r="HFF202" s="21"/>
      <c r="HFG202" s="21"/>
      <c r="HFH202" s="21"/>
      <c r="HFI202" s="21"/>
      <c r="HFJ202" s="21"/>
      <c r="HFK202" s="21"/>
      <c r="HFL202" s="21"/>
      <c r="HFM202" s="21"/>
      <c r="HFN202" s="21"/>
      <c r="HFO202" s="21"/>
      <c r="HFP202" s="21"/>
      <c r="HFQ202" s="21"/>
      <c r="HFR202" s="21"/>
      <c r="HFS202" s="21"/>
      <c r="HFT202" s="21"/>
      <c r="HFU202" s="21"/>
      <c r="HFV202" s="21"/>
      <c r="HFW202" s="21"/>
      <c r="HFX202" s="21"/>
      <c r="HFY202" s="21"/>
      <c r="HFZ202" s="21"/>
      <c r="HGA202" s="21"/>
      <c r="HGB202" s="21"/>
      <c r="HGC202" s="21"/>
      <c r="HGD202" s="21"/>
      <c r="HGE202" s="21"/>
      <c r="HGF202" s="21"/>
      <c r="HGG202" s="21"/>
      <c r="HGH202" s="21"/>
      <c r="HGI202" s="21"/>
      <c r="HGJ202" s="21"/>
      <c r="HGK202" s="21"/>
      <c r="HGL202" s="21"/>
      <c r="HGM202" s="21"/>
      <c r="HGN202" s="21"/>
      <c r="HGO202" s="21"/>
      <c r="HGP202" s="21"/>
      <c r="HGQ202" s="21"/>
      <c r="HGR202" s="21"/>
      <c r="HGS202" s="21"/>
      <c r="HGT202" s="21"/>
      <c r="HGU202" s="21"/>
      <c r="HGV202" s="21"/>
      <c r="HGW202" s="21"/>
      <c r="HGX202" s="21"/>
      <c r="HGY202" s="21"/>
      <c r="HGZ202" s="21"/>
      <c r="HHA202" s="21"/>
      <c r="HHB202" s="21"/>
      <c r="HHC202" s="21"/>
      <c r="HHD202" s="21"/>
      <c r="HHE202" s="21"/>
      <c r="HHF202" s="21"/>
      <c r="HHG202" s="21"/>
      <c r="HHH202" s="21"/>
      <c r="HHI202" s="21"/>
      <c r="HHJ202" s="21"/>
      <c r="HHK202" s="21"/>
      <c r="HHL202" s="21"/>
      <c r="HHM202" s="21"/>
      <c r="HHN202" s="21"/>
      <c r="HHO202" s="21"/>
      <c r="HHP202" s="21"/>
      <c r="HHQ202" s="21"/>
      <c r="HHR202" s="21"/>
      <c r="HHS202" s="21"/>
      <c r="HHT202" s="21"/>
      <c r="HHU202" s="21"/>
      <c r="HHV202" s="21"/>
      <c r="HHW202" s="21"/>
      <c r="HHX202" s="21"/>
      <c r="HHY202" s="21"/>
      <c r="HHZ202" s="21"/>
      <c r="HIA202" s="21"/>
      <c r="HIB202" s="21"/>
      <c r="HIC202" s="21"/>
      <c r="HID202" s="21"/>
      <c r="HIE202" s="21"/>
      <c r="HIF202" s="21"/>
      <c r="HIG202" s="21"/>
      <c r="HIH202" s="21"/>
      <c r="HII202" s="21"/>
      <c r="HIJ202" s="21"/>
      <c r="HIK202" s="21"/>
      <c r="HIL202" s="21"/>
      <c r="HIM202" s="21"/>
      <c r="HIN202" s="21"/>
      <c r="HIO202" s="21"/>
      <c r="HIP202" s="21"/>
      <c r="HIQ202" s="21"/>
      <c r="HIR202" s="21"/>
      <c r="HIS202" s="21"/>
      <c r="HIT202" s="21"/>
      <c r="HIU202" s="21"/>
      <c r="HIV202" s="21"/>
      <c r="HIW202" s="21"/>
      <c r="HIX202" s="21"/>
      <c r="HIY202" s="21"/>
      <c r="HIZ202" s="21"/>
      <c r="HJA202" s="21"/>
      <c r="HJB202" s="21"/>
      <c r="HJC202" s="21"/>
      <c r="HJD202" s="21"/>
      <c r="HJE202" s="21"/>
      <c r="HJF202" s="21"/>
      <c r="HJG202" s="21"/>
      <c r="HJH202" s="21"/>
      <c r="HJI202" s="21"/>
      <c r="HJJ202" s="21"/>
      <c r="HJK202" s="21"/>
      <c r="HJL202" s="21"/>
      <c r="HJM202" s="21"/>
      <c r="HJN202" s="21"/>
      <c r="HJO202" s="21"/>
      <c r="HJP202" s="21"/>
      <c r="HJQ202" s="21"/>
      <c r="HJR202" s="21"/>
      <c r="HJS202" s="21"/>
      <c r="HJT202" s="21"/>
      <c r="HJU202" s="21"/>
      <c r="HJV202" s="21"/>
      <c r="HJW202" s="21"/>
      <c r="HJX202" s="21"/>
      <c r="HJY202" s="21"/>
      <c r="HJZ202" s="21"/>
      <c r="HKA202" s="21"/>
      <c r="HKB202" s="21"/>
      <c r="HKC202" s="21"/>
      <c r="HKD202" s="21"/>
      <c r="HKE202" s="21"/>
      <c r="HKF202" s="21"/>
      <c r="HKG202" s="21"/>
      <c r="HKH202" s="21"/>
      <c r="HKI202" s="21"/>
      <c r="HKJ202" s="21"/>
      <c r="HKK202" s="21"/>
      <c r="HKL202" s="21"/>
      <c r="HKM202" s="21"/>
      <c r="HKN202" s="21"/>
      <c r="HKO202" s="21"/>
      <c r="HKP202" s="21"/>
      <c r="HKQ202" s="21"/>
      <c r="HKR202" s="21"/>
      <c r="HKS202" s="21"/>
      <c r="HKT202" s="21"/>
      <c r="HKU202" s="21"/>
      <c r="HKV202" s="21"/>
      <c r="HKW202" s="21"/>
      <c r="HKX202" s="21"/>
      <c r="HKY202" s="21"/>
      <c r="HKZ202" s="21"/>
      <c r="HLA202" s="21"/>
      <c r="HLB202" s="21"/>
      <c r="HLC202" s="21"/>
      <c r="HLD202" s="21"/>
      <c r="HLE202" s="21"/>
      <c r="HLF202" s="21"/>
      <c r="HLG202" s="21"/>
      <c r="HLH202" s="21"/>
      <c r="HLI202" s="21"/>
      <c r="HLJ202" s="21"/>
      <c r="HLK202" s="21"/>
      <c r="HLL202" s="21"/>
      <c r="HLM202" s="21"/>
      <c r="HLN202" s="21"/>
      <c r="HLO202" s="21"/>
      <c r="HLP202" s="21"/>
      <c r="HLQ202" s="21"/>
      <c r="HLR202" s="21"/>
      <c r="HLS202" s="21"/>
      <c r="HLT202" s="21"/>
      <c r="HLU202" s="21"/>
      <c r="HLV202" s="21"/>
      <c r="HLW202" s="21"/>
      <c r="HLX202" s="21"/>
      <c r="HLY202" s="21"/>
      <c r="HLZ202" s="21"/>
      <c r="HMA202" s="21"/>
      <c r="HMB202" s="21"/>
      <c r="HMC202" s="21"/>
      <c r="HMD202" s="21"/>
      <c r="HME202" s="21"/>
      <c r="HMF202" s="21"/>
      <c r="HMG202" s="21"/>
      <c r="HMH202" s="21"/>
      <c r="HMI202" s="21"/>
      <c r="HMJ202" s="21"/>
      <c r="HMK202" s="21"/>
      <c r="HML202" s="21"/>
      <c r="HMM202" s="21"/>
      <c r="HMN202" s="21"/>
      <c r="HMO202" s="21"/>
      <c r="HMP202" s="21"/>
      <c r="HMQ202" s="21"/>
      <c r="HMR202" s="21"/>
      <c r="HMS202" s="21"/>
      <c r="HMT202" s="21"/>
      <c r="HMU202" s="21"/>
      <c r="HMV202" s="21"/>
      <c r="HMW202" s="21"/>
      <c r="HMX202" s="21"/>
      <c r="HMY202" s="21"/>
      <c r="HMZ202" s="21"/>
      <c r="HNA202" s="21"/>
      <c r="HNB202" s="21"/>
      <c r="HNC202" s="21"/>
      <c r="HND202" s="21"/>
      <c r="HNE202" s="21"/>
      <c r="HNF202" s="21"/>
      <c r="HNG202" s="21"/>
      <c r="HNH202" s="21"/>
      <c r="HNI202" s="21"/>
      <c r="HNJ202" s="21"/>
      <c r="HNK202" s="21"/>
      <c r="HNL202" s="21"/>
      <c r="HNM202" s="21"/>
      <c r="HNN202" s="21"/>
      <c r="HNO202" s="21"/>
      <c r="HNP202" s="21"/>
      <c r="HNQ202" s="21"/>
      <c r="HNR202" s="21"/>
      <c r="HNS202" s="21"/>
      <c r="HNT202" s="21"/>
      <c r="HNU202" s="21"/>
      <c r="HNV202" s="21"/>
      <c r="HNW202" s="21"/>
      <c r="HNX202" s="21"/>
      <c r="HNY202" s="21"/>
      <c r="HNZ202" s="21"/>
      <c r="HOA202" s="21"/>
      <c r="HOB202" s="21"/>
      <c r="HOC202" s="21"/>
      <c r="HOD202" s="21"/>
      <c r="HOE202" s="21"/>
      <c r="HOF202" s="21"/>
      <c r="HOG202" s="21"/>
      <c r="HOH202" s="21"/>
      <c r="HOI202" s="21"/>
      <c r="HOJ202" s="21"/>
      <c r="HOK202" s="21"/>
      <c r="HOL202" s="21"/>
      <c r="HOM202" s="21"/>
      <c r="HON202" s="21"/>
      <c r="HOO202" s="21"/>
      <c r="HOP202" s="21"/>
      <c r="HOQ202" s="21"/>
      <c r="HOR202" s="21"/>
      <c r="HOS202" s="21"/>
      <c r="HOT202" s="21"/>
      <c r="HOU202" s="21"/>
      <c r="HOV202" s="21"/>
      <c r="HOW202" s="21"/>
      <c r="HOX202" s="21"/>
      <c r="HOY202" s="21"/>
      <c r="HOZ202" s="21"/>
      <c r="HPA202" s="21"/>
      <c r="HPB202" s="21"/>
      <c r="HPC202" s="21"/>
      <c r="HPD202" s="21"/>
      <c r="HPE202" s="21"/>
      <c r="HPF202" s="21"/>
      <c r="HPG202" s="21"/>
      <c r="HPH202" s="21"/>
      <c r="HPI202" s="21"/>
      <c r="HPJ202" s="21"/>
      <c r="HPK202" s="21"/>
      <c r="HPL202" s="21"/>
      <c r="HPM202" s="21"/>
      <c r="HPN202" s="21"/>
      <c r="HPO202" s="21"/>
      <c r="HPP202" s="21"/>
      <c r="HPQ202" s="21"/>
      <c r="HPR202" s="21"/>
      <c r="HPS202" s="21"/>
      <c r="HPT202" s="21"/>
      <c r="HPU202" s="21"/>
      <c r="HPV202" s="21"/>
      <c r="HPW202" s="21"/>
      <c r="HPX202" s="21"/>
      <c r="HPY202" s="21"/>
      <c r="HPZ202" s="21"/>
      <c r="HQA202" s="21"/>
      <c r="HQB202" s="21"/>
      <c r="HQC202" s="21"/>
      <c r="HQD202" s="21"/>
      <c r="HQE202" s="21"/>
      <c r="HQF202" s="21"/>
      <c r="HQG202" s="21"/>
      <c r="HQH202" s="21"/>
      <c r="HQI202" s="21"/>
      <c r="HQJ202" s="21"/>
      <c r="HQK202" s="21"/>
      <c r="HQL202" s="21"/>
      <c r="HQM202" s="21"/>
      <c r="HQN202" s="21"/>
      <c r="HQO202" s="21"/>
      <c r="HQP202" s="21"/>
      <c r="HQQ202" s="21"/>
      <c r="HQR202" s="21"/>
      <c r="HQS202" s="21"/>
      <c r="HQT202" s="21"/>
      <c r="HQU202" s="21"/>
      <c r="HQV202" s="21"/>
      <c r="HQW202" s="21"/>
      <c r="HQX202" s="21"/>
      <c r="HQY202" s="21"/>
      <c r="HQZ202" s="21"/>
      <c r="HRA202" s="21"/>
      <c r="HRB202" s="21"/>
      <c r="HRC202" s="21"/>
      <c r="HRD202" s="21"/>
      <c r="HRE202" s="21"/>
      <c r="HRF202" s="21"/>
      <c r="HRG202" s="21"/>
      <c r="HRH202" s="21"/>
      <c r="HRI202" s="21"/>
      <c r="HRJ202" s="21"/>
      <c r="HRK202" s="21"/>
      <c r="HRL202" s="21"/>
      <c r="HRM202" s="21"/>
      <c r="HRN202" s="21"/>
      <c r="HRO202" s="21"/>
      <c r="HRP202" s="21"/>
      <c r="HRQ202" s="21"/>
      <c r="HRR202" s="21"/>
      <c r="HRS202" s="21"/>
      <c r="HRT202" s="21"/>
      <c r="HRU202" s="21"/>
      <c r="HRV202" s="21"/>
      <c r="HRW202" s="21"/>
      <c r="HRX202" s="21"/>
      <c r="HRY202" s="21"/>
      <c r="HRZ202" s="21"/>
      <c r="HSA202" s="21"/>
      <c r="HSB202" s="21"/>
      <c r="HSC202" s="21"/>
      <c r="HSD202" s="21"/>
      <c r="HSE202" s="21"/>
      <c r="HSF202" s="21"/>
      <c r="HSG202" s="21"/>
      <c r="HSH202" s="21"/>
      <c r="HSI202" s="21"/>
      <c r="HSJ202" s="21"/>
      <c r="HSK202" s="21"/>
      <c r="HSL202" s="21"/>
      <c r="HSM202" s="21"/>
      <c r="HSN202" s="21"/>
      <c r="HSO202" s="21"/>
      <c r="HSP202" s="21"/>
      <c r="HSQ202" s="21"/>
      <c r="HSR202" s="21"/>
      <c r="HSS202" s="21"/>
      <c r="HST202" s="21"/>
      <c r="HSU202" s="21"/>
      <c r="HSV202" s="21"/>
      <c r="HSW202" s="21"/>
      <c r="HSX202" s="21"/>
      <c r="HSY202" s="21"/>
      <c r="HSZ202" s="21"/>
      <c r="HTA202" s="21"/>
      <c r="HTB202" s="21"/>
      <c r="HTC202" s="21"/>
      <c r="HTD202" s="21"/>
      <c r="HTE202" s="21"/>
      <c r="HTF202" s="21"/>
      <c r="HTG202" s="21"/>
      <c r="HTH202" s="21"/>
      <c r="HTI202" s="21"/>
      <c r="HTJ202" s="21"/>
      <c r="HTK202" s="21"/>
      <c r="HTL202" s="21"/>
      <c r="HTM202" s="21"/>
      <c r="HTN202" s="21"/>
      <c r="HTO202" s="21"/>
      <c r="HTP202" s="21"/>
      <c r="HTQ202" s="21"/>
      <c r="HTR202" s="21"/>
      <c r="HTS202" s="21"/>
      <c r="HTT202" s="21"/>
      <c r="HTU202" s="21"/>
      <c r="HTV202" s="21"/>
      <c r="HTW202" s="21"/>
      <c r="HTX202" s="21"/>
      <c r="HTY202" s="21"/>
      <c r="HTZ202" s="21"/>
      <c r="HUA202" s="21"/>
      <c r="HUB202" s="21"/>
      <c r="HUC202" s="21"/>
      <c r="HUD202" s="21"/>
      <c r="HUE202" s="21"/>
      <c r="HUF202" s="21"/>
      <c r="HUG202" s="21"/>
      <c r="HUH202" s="21"/>
      <c r="HUI202" s="21"/>
      <c r="HUJ202" s="21"/>
      <c r="HUK202" s="21"/>
      <c r="HUL202" s="21"/>
      <c r="HUM202" s="21"/>
      <c r="HUN202" s="21"/>
      <c r="HUO202" s="21"/>
      <c r="HUP202" s="21"/>
      <c r="HUQ202" s="21"/>
      <c r="HUR202" s="21"/>
      <c r="HUS202" s="21"/>
      <c r="HUT202" s="21"/>
      <c r="HUU202" s="21"/>
      <c r="HUV202" s="21"/>
      <c r="HUW202" s="21"/>
      <c r="HUX202" s="21"/>
      <c r="HUY202" s="21"/>
      <c r="HUZ202" s="21"/>
      <c r="HVA202" s="21"/>
      <c r="HVB202" s="21"/>
      <c r="HVC202" s="21"/>
      <c r="HVD202" s="21"/>
      <c r="HVE202" s="21"/>
      <c r="HVF202" s="21"/>
      <c r="HVG202" s="21"/>
      <c r="HVH202" s="21"/>
      <c r="HVI202" s="21"/>
      <c r="HVJ202" s="21"/>
      <c r="HVK202" s="21"/>
      <c r="HVL202" s="21"/>
      <c r="HVM202" s="21"/>
      <c r="HVN202" s="21"/>
      <c r="HVO202" s="21"/>
      <c r="HVP202" s="21"/>
      <c r="HVQ202" s="21"/>
      <c r="HVR202" s="21"/>
      <c r="HVS202" s="21"/>
      <c r="HVT202" s="21"/>
      <c r="HVU202" s="21"/>
      <c r="HVV202" s="21"/>
      <c r="HVW202" s="21"/>
      <c r="HVX202" s="21"/>
      <c r="HVY202" s="21"/>
      <c r="HVZ202" s="21"/>
      <c r="HWA202" s="21"/>
      <c r="HWB202" s="21"/>
      <c r="HWC202" s="21"/>
      <c r="HWD202" s="21"/>
      <c r="HWE202" s="21"/>
      <c r="HWF202" s="21"/>
      <c r="HWG202" s="21"/>
      <c r="HWH202" s="21"/>
      <c r="HWI202" s="21"/>
      <c r="HWJ202" s="21"/>
      <c r="HWK202" s="21"/>
      <c r="HWL202" s="21"/>
      <c r="HWM202" s="21"/>
      <c r="HWN202" s="21"/>
      <c r="HWO202" s="21"/>
      <c r="HWP202" s="21"/>
      <c r="HWQ202" s="21"/>
      <c r="HWR202" s="21"/>
      <c r="HWS202" s="21"/>
      <c r="HWT202" s="21"/>
      <c r="HWU202" s="21"/>
      <c r="HWV202" s="21"/>
      <c r="HWW202" s="21"/>
      <c r="HWX202" s="21"/>
      <c r="HWY202" s="21"/>
      <c r="HWZ202" s="21"/>
      <c r="HXA202" s="21"/>
      <c r="HXB202" s="21"/>
      <c r="HXC202" s="21"/>
      <c r="HXD202" s="21"/>
      <c r="HXE202" s="21"/>
      <c r="HXF202" s="21"/>
      <c r="HXG202" s="21"/>
      <c r="HXH202" s="21"/>
      <c r="HXI202" s="21"/>
      <c r="HXJ202" s="21"/>
      <c r="HXK202" s="21"/>
      <c r="HXL202" s="21"/>
      <c r="HXM202" s="21"/>
      <c r="HXN202" s="21"/>
      <c r="HXO202" s="21"/>
      <c r="HXP202" s="21"/>
      <c r="HXQ202" s="21"/>
      <c r="HXR202" s="21"/>
      <c r="HXS202" s="21"/>
      <c r="HXT202" s="21"/>
      <c r="HXU202" s="21"/>
      <c r="HXV202" s="21"/>
      <c r="HXW202" s="21"/>
      <c r="HXX202" s="21"/>
      <c r="HXY202" s="21"/>
      <c r="HXZ202" s="21"/>
      <c r="HYA202" s="21"/>
      <c r="HYB202" s="21"/>
      <c r="HYC202" s="21"/>
      <c r="HYD202" s="21"/>
      <c r="HYE202" s="21"/>
      <c r="HYF202" s="21"/>
      <c r="HYG202" s="21"/>
      <c r="HYH202" s="21"/>
      <c r="HYI202" s="21"/>
      <c r="HYJ202" s="21"/>
      <c r="HYK202" s="21"/>
      <c r="HYL202" s="21"/>
      <c r="HYM202" s="21"/>
      <c r="HYN202" s="21"/>
      <c r="HYO202" s="21"/>
      <c r="HYP202" s="21"/>
      <c r="HYQ202" s="21"/>
      <c r="HYR202" s="21"/>
      <c r="HYS202" s="21"/>
      <c r="HYT202" s="21"/>
      <c r="HYU202" s="21"/>
      <c r="HYV202" s="21"/>
      <c r="HYW202" s="21"/>
      <c r="HYX202" s="21"/>
      <c r="HYY202" s="21"/>
      <c r="HYZ202" s="21"/>
      <c r="HZA202" s="21"/>
      <c r="HZB202" s="21"/>
      <c r="HZC202" s="21"/>
      <c r="HZD202" s="21"/>
      <c r="HZE202" s="21"/>
      <c r="HZF202" s="21"/>
      <c r="HZG202" s="21"/>
      <c r="HZH202" s="21"/>
      <c r="HZI202" s="21"/>
      <c r="HZJ202" s="21"/>
      <c r="HZK202" s="21"/>
      <c r="HZL202" s="21"/>
      <c r="HZM202" s="21"/>
      <c r="HZN202" s="21"/>
      <c r="HZO202" s="21"/>
      <c r="HZP202" s="21"/>
      <c r="HZQ202" s="21"/>
      <c r="HZR202" s="21"/>
      <c r="HZS202" s="21"/>
      <c r="HZT202" s="21"/>
      <c r="HZU202" s="21"/>
      <c r="HZV202" s="21"/>
      <c r="HZW202" s="21"/>
      <c r="HZX202" s="21"/>
      <c r="HZY202" s="21"/>
      <c r="HZZ202" s="21"/>
      <c r="IAA202" s="21"/>
      <c r="IAB202" s="21"/>
      <c r="IAC202" s="21"/>
      <c r="IAD202" s="21"/>
      <c r="IAE202" s="21"/>
      <c r="IAF202" s="21"/>
      <c r="IAG202" s="21"/>
      <c r="IAH202" s="21"/>
      <c r="IAI202" s="21"/>
      <c r="IAJ202" s="21"/>
      <c r="IAK202" s="21"/>
      <c r="IAL202" s="21"/>
      <c r="IAM202" s="21"/>
      <c r="IAN202" s="21"/>
      <c r="IAO202" s="21"/>
      <c r="IAP202" s="21"/>
      <c r="IAQ202" s="21"/>
      <c r="IAR202" s="21"/>
      <c r="IAS202" s="21"/>
      <c r="IAT202" s="21"/>
      <c r="IAU202" s="21"/>
      <c r="IAV202" s="21"/>
      <c r="IAW202" s="21"/>
      <c r="IAX202" s="21"/>
      <c r="IAY202" s="21"/>
      <c r="IAZ202" s="21"/>
      <c r="IBA202" s="21"/>
      <c r="IBB202" s="21"/>
      <c r="IBC202" s="21"/>
      <c r="IBD202" s="21"/>
      <c r="IBE202" s="21"/>
      <c r="IBF202" s="21"/>
      <c r="IBG202" s="21"/>
      <c r="IBH202" s="21"/>
      <c r="IBI202" s="21"/>
      <c r="IBJ202" s="21"/>
      <c r="IBK202" s="21"/>
      <c r="IBL202" s="21"/>
      <c r="IBM202" s="21"/>
      <c r="IBN202" s="21"/>
      <c r="IBO202" s="21"/>
      <c r="IBP202" s="21"/>
      <c r="IBQ202" s="21"/>
      <c r="IBR202" s="21"/>
      <c r="IBS202" s="21"/>
      <c r="IBT202" s="21"/>
      <c r="IBU202" s="21"/>
      <c r="IBV202" s="21"/>
      <c r="IBW202" s="21"/>
      <c r="IBX202" s="21"/>
      <c r="IBY202" s="21"/>
      <c r="IBZ202" s="21"/>
      <c r="ICA202" s="21"/>
      <c r="ICB202" s="21"/>
      <c r="ICC202" s="21"/>
      <c r="ICD202" s="21"/>
      <c r="ICE202" s="21"/>
      <c r="ICF202" s="21"/>
      <c r="ICG202" s="21"/>
      <c r="ICH202" s="21"/>
      <c r="ICI202" s="21"/>
      <c r="ICJ202" s="21"/>
      <c r="ICK202" s="21"/>
      <c r="ICL202" s="21"/>
      <c r="ICM202" s="21"/>
      <c r="ICN202" s="21"/>
      <c r="ICO202" s="21"/>
      <c r="ICP202" s="21"/>
      <c r="ICQ202" s="21"/>
      <c r="ICR202" s="21"/>
      <c r="ICS202" s="21"/>
      <c r="ICT202" s="21"/>
      <c r="ICU202" s="21"/>
      <c r="ICV202" s="21"/>
      <c r="ICW202" s="21"/>
      <c r="ICX202" s="21"/>
      <c r="ICY202" s="21"/>
      <c r="ICZ202" s="21"/>
      <c r="IDA202" s="21"/>
      <c r="IDB202" s="21"/>
      <c r="IDC202" s="21"/>
      <c r="IDD202" s="21"/>
      <c r="IDE202" s="21"/>
      <c r="IDF202" s="21"/>
      <c r="IDG202" s="21"/>
      <c r="IDH202" s="21"/>
      <c r="IDI202" s="21"/>
      <c r="IDJ202" s="21"/>
      <c r="IDK202" s="21"/>
      <c r="IDL202" s="21"/>
      <c r="IDM202" s="21"/>
      <c r="IDN202" s="21"/>
      <c r="IDO202" s="21"/>
      <c r="IDP202" s="21"/>
      <c r="IDQ202" s="21"/>
      <c r="IDR202" s="21"/>
      <c r="IDS202" s="21"/>
      <c r="IDT202" s="21"/>
      <c r="IDU202" s="21"/>
      <c r="IDV202" s="21"/>
      <c r="IDW202" s="21"/>
      <c r="IDX202" s="21"/>
      <c r="IDY202" s="21"/>
      <c r="IDZ202" s="21"/>
      <c r="IEA202" s="21"/>
      <c r="IEB202" s="21"/>
      <c r="IEC202" s="21"/>
      <c r="IED202" s="21"/>
      <c r="IEE202" s="21"/>
      <c r="IEF202" s="21"/>
      <c r="IEG202" s="21"/>
      <c r="IEH202" s="21"/>
      <c r="IEI202" s="21"/>
      <c r="IEJ202" s="21"/>
      <c r="IEK202" s="21"/>
      <c r="IEL202" s="21"/>
      <c r="IEM202" s="21"/>
      <c r="IEN202" s="21"/>
      <c r="IEO202" s="21"/>
      <c r="IEP202" s="21"/>
      <c r="IEQ202" s="21"/>
      <c r="IER202" s="21"/>
      <c r="IES202" s="21"/>
      <c r="IET202" s="21"/>
      <c r="IEU202" s="21"/>
      <c r="IEV202" s="21"/>
      <c r="IEW202" s="21"/>
      <c r="IEX202" s="21"/>
      <c r="IEY202" s="21"/>
      <c r="IEZ202" s="21"/>
      <c r="IFA202" s="21"/>
      <c r="IFB202" s="21"/>
      <c r="IFC202" s="21"/>
      <c r="IFD202" s="21"/>
      <c r="IFE202" s="21"/>
      <c r="IFF202" s="21"/>
      <c r="IFG202" s="21"/>
      <c r="IFH202" s="21"/>
      <c r="IFI202" s="21"/>
      <c r="IFJ202" s="21"/>
      <c r="IFK202" s="21"/>
      <c r="IFL202" s="21"/>
      <c r="IFM202" s="21"/>
      <c r="IFN202" s="21"/>
      <c r="IFO202" s="21"/>
      <c r="IFP202" s="21"/>
      <c r="IFQ202" s="21"/>
      <c r="IFR202" s="21"/>
      <c r="IFS202" s="21"/>
      <c r="IFT202" s="21"/>
      <c r="IFU202" s="21"/>
      <c r="IFV202" s="21"/>
      <c r="IFW202" s="21"/>
      <c r="IFX202" s="21"/>
      <c r="IFY202" s="21"/>
      <c r="IFZ202" s="21"/>
      <c r="IGA202" s="21"/>
      <c r="IGB202" s="21"/>
      <c r="IGC202" s="21"/>
      <c r="IGD202" s="21"/>
      <c r="IGE202" s="21"/>
      <c r="IGF202" s="21"/>
      <c r="IGG202" s="21"/>
      <c r="IGH202" s="21"/>
      <c r="IGI202" s="21"/>
      <c r="IGJ202" s="21"/>
      <c r="IGK202" s="21"/>
      <c r="IGL202" s="21"/>
      <c r="IGM202" s="21"/>
      <c r="IGN202" s="21"/>
      <c r="IGO202" s="21"/>
      <c r="IGP202" s="21"/>
      <c r="IGQ202" s="21"/>
      <c r="IGR202" s="21"/>
      <c r="IGS202" s="21"/>
      <c r="IGT202" s="21"/>
      <c r="IGU202" s="21"/>
      <c r="IGV202" s="21"/>
      <c r="IGW202" s="21"/>
      <c r="IGX202" s="21"/>
      <c r="IGY202" s="21"/>
      <c r="IGZ202" s="21"/>
      <c r="IHA202" s="21"/>
      <c r="IHB202" s="21"/>
      <c r="IHC202" s="21"/>
      <c r="IHD202" s="21"/>
      <c r="IHE202" s="21"/>
      <c r="IHF202" s="21"/>
      <c r="IHG202" s="21"/>
      <c r="IHH202" s="21"/>
      <c r="IHI202" s="21"/>
      <c r="IHJ202" s="21"/>
      <c r="IHK202" s="21"/>
      <c r="IHL202" s="21"/>
      <c r="IHM202" s="21"/>
      <c r="IHN202" s="21"/>
      <c r="IHO202" s="21"/>
      <c r="IHP202" s="21"/>
      <c r="IHQ202" s="21"/>
      <c r="IHR202" s="21"/>
      <c r="IHS202" s="21"/>
      <c r="IHT202" s="21"/>
      <c r="IHU202" s="21"/>
      <c r="IHV202" s="21"/>
      <c r="IHW202" s="21"/>
      <c r="IHX202" s="21"/>
      <c r="IHY202" s="21"/>
      <c r="IHZ202" s="21"/>
      <c r="IIA202" s="21"/>
      <c r="IIB202" s="21"/>
      <c r="IIC202" s="21"/>
      <c r="IID202" s="21"/>
      <c r="IIE202" s="21"/>
      <c r="IIF202" s="21"/>
      <c r="IIG202" s="21"/>
      <c r="IIH202" s="21"/>
      <c r="III202" s="21"/>
      <c r="IIJ202" s="21"/>
      <c r="IIK202" s="21"/>
      <c r="IIL202" s="21"/>
      <c r="IIM202" s="21"/>
      <c r="IIN202" s="21"/>
      <c r="IIO202" s="21"/>
      <c r="IIP202" s="21"/>
      <c r="IIQ202" s="21"/>
      <c r="IIR202" s="21"/>
      <c r="IIS202" s="21"/>
      <c r="IIT202" s="21"/>
      <c r="IIU202" s="21"/>
      <c r="IIV202" s="21"/>
      <c r="IIW202" s="21"/>
      <c r="IIX202" s="21"/>
      <c r="IIY202" s="21"/>
      <c r="IIZ202" s="21"/>
      <c r="IJA202" s="21"/>
      <c r="IJB202" s="21"/>
      <c r="IJC202" s="21"/>
      <c r="IJD202" s="21"/>
      <c r="IJE202" s="21"/>
      <c r="IJF202" s="21"/>
      <c r="IJG202" s="21"/>
      <c r="IJH202" s="21"/>
      <c r="IJI202" s="21"/>
      <c r="IJJ202" s="21"/>
      <c r="IJK202" s="21"/>
      <c r="IJL202" s="21"/>
      <c r="IJM202" s="21"/>
      <c r="IJN202" s="21"/>
      <c r="IJO202" s="21"/>
      <c r="IJP202" s="21"/>
      <c r="IJQ202" s="21"/>
      <c r="IJR202" s="21"/>
      <c r="IJS202" s="21"/>
      <c r="IJT202" s="21"/>
      <c r="IJU202" s="21"/>
      <c r="IJV202" s="21"/>
      <c r="IJW202" s="21"/>
      <c r="IJX202" s="21"/>
      <c r="IJY202" s="21"/>
      <c r="IJZ202" s="21"/>
      <c r="IKA202" s="21"/>
      <c r="IKB202" s="21"/>
      <c r="IKC202" s="21"/>
      <c r="IKD202" s="21"/>
      <c r="IKE202" s="21"/>
      <c r="IKF202" s="21"/>
      <c r="IKG202" s="21"/>
      <c r="IKH202" s="21"/>
      <c r="IKI202" s="21"/>
      <c r="IKJ202" s="21"/>
      <c r="IKK202" s="21"/>
      <c r="IKL202" s="21"/>
      <c r="IKM202" s="21"/>
      <c r="IKN202" s="21"/>
      <c r="IKO202" s="21"/>
      <c r="IKP202" s="21"/>
      <c r="IKQ202" s="21"/>
      <c r="IKR202" s="21"/>
      <c r="IKS202" s="21"/>
      <c r="IKT202" s="21"/>
      <c r="IKU202" s="21"/>
      <c r="IKV202" s="21"/>
      <c r="IKW202" s="21"/>
      <c r="IKX202" s="21"/>
      <c r="IKY202" s="21"/>
      <c r="IKZ202" s="21"/>
      <c r="ILA202" s="21"/>
      <c r="ILB202" s="21"/>
      <c r="ILC202" s="21"/>
      <c r="ILD202" s="21"/>
      <c r="ILE202" s="21"/>
      <c r="ILF202" s="21"/>
      <c r="ILG202" s="21"/>
      <c r="ILH202" s="21"/>
      <c r="ILI202" s="21"/>
      <c r="ILJ202" s="21"/>
      <c r="ILK202" s="21"/>
      <c r="ILL202" s="21"/>
      <c r="ILM202" s="21"/>
      <c r="ILN202" s="21"/>
      <c r="ILO202" s="21"/>
      <c r="ILP202" s="21"/>
      <c r="ILQ202" s="21"/>
      <c r="ILR202" s="21"/>
      <c r="ILS202" s="21"/>
      <c r="ILT202" s="21"/>
      <c r="ILU202" s="21"/>
      <c r="ILV202" s="21"/>
      <c r="ILW202" s="21"/>
      <c r="ILX202" s="21"/>
      <c r="ILY202" s="21"/>
      <c r="ILZ202" s="21"/>
      <c r="IMA202" s="21"/>
      <c r="IMB202" s="21"/>
      <c r="IMC202" s="21"/>
      <c r="IMD202" s="21"/>
      <c r="IME202" s="21"/>
      <c r="IMF202" s="21"/>
      <c r="IMG202" s="21"/>
      <c r="IMH202" s="21"/>
      <c r="IMI202" s="21"/>
      <c r="IMJ202" s="21"/>
      <c r="IMK202" s="21"/>
      <c r="IML202" s="21"/>
      <c r="IMM202" s="21"/>
      <c r="IMN202" s="21"/>
      <c r="IMO202" s="21"/>
      <c r="IMP202" s="21"/>
      <c r="IMQ202" s="21"/>
      <c r="IMR202" s="21"/>
      <c r="IMS202" s="21"/>
      <c r="IMT202" s="21"/>
      <c r="IMU202" s="21"/>
      <c r="IMV202" s="21"/>
      <c r="IMW202" s="21"/>
      <c r="IMX202" s="21"/>
      <c r="IMY202" s="21"/>
      <c r="IMZ202" s="21"/>
      <c r="INA202" s="21"/>
      <c r="INB202" s="21"/>
      <c r="INC202" s="21"/>
      <c r="IND202" s="21"/>
      <c r="INE202" s="21"/>
      <c r="INF202" s="21"/>
      <c r="ING202" s="21"/>
      <c r="INH202" s="21"/>
      <c r="INI202" s="21"/>
      <c r="INJ202" s="21"/>
      <c r="INK202" s="21"/>
      <c r="INL202" s="21"/>
      <c r="INM202" s="21"/>
      <c r="INN202" s="21"/>
      <c r="INO202" s="21"/>
      <c r="INP202" s="21"/>
      <c r="INQ202" s="21"/>
      <c r="INR202" s="21"/>
      <c r="INS202" s="21"/>
      <c r="INT202" s="21"/>
      <c r="INU202" s="21"/>
      <c r="INV202" s="21"/>
      <c r="INW202" s="21"/>
      <c r="INX202" s="21"/>
      <c r="INY202" s="21"/>
      <c r="INZ202" s="21"/>
      <c r="IOA202" s="21"/>
      <c r="IOB202" s="21"/>
      <c r="IOC202" s="21"/>
      <c r="IOD202" s="21"/>
      <c r="IOE202" s="21"/>
      <c r="IOF202" s="21"/>
      <c r="IOG202" s="21"/>
      <c r="IOH202" s="21"/>
      <c r="IOI202" s="21"/>
      <c r="IOJ202" s="21"/>
      <c r="IOK202" s="21"/>
      <c r="IOL202" s="21"/>
      <c r="IOM202" s="21"/>
      <c r="ION202" s="21"/>
      <c r="IOO202" s="21"/>
      <c r="IOP202" s="21"/>
      <c r="IOQ202" s="21"/>
      <c r="IOR202" s="21"/>
      <c r="IOS202" s="21"/>
      <c r="IOT202" s="21"/>
      <c r="IOU202" s="21"/>
      <c r="IOV202" s="21"/>
      <c r="IOW202" s="21"/>
      <c r="IOX202" s="21"/>
      <c r="IOY202" s="21"/>
      <c r="IOZ202" s="21"/>
      <c r="IPA202" s="21"/>
      <c r="IPB202" s="21"/>
      <c r="IPC202" s="21"/>
      <c r="IPD202" s="21"/>
      <c r="IPE202" s="21"/>
      <c r="IPF202" s="21"/>
      <c r="IPG202" s="21"/>
      <c r="IPH202" s="21"/>
      <c r="IPI202" s="21"/>
      <c r="IPJ202" s="21"/>
      <c r="IPK202" s="21"/>
      <c r="IPL202" s="21"/>
      <c r="IPM202" s="21"/>
      <c r="IPN202" s="21"/>
      <c r="IPO202" s="21"/>
      <c r="IPP202" s="21"/>
      <c r="IPQ202" s="21"/>
      <c r="IPR202" s="21"/>
      <c r="IPS202" s="21"/>
      <c r="IPT202" s="21"/>
      <c r="IPU202" s="21"/>
      <c r="IPV202" s="21"/>
      <c r="IPW202" s="21"/>
      <c r="IPX202" s="21"/>
      <c r="IPY202" s="21"/>
      <c r="IPZ202" s="21"/>
      <c r="IQA202" s="21"/>
      <c r="IQB202" s="21"/>
      <c r="IQC202" s="21"/>
      <c r="IQD202" s="21"/>
      <c r="IQE202" s="21"/>
      <c r="IQF202" s="21"/>
      <c r="IQG202" s="21"/>
      <c r="IQH202" s="21"/>
      <c r="IQI202" s="21"/>
      <c r="IQJ202" s="21"/>
      <c r="IQK202" s="21"/>
      <c r="IQL202" s="21"/>
      <c r="IQM202" s="21"/>
      <c r="IQN202" s="21"/>
      <c r="IQO202" s="21"/>
      <c r="IQP202" s="21"/>
      <c r="IQQ202" s="21"/>
      <c r="IQR202" s="21"/>
      <c r="IQS202" s="21"/>
      <c r="IQT202" s="21"/>
      <c r="IQU202" s="21"/>
      <c r="IQV202" s="21"/>
      <c r="IQW202" s="21"/>
      <c r="IQX202" s="21"/>
      <c r="IQY202" s="21"/>
      <c r="IQZ202" s="21"/>
      <c r="IRA202" s="21"/>
      <c r="IRB202" s="21"/>
      <c r="IRC202" s="21"/>
      <c r="IRD202" s="21"/>
      <c r="IRE202" s="21"/>
      <c r="IRF202" s="21"/>
      <c r="IRG202" s="21"/>
      <c r="IRH202" s="21"/>
      <c r="IRI202" s="21"/>
      <c r="IRJ202" s="21"/>
      <c r="IRK202" s="21"/>
      <c r="IRL202" s="21"/>
      <c r="IRM202" s="21"/>
      <c r="IRN202" s="21"/>
      <c r="IRO202" s="21"/>
      <c r="IRP202" s="21"/>
      <c r="IRQ202" s="21"/>
      <c r="IRR202" s="21"/>
      <c r="IRS202" s="21"/>
      <c r="IRT202" s="21"/>
      <c r="IRU202" s="21"/>
      <c r="IRV202" s="21"/>
      <c r="IRW202" s="21"/>
      <c r="IRX202" s="21"/>
      <c r="IRY202" s="21"/>
      <c r="IRZ202" s="21"/>
      <c r="ISA202" s="21"/>
      <c r="ISB202" s="21"/>
      <c r="ISC202" s="21"/>
      <c r="ISD202" s="21"/>
      <c r="ISE202" s="21"/>
      <c r="ISF202" s="21"/>
      <c r="ISG202" s="21"/>
      <c r="ISH202" s="21"/>
      <c r="ISI202" s="21"/>
      <c r="ISJ202" s="21"/>
      <c r="ISK202" s="21"/>
      <c r="ISL202" s="21"/>
      <c r="ISM202" s="21"/>
      <c r="ISN202" s="21"/>
      <c r="ISO202" s="21"/>
      <c r="ISP202" s="21"/>
      <c r="ISQ202" s="21"/>
      <c r="ISR202" s="21"/>
      <c r="ISS202" s="21"/>
      <c r="IST202" s="21"/>
      <c r="ISU202" s="21"/>
      <c r="ISV202" s="21"/>
      <c r="ISW202" s="21"/>
      <c r="ISX202" s="21"/>
      <c r="ISY202" s="21"/>
      <c r="ISZ202" s="21"/>
      <c r="ITA202" s="21"/>
      <c r="ITB202" s="21"/>
      <c r="ITC202" s="21"/>
      <c r="ITD202" s="21"/>
      <c r="ITE202" s="21"/>
      <c r="ITF202" s="21"/>
      <c r="ITG202" s="21"/>
      <c r="ITH202" s="21"/>
      <c r="ITI202" s="21"/>
      <c r="ITJ202" s="21"/>
      <c r="ITK202" s="21"/>
      <c r="ITL202" s="21"/>
      <c r="ITM202" s="21"/>
      <c r="ITN202" s="21"/>
      <c r="ITO202" s="21"/>
      <c r="ITP202" s="21"/>
      <c r="ITQ202" s="21"/>
      <c r="ITR202" s="21"/>
      <c r="ITS202" s="21"/>
      <c r="ITT202" s="21"/>
      <c r="ITU202" s="21"/>
      <c r="ITV202" s="21"/>
      <c r="ITW202" s="21"/>
      <c r="ITX202" s="21"/>
      <c r="ITY202" s="21"/>
      <c r="ITZ202" s="21"/>
      <c r="IUA202" s="21"/>
      <c r="IUB202" s="21"/>
      <c r="IUC202" s="21"/>
      <c r="IUD202" s="21"/>
      <c r="IUE202" s="21"/>
      <c r="IUF202" s="21"/>
      <c r="IUG202" s="21"/>
      <c r="IUH202" s="21"/>
      <c r="IUI202" s="21"/>
      <c r="IUJ202" s="21"/>
      <c r="IUK202" s="21"/>
      <c r="IUL202" s="21"/>
      <c r="IUM202" s="21"/>
      <c r="IUN202" s="21"/>
      <c r="IUO202" s="21"/>
      <c r="IUP202" s="21"/>
      <c r="IUQ202" s="21"/>
      <c r="IUR202" s="21"/>
      <c r="IUS202" s="21"/>
      <c r="IUT202" s="21"/>
      <c r="IUU202" s="21"/>
      <c r="IUV202" s="21"/>
      <c r="IUW202" s="21"/>
      <c r="IUX202" s="21"/>
      <c r="IUY202" s="21"/>
      <c r="IUZ202" s="21"/>
      <c r="IVA202" s="21"/>
      <c r="IVB202" s="21"/>
      <c r="IVC202" s="21"/>
      <c r="IVD202" s="21"/>
      <c r="IVE202" s="21"/>
      <c r="IVF202" s="21"/>
      <c r="IVG202" s="21"/>
      <c r="IVH202" s="21"/>
      <c r="IVI202" s="21"/>
      <c r="IVJ202" s="21"/>
      <c r="IVK202" s="21"/>
      <c r="IVL202" s="21"/>
      <c r="IVM202" s="21"/>
      <c r="IVN202" s="21"/>
      <c r="IVO202" s="21"/>
      <c r="IVP202" s="21"/>
      <c r="IVQ202" s="21"/>
      <c r="IVR202" s="21"/>
      <c r="IVS202" s="21"/>
      <c r="IVT202" s="21"/>
      <c r="IVU202" s="21"/>
      <c r="IVV202" s="21"/>
      <c r="IVW202" s="21"/>
      <c r="IVX202" s="21"/>
      <c r="IVY202" s="21"/>
      <c r="IVZ202" s="21"/>
      <c r="IWA202" s="21"/>
      <c r="IWB202" s="21"/>
      <c r="IWC202" s="21"/>
      <c r="IWD202" s="21"/>
      <c r="IWE202" s="21"/>
      <c r="IWF202" s="21"/>
      <c r="IWG202" s="21"/>
      <c r="IWH202" s="21"/>
      <c r="IWI202" s="21"/>
      <c r="IWJ202" s="21"/>
      <c r="IWK202" s="21"/>
      <c r="IWL202" s="21"/>
      <c r="IWM202" s="21"/>
      <c r="IWN202" s="21"/>
      <c r="IWO202" s="21"/>
      <c r="IWP202" s="21"/>
      <c r="IWQ202" s="21"/>
      <c r="IWR202" s="21"/>
      <c r="IWS202" s="21"/>
      <c r="IWT202" s="21"/>
      <c r="IWU202" s="21"/>
      <c r="IWV202" s="21"/>
      <c r="IWW202" s="21"/>
      <c r="IWX202" s="21"/>
      <c r="IWY202" s="21"/>
      <c r="IWZ202" s="21"/>
      <c r="IXA202" s="21"/>
      <c r="IXB202" s="21"/>
      <c r="IXC202" s="21"/>
      <c r="IXD202" s="21"/>
      <c r="IXE202" s="21"/>
      <c r="IXF202" s="21"/>
      <c r="IXG202" s="21"/>
      <c r="IXH202" s="21"/>
      <c r="IXI202" s="21"/>
      <c r="IXJ202" s="21"/>
      <c r="IXK202" s="21"/>
      <c r="IXL202" s="21"/>
      <c r="IXM202" s="21"/>
      <c r="IXN202" s="21"/>
      <c r="IXO202" s="21"/>
      <c r="IXP202" s="21"/>
      <c r="IXQ202" s="21"/>
      <c r="IXR202" s="21"/>
      <c r="IXS202" s="21"/>
      <c r="IXT202" s="21"/>
      <c r="IXU202" s="21"/>
      <c r="IXV202" s="21"/>
      <c r="IXW202" s="21"/>
      <c r="IXX202" s="21"/>
      <c r="IXY202" s="21"/>
      <c r="IXZ202" s="21"/>
      <c r="IYA202" s="21"/>
      <c r="IYB202" s="21"/>
      <c r="IYC202" s="21"/>
      <c r="IYD202" s="21"/>
      <c r="IYE202" s="21"/>
      <c r="IYF202" s="21"/>
      <c r="IYG202" s="21"/>
      <c r="IYH202" s="21"/>
      <c r="IYI202" s="21"/>
      <c r="IYJ202" s="21"/>
      <c r="IYK202" s="21"/>
      <c r="IYL202" s="21"/>
      <c r="IYM202" s="21"/>
      <c r="IYN202" s="21"/>
      <c r="IYO202" s="21"/>
      <c r="IYP202" s="21"/>
      <c r="IYQ202" s="21"/>
      <c r="IYR202" s="21"/>
      <c r="IYS202" s="21"/>
      <c r="IYT202" s="21"/>
      <c r="IYU202" s="21"/>
      <c r="IYV202" s="21"/>
      <c r="IYW202" s="21"/>
      <c r="IYX202" s="21"/>
      <c r="IYY202" s="21"/>
      <c r="IYZ202" s="21"/>
      <c r="IZA202" s="21"/>
      <c r="IZB202" s="21"/>
      <c r="IZC202" s="21"/>
      <c r="IZD202" s="21"/>
      <c r="IZE202" s="21"/>
      <c r="IZF202" s="21"/>
      <c r="IZG202" s="21"/>
      <c r="IZH202" s="21"/>
      <c r="IZI202" s="21"/>
      <c r="IZJ202" s="21"/>
      <c r="IZK202" s="21"/>
      <c r="IZL202" s="21"/>
      <c r="IZM202" s="21"/>
      <c r="IZN202" s="21"/>
      <c r="IZO202" s="21"/>
      <c r="IZP202" s="21"/>
      <c r="IZQ202" s="21"/>
      <c r="IZR202" s="21"/>
      <c r="IZS202" s="21"/>
      <c r="IZT202" s="21"/>
      <c r="IZU202" s="21"/>
      <c r="IZV202" s="21"/>
      <c r="IZW202" s="21"/>
      <c r="IZX202" s="21"/>
      <c r="IZY202" s="21"/>
      <c r="IZZ202" s="21"/>
      <c r="JAA202" s="21"/>
      <c r="JAB202" s="21"/>
      <c r="JAC202" s="21"/>
      <c r="JAD202" s="21"/>
      <c r="JAE202" s="21"/>
      <c r="JAF202" s="21"/>
      <c r="JAG202" s="21"/>
      <c r="JAH202" s="21"/>
      <c r="JAI202" s="21"/>
      <c r="JAJ202" s="21"/>
      <c r="JAK202" s="21"/>
      <c r="JAL202" s="21"/>
      <c r="JAM202" s="21"/>
      <c r="JAN202" s="21"/>
      <c r="JAO202" s="21"/>
      <c r="JAP202" s="21"/>
      <c r="JAQ202" s="21"/>
      <c r="JAR202" s="21"/>
      <c r="JAS202" s="21"/>
      <c r="JAT202" s="21"/>
      <c r="JAU202" s="21"/>
      <c r="JAV202" s="21"/>
      <c r="JAW202" s="21"/>
      <c r="JAX202" s="21"/>
      <c r="JAY202" s="21"/>
      <c r="JAZ202" s="21"/>
      <c r="JBA202" s="21"/>
      <c r="JBB202" s="21"/>
      <c r="JBC202" s="21"/>
      <c r="JBD202" s="21"/>
      <c r="JBE202" s="21"/>
      <c r="JBF202" s="21"/>
      <c r="JBG202" s="21"/>
      <c r="JBH202" s="21"/>
      <c r="JBI202" s="21"/>
      <c r="JBJ202" s="21"/>
      <c r="JBK202" s="21"/>
      <c r="JBL202" s="21"/>
      <c r="JBM202" s="21"/>
      <c r="JBN202" s="21"/>
      <c r="JBO202" s="21"/>
      <c r="JBP202" s="21"/>
      <c r="JBQ202" s="21"/>
      <c r="JBR202" s="21"/>
      <c r="JBS202" s="21"/>
      <c r="JBT202" s="21"/>
      <c r="JBU202" s="21"/>
      <c r="JBV202" s="21"/>
      <c r="JBW202" s="21"/>
      <c r="JBX202" s="21"/>
      <c r="JBY202" s="21"/>
      <c r="JBZ202" s="21"/>
      <c r="JCA202" s="21"/>
      <c r="JCB202" s="21"/>
      <c r="JCC202" s="21"/>
      <c r="JCD202" s="21"/>
      <c r="JCE202" s="21"/>
      <c r="JCF202" s="21"/>
      <c r="JCG202" s="21"/>
      <c r="JCH202" s="21"/>
      <c r="JCI202" s="21"/>
      <c r="JCJ202" s="21"/>
      <c r="JCK202" s="21"/>
      <c r="JCL202" s="21"/>
      <c r="JCM202" s="21"/>
      <c r="JCN202" s="21"/>
      <c r="JCO202" s="21"/>
      <c r="JCP202" s="21"/>
      <c r="JCQ202" s="21"/>
      <c r="JCR202" s="21"/>
      <c r="JCS202" s="21"/>
      <c r="JCT202" s="21"/>
      <c r="JCU202" s="21"/>
      <c r="JCV202" s="21"/>
      <c r="JCW202" s="21"/>
      <c r="JCX202" s="21"/>
      <c r="JCY202" s="21"/>
      <c r="JCZ202" s="21"/>
      <c r="JDA202" s="21"/>
      <c r="JDB202" s="21"/>
      <c r="JDC202" s="21"/>
      <c r="JDD202" s="21"/>
      <c r="JDE202" s="21"/>
      <c r="JDF202" s="21"/>
      <c r="JDG202" s="21"/>
      <c r="JDH202" s="21"/>
      <c r="JDI202" s="21"/>
      <c r="JDJ202" s="21"/>
      <c r="JDK202" s="21"/>
      <c r="JDL202" s="21"/>
      <c r="JDM202" s="21"/>
      <c r="JDN202" s="21"/>
      <c r="JDO202" s="21"/>
      <c r="JDP202" s="21"/>
      <c r="JDQ202" s="21"/>
      <c r="JDR202" s="21"/>
      <c r="JDS202" s="21"/>
      <c r="JDT202" s="21"/>
      <c r="JDU202" s="21"/>
      <c r="JDV202" s="21"/>
      <c r="JDW202" s="21"/>
      <c r="JDX202" s="21"/>
      <c r="JDY202" s="21"/>
      <c r="JDZ202" s="21"/>
      <c r="JEA202" s="21"/>
      <c r="JEB202" s="21"/>
      <c r="JEC202" s="21"/>
      <c r="JED202" s="21"/>
      <c r="JEE202" s="21"/>
      <c r="JEF202" s="21"/>
      <c r="JEG202" s="21"/>
      <c r="JEH202" s="21"/>
      <c r="JEI202" s="21"/>
      <c r="JEJ202" s="21"/>
      <c r="JEK202" s="21"/>
      <c r="JEL202" s="21"/>
      <c r="JEM202" s="21"/>
      <c r="JEN202" s="21"/>
      <c r="JEO202" s="21"/>
      <c r="JEP202" s="21"/>
      <c r="JEQ202" s="21"/>
      <c r="JER202" s="21"/>
      <c r="JES202" s="21"/>
      <c r="JET202" s="21"/>
      <c r="JEU202" s="21"/>
      <c r="JEV202" s="21"/>
      <c r="JEW202" s="21"/>
      <c r="JEX202" s="21"/>
      <c r="JEY202" s="21"/>
      <c r="JEZ202" s="21"/>
      <c r="JFA202" s="21"/>
      <c r="JFB202" s="21"/>
      <c r="JFC202" s="21"/>
      <c r="JFD202" s="21"/>
      <c r="JFE202" s="21"/>
      <c r="JFF202" s="21"/>
      <c r="JFG202" s="21"/>
      <c r="JFH202" s="21"/>
      <c r="JFI202" s="21"/>
      <c r="JFJ202" s="21"/>
      <c r="JFK202" s="21"/>
      <c r="JFL202" s="21"/>
      <c r="JFM202" s="21"/>
      <c r="JFN202" s="21"/>
      <c r="JFO202" s="21"/>
      <c r="JFP202" s="21"/>
      <c r="JFQ202" s="21"/>
      <c r="JFR202" s="21"/>
      <c r="JFS202" s="21"/>
      <c r="JFT202" s="21"/>
      <c r="JFU202" s="21"/>
      <c r="JFV202" s="21"/>
      <c r="JFW202" s="21"/>
      <c r="JFX202" s="21"/>
      <c r="JFY202" s="21"/>
      <c r="JFZ202" s="21"/>
      <c r="JGA202" s="21"/>
      <c r="JGB202" s="21"/>
      <c r="JGC202" s="21"/>
      <c r="JGD202" s="21"/>
      <c r="JGE202" s="21"/>
      <c r="JGF202" s="21"/>
      <c r="JGG202" s="21"/>
      <c r="JGH202" s="21"/>
      <c r="JGI202" s="21"/>
      <c r="JGJ202" s="21"/>
      <c r="JGK202" s="21"/>
      <c r="JGL202" s="21"/>
      <c r="JGM202" s="21"/>
      <c r="JGN202" s="21"/>
      <c r="JGO202" s="21"/>
      <c r="JGP202" s="21"/>
      <c r="JGQ202" s="21"/>
      <c r="JGR202" s="21"/>
      <c r="JGS202" s="21"/>
      <c r="JGT202" s="21"/>
      <c r="JGU202" s="21"/>
      <c r="JGV202" s="21"/>
      <c r="JGW202" s="21"/>
      <c r="JGX202" s="21"/>
      <c r="JGY202" s="21"/>
      <c r="JGZ202" s="21"/>
      <c r="JHA202" s="21"/>
      <c r="JHB202" s="21"/>
      <c r="JHC202" s="21"/>
      <c r="JHD202" s="21"/>
      <c r="JHE202" s="21"/>
      <c r="JHF202" s="21"/>
      <c r="JHG202" s="21"/>
      <c r="JHH202" s="21"/>
      <c r="JHI202" s="21"/>
      <c r="JHJ202" s="21"/>
      <c r="JHK202" s="21"/>
      <c r="JHL202" s="21"/>
      <c r="JHM202" s="21"/>
      <c r="JHN202" s="21"/>
      <c r="JHO202" s="21"/>
      <c r="JHP202" s="21"/>
      <c r="JHQ202" s="21"/>
      <c r="JHR202" s="21"/>
      <c r="JHS202" s="21"/>
      <c r="JHT202" s="21"/>
      <c r="JHU202" s="21"/>
      <c r="JHV202" s="21"/>
      <c r="JHW202" s="21"/>
      <c r="JHX202" s="21"/>
      <c r="JHY202" s="21"/>
      <c r="JHZ202" s="21"/>
      <c r="JIA202" s="21"/>
      <c r="JIB202" s="21"/>
      <c r="JIC202" s="21"/>
      <c r="JID202" s="21"/>
      <c r="JIE202" s="21"/>
      <c r="JIF202" s="21"/>
      <c r="JIG202" s="21"/>
      <c r="JIH202" s="21"/>
      <c r="JII202" s="21"/>
      <c r="JIJ202" s="21"/>
      <c r="JIK202" s="21"/>
      <c r="JIL202" s="21"/>
      <c r="JIM202" s="21"/>
      <c r="JIN202" s="21"/>
      <c r="JIO202" s="21"/>
      <c r="JIP202" s="21"/>
      <c r="JIQ202" s="21"/>
      <c r="JIR202" s="21"/>
      <c r="JIS202" s="21"/>
      <c r="JIT202" s="21"/>
      <c r="JIU202" s="21"/>
      <c r="JIV202" s="21"/>
      <c r="JIW202" s="21"/>
      <c r="JIX202" s="21"/>
      <c r="JIY202" s="21"/>
      <c r="JIZ202" s="21"/>
      <c r="JJA202" s="21"/>
      <c r="JJB202" s="21"/>
      <c r="JJC202" s="21"/>
      <c r="JJD202" s="21"/>
      <c r="JJE202" s="21"/>
      <c r="JJF202" s="21"/>
      <c r="JJG202" s="21"/>
      <c r="JJH202" s="21"/>
      <c r="JJI202" s="21"/>
      <c r="JJJ202" s="21"/>
      <c r="JJK202" s="21"/>
      <c r="JJL202" s="21"/>
      <c r="JJM202" s="21"/>
      <c r="JJN202" s="21"/>
      <c r="JJO202" s="21"/>
      <c r="JJP202" s="21"/>
      <c r="JJQ202" s="21"/>
      <c r="JJR202" s="21"/>
      <c r="JJS202" s="21"/>
      <c r="JJT202" s="21"/>
      <c r="JJU202" s="21"/>
      <c r="JJV202" s="21"/>
      <c r="JJW202" s="21"/>
      <c r="JJX202" s="21"/>
      <c r="JJY202" s="21"/>
      <c r="JJZ202" s="21"/>
      <c r="JKA202" s="21"/>
      <c r="JKB202" s="21"/>
      <c r="JKC202" s="21"/>
      <c r="JKD202" s="21"/>
      <c r="JKE202" s="21"/>
      <c r="JKF202" s="21"/>
      <c r="JKG202" s="21"/>
      <c r="JKH202" s="21"/>
      <c r="JKI202" s="21"/>
      <c r="JKJ202" s="21"/>
      <c r="JKK202" s="21"/>
      <c r="JKL202" s="21"/>
      <c r="JKM202" s="21"/>
      <c r="JKN202" s="21"/>
      <c r="JKO202" s="21"/>
      <c r="JKP202" s="21"/>
      <c r="JKQ202" s="21"/>
      <c r="JKR202" s="21"/>
      <c r="JKS202" s="21"/>
      <c r="JKT202" s="21"/>
      <c r="JKU202" s="21"/>
      <c r="JKV202" s="21"/>
      <c r="JKW202" s="21"/>
      <c r="JKX202" s="21"/>
      <c r="JKY202" s="21"/>
      <c r="JKZ202" s="21"/>
      <c r="JLA202" s="21"/>
      <c r="JLB202" s="21"/>
      <c r="JLC202" s="21"/>
      <c r="JLD202" s="21"/>
      <c r="JLE202" s="21"/>
      <c r="JLF202" s="21"/>
      <c r="JLG202" s="21"/>
      <c r="JLH202" s="21"/>
      <c r="JLI202" s="21"/>
      <c r="JLJ202" s="21"/>
      <c r="JLK202" s="21"/>
      <c r="JLL202" s="21"/>
      <c r="JLM202" s="21"/>
      <c r="JLN202" s="21"/>
      <c r="JLO202" s="21"/>
      <c r="JLP202" s="21"/>
      <c r="JLQ202" s="21"/>
      <c r="JLR202" s="21"/>
      <c r="JLS202" s="21"/>
      <c r="JLT202" s="21"/>
      <c r="JLU202" s="21"/>
      <c r="JLV202" s="21"/>
      <c r="JLW202" s="21"/>
      <c r="JLX202" s="21"/>
      <c r="JLY202" s="21"/>
      <c r="JLZ202" s="21"/>
      <c r="JMA202" s="21"/>
      <c r="JMB202" s="21"/>
      <c r="JMC202" s="21"/>
      <c r="JMD202" s="21"/>
      <c r="JME202" s="21"/>
      <c r="JMF202" s="21"/>
      <c r="JMG202" s="21"/>
      <c r="JMH202" s="21"/>
      <c r="JMI202" s="21"/>
      <c r="JMJ202" s="21"/>
      <c r="JMK202" s="21"/>
      <c r="JML202" s="21"/>
      <c r="JMM202" s="21"/>
      <c r="JMN202" s="21"/>
      <c r="JMO202" s="21"/>
      <c r="JMP202" s="21"/>
      <c r="JMQ202" s="21"/>
      <c r="JMR202" s="21"/>
      <c r="JMS202" s="21"/>
      <c r="JMT202" s="21"/>
      <c r="JMU202" s="21"/>
      <c r="JMV202" s="21"/>
      <c r="JMW202" s="21"/>
      <c r="JMX202" s="21"/>
      <c r="JMY202" s="21"/>
      <c r="JMZ202" s="21"/>
      <c r="JNA202" s="21"/>
      <c r="JNB202" s="21"/>
      <c r="JNC202" s="21"/>
      <c r="JND202" s="21"/>
      <c r="JNE202" s="21"/>
      <c r="JNF202" s="21"/>
      <c r="JNG202" s="21"/>
      <c r="JNH202" s="21"/>
      <c r="JNI202" s="21"/>
      <c r="JNJ202" s="21"/>
      <c r="JNK202" s="21"/>
      <c r="JNL202" s="21"/>
      <c r="JNM202" s="21"/>
      <c r="JNN202" s="21"/>
      <c r="JNO202" s="21"/>
      <c r="JNP202" s="21"/>
      <c r="JNQ202" s="21"/>
      <c r="JNR202" s="21"/>
      <c r="JNS202" s="21"/>
      <c r="JNT202" s="21"/>
      <c r="JNU202" s="21"/>
      <c r="JNV202" s="21"/>
      <c r="JNW202" s="21"/>
      <c r="JNX202" s="21"/>
      <c r="JNY202" s="21"/>
      <c r="JNZ202" s="21"/>
      <c r="JOA202" s="21"/>
      <c r="JOB202" s="21"/>
      <c r="JOC202" s="21"/>
      <c r="JOD202" s="21"/>
      <c r="JOE202" s="21"/>
      <c r="JOF202" s="21"/>
      <c r="JOG202" s="21"/>
      <c r="JOH202" s="21"/>
      <c r="JOI202" s="21"/>
      <c r="JOJ202" s="21"/>
      <c r="JOK202" s="21"/>
      <c r="JOL202" s="21"/>
      <c r="JOM202" s="21"/>
      <c r="JON202" s="21"/>
      <c r="JOO202" s="21"/>
      <c r="JOP202" s="21"/>
      <c r="JOQ202" s="21"/>
      <c r="JOR202" s="21"/>
      <c r="JOS202" s="21"/>
      <c r="JOT202" s="21"/>
      <c r="JOU202" s="21"/>
      <c r="JOV202" s="21"/>
      <c r="JOW202" s="21"/>
      <c r="JOX202" s="21"/>
      <c r="JOY202" s="21"/>
      <c r="JOZ202" s="21"/>
      <c r="JPA202" s="21"/>
      <c r="JPB202" s="21"/>
      <c r="JPC202" s="21"/>
      <c r="JPD202" s="21"/>
      <c r="JPE202" s="21"/>
      <c r="JPF202" s="21"/>
      <c r="JPG202" s="21"/>
      <c r="JPH202" s="21"/>
      <c r="JPI202" s="21"/>
      <c r="JPJ202" s="21"/>
      <c r="JPK202" s="21"/>
      <c r="JPL202" s="21"/>
      <c r="JPM202" s="21"/>
      <c r="JPN202" s="21"/>
      <c r="JPO202" s="21"/>
      <c r="JPP202" s="21"/>
      <c r="JPQ202" s="21"/>
      <c r="JPR202" s="21"/>
      <c r="JPS202" s="21"/>
      <c r="JPT202" s="21"/>
      <c r="JPU202" s="21"/>
      <c r="JPV202" s="21"/>
      <c r="JPW202" s="21"/>
      <c r="JPX202" s="21"/>
      <c r="JPY202" s="21"/>
      <c r="JPZ202" s="21"/>
      <c r="JQA202" s="21"/>
      <c r="JQB202" s="21"/>
      <c r="JQC202" s="21"/>
      <c r="JQD202" s="21"/>
      <c r="JQE202" s="21"/>
      <c r="JQF202" s="21"/>
      <c r="JQG202" s="21"/>
      <c r="JQH202" s="21"/>
      <c r="JQI202" s="21"/>
      <c r="JQJ202" s="21"/>
      <c r="JQK202" s="21"/>
      <c r="JQL202" s="21"/>
      <c r="JQM202" s="21"/>
      <c r="JQN202" s="21"/>
      <c r="JQO202" s="21"/>
      <c r="JQP202" s="21"/>
      <c r="JQQ202" s="21"/>
      <c r="JQR202" s="21"/>
      <c r="JQS202" s="21"/>
      <c r="JQT202" s="21"/>
      <c r="JQU202" s="21"/>
      <c r="JQV202" s="21"/>
      <c r="JQW202" s="21"/>
      <c r="JQX202" s="21"/>
      <c r="JQY202" s="21"/>
      <c r="JQZ202" s="21"/>
      <c r="JRA202" s="21"/>
      <c r="JRB202" s="21"/>
      <c r="JRC202" s="21"/>
      <c r="JRD202" s="21"/>
      <c r="JRE202" s="21"/>
      <c r="JRF202" s="21"/>
      <c r="JRG202" s="21"/>
      <c r="JRH202" s="21"/>
      <c r="JRI202" s="21"/>
      <c r="JRJ202" s="21"/>
      <c r="JRK202" s="21"/>
      <c r="JRL202" s="21"/>
      <c r="JRM202" s="21"/>
      <c r="JRN202" s="21"/>
      <c r="JRO202" s="21"/>
      <c r="JRP202" s="21"/>
      <c r="JRQ202" s="21"/>
      <c r="JRR202" s="21"/>
      <c r="JRS202" s="21"/>
      <c r="JRT202" s="21"/>
      <c r="JRU202" s="21"/>
      <c r="JRV202" s="21"/>
      <c r="JRW202" s="21"/>
      <c r="JRX202" s="21"/>
      <c r="JRY202" s="21"/>
      <c r="JRZ202" s="21"/>
      <c r="JSA202" s="21"/>
      <c r="JSB202" s="21"/>
      <c r="JSC202" s="21"/>
      <c r="JSD202" s="21"/>
      <c r="JSE202" s="21"/>
      <c r="JSF202" s="21"/>
      <c r="JSG202" s="21"/>
      <c r="JSH202" s="21"/>
      <c r="JSI202" s="21"/>
      <c r="JSJ202" s="21"/>
      <c r="JSK202" s="21"/>
      <c r="JSL202" s="21"/>
      <c r="JSM202" s="21"/>
      <c r="JSN202" s="21"/>
      <c r="JSO202" s="21"/>
      <c r="JSP202" s="21"/>
      <c r="JSQ202" s="21"/>
      <c r="JSR202" s="21"/>
      <c r="JSS202" s="21"/>
      <c r="JST202" s="21"/>
      <c r="JSU202" s="21"/>
      <c r="JSV202" s="21"/>
      <c r="JSW202" s="21"/>
      <c r="JSX202" s="21"/>
      <c r="JSY202" s="21"/>
      <c r="JSZ202" s="21"/>
      <c r="JTA202" s="21"/>
      <c r="JTB202" s="21"/>
      <c r="JTC202" s="21"/>
      <c r="JTD202" s="21"/>
      <c r="JTE202" s="21"/>
      <c r="JTF202" s="21"/>
      <c r="JTG202" s="21"/>
      <c r="JTH202" s="21"/>
      <c r="JTI202" s="21"/>
      <c r="JTJ202" s="21"/>
      <c r="JTK202" s="21"/>
      <c r="JTL202" s="21"/>
      <c r="JTM202" s="21"/>
      <c r="JTN202" s="21"/>
      <c r="JTO202" s="21"/>
      <c r="JTP202" s="21"/>
      <c r="JTQ202" s="21"/>
      <c r="JTR202" s="21"/>
      <c r="JTS202" s="21"/>
      <c r="JTT202" s="21"/>
      <c r="JTU202" s="21"/>
      <c r="JTV202" s="21"/>
      <c r="JTW202" s="21"/>
      <c r="JTX202" s="21"/>
      <c r="JTY202" s="21"/>
      <c r="JTZ202" s="21"/>
      <c r="JUA202" s="21"/>
      <c r="JUB202" s="21"/>
      <c r="JUC202" s="21"/>
      <c r="JUD202" s="21"/>
      <c r="JUE202" s="21"/>
      <c r="JUF202" s="21"/>
      <c r="JUG202" s="21"/>
      <c r="JUH202" s="21"/>
      <c r="JUI202" s="21"/>
      <c r="JUJ202" s="21"/>
      <c r="JUK202" s="21"/>
      <c r="JUL202" s="21"/>
      <c r="JUM202" s="21"/>
      <c r="JUN202" s="21"/>
      <c r="JUO202" s="21"/>
      <c r="JUP202" s="21"/>
      <c r="JUQ202" s="21"/>
      <c r="JUR202" s="21"/>
      <c r="JUS202" s="21"/>
      <c r="JUT202" s="21"/>
      <c r="JUU202" s="21"/>
      <c r="JUV202" s="21"/>
      <c r="JUW202" s="21"/>
      <c r="JUX202" s="21"/>
      <c r="JUY202" s="21"/>
      <c r="JUZ202" s="21"/>
      <c r="JVA202" s="21"/>
      <c r="JVB202" s="21"/>
      <c r="JVC202" s="21"/>
      <c r="JVD202" s="21"/>
      <c r="JVE202" s="21"/>
      <c r="JVF202" s="21"/>
      <c r="JVG202" s="21"/>
      <c r="JVH202" s="21"/>
      <c r="JVI202" s="21"/>
      <c r="JVJ202" s="21"/>
      <c r="JVK202" s="21"/>
      <c r="JVL202" s="21"/>
      <c r="JVM202" s="21"/>
      <c r="JVN202" s="21"/>
      <c r="JVO202" s="21"/>
      <c r="JVP202" s="21"/>
      <c r="JVQ202" s="21"/>
      <c r="JVR202" s="21"/>
      <c r="JVS202" s="21"/>
      <c r="JVT202" s="21"/>
      <c r="JVU202" s="21"/>
      <c r="JVV202" s="21"/>
      <c r="JVW202" s="21"/>
      <c r="JVX202" s="21"/>
      <c r="JVY202" s="21"/>
      <c r="JVZ202" s="21"/>
      <c r="JWA202" s="21"/>
      <c r="JWB202" s="21"/>
      <c r="JWC202" s="21"/>
      <c r="JWD202" s="21"/>
      <c r="JWE202" s="21"/>
      <c r="JWF202" s="21"/>
      <c r="JWG202" s="21"/>
      <c r="JWH202" s="21"/>
      <c r="JWI202" s="21"/>
      <c r="JWJ202" s="21"/>
      <c r="JWK202" s="21"/>
      <c r="JWL202" s="21"/>
      <c r="JWM202" s="21"/>
      <c r="JWN202" s="21"/>
      <c r="JWO202" s="21"/>
      <c r="JWP202" s="21"/>
      <c r="JWQ202" s="21"/>
      <c r="JWR202" s="21"/>
      <c r="JWS202" s="21"/>
      <c r="JWT202" s="21"/>
      <c r="JWU202" s="21"/>
      <c r="JWV202" s="21"/>
      <c r="JWW202" s="21"/>
      <c r="JWX202" s="21"/>
      <c r="JWY202" s="21"/>
      <c r="JWZ202" s="21"/>
      <c r="JXA202" s="21"/>
      <c r="JXB202" s="21"/>
      <c r="JXC202" s="21"/>
      <c r="JXD202" s="21"/>
      <c r="JXE202" s="21"/>
      <c r="JXF202" s="21"/>
      <c r="JXG202" s="21"/>
      <c r="JXH202" s="21"/>
      <c r="JXI202" s="21"/>
      <c r="JXJ202" s="21"/>
      <c r="JXK202" s="21"/>
      <c r="JXL202" s="21"/>
      <c r="JXM202" s="21"/>
      <c r="JXN202" s="21"/>
      <c r="JXO202" s="21"/>
      <c r="JXP202" s="21"/>
      <c r="JXQ202" s="21"/>
      <c r="JXR202" s="21"/>
      <c r="JXS202" s="21"/>
      <c r="JXT202" s="21"/>
      <c r="JXU202" s="21"/>
      <c r="JXV202" s="21"/>
      <c r="JXW202" s="21"/>
      <c r="JXX202" s="21"/>
      <c r="JXY202" s="21"/>
      <c r="JXZ202" s="21"/>
      <c r="JYA202" s="21"/>
      <c r="JYB202" s="21"/>
      <c r="JYC202" s="21"/>
      <c r="JYD202" s="21"/>
      <c r="JYE202" s="21"/>
      <c r="JYF202" s="21"/>
      <c r="JYG202" s="21"/>
      <c r="JYH202" s="21"/>
      <c r="JYI202" s="21"/>
      <c r="JYJ202" s="21"/>
      <c r="JYK202" s="21"/>
      <c r="JYL202" s="21"/>
      <c r="JYM202" s="21"/>
      <c r="JYN202" s="21"/>
      <c r="JYO202" s="21"/>
      <c r="JYP202" s="21"/>
      <c r="JYQ202" s="21"/>
      <c r="JYR202" s="21"/>
      <c r="JYS202" s="21"/>
      <c r="JYT202" s="21"/>
      <c r="JYU202" s="21"/>
      <c r="JYV202" s="21"/>
      <c r="JYW202" s="21"/>
      <c r="JYX202" s="21"/>
      <c r="JYY202" s="21"/>
      <c r="JYZ202" s="21"/>
      <c r="JZA202" s="21"/>
      <c r="JZB202" s="21"/>
      <c r="JZC202" s="21"/>
      <c r="JZD202" s="21"/>
      <c r="JZE202" s="21"/>
      <c r="JZF202" s="21"/>
      <c r="JZG202" s="21"/>
      <c r="JZH202" s="21"/>
      <c r="JZI202" s="21"/>
      <c r="JZJ202" s="21"/>
      <c r="JZK202" s="21"/>
      <c r="JZL202" s="21"/>
      <c r="JZM202" s="21"/>
      <c r="JZN202" s="21"/>
      <c r="JZO202" s="21"/>
      <c r="JZP202" s="21"/>
      <c r="JZQ202" s="21"/>
      <c r="JZR202" s="21"/>
      <c r="JZS202" s="21"/>
      <c r="JZT202" s="21"/>
      <c r="JZU202" s="21"/>
      <c r="JZV202" s="21"/>
      <c r="JZW202" s="21"/>
      <c r="JZX202" s="21"/>
      <c r="JZY202" s="21"/>
      <c r="JZZ202" s="21"/>
      <c r="KAA202" s="21"/>
      <c r="KAB202" s="21"/>
      <c r="KAC202" s="21"/>
      <c r="KAD202" s="21"/>
      <c r="KAE202" s="21"/>
      <c r="KAF202" s="21"/>
      <c r="KAG202" s="21"/>
      <c r="KAH202" s="21"/>
      <c r="KAI202" s="21"/>
      <c r="KAJ202" s="21"/>
      <c r="KAK202" s="21"/>
      <c r="KAL202" s="21"/>
      <c r="KAM202" s="21"/>
      <c r="KAN202" s="21"/>
      <c r="KAO202" s="21"/>
      <c r="KAP202" s="21"/>
      <c r="KAQ202" s="21"/>
      <c r="KAR202" s="21"/>
      <c r="KAS202" s="21"/>
      <c r="KAT202" s="21"/>
      <c r="KAU202" s="21"/>
      <c r="KAV202" s="21"/>
      <c r="KAW202" s="21"/>
      <c r="KAX202" s="21"/>
      <c r="KAY202" s="21"/>
      <c r="KAZ202" s="21"/>
      <c r="KBA202" s="21"/>
      <c r="KBB202" s="21"/>
      <c r="KBC202" s="21"/>
      <c r="KBD202" s="21"/>
      <c r="KBE202" s="21"/>
      <c r="KBF202" s="21"/>
      <c r="KBG202" s="21"/>
      <c r="KBH202" s="21"/>
      <c r="KBI202" s="21"/>
      <c r="KBJ202" s="21"/>
      <c r="KBK202" s="21"/>
      <c r="KBL202" s="21"/>
      <c r="KBM202" s="21"/>
      <c r="KBN202" s="21"/>
      <c r="KBO202" s="21"/>
      <c r="KBP202" s="21"/>
      <c r="KBQ202" s="21"/>
      <c r="KBR202" s="21"/>
      <c r="KBS202" s="21"/>
      <c r="KBT202" s="21"/>
      <c r="KBU202" s="21"/>
      <c r="KBV202" s="21"/>
      <c r="KBW202" s="21"/>
      <c r="KBX202" s="21"/>
      <c r="KBY202" s="21"/>
      <c r="KBZ202" s="21"/>
      <c r="KCA202" s="21"/>
      <c r="KCB202" s="21"/>
      <c r="KCC202" s="21"/>
      <c r="KCD202" s="21"/>
      <c r="KCE202" s="21"/>
      <c r="KCF202" s="21"/>
      <c r="KCG202" s="21"/>
      <c r="KCH202" s="21"/>
      <c r="KCI202" s="21"/>
      <c r="KCJ202" s="21"/>
      <c r="KCK202" s="21"/>
      <c r="KCL202" s="21"/>
      <c r="KCM202" s="21"/>
      <c r="KCN202" s="21"/>
      <c r="KCO202" s="21"/>
      <c r="KCP202" s="21"/>
      <c r="KCQ202" s="21"/>
      <c r="KCR202" s="21"/>
      <c r="KCS202" s="21"/>
      <c r="KCT202" s="21"/>
      <c r="KCU202" s="21"/>
      <c r="KCV202" s="21"/>
      <c r="KCW202" s="21"/>
      <c r="KCX202" s="21"/>
      <c r="KCY202" s="21"/>
      <c r="KCZ202" s="21"/>
      <c r="KDA202" s="21"/>
      <c r="KDB202" s="21"/>
      <c r="KDC202" s="21"/>
      <c r="KDD202" s="21"/>
      <c r="KDE202" s="21"/>
      <c r="KDF202" s="21"/>
      <c r="KDG202" s="21"/>
      <c r="KDH202" s="21"/>
      <c r="KDI202" s="21"/>
      <c r="KDJ202" s="21"/>
      <c r="KDK202" s="21"/>
      <c r="KDL202" s="21"/>
      <c r="KDM202" s="21"/>
      <c r="KDN202" s="21"/>
      <c r="KDO202" s="21"/>
      <c r="KDP202" s="21"/>
      <c r="KDQ202" s="21"/>
      <c r="KDR202" s="21"/>
      <c r="KDS202" s="21"/>
      <c r="KDT202" s="21"/>
      <c r="KDU202" s="21"/>
      <c r="KDV202" s="21"/>
      <c r="KDW202" s="21"/>
      <c r="KDX202" s="21"/>
      <c r="KDY202" s="21"/>
      <c r="KDZ202" s="21"/>
      <c r="KEA202" s="21"/>
      <c r="KEB202" s="21"/>
      <c r="KEC202" s="21"/>
      <c r="KED202" s="21"/>
      <c r="KEE202" s="21"/>
      <c r="KEF202" s="21"/>
      <c r="KEG202" s="21"/>
      <c r="KEH202" s="21"/>
      <c r="KEI202" s="21"/>
      <c r="KEJ202" s="21"/>
      <c r="KEK202" s="21"/>
      <c r="KEL202" s="21"/>
      <c r="KEM202" s="21"/>
      <c r="KEN202" s="21"/>
      <c r="KEO202" s="21"/>
      <c r="KEP202" s="21"/>
      <c r="KEQ202" s="21"/>
      <c r="KER202" s="21"/>
      <c r="KES202" s="21"/>
      <c r="KET202" s="21"/>
      <c r="KEU202" s="21"/>
      <c r="KEV202" s="21"/>
      <c r="KEW202" s="21"/>
      <c r="KEX202" s="21"/>
      <c r="KEY202" s="21"/>
      <c r="KEZ202" s="21"/>
      <c r="KFA202" s="21"/>
      <c r="KFB202" s="21"/>
      <c r="KFC202" s="21"/>
      <c r="KFD202" s="21"/>
      <c r="KFE202" s="21"/>
      <c r="KFF202" s="21"/>
      <c r="KFG202" s="21"/>
      <c r="KFH202" s="21"/>
      <c r="KFI202" s="21"/>
      <c r="KFJ202" s="21"/>
      <c r="KFK202" s="21"/>
      <c r="KFL202" s="21"/>
      <c r="KFM202" s="21"/>
      <c r="KFN202" s="21"/>
      <c r="KFO202" s="21"/>
      <c r="KFP202" s="21"/>
      <c r="KFQ202" s="21"/>
      <c r="KFR202" s="21"/>
      <c r="KFS202" s="21"/>
      <c r="KFT202" s="21"/>
      <c r="KFU202" s="21"/>
      <c r="KFV202" s="21"/>
      <c r="KFW202" s="21"/>
      <c r="KFX202" s="21"/>
      <c r="KFY202" s="21"/>
      <c r="KFZ202" s="21"/>
      <c r="KGA202" s="21"/>
      <c r="KGB202" s="21"/>
      <c r="KGC202" s="21"/>
      <c r="KGD202" s="21"/>
      <c r="KGE202" s="21"/>
      <c r="KGF202" s="21"/>
      <c r="KGG202" s="21"/>
      <c r="KGH202" s="21"/>
      <c r="KGI202" s="21"/>
      <c r="KGJ202" s="21"/>
      <c r="KGK202" s="21"/>
      <c r="KGL202" s="21"/>
      <c r="KGM202" s="21"/>
      <c r="KGN202" s="21"/>
      <c r="KGO202" s="21"/>
      <c r="KGP202" s="21"/>
      <c r="KGQ202" s="21"/>
      <c r="KGR202" s="21"/>
      <c r="KGS202" s="21"/>
      <c r="KGT202" s="21"/>
      <c r="KGU202" s="21"/>
      <c r="KGV202" s="21"/>
      <c r="KGW202" s="21"/>
      <c r="KGX202" s="21"/>
      <c r="KGY202" s="21"/>
      <c r="KGZ202" s="21"/>
      <c r="KHA202" s="21"/>
      <c r="KHB202" s="21"/>
      <c r="KHC202" s="21"/>
      <c r="KHD202" s="21"/>
      <c r="KHE202" s="21"/>
      <c r="KHF202" s="21"/>
      <c r="KHG202" s="21"/>
      <c r="KHH202" s="21"/>
      <c r="KHI202" s="21"/>
      <c r="KHJ202" s="21"/>
      <c r="KHK202" s="21"/>
      <c r="KHL202" s="21"/>
      <c r="KHM202" s="21"/>
      <c r="KHN202" s="21"/>
      <c r="KHO202" s="21"/>
      <c r="KHP202" s="21"/>
      <c r="KHQ202" s="21"/>
      <c r="KHR202" s="21"/>
      <c r="KHS202" s="21"/>
      <c r="KHT202" s="21"/>
      <c r="KHU202" s="21"/>
      <c r="KHV202" s="21"/>
      <c r="KHW202" s="21"/>
      <c r="KHX202" s="21"/>
      <c r="KHY202" s="21"/>
      <c r="KHZ202" s="21"/>
      <c r="KIA202" s="21"/>
      <c r="KIB202" s="21"/>
      <c r="KIC202" s="21"/>
      <c r="KID202" s="21"/>
      <c r="KIE202" s="21"/>
      <c r="KIF202" s="21"/>
      <c r="KIG202" s="21"/>
      <c r="KIH202" s="21"/>
      <c r="KII202" s="21"/>
      <c r="KIJ202" s="21"/>
      <c r="KIK202" s="21"/>
      <c r="KIL202" s="21"/>
      <c r="KIM202" s="21"/>
      <c r="KIN202" s="21"/>
      <c r="KIO202" s="21"/>
      <c r="KIP202" s="21"/>
      <c r="KIQ202" s="21"/>
      <c r="KIR202" s="21"/>
      <c r="KIS202" s="21"/>
      <c r="KIT202" s="21"/>
      <c r="KIU202" s="21"/>
      <c r="KIV202" s="21"/>
      <c r="KIW202" s="21"/>
      <c r="KIX202" s="21"/>
      <c r="KIY202" s="21"/>
      <c r="KIZ202" s="21"/>
      <c r="KJA202" s="21"/>
      <c r="KJB202" s="21"/>
      <c r="KJC202" s="21"/>
      <c r="KJD202" s="21"/>
      <c r="KJE202" s="21"/>
      <c r="KJF202" s="21"/>
      <c r="KJG202" s="21"/>
      <c r="KJH202" s="21"/>
      <c r="KJI202" s="21"/>
      <c r="KJJ202" s="21"/>
      <c r="KJK202" s="21"/>
      <c r="KJL202" s="21"/>
      <c r="KJM202" s="21"/>
      <c r="KJN202" s="21"/>
      <c r="KJO202" s="21"/>
      <c r="KJP202" s="21"/>
      <c r="KJQ202" s="21"/>
      <c r="KJR202" s="21"/>
      <c r="KJS202" s="21"/>
      <c r="KJT202" s="21"/>
      <c r="KJU202" s="21"/>
      <c r="KJV202" s="21"/>
      <c r="KJW202" s="21"/>
      <c r="KJX202" s="21"/>
      <c r="KJY202" s="21"/>
      <c r="KJZ202" s="21"/>
      <c r="KKA202" s="21"/>
      <c r="KKB202" s="21"/>
      <c r="KKC202" s="21"/>
      <c r="KKD202" s="21"/>
      <c r="KKE202" s="21"/>
      <c r="KKF202" s="21"/>
      <c r="KKG202" s="21"/>
      <c r="KKH202" s="21"/>
      <c r="KKI202" s="21"/>
      <c r="KKJ202" s="21"/>
      <c r="KKK202" s="21"/>
      <c r="KKL202" s="21"/>
      <c r="KKM202" s="21"/>
      <c r="KKN202" s="21"/>
      <c r="KKO202" s="21"/>
      <c r="KKP202" s="21"/>
      <c r="KKQ202" s="21"/>
      <c r="KKR202" s="21"/>
      <c r="KKS202" s="21"/>
      <c r="KKT202" s="21"/>
      <c r="KKU202" s="21"/>
      <c r="KKV202" s="21"/>
      <c r="KKW202" s="21"/>
      <c r="KKX202" s="21"/>
      <c r="KKY202" s="21"/>
      <c r="KKZ202" s="21"/>
      <c r="KLA202" s="21"/>
      <c r="KLB202" s="21"/>
      <c r="KLC202" s="21"/>
      <c r="KLD202" s="21"/>
      <c r="KLE202" s="21"/>
      <c r="KLF202" s="21"/>
      <c r="KLG202" s="21"/>
      <c r="KLH202" s="21"/>
      <c r="KLI202" s="21"/>
      <c r="KLJ202" s="21"/>
      <c r="KLK202" s="21"/>
      <c r="KLL202" s="21"/>
      <c r="KLM202" s="21"/>
      <c r="KLN202" s="21"/>
      <c r="KLO202" s="21"/>
      <c r="KLP202" s="21"/>
      <c r="KLQ202" s="21"/>
      <c r="KLR202" s="21"/>
      <c r="KLS202" s="21"/>
      <c r="KLT202" s="21"/>
      <c r="KLU202" s="21"/>
      <c r="KLV202" s="21"/>
      <c r="KLW202" s="21"/>
      <c r="KLX202" s="21"/>
      <c r="KLY202" s="21"/>
      <c r="KLZ202" s="21"/>
      <c r="KMA202" s="21"/>
      <c r="KMB202" s="21"/>
      <c r="KMC202" s="21"/>
      <c r="KMD202" s="21"/>
      <c r="KME202" s="21"/>
      <c r="KMF202" s="21"/>
      <c r="KMG202" s="21"/>
      <c r="KMH202" s="21"/>
      <c r="KMI202" s="21"/>
      <c r="KMJ202" s="21"/>
      <c r="KMK202" s="21"/>
      <c r="KML202" s="21"/>
      <c r="KMM202" s="21"/>
      <c r="KMN202" s="21"/>
      <c r="KMO202" s="21"/>
      <c r="KMP202" s="21"/>
      <c r="KMQ202" s="21"/>
      <c r="KMR202" s="21"/>
      <c r="KMS202" s="21"/>
      <c r="KMT202" s="21"/>
      <c r="KMU202" s="21"/>
      <c r="KMV202" s="21"/>
      <c r="KMW202" s="21"/>
      <c r="KMX202" s="21"/>
      <c r="KMY202" s="21"/>
      <c r="KMZ202" s="21"/>
      <c r="KNA202" s="21"/>
      <c r="KNB202" s="21"/>
      <c r="KNC202" s="21"/>
      <c r="KND202" s="21"/>
      <c r="KNE202" s="21"/>
      <c r="KNF202" s="21"/>
      <c r="KNG202" s="21"/>
      <c r="KNH202" s="21"/>
      <c r="KNI202" s="21"/>
      <c r="KNJ202" s="21"/>
      <c r="KNK202" s="21"/>
      <c r="KNL202" s="21"/>
      <c r="KNM202" s="21"/>
      <c r="KNN202" s="21"/>
      <c r="KNO202" s="21"/>
      <c r="KNP202" s="21"/>
      <c r="KNQ202" s="21"/>
      <c r="KNR202" s="21"/>
      <c r="KNS202" s="21"/>
      <c r="KNT202" s="21"/>
      <c r="KNU202" s="21"/>
      <c r="KNV202" s="21"/>
      <c r="KNW202" s="21"/>
      <c r="KNX202" s="21"/>
      <c r="KNY202" s="21"/>
      <c r="KNZ202" s="21"/>
      <c r="KOA202" s="21"/>
      <c r="KOB202" s="21"/>
      <c r="KOC202" s="21"/>
      <c r="KOD202" s="21"/>
      <c r="KOE202" s="21"/>
      <c r="KOF202" s="21"/>
      <c r="KOG202" s="21"/>
      <c r="KOH202" s="21"/>
      <c r="KOI202" s="21"/>
      <c r="KOJ202" s="21"/>
      <c r="KOK202" s="21"/>
      <c r="KOL202" s="21"/>
      <c r="KOM202" s="21"/>
      <c r="KON202" s="21"/>
      <c r="KOO202" s="21"/>
      <c r="KOP202" s="21"/>
      <c r="KOQ202" s="21"/>
      <c r="KOR202" s="21"/>
      <c r="KOS202" s="21"/>
      <c r="KOT202" s="21"/>
      <c r="KOU202" s="21"/>
      <c r="KOV202" s="21"/>
      <c r="KOW202" s="21"/>
      <c r="KOX202" s="21"/>
      <c r="KOY202" s="21"/>
      <c r="KOZ202" s="21"/>
      <c r="KPA202" s="21"/>
      <c r="KPB202" s="21"/>
      <c r="KPC202" s="21"/>
      <c r="KPD202" s="21"/>
      <c r="KPE202" s="21"/>
      <c r="KPF202" s="21"/>
      <c r="KPG202" s="21"/>
      <c r="KPH202" s="21"/>
      <c r="KPI202" s="21"/>
      <c r="KPJ202" s="21"/>
      <c r="KPK202" s="21"/>
      <c r="KPL202" s="21"/>
      <c r="KPM202" s="21"/>
      <c r="KPN202" s="21"/>
      <c r="KPO202" s="21"/>
      <c r="KPP202" s="21"/>
      <c r="KPQ202" s="21"/>
      <c r="KPR202" s="21"/>
      <c r="KPS202" s="21"/>
      <c r="KPT202" s="21"/>
      <c r="KPU202" s="21"/>
      <c r="KPV202" s="21"/>
      <c r="KPW202" s="21"/>
      <c r="KPX202" s="21"/>
      <c r="KPY202" s="21"/>
      <c r="KPZ202" s="21"/>
      <c r="KQA202" s="21"/>
      <c r="KQB202" s="21"/>
      <c r="KQC202" s="21"/>
      <c r="KQD202" s="21"/>
      <c r="KQE202" s="21"/>
      <c r="KQF202" s="21"/>
      <c r="KQG202" s="21"/>
      <c r="KQH202" s="21"/>
      <c r="KQI202" s="21"/>
      <c r="KQJ202" s="21"/>
      <c r="KQK202" s="21"/>
      <c r="KQL202" s="21"/>
      <c r="KQM202" s="21"/>
      <c r="KQN202" s="21"/>
      <c r="KQO202" s="21"/>
      <c r="KQP202" s="21"/>
      <c r="KQQ202" s="21"/>
      <c r="KQR202" s="21"/>
      <c r="KQS202" s="21"/>
      <c r="KQT202" s="21"/>
      <c r="KQU202" s="21"/>
      <c r="KQV202" s="21"/>
      <c r="KQW202" s="21"/>
      <c r="KQX202" s="21"/>
      <c r="KQY202" s="21"/>
      <c r="KQZ202" s="21"/>
      <c r="KRA202" s="21"/>
      <c r="KRB202" s="21"/>
      <c r="KRC202" s="21"/>
      <c r="KRD202" s="21"/>
      <c r="KRE202" s="21"/>
      <c r="KRF202" s="21"/>
      <c r="KRG202" s="21"/>
      <c r="KRH202" s="21"/>
      <c r="KRI202" s="21"/>
      <c r="KRJ202" s="21"/>
      <c r="KRK202" s="21"/>
      <c r="KRL202" s="21"/>
      <c r="KRM202" s="21"/>
      <c r="KRN202" s="21"/>
      <c r="KRO202" s="21"/>
      <c r="KRP202" s="21"/>
      <c r="KRQ202" s="21"/>
      <c r="KRR202" s="21"/>
      <c r="KRS202" s="21"/>
      <c r="KRT202" s="21"/>
      <c r="KRU202" s="21"/>
      <c r="KRV202" s="21"/>
      <c r="KRW202" s="21"/>
      <c r="KRX202" s="21"/>
      <c r="KRY202" s="21"/>
      <c r="KRZ202" s="21"/>
      <c r="KSA202" s="21"/>
      <c r="KSB202" s="21"/>
      <c r="KSC202" s="21"/>
      <c r="KSD202" s="21"/>
      <c r="KSE202" s="21"/>
      <c r="KSF202" s="21"/>
      <c r="KSG202" s="21"/>
      <c r="KSH202" s="21"/>
      <c r="KSI202" s="21"/>
      <c r="KSJ202" s="21"/>
      <c r="KSK202" s="21"/>
      <c r="KSL202" s="21"/>
      <c r="KSM202" s="21"/>
      <c r="KSN202" s="21"/>
      <c r="KSO202" s="21"/>
      <c r="KSP202" s="21"/>
      <c r="KSQ202" s="21"/>
      <c r="KSR202" s="21"/>
      <c r="KSS202" s="21"/>
      <c r="KST202" s="21"/>
      <c r="KSU202" s="21"/>
      <c r="KSV202" s="21"/>
      <c r="KSW202" s="21"/>
      <c r="KSX202" s="21"/>
      <c r="KSY202" s="21"/>
      <c r="KSZ202" s="21"/>
      <c r="KTA202" s="21"/>
      <c r="KTB202" s="21"/>
      <c r="KTC202" s="21"/>
      <c r="KTD202" s="21"/>
      <c r="KTE202" s="21"/>
      <c r="KTF202" s="21"/>
      <c r="KTG202" s="21"/>
      <c r="KTH202" s="21"/>
      <c r="KTI202" s="21"/>
      <c r="KTJ202" s="21"/>
      <c r="KTK202" s="21"/>
      <c r="KTL202" s="21"/>
      <c r="KTM202" s="21"/>
      <c r="KTN202" s="21"/>
      <c r="KTO202" s="21"/>
      <c r="KTP202" s="21"/>
      <c r="KTQ202" s="21"/>
      <c r="KTR202" s="21"/>
      <c r="KTS202" s="21"/>
      <c r="KTT202" s="21"/>
      <c r="KTU202" s="21"/>
      <c r="KTV202" s="21"/>
      <c r="KTW202" s="21"/>
      <c r="KTX202" s="21"/>
      <c r="KTY202" s="21"/>
      <c r="KTZ202" s="21"/>
      <c r="KUA202" s="21"/>
      <c r="KUB202" s="21"/>
      <c r="KUC202" s="21"/>
      <c r="KUD202" s="21"/>
      <c r="KUE202" s="21"/>
      <c r="KUF202" s="21"/>
      <c r="KUG202" s="21"/>
      <c r="KUH202" s="21"/>
      <c r="KUI202" s="21"/>
      <c r="KUJ202" s="21"/>
      <c r="KUK202" s="21"/>
      <c r="KUL202" s="21"/>
      <c r="KUM202" s="21"/>
      <c r="KUN202" s="21"/>
      <c r="KUO202" s="21"/>
      <c r="KUP202" s="21"/>
      <c r="KUQ202" s="21"/>
      <c r="KUR202" s="21"/>
      <c r="KUS202" s="21"/>
      <c r="KUT202" s="21"/>
      <c r="KUU202" s="21"/>
      <c r="KUV202" s="21"/>
      <c r="KUW202" s="21"/>
      <c r="KUX202" s="21"/>
      <c r="KUY202" s="21"/>
      <c r="KUZ202" s="21"/>
      <c r="KVA202" s="21"/>
      <c r="KVB202" s="21"/>
      <c r="KVC202" s="21"/>
      <c r="KVD202" s="21"/>
      <c r="KVE202" s="21"/>
      <c r="KVF202" s="21"/>
      <c r="KVG202" s="21"/>
      <c r="KVH202" s="21"/>
      <c r="KVI202" s="21"/>
      <c r="KVJ202" s="21"/>
      <c r="KVK202" s="21"/>
      <c r="KVL202" s="21"/>
      <c r="KVM202" s="21"/>
      <c r="KVN202" s="21"/>
      <c r="KVO202" s="21"/>
      <c r="KVP202" s="21"/>
      <c r="KVQ202" s="21"/>
      <c r="KVR202" s="21"/>
      <c r="KVS202" s="21"/>
      <c r="KVT202" s="21"/>
      <c r="KVU202" s="21"/>
      <c r="KVV202" s="21"/>
      <c r="KVW202" s="21"/>
      <c r="KVX202" s="21"/>
      <c r="KVY202" s="21"/>
      <c r="KVZ202" s="21"/>
      <c r="KWA202" s="21"/>
      <c r="KWB202" s="21"/>
      <c r="KWC202" s="21"/>
      <c r="KWD202" s="21"/>
      <c r="KWE202" s="21"/>
      <c r="KWF202" s="21"/>
      <c r="KWG202" s="21"/>
      <c r="KWH202" s="21"/>
      <c r="KWI202" s="21"/>
      <c r="KWJ202" s="21"/>
      <c r="KWK202" s="21"/>
      <c r="KWL202" s="21"/>
      <c r="KWM202" s="21"/>
      <c r="KWN202" s="21"/>
      <c r="KWO202" s="21"/>
      <c r="KWP202" s="21"/>
      <c r="KWQ202" s="21"/>
      <c r="KWR202" s="21"/>
      <c r="KWS202" s="21"/>
      <c r="KWT202" s="21"/>
      <c r="KWU202" s="21"/>
      <c r="KWV202" s="21"/>
      <c r="KWW202" s="21"/>
      <c r="KWX202" s="21"/>
      <c r="KWY202" s="21"/>
      <c r="KWZ202" s="21"/>
      <c r="KXA202" s="21"/>
      <c r="KXB202" s="21"/>
      <c r="KXC202" s="21"/>
      <c r="KXD202" s="21"/>
      <c r="KXE202" s="21"/>
      <c r="KXF202" s="21"/>
      <c r="KXG202" s="21"/>
      <c r="KXH202" s="21"/>
      <c r="KXI202" s="21"/>
      <c r="KXJ202" s="21"/>
      <c r="KXK202" s="21"/>
      <c r="KXL202" s="21"/>
      <c r="KXM202" s="21"/>
      <c r="KXN202" s="21"/>
      <c r="KXO202" s="21"/>
      <c r="KXP202" s="21"/>
      <c r="KXQ202" s="21"/>
      <c r="KXR202" s="21"/>
      <c r="KXS202" s="21"/>
      <c r="KXT202" s="21"/>
      <c r="KXU202" s="21"/>
      <c r="KXV202" s="21"/>
      <c r="KXW202" s="21"/>
      <c r="KXX202" s="21"/>
      <c r="KXY202" s="21"/>
      <c r="KXZ202" s="21"/>
      <c r="KYA202" s="21"/>
      <c r="KYB202" s="21"/>
      <c r="KYC202" s="21"/>
      <c r="KYD202" s="21"/>
      <c r="KYE202" s="21"/>
      <c r="KYF202" s="21"/>
      <c r="KYG202" s="21"/>
      <c r="KYH202" s="21"/>
      <c r="KYI202" s="21"/>
      <c r="KYJ202" s="21"/>
      <c r="KYK202" s="21"/>
      <c r="KYL202" s="21"/>
      <c r="KYM202" s="21"/>
      <c r="KYN202" s="21"/>
      <c r="KYO202" s="21"/>
      <c r="KYP202" s="21"/>
      <c r="KYQ202" s="21"/>
      <c r="KYR202" s="21"/>
      <c r="KYS202" s="21"/>
      <c r="KYT202" s="21"/>
      <c r="KYU202" s="21"/>
      <c r="KYV202" s="21"/>
      <c r="KYW202" s="21"/>
      <c r="KYX202" s="21"/>
      <c r="KYY202" s="21"/>
      <c r="KYZ202" s="21"/>
      <c r="KZA202" s="21"/>
      <c r="KZB202" s="21"/>
      <c r="KZC202" s="21"/>
      <c r="KZD202" s="21"/>
      <c r="KZE202" s="21"/>
      <c r="KZF202" s="21"/>
      <c r="KZG202" s="21"/>
      <c r="KZH202" s="21"/>
      <c r="KZI202" s="21"/>
      <c r="KZJ202" s="21"/>
      <c r="KZK202" s="21"/>
      <c r="KZL202" s="21"/>
      <c r="KZM202" s="21"/>
      <c r="KZN202" s="21"/>
      <c r="KZO202" s="21"/>
      <c r="KZP202" s="21"/>
      <c r="KZQ202" s="21"/>
      <c r="KZR202" s="21"/>
      <c r="KZS202" s="21"/>
      <c r="KZT202" s="21"/>
      <c r="KZU202" s="21"/>
      <c r="KZV202" s="21"/>
      <c r="KZW202" s="21"/>
      <c r="KZX202" s="21"/>
      <c r="KZY202" s="21"/>
      <c r="KZZ202" s="21"/>
      <c r="LAA202" s="21"/>
      <c r="LAB202" s="21"/>
      <c r="LAC202" s="21"/>
      <c r="LAD202" s="21"/>
      <c r="LAE202" s="21"/>
      <c r="LAF202" s="21"/>
      <c r="LAG202" s="21"/>
      <c r="LAH202" s="21"/>
      <c r="LAI202" s="21"/>
      <c r="LAJ202" s="21"/>
      <c r="LAK202" s="21"/>
      <c r="LAL202" s="21"/>
      <c r="LAM202" s="21"/>
      <c r="LAN202" s="21"/>
      <c r="LAO202" s="21"/>
      <c r="LAP202" s="21"/>
      <c r="LAQ202" s="21"/>
      <c r="LAR202" s="21"/>
      <c r="LAS202" s="21"/>
      <c r="LAT202" s="21"/>
      <c r="LAU202" s="21"/>
      <c r="LAV202" s="21"/>
      <c r="LAW202" s="21"/>
      <c r="LAX202" s="21"/>
      <c r="LAY202" s="21"/>
      <c r="LAZ202" s="21"/>
      <c r="LBA202" s="21"/>
      <c r="LBB202" s="21"/>
      <c r="LBC202" s="21"/>
      <c r="LBD202" s="21"/>
      <c r="LBE202" s="21"/>
      <c r="LBF202" s="21"/>
      <c r="LBG202" s="21"/>
      <c r="LBH202" s="21"/>
      <c r="LBI202" s="21"/>
      <c r="LBJ202" s="21"/>
      <c r="LBK202" s="21"/>
      <c r="LBL202" s="21"/>
      <c r="LBM202" s="21"/>
      <c r="LBN202" s="21"/>
      <c r="LBO202" s="21"/>
      <c r="LBP202" s="21"/>
      <c r="LBQ202" s="21"/>
      <c r="LBR202" s="21"/>
      <c r="LBS202" s="21"/>
      <c r="LBT202" s="21"/>
      <c r="LBU202" s="21"/>
      <c r="LBV202" s="21"/>
      <c r="LBW202" s="21"/>
      <c r="LBX202" s="21"/>
      <c r="LBY202" s="21"/>
      <c r="LBZ202" s="21"/>
      <c r="LCA202" s="21"/>
      <c r="LCB202" s="21"/>
      <c r="LCC202" s="21"/>
      <c r="LCD202" s="21"/>
      <c r="LCE202" s="21"/>
      <c r="LCF202" s="21"/>
      <c r="LCG202" s="21"/>
      <c r="LCH202" s="21"/>
      <c r="LCI202" s="21"/>
      <c r="LCJ202" s="21"/>
      <c r="LCK202" s="21"/>
      <c r="LCL202" s="21"/>
      <c r="LCM202" s="21"/>
      <c r="LCN202" s="21"/>
      <c r="LCO202" s="21"/>
      <c r="LCP202" s="21"/>
      <c r="LCQ202" s="21"/>
      <c r="LCR202" s="21"/>
      <c r="LCS202" s="21"/>
      <c r="LCT202" s="21"/>
      <c r="LCU202" s="21"/>
      <c r="LCV202" s="21"/>
      <c r="LCW202" s="21"/>
      <c r="LCX202" s="21"/>
      <c r="LCY202" s="21"/>
      <c r="LCZ202" s="21"/>
      <c r="LDA202" s="21"/>
      <c r="LDB202" s="21"/>
      <c r="LDC202" s="21"/>
      <c r="LDD202" s="21"/>
      <c r="LDE202" s="21"/>
      <c r="LDF202" s="21"/>
      <c r="LDG202" s="21"/>
      <c r="LDH202" s="21"/>
      <c r="LDI202" s="21"/>
      <c r="LDJ202" s="21"/>
      <c r="LDK202" s="21"/>
      <c r="LDL202" s="21"/>
      <c r="LDM202" s="21"/>
      <c r="LDN202" s="21"/>
      <c r="LDO202" s="21"/>
      <c r="LDP202" s="21"/>
      <c r="LDQ202" s="21"/>
      <c r="LDR202" s="21"/>
      <c r="LDS202" s="21"/>
      <c r="LDT202" s="21"/>
      <c r="LDU202" s="21"/>
      <c r="LDV202" s="21"/>
      <c r="LDW202" s="21"/>
      <c r="LDX202" s="21"/>
      <c r="LDY202" s="21"/>
      <c r="LDZ202" s="21"/>
      <c r="LEA202" s="21"/>
      <c r="LEB202" s="21"/>
      <c r="LEC202" s="21"/>
      <c r="LED202" s="21"/>
      <c r="LEE202" s="21"/>
      <c r="LEF202" s="21"/>
      <c r="LEG202" s="21"/>
      <c r="LEH202" s="21"/>
      <c r="LEI202" s="21"/>
      <c r="LEJ202" s="21"/>
      <c r="LEK202" s="21"/>
      <c r="LEL202" s="21"/>
      <c r="LEM202" s="21"/>
      <c r="LEN202" s="21"/>
      <c r="LEO202" s="21"/>
      <c r="LEP202" s="21"/>
      <c r="LEQ202" s="21"/>
      <c r="LER202" s="21"/>
      <c r="LES202" s="21"/>
      <c r="LET202" s="21"/>
      <c r="LEU202" s="21"/>
      <c r="LEV202" s="21"/>
      <c r="LEW202" s="21"/>
      <c r="LEX202" s="21"/>
      <c r="LEY202" s="21"/>
      <c r="LEZ202" s="21"/>
      <c r="LFA202" s="21"/>
      <c r="LFB202" s="21"/>
      <c r="LFC202" s="21"/>
      <c r="LFD202" s="21"/>
      <c r="LFE202" s="21"/>
      <c r="LFF202" s="21"/>
      <c r="LFG202" s="21"/>
      <c r="LFH202" s="21"/>
      <c r="LFI202" s="21"/>
      <c r="LFJ202" s="21"/>
      <c r="LFK202" s="21"/>
      <c r="LFL202" s="21"/>
      <c r="LFM202" s="21"/>
      <c r="LFN202" s="21"/>
      <c r="LFO202" s="21"/>
      <c r="LFP202" s="21"/>
      <c r="LFQ202" s="21"/>
      <c r="LFR202" s="21"/>
      <c r="LFS202" s="21"/>
      <c r="LFT202" s="21"/>
      <c r="LFU202" s="21"/>
      <c r="LFV202" s="21"/>
      <c r="LFW202" s="21"/>
      <c r="LFX202" s="21"/>
      <c r="LFY202" s="21"/>
      <c r="LFZ202" s="21"/>
      <c r="LGA202" s="21"/>
      <c r="LGB202" s="21"/>
      <c r="LGC202" s="21"/>
      <c r="LGD202" s="21"/>
      <c r="LGE202" s="21"/>
      <c r="LGF202" s="21"/>
      <c r="LGG202" s="21"/>
      <c r="LGH202" s="21"/>
      <c r="LGI202" s="21"/>
      <c r="LGJ202" s="21"/>
      <c r="LGK202" s="21"/>
      <c r="LGL202" s="21"/>
      <c r="LGM202" s="21"/>
      <c r="LGN202" s="21"/>
      <c r="LGO202" s="21"/>
      <c r="LGP202" s="21"/>
      <c r="LGQ202" s="21"/>
      <c r="LGR202" s="21"/>
      <c r="LGS202" s="21"/>
      <c r="LGT202" s="21"/>
      <c r="LGU202" s="21"/>
      <c r="LGV202" s="21"/>
      <c r="LGW202" s="21"/>
      <c r="LGX202" s="21"/>
      <c r="LGY202" s="21"/>
      <c r="LGZ202" s="21"/>
      <c r="LHA202" s="21"/>
      <c r="LHB202" s="21"/>
      <c r="LHC202" s="21"/>
      <c r="LHD202" s="21"/>
      <c r="LHE202" s="21"/>
      <c r="LHF202" s="21"/>
      <c r="LHG202" s="21"/>
      <c r="LHH202" s="21"/>
      <c r="LHI202" s="21"/>
      <c r="LHJ202" s="21"/>
      <c r="LHK202" s="21"/>
      <c r="LHL202" s="21"/>
      <c r="LHM202" s="21"/>
      <c r="LHN202" s="21"/>
      <c r="LHO202" s="21"/>
      <c r="LHP202" s="21"/>
      <c r="LHQ202" s="21"/>
      <c r="LHR202" s="21"/>
      <c r="LHS202" s="21"/>
      <c r="LHT202" s="21"/>
      <c r="LHU202" s="21"/>
      <c r="LHV202" s="21"/>
      <c r="LHW202" s="21"/>
      <c r="LHX202" s="21"/>
      <c r="LHY202" s="21"/>
      <c r="LHZ202" s="21"/>
      <c r="LIA202" s="21"/>
      <c r="LIB202" s="21"/>
      <c r="LIC202" s="21"/>
      <c r="LID202" s="21"/>
      <c r="LIE202" s="21"/>
      <c r="LIF202" s="21"/>
      <c r="LIG202" s="21"/>
      <c r="LIH202" s="21"/>
      <c r="LII202" s="21"/>
      <c r="LIJ202" s="21"/>
      <c r="LIK202" s="21"/>
      <c r="LIL202" s="21"/>
      <c r="LIM202" s="21"/>
      <c r="LIN202" s="21"/>
      <c r="LIO202" s="21"/>
      <c r="LIP202" s="21"/>
      <c r="LIQ202" s="21"/>
      <c r="LIR202" s="21"/>
      <c r="LIS202" s="21"/>
      <c r="LIT202" s="21"/>
      <c r="LIU202" s="21"/>
      <c r="LIV202" s="21"/>
      <c r="LIW202" s="21"/>
      <c r="LIX202" s="21"/>
      <c r="LIY202" s="21"/>
      <c r="LIZ202" s="21"/>
      <c r="LJA202" s="21"/>
      <c r="LJB202" s="21"/>
      <c r="LJC202" s="21"/>
      <c r="LJD202" s="21"/>
      <c r="LJE202" s="21"/>
      <c r="LJF202" s="21"/>
      <c r="LJG202" s="21"/>
      <c r="LJH202" s="21"/>
      <c r="LJI202" s="21"/>
      <c r="LJJ202" s="21"/>
      <c r="LJK202" s="21"/>
      <c r="LJL202" s="21"/>
      <c r="LJM202" s="21"/>
      <c r="LJN202" s="21"/>
      <c r="LJO202" s="21"/>
      <c r="LJP202" s="21"/>
      <c r="LJQ202" s="21"/>
      <c r="LJR202" s="21"/>
      <c r="LJS202" s="21"/>
      <c r="LJT202" s="21"/>
      <c r="LJU202" s="21"/>
      <c r="LJV202" s="21"/>
      <c r="LJW202" s="21"/>
      <c r="LJX202" s="21"/>
      <c r="LJY202" s="21"/>
      <c r="LJZ202" s="21"/>
      <c r="LKA202" s="21"/>
      <c r="LKB202" s="21"/>
      <c r="LKC202" s="21"/>
      <c r="LKD202" s="21"/>
      <c r="LKE202" s="21"/>
      <c r="LKF202" s="21"/>
      <c r="LKG202" s="21"/>
      <c r="LKH202" s="21"/>
      <c r="LKI202" s="21"/>
      <c r="LKJ202" s="21"/>
      <c r="LKK202" s="21"/>
      <c r="LKL202" s="21"/>
      <c r="LKM202" s="21"/>
      <c r="LKN202" s="21"/>
      <c r="LKO202" s="21"/>
      <c r="LKP202" s="21"/>
      <c r="LKQ202" s="21"/>
      <c r="LKR202" s="21"/>
      <c r="LKS202" s="21"/>
      <c r="LKT202" s="21"/>
      <c r="LKU202" s="21"/>
      <c r="LKV202" s="21"/>
      <c r="LKW202" s="21"/>
      <c r="LKX202" s="21"/>
      <c r="LKY202" s="21"/>
      <c r="LKZ202" s="21"/>
      <c r="LLA202" s="21"/>
      <c r="LLB202" s="21"/>
      <c r="LLC202" s="21"/>
      <c r="LLD202" s="21"/>
      <c r="LLE202" s="21"/>
      <c r="LLF202" s="21"/>
      <c r="LLG202" s="21"/>
      <c r="LLH202" s="21"/>
      <c r="LLI202" s="21"/>
      <c r="LLJ202" s="21"/>
      <c r="LLK202" s="21"/>
      <c r="LLL202" s="21"/>
      <c r="LLM202" s="21"/>
      <c r="LLN202" s="21"/>
      <c r="LLO202" s="21"/>
      <c r="LLP202" s="21"/>
      <c r="LLQ202" s="21"/>
      <c r="LLR202" s="21"/>
      <c r="LLS202" s="21"/>
      <c r="LLT202" s="21"/>
      <c r="LLU202" s="21"/>
      <c r="LLV202" s="21"/>
      <c r="LLW202" s="21"/>
      <c r="LLX202" s="21"/>
      <c r="LLY202" s="21"/>
      <c r="LLZ202" s="21"/>
      <c r="LMA202" s="21"/>
      <c r="LMB202" s="21"/>
      <c r="LMC202" s="21"/>
      <c r="LMD202" s="21"/>
      <c r="LME202" s="21"/>
      <c r="LMF202" s="21"/>
      <c r="LMG202" s="21"/>
      <c r="LMH202" s="21"/>
      <c r="LMI202" s="21"/>
      <c r="LMJ202" s="21"/>
      <c r="LMK202" s="21"/>
      <c r="LML202" s="21"/>
      <c r="LMM202" s="21"/>
      <c r="LMN202" s="21"/>
      <c r="LMO202" s="21"/>
      <c r="LMP202" s="21"/>
      <c r="LMQ202" s="21"/>
      <c r="LMR202" s="21"/>
      <c r="LMS202" s="21"/>
      <c r="LMT202" s="21"/>
      <c r="LMU202" s="21"/>
      <c r="LMV202" s="21"/>
      <c r="LMW202" s="21"/>
      <c r="LMX202" s="21"/>
      <c r="LMY202" s="21"/>
      <c r="LMZ202" s="21"/>
      <c r="LNA202" s="21"/>
      <c r="LNB202" s="21"/>
      <c r="LNC202" s="21"/>
      <c r="LND202" s="21"/>
      <c r="LNE202" s="21"/>
      <c r="LNF202" s="21"/>
      <c r="LNG202" s="21"/>
      <c r="LNH202" s="21"/>
      <c r="LNI202" s="21"/>
      <c r="LNJ202" s="21"/>
      <c r="LNK202" s="21"/>
      <c r="LNL202" s="21"/>
      <c r="LNM202" s="21"/>
      <c r="LNN202" s="21"/>
      <c r="LNO202" s="21"/>
      <c r="LNP202" s="21"/>
      <c r="LNQ202" s="21"/>
      <c r="LNR202" s="21"/>
      <c r="LNS202" s="21"/>
      <c r="LNT202" s="21"/>
      <c r="LNU202" s="21"/>
      <c r="LNV202" s="21"/>
      <c r="LNW202" s="21"/>
      <c r="LNX202" s="21"/>
      <c r="LNY202" s="21"/>
      <c r="LNZ202" s="21"/>
      <c r="LOA202" s="21"/>
      <c r="LOB202" s="21"/>
      <c r="LOC202" s="21"/>
      <c r="LOD202" s="21"/>
      <c r="LOE202" s="21"/>
      <c r="LOF202" s="21"/>
      <c r="LOG202" s="21"/>
      <c r="LOH202" s="21"/>
      <c r="LOI202" s="21"/>
      <c r="LOJ202" s="21"/>
      <c r="LOK202" s="21"/>
      <c r="LOL202" s="21"/>
      <c r="LOM202" s="21"/>
      <c r="LON202" s="21"/>
      <c r="LOO202" s="21"/>
      <c r="LOP202" s="21"/>
      <c r="LOQ202" s="21"/>
      <c r="LOR202" s="21"/>
      <c r="LOS202" s="21"/>
      <c r="LOT202" s="21"/>
      <c r="LOU202" s="21"/>
      <c r="LOV202" s="21"/>
      <c r="LOW202" s="21"/>
      <c r="LOX202" s="21"/>
      <c r="LOY202" s="21"/>
      <c r="LOZ202" s="21"/>
      <c r="LPA202" s="21"/>
      <c r="LPB202" s="21"/>
      <c r="LPC202" s="21"/>
      <c r="LPD202" s="21"/>
      <c r="LPE202" s="21"/>
      <c r="LPF202" s="21"/>
      <c r="LPG202" s="21"/>
      <c r="LPH202" s="21"/>
      <c r="LPI202" s="21"/>
      <c r="LPJ202" s="21"/>
      <c r="LPK202" s="21"/>
      <c r="LPL202" s="21"/>
      <c r="LPM202" s="21"/>
      <c r="LPN202" s="21"/>
      <c r="LPO202" s="21"/>
      <c r="LPP202" s="21"/>
      <c r="LPQ202" s="21"/>
      <c r="LPR202" s="21"/>
      <c r="LPS202" s="21"/>
      <c r="LPT202" s="21"/>
      <c r="LPU202" s="21"/>
      <c r="LPV202" s="21"/>
      <c r="LPW202" s="21"/>
      <c r="LPX202" s="21"/>
      <c r="LPY202" s="21"/>
      <c r="LPZ202" s="21"/>
      <c r="LQA202" s="21"/>
      <c r="LQB202" s="21"/>
      <c r="LQC202" s="21"/>
      <c r="LQD202" s="21"/>
      <c r="LQE202" s="21"/>
      <c r="LQF202" s="21"/>
      <c r="LQG202" s="21"/>
      <c r="LQH202" s="21"/>
      <c r="LQI202" s="21"/>
      <c r="LQJ202" s="21"/>
      <c r="LQK202" s="21"/>
      <c r="LQL202" s="21"/>
      <c r="LQM202" s="21"/>
      <c r="LQN202" s="21"/>
      <c r="LQO202" s="21"/>
      <c r="LQP202" s="21"/>
      <c r="LQQ202" s="21"/>
      <c r="LQR202" s="21"/>
      <c r="LQS202" s="21"/>
      <c r="LQT202" s="21"/>
      <c r="LQU202" s="21"/>
      <c r="LQV202" s="21"/>
      <c r="LQW202" s="21"/>
      <c r="LQX202" s="21"/>
      <c r="LQY202" s="21"/>
      <c r="LQZ202" s="21"/>
      <c r="LRA202" s="21"/>
      <c r="LRB202" s="21"/>
      <c r="LRC202" s="21"/>
      <c r="LRD202" s="21"/>
      <c r="LRE202" s="21"/>
      <c r="LRF202" s="21"/>
      <c r="LRG202" s="21"/>
      <c r="LRH202" s="21"/>
      <c r="LRI202" s="21"/>
      <c r="LRJ202" s="21"/>
      <c r="LRK202" s="21"/>
      <c r="LRL202" s="21"/>
      <c r="LRM202" s="21"/>
      <c r="LRN202" s="21"/>
      <c r="LRO202" s="21"/>
      <c r="LRP202" s="21"/>
      <c r="LRQ202" s="21"/>
      <c r="LRR202" s="21"/>
      <c r="LRS202" s="21"/>
      <c r="LRT202" s="21"/>
      <c r="LRU202" s="21"/>
      <c r="LRV202" s="21"/>
      <c r="LRW202" s="21"/>
      <c r="LRX202" s="21"/>
      <c r="LRY202" s="21"/>
      <c r="LRZ202" s="21"/>
      <c r="LSA202" s="21"/>
      <c r="LSB202" s="21"/>
      <c r="LSC202" s="21"/>
      <c r="LSD202" s="21"/>
      <c r="LSE202" s="21"/>
      <c r="LSF202" s="21"/>
      <c r="LSG202" s="21"/>
      <c r="LSH202" s="21"/>
      <c r="LSI202" s="21"/>
      <c r="LSJ202" s="21"/>
      <c r="LSK202" s="21"/>
      <c r="LSL202" s="21"/>
      <c r="LSM202" s="21"/>
      <c r="LSN202" s="21"/>
      <c r="LSO202" s="21"/>
      <c r="LSP202" s="21"/>
      <c r="LSQ202" s="21"/>
      <c r="LSR202" s="21"/>
      <c r="LSS202" s="21"/>
      <c r="LST202" s="21"/>
      <c r="LSU202" s="21"/>
      <c r="LSV202" s="21"/>
      <c r="LSW202" s="21"/>
      <c r="LSX202" s="21"/>
      <c r="LSY202" s="21"/>
      <c r="LSZ202" s="21"/>
      <c r="LTA202" s="21"/>
      <c r="LTB202" s="21"/>
      <c r="LTC202" s="21"/>
      <c r="LTD202" s="21"/>
      <c r="LTE202" s="21"/>
      <c r="LTF202" s="21"/>
      <c r="LTG202" s="21"/>
      <c r="LTH202" s="21"/>
      <c r="LTI202" s="21"/>
      <c r="LTJ202" s="21"/>
      <c r="LTK202" s="21"/>
      <c r="LTL202" s="21"/>
      <c r="LTM202" s="21"/>
      <c r="LTN202" s="21"/>
      <c r="LTO202" s="21"/>
      <c r="LTP202" s="21"/>
      <c r="LTQ202" s="21"/>
      <c r="LTR202" s="21"/>
      <c r="LTS202" s="21"/>
      <c r="LTT202" s="21"/>
      <c r="LTU202" s="21"/>
      <c r="LTV202" s="21"/>
      <c r="LTW202" s="21"/>
      <c r="LTX202" s="21"/>
      <c r="LTY202" s="21"/>
      <c r="LTZ202" s="21"/>
      <c r="LUA202" s="21"/>
      <c r="LUB202" s="21"/>
      <c r="LUC202" s="21"/>
      <c r="LUD202" s="21"/>
      <c r="LUE202" s="21"/>
      <c r="LUF202" s="21"/>
      <c r="LUG202" s="21"/>
      <c r="LUH202" s="21"/>
      <c r="LUI202" s="21"/>
      <c r="LUJ202" s="21"/>
      <c r="LUK202" s="21"/>
      <c r="LUL202" s="21"/>
      <c r="LUM202" s="21"/>
      <c r="LUN202" s="21"/>
      <c r="LUO202" s="21"/>
      <c r="LUP202" s="21"/>
      <c r="LUQ202" s="21"/>
      <c r="LUR202" s="21"/>
      <c r="LUS202" s="21"/>
      <c r="LUT202" s="21"/>
      <c r="LUU202" s="21"/>
      <c r="LUV202" s="21"/>
      <c r="LUW202" s="21"/>
      <c r="LUX202" s="21"/>
      <c r="LUY202" s="21"/>
      <c r="LUZ202" s="21"/>
      <c r="LVA202" s="21"/>
      <c r="LVB202" s="21"/>
      <c r="LVC202" s="21"/>
      <c r="LVD202" s="21"/>
      <c r="LVE202" s="21"/>
      <c r="LVF202" s="21"/>
      <c r="LVG202" s="21"/>
      <c r="LVH202" s="21"/>
      <c r="LVI202" s="21"/>
      <c r="LVJ202" s="21"/>
      <c r="LVK202" s="21"/>
      <c r="LVL202" s="21"/>
      <c r="LVM202" s="21"/>
      <c r="LVN202" s="21"/>
      <c r="LVO202" s="21"/>
      <c r="LVP202" s="21"/>
      <c r="LVQ202" s="21"/>
      <c r="LVR202" s="21"/>
      <c r="LVS202" s="21"/>
      <c r="LVT202" s="21"/>
      <c r="LVU202" s="21"/>
      <c r="LVV202" s="21"/>
      <c r="LVW202" s="21"/>
      <c r="LVX202" s="21"/>
      <c r="LVY202" s="21"/>
      <c r="LVZ202" s="21"/>
      <c r="LWA202" s="21"/>
      <c r="LWB202" s="21"/>
      <c r="LWC202" s="21"/>
      <c r="LWD202" s="21"/>
      <c r="LWE202" s="21"/>
      <c r="LWF202" s="21"/>
      <c r="LWG202" s="21"/>
      <c r="LWH202" s="21"/>
      <c r="LWI202" s="21"/>
      <c r="LWJ202" s="21"/>
      <c r="LWK202" s="21"/>
      <c r="LWL202" s="21"/>
      <c r="LWM202" s="21"/>
      <c r="LWN202" s="21"/>
      <c r="LWO202" s="21"/>
      <c r="LWP202" s="21"/>
      <c r="LWQ202" s="21"/>
      <c r="LWR202" s="21"/>
      <c r="LWS202" s="21"/>
      <c r="LWT202" s="21"/>
      <c r="LWU202" s="21"/>
      <c r="LWV202" s="21"/>
      <c r="LWW202" s="21"/>
      <c r="LWX202" s="21"/>
      <c r="LWY202" s="21"/>
      <c r="LWZ202" s="21"/>
      <c r="LXA202" s="21"/>
      <c r="LXB202" s="21"/>
      <c r="LXC202" s="21"/>
      <c r="LXD202" s="21"/>
      <c r="LXE202" s="21"/>
      <c r="LXF202" s="21"/>
      <c r="LXG202" s="21"/>
      <c r="LXH202" s="21"/>
      <c r="LXI202" s="21"/>
      <c r="LXJ202" s="21"/>
      <c r="LXK202" s="21"/>
      <c r="LXL202" s="21"/>
      <c r="LXM202" s="21"/>
      <c r="LXN202" s="21"/>
      <c r="LXO202" s="21"/>
      <c r="LXP202" s="21"/>
      <c r="LXQ202" s="21"/>
      <c r="LXR202" s="21"/>
      <c r="LXS202" s="21"/>
      <c r="LXT202" s="21"/>
      <c r="LXU202" s="21"/>
      <c r="LXV202" s="21"/>
      <c r="LXW202" s="21"/>
      <c r="LXX202" s="21"/>
      <c r="LXY202" s="21"/>
      <c r="LXZ202" s="21"/>
      <c r="LYA202" s="21"/>
      <c r="LYB202" s="21"/>
      <c r="LYC202" s="21"/>
      <c r="LYD202" s="21"/>
      <c r="LYE202" s="21"/>
      <c r="LYF202" s="21"/>
      <c r="LYG202" s="21"/>
      <c r="LYH202" s="21"/>
      <c r="LYI202" s="21"/>
      <c r="LYJ202" s="21"/>
      <c r="LYK202" s="21"/>
      <c r="LYL202" s="21"/>
      <c r="LYM202" s="21"/>
      <c r="LYN202" s="21"/>
      <c r="LYO202" s="21"/>
      <c r="LYP202" s="21"/>
      <c r="LYQ202" s="21"/>
      <c r="LYR202" s="21"/>
      <c r="LYS202" s="21"/>
      <c r="LYT202" s="21"/>
      <c r="LYU202" s="21"/>
      <c r="LYV202" s="21"/>
      <c r="LYW202" s="21"/>
      <c r="LYX202" s="21"/>
      <c r="LYY202" s="21"/>
      <c r="LYZ202" s="21"/>
      <c r="LZA202" s="21"/>
      <c r="LZB202" s="21"/>
      <c r="LZC202" s="21"/>
      <c r="LZD202" s="21"/>
      <c r="LZE202" s="21"/>
      <c r="LZF202" s="21"/>
      <c r="LZG202" s="21"/>
      <c r="LZH202" s="21"/>
      <c r="LZI202" s="21"/>
      <c r="LZJ202" s="21"/>
      <c r="LZK202" s="21"/>
      <c r="LZL202" s="21"/>
      <c r="LZM202" s="21"/>
      <c r="LZN202" s="21"/>
      <c r="LZO202" s="21"/>
      <c r="LZP202" s="21"/>
      <c r="LZQ202" s="21"/>
      <c r="LZR202" s="21"/>
      <c r="LZS202" s="21"/>
      <c r="LZT202" s="21"/>
      <c r="LZU202" s="21"/>
      <c r="LZV202" s="21"/>
      <c r="LZW202" s="21"/>
      <c r="LZX202" s="21"/>
      <c r="LZY202" s="21"/>
      <c r="LZZ202" s="21"/>
      <c r="MAA202" s="21"/>
      <c r="MAB202" s="21"/>
      <c r="MAC202" s="21"/>
      <c r="MAD202" s="21"/>
      <c r="MAE202" s="21"/>
      <c r="MAF202" s="21"/>
      <c r="MAG202" s="21"/>
      <c r="MAH202" s="21"/>
      <c r="MAI202" s="21"/>
      <c r="MAJ202" s="21"/>
      <c r="MAK202" s="21"/>
      <c r="MAL202" s="21"/>
      <c r="MAM202" s="21"/>
      <c r="MAN202" s="21"/>
      <c r="MAO202" s="21"/>
      <c r="MAP202" s="21"/>
      <c r="MAQ202" s="21"/>
      <c r="MAR202" s="21"/>
      <c r="MAS202" s="21"/>
      <c r="MAT202" s="21"/>
      <c r="MAU202" s="21"/>
      <c r="MAV202" s="21"/>
      <c r="MAW202" s="21"/>
      <c r="MAX202" s="21"/>
      <c r="MAY202" s="21"/>
      <c r="MAZ202" s="21"/>
      <c r="MBA202" s="21"/>
      <c r="MBB202" s="21"/>
      <c r="MBC202" s="21"/>
      <c r="MBD202" s="21"/>
      <c r="MBE202" s="21"/>
      <c r="MBF202" s="21"/>
      <c r="MBG202" s="21"/>
      <c r="MBH202" s="21"/>
      <c r="MBI202" s="21"/>
      <c r="MBJ202" s="21"/>
      <c r="MBK202" s="21"/>
      <c r="MBL202" s="21"/>
      <c r="MBM202" s="21"/>
      <c r="MBN202" s="21"/>
      <c r="MBO202" s="21"/>
      <c r="MBP202" s="21"/>
      <c r="MBQ202" s="21"/>
      <c r="MBR202" s="21"/>
      <c r="MBS202" s="21"/>
      <c r="MBT202" s="21"/>
      <c r="MBU202" s="21"/>
      <c r="MBV202" s="21"/>
      <c r="MBW202" s="21"/>
      <c r="MBX202" s="21"/>
      <c r="MBY202" s="21"/>
      <c r="MBZ202" s="21"/>
      <c r="MCA202" s="21"/>
      <c r="MCB202" s="21"/>
      <c r="MCC202" s="21"/>
      <c r="MCD202" s="21"/>
      <c r="MCE202" s="21"/>
      <c r="MCF202" s="21"/>
      <c r="MCG202" s="21"/>
      <c r="MCH202" s="21"/>
      <c r="MCI202" s="21"/>
      <c r="MCJ202" s="21"/>
      <c r="MCK202" s="21"/>
      <c r="MCL202" s="21"/>
      <c r="MCM202" s="21"/>
      <c r="MCN202" s="21"/>
      <c r="MCO202" s="21"/>
      <c r="MCP202" s="21"/>
      <c r="MCQ202" s="21"/>
      <c r="MCR202" s="21"/>
      <c r="MCS202" s="21"/>
      <c r="MCT202" s="21"/>
      <c r="MCU202" s="21"/>
      <c r="MCV202" s="21"/>
      <c r="MCW202" s="21"/>
      <c r="MCX202" s="21"/>
      <c r="MCY202" s="21"/>
      <c r="MCZ202" s="21"/>
      <c r="MDA202" s="21"/>
      <c r="MDB202" s="21"/>
      <c r="MDC202" s="21"/>
      <c r="MDD202" s="21"/>
      <c r="MDE202" s="21"/>
      <c r="MDF202" s="21"/>
      <c r="MDG202" s="21"/>
      <c r="MDH202" s="21"/>
      <c r="MDI202" s="21"/>
      <c r="MDJ202" s="21"/>
      <c r="MDK202" s="21"/>
      <c r="MDL202" s="21"/>
      <c r="MDM202" s="21"/>
      <c r="MDN202" s="21"/>
      <c r="MDO202" s="21"/>
      <c r="MDP202" s="21"/>
      <c r="MDQ202" s="21"/>
      <c r="MDR202" s="21"/>
      <c r="MDS202" s="21"/>
      <c r="MDT202" s="21"/>
      <c r="MDU202" s="21"/>
      <c r="MDV202" s="21"/>
      <c r="MDW202" s="21"/>
      <c r="MDX202" s="21"/>
      <c r="MDY202" s="21"/>
      <c r="MDZ202" s="21"/>
      <c r="MEA202" s="21"/>
      <c r="MEB202" s="21"/>
      <c r="MEC202" s="21"/>
      <c r="MED202" s="21"/>
      <c r="MEE202" s="21"/>
      <c r="MEF202" s="21"/>
      <c r="MEG202" s="21"/>
      <c r="MEH202" s="21"/>
      <c r="MEI202" s="21"/>
      <c r="MEJ202" s="21"/>
      <c r="MEK202" s="21"/>
      <c r="MEL202" s="21"/>
      <c r="MEM202" s="21"/>
      <c r="MEN202" s="21"/>
      <c r="MEO202" s="21"/>
      <c r="MEP202" s="21"/>
      <c r="MEQ202" s="21"/>
      <c r="MER202" s="21"/>
      <c r="MES202" s="21"/>
      <c r="MET202" s="21"/>
      <c r="MEU202" s="21"/>
      <c r="MEV202" s="21"/>
      <c r="MEW202" s="21"/>
      <c r="MEX202" s="21"/>
      <c r="MEY202" s="21"/>
      <c r="MEZ202" s="21"/>
      <c r="MFA202" s="21"/>
      <c r="MFB202" s="21"/>
      <c r="MFC202" s="21"/>
      <c r="MFD202" s="21"/>
      <c r="MFE202" s="21"/>
      <c r="MFF202" s="21"/>
      <c r="MFG202" s="21"/>
      <c r="MFH202" s="21"/>
      <c r="MFI202" s="21"/>
      <c r="MFJ202" s="21"/>
      <c r="MFK202" s="21"/>
      <c r="MFL202" s="21"/>
      <c r="MFM202" s="21"/>
      <c r="MFN202" s="21"/>
      <c r="MFO202" s="21"/>
      <c r="MFP202" s="21"/>
      <c r="MFQ202" s="21"/>
      <c r="MFR202" s="21"/>
      <c r="MFS202" s="21"/>
      <c r="MFT202" s="21"/>
      <c r="MFU202" s="21"/>
      <c r="MFV202" s="21"/>
      <c r="MFW202" s="21"/>
      <c r="MFX202" s="21"/>
      <c r="MFY202" s="21"/>
      <c r="MFZ202" s="21"/>
      <c r="MGA202" s="21"/>
      <c r="MGB202" s="21"/>
      <c r="MGC202" s="21"/>
      <c r="MGD202" s="21"/>
      <c r="MGE202" s="21"/>
      <c r="MGF202" s="21"/>
      <c r="MGG202" s="21"/>
      <c r="MGH202" s="21"/>
      <c r="MGI202" s="21"/>
      <c r="MGJ202" s="21"/>
      <c r="MGK202" s="21"/>
      <c r="MGL202" s="21"/>
      <c r="MGM202" s="21"/>
      <c r="MGN202" s="21"/>
      <c r="MGO202" s="21"/>
      <c r="MGP202" s="21"/>
      <c r="MGQ202" s="21"/>
      <c r="MGR202" s="21"/>
      <c r="MGS202" s="21"/>
      <c r="MGT202" s="21"/>
      <c r="MGU202" s="21"/>
      <c r="MGV202" s="21"/>
      <c r="MGW202" s="21"/>
      <c r="MGX202" s="21"/>
      <c r="MGY202" s="21"/>
      <c r="MGZ202" s="21"/>
      <c r="MHA202" s="21"/>
      <c r="MHB202" s="21"/>
      <c r="MHC202" s="21"/>
      <c r="MHD202" s="21"/>
      <c r="MHE202" s="21"/>
      <c r="MHF202" s="21"/>
      <c r="MHG202" s="21"/>
      <c r="MHH202" s="21"/>
      <c r="MHI202" s="21"/>
      <c r="MHJ202" s="21"/>
      <c r="MHK202" s="21"/>
      <c r="MHL202" s="21"/>
      <c r="MHM202" s="21"/>
      <c r="MHN202" s="21"/>
      <c r="MHO202" s="21"/>
      <c r="MHP202" s="21"/>
      <c r="MHQ202" s="21"/>
      <c r="MHR202" s="21"/>
      <c r="MHS202" s="21"/>
      <c r="MHT202" s="21"/>
      <c r="MHU202" s="21"/>
      <c r="MHV202" s="21"/>
      <c r="MHW202" s="21"/>
      <c r="MHX202" s="21"/>
      <c r="MHY202" s="21"/>
      <c r="MHZ202" s="21"/>
      <c r="MIA202" s="21"/>
      <c r="MIB202" s="21"/>
      <c r="MIC202" s="21"/>
      <c r="MID202" s="21"/>
      <c r="MIE202" s="21"/>
      <c r="MIF202" s="21"/>
      <c r="MIG202" s="21"/>
      <c r="MIH202" s="21"/>
      <c r="MII202" s="21"/>
      <c r="MIJ202" s="21"/>
      <c r="MIK202" s="21"/>
      <c r="MIL202" s="21"/>
      <c r="MIM202" s="21"/>
      <c r="MIN202" s="21"/>
      <c r="MIO202" s="21"/>
      <c r="MIP202" s="21"/>
      <c r="MIQ202" s="21"/>
      <c r="MIR202" s="21"/>
      <c r="MIS202" s="21"/>
      <c r="MIT202" s="21"/>
      <c r="MIU202" s="21"/>
      <c r="MIV202" s="21"/>
      <c r="MIW202" s="21"/>
      <c r="MIX202" s="21"/>
      <c r="MIY202" s="21"/>
      <c r="MIZ202" s="21"/>
      <c r="MJA202" s="21"/>
      <c r="MJB202" s="21"/>
      <c r="MJC202" s="21"/>
      <c r="MJD202" s="21"/>
      <c r="MJE202" s="21"/>
      <c r="MJF202" s="21"/>
      <c r="MJG202" s="21"/>
      <c r="MJH202" s="21"/>
      <c r="MJI202" s="21"/>
      <c r="MJJ202" s="21"/>
      <c r="MJK202" s="21"/>
      <c r="MJL202" s="21"/>
      <c r="MJM202" s="21"/>
      <c r="MJN202" s="21"/>
      <c r="MJO202" s="21"/>
      <c r="MJP202" s="21"/>
      <c r="MJQ202" s="21"/>
      <c r="MJR202" s="21"/>
      <c r="MJS202" s="21"/>
      <c r="MJT202" s="21"/>
      <c r="MJU202" s="21"/>
      <c r="MJV202" s="21"/>
      <c r="MJW202" s="21"/>
      <c r="MJX202" s="21"/>
      <c r="MJY202" s="21"/>
      <c r="MJZ202" s="21"/>
      <c r="MKA202" s="21"/>
      <c r="MKB202" s="21"/>
      <c r="MKC202" s="21"/>
      <c r="MKD202" s="21"/>
      <c r="MKE202" s="21"/>
      <c r="MKF202" s="21"/>
      <c r="MKG202" s="21"/>
      <c r="MKH202" s="21"/>
      <c r="MKI202" s="21"/>
      <c r="MKJ202" s="21"/>
      <c r="MKK202" s="21"/>
      <c r="MKL202" s="21"/>
      <c r="MKM202" s="21"/>
      <c r="MKN202" s="21"/>
      <c r="MKO202" s="21"/>
      <c r="MKP202" s="21"/>
      <c r="MKQ202" s="21"/>
      <c r="MKR202" s="21"/>
      <c r="MKS202" s="21"/>
      <c r="MKT202" s="21"/>
      <c r="MKU202" s="21"/>
      <c r="MKV202" s="21"/>
      <c r="MKW202" s="21"/>
      <c r="MKX202" s="21"/>
      <c r="MKY202" s="21"/>
      <c r="MKZ202" s="21"/>
      <c r="MLA202" s="21"/>
      <c r="MLB202" s="21"/>
      <c r="MLC202" s="21"/>
      <c r="MLD202" s="21"/>
      <c r="MLE202" s="21"/>
      <c r="MLF202" s="21"/>
      <c r="MLG202" s="21"/>
      <c r="MLH202" s="21"/>
      <c r="MLI202" s="21"/>
      <c r="MLJ202" s="21"/>
      <c r="MLK202" s="21"/>
      <c r="MLL202" s="21"/>
      <c r="MLM202" s="21"/>
      <c r="MLN202" s="21"/>
      <c r="MLO202" s="21"/>
      <c r="MLP202" s="21"/>
      <c r="MLQ202" s="21"/>
      <c r="MLR202" s="21"/>
      <c r="MLS202" s="21"/>
      <c r="MLT202" s="21"/>
      <c r="MLU202" s="21"/>
      <c r="MLV202" s="21"/>
      <c r="MLW202" s="21"/>
      <c r="MLX202" s="21"/>
      <c r="MLY202" s="21"/>
      <c r="MLZ202" s="21"/>
      <c r="MMA202" s="21"/>
      <c r="MMB202" s="21"/>
      <c r="MMC202" s="21"/>
      <c r="MMD202" s="21"/>
      <c r="MME202" s="21"/>
      <c r="MMF202" s="21"/>
      <c r="MMG202" s="21"/>
      <c r="MMH202" s="21"/>
      <c r="MMI202" s="21"/>
      <c r="MMJ202" s="21"/>
      <c r="MMK202" s="21"/>
      <c r="MML202" s="21"/>
      <c r="MMM202" s="21"/>
      <c r="MMN202" s="21"/>
      <c r="MMO202" s="21"/>
      <c r="MMP202" s="21"/>
      <c r="MMQ202" s="21"/>
      <c r="MMR202" s="21"/>
      <c r="MMS202" s="21"/>
      <c r="MMT202" s="21"/>
      <c r="MMU202" s="21"/>
      <c r="MMV202" s="21"/>
      <c r="MMW202" s="21"/>
      <c r="MMX202" s="21"/>
      <c r="MMY202" s="21"/>
      <c r="MMZ202" s="21"/>
      <c r="MNA202" s="21"/>
      <c r="MNB202" s="21"/>
      <c r="MNC202" s="21"/>
      <c r="MND202" s="21"/>
      <c r="MNE202" s="21"/>
      <c r="MNF202" s="21"/>
      <c r="MNG202" s="21"/>
      <c r="MNH202" s="21"/>
      <c r="MNI202" s="21"/>
      <c r="MNJ202" s="21"/>
      <c r="MNK202" s="21"/>
      <c r="MNL202" s="21"/>
      <c r="MNM202" s="21"/>
      <c r="MNN202" s="21"/>
      <c r="MNO202" s="21"/>
      <c r="MNP202" s="21"/>
      <c r="MNQ202" s="21"/>
      <c r="MNR202" s="21"/>
      <c r="MNS202" s="21"/>
      <c r="MNT202" s="21"/>
      <c r="MNU202" s="21"/>
      <c r="MNV202" s="21"/>
      <c r="MNW202" s="21"/>
      <c r="MNX202" s="21"/>
      <c r="MNY202" s="21"/>
      <c r="MNZ202" s="21"/>
      <c r="MOA202" s="21"/>
      <c r="MOB202" s="21"/>
      <c r="MOC202" s="21"/>
      <c r="MOD202" s="21"/>
      <c r="MOE202" s="21"/>
      <c r="MOF202" s="21"/>
      <c r="MOG202" s="21"/>
      <c r="MOH202" s="21"/>
      <c r="MOI202" s="21"/>
      <c r="MOJ202" s="21"/>
      <c r="MOK202" s="21"/>
      <c r="MOL202" s="21"/>
      <c r="MOM202" s="21"/>
      <c r="MON202" s="21"/>
      <c r="MOO202" s="21"/>
      <c r="MOP202" s="21"/>
      <c r="MOQ202" s="21"/>
      <c r="MOR202" s="21"/>
      <c r="MOS202" s="21"/>
      <c r="MOT202" s="21"/>
      <c r="MOU202" s="21"/>
      <c r="MOV202" s="21"/>
      <c r="MOW202" s="21"/>
      <c r="MOX202" s="21"/>
      <c r="MOY202" s="21"/>
      <c r="MOZ202" s="21"/>
      <c r="MPA202" s="21"/>
      <c r="MPB202" s="21"/>
      <c r="MPC202" s="21"/>
      <c r="MPD202" s="21"/>
      <c r="MPE202" s="21"/>
      <c r="MPF202" s="21"/>
      <c r="MPG202" s="21"/>
      <c r="MPH202" s="21"/>
      <c r="MPI202" s="21"/>
      <c r="MPJ202" s="21"/>
      <c r="MPK202" s="21"/>
      <c r="MPL202" s="21"/>
      <c r="MPM202" s="21"/>
      <c r="MPN202" s="21"/>
      <c r="MPO202" s="21"/>
      <c r="MPP202" s="21"/>
      <c r="MPQ202" s="21"/>
      <c r="MPR202" s="21"/>
      <c r="MPS202" s="21"/>
      <c r="MPT202" s="21"/>
      <c r="MPU202" s="21"/>
      <c r="MPV202" s="21"/>
      <c r="MPW202" s="21"/>
      <c r="MPX202" s="21"/>
      <c r="MPY202" s="21"/>
      <c r="MPZ202" s="21"/>
      <c r="MQA202" s="21"/>
      <c r="MQB202" s="21"/>
      <c r="MQC202" s="21"/>
      <c r="MQD202" s="21"/>
      <c r="MQE202" s="21"/>
      <c r="MQF202" s="21"/>
      <c r="MQG202" s="21"/>
      <c r="MQH202" s="21"/>
      <c r="MQI202" s="21"/>
      <c r="MQJ202" s="21"/>
      <c r="MQK202" s="21"/>
      <c r="MQL202" s="21"/>
      <c r="MQM202" s="21"/>
      <c r="MQN202" s="21"/>
      <c r="MQO202" s="21"/>
      <c r="MQP202" s="21"/>
      <c r="MQQ202" s="21"/>
      <c r="MQR202" s="21"/>
      <c r="MQS202" s="21"/>
      <c r="MQT202" s="21"/>
      <c r="MQU202" s="21"/>
      <c r="MQV202" s="21"/>
      <c r="MQW202" s="21"/>
      <c r="MQX202" s="21"/>
      <c r="MQY202" s="21"/>
      <c r="MQZ202" s="21"/>
      <c r="MRA202" s="21"/>
      <c r="MRB202" s="21"/>
      <c r="MRC202" s="21"/>
      <c r="MRD202" s="21"/>
      <c r="MRE202" s="21"/>
      <c r="MRF202" s="21"/>
      <c r="MRG202" s="21"/>
      <c r="MRH202" s="21"/>
      <c r="MRI202" s="21"/>
      <c r="MRJ202" s="21"/>
      <c r="MRK202" s="21"/>
      <c r="MRL202" s="21"/>
      <c r="MRM202" s="21"/>
      <c r="MRN202" s="21"/>
      <c r="MRO202" s="21"/>
      <c r="MRP202" s="21"/>
      <c r="MRQ202" s="21"/>
      <c r="MRR202" s="21"/>
      <c r="MRS202" s="21"/>
      <c r="MRT202" s="21"/>
      <c r="MRU202" s="21"/>
      <c r="MRV202" s="21"/>
      <c r="MRW202" s="21"/>
      <c r="MRX202" s="21"/>
      <c r="MRY202" s="21"/>
      <c r="MRZ202" s="21"/>
      <c r="MSA202" s="21"/>
      <c r="MSB202" s="21"/>
      <c r="MSC202" s="21"/>
      <c r="MSD202" s="21"/>
      <c r="MSE202" s="21"/>
      <c r="MSF202" s="21"/>
      <c r="MSG202" s="21"/>
      <c r="MSH202" s="21"/>
      <c r="MSI202" s="21"/>
      <c r="MSJ202" s="21"/>
      <c r="MSK202" s="21"/>
      <c r="MSL202" s="21"/>
      <c r="MSM202" s="21"/>
      <c r="MSN202" s="21"/>
      <c r="MSO202" s="21"/>
      <c r="MSP202" s="21"/>
      <c r="MSQ202" s="21"/>
      <c r="MSR202" s="21"/>
      <c r="MSS202" s="21"/>
      <c r="MST202" s="21"/>
      <c r="MSU202" s="21"/>
      <c r="MSV202" s="21"/>
      <c r="MSW202" s="21"/>
      <c r="MSX202" s="21"/>
      <c r="MSY202" s="21"/>
      <c r="MSZ202" s="21"/>
      <c r="MTA202" s="21"/>
      <c r="MTB202" s="21"/>
      <c r="MTC202" s="21"/>
      <c r="MTD202" s="21"/>
      <c r="MTE202" s="21"/>
      <c r="MTF202" s="21"/>
      <c r="MTG202" s="21"/>
      <c r="MTH202" s="21"/>
      <c r="MTI202" s="21"/>
      <c r="MTJ202" s="21"/>
      <c r="MTK202" s="21"/>
      <c r="MTL202" s="21"/>
      <c r="MTM202" s="21"/>
      <c r="MTN202" s="21"/>
      <c r="MTO202" s="21"/>
      <c r="MTP202" s="21"/>
      <c r="MTQ202" s="21"/>
      <c r="MTR202" s="21"/>
      <c r="MTS202" s="21"/>
      <c r="MTT202" s="21"/>
      <c r="MTU202" s="21"/>
      <c r="MTV202" s="21"/>
      <c r="MTW202" s="21"/>
      <c r="MTX202" s="21"/>
      <c r="MTY202" s="21"/>
      <c r="MTZ202" s="21"/>
      <c r="MUA202" s="21"/>
      <c r="MUB202" s="21"/>
      <c r="MUC202" s="21"/>
      <c r="MUD202" s="21"/>
      <c r="MUE202" s="21"/>
      <c r="MUF202" s="21"/>
      <c r="MUG202" s="21"/>
      <c r="MUH202" s="21"/>
      <c r="MUI202" s="21"/>
      <c r="MUJ202" s="21"/>
      <c r="MUK202" s="21"/>
      <c r="MUL202" s="21"/>
      <c r="MUM202" s="21"/>
      <c r="MUN202" s="21"/>
      <c r="MUO202" s="21"/>
      <c r="MUP202" s="21"/>
      <c r="MUQ202" s="21"/>
      <c r="MUR202" s="21"/>
      <c r="MUS202" s="21"/>
      <c r="MUT202" s="21"/>
      <c r="MUU202" s="21"/>
      <c r="MUV202" s="21"/>
      <c r="MUW202" s="21"/>
      <c r="MUX202" s="21"/>
      <c r="MUY202" s="21"/>
      <c r="MUZ202" s="21"/>
      <c r="MVA202" s="21"/>
      <c r="MVB202" s="21"/>
      <c r="MVC202" s="21"/>
      <c r="MVD202" s="21"/>
      <c r="MVE202" s="21"/>
      <c r="MVF202" s="21"/>
      <c r="MVG202" s="21"/>
      <c r="MVH202" s="21"/>
      <c r="MVI202" s="21"/>
      <c r="MVJ202" s="21"/>
      <c r="MVK202" s="21"/>
      <c r="MVL202" s="21"/>
      <c r="MVM202" s="21"/>
      <c r="MVN202" s="21"/>
      <c r="MVO202" s="21"/>
      <c r="MVP202" s="21"/>
      <c r="MVQ202" s="21"/>
      <c r="MVR202" s="21"/>
      <c r="MVS202" s="21"/>
      <c r="MVT202" s="21"/>
      <c r="MVU202" s="21"/>
      <c r="MVV202" s="21"/>
      <c r="MVW202" s="21"/>
      <c r="MVX202" s="21"/>
      <c r="MVY202" s="21"/>
      <c r="MVZ202" s="21"/>
      <c r="MWA202" s="21"/>
      <c r="MWB202" s="21"/>
      <c r="MWC202" s="21"/>
      <c r="MWD202" s="21"/>
      <c r="MWE202" s="21"/>
      <c r="MWF202" s="21"/>
      <c r="MWG202" s="21"/>
      <c r="MWH202" s="21"/>
      <c r="MWI202" s="21"/>
      <c r="MWJ202" s="21"/>
      <c r="MWK202" s="21"/>
      <c r="MWL202" s="21"/>
      <c r="MWM202" s="21"/>
      <c r="MWN202" s="21"/>
      <c r="MWO202" s="21"/>
      <c r="MWP202" s="21"/>
      <c r="MWQ202" s="21"/>
      <c r="MWR202" s="21"/>
      <c r="MWS202" s="21"/>
      <c r="MWT202" s="21"/>
      <c r="MWU202" s="21"/>
      <c r="MWV202" s="21"/>
      <c r="MWW202" s="21"/>
      <c r="MWX202" s="21"/>
      <c r="MWY202" s="21"/>
      <c r="MWZ202" s="21"/>
      <c r="MXA202" s="21"/>
      <c r="MXB202" s="21"/>
      <c r="MXC202" s="21"/>
      <c r="MXD202" s="21"/>
      <c r="MXE202" s="21"/>
      <c r="MXF202" s="21"/>
      <c r="MXG202" s="21"/>
      <c r="MXH202" s="21"/>
      <c r="MXI202" s="21"/>
      <c r="MXJ202" s="21"/>
      <c r="MXK202" s="21"/>
      <c r="MXL202" s="21"/>
      <c r="MXM202" s="21"/>
      <c r="MXN202" s="21"/>
      <c r="MXO202" s="21"/>
      <c r="MXP202" s="21"/>
      <c r="MXQ202" s="21"/>
      <c r="MXR202" s="21"/>
      <c r="MXS202" s="21"/>
      <c r="MXT202" s="21"/>
      <c r="MXU202" s="21"/>
      <c r="MXV202" s="21"/>
      <c r="MXW202" s="21"/>
      <c r="MXX202" s="21"/>
      <c r="MXY202" s="21"/>
      <c r="MXZ202" s="21"/>
      <c r="MYA202" s="21"/>
      <c r="MYB202" s="21"/>
      <c r="MYC202" s="21"/>
      <c r="MYD202" s="21"/>
      <c r="MYE202" s="21"/>
      <c r="MYF202" s="21"/>
      <c r="MYG202" s="21"/>
      <c r="MYH202" s="21"/>
      <c r="MYI202" s="21"/>
      <c r="MYJ202" s="21"/>
      <c r="MYK202" s="21"/>
      <c r="MYL202" s="21"/>
      <c r="MYM202" s="21"/>
      <c r="MYN202" s="21"/>
      <c r="MYO202" s="21"/>
      <c r="MYP202" s="21"/>
      <c r="MYQ202" s="21"/>
      <c r="MYR202" s="21"/>
      <c r="MYS202" s="21"/>
      <c r="MYT202" s="21"/>
      <c r="MYU202" s="21"/>
      <c r="MYV202" s="21"/>
      <c r="MYW202" s="21"/>
      <c r="MYX202" s="21"/>
      <c r="MYY202" s="21"/>
      <c r="MYZ202" s="21"/>
      <c r="MZA202" s="21"/>
      <c r="MZB202" s="21"/>
      <c r="MZC202" s="21"/>
      <c r="MZD202" s="21"/>
      <c r="MZE202" s="21"/>
      <c r="MZF202" s="21"/>
      <c r="MZG202" s="21"/>
      <c r="MZH202" s="21"/>
      <c r="MZI202" s="21"/>
      <c r="MZJ202" s="21"/>
      <c r="MZK202" s="21"/>
      <c r="MZL202" s="21"/>
      <c r="MZM202" s="21"/>
      <c r="MZN202" s="21"/>
      <c r="MZO202" s="21"/>
      <c r="MZP202" s="21"/>
      <c r="MZQ202" s="21"/>
      <c r="MZR202" s="21"/>
      <c r="MZS202" s="21"/>
      <c r="MZT202" s="21"/>
      <c r="MZU202" s="21"/>
      <c r="MZV202" s="21"/>
      <c r="MZW202" s="21"/>
      <c r="MZX202" s="21"/>
      <c r="MZY202" s="21"/>
      <c r="MZZ202" s="21"/>
      <c r="NAA202" s="21"/>
      <c r="NAB202" s="21"/>
      <c r="NAC202" s="21"/>
      <c r="NAD202" s="21"/>
      <c r="NAE202" s="21"/>
      <c r="NAF202" s="21"/>
      <c r="NAG202" s="21"/>
      <c r="NAH202" s="21"/>
      <c r="NAI202" s="21"/>
      <c r="NAJ202" s="21"/>
      <c r="NAK202" s="21"/>
      <c r="NAL202" s="21"/>
      <c r="NAM202" s="21"/>
      <c r="NAN202" s="21"/>
      <c r="NAO202" s="21"/>
      <c r="NAP202" s="21"/>
      <c r="NAQ202" s="21"/>
      <c r="NAR202" s="21"/>
      <c r="NAS202" s="21"/>
      <c r="NAT202" s="21"/>
      <c r="NAU202" s="21"/>
      <c r="NAV202" s="21"/>
      <c r="NAW202" s="21"/>
      <c r="NAX202" s="21"/>
      <c r="NAY202" s="21"/>
      <c r="NAZ202" s="21"/>
      <c r="NBA202" s="21"/>
      <c r="NBB202" s="21"/>
      <c r="NBC202" s="21"/>
      <c r="NBD202" s="21"/>
      <c r="NBE202" s="21"/>
      <c r="NBF202" s="21"/>
      <c r="NBG202" s="21"/>
      <c r="NBH202" s="21"/>
      <c r="NBI202" s="21"/>
      <c r="NBJ202" s="21"/>
      <c r="NBK202" s="21"/>
      <c r="NBL202" s="21"/>
      <c r="NBM202" s="21"/>
      <c r="NBN202" s="21"/>
      <c r="NBO202" s="21"/>
      <c r="NBP202" s="21"/>
      <c r="NBQ202" s="21"/>
      <c r="NBR202" s="21"/>
      <c r="NBS202" s="21"/>
      <c r="NBT202" s="21"/>
      <c r="NBU202" s="21"/>
      <c r="NBV202" s="21"/>
      <c r="NBW202" s="21"/>
      <c r="NBX202" s="21"/>
      <c r="NBY202" s="21"/>
      <c r="NBZ202" s="21"/>
      <c r="NCA202" s="21"/>
      <c r="NCB202" s="21"/>
      <c r="NCC202" s="21"/>
      <c r="NCD202" s="21"/>
      <c r="NCE202" s="21"/>
      <c r="NCF202" s="21"/>
      <c r="NCG202" s="21"/>
      <c r="NCH202" s="21"/>
      <c r="NCI202" s="21"/>
      <c r="NCJ202" s="21"/>
      <c r="NCK202" s="21"/>
      <c r="NCL202" s="21"/>
      <c r="NCM202" s="21"/>
      <c r="NCN202" s="21"/>
      <c r="NCO202" s="21"/>
      <c r="NCP202" s="21"/>
      <c r="NCQ202" s="21"/>
      <c r="NCR202" s="21"/>
      <c r="NCS202" s="21"/>
      <c r="NCT202" s="21"/>
      <c r="NCU202" s="21"/>
      <c r="NCV202" s="21"/>
      <c r="NCW202" s="21"/>
      <c r="NCX202" s="21"/>
      <c r="NCY202" s="21"/>
      <c r="NCZ202" s="21"/>
      <c r="NDA202" s="21"/>
      <c r="NDB202" s="21"/>
      <c r="NDC202" s="21"/>
      <c r="NDD202" s="21"/>
      <c r="NDE202" s="21"/>
      <c r="NDF202" s="21"/>
      <c r="NDG202" s="21"/>
      <c r="NDH202" s="21"/>
      <c r="NDI202" s="21"/>
      <c r="NDJ202" s="21"/>
      <c r="NDK202" s="21"/>
      <c r="NDL202" s="21"/>
      <c r="NDM202" s="21"/>
      <c r="NDN202" s="21"/>
      <c r="NDO202" s="21"/>
      <c r="NDP202" s="21"/>
      <c r="NDQ202" s="21"/>
      <c r="NDR202" s="21"/>
      <c r="NDS202" s="21"/>
      <c r="NDT202" s="21"/>
      <c r="NDU202" s="21"/>
      <c r="NDV202" s="21"/>
      <c r="NDW202" s="21"/>
      <c r="NDX202" s="21"/>
      <c r="NDY202" s="21"/>
      <c r="NDZ202" s="21"/>
      <c r="NEA202" s="21"/>
      <c r="NEB202" s="21"/>
      <c r="NEC202" s="21"/>
      <c r="NED202" s="21"/>
      <c r="NEE202" s="21"/>
      <c r="NEF202" s="21"/>
      <c r="NEG202" s="21"/>
      <c r="NEH202" s="21"/>
      <c r="NEI202" s="21"/>
      <c r="NEJ202" s="21"/>
      <c r="NEK202" s="21"/>
      <c r="NEL202" s="21"/>
      <c r="NEM202" s="21"/>
      <c r="NEN202" s="21"/>
      <c r="NEO202" s="21"/>
      <c r="NEP202" s="21"/>
      <c r="NEQ202" s="21"/>
      <c r="NER202" s="21"/>
      <c r="NES202" s="21"/>
      <c r="NET202" s="21"/>
      <c r="NEU202" s="21"/>
      <c r="NEV202" s="21"/>
      <c r="NEW202" s="21"/>
      <c r="NEX202" s="21"/>
      <c r="NEY202" s="21"/>
      <c r="NEZ202" s="21"/>
      <c r="NFA202" s="21"/>
      <c r="NFB202" s="21"/>
      <c r="NFC202" s="21"/>
      <c r="NFD202" s="21"/>
      <c r="NFE202" s="21"/>
      <c r="NFF202" s="21"/>
      <c r="NFG202" s="21"/>
      <c r="NFH202" s="21"/>
      <c r="NFI202" s="21"/>
      <c r="NFJ202" s="21"/>
      <c r="NFK202" s="21"/>
      <c r="NFL202" s="21"/>
      <c r="NFM202" s="21"/>
      <c r="NFN202" s="21"/>
      <c r="NFO202" s="21"/>
      <c r="NFP202" s="21"/>
      <c r="NFQ202" s="21"/>
      <c r="NFR202" s="21"/>
      <c r="NFS202" s="21"/>
      <c r="NFT202" s="21"/>
      <c r="NFU202" s="21"/>
      <c r="NFV202" s="21"/>
      <c r="NFW202" s="21"/>
      <c r="NFX202" s="21"/>
      <c r="NFY202" s="21"/>
      <c r="NFZ202" s="21"/>
      <c r="NGA202" s="21"/>
      <c r="NGB202" s="21"/>
      <c r="NGC202" s="21"/>
      <c r="NGD202" s="21"/>
      <c r="NGE202" s="21"/>
      <c r="NGF202" s="21"/>
      <c r="NGG202" s="21"/>
      <c r="NGH202" s="21"/>
      <c r="NGI202" s="21"/>
      <c r="NGJ202" s="21"/>
      <c r="NGK202" s="21"/>
      <c r="NGL202" s="21"/>
      <c r="NGM202" s="21"/>
      <c r="NGN202" s="21"/>
      <c r="NGO202" s="21"/>
      <c r="NGP202" s="21"/>
      <c r="NGQ202" s="21"/>
      <c r="NGR202" s="21"/>
      <c r="NGS202" s="21"/>
      <c r="NGT202" s="21"/>
      <c r="NGU202" s="21"/>
      <c r="NGV202" s="21"/>
      <c r="NGW202" s="21"/>
      <c r="NGX202" s="21"/>
      <c r="NGY202" s="21"/>
      <c r="NGZ202" s="21"/>
      <c r="NHA202" s="21"/>
      <c r="NHB202" s="21"/>
      <c r="NHC202" s="21"/>
      <c r="NHD202" s="21"/>
      <c r="NHE202" s="21"/>
      <c r="NHF202" s="21"/>
      <c r="NHG202" s="21"/>
      <c r="NHH202" s="21"/>
      <c r="NHI202" s="21"/>
      <c r="NHJ202" s="21"/>
      <c r="NHK202" s="21"/>
      <c r="NHL202" s="21"/>
      <c r="NHM202" s="21"/>
      <c r="NHN202" s="21"/>
      <c r="NHO202" s="21"/>
      <c r="NHP202" s="21"/>
      <c r="NHQ202" s="21"/>
      <c r="NHR202" s="21"/>
      <c r="NHS202" s="21"/>
      <c r="NHT202" s="21"/>
      <c r="NHU202" s="21"/>
      <c r="NHV202" s="21"/>
      <c r="NHW202" s="21"/>
      <c r="NHX202" s="21"/>
      <c r="NHY202" s="21"/>
      <c r="NHZ202" s="21"/>
      <c r="NIA202" s="21"/>
      <c r="NIB202" s="21"/>
      <c r="NIC202" s="21"/>
      <c r="NID202" s="21"/>
      <c r="NIE202" s="21"/>
      <c r="NIF202" s="21"/>
      <c r="NIG202" s="21"/>
      <c r="NIH202" s="21"/>
      <c r="NII202" s="21"/>
      <c r="NIJ202" s="21"/>
      <c r="NIK202" s="21"/>
      <c r="NIL202" s="21"/>
      <c r="NIM202" s="21"/>
      <c r="NIN202" s="21"/>
      <c r="NIO202" s="21"/>
      <c r="NIP202" s="21"/>
      <c r="NIQ202" s="21"/>
      <c r="NIR202" s="21"/>
      <c r="NIS202" s="21"/>
      <c r="NIT202" s="21"/>
      <c r="NIU202" s="21"/>
      <c r="NIV202" s="21"/>
      <c r="NIW202" s="21"/>
      <c r="NIX202" s="21"/>
      <c r="NIY202" s="21"/>
      <c r="NIZ202" s="21"/>
      <c r="NJA202" s="21"/>
      <c r="NJB202" s="21"/>
      <c r="NJC202" s="21"/>
      <c r="NJD202" s="21"/>
      <c r="NJE202" s="21"/>
      <c r="NJF202" s="21"/>
      <c r="NJG202" s="21"/>
      <c r="NJH202" s="21"/>
      <c r="NJI202" s="21"/>
      <c r="NJJ202" s="21"/>
      <c r="NJK202" s="21"/>
      <c r="NJL202" s="21"/>
      <c r="NJM202" s="21"/>
      <c r="NJN202" s="21"/>
      <c r="NJO202" s="21"/>
      <c r="NJP202" s="21"/>
      <c r="NJQ202" s="21"/>
      <c r="NJR202" s="21"/>
      <c r="NJS202" s="21"/>
      <c r="NJT202" s="21"/>
      <c r="NJU202" s="21"/>
      <c r="NJV202" s="21"/>
      <c r="NJW202" s="21"/>
      <c r="NJX202" s="21"/>
      <c r="NJY202" s="21"/>
      <c r="NJZ202" s="21"/>
      <c r="NKA202" s="21"/>
      <c r="NKB202" s="21"/>
      <c r="NKC202" s="21"/>
      <c r="NKD202" s="21"/>
      <c r="NKE202" s="21"/>
      <c r="NKF202" s="21"/>
      <c r="NKG202" s="21"/>
      <c r="NKH202" s="21"/>
      <c r="NKI202" s="21"/>
      <c r="NKJ202" s="21"/>
      <c r="NKK202" s="21"/>
      <c r="NKL202" s="21"/>
      <c r="NKM202" s="21"/>
      <c r="NKN202" s="21"/>
      <c r="NKO202" s="21"/>
      <c r="NKP202" s="21"/>
      <c r="NKQ202" s="21"/>
      <c r="NKR202" s="21"/>
      <c r="NKS202" s="21"/>
      <c r="NKT202" s="21"/>
      <c r="NKU202" s="21"/>
      <c r="NKV202" s="21"/>
      <c r="NKW202" s="21"/>
      <c r="NKX202" s="21"/>
      <c r="NKY202" s="21"/>
      <c r="NKZ202" s="21"/>
      <c r="NLA202" s="21"/>
      <c r="NLB202" s="21"/>
      <c r="NLC202" s="21"/>
      <c r="NLD202" s="21"/>
      <c r="NLE202" s="21"/>
      <c r="NLF202" s="21"/>
      <c r="NLG202" s="21"/>
      <c r="NLH202" s="21"/>
      <c r="NLI202" s="21"/>
      <c r="NLJ202" s="21"/>
      <c r="NLK202" s="21"/>
      <c r="NLL202" s="21"/>
      <c r="NLM202" s="21"/>
      <c r="NLN202" s="21"/>
      <c r="NLO202" s="21"/>
      <c r="NLP202" s="21"/>
      <c r="NLQ202" s="21"/>
      <c r="NLR202" s="21"/>
      <c r="NLS202" s="21"/>
      <c r="NLT202" s="21"/>
      <c r="NLU202" s="21"/>
      <c r="NLV202" s="21"/>
      <c r="NLW202" s="21"/>
      <c r="NLX202" s="21"/>
      <c r="NLY202" s="21"/>
      <c r="NLZ202" s="21"/>
      <c r="NMA202" s="21"/>
      <c r="NMB202" s="21"/>
      <c r="NMC202" s="21"/>
      <c r="NMD202" s="21"/>
      <c r="NME202" s="21"/>
      <c r="NMF202" s="21"/>
      <c r="NMG202" s="21"/>
      <c r="NMH202" s="21"/>
      <c r="NMI202" s="21"/>
      <c r="NMJ202" s="21"/>
      <c r="NMK202" s="21"/>
      <c r="NML202" s="21"/>
      <c r="NMM202" s="21"/>
      <c r="NMN202" s="21"/>
      <c r="NMO202" s="21"/>
      <c r="NMP202" s="21"/>
      <c r="NMQ202" s="21"/>
      <c r="NMR202" s="21"/>
      <c r="NMS202" s="21"/>
      <c r="NMT202" s="21"/>
      <c r="NMU202" s="21"/>
      <c r="NMV202" s="21"/>
      <c r="NMW202" s="21"/>
      <c r="NMX202" s="21"/>
      <c r="NMY202" s="21"/>
      <c r="NMZ202" s="21"/>
      <c r="NNA202" s="21"/>
      <c r="NNB202" s="21"/>
      <c r="NNC202" s="21"/>
      <c r="NND202" s="21"/>
      <c r="NNE202" s="21"/>
      <c r="NNF202" s="21"/>
      <c r="NNG202" s="21"/>
      <c r="NNH202" s="21"/>
      <c r="NNI202" s="21"/>
      <c r="NNJ202" s="21"/>
      <c r="NNK202" s="21"/>
      <c r="NNL202" s="21"/>
      <c r="NNM202" s="21"/>
      <c r="NNN202" s="21"/>
      <c r="NNO202" s="21"/>
      <c r="NNP202" s="21"/>
      <c r="NNQ202" s="21"/>
      <c r="NNR202" s="21"/>
      <c r="NNS202" s="21"/>
      <c r="NNT202" s="21"/>
      <c r="NNU202" s="21"/>
      <c r="NNV202" s="21"/>
      <c r="NNW202" s="21"/>
      <c r="NNX202" s="21"/>
      <c r="NNY202" s="21"/>
      <c r="NNZ202" s="21"/>
      <c r="NOA202" s="21"/>
      <c r="NOB202" s="21"/>
      <c r="NOC202" s="21"/>
      <c r="NOD202" s="21"/>
      <c r="NOE202" s="21"/>
      <c r="NOF202" s="21"/>
      <c r="NOG202" s="21"/>
      <c r="NOH202" s="21"/>
      <c r="NOI202" s="21"/>
      <c r="NOJ202" s="21"/>
      <c r="NOK202" s="21"/>
      <c r="NOL202" s="21"/>
      <c r="NOM202" s="21"/>
      <c r="NON202" s="21"/>
      <c r="NOO202" s="21"/>
      <c r="NOP202" s="21"/>
      <c r="NOQ202" s="21"/>
      <c r="NOR202" s="21"/>
      <c r="NOS202" s="21"/>
      <c r="NOT202" s="21"/>
      <c r="NOU202" s="21"/>
      <c r="NOV202" s="21"/>
      <c r="NOW202" s="21"/>
      <c r="NOX202" s="21"/>
      <c r="NOY202" s="21"/>
      <c r="NOZ202" s="21"/>
      <c r="NPA202" s="21"/>
      <c r="NPB202" s="21"/>
      <c r="NPC202" s="21"/>
      <c r="NPD202" s="21"/>
      <c r="NPE202" s="21"/>
      <c r="NPF202" s="21"/>
      <c r="NPG202" s="21"/>
      <c r="NPH202" s="21"/>
      <c r="NPI202" s="21"/>
      <c r="NPJ202" s="21"/>
      <c r="NPK202" s="21"/>
      <c r="NPL202" s="21"/>
      <c r="NPM202" s="21"/>
      <c r="NPN202" s="21"/>
      <c r="NPO202" s="21"/>
      <c r="NPP202" s="21"/>
      <c r="NPQ202" s="21"/>
      <c r="NPR202" s="21"/>
      <c r="NPS202" s="21"/>
      <c r="NPT202" s="21"/>
      <c r="NPU202" s="21"/>
      <c r="NPV202" s="21"/>
      <c r="NPW202" s="21"/>
      <c r="NPX202" s="21"/>
      <c r="NPY202" s="21"/>
      <c r="NPZ202" s="21"/>
      <c r="NQA202" s="21"/>
      <c r="NQB202" s="21"/>
      <c r="NQC202" s="21"/>
      <c r="NQD202" s="21"/>
      <c r="NQE202" s="21"/>
      <c r="NQF202" s="21"/>
      <c r="NQG202" s="21"/>
      <c r="NQH202" s="21"/>
      <c r="NQI202" s="21"/>
      <c r="NQJ202" s="21"/>
      <c r="NQK202" s="21"/>
      <c r="NQL202" s="21"/>
      <c r="NQM202" s="21"/>
      <c r="NQN202" s="21"/>
      <c r="NQO202" s="21"/>
      <c r="NQP202" s="21"/>
      <c r="NQQ202" s="21"/>
      <c r="NQR202" s="21"/>
      <c r="NQS202" s="21"/>
      <c r="NQT202" s="21"/>
      <c r="NQU202" s="21"/>
      <c r="NQV202" s="21"/>
      <c r="NQW202" s="21"/>
      <c r="NQX202" s="21"/>
      <c r="NQY202" s="21"/>
      <c r="NQZ202" s="21"/>
      <c r="NRA202" s="21"/>
      <c r="NRB202" s="21"/>
      <c r="NRC202" s="21"/>
      <c r="NRD202" s="21"/>
      <c r="NRE202" s="21"/>
      <c r="NRF202" s="21"/>
      <c r="NRG202" s="21"/>
      <c r="NRH202" s="21"/>
      <c r="NRI202" s="21"/>
      <c r="NRJ202" s="21"/>
      <c r="NRK202" s="21"/>
      <c r="NRL202" s="21"/>
      <c r="NRM202" s="21"/>
      <c r="NRN202" s="21"/>
      <c r="NRO202" s="21"/>
      <c r="NRP202" s="21"/>
      <c r="NRQ202" s="21"/>
      <c r="NRR202" s="21"/>
      <c r="NRS202" s="21"/>
      <c r="NRT202" s="21"/>
      <c r="NRU202" s="21"/>
      <c r="NRV202" s="21"/>
      <c r="NRW202" s="21"/>
      <c r="NRX202" s="21"/>
      <c r="NRY202" s="21"/>
      <c r="NRZ202" s="21"/>
      <c r="NSA202" s="21"/>
      <c r="NSB202" s="21"/>
      <c r="NSC202" s="21"/>
      <c r="NSD202" s="21"/>
      <c r="NSE202" s="21"/>
      <c r="NSF202" s="21"/>
      <c r="NSG202" s="21"/>
      <c r="NSH202" s="21"/>
      <c r="NSI202" s="21"/>
      <c r="NSJ202" s="21"/>
      <c r="NSK202" s="21"/>
      <c r="NSL202" s="21"/>
      <c r="NSM202" s="21"/>
      <c r="NSN202" s="21"/>
      <c r="NSO202" s="21"/>
      <c r="NSP202" s="21"/>
      <c r="NSQ202" s="21"/>
      <c r="NSR202" s="21"/>
      <c r="NSS202" s="21"/>
      <c r="NST202" s="21"/>
      <c r="NSU202" s="21"/>
      <c r="NSV202" s="21"/>
      <c r="NSW202" s="21"/>
      <c r="NSX202" s="21"/>
      <c r="NSY202" s="21"/>
      <c r="NSZ202" s="21"/>
      <c r="NTA202" s="21"/>
      <c r="NTB202" s="21"/>
      <c r="NTC202" s="21"/>
      <c r="NTD202" s="21"/>
      <c r="NTE202" s="21"/>
      <c r="NTF202" s="21"/>
      <c r="NTG202" s="21"/>
      <c r="NTH202" s="21"/>
      <c r="NTI202" s="21"/>
      <c r="NTJ202" s="21"/>
      <c r="NTK202" s="21"/>
      <c r="NTL202" s="21"/>
      <c r="NTM202" s="21"/>
      <c r="NTN202" s="21"/>
      <c r="NTO202" s="21"/>
      <c r="NTP202" s="21"/>
      <c r="NTQ202" s="21"/>
      <c r="NTR202" s="21"/>
      <c r="NTS202" s="21"/>
      <c r="NTT202" s="21"/>
      <c r="NTU202" s="21"/>
      <c r="NTV202" s="21"/>
      <c r="NTW202" s="21"/>
      <c r="NTX202" s="21"/>
      <c r="NTY202" s="21"/>
      <c r="NTZ202" s="21"/>
      <c r="NUA202" s="21"/>
      <c r="NUB202" s="21"/>
      <c r="NUC202" s="21"/>
      <c r="NUD202" s="21"/>
      <c r="NUE202" s="21"/>
      <c r="NUF202" s="21"/>
      <c r="NUG202" s="21"/>
      <c r="NUH202" s="21"/>
      <c r="NUI202" s="21"/>
      <c r="NUJ202" s="21"/>
      <c r="NUK202" s="21"/>
      <c r="NUL202" s="21"/>
      <c r="NUM202" s="21"/>
      <c r="NUN202" s="21"/>
      <c r="NUO202" s="21"/>
      <c r="NUP202" s="21"/>
      <c r="NUQ202" s="21"/>
      <c r="NUR202" s="21"/>
      <c r="NUS202" s="21"/>
      <c r="NUT202" s="21"/>
      <c r="NUU202" s="21"/>
      <c r="NUV202" s="21"/>
      <c r="NUW202" s="21"/>
      <c r="NUX202" s="21"/>
      <c r="NUY202" s="21"/>
      <c r="NUZ202" s="21"/>
      <c r="NVA202" s="21"/>
      <c r="NVB202" s="21"/>
      <c r="NVC202" s="21"/>
      <c r="NVD202" s="21"/>
      <c r="NVE202" s="21"/>
      <c r="NVF202" s="21"/>
      <c r="NVG202" s="21"/>
      <c r="NVH202" s="21"/>
      <c r="NVI202" s="21"/>
      <c r="NVJ202" s="21"/>
      <c r="NVK202" s="21"/>
      <c r="NVL202" s="21"/>
      <c r="NVM202" s="21"/>
      <c r="NVN202" s="21"/>
      <c r="NVO202" s="21"/>
      <c r="NVP202" s="21"/>
      <c r="NVQ202" s="21"/>
      <c r="NVR202" s="21"/>
      <c r="NVS202" s="21"/>
      <c r="NVT202" s="21"/>
      <c r="NVU202" s="21"/>
      <c r="NVV202" s="21"/>
      <c r="NVW202" s="21"/>
      <c r="NVX202" s="21"/>
      <c r="NVY202" s="21"/>
      <c r="NVZ202" s="21"/>
      <c r="NWA202" s="21"/>
      <c r="NWB202" s="21"/>
      <c r="NWC202" s="21"/>
      <c r="NWD202" s="21"/>
      <c r="NWE202" s="21"/>
      <c r="NWF202" s="21"/>
      <c r="NWG202" s="21"/>
      <c r="NWH202" s="21"/>
      <c r="NWI202" s="21"/>
      <c r="NWJ202" s="21"/>
      <c r="NWK202" s="21"/>
      <c r="NWL202" s="21"/>
      <c r="NWM202" s="21"/>
      <c r="NWN202" s="21"/>
      <c r="NWO202" s="21"/>
      <c r="NWP202" s="21"/>
      <c r="NWQ202" s="21"/>
      <c r="NWR202" s="21"/>
      <c r="NWS202" s="21"/>
      <c r="NWT202" s="21"/>
      <c r="NWU202" s="21"/>
      <c r="NWV202" s="21"/>
      <c r="NWW202" s="21"/>
      <c r="NWX202" s="21"/>
      <c r="NWY202" s="21"/>
      <c r="NWZ202" s="21"/>
      <c r="NXA202" s="21"/>
      <c r="NXB202" s="21"/>
      <c r="NXC202" s="21"/>
      <c r="NXD202" s="21"/>
      <c r="NXE202" s="21"/>
      <c r="NXF202" s="21"/>
      <c r="NXG202" s="21"/>
      <c r="NXH202" s="21"/>
      <c r="NXI202" s="21"/>
      <c r="NXJ202" s="21"/>
      <c r="NXK202" s="21"/>
      <c r="NXL202" s="21"/>
      <c r="NXM202" s="21"/>
      <c r="NXN202" s="21"/>
      <c r="NXO202" s="21"/>
      <c r="NXP202" s="21"/>
      <c r="NXQ202" s="21"/>
      <c r="NXR202" s="21"/>
      <c r="NXS202" s="21"/>
      <c r="NXT202" s="21"/>
      <c r="NXU202" s="21"/>
      <c r="NXV202" s="21"/>
      <c r="NXW202" s="21"/>
      <c r="NXX202" s="21"/>
      <c r="NXY202" s="21"/>
      <c r="NXZ202" s="21"/>
      <c r="NYA202" s="21"/>
      <c r="NYB202" s="21"/>
      <c r="NYC202" s="21"/>
      <c r="NYD202" s="21"/>
      <c r="NYE202" s="21"/>
      <c r="NYF202" s="21"/>
      <c r="NYG202" s="21"/>
      <c r="NYH202" s="21"/>
      <c r="NYI202" s="21"/>
      <c r="NYJ202" s="21"/>
      <c r="NYK202" s="21"/>
      <c r="NYL202" s="21"/>
      <c r="NYM202" s="21"/>
      <c r="NYN202" s="21"/>
      <c r="NYO202" s="21"/>
      <c r="NYP202" s="21"/>
      <c r="NYQ202" s="21"/>
      <c r="NYR202" s="21"/>
      <c r="NYS202" s="21"/>
      <c r="NYT202" s="21"/>
      <c r="NYU202" s="21"/>
      <c r="NYV202" s="21"/>
      <c r="NYW202" s="21"/>
      <c r="NYX202" s="21"/>
      <c r="NYY202" s="21"/>
      <c r="NYZ202" s="21"/>
      <c r="NZA202" s="21"/>
      <c r="NZB202" s="21"/>
      <c r="NZC202" s="21"/>
      <c r="NZD202" s="21"/>
      <c r="NZE202" s="21"/>
      <c r="NZF202" s="21"/>
      <c r="NZG202" s="21"/>
      <c r="NZH202" s="21"/>
      <c r="NZI202" s="21"/>
      <c r="NZJ202" s="21"/>
      <c r="NZK202" s="21"/>
      <c r="NZL202" s="21"/>
      <c r="NZM202" s="21"/>
      <c r="NZN202" s="21"/>
      <c r="NZO202" s="21"/>
      <c r="NZP202" s="21"/>
      <c r="NZQ202" s="21"/>
      <c r="NZR202" s="21"/>
      <c r="NZS202" s="21"/>
      <c r="NZT202" s="21"/>
      <c r="NZU202" s="21"/>
      <c r="NZV202" s="21"/>
      <c r="NZW202" s="21"/>
      <c r="NZX202" s="21"/>
      <c r="NZY202" s="21"/>
      <c r="NZZ202" s="21"/>
      <c r="OAA202" s="21"/>
      <c r="OAB202" s="21"/>
      <c r="OAC202" s="21"/>
      <c r="OAD202" s="21"/>
      <c r="OAE202" s="21"/>
      <c r="OAF202" s="21"/>
      <c r="OAG202" s="21"/>
      <c r="OAH202" s="21"/>
      <c r="OAI202" s="21"/>
      <c r="OAJ202" s="21"/>
      <c r="OAK202" s="21"/>
      <c r="OAL202" s="21"/>
      <c r="OAM202" s="21"/>
      <c r="OAN202" s="21"/>
      <c r="OAO202" s="21"/>
      <c r="OAP202" s="21"/>
      <c r="OAQ202" s="21"/>
      <c r="OAR202" s="21"/>
      <c r="OAS202" s="21"/>
      <c r="OAT202" s="21"/>
      <c r="OAU202" s="21"/>
      <c r="OAV202" s="21"/>
      <c r="OAW202" s="21"/>
      <c r="OAX202" s="21"/>
      <c r="OAY202" s="21"/>
      <c r="OAZ202" s="21"/>
      <c r="OBA202" s="21"/>
      <c r="OBB202" s="21"/>
      <c r="OBC202" s="21"/>
      <c r="OBD202" s="21"/>
      <c r="OBE202" s="21"/>
      <c r="OBF202" s="21"/>
      <c r="OBG202" s="21"/>
      <c r="OBH202" s="21"/>
      <c r="OBI202" s="21"/>
      <c r="OBJ202" s="21"/>
      <c r="OBK202" s="21"/>
      <c r="OBL202" s="21"/>
      <c r="OBM202" s="21"/>
      <c r="OBN202" s="21"/>
      <c r="OBO202" s="21"/>
      <c r="OBP202" s="21"/>
      <c r="OBQ202" s="21"/>
      <c r="OBR202" s="21"/>
      <c r="OBS202" s="21"/>
      <c r="OBT202" s="21"/>
      <c r="OBU202" s="21"/>
      <c r="OBV202" s="21"/>
      <c r="OBW202" s="21"/>
      <c r="OBX202" s="21"/>
      <c r="OBY202" s="21"/>
      <c r="OBZ202" s="21"/>
      <c r="OCA202" s="21"/>
      <c r="OCB202" s="21"/>
      <c r="OCC202" s="21"/>
      <c r="OCD202" s="21"/>
      <c r="OCE202" s="21"/>
      <c r="OCF202" s="21"/>
      <c r="OCG202" s="21"/>
      <c r="OCH202" s="21"/>
      <c r="OCI202" s="21"/>
      <c r="OCJ202" s="21"/>
      <c r="OCK202" s="21"/>
      <c r="OCL202" s="21"/>
      <c r="OCM202" s="21"/>
      <c r="OCN202" s="21"/>
      <c r="OCO202" s="21"/>
      <c r="OCP202" s="21"/>
      <c r="OCQ202" s="21"/>
      <c r="OCR202" s="21"/>
      <c r="OCS202" s="21"/>
      <c r="OCT202" s="21"/>
      <c r="OCU202" s="21"/>
      <c r="OCV202" s="21"/>
      <c r="OCW202" s="21"/>
      <c r="OCX202" s="21"/>
      <c r="OCY202" s="21"/>
      <c r="OCZ202" s="21"/>
      <c r="ODA202" s="21"/>
      <c r="ODB202" s="21"/>
      <c r="ODC202" s="21"/>
      <c r="ODD202" s="21"/>
      <c r="ODE202" s="21"/>
      <c r="ODF202" s="21"/>
      <c r="ODG202" s="21"/>
      <c r="ODH202" s="21"/>
      <c r="ODI202" s="21"/>
      <c r="ODJ202" s="21"/>
      <c r="ODK202" s="21"/>
      <c r="ODL202" s="21"/>
      <c r="ODM202" s="21"/>
      <c r="ODN202" s="21"/>
      <c r="ODO202" s="21"/>
      <c r="ODP202" s="21"/>
      <c r="ODQ202" s="21"/>
      <c r="ODR202" s="21"/>
      <c r="ODS202" s="21"/>
      <c r="ODT202" s="21"/>
      <c r="ODU202" s="21"/>
      <c r="ODV202" s="21"/>
      <c r="ODW202" s="21"/>
      <c r="ODX202" s="21"/>
      <c r="ODY202" s="21"/>
      <c r="ODZ202" s="21"/>
      <c r="OEA202" s="21"/>
      <c r="OEB202" s="21"/>
      <c r="OEC202" s="21"/>
      <c r="OED202" s="21"/>
      <c r="OEE202" s="21"/>
      <c r="OEF202" s="21"/>
      <c r="OEG202" s="21"/>
      <c r="OEH202" s="21"/>
      <c r="OEI202" s="21"/>
      <c r="OEJ202" s="21"/>
      <c r="OEK202" s="21"/>
      <c r="OEL202" s="21"/>
      <c r="OEM202" s="21"/>
      <c r="OEN202" s="21"/>
      <c r="OEO202" s="21"/>
      <c r="OEP202" s="21"/>
      <c r="OEQ202" s="21"/>
      <c r="OER202" s="21"/>
      <c r="OES202" s="21"/>
      <c r="OET202" s="21"/>
      <c r="OEU202" s="21"/>
      <c r="OEV202" s="21"/>
      <c r="OEW202" s="21"/>
      <c r="OEX202" s="21"/>
      <c r="OEY202" s="21"/>
      <c r="OEZ202" s="21"/>
      <c r="OFA202" s="21"/>
      <c r="OFB202" s="21"/>
      <c r="OFC202" s="21"/>
      <c r="OFD202" s="21"/>
      <c r="OFE202" s="21"/>
      <c r="OFF202" s="21"/>
      <c r="OFG202" s="21"/>
      <c r="OFH202" s="21"/>
      <c r="OFI202" s="21"/>
      <c r="OFJ202" s="21"/>
      <c r="OFK202" s="21"/>
      <c r="OFL202" s="21"/>
      <c r="OFM202" s="21"/>
      <c r="OFN202" s="21"/>
      <c r="OFO202" s="21"/>
      <c r="OFP202" s="21"/>
      <c r="OFQ202" s="21"/>
      <c r="OFR202" s="21"/>
      <c r="OFS202" s="21"/>
      <c r="OFT202" s="21"/>
      <c r="OFU202" s="21"/>
      <c r="OFV202" s="21"/>
      <c r="OFW202" s="21"/>
      <c r="OFX202" s="21"/>
      <c r="OFY202" s="21"/>
      <c r="OFZ202" s="21"/>
      <c r="OGA202" s="21"/>
      <c r="OGB202" s="21"/>
      <c r="OGC202" s="21"/>
      <c r="OGD202" s="21"/>
      <c r="OGE202" s="21"/>
      <c r="OGF202" s="21"/>
      <c r="OGG202" s="21"/>
      <c r="OGH202" s="21"/>
      <c r="OGI202" s="21"/>
      <c r="OGJ202" s="21"/>
      <c r="OGK202" s="21"/>
      <c r="OGL202" s="21"/>
      <c r="OGM202" s="21"/>
      <c r="OGN202" s="21"/>
      <c r="OGO202" s="21"/>
      <c r="OGP202" s="21"/>
      <c r="OGQ202" s="21"/>
      <c r="OGR202" s="21"/>
      <c r="OGS202" s="21"/>
      <c r="OGT202" s="21"/>
      <c r="OGU202" s="21"/>
      <c r="OGV202" s="21"/>
      <c r="OGW202" s="21"/>
      <c r="OGX202" s="21"/>
      <c r="OGY202" s="21"/>
      <c r="OGZ202" s="21"/>
      <c r="OHA202" s="21"/>
      <c r="OHB202" s="21"/>
      <c r="OHC202" s="21"/>
      <c r="OHD202" s="21"/>
      <c r="OHE202" s="21"/>
      <c r="OHF202" s="21"/>
      <c r="OHG202" s="21"/>
      <c r="OHH202" s="21"/>
      <c r="OHI202" s="21"/>
      <c r="OHJ202" s="21"/>
      <c r="OHK202" s="21"/>
      <c r="OHL202" s="21"/>
      <c r="OHM202" s="21"/>
      <c r="OHN202" s="21"/>
      <c r="OHO202" s="21"/>
      <c r="OHP202" s="21"/>
      <c r="OHQ202" s="21"/>
      <c r="OHR202" s="21"/>
      <c r="OHS202" s="21"/>
      <c r="OHT202" s="21"/>
      <c r="OHU202" s="21"/>
      <c r="OHV202" s="21"/>
      <c r="OHW202" s="21"/>
      <c r="OHX202" s="21"/>
      <c r="OHY202" s="21"/>
      <c r="OHZ202" s="21"/>
      <c r="OIA202" s="21"/>
      <c r="OIB202" s="21"/>
      <c r="OIC202" s="21"/>
      <c r="OID202" s="21"/>
      <c r="OIE202" s="21"/>
      <c r="OIF202" s="21"/>
      <c r="OIG202" s="21"/>
      <c r="OIH202" s="21"/>
      <c r="OII202" s="21"/>
      <c r="OIJ202" s="21"/>
      <c r="OIK202" s="21"/>
      <c r="OIL202" s="21"/>
      <c r="OIM202" s="21"/>
      <c r="OIN202" s="21"/>
      <c r="OIO202" s="21"/>
      <c r="OIP202" s="21"/>
      <c r="OIQ202" s="21"/>
      <c r="OIR202" s="21"/>
      <c r="OIS202" s="21"/>
      <c r="OIT202" s="21"/>
      <c r="OIU202" s="21"/>
      <c r="OIV202" s="21"/>
      <c r="OIW202" s="21"/>
      <c r="OIX202" s="21"/>
      <c r="OIY202" s="21"/>
      <c r="OIZ202" s="21"/>
      <c r="OJA202" s="21"/>
      <c r="OJB202" s="21"/>
      <c r="OJC202" s="21"/>
      <c r="OJD202" s="21"/>
      <c r="OJE202" s="21"/>
      <c r="OJF202" s="21"/>
      <c r="OJG202" s="21"/>
      <c r="OJH202" s="21"/>
      <c r="OJI202" s="21"/>
      <c r="OJJ202" s="21"/>
      <c r="OJK202" s="21"/>
      <c r="OJL202" s="21"/>
      <c r="OJM202" s="21"/>
      <c r="OJN202" s="21"/>
      <c r="OJO202" s="21"/>
      <c r="OJP202" s="21"/>
      <c r="OJQ202" s="21"/>
      <c r="OJR202" s="21"/>
      <c r="OJS202" s="21"/>
      <c r="OJT202" s="21"/>
      <c r="OJU202" s="21"/>
      <c r="OJV202" s="21"/>
      <c r="OJW202" s="21"/>
      <c r="OJX202" s="21"/>
      <c r="OJY202" s="21"/>
      <c r="OJZ202" s="21"/>
      <c r="OKA202" s="21"/>
      <c r="OKB202" s="21"/>
      <c r="OKC202" s="21"/>
      <c r="OKD202" s="21"/>
      <c r="OKE202" s="21"/>
      <c r="OKF202" s="21"/>
      <c r="OKG202" s="21"/>
      <c r="OKH202" s="21"/>
      <c r="OKI202" s="21"/>
      <c r="OKJ202" s="21"/>
      <c r="OKK202" s="21"/>
      <c r="OKL202" s="21"/>
      <c r="OKM202" s="21"/>
      <c r="OKN202" s="21"/>
      <c r="OKO202" s="21"/>
      <c r="OKP202" s="21"/>
      <c r="OKQ202" s="21"/>
      <c r="OKR202" s="21"/>
      <c r="OKS202" s="21"/>
      <c r="OKT202" s="21"/>
      <c r="OKU202" s="21"/>
      <c r="OKV202" s="21"/>
      <c r="OKW202" s="21"/>
      <c r="OKX202" s="21"/>
      <c r="OKY202" s="21"/>
      <c r="OKZ202" s="21"/>
      <c r="OLA202" s="21"/>
      <c r="OLB202" s="21"/>
      <c r="OLC202" s="21"/>
      <c r="OLD202" s="21"/>
      <c r="OLE202" s="21"/>
      <c r="OLF202" s="21"/>
      <c r="OLG202" s="21"/>
      <c r="OLH202" s="21"/>
      <c r="OLI202" s="21"/>
      <c r="OLJ202" s="21"/>
      <c r="OLK202" s="21"/>
      <c r="OLL202" s="21"/>
      <c r="OLM202" s="21"/>
      <c r="OLN202" s="21"/>
      <c r="OLO202" s="21"/>
      <c r="OLP202" s="21"/>
      <c r="OLQ202" s="21"/>
      <c r="OLR202" s="21"/>
      <c r="OLS202" s="21"/>
      <c r="OLT202" s="21"/>
      <c r="OLU202" s="21"/>
      <c r="OLV202" s="21"/>
      <c r="OLW202" s="21"/>
      <c r="OLX202" s="21"/>
      <c r="OLY202" s="21"/>
      <c r="OLZ202" s="21"/>
      <c r="OMA202" s="21"/>
      <c r="OMB202" s="21"/>
      <c r="OMC202" s="21"/>
      <c r="OMD202" s="21"/>
      <c r="OME202" s="21"/>
      <c r="OMF202" s="21"/>
      <c r="OMG202" s="21"/>
      <c r="OMH202" s="21"/>
      <c r="OMI202" s="21"/>
      <c r="OMJ202" s="21"/>
      <c r="OMK202" s="21"/>
      <c r="OML202" s="21"/>
      <c r="OMM202" s="21"/>
      <c r="OMN202" s="21"/>
      <c r="OMO202" s="21"/>
      <c r="OMP202" s="21"/>
      <c r="OMQ202" s="21"/>
      <c r="OMR202" s="21"/>
      <c r="OMS202" s="21"/>
      <c r="OMT202" s="21"/>
      <c r="OMU202" s="21"/>
      <c r="OMV202" s="21"/>
      <c r="OMW202" s="21"/>
      <c r="OMX202" s="21"/>
      <c r="OMY202" s="21"/>
      <c r="OMZ202" s="21"/>
      <c r="ONA202" s="21"/>
      <c r="ONB202" s="21"/>
      <c r="ONC202" s="21"/>
      <c r="OND202" s="21"/>
      <c r="ONE202" s="21"/>
      <c r="ONF202" s="21"/>
      <c r="ONG202" s="21"/>
      <c r="ONH202" s="21"/>
      <c r="ONI202" s="21"/>
      <c r="ONJ202" s="21"/>
      <c r="ONK202" s="21"/>
      <c r="ONL202" s="21"/>
      <c r="ONM202" s="21"/>
      <c r="ONN202" s="21"/>
      <c r="ONO202" s="21"/>
      <c r="ONP202" s="21"/>
      <c r="ONQ202" s="21"/>
      <c r="ONR202" s="21"/>
      <c r="ONS202" s="21"/>
      <c r="ONT202" s="21"/>
      <c r="ONU202" s="21"/>
      <c r="ONV202" s="21"/>
      <c r="ONW202" s="21"/>
      <c r="ONX202" s="21"/>
      <c r="ONY202" s="21"/>
      <c r="ONZ202" s="21"/>
      <c r="OOA202" s="21"/>
      <c r="OOB202" s="21"/>
      <c r="OOC202" s="21"/>
      <c r="OOD202" s="21"/>
      <c r="OOE202" s="21"/>
      <c r="OOF202" s="21"/>
      <c r="OOG202" s="21"/>
      <c r="OOH202" s="21"/>
      <c r="OOI202" s="21"/>
      <c r="OOJ202" s="21"/>
      <c r="OOK202" s="21"/>
      <c r="OOL202" s="21"/>
      <c r="OOM202" s="21"/>
      <c r="OON202" s="21"/>
      <c r="OOO202" s="21"/>
      <c r="OOP202" s="21"/>
      <c r="OOQ202" s="21"/>
      <c r="OOR202" s="21"/>
      <c r="OOS202" s="21"/>
      <c r="OOT202" s="21"/>
      <c r="OOU202" s="21"/>
      <c r="OOV202" s="21"/>
      <c r="OOW202" s="21"/>
      <c r="OOX202" s="21"/>
      <c r="OOY202" s="21"/>
      <c r="OOZ202" s="21"/>
      <c r="OPA202" s="21"/>
      <c r="OPB202" s="21"/>
      <c r="OPC202" s="21"/>
      <c r="OPD202" s="21"/>
      <c r="OPE202" s="21"/>
      <c r="OPF202" s="21"/>
      <c r="OPG202" s="21"/>
      <c r="OPH202" s="21"/>
      <c r="OPI202" s="21"/>
      <c r="OPJ202" s="21"/>
      <c r="OPK202" s="21"/>
      <c r="OPL202" s="21"/>
      <c r="OPM202" s="21"/>
      <c r="OPN202" s="21"/>
      <c r="OPO202" s="21"/>
      <c r="OPP202" s="21"/>
      <c r="OPQ202" s="21"/>
      <c r="OPR202" s="21"/>
      <c r="OPS202" s="21"/>
      <c r="OPT202" s="21"/>
      <c r="OPU202" s="21"/>
      <c r="OPV202" s="21"/>
      <c r="OPW202" s="21"/>
      <c r="OPX202" s="21"/>
      <c r="OPY202" s="21"/>
      <c r="OPZ202" s="21"/>
      <c r="OQA202" s="21"/>
      <c r="OQB202" s="21"/>
      <c r="OQC202" s="21"/>
      <c r="OQD202" s="21"/>
      <c r="OQE202" s="21"/>
      <c r="OQF202" s="21"/>
      <c r="OQG202" s="21"/>
      <c r="OQH202" s="21"/>
      <c r="OQI202" s="21"/>
      <c r="OQJ202" s="21"/>
      <c r="OQK202" s="21"/>
      <c r="OQL202" s="21"/>
      <c r="OQM202" s="21"/>
      <c r="OQN202" s="21"/>
      <c r="OQO202" s="21"/>
      <c r="OQP202" s="21"/>
      <c r="OQQ202" s="21"/>
      <c r="OQR202" s="21"/>
      <c r="OQS202" s="21"/>
      <c r="OQT202" s="21"/>
      <c r="OQU202" s="21"/>
      <c r="OQV202" s="21"/>
      <c r="OQW202" s="21"/>
      <c r="OQX202" s="21"/>
      <c r="OQY202" s="21"/>
      <c r="OQZ202" s="21"/>
      <c r="ORA202" s="21"/>
      <c r="ORB202" s="21"/>
      <c r="ORC202" s="21"/>
      <c r="ORD202" s="21"/>
      <c r="ORE202" s="21"/>
      <c r="ORF202" s="21"/>
      <c r="ORG202" s="21"/>
      <c r="ORH202" s="21"/>
      <c r="ORI202" s="21"/>
      <c r="ORJ202" s="21"/>
      <c r="ORK202" s="21"/>
      <c r="ORL202" s="21"/>
      <c r="ORM202" s="21"/>
      <c r="ORN202" s="21"/>
      <c r="ORO202" s="21"/>
      <c r="ORP202" s="21"/>
      <c r="ORQ202" s="21"/>
      <c r="ORR202" s="21"/>
      <c r="ORS202" s="21"/>
      <c r="ORT202" s="21"/>
      <c r="ORU202" s="21"/>
      <c r="ORV202" s="21"/>
      <c r="ORW202" s="21"/>
      <c r="ORX202" s="21"/>
      <c r="ORY202" s="21"/>
      <c r="ORZ202" s="21"/>
      <c r="OSA202" s="21"/>
      <c r="OSB202" s="21"/>
      <c r="OSC202" s="21"/>
      <c r="OSD202" s="21"/>
      <c r="OSE202" s="21"/>
      <c r="OSF202" s="21"/>
      <c r="OSG202" s="21"/>
      <c r="OSH202" s="21"/>
      <c r="OSI202" s="21"/>
      <c r="OSJ202" s="21"/>
      <c r="OSK202" s="21"/>
      <c r="OSL202" s="21"/>
      <c r="OSM202" s="21"/>
      <c r="OSN202" s="21"/>
      <c r="OSO202" s="21"/>
      <c r="OSP202" s="21"/>
      <c r="OSQ202" s="21"/>
      <c r="OSR202" s="21"/>
      <c r="OSS202" s="21"/>
      <c r="OST202" s="21"/>
      <c r="OSU202" s="21"/>
      <c r="OSV202" s="21"/>
      <c r="OSW202" s="21"/>
      <c r="OSX202" s="21"/>
      <c r="OSY202" s="21"/>
      <c r="OSZ202" s="21"/>
      <c r="OTA202" s="21"/>
      <c r="OTB202" s="21"/>
      <c r="OTC202" s="21"/>
      <c r="OTD202" s="21"/>
      <c r="OTE202" s="21"/>
      <c r="OTF202" s="21"/>
      <c r="OTG202" s="21"/>
      <c r="OTH202" s="21"/>
      <c r="OTI202" s="21"/>
      <c r="OTJ202" s="21"/>
      <c r="OTK202" s="21"/>
      <c r="OTL202" s="21"/>
      <c r="OTM202" s="21"/>
      <c r="OTN202" s="21"/>
      <c r="OTO202" s="21"/>
      <c r="OTP202" s="21"/>
      <c r="OTQ202" s="21"/>
      <c r="OTR202" s="21"/>
      <c r="OTS202" s="21"/>
      <c r="OTT202" s="21"/>
      <c r="OTU202" s="21"/>
      <c r="OTV202" s="21"/>
      <c r="OTW202" s="21"/>
      <c r="OTX202" s="21"/>
      <c r="OTY202" s="21"/>
      <c r="OTZ202" s="21"/>
      <c r="OUA202" s="21"/>
      <c r="OUB202" s="21"/>
      <c r="OUC202" s="21"/>
      <c r="OUD202" s="21"/>
      <c r="OUE202" s="21"/>
      <c r="OUF202" s="21"/>
      <c r="OUG202" s="21"/>
      <c r="OUH202" s="21"/>
      <c r="OUI202" s="21"/>
      <c r="OUJ202" s="21"/>
      <c r="OUK202" s="21"/>
      <c r="OUL202" s="21"/>
      <c r="OUM202" s="21"/>
      <c r="OUN202" s="21"/>
      <c r="OUO202" s="21"/>
      <c r="OUP202" s="21"/>
      <c r="OUQ202" s="21"/>
      <c r="OUR202" s="21"/>
      <c r="OUS202" s="21"/>
      <c r="OUT202" s="21"/>
      <c r="OUU202" s="21"/>
      <c r="OUV202" s="21"/>
      <c r="OUW202" s="21"/>
      <c r="OUX202" s="21"/>
      <c r="OUY202" s="21"/>
      <c r="OUZ202" s="21"/>
      <c r="OVA202" s="21"/>
      <c r="OVB202" s="21"/>
      <c r="OVC202" s="21"/>
      <c r="OVD202" s="21"/>
      <c r="OVE202" s="21"/>
      <c r="OVF202" s="21"/>
      <c r="OVG202" s="21"/>
      <c r="OVH202" s="21"/>
      <c r="OVI202" s="21"/>
      <c r="OVJ202" s="21"/>
      <c r="OVK202" s="21"/>
      <c r="OVL202" s="21"/>
      <c r="OVM202" s="21"/>
      <c r="OVN202" s="21"/>
      <c r="OVO202" s="21"/>
      <c r="OVP202" s="21"/>
      <c r="OVQ202" s="21"/>
      <c r="OVR202" s="21"/>
      <c r="OVS202" s="21"/>
      <c r="OVT202" s="21"/>
      <c r="OVU202" s="21"/>
      <c r="OVV202" s="21"/>
      <c r="OVW202" s="21"/>
      <c r="OVX202" s="21"/>
      <c r="OVY202" s="21"/>
      <c r="OVZ202" s="21"/>
      <c r="OWA202" s="21"/>
      <c r="OWB202" s="21"/>
      <c r="OWC202" s="21"/>
      <c r="OWD202" s="21"/>
      <c r="OWE202" s="21"/>
      <c r="OWF202" s="21"/>
      <c r="OWG202" s="21"/>
      <c r="OWH202" s="21"/>
      <c r="OWI202" s="21"/>
      <c r="OWJ202" s="21"/>
      <c r="OWK202" s="21"/>
      <c r="OWL202" s="21"/>
      <c r="OWM202" s="21"/>
      <c r="OWN202" s="21"/>
      <c r="OWO202" s="21"/>
      <c r="OWP202" s="21"/>
      <c r="OWQ202" s="21"/>
      <c r="OWR202" s="21"/>
      <c r="OWS202" s="21"/>
      <c r="OWT202" s="21"/>
      <c r="OWU202" s="21"/>
      <c r="OWV202" s="21"/>
      <c r="OWW202" s="21"/>
      <c r="OWX202" s="21"/>
      <c r="OWY202" s="21"/>
      <c r="OWZ202" s="21"/>
      <c r="OXA202" s="21"/>
      <c r="OXB202" s="21"/>
      <c r="OXC202" s="21"/>
      <c r="OXD202" s="21"/>
      <c r="OXE202" s="21"/>
      <c r="OXF202" s="21"/>
      <c r="OXG202" s="21"/>
      <c r="OXH202" s="21"/>
      <c r="OXI202" s="21"/>
      <c r="OXJ202" s="21"/>
      <c r="OXK202" s="21"/>
      <c r="OXL202" s="21"/>
      <c r="OXM202" s="21"/>
      <c r="OXN202" s="21"/>
      <c r="OXO202" s="21"/>
      <c r="OXP202" s="21"/>
      <c r="OXQ202" s="21"/>
      <c r="OXR202" s="21"/>
      <c r="OXS202" s="21"/>
      <c r="OXT202" s="21"/>
      <c r="OXU202" s="21"/>
      <c r="OXV202" s="21"/>
      <c r="OXW202" s="21"/>
      <c r="OXX202" s="21"/>
      <c r="OXY202" s="21"/>
      <c r="OXZ202" s="21"/>
      <c r="OYA202" s="21"/>
      <c r="OYB202" s="21"/>
      <c r="OYC202" s="21"/>
      <c r="OYD202" s="21"/>
      <c r="OYE202" s="21"/>
      <c r="OYF202" s="21"/>
      <c r="OYG202" s="21"/>
      <c r="OYH202" s="21"/>
      <c r="OYI202" s="21"/>
      <c r="OYJ202" s="21"/>
      <c r="OYK202" s="21"/>
      <c r="OYL202" s="21"/>
      <c r="OYM202" s="21"/>
      <c r="OYN202" s="21"/>
      <c r="OYO202" s="21"/>
      <c r="OYP202" s="21"/>
      <c r="OYQ202" s="21"/>
      <c r="OYR202" s="21"/>
      <c r="OYS202" s="21"/>
      <c r="OYT202" s="21"/>
      <c r="OYU202" s="21"/>
      <c r="OYV202" s="21"/>
      <c r="OYW202" s="21"/>
      <c r="OYX202" s="21"/>
      <c r="OYY202" s="21"/>
      <c r="OYZ202" s="21"/>
      <c r="OZA202" s="21"/>
      <c r="OZB202" s="21"/>
      <c r="OZC202" s="21"/>
      <c r="OZD202" s="21"/>
      <c r="OZE202" s="21"/>
      <c r="OZF202" s="21"/>
      <c r="OZG202" s="21"/>
      <c r="OZH202" s="21"/>
      <c r="OZI202" s="21"/>
      <c r="OZJ202" s="21"/>
      <c r="OZK202" s="21"/>
      <c r="OZL202" s="21"/>
      <c r="OZM202" s="21"/>
      <c r="OZN202" s="21"/>
      <c r="OZO202" s="21"/>
      <c r="OZP202" s="21"/>
      <c r="OZQ202" s="21"/>
      <c r="OZR202" s="21"/>
      <c r="OZS202" s="21"/>
      <c r="OZT202" s="21"/>
      <c r="OZU202" s="21"/>
      <c r="OZV202" s="21"/>
      <c r="OZW202" s="21"/>
      <c r="OZX202" s="21"/>
      <c r="OZY202" s="21"/>
      <c r="OZZ202" s="21"/>
      <c r="PAA202" s="21"/>
      <c r="PAB202" s="21"/>
      <c r="PAC202" s="21"/>
      <c r="PAD202" s="21"/>
      <c r="PAE202" s="21"/>
      <c r="PAF202" s="21"/>
      <c r="PAG202" s="21"/>
      <c r="PAH202" s="21"/>
      <c r="PAI202" s="21"/>
      <c r="PAJ202" s="21"/>
      <c r="PAK202" s="21"/>
      <c r="PAL202" s="21"/>
      <c r="PAM202" s="21"/>
      <c r="PAN202" s="21"/>
      <c r="PAO202" s="21"/>
      <c r="PAP202" s="21"/>
      <c r="PAQ202" s="21"/>
      <c r="PAR202" s="21"/>
      <c r="PAS202" s="21"/>
      <c r="PAT202" s="21"/>
      <c r="PAU202" s="21"/>
      <c r="PAV202" s="21"/>
      <c r="PAW202" s="21"/>
      <c r="PAX202" s="21"/>
      <c r="PAY202" s="21"/>
      <c r="PAZ202" s="21"/>
      <c r="PBA202" s="21"/>
      <c r="PBB202" s="21"/>
      <c r="PBC202" s="21"/>
      <c r="PBD202" s="21"/>
      <c r="PBE202" s="21"/>
      <c r="PBF202" s="21"/>
      <c r="PBG202" s="21"/>
      <c r="PBH202" s="21"/>
      <c r="PBI202" s="21"/>
      <c r="PBJ202" s="21"/>
      <c r="PBK202" s="21"/>
      <c r="PBL202" s="21"/>
      <c r="PBM202" s="21"/>
      <c r="PBN202" s="21"/>
      <c r="PBO202" s="21"/>
      <c r="PBP202" s="21"/>
      <c r="PBQ202" s="21"/>
      <c r="PBR202" s="21"/>
      <c r="PBS202" s="21"/>
      <c r="PBT202" s="21"/>
      <c r="PBU202" s="21"/>
      <c r="PBV202" s="21"/>
      <c r="PBW202" s="21"/>
      <c r="PBX202" s="21"/>
      <c r="PBY202" s="21"/>
      <c r="PBZ202" s="21"/>
      <c r="PCA202" s="21"/>
      <c r="PCB202" s="21"/>
      <c r="PCC202" s="21"/>
      <c r="PCD202" s="21"/>
      <c r="PCE202" s="21"/>
      <c r="PCF202" s="21"/>
      <c r="PCG202" s="21"/>
      <c r="PCH202" s="21"/>
      <c r="PCI202" s="21"/>
      <c r="PCJ202" s="21"/>
      <c r="PCK202" s="21"/>
      <c r="PCL202" s="21"/>
      <c r="PCM202" s="21"/>
      <c r="PCN202" s="21"/>
      <c r="PCO202" s="21"/>
      <c r="PCP202" s="21"/>
      <c r="PCQ202" s="21"/>
      <c r="PCR202" s="21"/>
      <c r="PCS202" s="21"/>
      <c r="PCT202" s="21"/>
      <c r="PCU202" s="21"/>
      <c r="PCV202" s="21"/>
      <c r="PCW202" s="21"/>
      <c r="PCX202" s="21"/>
      <c r="PCY202" s="21"/>
      <c r="PCZ202" s="21"/>
      <c r="PDA202" s="21"/>
      <c r="PDB202" s="21"/>
      <c r="PDC202" s="21"/>
      <c r="PDD202" s="21"/>
      <c r="PDE202" s="21"/>
      <c r="PDF202" s="21"/>
      <c r="PDG202" s="21"/>
      <c r="PDH202" s="21"/>
      <c r="PDI202" s="21"/>
      <c r="PDJ202" s="21"/>
      <c r="PDK202" s="21"/>
      <c r="PDL202" s="21"/>
      <c r="PDM202" s="21"/>
      <c r="PDN202" s="21"/>
      <c r="PDO202" s="21"/>
      <c r="PDP202" s="21"/>
      <c r="PDQ202" s="21"/>
      <c r="PDR202" s="21"/>
      <c r="PDS202" s="21"/>
      <c r="PDT202" s="21"/>
      <c r="PDU202" s="21"/>
      <c r="PDV202" s="21"/>
      <c r="PDW202" s="21"/>
      <c r="PDX202" s="21"/>
      <c r="PDY202" s="21"/>
      <c r="PDZ202" s="21"/>
      <c r="PEA202" s="21"/>
      <c r="PEB202" s="21"/>
      <c r="PEC202" s="21"/>
      <c r="PED202" s="21"/>
      <c r="PEE202" s="21"/>
      <c r="PEF202" s="21"/>
      <c r="PEG202" s="21"/>
      <c r="PEH202" s="21"/>
      <c r="PEI202" s="21"/>
      <c r="PEJ202" s="21"/>
      <c r="PEK202" s="21"/>
      <c r="PEL202" s="21"/>
      <c r="PEM202" s="21"/>
      <c r="PEN202" s="21"/>
      <c r="PEO202" s="21"/>
      <c r="PEP202" s="21"/>
      <c r="PEQ202" s="21"/>
      <c r="PER202" s="21"/>
      <c r="PES202" s="21"/>
      <c r="PET202" s="21"/>
      <c r="PEU202" s="21"/>
      <c r="PEV202" s="21"/>
      <c r="PEW202" s="21"/>
      <c r="PEX202" s="21"/>
      <c r="PEY202" s="21"/>
      <c r="PEZ202" s="21"/>
      <c r="PFA202" s="21"/>
      <c r="PFB202" s="21"/>
      <c r="PFC202" s="21"/>
      <c r="PFD202" s="21"/>
      <c r="PFE202" s="21"/>
      <c r="PFF202" s="21"/>
      <c r="PFG202" s="21"/>
      <c r="PFH202" s="21"/>
      <c r="PFI202" s="21"/>
      <c r="PFJ202" s="21"/>
      <c r="PFK202" s="21"/>
      <c r="PFL202" s="21"/>
      <c r="PFM202" s="21"/>
      <c r="PFN202" s="21"/>
      <c r="PFO202" s="21"/>
      <c r="PFP202" s="21"/>
      <c r="PFQ202" s="21"/>
      <c r="PFR202" s="21"/>
      <c r="PFS202" s="21"/>
      <c r="PFT202" s="21"/>
      <c r="PFU202" s="21"/>
      <c r="PFV202" s="21"/>
      <c r="PFW202" s="21"/>
      <c r="PFX202" s="21"/>
      <c r="PFY202" s="21"/>
      <c r="PFZ202" s="21"/>
      <c r="PGA202" s="21"/>
      <c r="PGB202" s="21"/>
      <c r="PGC202" s="21"/>
      <c r="PGD202" s="21"/>
      <c r="PGE202" s="21"/>
      <c r="PGF202" s="21"/>
      <c r="PGG202" s="21"/>
      <c r="PGH202" s="21"/>
      <c r="PGI202" s="21"/>
      <c r="PGJ202" s="21"/>
      <c r="PGK202" s="21"/>
      <c r="PGL202" s="21"/>
      <c r="PGM202" s="21"/>
      <c r="PGN202" s="21"/>
      <c r="PGO202" s="21"/>
      <c r="PGP202" s="21"/>
      <c r="PGQ202" s="21"/>
      <c r="PGR202" s="21"/>
      <c r="PGS202" s="21"/>
      <c r="PGT202" s="21"/>
      <c r="PGU202" s="21"/>
      <c r="PGV202" s="21"/>
      <c r="PGW202" s="21"/>
      <c r="PGX202" s="21"/>
      <c r="PGY202" s="21"/>
      <c r="PGZ202" s="21"/>
      <c r="PHA202" s="21"/>
      <c r="PHB202" s="21"/>
      <c r="PHC202" s="21"/>
      <c r="PHD202" s="21"/>
      <c r="PHE202" s="21"/>
      <c r="PHF202" s="21"/>
      <c r="PHG202" s="21"/>
      <c r="PHH202" s="21"/>
      <c r="PHI202" s="21"/>
      <c r="PHJ202" s="21"/>
      <c r="PHK202" s="21"/>
      <c r="PHL202" s="21"/>
      <c r="PHM202" s="21"/>
      <c r="PHN202" s="21"/>
      <c r="PHO202" s="21"/>
      <c r="PHP202" s="21"/>
      <c r="PHQ202" s="21"/>
      <c r="PHR202" s="21"/>
      <c r="PHS202" s="21"/>
      <c r="PHT202" s="21"/>
      <c r="PHU202" s="21"/>
      <c r="PHV202" s="21"/>
      <c r="PHW202" s="21"/>
      <c r="PHX202" s="21"/>
      <c r="PHY202" s="21"/>
      <c r="PHZ202" s="21"/>
      <c r="PIA202" s="21"/>
      <c r="PIB202" s="21"/>
      <c r="PIC202" s="21"/>
      <c r="PID202" s="21"/>
      <c r="PIE202" s="21"/>
      <c r="PIF202" s="21"/>
      <c r="PIG202" s="21"/>
      <c r="PIH202" s="21"/>
      <c r="PII202" s="21"/>
      <c r="PIJ202" s="21"/>
      <c r="PIK202" s="21"/>
      <c r="PIL202" s="21"/>
      <c r="PIM202" s="21"/>
      <c r="PIN202" s="21"/>
      <c r="PIO202" s="21"/>
      <c r="PIP202" s="21"/>
      <c r="PIQ202" s="21"/>
      <c r="PIR202" s="21"/>
      <c r="PIS202" s="21"/>
      <c r="PIT202" s="21"/>
      <c r="PIU202" s="21"/>
      <c r="PIV202" s="21"/>
      <c r="PIW202" s="21"/>
      <c r="PIX202" s="21"/>
      <c r="PIY202" s="21"/>
      <c r="PIZ202" s="21"/>
      <c r="PJA202" s="21"/>
      <c r="PJB202" s="21"/>
      <c r="PJC202" s="21"/>
      <c r="PJD202" s="21"/>
      <c r="PJE202" s="21"/>
      <c r="PJF202" s="21"/>
      <c r="PJG202" s="21"/>
      <c r="PJH202" s="21"/>
      <c r="PJI202" s="21"/>
      <c r="PJJ202" s="21"/>
      <c r="PJK202" s="21"/>
      <c r="PJL202" s="21"/>
      <c r="PJM202" s="21"/>
      <c r="PJN202" s="21"/>
      <c r="PJO202" s="21"/>
      <c r="PJP202" s="21"/>
      <c r="PJQ202" s="21"/>
      <c r="PJR202" s="21"/>
      <c r="PJS202" s="21"/>
      <c r="PJT202" s="21"/>
      <c r="PJU202" s="21"/>
      <c r="PJV202" s="21"/>
      <c r="PJW202" s="21"/>
      <c r="PJX202" s="21"/>
      <c r="PJY202" s="21"/>
      <c r="PJZ202" s="21"/>
      <c r="PKA202" s="21"/>
      <c r="PKB202" s="21"/>
      <c r="PKC202" s="21"/>
      <c r="PKD202" s="21"/>
      <c r="PKE202" s="21"/>
      <c r="PKF202" s="21"/>
      <c r="PKG202" s="21"/>
      <c r="PKH202" s="21"/>
      <c r="PKI202" s="21"/>
      <c r="PKJ202" s="21"/>
      <c r="PKK202" s="21"/>
      <c r="PKL202" s="21"/>
      <c r="PKM202" s="21"/>
      <c r="PKN202" s="21"/>
      <c r="PKO202" s="21"/>
      <c r="PKP202" s="21"/>
      <c r="PKQ202" s="21"/>
      <c r="PKR202" s="21"/>
      <c r="PKS202" s="21"/>
      <c r="PKT202" s="21"/>
      <c r="PKU202" s="21"/>
      <c r="PKV202" s="21"/>
      <c r="PKW202" s="21"/>
      <c r="PKX202" s="21"/>
      <c r="PKY202" s="21"/>
      <c r="PKZ202" s="21"/>
      <c r="PLA202" s="21"/>
      <c r="PLB202" s="21"/>
      <c r="PLC202" s="21"/>
      <c r="PLD202" s="21"/>
      <c r="PLE202" s="21"/>
      <c r="PLF202" s="21"/>
      <c r="PLG202" s="21"/>
      <c r="PLH202" s="21"/>
      <c r="PLI202" s="21"/>
      <c r="PLJ202" s="21"/>
      <c r="PLK202" s="21"/>
      <c r="PLL202" s="21"/>
      <c r="PLM202" s="21"/>
      <c r="PLN202" s="21"/>
      <c r="PLO202" s="21"/>
      <c r="PLP202" s="21"/>
      <c r="PLQ202" s="21"/>
      <c r="PLR202" s="21"/>
      <c r="PLS202" s="21"/>
      <c r="PLT202" s="21"/>
      <c r="PLU202" s="21"/>
      <c r="PLV202" s="21"/>
      <c r="PLW202" s="21"/>
      <c r="PLX202" s="21"/>
      <c r="PLY202" s="21"/>
      <c r="PLZ202" s="21"/>
      <c r="PMA202" s="21"/>
      <c r="PMB202" s="21"/>
      <c r="PMC202" s="21"/>
      <c r="PMD202" s="21"/>
      <c r="PME202" s="21"/>
      <c r="PMF202" s="21"/>
      <c r="PMG202" s="21"/>
      <c r="PMH202" s="21"/>
      <c r="PMI202" s="21"/>
      <c r="PMJ202" s="21"/>
      <c r="PMK202" s="21"/>
      <c r="PML202" s="21"/>
      <c r="PMM202" s="21"/>
      <c r="PMN202" s="21"/>
      <c r="PMO202" s="21"/>
      <c r="PMP202" s="21"/>
      <c r="PMQ202" s="21"/>
      <c r="PMR202" s="21"/>
      <c r="PMS202" s="21"/>
      <c r="PMT202" s="21"/>
      <c r="PMU202" s="21"/>
      <c r="PMV202" s="21"/>
      <c r="PMW202" s="21"/>
      <c r="PMX202" s="21"/>
      <c r="PMY202" s="21"/>
      <c r="PMZ202" s="21"/>
      <c r="PNA202" s="21"/>
      <c r="PNB202" s="21"/>
      <c r="PNC202" s="21"/>
      <c r="PND202" s="21"/>
      <c r="PNE202" s="21"/>
      <c r="PNF202" s="21"/>
      <c r="PNG202" s="21"/>
      <c r="PNH202" s="21"/>
      <c r="PNI202" s="21"/>
      <c r="PNJ202" s="21"/>
      <c r="PNK202" s="21"/>
      <c r="PNL202" s="21"/>
      <c r="PNM202" s="21"/>
      <c r="PNN202" s="21"/>
      <c r="PNO202" s="21"/>
      <c r="PNP202" s="21"/>
      <c r="PNQ202" s="21"/>
      <c r="PNR202" s="21"/>
      <c r="PNS202" s="21"/>
      <c r="PNT202" s="21"/>
      <c r="PNU202" s="21"/>
      <c r="PNV202" s="21"/>
      <c r="PNW202" s="21"/>
      <c r="PNX202" s="21"/>
      <c r="PNY202" s="21"/>
      <c r="PNZ202" s="21"/>
      <c r="POA202" s="21"/>
      <c r="POB202" s="21"/>
      <c r="POC202" s="21"/>
      <c r="POD202" s="21"/>
      <c r="POE202" s="21"/>
      <c r="POF202" s="21"/>
      <c r="POG202" s="21"/>
      <c r="POH202" s="21"/>
      <c r="POI202" s="21"/>
      <c r="POJ202" s="21"/>
      <c r="POK202" s="21"/>
      <c r="POL202" s="21"/>
      <c r="POM202" s="21"/>
      <c r="PON202" s="21"/>
      <c r="POO202" s="21"/>
      <c r="POP202" s="21"/>
      <c r="POQ202" s="21"/>
      <c r="POR202" s="21"/>
      <c r="POS202" s="21"/>
      <c r="POT202" s="21"/>
      <c r="POU202" s="21"/>
      <c r="POV202" s="21"/>
      <c r="POW202" s="21"/>
      <c r="POX202" s="21"/>
      <c r="POY202" s="21"/>
      <c r="POZ202" s="21"/>
      <c r="PPA202" s="21"/>
      <c r="PPB202" s="21"/>
      <c r="PPC202" s="21"/>
      <c r="PPD202" s="21"/>
      <c r="PPE202" s="21"/>
      <c r="PPF202" s="21"/>
      <c r="PPG202" s="21"/>
      <c r="PPH202" s="21"/>
      <c r="PPI202" s="21"/>
      <c r="PPJ202" s="21"/>
      <c r="PPK202" s="21"/>
      <c r="PPL202" s="21"/>
      <c r="PPM202" s="21"/>
      <c r="PPN202" s="21"/>
      <c r="PPO202" s="21"/>
      <c r="PPP202" s="21"/>
      <c r="PPQ202" s="21"/>
      <c r="PPR202" s="21"/>
      <c r="PPS202" s="21"/>
      <c r="PPT202" s="21"/>
      <c r="PPU202" s="21"/>
      <c r="PPV202" s="21"/>
      <c r="PPW202" s="21"/>
      <c r="PPX202" s="21"/>
      <c r="PPY202" s="21"/>
      <c r="PPZ202" s="21"/>
      <c r="PQA202" s="21"/>
      <c r="PQB202" s="21"/>
      <c r="PQC202" s="21"/>
      <c r="PQD202" s="21"/>
      <c r="PQE202" s="21"/>
      <c r="PQF202" s="21"/>
      <c r="PQG202" s="21"/>
      <c r="PQH202" s="21"/>
      <c r="PQI202" s="21"/>
      <c r="PQJ202" s="21"/>
      <c r="PQK202" s="21"/>
      <c r="PQL202" s="21"/>
      <c r="PQM202" s="21"/>
      <c r="PQN202" s="21"/>
      <c r="PQO202" s="21"/>
      <c r="PQP202" s="21"/>
      <c r="PQQ202" s="21"/>
      <c r="PQR202" s="21"/>
      <c r="PQS202" s="21"/>
      <c r="PQT202" s="21"/>
      <c r="PQU202" s="21"/>
      <c r="PQV202" s="21"/>
      <c r="PQW202" s="21"/>
      <c r="PQX202" s="21"/>
      <c r="PQY202" s="21"/>
      <c r="PQZ202" s="21"/>
      <c r="PRA202" s="21"/>
      <c r="PRB202" s="21"/>
      <c r="PRC202" s="21"/>
      <c r="PRD202" s="21"/>
      <c r="PRE202" s="21"/>
      <c r="PRF202" s="21"/>
      <c r="PRG202" s="21"/>
      <c r="PRH202" s="21"/>
      <c r="PRI202" s="21"/>
      <c r="PRJ202" s="21"/>
      <c r="PRK202" s="21"/>
      <c r="PRL202" s="21"/>
      <c r="PRM202" s="21"/>
      <c r="PRN202" s="21"/>
      <c r="PRO202" s="21"/>
      <c r="PRP202" s="21"/>
      <c r="PRQ202" s="21"/>
      <c r="PRR202" s="21"/>
      <c r="PRS202" s="21"/>
      <c r="PRT202" s="21"/>
      <c r="PRU202" s="21"/>
      <c r="PRV202" s="21"/>
      <c r="PRW202" s="21"/>
      <c r="PRX202" s="21"/>
      <c r="PRY202" s="21"/>
      <c r="PRZ202" s="21"/>
      <c r="PSA202" s="21"/>
      <c r="PSB202" s="21"/>
      <c r="PSC202" s="21"/>
      <c r="PSD202" s="21"/>
      <c r="PSE202" s="21"/>
      <c r="PSF202" s="21"/>
      <c r="PSG202" s="21"/>
      <c r="PSH202" s="21"/>
      <c r="PSI202" s="21"/>
      <c r="PSJ202" s="21"/>
      <c r="PSK202" s="21"/>
      <c r="PSL202" s="21"/>
      <c r="PSM202" s="21"/>
      <c r="PSN202" s="21"/>
      <c r="PSO202" s="21"/>
      <c r="PSP202" s="21"/>
      <c r="PSQ202" s="21"/>
      <c r="PSR202" s="21"/>
      <c r="PSS202" s="21"/>
      <c r="PST202" s="21"/>
      <c r="PSU202" s="21"/>
      <c r="PSV202" s="21"/>
      <c r="PSW202" s="21"/>
      <c r="PSX202" s="21"/>
      <c r="PSY202" s="21"/>
      <c r="PSZ202" s="21"/>
      <c r="PTA202" s="21"/>
      <c r="PTB202" s="21"/>
      <c r="PTC202" s="21"/>
      <c r="PTD202" s="21"/>
      <c r="PTE202" s="21"/>
      <c r="PTF202" s="21"/>
      <c r="PTG202" s="21"/>
      <c r="PTH202" s="21"/>
      <c r="PTI202" s="21"/>
      <c r="PTJ202" s="21"/>
      <c r="PTK202" s="21"/>
      <c r="PTL202" s="21"/>
      <c r="PTM202" s="21"/>
      <c r="PTN202" s="21"/>
      <c r="PTO202" s="21"/>
      <c r="PTP202" s="21"/>
      <c r="PTQ202" s="21"/>
      <c r="PTR202" s="21"/>
      <c r="PTS202" s="21"/>
      <c r="PTT202" s="21"/>
      <c r="PTU202" s="21"/>
      <c r="PTV202" s="21"/>
      <c r="PTW202" s="21"/>
      <c r="PTX202" s="21"/>
      <c r="PTY202" s="21"/>
      <c r="PTZ202" s="21"/>
      <c r="PUA202" s="21"/>
      <c r="PUB202" s="21"/>
      <c r="PUC202" s="21"/>
      <c r="PUD202" s="21"/>
      <c r="PUE202" s="21"/>
      <c r="PUF202" s="21"/>
      <c r="PUG202" s="21"/>
      <c r="PUH202" s="21"/>
      <c r="PUI202" s="21"/>
      <c r="PUJ202" s="21"/>
      <c r="PUK202" s="21"/>
      <c r="PUL202" s="21"/>
      <c r="PUM202" s="21"/>
      <c r="PUN202" s="21"/>
      <c r="PUO202" s="21"/>
      <c r="PUP202" s="21"/>
      <c r="PUQ202" s="21"/>
      <c r="PUR202" s="21"/>
      <c r="PUS202" s="21"/>
      <c r="PUT202" s="21"/>
      <c r="PUU202" s="21"/>
      <c r="PUV202" s="21"/>
      <c r="PUW202" s="21"/>
      <c r="PUX202" s="21"/>
      <c r="PUY202" s="21"/>
      <c r="PUZ202" s="21"/>
      <c r="PVA202" s="21"/>
      <c r="PVB202" s="21"/>
      <c r="PVC202" s="21"/>
      <c r="PVD202" s="21"/>
      <c r="PVE202" s="21"/>
      <c r="PVF202" s="21"/>
      <c r="PVG202" s="21"/>
      <c r="PVH202" s="21"/>
      <c r="PVI202" s="21"/>
      <c r="PVJ202" s="21"/>
      <c r="PVK202" s="21"/>
      <c r="PVL202" s="21"/>
      <c r="PVM202" s="21"/>
      <c r="PVN202" s="21"/>
      <c r="PVO202" s="21"/>
      <c r="PVP202" s="21"/>
      <c r="PVQ202" s="21"/>
      <c r="PVR202" s="21"/>
      <c r="PVS202" s="21"/>
      <c r="PVT202" s="21"/>
      <c r="PVU202" s="21"/>
      <c r="PVV202" s="21"/>
      <c r="PVW202" s="21"/>
      <c r="PVX202" s="21"/>
      <c r="PVY202" s="21"/>
      <c r="PVZ202" s="21"/>
      <c r="PWA202" s="21"/>
      <c r="PWB202" s="21"/>
      <c r="PWC202" s="21"/>
      <c r="PWD202" s="21"/>
      <c r="PWE202" s="21"/>
      <c r="PWF202" s="21"/>
      <c r="PWG202" s="21"/>
      <c r="PWH202" s="21"/>
      <c r="PWI202" s="21"/>
      <c r="PWJ202" s="21"/>
      <c r="PWK202" s="21"/>
      <c r="PWL202" s="21"/>
      <c r="PWM202" s="21"/>
      <c r="PWN202" s="21"/>
      <c r="PWO202" s="21"/>
      <c r="PWP202" s="21"/>
      <c r="PWQ202" s="21"/>
      <c r="PWR202" s="21"/>
      <c r="PWS202" s="21"/>
      <c r="PWT202" s="21"/>
      <c r="PWU202" s="21"/>
      <c r="PWV202" s="21"/>
      <c r="PWW202" s="21"/>
      <c r="PWX202" s="21"/>
      <c r="PWY202" s="21"/>
      <c r="PWZ202" s="21"/>
      <c r="PXA202" s="21"/>
      <c r="PXB202" s="21"/>
      <c r="PXC202" s="21"/>
      <c r="PXD202" s="21"/>
      <c r="PXE202" s="21"/>
      <c r="PXF202" s="21"/>
      <c r="PXG202" s="21"/>
      <c r="PXH202" s="21"/>
      <c r="PXI202" s="21"/>
      <c r="PXJ202" s="21"/>
      <c r="PXK202" s="21"/>
      <c r="PXL202" s="21"/>
      <c r="PXM202" s="21"/>
      <c r="PXN202" s="21"/>
      <c r="PXO202" s="21"/>
      <c r="PXP202" s="21"/>
      <c r="PXQ202" s="21"/>
      <c r="PXR202" s="21"/>
      <c r="PXS202" s="21"/>
      <c r="PXT202" s="21"/>
      <c r="PXU202" s="21"/>
      <c r="PXV202" s="21"/>
      <c r="PXW202" s="21"/>
      <c r="PXX202" s="21"/>
      <c r="PXY202" s="21"/>
      <c r="PXZ202" s="21"/>
      <c r="PYA202" s="21"/>
      <c r="PYB202" s="21"/>
      <c r="PYC202" s="21"/>
      <c r="PYD202" s="21"/>
      <c r="PYE202" s="21"/>
      <c r="PYF202" s="21"/>
      <c r="PYG202" s="21"/>
      <c r="PYH202" s="21"/>
      <c r="PYI202" s="21"/>
      <c r="PYJ202" s="21"/>
      <c r="PYK202" s="21"/>
      <c r="PYL202" s="21"/>
      <c r="PYM202" s="21"/>
      <c r="PYN202" s="21"/>
      <c r="PYO202" s="21"/>
      <c r="PYP202" s="21"/>
      <c r="PYQ202" s="21"/>
      <c r="PYR202" s="21"/>
      <c r="PYS202" s="21"/>
      <c r="PYT202" s="21"/>
      <c r="PYU202" s="21"/>
      <c r="PYV202" s="21"/>
      <c r="PYW202" s="21"/>
      <c r="PYX202" s="21"/>
      <c r="PYY202" s="21"/>
      <c r="PYZ202" s="21"/>
      <c r="PZA202" s="21"/>
      <c r="PZB202" s="21"/>
      <c r="PZC202" s="21"/>
      <c r="PZD202" s="21"/>
      <c r="PZE202" s="21"/>
      <c r="PZF202" s="21"/>
      <c r="PZG202" s="21"/>
      <c r="PZH202" s="21"/>
      <c r="PZI202" s="21"/>
      <c r="PZJ202" s="21"/>
      <c r="PZK202" s="21"/>
      <c r="PZL202" s="21"/>
      <c r="PZM202" s="21"/>
      <c r="PZN202" s="21"/>
      <c r="PZO202" s="21"/>
      <c r="PZP202" s="21"/>
      <c r="PZQ202" s="21"/>
      <c r="PZR202" s="21"/>
      <c r="PZS202" s="21"/>
      <c r="PZT202" s="21"/>
      <c r="PZU202" s="21"/>
      <c r="PZV202" s="21"/>
      <c r="PZW202" s="21"/>
      <c r="PZX202" s="21"/>
      <c r="PZY202" s="21"/>
      <c r="PZZ202" s="21"/>
      <c r="QAA202" s="21"/>
      <c r="QAB202" s="21"/>
      <c r="QAC202" s="21"/>
      <c r="QAD202" s="21"/>
      <c r="QAE202" s="21"/>
      <c r="QAF202" s="21"/>
      <c r="QAG202" s="21"/>
      <c r="QAH202" s="21"/>
      <c r="QAI202" s="21"/>
      <c r="QAJ202" s="21"/>
      <c r="QAK202" s="21"/>
      <c r="QAL202" s="21"/>
      <c r="QAM202" s="21"/>
      <c r="QAN202" s="21"/>
      <c r="QAO202" s="21"/>
      <c r="QAP202" s="21"/>
      <c r="QAQ202" s="21"/>
      <c r="QAR202" s="21"/>
      <c r="QAS202" s="21"/>
      <c r="QAT202" s="21"/>
      <c r="QAU202" s="21"/>
      <c r="QAV202" s="21"/>
      <c r="QAW202" s="21"/>
      <c r="QAX202" s="21"/>
      <c r="QAY202" s="21"/>
      <c r="QAZ202" s="21"/>
      <c r="QBA202" s="21"/>
      <c r="QBB202" s="21"/>
      <c r="QBC202" s="21"/>
      <c r="QBD202" s="21"/>
      <c r="QBE202" s="21"/>
      <c r="QBF202" s="21"/>
      <c r="QBG202" s="21"/>
      <c r="QBH202" s="21"/>
      <c r="QBI202" s="21"/>
      <c r="QBJ202" s="21"/>
      <c r="QBK202" s="21"/>
      <c r="QBL202" s="21"/>
      <c r="QBM202" s="21"/>
      <c r="QBN202" s="21"/>
      <c r="QBO202" s="21"/>
      <c r="QBP202" s="21"/>
      <c r="QBQ202" s="21"/>
      <c r="QBR202" s="21"/>
      <c r="QBS202" s="21"/>
      <c r="QBT202" s="21"/>
      <c r="QBU202" s="21"/>
      <c r="QBV202" s="21"/>
      <c r="QBW202" s="21"/>
      <c r="QBX202" s="21"/>
      <c r="QBY202" s="21"/>
      <c r="QBZ202" s="21"/>
      <c r="QCA202" s="21"/>
      <c r="QCB202" s="21"/>
      <c r="QCC202" s="21"/>
      <c r="QCD202" s="21"/>
      <c r="QCE202" s="21"/>
      <c r="QCF202" s="21"/>
      <c r="QCG202" s="21"/>
      <c r="QCH202" s="21"/>
      <c r="QCI202" s="21"/>
      <c r="QCJ202" s="21"/>
      <c r="QCK202" s="21"/>
      <c r="QCL202" s="21"/>
      <c r="QCM202" s="21"/>
      <c r="QCN202" s="21"/>
      <c r="QCO202" s="21"/>
      <c r="QCP202" s="21"/>
      <c r="QCQ202" s="21"/>
      <c r="QCR202" s="21"/>
      <c r="QCS202" s="21"/>
      <c r="QCT202" s="21"/>
      <c r="QCU202" s="21"/>
      <c r="QCV202" s="21"/>
      <c r="QCW202" s="21"/>
      <c r="QCX202" s="21"/>
      <c r="QCY202" s="21"/>
      <c r="QCZ202" s="21"/>
      <c r="QDA202" s="21"/>
      <c r="QDB202" s="21"/>
      <c r="QDC202" s="21"/>
      <c r="QDD202" s="21"/>
      <c r="QDE202" s="21"/>
      <c r="QDF202" s="21"/>
      <c r="QDG202" s="21"/>
      <c r="QDH202" s="21"/>
      <c r="QDI202" s="21"/>
      <c r="QDJ202" s="21"/>
      <c r="QDK202" s="21"/>
      <c r="QDL202" s="21"/>
      <c r="QDM202" s="21"/>
      <c r="QDN202" s="21"/>
      <c r="QDO202" s="21"/>
      <c r="QDP202" s="21"/>
      <c r="QDQ202" s="21"/>
      <c r="QDR202" s="21"/>
      <c r="QDS202" s="21"/>
      <c r="QDT202" s="21"/>
      <c r="QDU202" s="21"/>
      <c r="QDV202" s="21"/>
      <c r="QDW202" s="21"/>
      <c r="QDX202" s="21"/>
      <c r="QDY202" s="21"/>
      <c r="QDZ202" s="21"/>
      <c r="QEA202" s="21"/>
      <c r="QEB202" s="21"/>
      <c r="QEC202" s="21"/>
      <c r="QED202" s="21"/>
      <c r="QEE202" s="21"/>
      <c r="QEF202" s="21"/>
      <c r="QEG202" s="21"/>
      <c r="QEH202" s="21"/>
      <c r="QEI202" s="21"/>
      <c r="QEJ202" s="21"/>
      <c r="QEK202" s="21"/>
      <c r="QEL202" s="21"/>
      <c r="QEM202" s="21"/>
      <c r="QEN202" s="21"/>
      <c r="QEO202" s="21"/>
      <c r="QEP202" s="21"/>
      <c r="QEQ202" s="21"/>
      <c r="QER202" s="21"/>
      <c r="QES202" s="21"/>
      <c r="QET202" s="21"/>
      <c r="QEU202" s="21"/>
      <c r="QEV202" s="21"/>
      <c r="QEW202" s="21"/>
      <c r="QEX202" s="21"/>
      <c r="QEY202" s="21"/>
      <c r="QEZ202" s="21"/>
      <c r="QFA202" s="21"/>
      <c r="QFB202" s="21"/>
      <c r="QFC202" s="21"/>
      <c r="QFD202" s="21"/>
      <c r="QFE202" s="21"/>
      <c r="QFF202" s="21"/>
      <c r="QFG202" s="21"/>
      <c r="QFH202" s="21"/>
      <c r="QFI202" s="21"/>
      <c r="QFJ202" s="21"/>
      <c r="QFK202" s="21"/>
      <c r="QFL202" s="21"/>
      <c r="QFM202" s="21"/>
      <c r="QFN202" s="21"/>
      <c r="QFO202" s="21"/>
      <c r="QFP202" s="21"/>
      <c r="QFQ202" s="21"/>
      <c r="QFR202" s="21"/>
      <c r="QFS202" s="21"/>
      <c r="QFT202" s="21"/>
      <c r="QFU202" s="21"/>
      <c r="QFV202" s="21"/>
      <c r="QFW202" s="21"/>
      <c r="QFX202" s="21"/>
      <c r="QFY202" s="21"/>
      <c r="QFZ202" s="21"/>
      <c r="QGA202" s="21"/>
      <c r="QGB202" s="21"/>
      <c r="QGC202" s="21"/>
      <c r="QGD202" s="21"/>
      <c r="QGE202" s="21"/>
      <c r="QGF202" s="21"/>
      <c r="QGG202" s="21"/>
      <c r="QGH202" s="21"/>
      <c r="QGI202" s="21"/>
      <c r="QGJ202" s="21"/>
      <c r="QGK202" s="21"/>
      <c r="QGL202" s="21"/>
      <c r="QGM202" s="21"/>
      <c r="QGN202" s="21"/>
      <c r="QGO202" s="21"/>
      <c r="QGP202" s="21"/>
      <c r="QGQ202" s="21"/>
      <c r="QGR202" s="21"/>
      <c r="QGS202" s="21"/>
      <c r="QGT202" s="21"/>
      <c r="QGU202" s="21"/>
      <c r="QGV202" s="21"/>
      <c r="QGW202" s="21"/>
      <c r="QGX202" s="21"/>
      <c r="QGY202" s="21"/>
      <c r="QGZ202" s="21"/>
      <c r="QHA202" s="21"/>
      <c r="QHB202" s="21"/>
      <c r="QHC202" s="21"/>
      <c r="QHD202" s="21"/>
      <c r="QHE202" s="21"/>
      <c r="QHF202" s="21"/>
      <c r="QHG202" s="21"/>
      <c r="QHH202" s="21"/>
      <c r="QHI202" s="21"/>
      <c r="QHJ202" s="21"/>
      <c r="QHK202" s="21"/>
      <c r="QHL202" s="21"/>
      <c r="QHM202" s="21"/>
      <c r="QHN202" s="21"/>
      <c r="QHO202" s="21"/>
      <c r="QHP202" s="21"/>
      <c r="QHQ202" s="21"/>
      <c r="QHR202" s="21"/>
      <c r="QHS202" s="21"/>
      <c r="QHT202" s="21"/>
      <c r="QHU202" s="21"/>
      <c r="QHV202" s="21"/>
      <c r="QHW202" s="21"/>
      <c r="QHX202" s="21"/>
      <c r="QHY202" s="21"/>
      <c r="QHZ202" s="21"/>
      <c r="QIA202" s="21"/>
      <c r="QIB202" s="21"/>
      <c r="QIC202" s="21"/>
      <c r="QID202" s="21"/>
      <c r="QIE202" s="21"/>
      <c r="QIF202" s="21"/>
      <c r="QIG202" s="21"/>
      <c r="QIH202" s="21"/>
      <c r="QII202" s="21"/>
      <c r="QIJ202" s="21"/>
      <c r="QIK202" s="21"/>
      <c r="QIL202" s="21"/>
      <c r="QIM202" s="21"/>
      <c r="QIN202" s="21"/>
      <c r="QIO202" s="21"/>
      <c r="QIP202" s="21"/>
      <c r="QIQ202" s="21"/>
      <c r="QIR202" s="21"/>
      <c r="QIS202" s="21"/>
      <c r="QIT202" s="21"/>
      <c r="QIU202" s="21"/>
      <c r="QIV202" s="21"/>
      <c r="QIW202" s="21"/>
      <c r="QIX202" s="21"/>
      <c r="QIY202" s="21"/>
      <c r="QIZ202" s="21"/>
      <c r="QJA202" s="21"/>
      <c r="QJB202" s="21"/>
      <c r="QJC202" s="21"/>
      <c r="QJD202" s="21"/>
      <c r="QJE202" s="21"/>
      <c r="QJF202" s="21"/>
      <c r="QJG202" s="21"/>
      <c r="QJH202" s="21"/>
      <c r="QJI202" s="21"/>
      <c r="QJJ202" s="21"/>
      <c r="QJK202" s="21"/>
      <c r="QJL202" s="21"/>
      <c r="QJM202" s="21"/>
      <c r="QJN202" s="21"/>
      <c r="QJO202" s="21"/>
      <c r="QJP202" s="21"/>
      <c r="QJQ202" s="21"/>
      <c r="QJR202" s="21"/>
      <c r="QJS202" s="21"/>
      <c r="QJT202" s="21"/>
      <c r="QJU202" s="21"/>
      <c r="QJV202" s="21"/>
      <c r="QJW202" s="21"/>
      <c r="QJX202" s="21"/>
      <c r="QJY202" s="21"/>
      <c r="QJZ202" s="21"/>
      <c r="QKA202" s="21"/>
      <c r="QKB202" s="21"/>
      <c r="QKC202" s="21"/>
      <c r="QKD202" s="21"/>
      <c r="QKE202" s="21"/>
      <c r="QKF202" s="21"/>
      <c r="QKG202" s="21"/>
      <c r="QKH202" s="21"/>
      <c r="QKI202" s="21"/>
      <c r="QKJ202" s="21"/>
      <c r="QKK202" s="21"/>
      <c r="QKL202" s="21"/>
      <c r="QKM202" s="21"/>
      <c r="QKN202" s="21"/>
      <c r="QKO202" s="21"/>
      <c r="QKP202" s="21"/>
      <c r="QKQ202" s="21"/>
      <c r="QKR202" s="21"/>
      <c r="QKS202" s="21"/>
      <c r="QKT202" s="21"/>
      <c r="QKU202" s="21"/>
      <c r="QKV202" s="21"/>
      <c r="QKW202" s="21"/>
      <c r="QKX202" s="21"/>
      <c r="QKY202" s="21"/>
      <c r="QKZ202" s="21"/>
      <c r="QLA202" s="21"/>
      <c r="QLB202" s="21"/>
      <c r="QLC202" s="21"/>
      <c r="QLD202" s="21"/>
      <c r="QLE202" s="21"/>
      <c r="QLF202" s="21"/>
      <c r="QLG202" s="21"/>
      <c r="QLH202" s="21"/>
      <c r="QLI202" s="21"/>
      <c r="QLJ202" s="21"/>
      <c r="QLK202" s="21"/>
      <c r="QLL202" s="21"/>
      <c r="QLM202" s="21"/>
      <c r="QLN202" s="21"/>
      <c r="QLO202" s="21"/>
      <c r="QLP202" s="21"/>
      <c r="QLQ202" s="21"/>
      <c r="QLR202" s="21"/>
      <c r="QLS202" s="21"/>
      <c r="QLT202" s="21"/>
      <c r="QLU202" s="21"/>
      <c r="QLV202" s="21"/>
      <c r="QLW202" s="21"/>
      <c r="QLX202" s="21"/>
      <c r="QLY202" s="21"/>
      <c r="QLZ202" s="21"/>
      <c r="QMA202" s="21"/>
      <c r="QMB202" s="21"/>
      <c r="QMC202" s="21"/>
      <c r="QMD202" s="21"/>
      <c r="QME202" s="21"/>
      <c r="QMF202" s="21"/>
      <c r="QMG202" s="21"/>
      <c r="QMH202" s="21"/>
      <c r="QMI202" s="21"/>
      <c r="QMJ202" s="21"/>
      <c r="QMK202" s="21"/>
      <c r="QML202" s="21"/>
      <c r="QMM202" s="21"/>
      <c r="QMN202" s="21"/>
      <c r="QMO202" s="21"/>
      <c r="QMP202" s="21"/>
      <c r="QMQ202" s="21"/>
      <c r="QMR202" s="21"/>
      <c r="QMS202" s="21"/>
      <c r="QMT202" s="21"/>
      <c r="QMU202" s="21"/>
      <c r="QMV202" s="21"/>
      <c r="QMW202" s="21"/>
      <c r="QMX202" s="21"/>
      <c r="QMY202" s="21"/>
      <c r="QMZ202" s="21"/>
      <c r="QNA202" s="21"/>
      <c r="QNB202" s="21"/>
      <c r="QNC202" s="21"/>
      <c r="QND202" s="21"/>
      <c r="QNE202" s="21"/>
      <c r="QNF202" s="21"/>
      <c r="QNG202" s="21"/>
      <c r="QNH202" s="21"/>
      <c r="QNI202" s="21"/>
      <c r="QNJ202" s="21"/>
      <c r="QNK202" s="21"/>
      <c r="QNL202" s="21"/>
      <c r="QNM202" s="21"/>
      <c r="QNN202" s="21"/>
      <c r="QNO202" s="21"/>
      <c r="QNP202" s="21"/>
      <c r="QNQ202" s="21"/>
      <c r="QNR202" s="21"/>
      <c r="QNS202" s="21"/>
      <c r="QNT202" s="21"/>
      <c r="QNU202" s="21"/>
      <c r="QNV202" s="21"/>
      <c r="QNW202" s="21"/>
      <c r="QNX202" s="21"/>
      <c r="QNY202" s="21"/>
      <c r="QNZ202" s="21"/>
      <c r="QOA202" s="21"/>
      <c r="QOB202" s="21"/>
      <c r="QOC202" s="21"/>
      <c r="QOD202" s="21"/>
      <c r="QOE202" s="21"/>
      <c r="QOF202" s="21"/>
      <c r="QOG202" s="21"/>
      <c r="QOH202" s="21"/>
      <c r="QOI202" s="21"/>
      <c r="QOJ202" s="21"/>
      <c r="QOK202" s="21"/>
      <c r="QOL202" s="21"/>
      <c r="QOM202" s="21"/>
      <c r="QON202" s="21"/>
      <c r="QOO202" s="21"/>
      <c r="QOP202" s="21"/>
      <c r="QOQ202" s="21"/>
      <c r="QOR202" s="21"/>
      <c r="QOS202" s="21"/>
      <c r="QOT202" s="21"/>
      <c r="QOU202" s="21"/>
      <c r="QOV202" s="21"/>
      <c r="QOW202" s="21"/>
      <c r="QOX202" s="21"/>
      <c r="QOY202" s="21"/>
      <c r="QOZ202" s="21"/>
      <c r="QPA202" s="21"/>
      <c r="QPB202" s="21"/>
      <c r="QPC202" s="21"/>
      <c r="QPD202" s="21"/>
      <c r="QPE202" s="21"/>
      <c r="QPF202" s="21"/>
      <c r="QPG202" s="21"/>
      <c r="QPH202" s="21"/>
      <c r="QPI202" s="21"/>
      <c r="QPJ202" s="21"/>
      <c r="QPK202" s="21"/>
      <c r="QPL202" s="21"/>
      <c r="QPM202" s="21"/>
      <c r="QPN202" s="21"/>
      <c r="QPO202" s="21"/>
      <c r="QPP202" s="21"/>
      <c r="QPQ202" s="21"/>
      <c r="QPR202" s="21"/>
      <c r="QPS202" s="21"/>
      <c r="QPT202" s="21"/>
      <c r="QPU202" s="21"/>
      <c r="QPV202" s="21"/>
      <c r="QPW202" s="21"/>
      <c r="QPX202" s="21"/>
      <c r="QPY202" s="21"/>
      <c r="QPZ202" s="21"/>
      <c r="QQA202" s="21"/>
      <c r="QQB202" s="21"/>
      <c r="QQC202" s="21"/>
      <c r="QQD202" s="21"/>
      <c r="QQE202" s="21"/>
      <c r="QQF202" s="21"/>
      <c r="QQG202" s="21"/>
      <c r="QQH202" s="21"/>
      <c r="QQI202" s="21"/>
      <c r="QQJ202" s="21"/>
      <c r="QQK202" s="21"/>
      <c r="QQL202" s="21"/>
      <c r="QQM202" s="21"/>
      <c r="QQN202" s="21"/>
      <c r="QQO202" s="21"/>
      <c r="QQP202" s="21"/>
      <c r="QQQ202" s="21"/>
      <c r="QQR202" s="21"/>
      <c r="QQS202" s="21"/>
      <c r="QQT202" s="21"/>
      <c r="QQU202" s="21"/>
      <c r="QQV202" s="21"/>
      <c r="QQW202" s="21"/>
      <c r="QQX202" s="21"/>
      <c r="QQY202" s="21"/>
      <c r="QQZ202" s="21"/>
      <c r="QRA202" s="21"/>
      <c r="QRB202" s="21"/>
      <c r="QRC202" s="21"/>
      <c r="QRD202" s="21"/>
      <c r="QRE202" s="21"/>
      <c r="QRF202" s="21"/>
      <c r="QRG202" s="21"/>
      <c r="QRH202" s="21"/>
      <c r="QRI202" s="21"/>
      <c r="QRJ202" s="21"/>
      <c r="QRK202" s="21"/>
      <c r="QRL202" s="21"/>
      <c r="QRM202" s="21"/>
      <c r="QRN202" s="21"/>
      <c r="QRO202" s="21"/>
      <c r="QRP202" s="21"/>
      <c r="QRQ202" s="21"/>
      <c r="QRR202" s="21"/>
      <c r="QRS202" s="21"/>
      <c r="QRT202" s="21"/>
      <c r="QRU202" s="21"/>
      <c r="QRV202" s="21"/>
      <c r="QRW202" s="21"/>
      <c r="QRX202" s="21"/>
      <c r="QRY202" s="21"/>
      <c r="QRZ202" s="21"/>
      <c r="QSA202" s="21"/>
      <c r="QSB202" s="21"/>
      <c r="QSC202" s="21"/>
      <c r="QSD202" s="21"/>
      <c r="QSE202" s="21"/>
      <c r="QSF202" s="21"/>
      <c r="QSG202" s="21"/>
      <c r="QSH202" s="21"/>
      <c r="QSI202" s="21"/>
      <c r="QSJ202" s="21"/>
      <c r="QSK202" s="21"/>
      <c r="QSL202" s="21"/>
      <c r="QSM202" s="21"/>
      <c r="QSN202" s="21"/>
      <c r="QSO202" s="21"/>
      <c r="QSP202" s="21"/>
      <c r="QSQ202" s="21"/>
      <c r="QSR202" s="21"/>
      <c r="QSS202" s="21"/>
      <c r="QST202" s="21"/>
      <c r="QSU202" s="21"/>
      <c r="QSV202" s="21"/>
      <c r="QSW202" s="21"/>
      <c r="QSX202" s="21"/>
      <c r="QSY202" s="21"/>
      <c r="QSZ202" s="21"/>
      <c r="QTA202" s="21"/>
      <c r="QTB202" s="21"/>
      <c r="QTC202" s="21"/>
      <c r="QTD202" s="21"/>
      <c r="QTE202" s="21"/>
      <c r="QTF202" s="21"/>
      <c r="QTG202" s="21"/>
      <c r="QTH202" s="21"/>
      <c r="QTI202" s="21"/>
      <c r="QTJ202" s="21"/>
      <c r="QTK202" s="21"/>
      <c r="QTL202" s="21"/>
      <c r="QTM202" s="21"/>
      <c r="QTN202" s="21"/>
      <c r="QTO202" s="21"/>
      <c r="QTP202" s="21"/>
      <c r="QTQ202" s="21"/>
      <c r="QTR202" s="21"/>
      <c r="QTS202" s="21"/>
      <c r="QTT202" s="21"/>
      <c r="QTU202" s="21"/>
      <c r="QTV202" s="21"/>
      <c r="QTW202" s="21"/>
      <c r="QTX202" s="21"/>
      <c r="QTY202" s="21"/>
      <c r="QTZ202" s="21"/>
      <c r="QUA202" s="21"/>
      <c r="QUB202" s="21"/>
      <c r="QUC202" s="21"/>
      <c r="QUD202" s="21"/>
      <c r="QUE202" s="21"/>
      <c r="QUF202" s="21"/>
      <c r="QUG202" s="21"/>
      <c r="QUH202" s="21"/>
      <c r="QUI202" s="21"/>
      <c r="QUJ202" s="21"/>
      <c r="QUK202" s="21"/>
      <c r="QUL202" s="21"/>
      <c r="QUM202" s="21"/>
      <c r="QUN202" s="21"/>
      <c r="QUO202" s="21"/>
      <c r="QUP202" s="21"/>
      <c r="QUQ202" s="21"/>
      <c r="QUR202" s="21"/>
      <c r="QUS202" s="21"/>
      <c r="QUT202" s="21"/>
      <c r="QUU202" s="21"/>
      <c r="QUV202" s="21"/>
      <c r="QUW202" s="21"/>
      <c r="QUX202" s="21"/>
      <c r="QUY202" s="21"/>
      <c r="QUZ202" s="21"/>
      <c r="QVA202" s="21"/>
      <c r="QVB202" s="21"/>
      <c r="QVC202" s="21"/>
      <c r="QVD202" s="21"/>
      <c r="QVE202" s="21"/>
      <c r="QVF202" s="21"/>
      <c r="QVG202" s="21"/>
      <c r="QVH202" s="21"/>
      <c r="QVI202" s="21"/>
      <c r="QVJ202" s="21"/>
      <c r="QVK202" s="21"/>
      <c r="QVL202" s="21"/>
      <c r="QVM202" s="21"/>
      <c r="QVN202" s="21"/>
      <c r="QVO202" s="21"/>
      <c r="QVP202" s="21"/>
      <c r="QVQ202" s="21"/>
      <c r="QVR202" s="21"/>
      <c r="QVS202" s="21"/>
      <c r="QVT202" s="21"/>
      <c r="QVU202" s="21"/>
      <c r="QVV202" s="21"/>
      <c r="QVW202" s="21"/>
      <c r="QVX202" s="21"/>
      <c r="QVY202" s="21"/>
      <c r="QVZ202" s="21"/>
      <c r="QWA202" s="21"/>
      <c r="QWB202" s="21"/>
      <c r="QWC202" s="21"/>
      <c r="QWD202" s="21"/>
      <c r="QWE202" s="21"/>
      <c r="QWF202" s="21"/>
      <c r="QWG202" s="21"/>
      <c r="QWH202" s="21"/>
      <c r="QWI202" s="21"/>
      <c r="QWJ202" s="21"/>
      <c r="QWK202" s="21"/>
      <c r="QWL202" s="21"/>
      <c r="QWM202" s="21"/>
      <c r="QWN202" s="21"/>
      <c r="QWO202" s="21"/>
      <c r="QWP202" s="21"/>
      <c r="QWQ202" s="21"/>
      <c r="QWR202" s="21"/>
      <c r="QWS202" s="21"/>
      <c r="QWT202" s="21"/>
      <c r="QWU202" s="21"/>
      <c r="QWV202" s="21"/>
      <c r="QWW202" s="21"/>
      <c r="QWX202" s="21"/>
      <c r="QWY202" s="21"/>
      <c r="QWZ202" s="21"/>
      <c r="QXA202" s="21"/>
      <c r="QXB202" s="21"/>
      <c r="QXC202" s="21"/>
      <c r="QXD202" s="21"/>
      <c r="QXE202" s="21"/>
      <c r="QXF202" s="21"/>
      <c r="QXG202" s="21"/>
      <c r="QXH202" s="21"/>
      <c r="QXI202" s="21"/>
      <c r="QXJ202" s="21"/>
      <c r="QXK202" s="21"/>
      <c r="QXL202" s="21"/>
      <c r="QXM202" s="21"/>
      <c r="QXN202" s="21"/>
      <c r="QXO202" s="21"/>
      <c r="QXP202" s="21"/>
      <c r="QXQ202" s="21"/>
      <c r="QXR202" s="21"/>
      <c r="QXS202" s="21"/>
      <c r="QXT202" s="21"/>
      <c r="QXU202" s="21"/>
      <c r="QXV202" s="21"/>
      <c r="QXW202" s="21"/>
      <c r="QXX202" s="21"/>
      <c r="QXY202" s="21"/>
      <c r="QXZ202" s="21"/>
      <c r="QYA202" s="21"/>
      <c r="QYB202" s="21"/>
      <c r="QYC202" s="21"/>
      <c r="QYD202" s="21"/>
      <c r="QYE202" s="21"/>
      <c r="QYF202" s="21"/>
      <c r="QYG202" s="21"/>
      <c r="QYH202" s="21"/>
      <c r="QYI202" s="21"/>
      <c r="QYJ202" s="21"/>
      <c r="QYK202" s="21"/>
      <c r="QYL202" s="21"/>
      <c r="QYM202" s="21"/>
      <c r="QYN202" s="21"/>
      <c r="QYO202" s="21"/>
      <c r="QYP202" s="21"/>
      <c r="QYQ202" s="21"/>
      <c r="QYR202" s="21"/>
      <c r="QYS202" s="21"/>
      <c r="QYT202" s="21"/>
      <c r="QYU202" s="21"/>
      <c r="QYV202" s="21"/>
      <c r="QYW202" s="21"/>
      <c r="QYX202" s="21"/>
      <c r="QYY202" s="21"/>
      <c r="QYZ202" s="21"/>
      <c r="QZA202" s="21"/>
      <c r="QZB202" s="21"/>
      <c r="QZC202" s="21"/>
      <c r="QZD202" s="21"/>
      <c r="QZE202" s="21"/>
      <c r="QZF202" s="21"/>
      <c r="QZG202" s="21"/>
      <c r="QZH202" s="21"/>
      <c r="QZI202" s="21"/>
      <c r="QZJ202" s="21"/>
      <c r="QZK202" s="21"/>
      <c r="QZL202" s="21"/>
      <c r="QZM202" s="21"/>
      <c r="QZN202" s="21"/>
      <c r="QZO202" s="21"/>
      <c r="QZP202" s="21"/>
      <c r="QZQ202" s="21"/>
      <c r="QZR202" s="21"/>
      <c r="QZS202" s="21"/>
      <c r="QZT202" s="21"/>
      <c r="QZU202" s="21"/>
      <c r="QZV202" s="21"/>
      <c r="QZW202" s="21"/>
      <c r="QZX202" s="21"/>
      <c r="QZY202" s="21"/>
      <c r="QZZ202" s="21"/>
      <c r="RAA202" s="21"/>
      <c r="RAB202" s="21"/>
      <c r="RAC202" s="21"/>
      <c r="RAD202" s="21"/>
      <c r="RAE202" s="21"/>
      <c r="RAF202" s="21"/>
      <c r="RAG202" s="21"/>
      <c r="RAH202" s="21"/>
      <c r="RAI202" s="21"/>
      <c r="RAJ202" s="21"/>
      <c r="RAK202" s="21"/>
      <c r="RAL202" s="21"/>
      <c r="RAM202" s="21"/>
      <c r="RAN202" s="21"/>
      <c r="RAO202" s="21"/>
      <c r="RAP202" s="21"/>
      <c r="RAQ202" s="21"/>
      <c r="RAR202" s="21"/>
      <c r="RAS202" s="21"/>
      <c r="RAT202" s="21"/>
      <c r="RAU202" s="21"/>
      <c r="RAV202" s="21"/>
      <c r="RAW202" s="21"/>
      <c r="RAX202" s="21"/>
      <c r="RAY202" s="21"/>
      <c r="RAZ202" s="21"/>
      <c r="RBA202" s="21"/>
      <c r="RBB202" s="21"/>
      <c r="RBC202" s="21"/>
      <c r="RBD202" s="21"/>
      <c r="RBE202" s="21"/>
      <c r="RBF202" s="21"/>
      <c r="RBG202" s="21"/>
      <c r="RBH202" s="21"/>
      <c r="RBI202" s="21"/>
      <c r="RBJ202" s="21"/>
      <c r="RBK202" s="21"/>
      <c r="RBL202" s="21"/>
      <c r="RBM202" s="21"/>
      <c r="RBN202" s="21"/>
      <c r="RBO202" s="21"/>
      <c r="RBP202" s="21"/>
      <c r="RBQ202" s="21"/>
      <c r="RBR202" s="21"/>
      <c r="RBS202" s="21"/>
      <c r="RBT202" s="21"/>
      <c r="RBU202" s="21"/>
      <c r="RBV202" s="21"/>
      <c r="RBW202" s="21"/>
      <c r="RBX202" s="21"/>
      <c r="RBY202" s="21"/>
      <c r="RBZ202" s="21"/>
      <c r="RCA202" s="21"/>
      <c r="RCB202" s="21"/>
      <c r="RCC202" s="21"/>
      <c r="RCD202" s="21"/>
      <c r="RCE202" s="21"/>
      <c r="RCF202" s="21"/>
      <c r="RCG202" s="21"/>
      <c r="RCH202" s="21"/>
      <c r="RCI202" s="21"/>
      <c r="RCJ202" s="21"/>
      <c r="RCK202" s="21"/>
      <c r="RCL202" s="21"/>
      <c r="RCM202" s="21"/>
      <c r="RCN202" s="21"/>
      <c r="RCO202" s="21"/>
      <c r="RCP202" s="21"/>
      <c r="RCQ202" s="21"/>
      <c r="RCR202" s="21"/>
      <c r="RCS202" s="21"/>
      <c r="RCT202" s="21"/>
      <c r="RCU202" s="21"/>
      <c r="RCV202" s="21"/>
      <c r="RCW202" s="21"/>
      <c r="RCX202" s="21"/>
      <c r="RCY202" s="21"/>
      <c r="RCZ202" s="21"/>
      <c r="RDA202" s="21"/>
      <c r="RDB202" s="21"/>
      <c r="RDC202" s="21"/>
      <c r="RDD202" s="21"/>
      <c r="RDE202" s="21"/>
      <c r="RDF202" s="21"/>
      <c r="RDG202" s="21"/>
      <c r="RDH202" s="21"/>
      <c r="RDI202" s="21"/>
      <c r="RDJ202" s="21"/>
      <c r="RDK202" s="21"/>
      <c r="RDL202" s="21"/>
      <c r="RDM202" s="21"/>
      <c r="RDN202" s="21"/>
      <c r="RDO202" s="21"/>
      <c r="RDP202" s="21"/>
      <c r="RDQ202" s="21"/>
      <c r="RDR202" s="21"/>
      <c r="RDS202" s="21"/>
      <c r="RDT202" s="21"/>
      <c r="RDU202" s="21"/>
      <c r="RDV202" s="21"/>
      <c r="RDW202" s="21"/>
      <c r="RDX202" s="21"/>
      <c r="RDY202" s="21"/>
      <c r="RDZ202" s="21"/>
      <c r="REA202" s="21"/>
      <c r="REB202" s="21"/>
      <c r="REC202" s="21"/>
      <c r="RED202" s="21"/>
      <c r="REE202" s="21"/>
      <c r="REF202" s="21"/>
      <c r="REG202" s="21"/>
      <c r="REH202" s="21"/>
      <c r="REI202" s="21"/>
      <c r="REJ202" s="21"/>
      <c r="REK202" s="21"/>
      <c r="REL202" s="21"/>
      <c r="REM202" s="21"/>
      <c r="REN202" s="21"/>
      <c r="REO202" s="21"/>
      <c r="REP202" s="21"/>
      <c r="REQ202" s="21"/>
      <c r="RER202" s="21"/>
      <c r="RES202" s="21"/>
      <c r="RET202" s="21"/>
      <c r="REU202" s="21"/>
      <c r="REV202" s="21"/>
      <c r="REW202" s="21"/>
      <c r="REX202" s="21"/>
      <c r="REY202" s="21"/>
      <c r="REZ202" s="21"/>
      <c r="RFA202" s="21"/>
      <c r="RFB202" s="21"/>
      <c r="RFC202" s="21"/>
      <c r="RFD202" s="21"/>
      <c r="RFE202" s="21"/>
      <c r="RFF202" s="21"/>
      <c r="RFG202" s="21"/>
      <c r="RFH202" s="21"/>
      <c r="RFI202" s="21"/>
      <c r="RFJ202" s="21"/>
      <c r="RFK202" s="21"/>
      <c r="RFL202" s="21"/>
      <c r="RFM202" s="21"/>
      <c r="RFN202" s="21"/>
      <c r="RFO202" s="21"/>
      <c r="RFP202" s="21"/>
      <c r="RFQ202" s="21"/>
      <c r="RFR202" s="21"/>
      <c r="RFS202" s="21"/>
      <c r="RFT202" s="21"/>
      <c r="RFU202" s="21"/>
      <c r="RFV202" s="21"/>
      <c r="RFW202" s="21"/>
      <c r="RFX202" s="21"/>
      <c r="RFY202" s="21"/>
      <c r="RFZ202" s="21"/>
      <c r="RGA202" s="21"/>
      <c r="RGB202" s="21"/>
      <c r="RGC202" s="21"/>
      <c r="RGD202" s="21"/>
      <c r="RGE202" s="21"/>
      <c r="RGF202" s="21"/>
      <c r="RGG202" s="21"/>
      <c r="RGH202" s="21"/>
      <c r="RGI202" s="21"/>
      <c r="RGJ202" s="21"/>
      <c r="RGK202" s="21"/>
      <c r="RGL202" s="21"/>
      <c r="RGM202" s="21"/>
      <c r="RGN202" s="21"/>
      <c r="RGO202" s="21"/>
      <c r="RGP202" s="21"/>
      <c r="RGQ202" s="21"/>
      <c r="RGR202" s="21"/>
      <c r="RGS202" s="21"/>
      <c r="RGT202" s="21"/>
      <c r="RGU202" s="21"/>
      <c r="RGV202" s="21"/>
      <c r="RGW202" s="21"/>
      <c r="RGX202" s="21"/>
      <c r="RGY202" s="21"/>
      <c r="RGZ202" s="21"/>
      <c r="RHA202" s="21"/>
      <c r="RHB202" s="21"/>
      <c r="RHC202" s="21"/>
      <c r="RHD202" s="21"/>
      <c r="RHE202" s="21"/>
      <c r="RHF202" s="21"/>
      <c r="RHG202" s="21"/>
      <c r="RHH202" s="21"/>
      <c r="RHI202" s="21"/>
      <c r="RHJ202" s="21"/>
      <c r="RHK202" s="21"/>
      <c r="RHL202" s="21"/>
      <c r="RHM202" s="21"/>
      <c r="RHN202" s="21"/>
      <c r="RHO202" s="21"/>
      <c r="RHP202" s="21"/>
      <c r="RHQ202" s="21"/>
      <c r="RHR202" s="21"/>
      <c r="RHS202" s="21"/>
      <c r="RHT202" s="21"/>
      <c r="RHU202" s="21"/>
      <c r="RHV202" s="21"/>
      <c r="RHW202" s="21"/>
      <c r="RHX202" s="21"/>
      <c r="RHY202" s="21"/>
      <c r="RHZ202" s="21"/>
      <c r="RIA202" s="21"/>
      <c r="RIB202" s="21"/>
      <c r="RIC202" s="21"/>
      <c r="RID202" s="21"/>
      <c r="RIE202" s="21"/>
      <c r="RIF202" s="21"/>
      <c r="RIG202" s="21"/>
      <c r="RIH202" s="21"/>
      <c r="RII202" s="21"/>
      <c r="RIJ202" s="21"/>
      <c r="RIK202" s="21"/>
      <c r="RIL202" s="21"/>
      <c r="RIM202" s="21"/>
      <c r="RIN202" s="21"/>
      <c r="RIO202" s="21"/>
      <c r="RIP202" s="21"/>
      <c r="RIQ202" s="21"/>
      <c r="RIR202" s="21"/>
      <c r="RIS202" s="21"/>
      <c r="RIT202" s="21"/>
      <c r="RIU202" s="21"/>
      <c r="RIV202" s="21"/>
      <c r="RIW202" s="21"/>
      <c r="RIX202" s="21"/>
      <c r="RIY202" s="21"/>
      <c r="RIZ202" s="21"/>
      <c r="RJA202" s="21"/>
      <c r="RJB202" s="21"/>
      <c r="RJC202" s="21"/>
      <c r="RJD202" s="21"/>
      <c r="RJE202" s="21"/>
      <c r="RJF202" s="21"/>
      <c r="RJG202" s="21"/>
      <c r="RJH202" s="21"/>
      <c r="RJI202" s="21"/>
      <c r="RJJ202" s="21"/>
      <c r="RJK202" s="21"/>
      <c r="RJL202" s="21"/>
      <c r="RJM202" s="21"/>
      <c r="RJN202" s="21"/>
      <c r="RJO202" s="21"/>
      <c r="RJP202" s="21"/>
      <c r="RJQ202" s="21"/>
      <c r="RJR202" s="21"/>
      <c r="RJS202" s="21"/>
      <c r="RJT202" s="21"/>
      <c r="RJU202" s="21"/>
      <c r="RJV202" s="21"/>
      <c r="RJW202" s="21"/>
      <c r="RJX202" s="21"/>
      <c r="RJY202" s="21"/>
      <c r="RJZ202" s="21"/>
      <c r="RKA202" s="21"/>
      <c r="RKB202" s="21"/>
      <c r="RKC202" s="21"/>
      <c r="RKD202" s="21"/>
      <c r="RKE202" s="21"/>
      <c r="RKF202" s="21"/>
      <c r="RKG202" s="21"/>
      <c r="RKH202" s="21"/>
      <c r="RKI202" s="21"/>
      <c r="RKJ202" s="21"/>
      <c r="RKK202" s="21"/>
      <c r="RKL202" s="21"/>
      <c r="RKM202" s="21"/>
      <c r="RKN202" s="21"/>
      <c r="RKO202" s="21"/>
      <c r="RKP202" s="21"/>
      <c r="RKQ202" s="21"/>
      <c r="RKR202" s="21"/>
      <c r="RKS202" s="21"/>
      <c r="RKT202" s="21"/>
      <c r="RKU202" s="21"/>
      <c r="RKV202" s="21"/>
      <c r="RKW202" s="21"/>
      <c r="RKX202" s="21"/>
      <c r="RKY202" s="21"/>
      <c r="RKZ202" s="21"/>
      <c r="RLA202" s="21"/>
      <c r="RLB202" s="21"/>
      <c r="RLC202" s="21"/>
      <c r="RLD202" s="21"/>
      <c r="RLE202" s="21"/>
      <c r="RLF202" s="21"/>
      <c r="RLG202" s="21"/>
      <c r="RLH202" s="21"/>
      <c r="RLI202" s="21"/>
      <c r="RLJ202" s="21"/>
      <c r="RLK202" s="21"/>
      <c r="RLL202" s="21"/>
      <c r="RLM202" s="21"/>
      <c r="RLN202" s="21"/>
      <c r="RLO202" s="21"/>
      <c r="RLP202" s="21"/>
      <c r="RLQ202" s="21"/>
      <c r="RLR202" s="21"/>
      <c r="RLS202" s="21"/>
      <c r="RLT202" s="21"/>
      <c r="RLU202" s="21"/>
      <c r="RLV202" s="21"/>
      <c r="RLW202" s="21"/>
      <c r="RLX202" s="21"/>
      <c r="RLY202" s="21"/>
      <c r="RLZ202" s="21"/>
      <c r="RMA202" s="21"/>
      <c r="RMB202" s="21"/>
      <c r="RMC202" s="21"/>
      <c r="RMD202" s="21"/>
      <c r="RME202" s="21"/>
      <c r="RMF202" s="21"/>
      <c r="RMG202" s="21"/>
      <c r="RMH202" s="21"/>
      <c r="RMI202" s="21"/>
      <c r="RMJ202" s="21"/>
      <c r="RMK202" s="21"/>
      <c r="RML202" s="21"/>
      <c r="RMM202" s="21"/>
      <c r="RMN202" s="21"/>
      <c r="RMO202" s="21"/>
      <c r="RMP202" s="21"/>
      <c r="RMQ202" s="21"/>
      <c r="RMR202" s="21"/>
      <c r="RMS202" s="21"/>
      <c r="RMT202" s="21"/>
      <c r="RMU202" s="21"/>
      <c r="RMV202" s="21"/>
      <c r="RMW202" s="21"/>
      <c r="RMX202" s="21"/>
      <c r="RMY202" s="21"/>
      <c r="RMZ202" s="21"/>
      <c r="RNA202" s="21"/>
      <c r="RNB202" s="21"/>
      <c r="RNC202" s="21"/>
      <c r="RND202" s="21"/>
      <c r="RNE202" s="21"/>
      <c r="RNF202" s="21"/>
      <c r="RNG202" s="21"/>
      <c r="RNH202" s="21"/>
      <c r="RNI202" s="21"/>
      <c r="RNJ202" s="21"/>
      <c r="RNK202" s="21"/>
      <c r="RNL202" s="21"/>
      <c r="RNM202" s="21"/>
      <c r="RNN202" s="21"/>
      <c r="RNO202" s="21"/>
      <c r="RNP202" s="21"/>
      <c r="RNQ202" s="21"/>
      <c r="RNR202" s="21"/>
      <c r="RNS202" s="21"/>
      <c r="RNT202" s="21"/>
      <c r="RNU202" s="21"/>
      <c r="RNV202" s="21"/>
      <c r="RNW202" s="21"/>
      <c r="RNX202" s="21"/>
      <c r="RNY202" s="21"/>
      <c r="RNZ202" s="21"/>
      <c r="ROA202" s="21"/>
      <c r="ROB202" s="21"/>
      <c r="ROC202" s="21"/>
      <c r="ROD202" s="21"/>
      <c r="ROE202" s="21"/>
      <c r="ROF202" s="21"/>
      <c r="ROG202" s="21"/>
      <c r="ROH202" s="21"/>
      <c r="ROI202" s="21"/>
      <c r="ROJ202" s="21"/>
      <c r="ROK202" s="21"/>
      <c r="ROL202" s="21"/>
      <c r="ROM202" s="21"/>
      <c r="RON202" s="21"/>
      <c r="ROO202" s="21"/>
      <c r="ROP202" s="21"/>
      <c r="ROQ202" s="21"/>
      <c r="ROR202" s="21"/>
      <c r="ROS202" s="21"/>
      <c r="ROT202" s="21"/>
      <c r="ROU202" s="21"/>
      <c r="ROV202" s="21"/>
      <c r="ROW202" s="21"/>
      <c r="ROX202" s="21"/>
      <c r="ROY202" s="21"/>
      <c r="ROZ202" s="21"/>
      <c r="RPA202" s="21"/>
      <c r="RPB202" s="21"/>
      <c r="RPC202" s="21"/>
      <c r="RPD202" s="21"/>
      <c r="RPE202" s="21"/>
      <c r="RPF202" s="21"/>
      <c r="RPG202" s="21"/>
      <c r="RPH202" s="21"/>
      <c r="RPI202" s="21"/>
      <c r="RPJ202" s="21"/>
      <c r="RPK202" s="21"/>
      <c r="RPL202" s="21"/>
      <c r="RPM202" s="21"/>
      <c r="RPN202" s="21"/>
      <c r="RPO202" s="21"/>
      <c r="RPP202" s="21"/>
      <c r="RPQ202" s="21"/>
      <c r="RPR202" s="21"/>
      <c r="RPS202" s="21"/>
      <c r="RPT202" s="21"/>
      <c r="RPU202" s="21"/>
      <c r="RPV202" s="21"/>
      <c r="RPW202" s="21"/>
      <c r="RPX202" s="21"/>
      <c r="RPY202" s="21"/>
      <c r="RPZ202" s="21"/>
      <c r="RQA202" s="21"/>
      <c r="RQB202" s="21"/>
      <c r="RQC202" s="21"/>
      <c r="RQD202" s="21"/>
      <c r="RQE202" s="21"/>
      <c r="RQF202" s="21"/>
      <c r="RQG202" s="21"/>
      <c r="RQH202" s="21"/>
      <c r="RQI202" s="21"/>
      <c r="RQJ202" s="21"/>
      <c r="RQK202" s="21"/>
      <c r="RQL202" s="21"/>
      <c r="RQM202" s="21"/>
      <c r="RQN202" s="21"/>
      <c r="RQO202" s="21"/>
      <c r="RQP202" s="21"/>
      <c r="RQQ202" s="21"/>
      <c r="RQR202" s="21"/>
      <c r="RQS202" s="21"/>
      <c r="RQT202" s="21"/>
      <c r="RQU202" s="21"/>
      <c r="RQV202" s="21"/>
      <c r="RQW202" s="21"/>
      <c r="RQX202" s="21"/>
      <c r="RQY202" s="21"/>
      <c r="RQZ202" s="21"/>
      <c r="RRA202" s="21"/>
      <c r="RRB202" s="21"/>
      <c r="RRC202" s="21"/>
      <c r="RRD202" s="21"/>
      <c r="RRE202" s="21"/>
      <c r="RRF202" s="21"/>
      <c r="RRG202" s="21"/>
      <c r="RRH202" s="21"/>
      <c r="RRI202" s="21"/>
      <c r="RRJ202" s="21"/>
      <c r="RRK202" s="21"/>
      <c r="RRL202" s="21"/>
      <c r="RRM202" s="21"/>
      <c r="RRN202" s="21"/>
      <c r="RRO202" s="21"/>
      <c r="RRP202" s="21"/>
      <c r="RRQ202" s="21"/>
      <c r="RRR202" s="21"/>
      <c r="RRS202" s="21"/>
      <c r="RRT202" s="21"/>
      <c r="RRU202" s="21"/>
      <c r="RRV202" s="21"/>
      <c r="RRW202" s="21"/>
      <c r="RRX202" s="21"/>
      <c r="RRY202" s="21"/>
      <c r="RRZ202" s="21"/>
      <c r="RSA202" s="21"/>
      <c r="RSB202" s="21"/>
      <c r="RSC202" s="21"/>
      <c r="RSD202" s="21"/>
      <c r="RSE202" s="21"/>
      <c r="RSF202" s="21"/>
      <c r="RSG202" s="21"/>
      <c r="RSH202" s="21"/>
      <c r="RSI202" s="21"/>
      <c r="RSJ202" s="21"/>
      <c r="RSK202" s="21"/>
      <c r="RSL202" s="21"/>
      <c r="RSM202" s="21"/>
      <c r="RSN202" s="21"/>
      <c r="RSO202" s="21"/>
      <c r="RSP202" s="21"/>
      <c r="RSQ202" s="21"/>
      <c r="RSR202" s="21"/>
      <c r="RSS202" s="21"/>
      <c r="RST202" s="21"/>
      <c r="RSU202" s="21"/>
      <c r="RSV202" s="21"/>
      <c r="RSW202" s="21"/>
      <c r="RSX202" s="21"/>
      <c r="RSY202" s="21"/>
      <c r="RSZ202" s="21"/>
      <c r="RTA202" s="21"/>
      <c r="RTB202" s="21"/>
      <c r="RTC202" s="21"/>
      <c r="RTD202" s="21"/>
      <c r="RTE202" s="21"/>
      <c r="RTF202" s="21"/>
      <c r="RTG202" s="21"/>
      <c r="RTH202" s="21"/>
      <c r="RTI202" s="21"/>
      <c r="RTJ202" s="21"/>
      <c r="RTK202" s="21"/>
      <c r="RTL202" s="21"/>
      <c r="RTM202" s="21"/>
      <c r="RTN202" s="21"/>
      <c r="RTO202" s="21"/>
      <c r="RTP202" s="21"/>
      <c r="RTQ202" s="21"/>
      <c r="RTR202" s="21"/>
      <c r="RTS202" s="21"/>
      <c r="RTT202" s="21"/>
      <c r="RTU202" s="21"/>
      <c r="RTV202" s="21"/>
      <c r="RTW202" s="21"/>
      <c r="RTX202" s="21"/>
      <c r="RTY202" s="21"/>
      <c r="RTZ202" s="21"/>
      <c r="RUA202" s="21"/>
      <c r="RUB202" s="21"/>
      <c r="RUC202" s="21"/>
      <c r="RUD202" s="21"/>
      <c r="RUE202" s="21"/>
      <c r="RUF202" s="21"/>
      <c r="RUG202" s="21"/>
      <c r="RUH202" s="21"/>
      <c r="RUI202" s="21"/>
      <c r="RUJ202" s="21"/>
      <c r="RUK202" s="21"/>
      <c r="RUL202" s="21"/>
      <c r="RUM202" s="21"/>
      <c r="RUN202" s="21"/>
      <c r="RUO202" s="21"/>
      <c r="RUP202" s="21"/>
      <c r="RUQ202" s="21"/>
      <c r="RUR202" s="21"/>
      <c r="RUS202" s="21"/>
      <c r="RUT202" s="21"/>
      <c r="RUU202" s="21"/>
      <c r="RUV202" s="21"/>
      <c r="RUW202" s="21"/>
      <c r="RUX202" s="21"/>
      <c r="RUY202" s="21"/>
      <c r="RUZ202" s="21"/>
      <c r="RVA202" s="21"/>
      <c r="RVB202" s="21"/>
      <c r="RVC202" s="21"/>
      <c r="RVD202" s="21"/>
      <c r="RVE202" s="21"/>
      <c r="RVF202" s="21"/>
      <c r="RVG202" s="21"/>
      <c r="RVH202" s="21"/>
      <c r="RVI202" s="21"/>
      <c r="RVJ202" s="21"/>
      <c r="RVK202" s="21"/>
      <c r="RVL202" s="21"/>
      <c r="RVM202" s="21"/>
      <c r="RVN202" s="21"/>
      <c r="RVO202" s="21"/>
      <c r="RVP202" s="21"/>
      <c r="RVQ202" s="21"/>
      <c r="RVR202" s="21"/>
      <c r="RVS202" s="21"/>
      <c r="RVT202" s="21"/>
      <c r="RVU202" s="21"/>
      <c r="RVV202" s="21"/>
      <c r="RVW202" s="21"/>
      <c r="RVX202" s="21"/>
      <c r="RVY202" s="21"/>
      <c r="RVZ202" s="21"/>
      <c r="RWA202" s="21"/>
      <c r="RWB202" s="21"/>
      <c r="RWC202" s="21"/>
      <c r="RWD202" s="21"/>
      <c r="RWE202" s="21"/>
      <c r="RWF202" s="21"/>
      <c r="RWG202" s="21"/>
      <c r="RWH202" s="21"/>
      <c r="RWI202" s="21"/>
      <c r="RWJ202" s="21"/>
      <c r="RWK202" s="21"/>
      <c r="RWL202" s="21"/>
      <c r="RWM202" s="21"/>
      <c r="RWN202" s="21"/>
      <c r="RWO202" s="21"/>
      <c r="RWP202" s="21"/>
      <c r="RWQ202" s="21"/>
      <c r="RWR202" s="21"/>
      <c r="RWS202" s="21"/>
      <c r="RWT202" s="21"/>
      <c r="RWU202" s="21"/>
      <c r="RWV202" s="21"/>
      <c r="RWW202" s="21"/>
      <c r="RWX202" s="21"/>
      <c r="RWY202" s="21"/>
      <c r="RWZ202" s="21"/>
      <c r="RXA202" s="21"/>
      <c r="RXB202" s="21"/>
      <c r="RXC202" s="21"/>
      <c r="RXD202" s="21"/>
      <c r="RXE202" s="21"/>
      <c r="RXF202" s="21"/>
      <c r="RXG202" s="21"/>
      <c r="RXH202" s="21"/>
      <c r="RXI202" s="21"/>
      <c r="RXJ202" s="21"/>
      <c r="RXK202" s="21"/>
      <c r="RXL202" s="21"/>
      <c r="RXM202" s="21"/>
      <c r="RXN202" s="21"/>
      <c r="RXO202" s="21"/>
      <c r="RXP202" s="21"/>
      <c r="RXQ202" s="21"/>
      <c r="RXR202" s="21"/>
      <c r="RXS202" s="21"/>
      <c r="RXT202" s="21"/>
      <c r="RXU202" s="21"/>
      <c r="RXV202" s="21"/>
      <c r="RXW202" s="21"/>
      <c r="RXX202" s="21"/>
      <c r="RXY202" s="21"/>
      <c r="RXZ202" s="21"/>
      <c r="RYA202" s="21"/>
      <c r="RYB202" s="21"/>
      <c r="RYC202" s="21"/>
      <c r="RYD202" s="21"/>
      <c r="RYE202" s="21"/>
      <c r="RYF202" s="21"/>
      <c r="RYG202" s="21"/>
      <c r="RYH202" s="21"/>
      <c r="RYI202" s="21"/>
      <c r="RYJ202" s="21"/>
      <c r="RYK202" s="21"/>
      <c r="RYL202" s="21"/>
      <c r="RYM202" s="21"/>
      <c r="RYN202" s="21"/>
      <c r="RYO202" s="21"/>
      <c r="RYP202" s="21"/>
      <c r="RYQ202" s="21"/>
      <c r="RYR202" s="21"/>
      <c r="RYS202" s="21"/>
      <c r="RYT202" s="21"/>
      <c r="RYU202" s="21"/>
      <c r="RYV202" s="21"/>
      <c r="RYW202" s="21"/>
      <c r="RYX202" s="21"/>
      <c r="RYY202" s="21"/>
      <c r="RYZ202" s="21"/>
      <c r="RZA202" s="21"/>
      <c r="RZB202" s="21"/>
      <c r="RZC202" s="21"/>
      <c r="RZD202" s="21"/>
      <c r="RZE202" s="21"/>
      <c r="RZF202" s="21"/>
      <c r="RZG202" s="21"/>
      <c r="RZH202" s="21"/>
      <c r="RZI202" s="21"/>
      <c r="RZJ202" s="21"/>
      <c r="RZK202" s="21"/>
      <c r="RZL202" s="21"/>
      <c r="RZM202" s="21"/>
      <c r="RZN202" s="21"/>
      <c r="RZO202" s="21"/>
      <c r="RZP202" s="21"/>
      <c r="RZQ202" s="21"/>
      <c r="RZR202" s="21"/>
      <c r="RZS202" s="21"/>
      <c r="RZT202" s="21"/>
      <c r="RZU202" s="21"/>
      <c r="RZV202" s="21"/>
      <c r="RZW202" s="21"/>
      <c r="RZX202" s="21"/>
      <c r="RZY202" s="21"/>
      <c r="RZZ202" s="21"/>
      <c r="SAA202" s="21"/>
      <c r="SAB202" s="21"/>
      <c r="SAC202" s="21"/>
      <c r="SAD202" s="21"/>
      <c r="SAE202" s="21"/>
      <c r="SAF202" s="21"/>
      <c r="SAG202" s="21"/>
      <c r="SAH202" s="21"/>
      <c r="SAI202" s="21"/>
      <c r="SAJ202" s="21"/>
      <c r="SAK202" s="21"/>
      <c r="SAL202" s="21"/>
      <c r="SAM202" s="21"/>
      <c r="SAN202" s="21"/>
      <c r="SAO202" s="21"/>
      <c r="SAP202" s="21"/>
      <c r="SAQ202" s="21"/>
      <c r="SAR202" s="21"/>
      <c r="SAS202" s="21"/>
      <c r="SAT202" s="21"/>
      <c r="SAU202" s="21"/>
      <c r="SAV202" s="21"/>
      <c r="SAW202" s="21"/>
      <c r="SAX202" s="21"/>
      <c r="SAY202" s="21"/>
      <c r="SAZ202" s="21"/>
      <c r="SBA202" s="21"/>
      <c r="SBB202" s="21"/>
      <c r="SBC202" s="21"/>
      <c r="SBD202" s="21"/>
      <c r="SBE202" s="21"/>
      <c r="SBF202" s="21"/>
      <c r="SBG202" s="21"/>
      <c r="SBH202" s="21"/>
      <c r="SBI202" s="21"/>
      <c r="SBJ202" s="21"/>
      <c r="SBK202" s="21"/>
      <c r="SBL202" s="21"/>
      <c r="SBM202" s="21"/>
      <c r="SBN202" s="21"/>
      <c r="SBO202" s="21"/>
      <c r="SBP202" s="21"/>
      <c r="SBQ202" s="21"/>
      <c r="SBR202" s="21"/>
      <c r="SBS202" s="21"/>
      <c r="SBT202" s="21"/>
      <c r="SBU202" s="21"/>
      <c r="SBV202" s="21"/>
      <c r="SBW202" s="21"/>
      <c r="SBX202" s="21"/>
      <c r="SBY202" s="21"/>
      <c r="SBZ202" s="21"/>
      <c r="SCA202" s="21"/>
      <c r="SCB202" s="21"/>
      <c r="SCC202" s="21"/>
      <c r="SCD202" s="21"/>
      <c r="SCE202" s="21"/>
      <c r="SCF202" s="21"/>
      <c r="SCG202" s="21"/>
      <c r="SCH202" s="21"/>
      <c r="SCI202" s="21"/>
      <c r="SCJ202" s="21"/>
      <c r="SCK202" s="21"/>
      <c r="SCL202" s="21"/>
      <c r="SCM202" s="21"/>
      <c r="SCN202" s="21"/>
      <c r="SCO202" s="21"/>
      <c r="SCP202" s="21"/>
      <c r="SCQ202" s="21"/>
      <c r="SCR202" s="21"/>
      <c r="SCS202" s="21"/>
      <c r="SCT202" s="21"/>
      <c r="SCU202" s="21"/>
      <c r="SCV202" s="21"/>
      <c r="SCW202" s="21"/>
      <c r="SCX202" s="21"/>
      <c r="SCY202" s="21"/>
      <c r="SCZ202" s="21"/>
      <c r="SDA202" s="21"/>
      <c r="SDB202" s="21"/>
      <c r="SDC202" s="21"/>
      <c r="SDD202" s="21"/>
      <c r="SDE202" s="21"/>
      <c r="SDF202" s="21"/>
      <c r="SDG202" s="21"/>
      <c r="SDH202" s="21"/>
      <c r="SDI202" s="21"/>
      <c r="SDJ202" s="21"/>
      <c r="SDK202" s="21"/>
      <c r="SDL202" s="21"/>
      <c r="SDM202" s="21"/>
      <c r="SDN202" s="21"/>
      <c r="SDO202" s="21"/>
      <c r="SDP202" s="21"/>
      <c r="SDQ202" s="21"/>
      <c r="SDR202" s="21"/>
      <c r="SDS202" s="21"/>
      <c r="SDT202" s="21"/>
      <c r="SDU202" s="21"/>
      <c r="SDV202" s="21"/>
      <c r="SDW202" s="21"/>
      <c r="SDX202" s="21"/>
      <c r="SDY202" s="21"/>
      <c r="SDZ202" s="21"/>
      <c r="SEA202" s="21"/>
      <c r="SEB202" s="21"/>
      <c r="SEC202" s="21"/>
      <c r="SED202" s="21"/>
      <c r="SEE202" s="21"/>
      <c r="SEF202" s="21"/>
      <c r="SEG202" s="21"/>
      <c r="SEH202" s="21"/>
      <c r="SEI202" s="21"/>
      <c r="SEJ202" s="21"/>
      <c r="SEK202" s="21"/>
      <c r="SEL202" s="21"/>
      <c r="SEM202" s="21"/>
      <c r="SEN202" s="21"/>
      <c r="SEO202" s="21"/>
      <c r="SEP202" s="21"/>
      <c r="SEQ202" s="21"/>
      <c r="SER202" s="21"/>
      <c r="SES202" s="21"/>
      <c r="SET202" s="21"/>
      <c r="SEU202" s="21"/>
      <c r="SEV202" s="21"/>
      <c r="SEW202" s="21"/>
      <c r="SEX202" s="21"/>
      <c r="SEY202" s="21"/>
      <c r="SEZ202" s="21"/>
      <c r="SFA202" s="21"/>
      <c r="SFB202" s="21"/>
      <c r="SFC202" s="21"/>
      <c r="SFD202" s="21"/>
      <c r="SFE202" s="21"/>
      <c r="SFF202" s="21"/>
      <c r="SFG202" s="21"/>
      <c r="SFH202" s="21"/>
      <c r="SFI202" s="21"/>
      <c r="SFJ202" s="21"/>
      <c r="SFK202" s="21"/>
      <c r="SFL202" s="21"/>
      <c r="SFM202" s="21"/>
      <c r="SFN202" s="21"/>
      <c r="SFO202" s="21"/>
      <c r="SFP202" s="21"/>
      <c r="SFQ202" s="21"/>
      <c r="SFR202" s="21"/>
      <c r="SFS202" s="21"/>
      <c r="SFT202" s="21"/>
      <c r="SFU202" s="21"/>
      <c r="SFV202" s="21"/>
      <c r="SFW202" s="21"/>
      <c r="SFX202" s="21"/>
      <c r="SFY202" s="21"/>
      <c r="SFZ202" s="21"/>
      <c r="SGA202" s="21"/>
      <c r="SGB202" s="21"/>
      <c r="SGC202" s="21"/>
      <c r="SGD202" s="21"/>
      <c r="SGE202" s="21"/>
      <c r="SGF202" s="21"/>
      <c r="SGG202" s="21"/>
      <c r="SGH202" s="21"/>
      <c r="SGI202" s="21"/>
      <c r="SGJ202" s="21"/>
      <c r="SGK202" s="21"/>
      <c r="SGL202" s="21"/>
      <c r="SGM202" s="21"/>
      <c r="SGN202" s="21"/>
      <c r="SGO202" s="21"/>
      <c r="SGP202" s="21"/>
      <c r="SGQ202" s="21"/>
      <c r="SGR202" s="21"/>
      <c r="SGS202" s="21"/>
      <c r="SGT202" s="21"/>
      <c r="SGU202" s="21"/>
      <c r="SGV202" s="21"/>
      <c r="SGW202" s="21"/>
      <c r="SGX202" s="21"/>
      <c r="SGY202" s="21"/>
      <c r="SGZ202" s="21"/>
      <c r="SHA202" s="21"/>
      <c r="SHB202" s="21"/>
      <c r="SHC202" s="21"/>
      <c r="SHD202" s="21"/>
      <c r="SHE202" s="21"/>
      <c r="SHF202" s="21"/>
      <c r="SHG202" s="21"/>
      <c r="SHH202" s="21"/>
      <c r="SHI202" s="21"/>
      <c r="SHJ202" s="21"/>
      <c r="SHK202" s="21"/>
      <c r="SHL202" s="21"/>
      <c r="SHM202" s="21"/>
      <c r="SHN202" s="21"/>
      <c r="SHO202" s="21"/>
      <c r="SHP202" s="21"/>
      <c r="SHQ202" s="21"/>
      <c r="SHR202" s="21"/>
      <c r="SHS202" s="21"/>
      <c r="SHT202" s="21"/>
      <c r="SHU202" s="21"/>
      <c r="SHV202" s="21"/>
      <c r="SHW202" s="21"/>
      <c r="SHX202" s="21"/>
      <c r="SHY202" s="21"/>
      <c r="SHZ202" s="21"/>
      <c r="SIA202" s="21"/>
      <c r="SIB202" s="21"/>
      <c r="SIC202" s="21"/>
      <c r="SID202" s="21"/>
      <c r="SIE202" s="21"/>
      <c r="SIF202" s="21"/>
      <c r="SIG202" s="21"/>
      <c r="SIH202" s="21"/>
      <c r="SII202" s="21"/>
      <c r="SIJ202" s="21"/>
      <c r="SIK202" s="21"/>
      <c r="SIL202" s="21"/>
      <c r="SIM202" s="21"/>
      <c r="SIN202" s="21"/>
      <c r="SIO202" s="21"/>
      <c r="SIP202" s="21"/>
      <c r="SIQ202" s="21"/>
      <c r="SIR202" s="21"/>
      <c r="SIS202" s="21"/>
      <c r="SIT202" s="21"/>
      <c r="SIU202" s="21"/>
      <c r="SIV202" s="21"/>
      <c r="SIW202" s="21"/>
      <c r="SIX202" s="21"/>
      <c r="SIY202" s="21"/>
      <c r="SIZ202" s="21"/>
      <c r="SJA202" s="21"/>
      <c r="SJB202" s="21"/>
      <c r="SJC202" s="21"/>
      <c r="SJD202" s="21"/>
      <c r="SJE202" s="21"/>
      <c r="SJF202" s="21"/>
      <c r="SJG202" s="21"/>
      <c r="SJH202" s="21"/>
      <c r="SJI202" s="21"/>
      <c r="SJJ202" s="21"/>
      <c r="SJK202" s="21"/>
      <c r="SJL202" s="21"/>
      <c r="SJM202" s="21"/>
      <c r="SJN202" s="21"/>
      <c r="SJO202" s="21"/>
      <c r="SJP202" s="21"/>
      <c r="SJQ202" s="21"/>
      <c r="SJR202" s="21"/>
      <c r="SJS202" s="21"/>
      <c r="SJT202" s="21"/>
      <c r="SJU202" s="21"/>
      <c r="SJV202" s="21"/>
      <c r="SJW202" s="21"/>
      <c r="SJX202" s="21"/>
      <c r="SJY202" s="21"/>
      <c r="SJZ202" s="21"/>
      <c r="SKA202" s="21"/>
      <c r="SKB202" s="21"/>
      <c r="SKC202" s="21"/>
      <c r="SKD202" s="21"/>
      <c r="SKE202" s="21"/>
      <c r="SKF202" s="21"/>
      <c r="SKG202" s="21"/>
      <c r="SKH202" s="21"/>
      <c r="SKI202" s="21"/>
      <c r="SKJ202" s="21"/>
      <c r="SKK202" s="21"/>
      <c r="SKL202" s="21"/>
      <c r="SKM202" s="21"/>
      <c r="SKN202" s="21"/>
      <c r="SKO202" s="21"/>
      <c r="SKP202" s="21"/>
      <c r="SKQ202" s="21"/>
      <c r="SKR202" s="21"/>
      <c r="SKS202" s="21"/>
      <c r="SKT202" s="21"/>
      <c r="SKU202" s="21"/>
      <c r="SKV202" s="21"/>
      <c r="SKW202" s="21"/>
      <c r="SKX202" s="21"/>
      <c r="SKY202" s="21"/>
      <c r="SKZ202" s="21"/>
      <c r="SLA202" s="21"/>
      <c r="SLB202" s="21"/>
      <c r="SLC202" s="21"/>
      <c r="SLD202" s="21"/>
      <c r="SLE202" s="21"/>
      <c r="SLF202" s="21"/>
      <c r="SLG202" s="21"/>
      <c r="SLH202" s="21"/>
      <c r="SLI202" s="21"/>
      <c r="SLJ202" s="21"/>
      <c r="SLK202" s="21"/>
      <c r="SLL202" s="21"/>
      <c r="SLM202" s="21"/>
      <c r="SLN202" s="21"/>
      <c r="SLO202" s="21"/>
      <c r="SLP202" s="21"/>
      <c r="SLQ202" s="21"/>
      <c r="SLR202" s="21"/>
      <c r="SLS202" s="21"/>
      <c r="SLT202" s="21"/>
      <c r="SLU202" s="21"/>
      <c r="SLV202" s="21"/>
      <c r="SLW202" s="21"/>
      <c r="SLX202" s="21"/>
      <c r="SLY202" s="21"/>
      <c r="SLZ202" s="21"/>
      <c r="SMA202" s="21"/>
      <c r="SMB202" s="21"/>
      <c r="SMC202" s="21"/>
      <c r="SMD202" s="21"/>
      <c r="SME202" s="21"/>
      <c r="SMF202" s="21"/>
      <c r="SMG202" s="21"/>
      <c r="SMH202" s="21"/>
      <c r="SMI202" s="21"/>
      <c r="SMJ202" s="21"/>
      <c r="SMK202" s="21"/>
      <c r="SML202" s="21"/>
      <c r="SMM202" s="21"/>
      <c r="SMN202" s="21"/>
      <c r="SMO202" s="21"/>
      <c r="SMP202" s="21"/>
      <c r="SMQ202" s="21"/>
      <c r="SMR202" s="21"/>
      <c r="SMS202" s="21"/>
      <c r="SMT202" s="21"/>
      <c r="SMU202" s="21"/>
      <c r="SMV202" s="21"/>
      <c r="SMW202" s="21"/>
      <c r="SMX202" s="21"/>
      <c r="SMY202" s="21"/>
      <c r="SMZ202" s="21"/>
      <c r="SNA202" s="21"/>
      <c r="SNB202" s="21"/>
      <c r="SNC202" s="21"/>
      <c r="SND202" s="21"/>
      <c r="SNE202" s="21"/>
      <c r="SNF202" s="21"/>
      <c r="SNG202" s="21"/>
      <c r="SNH202" s="21"/>
      <c r="SNI202" s="21"/>
      <c r="SNJ202" s="21"/>
      <c r="SNK202" s="21"/>
      <c r="SNL202" s="21"/>
      <c r="SNM202" s="21"/>
      <c r="SNN202" s="21"/>
      <c r="SNO202" s="21"/>
      <c r="SNP202" s="21"/>
      <c r="SNQ202" s="21"/>
      <c r="SNR202" s="21"/>
      <c r="SNS202" s="21"/>
      <c r="SNT202" s="21"/>
      <c r="SNU202" s="21"/>
      <c r="SNV202" s="21"/>
      <c r="SNW202" s="21"/>
      <c r="SNX202" s="21"/>
      <c r="SNY202" s="21"/>
      <c r="SNZ202" s="21"/>
      <c r="SOA202" s="21"/>
      <c r="SOB202" s="21"/>
      <c r="SOC202" s="21"/>
      <c r="SOD202" s="21"/>
      <c r="SOE202" s="21"/>
      <c r="SOF202" s="21"/>
      <c r="SOG202" s="21"/>
      <c r="SOH202" s="21"/>
      <c r="SOI202" s="21"/>
      <c r="SOJ202" s="21"/>
      <c r="SOK202" s="21"/>
      <c r="SOL202" s="21"/>
      <c r="SOM202" s="21"/>
      <c r="SON202" s="21"/>
      <c r="SOO202" s="21"/>
      <c r="SOP202" s="21"/>
      <c r="SOQ202" s="21"/>
      <c r="SOR202" s="21"/>
      <c r="SOS202" s="21"/>
      <c r="SOT202" s="21"/>
      <c r="SOU202" s="21"/>
      <c r="SOV202" s="21"/>
      <c r="SOW202" s="21"/>
      <c r="SOX202" s="21"/>
      <c r="SOY202" s="21"/>
      <c r="SOZ202" s="21"/>
      <c r="SPA202" s="21"/>
      <c r="SPB202" s="21"/>
      <c r="SPC202" s="21"/>
      <c r="SPD202" s="21"/>
      <c r="SPE202" s="21"/>
      <c r="SPF202" s="21"/>
      <c r="SPG202" s="21"/>
      <c r="SPH202" s="21"/>
      <c r="SPI202" s="21"/>
      <c r="SPJ202" s="21"/>
      <c r="SPK202" s="21"/>
      <c r="SPL202" s="21"/>
      <c r="SPM202" s="21"/>
      <c r="SPN202" s="21"/>
      <c r="SPO202" s="21"/>
      <c r="SPP202" s="21"/>
      <c r="SPQ202" s="21"/>
      <c r="SPR202" s="21"/>
      <c r="SPS202" s="21"/>
      <c r="SPT202" s="21"/>
      <c r="SPU202" s="21"/>
      <c r="SPV202" s="21"/>
      <c r="SPW202" s="21"/>
      <c r="SPX202" s="21"/>
      <c r="SPY202" s="21"/>
      <c r="SPZ202" s="21"/>
      <c r="SQA202" s="21"/>
      <c r="SQB202" s="21"/>
      <c r="SQC202" s="21"/>
      <c r="SQD202" s="21"/>
      <c r="SQE202" s="21"/>
      <c r="SQF202" s="21"/>
      <c r="SQG202" s="21"/>
      <c r="SQH202" s="21"/>
      <c r="SQI202" s="21"/>
      <c r="SQJ202" s="21"/>
      <c r="SQK202" s="21"/>
      <c r="SQL202" s="21"/>
      <c r="SQM202" s="21"/>
      <c r="SQN202" s="21"/>
      <c r="SQO202" s="21"/>
      <c r="SQP202" s="21"/>
      <c r="SQQ202" s="21"/>
      <c r="SQR202" s="21"/>
      <c r="SQS202" s="21"/>
      <c r="SQT202" s="21"/>
      <c r="SQU202" s="21"/>
      <c r="SQV202" s="21"/>
      <c r="SQW202" s="21"/>
      <c r="SQX202" s="21"/>
      <c r="SQY202" s="21"/>
      <c r="SQZ202" s="21"/>
      <c r="SRA202" s="21"/>
      <c r="SRB202" s="21"/>
      <c r="SRC202" s="21"/>
      <c r="SRD202" s="21"/>
      <c r="SRE202" s="21"/>
      <c r="SRF202" s="21"/>
      <c r="SRG202" s="21"/>
      <c r="SRH202" s="21"/>
      <c r="SRI202" s="21"/>
      <c r="SRJ202" s="21"/>
      <c r="SRK202" s="21"/>
      <c r="SRL202" s="21"/>
      <c r="SRM202" s="21"/>
      <c r="SRN202" s="21"/>
      <c r="SRO202" s="21"/>
      <c r="SRP202" s="21"/>
      <c r="SRQ202" s="21"/>
      <c r="SRR202" s="21"/>
      <c r="SRS202" s="21"/>
      <c r="SRT202" s="21"/>
      <c r="SRU202" s="21"/>
      <c r="SRV202" s="21"/>
      <c r="SRW202" s="21"/>
      <c r="SRX202" s="21"/>
      <c r="SRY202" s="21"/>
      <c r="SRZ202" s="21"/>
      <c r="SSA202" s="21"/>
      <c r="SSB202" s="21"/>
      <c r="SSC202" s="21"/>
      <c r="SSD202" s="21"/>
      <c r="SSE202" s="21"/>
      <c r="SSF202" s="21"/>
      <c r="SSG202" s="21"/>
      <c r="SSH202" s="21"/>
      <c r="SSI202" s="21"/>
      <c r="SSJ202" s="21"/>
      <c r="SSK202" s="21"/>
      <c r="SSL202" s="21"/>
      <c r="SSM202" s="21"/>
      <c r="SSN202" s="21"/>
      <c r="SSO202" s="21"/>
      <c r="SSP202" s="21"/>
      <c r="SSQ202" s="21"/>
      <c r="SSR202" s="21"/>
      <c r="SSS202" s="21"/>
      <c r="SST202" s="21"/>
      <c r="SSU202" s="21"/>
      <c r="SSV202" s="21"/>
      <c r="SSW202" s="21"/>
      <c r="SSX202" s="21"/>
      <c r="SSY202" s="21"/>
      <c r="SSZ202" s="21"/>
      <c r="STA202" s="21"/>
      <c r="STB202" s="21"/>
      <c r="STC202" s="21"/>
      <c r="STD202" s="21"/>
      <c r="STE202" s="21"/>
      <c r="STF202" s="21"/>
      <c r="STG202" s="21"/>
      <c r="STH202" s="21"/>
      <c r="STI202" s="21"/>
      <c r="STJ202" s="21"/>
      <c r="STK202" s="21"/>
      <c r="STL202" s="21"/>
      <c r="STM202" s="21"/>
      <c r="STN202" s="21"/>
      <c r="STO202" s="21"/>
      <c r="STP202" s="21"/>
      <c r="STQ202" s="21"/>
      <c r="STR202" s="21"/>
      <c r="STS202" s="21"/>
      <c r="STT202" s="21"/>
      <c r="STU202" s="21"/>
      <c r="STV202" s="21"/>
      <c r="STW202" s="21"/>
      <c r="STX202" s="21"/>
      <c r="STY202" s="21"/>
      <c r="STZ202" s="21"/>
      <c r="SUA202" s="21"/>
      <c r="SUB202" s="21"/>
      <c r="SUC202" s="21"/>
      <c r="SUD202" s="21"/>
      <c r="SUE202" s="21"/>
      <c r="SUF202" s="21"/>
      <c r="SUG202" s="21"/>
      <c r="SUH202" s="21"/>
      <c r="SUI202" s="21"/>
      <c r="SUJ202" s="21"/>
      <c r="SUK202" s="21"/>
      <c r="SUL202" s="21"/>
      <c r="SUM202" s="21"/>
      <c r="SUN202" s="21"/>
      <c r="SUO202" s="21"/>
      <c r="SUP202" s="21"/>
      <c r="SUQ202" s="21"/>
      <c r="SUR202" s="21"/>
      <c r="SUS202" s="21"/>
      <c r="SUT202" s="21"/>
      <c r="SUU202" s="21"/>
      <c r="SUV202" s="21"/>
      <c r="SUW202" s="21"/>
      <c r="SUX202" s="21"/>
      <c r="SUY202" s="21"/>
      <c r="SUZ202" s="21"/>
      <c r="SVA202" s="21"/>
      <c r="SVB202" s="21"/>
      <c r="SVC202" s="21"/>
      <c r="SVD202" s="21"/>
      <c r="SVE202" s="21"/>
      <c r="SVF202" s="21"/>
      <c r="SVG202" s="21"/>
      <c r="SVH202" s="21"/>
      <c r="SVI202" s="21"/>
      <c r="SVJ202" s="21"/>
      <c r="SVK202" s="21"/>
      <c r="SVL202" s="21"/>
      <c r="SVM202" s="21"/>
      <c r="SVN202" s="21"/>
      <c r="SVO202" s="21"/>
      <c r="SVP202" s="21"/>
      <c r="SVQ202" s="21"/>
      <c r="SVR202" s="21"/>
      <c r="SVS202" s="21"/>
      <c r="SVT202" s="21"/>
      <c r="SVU202" s="21"/>
      <c r="SVV202" s="21"/>
      <c r="SVW202" s="21"/>
      <c r="SVX202" s="21"/>
      <c r="SVY202" s="21"/>
      <c r="SVZ202" s="21"/>
      <c r="SWA202" s="21"/>
      <c r="SWB202" s="21"/>
      <c r="SWC202" s="21"/>
      <c r="SWD202" s="21"/>
      <c r="SWE202" s="21"/>
      <c r="SWF202" s="21"/>
      <c r="SWG202" s="21"/>
      <c r="SWH202" s="21"/>
      <c r="SWI202" s="21"/>
      <c r="SWJ202" s="21"/>
      <c r="SWK202" s="21"/>
      <c r="SWL202" s="21"/>
      <c r="SWM202" s="21"/>
      <c r="SWN202" s="21"/>
      <c r="SWO202" s="21"/>
      <c r="SWP202" s="21"/>
      <c r="SWQ202" s="21"/>
      <c r="SWR202" s="21"/>
      <c r="SWS202" s="21"/>
      <c r="SWT202" s="21"/>
      <c r="SWU202" s="21"/>
      <c r="SWV202" s="21"/>
      <c r="SWW202" s="21"/>
      <c r="SWX202" s="21"/>
      <c r="SWY202" s="21"/>
      <c r="SWZ202" s="21"/>
      <c r="SXA202" s="21"/>
      <c r="SXB202" s="21"/>
      <c r="SXC202" s="21"/>
      <c r="SXD202" s="21"/>
      <c r="SXE202" s="21"/>
      <c r="SXF202" s="21"/>
      <c r="SXG202" s="21"/>
      <c r="SXH202" s="21"/>
      <c r="SXI202" s="21"/>
      <c r="SXJ202" s="21"/>
      <c r="SXK202" s="21"/>
      <c r="SXL202" s="21"/>
      <c r="SXM202" s="21"/>
      <c r="SXN202" s="21"/>
      <c r="SXO202" s="21"/>
      <c r="SXP202" s="21"/>
      <c r="SXQ202" s="21"/>
      <c r="SXR202" s="21"/>
      <c r="SXS202" s="21"/>
      <c r="SXT202" s="21"/>
      <c r="SXU202" s="21"/>
      <c r="SXV202" s="21"/>
      <c r="SXW202" s="21"/>
      <c r="SXX202" s="21"/>
      <c r="SXY202" s="21"/>
      <c r="SXZ202" s="21"/>
      <c r="SYA202" s="21"/>
      <c r="SYB202" s="21"/>
      <c r="SYC202" s="21"/>
      <c r="SYD202" s="21"/>
      <c r="SYE202" s="21"/>
      <c r="SYF202" s="21"/>
      <c r="SYG202" s="21"/>
      <c r="SYH202" s="21"/>
      <c r="SYI202" s="21"/>
      <c r="SYJ202" s="21"/>
      <c r="SYK202" s="21"/>
      <c r="SYL202" s="21"/>
      <c r="SYM202" s="21"/>
      <c r="SYN202" s="21"/>
      <c r="SYO202" s="21"/>
      <c r="SYP202" s="21"/>
      <c r="SYQ202" s="21"/>
      <c r="SYR202" s="21"/>
      <c r="SYS202" s="21"/>
      <c r="SYT202" s="21"/>
      <c r="SYU202" s="21"/>
      <c r="SYV202" s="21"/>
      <c r="SYW202" s="21"/>
      <c r="SYX202" s="21"/>
      <c r="SYY202" s="21"/>
      <c r="SYZ202" s="21"/>
      <c r="SZA202" s="21"/>
      <c r="SZB202" s="21"/>
      <c r="SZC202" s="21"/>
      <c r="SZD202" s="21"/>
      <c r="SZE202" s="21"/>
      <c r="SZF202" s="21"/>
      <c r="SZG202" s="21"/>
      <c r="SZH202" s="21"/>
      <c r="SZI202" s="21"/>
      <c r="SZJ202" s="21"/>
      <c r="SZK202" s="21"/>
      <c r="SZL202" s="21"/>
      <c r="SZM202" s="21"/>
      <c r="SZN202" s="21"/>
      <c r="SZO202" s="21"/>
      <c r="SZP202" s="21"/>
      <c r="SZQ202" s="21"/>
      <c r="SZR202" s="21"/>
      <c r="SZS202" s="21"/>
      <c r="SZT202" s="21"/>
      <c r="SZU202" s="21"/>
      <c r="SZV202" s="21"/>
      <c r="SZW202" s="21"/>
      <c r="SZX202" s="21"/>
      <c r="SZY202" s="21"/>
      <c r="SZZ202" s="21"/>
      <c r="TAA202" s="21"/>
      <c r="TAB202" s="21"/>
      <c r="TAC202" s="21"/>
      <c r="TAD202" s="21"/>
      <c r="TAE202" s="21"/>
      <c r="TAF202" s="21"/>
      <c r="TAG202" s="21"/>
      <c r="TAH202" s="21"/>
      <c r="TAI202" s="21"/>
      <c r="TAJ202" s="21"/>
      <c r="TAK202" s="21"/>
      <c r="TAL202" s="21"/>
      <c r="TAM202" s="21"/>
      <c r="TAN202" s="21"/>
      <c r="TAO202" s="21"/>
      <c r="TAP202" s="21"/>
      <c r="TAQ202" s="21"/>
      <c r="TAR202" s="21"/>
      <c r="TAS202" s="21"/>
      <c r="TAT202" s="21"/>
      <c r="TAU202" s="21"/>
      <c r="TAV202" s="21"/>
      <c r="TAW202" s="21"/>
      <c r="TAX202" s="21"/>
      <c r="TAY202" s="21"/>
      <c r="TAZ202" s="21"/>
      <c r="TBA202" s="21"/>
      <c r="TBB202" s="21"/>
      <c r="TBC202" s="21"/>
      <c r="TBD202" s="21"/>
      <c r="TBE202" s="21"/>
      <c r="TBF202" s="21"/>
      <c r="TBG202" s="21"/>
      <c r="TBH202" s="21"/>
      <c r="TBI202" s="21"/>
      <c r="TBJ202" s="21"/>
      <c r="TBK202" s="21"/>
      <c r="TBL202" s="21"/>
      <c r="TBM202" s="21"/>
      <c r="TBN202" s="21"/>
      <c r="TBO202" s="21"/>
      <c r="TBP202" s="21"/>
      <c r="TBQ202" s="21"/>
      <c r="TBR202" s="21"/>
      <c r="TBS202" s="21"/>
      <c r="TBT202" s="21"/>
      <c r="TBU202" s="21"/>
      <c r="TBV202" s="21"/>
      <c r="TBW202" s="21"/>
      <c r="TBX202" s="21"/>
      <c r="TBY202" s="21"/>
      <c r="TBZ202" s="21"/>
      <c r="TCA202" s="21"/>
      <c r="TCB202" s="21"/>
      <c r="TCC202" s="21"/>
      <c r="TCD202" s="21"/>
      <c r="TCE202" s="21"/>
      <c r="TCF202" s="21"/>
      <c r="TCG202" s="21"/>
      <c r="TCH202" s="21"/>
      <c r="TCI202" s="21"/>
      <c r="TCJ202" s="21"/>
      <c r="TCK202" s="21"/>
      <c r="TCL202" s="21"/>
      <c r="TCM202" s="21"/>
      <c r="TCN202" s="21"/>
      <c r="TCO202" s="21"/>
      <c r="TCP202" s="21"/>
      <c r="TCQ202" s="21"/>
      <c r="TCR202" s="21"/>
      <c r="TCS202" s="21"/>
      <c r="TCT202" s="21"/>
      <c r="TCU202" s="21"/>
      <c r="TCV202" s="21"/>
      <c r="TCW202" s="21"/>
      <c r="TCX202" s="21"/>
      <c r="TCY202" s="21"/>
      <c r="TCZ202" s="21"/>
      <c r="TDA202" s="21"/>
      <c r="TDB202" s="21"/>
      <c r="TDC202" s="21"/>
      <c r="TDD202" s="21"/>
      <c r="TDE202" s="21"/>
      <c r="TDF202" s="21"/>
      <c r="TDG202" s="21"/>
      <c r="TDH202" s="21"/>
      <c r="TDI202" s="21"/>
      <c r="TDJ202" s="21"/>
      <c r="TDK202" s="21"/>
      <c r="TDL202" s="21"/>
      <c r="TDM202" s="21"/>
      <c r="TDN202" s="21"/>
      <c r="TDO202" s="21"/>
      <c r="TDP202" s="21"/>
      <c r="TDQ202" s="21"/>
      <c r="TDR202" s="21"/>
      <c r="TDS202" s="21"/>
      <c r="TDT202" s="21"/>
      <c r="TDU202" s="21"/>
      <c r="TDV202" s="21"/>
      <c r="TDW202" s="21"/>
      <c r="TDX202" s="21"/>
      <c r="TDY202" s="21"/>
      <c r="TDZ202" s="21"/>
      <c r="TEA202" s="21"/>
      <c r="TEB202" s="21"/>
      <c r="TEC202" s="21"/>
      <c r="TED202" s="21"/>
      <c r="TEE202" s="21"/>
      <c r="TEF202" s="21"/>
      <c r="TEG202" s="21"/>
      <c r="TEH202" s="21"/>
      <c r="TEI202" s="21"/>
      <c r="TEJ202" s="21"/>
      <c r="TEK202" s="21"/>
      <c r="TEL202" s="21"/>
      <c r="TEM202" s="21"/>
      <c r="TEN202" s="21"/>
      <c r="TEO202" s="21"/>
      <c r="TEP202" s="21"/>
      <c r="TEQ202" s="21"/>
      <c r="TER202" s="21"/>
      <c r="TES202" s="21"/>
      <c r="TET202" s="21"/>
      <c r="TEU202" s="21"/>
      <c r="TEV202" s="21"/>
      <c r="TEW202" s="21"/>
      <c r="TEX202" s="21"/>
      <c r="TEY202" s="21"/>
      <c r="TEZ202" s="21"/>
      <c r="TFA202" s="21"/>
      <c r="TFB202" s="21"/>
      <c r="TFC202" s="21"/>
      <c r="TFD202" s="21"/>
      <c r="TFE202" s="21"/>
      <c r="TFF202" s="21"/>
      <c r="TFG202" s="21"/>
      <c r="TFH202" s="21"/>
      <c r="TFI202" s="21"/>
      <c r="TFJ202" s="21"/>
      <c r="TFK202" s="21"/>
      <c r="TFL202" s="21"/>
      <c r="TFM202" s="21"/>
      <c r="TFN202" s="21"/>
      <c r="TFO202" s="21"/>
      <c r="TFP202" s="21"/>
      <c r="TFQ202" s="21"/>
      <c r="TFR202" s="21"/>
      <c r="TFS202" s="21"/>
      <c r="TFT202" s="21"/>
      <c r="TFU202" s="21"/>
      <c r="TFV202" s="21"/>
      <c r="TFW202" s="21"/>
      <c r="TFX202" s="21"/>
      <c r="TFY202" s="21"/>
      <c r="TFZ202" s="21"/>
      <c r="TGA202" s="21"/>
      <c r="TGB202" s="21"/>
      <c r="TGC202" s="21"/>
      <c r="TGD202" s="21"/>
      <c r="TGE202" s="21"/>
      <c r="TGF202" s="21"/>
      <c r="TGG202" s="21"/>
      <c r="TGH202" s="21"/>
      <c r="TGI202" s="21"/>
      <c r="TGJ202" s="21"/>
      <c r="TGK202" s="21"/>
      <c r="TGL202" s="21"/>
      <c r="TGM202" s="21"/>
      <c r="TGN202" s="21"/>
      <c r="TGO202" s="21"/>
      <c r="TGP202" s="21"/>
      <c r="TGQ202" s="21"/>
      <c r="TGR202" s="21"/>
      <c r="TGS202" s="21"/>
      <c r="TGT202" s="21"/>
      <c r="TGU202" s="21"/>
      <c r="TGV202" s="21"/>
      <c r="TGW202" s="21"/>
      <c r="TGX202" s="21"/>
      <c r="TGY202" s="21"/>
      <c r="TGZ202" s="21"/>
      <c r="THA202" s="21"/>
      <c r="THB202" s="21"/>
      <c r="THC202" s="21"/>
      <c r="THD202" s="21"/>
      <c r="THE202" s="21"/>
      <c r="THF202" s="21"/>
      <c r="THG202" s="21"/>
      <c r="THH202" s="21"/>
      <c r="THI202" s="21"/>
      <c r="THJ202" s="21"/>
      <c r="THK202" s="21"/>
      <c r="THL202" s="21"/>
      <c r="THM202" s="21"/>
      <c r="THN202" s="21"/>
      <c r="THO202" s="21"/>
      <c r="THP202" s="21"/>
      <c r="THQ202" s="21"/>
      <c r="THR202" s="21"/>
      <c r="THS202" s="21"/>
      <c r="THT202" s="21"/>
      <c r="THU202" s="21"/>
      <c r="THV202" s="21"/>
      <c r="THW202" s="21"/>
      <c r="THX202" s="21"/>
      <c r="THY202" s="21"/>
      <c r="THZ202" s="21"/>
      <c r="TIA202" s="21"/>
      <c r="TIB202" s="21"/>
      <c r="TIC202" s="21"/>
      <c r="TID202" s="21"/>
      <c r="TIE202" s="21"/>
      <c r="TIF202" s="21"/>
      <c r="TIG202" s="21"/>
      <c r="TIH202" s="21"/>
      <c r="TII202" s="21"/>
      <c r="TIJ202" s="21"/>
      <c r="TIK202" s="21"/>
      <c r="TIL202" s="21"/>
      <c r="TIM202" s="21"/>
      <c r="TIN202" s="21"/>
      <c r="TIO202" s="21"/>
      <c r="TIP202" s="21"/>
      <c r="TIQ202" s="21"/>
      <c r="TIR202" s="21"/>
      <c r="TIS202" s="21"/>
      <c r="TIT202" s="21"/>
      <c r="TIU202" s="21"/>
      <c r="TIV202" s="21"/>
      <c r="TIW202" s="21"/>
      <c r="TIX202" s="21"/>
      <c r="TIY202" s="21"/>
      <c r="TIZ202" s="21"/>
      <c r="TJA202" s="21"/>
      <c r="TJB202" s="21"/>
      <c r="TJC202" s="21"/>
      <c r="TJD202" s="21"/>
      <c r="TJE202" s="21"/>
      <c r="TJF202" s="21"/>
      <c r="TJG202" s="21"/>
      <c r="TJH202" s="21"/>
      <c r="TJI202" s="21"/>
      <c r="TJJ202" s="21"/>
      <c r="TJK202" s="21"/>
      <c r="TJL202" s="21"/>
      <c r="TJM202" s="21"/>
      <c r="TJN202" s="21"/>
      <c r="TJO202" s="21"/>
      <c r="TJP202" s="21"/>
      <c r="TJQ202" s="21"/>
      <c r="TJR202" s="21"/>
      <c r="TJS202" s="21"/>
      <c r="TJT202" s="21"/>
      <c r="TJU202" s="21"/>
      <c r="TJV202" s="21"/>
      <c r="TJW202" s="21"/>
      <c r="TJX202" s="21"/>
      <c r="TJY202" s="21"/>
      <c r="TJZ202" s="21"/>
      <c r="TKA202" s="21"/>
      <c r="TKB202" s="21"/>
      <c r="TKC202" s="21"/>
      <c r="TKD202" s="21"/>
      <c r="TKE202" s="21"/>
      <c r="TKF202" s="21"/>
      <c r="TKG202" s="21"/>
      <c r="TKH202" s="21"/>
      <c r="TKI202" s="21"/>
      <c r="TKJ202" s="21"/>
      <c r="TKK202" s="21"/>
      <c r="TKL202" s="21"/>
      <c r="TKM202" s="21"/>
      <c r="TKN202" s="21"/>
      <c r="TKO202" s="21"/>
      <c r="TKP202" s="21"/>
      <c r="TKQ202" s="21"/>
      <c r="TKR202" s="21"/>
      <c r="TKS202" s="21"/>
      <c r="TKT202" s="21"/>
      <c r="TKU202" s="21"/>
      <c r="TKV202" s="21"/>
      <c r="TKW202" s="21"/>
      <c r="TKX202" s="21"/>
      <c r="TKY202" s="21"/>
      <c r="TKZ202" s="21"/>
      <c r="TLA202" s="21"/>
      <c r="TLB202" s="21"/>
      <c r="TLC202" s="21"/>
      <c r="TLD202" s="21"/>
      <c r="TLE202" s="21"/>
      <c r="TLF202" s="21"/>
      <c r="TLG202" s="21"/>
      <c r="TLH202" s="21"/>
      <c r="TLI202" s="21"/>
      <c r="TLJ202" s="21"/>
      <c r="TLK202" s="21"/>
      <c r="TLL202" s="21"/>
      <c r="TLM202" s="21"/>
      <c r="TLN202" s="21"/>
      <c r="TLO202" s="21"/>
      <c r="TLP202" s="21"/>
      <c r="TLQ202" s="21"/>
      <c r="TLR202" s="21"/>
      <c r="TLS202" s="21"/>
      <c r="TLT202" s="21"/>
      <c r="TLU202" s="21"/>
      <c r="TLV202" s="21"/>
      <c r="TLW202" s="21"/>
      <c r="TLX202" s="21"/>
      <c r="TLY202" s="21"/>
      <c r="TLZ202" s="21"/>
      <c r="TMA202" s="21"/>
      <c r="TMB202" s="21"/>
      <c r="TMC202" s="21"/>
      <c r="TMD202" s="21"/>
      <c r="TME202" s="21"/>
      <c r="TMF202" s="21"/>
      <c r="TMG202" s="21"/>
      <c r="TMH202" s="21"/>
      <c r="TMI202" s="21"/>
      <c r="TMJ202" s="21"/>
      <c r="TMK202" s="21"/>
      <c r="TML202" s="21"/>
      <c r="TMM202" s="21"/>
      <c r="TMN202" s="21"/>
      <c r="TMO202" s="21"/>
      <c r="TMP202" s="21"/>
      <c r="TMQ202" s="21"/>
      <c r="TMR202" s="21"/>
      <c r="TMS202" s="21"/>
      <c r="TMT202" s="21"/>
      <c r="TMU202" s="21"/>
      <c r="TMV202" s="21"/>
      <c r="TMW202" s="21"/>
      <c r="TMX202" s="21"/>
      <c r="TMY202" s="21"/>
      <c r="TMZ202" s="21"/>
      <c r="TNA202" s="21"/>
      <c r="TNB202" s="21"/>
      <c r="TNC202" s="21"/>
      <c r="TND202" s="21"/>
      <c r="TNE202" s="21"/>
      <c r="TNF202" s="21"/>
      <c r="TNG202" s="21"/>
      <c r="TNH202" s="21"/>
      <c r="TNI202" s="21"/>
      <c r="TNJ202" s="21"/>
      <c r="TNK202" s="21"/>
      <c r="TNL202" s="21"/>
      <c r="TNM202" s="21"/>
      <c r="TNN202" s="21"/>
      <c r="TNO202" s="21"/>
      <c r="TNP202" s="21"/>
      <c r="TNQ202" s="21"/>
      <c r="TNR202" s="21"/>
      <c r="TNS202" s="21"/>
      <c r="TNT202" s="21"/>
      <c r="TNU202" s="21"/>
      <c r="TNV202" s="21"/>
      <c r="TNW202" s="21"/>
      <c r="TNX202" s="21"/>
      <c r="TNY202" s="21"/>
      <c r="TNZ202" s="21"/>
      <c r="TOA202" s="21"/>
      <c r="TOB202" s="21"/>
      <c r="TOC202" s="21"/>
      <c r="TOD202" s="21"/>
      <c r="TOE202" s="21"/>
      <c r="TOF202" s="21"/>
      <c r="TOG202" s="21"/>
      <c r="TOH202" s="21"/>
      <c r="TOI202" s="21"/>
      <c r="TOJ202" s="21"/>
      <c r="TOK202" s="21"/>
      <c r="TOL202" s="21"/>
      <c r="TOM202" s="21"/>
      <c r="TON202" s="21"/>
      <c r="TOO202" s="21"/>
      <c r="TOP202" s="21"/>
      <c r="TOQ202" s="21"/>
      <c r="TOR202" s="21"/>
      <c r="TOS202" s="21"/>
      <c r="TOT202" s="21"/>
      <c r="TOU202" s="21"/>
      <c r="TOV202" s="21"/>
      <c r="TOW202" s="21"/>
      <c r="TOX202" s="21"/>
      <c r="TOY202" s="21"/>
      <c r="TOZ202" s="21"/>
      <c r="TPA202" s="21"/>
      <c r="TPB202" s="21"/>
      <c r="TPC202" s="21"/>
      <c r="TPD202" s="21"/>
      <c r="TPE202" s="21"/>
      <c r="TPF202" s="21"/>
      <c r="TPG202" s="21"/>
      <c r="TPH202" s="21"/>
      <c r="TPI202" s="21"/>
      <c r="TPJ202" s="21"/>
      <c r="TPK202" s="21"/>
      <c r="TPL202" s="21"/>
      <c r="TPM202" s="21"/>
      <c r="TPN202" s="21"/>
      <c r="TPO202" s="21"/>
      <c r="TPP202" s="21"/>
      <c r="TPQ202" s="21"/>
      <c r="TPR202" s="21"/>
      <c r="TPS202" s="21"/>
      <c r="TPT202" s="21"/>
      <c r="TPU202" s="21"/>
      <c r="TPV202" s="21"/>
      <c r="TPW202" s="21"/>
      <c r="TPX202" s="21"/>
      <c r="TPY202" s="21"/>
      <c r="TPZ202" s="21"/>
      <c r="TQA202" s="21"/>
      <c r="TQB202" s="21"/>
      <c r="TQC202" s="21"/>
      <c r="TQD202" s="21"/>
      <c r="TQE202" s="21"/>
      <c r="TQF202" s="21"/>
      <c r="TQG202" s="21"/>
      <c r="TQH202" s="21"/>
      <c r="TQI202" s="21"/>
      <c r="TQJ202" s="21"/>
      <c r="TQK202" s="21"/>
      <c r="TQL202" s="21"/>
      <c r="TQM202" s="21"/>
      <c r="TQN202" s="21"/>
      <c r="TQO202" s="21"/>
      <c r="TQP202" s="21"/>
      <c r="TQQ202" s="21"/>
      <c r="TQR202" s="21"/>
      <c r="TQS202" s="21"/>
      <c r="TQT202" s="21"/>
      <c r="TQU202" s="21"/>
      <c r="TQV202" s="21"/>
      <c r="TQW202" s="21"/>
      <c r="TQX202" s="21"/>
      <c r="TQY202" s="21"/>
      <c r="TQZ202" s="21"/>
      <c r="TRA202" s="21"/>
      <c r="TRB202" s="21"/>
      <c r="TRC202" s="21"/>
      <c r="TRD202" s="21"/>
      <c r="TRE202" s="21"/>
      <c r="TRF202" s="21"/>
      <c r="TRG202" s="21"/>
      <c r="TRH202" s="21"/>
      <c r="TRI202" s="21"/>
      <c r="TRJ202" s="21"/>
      <c r="TRK202" s="21"/>
      <c r="TRL202" s="21"/>
      <c r="TRM202" s="21"/>
      <c r="TRN202" s="21"/>
      <c r="TRO202" s="21"/>
      <c r="TRP202" s="21"/>
      <c r="TRQ202" s="21"/>
      <c r="TRR202" s="21"/>
      <c r="TRS202" s="21"/>
      <c r="TRT202" s="21"/>
      <c r="TRU202" s="21"/>
      <c r="TRV202" s="21"/>
      <c r="TRW202" s="21"/>
      <c r="TRX202" s="21"/>
      <c r="TRY202" s="21"/>
      <c r="TRZ202" s="21"/>
      <c r="TSA202" s="21"/>
      <c r="TSB202" s="21"/>
      <c r="TSC202" s="21"/>
      <c r="TSD202" s="21"/>
      <c r="TSE202" s="21"/>
      <c r="TSF202" s="21"/>
      <c r="TSG202" s="21"/>
      <c r="TSH202" s="21"/>
      <c r="TSI202" s="21"/>
      <c r="TSJ202" s="21"/>
      <c r="TSK202" s="21"/>
      <c r="TSL202" s="21"/>
      <c r="TSM202" s="21"/>
      <c r="TSN202" s="21"/>
      <c r="TSO202" s="21"/>
      <c r="TSP202" s="21"/>
      <c r="TSQ202" s="21"/>
      <c r="TSR202" s="21"/>
      <c r="TSS202" s="21"/>
      <c r="TST202" s="21"/>
      <c r="TSU202" s="21"/>
      <c r="TSV202" s="21"/>
      <c r="TSW202" s="21"/>
      <c r="TSX202" s="21"/>
      <c r="TSY202" s="21"/>
      <c r="TSZ202" s="21"/>
      <c r="TTA202" s="21"/>
      <c r="TTB202" s="21"/>
      <c r="TTC202" s="21"/>
      <c r="TTD202" s="21"/>
      <c r="TTE202" s="21"/>
      <c r="TTF202" s="21"/>
      <c r="TTG202" s="21"/>
      <c r="TTH202" s="21"/>
      <c r="TTI202" s="21"/>
      <c r="TTJ202" s="21"/>
      <c r="TTK202" s="21"/>
      <c r="TTL202" s="21"/>
      <c r="TTM202" s="21"/>
      <c r="TTN202" s="21"/>
      <c r="TTO202" s="21"/>
      <c r="TTP202" s="21"/>
      <c r="TTQ202" s="21"/>
      <c r="TTR202" s="21"/>
      <c r="TTS202" s="21"/>
      <c r="TTT202" s="21"/>
      <c r="TTU202" s="21"/>
      <c r="TTV202" s="21"/>
      <c r="TTW202" s="21"/>
      <c r="TTX202" s="21"/>
      <c r="TTY202" s="21"/>
      <c r="TTZ202" s="21"/>
      <c r="TUA202" s="21"/>
      <c r="TUB202" s="21"/>
      <c r="TUC202" s="21"/>
      <c r="TUD202" s="21"/>
      <c r="TUE202" s="21"/>
      <c r="TUF202" s="21"/>
      <c r="TUG202" s="21"/>
      <c r="TUH202" s="21"/>
      <c r="TUI202" s="21"/>
      <c r="TUJ202" s="21"/>
      <c r="TUK202" s="21"/>
      <c r="TUL202" s="21"/>
      <c r="TUM202" s="21"/>
      <c r="TUN202" s="21"/>
      <c r="TUO202" s="21"/>
      <c r="TUP202" s="21"/>
      <c r="TUQ202" s="21"/>
      <c r="TUR202" s="21"/>
      <c r="TUS202" s="21"/>
      <c r="TUT202" s="21"/>
      <c r="TUU202" s="21"/>
      <c r="TUV202" s="21"/>
      <c r="TUW202" s="21"/>
      <c r="TUX202" s="21"/>
      <c r="TUY202" s="21"/>
      <c r="TUZ202" s="21"/>
      <c r="TVA202" s="21"/>
      <c r="TVB202" s="21"/>
      <c r="TVC202" s="21"/>
      <c r="TVD202" s="21"/>
      <c r="TVE202" s="21"/>
      <c r="TVF202" s="21"/>
      <c r="TVG202" s="21"/>
      <c r="TVH202" s="21"/>
      <c r="TVI202" s="21"/>
      <c r="TVJ202" s="21"/>
      <c r="TVK202" s="21"/>
      <c r="TVL202" s="21"/>
      <c r="TVM202" s="21"/>
      <c r="TVN202" s="21"/>
      <c r="TVO202" s="21"/>
      <c r="TVP202" s="21"/>
      <c r="TVQ202" s="21"/>
      <c r="TVR202" s="21"/>
      <c r="TVS202" s="21"/>
      <c r="TVT202" s="21"/>
      <c r="TVU202" s="21"/>
      <c r="TVV202" s="21"/>
      <c r="TVW202" s="21"/>
      <c r="TVX202" s="21"/>
      <c r="TVY202" s="21"/>
      <c r="TVZ202" s="21"/>
      <c r="TWA202" s="21"/>
      <c r="TWB202" s="21"/>
      <c r="TWC202" s="21"/>
      <c r="TWD202" s="21"/>
      <c r="TWE202" s="21"/>
      <c r="TWF202" s="21"/>
      <c r="TWG202" s="21"/>
      <c r="TWH202" s="21"/>
      <c r="TWI202" s="21"/>
      <c r="TWJ202" s="21"/>
      <c r="TWK202" s="21"/>
      <c r="TWL202" s="21"/>
      <c r="TWM202" s="21"/>
      <c r="TWN202" s="21"/>
      <c r="TWO202" s="21"/>
      <c r="TWP202" s="21"/>
      <c r="TWQ202" s="21"/>
      <c r="TWR202" s="21"/>
      <c r="TWS202" s="21"/>
      <c r="TWT202" s="21"/>
      <c r="TWU202" s="21"/>
      <c r="TWV202" s="21"/>
      <c r="TWW202" s="21"/>
      <c r="TWX202" s="21"/>
      <c r="TWY202" s="21"/>
      <c r="TWZ202" s="21"/>
      <c r="TXA202" s="21"/>
      <c r="TXB202" s="21"/>
      <c r="TXC202" s="21"/>
      <c r="TXD202" s="21"/>
      <c r="TXE202" s="21"/>
      <c r="TXF202" s="21"/>
      <c r="TXG202" s="21"/>
      <c r="TXH202" s="21"/>
      <c r="TXI202" s="21"/>
      <c r="TXJ202" s="21"/>
      <c r="TXK202" s="21"/>
      <c r="TXL202" s="21"/>
      <c r="TXM202" s="21"/>
      <c r="TXN202" s="21"/>
      <c r="TXO202" s="21"/>
      <c r="TXP202" s="21"/>
      <c r="TXQ202" s="21"/>
      <c r="TXR202" s="21"/>
      <c r="TXS202" s="21"/>
      <c r="TXT202" s="21"/>
      <c r="TXU202" s="21"/>
      <c r="TXV202" s="21"/>
      <c r="TXW202" s="21"/>
      <c r="TXX202" s="21"/>
      <c r="TXY202" s="21"/>
      <c r="TXZ202" s="21"/>
      <c r="TYA202" s="21"/>
      <c r="TYB202" s="21"/>
      <c r="TYC202" s="21"/>
      <c r="TYD202" s="21"/>
      <c r="TYE202" s="21"/>
      <c r="TYF202" s="21"/>
      <c r="TYG202" s="21"/>
      <c r="TYH202" s="21"/>
      <c r="TYI202" s="21"/>
      <c r="TYJ202" s="21"/>
      <c r="TYK202" s="21"/>
      <c r="TYL202" s="21"/>
      <c r="TYM202" s="21"/>
      <c r="TYN202" s="21"/>
      <c r="TYO202" s="21"/>
      <c r="TYP202" s="21"/>
      <c r="TYQ202" s="21"/>
      <c r="TYR202" s="21"/>
      <c r="TYS202" s="21"/>
      <c r="TYT202" s="21"/>
      <c r="TYU202" s="21"/>
      <c r="TYV202" s="21"/>
      <c r="TYW202" s="21"/>
      <c r="TYX202" s="21"/>
      <c r="TYY202" s="21"/>
      <c r="TYZ202" s="21"/>
      <c r="TZA202" s="21"/>
      <c r="TZB202" s="21"/>
      <c r="TZC202" s="21"/>
      <c r="TZD202" s="21"/>
      <c r="TZE202" s="21"/>
      <c r="TZF202" s="21"/>
      <c r="TZG202" s="21"/>
      <c r="TZH202" s="21"/>
      <c r="TZI202" s="21"/>
      <c r="TZJ202" s="21"/>
      <c r="TZK202" s="21"/>
      <c r="TZL202" s="21"/>
      <c r="TZM202" s="21"/>
      <c r="TZN202" s="21"/>
      <c r="TZO202" s="21"/>
      <c r="TZP202" s="21"/>
      <c r="TZQ202" s="21"/>
      <c r="TZR202" s="21"/>
      <c r="TZS202" s="21"/>
      <c r="TZT202" s="21"/>
      <c r="TZU202" s="21"/>
      <c r="TZV202" s="21"/>
      <c r="TZW202" s="21"/>
      <c r="TZX202" s="21"/>
      <c r="TZY202" s="21"/>
      <c r="TZZ202" s="21"/>
      <c r="UAA202" s="21"/>
      <c r="UAB202" s="21"/>
      <c r="UAC202" s="21"/>
      <c r="UAD202" s="21"/>
      <c r="UAE202" s="21"/>
      <c r="UAF202" s="21"/>
      <c r="UAG202" s="21"/>
      <c r="UAH202" s="21"/>
      <c r="UAI202" s="21"/>
      <c r="UAJ202" s="21"/>
      <c r="UAK202" s="21"/>
      <c r="UAL202" s="21"/>
      <c r="UAM202" s="21"/>
      <c r="UAN202" s="21"/>
      <c r="UAO202" s="21"/>
      <c r="UAP202" s="21"/>
      <c r="UAQ202" s="21"/>
      <c r="UAR202" s="21"/>
      <c r="UAS202" s="21"/>
      <c r="UAT202" s="21"/>
      <c r="UAU202" s="21"/>
      <c r="UAV202" s="21"/>
      <c r="UAW202" s="21"/>
      <c r="UAX202" s="21"/>
      <c r="UAY202" s="21"/>
      <c r="UAZ202" s="21"/>
      <c r="UBA202" s="21"/>
      <c r="UBB202" s="21"/>
      <c r="UBC202" s="21"/>
      <c r="UBD202" s="21"/>
      <c r="UBE202" s="21"/>
      <c r="UBF202" s="21"/>
      <c r="UBG202" s="21"/>
      <c r="UBH202" s="21"/>
      <c r="UBI202" s="21"/>
      <c r="UBJ202" s="21"/>
      <c r="UBK202" s="21"/>
      <c r="UBL202" s="21"/>
      <c r="UBM202" s="21"/>
      <c r="UBN202" s="21"/>
      <c r="UBO202" s="21"/>
      <c r="UBP202" s="21"/>
      <c r="UBQ202" s="21"/>
      <c r="UBR202" s="21"/>
      <c r="UBS202" s="21"/>
      <c r="UBT202" s="21"/>
      <c r="UBU202" s="21"/>
      <c r="UBV202" s="21"/>
      <c r="UBW202" s="21"/>
      <c r="UBX202" s="21"/>
      <c r="UBY202" s="21"/>
      <c r="UBZ202" s="21"/>
      <c r="UCA202" s="21"/>
      <c r="UCB202" s="21"/>
      <c r="UCC202" s="21"/>
      <c r="UCD202" s="21"/>
      <c r="UCE202" s="21"/>
      <c r="UCF202" s="21"/>
      <c r="UCG202" s="21"/>
      <c r="UCH202" s="21"/>
      <c r="UCI202" s="21"/>
      <c r="UCJ202" s="21"/>
      <c r="UCK202" s="21"/>
      <c r="UCL202" s="21"/>
      <c r="UCM202" s="21"/>
      <c r="UCN202" s="21"/>
      <c r="UCO202" s="21"/>
      <c r="UCP202" s="21"/>
      <c r="UCQ202" s="21"/>
      <c r="UCR202" s="21"/>
      <c r="UCS202" s="21"/>
      <c r="UCT202" s="21"/>
      <c r="UCU202" s="21"/>
      <c r="UCV202" s="21"/>
      <c r="UCW202" s="21"/>
      <c r="UCX202" s="21"/>
      <c r="UCY202" s="21"/>
      <c r="UCZ202" s="21"/>
      <c r="UDA202" s="21"/>
      <c r="UDB202" s="21"/>
      <c r="UDC202" s="21"/>
      <c r="UDD202" s="21"/>
      <c r="UDE202" s="21"/>
      <c r="UDF202" s="21"/>
      <c r="UDG202" s="21"/>
      <c r="UDH202" s="21"/>
      <c r="UDI202" s="21"/>
      <c r="UDJ202" s="21"/>
      <c r="UDK202" s="21"/>
      <c r="UDL202" s="21"/>
      <c r="UDM202" s="21"/>
      <c r="UDN202" s="21"/>
      <c r="UDO202" s="21"/>
      <c r="UDP202" s="21"/>
      <c r="UDQ202" s="21"/>
      <c r="UDR202" s="21"/>
      <c r="UDS202" s="21"/>
      <c r="UDT202" s="21"/>
      <c r="UDU202" s="21"/>
      <c r="UDV202" s="21"/>
      <c r="UDW202" s="21"/>
      <c r="UDX202" s="21"/>
      <c r="UDY202" s="21"/>
      <c r="UDZ202" s="21"/>
      <c r="UEA202" s="21"/>
      <c r="UEB202" s="21"/>
      <c r="UEC202" s="21"/>
      <c r="UED202" s="21"/>
      <c r="UEE202" s="21"/>
      <c r="UEF202" s="21"/>
      <c r="UEG202" s="21"/>
      <c r="UEH202" s="21"/>
      <c r="UEI202" s="21"/>
      <c r="UEJ202" s="21"/>
      <c r="UEK202" s="21"/>
      <c r="UEL202" s="21"/>
      <c r="UEM202" s="21"/>
      <c r="UEN202" s="21"/>
      <c r="UEO202" s="21"/>
      <c r="UEP202" s="21"/>
      <c r="UEQ202" s="21"/>
      <c r="UER202" s="21"/>
      <c r="UES202" s="21"/>
      <c r="UET202" s="21"/>
      <c r="UEU202" s="21"/>
      <c r="UEV202" s="21"/>
      <c r="UEW202" s="21"/>
      <c r="UEX202" s="21"/>
      <c r="UEY202" s="21"/>
      <c r="UEZ202" s="21"/>
      <c r="UFA202" s="21"/>
      <c r="UFB202" s="21"/>
      <c r="UFC202" s="21"/>
      <c r="UFD202" s="21"/>
      <c r="UFE202" s="21"/>
      <c r="UFF202" s="21"/>
      <c r="UFG202" s="21"/>
      <c r="UFH202" s="21"/>
      <c r="UFI202" s="21"/>
      <c r="UFJ202" s="21"/>
      <c r="UFK202" s="21"/>
      <c r="UFL202" s="21"/>
      <c r="UFM202" s="21"/>
      <c r="UFN202" s="21"/>
      <c r="UFO202" s="21"/>
      <c r="UFP202" s="21"/>
      <c r="UFQ202" s="21"/>
      <c r="UFR202" s="21"/>
      <c r="UFS202" s="21"/>
      <c r="UFT202" s="21"/>
      <c r="UFU202" s="21"/>
      <c r="UFV202" s="21"/>
      <c r="UFW202" s="21"/>
      <c r="UFX202" s="21"/>
      <c r="UFY202" s="21"/>
      <c r="UFZ202" s="21"/>
      <c r="UGA202" s="21"/>
      <c r="UGB202" s="21"/>
      <c r="UGC202" s="21"/>
      <c r="UGD202" s="21"/>
      <c r="UGE202" s="21"/>
      <c r="UGF202" s="21"/>
      <c r="UGG202" s="21"/>
      <c r="UGH202" s="21"/>
      <c r="UGI202" s="21"/>
      <c r="UGJ202" s="21"/>
      <c r="UGK202" s="21"/>
      <c r="UGL202" s="21"/>
      <c r="UGM202" s="21"/>
      <c r="UGN202" s="21"/>
      <c r="UGO202" s="21"/>
      <c r="UGP202" s="21"/>
      <c r="UGQ202" s="21"/>
      <c r="UGR202" s="21"/>
      <c r="UGS202" s="21"/>
      <c r="UGT202" s="21"/>
      <c r="UGU202" s="21"/>
      <c r="UGV202" s="21"/>
      <c r="UGW202" s="21"/>
      <c r="UGX202" s="21"/>
      <c r="UGY202" s="21"/>
      <c r="UGZ202" s="21"/>
      <c r="UHA202" s="21"/>
      <c r="UHB202" s="21"/>
      <c r="UHC202" s="21"/>
      <c r="UHD202" s="21"/>
      <c r="UHE202" s="21"/>
      <c r="UHF202" s="21"/>
      <c r="UHG202" s="21"/>
      <c r="UHH202" s="21"/>
      <c r="UHI202" s="21"/>
      <c r="UHJ202" s="21"/>
      <c r="UHK202" s="21"/>
      <c r="UHL202" s="21"/>
      <c r="UHM202" s="21"/>
      <c r="UHN202" s="21"/>
      <c r="UHO202" s="21"/>
      <c r="UHP202" s="21"/>
      <c r="UHQ202" s="21"/>
      <c r="UHR202" s="21"/>
      <c r="UHS202" s="21"/>
      <c r="UHT202" s="21"/>
      <c r="UHU202" s="21"/>
      <c r="UHV202" s="21"/>
      <c r="UHW202" s="21"/>
      <c r="UHX202" s="21"/>
      <c r="UHY202" s="21"/>
      <c r="UHZ202" s="21"/>
      <c r="UIA202" s="21"/>
      <c r="UIB202" s="21"/>
      <c r="UIC202" s="21"/>
      <c r="UID202" s="21"/>
      <c r="UIE202" s="21"/>
      <c r="UIF202" s="21"/>
      <c r="UIG202" s="21"/>
      <c r="UIH202" s="21"/>
      <c r="UII202" s="21"/>
      <c r="UIJ202" s="21"/>
      <c r="UIK202" s="21"/>
      <c r="UIL202" s="21"/>
      <c r="UIM202" s="21"/>
      <c r="UIN202" s="21"/>
      <c r="UIO202" s="21"/>
      <c r="UIP202" s="21"/>
      <c r="UIQ202" s="21"/>
      <c r="UIR202" s="21"/>
      <c r="UIS202" s="21"/>
      <c r="UIT202" s="21"/>
      <c r="UIU202" s="21"/>
      <c r="UIV202" s="21"/>
      <c r="UIW202" s="21"/>
      <c r="UIX202" s="21"/>
      <c r="UIY202" s="21"/>
      <c r="UIZ202" s="21"/>
      <c r="UJA202" s="21"/>
      <c r="UJB202" s="21"/>
      <c r="UJC202" s="21"/>
      <c r="UJD202" s="21"/>
      <c r="UJE202" s="21"/>
      <c r="UJF202" s="21"/>
      <c r="UJG202" s="21"/>
      <c r="UJH202" s="21"/>
      <c r="UJI202" s="21"/>
      <c r="UJJ202" s="21"/>
      <c r="UJK202" s="21"/>
      <c r="UJL202" s="21"/>
      <c r="UJM202" s="21"/>
      <c r="UJN202" s="21"/>
      <c r="UJO202" s="21"/>
      <c r="UJP202" s="21"/>
      <c r="UJQ202" s="21"/>
      <c r="UJR202" s="21"/>
      <c r="UJS202" s="21"/>
      <c r="UJT202" s="21"/>
      <c r="UJU202" s="21"/>
      <c r="UJV202" s="21"/>
      <c r="UJW202" s="21"/>
      <c r="UJX202" s="21"/>
      <c r="UJY202" s="21"/>
      <c r="UJZ202" s="21"/>
      <c r="UKA202" s="21"/>
      <c r="UKB202" s="21"/>
      <c r="UKC202" s="21"/>
      <c r="UKD202" s="21"/>
      <c r="UKE202" s="21"/>
      <c r="UKF202" s="21"/>
      <c r="UKG202" s="21"/>
      <c r="UKH202" s="21"/>
      <c r="UKI202" s="21"/>
      <c r="UKJ202" s="21"/>
      <c r="UKK202" s="21"/>
      <c r="UKL202" s="21"/>
      <c r="UKM202" s="21"/>
      <c r="UKN202" s="21"/>
      <c r="UKO202" s="21"/>
      <c r="UKP202" s="21"/>
      <c r="UKQ202" s="21"/>
      <c r="UKR202" s="21"/>
      <c r="UKS202" s="21"/>
      <c r="UKT202" s="21"/>
      <c r="UKU202" s="21"/>
      <c r="UKV202" s="21"/>
      <c r="UKW202" s="21"/>
      <c r="UKX202" s="21"/>
      <c r="UKY202" s="21"/>
      <c r="UKZ202" s="21"/>
      <c r="ULA202" s="21"/>
      <c r="ULB202" s="21"/>
      <c r="ULC202" s="21"/>
      <c r="ULD202" s="21"/>
      <c r="ULE202" s="21"/>
      <c r="ULF202" s="21"/>
      <c r="ULG202" s="21"/>
      <c r="ULH202" s="21"/>
      <c r="ULI202" s="21"/>
      <c r="ULJ202" s="21"/>
      <c r="ULK202" s="21"/>
      <c r="ULL202" s="21"/>
      <c r="ULM202" s="21"/>
      <c r="ULN202" s="21"/>
      <c r="ULO202" s="21"/>
      <c r="ULP202" s="21"/>
      <c r="ULQ202" s="21"/>
      <c r="ULR202" s="21"/>
      <c r="ULS202" s="21"/>
      <c r="ULT202" s="21"/>
      <c r="ULU202" s="21"/>
      <c r="ULV202" s="21"/>
      <c r="ULW202" s="21"/>
      <c r="ULX202" s="21"/>
      <c r="ULY202" s="21"/>
      <c r="ULZ202" s="21"/>
      <c r="UMA202" s="21"/>
      <c r="UMB202" s="21"/>
      <c r="UMC202" s="21"/>
      <c r="UMD202" s="21"/>
      <c r="UME202" s="21"/>
      <c r="UMF202" s="21"/>
      <c r="UMG202" s="21"/>
      <c r="UMH202" s="21"/>
      <c r="UMI202" s="21"/>
      <c r="UMJ202" s="21"/>
      <c r="UMK202" s="21"/>
      <c r="UML202" s="21"/>
      <c r="UMM202" s="21"/>
      <c r="UMN202" s="21"/>
      <c r="UMO202" s="21"/>
      <c r="UMP202" s="21"/>
      <c r="UMQ202" s="21"/>
      <c r="UMR202" s="21"/>
      <c r="UMS202" s="21"/>
      <c r="UMT202" s="21"/>
      <c r="UMU202" s="21"/>
      <c r="UMV202" s="21"/>
      <c r="UMW202" s="21"/>
      <c r="UMX202" s="21"/>
      <c r="UMY202" s="21"/>
      <c r="UMZ202" s="21"/>
      <c r="UNA202" s="21"/>
      <c r="UNB202" s="21"/>
      <c r="UNC202" s="21"/>
      <c r="UND202" s="21"/>
      <c r="UNE202" s="21"/>
      <c r="UNF202" s="21"/>
      <c r="UNG202" s="21"/>
      <c r="UNH202" s="21"/>
      <c r="UNI202" s="21"/>
      <c r="UNJ202" s="21"/>
      <c r="UNK202" s="21"/>
      <c r="UNL202" s="21"/>
      <c r="UNM202" s="21"/>
      <c r="UNN202" s="21"/>
      <c r="UNO202" s="21"/>
      <c r="UNP202" s="21"/>
      <c r="UNQ202" s="21"/>
      <c r="UNR202" s="21"/>
      <c r="UNS202" s="21"/>
      <c r="UNT202" s="21"/>
      <c r="UNU202" s="21"/>
      <c r="UNV202" s="21"/>
      <c r="UNW202" s="21"/>
      <c r="UNX202" s="21"/>
      <c r="UNY202" s="21"/>
      <c r="UNZ202" s="21"/>
      <c r="UOA202" s="21"/>
      <c r="UOB202" s="21"/>
      <c r="UOC202" s="21"/>
      <c r="UOD202" s="21"/>
      <c r="UOE202" s="21"/>
      <c r="UOF202" s="21"/>
      <c r="UOG202" s="21"/>
      <c r="UOH202" s="21"/>
      <c r="UOI202" s="21"/>
      <c r="UOJ202" s="21"/>
      <c r="UOK202" s="21"/>
      <c r="UOL202" s="21"/>
      <c r="UOM202" s="21"/>
      <c r="UON202" s="21"/>
      <c r="UOO202" s="21"/>
      <c r="UOP202" s="21"/>
      <c r="UOQ202" s="21"/>
      <c r="UOR202" s="21"/>
      <c r="UOS202" s="21"/>
      <c r="UOT202" s="21"/>
      <c r="UOU202" s="21"/>
      <c r="UOV202" s="21"/>
      <c r="UOW202" s="21"/>
      <c r="UOX202" s="21"/>
      <c r="UOY202" s="21"/>
      <c r="UOZ202" s="21"/>
      <c r="UPA202" s="21"/>
      <c r="UPB202" s="21"/>
      <c r="UPC202" s="21"/>
      <c r="UPD202" s="21"/>
      <c r="UPE202" s="21"/>
      <c r="UPF202" s="21"/>
      <c r="UPG202" s="21"/>
      <c r="UPH202" s="21"/>
      <c r="UPI202" s="21"/>
      <c r="UPJ202" s="21"/>
      <c r="UPK202" s="21"/>
      <c r="UPL202" s="21"/>
      <c r="UPM202" s="21"/>
      <c r="UPN202" s="21"/>
      <c r="UPO202" s="21"/>
      <c r="UPP202" s="21"/>
      <c r="UPQ202" s="21"/>
      <c r="UPR202" s="21"/>
      <c r="UPS202" s="21"/>
      <c r="UPT202" s="21"/>
      <c r="UPU202" s="21"/>
      <c r="UPV202" s="21"/>
      <c r="UPW202" s="21"/>
      <c r="UPX202" s="21"/>
      <c r="UPY202" s="21"/>
      <c r="UPZ202" s="21"/>
      <c r="UQA202" s="21"/>
      <c r="UQB202" s="21"/>
      <c r="UQC202" s="21"/>
      <c r="UQD202" s="21"/>
      <c r="UQE202" s="21"/>
      <c r="UQF202" s="21"/>
      <c r="UQG202" s="21"/>
      <c r="UQH202" s="21"/>
      <c r="UQI202" s="21"/>
      <c r="UQJ202" s="21"/>
      <c r="UQK202" s="21"/>
      <c r="UQL202" s="21"/>
      <c r="UQM202" s="21"/>
      <c r="UQN202" s="21"/>
      <c r="UQO202" s="21"/>
      <c r="UQP202" s="21"/>
      <c r="UQQ202" s="21"/>
      <c r="UQR202" s="21"/>
      <c r="UQS202" s="21"/>
      <c r="UQT202" s="21"/>
      <c r="UQU202" s="21"/>
      <c r="UQV202" s="21"/>
      <c r="UQW202" s="21"/>
      <c r="UQX202" s="21"/>
      <c r="UQY202" s="21"/>
      <c r="UQZ202" s="21"/>
      <c r="URA202" s="21"/>
      <c r="URB202" s="21"/>
      <c r="URC202" s="21"/>
      <c r="URD202" s="21"/>
      <c r="URE202" s="21"/>
      <c r="URF202" s="21"/>
      <c r="URG202" s="21"/>
      <c r="URH202" s="21"/>
      <c r="URI202" s="21"/>
      <c r="URJ202" s="21"/>
      <c r="URK202" s="21"/>
      <c r="URL202" s="21"/>
      <c r="URM202" s="21"/>
      <c r="URN202" s="21"/>
      <c r="URO202" s="21"/>
      <c r="URP202" s="21"/>
      <c r="URQ202" s="21"/>
      <c r="URR202" s="21"/>
      <c r="URS202" s="21"/>
      <c r="URT202" s="21"/>
      <c r="URU202" s="21"/>
      <c r="URV202" s="21"/>
      <c r="URW202" s="21"/>
      <c r="URX202" s="21"/>
      <c r="URY202" s="21"/>
      <c r="URZ202" s="21"/>
      <c r="USA202" s="21"/>
      <c r="USB202" s="21"/>
      <c r="USC202" s="21"/>
      <c r="USD202" s="21"/>
      <c r="USE202" s="21"/>
      <c r="USF202" s="21"/>
      <c r="USG202" s="21"/>
      <c r="USH202" s="21"/>
      <c r="USI202" s="21"/>
      <c r="USJ202" s="21"/>
      <c r="USK202" s="21"/>
      <c r="USL202" s="21"/>
      <c r="USM202" s="21"/>
      <c r="USN202" s="21"/>
      <c r="USO202" s="21"/>
      <c r="USP202" s="21"/>
      <c r="USQ202" s="21"/>
      <c r="USR202" s="21"/>
      <c r="USS202" s="21"/>
      <c r="UST202" s="21"/>
      <c r="USU202" s="21"/>
      <c r="USV202" s="21"/>
      <c r="USW202" s="21"/>
      <c r="USX202" s="21"/>
      <c r="USY202" s="21"/>
      <c r="USZ202" s="21"/>
      <c r="UTA202" s="21"/>
      <c r="UTB202" s="21"/>
      <c r="UTC202" s="21"/>
      <c r="UTD202" s="21"/>
      <c r="UTE202" s="21"/>
      <c r="UTF202" s="21"/>
      <c r="UTG202" s="21"/>
      <c r="UTH202" s="21"/>
      <c r="UTI202" s="21"/>
      <c r="UTJ202" s="21"/>
      <c r="UTK202" s="21"/>
      <c r="UTL202" s="21"/>
      <c r="UTM202" s="21"/>
      <c r="UTN202" s="21"/>
      <c r="UTO202" s="21"/>
      <c r="UTP202" s="21"/>
      <c r="UTQ202" s="21"/>
      <c r="UTR202" s="21"/>
      <c r="UTS202" s="21"/>
      <c r="UTT202" s="21"/>
      <c r="UTU202" s="21"/>
      <c r="UTV202" s="21"/>
      <c r="UTW202" s="21"/>
      <c r="UTX202" s="21"/>
      <c r="UTY202" s="21"/>
      <c r="UTZ202" s="21"/>
      <c r="UUA202" s="21"/>
      <c r="UUB202" s="21"/>
      <c r="UUC202" s="21"/>
      <c r="UUD202" s="21"/>
      <c r="UUE202" s="21"/>
      <c r="UUF202" s="21"/>
      <c r="UUG202" s="21"/>
      <c r="UUH202" s="21"/>
      <c r="UUI202" s="21"/>
      <c r="UUJ202" s="21"/>
      <c r="UUK202" s="21"/>
      <c r="UUL202" s="21"/>
      <c r="UUM202" s="21"/>
      <c r="UUN202" s="21"/>
      <c r="UUO202" s="21"/>
      <c r="UUP202" s="21"/>
      <c r="UUQ202" s="21"/>
      <c r="UUR202" s="21"/>
      <c r="UUS202" s="21"/>
      <c r="UUT202" s="21"/>
      <c r="UUU202" s="21"/>
      <c r="UUV202" s="21"/>
      <c r="UUW202" s="21"/>
      <c r="UUX202" s="21"/>
      <c r="UUY202" s="21"/>
      <c r="UUZ202" s="21"/>
      <c r="UVA202" s="21"/>
      <c r="UVB202" s="21"/>
      <c r="UVC202" s="21"/>
      <c r="UVD202" s="21"/>
      <c r="UVE202" s="21"/>
      <c r="UVF202" s="21"/>
      <c r="UVG202" s="21"/>
      <c r="UVH202" s="21"/>
      <c r="UVI202" s="21"/>
      <c r="UVJ202" s="21"/>
      <c r="UVK202" s="21"/>
      <c r="UVL202" s="21"/>
      <c r="UVM202" s="21"/>
      <c r="UVN202" s="21"/>
      <c r="UVO202" s="21"/>
      <c r="UVP202" s="21"/>
      <c r="UVQ202" s="21"/>
      <c r="UVR202" s="21"/>
      <c r="UVS202" s="21"/>
      <c r="UVT202" s="21"/>
      <c r="UVU202" s="21"/>
      <c r="UVV202" s="21"/>
      <c r="UVW202" s="21"/>
      <c r="UVX202" s="21"/>
      <c r="UVY202" s="21"/>
      <c r="UVZ202" s="21"/>
      <c r="UWA202" s="21"/>
      <c r="UWB202" s="21"/>
      <c r="UWC202" s="21"/>
      <c r="UWD202" s="21"/>
      <c r="UWE202" s="21"/>
      <c r="UWF202" s="21"/>
      <c r="UWG202" s="21"/>
      <c r="UWH202" s="21"/>
      <c r="UWI202" s="21"/>
      <c r="UWJ202" s="21"/>
      <c r="UWK202" s="21"/>
      <c r="UWL202" s="21"/>
      <c r="UWM202" s="21"/>
      <c r="UWN202" s="21"/>
      <c r="UWO202" s="21"/>
      <c r="UWP202" s="21"/>
      <c r="UWQ202" s="21"/>
      <c r="UWR202" s="21"/>
      <c r="UWS202" s="21"/>
      <c r="UWT202" s="21"/>
      <c r="UWU202" s="21"/>
      <c r="UWV202" s="21"/>
      <c r="UWW202" s="21"/>
      <c r="UWX202" s="21"/>
      <c r="UWY202" s="21"/>
      <c r="UWZ202" s="21"/>
      <c r="UXA202" s="21"/>
      <c r="UXB202" s="21"/>
      <c r="UXC202" s="21"/>
      <c r="UXD202" s="21"/>
      <c r="UXE202" s="21"/>
      <c r="UXF202" s="21"/>
      <c r="UXG202" s="21"/>
      <c r="UXH202" s="21"/>
      <c r="UXI202" s="21"/>
      <c r="UXJ202" s="21"/>
      <c r="UXK202" s="21"/>
      <c r="UXL202" s="21"/>
      <c r="UXM202" s="21"/>
      <c r="UXN202" s="21"/>
      <c r="UXO202" s="21"/>
      <c r="UXP202" s="21"/>
      <c r="UXQ202" s="21"/>
      <c r="UXR202" s="21"/>
      <c r="UXS202" s="21"/>
      <c r="UXT202" s="21"/>
      <c r="UXU202" s="21"/>
      <c r="UXV202" s="21"/>
      <c r="UXW202" s="21"/>
      <c r="UXX202" s="21"/>
      <c r="UXY202" s="21"/>
      <c r="UXZ202" s="21"/>
      <c r="UYA202" s="21"/>
      <c r="UYB202" s="21"/>
      <c r="UYC202" s="21"/>
      <c r="UYD202" s="21"/>
      <c r="UYE202" s="21"/>
      <c r="UYF202" s="21"/>
      <c r="UYG202" s="21"/>
      <c r="UYH202" s="21"/>
      <c r="UYI202" s="21"/>
      <c r="UYJ202" s="21"/>
      <c r="UYK202" s="21"/>
      <c r="UYL202" s="21"/>
      <c r="UYM202" s="21"/>
      <c r="UYN202" s="21"/>
      <c r="UYO202" s="21"/>
      <c r="UYP202" s="21"/>
      <c r="UYQ202" s="21"/>
      <c r="UYR202" s="21"/>
      <c r="UYS202" s="21"/>
      <c r="UYT202" s="21"/>
      <c r="UYU202" s="21"/>
      <c r="UYV202" s="21"/>
      <c r="UYW202" s="21"/>
      <c r="UYX202" s="21"/>
      <c r="UYY202" s="21"/>
      <c r="UYZ202" s="21"/>
      <c r="UZA202" s="21"/>
      <c r="UZB202" s="21"/>
      <c r="UZC202" s="21"/>
      <c r="UZD202" s="21"/>
      <c r="UZE202" s="21"/>
      <c r="UZF202" s="21"/>
      <c r="UZG202" s="21"/>
      <c r="UZH202" s="21"/>
      <c r="UZI202" s="21"/>
      <c r="UZJ202" s="21"/>
      <c r="UZK202" s="21"/>
      <c r="UZL202" s="21"/>
      <c r="UZM202" s="21"/>
      <c r="UZN202" s="21"/>
      <c r="UZO202" s="21"/>
      <c r="UZP202" s="21"/>
      <c r="UZQ202" s="21"/>
      <c r="UZR202" s="21"/>
      <c r="UZS202" s="21"/>
      <c r="UZT202" s="21"/>
      <c r="UZU202" s="21"/>
      <c r="UZV202" s="21"/>
      <c r="UZW202" s="21"/>
      <c r="UZX202" s="21"/>
      <c r="UZY202" s="21"/>
      <c r="UZZ202" s="21"/>
      <c r="VAA202" s="21"/>
      <c r="VAB202" s="21"/>
      <c r="VAC202" s="21"/>
      <c r="VAD202" s="21"/>
      <c r="VAE202" s="21"/>
      <c r="VAF202" s="21"/>
      <c r="VAG202" s="21"/>
      <c r="VAH202" s="21"/>
      <c r="VAI202" s="21"/>
      <c r="VAJ202" s="21"/>
      <c r="VAK202" s="21"/>
      <c r="VAL202" s="21"/>
      <c r="VAM202" s="21"/>
      <c r="VAN202" s="21"/>
      <c r="VAO202" s="21"/>
      <c r="VAP202" s="21"/>
      <c r="VAQ202" s="21"/>
      <c r="VAR202" s="21"/>
      <c r="VAS202" s="21"/>
      <c r="VAT202" s="21"/>
      <c r="VAU202" s="21"/>
      <c r="VAV202" s="21"/>
      <c r="VAW202" s="21"/>
      <c r="VAX202" s="21"/>
      <c r="VAY202" s="21"/>
      <c r="VAZ202" s="21"/>
      <c r="VBA202" s="21"/>
      <c r="VBB202" s="21"/>
      <c r="VBC202" s="21"/>
      <c r="VBD202" s="21"/>
      <c r="VBE202" s="21"/>
      <c r="VBF202" s="21"/>
      <c r="VBG202" s="21"/>
      <c r="VBH202" s="21"/>
      <c r="VBI202" s="21"/>
      <c r="VBJ202" s="21"/>
      <c r="VBK202" s="21"/>
      <c r="VBL202" s="21"/>
      <c r="VBM202" s="21"/>
      <c r="VBN202" s="21"/>
      <c r="VBO202" s="21"/>
      <c r="VBP202" s="21"/>
      <c r="VBQ202" s="21"/>
      <c r="VBR202" s="21"/>
      <c r="VBS202" s="21"/>
      <c r="VBT202" s="21"/>
      <c r="VBU202" s="21"/>
      <c r="VBV202" s="21"/>
      <c r="VBW202" s="21"/>
      <c r="VBX202" s="21"/>
      <c r="VBY202" s="21"/>
      <c r="VBZ202" s="21"/>
      <c r="VCA202" s="21"/>
      <c r="VCB202" s="21"/>
      <c r="VCC202" s="21"/>
      <c r="VCD202" s="21"/>
      <c r="VCE202" s="21"/>
      <c r="VCF202" s="21"/>
      <c r="VCG202" s="21"/>
      <c r="VCH202" s="21"/>
      <c r="VCI202" s="21"/>
      <c r="VCJ202" s="21"/>
      <c r="VCK202" s="21"/>
      <c r="VCL202" s="21"/>
      <c r="VCM202" s="21"/>
      <c r="VCN202" s="21"/>
      <c r="VCO202" s="21"/>
      <c r="VCP202" s="21"/>
      <c r="VCQ202" s="21"/>
      <c r="VCR202" s="21"/>
      <c r="VCS202" s="21"/>
      <c r="VCT202" s="21"/>
      <c r="VCU202" s="21"/>
      <c r="VCV202" s="21"/>
      <c r="VCW202" s="21"/>
      <c r="VCX202" s="21"/>
      <c r="VCY202" s="21"/>
      <c r="VCZ202" s="21"/>
      <c r="VDA202" s="21"/>
      <c r="VDB202" s="21"/>
      <c r="VDC202" s="21"/>
      <c r="VDD202" s="21"/>
      <c r="VDE202" s="21"/>
      <c r="VDF202" s="21"/>
      <c r="VDG202" s="21"/>
      <c r="VDH202" s="21"/>
      <c r="VDI202" s="21"/>
      <c r="VDJ202" s="21"/>
      <c r="VDK202" s="21"/>
      <c r="VDL202" s="21"/>
      <c r="VDM202" s="21"/>
      <c r="VDN202" s="21"/>
      <c r="VDO202" s="21"/>
      <c r="VDP202" s="21"/>
      <c r="VDQ202" s="21"/>
      <c r="VDR202" s="21"/>
      <c r="VDS202" s="21"/>
      <c r="VDT202" s="21"/>
      <c r="VDU202" s="21"/>
      <c r="VDV202" s="21"/>
      <c r="VDW202" s="21"/>
      <c r="VDX202" s="21"/>
      <c r="VDY202" s="21"/>
      <c r="VDZ202" s="21"/>
      <c r="VEA202" s="21"/>
      <c r="VEB202" s="21"/>
      <c r="VEC202" s="21"/>
      <c r="VED202" s="21"/>
      <c r="VEE202" s="21"/>
      <c r="VEF202" s="21"/>
      <c r="VEG202" s="21"/>
      <c r="VEH202" s="21"/>
      <c r="VEI202" s="21"/>
      <c r="VEJ202" s="21"/>
      <c r="VEK202" s="21"/>
      <c r="VEL202" s="21"/>
      <c r="VEM202" s="21"/>
      <c r="VEN202" s="21"/>
      <c r="VEO202" s="21"/>
      <c r="VEP202" s="21"/>
      <c r="VEQ202" s="21"/>
      <c r="VER202" s="21"/>
      <c r="VES202" s="21"/>
      <c r="VET202" s="21"/>
      <c r="VEU202" s="21"/>
      <c r="VEV202" s="21"/>
      <c r="VEW202" s="21"/>
      <c r="VEX202" s="21"/>
      <c r="VEY202" s="21"/>
      <c r="VEZ202" s="21"/>
      <c r="VFA202" s="21"/>
      <c r="VFB202" s="21"/>
      <c r="VFC202" s="21"/>
      <c r="VFD202" s="21"/>
      <c r="VFE202" s="21"/>
      <c r="VFF202" s="21"/>
      <c r="VFG202" s="21"/>
      <c r="VFH202" s="21"/>
      <c r="VFI202" s="21"/>
      <c r="VFJ202" s="21"/>
      <c r="VFK202" s="21"/>
      <c r="VFL202" s="21"/>
      <c r="VFM202" s="21"/>
      <c r="VFN202" s="21"/>
      <c r="VFO202" s="21"/>
      <c r="VFP202" s="21"/>
      <c r="VFQ202" s="21"/>
      <c r="VFR202" s="21"/>
      <c r="VFS202" s="21"/>
      <c r="VFT202" s="21"/>
      <c r="VFU202" s="21"/>
      <c r="VFV202" s="21"/>
      <c r="VFW202" s="21"/>
      <c r="VFX202" s="21"/>
      <c r="VFY202" s="21"/>
      <c r="VFZ202" s="21"/>
      <c r="VGA202" s="21"/>
      <c r="VGB202" s="21"/>
      <c r="VGC202" s="21"/>
      <c r="VGD202" s="21"/>
      <c r="VGE202" s="21"/>
      <c r="VGF202" s="21"/>
      <c r="VGG202" s="21"/>
      <c r="VGH202" s="21"/>
      <c r="VGI202" s="21"/>
      <c r="VGJ202" s="21"/>
      <c r="VGK202" s="21"/>
      <c r="VGL202" s="21"/>
      <c r="VGM202" s="21"/>
      <c r="VGN202" s="21"/>
      <c r="VGO202" s="21"/>
      <c r="VGP202" s="21"/>
      <c r="VGQ202" s="21"/>
      <c r="VGR202" s="21"/>
      <c r="VGS202" s="21"/>
      <c r="VGT202" s="21"/>
      <c r="VGU202" s="21"/>
      <c r="VGV202" s="21"/>
      <c r="VGW202" s="21"/>
      <c r="VGX202" s="21"/>
      <c r="VGY202" s="21"/>
      <c r="VGZ202" s="21"/>
      <c r="VHA202" s="21"/>
      <c r="VHB202" s="21"/>
      <c r="VHC202" s="21"/>
      <c r="VHD202" s="21"/>
      <c r="VHE202" s="21"/>
      <c r="VHF202" s="21"/>
      <c r="VHG202" s="21"/>
      <c r="VHH202" s="21"/>
      <c r="VHI202" s="21"/>
      <c r="VHJ202" s="21"/>
      <c r="VHK202" s="21"/>
      <c r="VHL202" s="21"/>
      <c r="VHM202" s="21"/>
      <c r="VHN202" s="21"/>
      <c r="VHO202" s="21"/>
      <c r="VHP202" s="21"/>
      <c r="VHQ202" s="21"/>
      <c r="VHR202" s="21"/>
      <c r="VHS202" s="21"/>
      <c r="VHT202" s="21"/>
      <c r="VHU202" s="21"/>
      <c r="VHV202" s="21"/>
      <c r="VHW202" s="21"/>
      <c r="VHX202" s="21"/>
      <c r="VHY202" s="21"/>
      <c r="VHZ202" s="21"/>
      <c r="VIA202" s="21"/>
      <c r="VIB202" s="21"/>
      <c r="VIC202" s="21"/>
      <c r="VID202" s="21"/>
      <c r="VIE202" s="21"/>
      <c r="VIF202" s="21"/>
      <c r="VIG202" s="21"/>
      <c r="VIH202" s="21"/>
      <c r="VII202" s="21"/>
      <c r="VIJ202" s="21"/>
      <c r="VIK202" s="21"/>
      <c r="VIL202" s="21"/>
      <c r="VIM202" s="21"/>
      <c r="VIN202" s="21"/>
      <c r="VIO202" s="21"/>
      <c r="VIP202" s="21"/>
      <c r="VIQ202" s="21"/>
      <c r="VIR202" s="21"/>
      <c r="VIS202" s="21"/>
      <c r="VIT202" s="21"/>
      <c r="VIU202" s="21"/>
      <c r="VIV202" s="21"/>
      <c r="VIW202" s="21"/>
      <c r="VIX202" s="21"/>
      <c r="VIY202" s="21"/>
      <c r="VIZ202" s="21"/>
      <c r="VJA202" s="21"/>
      <c r="VJB202" s="21"/>
      <c r="VJC202" s="21"/>
      <c r="VJD202" s="21"/>
      <c r="VJE202" s="21"/>
      <c r="VJF202" s="21"/>
      <c r="VJG202" s="21"/>
      <c r="VJH202" s="21"/>
      <c r="VJI202" s="21"/>
      <c r="VJJ202" s="21"/>
      <c r="VJK202" s="21"/>
      <c r="VJL202" s="21"/>
      <c r="VJM202" s="21"/>
      <c r="VJN202" s="21"/>
      <c r="VJO202" s="21"/>
      <c r="VJP202" s="21"/>
      <c r="VJQ202" s="21"/>
      <c r="VJR202" s="21"/>
      <c r="VJS202" s="21"/>
      <c r="VJT202" s="21"/>
      <c r="VJU202" s="21"/>
      <c r="VJV202" s="21"/>
      <c r="VJW202" s="21"/>
      <c r="VJX202" s="21"/>
      <c r="VJY202" s="21"/>
      <c r="VJZ202" s="21"/>
      <c r="VKA202" s="21"/>
      <c r="VKB202" s="21"/>
      <c r="VKC202" s="21"/>
      <c r="VKD202" s="21"/>
      <c r="VKE202" s="21"/>
      <c r="VKF202" s="21"/>
      <c r="VKG202" s="21"/>
      <c r="VKH202" s="21"/>
      <c r="VKI202" s="21"/>
      <c r="VKJ202" s="21"/>
      <c r="VKK202" s="21"/>
      <c r="VKL202" s="21"/>
      <c r="VKM202" s="21"/>
      <c r="VKN202" s="21"/>
      <c r="VKO202" s="21"/>
      <c r="VKP202" s="21"/>
      <c r="VKQ202" s="21"/>
      <c r="VKR202" s="21"/>
      <c r="VKS202" s="21"/>
      <c r="VKT202" s="21"/>
      <c r="VKU202" s="21"/>
      <c r="VKV202" s="21"/>
      <c r="VKW202" s="21"/>
      <c r="VKX202" s="21"/>
      <c r="VKY202" s="21"/>
      <c r="VKZ202" s="21"/>
      <c r="VLA202" s="21"/>
      <c r="VLB202" s="21"/>
      <c r="VLC202" s="21"/>
      <c r="VLD202" s="21"/>
      <c r="VLE202" s="21"/>
      <c r="VLF202" s="21"/>
      <c r="VLG202" s="21"/>
      <c r="VLH202" s="21"/>
      <c r="VLI202" s="21"/>
      <c r="VLJ202" s="21"/>
      <c r="VLK202" s="21"/>
      <c r="VLL202" s="21"/>
      <c r="VLM202" s="21"/>
      <c r="VLN202" s="21"/>
      <c r="VLO202" s="21"/>
      <c r="VLP202" s="21"/>
      <c r="VLQ202" s="21"/>
      <c r="VLR202" s="21"/>
      <c r="VLS202" s="21"/>
      <c r="VLT202" s="21"/>
      <c r="VLU202" s="21"/>
      <c r="VLV202" s="21"/>
      <c r="VLW202" s="21"/>
      <c r="VLX202" s="21"/>
      <c r="VLY202" s="21"/>
      <c r="VLZ202" s="21"/>
      <c r="VMA202" s="21"/>
      <c r="VMB202" s="21"/>
      <c r="VMC202" s="21"/>
      <c r="VMD202" s="21"/>
      <c r="VME202" s="21"/>
      <c r="VMF202" s="21"/>
      <c r="VMG202" s="21"/>
      <c r="VMH202" s="21"/>
      <c r="VMI202" s="21"/>
      <c r="VMJ202" s="21"/>
      <c r="VMK202" s="21"/>
      <c r="VML202" s="21"/>
      <c r="VMM202" s="21"/>
      <c r="VMN202" s="21"/>
      <c r="VMO202" s="21"/>
      <c r="VMP202" s="21"/>
      <c r="VMQ202" s="21"/>
      <c r="VMR202" s="21"/>
      <c r="VMS202" s="21"/>
      <c r="VMT202" s="21"/>
      <c r="VMU202" s="21"/>
      <c r="VMV202" s="21"/>
      <c r="VMW202" s="21"/>
      <c r="VMX202" s="21"/>
      <c r="VMY202" s="21"/>
      <c r="VMZ202" s="21"/>
      <c r="VNA202" s="21"/>
      <c r="VNB202" s="21"/>
      <c r="VNC202" s="21"/>
      <c r="VND202" s="21"/>
      <c r="VNE202" s="21"/>
      <c r="VNF202" s="21"/>
      <c r="VNG202" s="21"/>
      <c r="VNH202" s="21"/>
      <c r="VNI202" s="21"/>
      <c r="VNJ202" s="21"/>
      <c r="VNK202" s="21"/>
      <c r="VNL202" s="21"/>
      <c r="VNM202" s="21"/>
      <c r="VNN202" s="21"/>
      <c r="VNO202" s="21"/>
      <c r="VNP202" s="21"/>
      <c r="VNQ202" s="21"/>
      <c r="VNR202" s="21"/>
      <c r="VNS202" s="21"/>
      <c r="VNT202" s="21"/>
      <c r="VNU202" s="21"/>
      <c r="VNV202" s="21"/>
      <c r="VNW202" s="21"/>
      <c r="VNX202" s="21"/>
      <c r="VNY202" s="21"/>
      <c r="VNZ202" s="21"/>
      <c r="VOA202" s="21"/>
      <c r="VOB202" s="21"/>
      <c r="VOC202" s="21"/>
      <c r="VOD202" s="21"/>
      <c r="VOE202" s="21"/>
      <c r="VOF202" s="21"/>
      <c r="VOG202" s="21"/>
      <c r="VOH202" s="21"/>
      <c r="VOI202" s="21"/>
      <c r="VOJ202" s="21"/>
      <c r="VOK202" s="21"/>
      <c r="VOL202" s="21"/>
      <c r="VOM202" s="21"/>
      <c r="VON202" s="21"/>
      <c r="VOO202" s="21"/>
      <c r="VOP202" s="21"/>
      <c r="VOQ202" s="21"/>
      <c r="VOR202" s="21"/>
      <c r="VOS202" s="21"/>
      <c r="VOT202" s="21"/>
      <c r="VOU202" s="21"/>
      <c r="VOV202" s="21"/>
      <c r="VOW202" s="21"/>
      <c r="VOX202" s="21"/>
      <c r="VOY202" s="21"/>
      <c r="VOZ202" s="21"/>
      <c r="VPA202" s="21"/>
      <c r="VPB202" s="21"/>
      <c r="VPC202" s="21"/>
      <c r="VPD202" s="21"/>
      <c r="VPE202" s="21"/>
      <c r="VPF202" s="21"/>
      <c r="VPG202" s="21"/>
      <c r="VPH202" s="21"/>
      <c r="VPI202" s="21"/>
      <c r="VPJ202" s="21"/>
      <c r="VPK202" s="21"/>
      <c r="VPL202" s="21"/>
      <c r="VPM202" s="21"/>
      <c r="VPN202" s="21"/>
      <c r="VPO202" s="21"/>
      <c r="VPP202" s="21"/>
      <c r="VPQ202" s="21"/>
      <c r="VPR202" s="21"/>
      <c r="VPS202" s="21"/>
      <c r="VPT202" s="21"/>
      <c r="VPU202" s="21"/>
      <c r="VPV202" s="21"/>
      <c r="VPW202" s="21"/>
      <c r="VPX202" s="21"/>
      <c r="VPY202" s="21"/>
      <c r="VPZ202" s="21"/>
      <c r="VQA202" s="21"/>
      <c r="VQB202" s="21"/>
      <c r="VQC202" s="21"/>
      <c r="VQD202" s="21"/>
      <c r="VQE202" s="21"/>
      <c r="VQF202" s="21"/>
      <c r="VQG202" s="21"/>
      <c r="VQH202" s="21"/>
      <c r="VQI202" s="21"/>
      <c r="VQJ202" s="21"/>
      <c r="VQK202" s="21"/>
      <c r="VQL202" s="21"/>
      <c r="VQM202" s="21"/>
      <c r="VQN202" s="21"/>
      <c r="VQO202" s="21"/>
      <c r="VQP202" s="21"/>
      <c r="VQQ202" s="21"/>
      <c r="VQR202" s="21"/>
      <c r="VQS202" s="21"/>
      <c r="VQT202" s="21"/>
      <c r="VQU202" s="21"/>
      <c r="VQV202" s="21"/>
      <c r="VQW202" s="21"/>
      <c r="VQX202" s="21"/>
      <c r="VQY202" s="21"/>
      <c r="VQZ202" s="21"/>
      <c r="VRA202" s="21"/>
      <c r="VRB202" s="21"/>
      <c r="VRC202" s="21"/>
      <c r="VRD202" s="21"/>
      <c r="VRE202" s="21"/>
      <c r="VRF202" s="21"/>
      <c r="VRG202" s="21"/>
      <c r="VRH202" s="21"/>
      <c r="VRI202" s="21"/>
      <c r="VRJ202" s="21"/>
      <c r="VRK202" s="21"/>
      <c r="VRL202" s="21"/>
      <c r="VRM202" s="21"/>
      <c r="VRN202" s="21"/>
      <c r="VRO202" s="21"/>
      <c r="VRP202" s="21"/>
      <c r="VRQ202" s="21"/>
      <c r="VRR202" s="21"/>
      <c r="VRS202" s="21"/>
      <c r="VRT202" s="21"/>
      <c r="VRU202" s="21"/>
      <c r="VRV202" s="21"/>
      <c r="VRW202" s="21"/>
      <c r="VRX202" s="21"/>
      <c r="VRY202" s="21"/>
      <c r="VRZ202" s="21"/>
      <c r="VSA202" s="21"/>
      <c r="VSB202" s="21"/>
      <c r="VSC202" s="21"/>
      <c r="VSD202" s="21"/>
      <c r="VSE202" s="21"/>
      <c r="VSF202" s="21"/>
      <c r="VSG202" s="21"/>
      <c r="VSH202" s="21"/>
      <c r="VSI202" s="21"/>
      <c r="VSJ202" s="21"/>
      <c r="VSK202" s="21"/>
      <c r="VSL202" s="21"/>
      <c r="VSM202" s="21"/>
      <c r="VSN202" s="21"/>
      <c r="VSO202" s="21"/>
      <c r="VSP202" s="21"/>
      <c r="VSQ202" s="21"/>
      <c r="VSR202" s="21"/>
      <c r="VSS202" s="21"/>
      <c r="VST202" s="21"/>
      <c r="VSU202" s="21"/>
      <c r="VSV202" s="21"/>
      <c r="VSW202" s="21"/>
      <c r="VSX202" s="21"/>
      <c r="VSY202" s="21"/>
      <c r="VSZ202" s="21"/>
      <c r="VTA202" s="21"/>
      <c r="VTB202" s="21"/>
      <c r="VTC202" s="21"/>
      <c r="VTD202" s="21"/>
      <c r="VTE202" s="21"/>
      <c r="VTF202" s="21"/>
      <c r="VTG202" s="21"/>
      <c r="VTH202" s="21"/>
      <c r="VTI202" s="21"/>
      <c r="VTJ202" s="21"/>
      <c r="VTK202" s="21"/>
      <c r="VTL202" s="21"/>
      <c r="VTM202" s="21"/>
      <c r="VTN202" s="21"/>
      <c r="VTO202" s="21"/>
      <c r="VTP202" s="21"/>
      <c r="VTQ202" s="21"/>
      <c r="VTR202" s="21"/>
      <c r="VTS202" s="21"/>
      <c r="VTT202" s="21"/>
      <c r="VTU202" s="21"/>
      <c r="VTV202" s="21"/>
      <c r="VTW202" s="21"/>
      <c r="VTX202" s="21"/>
      <c r="VTY202" s="21"/>
      <c r="VTZ202" s="21"/>
      <c r="VUA202" s="21"/>
      <c r="VUB202" s="21"/>
      <c r="VUC202" s="21"/>
      <c r="VUD202" s="21"/>
      <c r="VUE202" s="21"/>
      <c r="VUF202" s="21"/>
      <c r="VUG202" s="21"/>
      <c r="VUH202" s="21"/>
      <c r="VUI202" s="21"/>
      <c r="VUJ202" s="21"/>
      <c r="VUK202" s="21"/>
      <c r="VUL202" s="21"/>
      <c r="VUM202" s="21"/>
      <c r="VUN202" s="21"/>
      <c r="VUO202" s="21"/>
      <c r="VUP202" s="21"/>
      <c r="VUQ202" s="21"/>
      <c r="VUR202" s="21"/>
      <c r="VUS202" s="21"/>
      <c r="VUT202" s="21"/>
      <c r="VUU202" s="21"/>
      <c r="VUV202" s="21"/>
      <c r="VUW202" s="21"/>
      <c r="VUX202" s="21"/>
      <c r="VUY202" s="21"/>
      <c r="VUZ202" s="21"/>
      <c r="VVA202" s="21"/>
      <c r="VVB202" s="21"/>
      <c r="VVC202" s="21"/>
      <c r="VVD202" s="21"/>
      <c r="VVE202" s="21"/>
      <c r="VVF202" s="21"/>
      <c r="VVG202" s="21"/>
      <c r="VVH202" s="21"/>
      <c r="VVI202" s="21"/>
      <c r="VVJ202" s="21"/>
      <c r="VVK202" s="21"/>
      <c r="VVL202" s="21"/>
      <c r="VVM202" s="21"/>
      <c r="VVN202" s="21"/>
      <c r="VVO202" s="21"/>
      <c r="VVP202" s="21"/>
      <c r="VVQ202" s="21"/>
      <c r="VVR202" s="21"/>
      <c r="VVS202" s="21"/>
      <c r="VVT202" s="21"/>
      <c r="VVU202" s="21"/>
      <c r="VVV202" s="21"/>
      <c r="VVW202" s="21"/>
      <c r="VVX202" s="21"/>
      <c r="VVY202" s="21"/>
      <c r="VVZ202" s="21"/>
      <c r="VWA202" s="21"/>
      <c r="VWB202" s="21"/>
      <c r="VWC202" s="21"/>
      <c r="VWD202" s="21"/>
      <c r="VWE202" s="21"/>
      <c r="VWF202" s="21"/>
      <c r="VWG202" s="21"/>
      <c r="VWH202" s="21"/>
      <c r="VWI202" s="21"/>
      <c r="VWJ202" s="21"/>
      <c r="VWK202" s="21"/>
      <c r="VWL202" s="21"/>
      <c r="VWM202" s="21"/>
      <c r="VWN202" s="21"/>
      <c r="VWO202" s="21"/>
      <c r="VWP202" s="21"/>
      <c r="VWQ202" s="21"/>
      <c r="VWR202" s="21"/>
      <c r="VWS202" s="21"/>
      <c r="VWT202" s="21"/>
      <c r="VWU202" s="21"/>
      <c r="VWV202" s="21"/>
      <c r="VWW202" s="21"/>
      <c r="VWX202" s="21"/>
      <c r="VWY202" s="21"/>
      <c r="VWZ202" s="21"/>
      <c r="VXA202" s="21"/>
      <c r="VXB202" s="21"/>
      <c r="VXC202" s="21"/>
      <c r="VXD202" s="21"/>
      <c r="VXE202" s="21"/>
      <c r="VXF202" s="21"/>
      <c r="VXG202" s="21"/>
      <c r="VXH202" s="21"/>
      <c r="VXI202" s="21"/>
      <c r="VXJ202" s="21"/>
      <c r="VXK202" s="21"/>
      <c r="VXL202" s="21"/>
      <c r="VXM202" s="21"/>
      <c r="VXN202" s="21"/>
      <c r="VXO202" s="21"/>
      <c r="VXP202" s="21"/>
      <c r="VXQ202" s="21"/>
      <c r="VXR202" s="21"/>
      <c r="VXS202" s="21"/>
      <c r="VXT202" s="21"/>
      <c r="VXU202" s="21"/>
      <c r="VXV202" s="21"/>
      <c r="VXW202" s="21"/>
      <c r="VXX202" s="21"/>
      <c r="VXY202" s="21"/>
      <c r="VXZ202" s="21"/>
      <c r="VYA202" s="21"/>
      <c r="VYB202" s="21"/>
      <c r="VYC202" s="21"/>
      <c r="VYD202" s="21"/>
      <c r="VYE202" s="21"/>
      <c r="VYF202" s="21"/>
      <c r="VYG202" s="21"/>
      <c r="VYH202" s="21"/>
      <c r="VYI202" s="21"/>
      <c r="VYJ202" s="21"/>
      <c r="VYK202" s="21"/>
      <c r="VYL202" s="21"/>
      <c r="VYM202" s="21"/>
      <c r="VYN202" s="21"/>
      <c r="VYO202" s="21"/>
      <c r="VYP202" s="21"/>
      <c r="VYQ202" s="21"/>
      <c r="VYR202" s="21"/>
      <c r="VYS202" s="21"/>
      <c r="VYT202" s="21"/>
      <c r="VYU202" s="21"/>
      <c r="VYV202" s="21"/>
      <c r="VYW202" s="21"/>
      <c r="VYX202" s="21"/>
      <c r="VYY202" s="21"/>
      <c r="VYZ202" s="21"/>
      <c r="VZA202" s="21"/>
      <c r="VZB202" s="21"/>
      <c r="VZC202" s="21"/>
      <c r="VZD202" s="21"/>
      <c r="VZE202" s="21"/>
      <c r="VZF202" s="21"/>
      <c r="VZG202" s="21"/>
      <c r="VZH202" s="21"/>
      <c r="VZI202" s="21"/>
      <c r="VZJ202" s="21"/>
      <c r="VZK202" s="21"/>
      <c r="VZL202" s="21"/>
      <c r="VZM202" s="21"/>
      <c r="VZN202" s="21"/>
      <c r="VZO202" s="21"/>
      <c r="VZP202" s="21"/>
      <c r="VZQ202" s="21"/>
      <c r="VZR202" s="21"/>
      <c r="VZS202" s="21"/>
      <c r="VZT202" s="21"/>
      <c r="VZU202" s="21"/>
      <c r="VZV202" s="21"/>
      <c r="VZW202" s="21"/>
      <c r="VZX202" s="21"/>
      <c r="VZY202" s="21"/>
      <c r="VZZ202" s="21"/>
      <c r="WAA202" s="21"/>
      <c r="WAB202" s="21"/>
      <c r="WAC202" s="21"/>
      <c r="WAD202" s="21"/>
      <c r="WAE202" s="21"/>
      <c r="WAF202" s="21"/>
      <c r="WAG202" s="21"/>
      <c r="WAH202" s="21"/>
      <c r="WAI202" s="21"/>
      <c r="WAJ202" s="21"/>
      <c r="WAK202" s="21"/>
      <c r="WAL202" s="21"/>
      <c r="WAM202" s="21"/>
      <c r="WAN202" s="21"/>
      <c r="WAO202" s="21"/>
      <c r="WAP202" s="21"/>
      <c r="WAQ202" s="21"/>
      <c r="WAR202" s="21"/>
      <c r="WAS202" s="21"/>
      <c r="WAT202" s="21"/>
      <c r="WAU202" s="21"/>
      <c r="WAV202" s="21"/>
      <c r="WAW202" s="21"/>
      <c r="WAX202" s="21"/>
      <c r="WAY202" s="21"/>
      <c r="WAZ202" s="21"/>
      <c r="WBA202" s="21"/>
      <c r="WBB202" s="21"/>
      <c r="WBC202" s="21"/>
      <c r="WBD202" s="21"/>
      <c r="WBE202" s="21"/>
      <c r="WBF202" s="21"/>
      <c r="WBG202" s="21"/>
      <c r="WBH202" s="21"/>
      <c r="WBI202" s="21"/>
      <c r="WBJ202" s="21"/>
      <c r="WBK202" s="21"/>
      <c r="WBL202" s="21"/>
      <c r="WBM202" s="21"/>
      <c r="WBN202" s="21"/>
      <c r="WBO202" s="21"/>
      <c r="WBP202" s="21"/>
      <c r="WBQ202" s="21"/>
      <c r="WBR202" s="21"/>
      <c r="WBS202" s="21"/>
      <c r="WBT202" s="21"/>
      <c r="WBU202" s="21"/>
      <c r="WBV202" s="21"/>
      <c r="WBW202" s="21"/>
      <c r="WBX202" s="21"/>
      <c r="WBY202" s="21"/>
      <c r="WBZ202" s="21"/>
      <c r="WCA202" s="21"/>
      <c r="WCB202" s="21"/>
      <c r="WCC202" s="21"/>
      <c r="WCD202" s="21"/>
      <c r="WCE202" s="21"/>
      <c r="WCF202" s="21"/>
      <c r="WCG202" s="21"/>
      <c r="WCH202" s="21"/>
      <c r="WCI202" s="21"/>
      <c r="WCJ202" s="21"/>
      <c r="WCK202" s="21"/>
      <c r="WCL202" s="21"/>
      <c r="WCM202" s="21"/>
      <c r="WCN202" s="21"/>
      <c r="WCO202" s="21"/>
      <c r="WCP202" s="21"/>
      <c r="WCQ202" s="21"/>
      <c r="WCR202" s="21"/>
      <c r="WCS202" s="21"/>
      <c r="WCT202" s="21"/>
      <c r="WCU202" s="21"/>
      <c r="WCV202" s="21"/>
      <c r="WCW202" s="21"/>
      <c r="WCX202" s="21"/>
      <c r="WCY202" s="21"/>
      <c r="WCZ202" s="21"/>
      <c r="WDA202" s="21"/>
      <c r="WDB202" s="21"/>
      <c r="WDC202" s="21"/>
      <c r="WDD202" s="21"/>
      <c r="WDE202" s="21"/>
      <c r="WDF202" s="21"/>
      <c r="WDG202" s="21"/>
      <c r="WDH202" s="21"/>
      <c r="WDI202" s="21"/>
      <c r="WDJ202" s="21"/>
      <c r="WDK202" s="21"/>
      <c r="WDL202" s="21"/>
      <c r="WDM202" s="21"/>
      <c r="WDN202" s="21"/>
      <c r="WDO202" s="21"/>
      <c r="WDP202" s="21"/>
      <c r="WDQ202" s="21"/>
      <c r="WDR202" s="21"/>
      <c r="WDS202" s="21"/>
      <c r="WDT202" s="21"/>
      <c r="WDU202" s="21"/>
      <c r="WDV202" s="21"/>
      <c r="WDW202" s="21"/>
      <c r="WDX202" s="21"/>
      <c r="WDY202" s="21"/>
      <c r="WDZ202" s="21"/>
      <c r="WEA202" s="21"/>
      <c r="WEB202" s="21"/>
      <c r="WEC202" s="21"/>
      <c r="WED202" s="21"/>
      <c r="WEE202" s="21"/>
      <c r="WEF202" s="21"/>
      <c r="WEG202" s="21"/>
      <c r="WEH202" s="21"/>
      <c r="WEI202" s="21"/>
      <c r="WEJ202" s="21"/>
      <c r="WEK202" s="21"/>
      <c r="WEL202" s="21"/>
      <c r="WEM202" s="21"/>
      <c r="WEN202" s="21"/>
      <c r="WEO202" s="21"/>
      <c r="WEP202" s="21"/>
      <c r="WEQ202" s="21"/>
      <c r="WER202" s="21"/>
      <c r="WES202" s="21"/>
      <c r="WET202" s="21"/>
      <c r="WEU202" s="21"/>
      <c r="WEV202" s="21"/>
      <c r="WEW202" s="21"/>
      <c r="WEX202" s="21"/>
      <c r="WEY202" s="21"/>
      <c r="WEZ202" s="21"/>
      <c r="WFA202" s="21"/>
      <c r="WFB202" s="21"/>
      <c r="WFC202" s="21"/>
      <c r="WFD202" s="21"/>
      <c r="WFE202" s="21"/>
      <c r="WFF202" s="21"/>
      <c r="WFG202" s="21"/>
      <c r="WFH202" s="21"/>
      <c r="WFI202" s="21"/>
      <c r="WFJ202" s="21"/>
      <c r="WFK202" s="21"/>
      <c r="WFL202" s="21"/>
      <c r="WFM202" s="21"/>
      <c r="WFN202" s="21"/>
      <c r="WFO202" s="21"/>
      <c r="WFP202" s="21"/>
      <c r="WFQ202" s="21"/>
      <c r="WFR202" s="21"/>
      <c r="WFS202" s="21"/>
      <c r="WFT202" s="21"/>
      <c r="WFU202" s="21"/>
      <c r="WFV202" s="21"/>
      <c r="WFW202" s="21"/>
      <c r="WFX202" s="21"/>
      <c r="WFY202" s="21"/>
      <c r="WFZ202" s="21"/>
      <c r="WGA202" s="21"/>
      <c r="WGB202" s="21"/>
      <c r="WGC202" s="21"/>
      <c r="WGD202" s="21"/>
      <c r="WGE202" s="21"/>
      <c r="WGF202" s="21"/>
      <c r="WGG202" s="21"/>
      <c r="WGH202" s="21"/>
      <c r="WGI202" s="21"/>
      <c r="WGJ202" s="21"/>
      <c r="WGK202" s="21"/>
      <c r="WGL202" s="21"/>
      <c r="WGM202" s="21"/>
      <c r="WGN202" s="21"/>
      <c r="WGO202" s="21"/>
      <c r="WGP202" s="21"/>
      <c r="WGQ202" s="21"/>
      <c r="WGR202" s="21"/>
      <c r="WGS202" s="21"/>
      <c r="WGT202" s="21"/>
      <c r="WGU202" s="21"/>
      <c r="WGV202" s="21"/>
      <c r="WGW202" s="21"/>
      <c r="WGX202" s="21"/>
      <c r="WGY202" s="21"/>
      <c r="WGZ202" s="21"/>
      <c r="WHA202" s="21"/>
      <c r="WHB202" s="21"/>
      <c r="WHC202" s="21"/>
      <c r="WHD202" s="21"/>
      <c r="WHE202" s="21"/>
      <c r="WHF202" s="21"/>
      <c r="WHG202" s="21"/>
      <c r="WHH202" s="21"/>
      <c r="WHI202" s="21"/>
      <c r="WHJ202" s="21"/>
      <c r="WHK202" s="21"/>
      <c r="WHL202" s="21"/>
      <c r="WHM202" s="21"/>
      <c r="WHN202" s="21"/>
      <c r="WHO202" s="21"/>
      <c r="WHP202" s="21"/>
      <c r="WHQ202" s="21"/>
      <c r="WHR202" s="21"/>
      <c r="WHS202" s="21"/>
      <c r="WHT202" s="21"/>
      <c r="WHU202" s="21"/>
      <c r="WHV202" s="21"/>
      <c r="WHW202" s="21"/>
      <c r="WHX202" s="21"/>
      <c r="WHY202" s="21"/>
      <c r="WHZ202" s="21"/>
      <c r="WIA202" s="21"/>
      <c r="WIB202" s="21"/>
      <c r="WIC202" s="21"/>
      <c r="WID202" s="21"/>
      <c r="WIE202" s="21"/>
      <c r="WIF202" s="21"/>
      <c r="WIG202" s="21"/>
      <c r="WIH202" s="21"/>
      <c r="WII202" s="21"/>
      <c r="WIJ202" s="21"/>
      <c r="WIK202" s="21"/>
      <c r="WIL202" s="21"/>
      <c r="WIM202" s="21"/>
      <c r="WIN202" s="21"/>
      <c r="WIO202" s="21"/>
      <c r="WIP202" s="21"/>
      <c r="WIQ202" s="21"/>
      <c r="WIR202" s="21"/>
      <c r="WIS202" s="21"/>
      <c r="WIT202" s="21"/>
      <c r="WIU202" s="21"/>
      <c r="WIV202" s="21"/>
      <c r="WIW202" s="21"/>
      <c r="WIX202" s="21"/>
      <c r="WIY202" s="21"/>
      <c r="WIZ202" s="21"/>
      <c r="WJA202" s="21"/>
      <c r="WJB202" s="21"/>
      <c r="WJC202" s="21"/>
      <c r="WJD202" s="21"/>
      <c r="WJE202" s="21"/>
      <c r="WJF202" s="21"/>
      <c r="WJG202" s="21"/>
      <c r="WJH202" s="21"/>
      <c r="WJI202" s="21"/>
      <c r="WJJ202" s="21"/>
      <c r="WJK202" s="21"/>
      <c r="WJL202" s="21"/>
      <c r="WJM202" s="21"/>
      <c r="WJN202" s="21"/>
      <c r="WJO202" s="21"/>
      <c r="WJP202" s="21"/>
      <c r="WJQ202" s="21"/>
      <c r="WJR202" s="21"/>
      <c r="WJS202" s="21"/>
      <c r="WJT202" s="21"/>
      <c r="WJU202" s="21"/>
      <c r="WJV202" s="21"/>
      <c r="WJW202" s="21"/>
      <c r="WJX202" s="21"/>
      <c r="WJY202" s="21"/>
      <c r="WJZ202" s="21"/>
      <c r="WKA202" s="21"/>
      <c r="WKB202" s="21"/>
      <c r="WKC202" s="21"/>
      <c r="WKD202" s="21"/>
      <c r="WKE202" s="21"/>
      <c r="WKF202" s="21"/>
      <c r="WKG202" s="21"/>
      <c r="WKH202" s="21"/>
      <c r="WKI202" s="21"/>
      <c r="WKJ202" s="21"/>
      <c r="WKK202" s="21"/>
      <c r="WKL202" s="21"/>
      <c r="WKM202" s="21"/>
      <c r="WKN202" s="21"/>
      <c r="WKO202" s="21"/>
      <c r="WKP202" s="21"/>
      <c r="WKQ202" s="21"/>
      <c r="WKR202" s="21"/>
      <c r="WKS202" s="21"/>
      <c r="WKT202" s="21"/>
      <c r="WKU202" s="21"/>
      <c r="WKV202" s="21"/>
      <c r="WKW202" s="21"/>
      <c r="WKX202" s="21"/>
      <c r="WKY202" s="21"/>
      <c r="WKZ202" s="21"/>
      <c r="WLA202" s="21"/>
      <c r="WLB202" s="21"/>
      <c r="WLC202" s="21"/>
      <c r="WLD202" s="21"/>
      <c r="WLE202" s="21"/>
      <c r="WLF202" s="21"/>
      <c r="WLG202" s="21"/>
      <c r="WLH202" s="21"/>
      <c r="WLI202" s="21"/>
      <c r="WLJ202" s="21"/>
      <c r="WLK202" s="21"/>
      <c r="WLL202" s="21"/>
      <c r="WLM202" s="21"/>
      <c r="WLN202" s="21"/>
      <c r="WLO202" s="21"/>
      <c r="WLP202" s="21"/>
      <c r="WLQ202" s="21"/>
      <c r="WLR202" s="21"/>
      <c r="WLS202" s="21"/>
      <c r="WLT202" s="21"/>
      <c r="WLU202" s="21"/>
      <c r="WLV202" s="21"/>
      <c r="WLW202" s="21"/>
      <c r="WLX202" s="21"/>
      <c r="WLY202" s="21"/>
      <c r="WLZ202" s="21"/>
      <c r="WMA202" s="21"/>
      <c r="WMB202" s="21"/>
      <c r="WMC202" s="21"/>
      <c r="WMD202" s="21"/>
      <c r="WME202" s="21"/>
      <c r="WMF202" s="21"/>
      <c r="WMG202" s="21"/>
      <c r="WMH202" s="21"/>
      <c r="WMI202" s="21"/>
      <c r="WMJ202" s="21"/>
      <c r="WMK202" s="21"/>
      <c r="WML202" s="21"/>
      <c r="WMM202" s="21"/>
      <c r="WMN202" s="21"/>
      <c r="WMO202" s="21"/>
      <c r="WMP202" s="21"/>
      <c r="WMQ202" s="21"/>
      <c r="WMR202" s="21"/>
      <c r="WMS202" s="21"/>
      <c r="WMT202" s="21"/>
      <c r="WMU202" s="21"/>
      <c r="WMV202" s="21"/>
      <c r="WMW202" s="21"/>
      <c r="WMX202" s="21"/>
      <c r="WMY202" s="21"/>
      <c r="WMZ202" s="21"/>
      <c r="WNA202" s="21"/>
      <c r="WNB202" s="21"/>
      <c r="WNC202" s="21"/>
      <c r="WND202" s="21"/>
      <c r="WNE202" s="21"/>
      <c r="WNF202" s="21"/>
      <c r="WNG202" s="21"/>
      <c r="WNH202" s="21"/>
      <c r="WNI202" s="21"/>
      <c r="WNJ202" s="21"/>
      <c r="WNK202" s="21"/>
      <c r="WNL202" s="21"/>
      <c r="WNM202" s="21"/>
      <c r="WNN202" s="21"/>
      <c r="WNO202" s="21"/>
      <c r="WNP202" s="21"/>
      <c r="WNQ202" s="21"/>
      <c r="WNR202" s="21"/>
      <c r="WNS202" s="21"/>
      <c r="WNT202" s="21"/>
      <c r="WNU202" s="21"/>
      <c r="WNV202" s="21"/>
      <c r="WNW202" s="21"/>
      <c r="WNX202" s="21"/>
      <c r="WNY202" s="21"/>
      <c r="WNZ202" s="21"/>
      <c r="WOA202" s="21"/>
      <c r="WOB202" s="21"/>
      <c r="WOC202" s="21"/>
      <c r="WOD202" s="21"/>
      <c r="WOE202" s="21"/>
      <c r="WOF202" s="21"/>
      <c r="WOG202" s="21"/>
      <c r="WOH202" s="21"/>
      <c r="WOI202" s="21"/>
      <c r="WOJ202" s="21"/>
      <c r="WOK202" s="21"/>
      <c r="WOL202" s="21"/>
      <c r="WOM202" s="21"/>
      <c r="WON202" s="21"/>
      <c r="WOO202" s="21"/>
      <c r="WOP202" s="21"/>
      <c r="WOQ202" s="21"/>
      <c r="WOR202" s="21"/>
      <c r="WOS202" s="21"/>
      <c r="WOT202" s="21"/>
      <c r="WOU202" s="21"/>
      <c r="WOV202" s="21"/>
      <c r="WOW202" s="21"/>
      <c r="WOX202" s="21"/>
      <c r="WOY202" s="21"/>
      <c r="WOZ202" s="21"/>
      <c r="WPA202" s="21"/>
      <c r="WPB202" s="21"/>
      <c r="WPC202" s="21"/>
      <c r="WPD202" s="21"/>
      <c r="WPE202" s="21"/>
      <c r="WPF202" s="21"/>
      <c r="WPG202" s="21"/>
      <c r="WPH202" s="21"/>
      <c r="WPI202" s="21"/>
      <c r="WPJ202" s="21"/>
      <c r="WPK202" s="21"/>
      <c r="WPL202" s="21"/>
      <c r="WPM202" s="21"/>
      <c r="WPN202" s="21"/>
      <c r="WPO202" s="21"/>
      <c r="WPP202" s="21"/>
      <c r="WPQ202" s="21"/>
      <c r="WPR202" s="21"/>
      <c r="WPS202" s="21"/>
      <c r="WPT202" s="21"/>
      <c r="WPU202" s="21"/>
      <c r="WPV202" s="21"/>
      <c r="WPW202" s="21"/>
      <c r="WPX202" s="21"/>
      <c r="WPY202" s="21"/>
      <c r="WPZ202" s="21"/>
      <c r="WQA202" s="21"/>
      <c r="WQB202" s="21"/>
      <c r="WQC202" s="21"/>
      <c r="WQD202" s="21"/>
      <c r="WQE202" s="21"/>
      <c r="WQF202" s="21"/>
      <c r="WQG202" s="21"/>
      <c r="WQH202" s="21"/>
      <c r="WQI202" s="21"/>
      <c r="WQJ202" s="21"/>
      <c r="WQK202" s="21"/>
      <c r="WQL202" s="21"/>
      <c r="WQM202" s="21"/>
      <c r="WQN202" s="21"/>
      <c r="WQO202" s="21"/>
      <c r="WQP202" s="21"/>
      <c r="WQQ202" s="21"/>
      <c r="WQR202" s="21"/>
      <c r="WQS202" s="21"/>
      <c r="WQT202" s="21"/>
      <c r="WQU202" s="21"/>
      <c r="WQV202" s="21"/>
      <c r="WQW202" s="21"/>
      <c r="WQX202" s="21"/>
      <c r="WQY202" s="21"/>
      <c r="WQZ202" s="21"/>
      <c r="WRA202" s="21"/>
      <c r="WRB202" s="21"/>
      <c r="WRC202" s="21"/>
      <c r="WRD202" s="21"/>
      <c r="WRE202" s="21"/>
      <c r="WRF202" s="21"/>
      <c r="WRG202" s="21"/>
      <c r="WRH202" s="21"/>
      <c r="WRI202" s="21"/>
      <c r="WRJ202" s="21"/>
      <c r="WRK202" s="21"/>
      <c r="WRL202" s="21"/>
      <c r="WRM202" s="21"/>
      <c r="WRN202" s="21"/>
      <c r="WRO202" s="21"/>
      <c r="WRP202" s="21"/>
      <c r="WRQ202" s="21"/>
      <c r="WRR202" s="21"/>
      <c r="WRS202" s="21"/>
      <c r="WRT202" s="21"/>
      <c r="WRU202" s="21"/>
      <c r="WRV202" s="21"/>
      <c r="WRW202" s="21"/>
      <c r="WRX202" s="21"/>
      <c r="WRY202" s="21"/>
      <c r="WRZ202" s="21"/>
      <c r="WSA202" s="21"/>
      <c r="WSB202" s="21"/>
      <c r="WSC202" s="21"/>
      <c r="WSD202" s="21"/>
      <c r="WSE202" s="21"/>
      <c r="WSF202" s="21"/>
      <c r="WSG202" s="21"/>
      <c r="WSH202" s="21"/>
      <c r="WSI202" s="21"/>
      <c r="WSJ202" s="21"/>
      <c r="WSK202" s="21"/>
      <c r="WSL202" s="21"/>
      <c r="WSM202" s="21"/>
      <c r="WSN202" s="21"/>
      <c r="WSO202" s="21"/>
      <c r="WSP202" s="21"/>
      <c r="WSQ202" s="21"/>
      <c r="WSR202" s="21"/>
      <c r="WSS202" s="21"/>
      <c r="WST202" s="21"/>
      <c r="WSU202" s="21"/>
      <c r="WSV202" s="21"/>
      <c r="WSW202" s="21"/>
      <c r="WSX202" s="21"/>
      <c r="WSY202" s="21"/>
      <c r="WSZ202" s="21"/>
      <c r="WTA202" s="21"/>
      <c r="WTB202" s="21"/>
      <c r="WTC202" s="21"/>
      <c r="WTD202" s="21"/>
      <c r="WTE202" s="21"/>
      <c r="WTF202" s="21"/>
      <c r="WTG202" s="21"/>
      <c r="WTH202" s="21"/>
      <c r="WTI202" s="21"/>
      <c r="WTJ202" s="21"/>
      <c r="WTK202" s="21"/>
      <c r="WTL202" s="21"/>
      <c r="WTM202" s="21"/>
      <c r="WTN202" s="21"/>
      <c r="WTO202" s="21"/>
      <c r="WTP202" s="21"/>
      <c r="WTQ202" s="21"/>
      <c r="WTR202" s="21"/>
      <c r="WTS202" s="21"/>
      <c r="WTT202" s="21"/>
      <c r="WTU202" s="21"/>
      <c r="WTV202" s="21"/>
      <c r="WTW202" s="21"/>
      <c r="WTX202" s="21"/>
      <c r="WTY202" s="21"/>
      <c r="WTZ202" s="21"/>
      <c r="WUA202" s="21"/>
      <c r="WUB202" s="21"/>
      <c r="WUC202" s="21"/>
      <c r="WUD202" s="21"/>
      <c r="WUE202" s="21"/>
      <c r="WUF202" s="21"/>
      <c r="WUG202" s="21"/>
      <c r="WUH202" s="21"/>
      <c r="WUI202" s="21"/>
      <c r="WUJ202" s="21"/>
      <c r="WUK202" s="21"/>
      <c r="WUL202" s="21"/>
      <c r="WUM202" s="21"/>
      <c r="WUN202" s="21"/>
      <c r="WUO202" s="21"/>
      <c r="WUP202" s="21"/>
      <c r="WUQ202" s="21"/>
      <c r="WUR202" s="21"/>
      <c r="WUS202" s="21"/>
      <c r="WUT202" s="21"/>
      <c r="WUU202" s="21"/>
      <c r="WUV202" s="21"/>
      <c r="WUW202" s="21"/>
      <c r="WUX202" s="21"/>
      <c r="WUY202" s="21"/>
      <c r="WUZ202" s="21"/>
      <c r="WVA202" s="21"/>
      <c r="WVB202" s="21"/>
      <c r="WVC202" s="21"/>
      <c r="WVD202" s="21"/>
      <c r="WVE202" s="21"/>
      <c r="WVF202" s="21"/>
      <c r="WVG202" s="21"/>
      <c r="WVH202" s="21"/>
      <c r="WVI202" s="21"/>
      <c r="WVJ202" s="21"/>
      <c r="WVK202" s="21"/>
      <c r="WVL202" s="21"/>
      <c r="WVM202" s="21"/>
      <c r="WVN202" s="21"/>
      <c r="WVO202" s="21"/>
      <c r="WVP202" s="21"/>
      <c r="WVQ202" s="21"/>
      <c r="WVR202" s="21"/>
      <c r="WVS202" s="21"/>
      <c r="WVT202" s="21"/>
      <c r="WVU202" s="21"/>
      <c r="WVV202" s="21"/>
      <c r="WVW202" s="21"/>
      <c r="WVX202" s="21"/>
      <c r="WVY202" s="21"/>
      <c r="WVZ202" s="21"/>
      <c r="WWA202" s="21"/>
      <c r="WWB202" s="21"/>
      <c r="WWC202" s="21"/>
      <c r="WWD202" s="21"/>
      <c r="WWE202" s="21"/>
      <c r="WWF202" s="21"/>
      <c r="WWG202" s="21"/>
      <c r="WWH202" s="21"/>
      <c r="WWI202" s="21"/>
      <c r="WWJ202" s="21"/>
      <c r="WWK202" s="21"/>
      <c r="WWL202" s="21"/>
      <c r="WWM202" s="21"/>
      <c r="WWN202" s="21"/>
      <c r="WWO202" s="21"/>
      <c r="WWP202" s="21"/>
      <c r="WWQ202" s="21"/>
      <c r="WWR202" s="21"/>
      <c r="WWS202" s="21"/>
      <c r="WWT202" s="21"/>
      <c r="WWU202" s="21"/>
      <c r="WWV202" s="21"/>
      <c r="WWW202" s="21"/>
      <c r="WWX202" s="21"/>
      <c r="WWY202" s="21"/>
      <c r="WWZ202" s="21"/>
      <c r="WXA202" s="21"/>
      <c r="WXB202" s="21"/>
      <c r="WXC202" s="21"/>
      <c r="WXD202" s="21"/>
      <c r="WXE202" s="21"/>
      <c r="WXF202" s="21"/>
      <c r="WXG202" s="21"/>
      <c r="WXH202" s="21"/>
      <c r="WXI202" s="21"/>
      <c r="WXJ202" s="21"/>
      <c r="WXK202" s="21"/>
      <c r="WXL202" s="21"/>
      <c r="WXM202" s="21"/>
      <c r="WXN202" s="21"/>
      <c r="WXO202" s="21"/>
      <c r="WXP202" s="21"/>
      <c r="WXQ202" s="21"/>
      <c r="WXR202" s="21"/>
      <c r="WXS202" s="21"/>
      <c r="WXT202" s="21"/>
      <c r="WXU202" s="21"/>
      <c r="WXV202" s="21"/>
      <c r="WXW202" s="21"/>
      <c r="WXX202" s="21"/>
      <c r="WXY202" s="21"/>
      <c r="WXZ202" s="21"/>
      <c r="WYA202" s="21"/>
      <c r="WYB202" s="21"/>
      <c r="WYC202" s="21"/>
      <c r="WYD202" s="21"/>
      <c r="WYE202" s="21"/>
      <c r="WYF202" s="21"/>
      <c r="WYG202" s="21"/>
      <c r="WYH202" s="21"/>
      <c r="WYI202" s="21"/>
      <c r="WYJ202" s="21"/>
      <c r="WYK202" s="21"/>
      <c r="WYL202" s="21"/>
      <c r="WYM202" s="21"/>
      <c r="WYN202" s="21"/>
      <c r="WYO202" s="21"/>
      <c r="WYP202" s="21"/>
      <c r="WYQ202" s="21"/>
      <c r="WYR202" s="21"/>
      <c r="WYS202" s="21"/>
      <c r="WYT202" s="21"/>
      <c r="WYU202" s="21"/>
      <c r="WYV202" s="21"/>
      <c r="WYW202" s="21"/>
      <c r="WYX202" s="21"/>
      <c r="WYY202" s="21"/>
      <c r="WYZ202" s="21"/>
      <c r="WZA202" s="21"/>
      <c r="WZB202" s="21"/>
      <c r="WZC202" s="21"/>
      <c r="WZD202" s="21"/>
      <c r="WZE202" s="21"/>
      <c r="WZF202" s="21"/>
      <c r="WZG202" s="21"/>
      <c r="WZH202" s="21"/>
      <c r="WZI202" s="21"/>
      <c r="WZJ202" s="21"/>
      <c r="WZK202" s="21"/>
      <c r="WZL202" s="21"/>
      <c r="WZM202" s="21"/>
      <c r="WZN202" s="21"/>
      <c r="WZO202" s="21"/>
      <c r="WZP202" s="21"/>
      <c r="WZQ202" s="21"/>
      <c r="WZR202" s="21"/>
      <c r="WZS202" s="21"/>
      <c r="WZT202" s="21"/>
      <c r="WZU202" s="21"/>
      <c r="WZV202" s="21"/>
      <c r="WZW202" s="21"/>
      <c r="WZX202" s="21"/>
      <c r="WZY202" s="21"/>
      <c r="WZZ202" s="21"/>
      <c r="XAA202" s="21"/>
      <c r="XAB202" s="21"/>
      <c r="XAC202" s="21"/>
      <c r="XAD202" s="21"/>
      <c r="XAE202" s="21"/>
      <c r="XAF202" s="21"/>
      <c r="XAG202" s="21"/>
      <c r="XAH202" s="21"/>
      <c r="XAI202" s="21"/>
      <c r="XAJ202" s="21"/>
      <c r="XAK202" s="21"/>
      <c r="XAL202" s="21"/>
      <c r="XAM202" s="21"/>
      <c r="XAN202" s="21"/>
      <c r="XAO202" s="21"/>
      <c r="XAP202" s="21"/>
      <c r="XAQ202" s="21"/>
      <c r="XAR202" s="21"/>
      <c r="XAS202" s="21"/>
      <c r="XAT202" s="21"/>
      <c r="XAU202" s="21"/>
      <c r="XAV202" s="21"/>
      <c r="XAW202" s="21"/>
      <c r="XAX202" s="21"/>
      <c r="XAY202" s="21"/>
      <c r="XAZ202" s="21"/>
      <c r="XBA202" s="21"/>
      <c r="XBB202" s="21"/>
      <c r="XBC202" s="21"/>
      <c r="XBD202" s="21"/>
      <c r="XBE202" s="21"/>
      <c r="XBF202" s="21"/>
      <c r="XBG202" s="21"/>
      <c r="XBH202" s="21"/>
      <c r="XBI202" s="21"/>
      <c r="XBJ202" s="21"/>
      <c r="XBK202" s="21"/>
      <c r="XBL202" s="21"/>
      <c r="XBM202" s="21"/>
      <c r="XBN202" s="21"/>
      <c r="XBO202" s="21"/>
      <c r="XBP202" s="21"/>
      <c r="XBQ202" s="21"/>
      <c r="XBR202" s="21"/>
      <c r="XBS202" s="21"/>
      <c r="XBT202" s="21"/>
      <c r="XBU202" s="21"/>
      <c r="XBV202" s="21"/>
      <c r="XBW202" s="21"/>
      <c r="XBX202" s="21"/>
      <c r="XBY202" s="21"/>
      <c r="XBZ202" s="21"/>
      <c r="XCA202" s="21"/>
      <c r="XCB202" s="21"/>
      <c r="XCC202" s="21"/>
      <c r="XCD202" s="21"/>
      <c r="XCE202" s="21"/>
      <c r="XCF202" s="21"/>
      <c r="XCG202" s="21"/>
      <c r="XCH202" s="21"/>
      <c r="XCI202" s="21"/>
      <c r="XCJ202" s="21"/>
      <c r="XCK202" s="21"/>
      <c r="XCL202" s="21"/>
      <c r="XCM202" s="21"/>
      <c r="XCN202" s="21"/>
      <c r="XCO202" s="21"/>
      <c r="XCP202" s="21"/>
      <c r="XCQ202" s="21"/>
      <c r="XCR202" s="21"/>
      <c r="XCS202" s="21"/>
      <c r="XCT202" s="21"/>
      <c r="XCU202" s="21"/>
      <c r="XCV202" s="21"/>
      <c r="XCW202" s="21"/>
      <c r="XCX202" s="21"/>
      <c r="XCY202" s="21"/>
      <c r="XCZ202" s="21"/>
      <c r="XDA202" s="21"/>
      <c r="XDB202" s="21"/>
      <c r="XDC202" s="21"/>
      <c r="XDD202" s="21"/>
      <c r="XDE202" s="21"/>
      <c r="XDF202" s="21"/>
      <c r="XDG202" s="21"/>
      <c r="XDH202" s="21"/>
      <c r="XDI202" s="21"/>
      <c r="XDJ202" s="21"/>
      <c r="XDK202" s="21"/>
      <c r="XDL202" s="21"/>
      <c r="XDM202" s="21"/>
      <c r="XDN202" s="21"/>
      <c r="XDO202" s="21"/>
      <c r="XDP202" s="21"/>
      <c r="XDQ202" s="21"/>
      <c r="XDR202" s="21"/>
      <c r="XDS202" s="21"/>
      <c r="XDT202" s="21"/>
      <c r="XDU202" s="21"/>
      <c r="XDV202" s="21"/>
      <c r="XDW202" s="21"/>
      <c r="XDX202" s="21"/>
      <c r="XDY202" s="21"/>
      <c r="XDZ202" s="21"/>
      <c r="XEA202" s="21"/>
      <c r="XEB202" s="21"/>
      <c r="XEC202" s="21"/>
      <c r="XED202" s="21"/>
      <c r="XEE202" s="21"/>
      <c r="XEF202" s="21"/>
      <c r="XEG202" s="21"/>
      <c r="XEH202" s="21"/>
      <c r="XEI202" s="21"/>
      <c r="XEJ202" s="21"/>
      <c r="XEK202" s="21"/>
      <c r="XEL202" s="21"/>
      <c r="XEM202" s="21"/>
      <c r="XEN202" s="21"/>
      <c r="XEO202" s="21"/>
      <c r="XEP202" s="21"/>
      <c r="XEQ202" s="21"/>
      <c r="XER202" s="21"/>
      <c r="XES202" s="21"/>
      <c r="XET202" s="21"/>
      <c r="XEU202" s="21"/>
      <c r="XEV202" s="21"/>
      <c r="XEW202" s="21"/>
      <c r="XEX202" s="21"/>
      <c r="XEY202" s="21"/>
      <c r="XEZ202" s="21"/>
      <c r="XFA202" s="21"/>
      <c r="XFB202" s="21"/>
    </row>
    <row r="203" spans="1:16382" x14ac:dyDescent="0.3">
      <c r="A203" s="20">
        <v>45770</v>
      </c>
      <c r="B203" s="16"/>
      <c r="C203" s="16">
        <v>2854</v>
      </c>
      <c r="D203" s="17"/>
      <c r="E203" s="18" t="s">
        <v>18</v>
      </c>
      <c r="F203" s="19" t="s">
        <v>27</v>
      </c>
      <c r="G203" s="6" t="s">
        <v>26</v>
      </c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  <c r="IY203" s="21"/>
      <c r="IZ203" s="21"/>
      <c r="JA203" s="21"/>
      <c r="JB203" s="21"/>
      <c r="JC203" s="21"/>
      <c r="JD203" s="21"/>
      <c r="JE203" s="21"/>
      <c r="JF203" s="21"/>
      <c r="JG203" s="21"/>
      <c r="JH203" s="21"/>
      <c r="JI203" s="21"/>
      <c r="JJ203" s="21"/>
      <c r="JK203" s="21"/>
      <c r="JL203" s="21"/>
      <c r="JM203" s="21"/>
      <c r="JN203" s="21"/>
      <c r="JO203" s="21"/>
      <c r="JP203" s="21"/>
      <c r="JQ203" s="21"/>
      <c r="JR203" s="21"/>
      <c r="JS203" s="21"/>
      <c r="JT203" s="21"/>
      <c r="JU203" s="21"/>
      <c r="JV203" s="21"/>
      <c r="JW203" s="21"/>
      <c r="JX203" s="21"/>
      <c r="JY203" s="21"/>
      <c r="JZ203" s="21"/>
      <c r="KA203" s="21"/>
      <c r="KB203" s="21"/>
      <c r="KC203" s="21"/>
      <c r="KD203" s="21"/>
      <c r="KE203" s="21"/>
      <c r="KF203" s="21"/>
      <c r="KG203" s="21"/>
      <c r="KH203" s="21"/>
      <c r="KI203" s="21"/>
      <c r="KJ203" s="21"/>
      <c r="KK203" s="21"/>
      <c r="KL203" s="21"/>
      <c r="KM203" s="21"/>
      <c r="KN203" s="21"/>
      <c r="KO203" s="21"/>
      <c r="KP203" s="21"/>
      <c r="KQ203" s="21"/>
      <c r="KR203" s="21"/>
      <c r="KS203" s="21"/>
      <c r="KT203" s="21"/>
      <c r="KU203" s="21"/>
      <c r="KV203" s="21"/>
      <c r="KW203" s="21"/>
      <c r="KX203" s="21"/>
      <c r="KY203" s="21"/>
      <c r="KZ203" s="21"/>
      <c r="LA203" s="21"/>
      <c r="LB203" s="21"/>
      <c r="LC203" s="21"/>
      <c r="LD203" s="21"/>
      <c r="LE203" s="21"/>
      <c r="LF203" s="21"/>
      <c r="LG203" s="21"/>
      <c r="LH203" s="21"/>
      <c r="LI203" s="21"/>
      <c r="LJ203" s="21"/>
      <c r="LK203" s="21"/>
      <c r="LL203" s="21"/>
      <c r="LM203" s="21"/>
      <c r="LN203" s="21"/>
      <c r="LO203" s="21"/>
      <c r="LP203" s="21"/>
      <c r="LQ203" s="21"/>
      <c r="LR203" s="21"/>
      <c r="LS203" s="21"/>
      <c r="LT203" s="21"/>
      <c r="LU203" s="21"/>
      <c r="LV203" s="21"/>
      <c r="LW203" s="21"/>
      <c r="LX203" s="21"/>
      <c r="LY203" s="21"/>
      <c r="LZ203" s="21"/>
      <c r="MA203" s="21"/>
      <c r="MB203" s="21"/>
      <c r="MC203" s="21"/>
      <c r="MD203" s="21"/>
      <c r="ME203" s="21"/>
      <c r="MF203" s="21"/>
      <c r="MG203" s="21"/>
      <c r="MH203" s="21"/>
      <c r="MI203" s="21"/>
      <c r="MJ203" s="21"/>
      <c r="MK203" s="21"/>
      <c r="ML203" s="21"/>
      <c r="MM203" s="21"/>
      <c r="MN203" s="21"/>
      <c r="MO203" s="21"/>
      <c r="MP203" s="21"/>
      <c r="MQ203" s="21"/>
      <c r="MR203" s="21"/>
      <c r="MS203" s="21"/>
      <c r="MT203" s="21"/>
      <c r="MU203" s="21"/>
      <c r="MV203" s="21"/>
      <c r="MW203" s="21"/>
      <c r="MX203" s="21"/>
      <c r="MY203" s="21"/>
      <c r="MZ203" s="21"/>
      <c r="NA203" s="21"/>
      <c r="NB203" s="21"/>
      <c r="NC203" s="21"/>
      <c r="ND203" s="21"/>
      <c r="NE203" s="21"/>
      <c r="NF203" s="21"/>
      <c r="NG203" s="21"/>
      <c r="NH203" s="21"/>
      <c r="NI203" s="21"/>
      <c r="NJ203" s="21"/>
      <c r="NK203" s="21"/>
      <c r="NL203" s="21"/>
      <c r="NM203" s="21"/>
      <c r="NN203" s="21"/>
      <c r="NO203" s="21"/>
      <c r="NP203" s="21"/>
      <c r="NQ203" s="21"/>
      <c r="NR203" s="21"/>
      <c r="NS203" s="21"/>
      <c r="NT203" s="21"/>
      <c r="NU203" s="21"/>
      <c r="NV203" s="21"/>
      <c r="NW203" s="21"/>
      <c r="NX203" s="21"/>
      <c r="NY203" s="21"/>
      <c r="NZ203" s="21"/>
      <c r="OA203" s="21"/>
      <c r="OB203" s="21"/>
      <c r="OC203" s="21"/>
      <c r="OD203" s="21"/>
      <c r="OE203" s="21"/>
      <c r="OF203" s="21"/>
      <c r="OG203" s="21"/>
      <c r="OH203" s="21"/>
      <c r="OI203" s="21"/>
      <c r="OJ203" s="21"/>
      <c r="OK203" s="21"/>
      <c r="OL203" s="21"/>
      <c r="OM203" s="21"/>
      <c r="ON203" s="21"/>
      <c r="OO203" s="21"/>
      <c r="OP203" s="21"/>
      <c r="OQ203" s="21"/>
      <c r="OR203" s="21"/>
      <c r="OS203" s="21"/>
      <c r="OT203" s="21"/>
      <c r="OU203" s="21"/>
      <c r="OV203" s="21"/>
      <c r="OW203" s="21"/>
      <c r="OX203" s="21"/>
      <c r="OY203" s="21"/>
      <c r="OZ203" s="21"/>
      <c r="PA203" s="21"/>
      <c r="PB203" s="21"/>
      <c r="PC203" s="21"/>
      <c r="PD203" s="21"/>
      <c r="PE203" s="21"/>
      <c r="PF203" s="21"/>
      <c r="PG203" s="21"/>
      <c r="PH203" s="21"/>
      <c r="PI203" s="21"/>
      <c r="PJ203" s="21"/>
      <c r="PK203" s="21"/>
      <c r="PL203" s="21"/>
      <c r="PM203" s="21"/>
      <c r="PN203" s="21"/>
      <c r="PO203" s="21"/>
      <c r="PP203" s="21"/>
      <c r="PQ203" s="21"/>
      <c r="PR203" s="21"/>
      <c r="PS203" s="21"/>
      <c r="PT203" s="21"/>
      <c r="PU203" s="21"/>
      <c r="PV203" s="21"/>
      <c r="PW203" s="21"/>
      <c r="PX203" s="21"/>
      <c r="PY203" s="21"/>
      <c r="PZ203" s="21"/>
      <c r="QA203" s="21"/>
      <c r="QB203" s="21"/>
      <c r="QC203" s="21"/>
      <c r="QD203" s="21"/>
      <c r="QE203" s="21"/>
      <c r="QF203" s="21"/>
      <c r="QG203" s="21"/>
      <c r="QH203" s="21"/>
      <c r="QI203" s="21"/>
      <c r="QJ203" s="21"/>
      <c r="QK203" s="21"/>
      <c r="QL203" s="21"/>
      <c r="QM203" s="21"/>
      <c r="QN203" s="21"/>
      <c r="QO203" s="21"/>
      <c r="QP203" s="21"/>
      <c r="QQ203" s="21"/>
      <c r="QR203" s="21"/>
      <c r="QS203" s="21"/>
      <c r="QT203" s="21"/>
      <c r="QU203" s="21"/>
      <c r="QV203" s="21"/>
      <c r="QW203" s="21"/>
      <c r="QX203" s="21"/>
      <c r="QY203" s="21"/>
      <c r="QZ203" s="21"/>
      <c r="RA203" s="21"/>
      <c r="RB203" s="21"/>
      <c r="RC203" s="21"/>
      <c r="RD203" s="21"/>
      <c r="RE203" s="21"/>
      <c r="RF203" s="21"/>
      <c r="RG203" s="21"/>
      <c r="RH203" s="21"/>
      <c r="RI203" s="21"/>
      <c r="RJ203" s="21"/>
      <c r="RK203" s="21"/>
      <c r="RL203" s="21"/>
      <c r="RM203" s="21"/>
      <c r="RN203" s="21"/>
      <c r="RO203" s="21"/>
      <c r="RP203" s="21"/>
      <c r="RQ203" s="21"/>
      <c r="RR203" s="21"/>
      <c r="RS203" s="21"/>
      <c r="RT203" s="21"/>
      <c r="RU203" s="21"/>
      <c r="RV203" s="21"/>
      <c r="RW203" s="21"/>
      <c r="RX203" s="21"/>
      <c r="RY203" s="21"/>
      <c r="RZ203" s="21"/>
      <c r="SA203" s="21"/>
      <c r="SB203" s="21"/>
      <c r="SC203" s="21"/>
      <c r="SD203" s="21"/>
      <c r="SE203" s="21"/>
      <c r="SF203" s="21"/>
      <c r="SG203" s="21"/>
      <c r="SH203" s="21"/>
      <c r="SI203" s="21"/>
      <c r="SJ203" s="21"/>
      <c r="SK203" s="21"/>
      <c r="SL203" s="21"/>
      <c r="SM203" s="21"/>
      <c r="SN203" s="21"/>
      <c r="SO203" s="21"/>
      <c r="SP203" s="21"/>
      <c r="SQ203" s="21"/>
      <c r="SR203" s="21"/>
      <c r="SS203" s="21"/>
      <c r="ST203" s="21"/>
      <c r="SU203" s="21"/>
      <c r="SV203" s="21"/>
      <c r="SW203" s="21"/>
      <c r="SX203" s="21"/>
      <c r="SY203" s="21"/>
      <c r="SZ203" s="21"/>
      <c r="TA203" s="21"/>
      <c r="TB203" s="21"/>
      <c r="TC203" s="21"/>
      <c r="TD203" s="21"/>
      <c r="TE203" s="21"/>
      <c r="TF203" s="21"/>
      <c r="TG203" s="21"/>
      <c r="TH203" s="21"/>
      <c r="TI203" s="21"/>
      <c r="TJ203" s="21"/>
      <c r="TK203" s="21"/>
      <c r="TL203" s="21"/>
      <c r="TM203" s="21"/>
      <c r="TN203" s="21"/>
      <c r="TO203" s="21"/>
      <c r="TP203" s="21"/>
      <c r="TQ203" s="21"/>
      <c r="TR203" s="21"/>
      <c r="TS203" s="21"/>
      <c r="TT203" s="21"/>
      <c r="TU203" s="21"/>
      <c r="TV203" s="21"/>
      <c r="TW203" s="21"/>
      <c r="TX203" s="21"/>
      <c r="TY203" s="21"/>
      <c r="TZ203" s="21"/>
      <c r="UA203" s="21"/>
      <c r="UB203" s="21"/>
      <c r="UC203" s="21"/>
      <c r="UD203" s="21"/>
      <c r="UE203" s="21"/>
      <c r="UF203" s="21"/>
      <c r="UG203" s="21"/>
      <c r="UH203" s="21"/>
      <c r="UI203" s="21"/>
      <c r="UJ203" s="21"/>
      <c r="UK203" s="21"/>
      <c r="UL203" s="21"/>
      <c r="UM203" s="21"/>
      <c r="UN203" s="21"/>
      <c r="UO203" s="21"/>
      <c r="UP203" s="21"/>
      <c r="UQ203" s="21"/>
      <c r="UR203" s="21"/>
      <c r="US203" s="21"/>
      <c r="UT203" s="21"/>
      <c r="UU203" s="21"/>
      <c r="UV203" s="21"/>
      <c r="UW203" s="21"/>
      <c r="UX203" s="21"/>
      <c r="UY203" s="21"/>
      <c r="UZ203" s="21"/>
      <c r="VA203" s="21"/>
      <c r="VB203" s="21"/>
      <c r="VC203" s="21"/>
      <c r="VD203" s="21"/>
      <c r="VE203" s="21"/>
      <c r="VF203" s="21"/>
      <c r="VG203" s="21"/>
      <c r="VH203" s="21"/>
      <c r="VI203" s="21"/>
      <c r="VJ203" s="21"/>
      <c r="VK203" s="21"/>
      <c r="VL203" s="21"/>
      <c r="VM203" s="21"/>
      <c r="VN203" s="21"/>
      <c r="VO203" s="21"/>
      <c r="VP203" s="21"/>
      <c r="VQ203" s="21"/>
      <c r="VR203" s="21"/>
      <c r="VS203" s="21"/>
      <c r="VT203" s="21"/>
      <c r="VU203" s="21"/>
      <c r="VV203" s="21"/>
      <c r="VW203" s="21"/>
      <c r="VX203" s="21"/>
      <c r="VY203" s="21"/>
      <c r="VZ203" s="21"/>
      <c r="WA203" s="21"/>
      <c r="WB203" s="21"/>
      <c r="WC203" s="21"/>
      <c r="WD203" s="21"/>
      <c r="WE203" s="21"/>
      <c r="WF203" s="21"/>
      <c r="WG203" s="21"/>
      <c r="WH203" s="21"/>
      <c r="WI203" s="21"/>
      <c r="WJ203" s="21"/>
      <c r="WK203" s="21"/>
      <c r="WL203" s="21"/>
      <c r="WM203" s="21"/>
      <c r="WN203" s="21"/>
      <c r="WO203" s="21"/>
      <c r="WP203" s="21"/>
      <c r="WQ203" s="21"/>
      <c r="WR203" s="21"/>
      <c r="WS203" s="21"/>
      <c r="WT203" s="21"/>
      <c r="WU203" s="21"/>
      <c r="WV203" s="21"/>
      <c r="WW203" s="21"/>
      <c r="WX203" s="21"/>
      <c r="WY203" s="21"/>
      <c r="WZ203" s="21"/>
      <c r="XA203" s="21"/>
      <c r="XB203" s="21"/>
      <c r="XC203" s="21"/>
      <c r="XD203" s="21"/>
      <c r="XE203" s="21"/>
      <c r="XF203" s="21"/>
      <c r="XG203" s="21"/>
      <c r="XH203" s="21"/>
      <c r="XI203" s="21"/>
      <c r="XJ203" s="21"/>
      <c r="XK203" s="21"/>
      <c r="XL203" s="21"/>
      <c r="XM203" s="21"/>
      <c r="XN203" s="21"/>
      <c r="XO203" s="21"/>
      <c r="XP203" s="21"/>
      <c r="XQ203" s="21"/>
      <c r="XR203" s="21"/>
      <c r="XS203" s="21"/>
      <c r="XT203" s="21"/>
      <c r="XU203" s="21"/>
      <c r="XV203" s="21"/>
      <c r="XW203" s="21"/>
      <c r="XX203" s="21"/>
      <c r="XY203" s="21"/>
      <c r="XZ203" s="21"/>
      <c r="YA203" s="21"/>
      <c r="YB203" s="21"/>
      <c r="YC203" s="21"/>
      <c r="YD203" s="21"/>
      <c r="YE203" s="21"/>
      <c r="YF203" s="21"/>
      <c r="YG203" s="21"/>
      <c r="YH203" s="21"/>
      <c r="YI203" s="21"/>
      <c r="YJ203" s="21"/>
      <c r="YK203" s="21"/>
      <c r="YL203" s="21"/>
      <c r="YM203" s="21"/>
      <c r="YN203" s="21"/>
      <c r="YO203" s="21"/>
      <c r="YP203" s="21"/>
      <c r="YQ203" s="21"/>
      <c r="YR203" s="21"/>
      <c r="YS203" s="21"/>
      <c r="YT203" s="21"/>
      <c r="YU203" s="21"/>
      <c r="YV203" s="21"/>
      <c r="YW203" s="21"/>
      <c r="YX203" s="21"/>
      <c r="YY203" s="21"/>
      <c r="YZ203" s="21"/>
      <c r="ZA203" s="21"/>
      <c r="ZB203" s="21"/>
      <c r="ZC203" s="21"/>
      <c r="ZD203" s="21"/>
      <c r="ZE203" s="21"/>
      <c r="ZF203" s="21"/>
      <c r="ZG203" s="21"/>
      <c r="ZH203" s="21"/>
      <c r="ZI203" s="21"/>
      <c r="ZJ203" s="21"/>
      <c r="ZK203" s="21"/>
      <c r="ZL203" s="21"/>
      <c r="ZM203" s="21"/>
      <c r="ZN203" s="21"/>
      <c r="ZO203" s="21"/>
      <c r="ZP203" s="21"/>
      <c r="ZQ203" s="21"/>
      <c r="ZR203" s="21"/>
      <c r="ZS203" s="21"/>
      <c r="ZT203" s="21"/>
      <c r="ZU203" s="21"/>
      <c r="ZV203" s="21"/>
      <c r="ZW203" s="21"/>
      <c r="ZX203" s="21"/>
      <c r="ZY203" s="21"/>
      <c r="ZZ203" s="21"/>
      <c r="AAA203" s="21"/>
      <c r="AAB203" s="21"/>
      <c r="AAC203" s="21"/>
      <c r="AAD203" s="21"/>
      <c r="AAE203" s="21"/>
      <c r="AAF203" s="21"/>
      <c r="AAG203" s="21"/>
      <c r="AAH203" s="21"/>
      <c r="AAI203" s="21"/>
      <c r="AAJ203" s="21"/>
      <c r="AAK203" s="21"/>
      <c r="AAL203" s="21"/>
      <c r="AAM203" s="21"/>
      <c r="AAN203" s="21"/>
      <c r="AAO203" s="21"/>
      <c r="AAP203" s="21"/>
      <c r="AAQ203" s="21"/>
      <c r="AAR203" s="21"/>
      <c r="AAS203" s="21"/>
      <c r="AAT203" s="21"/>
      <c r="AAU203" s="21"/>
      <c r="AAV203" s="21"/>
      <c r="AAW203" s="21"/>
      <c r="AAX203" s="21"/>
      <c r="AAY203" s="21"/>
      <c r="AAZ203" s="21"/>
      <c r="ABA203" s="21"/>
      <c r="ABB203" s="21"/>
      <c r="ABC203" s="21"/>
      <c r="ABD203" s="21"/>
      <c r="ABE203" s="21"/>
      <c r="ABF203" s="21"/>
      <c r="ABG203" s="21"/>
      <c r="ABH203" s="21"/>
      <c r="ABI203" s="21"/>
      <c r="ABJ203" s="21"/>
      <c r="ABK203" s="21"/>
      <c r="ABL203" s="21"/>
      <c r="ABM203" s="21"/>
      <c r="ABN203" s="21"/>
      <c r="ABO203" s="21"/>
      <c r="ABP203" s="21"/>
      <c r="ABQ203" s="21"/>
      <c r="ABR203" s="21"/>
      <c r="ABS203" s="21"/>
      <c r="ABT203" s="21"/>
      <c r="ABU203" s="21"/>
      <c r="ABV203" s="21"/>
      <c r="ABW203" s="21"/>
      <c r="ABX203" s="21"/>
      <c r="ABY203" s="21"/>
      <c r="ABZ203" s="21"/>
      <c r="ACA203" s="21"/>
      <c r="ACB203" s="21"/>
      <c r="ACC203" s="21"/>
      <c r="ACD203" s="21"/>
      <c r="ACE203" s="21"/>
      <c r="ACF203" s="21"/>
      <c r="ACG203" s="21"/>
      <c r="ACH203" s="21"/>
      <c r="ACI203" s="21"/>
      <c r="ACJ203" s="21"/>
      <c r="ACK203" s="21"/>
      <c r="ACL203" s="21"/>
      <c r="ACM203" s="21"/>
      <c r="ACN203" s="21"/>
      <c r="ACO203" s="21"/>
      <c r="ACP203" s="21"/>
      <c r="ACQ203" s="21"/>
      <c r="ACR203" s="21"/>
      <c r="ACS203" s="21"/>
      <c r="ACT203" s="21"/>
      <c r="ACU203" s="21"/>
      <c r="ACV203" s="21"/>
      <c r="ACW203" s="21"/>
      <c r="ACX203" s="21"/>
      <c r="ACY203" s="21"/>
      <c r="ACZ203" s="21"/>
      <c r="ADA203" s="21"/>
      <c r="ADB203" s="21"/>
      <c r="ADC203" s="21"/>
      <c r="ADD203" s="21"/>
      <c r="ADE203" s="21"/>
      <c r="ADF203" s="21"/>
      <c r="ADG203" s="21"/>
      <c r="ADH203" s="21"/>
      <c r="ADI203" s="21"/>
      <c r="ADJ203" s="21"/>
      <c r="ADK203" s="21"/>
      <c r="ADL203" s="21"/>
      <c r="ADM203" s="21"/>
      <c r="ADN203" s="21"/>
      <c r="ADO203" s="21"/>
      <c r="ADP203" s="21"/>
      <c r="ADQ203" s="21"/>
      <c r="ADR203" s="21"/>
      <c r="ADS203" s="21"/>
      <c r="ADT203" s="21"/>
      <c r="ADU203" s="21"/>
      <c r="ADV203" s="21"/>
      <c r="ADW203" s="21"/>
      <c r="ADX203" s="21"/>
      <c r="ADY203" s="21"/>
      <c r="ADZ203" s="21"/>
      <c r="AEA203" s="21"/>
      <c r="AEB203" s="21"/>
      <c r="AEC203" s="21"/>
      <c r="AED203" s="21"/>
      <c r="AEE203" s="21"/>
      <c r="AEF203" s="21"/>
      <c r="AEG203" s="21"/>
      <c r="AEH203" s="21"/>
      <c r="AEI203" s="21"/>
      <c r="AEJ203" s="21"/>
      <c r="AEK203" s="21"/>
      <c r="AEL203" s="21"/>
      <c r="AEM203" s="21"/>
      <c r="AEN203" s="21"/>
      <c r="AEO203" s="21"/>
      <c r="AEP203" s="21"/>
      <c r="AEQ203" s="21"/>
      <c r="AER203" s="21"/>
      <c r="AES203" s="21"/>
      <c r="AET203" s="21"/>
      <c r="AEU203" s="21"/>
      <c r="AEV203" s="21"/>
      <c r="AEW203" s="21"/>
      <c r="AEX203" s="21"/>
      <c r="AEY203" s="21"/>
      <c r="AEZ203" s="21"/>
      <c r="AFA203" s="21"/>
      <c r="AFB203" s="21"/>
      <c r="AFC203" s="21"/>
      <c r="AFD203" s="21"/>
      <c r="AFE203" s="21"/>
      <c r="AFF203" s="21"/>
      <c r="AFG203" s="21"/>
      <c r="AFH203" s="21"/>
      <c r="AFI203" s="21"/>
      <c r="AFJ203" s="21"/>
      <c r="AFK203" s="21"/>
      <c r="AFL203" s="21"/>
      <c r="AFM203" s="21"/>
      <c r="AFN203" s="21"/>
      <c r="AFO203" s="21"/>
      <c r="AFP203" s="21"/>
      <c r="AFQ203" s="21"/>
      <c r="AFR203" s="21"/>
      <c r="AFS203" s="21"/>
      <c r="AFT203" s="21"/>
      <c r="AFU203" s="21"/>
      <c r="AFV203" s="21"/>
      <c r="AFW203" s="21"/>
      <c r="AFX203" s="21"/>
      <c r="AFY203" s="21"/>
      <c r="AFZ203" s="21"/>
      <c r="AGA203" s="21"/>
      <c r="AGB203" s="21"/>
      <c r="AGC203" s="21"/>
      <c r="AGD203" s="21"/>
      <c r="AGE203" s="21"/>
      <c r="AGF203" s="21"/>
      <c r="AGG203" s="21"/>
      <c r="AGH203" s="21"/>
      <c r="AGI203" s="21"/>
      <c r="AGJ203" s="21"/>
      <c r="AGK203" s="21"/>
      <c r="AGL203" s="21"/>
      <c r="AGM203" s="21"/>
      <c r="AGN203" s="21"/>
      <c r="AGO203" s="21"/>
      <c r="AGP203" s="21"/>
      <c r="AGQ203" s="21"/>
      <c r="AGR203" s="21"/>
      <c r="AGS203" s="21"/>
      <c r="AGT203" s="21"/>
      <c r="AGU203" s="21"/>
      <c r="AGV203" s="21"/>
      <c r="AGW203" s="21"/>
      <c r="AGX203" s="21"/>
      <c r="AGY203" s="21"/>
      <c r="AGZ203" s="21"/>
      <c r="AHA203" s="21"/>
      <c r="AHB203" s="21"/>
      <c r="AHC203" s="21"/>
      <c r="AHD203" s="21"/>
      <c r="AHE203" s="21"/>
      <c r="AHF203" s="21"/>
      <c r="AHG203" s="21"/>
      <c r="AHH203" s="21"/>
      <c r="AHI203" s="21"/>
      <c r="AHJ203" s="21"/>
      <c r="AHK203" s="21"/>
      <c r="AHL203" s="21"/>
      <c r="AHM203" s="21"/>
      <c r="AHN203" s="21"/>
      <c r="AHO203" s="21"/>
      <c r="AHP203" s="21"/>
      <c r="AHQ203" s="21"/>
      <c r="AHR203" s="21"/>
      <c r="AHS203" s="21"/>
      <c r="AHT203" s="21"/>
      <c r="AHU203" s="21"/>
      <c r="AHV203" s="21"/>
      <c r="AHW203" s="21"/>
      <c r="AHX203" s="21"/>
      <c r="AHY203" s="21"/>
      <c r="AHZ203" s="21"/>
      <c r="AIA203" s="21"/>
      <c r="AIB203" s="21"/>
      <c r="AIC203" s="21"/>
      <c r="AID203" s="21"/>
      <c r="AIE203" s="21"/>
      <c r="AIF203" s="21"/>
      <c r="AIG203" s="21"/>
      <c r="AIH203" s="21"/>
      <c r="AII203" s="21"/>
      <c r="AIJ203" s="21"/>
      <c r="AIK203" s="21"/>
      <c r="AIL203" s="21"/>
      <c r="AIM203" s="21"/>
      <c r="AIN203" s="21"/>
      <c r="AIO203" s="21"/>
      <c r="AIP203" s="21"/>
      <c r="AIQ203" s="21"/>
      <c r="AIR203" s="21"/>
      <c r="AIS203" s="21"/>
      <c r="AIT203" s="21"/>
      <c r="AIU203" s="21"/>
      <c r="AIV203" s="21"/>
      <c r="AIW203" s="21"/>
      <c r="AIX203" s="21"/>
      <c r="AIY203" s="21"/>
      <c r="AIZ203" s="21"/>
      <c r="AJA203" s="21"/>
      <c r="AJB203" s="21"/>
      <c r="AJC203" s="21"/>
      <c r="AJD203" s="21"/>
      <c r="AJE203" s="21"/>
      <c r="AJF203" s="21"/>
      <c r="AJG203" s="21"/>
      <c r="AJH203" s="21"/>
      <c r="AJI203" s="21"/>
      <c r="AJJ203" s="21"/>
      <c r="AJK203" s="21"/>
      <c r="AJL203" s="21"/>
      <c r="AJM203" s="21"/>
      <c r="AJN203" s="21"/>
      <c r="AJO203" s="21"/>
      <c r="AJP203" s="21"/>
      <c r="AJQ203" s="21"/>
      <c r="AJR203" s="21"/>
      <c r="AJS203" s="21"/>
      <c r="AJT203" s="21"/>
      <c r="AJU203" s="21"/>
      <c r="AJV203" s="21"/>
      <c r="AJW203" s="21"/>
      <c r="AJX203" s="21"/>
      <c r="AJY203" s="21"/>
      <c r="AJZ203" s="21"/>
      <c r="AKA203" s="21"/>
      <c r="AKB203" s="21"/>
      <c r="AKC203" s="21"/>
      <c r="AKD203" s="21"/>
      <c r="AKE203" s="21"/>
      <c r="AKF203" s="21"/>
      <c r="AKG203" s="21"/>
      <c r="AKH203" s="21"/>
      <c r="AKI203" s="21"/>
      <c r="AKJ203" s="21"/>
      <c r="AKK203" s="21"/>
      <c r="AKL203" s="21"/>
      <c r="AKM203" s="21"/>
      <c r="AKN203" s="21"/>
      <c r="AKO203" s="21"/>
      <c r="AKP203" s="21"/>
      <c r="AKQ203" s="21"/>
      <c r="AKR203" s="21"/>
      <c r="AKS203" s="21"/>
      <c r="AKT203" s="21"/>
      <c r="AKU203" s="21"/>
      <c r="AKV203" s="21"/>
      <c r="AKW203" s="21"/>
      <c r="AKX203" s="21"/>
      <c r="AKY203" s="21"/>
      <c r="AKZ203" s="21"/>
      <c r="ALA203" s="21"/>
      <c r="ALB203" s="21"/>
      <c r="ALC203" s="21"/>
      <c r="ALD203" s="21"/>
      <c r="ALE203" s="21"/>
      <c r="ALF203" s="21"/>
      <c r="ALG203" s="21"/>
      <c r="ALH203" s="21"/>
      <c r="ALI203" s="21"/>
      <c r="ALJ203" s="21"/>
      <c r="ALK203" s="21"/>
      <c r="ALL203" s="21"/>
      <c r="ALM203" s="21"/>
      <c r="ALN203" s="21"/>
      <c r="ALO203" s="21"/>
      <c r="ALP203" s="21"/>
      <c r="ALQ203" s="21"/>
      <c r="ALR203" s="21"/>
      <c r="ALS203" s="21"/>
      <c r="ALT203" s="21"/>
      <c r="ALU203" s="21"/>
      <c r="ALV203" s="21"/>
      <c r="ALW203" s="21"/>
      <c r="ALX203" s="21"/>
      <c r="ALY203" s="21"/>
      <c r="ALZ203" s="21"/>
      <c r="AMA203" s="21"/>
      <c r="AMB203" s="21"/>
      <c r="AMC203" s="21"/>
      <c r="AMD203" s="21"/>
      <c r="AME203" s="21"/>
      <c r="AMF203" s="21"/>
      <c r="AMG203" s="21"/>
      <c r="AMH203" s="21"/>
      <c r="AMI203" s="21"/>
      <c r="AMJ203" s="21"/>
      <c r="AMK203" s="21"/>
      <c r="AML203" s="21"/>
      <c r="AMM203" s="21"/>
      <c r="AMN203" s="21"/>
      <c r="AMO203" s="21"/>
      <c r="AMP203" s="21"/>
      <c r="AMQ203" s="21"/>
      <c r="AMR203" s="21"/>
      <c r="AMS203" s="21"/>
      <c r="AMT203" s="21"/>
      <c r="AMU203" s="21"/>
      <c r="AMV203" s="21"/>
      <c r="AMW203" s="21"/>
      <c r="AMX203" s="21"/>
      <c r="AMY203" s="21"/>
      <c r="AMZ203" s="21"/>
      <c r="ANA203" s="21"/>
      <c r="ANB203" s="21"/>
      <c r="ANC203" s="21"/>
      <c r="AND203" s="21"/>
      <c r="ANE203" s="21"/>
      <c r="ANF203" s="21"/>
      <c r="ANG203" s="21"/>
      <c r="ANH203" s="21"/>
      <c r="ANI203" s="21"/>
      <c r="ANJ203" s="21"/>
      <c r="ANK203" s="21"/>
      <c r="ANL203" s="21"/>
      <c r="ANM203" s="21"/>
      <c r="ANN203" s="21"/>
      <c r="ANO203" s="21"/>
      <c r="ANP203" s="21"/>
      <c r="ANQ203" s="21"/>
      <c r="ANR203" s="21"/>
      <c r="ANS203" s="21"/>
      <c r="ANT203" s="21"/>
      <c r="ANU203" s="21"/>
      <c r="ANV203" s="21"/>
      <c r="ANW203" s="21"/>
      <c r="ANX203" s="21"/>
      <c r="ANY203" s="21"/>
      <c r="ANZ203" s="21"/>
      <c r="AOA203" s="21"/>
      <c r="AOB203" s="21"/>
      <c r="AOC203" s="21"/>
      <c r="AOD203" s="21"/>
      <c r="AOE203" s="21"/>
      <c r="AOF203" s="21"/>
      <c r="AOG203" s="21"/>
      <c r="AOH203" s="21"/>
      <c r="AOI203" s="21"/>
      <c r="AOJ203" s="21"/>
      <c r="AOK203" s="21"/>
      <c r="AOL203" s="21"/>
      <c r="AOM203" s="21"/>
      <c r="AON203" s="21"/>
      <c r="AOO203" s="21"/>
      <c r="AOP203" s="21"/>
      <c r="AOQ203" s="21"/>
      <c r="AOR203" s="21"/>
      <c r="AOS203" s="21"/>
      <c r="AOT203" s="21"/>
      <c r="AOU203" s="21"/>
      <c r="AOV203" s="21"/>
      <c r="AOW203" s="21"/>
      <c r="AOX203" s="21"/>
      <c r="AOY203" s="21"/>
      <c r="AOZ203" s="21"/>
      <c r="APA203" s="21"/>
      <c r="APB203" s="21"/>
      <c r="APC203" s="21"/>
      <c r="APD203" s="21"/>
      <c r="APE203" s="21"/>
      <c r="APF203" s="21"/>
      <c r="APG203" s="21"/>
      <c r="APH203" s="21"/>
      <c r="API203" s="21"/>
      <c r="APJ203" s="21"/>
      <c r="APK203" s="21"/>
      <c r="APL203" s="21"/>
      <c r="APM203" s="21"/>
      <c r="APN203" s="21"/>
      <c r="APO203" s="21"/>
      <c r="APP203" s="21"/>
      <c r="APQ203" s="21"/>
      <c r="APR203" s="21"/>
      <c r="APS203" s="21"/>
      <c r="APT203" s="21"/>
      <c r="APU203" s="21"/>
      <c r="APV203" s="21"/>
      <c r="APW203" s="21"/>
      <c r="APX203" s="21"/>
      <c r="APY203" s="21"/>
      <c r="APZ203" s="21"/>
      <c r="AQA203" s="21"/>
      <c r="AQB203" s="21"/>
      <c r="AQC203" s="21"/>
      <c r="AQD203" s="21"/>
      <c r="AQE203" s="21"/>
      <c r="AQF203" s="21"/>
      <c r="AQG203" s="21"/>
      <c r="AQH203" s="21"/>
      <c r="AQI203" s="21"/>
      <c r="AQJ203" s="21"/>
      <c r="AQK203" s="21"/>
      <c r="AQL203" s="21"/>
      <c r="AQM203" s="21"/>
      <c r="AQN203" s="21"/>
      <c r="AQO203" s="21"/>
      <c r="AQP203" s="21"/>
      <c r="AQQ203" s="21"/>
      <c r="AQR203" s="21"/>
      <c r="AQS203" s="21"/>
      <c r="AQT203" s="21"/>
      <c r="AQU203" s="21"/>
      <c r="AQV203" s="21"/>
      <c r="AQW203" s="21"/>
      <c r="AQX203" s="21"/>
      <c r="AQY203" s="21"/>
      <c r="AQZ203" s="21"/>
      <c r="ARA203" s="21"/>
      <c r="ARB203" s="21"/>
      <c r="ARC203" s="21"/>
      <c r="ARD203" s="21"/>
      <c r="ARE203" s="21"/>
      <c r="ARF203" s="21"/>
      <c r="ARG203" s="21"/>
      <c r="ARH203" s="21"/>
      <c r="ARI203" s="21"/>
      <c r="ARJ203" s="21"/>
      <c r="ARK203" s="21"/>
      <c r="ARL203" s="21"/>
      <c r="ARM203" s="21"/>
      <c r="ARN203" s="21"/>
      <c r="ARO203" s="21"/>
      <c r="ARP203" s="21"/>
      <c r="ARQ203" s="21"/>
      <c r="ARR203" s="21"/>
      <c r="ARS203" s="21"/>
      <c r="ART203" s="21"/>
      <c r="ARU203" s="21"/>
      <c r="ARV203" s="21"/>
      <c r="ARW203" s="21"/>
      <c r="ARX203" s="21"/>
      <c r="ARY203" s="21"/>
      <c r="ARZ203" s="21"/>
      <c r="ASA203" s="21"/>
      <c r="ASB203" s="21"/>
      <c r="ASC203" s="21"/>
      <c r="ASD203" s="21"/>
      <c r="ASE203" s="21"/>
      <c r="ASF203" s="21"/>
      <c r="ASG203" s="21"/>
      <c r="ASH203" s="21"/>
      <c r="ASI203" s="21"/>
      <c r="ASJ203" s="21"/>
      <c r="ASK203" s="21"/>
      <c r="ASL203" s="21"/>
      <c r="ASM203" s="21"/>
      <c r="ASN203" s="21"/>
      <c r="ASO203" s="21"/>
      <c r="ASP203" s="21"/>
      <c r="ASQ203" s="21"/>
      <c r="ASR203" s="21"/>
      <c r="ASS203" s="21"/>
      <c r="AST203" s="21"/>
      <c r="ASU203" s="21"/>
      <c r="ASV203" s="21"/>
      <c r="ASW203" s="21"/>
      <c r="ASX203" s="21"/>
      <c r="ASY203" s="21"/>
      <c r="ASZ203" s="21"/>
      <c r="ATA203" s="21"/>
      <c r="ATB203" s="21"/>
      <c r="ATC203" s="21"/>
      <c r="ATD203" s="21"/>
      <c r="ATE203" s="21"/>
      <c r="ATF203" s="21"/>
      <c r="ATG203" s="21"/>
      <c r="ATH203" s="21"/>
      <c r="ATI203" s="21"/>
      <c r="ATJ203" s="21"/>
      <c r="ATK203" s="21"/>
      <c r="ATL203" s="21"/>
      <c r="ATM203" s="21"/>
      <c r="ATN203" s="21"/>
      <c r="ATO203" s="21"/>
      <c r="ATP203" s="21"/>
      <c r="ATQ203" s="21"/>
      <c r="ATR203" s="21"/>
      <c r="ATS203" s="21"/>
      <c r="ATT203" s="21"/>
      <c r="ATU203" s="21"/>
      <c r="ATV203" s="21"/>
      <c r="ATW203" s="21"/>
      <c r="ATX203" s="21"/>
      <c r="ATY203" s="21"/>
      <c r="ATZ203" s="21"/>
      <c r="AUA203" s="21"/>
      <c r="AUB203" s="21"/>
      <c r="AUC203" s="21"/>
      <c r="AUD203" s="21"/>
      <c r="AUE203" s="21"/>
      <c r="AUF203" s="21"/>
      <c r="AUG203" s="21"/>
      <c r="AUH203" s="21"/>
      <c r="AUI203" s="21"/>
      <c r="AUJ203" s="21"/>
      <c r="AUK203" s="21"/>
      <c r="AUL203" s="21"/>
      <c r="AUM203" s="21"/>
      <c r="AUN203" s="21"/>
      <c r="AUO203" s="21"/>
      <c r="AUP203" s="21"/>
      <c r="AUQ203" s="21"/>
      <c r="AUR203" s="21"/>
      <c r="AUS203" s="21"/>
      <c r="AUT203" s="21"/>
      <c r="AUU203" s="21"/>
      <c r="AUV203" s="21"/>
      <c r="AUW203" s="21"/>
      <c r="AUX203" s="21"/>
      <c r="AUY203" s="21"/>
      <c r="AUZ203" s="21"/>
      <c r="AVA203" s="21"/>
      <c r="AVB203" s="21"/>
      <c r="AVC203" s="21"/>
      <c r="AVD203" s="21"/>
      <c r="AVE203" s="21"/>
      <c r="AVF203" s="21"/>
      <c r="AVG203" s="21"/>
      <c r="AVH203" s="21"/>
      <c r="AVI203" s="21"/>
      <c r="AVJ203" s="21"/>
      <c r="AVK203" s="21"/>
      <c r="AVL203" s="21"/>
      <c r="AVM203" s="21"/>
      <c r="AVN203" s="21"/>
      <c r="AVO203" s="21"/>
      <c r="AVP203" s="21"/>
      <c r="AVQ203" s="21"/>
      <c r="AVR203" s="21"/>
      <c r="AVS203" s="21"/>
      <c r="AVT203" s="21"/>
      <c r="AVU203" s="21"/>
      <c r="AVV203" s="21"/>
      <c r="AVW203" s="21"/>
      <c r="AVX203" s="21"/>
      <c r="AVY203" s="21"/>
      <c r="AVZ203" s="21"/>
      <c r="AWA203" s="21"/>
      <c r="AWB203" s="21"/>
      <c r="AWC203" s="21"/>
      <c r="AWD203" s="21"/>
      <c r="AWE203" s="21"/>
      <c r="AWF203" s="21"/>
      <c r="AWG203" s="21"/>
      <c r="AWH203" s="21"/>
      <c r="AWI203" s="21"/>
      <c r="AWJ203" s="21"/>
      <c r="AWK203" s="21"/>
      <c r="AWL203" s="21"/>
      <c r="AWM203" s="21"/>
      <c r="AWN203" s="21"/>
      <c r="AWO203" s="21"/>
      <c r="AWP203" s="21"/>
      <c r="AWQ203" s="21"/>
      <c r="AWR203" s="21"/>
      <c r="AWS203" s="21"/>
      <c r="AWT203" s="21"/>
      <c r="AWU203" s="21"/>
      <c r="AWV203" s="21"/>
      <c r="AWW203" s="21"/>
      <c r="AWX203" s="21"/>
      <c r="AWY203" s="21"/>
      <c r="AWZ203" s="21"/>
      <c r="AXA203" s="21"/>
      <c r="AXB203" s="21"/>
      <c r="AXC203" s="21"/>
      <c r="AXD203" s="21"/>
      <c r="AXE203" s="21"/>
      <c r="AXF203" s="21"/>
      <c r="AXG203" s="21"/>
      <c r="AXH203" s="21"/>
      <c r="AXI203" s="21"/>
      <c r="AXJ203" s="21"/>
      <c r="AXK203" s="21"/>
      <c r="AXL203" s="21"/>
      <c r="AXM203" s="21"/>
      <c r="AXN203" s="21"/>
      <c r="AXO203" s="21"/>
      <c r="AXP203" s="21"/>
      <c r="AXQ203" s="21"/>
      <c r="AXR203" s="21"/>
      <c r="AXS203" s="21"/>
      <c r="AXT203" s="21"/>
      <c r="AXU203" s="21"/>
      <c r="AXV203" s="21"/>
      <c r="AXW203" s="21"/>
      <c r="AXX203" s="21"/>
      <c r="AXY203" s="21"/>
      <c r="AXZ203" s="21"/>
      <c r="AYA203" s="21"/>
      <c r="AYB203" s="21"/>
      <c r="AYC203" s="21"/>
      <c r="AYD203" s="21"/>
      <c r="AYE203" s="21"/>
      <c r="AYF203" s="21"/>
      <c r="AYG203" s="21"/>
      <c r="AYH203" s="21"/>
      <c r="AYI203" s="21"/>
      <c r="AYJ203" s="21"/>
      <c r="AYK203" s="21"/>
      <c r="AYL203" s="21"/>
      <c r="AYM203" s="21"/>
      <c r="AYN203" s="21"/>
      <c r="AYO203" s="21"/>
      <c r="AYP203" s="21"/>
      <c r="AYQ203" s="21"/>
      <c r="AYR203" s="21"/>
      <c r="AYS203" s="21"/>
      <c r="AYT203" s="21"/>
      <c r="AYU203" s="21"/>
      <c r="AYV203" s="21"/>
      <c r="AYW203" s="21"/>
      <c r="AYX203" s="21"/>
      <c r="AYY203" s="21"/>
      <c r="AYZ203" s="21"/>
      <c r="AZA203" s="21"/>
      <c r="AZB203" s="21"/>
      <c r="AZC203" s="21"/>
      <c r="AZD203" s="21"/>
      <c r="AZE203" s="21"/>
      <c r="AZF203" s="21"/>
      <c r="AZG203" s="21"/>
      <c r="AZH203" s="21"/>
      <c r="AZI203" s="21"/>
      <c r="AZJ203" s="21"/>
      <c r="AZK203" s="21"/>
      <c r="AZL203" s="21"/>
      <c r="AZM203" s="21"/>
      <c r="AZN203" s="21"/>
      <c r="AZO203" s="21"/>
      <c r="AZP203" s="21"/>
      <c r="AZQ203" s="21"/>
      <c r="AZR203" s="21"/>
      <c r="AZS203" s="21"/>
      <c r="AZT203" s="21"/>
      <c r="AZU203" s="21"/>
      <c r="AZV203" s="21"/>
      <c r="AZW203" s="21"/>
      <c r="AZX203" s="21"/>
      <c r="AZY203" s="21"/>
      <c r="AZZ203" s="21"/>
      <c r="BAA203" s="21"/>
      <c r="BAB203" s="21"/>
      <c r="BAC203" s="21"/>
      <c r="BAD203" s="21"/>
      <c r="BAE203" s="21"/>
      <c r="BAF203" s="21"/>
      <c r="BAG203" s="21"/>
      <c r="BAH203" s="21"/>
      <c r="BAI203" s="21"/>
      <c r="BAJ203" s="21"/>
      <c r="BAK203" s="21"/>
      <c r="BAL203" s="21"/>
      <c r="BAM203" s="21"/>
      <c r="BAN203" s="21"/>
      <c r="BAO203" s="21"/>
      <c r="BAP203" s="21"/>
      <c r="BAQ203" s="21"/>
      <c r="BAR203" s="21"/>
      <c r="BAS203" s="21"/>
      <c r="BAT203" s="21"/>
      <c r="BAU203" s="21"/>
      <c r="BAV203" s="21"/>
      <c r="BAW203" s="21"/>
      <c r="BAX203" s="21"/>
      <c r="BAY203" s="21"/>
      <c r="BAZ203" s="21"/>
      <c r="BBA203" s="21"/>
      <c r="BBB203" s="21"/>
      <c r="BBC203" s="21"/>
      <c r="BBD203" s="21"/>
      <c r="BBE203" s="21"/>
      <c r="BBF203" s="21"/>
      <c r="BBG203" s="21"/>
      <c r="BBH203" s="21"/>
      <c r="BBI203" s="21"/>
      <c r="BBJ203" s="21"/>
      <c r="BBK203" s="21"/>
      <c r="BBL203" s="21"/>
      <c r="BBM203" s="21"/>
      <c r="BBN203" s="21"/>
      <c r="BBO203" s="21"/>
      <c r="BBP203" s="21"/>
      <c r="BBQ203" s="21"/>
      <c r="BBR203" s="21"/>
      <c r="BBS203" s="21"/>
      <c r="BBT203" s="21"/>
      <c r="BBU203" s="21"/>
      <c r="BBV203" s="21"/>
      <c r="BBW203" s="21"/>
      <c r="BBX203" s="21"/>
      <c r="BBY203" s="21"/>
      <c r="BBZ203" s="21"/>
      <c r="BCA203" s="21"/>
      <c r="BCB203" s="21"/>
      <c r="BCC203" s="21"/>
      <c r="BCD203" s="21"/>
      <c r="BCE203" s="21"/>
      <c r="BCF203" s="21"/>
      <c r="BCG203" s="21"/>
      <c r="BCH203" s="21"/>
      <c r="BCI203" s="21"/>
      <c r="BCJ203" s="21"/>
      <c r="BCK203" s="21"/>
      <c r="BCL203" s="21"/>
      <c r="BCM203" s="21"/>
      <c r="BCN203" s="21"/>
      <c r="BCO203" s="21"/>
      <c r="BCP203" s="21"/>
      <c r="BCQ203" s="21"/>
      <c r="BCR203" s="21"/>
      <c r="BCS203" s="21"/>
      <c r="BCT203" s="21"/>
      <c r="BCU203" s="21"/>
      <c r="BCV203" s="21"/>
      <c r="BCW203" s="21"/>
      <c r="BCX203" s="21"/>
      <c r="BCY203" s="21"/>
      <c r="BCZ203" s="21"/>
      <c r="BDA203" s="21"/>
      <c r="BDB203" s="21"/>
      <c r="BDC203" s="21"/>
      <c r="BDD203" s="21"/>
      <c r="BDE203" s="21"/>
      <c r="BDF203" s="21"/>
      <c r="BDG203" s="21"/>
      <c r="BDH203" s="21"/>
      <c r="BDI203" s="21"/>
      <c r="BDJ203" s="21"/>
      <c r="BDK203" s="21"/>
      <c r="BDL203" s="21"/>
      <c r="BDM203" s="21"/>
      <c r="BDN203" s="21"/>
      <c r="BDO203" s="21"/>
      <c r="BDP203" s="21"/>
      <c r="BDQ203" s="21"/>
      <c r="BDR203" s="21"/>
      <c r="BDS203" s="21"/>
      <c r="BDT203" s="21"/>
      <c r="BDU203" s="21"/>
      <c r="BDV203" s="21"/>
      <c r="BDW203" s="21"/>
      <c r="BDX203" s="21"/>
      <c r="BDY203" s="21"/>
      <c r="BDZ203" s="21"/>
      <c r="BEA203" s="21"/>
      <c r="BEB203" s="21"/>
      <c r="BEC203" s="21"/>
      <c r="BED203" s="21"/>
      <c r="BEE203" s="21"/>
      <c r="BEF203" s="21"/>
      <c r="BEG203" s="21"/>
      <c r="BEH203" s="21"/>
      <c r="BEI203" s="21"/>
      <c r="BEJ203" s="21"/>
      <c r="BEK203" s="21"/>
      <c r="BEL203" s="21"/>
      <c r="BEM203" s="21"/>
      <c r="BEN203" s="21"/>
      <c r="BEO203" s="21"/>
      <c r="BEP203" s="21"/>
      <c r="BEQ203" s="21"/>
      <c r="BER203" s="21"/>
      <c r="BES203" s="21"/>
      <c r="BET203" s="21"/>
      <c r="BEU203" s="21"/>
      <c r="BEV203" s="21"/>
      <c r="BEW203" s="21"/>
      <c r="BEX203" s="21"/>
      <c r="BEY203" s="21"/>
      <c r="BEZ203" s="21"/>
      <c r="BFA203" s="21"/>
      <c r="BFB203" s="21"/>
      <c r="BFC203" s="21"/>
      <c r="BFD203" s="21"/>
      <c r="BFE203" s="21"/>
      <c r="BFF203" s="21"/>
      <c r="BFG203" s="21"/>
      <c r="BFH203" s="21"/>
      <c r="BFI203" s="21"/>
      <c r="BFJ203" s="21"/>
      <c r="BFK203" s="21"/>
      <c r="BFL203" s="21"/>
      <c r="BFM203" s="21"/>
      <c r="BFN203" s="21"/>
      <c r="BFO203" s="21"/>
      <c r="BFP203" s="21"/>
      <c r="BFQ203" s="21"/>
      <c r="BFR203" s="21"/>
      <c r="BFS203" s="21"/>
      <c r="BFT203" s="21"/>
      <c r="BFU203" s="21"/>
      <c r="BFV203" s="21"/>
      <c r="BFW203" s="21"/>
      <c r="BFX203" s="21"/>
      <c r="BFY203" s="21"/>
      <c r="BFZ203" s="21"/>
      <c r="BGA203" s="21"/>
      <c r="BGB203" s="21"/>
      <c r="BGC203" s="21"/>
      <c r="BGD203" s="21"/>
      <c r="BGE203" s="21"/>
      <c r="BGF203" s="21"/>
      <c r="BGG203" s="21"/>
      <c r="BGH203" s="21"/>
      <c r="BGI203" s="21"/>
      <c r="BGJ203" s="21"/>
      <c r="BGK203" s="21"/>
      <c r="BGL203" s="21"/>
      <c r="BGM203" s="21"/>
      <c r="BGN203" s="21"/>
      <c r="BGO203" s="21"/>
      <c r="BGP203" s="21"/>
      <c r="BGQ203" s="21"/>
      <c r="BGR203" s="21"/>
      <c r="BGS203" s="21"/>
      <c r="BGT203" s="21"/>
      <c r="BGU203" s="21"/>
      <c r="BGV203" s="21"/>
      <c r="BGW203" s="21"/>
      <c r="BGX203" s="21"/>
      <c r="BGY203" s="21"/>
      <c r="BGZ203" s="21"/>
      <c r="BHA203" s="21"/>
      <c r="BHB203" s="21"/>
      <c r="BHC203" s="21"/>
      <c r="BHD203" s="21"/>
      <c r="BHE203" s="21"/>
      <c r="BHF203" s="21"/>
      <c r="BHG203" s="21"/>
      <c r="BHH203" s="21"/>
      <c r="BHI203" s="21"/>
      <c r="BHJ203" s="21"/>
      <c r="BHK203" s="21"/>
      <c r="BHL203" s="21"/>
      <c r="BHM203" s="21"/>
      <c r="BHN203" s="21"/>
      <c r="BHO203" s="21"/>
      <c r="BHP203" s="21"/>
      <c r="BHQ203" s="21"/>
      <c r="BHR203" s="21"/>
      <c r="BHS203" s="21"/>
      <c r="BHT203" s="21"/>
      <c r="BHU203" s="21"/>
      <c r="BHV203" s="21"/>
      <c r="BHW203" s="21"/>
      <c r="BHX203" s="21"/>
      <c r="BHY203" s="21"/>
      <c r="BHZ203" s="21"/>
      <c r="BIA203" s="21"/>
      <c r="BIB203" s="21"/>
      <c r="BIC203" s="21"/>
      <c r="BID203" s="21"/>
      <c r="BIE203" s="21"/>
      <c r="BIF203" s="21"/>
      <c r="BIG203" s="21"/>
      <c r="BIH203" s="21"/>
      <c r="BII203" s="21"/>
      <c r="BIJ203" s="21"/>
      <c r="BIK203" s="21"/>
      <c r="BIL203" s="21"/>
      <c r="BIM203" s="21"/>
      <c r="BIN203" s="21"/>
      <c r="BIO203" s="21"/>
      <c r="BIP203" s="21"/>
      <c r="BIQ203" s="21"/>
      <c r="BIR203" s="21"/>
      <c r="BIS203" s="21"/>
      <c r="BIT203" s="21"/>
      <c r="BIU203" s="21"/>
      <c r="BIV203" s="21"/>
      <c r="BIW203" s="21"/>
      <c r="BIX203" s="21"/>
      <c r="BIY203" s="21"/>
      <c r="BIZ203" s="21"/>
      <c r="BJA203" s="21"/>
      <c r="BJB203" s="21"/>
      <c r="BJC203" s="21"/>
      <c r="BJD203" s="21"/>
      <c r="BJE203" s="21"/>
      <c r="BJF203" s="21"/>
      <c r="BJG203" s="21"/>
      <c r="BJH203" s="21"/>
      <c r="BJI203" s="21"/>
      <c r="BJJ203" s="21"/>
      <c r="BJK203" s="21"/>
      <c r="BJL203" s="21"/>
      <c r="BJM203" s="21"/>
      <c r="BJN203" s="21"/>
      <c r="BJO203" s="21"/>
      <c r="BJP203" s="21"/>
      <c r="BJQ203" s="21"/>
      <c r="BJR203" s="21"/>
      <c r="BJS203" s="21"/>
      <c r="BJT203" s="21"/>
      <c r="BJU203" s="21"/>
      <c r="BJV203" s="21"/>
      <c r="BJW203" s="21"/>
      <c r="BJX203" s="21"/>
      <c r="BJY203" s="21"/>
      <c r="BJZ203" s="21"/>
      <c r="BKA203" s="21"/>
      <c r="BKB203" s="21"/>
      <c r="BKC203" s="21"/>
      <c r="BKD203" s="21"/>
      <c r="BKE203" s="21"/>
      <c r="BKF203" s="21"/>
      <c r="BKG203" s="21"/>
      <c r="BKH203" s="21"/>
      <c r="BKI203" s="21"/>
      <c r="BKJ203" s="21"/>
      <c r="BKK203" s="21"/>
      <c r="BKL203" s="21"/>
      <c r="BKM203" s="21"/>
      <c r="BKN203" s="21"/>
      <c r="BKO203" s="21"/>
      <c r="BKP203" s="21"/>
      <c r="BKQ203" s="21"/>
      <c r="BKR203" s="21"/>
      <c r="BKS203" s="21"/>
      <c r="BKT203" s="21"/>
      <c r="BKU203" s="21"/>
      <c r="BKV203" s="21"/>
      <c r="BKW203" s="21"/>
      <c r="BKX203" s="21"/>
      <c r="BKY203" s="21"/>
      <c r="BKZ203" s="21"/>
      <c r="BLA203" s="21"/>
      <c r="BLB203" s="21"/>
      <c r="BLC203" s="21"/>
      <c r="BLD203" s="21"/>
      <c r="BLE203" s="21"/>
      <c r="BLF203" s="21"/>
      <c r="BLG203" s="21"/>
      <c r="BLH203" s="21"/>
      <c r="BLI203" s="21"/>
      <c r="BLJ203" s="21"/>
      <c r="BLK203" s="21"/>
      <c r="BLL203" s="21"/>
      <c r="BLM203" s="21"/>
      <c r="BLN203" s="21"/>
      <c r="BLO203" s="21"/>
      <c r="BLP203" s="21"/>
      <c r="BLQ203" s="21"/>
      <c r="BLR203" s="21"/>
      <c r="BLS203" s="21"/>
      <c r="BLT203" s="21"/>
      <c r="BLU203" s="21"/>
      <c r="BLV203" s="21"/>
      <c r="BLW203" s="21"/>
      <c r="BLX203" s="21"/>
      <c r="BLY203" s="21"/>
      <c r="BLZ203" s="21"/>
      <c r="BMA203" s="21"/>
      <c r="BMB203" s="21"/>
      <c r="BMC203" s="21"/>
      <c r="BMD203" s="21"/>
      <c r="BME203" s="21"/>
      <c r="BMF203" s="21"/>
      <c r="BMG203" s="21"/>
      <c r="BMH203" s="21"/>
      <c r="BMI203" s="21"/>
      <c r="BMJ203" s="21"/>
      <c r="BMK203" s="21"/>
      <c r="BML203" s="21"/>
      <c r="BMM203" s="21"/>
      <c r="BMN203" s="21"/>
      <c r="BMO203" s="21"/>
      <c r="BMP203" s="21"/>
      <c r="BMQ203" s="21"/>
      <c r="BMR203" s="21"/>
      <c r="BMS203" s="21"/>
      <c r="BMT203" s="21"/>
      <c r="BMU203" s="21"/>
      <c r="BMV203" s="21"/>
      <c r="BMW203" s="21"/>
      <c r="BMX203" s="21"/>
      <c r="BMY203" s="21"/>
      <c r="BMZ203" s="21"/>
      <c r="BNA203" s="21"/>
      <c r="BNB203" s="21"/>
      <c r="BNC203" s="21"/>
      <c r="BND203" s="21"/>
      <c r="BNE203" s="21"/>
      <c r="BNF203" s="21"/>
      <c r="BNG203" s="21"/>
      <c r="BNH203" s="21"/>
      <c r="BNI203" s="21"/>
      <c r="BNJ203" s="21"/>
      <c r="BNK203" s="21"/>
      <c r="BNL203" s="21"/>
      <c r="BNM203" s="21"/>
      <c r="BNN203" s="21"/>
      <c r="BNO203" s="21"/>
      <c r="BNP203" s="21"/>
      <c r="BNQ203" s="21"/>
      <c r="BNR203" s="21"/>
      <c r="BNS203" s="21"/>
      <c r="BNT203" s="21"/>
      <c r="BNU203" s="21"/>
      <c r="BNV203" s="21"/>
      <c r="BNW203" s="21"/>
      <c r="BNX203" s="21"/>
      <c r="BNY203" s="21"/>
      <c r="BNZ203" s="21"/>
      <c r="BOA203" s="21"/>
      <c r="BOB203" s="21"/>
      <c r="BOC203" s="21"/>
      <c r="BOD203" s="21"/>
      <c r="BOE203" s="21"/>
      <c r="BOF203" s="21"/>
      <c r="BOG203" s="21"/>
      <c r="BOH203" s="21"/>
      <c r="BOI203" s="21"/>
      <c r="BOJ203" s="21"/>
      <c r="BOK203" s="21"/>
      <c r="BOL203" s="21"/>
      <c r="BOM203" s="21"/>
      <c r="BON203" s="21"/>
      <c r="BOO203" s="21"/>
      <c r="BOP203" s="21"/>
      <c r="BOQ203" s="21"/>
      <c r="BOR203" s="21"/>
      <c r="BOS203" s="21"/>
      <c r="BOT203" s="21"/>
      <c r="BOU203" s="21"/>
      <c r="BOV203" s="21"/>
      <c r="BOW203" s="21"/>
      <c r="BOX203" s="21"/>
      <c r="BOY203" s="21"/>
      <c r="BOZ203" s="21"/>
      <c r="BPA203" s="21"/>
      <c r="BPB203" s="21"/>
      <c r="BPC203" s="21"/>
      <c r="BPD203" s="21"/>
      <c r="BPE203" s="21"/>
      <c r="BPF203" s="21"/>
      <c r="BPG203" s="21"/>
      <c r="BPH203" s="21"/>
      <c r="BPI203" s="21"/>
      <c r="BPJ203" s="21"/>
      <c r="BPK203" s="21"/>
      <c r="BPL203" s="21"/>
      <c r="BPM203" s="21"/>
      <c r="BPN203" s="21"/>
      <c r="BPO203" s="21"/>
      <c r="BPP203" s="21"/>
      <c r="BPQ203" s="21"/>
      <c r="BPR203" s="21"/>
      <c r="BPS203" s="21"/>
      <c r="BPT203" s="21"/>
      <c r="BPU203" s="21"/>
      <c r="BPV203" s="21"/>
      <c r="BPW203" s="21"/>
      <c r="BPX203" s="21"/>
      <c r="BPY203" s="21"/>
      <c r="BPZ203" s="21"/>
      <c r="BQA203" s="21"/>
      <c r="BQB203" s="21"/>
      <c r="BQC203" s="21"/>
      <c r="BQD203" s="21"/>
      <c r="BQE203" s="21"/>
      <c r="BQF203" s="21"/>
      <c r="BQG203" s="21"/>
      <c r="BQH203" s="21"/>
      <c r="BQI203" s="21"/>
      <c r="BQJ203" s="21"/>
      <c r="BQK203" s="21"/>
      <c r="BQL203" s="21"/>
      <c r="BQM203" s="21"/>
      <c r="BQN203" s="21"/>
      <c r="BQO203" s="21"/>
      <c r="BQP203" s="21"/>
      <c r="BQQ203" s="21"/>
      <c r="BQR203" s="21"/>
      <c r="BQS203" s="21"/>
      <c r="BQT203" s="21"/>
      <c r="BQU203" s="21"/>
      <c r="BQV203" s="21"/>
      <c r="BQW203" s="21"/>
      <c r="BQX203" s="21"/>
      <c r="BQY203" s="21"/>
      <c r="BQZ203" s="21"/>
      <c r="BRA203" s="21"/>
      <c r="BRB203" s="21"/>
      <c r="BRC203" s="21"/>
      <c r="BRD203" s="21"/>
      <c r="BRE203" s="21"/>
      <c r="BRF203" s="21"/>
      <c r="BRG203" s="21"/>
      <c r="BRH203" s="21"/>
      <c r="BRI203" s="21"/>
      <c r="BRJ203" s="21"/>
      <c r="BRK203" s="21"/>
      <c r="BRL203" s="21"/>
      <c r="BRM203" s="21"/>
      <c r="BRN203" s="21"/>
      <c r="BRO203" s="21"/>
      <c r="BRP203" s="21"/>
      <c r="BRQ203" s="21"/>
      <c r="BRR203" s="21"/>
      <c r="BRS203" s="21"/>
      <c r="BRT203" s="21"/>
      <c r="BRU203" s="21"/>
      <c r="BRV203" s="21"/>
      <c r="BRW203" s="21"/>
      <c r="BRX203" s="21"/>
      <c r="BRY203" s="21"/>
      <c r="BRZ203" s="21"/>
      <c r="BSA203" s="21"/>
      <c r="BSB203" s="21"/>
      <c r="BSC203" s="21"/>
      <c r="BSD203" s="21"/>
      <c r="BSE203" s="21"/>
      <c r="BSF203" s="21"/>
      <c r="BSG203" s="21"/>
      <c r="BSH203" s="21"/>
      <c r="BSI203" s="21"/>
      <c r="BSJ203" s="21"/>
      <c r="BSK203" s="21"/>
      <c r="BSL203" s="21"/>
      <c r="BSM203" s="21"/>
      <c r="BSN203" s="21"/>
      <c r="BSO203" s="21"/>
      <c r="BSP203" s="21"/>
      <c r="BSQ203" s="21"/>
      <c r="BSR203" s="21"/>
      <c r="BSS203" s="21"/>
      <c r="BST203" s="21"/>
      <c r="BSU203" s="21"/>
      <c r="BSV203" s="21"/>
      <c r="BSW203" s="21"/>
      <c r="BSX203" s="21"/>
      <c r="BSY203" s="21"/>
      <c r="BSZ203" s="21"/>
      <c r="BTA203" s="21"/>
      <c r="BTB203" s="21"/>
      <c r="BTC203" s="21"/>
      <c r="BTD203" s="21"/>
      <c r="BTE203" s="21"/>
      <c r="BTF203" s="21"/>
      <c r="BTG203" s="21"/>
      <c r="BTH203" s="21"/>
      <c r="BTI203" s="21"/>
      <c r="BTJ203" s="21"/>
      <c r="BTK203" s="21"/>
      <c r="BTL203" s="21"/>
      <c r="BTM203" s="21"/>
      <c r="BTN203" s="21"/>
      <c r="BTO203" s="21"/>
      <c r="BTP203" s="21"/>
      <c r="BTQ203" s="21"/>
      <c r="BTR203" s="21"/>
      <c r="BTS203" s="21"/>
      <c r="BTT203" s="21"/>
      <c r="BTU203" s="21"/>
      <c r="BTV203" s="21"/>
      <c r="BTW203" s="21"/>
      <c r="BTX203" s="21"/>
      <c r="BTY203" s="21"/>
      <c r="BTZ203" s="21"/>
      <c r="BUA203" s="21"/>
      <c r="BUB203" s="21"/>
      <c r="BUC203" s="21"/>
      <c r="BUD203" s="21"/>
      <c r="BUE203" s="21"/>
      <c r="BUF203" s="21"/>
      <c r="BUG203" s="21"/>
      <c r="BUH203" s="21"/>
      <c r="BUI203" s="21"/>
      <c r="BUJ203" s="21"/>
      <c r="BUK203" s="21"/>
      <c r="BUL203" s="21"/>
      <c r="BUM203" s="21"/>
      <c r="BUN203" s="21"/>
      <c r="BUO203" s="21"/>
      <c r="BUP203" s="21"/>
      <c r="BUQ203" s="21"/>
      <c r="BUR203" s="21"/>
      <c r="BUS203" s="21"/>
      <c r="BUT203" s="21"/>
      <c r="BUU203" s="21"/>
      <c r="BUV203" s="21"/>
      <c r="BUW203" s="21"/>
      <c r="BUX203" s="21"/>
      <c r="BUY203" s="21"/>
      <c r="BUZ203" s="21"/>
      <c r="BVA203" s="21"/>
      <c r="BVB203" s="21"/>
      <c r="BVC203" s="21"/>
      <c r="BVD203" s="21"/>
      <c r="BVE203" s="21"/>
      <c r="BVF203" s="21"/>
      <c r="BVG203" s="21"/>
      <c r="BVH203" s="21"/>
      <c r="BVI203" s="21"/>
      <c r="BVJ203" s="21"/>
      <c r="BVK203" s="21"/>
      <c r="BVL203" s="21"/>
      <c r="BVM203" s="21"/>
      <c r="BVN203" s="21"/>
      <c r="BVO203" s="21"/>
      <c r="BVP203" s="21"/>
      <c r="BVQ203" s="21"/>
      <c r="BVR203" s="21"/>
      <c r="BVS203" s="21"/>
      <c r="BVT203" s="21"/>
      <c r="BVU203" s="21"/>
      <c r="BVV203" s="21"/>
      <c r="BVW203" s="21"/>
      <c r="BVX203" s="21"/>
      <c r="BVY203" s="21"/>
      <c r="BVZ203" s="21"/>
      <c r="BWA203" s="21"/>
      <c r="BWB203" s="21"/>
      <c r="BWC203" s="21"/>
      <c r="BWD203" s="21"/>
      <c r="BWE203" s="21"/>
      <c r="BWF203" s="21"/>
      <c r="BWG203" s="21"/>
      <c r="BWH203" s="21"/>
      <c r="BWI203" s="21"/>
      <c r="BWJ203" s="21"/>
      <c r="BWK203" s="21"/>
      <c r="BWL203" s="21"/>
      <c r="BWM203" s="21"/>
      <c r="BWN203" s="21"/>
      <c r="BWO203" s="21"/>
      <c r="BWP203" s="21"/>
      <c r="BWQ203" s="21"/>
      <c r="BWR203" s="21"/>
      <c r="BWS203" s="21"/>
      <c r="BWT203" s="21"/>
      <c r="BWU203" s="21"/>
      <c r="BWV203" s="21"/>
      <c r="BWW203" s="21"/>
      <c r="BWX203" s="21"/>
      <c r="BWY203" s="21"/>
      <c r="BWZ203" s="21"/>
      <c r="BXA203" s="21"/>
      <c r="BXB203" s="21"/>
      <c r="BXC203" s="21"/>
      <c r="BXD203" s="21"/>
      <c r="BXE203" s="21"/>
      <c r="BXF203" s="21"/>
      <c r="BXG203" s="21"/>
      <c r="BXH203" s="21"/>
      <c r="BXI203" s="21"/>
      <c r="BXJ203" s="21"/>
      <c r="BXK203" s="21"/>
      <c r="BXL203" s="21"/>
      <c r="BXM203" s="21"/>
      <c r="BXN203" s="21"/>
      <c r="BXO203" s="21"/>
      <c r="BXP203" s="21"/>
      <c r="BXQ203" s="21"/>
      <c r="BXR203" s="21"/>
      <c r="BXS203" s="21"/>
      <c r="BXT203" s="21"/>
      <c r="BXU203" s="21"/>
      <c r="BXV203" s="21"/>
      <c r="BXW203" s="21"/>
      <c r="BXX203" s="21"/>
      <c r="BXY203" s="21"/>
      <c r="BXZ203" s="21"/>
      <c r="BYA203" s="21"/>
      <c r="BYB203" s="21"/>
      <c r="BYC203" s="21"/>
      <c r="BYD203" s="21"/>
      <c r="BYE203" s="21"/>
      <c r="BYF203" s="21"/>
      <c r="BYG203" s="21"/>
      <c r="BYH203" s="21"/>
      <c r="BYI203" s="21"/>
      <c r="BYJ203" s="21"/>
      <c r="BYK203" s="21"/>
      <c r="BYL203" s="21"/>
      <c r="BYM203" s="21"/>
      <c r="BYN203" s="21"/>
      <c r="BYO203" s="21"/>
      <c r="BYP203" s="21"/>
      <c r="BYQ203" s="21"/>
      <c r="BYR203" s="21"/>
      <c r="BYS203" s="21"/>
      <c r="BYT203" s="21"/>
      <c r="BYU203" s="21"/>
      <c r="BYV203" s="21"/>
      <c r="BYW203" s="21"/>
      <c r="BYX203" s="21"/>
      <c r="BYY203" s="21"/>
      <c r="BYZ203" s="21"/>
      <c r="BZA203" s="21"/>
      <c r="BZB203" s="21"/>
      <c r="BZC203" s="21"/>
      <c r="BZD203" s="21"/>
      <c r="BZE203" s="21"/>
      <c r="BZF203" s="21"/>
      <c r="BZG203" s="21"/>
      <c r="BZH203" s="21"/>
      <c r="BZI203" s="21"/>
      <c r="BZJ203" s="21"/>
      <c r="BZK203" s="21"/>
      <c r="BZL203" s="21"/>
      <c r="BZM203" s="21"/>
      <c r="BZN203" s="21"/>
      <c r="BZO203" s="21"/>
      <c r="BZP203" s="21"/>
      <c r="BZQ203" s="21"/>
      <c r="BZR203" s="21"/>
      <c r="BZS203" s="21"/>
      <c r="BZT203" s="21"/>
      <c r="BZU203" s="21"/>
      <c r="BZV203" s="21"/>
      <c r="BZW203" s="21"/>
      <c r="BZX203" s="21"/>
      <c r="BZY203" s="21"/>
      <c r="BZZ203" s="21"/>
      <c r="CAA203" s="21"/>
      <c r="CAB203" s="21"/>
      <c r="CAC203" s="21"/>
      <c r="CAD203" s="21"/>
      <c r="CAE203" s="21"/>
      <c r="CAF203" s="21"/>
      <c r="CAG203" s="21"/>
      <c r="CAH203" s="21"/>
      <c r="CAI203" s="21"/>
      <c r="CAJ203" s="21"/>
      <c r="CAK203" s="21"/>
      <c r="CAL203" s="21"/>
      <c r="CAM203" s="21"/>
      <c r="CAN203" s="21"/>
      <c r="CAO203" s="21"/>
      <c r="CAP203" s="21"/>
      <c r="CAQ203" s="21"/>
      <c r="CAR203" s="21"/>
      <c r="CAS203" s="21"/>
      <c r="CAT203" s="21"/>
      <c r="CAU203" s="21"/>
      <c r="CAV203" s="21"/>
      <c r="CAW203" s="21"/>
      <c r="CAX203" s="21"/>
      <c r="CAY203" s="21"/>
      <c r="CAZ203" s="21"/>
      <c r="CBA203" s="21"/>
      <c r="CBB203" s="21"/>
      <c r="CBC203" s="21"/>
      <c r="CBD203" s="21"/>
      <c r="CBE203" s="21"/>
      <c r="CBF203" s="21"/>
      <c r="CBG203" s="21"/>
      <c r="CBH203" s="21"/>
      <c r="CBI203" s="21"/>
      <c r="CBJ203" s="21"/>
      <c r="CBK203" s="21"/>
      <c r="CBL203" s="21"/>
      <c r="CBM203" s="21"/>
      <c r="CBN203" s="21"/>
      <c r="CBO203" s="21"/>
      <c r="CBP203" s="21"/>
      <c r="CBQ203" s="21"/>
      <c r="CBR203" s="21"/>
      <c r="CBS203" s="21"/>
      <c r="CBT203" s="21"/>
      <c r="CBU203" s="21"/>
      <c r="CBV203" s="21"/>
      <c r="CBW203" s="21"/>
      <c r="CBX203" s="21"/>
      <c r="CBY203" s="21"/>
      <c r="CBZ203" s="21"/>
      <c r="CCA203" s="21"/>
      <c r="CCB203" s="21"/>
      <c r="CCC203" s="21"/>
      <c r="CCD203" s="21"/>
      <c r="CCE203" s="21"/>
      <c r="CCF203" s="21"/>
      <c r="CCG203" s="21"/>
      <c r="CCH203" s="21"/>
      <c r="CCI203" s="21"/>
      <c r="CCJ203" s="21"/>
      <c r="CCK203" s="21"/>
      <c r="CCL203" s="21"/>
      <c r="CCM203" s="21"/>
      <c r="CCN203" s="21"/>
      <c r="CCO203" s="21"/>
      <c r="CCP203" s="21"/>
      <c r="CCQ203" s="21"/>
      <c r="CCR203" s="21"/>
      <c r="CCS203" s="21"/>
      <c r="CCT203" s="21"/>
      <c r="CCU203" s="21"/>
      <c r="CCV203" s="21"/>
      <c r="CCW203" s="21"/>
      <c r="CCX203" s="21"/>
      <c r="CCY203" s="21"/>
      <c r="CCZ203" s="21"/>
      <c r="CDA203" s="21"/>
      <c r="CDB203" s="21"/>
      <c r="CDC203" s="21"/>
      <c r="CDD203" s="21"/>
      <c r="CDE203" s="21"/>
      <c r="CDF203" s="21"/>
      <c r="CDG203" s="21"/>
      <c r="CDH203" s="21"/>
      <c r="CDI203" s="21"/>
      <c r="CDJ203" s="21"/>
      <c r="CDK203" s="21"/>
      <c r="CDL203" s="21"/>
      <c r="CDM203" s="21"/>
      <c r="CDN203" s="21"/>
      <c r="CDO203" s="21"/>
      <c r="CDP203" s="21"/>
      <c r="CDQ203" s="21"/>
      <c r="CDR203" s="21"/>
      <c r="CDS203" s="21"/>
      <c r="CDT203" s="21"/>
      <c r="CDU203" s="21"/>
      <c r="CDV203" s="21"/>
      <c r="CDW203" s="21"/>
      <c r="CDX203" s="21"/>
      <c r="CDY203" s="21"/>
      <c r="CDZ203" s="21"/>
      <c r="CEA203" s="21"/>
      <c r="CEB203" s="21"/>
      <c r="CEC203" s="21"/>
      <c r="CED203" s="21"/>
      <c r="CEE203" s="21"/>
      <c r="CEF203" s="21"/>
      <c r="CEG203" s="21"/>
      <c r="CEH203" s="21"/>
      <c r="CEI203" s="21"/>
      <c r="CEJ203" s="21"/>
      <c r="CEK203" s="21"/>
      <c r="CEL203" s="21"/>
      <c r="CEM203" s="21"/>
      <c r="CEN203" s="21"/>
      <c r="CEO203" s="21"/>
      <c r="CEP203" s="21"/>
      <c r="CEQ203" s="21"/>
      <c r="CER203" s="21"/>
      <c r="CES203" s="21"/>
      <c r="CET203" s="21"/>
      <c r="CEU203" s="21"/>
      <c r="CEV203" s="21"/>
      <c r="CEW203" s="21"/>
      <c r="CEX203" s="21"/>
      <c r="CEY203" s="21"/>
      <c r="CEZ203" s="21"/>
      <c r="CFA203" s="21"/>
      <c r="CFB203" s="21"/>
      <c r="CFC203" s="21"/>
      <c r="CFD203" s="21"/>
      <c r="CFE203" s="21"/>
      <c r="CFF203" s="21"/>
      <c r="CFG203" s="21"/>
      <c r="CFH203" s="21"/>
      <c r="CFI203" s="21"/>
      <c r="CFJ203" s="21"/>
      <c r="CFK203" s="21"/>
      <c r="CFL203" s="21"/>
      <c r="CFM203" s="21"/>
      <c r="CFN203" s="21"/>
      <c r="CFO203" s="21"/>
      <c r="CFP203" s="21"/>
      <c r="CFQ203" s="21"/>
      <c r="CFR203" s="21"/>
      <c r="CFS203" s="21"/>
      <c r="CFT203" s="21"/>
      <c r="CFU203" s="21"/>
      <c r="CFV203" s="21"/>
      <c r="CFW203" s="21"/>
      <c r="CFX203" s="21"/>
      <c r="CFY203" s="21"/>
      <c r="CFZ203" s="21"/>
      <c r="CGA203" s="21"/>
      <c r="CGB203" s="21"/>
      <c r="CGC203" s="21"/>
      <c r="CGD203" s="21"/>
      <c r="CGE203" s="21"/>
      <c r="CGF203" s="21"/>
      <c r="CGG203" s="21"/>
      <c r="CGH203" s="21"/>
      <c r="CGI203" s="21"/>
      <c r="CGJ203" s="21"/>
      <c r="CGK203" s="21"/>
      <c r="CGL203" s="21"/>
      <c r="CGM203" s="21"/>
      <c r="CGN203" s="21"/>
      <c r="CGO203" s="21"/>
      <c r="CGP203" s="21"/>
      <c r="CGQ203" s="21"/>
      <c r="CGR203" s="21"/>
      <c r="CGS203" s="21"/>
      <c r="CGT203" s="21"/>
      <c r="CGU203" s="21"/>
      <c r="CGV203" s="21"/>
      <c r="CGW203" s="21"/>
      <c r="CGX203" s="21"/>
      <c r="CGY203" s="21"/>
      <c r="CGZ203" s="21"/>
      <c r="CHA203" s="21"/>
      <c r="CHB203" s="21"/>
      <c r="CHC203" s="21"/>
      <c r="CHD203" s="21"/>
      <c r="CHE203" s="21"/>
      <c r="CHF203" s="21"/>
      <c r="CHG203" s="21"/>
      <c r="CHH203" s="21"/>
      <c r="CHI203" s="21"/>
      <c r="CHJ203" s="21"/>
      <c r="CHK203" s="21"/>
      <c r="CHL203" s="21"/>
      <c r="CHM203" s="21"/>
      <c r="CHN203" s="21"/>
      <c r="CHO203" s="21"/>
      <c r="CHP203" s="21"/>
      <c r="CHQ203" s="21"/>
      <c r="CHR203" s="21"/>
      <c r="CHS203" s="21"/>
      <c r="CHT203" s="21"/>
      <c r="CHU203" s="21"/>
      <c r="CHV203" s="21"/>
      <c r="CHW203" s="21"/>
      <c r="CHX203" s="21"/>
      <c r="CHY203" s="21"/>
      <c r="CHZ203" s="21"/>
      <c r="CIA203" s="21"/>
      <c r="CIB203" s="21"/>
      <c r="CIC203" s="21"/>
      <c r="CID203" s="21"/>
      <c r="CIE203" s="21"/>
      <c r="CIF203" s="21"/>
      <c r="CIG203" s="21"/>
      <c r="CIH203" s="21"/>
      <c r="CII203" s="21"/>
      <c r="CIJ203" s="21"/>
      <c r="CIK203" s="21"/>
      <c r="CIL203" s="21"/>
      <c r="CIM203" s="21"/>
      <c r="CIN203" s="21"/>
      <c r="CIO203" s="21"/>
      <c r="CIP203" s="21"/>
      <c r="CIQ203" s="21"/>
      <c r="CIR203" s="21"/>
      <c r="CIS203" s="21"/>
      <c r="CIT203" s="21"/>
      <c r="CIU203" s="21"/>
      <c r="CIV203" s="21"/>
      <c r="CIW203" s="21"/>
      <c r="CIX203" s="21"/>
      <c r="CIY203" s="21"/>
      <c r="CIZ203" s="21"/>
      <c r="CJA203" s="21"/>
      <c r="CJB203" s="21"/>
      <c r="CJC203" s="21"/>
      <c r="CJD203" s="21"/>
      <c r="CJE203" s="21"/>
      <c r="CJF203" s="21"/>
      <c r="CJG203" s="21"/>
      <c r="CJH203" s="21"/>
      <c r="CJI203" s="21"/>
      <c r="CJJ203" s="21"/>
      <c r="CJK203" s="21"/>
      <c r="CJL203" s="21"/>
      <c r="CJM203" s="21"/>
      <c r="CJN203" s="21"/>
      <c r="CJO203" s="21"/>
      <c r="CJP203" s="21"/>
      <c r="CJQ203" s="21"/>
      <c r="CJR203" s="21"/>
      <c r="CJS203" s="21"/>
      <c r="CJT203" s="21"/>
      <c r="CJU203" s="21"/>
      <c r="CJV203" s="21"/>
      <c r="CJW203" s="21"/>
      <c r="CJX203" s="21"/>
      <c r="CJY203" s="21"/>
      <c r="CJZ203" s="21"/>
      <c r="CKA203" s="21"/>
      <c r="CKB203" s="21"/>
      <c r="CKC203" s="21"/>
      <c r="CKD203" s="21"/>
      <c r="CKE203" s="21"/>
      <c r="CKF203" s="21"/>
      <c r="CKG203" s="21"/>
      <c r="CKH203" s="21"/>
      <c r="CKI203" s="21"/>
      <c r="CKJ203" s="21"/>
      <c r="CKK203" s="21"/>
      <c r="CKL203" s="21"/>
      <c r="CKM203" s="21"/>
      <c r="CKN203" s="21"/>
      <c r="CKO203" s="21"/>
      <c r="CKP203" s="21"/>
      <c r="CKQ203" s="21"/>
      <c r="CKR203" s="21"/>
      <c r="CKS203" s="21"/>
      <c r="CKT203" s="21"/>
      <c r="CKU203" s="21"/>
      <c r="CKV203" s="21"/>
      <c r="CKW203" s="21"/>
      <c r="CKX203" s="21"/>
      <c r="CKY203" s="21"/>
      <c r="CKZ203" s="21"/>
      <c r="CLA203" s="21"/>
      <c r="CLB203" s="21"/>
      <c r="CLC203" s="21"/>
      <c r="CLD203" s="21"/>
      <c r="CLE203" s="21"/>
      <c r="CLF203" s="21"/>
      <c r="CLG203" s="21"/>
      <c r="CLH203" s="21"/>
      <c r="CLI203" s="21"/>
      <c r="CLJ203" s="21"/>
      <c r="CLK203" s="21"/>
      <c r="CLL203" s="21"/>
      <c r="CLM203" s="21"/>
      <c r="CLN203" s="21"/>
      <c r="CLO203" s="21"/>
      <c r="CLP203" s="21"/>
      <c r="CLQ203" s="21"/>
      <c r="CLR203" s="21"/>
      <c r="CLS203" s="21"/>
      <c r="CLT203" s="21"/>
      <c r="CLU203" s="21"/>
      <c r="CLV203" s="21"/>
      <c r="CLW203" s="21"/>
      <c r="CLX203" s="21"/>
      <c r="CLY203" s="21"/>
      <c r="CLZ203" s="21"/>
      <c r="CMA203" s="21"/>
      <c r="CMB203" s="21"/>
      <c r="CMC203" s="21"/>
      <c r="CMD203" s="21"/>
      <c r="CME203" s="21"/>
      <c r="CMF203" s="21"/>
      <c r="CMG203" s="21"/>
      <c r="CMH203" s="21"/>
      <c r="CMI203" s="21"/>
      <c r="CMJ203" s="21"/>
      <c r="CMK203" s="21"/>
      <c r="CML203" s="21"/>
      <c r="CMM203" s="21"/>
      <c r="CMN203" s="21"/>
      <c r="CMO203" s="21"/>
      <c r="CMP203" s="21"/>
      <c r="CMQ203" s="21"/>
      <c r="CMR203" s="21"/>
      <c r="CMS203" s="21"/>
      <c r="CMT203" s="21"/>
      <c r="CMU203" s="21"/>
      <c r="CMV203" s="21"/>
      <c r="CMW203" s="21"/>
      <c r="CMX203" s="21"/>
      <c r="CMY203" s="21"/>
      <c r="CMZ203" s="21"/>
      <c r="CNA203" s="21"/>
      <c r="CNB203" s="21"/>
      <c r="CNC203" s="21"/>
      <c r="CND203" s="21"/>
      <c r="CNE203" s="21"/>
      <c r="CNF203" s="21"/>
      <c r="CNG203" s="21"/>
      <c r="CNH203" s="21"/>
      <c r="CNI203" s="21"/>
      <c r="CNJ203" s="21"/>
      <c r="CNK203" s="21"/>
      <c r="CNL203" s="21"/>
      <c r="CNM203" s="21"/>
      <c r="CNN203" s="21"/>
      <c r="CNO203" s="21"/>
      <c r="CNP203" s="21"/>
      <c r="CNQ203" s="21"/>
      <c r="CNR203" s="21"/>
      <c r="CNS203" s="21"/>
      <c r="CNT203" s="21"/>
      <c r="CNU203" s="21"/>
      <c r="CNV203" s="21"/>
      <c r="CNW203" s="21"/>
      <c r="CNX203" s="21"/>
      <c r="CNY203" s="21"/>
      <c r="CNZ203" s="21"/>
      <c r="COA203" s="21"/>
      <c r="COB203" s="21"/>
      <c r="COC203" s="21"/>
      <c r="COD203" s="21"/>
      <c r="COE203" s="21"/>
      <c r="COF203" s="21"/>
      <c r="COG203" s="21"/>
      <c r="COH203" s="21"/>
      <c r="COI203" s="21"/>
      <c r="COJ203" s="21"/>
      <c r="COK203" s="21"/>
      <c r="COL203" s="21"/>
      <c r="COM203" s="21"/>
      <c r="CON203" s="21"/>
      <c r="COO203" s="21"/>
      <c r="COP203" s="21"/>
      <c r="COQ203" s="21"/>
      <c r="COR203" s="21"/>
      <c r="COS203" s="21"/>
      <c r="COT203" s="21"/>
      <c r="COU203" s="21"/>
      <c r="COV203" s="21"/>
      <c r="COW203" s="21"/>
      <c r="COX203" s="21"/>
      <c r="COY203" s="21"/>
      <c r="COZ203" s="21"/>
      <c r="CPA203" s="21"/>
      <c r="CPB203" s="21"/>
      <c r="CPC203" s="21"/>
      <c r="CPD203" s="21"/>
      <c r="CPE203" s="21"/>
      <c r="CPF203" s="21"/>
      <c r="CPG203" s="21"/>
      <c r="CPH203" s="21"/>
      <c r="CPI203" s="21"/>
      <c r="CPJ203" s="21"/>
      <c r="CPK203" s="21"/>
      <c r="CPL203" s="21"/>
      <c r="CPM203" s="21"/>
      <c r="CPN203" s="21"/>
      <c r="CPO203" s="21"/>
      <c r="CPP203" s="21"/>
      <c r="CPQ203" s="21"/>
      <c r="CPR203" s="21"/>
      <c r="CPS203" s="21"/>
      <c r="CPT203" s="21"/>
      <c r="CPU203" s="21"/>
      <c r="CPV203" s="21"/>
      <c r="CPW203" s="21"/>
      <c r="CPX203" s="21"/>
      <c r="CPY203" s="21"/>
      <c r="CPZ203" s="21"/>
      <c r="CQA203" s="21"/>
      <c r="CQB203" s="21"/>
      <c r="CQC203" s="21"/>
      <c r="CQD203" s="21"/>
      <c r="CQE203" s="21"/>
      <c r="CQF203" s="21"/>
      <c r="CQG203" s="21"/>
      <c r="CQH203" s="21"/>
      <c r="CQI203" s="21"/>
      <c r="CQJ203" s="21"/>
      <c r="CQK203" s="21"/>
      <c r="CQL203" s="21"/>
      <c r="CQM203" s="21"/>
      <c r="CQN203" s="21"/>
      <c r="CQO203" s="21"/>
      <c r="CQP203" s="21"/>
      <c r="CQQ203" s="21"/>
      <c r="CQR203" s="21"/>
      <c r="CQS203" s="21"/>
      <c r="CQT203" s="21"/>
      <c r="CQU203" s="21"/>
      <c r="CQV203" s="21"/>
      <c r="CQW203" s="21"/>
      <c r="CQX203" s="21"/>
      <c r="CQY203" s="21"/>
      <c r="CQZ203" s="21"/>
      <c r="CRA203" s="21"/>
      <c r="CRB203" s="21"/>
      <c r="CRC203" s="21"/>
      <c r="CRD203" s="21"/>
      <c r="CRE203" s="21"/>
      <c r="CRF203" s="21"/>
      <c r="CRG203" s="21"/>
      <c r="CRH203" s="21"/>
      <c r="CRI203" s="21"/>
      <c r="CRJ203" s="21"/>
      <c r="CRK203" s="21"/>
      <c r="CRL203" s="21"/>
      <c r="CRM203" s="21"/>
      <c r="CRN203" s="21"/>
      <c r="CRO203" s="21"/>
      <c r="CRP203" s="21"/>
      <c r="CRQ203" s="21"/>
      <c r="CRR203" s="21"/>
      <c r="CRS203" s="21"/>
      <c r="CRT203" s="21"/>
      <c r="CRU203" s="21"/>
      <c r="CRV203" s="21"/>
      <c r="CRW203" s="21"/>
      <c r="CRX203" s="21"/>
      <c r="CRY203" s="21"/>
      <c r="CRZ203" s="21"/>
      <c r="CSA203" s="21"/>
      <c r="CSB203" s="21"/>
      <c r="CSC203" s="21"/>
      <c r="CSD203" s="21"/>
      <c r="CSE203" s="21"/>
      <c r="CSF203" s="21"/>
      <c r="CSG203" s="21"/>
      <c r="CSH203" s="21"/>
      <c r="CSI203" s="21"/>
      <c r="CSJ203" s="21"/>
      <c r="CSK203" s="21"/>
      <c r="CSL203" s="21"/>
      <c r="CSM203" s="21"/>
      <c r="CSN203" s="21"/>
      <c r="CSO203" s="21"/>
      <c r="CSP203" s="21"/>
      <c r="CSQ203" s="21"/>
      <c r="CSR203" s="21"/>
      <c r="CSS203" s="21"/>
      <c r="CST203" s="21"/>
      <c r="CSU203" s="21"/>
      <c r="CSV203" s="21"/>
      <c r="CSW203" s="21"/>
      <c r="CSX203" s="21"/>
      <c r="CSY203" s="21"/>
      <c r="CSZ203" s="21"/>
      <c r="CTA203" s="21"/>
      <c r="CTB203" s="21"/>
      <c r="CTC203" s="21"/>
      <c r="CTD203" s="21"/>
      <c r="CTE203" s="21"/>
      <c r="CTF203" s="21"/>
      <c r="CTG203" s="21"/>
      <c r="CTH203" s="21"/>
      <c r="CTI203" s="21"/>
      <c r="CTJ203" s="21"/>
      <c r="CTK203" s="21"/>
      <c r="CTL203" s="21"/>
      <c r="CTM203" s="21"/>
      <c r="CTN203" s="21"/>
      <c r="CTO203" s="21"/>
      <c r="CTP203" s="21"/>
      <c r="CTQ203" s="21"/>
      <c r="CTR203" s="21"/>
      <c r="CTS203" s="21"/>
      <c r="CTT203" s="21"/>
      <c r="CTU203" s="21"/>
      <c r="CTV203" s="21"/>
      <c r="CTW203" s="21"/>
      <c r="CTX203" s="21"/>
      <c r="CTY203" s="21"/>
      <c r="CTZ203" s="21"/>
      <c r="CUA203" s="21"/>
      <c r="CUB203" s="21"/>
      <c r="CUC203" s="21"/>
      <c r="CUD203" s="21"/>
      <c r="CUE203" s="21"/>
      <c r="CUF203" s="21"/>
      <c r="CUG203" s="21"/>
      <c r="CUH203" s="21"/>
      <c r="CUI203" s="21"/>
      <c r="CUJ203" s="21"/>
      <c r="CUK203" s="21"/>
      <c r="CUL203" s="21"/>
      <c r="CUM203" s="21"/>
      <c r="CUN203" s="21"/>
      <c r="CUO203" s="21"/>
      <c r="CUP203" s="21"/>
      <c r="CUQ203" s="21"/>
      <c r="CUR203" s="21"/>
      <c r="CUS203" s="21"/>
      <c r="CUT203" s="21"/>
      <c r="CUU203" s="21"/>
      <c r="CUV203" s="21"/>
      <c r="CUW203" s="21"/>
      <c r="CUX203" s="21"/>
      <c r="CUY203" s="21"/>
      <c r="CUZ203" s="21"/>
      <c r="CVA203" s="21"/>
      <c r="CVB203" s="21"/>
      <c r="CVC203" s="21"/>
      <c r="CVD203" s="21"/>
      <c r="CVE203" s="21"/>
      <c r="CVF203" s="21"/>
      <c r="CVG203" s="21"/>
      <c r="CVH203" s="21"/>
      <c r="CVI203" s="21"/>
      <c r="CVJ203" s="21"/>
      <c r="CVK203" s="21"/>
      <c r="CVL203" s="21"/>
      <c r="CVM203" s="21"/>
      <c r="CVN203" s="21"/>
      <c r="CVO203" s="21"/>
      <c r="CVP203" s="21"/>
      <c r="CVQ203" s="21"/>
      <c r="CVR203" s="21"/>
      <c r="CVS203" s="21"/>
      <c r="CVT203" s="21"/>
      <c r="CVU203" s="21"/>
      <c r="CVV203" s="21"/>
      <c r="CVW203" s="21"/>
      <c r="CVX203" s="21"/>
      <c r="CVY203" s="21"/>
      <c r="CVZ203" s="21"/>
      <c r="CWA203" s="21"/>
      <c r="CWB203" s="21"/>
      <c r="CWC203" s="21"/>
      <c r="CWD203" s="21"/>
      <c r="CWE203" s="21"/>
      <c r="CWF203" s="21"/>
      <c r="CWG203" s="21"/>
      <c r="CWH203" s="21"/>
      <c r="CWI203" s="21"/>
      <c r="CWJ203" s="21"/>
      <c r="CWK203" s="21"/>
      <c r="CWL203" s="21"/>
      <c r="CWM203" s="21"/>
      <c r="CWN203" s="21"/>
      <c r="CWO203" s="21"/>
      <c r="CWP203" s="21"/>
      <c r="CWQ203" s="21"/>
      <c r="CWR203" s="21"/>
      <c r="CWS203" s="21"/>
      <c r="CWT203" s="21"/>
      <c r="CWU203" s="21"/>
      <c r="CWV203" s="21"/>
      <c r="CWW203" s="21"/>
      <c r="CWX203" s="21"/>
      <c r="CWY203" s="21"/>
      <c r="CWZ203" s="21"/>
      <c r="CXA203" s="21"/>
      <c r="CXB203" s="21"/>
      <c r="CXC203" s="21"/>
      <c r="CXD203" s="21"/>
      <c r="CXE203" s="21"/>
      <c r="CXF203" s="21"/>
      <c r="CXG203" s="21"/>
      <c r="CXH203" s="21"/>
      <c r="CXI203" s="21"/>
      <c r="CXJ203" s="21"/>
      <c r="CXK203" s="21"/>
      <c r="CXL203" s="21"/>
      <c r="CXM203" s="21"/>
      <c r="CXN203" s="21"/>
      <c r="CXO203" s="21"/>
      <c r="CXP203" s="21"/>
      <c r="CXQ203" s="21"/>
      <c r="CXR203" s="21"/>
      <c r="CXS203" s="21"/>
      <c r="CXT203" s="21"/>
      <c r="CXU203" s="21"/>
      <c r="CXV203" s="21"/>
      <c r="CXW203" s="21"/>
      <c r="CXX203" s="21"/>
      <c r="CXY203" s="21"/>
      <c r="CXZ203" s="21"/>
      <c r="CYA203" s="21"/>
      <c r="CYB203" s="21"/>
      <c r="CYC203" s="21"/>
      <c r="CYD203" s="21"/>
      <c r="CYE203" s="21"/>
      <c r="CYF203" s="21"/>
      <c r="CYG203" s="21"/>
      <c r="CYH203" s="21"/>
      <c r="CYI203" s="21"/>
      <c r="CYJ203" s="21"/>
      <c r="CYK203" s="21"/>
      <c r="CYL203" s="21"/>
      <c r="CYM203" s="21"/>
      <c r="CYN203" s="21"/>
      <c r="CYO203" s="21"/>
      <c r="CYP203" s="21"/>
      <c r="CYQ203" s="21"/>
      <c r="CYR203" s="21"/>
      <c r="CYS203" s="21"/>
      <c r="CYT203" s="21"/>
      <c r="CYU203" s="21"/>
      <c r="CYV203" s="21"/>
      <c r="CYW203" s="21"/>
      <c r="CYX203" s="21"/>
      <c r="CYY203" s="21"/>
      <c r="CYZ203" s="21"/>
      <c r="CZA203" s="21"/>
      <c r="CZB203" s="21"/>
      <c r="CZC203" s="21"/>
      <c r="CZD203" s="21"/>
      <c r="CZE203" s="21"/>
      <c r="CZF203" s="21"/>
      <c r="CZG203" s="21"/>
      <c r="CZH203" s="21"/>
      <c r="CZI203" s="21"/>
      <c r="CZJ203" s="21"/>
      <c r="CZK203" s="21"/>
      <c r="CZL203" s="21"/>
      <c r="CZM203" s="21"/>
      <c r="CZN203" s="21"/>
      <c r="CZO203" s="21"/>
      <c r="CZP203" s="21"/>
      <c r="CZQ203" s="21"/>
      <c r="CZR203" s="21"/>
      <c r="CZS203" s="21"/>
      <c r="CZT203" s="21"/>
      <c r="CZU203" s="21"/>
      <c r="CZV203" s="21"/>
      <c r="CZW203" s="21"/>
      <c r="CZX203" s="21"/>
      <c r="CZY203" s="21"/>
      <c r="CZZ203" s="21"/>
      <c r="DAA203" s="21"/>
      <c r="DAB203" s="21"/>
      <c r="DAC203" s="21"/>
      <c r="DAD203" s="21"/>
      <c r="DAE203" s="21"/>
      <c r="DAF203" s="21"/>
      <c r="DAG203" s="21"/>
      <c r="DAH203" s="21"/>
      <c r="DAI203" s="21"/>
      <c r="DAJ203" s="21"/>
      <c r="DAK203" s="21"/>
      <c r="DAL203" s="21"/>
      <c r="DAM203" s="21"/>
      <c r="DAN203" s="21"/>
      <c r="DAO203" s="21"/>
      <c r="DAP203" s="21"/>
      <c r="DAQ203" s="21"/>
      <c r="DAR203" s="21"/>
      <c r="DAS203" s="21"/>
      <c r="DAT203" s="21"/>
      <c r="DAU203" s="21"/>
      <c r="DAV203" s="21"/>
      <c r="DAW203" s="21"/>
      <c r="DAX203" s="21"/>
      <c r="DAY203" s="21"/>
      <c r="DAZ203" s="21"/>
      <c r="DBA203" s="21"/>
      <c r="DBB203" s="21"/>
      <c r="DBC203" s="21"/>
      <c r="DBD203" s="21"/>
      <c r="DBE203" s="21"/>
      <c r="DBF203" s="21"/>
      <c r="DBG203" s="21"/>
      <c r="DBH203" s="21"/>
      <c r="DBI203" s="21"/>
      <c r="DBJ203" s="21"/>
      <c r="DBK203" s="21"/>
      <c r="DBL203" s="21"/>
      <c r="DBM203" s="21"/>
      <c r="DBN203" s="21"/>
      <c r="DBO203" s="21"/>
      <c r="DBP203" s="21"/>
      <c r="DBQ203" s="21"/>
      <c r="DBR203" s="21"/>
      <c r="DBS203" s="21"/>
      <c r="DBT203" s="21"/>
      <c r="DBU203" s="21"/>
      <c r="DBV203" s="21"/>
      <c r="DBW203" s="21"/>
      <c r="DBX203" s="21"/>
      <c r="DBY203" s="21"/>
      <c r="DBZ203" s="21"/>
      <c r="DCA203" s="21"/>
      <c r="DCB203" s="21"/>
      <c r="DCC203" s="21"/>
      <c r="DCD203" s="21"/>
      <c r="DCE203" s="21"/>
      <c r="DCF203" s="21"/>
      <c r="DCG203" s="21"/>
      <c r="DCH203" s="21"/>
      <c r="DCI203" s="21"/>
      <c r="DCJ203" s="21"/>
      <c r="DCK203" s="21"/>
      <c r="DCL203" s="21"/>
      <c r="DCM203" s="21"/>
      <c r="DCN203" s="21"/>
      <c r="DCO203" s="21"/>
      <c r="DCP203" s="21"/>
      <c r="DCQ203" s="21"/>
      <c r="DCR203" s="21"/>
      <c r="DCS203" s="21"/>
      <c r="DCT203" s="21"/>
      <c r="DCU203" s="21"/>
      <c r="DCV203" s="21"/>
      <c r="DCW203" s="21"/>
      <c r="DCX203" s="21"/>
      <c r="DCY203" s="21"/>
      <c r="DCZ203" s="21"/>
      <c r="DDA203" s="21"/>
      <c r="DDB203" s="21"/>
      <c r="DDC203" s="21"/>
      <c r="DDD203" s="21"/>
      <c r="DDE203" s="21"/>
      <c r="DDF203" s="21"/>
      <c r="DDG203" s="21"/>
      <c r="DDH203" s="21"/>
      <c r="DDI203" s="21"/>
      <c r="DDJ203" s="21"/>
      <c r="DDK203" s="21"/>
      <c r="DDL203" s="21"/>
      <c r="DDM203" s="21"/>
      <c r="DDN203" s="21"/>
      <c r="DDO203" s="21"/>
      <c r="DDP203" s="21"/>
      <c r="DDQ203" s="21"/>
      <c r="DDR203" s="21"/>
      <c r="DDS203" s="21"/>
      <c r="DDT203" s="21"/>
      <c r="DDU203" s="21"/>
      <c r="DDV203" s="21"/>
      <c r="DDW203" s="21"/>
      <c r="DDX203" s="21"/>
      <c r="DDY203" s="21"/>
      <c r="DDZ203" s="21"/>
      <c r="DEA203" s="21"/>
      <c r="DEB203" s="21"/>
      <c r="DEC203" s="21"/>
      <c r="DED203" s="21"/>
      <c r="DEE203" s="21"/>
      <c r="DEF203" s="21"/>
      <c r="DEG203" s="21"/>
      <c r="DEH203" s="21"/>
      <c r="DEI203" s="21"/>
      <c r="DEJ203" s="21"/>
      <c r="DEK203" s="21"/>
      <c r="DEL203" s="21"/>
      <c r="DEM203" s="21"/>
      <c r="DEN203" s="21"/>
      <c r="DEO203" s="21"/>
      <c r="DEP203" s="21"/>
      <c r="DEQ203" s="21"/>
      <c r="DER203" s="21"/>
      <c r="DES203" s="21"/>
      <c r="DET203" s="21"/>
      <c r="DEU203" s="21"/>
      <c r="DEV203" s="21"/>
      <c r="DEW203" s="21"/>
      <c r="DEX203" s="21"/>
      <c r="DEY203" s="21"/>
      <c r="DEZ203" s="21"/>
      <c r="DFA203" s="21"/>
      <c r="DFB203" s="21"/>
      <c r="DFC203" s="21"/>
      <c r="DFD203" s="21"/>
      <c r="DFE203" s="21"/>
      <c r="DFF203" s="21"/>
      <c r="DFG203" s="21"/>
      <c r="DFH203" s="21"/>
      <c r="DFI203" s="21"/>
      <c r="DFJ203" s="21"/>
      <c r="DFK203" s="21"/>
      <c r="DFL203" s="21"/>
      <c r="DFM203" s="21"/>
      <c r="DFN203" s="21"/>
      <c r="DFO203" s="21"/>
      <c r="DFP203" s="21"/>
      <c r="DFQ203" s="21"/>
      <c r="DFR203" s="21"/>
      <c r="DFS203" s="21"/>
      <c r="DFT203" s="21"/>
      <c r="DFU203" s="21"/>
      <c r="DFV203" s="21"/>
      <c r="DFW203" s="21"/>
      <c r="DFX203" s="21"/>
      <c r="DFY203" s="21"/>
      <c r="DFZ203" s="21"/>
      <c r="DGA203" s="21"/>
      <c r="DGB203" s="21"/>
      <c r="DGC203" s="21"/>
      <c r="DGD203" s="21"/>
      <c r="DGE203" s="21"/>
      <c r="DGF203" s="21"/>
      <c r="DGG203" s="21"/>
      <c r="DGH203" s="21"/>
      <c r="DGI203" s="21"/>
      <c r="DGJ203" s="21"/>
      <c r="DGK203" s="21"/>
      <c r="DGL203" s="21"/>
      <c r="DGM203" s="21"/>
      <c r="DGN203" s="21"/>
      <c r="DGO203" s="21"/>
      <c r="DGP203" s="21"/>
      <c r="DGQ203" s="21"/>
      <c r="DGR203" s="21"/>
      <c r="DGS203" s="21"/>
      <c r="DGT203" s="21"/>
      <c r="DGU203" s="21"/>
      <c r="DGV203" s="21"/>
      <c r="DGW203" s="21"/>
      <c r="DGX203" s="21"/>
      <c r="DGY203" s="21"/>
      <c r="DGZ203" s="21"/>
      <c r="DHA203" s="21"/>
      <c r="DHB203" s="21"/>
      <c r="DHC203" s="21"/>
      <c r="DHD203" s="21"/>
      <c r="DHE203" s="21"/>
      <c r="DHF203" s="21"/>
      <c r="DHG203" s="21"/>
      <c r="DHH203" s="21"/>
      <c r="DHI203" s="21"/>
      <c r="DHJ203" s="21"/>
      <c r="DHK203" s="21"/>
      <c r="DHL203" s="21"/>
      <c r="DHM203" s="21"/>
      <c r="DHN203" s="21"/>
      <c r="DHO203" s="21"/>
      <c r="DHP203" s="21"/>
      <c r="DHQ203" s="21"/>
      <c r="DHR203" s="21"/>
      <c r="DHS203" s="21"/>
      <c r="DHT203" s="21"/>
      <c r="DHU203" s="21"/>
      <c r="DHV203" s="21"/>
      <c r="DHW203" s="21"/>
      <c r="DHX203" s="21"/>
      <c r="DHY203" s="21"/>
      <c r="DHZ203" s="21"/>
      <c r="DIA203" s="21"/>
      <c r="DIB203" s="21"/>
      <c r="DIC203" s="21"/>
      <c r="DID203" s="21"/>
      <c r="DIE203" s="21"/>
      <c r="DIF203" s="21"/>
      <c r="DIG203" s="21"/>
      <c r="DIH203" s="21"/>
      <c r="DII203" s="21"/>
      <c r="DIJ203" s="21"/>
      <c r="DIK203" s="21"/>
      <c r="DIL203" s="21"/>
      <c r="DIM203" s="21"/>
      <c r="DIN203" s="21"/>
      <c r="DIO203" s="21"/>
      <c r="DIP203" s="21"/>
      <c r="DIQ203" s="21"/>
      <c r="DIR203" s="21"/>
      <c r="DIS203" s="21"/>
      <c r="DIT203" s="21"/>
      <c r="DIU203" s="21"/>
      <c r="DIV203" s="21"/>
      <c r="DIW203" s="21"/>
      <c r="DIX203" s="21"/>
      <c r="DIY203" s="21"/>
      <c r="DIZ203" s="21"/>
      <c r="DJA203" s="21"/>
      <c r="DJB203" s="21"/>
      <c r="DJC203" s="21"/>
      <c r="DJD203" s="21"/>
      <c r="DJE203" s="21"/>
      <c r="DJF203" s="21"/>
      <c r="DJG203" s="21"/>
      <c r="DJH203" s="21"/>
      <c r="DJI203" s="21"/>
      <c r="DJJ203" s="21"/>
      <c r="DJK203" s="21"/>
      <c r="DJL203" s="21"/>
      <c r="DJM203" s="21"/>
      <c r="DJN203" s="21"/>
      <c r="DJO203" s="21"/>
      <c r="DJP203" s="21"/>
      <c r="DJQ203" s="21"/>
      <c r="DJR203" s="21"/>
      <c r="DJS203" s="21"/>
      <c r="DJT203" s="21"/>
      <c r="DJU203" s="21"/>
      <c r="DJV203" s="21"/>
      <c r="DJW203" s="21"/>
      <c r="DJX203" s="21"/>
      <c r="DJY203" s="21"/>
      <c r="DJZ203" s="21"/>
      <c r="DKA203" s="21"/>
      <c r="DKB203" s="21"/>
      <c r="DKC203" s="21"/>
      <c r="DKD203" s="21"/>
      <c r="DKE203" s="21"/>
      <c r="DKF203" s="21"/>
      <c r="DKG203" s="21"/>
      <c r="DKH203" s="21"/>
      <c r="DKI203" s="21"/>
      <c r="DKJ203" s="21"/>
      <c r="DKK203" s="21"/>
      <c r="DKL203" s="21"/>
      <c r="DKM203" s="21"/>
      <c r="DKN203" s="21"/>
      <c r="DKO203" s="21"/>
      <c r="DKP203" s="21"/>
      <c r="DKQ203" s="21"/>
      <c r="DKR203" s="21"/>
      <c r="DKS203" s="21"/>
      <c r="DKT203" s="21"/>
      <c r="DKU203" s="21"/>
      <c r="DKV203" s="21"/>
      <c r="DKW203" s="21"/>
      <c r="DKX203" s="21"/>
      <c r="DKY203" s="21"/>
      <c r="DKZ203" s="21"/>
      <c r="DLA203" s="21"/>
      <c r="DLB203" s="21"/>
      <c r="DLC203" s="21"/>
      <c r="DLD203" s="21"/>
      <c r="DLE203" s="21"/>
      <c r="DLF203" s="21"/>
      <c r="DLG203" s="21"/>
      <c r="DLH203" s="21"/>
      <c r="DLI203" s="21"/>
      <c r="DLJ203" s="21"/>
      <c r="DLK203" s="21"/>
      <c r="DLL203" s="21"/>
      <c r="DLM203" s="21"/>
      <c r="DLN203" s="21"/>
      <c r="DLO203" s="21"/>
      <c r="DLP203" s="21"/>
      <c r="DLQ203" s="21"/>
      <c r="DLR203" s="21"/>
      <c r="DLS203" s="21"/>
      <c r="DLT203" s="21"/>
      <c r="DLU203" s="21"/>
      <c r="DLV203" s="21"/>
      <c r="DLW203" s="21"/>
      <c r="DLX203" s="21"/>
      <c r="DLY203" s="21"/>
      <c r="DLZ203" s="21"/>
      <c r="DMA203" s="21"/>
      <c r="DMB203" s="21"/>
      <c r="DMC203" s="21"/>
      <c r="DMD203" s="21"/>
      <c r="DME203" s="21"/>
      <c r="DMF203" s="21"/>
      <c r="DMG203" s="21"/>
      <c r="DMH203" s="21"/>
      <c r="DMI203" s="21"/>
      <c r="DMJ203" s="21"/>
      <c r="DMK203" s="21"/>
      <c r="DML203" s="21"/>
      <c r="DMM203" s="21"/>
      <c r="DMN203" s="21"/>
      <c r="DMO203" s="21"/>
      <c r="DMP203" s="21"/>
      <c r="DMQ203" s="21"/>
      <c r="DMR203" s="21"/>
      <c r="DMS203" s="21"/>
      <c r="DMT203" s="21"/>
      <c r="DMU203" s="21"/>
      <c r="DMV203" s="21"/>
      <c r="DMW203" s="21"/>
      <c r="DMX203" s="21"/>
      <c r="DMY203" s="21"/>
      <c r="DMZ203" s="21"/>
      <c r="DNA203" s="21"/>
      <c r="DNB203" s="21"/>
      <c r="DNC203" s="21"/>
      <c r="DND203" s="21"/>
      <c r="DNE203" s="21"/>
      <c r="DNF203" s="21"/>
      <c r="DNG203" s="21"/>
      <c r="DNH203" s="21"/>
      <c r="DNI203" s="21"/>
      <c r="DNJ203" s="21"/>
      <c r="DNK203" s="21"/>
      <c r="DNL203" s="21"/>
      <c r="DNM203" s="21"/>
      <c r="DNN203" s="21"/>
      <c r="DNO203" s="21"/>
      <c r="DNP203" s="21"/>
      <c r="DNQ203" s="21"/>
      <c r="DNR203" s="21"/>
      <c r="DNS203" s="21"/>
      <c r="DNT203" s="21"/>
      <c r="DNU203" s="21"/>
      <c r="DNV203" s="21"/>
      <c r="DNW203" s="21"/>
      <c r="DNX203" s="21"/>
      <c r="DNY203" s="21"/>
      <c r="DNZ203" s="21"/>
      <c r="DOA203" s="21"/>
      <c r="DOB203" s="21"/>
      <c r="DOC203" s="21"/>
      <c r="DOD203" s="21"/>
      <c r="DOE203" s="21"/>
      <c r="DOF203" s="21"/>
      <c r="DOG203" s="21"/>
      <c r="DOH203" s="21"/>
      <c r="DOI203" s="21"/>
      <c r="DOJ203" s="21"/>
      <c r="DOK203" s="21"/>
      <c r="DOL203" s="21"/>
      <c r="DOM203" s="21"/>
      <c r="DON203" s="21"/>
      <c r="DOO203" s="21"/>
      <c r="DOP203" s="21"/>
      <c r="DOQ203" s="21"/>
      <c r="DOR203" s="21"/>
      <c r="DOS203" s="21"/>
      <c r="DOT203" s="21"/>
      <c r="DOU203" s="21"/>
      <c r="DOV203" s="21"/>
      <c r="DOW203" s="21"/>
      <c r="DOX203" s="21"/>
      <c r="DOY203" s="21"/>
      <c r="DOZ203" s="21"/>
      <c r="DPA203" s="21"/>
      <c r="DPB203" s="21"/>
      <c r="DPC203" s="21"/>
      <c r="DPD203" s="21"/>
      <c r="DPE203" s="21"/>
      <c r="DPF203" s="21"/>
      <c r="DPG203" s="21"/>
      <c r="DPH203" s="21"/>
      <c r="DPI203" s="21"/>
      <c r="DPJ203" s="21"/>
      <c r="DPK203" s="21"/>
      <c r="DPL203" s="21"/>
      <c r="DPM203" s="21"/>
      <c r="DPN203" s="21"/>
      <c r="DPO203" s="21"/>
      <c r="DPP203" s="21"/>
      <c r="DPQ203" s="21"/>
      <c r="DPR203" s="21"/>
      <c r="DPS203" s="21"/>
      <c r="DPT203" s="21"/>
      <c r="DPU203" s="21"/>
      <c r="DPV203" s="21"/>
      <c r="DPW203" s="21"/>
      <c r="DPX203" s="21"/>
      <c r="DPY203" s="21"/>
      <c r="DPZ203" s="21"/>
      <c r="DQA203" s="21"/>
      <c r="DQB203" s="21"/>
      <c r="DQC203" s="21"/>
      <c r="DQD203" s="21"/>
      <c r="DQE203" s="21"/>
      <c r="DQF203" s="21"/>
      <c r="DQG203" s="21"/>
      <c r="DQH203" s="21"/>
      <c r="DQI203" s="21"/>
      <c r="DQJ203" s="21"/>
      <c r="DQK203" s="21"/>
      <c r="DQL203" s="21"/>
      <c r="DQM203" s="21"/>
      <c r="DQN203" s="21"/>
      <c r="DQO203" s="21"/>
      <c r="DQP203" s="21"/>
      <c r="DQQ203" s="21"/>
      <c r="DQR203" s="21"/>
      <c r="DQS203" s="21"/>
      <c r="DQT203" s="21"/>
      <c r="DQU203" s="21"/>
      <c r="DQV203" s="21"/>
      <c r="DQW203" s="21"/>
      <c r="DQX203" s="21"/>
      <c r="DQY203" s="21"/>
      <c r="DQZ203" s="21"/>
      <c r="DRA203" s="21"/>
      <c r="DRB203" s="21"/>
      <c r="DRC203" s="21"/>
      <c r="DRD203" s="21"/>
      <c r="DRE203" s="21"/>
      <c r="DRF203" s="21"/>
      <c r="DRG203" s="21"/>
      <c r="DRH203" s="21"/>
      <c r="DRI203" s="21"/>
      <c r="DRJ203" s="21"/>
      <c r="DRK203" s="21"/>
      <c r="DRL203" s="21"/>
      <c r="DRM203" s="21"/>
      <c r="DRN203" s="21"/>
      <c r="DRO203" s="21"/>
      <c r="DRP203" s="21"/>
      <c r="DRQ203" s="21"/>
      <c r="DRR203" s="21"/>
      <c r="DRS203" s="21"/>
      <c r="DRT203" s="21"/>
      <c r="DRU203" s="21"/>
      <c r="DRV203" s="21"/>
      <c r="DRW203" s="21"/>
      <c r="DRX203" s="21"/>
      <c r="DRY203" s="21"/>
      <c r="DRZ203" s="21"/>
      <c r="DSA203" s="21"/>
      <c r="DSB203" s="21"/>
      <c r="DSC203" s="21"/>
      <c r="DSD203" s="21"/>
      <c r="DSE203" s="21"/>
      <c r="DSF203" s="21"/>
      <c r="DSG203" s="21"/>
      <c r="DSH203" s="21"/>
      <c r="DSI203" s="21"/>
      <c r="DSJ203" s="21"/>
      <c r="DSK203" s="21"/>
      <c r="DSL203" s="21"/>
      <c r="DSM203" s="21"/>
      <c r="DSN203" s="21"/>
      <c r="DSO203" s="21"/>
      <c r="DSP203" s="21"/>
      <c r="DSQ203" s="21"/>
      <c r="DSR203" s="21"/>
      <c r="DSS203" s="21"/>
      <c r="DST203" s="21"/>
      <c r="DSU203" s="21"/>
      <c r="DSV203" s="21"/>
      <c r="DSW203" s="21"/>
      <c r="DSX203" s="21"/>
      <c r="DSY203" s="21"/>
      <c r="DSZ203" s="21"/>
      <c r="DTA203" s="21"/>
      <c r="DTB203" s="21"/>
      <c r="DTC203" s="21"/>
      <c r="DTD203" s="21"/>
      <c r="DTE203" s="21"/>
      <c r="DTF203" s="21"/>
      <c r="DTG203" s="21"/>
      <c r="DTH203" s="21"/>
      <c r="DTI203" s="21"/>
      <c r="DTJ203" s="21"/>
      <c r="DTK203" s="21"/>
      <c r="DTL203" s="21"/>
      <c r="DTM203" s="21"/>
      <c r="DTN203" s="21"/>
      <c r="DTO203" s="21"/>
      <c r="DTP203" s="21"/>
      <c r="DTQ203" s="21"/>
      <c r="DTR203" s="21"/>
      <c r="DTS203" s="21"/>
      <c r="DTT203" s="21"/>
      <c r="DTU203" s="21"/>
      <c r="DTV203" s="21"/>
      <c r="DTW203" s="21"/>
      <c r="DTX203" s="21"/>
      <c r="DTY203" s="21"/>
      <c r="DTZ203" s="21"/>
      <c r="DUA203" s="21"/>
      <c r="DUB203" s="21"/>
      <c r="DUC203" s="21"/>
      <c r="DUD203" s="21"/>
      <c r="DUE203" s="21"/>
      <c r="DUF203" s="21"/>
      <c r="DUG203" s="21"/>
      <c r="DUH203" s="21"/>
      <c r="DUI203" s="21"/>
      <c r="DUJ203" s="21"/>
      <c r="DUK203" s="21"/>
      <c r="DUL203" s="21"/>
      <c r="DUM203" s="21"/>
      <c r="DUN203" s="21"/>
      <c r="DUO203" s="21"/>
      <c r="DUP203" s="21"/>
      <c r="DUQ203" s="21"/>
      <c r="DUR203" s="21"/>
      <c r="DUS203" s="21"/>
      <c r="DUT203" s="21"/>
      <c r="DUU203" s="21"/>
      <c r="DUV203" s="21"/>
      <c r="DUW203" s="21"/>
      <c r="DUX203" s="21"/>
      <c r="DUY203" s="21"/>
      <c r="DUZ203" s="21"/>
      <c r="DVA203" s="21"/>
      <c r="DVB203" s="21"/>
      <c r="DVC203" s="21"/>
      <c r="DVD203" s="21"/>
      <c r="DVE203" s="21"/>
      <c r="DVF203" s="21"/>
      <c r="DVG203" s="21"/>
      <c r="DVH203" s="21"/>
      <c r="DVI203" s="21"/>
      <c r="DVJ203" s="21"/>
      <c r="DVK203" s="21"/>
      <c r="DVL203" s="21"/>
      <c r="DVM203" s="21"/>
      <c r="DVN203" s="21"/>
      <c r="DVO203" s="21"/>
      <c r="DVP203" s="21"/>
      <c r="DVQ203" s="21"/>
      <c r="DVR203" s="21"/>
      <c r="DVS203" s="21"/>
      <c r="DVT203" s="21"/>
      <c r="DVU203" s="21"/>
      <c r="DVV203" s="21"/>
      <c r="DVW203" s="21"/>
      <c r="DVX203" s="21"/>
      <c r="DVY203" s="21"/>
      <c r="DVZ203" s="21"/>
      <c r="DWA203" s="21"/>
      <c r="DWB203" s="21"/>
      <c r="DWC203" s="21"/>
      <c r="DWD203" s="21"/>
      <c r="DWE203" s="21"/>
      <c r="DWF203" s="21"/>
      <c r="DWG203" s="21"/>
      <c r="DWH203" s="21"/>
      <c r="DWI203" s="21"/>
      <c r="DWJ203" s="21"/>
      <c r="DWK203" s="21"/>
      <c r="DWL203" s="21"/>
      <c r="DWM203" s="21"/>
      <c r="DWN203" s="21"/>
      <c r="DWO203" s="21"/>
      <c r="DWP203" s="21"/>
      <c r="DWQ203" s="21"/>
      <c r="DWR203" s="21"/>
      <c r="DWS203" s="21"/>
      <c r="DWT203" s="21"/>
      <c r="DWU203" s="21"/>
      <c r="DWV203" s="21"/>
      <c r="DWW203" s="21"/>
      <c r="DWX203" s="21"/>
      <c r="DWY203" s="21"/>
      <c r="DWZ203" s="21"/>
      <c r="DXA203" s="21"/>
      <c r="DXB203" s="21"/>
      <c r="DXC203" s="21"/>
      <c r="DXD203" s="21"/>
      <c r="DXE203" s="21"/>
      <c r="DXF203" s="21"/>
      <c r="DXG203" s="21"/>
      <c r="DXH203" s="21"/>
      <c r="DXI203" s="21"/>
      <c r="DXJ203" s="21"/>
      <c r="DXK203" s="21"/>
      <c r="DXL203" s="21"/>
      <c r="DXM203" s="21"/>
      <c r="DXN203" s="21"/>
      <c r="DXO203" s="21"/>
      <c r="DXP203" s="21"/>
      <c r="DXQ203" s="21"/>
      <c r="DXR203" s="21"/>
      <c r="DXS203" s="21"/>
      <c r="DXT203" s="21"/>
      <c r="DXU203" s="21"/>
      <c r="DXV203" s="21"/>
      <c r="DXW203" s="21"/>
      <c r="DXX203" s="21"/>
      <c r="DXY203" s="21"/>
      <c r="DXZ203" s="21"/>
      <c r="DYA203" s="21"/>
      <c r="DYB203" s="21"/>
      <c r="DYC203" s="21"/>
      <c r="DYD203" s="21"/>
      <c r="DYE203" s="21"/>
      <c r="DYF203" s="21"/>
      <c r="DYG203" s="21"/>
      <c r="DYH203" s="21"/>
      <c r="DYI203" s="21"/>
      <c r="DYJ203" s="21"/>
      <c r="DYK203" s="21"/>
      <c r="DYL203" s="21"/>
      <c r="DYM203" s="21"/>
      <c r="DYN203" s="21"/>
      <c r="DYO203" s="21"/>
      <c r="DYP203" s="21"/>
      <c r="DYQ203" s="21"/>
      <c r="DYR203" s="21"/>
      <c r="DYS203" s="21"/>
      <c r="DYT203" s="21"/>
      <c r="DYU203" s="21"/>
      <c r="DYV203" s="21"/>
      <c r="DYW203" s="21"/>
      <c r="DYX203" s="21"/>
      <c r="DYY203" s="21"/>
      <c r="DYZ203" s="21"/>
      <c r="DZA203" s="21"/>
      <c r="DZB203" s="21"/>
      <c r="DZC203" s="21"/>
      <c r="DZD203" s="21"/>
      <c r="DZE203" s="21"/>
      <c r="DZF203" s="21"/>
      <c r="DZG203" s="21"/>
      <c r="DZH203" s="21"/>
      <c r="DZI203" s="21"/>
      <c r="DZJ203" s="21"/>
      <c r="DZK203" s="21"/>
      <c r="DZL203" s="21"/>
      <c r="DZM203" s="21"/>
      <c r="DZN203" s="21"/>
      <c r="DZO203" s="21"/>
      <c r="DZP203" s="21"/>
      <c r="DZQ203" s="21"/>
      <c r="DZR203" s="21"/>
      <c r="DZS203" s="21"/>
      <c r="DZT203" s="21"/>
      <c r="DZU203" s="21"/>
      <c r="DZV203" s="21"/>
      <c r="DZW203" s="21"/>
      <c r="DZX203" s="21"/>
      <c r="DZY203" s="21"/>
      <c r="DZZ203" s="21"/>
      <c r="EAA203" s="21"/>
      <c r="EAB203" s="21"/>
      <c r="EAC203" s="21"/>
      <c r="EAD203" s="21"/>
      <c r="EAE203" s="21"/>
      <c r="EAF203" s="21"/>
      <c r="EAG203" s="21"/>
      <c r="EAH203" s="21"/>
      <c r="EAI203" s="21"/>
      <c r="EAJ203" s="21"/>
      <c r="EAK203" s="21"/>
      <c r="EAL203" s="21"/>
      <c r="EAM203" s="21"/>
      <c r="EAN203" s="21"/>
      <c r="EAO203" s="21"/>
      <c r="EAP203" s="21"/>
      <c r="EAQ203" s="21"/>
      <c r="EAR203" s="21"/>
      <c r="EAS203" s="21"/>
      <c r="EAT203" s="21"/>
      <c r="EAU203" s="21"/>
      <c r="EAV203" s="21"/>
      <c r="EAW203" s="21"/>
      <c r="EAX203" s="21"/>
      <c r="EAY203" s="21"/>
      <c r="EAZ203" s="21"/>
      <c r="EBA203" s="21"/>
      <c r="EBB203" s="21"/>
      <c r="EBC203" s="21"/>
      <c r="EBD203" s="21"/>
      <c r="EBE203" s="21"/>
      <c r="EBF203" s="21"/>
      <c r="EBG203" s="21"/>
      <c r="EBH203" s="21"/>
      <c r="EBI203" s="21"/>
      <c r="EBJ203" s="21"/>
      <c r="EBK203" s="21"/>
      <c r="EBL203" s="21"/>
      <c r="EBM203" s="21"/>
      <c r="EBN203" s="21"/>
      <c r="EBO203" s="21"/>
      <c r="EBP203" s="21"/>
      <c r="EBQ203" s="21"/>
      <c r="EBR203" s="21"/>
      <c r="EBS203" s="21"/>
      <c r="EBT203" s="21"/>
      <c r="EBU203" s="21"/>
      <c r="EBV203" s="21"/>
      <c r="EBW203" s="21"/>
      <c r="EBX203" s="21"/>
      <c r="EBY203" s="21"/>
      <c r="EBZ203" s="21"/>
      <c r="ECA203" s="21"/>
      <c r="ECB203" s="21"/>
      <c r="ECC203" s="21"/>
      <c r="ECD203" s="21"/>
      <c r="ECE203" s="21"/>
      <c r="ECF203" s="21"/>
      <c r="ECG203" s="21"/>
      <c r="ECH203" s="21"/>
      <c r="ECI203" s="21"/>
      <c r="ECJ203" s="21"/>
      <c r="ECK203" s="21"/>
      <c r="ECL203" s="21"/>
      <c r="ECM203" s="21"/>
      <c r="ECN203" s="21"/>
      <c r="ECO203" s="21"/>
      <c r="ECP203" s="21"/>
      <c r="ECQ203" s="21"/>
      <c r="ECR203" s="21"/>
      <c r="ECS203" s="21"/>
      <c r="ECT203" s="21"/>
      <c r="ECU203" s="21"/>
      <c r="ECV203" s="21"/>
      <c r="ECW203" s="21"/>
      <c r="ECX203" s="21"/>
      <c r="ECY203" s="21"/>
      <c r="ECZ203" s="21"/>
      <c r="EDA203" s="21"/>
      <c r="EDB203" s="21"/>
      <c r="EDC203" s="21"/>
      <c r="EDD203" s="21"/>
      <c r="EDE203" s="21"/>
      <c r="EDF203" s="21"/>
      <c r="EDG203" s="21"/>
      <c r="EDH203" s="21"/>
      <c r="EDI203" s="21"/>
      <c r="EDJ203" s="21"/>
      <c r="EDK203" s="21"/>
      <c r="EDL203" s="21"/>
      <c r="EDM203" s="21"/>
      <c r="EDN203" s="21"/>
      <c r="EDO203" s="21"/>
      <c r="EDP203" s="21"/>
      <c r="EDQ203" s="21"/>
      <c r="EDR203" s="21"/>
      <c r="EDS203" s="21"/>
      <c r="EDT203" s="21"/>
      <c r="EDU203" s="21"/>
      <c r="EDV203" s="21"/>
      <c r="EDW203" s="21"/>
      <c r="EDX203" s="21"/>
      <c r="EDY203" s="21"/>
      <c r="EDZ203" s="21"/>
      <c r="EEA203" s="21"/>
      <c r="EEB203" s="21"/>
      <c r="EEC203" s="21"/>
      <c r="EED203" s="21"/>
      <c r="EEE203" s="21"/>
      <c r="EEF203" s="21"/>
      <c r="EEG203" s="21"/>
      <c r="EEH203" s="21"/>
      <c r="EEI203" s="21"/>
      <c r="EEJ203" s="21"/>
      <c r="EEK203" s="21"/>
      <c r="EEL203" s="21"/>
      <c r="EEM203" s="21"/>
      <c r="EEN203" s="21"/>
      <c r="EEO203" s="21"/>
      <c r="EEP203" s="21"/>
      <c r="EEQ203" s="21"/>
      <c r="EER203" s="21"/>
      <c r="EES203" s="21"/>
      <c r="EET203" s="21"/>
      <c r="EEU203" s="21"/>
      <c r="EEV203" s="21"/>
      <c r="EEW203" s="21"/>
      <c r="EEX203" s="21"/>
      <c r="EEY203" s="21"/>
      <c r="EEZ203" s="21"/>
      <c r="EFA203" s="21"/>
      <c r="EFB203" s="21"/>
      <c r="EFC203" s="21"/>
      <c r="EFD203" s="21"/>
      <c r="EFE203" s="21"/>
      <c r="EFF203" s="21"/>
      <c r="EFG203" s="21"/>
      <c r="EFH203" s="21"/>
      <c r="EFI203" s="21"/>
      <c r="EFJ203" s="21"/>
      <c r="EFK203" s="21"/>
      <c r="EFL203" s="21"/>
      <c r="EFM203" s="21"/>
      <c r="EFN203" s="21"/>
      <c r="EFO203" s="21"/>
      <c r="EFP203" s="21"/>
      <c r="EFQ203" s="21"/>
      <c r="EFR203" s="21"/>
      <c r="EFS203" s="21"/>
      <c r="EFT203" s="21"/>
      <c r="EFU203" s="21"/>
      <c r="EFV203" s="21"/>
      <c r="EFW203" s="21"/>
      <c r="EFX203" s="21"/>
      <c r="EFY203" s="21"/>
      <c r="EFZ203" s="21"/>
      <c r="EGA203" s="21"/>
      <c r="EGB203" s="21"/>
      <c r="EGC203" s="21"/>
      <c r="EGD203" s="21"/>
      <c r="EGE203" s="21"/>
      <c r="EGF203" s="21"/>
      <c r="EGG203" s="21"/>
      <c r="EGH203" s="21"/>
      <c r="EGI203" s="21"/>
      <c r="EGJ203" s="21"/>
      <c r="EGK203" s="21"/>
      <c r="EGL203" s="21"/>
      <c r="EGM203" s="21"/>
      <c r="EGN203" s="21"/>
      <c r="EGO203" s="21"/>
      <c r="EGP203" s="21"/>
      <c r="EGQ203" s="21"/>
      <c r="EGR203" s="21"/>
      <c r="EGS203" s="21"/>
      <c r="EGT203" s="21"/>
      <c r="EGU203" s="21"/>
      <c r="EGV203" s="21"/>
      <c r="EGW203" s="21"/>
      <c r="EGX203" s="21"/>
      <c r="EGY203" s="21"/>
      <c r="EGZ203" s="21"/>
      <c r="EHA203" s="21"/>
      <c r="EHB203" s="21"/>
      <c r="EHC203" s="21"/>
      <c r="EHD203" s="21"/>
      <c r="EHE203" s="21"/>
      <c r="EHF203" s="21"/>
      <c r="EHG203" s="21"/>
      <c r="EHH203" s="21"/>
      <c r="EHI203" s="21"/>
      <c r="EHJ203" s="21"/>
      <c r="EHK203" s="21"/>
      <c r="EHL203" s="21"/>
      <c r="EHM203" s="21"/>
      <c r="EHN203" s="21"/>
      <c r="EHO203" s="21"/>
      <c r="EHP203" s="21"/>
      <c r="EHQ203" s="21"/>
      <c r="EHR203" s="21"/>
      <c r="EHS203" s="21"/>
      <c r="EHT203" s="21"/>
      <c r="EHU203" s="21"/>
      <c r="EHV203" s="21"/>
      <c r="EHW203" s="21"/>
      <c r="EHX203" s="21"/>
      <c r="EHY203" s="21"/>
      <c r="EHZ203" s="21"/>
      <c r="EIA203" s="21"/>
      <c r="EIB203" s="21"/>
      <c r="EIC203" s="21"/>
      <c r="EID203" s="21"/>
      <c r="EIE203" s="21"/>
      <c r="EIF203" s="21"/>
      <c r="EIG203" s="21"/>
      <c r="EIH203" s="21"/>
      <c r="EII203" s="21"/>
      <c r="EIJ203" s="21"/>
      <c r="EIK203" s="21"/>
      <c r="EIL203" s="21"/>
      <c r="EIM203" s="21"/>
      <c r="EIN203" s="21"/>
      <c r="EIO203" s="21"/>
      <c r="EIP203" s="21"/>
      <c r="EIQ203" s="21"/>
      <c r="EIR203" s="21"/>
      <c r="EIS203" s="21"/>
      <c r="EIT203" s="21"/>
      <c r="EIU203" s="21"/>
      <c r="EIV203" s="21"/>
      <c r="EIW203" s="21"/>
      <c r="EIX203" s="21"/>
      <c r="EIY203" s="21"/>
      <c r="EIZ203" s="21"/>
      <c r="EJA203" s="21"/>
      <c r="EJB203" s="21"/>
      <c r="EJC203" s="21"/>
      <c r="EJD203" s="21"/>
      <c r="EJE203" s="21"/>
      <c r="EJF203" s="21"/>
      <c r="EJG203" s="21"/>
      <c r="EJH203" s="21"/>
      <c r="EJI203" s="21"/>
      <c r="EJJ203" s="21"/>
      <c r="EJK203" s="21"/>
      <c r="EJL203" s="21"/>
      <c r="EJM203" s="21"/>
      <c r="EJN203" s="21"/>
      <c r="EJO203" s="21"/>
      <c r="EJP203" s="21"/>
      <c r="EJQ203" s="21"/>
      <c r="EJR203" s="21"/>
      <c r="EJS203" s="21"/>
      <c r="EJT203" s="21"/>
      <c r="EJU203" s="21"/>
      <c r="EJV203" s="21"/>
      <c r="EJW203" s="21"/>
      <c r="EJX203" s="21"/>
      <c r="EJY203" s="21"/>
      <c r="EJZ203" s="21"/>
      <c r="EKA203" s="21"/>
      <c r="EKB203" s="21"/>
      <c r="EKC203" s="21"/>
      <c r="EKD203" s="21"/>
      <c r="EKE203" s="21"/>
      <c r="EKF203" s="21"/>
      <c r="EKG203" s="21"/>
      <c r="EKH203" s="21"/>
      <c r="EKI203" s="21"/>
      <c r="EKJ203" s="21"/>
      <c r="EKK203" s="21"/>
      <c r="EKL203" s="21"/>
      <c r="EKM203" s="21"/>
      <c r="EKN203" s="21"/>
      <c r="EKO203" s="21"/>
      <c r="EKP203" s="21"/>
      <c r="EKQ203" s="21"/>
      <c r="EKR203" s="21"/>
      <c r="EKS203" s="21"/>
      <c r="EKT203" s="21"/>
      <c r="EKU203" s="21"/>
      <c r="EKV203" s="21"/>
      <c r="EKW203" s="21"/>
      <c r="EKX203" s="21"/>
      <c r="EKY203" s="21"/>
      <c r="EKZ203" s="21"/>
      <c r="ELA203" s="21"/>
      <c r="ELB203" s="21"/>
      <c r="ELC203" s="21"/>
      <c r="ELD203" s="21"/>
      <c r="ELE203" s="21"/>
      <c r="ELF203" s="21"/>
      <c r="ELG203" s="21"/>
      <c r="ELH203" s="21"/>
      <c r="ELI203" s="21"/>
      <c r="ELJ203" s="21"/>
      <c r="ELK203" s="21"/>
      <c r="ELL203" s="21"/>
      <c r="ELM203" s="21"/>
      <c r="ELN203" s="21"/>
      <c r="ELO203" s="21"/>
      <c r="ELP203" s="21"/>
      <c r="ELQ203" s="21"/>
      <c r="ELR203" s="21"/>
      <c r="ELS203" s="21"/>
      <c r="ELT203" s="21"/>
      <c r="ELU203" s="21"/>
      <c r="ELV203" s="21"/>
      <c r="ELW203" s="21"/>
      <c r="ELX203" s="21"/>
      <c r="ELY203" s="21"/>
      <c r="ELZ203" s="21"/>
      <c r="EMA203" s="21"/>
      <c r="EMB203" s="21"/>
      <c r="EMC203" s="21"/>
      <c r="EMD203" s="21"/>
      <c r="EME203" s="21"/>
      <c r="EMF203" s="21"/>
      <c r="EMG203" s="21"/>
      <c r="EMH203" s="21"/>
      <c r="EMI203" s="21"/>
      <c r="EMJ203" s="21"/>
      <c r="EMK203" s="21"/>
      <c r="EML203" s="21"/>
      <c r="EMM203" s="21"/>
      <c r="EMN203" s="21"/>
      <c r="EMO203" s="21"/>
      <c r="EMP203" s="21"/>
      <c r="EMQ203" s="21"/>
      <c r="EMR203" s="21"/>
      <c r="EMS203" s="21"/>
      <c r="EMT203" s="21"/>
      <c r="EMU203" s="21"/>
      <c r="EMV203" s="21"/>
      <c r="EMW203" s="21"/>
      <c r="EMX203" s="21"/>
      <c r="EMY203" s="21"/>
      <c r="EMZ203" s="21"/>
      <c r="ENA203" s="21"/>
      <c r="ENB203" s="21"/>
      <c r="ENC203" s="21"/>
      <c r="END203" s="21"/>
      <c r="ENE203" s="21"/>
      <c r="ENF203" s="21"/>
      <c r="ENG203" s="21"/>
      <c r="ENH203" s="21"/>
      <c r="ENI203" s="21"/>
      <c r="ENJ203" s="21"/>
      <c r="ENK203" s="21"/>
      <c r="ENL203" s="21"/>
      <c r="ENM203" s="21"/>
      <c r="ENN203" s="21"/>
      <c r="ENO203" s="21"/>
      <c r="ENP203" s="21"/>
      <c r="ENQ203" s="21"/>
      <c r="ENR203" s="21"/>
      <c r="ENS203" s="21"/>
      <c r="ENT203" s="21"/>
      <c r="ENU203" s="21"/>
      <c r="ENV203" s="21"/>
      <c r="ENW203" s="21"/>
      <c r="ENX203" s="21"/>
      <c r="ENY203" s="21"/>
      <c r="ENZ203" s="21"/>
      <c r="EOA203" s="21"/>
      <c r="EOB203" s="21"/>
      <c r="EOC203" s="21"/>
      <c r="EOD203" s="21"/>
      <c r="EOE203" s="21"/>
      <c r="EOF203" s="21"/>
      <c r="EOG203" s="21"/>
      <c r="EOH203" s="21"/>
      <c r="EOI203" s="21"/>
      <c r="EOJ203" s="21"/>
      <c r="EOK203" s="21"/>
      <c r="EOL203" s="21"/>
      <c r="EOM203" s="21"/>
      <c r="EON203" s="21"/>
      <c r="EOO203" s="21"/>
      <c r="EOP203" s="21"/>
      <c r="EOQ203" s="21"/>
      <c r="EOR203" s="21"/>
      <c r="EOS203" s="21"/>
      <c r="EOT203" s="21"/>
      <c r="EOU203" s="21"/>
      <c r="EOV203" s="21"/>
      <c r="EOW203" s="21"/>
      <c r="EOX203" s="21"/>
      <c r="EOY203" s="21"/>
      <c r="EOZ203" s="21"/>
      <c r="EPA203" s="21"/>
      <c r="EPB203" s="21"/>
      <c r="EPC203" s="21"/>
      <c r="EPD203" s="21"/>
      <c r="EPE203" s="21"/>
      <c r="EPF203" s="21"/>
      <c r="EPG203" s="21"/>
      <c r="EPH203" s="21"/>
      <c r="EPI203" s="21"/>
      <c r="EPJ203" s="21"/>
      <c r="EPK203" s="21"/>
      <c r="EPL203" s="21"/>
      <c r="EPM203" s="21"/>
      <c r="EPN203" s="21"/>
      <c r="EPO203" s="21"/>
      <c r="EPP203" s="21"/>
      <c r="EPQ203" s="21"/>
      <c r="EPR203" s="21"/>
      <c r="EPS203" s="21"/>
      <c r="EPT203" s="21"/>
      <c r="EPU203" s="21"/>
      <c r="EPV203" s="21"/>
      <c r="EPW203" s="21"/>
      <c r="EPX203" s="21"/>
      <c r="EPY203" s="21"/>
      <c r="EPZ203" s="21"/>
      <c r="EQA203" s="21"/>
      <c r="EQB203" s="21"/>
      <c r="EQC203" s="21"/>
      <c r="EQD203" s="21"/>
      <c r="EQE203" s="21"/>
      <c r="EQF203" s="21"/>
      <c r="EQG203" s="21"/>
      <c r="EQH203" s="21"/>
      <c r="EQI203" s="21"/>
      <c r="EQJ203" s="21"/>
      <c r="EQK203" s="21"/>
      <c r="EQL203" s="21"/>
      <c r="EQM203" s="21"/>
      <c r="EQN203" s="21"/>
      <c r="EQO203" s="21"/>
      <c r="EQP203" s="21"/>
      <c r="EQQ203" s="21"/>
      <c r="EQR203" s="21"/>
      <c r="EQS203" s="21"/>
      <c r="EQT203" s="21"/>
      <c r="EQU203" s="21"/>
      <c r="EQV203" s="21"/>
      <c r="EQW203" s="21"/>
      <c r="EQX203" s="21"/>
      <c r="EQY203" s="21"/>
      <c r="EQZ203" s="21"/>
      <c r="ERA203" s="21"/>
      <c r="ERB203" s="21"/>
      <c r="ERC203" s="21"/>
      <c r="ERD203" s="21"/>
      <c r="ERE203" s="21"/>
      <c r="ERF203" s="21"/>
      <c r="ERG203" s="21"/>
      <c r="ERH203" s="21"/>
      <c r="ERI203" s="21"/>
      <c r="ERJ203" s="21"/>
      <c r="ERK203" s="21"/>
      <c r="ERL203" s="21"/>
      <c r="ERM203" s="21"/>
      <c r="ERN203" s="21"/>
      <c r="ERO203" s="21"/>
      <c r="ERP203" s="21"/>
      <c r="ERQ203" s="21"/>
      <c r="ERR203" s="21"/>
      <c r="ERS203" s="21"/>
      <c r="ERT203" s="21"/>
      <c r="ERU203" s="21"/>
      <c r="ERV203" s="21"/>
      <c r="ERW203" s="21"/>
      <c r="ERX203" s="21"/>
      <c r="ERY203" s="21"/>
      <c r="ERZ203" s="21"/>
      <c r="ESA203" s="21"/>
      <c r="ESB203" s="21"/>
      <c r="ESC203" s="21"/>
      <c r="ESD203" s="21"/>
      <c r="ESE203" s="21"/>
      <c r="ESF203" s="21"/>
      <c r="ESG203" s="21"/>
      <c r="ESH203" s="21"/>
      <c r="ESI203" s="21"/>
      <c r="ESJ203" s="21"/>
      <c r="ESK203" s="21"/>
      <c r="ESL203" s="21"/>
      <c r="ESM203" s="21"/>
      <c r="ESN203" s="21"/>
      <c r="ESO203" s="21"/>
      <c r="ESP203" s="21"/>
      <c r="ESQ203" s="21"/>
      <c r="ESR203" s="21"/>
      <c r="ESS203" s="21"/>
      <c r="EST203" s="21"/>
      <c r="ESU203" s="21"/>
      <c r="ESV203" s="21"/>
      <c r="ESW203" s="21"/>
      <c r="ESX203" s="21"/>
      <c r="ESY203" s="21"/>
      <c r="ESZ203" s="21"/>
      <c r="ETA203" s="21"/>
      <c r="ETB203" s="21"/>
      <c r="ETC203" s="21"/>
      <c r="ETD203" s="21"/>
      <c r="ETE203" s="21"/>
      <c r="ETF203" s="21"/>
      <c r="ETG203" s="21"/>
      <c r="ETH203" s="21"/>
      <c r="ETI203" s="21"/>
      <c r="ETJ203" s="21"/>
      <c r="ETK203" s="21"/>
      <c r="ETL203" s="21"/>
      <c r="ETM203" s="21"/>
      <c r="ETN203" s="21"/>
      <c r="ETO203" s="21"/>
      <c r="ETP203" s="21"/>
      <c r="ETQ203" s="21"/>
      <c r="ETR203" s="21"/>
      <c r="ETS203" s="21"/>
      <c r="ETT203" s="21"/>
      <c r="ETU203" s="21"/>
      <c r="ETV203" s="21"/>
      <c r="ETW203" s="21"/>
      <c r="ETX203" s="21"/>
      <c r="ETY203" s="21"/>
      <c r="ETZ203" s="21"/>
      <c r="EUA203" s="21"/>
      <c r="EUB203" s="21"/>
      <c r="EUC203" s="21"/>
      <c r="EUD203" s="21"/>
      <c r="EUE203" s="21"/>
      <c r="EUF203" s="21"/>
      <c r="EUG203" s="21"/>
      <c r="EUH203" s="21"/>
      <c r="EUI203" s="21"/>
      <c r="EUJ203" s="21"/>
      <c r="EUK203" s="21"/>
      <c r="EUL203" s="21"/>
      <c r="EUM203" s="21"/>
      <c r="EUN203" s="21"/>
      <c r="EUO203" s="21"/>
      <c r="EUP203" s="21"/>
      <c r="EUQ203" s="21"/>
      <c r="EUR203" s="21"/>
      <c r="EUS203" s="21"/>
      <c r="EUT203" s="21"/>
      <c r="EUU203" s="21"/>
      <c r="EUV203" s="21"/>
      <c r="EUW203" s="21"/>
      <c r="EUX203" s="21"/>
      <c r="EUY203" s="21"/>
      <c r="EUZ203" s="21"/>
      <c r="EVA203" s="21"/>
      <c r="EVB203" s="21"/>
      <c r="EVC203" s="21"/>
      <c r="EVD203" s="21"/>
      <c r="EVE203" s="21"/>
      <c r="EVF203" s="21"/>
      <c r="EVG203" s="21"/>
      <c r="EVH203" s="21"/>
      <c r="EVI203" s="21"/>
      <c r="EVJ203" s="21"/>
      <c r="EVK203" s="21"/>
      <c r="EVL203" s="21"/>
      <c r="EVM203" s="21"/>
      <c r="EVN203" s="21"/>
      <c r="EVO203" s="21"/>
      <c r="EVP203" s="21"/>
      <c r="EVQ203" s="21"/>
      <c r="EVR203" s="21"/>
      <c r="EVS203" s="21"/>
      <c r="EVT203" s="21"/>
      <c r="EVU203" s="21"/>
      <c r="EVV203" s="21"/>
      <c r="EVW203" s="21"/>
      <c r="EVX203" s="21"/>
      <c r="EVY203" s="21"/>
      <c r="EVZ203" s="21"/>
      <c r="EWA203" s="21"/>
      <c r="EWB203" s="21"/>
      <c r="EWC203" s="21"/>
      <c r="EWD203" s="21"/>
      <c r="EWE203" s="21"/>
      <c r="EWF203" s="21"/>
      <c r="EWG203" s="21"/>
      <c r="EWH203" s="21"/>
      <c r="EWI203" s="21"/>
      <c r="EWJ203" s="21"/>
      <c r="EWK203" s="21"/>
      <c r="EWL203" s="21"/>
      <c r="EWM203" s="21"/>
      <c r="EWN203" s="21"/>
      <c r="EWO203" s="21"/>
      <c r="EWP203" s="21"/>
      <c r="EWQ203" s="21"/>
      <c r="EWR203" s="21"/>
      <c r="EWS203" s="21"/>
      <c r="EWT203" s="21"/>
      <c r="EWU203" s="21"/>
      <c r="EWV203" s="21"/>
      <c r="EWW203" s="21"/>
      <c r="EWX203" s="21"/>
      <c r="EWY203" s="21"/>
      <c r="EWZ203" s="21"/>
      <c r="EXA203" s="21"/>
      <c r="EXB203" s="21"/>
      <c r="EXC203" s="21"/>
      <c r="EXD203" s="21"/>
      <c r="EXE203" s="21"/>
      <c r="EXF203" s="21"/>
      <c r="EXG203" s="21"/>
      <c r="EXH203" s="21"/>
      <c r="EXI203" s="21"/>
      <c r="EXJ203" s="21"/>
      <c r="EXK203" s="21"/>
      <c r="EXL203" s="21"/>
      <c r="EXM203" s="21"/>
      <c r="EXN203" s="21"/>
      <c r="EXO203" s="21"/>
      <c r="EXP203" s="21"/>
      <c r="EXQ203" s="21"/>
      <c r="EXR203" s="21"/>
      <c r="EXS203" s="21"/>
      <c r="EXT203" s="21"/>
      <c r="EXU203" s="21"/>
      <c r="EXV203" s="21"/>
      <c r="EXW203" s="21"/>
      <c r="EXX203" s="21"/>
      <c r="EXY203" s="21"/>
      <c r="EXZ203" s="21"/>
      <c r="EYA203" s="21"/>
      <c r="EYB203" s="21"/>
      <c r="EYC203" s="21"/>
      <c r="EYD203" s="21"/>
      <c r="EYE203" s="21"/>
      <c r="EYF203" s="21"/>
      <c r="EYG203" s="21"/>
      <c r="EYH203" s="21"/>
      <c r="EYI203" s="21"/>
      <c r="EYJ203" s="21"/>
      <c r="EYK203" s="21"/>
      <c r="EYL203" s="21"/>
      <c r="EYM203" s="21"/>
      <c r="EYN203" s="21"/>
      <c r="EYO203" s="21"/>
      <c r="EYP203" s="21"/>
      <c r="EYQ203" s="21"/>
      <c r="EYR203" s="21"/>
      <c r="EYS203" s="21"/>
      <c r="EYT203" s="21"/>
      <c r="EYU203" s="21"/>
      <c r="EYV203" s="21"/>
      <c r="EYW203" s="21"/>
      <c r="EYX203" s="21"/>
      <c r="EYY203" s="21"/>
      <c r="EYZ203" s="21"/>
      <c r="EZA203" s="21"/>
      <c r="EZB203" s="21"/>
      <c r="EZC203" s="21"/>
      <c r="EZD203" s="21"/>
      <c r="EZE203" s="21"/>
      <c r="EZF203" s="21"/>
      <c r="EZG203" s="21"/>
      <c r="EZH203" s="21"/>
      <c r="EZI203" s="21"/>
      <c r="EZJ203" s="21"/>
      <c r="EZK203" s="21"/>
      <c r="EZL203" s="21"/>
      <c r="EZM203" s="21"/>
      <c r="EZN203" s="21"/>
      <c r="EZO203" s="21"/>
      <c r="EZP203" s="21"/>
      <c r="EZQ203" s="21"/>
      <c r="EZR203" s="21"/>
      <c r="EZS203" s="21"/>
      <c r="EZT203" s="21"/>
      <c r="EZU203" s="21"/>
      <c r="EZV203" s="21"/>
      <c r="EZW203" s="21"/>
      <c r="EZX203" s="21"/>
      <c r="EZY203" s="21"/>
      <c r="EZZ203" s="21"/>
      <c r="FAA203" s="21"/>
      <c r="FAB203" s="21"/>
      <c r="FAC203" s="21"/>
      <c r="FAD203" s="21"/>
      <c r="FAE203" s="21"/>
      <c r="FAF203" s="21"/>
      <c r="FAG203" s="21"/>
      <c r="FAH203" s="21"/>
      <c r="FAI203" s="21"/>
      <c r="FAJ203" s="21"/>
      <c r="FAK203" s="21"/>
      <c r="FAL203" s="21"/>
      <c r="FAM203" s="21"/>
      <c r="FAN203" s="21"/>
      <c r="FAO203" s="21"/>
      <c r="FAP203" s="21"/>
      <c r="FAQ203" s="21"/>
      <c r="FAR203" s="21"/>
      <c r="FAS203" s="21"/>
      <c r="FAT203" s="21"/>
      <c r="FAU203" s="21"/>
      <c r="FAV203" s="21"/>
      <c r="FAW203" s="21"/>
      <c r="FAX203" s="21"/>
      <c r="FAY203" s="21"/>
      <c r="FAZ203" s="21"/>
      <c r="FBA203" s="21"/>
      <c r="FBB203" s="21"/>
      <c r="FBC203" s="21"/>
      <c r="FBD203" s="21"/>
      <c r="FBE203" s="21"/>
      <c r="FBF203" s="21"/>
      <c r="FBG203" s="21"/>
      <c r="FBH203" s="21"/>
      <c r="FBI203" s="21"/>
      <c r="FBJ203" s="21"/>
      <c r="FBK203" s="21"/>
      <c r="FBL203" s="21"/>
      <c r="FBM203" s="21"/>
      <c r="FBN203" s="21"/>
      <c r="FBO203" s="21"/>
      <c r="FBP203" s="21"/>
      <c r="FBQ203" s="21"/>
      <c r="FBR203" s="21"/>
      <c r="FBS203" s="21"/>
      <c r="FBT203" s="21"/>
      <c r="FBU203" s="21"/>
      <c r="FBV203" s="21"/>
      <c r="FBW203" s="21"/>
      <c r="FBX203" s="21"/>
      <c r="FBY203" s="21"/>
      <c r="FBZ203" s="21"/>
      <c r="FCA203" s="21"/>
      <c r="FCB203" s="21"/>
      <c r="FCC203" s="21"/>
      <c r="FCD203" s="21"/>
      <c r="FCE203" s="21"/>
      <c r="FCF203" s="21"/>
      <c r="FCG203" s="21"/>
      <c r="FCH203" s="21"/>
      <c r="FCI203" s="21"/>
      <c r="FCJ203" s="21"/>
      <c r="FCK203" s="21"/>
      <c r="FCL203" s="21"/>
      <c r="FCM203" s="21"/>
      <c r="FCN203" s="21"/>
      <c r="FCO203" s="21"/>
      <c r="FCP203" s="21"/>
      <c r="FCQ203" s="21"/>
      <c r="FCR203" s="21"/>
      <c r="FCS203" s="21"/>
      <c r="FCT203" s="21"/>
      <c r="FCU203" s="21"/>
      <c r="FCV203" s="21"/>
      <c r="FCW203" s="21"/>
      <c r="FCX203" s="21"/>
      <c r="FCY203" s="21"/>
      <c r="FCZ203" s="21"/>
      <c r="FDA203" s="21"/>
      <c r="FDB203" s="21"/>
      <c r="FDC203" s="21"/>
      <c r="FDD203" s="21"/>
      <c r="FDE203" s="21"/>
      <c r="FDF203" s="21"/>
      <c r="FDG203" s="21"/>
      <c r="FDH203" s="21"/>
      <c r="FDI203" s="21"/>
      <c r="FDJ203" s="21"/>
      <c r="FDK203" s="21"/>
      <c r="FDL203" s="21"/>
      <c r="FDM203" s="21"/>
      <c r="FDN203" s="21"/>
      <c r="FDO203" s="21"/>
      <c r="FDP203" s="21"/>
      <c r="FDQ203" s="21"/>
      <c r="FDR203" s="21"/>
      <c r="FDS203" s="21"/>
      <c r="FDT203" s="21"/>
      <c r="FDU203" s="21"/>
      <c r="FDV203" s="21"/>
      <c r="FDW203" s="21"/>
      <c r="FDX203" s="21"/>
      <c r="FDY203" s="21"/>
      <c r="FDZ203" s="21"/>
      <c r="FEA203" s="21"/>
      <c r="FEB203" s="21"/>
      <c r="FEC203" s="21"/>
      <c r="FED203" s="21"/>
      <c r="FEE203" s="21"/>
      <c r="FEF203" s="21"/>
      <c r="FEG203" s="21"/>
      <c r="FEH203" s="21"/>
      <c r="FEI203" s="21"/>
      <c r="FEJ203" s="21"/>
      <c r="FEK203" s="21"/>
      <c r="FEL203" s="21"/>
      <c r="FEM203" s="21"/>
      <c r="FEN203" s="21"/>
      <c r="FEO203" s="21"/>
      <c r="FEP203" s="21"/>
      <c r="FEQ203" s="21"/>
      <c r="FER203" s="21"/>
      <c r="FES203" s="21"/>
      <c r="FET203" s="21"/>
      <c r="FEU203" s="21"/>
      <c r="FEV203" s="21"/>
      <c r="FEW203" s="21"/>
      <c r="FEX203" s="21"/>
      <c r="FEY203" s="21"/>
      <c r="FEZ203" s="21"/>
      <c r="FFA203" s="21"/>
      <c r="FFB203" s="21"/>
      <c r="FFC203" s="21"/>
      <c r="FFD203" s="21"/>
      <c r="FFE203" s="21"/>
      <c r="FFF203" s="21"/>
      <c r="FFG203" s="21"/>
      <c r="FFH203" s="21"/>
      <c r="FFI203" s="21"/>
      <c r="FFJ203" s="21"/>
      <c r="FFK203" s="21"/>
      <c r="FFL203" s="21"/>
      <c r="FFM203" s="21"/>
      <c r="FFN203" s="21"/>
      <c r="FFO203" s="21"/>
      <c r="FFP203" s="21"/>
      <c r="FFQ203" s="21"/>
      <c r="FFR203" s="21"/>
      <c r="FFS203" s="21"/>
      <c r="FFT203" s="21"/>
      <c r="FFU203" s="21"/>
      <c r="FFV203" s="21"/>
      <c r="FFW203" s="21"/>
      <c r="FFX203" s="21"/>
      <c r="FFY203" s="21"/>
      <c r="FFZ203" s="21"/>
      <c r="FGA203" s="21"/>
      <c r="FGB203" s="21"/>
      <c r="FGC203" s="21"/>
      <c r="FGD203" s="21"/>
      <c r="FGE203" s="21"/>
      <c r="FGF203" s="21"/>
      <c r="FGG203" s="21"/>
      <c r="FGH203" s="21"/>
      <c r="FGI203" s="21"/>
      <c r="FGJ203" s="21"/>
      <c r="FGK203" s="21"/>
      <c r="FGL203" s="21"/>
      <c r="FGM203" s="21"/>
      <c r="FGN203" s="21"/>
      <c r="FGO203" s="21"/>
      <c r="FGP203" s="21"/>
      <c r="FGQ203" s="21"/>
      <c r="FGR203" s="21"/>
      <c r="FGS203" s="21"/>
      <c r="FGT203" s="21"/>
      <c r="FGU203" s="21"/>
      <c r="FGV203" s="21"/>
      <c r="FGW203" s="21"/>
      <c r="FGX203" s="21"/>
      <c r="FGY203" s="21"/>
      <c r="FGZ203" s="21"/>
      <c r="FHA203" s="21"/>
      <c r="FHB203" s="21"/>
      <c r="FHC203" s="21"/>
      <c r="FHD203" s="21"/>
      <c r="FHE203" s="21"/>
      <c r="FHF203" s="21"/>
      <c r="FHG203" s="21"/>
      <c r="FHH203" s="21"/>
      <c r="FHI203" s="21"/>
      <c r="FHJ203" s="21"/>
      <c r="FHK203" s="21"/>
      <c r="FHL203" s="21"/>
      <c r="FHM203" s="21"/>
      <c r="FHN203" s="21"/>
      <c r="FHO203" s="21"/>
      <c r="FHP203" s="21"/>
      <c r="FHQ203" s="21"/>
      <c r="FHR203" s="21"/>
      <c r="FHS203" s="21"/>
      <c r="FHT203" s="21"/>
      <c r="FHU203" s="21"/>
      <c r="FHV203" s="21"/>
      <c r="FHW203" s="21"/>
      <c r="FHX203" s="21"/>
      <c r="FHY203" s="21"/>
      <c r="FHZ203" s="21"/>
      <c r="FIA203" s="21"/>
      <c r="FIB203" s="21"/>
      <c r="FIC203" s="21"/>
      <c r="FID203" s="21"/>
      <c r="FIE203" s="21"/>
      <c r="FIF203" s="21"/>
      <c r="FIG203" s="21"/>
      <c r="FIH203" s="21"/>
      <c r="FII203" s="21"/>
      <c r="FIJ203" s="21"/>
      <c r="FIK203" s="21"/>
      <c r="FIL203" s="21"/>
      <c r="FIM203" s="21"/>
      <c r="FIN203" s="21"/>
      <c r="FIO203" s="21"/>
      <c r="FIP203" s="21"/>
      <c r="FIQ203" s="21"/>
      <c r="FIR203" s="21"/>
      <c r="FIS203" s="21"/>
      <c r="FIT203" s="21"/>
      <c r="FIU203" s="21"/>
      <c r="FIV203" s="21"/>
      <c r="FIW203" s="21"/>
      <c r="FIX203" s="21"/>
      <c r="FIY203" s="21"/>
      <c r="FIZ203" s="21"/>
      <c r="FJA203" s="21"/>
      <c r="FJB203" s="21"/>
      <c r="FJC203" s="21"/>
      <c r="FJD203" s="21"/>
      <c r="FJE203" s="21"/>
      <c r="FJF203" s="21"/>
      <c r="FJG203" s="21"/>
      <c r="FJH203" s="21"/>
      <c r="FJI203" s="21"/>
      <c r="FJJ203" s="21"/>
      <c r="FJK203" s="21"/>
      <c r="FJL203" s="21"/>
      <c r="FJM203" s="21"/>
      <c r="FJN203" s="21"/>
      <c r="FJO203" s="21"/>
      <c r="FJP203" s="21"/>
      <c r="FJQ203" s="21"/>
      <c r="FJR203" s="21"/>
      <c r="FJS203" s="21"/>
      <c r="FJT203" s="21"/>
      <c r="FJU203" s="21"/>
      <c r="FJV203" s="21"/>
      <c r="FJW203" s="21"/>
      <c r="FJX203" s="21"/>
      <c r="FJY203" s="21"/>
      <c r="FJZ203" s="21"/>
      <c r="FKA203" s="21"/>
      <c r="FKB203" s="21"/>
      <c r="FKC203" s="21"/>
      <c r="FKD203" s="21"/>
      <c r="FKE203" s="21"/>
      <c r="FKF203" s="21"/>
      <c r="FKG203" s="21"/>
      <c r="FKH203" s="21"/>
      <c r="FKI203" s="21"/>
      <c r="FKJ203" s="21"/>
      <c r="FKK203" s="21"/>
      <c r="FKL203" s="21"/>
      <c r="FKM203" s="21"/>
      <c r="FKN203" s="21"/>
      <c r="FKO203" s="21"/>
      <c r="FKP203" s="21"/>
      <c r="FKQ203" s="21"/>
      <c r="FKR203" s="21"/>
      <c r="FKS203" s="21"/>
      <c r="FKT203" s="21"/>
      <c r="FKU203" s="21"/>
      <c r="FKV203" s="21"/>
      <c r="FKW203" s="21"/>
      <c r="FKX203" s="21"/>
      <c r="FKY203" s="21"/>
      <c r="FKZ203" s="21"/>
      <c r="FLA203" s="21"/>
      <c r="FLB203" s="21"/>
      <c r="FLC203" s="21"/>
      <c r="FLD203" s="21"/>
      <c r="FLE203" s="21"/>
      <c r="FLF203" s="21"/>
      <c r="FLG203" s="21"/>
      <c r="FLH203" s="21"/>
      <c r="FLI203" s="21"/>
      <c r="FLJ203" s="21"/>
      <c r="FLK203" s="21"/>
      <c r="FLL203" s="21"/>
      <c r="FLM203" s="21"/>
      <c r="FLN203" s="21"/>
      <c r="FLO203" s="21"/>
      <c r="FLP203" s="21"/>
      <c r="FLQ203" s="21"/>
      <c r="FLR203" s="21"/>
      <c r="FLS203" s="21"/>
      <c r="FLT203" s="21"/>
      <c r="FLU203" s="21"/>
      <c r="FLV203" s="21"/>
      <c r="FLW203" s="21"/>
      <c r="FLX203" s="21"/>
      <c r="FLY203" s="21"/>
      <c r="FLZ203" s="21"/>
      <c r="FMA203" s="21"/>
      <c r="FMB203" s="21"/>
      <c r="FMC203" s="21"/>
      <c r="FMD203" s="21"/>
      <c r="FME203" s="21"/>
      <c r="FMF203" s="21"/>
      <c r="FMG203" s="21"/>
      <c r="FMH203" s="21"/>
      <c r="FMI203" s="21"/>
      <c r="FMJ203" s="21"/>
      <c r="FMK203" s="21"/>
      <c r="FML203" s="21"/>
      <c r="FMM203" s="21"/>
      <c r="FMN203" s="21"/>
      <c r="FMO203" s="21"/>
      <c r="FMP203" s="21"/>
      <c r="FMQ203" s="21"/>
      <c r="FMR203" s="21"/>
      <c r="FMS203" s="21"/>
      <c r="FMT203" s="21"/>
      <c r="FMU203" s="21"/>
      <c r="FMV203" s="21"/>
      <c r="FMW203" s="21"/>
      <c r="FMX203" s="21"/>
      <c r="FMY203" s="21"/>
      <c r="FMZ203" s="21"/>
      <c r="FNA203" s="21"/>
      <c r="FNB203" s="21"/>
      <c r="FNC203" s="21"/>
      <c r="FND203" s="21"/>
      <c r="FNE203" s="21"/>
      <c r="FNF203" s="21"/>
      <c r="FNG203" s="21"/>
      <c r="FNH203" s="21"/>
      <c r="FNI203" s="21"/>
      <c r="FNJ203" s="21"/>
      <c r="FNK203" s="21"/>
      <c r="FNL203" s="21"/>
      <c r="FNM203" s="21"/>
      <c r="FNN203" s="21"/>
      <c r="FNO203" s="21"/>
      <c r="FNP203" s="21"/>
      <c r="FNQ203" s="21"/>
      <c r="FNR203" s="21"/>
      <c r="FNS203" s="21"/>
      <c r="FNT203" s="21"/>
      <c r="FNU203" s="21"/>
      <c r="FNV203" s="21"/>
      <c r="FNW203" s="21"/>
      <c r="FNX203" s="21"/>
      <c r="FNY203" s="21"/>
      <c r="FNZ203" s="21"/>
      <c r="FOA203" s="21"/>
      <c r="FOB203" s="21"/>
      <c r="FOC203" s="21"/>
      <c r="FOD203" s="21"/>
      <c r="FOE203" s="21"/>
      <c r="FOF203" s="21"/>
      <c r="FOG203" s="21"/>
      <c r="FOH203" s="21"/>
      <c r="FOI203" s="21"/>
      <c r="FOJ203" s="21"/>
      <c r="FOK203" s="21"/>
      <c r="FOL203" s="21"/>
      <c r="FOM203" s="21"/>
      <c r="FON203" s="21"/>
      <c r="FOO203" s="21"/>
      <c r="FOP203" s="21"/>
      <c r="FOQ203" s="21"/>
      <c r="FOR203" s="21"/>
      <c r="FOS203" s="21"/>
      <c r="FOT203" s="21"/>
      <c r="FOU203" s="21"/>
      <c r="FOV203" s="21"/>
      <c r="FOW203" s="21"/>
      <c r="FOX203" s="21"/>
      <c r="FOY203" s="21"/>
      <c r="FOZ203" s="21"/>
      <c r="FPA203" s="21"/>
      <c r="FPB203" s="21"/>
      <c r="FPC203" s="21"/>
      <c r="FPD203" s="21"/>
      <c r="FPE203" s="21"/>
      <c r="FPF203" s="21"/>
      <c r="FPG203" s="21"/>
      <c r="FPH203" s="21"/>
      <c r="FPI203" s="21"/>
      <c r="FPJ203" s="21"/>
      <c r="FPK203" s="21"/>
      <c r="FPL203" s="21"/>
      <c r="FPM203" s="21"/>
      <c r="FPN203" s="21"/>
      <c r="FPO203" s="21"/>
      <c r="FPP203" s="21"/>
      <c r="FPQ203" s="21"/>
      <c r="FPR203" s="21"/>
      <c r="FPS203" s="21"/>
      <c r="FPT203" s="21"/>
      <c r="FPU203" s="21"/>
      <c r="FPV203" s="21"/>
      <c r="FPW203" s="21"/>
      <c r="FPX203" s="21"/>
      <c r="FPY203" s="21"/>
      <c r="FPZ203" s="21"/>
      <c r="FQA203" s="21"/>
      <c r="FQB203" s="21"/>
      <c r="FQC203" s="21"/>
      <c r="FQD203" s="21"/>
      <c r="FQE203" s="21"/>
      <c r="FQF203" s="21"/>
      <c r="FQG203" s="21"/>
      <c r="FQH203" s="21"/>
      <c r="FQI203" s="21"/>
      <c r="FQJ203" s="21"/>
      <c r="FQK203" s="21"/>
      <c r="FQL203" s="21"/>
      <c r="FQM203" s="21"/>
      <c r="FQN203" s="21"/>
      <c r="FQO203" s="21"/>
      <c r="FQP203" s="21"/>
      <c r="FQQ203" s="21"/>
      <c r="FQR203" s="21"/>
      <c r="FQS203" s="21"/>
      <c r="FQT203" s="21"/>
      <c r="FQU203" s="21"/>
      <c r="FQV203" s="21"/>
      <c r="FQW203" s="21"/>
      <c r="FQX203" s="21"/>
      <c r="FQY203" s="21"/>
      <c r="FQZ203" s="21"/>
      <c r="FRA203" s="21"/>
      <c r="FRB203" s="21"/>
      <c r="FRC203" s="21"/>
      <c r="FRD203" s="21"/>
      <c r="FRE203" s="21"/>
      <c r="FRF203" s="21"/>
      <c r="FRG203" s="21"/>
      <c r="FRH203" s="21"/>
      <c r="FRI203" s="21"/>
      <c r="FRJ203" s="21"/>
      <c r="FRK203" s="21"/>
      <c r="FRL203" s="21"/>
      <c r="FRM203" s="21"/>
      <c r="FRN203" s="21"/>
      <c r="FRO203" s="21"/>
      <c r="FRP203" s="21"/>
      <c r="FRQ203" s="21"/>
      <c r="FRR203" s="21"/>
      <c r="FRS203" s="21"/>
      <c r="FRT203" s="21"/>
      <c r="FRU203" s="21"/>
      <c r="FRV203" s="21"/>
      <c r="FRW203" s="21"/>
      <c r="FRX203" s="21"/>
      <c r="FRY203" s="21"/>
      <c r="FRZ203" s="21"/>
      <c r="FSA203" s="21"/>
      <c r="FSB203" s="21"/>
      <c r="FSC203" s="21"/>
      <c r="FSD203" s="21"/>
      <c r="FSE203" s="21"/>
      <c r="FSF203" s="21"/>
      <c r="FSG203" s="21"/>
      <c r="FSH203" s="21"/>
      <c r="FSI203" s="21"/>
      <c r="FSJ203" s="21"/>
      <c r="FSK203" s="21"/>
      <c r="FSL203" s="21"/>
      <c r="FSM203" s="21"/>
      <c r="FSN203" s="21"/>
      <c r="FSO203" s="21"/>
      <c r="FSP203" s="21"/>
      <c r="FSQ203" s="21"/>
      <c r="FSR203" s="21"/>
      <c r="FSS203" s="21"/>
      <c r="FST203" s="21"/>
      <c r="FSU203" s="21"/>
      <c r="FSV203" s="21"/>
      <c r="FSW203" s="21"/>
      <c r="FSX203" s="21"/>
      <c r="FSY203" s="21"/>
      <c r="FSZ203" s="21"/>
      <c r="FTA203" s="21"/>
      <c r="FTB203" s="21"/>
      <c r="FTC203" s="21"/>
      <c r="FTD203" s="21"/>
      <c r="FTE203" s="21"/>
      <c r="FTF203" s="21"/>
      <c r="FTG203" s="21"/>
      <c r="FTH203" s="21"/>
      <c r="FTI203" s="21"/>
      <c r="FTJ203" s="21"/>
      <c r="FTK203" s="21"/>
      <c r="FTL203" s="21"/>
      <c r="FTM203" s="21"/>
      <c r="FTN203" s="21"/>
      <c r="FTO203" s="21"/>
      <c r="FTP203" s="21"/>
      <c r="FTQ203" s="21"/>
      <c r="FTR203" s="21"/>
      <c r="FTS203" s="21"/>
      <c r="FTT203" s="21"/>
      <c r="FTU203" s="21"/>
      <c r="FTV203" s="21"/>
      <c r="FTW203" s="21"/>
      <c r="FTX203" s="21"/>
      <c r="FTY203" s="21"/>
      <c r="FTZ203" s="21"/>
      <c r="FUA203" s="21"/>
      <c r="FUB203" s="21"/>
      <c r="FUC203" s="21"/>
      <c r="FUD203" s="21"/>
      <c r="FUE203" s="21"/>
      <c r="FUF203" s="21"/>
      <c r="FUG203" s="21"/>
      <c r="FUH203" s="21"/>
      <c r="FUI203" s="21"/>
      <c r="FUJ203" s="21"/>
      <c r="FUK203" s="21"/>
      <c r="FUL203" s="21"/>
      <c r="FUM203" s="21"/>
      <c r="FUN203" s="21"/>
      <c r="FUO203" s="21"/>
      <c r="FUP203" s="21"/>
      <c r="FUQ203" s="21"/>
      <c r="FUR203" s="21"/>
      <c r="FUS203" s="21"/>
      <c r="FUT203" s="21"/>
      <c r="FUU203" s="21"/>
      <c r="FUV203" s="21"/>
      <c r="FUW203" s="21"/>
      <c r="FUX203" s="21"/>
      <c r="FUY203" s="21"/>
      <c r="FUZ203" s="21"/>
      <c r="FVA203" s="21"/>
      <c r="FVB203" s="21"/>
      <c r="FVC203" s="21"/>
      <c r="FVD203" s="21"/>
      <c r="FVE203" s="21"/>
      <c r="FVF203" s="21"/>
      <c r="FVG203" s="21"/>
      <c r="FVH203" s="21"/>
      <c r="FVI203" s="21"/>
      <c r="FVJ203" s="21"/>
      <c r="FVK203" s="21"/>
      <c r="FVL203" s="21"/>
      <c r="FVM203" s="21"/>
      <c r="FVN203" s="21"/>
      <c r="FVO203" s="21"/>
      <c r="FVP203" s="21"/>
      <c r="FVQ203" s="21"/>
      <c r="FVR203" s="21"/>
      <c r="FVS203" s="21"/>
      <c r="FVT203" s="21"/>
      <c r="FVU203" s="21"/>
      <c r="FVV203" s="21"/>
      <c r="FVW203" s="21"/>
      <c r="FVX203" s="21"/>
      <c r="FVY203" s="21"/>
      <c r="FVZ203" s="21"/>
      <c r="FWA203" s="21"/>
      <c r="FWB203" s="21"/>
      <c r="FWC203" s="21"/>
      <c r="FWD203" s="21"/>
      <c r="FWE203" s="21"/>
      <c r="FWF203" s="21"/>
      <c r="FWG203" s="21"/>
      <c r="FWH203" s="21"/>
      <c r="FWI203" s="21"/>
      <c r="FWJ203" s="21"/>
      <c r="FWK203" s="21"/>
      <c r="FWL203" s="21"/>
      <c r="FWM203" s="21"/>
      <c r="FWN203" s="21"/>
      <c r="FWO203" s="21"/>
      <c r="FWP203" s="21"/>
      <c r="FWQ203" s="21"/>
      <c r="FWR203" s="21"/>
      <c r="FWS203" s="21"/>
      <c r="FWT203" s="21"/>
      <c r="FWU203" s="21"/>
      <c r="FWV203" s="21"/>
      <c r="FWW203" s="21"/>
      <c r="FWX203" s="21"/>
      <c r="FWY203" s="21"/>
      <c r="FWZ203" s="21"/>
      <c r="FXA203" s="21"/>
      <c r="FXB203" s="21"/>
      <c r="FXC203" s="21"/>
      <c r="FXD203" s="21"/>
      <c r="FXE203" s="21"/>
      <c r="FXF203" s="21"/>
      <c r="FXG203" s="21"/>
      <c r="FXH203" s="21"/>
      <c r="FXI203" s="21"/>
      <c r="FXJ203" s="21"/>
      <c r="FXK203" s="21"/>
      <c r="FXL203" s="21"/>
      <c r="FXM203" s="21"/>
      <c r="FXN203" s="21"/>
      <c r="FXO203" s="21"/>
      <c r="FXP203" s="21"/>
      <c r="FXQ203" s="21"/>
      <c r="FXR203" s="21"/>
      <c r="FXS203" s="21"/>
      <c r="FXT203" s="21"/>
      <c r="FXU203" s="21"/>
      <c r="FXV203" s="21"/>
      <c r="FXW203" s="21"/>
      <c r="FXX203" s="21"/>
      <c r="FXY203" s="21"/>
      <c r="FXZ203" s="21"/>
      <c r="FYA203" s="21"/>
      <c r="FYB203" s="21"/>
      <c r="FYC203" s="21"/>
      <c r="FYD203" s="21"/>
      <c r="FYE203" s="21"/>
      <c r="FYF203" s="21"/>
      <c r="FYG203" s="21"/>
      <c r="FYH203" s="21"/>
      <c r="FYI203" s="21"/>
      <c r="FYJ203" s="21"/>
      <c r="FYK203" s="21"/>
      <c r="FYL203" s="21"/>
      <c r="FYM203" s="21"/>
      <c r="FYN203" s="21"/>
      <c r="FYO203" s="21"/>
      <c r="FYP203" s="21"/>
      <c r="FYQ203" s="21"/>
      <c r="FYR203" s="21"/>
      <c r="FYS203" s="21"/>
      <c r="FYT203" s="21"/>
      <c r="FYU203" s="21"/>
      <c r="FYV203" s="21"/>
      <c r="FYW203" s="21"/>
      <c r="FYX203" s="21"/>
      <c r="FYY203" s="21"/>
      <c r="FYZ203" s="21"/>
      <c r="FZA203" s="21"/>
      <c r="FZB203" s="21"/>
      <c r="FZC203" s="21"/>
      <c r="FZD203" s="21"/>
      <c r="FZE203" s="21"/>
      <c r="FZF203" s="21"/>
      <c r="FZG203" s="21"/>
      <c r="FZH203" s="21"/>
      <c r="FZI203" s="21"/>
      <c r="FZJ203" s="21"/>
      <c r="FZK203" s="21"/>
      <c r="FZL203" s="21"/>
      <c r="FZM203" s="21"/>
      <c r="FZN203" s="21"/>
      <c r="FZO203" s="21"/>
      <c r="FZP203" s="21"/>
      <c r="FZQ203" s="21"/>
      <c r="FZR203" s="21"/>
      <c r="FZS203" s="21"/>
      <c r="FZT203" s="21"/>
      <c r="FZU203" s="21"/>
      <c r="FZV203" s="21"/>
      <c r="FZW203" s="21"/>
      <c r="FZX203" s="21"/>
      <c r="FZY203" s="21"/>
      <c r="FZZ203" s="21"/>
      <c r="GAA203" s="21"/>
      <c r="GAB203" s="21"/>
      <c r="GAC203" s="21"/>
      <c r="GAD203" s="21"/>
      <c r="GAE203" s="21"/>
      <c r="GAF203" s="21"/>
      <c r="GAG203" s="21"/>
      <c r="GAH203" s="21"/>
      <c r="GAI203" s="21"/>
      <c r="GAJ203" s="21"/>
      <c r="GAK203" s="21"/>
      <c r="GAL203" s="21"/>
      <c r="GAM203" s="21"/>
      <c r="GAN203" s="21"/>
      <c r="GAO203" s="21"/>
      <c r="GAP203" s="21"/>
      <c r="GAQ203" s="21"/>
      <c r="GAR203" s="21"/>
      <c r="GAS203" s="21"/>
      <c r="GAT203" s="21"/>
      <c r="GAU203" s="21"/>
      <c r="GAV203" s="21"/>
      <c r="GAW203" s="21"/>
      <c r="GAX203" s="21"/>
      <c r="GAY203" s="21"/>
      <c r="GAZ203" s="21"/>
      <c r="GBA203" s="21"/>
      <c r="GBB203" s="21"/>
      <c r="GBC203" s="21"/>
      <c r="GBD203" s="21"/>
      <c r="GBE203" s="21"/>
      <c r="GBF203" s="21"/>
      <c r="GBG203" s="21"/>
      <c r="GBH203" s="21"/>
      <c r="GBI203" s="21"/>
      <c r="GBJ203" s="21"/>
      <c r="GBK203" s="21"/>
      <c r="GBL203" s="21"/>
      <c r="GBM203" s="21"/>
      <c r="GBN203" s="21"/>
      <c r="GBO203" s="21"/>
      <c r="GBP203" s="21"/>
      <c r="GBQ203" s="21"/>
      <c r="GBR203" s="21"/>
      <c r="GBS203" s="21"/>
      <c r="GBT203" s="21"/>
      <c r="GBU203" s="21"/>
      <c r="GBV203" s="21"/>
      <c r="GBW203" s="21"/>
      <c r="GBX203" s="21"/>
      <c r="GBY203" s="21"/>
      <c r="GBZ203" s="21"/>
      <c r="GCA203" s="21"/>
      <c r="GCB203" s="21"/>
      <c r="GCC203" s="21"/>
      <c r="GCD203" s="21"/>
      <c r="GCE203" s="21"/>
      <c r="GCF203" s="21"/>
      <c r="GCG203" s="21"/>
      <c r="GCH203" s="21"/>
      <c r="GCI203" s="21"/>
      <c r="GCJ203" s="21"/>
      <c r="GCK203" s="21"/>
      <c r="GCL203" s="21"/>
      <c r="GCM203" s="21"/>
      <c r="GCN203" s="21"/>
      <c r="GCO203" s="21"/>
      <c r="GCP203" s="21"/>
      <c r="GCQ203" s="21"/>
      <c r="GCR203" s="21"/>
      <c r="GCS203" s="21"/>
      <c r="GCT203" s="21"/>
      <c r="GCU203" s="21"/>
      <c r="GCV203" s="21"/>
      <c r="GCW203" s="21"/>
      <c r="GCX203" s="21"/>
      <c r="GCY203" s="21"/>
      <c r="GCZ203" s="21"/>
      <c r="GDA203" s="21"/>
      <c r="GDB203" s="21"/>
      <c r="GDC203" s="21"/>
      <c r="GDD203" s="21"/>
      <c r="GDE203" s="21"/>
      <c r="GDF203" s="21"/>
      <c r="GDG203" s="21"/>
      <c r="GDH203" s="21"/>
      <c r="GDI203" s="21"/>
      <c r="GDJ203" s="21"/>
      <c r="GDK203" s="21"/>
      <c r="GDL203" s="21"/>
      <c r="GDM203" s="21"/>
      <c r="GDN203" s="21"/>
      <c r="GDO203" s="21"/>
      <c r="GDP203" s="21"/>
      <c r="GDQ203" s="21"/>
      <c r="GDR203" s="21"/>
      <c r="GDS203" s="21"/>
      <c r="GDT203" s="21"/>
      <c r="GDU203" s="21"/>
      <c r="GDV203" s="21"/>
      <c r="GDW203" s="21"/>
      <c r="GDX203" s="21"/>
      <c r="GDY203" s="21"/>
      <c r="GDZ203" s="21"/>
      <c r="GEA203" s="21"/>
      <c r="GEB203" s="21"/>
      <c r="GEC203" s="21"/>
      <c r="GED203" s="21"/>
      <c r="GEE203" s="21"/>
      <c r="GEF203" s="21"/>
      <c r="GEG203" s="21"/>
      <c r="GEH203" s="21"/>
      <c r="GEI203" s="21"/>
      <c r="GEJ203" s="21"/>
      <c r="GEK203" s="21"/>
      <c r="GEL203" s="21"/>
      <c r="GEM203" s="21"/>
      <c r="GEN203" s="21"/>
      <c r="GEO203" s="21"/>
      <c r="GEP203" s="21"/>
      <c r="GEQ203" s="21"/>
      <c r="GER203" s="21"/>
      <c r="GES203" s="21"/>
      <c r="GET203" s="21"/>
      <c r="GEU203" s="21"/>
      <c r="GEV203" s="21"/>
      <c r="GEW203" s="21"/>
      <c r="GEX203" s="21"/>
      <c r="GEY203" s="21"/>
      <c r="GEZ203" s="21"/>
      <c r="GFA203" s="21"/>
      <c r="GFB203" s="21"/>
      <c r="GFC203" s="21"/>
      <c r="GFD203" s="21"/>
      <c r="GFE203" s="21"/>
      <c r="GFF203" s="21"/>
      <c r="GFG203" s="21"/>
      <c r="GFH203" s="21"/>
      <c r="GFI203" s="21"/>
      <c r="GFJ203" s="21"/>
      <c r="GFK203" s="21"/>
      <c r="GFL203" s="21"/>
      <c r="GFM203" s="21"/>
      <c r="GFN203" s="21"/>
      <c r="GFO203" s="21"/>
      <c r="GFP203" s="21"/>
      <c r="GFQ203" s="21"/>
      <c r="GFR203" s="21"/>
      <c r="GFS203" s="21"/>
      <c r="GFT203" s="21"/>
      <c r="GFU203" s="21"/>
      <c r="GFV203" s="21"/>
      <c r="GFW203" s="21"/>
      <c r="GFX203" s="21"/>
      <c r="GFY203" s="21"/>
      <c r="GFZ203" s="21"/>
      <c r="GGA203" s="21"/>
      <c r="GGB203" s="21"/>
      <c r="GGC203" s="21"/>
      <c r="GGD203" s="21"/>
      <c r="GGE203" s="21"/>
      <c r="GGF203" s="21"/>
      <c r="GGG203" s="21"/>
      <c r="GGH203" s="21"/>
      <c r="GGI203" s="21"/>
      <c r="GGJ203" s="21"/>
      <c r="GGK203" s="21"/>
      <c r="GGL203" s="21"/>
      <c r="GGM203" s="21"/>
      <c r="GGN203" s="21"/>
      <c r="GGO203" s="21"/>
      <c r="GGP203" s="21"/>
      <c r="GGQ203" s="21"/>
      <c r="GGR203" s="21"/>
      <c r="GGS203" s="21"/>
      <c r="GGT203" s="21"/>
      <c r="GGU203" s="21"/>
      <c r="GGV203" s="21"/>
      <c r="GGW203" s="21"/>
      <c r="GGX203" s="21"/>
      <c r="GGY203" s="21"/>
      <c r="GGZ203" s="21"/>
      <c r="GHA203" s="21"/>
      <c r="GHB203" s="21"/>
      <c r="GHC203" s="21"/>
      <c r="GHD203" s="21"/>
      <c r="GHE203" s="21"/>
      <c r="GHF203" s="21"/>
      <c r="GHG203" s="21"/>
      <c r="GHH203" s="21"/>
      <c r="GHI203" s="21"/>
      <c r="GHJ203" s="21"/>
      <c r="GHK203" s="21"/>
      <c r="GHL203" s="21"/>
      <c r="GHM203" s="21"/>
      <c r="GHN203" s="21"/>
      <c r="GHO203" s="21"/>
      <c r="GHP203" s="21"/>
      <c r="GHQ203" s="21"/>
      <c r="GHR203" s="21"/>
      <c r="GHS203" s="21"/>
      <c r="GHT203" s="21"/>
      <c r="GHU203" s="21"/>
      <c r="GHV203" s="21"/>
      <c r="GHW203" s="21"/>
      <c r="GHX203" s="21"/>
      <c r="GHY203" s="21"/>
      <c r="GHZ203" s="21"/>
      <c r="GIA203" s="21"/>
      <c r="GIB203" s="21"/>
      <c r="GIC203" s="21"/>
      <c r="GID203" s="21"/>
      <c r="GIE203" s="21"/>
      <c r="GIF203" s="21"/>
      <c r="GIG203" s="21"/>
      <c r="GIH203" s="21"/>
      <c r="GII203" s="21"/>
      <c r="GIJ203" s="21"/>
      <c r="GIK203" s="21"/>
      <c r="GIL203" s="21"/>
      <c r="GIM203" s="21"/>
      <c r="GIN203" s="21"/>
      <c r="GIO203" s="21"/>
      <c r="GIP203" s="21"/>
      <c r="GIQ203" s="21"/>
      <c r="GIR203" s="21"/>
      <c r="GIS203" s="21"/>
      <c r="GIT203" s="21"/>
      <c r="GIU203" s="21"/>
      <c r="GIV203" s="21"/>
      <c r="GIW203" s="21"/>
      <c r="GIX203" s="21"/>
      <c r="GIY203" s="21"/>
      <c r="GIZ203" s="21"/>
      <c r="GJA203" s="21"/>
      <c r="GJB203" s="21"/>
      <c r="GJC203" s="21"/>
      <c r="GJD203" s="21"/>
      <c r="GJE203" s="21"/>
      <c r="GJF203" s="21"/>
      <c r="GJG203" s="21"/>
      <c r="GJH203" s="21"/>
      <c r="GJI203" s="21"/>
      <c r="GJJ203" s="21"/>
      <c r="GJK203" s="21"/>
      <c r="GJL203" s="21"/>
      <c r="GJM203" s="21"/>
      <c r="GJN203" s="21"/>
      <c r="GJO203" s="21"/>
      <c r="GJP203" s="21"/>
      <c r="GJQ203" s="21"/>
      <c r="GJR203" s="21"/>
      <c r="GJS203" s="21"/>
      <c r="GJT203" s="21"/>
      <c r="GJU203" s="21"/>
      <c r="GJV203" s="21"/>
      <c r="GJW203" s="21"/>
      <c r="GJX203" s="21"/>
      <c r="GJY203" s="21"/>
      <c r="GJZ203" s="21"/>
      <c r="GKA203" s="21"/>
      <c r="GKB203" s="21"/>
      <c r="GKC203" s="21"/>
      <c r="GKD203" s="21"/>
      <c r="GKE203" s="21"/>
      <c r="GKF203" s="21"/>
      <c r="GKG203" s="21"/>
      <c r="GKH203" s="21"/>
      <c r="GKI203" s="21"/>
      <c r="GKJ203" s="21"/>
      <c r="GKK203" s="21"/>
      <c r="GKL203" s="21"/>
      <c r="GKM203" s="21"/>
      <c r="GKN203" s="21"/>
      <c r="GKO203" s="21"/>
      <c r="GKP203" s="21"/>
      <c r="GKQ203" s="21"/>
      <c r="GKR203" s="21"/>
      <c r="GKS203" s="21"/>
      <c r="GKT203" s="21"/>
      <c r="GKU203" s="21"/>
      <c r="GKV203" s="21"/>
      <c r="GKW203" s="21"/>
      <c r="GKX203" s="21"/>
      <c r="GKY203" s="21"/>
      <c r="GKZ203" s="21"/>
      <c r="GLA203" s="21"/>
      <c r="GLB203" s="21"/>
      <c r="GLC203" s="21"/>
      <c r="GLD203" s="21"/>
      <c r="GLE203" s="21"/>
      <c r="GLF203" s="21"/>
      <c r="GLG203" s="21"/>
      <c r="GLH203" s="21"/>
      <c r="GLI203" s="21"/>
      <c r="GLJ203" s="21"/>
      <c r="GLK203" s="21"/>
      <c r="GLL203" s="21"/>
      <c r="GLM203" s="21"/>
      <c r="GLN203" s="21"/>
      <c r="GLO203" s="21"/>
      <c r="GLP203" s="21"/>
      <c r="GLQ203" s="21"/>
      <c r="GLR203" s="21"/>
      <c r="GLS203" s="21"/>
      <c r="GLT203" s="21"/>
      <c r="GLU203" s="21"/>
      <c r="GLV203" s="21"/>
      <c r="GLW203" s="21"/>
      <c r="GLX203" s="21"/>
      <c r="GLY203" s="21"/>
      <c r="GLZ203" s="21"/>
      <c r="GMA203" s="21"/>
      <c r="GMB203" s="21"/>
      <c r="GMC203" s="21"/>
      <c r="GMD203" s="21"/>
      <c r="GME203" s="21"/>
      <c r="GMF203" s="21"/>
      <c r="GMG203" s="21"/>
      <c r="GMH203" s="21"/>
      <c r="GMI203" s="21"/>
      <c r="GMJ203" s="21"/>
      <c r="GMK203" s="21"/>
      <c r="GML203" s="21"/>
      <c r="GMM203" s="21"/>
      <c r="GMN203" s="21"/>
      <c r="GMO203" s="21"/>
      <c r="GMP203" s="21"/>
      <c r="GMQ203" s="21"/>
      <c r="GMR203" s="21"/>
      <c r="GMS203" s="21"/>
      <c r="GMT203" s="21"/>
      <c r="GMU203" s="21"/>
      <c r="GMV203" s="21"/>
      <c r="GMW203" s="21"/>
      <c r="GMX203" s="21"/>
      <c r="GMY203" s="21"/>
      <c r="GMZ203" s="21"/>
      <c r="GNA203" s="21"/>
      <c r="GNB203" s="21"/>
      <c r="GNC203" s="21"/>
      <c r="GND203" s="21"/>
      <c r="GNE203" s="21"/>
      <c r="GNF203" s="21"/>
      <c r="GNG203" s="21"/>
      <c r="GNH203" s="21"/>
      <c r="GNI203" s="21"/>
      <c r="GNJ203" s="21"/>
      <c r="GNK203" s="21"/>
      <c r="GNL203" s="21"/>
      <c r="GNM203" s="21"/>
      <c r="GNN203" s="21"/>
      <c r="GNO203" s="21"/>
      <c r="GNP203" s="21"/>
      <c r="GNQ203" s="21"/>
      <c r="GNR203" s="21"/>
      <c r="GNS203" s="21"/>
      <c r="GNT203" s="21"/>
      <c r="GNU203" s="21"/>
      <c r="GNV203" s="21"/>
      <c r="GNW203" s="21"/>
      <c r="GNX203" s="21"/>
      <c r="GNY203" s="21"/>
      <c r="GNZ203" s="21"/>
      <c r="GOA203" s="21"/>
      <c r="GOB203" s="21"/>
      <c r="GOC203" s="21"/>
      <c r="GOD203" s="21"/>
      <c r="GOE203" s="21"/>
      <c r="GOF203" s="21"/>
      <c r="GOG203" s="21"/>
      <c r="GOH203" s="21"/>
      <c r="GOI203" s="21"/>
      <c r="GOJ203" s="21"/>
      <c r="GOK203" s="21"/>
      <c r="GOL203" s="21"/>
      <c r="GOM203" s="21"/>
      <c r="GON203" s="21"/>
      <c r="GOO203" s="21"/>
      <c r="GOP203" s="21"/>
      <c r="GOQ203" s="21"/>
      <c r="GOR203" s="21"/>
      <c r="GOS203" s="21"/>
      <c r="GOT203" s="21"/>
      <c r="GOU203" s="21"/>
      <c r="GOV203" s="21"/>
      <c r="GOW203" s="21"/>
      <c r="GOX203" s="21"/>
      <c r="GOY203" s="21"/>
      <c r="GOZ203" s="21"/>
      <c r="GPA203" s="21"/>
      <c r="GPB203" s="21"/>
      <c r="GPC203" s="21"/>
      <c r="GPD203" s="21"/>
      <c r="GPE203" s="21"/>
      <c r="GPF203" s="21"/>
      <c r="GPG203" s="21"/>
      <c r="GPH203" s="21"/>
      <c r="GPI203" s="21"/>
      <c r="GPJ203" s="21"/>
      <c r="GPK203" s="21"/>
      <c r="GPL203" s="21"/>
      <c r="GPM203" s="21"/>
      <c r="GPN203" s="21"/>
      <c r="GPO203" s="21"/>
      <c r="GPP203" s="21"/>
      <c r="GPQ203" s="21"/>
      <c r="GPR203" s="21"/>
      <c r="GPS203" s="21"/>
      <c r="GPT203" s="21"/>
      <c r="GPU203" s="21"/>
      <c r="GPV203" s="21"/>
      <c r="GPW203" s="21"/>
      <c r="GPX203" s="21"/>
      <c r="GPY203" s="21"/>
      <c r="GPZ203" s="21"/>
      <c r="GQA203" s="21"/>
      <c r="GQB203" s="21"/>
      <c r="GQC203" s="21"/>
      <c r="GQD203" s="21"/>
      <c r="GQE203" s="21"/>
      <c r="GQF203" s="21"/>
      <c r="GQG203" s="21"/>
      <c r="GQH203" s="21"/>
      <c r="GQI203" s="21"/>
      <c r="GQJ203" s="21"/>
      <c r="GQK203" s="21"/>
      <c r="GQL203" s="21"/>
      <c r="GQM203" s="21"/>
      <c r="GQN203" s="21"/>
      <c r="GQO203" s="21"/>
      <c r="GQP203" s="21"/>
      <c r="GQQ203" s="21"/>
      <c r="GQR203" s="21"/>
      <c r="GQS203" s="21"/>
      <c r="GQT203" s="21"/>
      <c r="GQU203" s="21"/>
      <c r="GQV203" s="21"/>
      <c r="GQW203" s="21"/>
      <c r="GQX203" s="21"/>
      <c r="GQY203" s="21"/>
      <c r="GQZ203" s="21"/>
      <c r="GRA203" s="21"/>
      <c r="GRB203" s="21"/>
      <c r="GRC203" s="21"/>
      <c r="GRD203" s="21"/>
      <c r="GRE203" s="21"/>
      <c r="GRF203" s="21"/>
      <c r="GRG203" s="21"/>
      <c r="GRH203" s="21"/>
      <c r="GRI203" s="21"/>
      <c r="GRJ203" s="21"/>
      <c r="GRK203" s="21"/>
      <c r="GRL203" s="21"/>
      <c r="GRM203" s="21"/>
      <c r="GRN203" s="21"/>
      <c r="GRO203" s="21"/>
      <c r="GRP203" s="21"/>
      <c r="GRQ203" s="21"/>
      <c r="GRR203" s="21"/>
      <c r="GRS203" s="21"/>
      <c r="GRT203" s="21"/>
      <c r="GRU203" s="21"/>
      <c r="GRV203" s="21"/>
      <c r="GRW203" s="21"/>
      <c r="GRX203" s="21"/>
      <c r="GRY203" s="21"/>
      <c r="GRZ203" s="21"/>
      <c r="GSA203" s="21"/>
      <c r="GSB203" s="21"/>
      <c r="GSC203" s="21"/>
      <c r="GSD203" s="21"/>
      <c r="GSE203" s="21"/>
      <c r="GSF203" s="21"/>
      <c r="GSG203" s="21"/>
      <c r="GSH203" s="21"/>
      <c r="GSI203" s="21"/>
      <c r="GSJ203" s="21"/>
      <c r="GSK203" s="21"/>
      <c r="GSL203" s="21"/>
      <c r="GSM203" s="21"/>
      <c r="GSN203" s="21"/>
      <c r="GSO203" s="21"/>
      <c r="GSP203" s="21"/>
      <c r="GSQ203" s="21"/>
      <c r="GSR203" s="21"/>
      <c r="GSS203" s="21"/>
      <c r="GST203" s="21"/>
      <c r="GSU203" s="21"/>
      <c r="GSV203" s="21"/>
      <c r="GSW203" s="21"/>
      <c r="GSX203" s="21"/>
      <c r="GSY203" s="21"/>
      <c r="GSZ203" s="21"/>
      <c r="GTA203" s="21"/>
      <c r="GTB203" s="21"/>
      <c r="GTC203" s="21"/>
      <c r="GTD203" s="21"/>
      <c r="GTE203" s="21"/>
      <c r="GTF203" s="21"/>
      <c r="GTG203" s="21"/>
      <c r="GTH203" s="21"/>
      <c r="GTI203" s="21"/>
      <c r="GTJ203" s="21"/>
      <c r="GTK203" s="21"/>
      <c r="GTL203" s="21"/>
      <c r="GTM203" s="21"/>
      <c r="GTN203" s="21"/>
      <c r="GTO203" s="21"/>
      <c r="GTP203" s="21"/>
      <c r="GTQ203" s="21"/>
      <c r="GTR203" s="21"/>
      <c r="GTS203" s="21"/>
      <c r="GTT203" s="21"/>
      <c r="GTU203" s="21"/>
      <c r="GTV203" s="21"/>
      <c r="GTW203" s="21"/>
      <c r="GTX203" s="21"/>
      <c r="GTY203" s="21"/>
      <c r="GTZ203" s="21"/>
      <c r="GUA203" s="21"/>
      <c r="GUB203" s="21"/>
      <c r="GUC203" s="21"/>
      <c r="GUD203" s="21"/>
      <c r="GUE203" s="21"/>
      <c r="GUF203" s="21"/>
      <c r="GUG203" s="21"/>
      <c r="GUH203" s="21"/>
      <c r="GUI203" s="21"/>
      <c r="GUJ203" s="21"/>
      <c r="GUK203" s="21"/>
      <c r="GUL203" s="21"/>
      <c r="GUM203" s="21"/>
      <c r="GUN203" s="21"/>
      <c r="GUO203" s="21"/>
      <c r="GUP203" s="21"/>
      <c r="GUQ203" s="21"/>
      <c r="GUR203" s="21"/>
      <c r="GUS203" s="21"/>
      <c r="GUT203" s="21"/>
      <c r="GUU203" s="21"/>
      <c r="GUV203" s="21"/>
      <c r="GUW203" s="21"/>
      <c r="GUX203" s="21"/>
      <c r="GUY203" s="21"/>
      <c r="GUZ203" s="21"/>
      <c r="GVA203" s="21"/>
      <c r="GVB203" s="21"/>
      <c r="GVC203" s="21"/>
      <c r="GVD203" s="21"/>
      <c r="GVE203" s="21"/>
      <c r="GVF203" s="21"/>
      <c r="GVG203" s="21"/>
      <c r="GVH203" s="21"/>
      <c r="GVI203" s="21"/>
      <c r="GVJ203" s="21"/>
      <c r="GVK203" s="21"/>
      <c r="GVL203" s="21"/>
      <c r="GVM203" s="21"/>
      <c r="GVN203" s="21"/>
      <c r="GVO203" s="21"/>
      <c r="GVP203" s="21"/>
      <c r="GVQ203" s="21"/>
      <c r="GVR203" s="21"/>
      <c r="GVS203" s="21"/>
      <c r="GVT203" s="21"/>
      <c r="GVU203" s="21"/>
      <c r="GVV203" s="21"/>
      <c r="GVW203" s="21"/>
      <c r="GVX203" s="21"/>
      <c r="GVY203" s="21"/>
      <c r="GVZ203" s="21"/>
      <c r="GWA203" s="21"/>
      <c r="GWB203" s="21"/>
      <c r="GWC203" s="21"/>
      <c r="GWD203" s="21"/>
      <c r="GWE203" s="21"/>
      <c r="GWF203" s="21"/>
      <c r="GWG203" s="21"/>
      <c r="GWH203" s="21"/>
      <c r="GWI203" s="21"/>
      <c r="GWJ203" s="21"/>
      <c r="GWK203" s="21"/>
      <c r="GWL203" s="21"/>
      <c r="GWM203" s="21"/>
      <c r="GWN203" s="21"/>
      <c r="GWO203" s="21"/>
      <c r="GWP203" s="21"/>
      <c r="GWQ203" s="21"/>
      <c r="GWR203" s="21"/>
      <c r="GWS203" s="21"/>
      <c r="GWT203" s="21"/>
      <c r="GWU203" s="21"/>
      <c r="GWV203" s="21"/>
      <c r="GWW203" s="21"/>
      <c r="GWX203" s="21"/>
      <c r="GWY203" s="21"/>
      <c r="GWZ203" s="21"/>
      <c r="GXA203" s="21"/>
      <c r="GXB203" s="21"/>
      <c r="GXC203" s="21"/>
      <c r="GXD203" s="21"/>
      <c r="GXE203" s="21"/>
      <c r="GXF203" s="21"/>
      <c r="GXG203" s="21"/>
      <c r="GXH203" s="21"/>
      <c r="GXI203" s="21"/>
      <c r="GXJ203" s="21"/>
      <c r="GXK203" s="21"/>
      <c r="GXL203" s="21"/>
      <c r="GXM203" s="21"/>
      <c r="GXN203" s="21"/>
      <c r="GXO203" s="21"/>
      <c r="GXP203" s="21"/>
      <c r="GXQ203" s="21"/>
      <c r="GXR203" s="21"/>
      <c r="GXS203" s="21"/>
      <c r="GXT203" s="21"/>
      <c r="GXU203" s="21"/>
      <c r="GXV203" s="21"/>
      <c r="GXW203" s="21"/>
      <c r="GXX203" s="21"/>
      <c r="GXY203" s="21"/>
      <c r="GXZ203" s="21"/>
      <c r="GYA203" s="21"/>
      <c r="GYB203" s="21"/>
      <c r="GYC203" s="21"/>
      <c r="GYD203" s="21"/>
      <c r="GYE203" s="21"/>
      <c r="GYF203" s="21"/>
      <c r="GYG203" s="21"/>
      <c r="GYH203" s="21"/>
      <c r="GYI203" s="21"/>
      <c r="GYJ203" s="21"/>
      <c r="GYK203" s="21"/>
      <c r="GYL203" s="21"/>
      <c r="GYM203" s="21"/>
      <c r="GYN203" s="21"/>
      <c r="GYO203" s="21"/>
      <c r="GYP203" s="21"/>
      <c r="GYQ203" s="21"/>
      <c r="GYR203" s="21"/>
      <c r="GYS203" s="21"/>
      <c r="GYT203" s="21"/>
      <c r="GYU203" s="21"/>
      <c r="GYV203" s="21"/>
      <c r="GYW203" s="21"/>
      <c r="GYX203" s="21"/>
      <c r="GYY203" s="21"/>
      <c r="GYZ203" s="21"/>
      <c r="GZA203" s="21"/>
      <c r="GZB203" s="21"/>
      <c r="GZC203" s="21"/>
      <c r="GZD203" s="21"/>
      <c r="GZE203" s="21"/>
      <c r="GZF203" s="21"/>
      <c r="GZG203" s="21"/>
      <c r="GZH203" s="21"/>
      <c r="GZI203" s="21"/>
      <c r="GZJ203" s="21"/>
      <c r="GZK203" s="21"/>
      <c r="GZL203" s="21"/>
      <c r="GZM203" s="21"/>
      <c r="GZN203" s="21"/>
      <c r="GZO203" s="21"/>
      <c r="GZP203" s="21"/>
      <c r="GZQ203" s="21"/>
      <c r="GZR203" s="21"/>
      <c r="GZS203" s="21"/>
      <c r="GZT203" s="21"/>
      <c r="GZU203" s="21"/>
      <c r="GZV203" s="21"/>
      <c r="GZW203" s="21"/>
      <c r="GZX203" s="21"/>
      <c r="GZY203" s="21"/>
      <c r="GZZ203" s="21"/>
      <c r="HAA203" s="21"/>
      <c r="HAB203" s="21"/>
      <c r="HAC203" s="21"/>
      <c r="HAD203" s="21"/>
      <c r="HAE203" s="21"/>
      <c r="HAF203" s="21"/>
      <c r="HAG203" s="21"/>
      <c r="HAH203" s="21"/>
      <c r="HAI203" s="21"/>
      <c r="HAJ203" s="21"/>
      <c r="HAK203" s="21"/>
      <c r="HAL203" s="21"/>
      <c r="HAM203" s="21"/>
      <c r="HAN203" s="21"/>
      <c r="HAO203" s="21"/>
      <c r="HAP203" s="21"/>
      <c r="HAQ203" s="21"/>
      <c r="HAR203" s="21"/>
      <c r="HAS203" s="21"/>
      <c r="HAT203" s="21"/>
      <c r="HAU203" s="21"/>
      <c r="HAV203" s="21"/>
      <c r="HAW203" s="21"/>
      <c r="HAX203" s="21"/>
      <c r="HAY203" s="21"/>
      <c r="HAZ203" s="21"/>
      <c r="HBA203" s="21"/>
      <c r="HBB203" s="21"/>
      <c r="HBC203" s="21"/>
      <c r="HBD203" s="21"/>
      <c r="HBE203" s="21"/>
      <c r="HBF203" s="21"/>
      <c r="HBG203" s="21"/>
      <c r="HBH203" s="21"/>
      <c r="HBI203" s="21"/>
      <c r="HBJ203" s="21"/>
      <c r="HBK203" s="21"/>
      <c r="HBL203" s="21"/>
      <c r="HBM203" s="21"/>
      <c r="HBN203" s="21"/>
      <c r="HBO203" s="21"/>
      <c r="HBP203" s="21"/>
      <c r="HBQ203" s="21"/>
      <c r="HBR203" s="21"/>
      <c r="HBS203" s="21"/>
      <c r="HBT203" s="21"/>
      <c r="HBU203" s="21"/>
      <c r="HBV203" s="21"/>
      <c r="HBW203" s="21"/>
      <c r="HBX203" s="21"/>
      <c r="HBY203" s="21"/>
      <c r="HBZ203" s="21"/>
      <c r="HCA203" s="21"/>
      <c r="HCB203" s="21"/>
      <c r="HCC203" s="21"/>
      <c r="HCD203" s="21"/>
      <c r="HCE203" s="21"/>
      <c r="HCF203" s="21"/>
      <c r="HCG203" s="21"/>
      <c r="HCH203" s="21"/>
      <c r="HCI203" s="21"/>
      <c r="HCJ203" s="21"/>
      <c r="HCK203" s="21"/>
      <c r="HCL203" s="21"/>
      <c r="HCM203" s="21"/>
      <c r="HCN203" s="21"/>
      <c r="HCO203" s="21"/>
      <c r="HCP203" s="21"/>
      <c r="HCQ203" s="21"/>
      <c r="HCR203" s="21"/>
      <c r="HCS203" s="21"/>
      <c r="HCT203" s="21"/>
      <c r="HCU203" s="21"/>
      <c r="HCV203" s="21"/>
      <c r="HCW203" s="21"/>
      <c r="HCX203" s="21"/>
      <c r="HCY203" s="21"/>
      <c r="HCZ203" s="21"/>
      <c r="HDA203" s="21"/>
      <c r="HDB203" s="21"/>
      <c r="HDC203" s="21"/>
      <c r="HDD203" s="21"/>
      <c r="HDE203" s="21"/>
      <c r="HDF203" s="21"/>
      <c r="HDG203" s="21"/>
      <c r="HDH203" s="21"/>
      <c r="HDI203" s="21"/>
      <c r="HDJ203" s="21"/>
      <c r="HDK203" s="21"/>
      <c r="HDL203" s="21"/>
      <c r="HDM203" s="21"/>
      <c r="HDN203" s="21"/>
      <c r="HDO203" s="21"/>
      <c r="HDP203" s="21"/>
      <c r="HDQ203" s="21"/>
      <c r="HDR203" s="21"/>
      <c r="HDS203" s="21"/>
      <c r="HDT203" s="21"/>
      <c r="HDU203" s="21"/>
      <c r="HDV203" s="21"/>
      <c r="HDW203" s="21"/>
      <c r="HDX203" s="21"/>
      <c r="HDY203" s="21"/>
      <c r="HDZ203" s="21"/>
      <c r="HEA203" s="21"/>
      <c r="HEB203" s="21"/>
      <c r="HEC203" s="21"/>
      <c r="HED203" s="21"/>
      <c r="HEE203" s="21"/>
      <c r="HEF203" s="21"/>
      <c r="HEG203" s="21"/>
      <c r="HEH203" s="21"/>
      <c r="HEI203" s="21"/>
      <c r="HEJ203" s="21"/>
      <c r="HEK203" s="21"/>
      <c r="HEL203" s="21"/>
      <c r="HEM203" s="21"/>
      <c r="HEN203" s="21"/>
      <c r="HEO203" s="21"/>
      <c r="HEP203" s="21"/>
      <c r="HEQ203" s="21"/>
      <c r="HER203" s="21"/>
      <c r="HES203" s="21"/>
      <c r="HET203" s="21"/>
      <c r="HEU203" s="21"/>
      <c r="HEV203" s="21"/>
      <c r="HEW203" s="21"/>
      <c r="HEX203" s="21"/>
      <c r="HEY203" s="21"/>
      <c r="HEZ203" s="21"/>
      <c r="HFA203" s="21"/>
      <c r="HFB203" s="21"/>
      <c r="HFC203" s="21"/>
      <c r="HFD203" s="21"/>
      <c r="HFE203" s="21"/>
      <c r="HFF203" s="21"/>
      <c r="HFG203" s="21"/>
      <c r="HFH203" s="21"/>
      <c r="HFI203" s="21"/>
      <c r="HFJ203" s="21"/>
      <c r="HFK203" s="21"/>
      <c r="HFL203" s="21"/>
      <c r="HFM203" s="21"/>
      <c r="HFN203" s="21"/>
      <c r="HFO203" s="21"/>
      <c r="HFP203" s="21"/>
      <c r="HFQ203" s="21"/>
      <c r="HFR203" s="21"/>
      <c r="HFS203" s="21"/>
      <c r="HFT203" s="21"/>
      <c r="HFU203" s="21"/>
      <c r="HFV203" s="21"/>
      <c r="HFW203" s="21"/>
      <c r="HFX203" s="21"/>
      <c r="HFY203" s="21"/>
      <c r="HFZ203" s="21"/>
      <c r="HGA203" s="21"/>
      <c r="HGB203" s="21"/>
      <c r="HGC203" s="21"/>
      <c r="HGD203" s="21"/>
      <c r="HGE203" s="21"/>
      <c r="HGF203" s="21"/>
      <c r="HGG203" s="21"/>
      <c r="HGH203" s="21"/>
      <c r="HGI203" s="21"/>
      <c r="HGJ203" s="21"/>
      <c r="HGK203" s="21"/>
      <c r="HGL203" s="21"/>
      <c r="HGM203" s="21"/>
      <c r="HGN203" s="21"/>
      <c r="HGO203" s="21"/>
      <c r="HGP203" s="21"/>
      <c r="HGQ203" s="21"/>
      <c r="HGR203" s="21"/>
      <c r="HGS203" s="21"/>
      <c r="HGT203" s="21"/>
      <c r="HGU203" s="21"/>
      <c r="HGV203" s="21"/>
      <c r="HGW203" s="21"/>
      <c r="HGX203" s="21"/>
      <c r="HGY203" s="21"/>
      <c r="HGZ203" s="21"/>
      <c r="HHA203" s="21"/>
      <c r="HHB203" s="21"/>
      <c r="HHC203" s="21"/>
      <c r="HHD203" s="21"/>
      <c r="HHE203" s="21"/>
      <c r="HHF203" s="21"/>
      <c r="HHG203" s="21"/>
      <c r="HHH203" s="21"/>
      <c r="HHI203" s="21"/>
      <c r="HHJ203" s="21"/>
      <c r="HHK203" s="21"/>
      <c r="HHL203" s="21"/>
      <c r="HHM203" s="21"/>
      <c r="HHN203" s="21"/>
      <c r="HHO203" s="21"/>
      <c r="HHP203" s="21"/>
      <c r="HHQ203" s="21"/>
      <c r="HHR203" s="21"/>
      <c r="HHS203" s="21"/>
      <c r="HHT203" s="21"/>
      <c r="HHU203" s="21"/>
      <c r="HHV203" s="21"/>
      <c r="HHW203" s="21"/>
      <c r="HHX203" s="21"/>
      <c r="HHY203" s="21"/>
      <c r="HHZ203" s="21"/>
      <c r="HIA203" s="21"/>
      <c r="HIB203" s="21"/>
      <c r="HIC203" s="21"/>
      <c r="HID203" s="21"/>
      <c r="HIE203" s="21"/>
      <c r="HIF203" s="21"/>
      <c r="HIG203" s="21"/>
      <c r="HIH203" s="21"/>
      <c r="HII203" s="21"/>
      <c r="HIJ203" s="21"/>
      <c r="HIK203" s="21"/>
      <c r="HIL203" s="21"/>
      <c r="HIM203" s="21"/>
      <c r="HIN203" s="21"/>
      <c r="HIO203" s="21"/>
      <c r="HIP203" s="21"/>
      <c r="HIQ203" s="21"/>
      <c r="HIR203" s="21"/>
      <c r="HIS203" s="21"/>
      <c r="HIT203" s="21"/>
      <c r="HIU203" s="21"/>
      <c r="HIV203" s="21"/>
      <c r="HIW203" s="21"/>
      <c r="HIX203" s="21"/>
      <c r="HIY203" s="21"/>
      <c r="HIZ203" s="21"/>
      <c r="HJA203" s="21"/>
      <c r="HJB203" s="21"/>
      <c r="HJC203" s="21"/>
      <c r="HJD203" s="21"/>
      <c r="HJE203" s="21"/>
      <c r="HJF203" s="21"/>
      <c r="HJG203" s="21"/>
      <c r="HJH203" s="21"/>
      <c r="HJI203" s="21"/>
      <c r="HJJ203" s="21"/>
      <c r="HJK203" s="21"/>
      <c r="HJL203" s="21"/>
      <c r="HJM203" s="21"/>
      <c r="HJN203" s="21"/>
      <c r="HJO203" s="21"/>
      <c r="HJP203" s="21"/>
      <c r="HJQ203" s="21"/>
      <c r="HJR203" s="21"/>
      <c r="HJS203" s="21"/>
      <c r="HJT203" s="21"/>
      <c r="HJU203" s="21"/>
      <c r="HJV203" s="21"/>
      <c r="HJW203" s="21"/>
      <c r="HJX203" s="21"/>
      <c r="HJY203" s="21"/>
      <c r="HJZ203" s="21"/>
      <c r="HKA203" s="21"/>
      <c r="HKB203" s="21"/>
      <c r="HKC203" s="21"/>
      <c r="HKD203" s="21"/>
      <c r="HKE203" s="21"/>
      <c r="HKF203" s="21"/>
      <c r="HKG203" s="21"/>
      <c r="HKH203" s="21"/>
      <c r="HKI203" s="21"/>
      <c r="HKJ203" s="21"/>
      <c r="HKK203" s="21"/>
      <c r="HKL203" s="21"/>
      <c r="HKM203" s="21"/>
      <c r="HKN203" s="21"/>
      <c r="HKO203" s="21"/>
      <c r="HKP203" s="21"/>
      <c r="HKQ203" s="21"/>
      <c r="HKR203" s="21"/>
      <c r="HKS203" s="21"/>
      <c r="HKT203" s="21"/>
      <c r="HKU203" s="21"/>
      <c r="HKV203" s="21"/>
      <c r="HKW203" s="21"/>
      <c r="HKX203" s="21"/>
      <c r="HKY203" s="21"/>
      <c r="HKZ203" s="21"/>
      <c r="HLA203" s="21"/>
      <c r="HLB203" s="21"/>
      <c r="HLC203" s="21"/>
      <c r="HLD203" s="21"/>
      <c r="HLE203" s="21"/>
      <c r="HLF203" s="21"/>
      <c r="HLG203" s="21"/>
      <c r="HLH203" s="21"/>
      <c r="HLI203" s="21"/>
      <c r="HLJ203" s="21"/>
      <c r="HLK203" s="21"/>
      <c r="HLL203" s="21"/>
      <c r="HLM203" s="21"/>
      <c r="HLN203" s="21"/>
      <c r="HLO203" s="21"/>
      <c r="HLP203" s="21"/>
      <c r="HLQ203" s="21"/>
      <c r="HLR203" s="21"/>
      <c r="HLS203" s="21"/>
      <c r="HLT203" s="21"/>
      <c r="HLU203" s="21"/>
      <c r="HLV203" s="21"/>
      <c r="HLW203" s="21"/>
      <c r="HLX203" s="21"/>
      <c r="HLY203" s="21"/>
      <c r="HLZ203" s="21"/>
      <c r="HMA203" s="21"/>
      <c r="HMB203" s="21"/>
      <c r="HMC203" s="21"/>
      <c r="HMD203" s="21"/>
      <c r="HME203" s="21"/>
      <c r="HMF203" s="21"/>
      <c r="HMG203" s="21"/>
      <c r="HMH203" s="21"/>
      <c r="HMI203" s="21"/>
      <c r="HMJ203" s="21"/>
      <c r="HMK203" s="21"/>
      <c r="HML203" s="21"/>
      <c r="HMM203" s="21"/>
      <c r="HMN203" s="21"/>
      <c r="HMO203" s="21"/>
      <c r="HMP203" s="21"/>
      <c r="HMQ203" s="21"/>
      <c r="HMR203" s="21"/>
      <c r="HMS203" s="21"/>
      <c r="HMT203" s="21"/>
      <c r="HMU203" s="21"/>
      <c r="HMV203" s="21"/>
      <c r="HMW203" s="21"/>
      <c r="HMX203" s="21"/>
      <c r="HMY203" s="21"/>
      <c r="HMZ203" s="21"/>
      <c r="HNA203" s="21"/>
      <c r="HNB203" s="21"/>
      <c r="HNC203" s="21"/>
      <c r="HND203" s="21"/>
      <c r="HNE203" s="21"/>
      <c r="HNF203" s="21"/>
      <c r="HNG203" s="21"/>
      <c r="HNH203" s="21"/>
      <c r="HNI203" s="21"/>
      <c r="HNJ203" s="21"/>
      <c r="HNK203" s="21"/>
      <c r="HNL203" s="21"/>
      <c r="HNM203" s="21"/>
      <c r="HNN203" s="21"/>
      <c r="HNO203" s="21"/>
      <c r="HNP203" s="21"/>
      <c r="HNQ203" s="21"/>
      <c r="HNR203" s="21"/>
      <c r="HNS203" s="21"/>
      <c r="HNT203" s="21"/>
      <c r="HNU203" s="21"/>
      <c r="HNV203" s="21"/>
      <c r="HNW203" s="21"/>
      <c r="HNX203" s="21"/>
      <c r="HNY203" s="21"/>
      <c r="HNZ203" s="21"/>
      <c r="HOA203" s="21"/>
      <c r="HOB203" s="21"/>
      <c r="HOC203" s="21"/>
      <c r="HOD203" s="21"/>
      <c r="HOE203" s="21"/>
      <c r="HOF203" s="21"/>
      <c r="HOG203" s="21"/>
      <c r="HOH203" s="21"/>
      <c r="HOI203" s="21"/>
      <c r="HOJ203" s="21"/>
      <c r="HOK203" s="21"/>
      <c r="HOL203" s="21"/>
      <c r="HOM203" s="21"/>
      <c r="HON203" s="21"/>
      <c r="HOO203" s="21"/>
      <c r="HOP203" s="21"/>
      <c r="HOQ203" s="21"/>
      <c r="HOR203" s="21"/>
      <c r="HOS203" s="21"/>
      <c r="HOT203" s="21"/>
      <c r="HOU203" s="21"/>
      <c r="HOV203" s="21"/>
      <c r="HOW203" s="21"/>
      <c r="HOX203" s="21"/>
      <c r="HOY203" s="21"/>
      <c r="HOZ203" s="21"/>
      <c r="HPA203" s="21"/>
      <c r="HPB203" s="21"/>
      <c r="HPC203" s="21"/>
      <c r="HPD203" s="21"/>
      <c r="HPE203" s="21"/>
      <c r="HPF203" s="21"/>
      <c r="HPG203" s="21"/>
      <c r="HPH203" s="21"/>
      <c r="HPI203" s="21"/>
      <c r="HPJ203" s="21"/>
      <c r="HPK203" s="21"/>
      <c r="HPL203" s="21"/>
      <c r="HPM203" s="21"/>
      <c r="HPN203" s="21"/>
      <c r="HPO203" s="21"/>
      <c r="HPP203" s="21"/>
      <c r="HPQ203" s="21"/>
      <c r="HPR203" s="21"/>
      <c r="HPS203" s="21"/>
      <c r="HPT203" s="21"/>
      <c r="HPU203" s="21"/>
      <c r="HPV203" s="21"/>
      <c r="HPW203" s="21"/>
      <c r="HPX203" s="21"/>
      <c r="HPY203" s="21"/>
      <c r="HPZ203" s="21"/>
      <c r="HQA203" s="21"/>
      <c r="HQB203" s="21"/>
      <c r="HQC203" s="21"/>
      <c r="HQD203" s="21"/>
      <c r="HQE203" s="21"/>
      <c r="HQF203" s="21"/>
      <c r="HQG203" s="21"/>
      <c r="HQH203" s="21"/>
      <c r="HQI203" s="21"/>
      <c r="HQJ203" s="21"/>
      <c r="HQK203" s="21"/>
      <c r="HQL203" s="21"/>
      <c r="HQM203" s="21"/>
      <c r="HQN203" s="21"/>
      <c r="HQO203" s="21"/>
      <c r="HQP203" s="21"/>
      <c r="HQQ203" s="21"/>
      <c r="HQR203" s="21"/>
      <c r="HQS203" s="21"/>
      <c r="HQT203" s="21"/>
      <c r="HQU203" s="21"/>
      <c r="HQV203" s="21"/>
      <c r="HQW203" s="21"/>
      <c r="HQX203" s="21"/>
      <c r="HQY203" s="21"/>
      <c r="HQZ203" s="21"/>
      <c r="HRA203" s="21"/>
      <c r="HRB203" s="21"/>
      <c r="HRC203" s="21"/>
      <c r="HRD203" s="21"/>
      <c r="HRE203" s="21"/>
      <c r="HRF203" s="21"/>
      <c r="HRG203" s="21"/>
      <c r="HRH203" s="21"/>
      <c r="HRI203" s="21"/>
      <c r="HRJ203" s="21"/>
      <c r="HRK203" s="21"/>
      <c r="HRL203" s="21"/>
      <c r="HRM203" s="21"/>
      <c r="HRN203" s="21"/>
      <c r="HRO203" s="21"/>
      <c r="HRP203" s="21"/>
      <c r="HRQ203" s="21"/>
      <c r="HRR203" s="21"/>
      <c r="HRS203" s="21"/>
      <c r="HRT203" s="21"/>
      <c r="HRU203" s="21"/>
      <c r="HRV203" s="21"/>
      <c r="HRW203" s="21"/>
      <c r="HRX203" s="21"/>
      <c r="HRY203" s="21"/>
      <c r="HRZ203" s="21"/>
      <c r="HSA203" s="21"/>
      <c r="HSB203" s="21"/>
      <c r="HSC203" s="21"/>
      <c r="HSD203" s="21"/>
      <c r="HSE203" s="21"/>
      <c r="HSF203" s="21"/>
      <c r="HSG203" s="21"/>
      <c r="HSH203" s="21"/>
      <c r="HSI203" s="21"/>
      <c r="HSJ203" s="21"/>
      <c r="HSK203" s="21"/>
      <c r="HSL203" s="21"/>
      <c r="HSM203" s="21"/>
      <c r="HSN203" s="21"/>
      <c r="HSO203" s="21"/>
      <c r="HSP203" s="21"/>
      <c r="HSQ203" s="21"/>
      <c r="HSR203" s="21"/>
      <c r="HSS203" s="21"/>
      <c r="HST203" s="21"/>
      <c r="HSU203" s="21"/>
      <c r="HSV203" s="21"/>
      <c r="HSW203" s="21"/>
      <c r="HSX203" s="21"/>
      <c r="HSY203" s="21"/>
      <c r="HSZ203" s="21"/>
      <c r="HTA203" s="21"/>
      <c r="HTB203" s="21"/>
      <c r="HTC203" s="21"/>
      <c r="HTD203" s="21"/>
      <c r="HTE203" s="21"/>
      <c r="HTF203" s="21"/>
      <c r="HTG203" s="21"/>
      <c r="HTH203" s="21"/>
      <c r="HTI203" s="21"/>
      <c r="HTJ203" s="21"/>
      <c r="HTK203" s="21"/>
      <c r="HTL203" s="21"/>
      <c r="HTM203" s="21"/>
      <c r="HTN203" s="21"/>
      <c r="HTO203" s="21"/>
      <c r="HTP203" s="21"/>
      <c r="HTQ203" s="21"/>
      <c r="HTR203" s="21"/>
      <c r="HTS203" s="21"/>
      <c r="HTT203" s="21"/>
      <c r="HTU203" s="21"/>
      <c r="HTV203" s="21"/>
      <c r="HTW203" s="21"/>
      <c r="HTX203" s="21"/>
      <c r="HTY203" s="21"/>
      <c r="HTZ203" s="21"/>
      <c r="HUA203" s="21"/>
      <c r="HUB203" s="21"/>
      <c r="HUC203" s="21"/>
      <c r="HUD203" s="21"/>
      <c r="HUE203" s="21"/>
      <c r="HUF203" s="21"/>
      <c r="HUG203" s="21"/>
      <c r="HUH203" s="21"/>
      <c r="HUI203" s="21"/>
      <c r="HUJ203" s="21"/>
      <c r="HUK203" s="21"/>
      <c r="HUL203" s="21"/>
      <c r="HUM203" s="21"/>
      <c r="HUN203" s="21"/>
      <c r="HUO203" s="21"/>
      <c r="HUP203" s="21"/>
      <c r="HUQ203" s="21"/>
      <c r="HUR203" s="21"/>
      <c r="HUS203" s="21"/>
      <c r="HUT203" s="21"/>
      <c r="HUU203" s="21"/>
      <c r="HUV203" s="21"/>
      <c r="HUW203" s="21"/>
      <c r="HUX203" s="21"/>
      <c r="HUY203" s="21"/>
      <c r="HUZ203" s="21"/>
      <c r="HVA203" s="21"/>
      <c r="HVB203" s="21"/>
      <c r="HVC203" s="21"/>
      <c r="HVD203" s="21"/>
      <c r="HVE203" s="21"/>
      <c r="HVF203" s="21"/>
      <c r="HVG203" s="21"/>
      <c r="HVH203" s="21"/>
      <c r="HVI203" s="21"/>
      <c r="HVJ203" s="21"/>
      <c r="HVK203" s="21"/>
      <c r="HVL203" s="21"/>
      <c r="HVM203" s="21"/>
      <c r="HVN203" s="21"/>
      <c r="HVO203" s="21"/>
      <c r="HVP203" s="21"/>
      <c r="HVQ203" s="21"/>
      <c r="HVR203" s="21"/>
      <c r="HVS203" s="21"/>
      <c r="HVT203" s="21"/>
      <c r="HVU203" s="21"/>
      <c r="HVV203" s="21"/>
      <c r="HVW203" s="21"/>
      <c r="HVX203" s="21"/>
      <c r="HVY203" s="21"/>
      <c r="HVZ203" s="21"/>
      <c r="HWA203" s="21"/>
      <c r="HWB203" s="21"/>
      <c r="HWC203" s="21"/>
      <c r="HWD203" s="21"/>
      <c r="HWE203" s="21"/>
      <c r="HWF203" s="21"/>
      <c r="HWG203" s="21"/>
      <c r="HWH203" s="21"/>
      <c r="HWI203" s="21"/>
      <c r="HWJ203" s="21"/>
      <c r="HWK203" s="21"/>
      <c r="HWL203" s="21"/>
      <c r="HWM203" s="21"/>
      <c r="HWN203" s="21"/>
      <c r="HWO203" s="21"/>
      <c r="HWP203" s="21"/>
      <c r="HWQ203" s="21"/>
      <c r="HWR203" s="21"/>
      <c r="HWS203" s="21"/>
      <c r="HWT203" s="21"/>
      <c r="HWU203" s="21"/>
      <c r="HWV203" s="21"/>
      <c r="HWW203" s="21"/>
      <c r="HWX203" s="21"/>
      <c r="HWY203" s="21"/>
      <c r="HWZ203" s="21"/>
      <c r="HXA203" s="21"/>
      <c r="HXB203" s="21"/>
      <c r="HXC203" s="21"/>
      <c r="HXD203" s="21"/>
      <c r="HXE203" s="21"/>
      <c r="HXF203" s="21"/>
      <c r="HXG203" s="21"/>
      <c r="HXH203" s="21"/>
      <c r="HXI203" s="21"/>
      <c r="HXJ203" s="21"/>
      <c r="HXK203" s="21"/>
      <c r="HXL203" s="21"/>
      <c r="HXM203" s="21"/>
      <c r="HXN203" s="21"/>
      <c r="HXO203" s="21"/>
      <c r="HXP203" s="21"/>
      <c r="HXQ203" s="21"/>
      <c r="HXR203" s="21"/>
      <c r="HXS203" s="21"/>
      <c r="HXT203" s="21"/>
      <c r="HXU203" s="21"/>
      <c r="HXV203" s="21"/>
      <c r="HXW203" s="21"/>
      <c r="HXX203" s="21"/>
      <c r="HXY203" s="21"/>
      <c r="HXZ203" s="21"/>
      <c r="HYA203" s="21"/>
      <c r="HYB203" s="21"/>
      <c r="HYC203" s="21"/>
      <c r="HYD203" s="21"/>
      <c r="HYE203" s="21"/>
      <c r="HYF203" s="21"/>
      <c r="HYG203" s="21"/>
      <c r="HYH203" s="21"/>
      <c r="HYI203" s="21"/>
      <c r="HYJ203" s="21"/>
      <c r="HYK203" s="21"/>
      <c r="HYL203" s="21"/>
      <c r="HYM203" s="21"/>
      <c r="HYN203" s="21"/>
      <c r="HYO203" s="21"/>
      <c r="HYP203" s="21"/>
      <c r="HYQ203" s="21"/>
      <c r="HYR203" s="21"/>
      <c r="HYS203" s="21"/>
      <c r="HYT203" s="21"/>
      <c r="HYU203" s="21"/>
      <c r="HYV203" s="21"/>
      <c r="HYW203" s="21"/>
      <c r="HYX203" s="21"/>
      <c r="HYY203" s="21"/>
      <c r="HYZ203" s="21"/>
      <c r="HZA203" s="21"/>
      <c r="HZB203" s="21"/>
      <c r="HZC203" s="21"/>
      <c r="HZD203" s="21"/>
      <c r="HZE203" s="21"/>
      <c r="HZF203" s="21"/>
      <c r="HZG203" s="21"/>
      <c r="HZH203" s="21"/>
      <c r="HZI203" s="21"/>
      <c r="HZJ203" s="21"/>
      <c r="HZK203" s="21"/>
      <c r="HZL203" s="21"/>
      <c r="HZM203" s="21"/>
      <c r="HZN203" s="21"/>
      <c r="HZO203" s="21"/>
      <c r="HZP203" s="21"/>
      <c r="HZQ203" s="21"/>
      <c r="HZR203" s="21"/>
      <c r="HZS203" s="21"/>
      <c r="HZT203" s="21"/>
      <c r="HZU203" s="21"/>
      <c r="HZV203" s="21"/>
      <c r="HZW203" s="21"/>
      <c r="HZX203" s="21"/>
      <c r="HZY203" s="21"/>
      <c r="HZZ203" s="21"/>
      <c r="IAA203" s="21"/>
      <c r="IAB203" s="21"/>
      <c r="IAC203" s="21"/>
      <c r="IAD203" s="21"/>
      <c r="IAE203" s="21"/>
      <c r="IAF203" s="21"/>
      <c r="IAG203" s="21"/>
      <c r="IAH203" s="21"/>
      <c r="IAI203" s="21"/>
      <c r="IAJ203" s="21"/>
      <c r="IAK203" s="21"/>
      <c r="IAL203" s="21"/>
      <c r="IAM203" s="21"/>
      <c r="IAN203" s="21"/>
      <c r="IAO203" s="21"/>
      <c r="IAP203" s="21"/>
      <c r="IAQ203" s="21"/>
      <c r="IAR203" s="21"/>
      <c r="IAS203" s="21"/>
      <c r="IAT203" s="21"/>
      <c r="IAU203" s="21"/>
      <c r="IAV203" s="21"/>
      <c r="IAW203" s="21"/>
      <c r="IAX203" s="21"/>
      <c r="IAY203" s="21"/>
      <c r="IAZ203" s="21"/>
      <c r="IBA203" s="21"/>
      <c r="IBB203" s="21"/>
      <c r="IBC203" s="21"/>
      <c r="IBD203" s="21"/>
      <c r="IBE203" s="21"/>
      <c r="IBF203" s="21"/>
      <c r="IBG203" s="21"/>
      <c r="IBH203" s="21"/>
      <c r="IBI203" s="21"/>
      <c r="IBJ203" s="21"/>
      <c r="IBK203" s="21"/>
      <c r="IBL203" s="21"/>
      <c r="IBM203" s="21"/>
      <c r="IBN203" s="21"/>
      <c r="IBO203" s="21"/>
      <c r="IBP203" s="21"/>
      <c r="IBQ203" s="21"/>
      <c r="IBR203" s="21"/>
      <c r="IBS203" s="21"/>
      <c r="IBT203" s="21"/>
      <c r="IBU203" s="21"/>
      <c r="IBV203" s="21"/>
      <c r="IBW203" s="21"/>
      <c r="IBX203" s="21"/>
      <c r="IBY203" s="21"/>
      <c r="IBZ203" s="21"/>
      <c r="ICA203" s="21"/>
      <c r="ICB203" s="21"/>
      <c r="ICC203" s="21"/>
      <c r="ICD203" s="21"/>
      <c r="ICE203" s="21"/>
      <c r="ICF203" s="21"/>
      <c r="ICG203" s="21"/>
      <c r="ICH203" s="21"/>
      <c r="ICI203" s="21"/>
      <c r="ICJ203" s="21"/>
      <c r="ICK203" s="21"/>
      <c r="ICL203" s="21"/>
      <c r="ICM203" s="21"/>
      <c r="ICN203" s="21"/>
      <c r="ICO203" s="21"/>
      <c r="ICP203" s="21"/>
      <c r="ICQ203" s="21"/>
      <c r="ICR203" s="21"/>
      <c r="ICS203" s="21"/>
      <c r="ICT203" s="21"/>
      <c r="ICU203" s="21"/>
      <c r="ICV203" s="21"/>
      <c r="ICW203" s="21"/>
      <c r="ICX203" s="21"/>
      <c r="ICY203" s="21"/>
      <c r="ICZ203" s="21"/>
      <c r="IDA203" s="21"/>
      <c r="IDB203" s="21"/>
      <c r="IDC203" s="21"/>
      <c r="IDD203" s="21"/>
      <c r="IDE203" s="21"/>
      <c r="IDF203" s="21"/>
      <c r="IDG203" s="21"/>
      <c r="IDH203" s="21"/>
      <c r="IDI203" s="21"/>
      <c r="IDJ203" s="21"/>
      <c r="IDK203" s="21"/>
      <c r="IDL203" s="21"/>
      <c r="IDM203" s="21"/>
      <c r="IDN203" s="21"/>
      <c r="IDO203" s="21"/>
      <c r="IDP203" s="21"/>
      <c r="IDQ203" s="21"/>
      <c r="IDR203" s="21"/>
      <c r="IDS203" s="21"/>
      <c r="IDT203" s="21"/>
      <c r="IDU203" s="21"/>
      <c r="IDV203" s="21"/>
      <c r="IDW203" s="21"/>
      <c r="IDX203" s="21"/>
      <c r="IDY203" s="21"/>
      <c r="IDZ203" s="21"/>
      <c r="IEA203" s="21"/>
      <c r="IEB203" s="21"/>
      <c r="IEC203" s="21"/>
      <c r="IED203" s="21"/>
      <c r="IEE203" s="21"/>
      <c r="IEF203" s="21"/>
      <c r="IEG203" s="21"/>
      <c r="IEH203" s="21"/>
      <c r="IEI203" s="21"/>
      <c r="IEJ203" s="21"/>
      <c r="IEK203" s="21"/>
      <c r="IEL203" s="21"/>
      <c r="IEM203" s="21"/>
      <c r="IEN203" s="21"/>
      <c r="IEO203" s="21"/>
      <c r="IEP203" s="21"/>
      <c r="IEQ203" s="21"/>
      <c r="IER203" s="21"/>
      <c r="IES203" s="21"/>
      <c r="IET203" s="21"/>
      <c r="IEU203" s="21"/>
      <c r="IEV203" s="21"/>
      <c r="IEW203" s="21"/>
      <c r="IEX203" s="21"/>
      <c r="IEY203" s="21"/>
      <c r="IEZ203" s="21"/>
      <c r="IFA203" s="21"/>
      <c r="IFB203" s="21"/>
      <c r="IFC203" s="21"/>
      <c r="IFD203" s="21"/>
      <c r="IFE203" s="21"/>
      <c r="IFF203" s="21"/>
      <c r="IFG203" s="21"/>
      <c r="IFH203" s="21"/>
      <c r="IFI203" s="21"/>
      <c r="IFJ203" s="21"/>
      <c r="IFK203" s="21"/>
      <c r="IFL203" s="21"/>
      <c r="IFM203" s="21"/>
      <c r="IFN203" s="21"/>
      <c r="IFO203" s="21"/>
      <c r="IFP203" s="21"/>
      <c r="IFQ203" s="21"/>
      <c r="IFR203" s="21"/>
      <c r="IFS203" s="21"/>
      <c r="IFT203" s="21"/>
      <c r="IFU203" s="21"/>
      <c r="IFV203" s="21"/>
      <c r="IFW203" s="21"/>
      <c r="IFX203" s="21"/>
      <c r="IFY203" s="21"/>
      <c r="IFZ203" s="21"/>
      <c r="IGA203" s="21"/>
      <c r="IGB203" s="21"/>
      <c r="IGC203" s="21"/>
      <c r="IGD203" s="21"/>
      <c r="IGE203" s="21"/>
      <c r="IGF203" s="21"/>
      <c r="IGG203" s="21"/>
      <c r="IGH203" s="21"/>
      <c r="IGI203" s="21"/>
      <c r="IGJ203" s="21"/>
      <c r="IGK203" s="21"/>
      <c r="IGL203" s="21"/>
      <c r="IGM203" s="21"/>
      <c r="IGN203" s="21"/>
      <c r="IGO203" s="21"/>
      <c r="IGP203" s="21"/>
      <c r="IGQ203" s="21"/>
      <c r="IGR203" s="21"/>
      <c r="IGS203" s="21"/>
      <c r="IGT203" s="21"/>
      <c r="IGU203" s="21"/>
      <c r="IGV203" s="21"/>
      <c r="IGW203" s="21"/>
      <c r="IGX203" s="21"/>
      <c r="IGY203" s="21"/>
      <c r="IGZ203" s="21"/>
      <c r="IHA203" s="21"/>
      <c r="IHB203" s="21"/>
      <c r="IHC203" s="21"/>
      <c r="IHD203" s="21"/>
      <c r="IHE203" s="21"/>
      <c r="IHF203" s="21"/>
      <c r="IHG203" s="21"/>
      <c r="IHH203" s="21"/>
      <c r="IHI203" s="21"/>
      <c r="IHJ203" s="21"/>
      <c r="IHK203" s="21"/>
      <c r="IHL203" s="21"/>
      <c r="IHM203" s="21"/>
      <c r="IHN203" s="21"/>
      <c r="IHO203" s="21"/>
      <c r="IHP203" s="21"/>
      <c r="IHQ203" s="21"/>
      <c r="IHR203" s="21"/>
      <c r="IHS203" s="21"/>
      <c r="IHT203" s="21"/>
      <c r="IHU203" s="21"/>
      <c r="IHV203" s="21"/>
      <c r="IHW203" s="21"/>
      <c r="IHX203" s="21"/>
      <c r="IHY203" s="21"/>
      <c r="IHZ203" s="21"/>
      <c r="IIA203" s="21"/>
      <c r="IIB203" s="21"/>
      <c r="IIC203" s="21"/>
      <c r="IID203" s="21"/>
      <c r="IIE203" s="21"/>
      <c r="IIF203" s="21"/>
      <c r="IIG203" s="21"/>
      <c r="IIH203" s="21"/>
      <c r="III203" s="21"/>
      <c r="IIJ203" s="21"/>
      <c r="IIK203" s="21"/>
      <c r="IIL203" s="21"/>
      <c r="IIM203" s="21"/>
      <c r="IIN203" s="21"/>
      <c r="IIO203" s="21"/>
      <c r="IIP203" s="21"/>
      <c r="IIQ203" s="21"/>
      <c r="IIR203" s="21"/>
      <c r="IIS203" s="21"/>
      <c r="IIT203" s="21"/>
      <c r="IIU203" s="21"/>
      <c r="IIV203" s="21"/>
      <c r="IIW203" s="21"/>
      <c r="IIX203" s="21"/>
      <c r="IIY203" s="21"/>
      <c r="IIZ203" s="21"/>
      <c r="IJA203" s="21"/>
      <c r="IJB203" s="21"/>
      <c r="IJC203" s="21"/>
      <c r="IJD203" s="21"/>
      <c r="IJE203" s="21"/>
      <c r="IJF203" s="21"/>
      <c r="IJG203" s="21"/>
      <c r="IJH203" s="21"/>
      <c r="IJI203" s="21"/>
      <c r="IJJ203" s="21"/>
      <c r="IJK203" s="21"/>
      <c r="IJL203" s="21"/>
      <c r="IJM203" s="21"/>
      <c r="IJN203" s="21"/>
      <c r="IJO203" s="21"/>
      <c r="IJP203" s="21"/>
      <c r="IJQ203" s="21"/>
      <c r="IJR203" s="21"/>
      <c r="IJS203" s="21"/>
      <c r="IJT203" s="21"/>
      <c r="IJU203" s="21"/>
      <c r="IJV203" s="21"/>
      <c r="IJW203" s="21"/>
      <c r="IJX203" s="21"/>
      <c r="IJY203" s="21"/>
      <c r="IJZ203" s="21"/>
      <c r="IKA203" s="21"/>
      <c r="IKB203" s="21"/>
      <c r="IKC203" s="21"/>
      <c r="IKD203" s="21"/>
      <c r="IKE203" s="21"/>
      <c r="IKF203" s="21"/>
      <c r="IKG203" s="21"/>
      <c r="IKH203" s="21"/>
      <c r="IKI203" s="21"/>
      <c r="IKJ203" s="21"/>
      <c r="IKK203" s="21"/>
      <c r="IKL203" s="21"/>
      <c r="IKM203" s="21"/>
      <c r="IKN203" s="21"/>
      <c r="IKO203" s="21"/>
      <c r="IKP203" s="21"/>
      <c r="IKQ203" s="21"/>
      <c r="IKR203" s="21"/>
      <c r="IKS203" s="21"/>
      <c r="IKT203" s="21"/>
      <c r="IKU203" s="21"/>
      <c r="IKV203" s="21"/>
      <c r="IKW203" s="21"/>
      <c r="IKX203" s="21"/>
      <c r="IKY203" s="21"/>
      <c r="IKZ203" s="21"/>
      <c r="ILA203" s="21"/>
      <c r="ILB203" s="21"/>
      <c r="ILC203" s="21"/>
      <c r="ILD203" s="21"/>
      <c r="ILE203" s="21"/>
      <c r="ILF203" s="21"/>
      <c r="ILG203" s="21"/>
      <c r="ILH203" s="21"/>
      <c r="ILI203" s="21"/>
      <c r="ILJ203" s="21"/>
      <c r="ILK203" s="21"/>
      <c r="ILL203" s="21"/>
      <c r="ILM203" s="21"/>
      <c r="ILN203" s="21"/>
      <c r="ILO203" s="21"/>
      <c r="ILP203" s="21"/>
      <c r="ILQ203" s="21"/>
      <c r="ILR203" s="21"/>
      <c r="ILS203" s="21"/>
      <c r="ILT203" s="21"/>
      <c r="ILU203" s="21"/>
      <c r="ILV203" s="21"/>
      <c r="ILW203" s="21"/>
      <c r="ILX203" s="21"/>
      <c r="ILY203" s="21"/>
      <c r="ILZ203" s="21"/>
      <c r="IMA203" s="21"/>
      <c r="IMB203" s="21"/>
      <c r="IMC203" s="21"/>
      <c r="IMD203" s="21"/>
      <c r="IME203" s="21"/>
      <c r="IMF203" s="21"/>
      <c r="IMG203" s="21"/>
      <c r="IMH203" s="21"/>
      <c r="IMI203" s="21"/>
      <c r="IMJ203" s="21"/>
      <c r="IMK203" s="21"/>
      <c r="IML203" s="21"/>
      <c r="IMM203" s="21"/>
      <c r="IMN203" s="21"/>
      <c r="IMO203" s="21"/>
      <c r="IMP203" s="21"/>
      <c r="IMQ203" s="21"/>
      <c r="IMR203" s="21"/>
      <c r="IMS203" s="21"/>
      <c r="IMT203" s="21"/>
      <c r="IMU203" s="21"/>
      <c r="IMV203" s="21"/>
      <c r="IMW203" s="21"/>
      <c r="IMX203" s="21"/>
      <c r="IMY203" s="21"/>
      <c r="IMZ203" s="21"/>
      <c r="INA203" s="21"/>
      <c r="INB203" s="21"/>
      <c r="INC203" s="21"/>
      <c r="IND203" s="21"/>
      <c r="INE203" s="21"/>
      <c r="INF203" s="21"/>
      <c r="ING203" s="21"/>
      <c r="INH203" s="21"/>
      <c r="INI203" s="21"/>
      <c r="INJ203" s="21"/>
      <c r="INK203" s="21"/>
      <c r="INL203" s="21"/>
      <c r="INM203" s="21"/>
      <c r="INN203" s="21"/>
      <c r="INO203" s="21"/>
      <c r="INP203" s="21"/>
      <c r="INQ203" s="21"/>
      <c r="INR203" s="21"/>
      <c r="INS203" s="21"/>
      <c r="INT203" s="21"/>
      <c r="INU203" s="21"/>
      <c r="INV203" s="21"/>
      <c r="INW203" s="21"/>
      <c r="INX203" s="21"/>
      <c r="INY203" s="21"/>
      <c r="INZ203" s="21"/>
      <c r="IOA203" s="21"/>
      <c r="IOB203" s="21"/>
      <c r="IOC203" s="21"/>
      <c r="IOD203" s="21"/>
      <c r="IOE203" s="21"/>
      <c r="IOF203" s="21"/>
      <c r="IOG203" s="21"/>
      <c r="IOH203" s="21"/>
      <c r="IOI203" s="21"/>
      <c r="IOJ203" s="21"/>
      <c r="IOK203" s="21"/>
      <c r="IOL203" s="21"/>
      <c r="IOM203" s="21"/>
      <c r="ION203" s="21"/>
      <c r="IOO203" s="21"/>
      <c r="IOP203" s="21"/>
      <c r="IOQ203" s="21"/>
      <c r="IOR203" s="21"/>
      <c r="IOS203" s="21"/>
      <c r="IOT203" s="21"/>
      <c r="IOU203" s="21"/>
      <c r="IOV203" s="21"/>
      <c r="IOW203" s="21"/>
      <c r="IOX203" s="21"/>
      <c r="IOY203" s="21"/>
      <c r="IOZ203" s="21"/>
      <c r="IPA203" s="21"/>
      <c r="IPB203" s="21"/>
      <c r="IPC203" s="21"/>
      <c r="IPD203" s="21"/>
      <c r="IPE203" s="21"/>
      <c r="IPF203" s="21"/>
      <c r="IPG203" s="21"/>
      <c r="IPH203" s="21"/>
      <c r="IPI203" s="21"/>
      <c r="IPJ203" s="21"/>
      <c r="IPK203" s="21"/>
      <c r="IPL203" s="21"/>
      <c r="IPM203" s="21"/>
      <c r="IPN203" s="21"/>
      <c r="IPO203" s="21"/>
      <c r="IPP203" s="21"/>
      <c r="IPQ203" s="21"/>
      <c r="IPR203" s="21"/>
      <c r="IPS203" s="21"/>
      <c r="IPT203" s="21"/>
      <c r="IPU203" s="21"/>
      <c r="IPV203" s="21"/>
      <c r="IPW203" s="21"/>
      <c r="IPX203" s="21"/>
      <c r="IPY203" s="21"/>
      <c r="IPZ203" s="21"/>
      <c r="IQA203" s="21"/>
      <c r="IQB203" s="21"/>
      <c r="IQC203" s="21"/>
      <c r="IQD203" s="21"/>
      <c r="IQE203" s="21"/>
      <c r="IQF203" s="21"/>
      <c r="IQG203" s="21"/>
      <c r="IQH203" s="21"/>
      <c r="IQI203" s="21"/>
      <c r="IQJ203" s="21"/>
      <c r="IQK203" s="21"/>
      <c r="IQL203" s="21"/>
      <c r="IQM203" s="21"/>
      <c r="IQN203" s="21"/>
      <c r="IQO203" s="21"/>
      <c r="IQP203" s="21"/>
      <c r="IQQ203" s="21"/>
      <c r="IQR203" s="21"/>
      <c r="IQS203" s="21"/>
      <c r="IQT203" s="21"/>
      <c r="IQU203" s="21"/>
      <c r="IQV203" s="21"/>
      <c r="IQW203" s="21"/>
      <c r="IQX203" s="21"/>
      <c r="IQY203" s="21"/>
      <c r="IQZ203" s="21"/>
      <c r="IRA203" s="21"/>
      <c r="IRB203" s="21"/>
      <c r="IRC203" s="21"/>
      <c r="IRD203" s="21"/>
      <c r="IRE203" s="21"/>
      <c r="IRF203" s="21"/>
      <c r="IRG203" s="21"/>
      <c r="IRH203" s="21"/>
      <c r="IRI203" s="21"/>
      <c r="IRJ203" s="21"/>
      <c r="IRK203" s="21"/>
      <c r="IRL203" s="21"/>
      <c r="IRM203" s="21"/>
      <c r="IRN203" s="21"/>
      <c r="IRO203" s="21"/>
      <c r="IRP203" s="21"/>
      <c r="IRQ203" s="21"/>
      <c r="IRR203" s="21"/>
      <c r="IRS203" s="21"/>
      <c r="IRT203" s="21"/>
      <c r="IRU203" s="21"/>
      <c r="IRV203" s="21"/>
      <c r="IRW203" s="21"/>
      <c r="IRX203" s="21"/>
      <c r="IRY203" s="21"/>
      <c r="IRZ203" s="21"/>
      <c r="ISA203" s="21"/>
      <c r="ISB203" s="21"/>
      <c r="ISC203" s="21"/>
      <c r="ISD203" s="21"/>
      <c r="ISE203" s="21"/>
      <c r="ISF203" s="21"/>
      <c r="ISG203" s="21"/>
      <c r="ISH203" s="21"/>
      <c r="ISI203" s="21"/>
      <c r="ISJ203" s="21"/>
      <c r="ISK203" s="21"/>
      <c r="ISL203" s="21"/>
      <c r="ISM203" s="21"/>
      <c r="ISN203" s="21"/>
      <c r="ISO203" s="21"/>
      <c r="ISP203" s="21"/>
      <c r="ISQ203" s="21"/>
      <c r="ISR203" s="21"/>
      <c r="ISS203" s="21"/>
      <c r="IST203" s="21"/>
      <c r="ISU203" s="21"/>
      <c r="ISV203" s="21"/>
      <c r="ISW203" s="21"/>
      <c r="ISX203" s="21"/>
      <c r="ISY203" s="21"/>
      <c r="ISZ203" s="21"/>
      <c r="ITA203" s="21"/>
      <c r="ITB203" s="21"/>
      <c r="ITC203" s="21"/>
      <c r="ITD203" s="21"/>
      <c r="ITE203" s="21"/>
      <c r="ITF203" s="21"/>
      <c r="ITG203" s="21"/>
      <c r="ITH203" s="21"/>
      <c r="ITI203" s="21"/>
      <c r="ITJ203" s="21"/>
      <c r="ITK203" s="21"/>
      <c r="ITL203" s="21"/>
      <c r="ITM203" s="21"/>
      <c r="ITN203" s="21"/>
      <c r="ITO203" s="21"/>
      <c r="ITP203" s="21"/>
      <c r="ITQ203" s="21"/>
      <c r="ITR203" s="21"/>
      <c r="ITS203" s="21"/>
      <c r="ITT203" s="21"/>
      <c r="ITU203" s="21"/>
      <c r="ITV203" s="21"/>
      <c r="ITW203" s="21"/>
      <c r="ITX203" s="21"/>
      <c r="ITY203" s="21"/>
      <c r="ITZ203" s="21"/>
      <c r="IUA203" s="21"/>
      <c r="IUB203" s="21"/>
      <c r="IUC203" s="21"/>
      <c r="IUD203" s="21"/>
      <c r="IUE203" s="21"/>
      <c r="IUF203" s="21"/>
      <c r="IUG203" s="21"/>
      <c r="IUH203" s="21"/>
      <c r="IUI203" s="21"/>
      <c r="IUJ203" s="21"/>
      <c r="IUK203" s="21"/>
      <c r="IUL203" s="21"/>
      <c r="IUM203" s="21"/>
      <c r="IUN203" s="21"/>
      <c r="IUO203" s="21"/>
      <c r="IUP203" s="21"/>
      <c r="IUQ203" s="21"/>
      <c r="IUR203" s="21"/>
      <c r="IUS203" s="21"/>
      <c r="IUT203" s="21"/>
      <c r="IUU203" s="21"/>
      <c r="IUV203" s="21"/>
      <c r="IUW203" s="21"/>
      <c r="IUX203" s="21"/>
      <c r="IUY203" s="21"/>
      <c r="IUZ203" s="21"/>
      <c r="IVA203" s="21"/>
      <c r="IVB203" s="21"/>
      <c r="IVC203" s="21"/>
      <c r="IVD203" s="21"/>
      <c r="IVE203" s="21"/>
      <c r="IVF203" s="21"/>
      <c r="IVG203" s="21"/>
      <c r="IVH203" s="21"/>
      <c r="IVI203" s="21"/>
      <c r="IVJ203" s="21"/>
      <c r="IVK203" s="21"/>
      <c r="IVL203" s="21"/>
      <c r="IVM203" s="21"/>
      <c r="IVN203" s="21"/>
      <c r="IVO203" s="21"/>
      <c r="IVP203" s="21"/>
      <c r="IVQ203" s="21"/>
      <c r="IVR203" s="21"/>
      <c r="IVS203" s="21"/>
      <c r="IVT203" s="21"/>
      <c r="IVU203" s="21"/>
      <c r="IVV203" s="21"/>
      <c r="IVW203" s="21"/>
      <c r="IVX203" s="21"/>
      <c r="IVY203" s="21"/>
      <c r="IVZ203" s="21"/>
      <c r="IWA203" s="21"/>
      <c r="IWB203" s="21"/>
      <c r="IWC203" s="21"/>
      <c r="IWD203" s="21"/>
      <c r="IWE203" s="21"/>
      <c r="IWF203" s="21"/>
      <c r="IWG203" s="21"/>
      <c r="IWH203" s="21"/>
      <c r="IWI203" s="21"/>
      <c r="IWJ203" s="21"/>
      <c r="IWK203" s="21"/>
      <c r="IWL203" s="21"/>
      <c r="IWM203" s="21"/>
      <c r="IWN203" s="21"/>
      <c r="IWO203" s="21"/>
      <c r="IWP203" s="21"/>
      <c r="IWQ203" s="21"/>
      <c r="IWR203" s="21"/>
      <c r="IWS203" s="21"/>
      <c r="IWT203" s="21"/>
      <c r="IWU203" s="21"/>
      <c r="IWV203" s="21"/>
      <c r="IWW203" s="21"/>
      <c r="IWX203" s="21"/>
      <c r="IWY203" s="21"/>
      <c r="IWZ203" s="21"/>
      <c r="IXA203" s="21"/>
      <c r="IXB203" s="21"/>
      <c r="IXC203" s="21"/>
      <c r="IXD203" s="21"/>
      <c r="IXE203" s="21"/>
      <c r="IXF203" s="21"/>
      <c r="IXG203" s="21"/>
      <c r="IXH203" s="21"/>
      <c r="IXI203" s="21"/>
      <c r="IXJ203" s="21"/>
      <c r="IXK203" s="21"/>
      <c r="IXL203" s="21"/>
      <c r="IXM203" s="21"/>
      <c r="IXN203" s="21"/>
      <c r="IXO203" s="21"/>
      <c r="IXP203" s="21"/>
      <c r="IXQ203" s="21"/>
      <c r="IXR203" s="21"/>
      <c r="IXS203" s="21"/>
      <c r="IXT203" s="21"/>
      <c r="IXU203" s="21"/>
      <c r="IXV203" s="21"/>
      <c r="IXW203" s="21"/>
      <c r="IXX203" s="21"/>
      <c r="IXY203" s="21"/>
      <c r="IXZ203" s="21"/>
      <c r="IYA203" s="21"/>
      <c r="IYB203" s="21"/>
      <c r="IYC203" s="21"/>
      <c r="IYD203" s="21"/>
      <c r="IYE203" s="21"/>
      <c r="IYF203" s="21"/>
      <c r="IYG203" s="21"/>
      <c r="IYH203" s="21"/>
      <c r="IYI203" s="21"/>
      <c r="IYJ203" s="21"/>
      <c r="IYK203" s="21"/>
      <c r="IYL203" s="21"/>
      <c r="IYM203" s="21"/>
      <c r="IYN203" s="21"/>
      <c r="IYO203" s="21"/>
      <c r="IYP203" s="21"/>
      <c r="IYQ203" s="21"/>
      <c r="IYR203" s="21"/>
      <c r="IYS203" s="21"/>
      <c r="IYT203" s="21"/>
      <c r="IYU203" s="21"/>
      <c r="IYV203" s="21"/>
      <c r="IYW203" s="21"/>
      <c r="IYX203" s="21"/>
      <c r="IYY203" s="21"/>
      <c r="IYZ203" s="21"/>
      <c r="IZA203" s="21"/>
      <c r="IZB203" s="21"/>
      <c r="IZC203" s="21"/>
      <c r="IZD203" s="21"/>
      <c r="IZE203" s="21"/>
      <c r="IZF203" s="21"/>
      <c r="IZG203" s="21"/>
      <c r="IZH203" s="21"/>
      <c r="IZI203" s="21"/>
      <c r="IZJ203" s="21"/>
      <c r="IZK203" s="21"/>
      <c r="IZL203" s="21"/>
      <c r="IZM203" s="21"/>
      <c r="IZN203" s="21"/>
      <c r="IZO203" s="21"/>
      <c r="IZP203" s="21"/>
      <c r="IZQ203" s="21"/>
      <c r="IZR203" s="21"/>
      <c r="IZS203" s="21"/>
      <c r="IZT203" s="21"/>
      <c r="IZU203" s="21"/>
      <c r="IZV203" s="21"/>
      <c r="IZW203" s="21"/>
      <c r="IZX203" s="21"/>
      <c r="IZY203" s="21"/>
      <c r="IZZ203" s="21"/>
      <c r="JAA203" s="21"/>
      <c r="JAB203" s="21"/>
      <c r="JAC203" s="21"/>
      <c r="JAD203" s="21"/>
      <c r="JAE203" s="21"/>
      <c r="JAF203" s="21"/>
      <c r="JAG203" s="21"/>
      <c r="JAH203" s="21"/>
      <c r="JAI203" s="21"/>
      <c r="JAJ203" s="21"/>
      <c r="JAK203" s="21"/>
      <c r="JAL203" s="21"/>
      <c r="JAM203" s="21"/>
      <c r="JAN203" s="21"/>
      <c r="JAO203" s="21"/>
      <c r="JAP203" s="21"/>
      <c r="JAQ203" s="21"/>
      <c r="JAR203" s="21"/>
      <c r="JAS203" s="21"/>
      <c r="JAT203" s="21"/>
      <c r="JAU203" s="21"/>
      <c r="JAV203" s="21"/>
      <c r="JAW203" s="21"/>
      <c r="JAX203" s="21"/>
      <c r="JAY203" s="21"/>
      <c r="JAZ203" s="21"/>
      <c r="JBA203" s="21"/>
      <c r="JBB203" s="21"/>
      <c r="JBC203" s="21"/>
      <c r="JBD203" s="21"/>
      <c r="JBE203" s="21"/>
      <c r="JBF203" s="21"/>
      <c r="JBG203" s="21"/>
      <c r="JBH203" s="21"/>
      <c r="JBI203" s="21"/>
      <c r="JBJ203" s="21"/>
      <c r="JBK203" s="21"/>
      <c r="JBL203" s="21"/>
      <c r="JBM203" s="21"/>
      <c r="JBN203" s="21"/>
      <c r="JBO203" s="21"/>
      <c r="JBP203" s="21"/>
      <c r="JBQ203" s="21"/>
      <c r="JBR203" s="21"/>
      <c r="JBS203" s="21"/>
      <c r="JBT203" s="21"/>
      <c r="JBU203" s="21"/>
      <c r="JBV203" s="21"/>
      <c r="JBW203" s="21"/>
      <c r="JBX203" s="21"/>
      <c r="JBY203" s="21"/>
      <c r="JBZ203" s="21"/>
      <c r="JCA203" s="21"/>
      <c r="JCB203" s="21"/>
      <c r="JCC203" s="21"/>
      <c r="JCD203" s="21"/>
      <c r="JCE203" s="21"/>
      <c r="JCF203" s="21"/>
      <c r="JCG203" s="21"/>
      <c r="JCH203" s="21"/>
      <c r="JCI203" s="21"/>
      <c r="JCJ203" s="21"/>
      <c r="JCK203" s="21"/>
      <c r="JCL203" s="21"/>
      <c r="JCM203" s="21"/>
      <c r="JCN203" s="21"/>
      <c r="JCO203" s="21"/>
      <c r="JCP203" s="21"/>
      <c r="JCQ203" s="21"/>
      <c r="JCR203" s="21"/>
      <c r="JCS203" s="21"/>
      <c r="JCT203" s="21"/>
      <c r="JCU203" s="21"/>
      <c r="JCV203" s="21"/>
      <c r="JCW203" s="21"/>
      <c r="JCX203" s="21"/>
      <c r="JCY203" s="21"/>
      <c r="JCZ203" s="21"/>
      <c r="JDA203" s="21"/>
      <c r="JDB203" s="21"/>
      <c r="JDC203" s="21"/>
      <c r="JDD203" s="21"/>
      <c r="JDE203" s="21"/>
      <c r="JDF203" s="21"/>
      <c r="JDG203" s="21"/>
      <c r="JDH203" s="21"/>
      <c r="JDI203" s="21"/>
      <c r="JDJ203" s="21"/>
      <c r="JDK203" s="21"/>
      <c r="JDL203" s="21"/>
      <c r="JDM203" s="21"/>
      <c r="JDN203" s="21"/>
      <c r="JDO203" s="21"/>
      <c r="JDP203" s="21"/>
      <c r="JDQ203" s="21"/>
      <c r="JDR203" s="21"/>
      <c r="JDS203" s="21"/>
      <c r="JDT203" s="21"/>
      <c r="JDU203" s="21"/>
      <c r="JDV203" s="21"/>
      <c r="JDW203" s="21"/>
      <c r="JDX203" s="21"/>
      <c r="JDY203" s="21"/>
      <c r="JDZ203" s="21"/>
      <c r="JEA203" s="21"/>
      <c r="JEB203" s="21"/>
      <c r="JEC203" s="21"/>
      <c r="JED203" s="21"/>
      <c r="JEE203" s="21"/>
      <c r="JEF203" s="21"/>
      <c r="JEG203" s="21"/>
      <c r="JEH203" s="21"/>
      <c r="JEI203" s="21"/>
      <c r="JEJ203" s="21"/>
      <c r="JEK203" s="21"/>
      <c r="JEL203" s="21"/>
      <c r="JEM203" s="21"/>
      <c r="JEN203" s="21"/>
      <c r="JEO203" s="21"/>
      <c r="JEP203" s="21"/>
      <c r="JEQ203" s="21"/>
      <c r="JER203" s="21"/>
      <c r="JES203" s="21"/>
      <c r="JET203" s="21"/>
      <c r="JEU203" s="21"/>
      <c r="JEV203" s="21"/>
      <c r="JEW203" s="21"/>
      <c r="JEX203" s="21"/>
      <c r="JEY203" s="21"/>
      <c r="JEZ203" s="21"/>
      <c r="JFA203" s="21"/>
      <c r="JFB203" s="21"/>
      <c r="JFC203" s="21"/>
      <c r="JFD203" s="21"/>
      <c r="JFE203" s="21"/>
      <c r="JFF203" s="21"/>
      <c r="JFG203" s="21"/>
      <c r="JFH203" s="21"/>
      <c r="JFI203" s="21"/>
      <c r="JFJ203" s="21"/>
      <c r="JFK203" s="21"/>
      <c r="JFL203" s="21"/>
      <c r="JFM203" s="21"/>
      <c r="JFN203" s="21"/>
      <c r="JFO203" s="21"/>
      <c r="JFP203" s="21"/>
      <c r="JFQ203" s="21"/>
      <c r="JFR203" s="21"/>
      <c r="JFS203" s="21"/>
      <c r="JFT203" s="21"/>
      <c r="JFU203" s="21"/>
      <c r="JFV203" s="21"/>
      <c r="JFW203" s="21"/>
      <c r="JFX203" s="21"/>
      <c r="JFY203" s="21"/>
      <c r="JFZ203" s="21"/>
      <c r="JGA203" s="21"/>
      <c r="JGB203" s="21"/>
      <c r="JGC203" s="21"/>
      <c r="JGD203" s="21"/>
      <c r="JGE203" s="21"/>
      <c r="JGF203" s="21"/>
      <c r="JGG203" s="21"/>
      <c r="JGH203" s="21"/>
      <c r="JGI203" s="21"/>
      <c r="JGJ203" s="21"/>
      <c r="JGK203" s="21"/>
      <c r="JGL203" s="21"/>
      <c r="JGM203" s="21"/>
      <c r="JGN203" s="21"/>
      <c r="JGO203" s="21"/>
      <c r="JGP203" s="21"/>
      <c r="JGQ203" s="21"/>
      <c r="JGR203" s="21"/>
      <c r="JGS203" s="21"/>
      <c r="JGT203" s="21"/>
      <c r="JGU203" s="21"/>
      <c r="JGV203" s="21"/>
      <c r="JGW203" s="21"/>
      <c r="JGX203" s="21"/>
      <c r="JGY203" s="21"/>
      <c r="JGZ203" s="21"/>
      <c r="JHA203" s="21"/>
      <c r="JHB203" s="21"/>
      <c r="JHC203" s="21"/>
      <c r="JHD203" s="21"/>
      <c r="JHE203" s="21"/>
      <c r="JHF203" s="21"/>
      <c r="JHG203" s="21"/>
      <c r="JHH203" s="21"/>
      <c r="JHI203" s="21"/>
      <c r="JHJ203" s="21"/>
      <c r="JHK203" s="21"/>
      <c r="JHL203" s="21"/>
      <c r="JHM203" s="21"/>
      <c r="JHN203" s="21"/>
      <c r="JHO203" s="21"/>
      <c r="JHP203" s="21"/>
      <c r="JHQ203" s="21"/>
      <c r="JHR203" s="21"/>
      <c r="JHS203" s="21"/>
      <c r="JHT203" s="21"/>
      <c r="JHU203" s="21"/>
      <c r="JHV203" s="21"/>
      <c r="JHW203" s="21"/>
      <c r="JHX203" s="21"/>
      <c r="JHY203" s="21"/>
      <c r="JHZ203" s="21"/>
      <c r="JIA203" s="21"/>
      <c r="JIB203" s="21"/>
      <c r="JIC203" s="21"/>
      <c r="JID203" s="21"/>
      <c r="JIE203" s="21"/>
      <c r="JIF203" s="21"/>
      <c r="JIG203" s="21"/>
      <c r="JIH203" s="21"/>
      <c r="JII203" s="21"/>
      <c r="JIJ203" s="21"/>
      <c r="JIK203" s="21"/>
      <c r="JIL203" s="21"/>
      <c r="JIM203" s="21"/>
      <c r="JIN203" s="21"/>
      <c r="JIO203" s="21"/>
      <c r="JIP203" s="21"/>
      <c r="JIQ203" s="21"/>
      <c r="JIR203" s="21"/>
      <c r="JIS203" s="21"/>
      <c r="JIT203" s="21"/>
      <c r="JIU203" s="21"/>
      <c r="JIV203" s="21"/>
      <c r="JIW203" s="21"/>
      <c r="JIX203" s="21"/>
      <c r="JIY203" s="21"/>
      <c r="JIZ203" s="21"/>
      <c r="JJA203" s="21"/>
      <c r="JJB203" s="21"/>
      <c r="JJC203" s="21"/>
      <c r="JJD203" s="21"/>
      <c r="JJE203" s="21"/>
      <c r="JJF203" s="21"/>
      <c r="JJG203" s="21"/>
      <c r="JJH203" s="21"/>
      <c r="JJI203" s="21"/>
      <c r="JJJ203" s="21"/>
      <c r="JJK203" s="21"/>
      <c r="JJL203" s="21"/>
      <c r="JJM203" s="21"/>
      <c r="JJN203" s="21"/>
      <c r="JJO203" s="21"/>
      <c r="JJP203" s="21"/>
      <c r="JJQ203" s="21"/>
      <c r="JJR203" s="21"/>
      <c r="JJS203" s="21"/>
      <c r="JJT203" s="21"/>
      <c r="JJU203" s="21"/>
      <c r="JJV203" s="21"/>
      <c r="JJW203" s="21"/>
      <c r="JJX203" s="21"/>
      <c r="JJY203" s="21"/>
      <c r="JJZ203" s="21"/>
      <c r="JKA203" s="21"/>
      <c r="JKB203" s="21"/>
      <c r="JKC203" s="21"/>
      <c r="JKD203" s="21"/>
      <c r="JKE203" s="21"/>
      <c r="JKF203" s="21"/>
      <c r="JKG203" s="21"/>
      <c r="JKH203" s="21"/>
      <c r="JKI203" s="21"/>
      <c r="JKJ203" s="21"/>
      <c r="JKK203" s="21"/>
      <c r="JKL203" s="21"/>
      <c r="JKM203" s="21"/>
      <c r="JKN203" s="21"/>
      <c r="JKO203" s="21"/>
      <c r="JKP203" s="21"/>
      <c r="JKQ203" s="21"/>
      <c r="JKR203" s="21"/>
      <c r="JKS203" s="21"/>
      <c r="JKT203" s="21"/>
      <c r="JKU203" s="21"/>
      <c r="JKV203" s="21"/>
      <c r="JKW203" s="21"/>
      <c r="JKX203" s="21"/>
      <c r="JKY203" s="21"/>
      <c r="JKZ203" s="21"/>
      <c r="JLA203" s="21"/>
      <c r="JLB203" s="21"/>
      <c r="JLC203" s="21"/>
      <c r="JLD203" s="21"/>
      <c r="JLE203" s="21"/>
      <c r="JLF203" s="21"/>
      <c r="JLG203" s="21"/>
      <c r="JLH203" s="21"/>
      <c r="JLI203" s="21"/>
      <c r="JLJ203" s="21"/>
      <c r="JLK203" s="21"/>
      <c r="JLL203" s="21"/>
      <c r="JLM203" s="21"/>
      <c r="JLN203" s="21"/>
      <c r="JLO203" s="21"/>
      <c r="JLP203" s="21"/>
      <c r="JLQ203" s="21"/>
      <c r="JLR203" s="21"/>
      <c r="JLS203" s="21"/>
      <c r="JLT203" s="21"/>
      <c r="JLU203" s="21"/>
      <c r="JLV203" s="21"/>
      <c r="JLW203" s="21"/>
      <c r="JLX203" s="21"/>
      <c r="JLY203" s="21"/>
      <c r="JLZ203" s="21"/>
      <c r="JMA203" s="21"/>
      <c r="JMB203" s="21"/>
      <c r="JMC203" s="21"/>
      <c r="JMD203" s="21"/>
      <c r="JME203" s="21"/>
      <c r="JMF203" s="21"/>
      <c r="JMG203" s="21"/>
      <c r="JMH203" s="21"/>
      <c r="JMI203" s="21"/>
      <c r="JMJ203" s="21"/>
      <c r="JMK203" s="21"/>
      <c r="JML203" s="21"/>
      <c r="JMM203" s="21"/>
      <c r="JMN203" s="21"/>
      <c r="JMO203" s="21"/>
      <c r="JMP203" s="21"/>
      <c r="JMQ203" s="21"/>
      <c r="JMR203" s="21"/>
      <c r="JMS203" s="21"/>
      <c r="JMT203" s="21"/>
      <c r="JMU203" s="21"/>
      <c r="JMV203" s="21"/>
      <c r="JMW203" s="21"/>
      <c r="JMX203" s="21"/>
      <c r="JMY203" s="21"/>
      <c r="JMZ203" s="21"/>
      <c r="JNA203" s="21"/>
      <c r="JNB203" s="21"/>
      <c r="JNC203" s="21"/>
      <c r="JND203" s="21"/>
      <c r="JNE203" s="21"/>
      <c r="JNF203" s="21"/>
      <c r="JNG203" s="21"/>
      <c r="JNH203" s="21"/>
      <c r="JNI203" s="21"/>
      <c r="JNJ203" s="21"/>
      <c r="JNK203" s="21"/>
      <c r="JNL203" s="21"/>
      <c r="JNM203" s="21"/>
      <c r="JNN203" s="21"/>
      <c r="JNO203" s="21"/>
      <c r="JNP203" s="21"/>
      <c r="JNQ203" s="21"/>
      <c r="JNR203" s="21"/>
      <c r="JNS203" s="21"/>
      <c r="JNT203" s="21"/>
      <c r="JNU203" s="21"/>
      <c r="JNV203" s="21"/>
      <c r="JNW203" s="21"/>
      <c r="JNX203" s="21"/>
      <c r="JNY203" s="21"/>
      <c r="JNZ203" s="21"/>
      <c r="JOA203" s="21"/>
      <c r="JOB203" s="21"/>
      <c r="JOC203" s="21"/>
      <c r="JOD203" s="21"/>
      <c r="JOE203" s="21"/>
      <c r="JOF203" s="21"/>
      <c r="JOG203" s="21"/>
      <c r="JOH203" s="21"/>
      <c r="JOI203" s="21"/>
      <c r="JOJ203" s="21"/>
      <c r="JOK203" s="21"/>
      <c r="JOL203" s="21"/>
      <c r="JOM203" s="21"/>
      <c r="JON203" s="21"/>
      <c r="JOO203" s="21"/>
      <c r="JOP203" s="21"/>
      <c r="JOQ203" s="21"/>
      <c r="JOR203" s="21"/>
      <c r="JOS203" s="21"/>
      <c r="JOT203" s="21"/>
      <c r="JOU203" s="21"/>
      <c r="JOV203" s="21"/>
      <c r="JOW203" s="21"/>
      <c r="JOX203" s="21"/>
      <c r="JOY203" s="21"/>
      <c r="JOZ203" s="21"/>
      <c r="JPA203" s="21"/>
      <c r="JPB203" s="21"/>
      <c r="JPC203" s="21"/>
      <c r="JPD203" s="21"/>
      <c r="JPE203" s="21"/>
      <c r="JPF203" s="21"/>
      <c r="JPG203" s="21"/>
      <c r="JPH203" s="21"/>
      <c r="JPI203" s="21"/>
      <c r="JPJ203" s="21"/>
      <c r="JPK203" s="21"/>
      <c r="JPL203" s="21"/>
      <c r="JPM203" s="21"/>
      <c r="JPN203" s="21"/>
      <c r="JPO203" s="21"/>
      <c r="JPP203" s="21"/>
      <c r="JPQ203" s="21"/>
      <c r="JPR203" s="21"/>
      <c r="JPS203" s="21"/>
      <c r="JPT203" s="21"/>
      <c r="JPU203" s="21"/>
      <c r="JPV203" s="21"/>
      <c r="JPW203" s="21"/>
      <c r="JPX203" s="21"/>
      <c r="JPY203" s="21"/>
      <c r="JPZ203" s="21"/>
      <c r="JQA203" s="21"/>
      <c r="JQB203" s="21"/>
      <c r="JQC203" s="21"/>
      <c r="JQD203" s="21"/>
      <c r="JQE203" s="21"/>
      <c r="JQF203" s="21"/>
      <c r="JQG203" s="21"/>
      <c r="JQH203" s="21"/>
      <c r="JQI203" s="21"/>
      <c r="JQJ203" s="21"/>
      <c r="JQK203" s="21"/>
      <c r="JQL203" s="21"/>
      <c r="JQM203" s="21"/>
      <c r="JQN203" s="21"/>
      <c r="JQO203" s="21"/>
      <c r="JQP203" s="21"/>
      <c r="JQQ203" s="21"/>
      <c r="JQR203" s="21"/>
      <c r="JQS203" s="21"/>
      <c r="JQT203" s="21"/>
      <c r="JQU203" s="21"/>
      <c r="JQV203" s="21"/>
      <c r="JQW203" s="21"/>
      <c r="JQX203" s="21"/>
      <c r="JQY203" s="21"/>
      <c r="JQZ203" s="21"/>
      <c r="JRA203" s="21"/>
      <c r="JRB203" s="21"/>
      <c r="JRC203" s="21"/>
      <c r="JRD203" s="21"/>
      <c r="JRE203" s="21"/>
      <c r="JRF203" s="21"/>
      <c r="JRG203" s="21"/>
      <c r="JRH203" s="21"/>
      <c r="JRI203" s="21"/>
      <c r="JRJ203" s="21"/>
      <c r="JRK203" s="21"/>
      <c r="JRL203" s="21"/>
      <c r="JRM203" s="21"/>
      <c r="JRN203" s="21"/>
      <c r="JRO203" s="21"/>
      <c r="JRP203" s="21"/>
      <c r="JRQ203" s="21"/>
      <c r="JRR203" s="21"/>
      <c r="JRS203" s="21"/>
      <c r="JRT203" s="21"/>
      <c r="JRU203" s="21"/>
      <c r="JRV203" s="21"/>
      <c r="JRW203" s="21"/>
      <c r="JRX203" s="21"/>
      <c r="JRY203" s="21"/>
      <c r="JRZ203" s="21"/>
      <c r="JSA203" s="21"/>
      <c r="JSB203" s="21"/>
      <c r="JSC203" s="21"/>
      <c r="JSD203" s="21"/>
      <c r="JSE203" s="21"/>
      <c r="JSF203" s="21"/>
      <c r="JSG203" s="21"/>
      <c r="JSH203" s="21"/>
      <c r="JSI203" s="21"/>
      <c r="JSJ203" s="21"/>
      <c r="JSK203" s="21"/>
      <c r="JSL203" s="21"/>
      <c r="JSM203" s="21"/>
      <c r="JSN203" s="21"/>
      <c r="JSO203" s="21"/>
      <c r="JSP203" s="21"/>
      <c r="JSQ203" s="21"/>
      <c r="JSR203" s="21"/>
      <c r="JSS203" s="21"/>
      <c r="JST203" s="21"/>
      <c r="JSU203" s="21"/>
      <c r="JSV203" s="21"/>
      <c r="JSW203" s="21"/>
      <c r="JSX203" s="21"/>
      <c r="JSY203" s="21"/>
      <c r="JSZ203" s="21"/>
      <c r="JTA203" s="21"/>
      <c r="JTB203" s="21"/>
      <c r="JTC203" s="21"/>
      <c r="JTD203" s="21"/>
      <c r="JTE203" s="21"/>
      <c r="JTF203" s="21"/>
      <c r="JTG203" s="21"/>
      <c r="JTH203" s="21"/>
      <c r="JTI203" s="21"/>
      <c r="JTJ203" s="21"/>
      <c r="JTK203" s="21"/>
      <c r="JTL203" s="21"/>
      <c r="JTM203" s="21"/>
      <c r="JTN203" s="21"/>
      <c r="JTO203" s="21"/>
      <c r="JTP203" s="21"/>
      <c r="JTQ203" s="21"/>
      <c r="JTR203" s="21"/>
      <c r="JTS203" s="21"/>
      <c r="JTT203" s="21"/>
      <c r="JTU203" s="21"/>
      <c r="JTV203" s="21"/>
      <c r="JTW203" s="21"/>
      <c r="JTX203" s="21"/>
      <c r="JTY203" s="21"/>
      <c r="JTZ203" s="21"/>
      <c r="JUA203" s="21"/>
      <c r="JUB203" s="21"/>
      <c r="JUC203" s="21"/>
      <c r="JUD203" s="21"/>
      <c r="JUE203" s="21"/>
      <c r="JUF203" s="21"/>
      <c r="JUG203" s="21"/>
      <c r="JUH203" s="21"/>
      <c r="JUI203" s="21"/>
      <c r="JUJ203" s="21"/>
      <c r="JUK203" s="21"/>
      <c r="JUL203" s="21"/>
      <c r="JUM203" s="21"/>
      <c r="JUN203" s="21"/>
      <c r="JUO203" s="21"/>
      <c r="JUP203" s="21"/>
      <c r="JUQ203" s="21"/>
      <c r="JUR203" s="21"/>
      <c r="JUS203" s="21"/>
      <c r="JUT203" s="21"/>
      <c r="JUU203" s="21"/>
      <c r="JUV203" s="21"/>
      <c r="JUW203" s="21"/>
      <c r="JUX203" s="21"/>
      <c r="JUY203" s="21"/>
      <c r="JUZ203" s="21"/>
      <c r="JVA203" s="21"/>
      <c r="JVB203" s="21"/>
      <c r="JVC203" s="21"/>
      <c r="JVD203" s="21"/>
      <c r="JVE203" s="21"/>
      <c r="JVF203" s="21"/>
      <c r="JVG203" s="21"/>
      <c r="JVH203" s="21"/>
      <c r="JVI203" s="21"/>
      <c r="JVJ203" s="21"/>
      <c r="JVK203" s="21"/>
      <c r="JVL203" s="21"/>
      <c r="JVM203" s="21"/>
      <c r="JVN203" s="21"/>
      <c r="JVO203" s="21"/>
      <c r="JVP203" s="21"/>
      <c r="JVQ203" s="21"/>
      <c r="JVR203" s="21"/>
      <c r="JVS203" s="21"/>
      <c r="JVT203" s="21"/>
      <c r="JVU203" s="21"/>
      <c r="JVV203" s="21"/>
      <c r="JVW203" s="21"/>
      <c r="JVX203" s="21"/>
      <c r="JVY203" s="21"/>
      <c r="JVZ203" s="21"/>
      <c r="JWA203" s="21"/>
      <c r="JWB203" s="21"/>
      <c r="JWC203" s="21"/>
      <c r="JWD203" s="21"/>
      <c r="JWE203" s="21"/>
      <c r="JWF203" s="21"/>
      <c r="JWG203" s="21"/>
      <c r="JWH203" s="21"/>
      <c r="JWI203" s="21"/>
      <c r="JWJ203" s="21"/>
      <c r="JWK203" s="21"/>
      <c r="JWL203" s="21"/>
      <c r="JWM203" s="21"/>
      <c r="JWN203" s="21"/>
      <c r="JWO203" s="21"/>
      <c r="JWP203" s="21"/>
      <c r="JWQ203" s="21"/>
      <c r="JWR203" s="21"/>
      <c r="JWS203" s="21"/>
      <c r="JWT203" s="21"/>
      <c r="JWU203" s="21"/>
      <c r="JWV203" s="21"/>
      <c r="JWW203" s="21"/>
      <c r="JWX203" s="21"/>
      <c r="JWY203" s="21"/>
      <c r="JWZ203" s="21"/>
      <c r="JXA203" s="21"/>
      <c r="JXB203" s="21"/>
      <c r="JXC203" s="21"/>
      <c r="JXD203" s="21"/>
      <c r="JXE203" s="21"/>
      <c r="JXF203" s="21"/>
      <c r="JXG203" s="21"/>
      <c r="JXH203" s="21"/>
      <c r="JXI203" s="21"/>
      <c r="JXJ203" s="21"/>
      <c r="JXK203" s="21"/>
      <c r="JXL203" s="21"/>
      <c r="JXM203" s="21"/>
      <c r="JXN203" s="21"/>
      <c r="JXO203" s="21"/>
      <c r="JXP203" s="21"/>
      <c r="JXQ203" s="21"/>
      <c r="JXR203" s="21"/>
      <c r="JXS203" s="21"/>
      <c r="JXT203" s="21"/>
      <c r="JXU203" s="21"/>
      <c r="JXV203" s="21"/>
      <c r="JXW203" s="21"/>
      <c r="JXX203" s="21"/>
      <c r="JXY203" s="21"/>
      <c r="JXZ203" s="21"/>
      <c r="JYA203" s="21"/>
      <c r="JYB203" s="21"/>
      <c r="JYC203" s="21"/>
      <c r="JYD203" s="21"/>
      <c r="JYE203" s="21"/>
      <c r="JYF203" s="21"/>
      <c r="JYG203" s="21"/>
      <c r="JYH203" s="21"/>
      <c r="JYI203" s="21"/>
      <c r="JYJ203" s="21"/>
      <c r="JYK203" s="21"/>
      <c r="JYL203" s="21"/>
      <c r="JYM203" s="21"/>
      <c r="JYN203" s="21"/>
      <c r="JYO203" s="21"/>
      <c r="JYP203" s="21"/>
      <c r="JYQ203" s="21"/>
      <c r="JYR203" s="21"/>
      <c r="JYS203" s="21"/>
      <c r="JYT203" s="21"/>
      <c r="JYU203" s="21"/>
      <c r="JYV203" s="21"/>
      <c r="JYW203" s="21"/>
      <c r="JYX203" s="21"/>
      <c r="JYY203" s="21"/>
      <c r="JYZ203" s="21"/>
      <c r="JZA203" s="21"/>
      <c r="JZB203" s="21"/>
      <c r="JZC203" s="21"/>
      <c r="JZD203" s="21"/>
      <c r="JZE203" s="21"/>
      <c r="JZF203" s="21"/>
      <c r="JZG203" s="21"/>
      <c r="JZH203" s="21"/>
      <c r="JZI203" s="21"/>
      <c r="JZJ203" s="21"/>
      <c r="JZK203" s="21"/>
      <c r="JZL203" s="21"/>
      <c r="JZM203" s="21"/>
      <c r="JZN203" s="21"/>
      <c r="JZO203" s="21"/>
      <c r="JZP203" s="21"/>
      <c r="JZQ203" s="21"/>
      <c r="JZR203" s="21"/>
      <c r="JZS203" s="21"/>
      <c r="JZT203" s="21"/>
      <c r="JZU203" s="21"/>
      <c r="JZV203" s="21"/>
      <c r="JZW203" s="21"/>
      <c r="JZX203" s="21"/>
      <c r="JZY203" s="21"/>
      <c r="JZZ203" s="21"/>
      <c r="KAA203" s="21"/>
      <c r="KAB203" s="21"/>
      <c r="KAC203" s="21"/>
      <c r="KAD203" s="21"/>
      <c r="KAE203" s="21"/>
      <c r="KAF203" s="21"/>
      <c r="KAG203" s="21"/>
      <c r="KAH203" s="21"/>
      <c r="KAI203" s="21"/>
      <c r="KAJ203" s="21"/>
      <c r="KAK203" s="21"/>
      <c r="KAL203" s="21"/>
      <c r="KAM203" s="21"/>
      <c r="KAN203" s="21"/>
      <c r="KAO203" s="21"/>
      <c r="KAP203" s="21"/>
      <c r="KAQ203" s="21"/>
      <c r="KAR203" s="21"/>
      <c r="KAS203" s="21"/>
      <c r="KAT203" s="21"/>
      <c r="KAU203" s="21"/>
      <c r="KAV203" s="21"/>
      <c r="KAW203" s="21"/>
      <c r="KAX203" s="21"/>
      <c r="KAY203" s="21"/>
      <c r="KAZ203" s="21"/>
      <c r="KBA203" s="21"/>
      <c r="KBB203" s="21"/>
      <c r="KBC203" s="21"/>
      <c r="KBD203" s="21"/>
      <c r="KBE203" s="21"/>
      <c r="KBF203" s="21"/>
      <c r="KBG203" s="21"/>
      <c r="KBH203" s="21"/>
      <c r="KBI203" s="21"/>
      <c r="KBJ203" s="21"/>
      <c r="KBK203" s="21"/>
      <c r="KBL203" s="21"/>
      <c r="KBM203" s="21"/>
      <c r="KBN203" s="21"/>
      <c r="KBO203" s="21"/>
      <c r="KBP203" s="21"/>
      <c r="KBQ203" s="21"/>
      <c r="KBR203" s="21"/>
      <c r="KBS203" s="21"/>
      <c r="KBT203" s="21"/>
      <c r="KBU203" s="21"/>
      <c r="KBV203" s="21"/>
      <c r="KBW203" s="21"/>
      <c r="KBX203" s="21"/>
      <c r="KBY203" s="21"/>
      <c r="KBZ203" s="21"/>
      <c r="KCA203" s="21"/>
      <c r="KCB203" s="21"/>
      <c r="KCC203" s="21"/>
      <c r="KCD203" s="21"/>
      <c r="KCE203" s="21"/>
      <c r="KCF203" s="21"/>
      <c r="KCG203" s="21"/>
      <c r="KCH203" s="21"/>
      <c r="KCI203" s="21"/>
      <c r="KCJ203" s="21"/>
      <c r="KCK203" s="21"/>
      <c r="KCL203" s="21"/>
      <c r="KCM203" s="21"/>
      <c r="KCN203" s="21"/>
      <c r="KCO203" s="21"/>
      <c r="KCP203" s="21"/>
      <c r="KCQ203" s="21"/>
      <c r="KCR203" s="21"/>
      <c r="KCS203" s="21"/>
      <c r="KCT203" s="21"/>
      <c r="KCU203" s="21"/>
      <c r="KCV203" s="21"/>
      <c r="KCW203" s="21"/>
      <c r="KCX203" s="21"/>
      <c r="KCY203" s="21"/>
      <c r="KCZ203" s="21"/>
      <c r="KDA203" s="21"/>
      <c r="KDB203" s="21"/>
      <c r="KDC203" s="21"/>
      <c r="KDD203" s="21"/>
      <c r="KDE203" s="21"/>
      <c r="KDF203" s="21"/>
      <c r="KDG203" s="21"/>
      <c r="KDH203" s="21"/>
      <c r="KDI203" s="21"/>
      <c r="KDJ203" s="21"/>
      <c r="KDK203" s="21"/>
      <c r="KDL203" s="21"/>
      <c r="KDM203" s="21"/>
      <c r="KDN203" s="21"/>
      <c r="KDO203" s="21"/>
      <c r="KDP203" s="21"/>
      <c r="KDQ203" s="21"/>
      <c r="KDR203" s="21"/>
      <c r="KDS203" s="21"/>
      <c r="KDT203" s="21"/>
      <c r="KDU203" s="21"/>
      <c r="KDV203" s="21"/>
      <c r="KDW203" s="21"/>
      <c r="KDX203" s="21"/>
      <c r="KDY203" s="21"/>
      <c r="KDZ203" s="21"/>
      <c r="KEA203" s="21"/>
      <c r="KEB203" s="21"/>
      <c r="KEC203" s="21"/>
      <c r="KED203" s="21"/>
      <c r="KEE203" s="21"/>
      <c r="KEF203" s="21"/>
      <c r="KEG203" s="21"/>
      <c r="KEH203" s="21"/>
      <c r="KEI203" s="21"/>
      <c r="KEJ203" s="21"/>
      <c r="KEK203" s="21"/>
      <c r="KEL203" s="21"/>
      <c r="KEM203" s="21"/>
      <c r="KEN203" s="21"/>
      <c r="KEO203" s="21"/>
      <c r="KEP203" s="21"/>
      <c r="KEQ203" s="21"/>
      <c r="KER203" s="21"/>
      <c r="KES203" s="21"/>
      <c r="KET203" s="21"/>
      <c r="KEU203" s="21"/>
      <c r="KEV203" s="21"/>
      <c r="KEW203" s="21"/>
      <c r="KEX203" s="21"/>
      <c r="KEY203" s="21"/>
      <c r="KEZ203" s="21"/>
      <c r="KFA203" s="21"/>
      <c r="KFB203" s="21"/>
      <c r="KFC203" s="21"/>
      <c r="KFD203" s="21"/>
      <c r="KFE203" s="21"/>
      <c r="KFF203" s="21"/>
      <c r="KFG203" s="21"/>
      <c r="KFH203" s="21"/>
      <c r="KFI203" s="21"/>
      <c r="KFJ203" s="21"/>
      <c r="KFK203" s="21"/>
      <c r="KFL203" s="21"/>
      <c r="KFM203" s="21"/>
      <c r="KFN203" s="21"/>
      <c r="KFO203" s="21"/>
      <c r="KFP203" s="21"/>
      <c r="KFQ203" s="21"/>
      <c r="KFR203" s="21"/>
      <c r="KFS203" s="21"/>
      <c r="KFT203" s="21"/>
      <c r="KFU203" s="21"/>
      <c r="KFV203" s="21"/>
      <c r="KFW203" s="21"/>
      <c r="KFX203" s="21"/>
      <c r="KFY203" s="21"/>
      <c r="KFZ203" s="21"/>
      <c r="KGA203" s="21"/>
      <c r="KGB203" s="21"/>
      <c r="KGC203" s="21"/>
      <c r="KGD203" s="21"/>
      <c r="KGE203" s="21"/>
      <c r="KGF203" s="21"/>
      <c r="KGG203" s="21"/>
      <c r="KGH203" s="21"/>
      <c r="KGI203" s="21"/>
      <c r="KGJ203" s="21"/>
      <c r="KGK203" s="21"/>
      <c r="KGL203" s="21"/>
      <c r="KGM203" s="21"/>
      <c r="KGN203" s="21"/>
      <c r="KGO203" s="21"/>
      <c r="KGP203" s="21"/>
      <c r="KGQ203" s="21"/>
      <c r="KGR203" s="21"/>
      <c r="KGS203" s="21"/>
      <c r="KGT203" s="21"/>
      <c r="KGU203" s="21"/>
      <c r="KGV203" s="21"/>
      <c r="KGW203" s="21"/>
      <c r="KGX203" s="21"/>
      <c r="KGY203" s="21"/>
      <c r="KGZ203" s="21"/>
      <c r="KHA203" s="21"/>
      <c r="KHB203" s="21"/>
      <c r="KHC203" s="21"/>
      <c r="KHD203" s="21"/>
      <c r="KHE203" s="21"/>
      <c r="KHF203" s="21"/>
      <c r="KHG203" s="21"/>
      <c r="KHH203" s="21"/>
      <c r="KHI203" s="21"/>
      <c r="KHJ203" s="21"/>
      <c r="KHK203" s="21"/>
      <c r="KHL203" s="21"/>
      <c r="KHM203" s="21"/>
      <c r="KHN203" s="21"/>
      <c r="KHO203" s="21"/>
      <c r="KHP203" s="21"/>
      <c r="KHQ203" s="21"/>
      <c r="KHR203" s="21"/>
      <c r="KHS203" s="21"/>
      <c r="KHT203" s="21"/>
      <c r="KHU203" s="21"/>
      <c r="KHV203" s="21"/>
      <c r="KHW203" s="21"/>
      <c r="KHX203" s="21"/>
      <c r="KHY203" s="21"/>
      <c r="KHZ203" s="21"/>
      <c r="KIA203" s="21"/>
      <c r="KIB203" s="21"/>
      <c r="KIC203" s="21"/>
      <c r="KID203" s="21"/>
      <c r="KIE203" s="21"/>
      <c r="KIF203" s="21"/>
      <c r="KIG203" s="21"/>
      <c r="KIH203" s="21"/>
      <c r="KII203" s="21"/>
      <c r="KIJ203" s="21"/>
      <c r="KIK203" s="21"/>
      <c r="KIL203" s="21"/>
      <c r="KIM203" s="21"/>
      <c r="KIN203" s="21"/>
      <c r="KIO203" s="21"/>
      <c r="KIP203" s="21"/>
      <c r="KIQ203" s="21"/>
      <c r="KIR203" s="21"/>
      <c r="KIS203" s="21"/>
      <c r="KIT203" s="21"/>
      <c r="KIU203" s="21"/>
      <c r="KIV203" s="21"/>
      <c r="KIW203" s="21"/>
      <c r="KIX203" s="21"/>
      <c r="KIY203" s="21"/>
      <c r="KIZ203" s="21"/>
      <c r="KJA203" s="21"/>
      <c r="KJB203" s="21"/>
      <c r="KJC203" s="21"/>
      <c r="KJD203" s="21"/>
      <c r="KJE203" s="21"/>
      <c r="KJF203" s="21"/>
      <c r="KJG203" s="21"/>
      <c r="KJH203" s="21"/>
      <c r="KJI203" s="21"/>
      <c r="KJJ203" s="21"/>
      <c r="KJK203" s="21"/>
      <c r="KJL203" s="21"/>
      <c r="KJM203" s="21"/>
      <c r="KJN203" s="21"/>
      <c r="KJO203" s="21"/>
      <c r="KJP203" s="21"/>
      <c r="KJQ203" s="21"/>
      <c r="KJR203" s="21"/>
      <c r="KJS203" s="21"/>
      <c r="KJT203" s="21"/>
      <c r="KJU203" s="21"/>
      <c r="KJV203" s="21"/>
      <c r="KJW203" s="21"/>
      <c r="KJX203" s="21"/>
      <c r="KJY203" s="21"/>
      <c r="KJZ203" s="21"/>
      <c r="KKA203" s="21"/>
      <c r="KKB203" s="21"/>
      <c r="KKC203" s="21"/>
      <c r="KKD203" s="21"/>
      <c r="KKE203" s="21"/>
      <c r="KKF203" s="21"/>
      <c r="KKG203" s="21"/>
      <c r="KKH203" s="21"/>
      <c r="KKI203" s="21"/>
      <c r="KKJ203" s="21"/>
      <c r="KKK203" s="21"/>
      <c r="KKL203" s="21"/>
      <c r="KKM203" s="21"/>
      <c r="KKN203" s="21"/>
      <c r="KKO203" s="21"/>
      <c r="KKP203" s="21"/>
      <c r="KKQ203" s="21"/>
      <c r="KKR203" s="21"/>
      <c r="KKS203" s="21"/>
      <c r="KKT203" s="21"/>
      <c r="KKU203" s="21"/>
      <c r="KKV203" s="21"/>
      <c r="KKW203" s="21"/>
      <c r="KKX203" s="21"/>
      <c r="KKY203" s="21"/>
      <c r="KKZ203" s="21"/>
      <c r="KLA203" s="21"/>
      <c r="KLB203" s="21"/>
      <c r="KLC203" s="21"/>
      <c r="KLD203" s="21"/>
      <c r="KLE203" s="21"/>
      <c r="KLF203" s="21"/>
      <c r="KLG203" s="21"/>
      <c r="KLH203" s="21"/>
      <c r="KLI203" s="21"/>
      <c r="KLJ203" s="21"/>
      <c r="KLK203" s="21"/>
      <c r="KLL203" s="21"/>
      <c r="KLM203" s="21"/>
      <c r="KLN203" s="21"/>
      <c r="KLO203" s="21"/>
      <c r="KLP203" s="21"/>
      <c r="KLQ203" s="21"/>
      <c r="KLR203" s="21"/>
      <c r="KLS203" s="21"/>
      <c r="KLT203" s="21"/>
      <c r="KLU203" s="21"/>
      <c r="KLV203" s="21"/>
      <c r="KLW203" s="21"/>
      <c r="KLX203" s="21"/>
      <c r="KLY203" s="21"/>
      <c r="KLZ203" s="21"/>
      <c r="KMA203" s="21"/>
      <c r="KMB203" s="21"/>
      <c r="KMC203" s="21"/>
      <c r="KMD203" s="21"/>
      <c r="KME203" s="21"/>
      <c r="KMF203" s="21"/>
      <c r="KMG203" s="21"/>
      <c r="KMH203" s="21"/>
      <c r="KMI203" s="21"/>
      <c r="KMJ203" s="21"/>
      <c r="KMK203" s="21"/>
      <c r="KML203" s="21"/>
      <c r="KMM203" s="21"/>
      <c r="KMN203" s="21"/>
      <c r="KMO203" s="21"/>
      <c r="KMP203" s="21"/>
      <c r="KMQ203" s="21"/>
      <c r="KMR203" s="21"/>
      <c r="KMS203" s="21"/>
      <c r="KMT203" s="21"/>
      <c r="KMU203" s="21"/>
      <c r="KMV203" s="21"/>
      <c r="KMW203" s="21"/>
      <c r="KMX203" s="21"/>
      <c r="KMY203" s="21"/>
      <c r="KMZ203" s="21"/>
      <c r="KNA203" s="21"/>
      <c r="KNB203" s="21"/>
      <c r="KNC203" s="21"/>
      <c r="KND203" s="21"/>
      <c r="KNE203" s="21"/>
      <c r="KNF203" s="21"/>
      <c r="KNG203" s="21"/>
      <c r="KNH203" s="21"/>
      <c r="KNI203" s="21"/>
      <c r="KNJ203" s="21"/>
      <c r="KNK203" s="21"/>
      <c r="KNL203" s="21"/>
      <c r="KNM203" s="21"/>
      <c r="KNN203" s="21"/>
      <c r="KNO203" s="21"/>
      <c r="KNP203" s="21"/>
      <c r="KNQ203" s="21"/>
      <c r="KNR203" s="21"/>
      <c r="KNS203" s="21"/>
      <c r="KNT203" s="21"/>
      <c r="KNU203" s="21"/>
      <c r="KNV203" s="21"/>
      <c r="KNW203" s="21"/>
      <c r="KNX203" s="21"/>
      <c r="KNY203" s="21"/>
      <c r="KNZ203" s="21"/>
      <c r="KOA203" s="21"/>
      <c r="KOB203" s="21"/>
      <c r="KOC203" s="21"/>
      <c r="KOD203" s="21"/>
      <c r="KOE203" s="21"/>
      <c r="KOF203" s="21"/>
      <c r="KOG203" s="21"/>
      <c r="KOH203" s="21"/>
      <c r="KOI203" s="21"/>
      <c r="KOJ203" s="21"/>
      <c r="KOK203" s="21"/>
      <c r="KOL203" s="21"/>
      <c r="KOM203" s="21"/>
      <c r="KON203" s="21"/>
      <c r="KOO203" s="21"/>
      <c r="KOP203" s="21"/>
      <c r="KOQ203" s="21"/>
      <c r="KOR203" s="21"/>
      <c r="KOS203" s="21"/>
      <c r="KOT203" s="21"/>
      <c r="KOU203" s="21"/>
      <c r="KOV203" s="21"/>
      <c r="KOW203" s="21"/>
      <c r="KOX203" s="21"/>
      <c r="KOY203" s="21"/>
      <c r="KOZ203" s="21"/>
      <c r="KPA203" s="21"/>
      <c r="KPB203" s="21"/>
      <c r="KPC203" s="21"/>
      <c r="KPD203" s="21"/>
      <c r="KPE203" s="21"/>
      <c r="KPF203" s="21"/>
      <c r="KPG203" s="21"/>
      <c r="KPH203" s="21"/>
      <c r="KPI203" s="21"/>
      <c r="KPJ203" s="21"/>
      <c r="KPK203" s="21"/>
      <c r="KPL203" s="21"/>
      <c r="KPM203" s="21"/>
      <c r="KPN203" s="21"/>
      <c r="KPO203" s="21"/>
      <c r="KPP203" s="21"/>
      <c r="KPQ203" s="21"/>
      <c r="KPR203" s="21"/>
      <c r="KPS203" s="21"/>
      <c r="KPT203" s="21"/>
      <c r="KPU203" s="21"/>
      <c r="KPV203" s="21"/>
      <c r="KPW203" s="21"/>
      <c r="KPX203" s="21"/>
      <c r="KPY203" s="21"/>
      <c r="KPZ203" s="21"/>
      <c r="KQA203" s="21"/>
      <c r="KQB203" s="21"/>
      <c r="KQC203" s="21"/>
      <c r="KQD203" s="21"/>
      <c r="KQE203" s="21"/>
      <c r="KQF203" s="21"/>
      <c r="KQG203" s="21"/>
      <c r="KQH203" s="21"/>
      <c r="KQI203" s="21"/>
      <c r="KQJ203" s="21"/>
      <c r="KQK203" s="21"/>
      <c r="KQL203" s="21"/>
      <c r="KQM203" s="21"/>
      <c r="KQN203" s="21"/>
      <c r="KQO203" s="21"/>
      <c r="KQP203" s="21"/>
      <c r="KQQ203" s="21"/>
      <c r="KQR203" s="21"/>
      <c r="KQS203" s="21"/>
      <c r="KQT203" s="21"/>
      <c r="KQU203" s="21"/>
      <c r="KQV203" s="21"/>
      <c r="KQW203" s="21"/>
      <c r="KQX203" s="21"/>
      <c r="KQY203" s="21"/>
      <c r="KQZ203" s="21"/>
      <c r="KRA203" s="21"/>
      <c r="KRB203" s="21"/>
      <c r="KRC203" s="21"/>
      <c r="KRD203" s="21"/>
      <c r="KRE203" s="21"/>
      <c r="KRF203" s="21"/>
      <c r="KRG203" s="21"/>
      <c r="KRH203" s="21"/>
      <c r="KRI203" s="21"/>
      <c r="KRJ203" s="21"/>
      <c r="KRK203" s="21"/>
      <c r="KRL203" s="21"/>
      <c r="KRM203" s="21"/>
      <c r="KRN203" s="21"/>
      <c r="KRO203" s="21"/>
      <c r="KRP203" s="21"/>
      <c r="KRQ203" s="21"/>
      <c r="KRR203" s="21"/>
      <c r="KRS203" s="21"/>
      <c r="KRT203" s="21"/>
      <c r="KRU203" s="21"/>
      <c r="KRV203" s="21"/>
      <c r="KRW203" s="21"/>
      <c r="KRX203" s="21"/>
      <c r="KRY203" s="21"/>
      <c r="KRZ203" s="21"/>
      <c r="KSA203" s="21"/>
      <c r="KSB203" s="21"/>
      <c r="KSC203" s="21"/>
      <c r="KSD203" s="21"/>
      <c r="KSE203" s="21"/>
      <c r="KSF203" s="21"/>
      <c r="KSG203" s="21"/>
      <c r="KSH203" s="21"/>
      <c r="KSI203" s="21"/>
      <c r="KSJ203" s="21"/>
      <c r="KSK203" s="21"/>
      <c r="KSL203" s="21"/>
      <c r="KSM203" s="21"/>
      <c r="KSN203" s="21"/>
      <c r="KSO203" s="21"/>
      <c r="KSP203" s="21"/>
      <c r="KSQ203" s="21"/>
      <c r="KSR203" s="21"/>
      <c r="KSS203" s="21"/>
      <c r="KST203" s="21"/>
      <c r="KSU203" s="21"/>
      <c r="KSV203" s="21"/>
      <c r="KSW203" s="21"/>
      <c r="KSX203" s="21"/>
      <c r="KSY203" s="21"/>
      <c r="KSZ203" s="21"/>
      <c r="KTA203" s="21"/>
      <c r="KTB203" s="21"/>
      <c r="KTC203" s="21"/>
      <c r="KTD203" s="21"/>
      <c r="KTE203" s="21"/>
      <c r="KTF203" s="21"/>
      <c r="KTG203" s="21"/>
      <c r="KTH203" s="21"/>
      <c r="KTI203" s="21"/>
      <c r="KTJ203" s="21"/>
      <c r="KTK203" s="21"/>
      <c r="KTL203" s="21"/>
      <c r="KTM203" s="21"/>
      <c r="KTN203" s="21"/>
      <c r="KTO203" s="21"/>
      <c r="KTP203" s="21"/>
      <c r="KTQ203" s="21"/>
      <c r="KTR203" s="21"/>
      <c r="KTS203" s="21"/>
      <c r="KTT203" s="21"/>
      <c r="KTU203" s="21"/>
      <c r="KTV203" s="21"/>
      <c r="KTW203" s="21"/>
      <c r="KTX203" s="21"/>
      <c r="KTY203" s="21"/>
      <c r="KTZ203" s="21"/>
      <c r="KUA203" s="21"/>
      <c r="KUB203" s="21"/>
      <c r="KUC203" s="21"/>
      <c r="KUD203" s="21"/>
      <c r="KUE203" s="21"/>
      <c r="KUF203" s="21"/>
      <c r="KUG203" s="21"/>
      <c r="KUH203" s="21"/>
      <c r="KUI203" s="21"/>
      <c r="KUJ203" s="21"/>
      <c r="KUK203" s="21"/>
      <c r="KUL203" s="21"/>
      <c r="KUM203" s="21"/>
      <c r="KUN203" s="21"/>
      <c r="KUO203" s="21"/>
      <c r="KUP203" s="21"/>
      <c r="KUQ203" s="21"/>
      <c r="KUR203" s="21"/>
      <c r="KUS203" s="21"/>
      <c r="KUT203" s="21"/>
      <c r="KUU203" s="21"/>
      <c r="KUV203" s="21"/>
      <c r="KUW203" s="21"/>
      <c r="KUX203" s="21"/>
      <c r="KUY203" s="21"/>
      <c r="KUZ203" s="21"/>
      <c r="KVA203" s="21"/>
      <c r="KVB203" s="21"/>
      <c r="KVC203" s="21"/>
      <c r="KVD203" s="21"/>
      <c r="KVE203" s="21"/>
      <c r="KVF203" s="21"/>
      <c r="KVG203" s="21"/>
      <c r="KVH203" s="21"/>
      <c r="KVI203" s="21"/>
      <c r="KVJ203" s="21"/>
      <c r="KVK203" s="21"/>
      <c r="KVL203" s="21"/>
      <c r="KVM203" s="21"/>
      <c r="KVN203" s="21"/>
      <c r="KVO203" s="21"/>
      <c r="KVP203" s="21"/>
      <c r="KVQ203" s="21"/>
      <c r="KVR203" s="21"/>
      <c r="KVS203" s="21"/>
      <c r="KVT203" s="21"/>
      <c r="KVU203" s="21"/>
      <c r="KVV203" s="21"/>
      <c r="KVW203" s="21"/>
      <c r="KVX203" s="21"/>
      <c r="KVY203" s="21"/>
      <c r="KVZ203" s="21"/>
      <c r="KWA203" s="21"/>
      <c r="KWB203" s="21"/>
      <c r="KWC203" s="21"/>
      <c r="KWD203" s="21"/>
      <c r="KWE203" s="21"/>
      <c r="KWF203" s="21"/>
      <c r="KWG203" s="21"/>
      <c r="KWH203" s="21"/>
      <c r="KWI203" s="21"/>
      <c r="KWJ203" s="21"/>
      <c r="KWK203" s="21"/>
      <c r="KWL203" s="21"/>
      <c r="KWM203" s="21"/>
      <c r="KWN203" s="21"/>
      <c r="KWO203" s="21"/>
      <c r="KWP203" s="21"/>
      <c r="KWQ203" s="21"/>
      <c r="KWR203" s="21"/>
      <c r="KWS203" s="21"/>
      <c r="KWT203" s="21"/>
      <c r="KWU203" s="21"/>
      <c r="KWV203" s="21"/>
      <c r="KWW203" s="21"/>
      <c r="KWX203" s="21"/>
      <c r="KWY203" s="21"/>
      <c r="KWZ203" s="21"/>
      <c r="KXA203" s="21"/>
      <c r="KXB203" s="21"/>
      <c r="KXC203" s="21"/>
      <c r="KXD203" s="21"/>
      <c r="KXE203" s="21"/>
      <c r="KXF203" s="21"/>
      <c r="KXG203" s="21"/>
      <c r="KXH203" s="21"/>
      <c r="KXI203" s="21"/>
      <c r="KXJ203" s="21"/>
      <c r="KXK203" s="21"/>
      <c r="KXL203" s="21"/>
      <c r="KXM203" s="21"/>
      <c r="KXN203" s="21"/>
      <c r="KXO203" s="21"/>
      <c r="KXP203" s="21"/>
      <c r="KXQ203" s="21"/>
      <c r="KXR203" s="21"/>
      <c r="KXS203" s="21"/>
      <c r="KXT203" s="21"/>
      <c r="KXU203" s="21"/>
      <c r="KXV203" s="21"/>
      <c r="KXW203" s="21"/>
      <c r="KXX203" s="21"/>
      <c r="KXY203" s="21"/>
      <c r="KXZ203" s="21"/>
      <c r="KYA203" s="21"/>
      <c r="KYB203" s="21"/>
      <c r="KYC203" s="21"/>
      <c r="KYD203" s="21"/>
      <c r="KYE203" s="21"/>
      <c r="KYF203" s="21"/>
      <c r="KYG203" s="21"/>
      <c r="KYH203" s="21"/>
      <c r="KYI203" s="21"/>
      <c r="KYJ203" s="21"/>
      <c r="KYK203" s="21"/>
      <c r="KYL203" s="21"/>
      <c r="KYM203" s="21"/>
      <c r="KYN203" s="21"/>
      <c r="KYO203" s="21"/>
      <c r="KYP203" s="21"/>
      <c r="KYQ203" s="21"/>
      <c r="KYR203" s="21"/>
      <c r="KYS203" s="21"/>
      <c r="KYT203" s="21"/>
      <c r="KYU203" s="21"/>
      <c r="KYV203" s="21"/>
      <c r="KYW203" s="21"/>
      <c r="KYX203" s="21"/>
      <c r="KYY203" s="21"/>
      <c r="KYZ203" s="21"/>
      <c r="KZA203" s="21"/>
      <c r="KZB203" s="21"/>
      <c r="KZC203" s="21"/>
      <c r="KZD203" s="21"/>
      <c r="KZE203" s="21"/>
      <c r="KZF203" s="21"/>
      <c r="KZG203" s="21"/>
      <c r="KZH203" s="21"/>
      <c r="KZI203" s="21"/>
      <c r="KZJ203" s="21"/>
      <c r="KZK203" s="21"/>
      <c r="KZL203" s="21"/>
      <c r="KZM203" s="21"/>
      <c r="KZN203" s="21"/>
      <c r="KZO203" s="21"/>
      <c r="KZP203" s="21"/>
      <c r="KZQ203" s="21"/>
      <c r="KZR203" s="21"/>
      <c r="KZS203" s="21"/>
      <c r="KZT203" s="21"/>
      <c r="KZU203" s="21"/>
      <c r="KZV203" s="21"/>
      <c r="KZW203" s="21"/>
      <c r="KZX203" s="21"/>
      <c r="KZY203" s="21"/>
      <c r="KZZ203" s="21"/>
      <c r="LAA203" s="21"/>
      <c r="LAB203" s="21"/>
      <c r="LAC203" s="21"/>
      <c r="LAD203" s="21"/>
      <c r="LAE203" s="21"/>
      <c r="LAF203" s="21"/>
      <c r="LAG203" s="21"/>
      <c r="LAH203" s="21"/>
      <c r="LAI203" s="21"/>
      <c r="LAJ203" s="21"/>
      <c r="LAK203" s="21"/>
      <c r="LAL203" s="21"/>
      <c r="LAM203" s="21"/>
      <c r="LAN203" s="21"/>
      <c r="LAO203" s="21"/>
      <c r="LAP203" s="21"/>
      <c r="LAQ203" s="21"/>
      <c r="LAR203" s="21"/>
      <c r="LAS203" s="21"/>
      <c r="LAT203" s="21"/>
      <c r="LAU203" s="21"/>
      <c r="LAV203" s="21"/>
      <c r="LAW203" s="21"/>
      <c r="LAX203" s="21"/>
      <c r="LAY203" s="21"/>
      <c r="LAZ203" s="21"/>
      <c r="LBA203" s="21"/>
      <c r="LBB203" s="21"/>
      <c r="LBC203" s="21"/>
      <c r="LBD203" s="21"/>
      <c r="LBE203" s="21"/>
      <c r="LBF203" s="21"/>
      <c r="LBG203" s="21"/>
      <c r="LBH203" s="21"/>
      <c r="LBI203" s="21"/>
      <c r="LBJ203" s="21"/>
      <c r="LBK203" s="21"/>
      <c r="LBL203" s="21"/>
      <c r="LBM203" s="21"/>
      <c r="LBN203" s="21"/>
      <c r="LBO203" s="21"/>
      <c r="LBP203" s="21"/>
      <c r="LBQ203" s="21"/>
      <c r="LBR203" s="21"/>
      <c r="LBS203" s="21"/>
      <c r="LBT203" s="21"/>
      <c r="LBU203" s="21"/>
      <c r="LBV203" s="21"/>
      <c r="LBW203" s="21"/>
      <c r="LBX203" s="21"/>
      <c r="LBY203" s="21"/>
      <c r="LBZ203" s="21"/>
      <c r="LCA203" s="21"/>
      <c r="LCB203" s="21"/>
      <c r="LCC203" s="21"/>
      <c r="LCD203" s="21"/>
      <c r="LCE203" s="21"/>
      <c r="LCF203" s="21"/>
      <c r="LCG203" s="21"/>
      <c r="LCH203" s="21"/>
      <c r="LCI203" s="21"/>
      <c r="LCJ203" s="21"/>
      <c r="LCK203" s="21"/>
      <c r="LCL203" s="21"/>
      <c r="LCM203" s="21"/>
      <c r="LCN203" s="21"/>
      <c r="LCO203" s="21"/>
      <c r="LCP203" s="21"/>
      <c r="LCQ203" s="21"/>
      <c r="LCR203" s="21"/>
      <c r="LCS203" s="21"/>
      <c r="LCT203" s="21"/>
      <c r="LCU203" s="21"/>
      <c r="LCV203" s="21"/>
      <c r="LCW203" s="21"/>
      <c r="LCX203" s="21"/>
      <c r="LCY203" s="21"/>
      <c r="LCZ203" s="21"/>
      <c r="LDA203" s="21"/>
      <c r="LDB203" s="21"/>
      <c r="LDC203" s="21"/>
      <c r="LDD203" s="21"/>
      <c r="LDE203" s="21"/>
      <c r="LDF203" s="21"/>
      <c r="LDG203" s="21"/>
      <c r="LDH203" s="21"/>
      <c r="LDI203" s="21"/>
      <c r="LDJ203" s="21"/>
      <c r="LDK203" s="21"/>
      <c r="LDL203" s="21"/>
      <c r="LDM203" s="21"/>
      <c r="LDN203" s="21"/>
      <c r="LDO203" s="21"/>
      <c r="LDP203" s="21"/>
      <c r="LDQ203" s="21"/>
      <c r="LDR203" s="21"/>
      <c r="LDS203" s="21"/>
      <c r="LDT203" s="21"/>
      <c r="LDU203" s="21"/>
      <c r="LDV203" s="21"/>
      <c r="LDW203" s="21"/>
      <c r="LDX203" s="21"/>
      <c r="LDY203" s="21"/>
      <c r="LDZ203" s="21"/>
      <c r="LEA203" s="21"/>
      <c r="LEB203" s="21"/>
      <c r="LEC203" s="21"/>
      <c r="LED203" s="21"/>
      <c r="LEE203" s="21"/>
      <c r="LEF203" s="21"/>
      <c r="LEG203" s="21"/>
      <c r="LEH203" s="21"/>
      <c r="LEI203" s="21"/>
      <c r="LEJ203" s="21"/>
      <c r="LEK203" s="21"/>
      <c r="LEL203" s="21"/>
      <c r="LEM203" s="21"/>
      <c r="LEN203" s="21"/>
      <c r="LEO203" s="21"/>
      <c r="LEP203" s="21"/>
      <c r="LEQ203" s="21"/>
      <c r="LER203" s="21"/>
      <c r="LES203" s="21"/>
      <c r="LET203" s="21"/>
      <c r="LEU203" s="21"/>
      <c r="LEV203" s="21"/>
      <c r="LEW203" s="21"/>
      <c r="LEX203" s="21"/>
      <c r="LEY203" s="21"/>
      <c r="LEZ203" s="21"/>
      <c r="LFA203" s="21"/>
      <c r="LFB203" s="21"/>
      <c r="LFC203" s="21"/>
      <c r="LFD203" s="21"/>
      <c r="LFE203" s="21"/>
      <c r="LFF203" s="21"/>
      <c r="LFG203" s="21"/>
      <c r="LFH203" s="21"/>
      <c r="LFI203" s="21"/>
      <c r="LFJ203" s="21"/>
      <c r="LFK203" s="21"/>
      <c r="LFL203" s="21"/>
      <c r="LFM203" s="21"/>
      <c r="LFN203" s="21"/>
      <c r="LFO203" s="21"/>
      <c r="LFP203" s="21"/>
      <c r="LFQ203" s="21"/>
      <c r="LFR203" s="21"/>
      <c r="LFS203" s="21"/>
      <c r="LFT203" s="21"/>
      <c r="LFU203" s="21"/>
      <c r="LFV203" s="21"/>
      <c r="LFW203" s="21"/>
      <c r="LFX203" s="21"/>
      <c r="LFY203" s="21"/>
      <c r="LFZ203" s="21"/>
      <c r="LGA203" s="21"/>
      <c r="LGB203" s="21"/>
      <c r="LGC203" s="21"/>
      <c r="LGD203" s="21"/>
      <c r="LGE203" s="21"/>
      <c r="LGF203" s="21"/>
      <c r="LGG203" s="21"/>
      <c r="LGH203" s="21"/>
      <c r="LGI203" s="21"/>
      <c r="LGJ203" s="21"/>
      <c r="LGK203" s="21"/>
      <c r="LGL203" s="21"/>
      <c r="LGM203" s="21"/>
      <c r="LGN203" s="21"/>
      <c r="LGO203" s="21"/>
      <c r="LGP203" s="21"/>
      <c r="LGQ203" s="21"/>
      <c r="LGR203" s="21"/>
      <c r="LGS203" s="21"/>
      <c r="LGT203" s="21"/>
      <c r="LGU203" s="21"/>
      <c r="LGV203" s="21"/>
      <c r="LGW203" s="21"/>
      <c r="LGX203" s="21"/>
      <c r="LGY203" s="21"/>
      <c r="LGZ203" s="21"/>
      <c r="LHA203" s="21"/>
      <c r="LHB203" s="21"/>
      <c r="LHC203" s="21"/>
      <c r="LHD203" s="21"/>
      <c r="LHE203" s="21"/>
      <c r="LHF203" s="21"/>
      <c r="LHG203" s="21"/>
      <c r="LHH203" s="21"/>
      <c r="LHI203" s="21"/>
      <c r="LHJ203" s="21"/>
      <c r="LHK203" s="21"/>
      <c r="LHL203" s="21"/>
      <c r="LHM203" s="21"/>
      <c r="LHN203" s="21"/>
      <c r="LHO203" s="21"/>
      <c r="LHP203" s="21"/>
      <c r="LHQ203" s="21"/>
      <c r="LHR203" s="21"/>
      <c r="LHS203" s="21"/>
      <c r="LHT203" s="21"/>
      <c r="LHU203" s="21"/>
      <c r="LHV203" s="21"/>
      <c r="LHW203" s="21"/>
      <c r="LHX203" s="21"/>
      <c r="LHY203" s="21"/>
      <c r="LHZ203" s="21"/>
      <c r="LIA203" s="21"/>
      <c r="LIB203" s="21"/>
      <c r="LIC203" s="21"/>
      <c r="LID203" s="21"/>
      <c r="LIE203" s="21"/>
      <c r="LIF203" s="21"/>
      <c r="LIG203" s="21"/>
      <c r="LIH203" s="21"/>
      <c r="LII203" s="21"/>
      <c r="LIJ203" s="21"/>
      <c r="LIK203" s="21"/>
      <c r="LIL203" s="21"/>
      <c r="LIM203" s="21"/>
      <c r="LIN203" s="21"/>
      <c r="LIO203" s="21"/>
      <c r="LIP203" s="21"/>
      <c r="LIQ203" s="21"/>
      <c r="LIR203" s="21"/>
      <c r="LIS203" s="21"/>
      <c r="LIT203" s="21"/>
      <c r="LIU203" s="21"/>
      <c r="LIV203" s="21"/>
      <c r="LIW203" s="21"/>
      <c r="LIX203" s="21"/>
      <c r="LIY203" s="21"/>
      <c r="LIZ203" s="21"/>
      <c r="LJA203" s="21"/>
      <c r="LJB203" s="21"/>
      <c r="LJC203" s="21"/>
      <c r="LJD203" s="21"/>
      <c r="LJE203" s="21"/>
      <c r="LJF203" s="21"/>
      <c r="LJG203" s="21"/>
      <c r="LJH203" s="21"/>
      <c r="LJI203" s="21"/>
      <c r="LJJ203" s="21"/>
      <c r="LJK203" s="21"/>
      <c r="LJL203" s="21"/>
      <c r="LJM203" s="21"/>
      <c r="LJN203" s="21"/>
      <c r="LJO203" s="21"/>
      <c r="LJP203" s="21"/>
      <c r="LJQ203" s="21"/>
      <c r="LJR203" s="21"/>
      <c r="LJS203" s="21"/>
      <c r="LJT203" s="21"/>
      <c r="LJU203" s="21"/>
      <c r="LJV203" s="21"/>
      <c r="LJW203" s="21"/>
      <c r="LJX203" s="21"/>
      <c r="LJY203" s="21"/>
      <c r="LJZ203" s="21"/>
      <c r="LKA203" s="21"/>
      <c r="LKB203" s="21"/>
      <c r="LKC203" s="21"/>
      <c r="LKD203" s="21"/>
      <c r="LKE203" s="21"/>
      <c r="LKF203" s="21"/>
      <c r="LKG203" s="21"/>
      <c r="LKH203" s="21"/>
      <c r="LKI203" s="21"/>
      <c r="LKJ203" s="21"/>
      <c r="LKK203" s="21"/>
      <c r="LKL203" s="21"/>
      <c r="LKM203" s="21"/>
      <c r="LKN203" s="21"/>
      <c r="LKO203" s="21"/>
      <c r="LKP203" s="21"/>
      <c r="LKQ203" s="21"/>
      <c r="LKR203" s="21"/>
      <c r="LKS203" s="21"/>
      <c r="LKT203" s="21"/>
      <c r="LKU203" s="21"/>
      <c r="LKV203" s="21"/>
      <c r="LKW203" s="21"/>
      <c r="LKX203" s="21"/>
      <c r="LKY203" s="21"/>
      <c r="LKZ203" s="21"/>
      <c r="LLA203" s="21"/>
      <c r="LLB203" s="21"/>
      <c r="LLC203" s="21"/>
      <c r="LLD203" s="21"/>
      <c r="LLE203" s="21"/>
      <c r="LLF203" s="21"/>
      <c r="LLG203" s="21"/>
      <c r="LLH203" s="21"/>
      <c r="LLI203" s="21"/>
      <c r="LLJ203" s="21"/>
      <c r="LLK203" s="21"/>
      <c r="LLL203" s="21"/>
      <c r="LLM203" s="21"/>
      <c r="LLN203" s="21"/>
      <c r="LLO203" s="21"/>
      <c r="LLP203" s="21"/>
      <c r="LLQ203" s="21"/>
      <c r="LLR203" s="21"/>
      <c r="LLS203" s="21"/>
      <c r="LLT203" s="21"/>
      <c r="LLU203" s="21"/>
      <c r="LLV203" s="21"/>
      <c r="LLW203" s="21"/>
      <c r="LLX203" s="21"/>
      <c r="LLY203" s="21"/>
      <c r="LLZ203" s="21"/>
      <c r="LMA203" s="21"/>
      <c r="LMB203" s="21"/>
      <c r="LMC203" s="21"/>
      <c r="LMD203" s="21"/>
      <c r="LME203" s="21"/>
      <c r="LMF203" s="21"/>
      <c r="LMG203" s="21"/>
      <c r="LMH203" s="21"/>
      <c r="LMI203" s="21"/>
      <c r="LMJ203" s="21"/>
      <c r="LMK203" s="21"/>
      <c r="LML203" s="21"/>
      <c r="LMM203" s="21"/>
      <c r="LMN203" s="21"/>
      <c r="LMO203" s="21"/>
      <c r="LMP203" s="21"/>
      <c r="LMQ203" s="21"/>
      <c r="LMR203" s="21"/>
      <c r="LMS203" s="21"/>
      <c r="LMT203" s="21"/>
      <c r="LMU203" s="21"/>
      <c r="LMV203" s="21"/>
      <c r="LMW203" s="21"/>
      <c r="LMX203" s="21"/>
      <c r="LMY203" s="21"/>
      <c r="LMZ203" s="21"/>
      <c r="LNA203" s="21"/>
      <c r="LNB203" s="21"/>
      <c r="LNC203" s="21"/>
      <c r="LND203" s="21"/>
      <c r="LNE203" s="21"/>
      <c r="LNF203" s="21"/>
      <c r="LNG203" s="21"/>
      <c r="LNH203" s="21"/>
      <c r="LNI203" s="21"/>
      <c r="LNJ203" s="21"/>
      <c r="LNK203" s="21"/>
      <c r="LNL203" s="21"/>
      <c r="LNM203" s="21"/>
      <c r="LNN203" s="21"/>
      <c r="LNO203" s="21"/>
      <c r="LNP203" s="21"/>
      <c r="LNQ203" s="21"/>
      <c r="LNR203" s="21"/>
      <c r="LNS203" s="21"/>
      <c r="LNT203" s="21"/>
      <c r="LNU203" s="21"/>
      <c r="LNV203" s="21"/>
      <c r="LNW203" s="21"/>
      <c r="LNX203" s="21"/>
      <c r="LNY203" s="21"/>
      <c r="LNZ203" s="21"/>
      <c r="LOA203" s="21"/>
      <c r="LOB203" s="21"/>
      <c r="LOC203" s="21"/>
      <c r="LOD203" s="21"/>
      <c r="LOE203" s="21"/>
      <c r="LOF203" s="21"/>
      <c r="LOG203" s="21"/>
      <c r="LOH203" s="21"/>
      <c r="LOI203" s="21"/>
      <c r="LOJ203" s="21"/>
      <c r="LOK203" s="21"/>
      <c r="LOL203" s="21"/>
      <c r="LOM203" s="21"/>
      <c r="LON203" s="21"/>
      <c r="LOO203" s="21"/>
      <c r="LOP203" s="21"/>
      <c r="LOQ203" s="21"/>
      <c r="LOR203" s="21"/>
      <c r="LOS203" s="21"/>
      <c r="LOT203" s="21"/>
      <c r="LOU203" s="21"/>
      <c r="LOV203" s="21"/>
      <c r="LOW203" s="21"/>
      <c r="LOX203" s="21"/>
      <c r="LOY203" s="21"/>
      <c r="LOZ203" s="21"/>
      <c r="LPA203" s="21"/>
      <c r="LPB203" s="21"/>
      <c r="LPC203" s="21"/>
      <c r="LPD203" s="21"/>
      <c r="LPE203" s="21"/>
      <c r="LPF203" s="21"/>
      <c r="LPG203" s="21"/>
      <c r="LPH203" s="21"/>
      <c r="LPI203" s="21"/>
      <c r="LPJ203" s="21"/>
      <c r="LPK203" s="21"/>
      <c r="LPL203" s="21"/>
      <c r="LPM203" s="21"/>
      <c r="LPN203" s="21"/>
      <c r="LPO203" s="21"/>
      <c r="LPP203" s="21"/>
      <c r="LPQ203" s="21"/>
      <c r="LPR203" s="21"/>
      <c r="LPS203" s="21"/>
      <c r="LPT203" s="21"/>
      <c r="LPU203" s="21"/>
      <c r="LPV203" s="21"/>
      <c r="LPW203" s="21"/>
      <c r="LPX203" s="21"/>
      <c r="LPY203" s="21"/>
      <c r="LPZ203" s="21"/>
      <c r="LQA203" s="21"/>
      <c r="LQB203" s="21"/>
      <c r="LQC203" s="21"/>
      <c r="LQD203" s="21"/>
      <c r="LQE203" s="21"/>
      <c r="LQF203" s="21"/>
      <c r="LQG203" s="21"/>
      <c r="LQH203" s="21"/>
      <c r="LQI203" s="21"/>
      <c r="LQJ203" s="21"/>
      <c r="LQK203" s="21"/>
      <c r="LQL203" s="21"/>
      <c r="LQM203" s="21"/>
      <c r="LQN203" s="21"/>
      <c r="LQO203" s="21"/>
      <c r="LQP203" s="21"/>
      <c r="LQQ203" s="21"/>
      <c r="LQR203" s="21"/>
      <c r="LQS203" s="21"/>
      <c r="LQT203" s="21"/>
      <c r="LQU203" s="21"/>
      <c r="LQV203" s="21"/>
      <c r="LQW203" s="21"/>
      <c r="LQX203" s="21"/>
      <c r="LQY203" s="21"/>
      <c r="LQZ203" s="21"/>
      <c r="LRA203" s="21"/>
      <c r="LRB203" s="21"/>
      <c r="LRC203" s="21"/>
      <c r="LRD203" s="21"/>
      <c r="LRE203" s="21"/>
      <c r="LRF203" s="21"/>
      <c r="LRG203" s="21"/>
      <c r="LRH203" s="21"/>
      <c r="LRI203" s="21"/>
      <c r="LRJ203" s="21"/>
      <c r="LRK203" s="21"/>
      <c r="LRL203" s="21"/>
      <c r="LRM203" s="21"/>
      <c r="LRN203" s="21"/>
      <c r="LRO203" s="21"/>
      <c r="LRP203" s="21"/>
      <c r="LRQ203" s="21"/>
      <c r="LRR203" s="21"/>
      <c r="LRS203" s="21"/>
      <c r="LRT203" s="21"/>
      <c r="LRU203" s="21"/>
      <c r="LRV203" s="21"/>
      <c r="LRW203" s="21"/>
      <c r="LRX203" s="21"/>
      <c r="LRY203" s="21"/>
      <c r="LRZ203" s="21"/>
      <c r="LSA203" s="21"/>
      <c r="LSB203" s="21"/>
      <c r="LSC203" s="21"/>
      <c r="LSD203" s="21"/>
      <c r="LSE203" s="21"/>
      <c r="LSF203" s="21"/>
      <c r="LSG203" s="21"/>
      <c r="LSH203" s="21"/>
      <c r="LSI203" s="21"/>
      <c r="LSJ203" s="21"/>
      <c r="LSK203" s="21"/>
      <c r="LSL203" s="21"/>
      <c r="LSM203" s="21"/>
      <c r="LSN203" s="21"/>
      <c r="LSO203" s="21"/>
      <c r="LSP203" s="21"/>
      <c r="LSQ203" s="21"/>
      <c r="LSR203" s="21"/>
      <c r="LSS203" s="21"/>
      <c r="LST203" s="21"/>
      <c r="LSU203" s="21"/>
      <c r="LSV203" s="21"/>
      <c r="LSW203" s="21"/>
      <c r="LSX203" s="21"/>
      <c r="LSY203" s="21"/>
      <c r="LSZ203" s="21"/>
      <c r="LTA203" s="21"/>
      <c r="LTB203" s="21"/>
      <c r="LTC203" s="21"/>
      <c r="LTD203" s="21"/>
      <c r="LTE203" s="21"/>
      <c r="LTF203" s="21"/>
      <c r="LTG203" s="21"/>
      <c r="LTH203" s="21"/>
      <c r="LTI203" s="21"/>
      <c r="LTJ203" s="21"/>
      <c r="LTK203" s="21"/>
      <c r="LTL203" s="21"/>
      <c r="LTM203" s="21"/>
      <c r="LTN203" s="21"/>
      <c r="LTO203" s="21"/>
      <c r="LTP203" s="21"/>
      <c r="LTQ203" s="21"/>
      <c r="LTR203" s="21"/>
      <c r="LTS203" s="21"/>
      <c r="LTT203" s="21"/>
      <c r="LTU203" s="21"/>
      <c r="LTV203" s="21"/>
      <c r="LTW203" s="21"/>
      <c r="LTX203" s="21"/>
      <c r="LTY203" s="21"/>
      <c r="LTZ203" s="21"/>
      <c r="LUA203" s="21"/>
      <c r="LUB203" s="21"/>
      <c r="LUC203" s="21"/>
      <c r="LUD203" s="21"/>
      <c r="LUE203" s="21"/>
      <c r="LUF203" s="21"/>
      <c r="LUG203" s="21"/>
      <c r="LUH203" s="21"/>
      <c r="LUI203" s="21"/>
      <c r="LUJ203" s="21"/>
      <c r="LUK203" s="21"/>
      <c r="LUL203" s="21"/>
      <c r="LUM203" s="21"/>
      <c r="LUN203" s="21"/>
      <c r="LUO203" s="21"/>
      <c r="LUP203" s="21"/>
      <c r="LUQ203" s="21"/>
      <c r="LUR203" s="21"/>
      <c r="LUS203" s="21"/>
      <c r="LUT203" s="21"/>
      <c r="LUU203" s="21"/>
      <c r="LUV203" s="21"/>
      <c r="LUW203" s="21"/>
      <c r="LUX203" s="21"/>
      <c r="LUY203" s="21"/>
      <c r="LUZ203" s="21"/>
      <c r="LVA203" s="21"/>
      <c r="LVB203" s="21"/>
      <c r="LVC203" s="21"/>
      <c r="LVD203" s="21"/>
      <c r="LVE203" s="21"/>
      <c r="LVF203" s="21"/>
      <c r="LVG203" s="21"/>
      <c r="LVH203" s="21"/>
      <c r="LVI203" s="21"/>
      <c r="LVJ203" s="21"/>
      <c r="LVK203" s="21"/>
      <c r="LVL203" s="21"/>
      <c r="LVM203" s="21"/>
      <c r="LVN203" s="21"/>
      <c r="LVO203" s="21"/>
      <c r="LVP203" s="21"/>
      <c r="LVQ203" s="21"/>
      <c r="LVR203" s="21"/>
      <c r="LVS203" s="21"/>
      <c r="LVT203" s="21"/>
      <c r="LVU203" s="21"/>
      <c r="LVV203" s="21"/>
      <c r="LVW203" s="21"/>
      <c r="LVX203" s="21"/>
      <c r="LVY203" s="21"/>
      <c r="LVZ203" s="21"/>
      <c r="LWA203" s="21"/>
      <c r="LWB203" s="21"/>
      <c r="LWC203" s="21"/>
      <c r="LWD203" s="21"/>
      <c r="LWE203" s="21"/>
      <c r="LWF203" s="21"/>
      <c r="LWG203" s="21"/>
      <c r="LWH203" s="21"/>
      <c r="LWI203" s="21"/>
      <c r="LWJ203" s="21"/>
      <c r="LWK203" s="21"/>
      <c r="LWL203" s="21"/>
      <c r="LWM203" s="21"/>
      <c r="LWN203" s="21"/>
      <c r="LWO203" s="21"/>
      <c r="LWP203" s="21"/>
      <c r="LWQ203" s="21"/>
      <c r="LWR203" s="21"/>
      <c r="LWS203" s="21"/>
      <c r="LWT203" s="21"/>
      <c r="LWU203" s="21"/>
      <c r="LWV203" s="21"/>
      <c r="LWW203" s="21"/>
      <c r="LWX203" s="21"/>
      <c r="LWY203" s="21"/>
      <c r="LWZ203" s="21"/>
      <c r="LXA203" s="21"/>
      <c r="LXB203" s="21"/>
      <c r="LXC203" s="21"/>
      <c r="LXD203" s="21"/>
      <c r="LXE203" s="21"/>
      <c r="LXF203" s="21"/>
      <c r="LXG203" s="21"/>
      <c r="LXH203" s="21"/>
      <c r="LXI203" s="21"/>
      <c r="LXJ203" s="21"/>
      <c r="LXK203" s="21"/>
      <c r="LXL203" s="21"/>
      <c r="LXM203" s="21"/>
      <c r="LXN203" s="21"/>
      <c r="LXO203" s="21"/>
      <c r="LXP203" s="21"/>
      <c r="LXQ203" s="21"/>
      <c r="LXR203" s="21"/>
      <c r="LXS203" s="21"/>
      <c r="LXT203" s="21"/>
      <c r="LXU203" s="21"/>
      <c r="LXV203" s="21"/>
      <c r="LXW203" s="21"/>
      <c r="LXX203" s="21"/>
      <c r="LXY203" s="21"/>
      <c r="LXZ203" s="21"/>
      <c r="LYA203" s="21"/>
      <c r="LYB203" s="21"/>
      <c r="LYC203" s="21"/>
      <c r="LYD203" s="21"/>
      <c r="LYE203" s="21"/>
      <c r="LYF203" s="21"/>
      <c r="LYG203" s="21"/>
      <c r="LYH203" s="21"/>
      <c r="LYI203" s="21"/>
      <c r="LYJ203" s="21"/>
      <c r="LYK203" s="21"/>
      <c r="LYL203" s="21"/>
      <c r="LYM203" s="21"/>
      <c r="LYN203" s="21"/>
      <c r="LYO203" s="21"/>
      <c r="LYP203" s="21"/>
      <c r="LYQ203" s="21"/>
      <c r="LYR203" s="21"/>
      <c r="LYS203" s="21"/>
      <c r="LYT203" s="21"/>
      <c r="LYU203" s="21"/>
      <c r="LYV203" s="21"/>
      <c r="LYW203" s="21"/>
      <c r="LYX203" s="21"/>
      <c r="LYY203" s="21"/>
      <c r="LYZ203" s="21"/>
      <c r="LZA203" s="21"/>
      <c r="LZB203" s="21"/>
      <c r="LZC203" s="21"/>
      <c r="LZD203" s="21"/>
      <c r="LZE203" s="21"/>
      <c r="LZF203" s="21"/>
      <c r="LZG203" s="21"/>
      <c r="LZH203" s="21"/>
      <c r="LZI203" s="21"/>
      <c r="LZJ203" s="21"/>
      <c r="LZK203" s="21"/>
      <c r="LZL203" s="21"/>
      <c r="LZM203" s="21"/>
      <c r="LZN203" s="21"/>
      <c r="LZO203" s="21"/>
      <c r="LZP203" s="21"/>
      <c r="LZQ203" s="21"/>
      <c r="LZR203" s="21"/>
      <c r="LZS203" s="21"/>
      <c r="LZT203" s="21"/>
      <c r="LZU203" s="21"/>
      <c r="LZV203" s="21"/>
      <c r="LZW203" s="21"/>
      <c r="LZX203" s="21"/>
      <c r="LZY203" s="21"/>
      <c r="LZZ203" s="21"/>
      <c r="MAA203" s="21"/>
      <c r="MAB203" s="21"/>
      <c r="MAC203" s="21"/>
      <c r="MAD203" s="21"/>
      <c r="MAE203" s="21"/>
      <c r="MAF203" s="21"/>
      <c r="MAG203" s="21"/>
      <c r="MAH203" s="21"/>
      <c r="MAI203" s="21"/>
      <c r="MAJ203" s="21"/>
      <c r="MAK203" s="21"/>
      <c r="MAL203" s="21"/>
      <c r="MAM203" s="21"/>
      <c r="MAN203" s="21"/>
      <c r="MAO203" s="21"/>
      <c r="MAP203" s="21"/>
      <c r="MAQ203" s="21"/>
      <c r="MAR203" s="21"/>
      <c r="MAS203" s="21"/>
      <c r="MAT203" s="21"/>
      <c r="MAU203" s="21"/>
      <c r="MAV203" s="21"/>
      <c r="MAW203" s="21"/>
      <c r="MAX203" s="21"/>
      <c r="MAY203" s="21"/>
      <c r="MAZ203" s="21"/>
      <c r="MBA203" s="21"/>
      <c r="MBB203" s="21"/>
      <c r="MBC203" s="21"/>
      <c r="MBD203" s="21"/>
      <c r="MBE203" s="21"/>
      <c r="MBF203" s="21"/>
      <c r="MBG203" s="21"/>
      <c r="MBH203" s="21"/>
      <c r="MBI203" s="21"/>
      <c r="MBJ203" s="21"/>
      <c r="MBK203" s="21"/>
      <c r="MBL203" s="21"/>
      <c r="MBM203" s="21"/>
      <c r="MBN203" s="21"/>
      <c r="MBO203" s="21"/>
      <c r="MBP203" s="21"/>
      <c r="MBQ203" s="21"/>
      <c r="MBR203" s="21"/>
      <c r="MBS203" s="21"/>
      <c r="MBT203" s="21"/>
      <c r="MBU203" s="21"/>
      <c r="MBV203" s="21"/>
      <c r="MBW203" s="21"/>
      <c r="MBX203" s="21"/>
      <c r="MBY203" s="21"/>
      <c r="MBZ203" s="21"/>
      <c r="MCA203" s="21"/>
      <c r="MCB203" s="21"/>
      <c r="MCC203" s="21"/>
      <c r="MCD203" s="21"/>
      <c r="MCE203" s="21"/>
      <c r="MCF203" s="21"/>
      <c r="MCG203" s="21"/>
      <c r="MCH203" s="21"/>
      <c r="MCI203" s="21"/>
      <c r="MCJ203" s="21"/>
      <c r="MCK203" s="21"/>
      <c r="MCL203" s="21"/>
      <c r="MCM203" s="21"/>
      <c r="MCN203" s="21"/>
      <c r="MCO203" s="21"/>
      <c r="MCP203" s="21"/>
      <c r="MCQ203" s="21"/>
      <c r="MCR203" s="21"/>
      <c r="MCS203" s="21"/>
      <c r="MCT203" s="21"/>
      <c r="MCU203" s="21"/>
      <c r="MCV203" s="21"/>
      <c r="MCW203" s="21"/>
      <c r="MCX203" s="21"/>
      <c r="MCY203" s="21"/>
      <c r="MCZ203" s="21"/>
      <c r="MDA203" s="21"/>
      <c r="MDB203" s="21"/>
      <c r="MDC203" s="21"/>
      <c r="MDD203" s="21"/>
      <c r="MDE203" s="21"/>
      <c r="MDF203" s="21"/>
      <c r="MDG203" s="21"/>
      <c r="MDH203" s="21"/>
      <c r="MDI203" s="21"/>
      <c r="MDJ203" s="21"/>
      <c r="MDK203" s="21"/>
      <c r="MDL203" s="21"/>
      <c r="MDM203" s="21"/>
      <c r="MDN203" s="21"/>
      <c r="MDO203" s="21"/>
      <c r="MDP203" s="21"/>
      <c r="MDQ203" s="21"/>
      <c r="MDR203" s="21"/>
      <c r="MDS203" s="21"/>
      <c r="MDT203" s="21"/>
      <c r="MDU203" s="21"/>
      <c r="MDV203" s="21"/>
      <c r="MDW203" s="21"/>
      <c r="MDX203" s="21"/>
      <c r="MDY203" s="21"/>
      <c r="MDZ203" s="21"/>
      <c r="MEA203" s="21"/>
      <c r="MEB203" s="21"/>
      <c r="MEC203" s="21"/>
      <c r="MED203" s="21"/>
      <c r="MEE203" s="21"/>
      <c r="MEF203" s="21"/>
      <c r="MEG203" s="21"/>
      <c r="MEH203" s="21"/>
      <c r="MEI203" s="21"/>
      <c r="MEJ203" s="21"/>
      <c r="MEK203" s="21"/>
      <c r="MEL203" s="21"/>
      <c r="MEM203" s="21"/>
      <c r="MEN203" s="21"/>
      <c r="MEO203" s="21"/>
      <c r="MEP203" s="21"/>
      <c r="MEQ203" s="21"/>
      <c r="MER203" s="21"/>
      <c r="MES203" s="21"/>
      <c r="MET203" s="21"/>
      <c r="MEU203" s="21"/>
      <c r="MEV203" s="21"/>
      <c r="MEW203" s="21"/>
      <c r="MEX203" s="21"/>
      <c r="MEY203" s="21"/>
      <c r="MEZ203" s="21"/>
      <c r="MFA203" s="21"/>
      <c r="MFB203" s="21"/>
      <c r="MFC203" s="21"/>
      <c r="MFD203" s="21"/>
      <c r="MFE203" s="21"/>
      <c r="MFF203" s="21"/>
      <c r="MFG203" s="21"/>
      <c r="MFH203" s="21"/>
      <c r="MFI203" s="21"/>
      <c r="MFJ203" s="21"/>
      <c r="MFK203" s="21"/>
      <c r="MFL203" s="21"/>
      <c r="MFM203" s="21"/>
      <c r="MFN203" s="21"/>
      <c r="MFO203" s="21"/>
      <c r="MFP203" s="21"/>
      <c r="MFQ203" s="21"/>
      <c r="MFR203" s="21"/>
      <c r="MFS203" s="21"/>
      <c r="MFT203" s="21"/>
      <c r="MFU203" s="21"/>
      <c r="MFV203" s="21"/>
      <c r="MFW203" s="21"/>
      <c r="MFX203" s="21"/>
      <c r="MFY203" s="21"/>
      <c r="MFZ203" s="21"/>
      <c r="MGA203" s="21"/>
      <c r="MGB203" s="21"/>
      <c r="MGC203" s="21"/>
      <c r="MGD203" s="21"/>
      <c r="MGE203" s="21"/>
      <c r="MGF203" s="21"/>
      <c r="MGG203" s="21"/>
      <c r="MGH203" s="21"/>
      <c r="MGI203" s="21"/>
      <c r="MGJ203" s="21"/>
      <c r="MGK203" s="21"/>
      <c r="MGL203" s="21"/>
      <c r="MGM203" s="21"/>
      <c r="MGN203" s="21"/>
      <c r="MGO203" s="21"/>
      <c r="MGP203" s="21"/>
      <c r="MGQ203" s="21"/>
      <c r="MGR203" s="21"/>
      <c r="MGS203" s="21"/>
      <c r="MGT203" s="21"/>
      <c r="MGU203" s="21"/>
      <c r="MGV203" s="21"/>
      <c r="MGW203" s="21"/>
      <c r="MGX203" s="21"/>
      <c r="MGY203" s="21"/>
      <c r="MGZ203" s="21"/>
      <c r="MHA203" s="21"/>
      <c r="MHB203" s="21"/>
      <c r="MHC203" s="21"/>
      <c r="MHD203" s="21"/>
      <c r="MHE203" s="21"/>
      <c r="MHF203" s="21"/>
      <c r="MHG203" s="21"/>
      <c r="MHH203" s="21"/>
      <c r="MHI203" s="21"/>
      <c r="MHJ203" s="21"/>
      <c r="MHK203" s="21"/>
      <c r="MHL203" s="21"/>
      <c r="MHM203" s="21"/>
      <c r="MHN203" s="21"/>
      <c r="MHO203" s="21"/>
      <c r="MHP203" s="21"/>
      <c r="MHQ203" s="21"/>
      <c r="MHR203" s="21"/>
      <c r="MHS203" s="21"/>
      <c r="MHT203" s="21"/>
      <c r="MHU203" s="21"/>
      <c r="MHV203" s="21"/>
      <c r="MHW203" s="21"/>
      <c r="MHX203" s="21"/>
      <c r="MHY203" s="21"/>
      <c r="MHZ203" s="21"/>
      <c r="MIA203" s="21"/>
      <c r="MIB203" s="21"/>
      <c r="MIC203" s="21"/>
      <c r="MID203" s="21"/>
      <c r="MIE203" s="21"/>
      <c r="MIF203" s="21"/>
      <c r="MIG203" s="21"/>
      <c r="MIH203" s="21"/>
      <c r="MII203" s="21"/>
      <c r="MIJ203" s="21"/>
      <c r="MIK203" s="21"/>
      <c r="MIL203" s="21"/>
      <c r="MIM203" s="21"/>
      <c r="MIN203" s="21"/>
      <c r="MIO203" s="21"/>
      <c r="MIP203" s="21"/>
      <c r="MIQ203" s="21"/>
      <c r="MIR203" s="21"/>
      <c r="MIS203" s="21"/>
      <c r="MIT203" s="21"/>
      <c r="MIU203" s="21"/>
      <c r="MIV203" s="21"/>
      <c r="MIW203" s="21"/>
      <c r="MIX203" s="21"/>
      <c r="MIY203" s="21"/>
      <c r="MIZ203" s="21"/>
      <c r="MJA203" s="21"/>
      <c r="MJB203" s="21"/>
      <c r="MJC203" s="21"/>
      <c r="MJD203" s="21"/>
      <c r="MJE203" s="21"/>
      <c r="MJF203" s="21"/>
      <c r="MJG203" s="21"/>
      <c r="MJH203" s="21"/>
      <c r="MJI203" s="21"/>
      <c r="MJJ203" s="21"/>
      <c r="MJK203" s="21"/>
      <c r="MJL203" s="21"/>
      <c r="MJM203" s="21"/>
      <c r="MJN203" s="21"/>
      <c r="MJO203" s="21"/>
      <c r="MJP203" s="21"/>
      <c r="MJQ203" s="21"/>
      <c r="MJR203" s="21"/>
      <c r="MJS203" s="21"/>
      <c r="MJT203" s="21"/>
      <c r="MJU203" s="21"/>
      <c r="MJV203" s="21"/>
      <c r="MJW203" s="21"/>
      <c r="MJX203" s="21"/>
      <c r="MJY203" s="21"/>
      <c r="MJZ203" s="21"/>
      <c r="MKA203" s="21"/>
      <c r="MKB203" s="21"/>
      <c r="MKC203" s="21"/>
      <c r="MKD203" s="21"/>
      <c r="MKE203" s="21"/>
      <c r="MKF203" s="21"/>
      <c r="MKG203" s="21"/>
      <c r="MKH203" s="21"/>
      <c r="MKI203" s="21"/>
      <c r="MKJ203" s="21"/>
      <c r="MKK203" s="21"/>
      <c r="MKL203" s="21"/>
      <c r="MKM203" s="21"/>
      <c r="MKN203" s="21"/>
      <c r="MKO203" s="21"/>
      <c r="MKP203" s="21"/>
      <c r="MKQ203" s="21"/>
      <c r="MKR203" s="21"/>
      <c r="MKS203" s="21"/>
      <c r="MKT203" s="21"/>
      <c r="MKU203" s="21"/>
      <c r="MKV203" s="21"/>
      <c r="MKW203" s="21"/>
      <c r="MKX203" s="21"/>
      <c r="MKY203" s="21"/>
      <c r="MKZ203" s="21"/>
      <c r="MLA203" s="21"/>
      <c r="MLB203" s="21"/>
      <c r="MLC203" s="21"/>
      <c r="MLD203" s="21"/>
      <c r="MLE203" s="21"/>
      <c r="MLF203" s="21"/>
      <c r="MLG203" s="21"/>
      <c r="MLH203" s="21"/>
      <c r="MLI203" s="21"/>
      <c r="MLJ203" s="21"/>
      <c r="MLK203" s="21"/>
      <c r="MLL203" s="21"/>
      <c r="MLM203" s="21"/>
      <c r="MLN203" s="21"/>
      <c r="MLO203" s="21"/>
      <c r="MLP203" s="21"/>
      <c r="MLQ203" s="21"/>
      <c r="MLR203" s="21"/>
      <c r="MLS203" s="21"/>
      <c r="MLT203" s="21"/>
      <c r="MLU203" s="21"/>
      <c r="MLV203" s="21"/>
      <c r="MLW203" s="21"/>
      <c r="MLX203" s="21"/>
      <c r="MLY203" s="21"/>
      <c r="MLZ203" s="21"/>
      <c r="MMA203" s="21"/>
      <c r="MMB203" s="21"/>
      <c r="MMC203" s="21"/>
      <c r="MMD203" s="21"/>
      <c r="MME203" s="21"/>
      <c r="MMF203" s="21"/>
      <c r="MMG203" s="21"/>
      <c r="MMH203" s="21"/>
      <c r="MMI203" s="21"/>
      <c r="MMJ203" s="21"/>
      <c r="MMK203" s="21"/>
      <c r="MML203" s="21"/>
      <c r="MMM203" s="21"/>
      <c r="MMN203" s="21"/>
      <c r="MMO203" s="21"/>
      <c r="MMP203" s="21"/>
      <c r="MMQ203" s="21"/>
      <c r="MMR203" s="21"/>
      <c r="MMS203" s="21"/>
      <c r="MMT203" s="21"/>
      <c r="MMU203" s="21"/>
      <c r="MMV203" s="21"/>
      <c r="MMW203" s="21"/>
      <c r="MMX203" s="21"/>
      <c r="MMY203" s="21"/>
      <c r="MMZ203" s="21"/>
      <c r="MNA203" s="21"/>
      <c r="MNB203" s="21"/>
      <c r="MNC203" s="21"/>
      <c r="MND203" s="21"/>
      <c r="MNE203" s="21"/>
      <c r="MNF203" s="21"/>
      <c r="MNG203" s="21"/>
      <c r="MNH203" s="21"/>
      <c r="MNI203" s="21"/>
      <c r="MNJ203" s="21"/>
      <c r="MNK203" s="21"/>
      <c r="MNL203" s="21"/>
      <c r="MNM203" s="21"/>
      <c r="MNN203" s="21"/>
      <c r="MNO203" s="21"/>
      <c r="MNP203" s="21"/>
      <c r="MNQ203" s="21"/>
      <c r="MNR203" s="21"/>
      <c r="MNS203" s="21"/>
      <c r="MNT203" s="21"/>
      <c r="MNU203" s="21"/>
      <c r="MNV203" s="21"/>
      <c r="MNW203" s="21"/>
      <c r="MNX203" s="21"/>
      <c r="MNY203" s="21"/>
      <c r="MNZ203" s="21"/>
      <c r="MOA203" s="21"/>
      <c r="MOB203" s="21"/>
      <c r="MOC203" s="21"/>
      <c r="MOD203" s="21"/>
      <c r="MOE203" s="21"/>
      <c r="MOF203" s="21"/>
      <c r="MOG203" s="21"/>
      <c r="MOH203" s="21"/>
      <c r="MOI203" s="21"/>
      <c r="MOJ203" s="21"/>
      <c r="MOK203" s="21"/>
      <c r="MOL203" s="21"/>
      <c r="MOM203" s="21"/>
      <c r="MON203" s="21"/>
      <c r="MOO203" s="21"/>
      <c r="MOP203" s="21"/>
      <c r="MOQ203" s="21"/>
      <c r="MOR203" s="21"/>
      <c r="MOS203" s="21"/>
      <c r="MOT203" s="21"/>
      <c r="MOU203" s="21"/>
      <c r="MOV203" s="21"/>
      <c r="MOW203" s="21"/>
      <c r="MOX203" s="21"/>
      <c r="MOY203" s="21"/>
      <c r="MOZ203" s="21"/>
      <c r="MPA203" s="21"/>
      <c r="MPB203" s="21"/>
      <c r="MPC203" s="21"/>
      <c r="MPD203" s="21"/>
      <c r="MPE203" s="21"/>
      <c r="MPF203" s="21"/>
      <c r="MPG203" s="21"/>
      <c r="MPH203" s="21"/>
      <c r="MPI203" s="21"/>
      <c r="MPJ203" s="21"/>
      <c r="MPK203" s="21"/>
      <c r="MPL203" s="21"/>
      <c r="MPM203" s="21"/>
      <c r="MPN203" s="21"/>
      <c r="MPO203" s="21"/>
      <c r="MPP203" s="21"/>
      <c r="MPQ203" s="21"/>
      <c r="MPR203" s="21"/>
      <c r="MPS203" s="21"/>
      <c r="MPT203" s="21"/>
      <c r="MPU203" s="21"/>
      <c r="MPV203" s="21"/>
      <c r="MPW203" s="21"/>
      <c r="MPX203" s="21"/>
      <c r="MPY203" s="21"/>
      <c r="MPZ203" s="21"/>
      <c r="MQA203" s="21"/>
      <c r="MQB203" s="21"/>
      <c r="MQC203" s="21"/>
      <c r="MQD203" s="21"/>
      <c r="MQE203" s="21"/>
      <c r="MQF203" s="21"/>
      <c r="MQG203" s="21"/>
      <c r="MQH203" s="21"/>
      <c r="MQI203" s="21"/>
      <c r="MQJ203" s="21"/>
      <c r="MQK203" s="21"/>
      <c r="MQL203" s="21"/>
      <c r="MQM203" s="21"/>
      <c r="MQN203" s="21"/>
      <c r="MQO203" s="21"/>
      <c r="MQP203" s="21"/>
      <c r="MQQ203" s="21"/>
      <c r="MQR203" s="21"/>
      <c r="MQS203" s="21"/>
      <c r="MQT203" s="21"/>
      <c r="MQU203" s="21"/>
      <c r="MQV203" s="21"/>
      <c r="MQW203" s="21"/>
      <c r="MQX203" s="21"/>
      <c r="MQY203" s="21"/>
      <c r="MQZ203" s="21"/>
      <c r="MRA203" s="21"/>
      <c r="MRB203" s="21"/>
      <c r="MRC203" s="21"/>
      <c r="MRD203" s="21"/>
      <c r="MRE203" s="21"/>
      <c r="MRF203" s="21"/>
      <c r="MRG203" s="21"/>
      <c r="MRH203" s="21"/>
      <c r="MRI203" s="21"/>
      <c r="MRJ203" s="21"/>
      <c r="MRK203" s="21"/>
      <c r="MRL203" s="21"/>
      <c r="MRM203" s="21"/>
      <c r="MRN203" s="21"/>
      <c r="MRO203" s="21"/>
      <c r="MRP203" s="21"/>
      <c r="MRQ203" s="21"/>
      <c r="MRR203" s="21"/>
      <c r="MRS203" s="21"/>
      <c r="MRT203" s="21"/>
      <c r="MRU203" s="21"/>
      <c r="MRV203" s="21"/>
      <c r="MRW203" s="21"/>
      <c r="MRX203" s="21"/>
      <c r="MRY203" s="21"/>
      <c r="MRZ203" s="21"/>
      <c r="MSA203" s="21"/>
      <c r="MSB203" s="21"/>
      <c r="MSC203" s="21"/>
      <c r="MSD203" s="21"/>
      <c r="MSE203" s="21"/>
      <c r="MSF203" s="21"/>
      <c r="MSG203" s="21"/>
      <c r="MSH203" s="21"/>
      <c r="MSI203" s="21"/>
      <c r="MSJ203" s="21"/>
      <c r="MSK203" s="21"/>
      <c r="MSL203" s="21"/>
      <c r="MSM203" s="21"/>
      <c r="MSN203" s="21"/>
      <c r="MSO203" s="21"/>
      <c r="MSP203" s="21"/>
      <c r="MSQ203" s="21"/>
      <c r="MSR203" s="21"/>
      <c r="MSS203" s="21"/>
      <c r="MST203" s="21"/>
      <c r="MSU203" s="21"/>
      <c r="MSV203" s="21"/>
      <c r="MSW203" s="21"/>
      <c r="MSX203" s="21"/>
      <c r="MSY203" s="21"/>
      <c r="MSZ203" s="21"/>
      <c r="MTA203" s="21"/>
      <c r="MTB203" s="21"/>
      <c r="MTC203" s="21"/>
      <c r="MTD203" s="21"/>
      <c r="MTE203" s="21"/>
      <c r="MTF203" s="21"/>
      <c r="MTG203" s="21"/>
      <c r="MTH203" s="21"/>
      <c r="MTI203" s="21"/>
      <c r="MTJ203" s="21"/>
      <c r="MTK203" s="21"/>
      <c r="MTL203" s="21"/>
      <c r="MTM203" s="21"/>
      <c r="MTN203" s="21"/>
      <c r="MTO203" s="21"/>
      <c r="MTP203" s="21"/>
      <c r="MTQ203" s="21"/>
      <c r="MTR203" s="21"/>
      <c r="MTS203" s="21"/>
      <c r="MTT203" s="21"/>
      <c r="MTU203" s="21"/>
      <c r="MTV203" s="21"/>
      <c r="MTW203" s="21"/>
      <c r="MTX203" s="21"/>
      <c r="MTY203" s="21"/>
      <c r="MTZ203" s="21"/>
      <c r="MUA203" s="21"/>
      <c r="MUB203" s="21"/>
      <c r="MUC203" s="21"/>
      <c r="MUD203" s="21"/>
      <c r="MUE203" s="21"/>
      <c r="MUF203" s="21"/>
      <c r="MUG203" s="21"/>
      <c r="MUH203" s="21"/>
      <c r="MUI203" s="21"/>
      <c r="MUJ203" s="21"/>
      <c r="MUK203" s="21"/>
      <c r="MUL203" s="21"/>
      <c r="MUM203" s="21"/>
      <c r="MUN203" s="21"/>
      <c r="MUO203" s="21"/>
      <c r="MUP203" s="21"/>
      <c r="MUQ203" s="21"/>
      <c r="MUR203" s="21"/>
      <c r="MUS203" s="21"/>
      <c r="MUT203" s="21"/>
      <c r="MUU203" s="21"/>
      <c r="MUV203" s="21"/>
      <c r="MUW203" s="21"/>
      <c r="MUX203" s="21"/>
      <c r="MUY203" s="21"/>
      <c r="MUZ203" s="21"/>
      <c r="MVA203" s="21"/>
      <c r="MVB203" s="21"/>
      <c r="MVC203" s="21"/>
      <c r="MVD203" s="21"/>
      <c r="MVE203" s="21"/>
      <c r="MVF203" s="21"/>
      <c r="MVG203" s="21"/>
      <c r="MVH203" s="21"/>
      <c r="MVI203" s="21"/>
      <c r="MVJ203" s="21"/>
      <c r="MVK203" s="21"/>
      <c r="MVL203" s="21"/>
      <c r="MVM203" s="21"/>
      <c r="MVN203" s="21"/>
      <c r="MVO203" s="21"/>
      <c r="MVP203" s="21"/>
      <c r="MVQ203" s="21"/>
      <c r="MVR203" s="21"/>
      <c r="MVS203" s="21"/>
      <c r="MVT203" s="21"/>
      <c r="MVU203" s="21"/>
      <c r="MVV203" s="21"/>
      <c r="MVW203" s="21"/>
      <c r="MVX203" s="21"/>
      <c r="MVY203" s="21"/>
      <c r="MVZ203" s="21"/>
      <c r="MWA203" s="21"/>
      <c r="MWB203" s="21"/>
      <c r="MWC203" s="21"/>
      <c r="MWD203" s="21"/>
      <c r="MWE203" s="21"/>
      <c r="MWF203" s="21"/>
      <c r="MWG203" s="21"/>
      <c r="MWH203" s="21"/>
      <c r="MWI203" s="21"/>
      <c r="MWJ203" s="21"/>
      <c r="MWK203" s="21"/>
      <c r="MWL203" s="21"/>
      <c r="MWM203" s="21"/>
      <c r="MWN203" s="21"/>
      <c r="MWO203" s="21"/>
      <c r="MWP203" s="21"/>
      <c r="MWQ203" s="21"/>
      <c r="MWR203" s="21"/>
      <c r="MWS203" s="21"/>
      <c r="MWT203" s="21"/>
      <c r="MWU203" s="21"/>
      <c r="MWV203" s="21"/>
      <c r="MWW203" s="21"/>
      <c r="MWX203" s="21"/>
      <c r="MWY203" s="21"/>
      <c r="MWZ203" s="21"/>
      <c r="MXA203" s="21"/>
      <c r="MXB203" s="21"/>
      <c r="MXC203" s="21"/>
      <c r="MXD203" s="21"/>
      <c r="MXE203" s="21"/>
      <c r="MXF203" s="21"/>
      <c r="MXG203" s="21"/>
      <c r="MXH203" s="21"/>
      <c r="MXI203" s="21"/>
      <c r="MXJ203" s="21"/>
      <c r="MXK203" s="21"/>
      <c r="MXL203" s="21"/>
      <c r="MXM203" s="21"/>
      <c r="MXN203" s="21"/>
      <c r="MXO203" s="21"/>
      <c r="MXP203" s="21"/>
      <c r="MXQ203" s="21"/>
      <c r="MXR203" s="21"/>
      <c r="MXS203" s="21"/>
      <c r="MXT203" s="21"/>
      <c r="MXU203" s="21"/>
      <c r="MXV203" s="21"/>
      <c r="MXW203" s="21"/>
      <c r="MXX203" s="21"/>
      <c r="MXY203" s="21"/>
      <c r="MXZ203" s="21"/>
      <c r="MYA203" s="21"/>
      <c r="MYB203" s="21"/>
      <c r="MYC203" s="21"/>
      <c r="MYD203" s="21"/>
      <c r="MYE203" s="21"/>
      <c r="MYF203" s="21"/>
      <c r="MYG203" s="21"/>
      <c r="MYH203" s="21"/>
      <c r="MYI203" s="21"/>
      <c r="MYJ203" s="21"/>
      <c r="MYK203" s="21"/>
      <c r="MYL203" s="21"/>
      <c r="MYM203" s="21"/>
      <c r="MYN203" s="21"/>
      <c r="MYO203" s="21"/>
      <c r="MYP203" s="21"/>
      <c r="MYQ203" s="21"/>
      <c r="MYR203" s="21"/>
      <c r="MYS203" s="21"/>
      <c r="MYT203" s="21"/>
      <c r="MYU203" s="21"/>
      <c r="MYV203" s="21"/>
      <c r="MYW203" s="21"/>
      <c r="MYX203" s="21"/>
      <c r="MYY203" s="21"/>
      <c r="MYZ203" s="21"/>
      <c r="MZA203" s="21"/>
      <c r="MZB203" s="21"/>
      <c r="MZC203" s="21"/>
      <c r="MZD203" s="21"/>
      <c r="MZE203" s="21"/>
      <c r="MZF203" s="21"/>
      <c r="MZG203" s="21"/>
      <c r="MZH203" s="21"/>
      <c r="MZI203" s="21"/>
      <c r="MZJ203" s="21"/>
      <c r="MZK203" s="21"/>
      <c r="MZL203" s="21"/>
      <c r="MZM203" s="21"/>
      <c r="MZN203" s="21"/>
      <c r="MZO203" s="21"/>
      <c r="MZP203" s="21"/>
      <c r="MZQ203" s="21"/>
      <c r="MZR203" s="21"/>
      <c r="MZS203" s="21"/>
      <c r="MZT203" s="21"/>
      <c r="MZU203" s="21"/>
      <c r="MZV203" s="21"/>
      <c r="MZW203" s="21"/>
      <c r="MZX203" s="21"/>
      <c r="MZY203" s="21"/>
      <c r="MZZ203" s="21"/>
      <c r="NAA203" s="21"/>
      <c r="NAB203" s="21"/>
      <c r="NAC203" s="21"/>
      <c r="NAD203" s="21"/>
      <c r="NAE203" s="21"/>
      <c r="NAF203" s="21"/>
      <c r="NAG203" s="21"/>
      <c r="NAH203" s="21"/>
      <c r="NAI203" s="21"/>
      <c r="NAJ203" s="21"/>
      <c r="NAK203" s="21"/>
      <c r="NAL203" s="21"/>
      <c r="NAM203" s="21"/>
      <c r="NAN203" s="21"/>
      <c r="NAO203" s="21"/>
      <c r="NAP203" s="21"/>
      <c r="NAQ203" s="21"/>
      <c r="NAR203" s="21"/>
      <c r="NAS203" s="21"/>
      <c r="NAT203" s="21"/>
      <c r="NAU203" s="21"/>
      <c r="NAV203" s="21"/>
      <c r="NAW203" s="21"/>
      <c r="NAX203" s="21"/>
      <c r="NAY203" s="21"/>
      <c r="NAZ203" s="21"/>
      <c r="NBA203" s="21"/>
      <c r="NBB203" s="21"/>
      <c r="NBC203" s="21"/>
      <c r="NBD203" s="21"/>
      <c r="NBE203" s="21"/>
      <c r="NBF203" s="21"/>
      <c r="NBG203" s="21"/>
      <c r="NBH203" s="21"/>
      <c r="NBI203" s="21"/>
      <c r="NBJ203" s="21"/>
      <c r="NBK203" s="21"/>
      <c r="NBL203" s="21"/>
      <c r="NBM203" s="21"/>
      <c r="NBN203" s="21"/>
      <c r="NBO203" s="21"/>
      <c r="NBP203" s="21"/>
      <c r="NBQ203" s="21"/>
      <c r="NBR203" s="21"/>
      <c r="NBS203" s="21"/>
      <c r="NBT203" s="21"/>
      <c r="NBU203" s="21"/>
      <c r="NBV203" s="21"/>
      <c r="NBW203" s="21"/>
      <c r="NBX203" s="21"/>
      <c r="NBY203" s="21"/>
      <c r="NBZ203" s="21"/>
      <c r="NCA203" s="21"/>
      <c r="NCB203" s="21"/>
      <c r="NCC203" s="21"/>
      <c r="NCD203" s="21"/>
      <c r="NCE203" s="21"/>
      <c r="NCF203" s="21"/>
      <c r="NCG203" s="21"/>
      <c r="NCH203" s="21"/>
      <c r="NCI203" s="21"/>
      <c r="NCJ203" s="21"/>
      <c r="NCK203" s="21"/>
      <c r="NCL203" s="21"/>
      <c r="NCM203" s="21"/>
      <c r="NCN203" s="21"/>
      <c r="NCO203" s="21"/>
      <c r="NCP203" s="21"/>
      <c r="NCQ203" s="21"/>
      <c r="NCR203" s="21"/>
      <c r="NCS203" s="21"/>
      <c r="NCT203" s="21"/>
      <c r="NCU203" s="21"/>
      <c r="NCV203" s="21"/>
      <c r="NCW203" s="21"/>
      <c r="NCX203" s="21"/>
      <c r="NCY203" s="21"/>
      <c r="NCZ203" s="21"/>
      <c r="NDA203" s="21"/>
      <c r="NDB203" s="21"/>
      <c r="NDC203" s="21"/>
      <c r="NDD203" s="21"/>
      <c r="NDE203" s="21"/>
      <c r="NDF203" s="21"/>
      <c r="NDG203" s="21"/>
      <c r="NDH203" s="21"/>
      <c r="NDI203" s="21"/>
      <c r="NDJ203" s="21"/>
      <c r="NDK203" s="21"/>
      <c r="NDL203" s="21"/>
      <c r="NDM203" s="21"/>
      <c r="NDN203" s="21"/>
      <c r="NDO203" s="21"/>
      <c r="NDP203" s="21"/>
      <c r="NDQ203" s="21"/>
      <c r="NDR203" s="21"/>
      <c r="NDS203" s="21"/>
      <c r="NDT203" s="21"/>
      <c r="NDU203" s="21"/>
      <c r="NDV203" s="21"/>
      <c r="NDW203" s="21"/>
      <c r="NDX203" s="21"/>
      <c r="NDY203" s="21"/>
      <c r="NDZ203" s="21"/>
      <c r="NEA203" s="21"/>
      <c r="NEB203" s="21"/>
      <c r="NEC203" s="21"/>
      <c r="NED203" s="21"/>
      <c r="NEE203" s="21"/>
      <c r="NEF203" s="21"/>
      <c r="NEG203" s="21"/>
      <c r="NEH203" s="21"/>
      <c r="NEI203" s="21"/>
      <c r="NEJ203" s="21"/>
      <c r="NEK203" s="21"/>
      <c r="NEL203" s="21"/>
      <c r="NEM203" s="21"/>
      <c r="NEN203" s="21"/>
      <c r="NEO203" s="21"/>
      <c r="NEP203" s="21"/>
      <c r="NEQ203" s="21"/>
      <c r="NER203" s="21"/>
      <c r="NES203" s="21"/>
      <c r="NET203" s="21"/>
      <c r="NEU203" s="21"/>
      <c r="NEV203" s="21"/>
      <c r="NEW203" s="21"/>
      <c r="NEX203" s="21"/>
      <c r="NEY203" s="21"/>
      <c r="NEZ203" s="21"/>
      <c r="NFA203" s="21"/>
      <c r="NFB203" s="21"/>
      <c r="NFC203" s="21"/>
      <c r="NFD203" s="21"/>
      <c r="NFE203" s="21"/>
      <c r="NFF203" s="21"/>
      <c r="NFG203" s="21"/>
      <c r="NFH203" s="21"/>
      <c r="NFI203" s="21"/>
      <c r="NFJ203" s="21"/>
      <c r="NFK203" s="21"/>
      <c r="NFL203" s="21"/>
      <c r="NFM203" s="21"/>
      <c r="NFN203" s="21"/>
      <c r="NFO203" s="21"/>
      <c r="NFP203" s="21"/>
      <c r="NFQ203" s="21"/>
      <c r="NFR203" s="21"/>
      <c r="NFS203" s="21"/>
      <c r="NFT203" s="21"/>
      <c r="NFU203" s="21"/>
      <c r="NFV203" s="21"/>
      <c r="NFW203" s="21"/>
      <c r="NFX203" s="21"/>
      <c r="NFY203" s="21"/>
      <c r="NFZ203" s="21"/>
      <c r="NGA203" s="21"/>
      <c r="NGB203" s="21"/>
      <c r="NGC203" s="21"/>
      <c r="NGD203" s="21"/>
      <c r="NGE203" s="21"/>
      <c r="NGF203" s="21"/>
      <c r="NGG203" s="21"/>
      <c r="NGH203" s="21"/>
      <c r="NGI203" s="21"/>
      <c r="NGJ203" s="21"/>
      <c r="NGK203" s="21"/>
      <c r="NGL203" s="21"/>
      <c r="NGM203" s="21"/>
      <c r="NGN203" s="21"/>
      <c r="NGO203" s="21"/>
      <c r="NGP203" s="21"/>
      <c r="NGQ203" s="21"/>
      <c r="NGR203" s="21"/>
      <c r="NGS203" s="21"/>
      <c r="NGT203" s="21"/>
      <c r="NGU203" s="21"/>
      <c r="NGV203" s="21"/>
      <c r="NGW203" s="21"/>
      <c r="NGX203" s="21"/>
      <c r="NGY203" s="21"/>
      <c r="NGZ203" s="21"/>
      <c r="NHA203" s="21"/>
      <c r="NHB203" s="21"/>
      <c r="NHC203" s="21"/>
      <c r="NHD203" s="21"/>
      <c r="NHE203" s="21"/>
      <c r="NHF203" s="21"/>
      <c r="NHG203" s="21"/>
      <c r="NHH203" s="21"/>
      <c r="NHI203" s="21"/>
      <c r="NHJ203" s="21"/>
      <c r="NHK203" s="21"/>
      <c r="NHL203" s="21"/>
      <c r="NHM203" s="21"/>
      <c r="NHN203" s="21"/>
      <c r="NHO203" s="21"/>
      <c r="NHP203" s="21"/>
      <c r="NHQ203" s="21"/>
      <c r="NHR203" s="21"/>
      <c r="NHS203" s="21"/>
      <c r="NHT203" s="21"/>
      <c r="NHU203" s="21"/>
      <c r="NHV203" s="21"/>
      <c r="NHW203" s="21"/>
      <c r="NHX203" s="21"/>
      <c r="NHY203" s="21"/>
      <c r="NHZ203" s="21"/>
      <c r="NIA203" s="21"/>
      <c r="NIB203" s="21"/>
      <c r="NIC203" s="21"/>
      <c r="NID203" s="21"/>
      <c r="NIE203" s="21"/>
      <c r="NIF203" s="21"/>
      <c r="NIG203" s="21"/>
      <c r="NIH203" s="21"/>
      <c r="NII203" s="21"/>
      <c r="NIJ203" s="21"/>
      <c r="NIK203" s="21"/>
      <c r="NIL203" s="21"/>
      <c r="NIM203" s="21"/>
      <c r="NIN203" s="21"/>
      <c r="NIO203" s="21"/>
      <c r="NIP203" s="21"/>
      <c r="NIQ203" s="21"/>
      <c r="NIR203" s="21"/>
      <c r="NIS203" s="21"/>
      <c r="NIT203" s="21"/>
      <c r="NIU203" s="21"/>
      <c r="NIV203" s="21"/>
      <c r="NIW203" s="21"/>
      <c r="NIX203" s="21"/>
      <c r="NIY203" s="21"/>
      <c r="NIZ203" s="21"/>
      <c r="NJA203" s="21"/>
      <c r="NJB203" s="21"/>
      <c r="NJC203" s="21"/>
      <c r="NJD203" s="21"/>
      <c r="NJE203" s="21"/>
      <c r="NJF203" s="21"/>
      <c r="NJG203" s="21"/>
      <c r="NJH203" s="21"/>
      <c r="NJI203" s="21"/>
      <c r="NJJ203" s="21"/>
      <c r="NJK203" s="21"/>
      <c r="NJL203" s="21"/>
      <c r="NJM203" s="21"/>
      <c r="NJN203" s="21"/>
      <c r="NJO203" s="21"/>
      <c r="NJP203" s="21"/>
      <c r="NJQ203" s="21"/>
      <c r="NJR203" s="21"/>
      <c r="NJS203" s="21"/>
      <c r="NJT203" s="21"/>
      <c r="NJU203" s="21"/>
      <c r="NJV203" s="21"/>
      <c r="NJW203" s="21"/>
      <c r="NJX203" s="21"/>
      <c r="NJY203" s="21"/>
      <c r="NJZ203" s="21"/>
      <c r="NKA203" s="21"/>
      <c r="NKB203" s="21"/>
      <c r="NKC203" s="21"/>
      <c r="NKD203" s="21"/>
      <c r="NKE203" s="21"/>
      <c r="NKF203" s="21"/>
      <c r="NKG203" s="21"/>
      <c r="NKH203" s="21"/>
      <c r="NKI203" s="21"/>
      <c r="NKJ203" s="21"/>
      <c r="NKK203" s="21"/>
      <c r="NKL203" s="21"/>
      <c r="NKM203" s="21"/>
      <c r="NKN203" s="21"/>
      <c r="NKO203" s="21"/>
      <c r="NKP203" s="21"/>
      <c r="NKQ203" s="21"/>
      <c r="NKR203" s="21"/>
      <c r="NKS203" s="21"/>
      <c r="NKT203" s="21"/>
      <c r="NKU203" s="21"/>
      <c r="NKV203" s="21"/>
      <c r="NKW203" s="21"/>
      <c r="NKX203" s="21"/>
      <c r="NKY203" s="21"/>
      <c r="NKZ203" s="21"/>
      <c r="NLA203" s="21"/>
      <c r="NLB203" s="21"/>
      <c r="NLC203" s="21"/>
      <c r="NLD203" s="21"/>
      <c r="NLE203" s="21"/>
      <c r="NLF203" s="21"/>
      <c r="NLG203" s="21"/>
      <c r="NLH203" s="21"/>
      <c r="NLI203" s="21"/>
      <c r="NLJ203" s="21"/>
      <c r="NLK203" s="21"/>
      <c r="NLL203" s="21"/>
      <c r="NLM203" s="21"/>
      <c r="NLN203" s="21"/>
      <c r="NLO203" s="21"/>
      <c r="NLP203" s="21"/>
      <c r="NLQ203" s="21"/>
      <c r="NLR203" s="21"/>
      <c r="NLS203" s="21"/>
      <c r="NLT203" s="21"/>
      <c r="NLU203" s="21"/>
      <c r="NLV203" s="21"/>
      <c r="NLW203" s="21"/>
      <c r="NLX203" s="21"/>
      <c r="NLY203" s="21"/>
      <c r="NLZ203" s="21"/>
      <c r="NMA203" s="21"/>
      <c r="NMB203" s="21"/>
      <c r="NMC203" s="21"/>
      <c r="NMD203" s="21"/>
      <c r="NME203" s="21"/>
      <c r="NMF203" s="21"/>
      <c r="NMG203" s="21"/>
      <c r="NMH203" s="21"/>
      <c r="NMI203" s="21"/>
      <c r="NMJ203" s="21"/>
      <c r="NMK203" s="21"/>
      <c r="NML203" s="21"/>
      <c r="NMM203" s="21"/>
      <c r="NMN203" s="21"/>
      <c r="NMO203" s="21"/>
      <c r="NMP203" s="21"/>
      <c r="NMQ203" s="21"/>
      <c r="NMR203" s="21"/>
      <c r="NMS203" s="21"/>
      <c r="NMT203" s="21"/>
      <c r="NMU203" s="21"/>
      <c r="NMV203" s="21"/>
      <c r="NMW203" s="21"/>
      <c r="NMX203" s="21"/>
      <c r="NMY203" s="21"/>
      <c r="NMZ203" s="21"/>
      <c r="NNA203" s="21"/>
      <c r="NNB203" s="21"/>
      <c r="NNC203" s="21"/>
      <c r="NND203" s="21"/>
      <c r="NNE203" s="21"/>
      <c r="NNF203" s="21"/>
      <c r="NNG203" s="21"/>
      <c r="NNH203" s="21"/>
      <c r="NNI203" s="21"/>
      <c r="NNJ203" s="21"/>
      <c r="NNK203" s="21"/>
      <c r="NNL203" s="21"/>
      <c r="NNM203" s="21"/>
      <c r="NNN203" s="21"/>
      <c r="NNO203" s="21"/>
      <c r="NNP203" s="21"/>
      <c r="NNQ203" s="21"/>
      <c r="NNR203" s="21"/>
      <c r="NNS203" s="21"/>
      <c r="NNT203" s="21"/>
      <c r="NNU203" s="21"/>
      <c r="NNV203" s="21"/>
      <c r="NNW203" s="21"/>
      <c r="NNX203" s="21"/>
      <c r="NNY203" s="21"/>
      <c r="NNZ203" s="21"/>
      <c r="NOA203" s="21"/>
      <c r="NOB203" s="21"/>
      <c r="NOC203" s="21"/>
      <c r="NOD203" s="21"/>
      <c r="NOE203" s="21"/>
      <c r="NOF203" s="21"/>
      <c r="NOG203" s="21"/>
      <c r="NOH203" s="21"/>
      <c r="NOI203" s="21"/>
      <c r="NOJ203" s="21"/>
      <c r="NOK203" s="21"/>
      <c r="NOL203" s="21"/>
      <c r="NOM203" s="21"/>
      <c r="NON203" s="21"/>
      <c r="NOO203" s="21"/>
      <c r="NOP203" s="21"/>
      <c r="NOQ203" s="21"/>
      <c r="NOR203" s="21"/>
      <c r="NOS203" s="21"/>
      <c r="NOT203" s="21"/>
      <c r="NOU203" s="21"/>
      <c r="NOV203" s="21"/>
      <c r="NOW203" s="21"/>
      <c r="NOX203" s="21"/>
      <c r="NOY203" s="21"/>
      <c r="NOZ203" s="21"/>
      <c r="NPA203" s="21"/>
      <c r="NPB203" s="21"/>
      <c r="NPC203" s="21"/>
      <c r="NPD203" s="21"/>
      <c r="NPE203" s="21"/>
      <c r="NPF203" s="21"/>
      <c r="NPG203" s="21"/>
      <c r="NPH203" s="21"/>
      <c r="NPI203" s="21"/>
      <c r="NPJ203" s="21"/>
      <c r="NPK203" s="21"/>
      <c r="NPL203" s="21"/>
      <c r="NPM203" s="21"/>
      <c r="NPN203" s="21"/>
      <c r="NPO203" s="21"/>
      <c r="NPP203" s="21"/>
      <c r="NPQ203" s="21"/>
      <c r="NPR203" s="21"/>
      <c r="NPS203" s="21"/>
      <c r="NPT203" s="21"/>
      <c r="NPU203" s="21"/>
      <c r="NPV203" s="21"/>
      <c r="NPW203" s="21"/>
      <c r="NPX203" s="21"/>
      <c r="NPY203" s="21"/>
      <c r="NPZ203" s="21"/>
      <c r="NQA203" s="21"/>
      <c r="NQB203" s="21"/>
      <c r="NQC203" s="21"/>
      <c r="NQD203" s="21"/>
      <c r="NQE203" s="21"/>
      <c r="NQF203" s="21"/>
      <c r="NQG203" s="21"/>
      <c r="NQH203" s="21"/>
      <c r="NQI203" s="21"/>
      <c r="NQJ203" s="21"/>
      <c r="NQK203" s="21"/>
      <c r="NQL203" s="21"/>
      <c r="NQM203" s="21"/>
      <c r="NQN203" s="21"/>
      <c r="NQO203" s="21"/>
      <c r="NQP203" s="21"/>
      <c r="NQQ203" s="21"/>
      <c r="NQR203" s="21"/>
      <c r="NQS203" s="21"/>
      <c r="NQT203" s="21"/>
      <c r="NQU203" s="21"/>
      <c r="NQV203" s="21"/>
      <c r="NQW203" s="21"/>
      <c r="NQX203" s="21"/>
      <c r="NQY203" s="21"/>
      <c r="NQZ203" s="21"/>
      <c r="NRA203" s="21"/>
      <c r="NRB203" s="21"/>
      <c r="NRC203" s="21"/>
      <c r="NRD203" s="21"/>
      <c r="NRE203" s="21"/>
      <c r="NRF203" s="21"/>
      <c r="NRG203" s="21"/>
      <c r="NRH203" s="21"/>
      <c r="NRI203" s="21"/>
      <c r="NRJ203" s="21"/>
      <c r="NRK203" s="21"/>
      <c r="NRL203" s="21"/>
      <c r="NRM203" s="21"/>
      <c r="NRN203" s="21"/>
      <c r="NRO203" s="21"/>
      <c r="NRP203" s="21"/>
      <c r="NRQ203" s="21"/>
      <c r="NRR203" s="21"/>
      <c r="NRS203" s="21"/>
      <c r="NRT203" s="21"/>
      <c r="NRU203" s="21"/>
      <c r="NRV203" s="21"/>
      <c r="NRW203" s="21"/>
      <c r="NRX203" s="21"/>
      <c r="NRY203" s="21"/>
      <c r="NRZ203" s="21"/>
      <c r="NSA203" s="21"/>
      <c r="NSB203" s="21"/>
      <c r="NSC203" s="21"/>
      <c r="NSD203" s="21"/>
      <c r="NSE203" s="21"/>
      <c r="NSF203" s="21"/>
      <c r="NSG203" s="21"/>
      <c r="NSH203" s="21"/>
      <c r="NSI203" s="21"/>
      <c r="NSJ203" s="21"/>
      <c r="NSK203" s="21"/>
      <c r="NSL203" s="21"/>
      <c r="NSM203" s="21"/>
      <c r="NSN203" s="21"/>
      <c r="NSO203" s="21"/>
      <c r="NSP203" s="21"/>
      <c r="NSQ203" s="21"/>
      <c r="NSR203" s="21"/>
      <c r="NSS203" s="21"/>
      <c r="NST203" s="21"/>
      <c r="NSU203" s="21"/>
      <c r="NSV203" s="21"/>
      <c r="NSW203" s="21"/>
      <c r="NSX203" s="21"/>
      <c r="NSY203" s="21"/>
      <c r="NSZ203" s="21"/>
      <c r="NTA203" s="21"/>
      <c r="NTB203" s="21"/>
      <c r="NTC203" s="21"/>
      <c r="NTD203" s="21"/>
      <c r="NTE203" s="21"/>
      <c r="NTF203" s="21"/>
      <c r="NTG203" s="21"/>
      <c r="NTH203" s="21"/>
      <c r="NTI203" s="21"/>
      <c r="NTJ203" s="21"/>
      <c r="NTK203" s="21"/>
      <c r="NTL203" s="21"/>
      <c r="NTM203" s="21"/>
      <c r="NTN203" s="21"/>
      <c r="NTO203" s="21"/>
      <c r="NTP203" s="21"/>
      <c r="NTQ203" s="21"/>
      <c r="NTR203" s="21"/>
      <c r="NTS203" s="21"/>
      <c r="NTT203" s="21"/>
      <c r="NTU203" s="21"/>
      <c r="NTV203" s="21"/>
      <c r="NTW203" s="21"/>
      <c r="NTX203" s="21"/>
      <c r="NTY203" s="21"/>
      <c r="NTZ203" s="21"/>
      <c r="NUA203" s="21"/>
      <c r="NUB203" s="21"/>
      <c r="NUC203" s="21"/>
      <c r="NUD203" s="21"/>
      <c r="NUE203" s="21"/>
      <c r="NUF203" s="21"/>
      <c r="NUG203" s="21"/>
      <c r="NUH203" s="21"/>
      <c r="NUI203" s="21"/>
      <c r="NUJ203" s="21"/>
      <c r="NUK203" s="21"/>
      <c r="NUL203" s="21"/>
      <c r="NUM203" s="21"/>
      <c r="NUN203" s="21"/>
      <c r="NUO203" s="21"/>
      <c r="NUP203" s="21"/>
      <c r="NUQ203" s="21"/>
      <c r="NUR203" s="21"/>
      <c r="NUS203" s="21"/>
      <c r="NUT203" s="21"/>
      <c r="NUU203" s="21"/>
      <c r="NUV203" s="21"/>
      <c r="NUW203" s="21"/>
      <c r="NUX203" s="21"/>
      <c r="NUY203" s="21"/>
      <c r="NUZ203" s="21"/>
      <c r="NVA203" s="21"/>
      <c r="NVB203" s="21"/>
      <c r="NVC203" s="21"/>
      <c r="NVD203" s="21"/>
      <c r="NVE203" s="21"/>
      <c r="NVF203" s="21"/>
      <c r="NVG203" s="21"/>
      <c r="NVH203" s="21"/>
      <c r="NVI203" s="21"/>
      <c r="NVJ203" s="21"/>
      <c r="NVK203" s="21"/>
      <c r="NVL203" s="21"/>
      <c r="NVM203" s="21"/>
      <c r="NVN203" s="21"/>
      <c r="NVO203" s="21"/>
      <c r="NVP203" s="21"/>
      <c r="NVQ203" s="21"/>
      <c r="NVR203" s="21"/>
      <c r="NVS203" s="21"/>
      <c r="NVT203" s="21"/>
      <c r="NVU203" s="21"/>
      <c r="NVV203" s="21"/>
      <c r="NVW203" s="21"/>
      <c r="NVX203" s="21"/>
      <c r="NVY203" s="21"/>
      <c r="NVZ203" s="21"/>
      <c r="NWA203" s="21"/>
      <c r="NWB203" s="21"/>
      <c r="NWC203" s="21"/>
      <c r="NWD203" s="21"/>
      <c r="NWE203" s="21"/>
      <c r="NWF203" s="21"/>
      <c r="NWG203" s="21"/>
      <c r="NWH203" s="21"/>
      <c r="NWI203" s="21"/>
      <c r="NWJ203" s="21"/>
      <c r="NWK203" s="21"/>
      <c r="NWL203" s="21"/>
      <c r="NWM203" s="21"/>
      <c r="NWN203" s="21"/>
      <c r="NWO203" s="21"/>
      <c r="NWP203" s="21"/>
      <c r="NWQ203" s="21"/>
      <c r="NWR203" s="21"/>
      <c r="NWS203" s="21"/>
      <c r="NWT203" s="21"/>
      <c r="NWU203" s="21"/>
      <c r="NWV203" s="21"/>
      <c r="NWW203" s="21"/>
      <c r="NWX203" s="21"/>
      <c r="NWY203" s="21"/>
      <c r="NWZ203" s="21"/>
      <c r="NXA203" s="21"/>
      <c r="NXB203" s="21"/>
      <c r="NXC203" s="21"/>
      <c r="NXD203" s="21"/>
      <c r="NXE203" s="21"/>
      <c r="NXF203" s="21"/>
      <c r="NXG203" s="21"/>
      <c r="NXH203" s="21"/>
      <c r="NXI203" s="21"/>
      <c r="NXJ203" s="21"/>
      <c r="NXK203" s="21"/>
      <c r="NXL203" s="21"/>
      <c r="NXM203" s="21"/>
      <c r="NXN203" s="21"/>
      <c r="NXO203" s="21"/>
      <c r="NXP203" s="21"/>
      <c r="NXQ203" s="21"/>
      <c r="NXR203" s="21"/>
      <c r="NXS203" s="21"/>
      <c r="NXT203" s="21"/>
      <c r="NXU203" s="21"/>
      <c r="NXV203" s="21"/>
      <c r="NXW203" s="21"/>
      <c r="NXX203" s="21"/>
      <c r="NXY203" s="21"/>
      <c r="NXZ203" s="21"/>
      <c r="NYA203" s="21"/>
      <c r="NYB203" s="21"/>
      <c r="NYC203" s="21"/>
      <c r="NYD203" s="21"/>
      <c r="NYE203" s="21"/>
      <c r="NYF203" s="21"/>
      <c r="NYG203" s="21"/>
      <c r="NYH203" s="21"/>
      <c r="NYI203" s="21"/>
      <c r="NYJ203" s="21"/>
      <c r="NYK203" s="21"/>
      <c r="NYL203" s="21"/>
      <c r="NYM203" s="21"/>
      <c r="NYN203" s="21"/>
      <c r="NYO203" s="21"/>
      <c r="NYP203" s="21"/>
      <c r="NYQ203" s="21"/>
      <c r="NYR203" s="21"/>
      <c r="NYS203" s="21"/>
      <c r="NYT203" s="21"/>
      <c r="NYU203" s="21"/>
      <c r="NYV203" s="21"/>
      <c r="NYW203" s="21"/>
      <c r="NYX203" s="21"/>
      <c r="NYY203" s="21"/>
      <c r="NYZ203" s="21"/>
      <c r="NZA203" s="21"/>
      <c r="NZB203" s="21"/>
      <c r="NZC203" s="21"/>
      <c r="NZD203" s="21"/>
      <c r="NZE203" s="21"/>
      <c r="NZF203" s="21"/>
      <c r="NZG203" s="21"/>
      <c r="NZH203" s="21"/>
      <c r="NZI203" s="21"/>
      <c r="NZJ203" s="21"/>
      <c r="NZK203" s="21"/>
      <c r="NZL203" s="21"/>
      <c r="NZM203" s="21"/>
      <c r="NZN203" s="21"/>
      <c r="NZO203" s="21"/>
      <c r="NZP203" s="21"/>
      <c r="NZQ203" s="21"/>
      <c r="NZR203" s="21"/>
      <c r="NZS203" s="21"/>
      <c r="NZT203" s="21"/>
      <c r="NZU203" s="21"/>
      <c r="NZV203" s="21"/>
      <c r="NZW203" s="21"/>
      <c r="NZX203" s="21"/>
      <c r="NZY203" s="21"/>
      <c r="NZZ203" s="21"/>
      <c r="OAA203" s="21"/>
      <c r="OAB203" s="21"/>
      <c r="OAC203" s="21"/>
      <c r="OAD203" s="21"/>
      <c r="OAE203" s="21"/>
      <c r="OAF203" s="21"/>
      <c r="OAG203" s="21"/>
      <c r="OAH203" s="21"/>
      <c r="OAI203" s="21"/>
      <c r="OAJ203" s="21"/>
      <c r="OAK203" s="21"/>
      <c r="OAL203" s="21"/>
      <c r="OAM203" s="21"/>
      <c r="OAN203" s="21"/>
      <c r="OAO203" s="21"/>
      <c r="OAP203" s="21"/>
      <c r="OAQ203" s="21"/>
      <c r="OAR203" s="21"/>
      <c r="OAS203" s="21"/>
      <c r="OAT203" s="21"/>
      <c r="OAU203" s="21"/>
      <c r="OAV203" s="21"/>
      <c r="OAW203" s="21"/>
      <c r="OAX203" s="21"/>
      <c r="OAY203" s="21"/>
      <c r="OAZ203" s="21"/>
      <c r="OBA203" s="21"/>
      <c r="OBB203" s="21"/>
      <c r="OBC203" s="21"/>
      <c r="OBD203" s="21"/>
      <c r="OBE203" s="21"/>
      <c r="OBF203" s="21"/>
      <c r="OBG203" s="21"/>
      <c r="OBH203" s="21"/>
      <c r="OBI203" s="21"/>
      <c r="OBJ203" s="21"/>
      <c r="OBK203" s="21"/>
      <c r="OBL203" s="21"/>
      <c r="OBM203" s="21"/>
      <c r="OBN203" s="21"/>
      <c r="OBO203" s="21"/>
      <c r="OBP203" s="21"/>
      <c r="OBQ203" s="21"/>
      <c r="OBR203" s="21"/>
      <c r="OBS203" s="21"/>
      <c r="OBT203" s="21"/>
      <c r="OBU203" s="21"/>
      <c r="OBV203" s="21"/>
      <c r="OBW203" s="21"/>
      <c r="OBX203" s="21"/>
      <c r="OBY203" s="21"/>
      <c r="OBZ203" s="21"/>
      <c r="OCA203" s="21"/>
      <c r="OCB203" s="21"/>
      <c r="OCC203" s="21"/>
      <c r="OCD203" s="21"/>
      <c r="OCE203" s="21"/>
      <c r="OCF203" s="21"/>
      <c r="OCG203" s="21"/>
      <c r="OCH203" s="21"/>
      <c r="OCI203" s="21"/>
      <c r="OCJ203" s="21"/>
      <c r="OCK203" s="21"/>
      <c r="OCL203" s="21"/>
      <c r="OCM203" s="21"/>
      <c r="OCN203" s="21"/>
      <c r="OCO203" s="21"/>
      <c r="OCP203" s="21"/>
      <c r="OCQ203" s="21"/>
      <c r="OCR203" s="21"/>
      <c r="OCS203" s="21"/>
      <c r="OCT203" s="21"/>
      <c r="OCU203" s="21"/>
      <c r="OCV203" s="21"/>
      <c r="OCW203" s="21"/>
      <c r="OCX203" s="21"/>
      <c r="OCY203" s="21"/>
      <c r="OCZ203" s="21"/>
      <c r="ODA203" s="21"/>
      <c r="ODB203" s="21"/>
      <c r="ODC203" s="21"/>
      <c r="ODD203" s="21"/>
      <c r="ODE203" s="21"/>
      <c r="ODF203" s="21"/>
      <c r="ODG203" s="21"/>
      <c r="ODH203" s="21"/>
      <c r="ODI203" s="21"/>
      <c r="ODJ203" s="21"/>
      <c r="ODK203" s="21"/>
      <c r="ODL203" s="21"/>
      <c r="ODM203" s="21"/>
      <c r="ODN203" s="21"/>
      <c r="ODO203" s="21"/>
      <c r="ODP203" s="21"/>
      <c r="ODQ203" s="21"/>
      <c r="ODR203" s="21"/>
      <c r="ODS203" s="21"/>
      <c r="ODT203" s="21"/>
      <c r="ODU203" s="21"/>
      <c r="ODV203" s="21"/>
      <c r="ODW203" s="21"/>
      <c r="ODX203" s="21"/>
      <c r="ODY203" s="21"/>
      <c r="ODZ203" s="21"/>
      <c r="OEA203" s="21"/>
      <c r="OEB203" s="21"/>
      <c r="OEC203" s="21"/>
      <c r="OED203" s="21"/>
      <c r="OEE203" s="21"/>
      <c r="OEF203" s="21"/>
      <c r="OEG203" s="21"/>
      <c r="OEH203" s="21"/>
      <c r="OEI203" s="21"/>
      <c r="OEJ203" s="21"/>
      <c r="OEK203" s="21"/>
      <c r="OEL203" s="21"/>
      <c r="OEM203" s="21"/>
      <c r="OEN203" s="21"/>
      <c r="OEO203" s="21"/>
      <c r="OEP203" s="21"/>
      <c r="OEQ203" s="21"/>
      <c r="OER203" s="21"/>
      <c r="OES203" s="21"/>
      <c r="OET203" s="21"/>
      <c r="OEU203" s="21"/>
      <c r="OEV203" s="21"/>
      <c r="OEW203" s="21"/>
      <c r="OEX203" s="21"/>
      <c r="OEY203" s="21"/>
      <c r="OEZ203" s="21"/>
      <c r="OFA203" s="21"/>
      <c r="OFB203" s="21"/>
      <c r="OFC203" s="21"/>
      <c r="OFD203" s="21"/>
      <c r="OFE203" s="21"/>
      <c r="OFF203" s="21"/>
      <c r="OFG203" s="21"/>
      <c r="OFH203" s="21"/>
      <c r="OFI203" s="21"/>
      <c r="OFJ203" s="21"/>
      <c r="OFK203" s="21"/>
      <c r="OFL203" s="21"/>
      <c r="OFM203" s="21"/>
      <c r="OFN203" s="21"/>
      <c r="OFO203" s="21"/>
      <c r="OFP203" s="21"/>
      <c r="OFQ203" s="21"/>
      <c r="OFR203" s="21"/>
      <c r="OFS203" s="21"/>
      <c r="OFT203" s="21"/>
      <c r="OFU203" s="21"/>
      <c r="OFV203" s="21"/>
      <c r="OFW203" s="21"/>
      <c r="OFX203" s="21"/>
      <c r="OFY203" s="21"/>
      <c r="OFZ203" s="21"/>
      <c r="OGA203" s="21"/>
      <c r="OGB203" s="21"/>
      <c r="OGC203" s="21"/>
      <c r="OGD203" s="21"/>
      <c r="OGE203" s="21"/>
      <c r="OGF203" s="21"/>
      <c r="OGG203" s="21"/>
      <c r="OGH203" s="21"/>
      <c r="OGI203" s="21"/>
      <c r="OGJ203" s="21"/>
      <c r="OGK203" s="21"/>
      <c r="OGL203" s="21"/>
      <c r="OGM203" s="21"/>
      <c r="OGN203" s="21"/>
      <c r="OGO203" s="21"/>
      <c r="OGP203" s="21"/>
      <c r="OGQ203" s="21"/>
      <c r="OGR203" s="21"/>
      <c r="OGS203" s="21"/>
      <c r="OGT203" s="21"/>
      <c r="OGU203" s="21"/>
      <c r="OGV203" s="21"/>
      <c r="OGW203" s="21"/>
      <c r="OGX203" s="21"/>
      <c r="OGY203" s="21"/>
      <c r="OGZ203" s="21"/>
      <c r="OHA203" s="21"/>
      <c r="OHB203" s="21"/>
      <c r="OHC203" s="21"/>
      <c r="OHD203" s="21"/>
      <c r="OHE203" s="21"/>
      <c r="OHF203" s="21"/>
      <c r="OHG203" s="21"/>
      <c r="OHH203" s="21"/>
      <c r="OHI203" s="21"/>
      <c r="OHJ203" s="21"/>
      <c r="OHK203" s="21"/>
      <c r="OHL203" s="21"/>
      <c r="OHM203" s="21"/>
      <c r="OHN203" s="21"/>
      <c r="OHO203" s="21"/>
      <c r="OHP203" s="21"/>
      <c r="OHQ203" s="21"/>
      <c r="OHR203" s="21"/>
      <c r="OHS203" s="21"/>
      <c r="OHT203" s="21"/>
      <c r="OHU203" s="21"/>
      <c r="OHV203" s="21"/>
      <c r="OHW203" s="21"/>
      <c r="OHX203" s="21"/>
      <c r="OHY203" s="21"/>
      <c r="OHZ203" s="21"/>
      <c r="OIA203" s="21"/>
      <c r="OIB203" s="21"/>
      <c r="OIC203" s="21"/>
      <c r="OID203" s="21"/>
      <c r="OIE203" s="21"/>
      <c r="OIF203" s="21"/>
      <c r="OIG203" s="21"/>
      <c r="OIH203" s="21"/>
      <c r="OII203" s="21"/>
      <c r="OIJ203" s="21"/>
      <c r="OIK203" s="21"/>
      <c r="OIL203" s="21"/>
      <c r="OIM203" s="21"/>
      <c r="OIN203" s="21"/>
      <c r="OIO203" s="21"/>
      <c r="OIP203" s="21"/>
      <c r="OIQ203" s="21"/>
      <c r="OIR203" s="21"/>
      <c r="OIS203" s="21"/>
      <c r="OIT203" s="21"/>
      <c r="OIU203" s="21"/>
      <c r="OIV203" s="21"/>
      <c r="OIW203" s="21"/>
      <c r="OIX203" s="21"/>
      <c r="OIY203" s="21"/>
      <c r="OIZ203" s="21"/>
      <c r="OJA203" s="21"/>
      <c r="OJB203" s="21"/>
      <c r="OJC203" s="21"/>
      <c r="OJD203" s="21"/>
      <c r="OJE203" s="21"/>
      <c r="OJF203" s="21"/>
      <c r="OJG203" s="21"/>
      <c r="OJH203" s="21"/>
      <c r="OJI203" s="21"/>
      <c r="OJJ203" s="21"/>
      <c r="OJK203" s="21"/>
      <c r="OJL203" s="21"/>
      <c r="OJM203" s="21"/>
      <c r="OJN203" s="21"/>
      <c r="OJO203" s="21"/>
      <c r="OJP203" s="21"/>
      <c r="OJQ203" s="21"/>
      <c r="OJR203" s="21"/>
      <c r="OJS203" s="21"/>
      <c r="OJT203" s="21"/>
      <c r="OJU203" s="21"/>
      <c r="OJV203" s="21"/>
      <c r="OJW203" s="21"/>
      <c r="OJX203" s="21"/>
      <c r="OJY203" s="21"/>
      <c r="OJZ203" s="21"/>
      <c r="OKA203" s="21"/>
      <c r="OKB203" s="21"/>
      <c r="OKC203" s="21"/>
      <c r="OKD203" s="21"/>
      <c r="OKE203" s="21"/>
      <c r="OKF203" s="21"/>
      <c r="OKG203" s="21"/>
      <c r="OKH203" s="21"/>
      <c r="OKI203" s="21"/>
      <c r="OKJ203" s="21"/>
      <c r="OKK203" s="21"/>
      <c r="OKL203" s="21"/>
      <c r="OKM203" s="21"/>
      <c r="OKN203" s="21"/>
      <c r="OKO203" s="21"/>
      <c r="OKP203" s="21"/>
      <c r="OKQ203" s="21"/>
      <c r="OKR203" s="21"/>
      <c r="OKS203" s="21"/>
      <c r="OKT203" s="21"/>
      <c r="OKU203" s="21"/>
      <c r="OKV203" s="21"/>
      <c r="OKW203" s="21"/>
      <c r="OKX203" s="21"/>
      <c r="OKY203" s="21"/>
      <c r="OKZ203" s="21"/>
      <c r="OLA203" s="21"/>
      <c r="OLB203" s="21"/>
      <c r="OLC203" s="21"/>
      <c r="OLD203" s="21"/>
      <c r="OLE203" s="21"/>
      <c r="OLF203" s="21"/>
      <c r="OLG203" s="21"/>
      <c r="OLH203" s="21"/>
      <c r="OLI203" s="21"/>
      <c r="OLJ203" s="21"/>
      <c r="OLK203" s="21"/>
      <c r="OLL203" s="21"/>
      <c r="OLM203" s="21"/>
      <c r="OLN203" s="21"/>
      <c r="OLO203" s="21"/>
      <c r="OLP203" s="21"/>
      <c r="OLQ203" s="21"/>
      <c r="OLR203" s="21"/>
      <c r="OLS203" s="21"/>
      <c r="OLT203" s="21"/>
      <c r="OLU203" s="21"/>
      <c r="OLV203" s="21"/>
      <c r="OLW203" s="21"/>
      <c r="OLX203" s="21"/>
      <c r="OLY203" s="21"/>
      <c r="OLZ203" s="21"/>
      <c r="OMA203" s="21"/>
      <c r="OMB203" s="21"/>
      <c r="OMC203" s="21"/>
      <c r="OMD203" s="21"/>
      <c r="OME203" s="21"/>
      <c r="OMF203" s="21"/>
      <c r="OMG203" s="21"/>
      <c r="OMH203" s="21"/>
      <c r="OMI203" s="21"/>
      <c r="OMJ203" s="21"/>
      <c r="OMK203" s="21"/>
      <c r="OML203" s="21"/>
      <c r="OMM203" s="21"/>
      <c r="OMN203" s="21"/>
      <c r="OMO203" s="21"/>
      <c r="OMP203" s="21"/>
      <c r="OMQ203" s="21"/>
      <c r="OMR203" s="21"/>
      <c r="OMS203" s="21"/>
      <c r="OMT203" s="21"/>
      <c r="OMU203" s="21"/>
      <c r="OMV203" s="21"/>
      <c r="OMW203" s="21"/>
      <c r="OMX203" s="21"/>
      <c r="OMY203" s="21"/>
      <c r="OMZ203" s="21"/>
      <c r="ONA203" s="21"/>
      <c r="ONB203" s="21"/>
      <c r="ONC203" s="21"/>
      <c r="OND203" s="21"/>
      <c r="ONE203" s="21"/>
      <c r="ONF203" s="21"/>
      <c r="ONG203" s="21"/>
      <c r="ONH203" s="21"/>
      <c r="ONI203" s="21"/>
      <c r="ONJ203" s="21"/>
      <c r="ONK203" s="21"/>
      <c r="ONL203" s="21"/>
      <c r="ONM203" s="21"/>
      <c r="ONN203" s="21"/>
      <c r="ONO203" s="21"/>
      <c r="ONP203" s="21"/>
      <c r="ONQ203" s="21"/>
      <c r="ONR203" s="21"/>
      <c r="ONS203" s="21"/>
      <c r="ONT203" s="21"/>
      <c r="ONU203" s="21"/>
      <c r="ONV203" s="21"/>
      <c r="ONW203" s="21"/>
      <c r="ONX203" s="21"/>
      <c r="ONY203" s="21"/>
      <c r="ONZ203" s="21"/>
      <c r="OOA203" s="21"/>
      <c r="OOB203" s="21"/>
      <c r="OOC203" s="21"/>
      <c r="OOD203" s="21"/>
      <c r="OOE203" s="21"/>
      <c r="OOF203" s="21"/>
      <c r="OOG203" s="21"/>
      <c r="OOH203" s="21"/>
      <c r="OOI203" s="21"/>
      <c r="OOJ203" s="21"/>
      <c r="OOK203" s="21"/>
      <c r="OOL203" s="21"/>
      <c r="OOM203" s="21"/>
      <c r="OON203" s="21"/>
      <c r="OOO203" s="21"/>
      <c r="OOP203" s="21"/>
      <c r="OOQ203" s="21"/>
      <c r="OOR203" s="21"/>
      <c r="OOS203" s="21"/>
      <c r="OOT203" s="21"/>
      <c r="OOU203" s="21"/>
      <c r="OOV203" s="21"/>
      <c r="OOW203" s="21"/>
      <c r="OOX203" s="21"/>
      <c r="OOY203" s="21"/>
      <c r="OOZ203" s="21"/>
      <c r="OPA203" s="21"/>
      <c r="OPB203" s="21"/>
      <c r="OPC203" s="21"/>
      <c r="OPD203" s="21"/>
      <c r="OPE203" s="21"/>
      <c r="OPF203" s="21"/>
      <c r="OPG203" s="21"/>
      <c r="OPH203" s="21"/>
      <c r="OPI203" s="21"/>
      <c r="OPJ203" s="21"/>
      <c r="OPK203" s="21"/>
      <c r="OPL203" s="21"/>
      <c r="OPM203" s="21"/>
      <c r="OPN203" s="21"/>
      <c r="OPO203" s="21"/>
      <c r="OPP203" s="21"/>
      <c r="OPQ203" s="21"/>
      <c r="OPR203" s="21"/>
      <c r="OPS203" s="21"/>
      <c r="OPT203" s="21"/>
      <c r="OPU203" s="21"/>
      <c r="OPV203" s="21"/>
      <c r="OPW203" s="21"/>
      <c r="OPX203" s="21"/>
      <c r="OPY203" s="21"/>
      <c r="OPZ203" s="21"/>
      <c r="OQA203" s="21"/>
      <c r="OQB203" s="21"/>
      <c r="OQC203" s="21"/>
      <c r="OQD203" s="21"/>
      <c r="OQE203" s="21"/>
      <c r="OQF203" s="21"/>
      <c r="OQG203" s="21"/>
      <c r="OQH203" s="21"/>
      <c r="OQI203" s="21"/>
      <c r="OQJ203" s="21"/>
      <c r="OQK203" s="21"/>
      <c r="OQL203" s="21"/>
      <c r="OQM203" s="21"/>
      <c r="OQN203" s="21"/>
      <c r="OQO203" s="21"/>
      <c r="OQP203" s="21"/>
      <c r="OQQ203" s="21"/>
      <c r="OQR203" s="21"/>
      <c r="OQS203" s="21"/>
      <c r="OQT203" s="21"/>
      <c r="OQU203" s="21"/>
      <c r="OQV203" s="21"/>
      <c r="OQW203" s="21"/>
      <c r="OQX203" s="21"/>
      <c r="OQY203" s="21"/>
      <c r="OQZ203" s="21"/>
      <c r="ORA203" s="21"/>
      <c r="ORB203" s="21"/>
      <c r="ORC203" s="21"/>
      <c r="ORD203" s="21"/>
      <c r="ORE203" s="21"/>
      <c r="ORF203" s="21"/>
      <c r="ORG203" s="21"/>
      <c r="ORH203" s="21"/>
      <c r="ORI203" s="21"/>
      <c r="ORJ203" s="21"/>
      <c r="ORK203" s="21"/>
      <c r="ORL203" s="21"/>
      <c r="ORM203" s="21"/>
      <c r="ORN203" s="21"/>
      <c r="ORO203" s="21"/>
      <c r="ORP203" s="21"/>
      <c r="ORQ203" s="21"/>
      <c r="ORR203" s="21"/>
      <c r="ORS203" s="21"/>
      <c r="ORT203" s="21"/>
      <c r="ORU203" s="21"/>
      <c r="ORV203" s="21"/>
      <c r="ORW203" s="21"/>
      <c r="ORX203" s="21"/>
      <c r="ORY203" s="21"/>
      <c r="ORZ203" s="21"/>
      <c r="OSA203" s="21"/>
      <c r="OSB203" s="21"/>
      <c r="OSC203" s="21"/>
      <c r="OSD203" s="21"/>
      <c r="OSE203" s="21"/>
      <c r="OSF203" s="21"/>
      <c r="OSG203" s="21"/>
      <c r="OSH203" s="21"/>
      <c r="OSI203" s="21"/>
      <c r="OSJ203" s="21"/>
      <c r="OSK203" s="21"/>
      <c r="OSL203" s="21"/>
      <c r="OSM203" s="21"/>
      <c r="OSN203" s="21"/>
      <c r="OSO203" s="21"/>
      <c r="OSP203" s="21"/>
      <c r="OSQ203" s="21"/>
      <c r="OSR203" s="21"/>
      <c r="OSS203" s="21"/>
      <c r="OST203" s="21"/>
      <c r="OSU203" s="21"/>
      <c r="OSV203" s="21"/>
      <c r="OSW203" s="21"/>
      <c r="OSX203" s="21"/>
      <c r="OSY203" s="21"/>
      <c r="OSZ203" s="21"/>
      <c r="OTA203" s="21"/>
      <c r="OTB203" s="21"/>
      <c r="OTC203" s="21"/>
      <c r="OTD203" s="21"/>
      <c r="OTE203" s="21"/>
      <c r="OTF203" s="21"/>
      <c r="OTG203" s="21"/>
      <c r="OTH203" s="21"/>
      <c r="OTI203" s="21"/>
      <c r="OTJ203" s="21"/>
      <c r="OTK203" s="21"/>
      <c r="OTL203" s="21"/>
      <c r="OTM203" s="21"/>
      <c r="OTN203" s="21"/>
      <c r="OTO203" s="21"/>
      <c r="OTP203" s="21"/>
      <c r="OTQ203" s="21"/>
      <c r="OTR203" s="21"/>
      <c r="OTS203" s="21"/>
      <c r="OTT203" s="21"/>
      <c r="OTU203" s="21"/>
      <c r="OTV203" s="21"/>
      <c r="OTW203" s="21"/>
      <c r="OTX203" s="21"/>
      <c r="OTY203" s="21"/>
      <c r="OTZ203" s="21"/>
      <c r="OUA203" s="21"/>
      <c r="OUB203" s="21"/>
      <c r="OUC203" s="21"/>
      <c r="OUD203" s="21"/>
      <c r="OUE203" s="21"/>
      <c r="OUF203" s="21"/>
      <c r="OUG203" s="21"/>
      <c r="OUH203" s="21"/>
      <c r="OUI203" s="21"/>
      <c r="OUJ203" s="21"/>
      <c r="OUK203" s="21"/>
      <c r="OUL203" s="21"/>
      <c r="OUM203" s="21"/>
      <c r="OUN203" s="21"/>
      <c r="OUO203" s="21"/>
      <c r="OUP203" s="21"/>
      <c r="OUQ203" s="21"/>
      <c r="OUR203" s="21"/>
      <c r="OUS203" s="21"/>
      <c r="OUT203" s="21"/>
      <c r="OUU203" s="21"/>
      <c r="OUV203" s="21"/>
      <c r="OUW203" s="21"/>
      <c r="OUX203" s="21"/>
      <c r="OUY203" s="21"/>
      <c r="OUZ203" s="21"/>
      <c r="OVA203" s="21"/>
      <c r="OVB203" s="21"/>
      <c r="OVC203" s="21"/>
      <c r="OVD203" s="21"/>
      <c r="OVE203" s="21"/>
      <c r="OVF203" s="21"/>
      <c r="OVG203" s="21"/>
      <c r="OVH203" s="21"/>
      <c r="OVI203" s="21"/>
      <c r="OVJ203" s="21"/>
      <c r="OVK203" s="21"/>
      <c r="OVL203" s="21"/>
      <c r="OVM203" s="21"/>
      <c r="OVN203" s="21"/>
      <c r="OVO203" s="21"/>
      <c r="OVP203" s="21"/>
      <c r="OVQ203" s="21"/>
      <c r="OVR203" s="21"/>
      <c r="OVS203" s="21"/>
      <c r="OVT203" s="21"/>
      <c r="OVU203" s="21"/>
      <c r="OVV203" s="21"/>
      <c r="OVW203" s="21"/>
      <c r="OVX203" s="21"/>
      <c r="OVY203" s="21"/>
      <c r="OVZ203" s="21"/>
      <c r="OWA203" s="21"/>
      <c r="OWB203" s="21"/>
      <c r="OWC203" s="21"/>
      <c r="OWD203" s="21"/>
      <c r="OWE203" s="21"/>
      <c r="OWF203" s="21"/>
      <c r="OWG203" s="21"/>
      <c r="OWH203" s="21"/>
      <c r="OWI203" s="21"/>
      <c r="OWJ203" s="21"/>
      <c r="OWK203" s="21"/>
      <c r="OWL203" s="21"/>
      <c r="OWM203" s="21"/>
      <c r="OWN203" s="21"/>
      <c r="OWO203" s="21"/>
      <c r="OWP203" s="21"/>
      <c r="OWQ203" s="21"/>
      <c r="OWR203" s="21"/>
      <c r="OWS203" s="21"/>
      <c r="OWT203" s="21"/>
      <c r="OWU203" s="21"/>
      <c r="OWV203" s="21"/>
      <c r="OWW203" s="21"/>
      <c r="OWX203" s="21"/>
      <c r="OWY203" s="21"/>
      <c r="OWZ203" s="21"/>
      <c r="OXA203" s="21"/>
      <c r="OXB203" s="21"/>
      <c r="OXC203" s="21"/>
      <c r="OXD203" s="21"/>
      <c r="OXE203" s="21"/>
      <c r="OXF203" s="21"/>
      <c r="OXG203" s="21"/>
      <c r="OXH203" s="21"/>
      <c r="OXI203" s="21"/>
      <c r="OXJ203" s="21"/>
      <c r="OXK203" s="21"/>
      <c r="OXL203" s="21"/>
      <c r="OXM203" s="21"/>
      <c r="OXN203" s="21"/>
      <c r="OXO203" s="21"/>
      <c r="OXP203" s="21"/>
      <c r="OXQ203" s="21"/>
      <c r="OXR203" s="21"/>
      <c r="OXS203" s="21"/>
      <c r="OXT203" s="21"/>
      <c r="OXU203" s="21"/>
      <c r="OXV203" s="21"/>
      <c r="OXW203" s="21"/>
      <c r="OXX203" s="21"/>
      <c r="OXY203" s="21"/>
      <c r="OXZ203" s="21"/>
      <c r="OYA203" s="21"/>
      <c r="OYB203" s="21"/>
      <c r="OYC203" s="21"/>
      <c r="OYD203" s="21"/>
      <c r="OYE203" s="21"/>
      <c r="OYF203" s="21"/>
      <c r="OYG203" s="21"/>
      <c r="OYH203" s="21"/>
      <c r="OYI203" s="21"/>
      <c r="OYJ203" s="21"/>
      <c r="OYK203" s="21"/>
      <c r="OYL203" s="21"/>
      <c r="OYM203" s="21"/>
      <c r="OYN203" s="21"/>
      <c r="OYO203" s="21"/>
      <c r="OYP203" s="21"/>
      <c r="OYQ203" s="21"/>
      <c r="OYR203" s="21"/>
      <c r="OYS203" s="21"/>
      <c r="OYT203" s="21"/>
      <c r="OYU203" s="21"/>
      <c r="OYV203" s="21"/>
      <c r="OYW203" s="21"/>
      <c r="OYX203" s="21"/>
      <c r="OYY203" s="21"/>
      <c r="OYZ203" s="21"/>
      <c r="OZA203" s="21"/>
      <c r="OZB203" s="21"/>
      <c r="OZC203" s="21"/>
      <c r="OZD203" s="21"/>
      <c r="OZE203" s="21"/>
      <c r="OZF203" s="21"/>
      <c r="OZG203" s="21"/>
      <c r="OZH203" s="21"/>
      <c r="OZI203" s="21"/>
      <c r="OZJ203" s="21"/>
      <c r="OZK203" s="21"/>
      <c r="OZL203" s="21"/>
      <c r="OZM203" s="21"/>
      <c r="OZN203" s="21"/>
      <c r="OZO203" s="21"/>
      <c r="OZP203" s="21"/>
      <c r="OZQ203" s="21"/>
      <c r="OZR203" s="21"/>
      <c r="OZS203" s="21"/>
      <c r="OZT203" s="21"/>
      <c r="OZU203" s="21"/>
      <c r="OZV203" s="21"/>
      <c r="OZW203" s="21"/>
      <c r="OZX203" s="21"/>
      <c r="OZY203" s="21"/>
      <c r="OZZ203" s="21"/>
      <c r="PAA203" s="21"/>
      <c r="PAB203" s="21"/>
      <c r="PAC203" s="21"/>
      <c r="PAD203" s="21"/>
      <c r="PAE203" s="21"/>
      <c r="PAF203" s="21"/>
      <c r="PAG203" s="21"/>
      <c r="PAH203" s="21"/>
      <c r="PAI203" s="21"/>
      <c r="PAJ203" s="21"/>
      <c r="PAK203" s="21"/>
      <c r="PAL203" s="21"/>
      <c r="PAM203" s="21"/>
      <c r="PAN203" s="21"/>
      <c r="PAO203" s="21"/>
      <c r="PAP203" s="21"/>
      <c r="PAQ203" s="21"/>
      <c r="PAR203" s="21"/>
      <c r="PAS203" s="21"/>
      <c r="PAT203" s="21"/>
      <c r="PAU203" s="21"/>
      <c r="PAV203" s="21"/>
      <c r="PAW203" s="21"/>
      <c r="PAX203" s="21"/>
      <c r="PAY203" s="21"/>
      <c r="PAZ203" s="21"/>
      <c r="PBA203" s="21"/>
      <c r="PBB203" s="21"/>
      <c r="PBC203" s="21"/>
      <c r="PBD203" s="21"/>
      <c r="PBE203" s="21"/>
      <c r="PBF203" s="21"/>
      <c r="PBG203" s="21"/>
      <c r="PBH203" s="21"/>
      <c r="PBI203" s="21"/>
      <c r="PBJ203" s="21"/>
      <c r="PBK203" s="21"/>
      <c r="PBL203" s="21"/>
      <c r="PBM203" s="21"/>
      <c r="PBN203" s="21"/>
      <c r="PBO203" s="21"/>
      <c r="PBP203" s="21"/>
      <c r="PBQ203" s="21"/>
      <c r="PBR203" s="21"/>
      <c r="PBS203" s="21"/>
      <c r="PBT203" s="21"/>
      <c r="PBU203" s="21"/>
      <c r="PBV203" s="21"/>
      <c r="PBW203" s="21"/>
      <c r="PBX203" s="21"/>
      <c r="PBY203" s="21"/>
      <c r="PBZ203" s="21"/>
      <c r="PCA203" s="21"/>
      <c r="PCB203" s="21"/>
      <c r="PCC203" s="21"/>
      <c r="PCD203" s="21"/>
      <c r="PCE203" s="21"/>
      <c r="PCF203" s="21"/>
      <c r="PCG203" s="21"/>
      <c r="PCH203" s="21"/>
      <c r="PCI203" s="21"/>
      <c r="PCJ203" s="21"/>
      <c r="PCK203" s="21"/>
      <c r="PCL203" s="21"/>
      <c r="PCM203" s="21"/>
      <c r="PCN203" s="21"/>
      <c r="PCO203" s="21"/>
      <c r="PCP203" s="21"/>
      <c r="PCQ203" s="21"/>
      <c r="PCR203" s="21"/>
      <c r="PCS203" s="21"/>
      <c r="PCT203" s="21"/>
      <c r="PCU203" s="21"/>
      <c r="PCV203" s="21"/>
      <c r="PCW203" s="21"/>
      <c r="PCX203" s="21"/>
      <c r="PCY203" s="21"/>
      <c r="PCZ203" s="21"/>
      <c r="PDA203" s="21"/>
      <c r="PDB203" s="21"/>
      <c r="PDC203" s="21"/>
      <c r="PDD203" s="21"/>
      <c r="PDE203" s="21"/>
      <c r="PDF203" s="21"/>
      <c r="PDG203" s="21"/>
      <c r="PDH203" s="21"/>
      <c r="PDI203" s="21"/>
      <c r="PDJ203" s="21"/>
      <c r="PDK203" s="21"/>
      <c r="PDL203" s="21"/>
      <c r="PDM203" s="21"/>
      <c r="PDN203" s="21"/>
      <c r="PDO203" s="21"/>
      <c r="PDP203" s="21"/>
      <c r="PDQ203" s="21"/>
      <c r="PDR203" s="21"/>
      <c r="PDS203" s="21"/>
      <c r="PDT203" s="21"/>
      <c r="PDU203" s="21"/>
      <c r="PDV203" s="21"/>
      <c r="PDW203" s="21"/>
      <c r="PDX203" s="21"/>
      <c r="PDY203" s="21"/>
      <c r="PDZ203" s="21"/>
      <c r="PEA203" s="21"/>
      <c r="PEB203" s="21"/>
      <c r="PEC203" s="21"/>
      <c r="PED203" s="21"/>
      <c r="PEE203" s="21"/>
      <c r="PEF203" s="21"/>
      <c r="PEG203" s="21"/>
      <c r="PEH203" s="21"/>
      <c r="PEI203" s="21"/>
      <c r="PEJ203" s="21"/>
      <c r="PEK203" s="21"/>
      <c r="PEL203" s="21"/>
      <c r="PEM203" s="21"/>
      <c r="PEN203" s="21"/>
      <c r="PEO203" s="21"/>
      <c r="PEP203" s="21"/>
      <c r="PEQ203" s="21"/>
      <c r="PER203" s="21"/>
      <c r="PES203" s="21"/>
      <c r="PET203" s="21"/>
      <c r="PEU203" s="21"/>
      <c r="PEV203" s="21"/>
      <c r="PEW203" s="21"/>
      <c r="PEX203" s="21"/>
      <c r="PEY203" s="21"/>
      <c r="PEZ203" s="21"/>
      <c r="PFA203" s="21"/>
      <c r="PFB203" s="21"/>
      <c r="PFC203" s="21"/>
      <c r="PFD203" s="21"/>
      <c r="PFE203" s="21"/>
      <c r="PFF203" s="21"/>
      <c r="PFG203" s="21"/>
      <c r="PFH203" s="21"/>
      <c r="PFI203" s="21"/>
      <c r="PFJ203" s="21"/>
      <c r="PFK203" s="21"/>
      <c r="PFL203" s="21"/>
      <c r="PFM203" s="21"/>
      <c r="PFN203" s="21"/>
      <c r="PFO203" s="21"/>
      <c r="PFP203" s="21"/>
      <c r="PFQ203" s="21"/>
      <c r="PFR203" s="21"/>
      <c r="PFS203" s="21"/>
      <c r="PFT203" s="21"/>
      <c r="PFU203" s="21"/>
      <c r="PFV203" s="21"/>
      <c r="PFW203" s="21"/>
      <c r="PFX203" s="21"/>
      <c r="PFY203" s="21"/>
      <c r="PFZ203" s="21"/>
      <c r="PGA203" s="21"/>
      <c r="PGB203" s="21"/>
      <c r="PGC203" s="21"/>
      <c r="PGD203" s="21"/>
      <c r="PGE203" s="21"/>
      <c r="PGF203" s="21"/>
      <c r="PGG203" s="21"/>
      <c r="PGH203" s="21"/>
      <c r="PGI203" s="21"/>
      <c r="PGJ203" s="21"/>
      <c r="PGK203" s="21"/>
      <c r="PGL203" s="21"/>
      <c r="PGM203" s="21"/>
      <c r="PGN203" s="21"/>
      <c r="PGO203" s="21"/>
      <c r="PGP203" s="21"/>
      <c r="PGQ203" s="21"/>
      <c r="PGR203" s="21"/>
      <c r="PGS203" s="21"/>
      <c r="PGT203" s="21"/>
      <c r="PGU203" s="21"/>
      <c r="PGV203" s="21"/>
      <c r="PGW203" s="21"/>
      <c r="PGX203" s="21"/>
      <c r="PGY203" s="21"/>
      <c r="PGZ203" s="21"/>
      <c r="PHA203" s="21"/>
      <c r="PHB203" s="21"/>
      <c r="PHC203" s="21"/>
      <c r="PHD203" s="21"/>
      <c r="PHE203" s="21"/>
      <c r="PHF203" s="21"/>
      <c r="PHG203" s="21"/>
      <c r="PHH203" s="21"/>
      <c r="PHI203" s="21"/>
      <c r="PHJ203" s="21"/>
      <c r="PHK203" s="21"/>
      <c r="PHL203" s="21"/>
      <c r="PHM203" s="21"/>
      <c r="PHN203" s="21"/>
      <c r="PHO203" s="21"/>
      <c r="PHP203" s="21"/>
      <c r="PHQ203" s="21"/>
      <c r="PHR203" s="21"/>
      <c r="PHS203" s="21"/>
      <c r="PHT203" s="21"/>
      <c r="PHU203" s="21"/>
      <c r="PHV203" s="21"/>
      <c r="PHW203" s="21"/>
      <c r="PHX203" s="21"/>
      <c r="PHY203" s="21"/>
      <c r="PHZ203" s="21"/>
      <c r="PIA203" s="21"/>
      <c r="PIB203" s="21"/>
      <c r="PIC203" s="21"/>
      <c r="PID203" s="21"/>
      <c r="PIE203" s="21"/>
      <c r="PIF203" s="21"/>
      <c r="PIG203" s="21"/>
      <c r="PIH203" s="21"/>
      <c r="PII203" s="21"/>
      <c r="PIJ203" s="21"/>
      <c r="PIK203" s="21"/>
      <c r="PIL203" s="21"/>
      <c r="PIM203" s="21"/>
      <c r="PIN203" s="21"/>
      <c r="PIO203" s="21"/>
      <c r="PIP203" s="21"/>
      <c r="PIQ203" s="21"/>
      <c r="PIR203" s="21"/>
      <c r="PIS203" s="21"/>
      <c r="PIT203" s="21"/>
      <c r="PIU203" s="21"/>
      <c r="PIV203" s="21"/>
      <c r="PIW203" s="21"/>
      <c r="PIX203" s="21"/>
      <c r="PIY203" s="21"/>
      <c r="PIZ203" s="21"/>
      <c r="PJA203" s="21"/>
      <c r="PJB203" s="21"/>
      <c r="PJC203" s="21"/>
      <c r="PJD203" s="21"/>
      <c r="PJE203" s="21"/>
      <c r="PJF203" s="21"/>
      <c r="PJG203" s="21"/>
      <c r="PJH203" s="21"/>
      <c r="PJI203" s="21"/>
      <c r="PJJ203" s="21"/>
      <c r="PJK203" s="21"/>
      <c r="PJL203" s="21"/>
      <c r="PJM203" s="21"/>
      <c r="PJN203" s="21"/>
      <c r="PJO203" s="21"/>
      <c r="PJP203" s="21"/>
      <c r="PJQ203" s="21"/>
      <c r="PJR203" s="21"/>
      <c r="PJS203" s="21"/>
      <c r="PJT203" s="21"/>
      <c r="PJU203" s="21"/>
      <c r="PJV203" s="21"/>
      <c r="PJW203" s="21"/>
      <c r="PJX203" s="21"/>
      <c r="PJY203" s="21"/>
      <c r="PJZ203" s="21"/>
      <c r="PKA203" s="21"/>
      <c r="PKB203" s="21"/>
      <c r="PKC203" s="21"/>
      <c r="PKD203" s="21"/>
      <c r="PKE203" s="21"/>
      <c r="PKF203" s="21"/>
      <c r="PKG203" s="21"/>
      <c r="PKH203" s="21"/>
      <c r="PKI203" s="21"/>
      <c r="PKJ203" s="21"/>
      <c r="PKK203" s="21"/>
      <c r="PKL203" s="21"/>
      <c r="PKM203" s="21"/>
      <c r="PKN203" s="21"/>
      <c r="PKO203" s="21"/>
      <c r="PKP203" s="21"/>
      <c r="PKQ203" s="21"/>
      <c r="PKR203" s="21"/>
      <c r="PKS203" s="21"/>
      <c r="PKT203" s="21"/>
      <c r="PKU203" s="21"/>
      <c r="PKV203" s="21"/>
      <c r="PKW203" s="21"/>
      <c r="PKX203" s="21"/>
      <c r="PKY203" s="21"/>
      <c r="PKZ203" s="21"/>
      <c r="PLA203" s="21"/>
      <c r="PLB203" s="21"/>
      <c r="PLC203" s="21"/>
      <c r="PLD203" s="21"/>
      <c r="PLE203" s="21"/>
      <c r="PLF203" s="21"/>
      <c r="PLG203" s="21"/>
      <c r="PLH203" s="21"/>
      <c r="PLI203" s="21"/>
      <c r="PLJ203" s="21"/>
      <c r="PLK203" s="21"/>
      <c r="PLL203" s="21"/>
      <c r="PLM203" s="21"/>
      <c r="PLN203" s="21"/>
      <c r="PLO203" s="21"/>
      <c r="PLP203" s="21"/>
      <c r="PLQ203" s="21"/>
      <c r="PLR203" s="21"/>
      <c r="PLS203" s="21"/>
      <c r="PLT203" s="21"/>
      <c r="PLU203" s="21"/>
      <c r="PLV203" s="21"/>
      <c r="PLW203" s="21"/>
      <c r="PLX203" s="21"/>
      <c r="PLY203" s="21"/>
      <c r="PLZ203" s="21"/>
      <c r="PMA203" s="21"/>
      <c r="PMB203" s="21"/>
      <c r="PMC203" s="21"/>
      <c r="PMD203" s="21"/>
      <c r="PME203" s="21"/>
      <c r="PMF203" s="21"/>
      <c r="PMG203" s="21"/>
      <c r="PMH203" s="21"/>
      <c r="PMI203" s="21"/>
      <c r="PMJ203" s="21"/>
      <c r="PMK203" s="21"/>
      <c r="PML203" s="21"/>
      <c r="PMM203" s="21"/>
      <c r="PMN203" s="21"/>
      <c r="PMO203" s="21"/>
      <c r="PMP203" s="21"/>
      <c r="PMQ203" s="21"/>
      <c r="PMR203" s="21"/>
      <c r="PMS203" s="21"/>
      <c r="PMT203" s="21"/>
      <c r="PMU203" s="21"/>
      <c r="PMV203" s="21"/>
      <c r="PMW203" s="21"/>
      <c r="PMX203" s="21"/>
      <c r="PMY203" s="21"/>
      <c r="PMZ203" s="21"/>
      <c r="PNA203" s="21"/>
      <c r="PNB203" s="21"/>
      <c r="PNC203" s="21"/>
      <c r="PND203" s="21"/>
      <c r="PNE203" s="21"/>
      <c r="PNF203" s="21"/>
      <c r="PNG203" s="21"/>
      <c r="PNH203" s="21"/>
      <c r="PNI203" s="21"/>
      <c r="PNJ203" s="21"/>
      <c r="PNK203" s="21"/>
      <c r="PNL203" s="21"/>
      <c r="PNM203" s="21"/>
      <c r="PNN203" s="21"/>
      <c r="PNO203" s="21"/>
      <c r="PNP203" s="21"/>
      <c r="PNQ203" s="21"/>
      <c r="PNR203" s="21"/>
      <c r="PNS203" s="21"/>
      <c r="PNT203" s="21"/>
      <c r="PNU203" s="21"/>
      <c r="PNV203" s="21"/>
      <c r="PNW203" s="21"/>
      <c r="PNX203" s="21"/>
      <c r="PNY203" s="21"/>
      <c r="PNZ203" s="21"/>
      <c r="POA203" s="21"/>
      <c r="POB203" s="21"/>
      <c r="POC203" s="21"/>
      <c r="POD203" s="21"/>
      <c r="POE203" s="21"/>
      <c r="POF203" s="21"/>
      <c r="POG203" s="21"/>
      <c r="POH203" s="21"/>
      <c r="POI203" s="21"/>
      <c r="POJ203" s="21"/>
      <c r="POK203" s="21"/>
      <c r="POL203" s="21"/>
      <c r="POM203" s="21"/>
      <c r="PON203" s="21"/>
      <c r="POO203" s="21"/>
      <c r="POP203" s="21"/>
      <c r="POQ203" s="21"/>
      <c r="POR203" s="21"/>
      <c r="POS203" s="21"/>
      <c r="POT203" s="21"/>
      <c r="POU203" s="21"/>
      <c r="POV203" s="21"/>
      <c r="POW203" s="21"/>
      <c r="POX203" s="21"/>
      <c r="POY203" s="21"/>
      <c r="POZ203" s="21"/>
      <c r="PPA203" s="21"/>
      <c r="PPB203" s="21"/>
      <c r="PPC203" s="21"/>
      <c r="PPD203" s="21"/>
      <c r="PPE203" s="21"/>
      <c r="PPF203" s="21"/>
      <c r="PPG203" s="21"/>
      <c r="PPH203" s="21"/>
      <c r="PPI203" s="21"/>
      <c r="PPJ203" s="21"/>
      <c r="PPK203" s="21"/>
      <c r="PPL203" s="21"/>
      <c r="PPM203" s="21"/>
      <c r="PPN203" s="21"/>
      <c r="PPO203" s="21"/>
      <c r="PPP203" s="21"/>
      <c r="PPQ203" s="21"/>
      <c r="PPR203" s="21"/>
      <c r="PPS203" s="21"/>
      <c r="PPT203" s="21"/>
      <c r="PPU203" s="21"/>
      <c r="PPV203" s="21"/>
      <c r="PPW203" s="21"/>
      <c r="PPX203" s="21"/>
      <c r="PPY203" s="21"/>
      <c r="PPZ203" s="21"/>
      <c r="PQA203" s="21"/>
      <c r="PQB203" s="21"/>
      <c r="PQC203" s="21"/>
      <c r="PQD203" s="21"/>
      <c r="PQE203" s="21"/>
      <c r="PQF203" s="21"/>
      <c r="PQG203" s="21"/>
      <c r="PQH203" s="21"/>
      <c r="PQI203" s="21"/>
      <c r="PQJ203" s="21"/>
      <c r="PQK203" s="21"/>
      <c r="PQL203" s="21"/>
      <c r="PQM203" s="21"/>
      <c r="PQN203" s="21"/>
      <c r="PQO203" s="21"/>
      <c r="PQP203" s="21"/>
      <c r="PQQ203" s="21"/>
      <c r="PQR203" s="21"/>
      <c r="PQS203" s="21"/>
      <c r="PQT203" s="21"/>
      <c r="PQU203" s="21"/>
      <c r="PQV203" s="21"/>
      <c r="PQW203" s="21"/>
      <c r="PQX203" s="21"/>
      <c r="PQY203" s="21"/>
      <c r="PQZ203" s="21"/>
      <c r="PRA203" s="21"/>
      <c r="PRB203" s="21"/>
      <c r="PRC203" s="21"/>
      <c r="PRD203" s="21"/>
      <c r="PRE203" s="21"/>
      <c r="PRF203" s="21"/>
      <c r="PRG203" s="21"/>
      <c r="PRH203" s="21"/>
      <c r="PRI203" s="21"/>
      <c r="PRJ203" s="21"/>
      <c r="PRK203" s="21"/>
      <c r="PRL203" s="21"/>
      <c r="PRM203" s="21"/>
      <c r="PRN203" s="21"/>
      <c r="PRO203" s="21"/>
      <c r="PRP203" s="21"/>
      <c r="PRQ203" s="21"/>
      <c r="PRR203" s="21"/>
      <c r="PRS203" s="21"/>
      <c r="PRT203" s="21"/>
      <c r="PRU203" s="21"/>
      <c r="PRV203" s="21"/>
      <c r="PRW203" s="21"/>
      <c r="PRX203" s="21"/>
      <c r="PRY203" s="21"/>
      <c r="PRZ203" s="21"/>
      <c r="PSA203" s="21"/>
      <c r="PSB203" s="21"/>
      <c r="PSC203" s="21"/>
      <c r="PSD203" s="21"/>
      <c r="PSE203" s="21"/>
      <c r="PSF203" s="21"/>
      <c r="PSG203" s="21"/>
      <c r="PSH203" s="21"/>
      <c r="PSI203" s="21"/>
      <c r="PSJ203" s="21"/>
      <c r="PSK203" s="21"/>
      <c r="PSL203" s="21"/>
      <c r="PSM203" s="21"/>
      <c r="PSN203" s="21"/>
      <c r="PSO203" s="21"/>
      <c r="PSP203" s="21"/>
      <c r="PSQ203" s="21"/>
      <c r="PSR203" s="21"/>
      <c r="PSS203" s="21"/>
      <c r="PST203" s="21"/>
      <c r="PSU203" s="21"/>
      <c r="PSV203" s="21"/>
      <c r="PSW203" s="21"/>
      <c r="PSX203" s="21"/>
      <c r="PSY203" s="21"/>
      <c r="PSZ203" s="21"/>
      <c r="PTA203" s="21"/>
      <c r="PTB203" s="21"/>
      <c r="PTC203" s="21"/>
      <c r="PTD203" s="21"/>
      <c r="PTE203" s="21"/>
      <c r="PTF203" s="21"/>
      <c r="PTG203" s="21"/>
      <c r="PTH203" s="21"/>
      <c r="PTI203" s="21"/>
      <c r="PTJ203" s="21"/>
      <c r="PTK203" s="21"/>
      <c r="PTL203" s="21"/>
      <c r="PTM203" s="21"/>
      <c r="PTN203" s="21"/>
      <c r="PTO203" s="21"/>
      <c r="PTP203" s="21"/>
      <c r="PTQ203" s="21"/>
      <c r="PTR203" s="21"/>
      <c r="PTS203" s="21"/>
      <c r="PTT203" s="21"/>
      <c r="PTU203" s="21"/>
      <c r="PTV203" s="21"/>
      <c r="PTW203" s="21"/>
      <c r="PTX203" s="21"/>
      <c r="PTY203" s="21"/>
      <c r="PTZ203" s="21"/>
      <c r="PUA203" s="21"/>
      <c r="PUB203" s="21"/>
      <c r="PUC203" s="21"/>
      <c r="PUD203" s="21"/>
      <c r="PUE203" s="21"/>
      <c r="PUF203" s="21"/>
      <c r="PUG203" s="21"/>
      <c r="PUH203" s="21"/>
      <c r="PUI203" s="21"/>
      <c r="PUJ203" s="21"/>
      <c r="PUK203" s="21"/>
      <c r="PUL203" s="21"/>
      <c r="PUM203" s="21"/>
      <c r="PUN203" s="21"/>
      <c r="PUO203" s="21"/>
      <c r="PUP203" s="21"/>
      <c r="PUQ203" s="21"/>
      <c r="PUR203" s="21"/>
      <c r="PUS203" s="21"/>
      <c r="PUT203" s="21"/>
      <c r="PUU203" s="21"/>
      <c r="PUV203" s="21"/>
      <c r="PUW203" s="21"/>
      <c r="PUX203" s="21"/>
      <c r="PUY203" s="21"/>
      <c r="PUZ203" s="21"/>
      <c r="PVA203" s="21"/>
      <c r="PVB203" s="21"/>
      <c r="PVC203" s="21"/>
      <c r="PVD203" s="21"/>
      <c r="PVE203" s="21"/>
      <c r="PVF203" s="21"/>
      <c r="PVG203" s="21"/>
      <c r="PVH203" s="21"/>
      <c r="PVI203" s="21"/>
      <c r="PVJ203" s="21"/>
      <c r="PVK203" s="21"/>
      <c r="PVL203" s="21"/>
      <c r="PVM203" s="21"/>
      <c r="PVN203" s="21"/>
      <c r="PVO203" s="21"/>
      <c r="PVP203" s="21"/>
      <c r="PVQ203" s="21"/>
      <c r="PVR203" s="21"/>
      <c r="PVS203" s="21"/>
      <c r="PVT203" s="21"/>
      <c r="PVU203" s="21"/>
      <c r="PVV203" s="21"/>
      <c r="PVW203" s="21"/>
      <c r="PVX203" s="21"/>
      <c r="PVY203" s="21"/>
      <c r="PVZ203" s="21"/>
      <c r="PWA203" s="21"/>
      <c r="PWB203" s="21"/>
      <c r="PWC203" s="21"/>
      <c r="PWD203" s="21"/>
      <c r="PWE203" s="21"/>
      <c r="PWF203" s="21"/>
      <c r="PWG203" s="21"/>
      <c r="PWH203" s="21"/>
      <c r="PWI203" s="21"/>
      <c r="PWJ203" s="21"/>
      <c r="PWK203" s="21"/>
      <c r="PWL203" s="21"/>
      <c r="PWM203" s="21"/>
      <c r="PWN203" s="21"/>
      <c r="PWO203" s="21"/>
      <c r="PWP203" s="21"/>
      <c r="PWQ203" s="21"/>
      <c r="PWR203" s="21"/>
      <c r="PWS203" s="21"/>
      <c r="PWT203" s="21"/>
      <c r="PWU203" s="21"/>
      <c r="PWV203" s="21"/>
      <c r="PWW203" s="21"/>
      <c r="PWX203" s="21"/>
      <c r="PWY203" s="21"/>
      <c r="PWZ203" s="21"/>
      <c r="PXA203" s="21"/>
      <c r="PXB203" s="21"/>
      <c r="PXC203" s="21"/>
      <c r="PXD203" s="21"/>
      <c r="PXE203" s="21"/>
      <c r="PXF203" s="21"/>
      <c r="PXG203" s="21"/>
      <c r="PXH203" s="21"/>
      <c r="PXI203" s="21"/>
      <c r="PXJ203" s="21"/>
      <c r="PXK203" s="21"/>
      <c r="PXL203" s="21"/>
      <c r="PXM203" s="21"/>
      <c r="PXN203" s="21"/>
      <c r="PXO203" s="21"/>
      <c r="PXP203" s="21"/>
      <c r="PXQ203" s="21"/>
      <c r="PXR203" s="21"/>
      <c r="PXS203" s="21"/>
      <c r="PXT203" s="21"/>
      <c r="PXU203" s="21"/>
      <c r="PXV203" s="21"/>
      <c r="PXW203" s="21"/>
      <c r="PXX203" s="21"/>
      <c r="PXY203" s="21"/>
      <c r="PXZ203" s="21"/>
      <c r="PYA203" s="21"/>
      <c r="PYB203" s="21"/>
      <c r="PYC203" s="21"/>
      <c r="PYD203" s="21"/>
      <c r="PYE203" s="21"/>
      <c r="PYF203" s="21"/>
      <c r="PYG203" s="21"/>
      <c r="PYH203" s="21"/>
      <c r="PYI203" s="21"/>
      <c r="PYJ203" s="21"/>
      <c r="PYK203" s="21"/>
      <c r="PYL203" s="21"/>
      <c r="PYM203" s="21"/>
      <c r="PYN203" s="21"/>
      <c r="PYO203" s="21"/>
      <c r="PYP203" s="21"/>
      <c r="PYQ203" s="21"/>
      <c r="PYR203" s="21"/>
      <c r="PYS203" s="21"/>
      <c r="PYT203" s="21"/>
      <c r="PYU203" s="21"/>
      <c r="PYV203" s="21"/>
      <c r="PYW203" s="21"/>
      <c r="PYX203" s="21"/>
      <c r="PYY203" s="21"/>
      <c r="PYZ203" s="21"/>
      <c r="PZA203" s="21"/>
      <c r="PZB203" s="21"/>
      <c r="PZC203" s="21"/>
      <c r="PZD203" s="21"/>
      <c r="PZE203" s="21"/>
      <c r="PZF203" s="21"/>
      <c r="PZG203" s="21"/>
      <c r="PZH203" s="21"/>
      <c r="PZI203" s="21"/>
      <c r="PZJ203" s="21"/>
      <c r="PZK203" s="21"/>
      <c r="PZL203" s="21"/>
      <c r="PZM203" s="21"/>
      <c r="PZN203" s="21"/>
      <c r="PZO203" s="21"/>
      <c r="PZP203" s="21"/>
      <c r="PZQ203" s="21"/>
      <c r="PZR203" s="21"/>
      <c r="PZS203" s="21"/>
      <c r="PZT203" s="21"/>
      <c r="PZU203" s="21"/>
      <c r="PZV203" s="21"/>
      <c r="PZW203" s="21"/>
      <c r="PZX203" s="21"/>
      <c r="PZY203" s="21"/>
      <c r="PZZ203" s="21"/>
      <c r="QAA203" s="21"/>
      <c r="QAB203" s="21"/>
      <c r="QAC203" s="21"/>
      <c r="QAD203" s="21"/>
      <c r="QAE203" s="21"/>
      <c r="QAF203" s="21"/>
      <c r="QAG203" s="21"/>
      <c r="QAH203" s="21"/>
      <c r="QAI203" s="21"/>
      <c r="QAJ203" s="21"/>
      <c r="QAK203" s="21"/>
      <c r="QAL203" s="21"/>
      <c r="QAM203" s="21"/>
      <c r="QAN203" s="21"/>
      <c r="QAO203" s="21"/>
      <c r="QAP203" s="21"/>
      <c r="QAQ203" s="21"/>
      <c r="QAR203" s="21"/>
      <c r="QAS203" s="21"/>
      <c r="QAT203" s="21"/>
      <c r="QAU203" s="21"/>
      <c r="QAV203" s="21"/>
      <c r="QAW203" s="21"/>
      <c r="QAX203" s="21"/>
      <c r="QAY203" s="21"/>
      <c r="QAZ203" s="21"/>
      <c r="QBA203" s="21"/>
      <c r="QBB203" s="21"/>
      <c r="QBC203" s="21"/>
      <c r="QBD203" s="21"/>
      <c r="QBE203" s="21"/>
      <c r="QBF203" s="21"/>
      <c r="QBG203" s="21"/>
      <c r="QBH203" s="21"/>
      <c r="QBI203" s="21"/>
      <c r="QBJ203" s="21"/>
      <c r="QBK203" s="21"/>
      <c r="QBL203" s="21"/>
      <c r="QBM203" s="21"/>
      <c r="QBN203" s="21"/>
      <c r="QBO203" s="21"/>
      <c r="QBP203" s="21"/>
      <c r="QBQ203" s="21"/>
      <c r="QBR203" s="21"/>
      <c r="QBS203" s="21"/>
      <c r="QBT203" s="21"/>
      <c r="QBU203" s="21"/>
      <c r="QBV203" s="21"/>
      <c r="QBW203" s="21"/>
      <c r="QBX203" s="21"/>
      <c r="QBY203" s="21"/>
      <c r="QBZ203" s="21"/>
      <c r="QCA203" s="21"/>
      <c r="QCB203" s="21"/>
      <c r="QCC203" s="21"/>
      <c r="QCD203" s="21"/>
      <c r="QCE203" s="21"/>
      <c r="QCF203" s="21"/>
      <c r="QCG203" s="21"/>
      <c r="QCH203" s="21"/>
      <c r="QCI203" s="21"/>
      <c r="QCJ203" s="21"/>
      <c r="QCK203" s="21"/>
      <c r="QCL203" s="21"/>
      <c r="QCM203" s="21"/>
      <c r="QCN203" s="21"/>
      <c r="QCO203" s="21"/>
      <c r="QCP203" s="21"/>
      <c r="QCQ203" s="21"/>
      <c r="QCR203" s="21"/>
      <c r="QCS203" s="21"/>
      <c r="QCT203" s="21"/>
      <c r="QCU203" s="21"/>
      <c r="QCV203" s="21"/>
      <c r="QCW203" s="21"/>
      <c r="QCX203" s="21"/>
      <c r="QCY203" s="21"/>
      <c r="QCZ203" s="21"/>
      <c r="QDA203" s="21"/>
      <c r="QDB203" s="21"/>
      <c r="QDC203" s="21"/>
      <c r="QDD203" s="21"/>
      <c r="QDE203" s="21"/>
      <c r="QDF203" s="21"/>
      <c r="QDG203" s="21"/>
      <c r="QDH203" s="21"/>
      <c r="QDI203" s="21"/>
      <c r="QDJ203" s="21"/>
      <c r="QDK203" s="21"/>
      <c r="QDL203" s="21"/>
      <c r="QDM203" s="21"/>
      <c r="QDN203" s="21"/>
      <c r="QDO203" s="21"/>
      <c r="QDP203" s="21"/>
      <c r="QDQ203" s="21"/>
      <c r="QDR203" s="21"/>
      <c r="QDS203" s="21"/>
      <c r="QDT203" s="21"/>
      <c r="QDU203" s="21"/>
      <c r="QDV203" s="21"/>
      <c r="QDW203" s="21"/>
      <c r="QDX203" s="21"/>
      <c r="QDY203" s="21"/>
      <c r="QDZ203" s="21"/>
      <c r="QEA203" s="21"/>
      <c r="QEB203" s="21"/>
      <c r="QEC203" s="21"/>
      <c r="QED203" s="21"/>
      <c r="QEE203" s="21"/>
      <c r="QEF203" s="21"/>
      <c r="QEG203" s="21"/>
      <c r="QEH203" s="21"/>
      <c r="QEI203" s="21"/>
      <c r="QEJ203" s="21"/>
      <c r="QEK203" s="21"/>
      <c r="QEL203" s="21"/>
      <c r="QEM203" s="21"/>
      <c r="QEN203" s="21"/>
      <c r="QEO203" s="21"/>
      <c r="QEP203" s="21"/>
      <c r="QEQ203" s="21"/>
      <c r="QER203" s="21"/>
      <c r="QES203" s="21"/>
      <c r="QET203" s="21"/>
      <c r="QEU203" s="21"/>
      <c r="QEV203" s="21"/>
      <c r="QEW203" s="21"/>
      <c r="QEX203" s="21"/>
      <c r="QEY203" s="21"/>
      <c r="QEZ203" s="21"/>
      <c r="QFA203" s="21"/>
      <c r="QFB203" s="21"/>
      <c r="QFC203" s="21"/>
      <c r="QFD203" s="21"/>
      <c r="QFE203" s="21"/>
      <c r="QFF203" s="21"/>
      <c r="QFG203" s="21"/>
      <c r="QFH203" s="21"/>
      <c r="QFI203" s="21"/>
      <c r="QFJ203" s="21"/>
      <c r="QFK203" s="21"/>
      <c r="QFL203" s="21"/>
      <c r="QFM203" s="21"/>
      <c r="QFN203" s="21"/>
      <c r="QFO203" s="21"/>
      <c r="QFP203" s="21"/>
      <c r="QFQ203" s="21"/>
      <c r="QFR203" s="21"/>
      <c r="QFS203" s="21"/>
      <c r="QFT203" s="21"/>
      <c r="QFU203" s="21"/>
      <c r="QFV203" s="21"/>
      <c r="QFW203" s="21"/>
      <c r="QFX203" s="21"/>
      <c r="QFY203" s="21"/>
      <c r="QFZ203" s="21"/>
      <c r="QGA203" s="21"/>
      <c r="QGB203" s="21"/>
      <c r="QGC203" s="21"/>
      <c r="QGD203" s="21"/>
      <c r="QGE203" s="21"/>
      <c r="QGF203" s="21"/>
      <c r="QGG203" s="21"/>
      <c r="QGH203" s="21"/>
      <c r="QGI203" s="21"/>
      <c r="QGJ203" s="21"/>
      <c r="QGK203" s="21"/>
      <c r="QGL203" s="21"/>
      <c r="QGM203" s="21"/>
      <c r="QGN203" s="21"/>
      <c r="QGO203" s="21"/>
      <c r="QGP203" s="21"/>
      <c r="QGQ203" s="21"/>
      <c r="QGR203" s="21"/>
      <c r="QGS203" s="21"/>
      <c r="QGT203" s="21"/>
      <c r="QGU203" s="21"/>
      <c r="QGV203" s="21"/>
      <c r="QGW203" s="21"/>
      <c r="QGX203" s="21"/>
      <c r="QGY203" s="21"/>
      <c r="QGZ203" s="21"/>
      <c r="QHA203" s="21"/>
      <c r="QHB203" s="21"/>
      <c r="QHC203" s="21"/>
      <c r="QHD203" s="21"/>
      <c r="QHE203" s="21"/>
      <c r="QHF203" s="21"/>
      <c r="QHG203" s="21"/>
      <c r="QHH203" s="21"/>
      <c r="QHI203" s="21"/>
      <c r="QHJ203" s="21"/>
      <c r="QHK203" s="21"/>
      <c r="QHL203" s="21"/>
      <c r="QHM203" s="21"/>
      <c r="QHN203" s="21"/>
      <c r="QHO203" s="21"/>
      <c r="QHP203" s="21"/>
      <c r="QHQ203" s="21"/>
      <c r="QHR203" s="21"/>
      <c r="QHS203" s="21"/>
      <c r="QHT203" s="21"/>
      <c r="QHU203" s="21"/>
      <c r="QHV203" s="21"/>
      <c r="QHW203" s="21"/>
      <c r="QHX203" s="21"/>
      <c r="QHY203" s="21"/>
      <c r="QHZ203" s="21"/>
      <c r="QIA203" s="21"/>
      <c r="QIB203" s="21"/>
      <c r="QIC203" s="21"/>
      <c r="QID203" s="21"/>
      <c r="QIE203" s="21"/>
      <c r="QIF203" s="21"/>
      <c r="QIG203" s="21"/>
      <c r="QIH203" s="21"/>
      <c r="QII203" s="21"/>
      <c r="QIJ203" s="21"/>
      <c r="QIK203" s="21"/>
      <c r="QIL203" s="21"/>
      <c r="QIM203" s="21"/>
      <c r="QIN203" s="21"/>
      <c r="QIO203" s="21"/>
      <c r="QIP203" s="21"/>
      <c r="QIQ203" s="21"/>
      <c r="QIR203" s="21"/>
      <c r="QIS203" s="21"/>
      <c r="QIT203" s="21"/>
      <c r="QIU203" s="21"/>
      <c r="QIV203" s="21"/>
      <c r="QIW203" s="21"/>
      <c r="QIX203" s="21"/>
      <c r="QIY203" s="21"/>
      <c r="QIZ203" s="21"/>
      <c r="QJA203" s="21"/>
      <c r="QJB203" s="21"/>
      <c r="QJC203" s="21"/>
      <c r="QJD203" s="21"/>
      <c r="QJE203" s="21"/>
      <c r="QJF203" s="21"/>
      <c r="QJG203" s="21"/>
      <c r="QJH203" s="21"/>
      <c r="QJI203" s="21"/>
      <c r="QJJ203" s="21"/>
      <c r="QJK203" s="21"/>
      <c r="QJL203" s="21"/>
      <c r="QJM203" s="21"/>
      <c r="QJN203" s="21"/>
      <c r="QJO203" s="21"/>
      <c r="QJP203" s="21"/>
      <c r="QJQ203" s="21"/>
      <c r="QJR203" s="21"/>
      <c r="QJS203" s="21"/>
      <c r="QJT203" s="21"/>
      <c r="QJU203" s="21"/>
      <c r="QJV203" s="21"/>
      <c r="QJW203" s="21"/>
      <c r="QJX203" s="21"/>
      <c r="QJY203" s="21"/>
      <c r="QJZ203" s="21"/>
      <c r="QKA203" s="21"/>
      <c r="QKB203" s="21"/>
      <c r="QKC203" s="21"/>
      <c r="QKD203" s="21"/>
      <c r="QKE203" s="21"/>
      <c r="QKF203" s="21"/>
      <c r="QKG203" s="21"/>
      <c r="QKH203" s="21"/>
      <c r="QKI203" s="21"/>
      <c r="QKJ203" s="21"/>
      <c r="QKK203" s="21"/>
      <c r="QKL203" s="21"/>
      <c r="QKM203" s="21"/>
      <c r="QKN203" s="21"/>
      <c r="QKO203" s="21"/>
      <c r="QKP203" s="21"/>
      <c r="QKQ203" s="21"/>
      <c r="QKR203" s="21"/>
      <c r="QKS203" s="21"/>
      <c r="QKT203" s="21"/>
      <c r="QKU203" s="21"/>
      <c r="QKV203" s="21"/>
      <c r="QKW203" s="21"/>
      <c r="QKX203" s="21"/>
      <c r="QKY203" s="21"/>
      <c r="QKZ203" s="21"/>
      <c r="QLA203" s="21"/>
      <c r="QLB203" s="21"/>
      <c r="QLC203" s="21"/>
      <c r="QLD203" s="21"/>
      <c r="QLE203" s="21"/>
      <c r="QLF203" s="21"/>
      <c r="QLG203" s="21"/>
      <c r="QLH203" s="21"/>
      <c r="QLI203" s="21"/>
      <c r="QLJ203" s="21"/>
      <c r="QLK203" s="21"/>
      <c r="QLL203" s="21"/>
      <c r="QLM203" s="21"/>
      <c r="QLN203" s="21"/>
      <c r="QLO203" s="21"/>
      <c r="QLP203" s="21"/>
      <c r="QLQ203" s="21"/>
      <c r="QLR203" s="21"/>
      <c r="QLS203" s="21"/>
      <c r="QLT203" s="21"/>
      <c r="QLU203" s="21"/>
      <c r="QLV203" s="21"/>
      <c r="QLW203" s="21"/>
      <c r="QLX203" s="21"/>
      <c r="QLY203" s="21"/>
      <c r="QLZ203" s="21"/>
      <c r="QMA203" s="21"/>
      <c r="QMB203" s="21"/>
      <c r="QMC203" s="21"/>
      <c r="QMD203" s="21"/>
      <c r="QME203" s="21"/>
      <c r="QMF203" s="21"/>
      <c r="QMG203" s="21"/>
      <c r="QMH203" s="21"/>
      <c r="QMI203" s="21"/>
      <c r="QMJ203" s="21"/>
      <c r="QMK203" s="21"/>
      <c r="QML203" s="21"/>
      <c r="QMM203" s="21"/>
      <c r="QMN203" s="21"/>
      <c r="QMO203" s="21"/>
      <c r="QMP203" s="21"/>
      <c r="QMQ203" s="21"/>
      <c r="QMR203" s="21"/>
      <c r="QMS203" s="21"/>
      <c r="QMT203" s="21"/>
      <c r="QMU203" s="21"/>
      <c r="QMV203" s="21"/>
      <c r="QMW203" s="21"/>
      <c r="QMX203" s="21"/>
      <c r="QMY203" s="21"/>
      <c r="QMZ203" s="21"/>
      <c r="QNA203" s="21"/>
      <c r="QNB203" s="21"/>
      <c r="QNC203" s="21"/>
      <c r="QND203" s="21"/>
      <c r="QNE203" s="21"/>
      <c r="QNF203" s="21"/>
      <c r="QNG203" s="21"/>
      <c r="QNH203" s="21"/>
      <c r="QNI203" s="21"/>
      <c r="QNJ203" s="21"/>
      <c r="QNK203" s="21"/>
      <c r="QNL203" s="21"/>
      <c r="QNM203" s="21"/>
      <c r="QNN203" s="21"/>
      <c r="QNO203" s="21"/>
      <c r="QNP203" s="21"/>
      <c r="QNQ203" s="21"/>
      <c r="QNR203" s="21"/>
      <c r="QNS203" s="21"/>
      <c r="QNT203" s="21"/>
      <c r="QNU203" s="21"/>
      <c r="QNV203" s="21"/>
      <c r="QNW203" s="21"/>
      <c r="QNX203" s="21"/>
      <c r="QNY203" s="21"/>
      <c r="QNZ203" s="21"/>
      <c r="QOA203" s="21"/>
      <c r="QOB203" s="21"/>
      <c r="QOC203" s="21"/>
      <c r="QOD203" s="21"/>
      <c r="QOE203" s="21"/>
      <c r="QOF203" s="21"/>
      <c r="QOG203" s="21"/>
      <c r="QOH203" s="21"/>
      <c r="QOI203" s="21"/>
      <c r="QOJ203" s="21"/>
      <c r="QOK203" s="21"/>
      <c r="QOL203" s="21"/>
      <c r="QOM203" s="21"/>
      <c r="QON203" s="21"/>
      <c r="QOO203" s="21"/>
      <c r="QOP203" s="21"/>
      <c r="QOQ203" s="21"/>
      <c r="QOR203" s="21"/>
      <c r="QOS203" s="21"/>
      <c r="QOT203" s="21"/>
      <c r="QOU203" s="21"/>
      <c r="QOV203" s="21"/>
      <c r="QOW203" s="21"/>
      <c r="QOX203" s="21"/>
      <c r="QOY203" s="21"/>
      <c r="QOZ203" s="21"/>
      <c r="QPA203" s="21"/>
      <c r="QPB203" s="21"/>
      <c r="QPC203" s="21"/>
      <c r="QPD203" s="21"/>
      <c r="QPE203" s="21"/>
      <c r="QPF203" s="21"/>
      <c r="QPG203" s="21"/>
      <c r="QPH203" s="21"/>
      <c r="QPI203" s="21"/>
      <c r="QPJ203" s="21"/>
      <c r="QPK203" s="21"/>
      <c r="QPL203" s="21"/>
      <c r="QPM203" s="21"/>
      <c r="QPN203" s="21"/>
      <c r="QPO203" s="21"/>
      <c r="QPP203" s="21"/>
      <c r="QPQ203" s="21"/>
      <c r="QPR203" s="21"/>
      <c r="QPS203" s="21"/>
      <c r="QPT203" s="21"/>
      <c r="QPU203" s="21"/>
      <c r="QPV203" s="21"/>
      <c r="QPW203" s="21"/>
      <c r="QPX203" s="21"/>
      <c r="QPY203" s="21"/>
      <c r="QPZ203" s="21"/>
      <c r="QQA203" s="21"/>
      <c r="QQB203" s="21"/>
      <c r="QQC203" s="21"/>
      <c r="QQD203" s="21"/>
      <c r="QQE203" s="21"/>
      <c r="QQF203" s="21"/>
      <c r="QQG203" s="21"/>
      <c r="QQH203" s="21"/>
      <c r="QQI203" s="21"/>
      <c r="QQJ203" s="21"/>
      <c r="QQK203" s="21"/>
      <c r="QQL203" s="21"/>
      <c r="QQM203" s="21"/>
      <c r="QQN203" s="21"/>
      <c r="QQO203" s="21"/>
      <c r="QQP203" s="21"/>
      <c r="QQQ203" s="21"/>
      <c r="QQR203" s="21"/>
      <c r="QQS203" s="21"/>
      <c r="QQT203" s="21"/>
      <c r="QQU203" s="21"/>
      <c r="QQV203" s="21"/>
      <c r="QQW203" s="21"/>
      <c r="QQX203" s="21"/>
      <c r="QQY203" s="21"/>
      <c r="QQZ203" s="21"/>
      <c r="QRA203" s="21"/>
      <c r="QRB203" s="21"/>
      <c r="QRC203" s="21"/>
      <c r="QRD203" s="21"/>
      <c r="QRE203" s="21"/>
      <c r="QRF203" s="21"/>
      <c r="QRG203" s="21"/>
      <c r="QRH203" s="21"/>
      <c r="QRI203" s="21"/>
      <c r="QRJ203" s="21"/>
      <c r="QRK203" s="21"/>
      <c r="QRL203" s="21"/>
      <c r="QRM203" s="21"/>
      <c r="QRN203" s="21"/>
      <c r="QRO203" s="21"/>
      <c r="QRP203" s="21"/>
      <c r="QRQ203" s="21"/>
      <c r="QRR203" s="21"/>
      <c r="QRS203" s="21"/>
      <c r="QRT203" s="21"/>
      <c r="QRU203" s="21"/>
      <c r="QRV203" s="21"/>
      <c r="QRW203" s="21"/>
      <c r="QRX203" s="21"/>
      <c r="QRY203" s="21"/>
      <c r="QRZ203" s="21"/>
      <c r="QSA203" s="21"/>
      <c r="QSB203" s="21"/>
      <c r="QSC203" s="21"/>
      <c r="QSD203" s="21"/>
      <c r="QSE203" s="21"/>
      <c r="QSF203" s="21"/>
      <c r="QSG203" s="21"/>
      <c r="QSH203" s="21"/>
      <c r="QSI203" s="21"/>
      <c r="QSJ203" s="21"/>
      <c r="QSK203" s="21"/>
      <c r="QSL203" s="21"/>
      <c r="QSM203" s="21"/>
      <c r="QSN203" s="21"/>
      <c r="QSO203" s="21"/>
      <c r="QSP203" s="21"/>
      <c r="QSQ203" s="21"/>
      <c r="QSR203" s="21"/>
      <c r="QSS203" s="21"/>
      <c r="QST203" s="21"/>
      <c r="QSU203" s="21"/>
      <c r="QSV203" s="21"/>
      <c r="QSW203" s="21"/>
      <c r="QSX203" s="21"/>
      <c r="QSY203" s="21"/>
      <c r="QSZ203" s="21"/>
      <c r="QTA203" s="21"/>
      <c r="QTB203" s="21"/>
      <c r="QTC203" s="21"/>
      <c r="QTD203" s="21"/>
      <c r="QTE203" s="21"/>
      <c r="QTF203" s="21"/>
      <c r="QTG203" s="21"/>
      <c r="QTH203" s="21"/>
      <c r="QTI203" s="21"/>
      <c r="QTJ203" s="21"/>
      <c r="QTK203" s="21"/>
      <c r="QTL203" s="21"/>
      <c r="QTM203" s="21"/>
      <c r="QTN203" s="21"/>
      <c r="QTO203" s="21"/>
      <c r="QTP203" s="21"/>
      <c r="QTQ203" s="21"/>
      <c r="QTR203" s="21"/>
      <c r="QTS203" s="21"/>
      <c r="QTT203" s="21"/>
      <c r="QTU203" s="21"/>
      <c r="QTV203" s="21"/>
      <c r="QTW203" s="21"/>
      <c r="QTX203" s="21"/>
      <c r="QTY203" s="21"/>
      <c r="QTZ203" s="21"/>
      <c r="QUA203" s="21"/>
      <c r="QUB203" s="21"/>
      <c r="QUC203" s="21"/>
      <c r="QUD203" s="21"/>
      <c r="QUE203" s="21"/>
      <c r="QUF203" s="21"/>
      <c r="QUG203" s="21"/>
      <c r="QUH203" s="21"/>
      <c r="QUI203" s="21"/>
      <c r="QUJ203" s="21"/>
      <c r="QUK203" s="21"/>
      <c r="QUL203" s="21"/>
      <c r="QUM203" s="21"/>
      <c r="QUN203" s="21"/>
      <c r="QUO203" s="21"/>
      <c r="QUP203" s="21"/>
      <c r="QUQ203" s="21"/>
      <c r="QUR203" s="21"/>
      <c r="QUS203" s="21"/>
      <c r="QUT203" s="21"/>
      <c r="QUU203" s="21"/>
      <c r="QUV203" s="21"/>
      <c r="QUW203" s="21"/>
      <c r="QUX203" s="21"/>
      <c r="QUY203" s="21"/>
      <c r="QUZ203" s="21"/>
      <c r="QVA203" s="21"/>
      <c r="QVB203" s="21"/>
      <c r="QVC203" s="21"/>
      <c r="QVD203" s="21"/>
      <c r="QVE203" s="21"/>
      <c r="QVF203" s="21"/>
      <c r="QVG203" s="21"/>
      <c r="QVH203" s="21"/>
      <c r="QVI203" s="21"/>
      <c r="QVJ203" s="21"/>
      <c r="QVK203" s="21"/>
      <c r="QVL203" s="21"/>
      <c r="QVM203" s="21"/>
      <c r="QVN203" s="21"/>
      <c r="QVO203" s="21"/>
      <c r="QVP203" s="21"/>
      <c r="QVQ203" s="21"/>
      <c r="QVR203" s="21"/>
      <c r="QVS203" s="21"/>
      <c r="QVT203" s="21"/>
      <c r="QVU203" s="21"/>
      <c r="QVV203" s="21"/>
      <c r="QVW203" s="21"/>
      <c r="QVX203" s="21"/>
      <c r="QVY203" s="21"/>
      <c r="QVZ203" s="21"/>
      <c r="QWA203" s="21"/>
      <c r="QWB203" s="21"/>
      <c r="QWC203" s="21"/>
      <c r="QWD203" s="21"/>
      <c r="QWE203" s="21"/>
      <c r="QWF203" s="21"/>
      <c r="QWG203" s="21"/>
      <c r="QWH203" s="21"/>
      <c r="QWI203" s="21"/>
      <c r="QWJ203" s="21"/>
      <c r="QWK203" s="21"/>
      <c r="QWL203" s="21"/>
      <c r="QWM203" s="21"/>
      <c r="QWN203" s="21"/>
      <c r="QWO203" s="21"/>
      <c r="QWP203" s="21"/>
      <c r="QWQ203" s="21"/>
      <c r="QWR203" s="21"/>
      <c r="QWS203" s="21"/>
      <c r="QWT203" s="21"/>
      <c r="QWU203" s="21"/>
      <c r="QWV203" s="21"/>
      <c r="QWW203" s="21"/>
      <c r="QWX203" s="21"/>
      <c r="QWY203" s="21"/>
      <c r="QWZ203" s="21"/>
      <c r="QXA203" s="21"/>
      <c r="QXB203" s="21"/>
      <c r="QXC203" s="21"/>
      <c r="QXD203" s="21"/>
      <c r="QXE203" s="21"/>
      <c r="QXF203" s="21"/>
      <c r="QXG203" s="21"/>
      <c r="QXH203" s="21"/>
      <c r="QXI203" s="21"/>
      <c r="QXJ203" s="21"/>
      <c r="QXK203" s="21"/>
      <c r="QXL203" s="21"/>
      <c r="QXM203" s="21"/>
      <c r="QXN203" s="21"/>
      <c r="QXO203" s="21"/>
      <c r="QXP203" s="21"/>
      <c r="QXQ203" s="21"/>
      <c r="QXR203" s="21"/>
      <c r="QXS203" s="21"/>
      <c r="QXT203" s="21"/>
      <c r="QXU203" s="21"/>
      <c r="QXV203" s="21"/>
      <c r="QXW203" s="21"/>
      <c r="QXX203" s="21"/>
      <c r="QXY203" s="21"/>
      <c r="QXZ203" s="21"/>
      <c r="QYA203" s="21"/>
      <c r="QYB203" s="21"/>
      <c r="QYC203" s="21"/>
      <c r="QYD203" s="21"/>
      <c r="QYE203" s="21"/>
      <c r="QYF203" s="21"/>
      <c r="QYG203" s="21"/>
      <c r="QYH203" s="21"/>
      <c r="QYI203" s="21"/>
      <c r="QYJ203" s="21"/>
      <c r="QYK203" s="21"/>
      <c r="QYL203" s="21"/>
      <c r="QYM203" s="21"/>
      <c r="QYN203" s="21"/>
      <c r="QYO203" s="21"/>
      <c r="QYP203" s="21"/>
      <c r="QYQ203" s="21"/>
      <c r="QYR203" s="21"/>
      <c r="QYS203" s="21"/>
      <c r="QYT203" s="21"/>
      <c r="QYU203" s="21"/>
      <c r="QYV203" s="21"/>
      <c r="QYW203" s="21"/>
      <c r="QYX203" s="21"/>
      <c r="QYY203" s="21"/>
      <c r="QYZ203" s="21"/>
      <c r="QZA203" s="21"/>
      <c r="QZB203" s="21"/>
      <c r="QZC203" s="21"/>
      <c r="QZD203" s="21"/>
      <c r="QZE203" s="21"/>
      <c r="QZF203" s="21"/>
      <c r="QZG203" s="21"/>
      <c r="QZH203" s="21"/>
      <c r="QZI203" s="21"/>
      <c r="QZJ203" s="21"/>
      <c r="QZK203" s="21"/>
      <c r="QZL203" s="21"/>
      <c r="QZM203" s="21"/>
      <c r="QZN203" s="21"/>
      <c r="QZO203" s="21"/>
      <c r="QZP203" s="21"/>
      <c r="QZQ203" s="21"/>
      <c r="QZR203" s="21"/>
      <c r="QZS203" s="21"/>
      <c r="QZT203" s="21"/>
      <c r="QZU203" s="21"/>
      <c r="QZV203" s="21"/>
      <c r="QZW203" s="21"/>
      <c r="QZX203" s="21"/>
      <c r="QZY203" s="21"/>
      <c r="QZZ203" s="21"/>
      <c r="RAA203" s="21"/>
      <c r="RAB203" s="21"/>
      <c r="RAC203" s="21"/>
      <c r="RAD203" s="21"/>
      <c r="RAE203" s="21"/>
      <c r="RAF203" s="21"/>
      <c r="RAG203" s="21"/>
      <c r="RAH203" s="21"/>
      <c r="RAI203" s="21"/>
      <c r="RAJ203" s="21"/>
      <c r="RAK203" s="21"/>
      <c r="RAL203" s="21"/>
      <c r="RAM203" s="21"/>
      <c r="RAN203" s="21"/>
      <c r="RAO203" s="21"/>
      <c r="RAP203" s="21"/>
      <c r="RAQ203" s="21"/>
      <c r="RAR203" s="21"/>
      <c r="RAS203" s="21"/>
      <c r="RAT203" s="21"/>
      <c r="RAU203" s="21"/>
      <c r="RAV203" s="21"/>
      <c r="RAW203" s="21"/>
      <c r="RAX203" s="21"/>
      <c r="RAY203" s="21"/>
      <c r="RAZ203" s="21"/>
      <c r="RBA203" s="21"/>
      <c r="RBB203" s="21"/>
      <c r="RBC203" s="21"/>
      <c r="RBD203" s="21"/>
      <c r="RBE203" s="21"/>
      <c r="RBF203" s="21"/>
      <c r="RBG203" s="21"/>
      <c r="RBH203" s="21"/>
      <c r="RBI203" s="21"/>
      <c r="RBJ203" s="21"/>
      <c r="RBK203" s="21"/>
      <c r="RBL203" s="21"/>
      <c r="RBM203" s="21"/>
      <c r="RBN203" s="21"/>
      <c r="RBO203" s="21"/>
      <c r="RBP203" s="21"/>
      <c r="RBQ203" s="21"/>
      <c r="RBR203" s="21"/>
      <c r="RBS203" s="21"/>
      <c r="RBT203" s="21"/>
      <c r="RBU203" s="21"/>
      <c r="RBV203" s="21"/>
      <c r="RBW203" s="21"/>
      <c r="RBX203" s="21"/>
      <c r="RBY203" s="21"/>
      <c r="RBZ203" s="21"/>
      <c r="RCA203" s="21"/>
      <c r="RCB203" s="21"/>
      <c r="RCC203" s="21"/>
      <c r="RCD203" s="21"/>
      <c r="RCE203" s="21"/>
      <c r="RCF203" s="21"/>
      <c r="RCG203" s="21"/>
      <c r="RCH203" s="21"/>
      <c r="RCI203" s="21"/>
      <c r="RCJ203" s="21"/>
      <c r="RCK203" s="21"/>
      <c r="RCL203" s="21"/>
      <c r="RCM203" s="21"/>
      <c r="RCN203" s="21"/>
      <c r="RCO203" s="21"/>
      <c r="RCP203" s="21"/>
      <c r="RCQ203" s="21"/>
      <c r="RCR203" s="21"/>
      <c r="RCS203" s="21"/>
      <c r="RCT203" s="21"/>
      <c r="RCU203" s="21"/>
      <c r="RCV203" s="21"/>
      <c r="RCW203" s="21"/>
      <c r="RCX203" s="21"/>
      <c r="RCY203" s="21"/>
      <c r="RCZ203" s="21"/>
      <c r="RDA203" s="21"/>
      <c r="RDB203" s="21"/>
      <c r="RDC203" s="21"/>
      <c r="RDD203" s="21"/>
      <c r="RDE203" s="21"/>
      <c r="RDF203" s="21"/>
      <c r="RDG203" s="21"/>
      <c r="RDH203" s="21"/>
      <c r="RDI203" s="21"/>
      <c r="RDJ203" s="21"/>
      <c r="RDK203" s="21"/>
      <c r="RDL203" s="21"/>
      <c r="RDM203" s="21"/>
      <c r="RDN203" s="21"/>
      <c r="RDO203" s="21"/>
      <c r="RDP203" s="21"/>
      <c r="RDQ203" s="21"/>
      <c r="RDR203" s="21"/>
      <c r="RDS203" s="21"/>
      <c r="RDT203" s="21"/>
      <c r="RDU203" s="21"/>
      <c r="RDV203" s="21"/>
      <c r="RDW203" s="21"/>
      <c r="RDX203" s="21"/>
      <c r="RDY203" s="21"/>
      <c r="RDZ203" s="21"/>
      <c r="REA203" s="21"/>
      <c r="REB203" s="21"/>
      <c r="REC203" s="21"/>
      <c r="RED203" s="21"/>
      <c r="REE203" s="21"/>
      <c r="REF203" s="21"/>
      <c r="REG203" s="21"/>
      <c r="REH203" s="21"/>
      <c r="REI203" s="21"/>
      <c r="REJ203" s="21"/>
      <c r="REK203" s="21"/>
      <c r="REL203" s="21"/>
      <c r="REM203" s="21"/>
      <c r="REN203" s="21"/>
      <c r="REO203" s="21"/>
      <c r="REP203" s="21"/>
      <c r="REQ203" s="21"/>
      <c r="RER203" s="21"/>
      <c r="RES203" s="21"/>
      <c r="RET203" s="21"/>
      <c r="REU203" s="21"/>
      <c r="REV203" s="21"/>
      <c r="REW203" s="21"/>
      <c r="REX203" s="21"/>
      <c r="REY203" s="21"/>
      <c r="REZ203" s="21"/>
      <c r="RFA203" s="21"/>
      <c r="RFB203" s="21"/>
      <c r="RFC203" s="21"/>
      <c r="RFD203" s="21"/>
      <c r="RFE203" s="21"/>
      <c r="RFF203" s="21"/>
      <c r="RFG203" s="21"/>
      <c r="RFH203" s="21"/>
      <c r="RFI203" s="21"/>
      <c r="RFJ203" s="21"/>
      <c r="RFK203" s="21"/>
      <c r="RFL203" s="21"/>
      <c r="RFM203" s="21"/>
      <c r="RFN203" s="21"/>
      <c r="RFO203" s="21"/>
      <c r="RFP203" s="21"/>
      <c r="RFQ203" s="21"/>
      <c r="RFR203" s="21"/>
      <c r="RFS203" s="21"/>
      <c r="RFT203" s="21"/>
      <c r="RFU203" s="21"/>
      <c r="RFV203" s="21"/>
      <c r="RFW203" s="21"/>
      <c r="RFX203" s="21"/>
      <c r="RFY203" s="21"/>
      <c r="RFZ203" s="21"/>
      <c r="RGA203" s="21"/>
      <c r="RGB203" s="21"/>
      <c r="RGC203" s="21"/>
      <c r="RGD203" s="21"/>
      <c r="RGE203" s="21"/>
      <c r="RGF203" s="21"/>
      <c r="RGG203" s="21"/>
      <c r="RGH203" s="21"/>
      <c r="RGI203" s="21"/>
      <c r="RGJ203" s="21"/>
      <c r="RGK203" s="21"/>
      <c r="RGL203" s="21"/>
      <c r="RGM203" s="21"/>
      <c r="RGN203" s="21"/>
      <c r="RGO203" s="21"/>
      <c r="RGP203" s="21"/>
      <c r="RGQ203" s="21"/>
      <c r="RGR203" s="21"/>
      <c r="RGS203" s="21"/>
      <c r="RGT203" s="21"/>
      <c r="RGU203" s="21"/>
      <c r="RGV203" s="21"/>
      <c r="RGW203" s="21"/>
      <c r="RGX203" s="21"/>
      <c r="RGY203" s="21"/>
      <c r="RGZ203" s="21"/>
      <c r="RHA203" s="21"/>
      <c r="RHB203" s="21"/>
      <c r="RHC203" s="21"/>
      <c r="RHD203" s="21"/>
      <c r="RHE203" s="21"/>
      <c r="RHF203" s="21"/>
      <c r="RHG203" s="21"/>
      <c r="RHH203" s="21"/>
      <c r="RHI203" s="21"/>
      <c r="RHJ203" s="21"/>
      <c r="RHK203" s="21"/>
      <c r="RHL203" s="21"/>
      <c r="RHM203" s="21"/>
      <c r="RHN203" s="21"/>
      <c r="RHO203" s="21"/>
      <c r="RHP203" s="21"/>
      <c r="RHQ203" s="21"/>
      <c r="RHR203" s="21"/>
      <c r="RHS203" s="21"/>
      <c r="RHT203" s="21"/>
      <c r="RHU203" s="21"/>
      <c r="RHV203" s="21"/>
      <c r="RHW203" s="21"/>
      <c r="RHX203" s="21"/>
      <c r="RHY203" s="21"/>
      <c r="RHZ203" s="21"/>
      <c r="RIA203" s="21"/>
      <c r="RIB203" s="21"/>
      <c r="RIC203" s="21"/>
      <c r="RID203" s="21"/>
      <c r="RIE203" s="21"/>
      <c r="RIF203" s="21"/>
      <c r="RIG203" s="21"/>
      <c r="RIH203" s="21"/>
      <c r="RII203" s="21"/>
      <c r="RIJ203" s="21"/>
      <c r="RIK203" s="21"/>
      <c r="RIL203" s="21"/>
      <c r="RIM203" s="21"/>
      <c r="RIN203" s="21"/>
      <c r="RIO203" s="21"/>
      <c r="RIP203" s="21"/>
      <c r="RIQ203" s="21"/>
      <c r="RIR203" s="21"/>
      <c r="RIS203" s="21"/>
      <c r="RIT203" s="21"/>
      <c r="RIU203" s="21"/>
      <c r="RIV203" s="21"/>
      <c r="RIW203" s="21"/>
      <c r="RIX203" s="21"/>
      <c r="RIY203" s="21"/>
      <c r="RIZ203" s="21"/>
      <c r="RJA203" s="21"/>
      <c r="RJB203" s="21"/>
      <c r="RJC203" s="21"/>
      <c r="RJD203" s="21"/>
      <c r="RJE203" s="21"/>
      <c r="RJF203" s="21"/>
      <c r="RJG203" s="21"/>
      <c r="RJH203" s="21"/>
      <c r="RJI203" s="21"/>
      <c r="RJJ203" s="21"/>
      <c r="RJK203" s="21"/>
      <c r="RJL203" s="21"/>
      <c r="RJM203" s="21"/>
      <c r="RJN203" s="21"/>
      <c r="RJO203" s="21"/>
      <c r="RJP203" s="21"/>
      <c r="RJQ203" s="21"/>
      <c r="RJR203" s="21"/>
      <c r="RJS203" s="21"/>
      <c r="RJT203" s="21"/>
      <c r="RJU203" s="21"/>
      <c r="RJV203" s="21"/>
      <c r="RJW203" s="21"/>
      <c r="RJX203" s="21"/>
      <c r="RJY203" s="21"/>
      <c r="RJZ203" s="21"/>
      <c r="RKA203" s="21"/>
      <c r="RKB203" s="21"/>
      <c r="RKC203" s="21"/>
      <c r="RKD203" s="21"/>
      <c r="RKE203" s="21"/>
      <c r="RKF203" s="21"/>
      <c r="RKG203" s="21"/>
      <c r="RKH203" s="21"/>
      <c r="RKI203" s="21"/>
      <c r="RKJ203" s="21"/>
      <c r="RKK203" s="21"/>
      <c r="RKL203" s="21"/>
      <c r="RKM203" s="21"/>
      <c r="RKN203" s="21"/>
      <c r="RKO203" s="21"/>
      <c r="RKP203" s="21"/>
      <c r="RKQ203" s="21"/>
      <c r="RKR203" s="21"/>
      <c r="RKS203" s="21"/>
      <c r="RKT203" s="21"/>
      <c r="RKU203" s="21"/>
      <c r="RKV203" s="21"/>
      <c r="RKW203" s="21"/>
      <c r="RKX203" s="21"/>
      <c r="RKY203" s="21"/>
      <c r="RKZ203" s="21"/>
      <c r="RLA203" s="21"/>
      <c r="RLB203" s="21"/>
      <c r="RLC203" s="21"/>
      <c r="RLD203" s="21"/>
      <c r="RLE203" s="21"/>
      <c r="RLF203" s="21"/>
      <c r="RLG203" s="21"/>
      <c r="RLH203" s="21"/>
      <c r="RLI203" s="21"/>
      <c r="RLJ203" s="21"/>
      <c r="RLK203" s="21"/>
      <c r="RLL203" s="21"/>
      <c r="RLM203" s="21"/>
      <c r="RLN203" s="21"/>
      <c r="RLO203" s="21"/>
      <c r="RLP203" s="21"/>
      <c r="RLQ203" s="21"/>
      <c r="RLR203" s="21"/>
      <c r="RLS203" s="21"/>
      <c r="RLT203" s="21"/>
      <c r="RLU203" s="21"/>
      <c r="RLV203" s="21"/>
      <c r="RLW203" s="21"/>
      <c r="RLX203" s="21"/>
      <c r="RLY203" s="21"/>
      <c r="RLZ203" s="21"/>
      <c r="RMA203" s="21"/>
      <c r="RMB203" s="21"/>
      <c r="RMC203" s="21"/>
      <c r="RMD203" s="21"/>
      <c r="RME203" s="21"/>
      <c r="RMF203" s="21"/>
      <c r="RMG203" s="21"/>
      <c r="RMH203" s="21"/>
      <c r="RMI203" s="21"/>
      <c r="RMJ203" s="21"/>
      <c r="RMK203" s="21"/>
      <c r="RML203" s="21"/>
      <c r="RMM203" s="21"/>
      <c r="RMN203" s="21"/>
      <c r="RMO203" s="21"/>
      <c r="RMP203" s="21"/>
      <c r="RMQ203" s="21"/>
      <c r="RMR203" s="21"/>
      <c r="RMS203" s="21"/>
      <c r="RMT203" s="21"/>
      <c r="RMU203" s="21"/>
      <c r="RMV203" s="21"/>
      <c r="RMW203" s="21"/>
      <c r="RMX203" s="21"/>
      <c r="RMY203" s="21"/>
      <c r="RMZ203" s="21"/>
      <c r="RNA203" s="21"/>
      <c r="RNB203" s="21"/>
      <c r="RNC203" s="21"/>
      <c r="RND203" s="21"/>
      <c r="RNE203" s="21"/>
      <c r="RNF203" s="21"/>
      <c r="RNG203" s="21"/>
      <c r="RNH203" s="21"/>
      <c r="RNI203" s="21"/>
      <c r="RNJ203" s="21"/>
      <c r="RNK203" s="21"/>
      <c r="RNL203" s="21"/>
      <c r="RNM203" s="21"/>
      <c r="RNN203" s="21"/>
      <c r="RNO203" s="21"/>
      <c r="RNP203" s="21"/>
      <c r="RNQ203" s="21"/>
      <c r="RNR203" s="21"/>
      <c r="RNS203" s="21"/>
      <c r="RNT203" s="21"/>
      <c r="RNU203" s="21"/>
      <c r="RNV203" s="21"/>
      <c r="RNW203" s="21"/>
      <c r="RNX203" s="21"/>
      <c r="RNY203" s="21"/>
      <c r="RNZ203" s="21"/>
      <c r="ROA203" s="21"/>
      <c r="ROB203" s="21"/>
      <c r="ROC203" s="21"/>
      <c r="ROD203" s="21"/>
      <c r="ROE203" s="21"/>
      <c r="ROF203" s="21"/>
      <c r="ROG203" s="21"/>
      <c r="ROH203" s="21"/>
      <c r="ROI203" s="21"/>
      <c r="ROJ203" s="21"/>
      <c r="ROK203" s="21"/>
      <c r="ROL203" s="21"/>
      <c r="ROM203" s="21"/>
      <c r="RON203" s="21"/>
      <c r="ROO203" s="21"/>
      <c r="ROP203" s="21"/>
      <c r="ROQ203" s="21"/>
      <c r="ROR203" s="21"/>
      <c r="ROS203" s="21"/>
      <c r="ROT203" s="21"/>
      <c r="ROU203" s="21"/>
      <c r="ROV203" s="21"/>
      <c r="ROW203" s="21"/>
      <c r="ROX203" s="21"/>
      <c r="ROY203" s="21"/>
      <c r="ROZ203" s="21"/>
      <c r="RPA203" s="21"/>
      <c r="RPB203" s="21"/>
      <c r="RPC203" s="21"/>
      <c r="RPD203" s="21"/>
      <c r="RPE203" s="21"/>
      <c r="RPF203" s="21"/>
      <c r="RPG203" s="21"/>
      <c r="RPH203" s="21"/>
      <c r="RPI203" s="21"/>
      <c r="RPJ203" s="21"/>
      <c r="RPK203" s="21"/>
      <c r="RPL203" s="21"/>
      <c r="RPM203" s="21"/>
      <c r="RPN203" s="21"/>
      <c r="RPO203" s="21"/>
      <c r="RPP203" s="21"/>
      <c r="RPQ203" s="21"/>
      <c r="RPR203" s="21"/>
      <c r="RPS203" s="21"/>
      <c r="RPT203" s="21"/>
      <c r="RPU203" s="21"/>
      <c r="RPV203" s="21"/>
      <c r="RPW203" s="21"/>
      <c r="RPX203" s="21"/>
      <c r="RPY203" s="21"/>
      <c r="RPZ203" s="21"/>
      <c r="RQA203" s="21"/>
      <c r="RQB203" s="21"/>
      <c r="RQC203" s="21"/>
      <c r="RQD203" s="21"/>
      <c r="RQE203" s="21"/>
      <c r="RQF203" s="21"/>
      <c r="RQG203" s="21"/>
      <c r="RQH203" s="21"/>
      <c r="RQI203" s="21"/>
      <c r="RQJ203" s="21"/>
      <c r="RQK203" s="21"/>
      <c r="RQL203" s="21"/>
      <c r="RQM203" s="21"/>
      <c r="RQN203" s="21"/>
      <c r="RQO203" s="21"/>
      <c r="RQP203" s="21"/>
      <c r="RQQ203" s="21"/>
      <c r="RQR203" s="21"/>
      <c r="RQS203" s="21"/>
      <c r="RQT203" s="21"/>
      <c r="RQU203" s="21"/>
      <c r="RQV203" s="21"/>
      <c r="RQW203" s="21"/>
      <c r="RQX203" s="21"/>
      <c r="RQY203" s="21"/>
      <c r="RQZ203" s="21"/>
      <c r="RRA203" s="21"/>
      <c r="RRB203" s="21"/>
      <c r="RRC203" s="21"/>
      <c r="RRD203" s="21"/>
      <c r="RRE203" s="21"/>
      <c r="RRF203" s="21"/>
      <c r="RRG203" s="21"/>
      <c r="RRH203" s="21"/>
      <c r="RRI203" s="21"/>
      <c r="RRJ203" s="21"/>
      <c r="RRK203" s="21"/>
      <c r="RRL203" s="21"/>
      <c r="RRM203" s="21"/>
      <c r="RRN203" s="21"/>
      <c r="RRO203" s="21"/>
      <c r="RRP203" s="21"/>
      <c r="RRQ203" s="21"/>
      <c r="RRR203" s="21"/>
      <c r="RRS203" s="21"/>
      <c r="RRT203" s="21"/>
      <c r="RRU203" s="21"/>
      <c r="RRV203" s="21"/>
      <c r="RRW203" s="21"/>
      <c r="RRX203" s="21"/>
      <c r="RRY203" s="21"/>
      <c r="RRZ203" s="21"/>
      <c r="RSA203" s="21"/>
      <c r="RSB203" s="21"/>
      <c r="RSC203" s="21"/>
      <c r="RSD203" s="21"/>
      <c r="RSE203" s="21"/>
      <c r="RSF203" s="21"/>
      <c r="RSG203" s="21"/>
      <c r="RSH203" s="21"/>
      <c r="RSI203" s="21"/>
      <c r="RSJ203" s="21"/>
      <c r="RSK203" s="21"/>
      <c r="RSL203" s="21"/>
      <c r="RSM203" s="21"/>
      <c r="RSN203" s="21"/>
      <c r="RSO203" s="21"/>
      <c r="RSP203" s="21"/>
      <c r="RSQ203" s="21"/>
      <c r="RSR203" s="21"/>
      <c r="RSS203" s="21"/>
      <c r="RST203" s="21"/>
      <c r="RSU203" s="21"/>
      <c r="RSV203" s="21"/>
      <c r="RSW203" s="21"/>
      <c r="RSX203" s="21"/>
      <c r="RSY203" s="21"/>
      <c r="RSZ203" s="21"/>
      <c r="RTA203" s="21"/>
      <c r="RTB203" s="21"/>
      <c r="RTC203" s="21"/>
      <c r="RTD203" s="21"/>
      <c r="RTE203" s="21"/>
      <c r="RTF203" s="21"/>
      <c r="RTG203" s="21"/>
      <c r="RTH203" s="21"/>
      <c r="RTI203" s="21"/>
      <c r="RTJ203" s="21"/>
      <c r="RTK203" s="21"/>
      <c r="RTL203" s="21"/>
      <c r="RTM203" s="21"/>
      <c r="RTN203" s="21"/>
      <c r="RTO203" s="21"/>
      <c r="RTP203" s="21"/>
      <c r="RTQ203" s="21"/>
      <c r="RTR203" s="21"/>
      <c r="RTS203" s="21"/>
      <c r="RTT203" s="21"/>
      <c r="RTU203" s="21"/>
      <c r="RTV203" s="21"/>
      <c r="RTW203" s="21"/>
      <c r="RTX203" s="21"/>
      <c r="RTY203" s="21"/>
      <c r="RTZ203" s="21"/>
      <c r="RUA203" s="21"/>
      <c r="RUB203" s="21"/>
      <c r="RUC203" s="21"/>
      <c r="RUD203" s="21"/>
      <c r="RUE203" s="21"/>
      <c r="RUF203" s="21"/>
      <c r="RUG203" s="21"/>
      <c r="RUH203" s="21"/>
      <c r="RUI203" s="21"/>
      <c r="RUJ203" s="21"/>
      <c r="RUK203" s="21"/>
      <c r="RUL203" s="21"/>
      <c r="RUM203" s="21"/>
      <c r="RUN203" s="21"/>
      <c r="RUO203" s="21"/>
      <c r="RUP203" s="21"/>
      <c r="RUQ203" s="21"/>
      <c r="RUR203" s="21"/>
      <c r="RUS203" s="21"/>
      <c r="RUT203" s="21"/>
      <c r="RUU203" s="21"/>
      <c r="RUV203" s="21"/>
      <c r="RUW203" s="21"/>
      <c r="RUX203" s="21"/>
      <c r="RUY203" s="21"/>
      <c r="RUZ203" s="21"/>
      <c r="RVA203" s="21"/>
      <c r="RVB203" s="21"/>
      <c r="RVC203" s="21"/>
      <c r="RVD203" s="21"/>
      <c r="RVE203" s="21"/>
      <c r="RVF203" s="21"/>
      <c r="RVG203" s="21"/>
      <c r="RVH203" s="21"/>
      <c r="RVI203" s="21"/>
      <c r="RVJ203" s="21"/>
      <c r="RVK203" s="21"/>
      <c r="RVL203" s="21"/>
      <c r="RVM203" s="21"/>
      <c r="RVN203" s="21"/>
      <c r="RVO203" s="21"/>
      <c r="RVP203" s="21"/>
      <c r="RVQ203" s="21"/>
      <c r="RVR203" s="21"/>
      <c r="RVS203" s="21"/>
      <c r="RVT203" s="21"/>
      <c r="RVU203" s="21"/>
      <c r="RVV203" s="21"/>
      <c r="RVW203" s="21"/>
      <c r="RVX203" s="21"/>
      <c r="RVY203" s="21"/>
      <c r="RVZ203" s="21"/>
      <c r="RWA203" s="21"/>
      <c r="RWB203" s="21"/>
      <c r="RWC203" s="21"/>
      <c r="RWD203" s="21"/>
      <c r="RWE203" s="21"/>
      <c r="RWF203" s="21"/>
      <c r="RWG203" s="21"/>
      <c r="RWH203" s="21"/>
      <c r="RWI203" s="21"/>
      <c r="RWJ203" s="21"/>
      <c r="RWK203" s="21"/>
      <c r="RWL203" s="21"/>
      <c r="RWM203" s="21"/>
      <c r="RWN203" s="21"/>
      <c r="RWO203" s="21"/>
      <c r="RWP203" s="21"/>
      <c r="RWQ203" s="21"/>
      <c r="RWR203" s="21"/>
      <c r="RWS203" s="21"/>
      <c r="RWT203" s="21"/>
      <c r="RWU203" s="21"/>
      <c r="RWV203" s="21"/>
      <c r="RWW203" s="21"/>
      <c r="RWX203" s="21"/>
      <c r="RWY203" s="21"/>
      <c r="RWZ203" s="21"/>
      <c r="RXA203" s="21"/>
      <c r="RXB203" s="21"/>
      <c r="RXC203" s="21"/>
      <c r="RXD203" s="21"/>
      <c r="RXE203" s="21"/>
      <c r="RXF203" s="21"/>
      <c r="RXG203" s="21"/>
      <c r="RXH203" s="21"/>
      <c r="RXI203" s="21"/>
      <c r="RXJ203" s="21"/>
      <c r="RXK203" s="21"/>
      <c r="RXL203" s="21"/>
      <c r="RXM203" s="21"/>
      <c r="RXN203" s="21"/>
      <c r="RXO203" s="21"/>
      <c r="RXP203" s="21"/>
      <c r="RXQ203" s="21"/>
      <c r="RXR203" s="21"/>
      <c r="RXS203" s="21"/>
      <c r="RXT203" s="21"/>
      <c r="RXU203" s="21"/>
      <c r="RXV203" s="21"/>
      <c r="RXW203" s="21"/>
      <c r="RXX203" s="21"/>
      <c r="RXY203" s="21"/>
      <c r="RXZ203" s="21"/>
      <c r="RYA203" s="21"/>
      <c r="RYB203" s="21"/>
      <c r="RYC203" s="21"/>
      <c r="RYD203" s="21"/>
      <c r="RYE203" s="21"/>
      <c r="RYF203" s="21"/>
      <c r="RYG203" s="21"/>
      <c r="RYH203" s="21"/>
      <c r="RYI203" s="21"/>
      <c r="RYJ203" s="21"/>
      <c r="RYK203" s="21"/>
      <c r="RYL203" s="21"/>
      <c r="RYM203" s="21"/>
      <c r="RYN203" s="21"/>
      <c r="RYO203" s="21"/>
      <c r="RYP203" s="21"/>
      <c r="RYQ203" s="21"/>
      <c r="RYR203" s="21"/>
      <c r="RYS203" s="21"/>
      <c r="RYT203" s="21"/>
      <c r="RYU203" s="21"/>
      <c r="RYV203" s="21"/>
      <c r="RYW203" s="21"/>
      <c r="RYX203" s="21"/>
      <c r="RYY203" s="21"/>
      <c r="RYZ203" s="21"/>
      <c r="RZA203" s="21"/>
      <c r="RZB203" s="21"/>
      <c r="RZC203" s="21"/>
      <c r="RZD203" s="21"/>
      <c r="RZE203" s="21"/>
      <c r="RZF203" s="21"/>
      <c r="RZG203" s="21"/>
      <c r="RZH203" s="21"/>
      <c r="RZI203" s="21"/>
      <c r="RZJ203" s="21"/>
      <c r="RZK203" s="21"/>
      <c r="RZL203" s="21"/>
      <c r="RZM203" s="21"/>
      <c r="RZN203" s="21"/>
      <c r="RZO203" s="21"/>
      <c r="RZP203" s="21"/>
      <c r="RZQ203" s="21"/>
      <c r="RZR203" s="21"/>
      <c r="RZS203" s="21"/>
      <c r="RZT203" s="21"/>
      <c r="RZU203" s="21"/>
      <c r="RZV203" s="21"/>
      <c r="RZW203" s="21"/>
      <c r="RZX203" s="21"/>
      <c r="RZY203" s="21"/>
      <c r="RZZ203" s="21"/>
      <c r="SAA203" s="21"/>
      <c r="SAB203" s="21"/>
      <c r="SAC203" s="21"/>
      <c r="SAD203" s="21"/>
      <c r="SAE203" s="21"/>
      <c r="SAF203" s="21"/>
      <c r="SAG203" s="21"/>
      <c r="SAH203" s="21"/>
      <c r="SAI203" s="21"/>
      <c r="SAJ203" s="21"/>
      <c r="SAK203" s="21"/>
      <c r="SAL203" s="21"/>
      <c r="SAM203" s="21"/>
      <c r="SAN203" s="21"/>
      <c r="SAO203" s="21"/>
      <c r="SAP203" s="21"/>
      <c r="SAQ203" s="21"/>
      <c r="SAR203" s="21"/>
      <c r="SAS203" s="21"/>
      <c r="SAT203" s="21"/>
      <c r="SAU203" s="21"/>
      <c r="SAV203" s="21"/>
      <c r="SAW203" s="21"/>
      <c r="SAX203" s="21"/>
      <c r="SAY203" s="21"/>
      <c r="SAZ203" s="21"/>
      <c r="SBA203" s="21"/>
      <c r="SBB203" s="21"/>
      <c r="SBC203" s="21"/>
      <c r="SBD203" s="21"/>
      <c r="SBE203" s="21"/>
      <c r="SBF203" s="21"/>
      <c r="SBG203" s="21"/>
      <c r="SBH203" s="21"/>
      <c r="SBI203" s="21"/>
      <c r="SBJ203" s="21"/>
      <c r="SBK203" s="21"/>
      <c r="SBL203" s="21"/>
      <c r="SBM203" s="21"/>
      <c r="SBN203" s="21"/>
      <c r="SBO203" s="21"/>
      <c r="SBP203" s="21"/>
      <c r="SBQ203" s="21"/>
      <c r="SBR203" s="21"/>
      <c r="SBS203" s="21"/>
      <c r="SBT203" s="21"/>
      <c r="SBU203" s="21"/>
      <c r="SBV203" s="21"/>
      <c r="SBW203" s="21"/>
      <c r="SBX203" s="21"/>
      <c r="SBY203" s="21"/>
      <c r="SBZ203" s="21"/>
      <c r="SCA203" s="21"/>
      <c r="SCB203" s="21"/>
      <c r="SCC203" s="21"/>
      <c r="SCD203" s="21"/>
      <c r="SCE203" s="21"/>
      <c r="SCF203" s="21"/>
      <c r="SCG203" s="21"/>
      <c r="SCH203" s="21"/>
      <c r="SCI203" s="21"/>
      <c r="SCJ203" s="21"/>
      <c r="SCK203" s="21"/>
      <c r="SCL203" s="21"/>
      <c r="SCM203" s="21"/>
      <c r="SCN203" s="21"/>
      <c r="SCO203" s="21"/>
      <c r="SCP203" s="21"/>
      <c r="SCQ203" s="21"/>
      <c r="SCR203" s="21"/>
      <c r="SCS203" s="21"/>
      <c r="SCT203" s="21"/>
      <c r="SCU203" s="21"/>
      <c r="SCV203" s="21"/>
      <c r="SCW203" s="21"/>
      <c r="SCX203" s="21"/>
      <c r="SCY203" s="21"/>
      <c r="SCZ203" s="21"/>
      <c r="SDA203" s="21"/>
      <c r="SDB203" s="21"/>
      <c r="SDC203" s="21"/>
      <c r="SDD203" s="21"/>
      <c r="SDE203" s="21"/>
      <c r="SDF203" s="21"/>
      <c r="SDG203" s="21"/>
      <c r="SDH203" s="21"/>
      <c r="SDI203" s="21"/>
      <c r="SDJ203" s="21"/>
      <c r="SDK203" s="21"/>
      <c r="SDL203" s="21"/>
      <c r="SDM203" s="21"/>
      <c r="SDN203" s="21"/>
      <c r="SDO203" s="21"/>
      <c r="SDP203" s="21"/>
      <c r="SDQ203" s="21"/>
      <c r="SDR203" s="21"/>
      <c r="SDS203" s="21"/>
      <c r="SDT203" s="21"/>
      <c r="SDU203" s="21"/>
      <c r="SDV203" s="21"/>
      <c r="SDW203" s="21"/>
      <c r="SDX203" s="21"/>
      <c r="SDY203" s="21"/>
      <c r="SDZ203" s="21"/>
      <c r="SEA203" s="21"/>
      <c r="SEB203" s="21"/>
      <c r="SEC203" s="21"/>
      <c r="SED203" s="21"/>
      <c r="SEE203" s="21"/>
      <c r="SEF203" s="21"/>
      <c r="SEG203" s="21"/>
      <c r="SEH203" s="21"/>
      <c r="SEI203" s="21"/>
      <c r="SEJ203" s="21"/>
      <c r="SEK203" s="21"/>
      <c r="SEL203" s="21"/>
      <c r="SEM203" s="21"/>
      <c r="SEN203" s="21"/>
      <c r="SEO203" s="21"/>
      <c r="SEP203" s="21"/>
      <c r="SEQ203" s="21"/>
      <c r="SER203" s="21"/>
      <c r="SES203" s="21"/>
      <c r="SET203" s="21"/>
      <c r="SEU203" s="21"/>
      <c r="SEV203" s="21"/>
      <c r="SEW203" s="21"/>
      <c r="SEX203" s="21"/>
      <c r="SEY203" s="21"/>
      <c r="SEZ203" s="21"/>
      <c r="SFA203" s="21"/>
      <c r="SFB203" s="21"/>
      <c r="SFC203" s="21"/>
      <c r="SFD203" s="21"/>
      <c r="SFE203" s="21"/>
      <c r="SFF203" s="21"/>
      <c r="SFG203" s="21"/>
      <c r="SFH203" s="21"/>
      <c r="SFI203" s="21"/>
      <c r="SFJ203" s="21"/>
      <c r="SFK203" s="21"/>
      <c r="SFL203" s="21"/>
      <c r="SFM203" s="21"/>
      <c r="SFN203" s="21"/>
      <c r="SFO203" s="21"/>
      <c r="SFP203" s="21"/>
      <c r="SFQ203" s="21"/>
      <c r="SFR203" s="21"/>
      <c r="SFS203" s="21"/>
      <c r="SFT203" s="21"/>
      <c r="SFU203" s="21"/>
      <c r="SFV203" s="21"/>
      <c r="SFW203" s="21"/>
      <c r="SFX203" s="21"/>
      <c r="SFY203" s="21"/>
      <c r="SFZ203" s="21"/>
      <c r="SGA203" s="21"/>
      <c r="SGB203" s="21"/>
      <c r="SGC203" s="21"/>
      <c r="SGD203" s="21"/>
      <c r="SGE203" s="21"/>
      <c r="SGF203" s="21"/>
      <c r="SGG203" s="21"/>
      <c r="SGH203" s="21"/>
      <c r="SGI203" s="21"/>
      <c r="SGJ203" s="21"/>
      <c r="SGK203" s="21"/>
      <c r="SGL203" s="21"/>
      <c r="SGM203" s="21"/>
      <c r="SGN203" s="21"/>
      <c r="SGO203" s="21"/>
      <c r="SGP203" s="21"/>
      <c r="SGQ203" s="21"/>
      <c r="SGR203" s="21"/>
      <c r="SGS203" s="21"/>
      <c r="SGT203" s="21"/>
      <c r="SGU203" s="21"/>
      <c r="SGV203" s="21"/>
      <c r="SGW203" s="21"/>
      <c r="SGX203" s="21"/>
      <c r="SGY203" s="21"/>
      <c r="SGZ203" s="21"/>
      <c r="SHA203" s="21"/>
      <c r="SHB203" s="21"/>
      <c r="SHC203" s="21"/>
      <c r="SHD203" s="21"/>
      <c r="SHE203" s="21"/>
      <c r="SHF203" s="21"/>
      <c r="SHG203" s="21"/>
      <c r="SHH203" s="21"/>
      <c r="SHI203" s="21"/>
      <c r="SHJ203" s="21"/>
      <c r="SHK203" s="21"/>
      <c r="SHL203" s="21"/>
      <c r="SHM203" s="21"/>
      <c r="SHN203" s="21"/>
      <c r="SHO203" s="21"/>
      <c r="SHP203" s="21"/>
      <c r="SHQ203" s="21"/>
      <c r="SHR203" s="21"/>
      <c r="SHS203" s="21"/>
      <c r="SHT203" s="21"/>
      <c r="SHU203" s="21"/>
      <c r="SHV203" s="21"/>
      <c r="SHW203" s="21"/>
      <c r="SHX203" s="21"/>
      <c r="SHY203" s="21"/>
      <c r="SHZ203" s="21"/>
      <c r="SIA203" s="21"/>
      <c r="SIB203" s="21"/>
      <c r="SIC203" s="21"/>
      <c r="SID203" s="21"/>
      <c r="SIE203" s="21"/>
      <c r="SIF203" s="21"/>
      <c r="SIG203" s="21"/>
      <c r="SIH203" s="21"/>
      <c r="SII203" s="21"/>
      <c r="SIJ203" s="21"/>
      <c r="SIK203" s="21"/>
      <c r="SIL203" s="21"/>
      <c r="SIM203" s="21"/>
      <c r="SIN203" s="21"/>
      <c r="SIO203" s="21"/>
      <c r="SIP203" s="21"/>
      <c r="SIQ203" s="21"/>
      <c r="SIR203" s="21"/>
      <c r="SIS203" s="21"/>
      <c r="SIT203" s="21"/>
      <c r="SIU203" s="21"/>
      <c r="SIV203" s="21"/>
      <c r="SIW203" s="21"/>
      <c r="SIX203" s="21"/>
      <c r="SIY203" s="21"/>
      <c r="SIZ203" s="21"/>
      <c r="SJA203" s="21"/>
      <c r="SJB203" s="21"/>
      <c r="SJC203" s="21"/>
      <c r="SJD203" s="21"/>
      <c r="SJE203" s="21"/>
      <c r="SJF203" s="21"/>
      <c r="SJG203" s="21"/>
      <c r="SJH203" s="21"/>
      <c r="SJI203" s="21"/>
      <c r="SJJ203" s="21"/>
      <c r="SJK203" s="21"/>
      <c r="SJL203" s="21"/>
      <c r="SJM203" s="21"/>
      <c r="SJN203" s="21"/>
      <c r="SJO203" s="21"/>
      <c r="SJP203" s="21"/>
      <c r="SJQ203" s="21"/>
      <c r="SJR203" s="21"/>
      <c r="SJS203" s="21"/>
      <c r="SJT203" s="21"/>
      <c r="SJU203" s="21"/>
      <c r="SJV203" s="21"/>
      <c r="SJW203" s="21"/>
      <c r="SJX203" s="21"/>
      <c r="SJY203" s="21"/>
      <c r="SJZ203" s="21"/>
      <c r="SKA203" s="21"/>
      <c r="SKB203" s="21"/>
      <c r="SKC203" s="21"/>
      <c r="SKD203" s="21"/>
      <c r="SKE203" s="21"/>
      <c r="SKF203" s="21"/>
      <c r="SKG203" s="21"/>
      <c r="SKH203" s="21"/>
      <c r="SKI203" s="21"/>
      <c r="SKJ203" s="21"/>
      <c r="SKK203" s="21"/>
      <c r="SKL203" s="21"/>
      <c r="SKM203" s="21"/>
      <c r="SKN203" s="21"/>
      <c r="SKO203" s="21"/>
      <c r="SKP203" s="21"/>
      <c r="SKQ203" s="21"/>
      <c r="SKR203" s="21"/>
      <c r="SKS203" s="21"/>
      <c r="SKT203" s="21"/>
      <c r="SKU203" s="21"/>
      <c r="SKV203" s="21"/>
      <c r="SKW203" s="21"/>
      <c r="SKX203" s="21"/>
      <c r="SKY203" s="21"/>
      <c r="SKZ203" s="21"/>
      <c r="SLA203" s="21"/>
      <c r="SLB203" s="21"/>
      <c r="SLC203" s="21"/>
      <c r="SLD203" s="21"/>
      <c r="SLE203" s="21"/>
      <c r="SLF203" s="21"/>
      <c r="SLG203" s="21"/>
      <c r="SLH203" s="21"/>
      <c r="SLI203" s="21"/>
      <c r="SLJ203" s="21"/>
      <c r="SLK203" s="21"/>
      <c r="SLL203" s="21"/>
      <c r="SLM203" s="21"/>
      <c r="SLN203" s="21"/>
      <c r="SLO203" s="21"/>
      <c r="SLP203" s="21"/>
      <c r="SLQ203" s="21"/>
      <c r="SLR203" s="21"/>
      <c r="SLS203" s="21"/>
      <c r="SLT203" s="21"/>
      <c r="SLU203" s="21"/>
      <c r="SLV203" s="21"/>
      <c r="SLW203" s="21"/>
      <c r="SLX203" s="21"/>
      <c r="SLY203" s="21"/>
      <c r="SLZ203" s="21"/>
      <c r="SMA203" s="21"/>
      <c r="SMB203" s="21"/>
      <c r="SMC203" s="21"/>
      <c r="SMD203" s="21"/>
      <c r="SME203" s="21"/>
      <c r="SMF203" s="21"/>
      <c r="SMG203" s="21"/>
      <c r="SMH203" s="21"/>
      <c r="SMI203" s="21"/>
      <c r="SMJ203" s="21"/>
      <c r="SMK203" s="21"/>
      <c r="SML203" s="21"/>
      <c r="SMM203" s="21"/>
      <c r="SMN203" s="21"/>
      <c r="SMO203" s="21"/>
      <c r="SMP203" s="21"/>
      <c r="SMQ203" s="21"/>
      <c r="SMR203" s="21"/>
      <c r="SMS203" s="21"/>
      <c r="SMT203" s="21"/>
      <c r="SMU203" s="21"/>
      <c r="SMV203" s="21"/>
      <c r="SMW203" s="21"/>
      <c r="SMX203" s="21"/>
      <c r="SMY203" s="21"/>
      <c r="SMZ203" s="21"/>
      <c r="SNA203" s="21"/>
      <c r="SNB203" s="21"/>
      <c r="SNC203" s="21"/>
      <c r="SND203" s="21"/>
      <c r="SNE203" s="21"/>
      <c r="SNF203" s="21"/>
      <c r="SNG203" s="21"/>
      <c r="SNH203" s="21"/>
      <c r="SNI203" s="21"/>
      <c r="SNJ203" s="21"/>
      <c r="SNK203" s="21"/>
      <c r="SNL203" s="21"/>
      <c r="SNM203" s="21"/>
      <c r="SNN203" s="21"/>
      <c r="SNO203" s="21"/>
      <c r="SNP203" s="21"/>
      <c r="SNQ203" s="21"/>
      <c r="SNR203" s="21"/>
      <c r="SNS203" s="21"/>
      <c r="SNT203" s="21"/>
      <c r="SNU203" s="21"/>
      <c r="SNV203" s="21"/>
      <c r="SNW203" s="21"/>
      <c r="SNX203" s="21"/>
      <c r="SNY203" s="21"/>
      <c r="SNZ203" s="21"/>
      <c r="SOA203" s="21"/>
      <c r="SOB203" s="21"/>
      <c r="SOC203" s="21"/>
      <c r="SOD203" s="21"/>
      <c r="SOE203" s="21"/>
      <c r="SOF203" s="21"/>
      <c r="SOG203" s="21"/>
      <c r="SOH203" s="21"/>
      <c r="SOI203" s="21"/>
      <c r="SOJ203" s="21"/>
      <c r="SOK203" s="21"/>
      <c r="SOL203" s="21"/>
      <c r="SOM203" s="21"/>
      <c r="SON203" s="21"/>
      <c r="SOO203" s="21"/>
      <c r="SOP203" s="21"/>
      <c r="SOQ203" s="21"/>
      <c r="SOR203" s="21"/>
      <c r="SOS203" s="21"/>
      <c r="SOT203" s="21"/>
      <c r="SOU203" s="21"/>
      <c r="SOV203" s="21"/>
      <c r="SOW203" s="21"/>
      <c r="SOX203" s="21"/>
      <c r="SOY203" s="21"/>
      <c r="SOZ203" s="21"/>
      <c r="SPA203" s="21"/>
      <c r="SPB203" s="21"/>
      <c r="SPC203" s="21"/>
      <c r="SPD203" s="21"/>
      <c r="SPE203" s="21"/>
      <c r="SPF203" s="21"/>
      <c r="SPG203" s="21"/>
      <c r="SPH203" s="21"/>
      <c r="SPI203" s="21"/>
      <c r="SPJ203" s="21"/>
      <c r="SPK203" s="21"/>
      <c r="SPL203" s="21"/>
      <c r="SPM203" s="21"/>
      <c r="SPN203" s="21"/>
      <c r="SPO203" s="21"/>
      <c r="SPP203" s="21"/>
      <c r="SPQ203" s="21"/>
      <c r="SPR203" s="21"/>
      <c r="SPS203" s="21"/>
      <c r="SPT203" s="21"/>
      <c r="SPU203" s="21"/>
      <c r="SPV203" s="21"/>
      <c r="SPW203" s="21"/>
      <c r="SPX203" s="21"/>
      <c r="SPY203" s="21"/>
      <c r="SPZ203" s="21"/>
      <c r="SQA203" s="21"/>
      <c r="SQB203" s="21"/>
      <c r="SQC203" s="21"/>
      <c r="SQD203" s="21"/>
      <c r="SQE203" s="21"/>
      <c r="SQF203" s="21"/>
      <c r="SQG203" s="21"/>
      <c r="SQH203" s="21"/>
      <c r="SQI203" s="21"/>
      <c r="SQJ203" s="21"/>
      <c r="SQK203" s="21"/>
      <c r="SQL203" s="21"/>
      <c r="SQM203" s="21"/>
      <c r="SQN203" s="21"/>
      <c r="SQO203" s="21"/>
      <c r="SQP203" s="21"/>
      <c r="SQQ203" s="21"/>
      <c r="SQR203" s="21"/>
      <c r="SQS203" s="21"/>
      <c r="SQT203" s="21"/>
      <c r="SQU203" s="21"/>
      <c r="SQV203" s="21"/>
      <c r="SQW203" s="21"/>
      <c r="SQX203" s="21"/>
      <c r="SQY203" s="21"/>
      <c r="SQZ203" s="21"/>
      <c r="SRA203" s="21"/>
      <c r="SRB203" s="21"/>
      <c r="SRC203" s="21"/>
      <c r="SRD203" s="21"/>
      <c r="SRE203" s="21"/>
      <c r="SRF203" s="21"/>
      <c r="SRG203" s="21"/>
      <c r="SRH203" s="21"/>
      <c r="SRI203" s="21"/>
      <c r="SRJ203" s="21"/>
      <c r="SRK203" s="21"/>
      <c r="SRL203" s="21"/>
      <c r="SRM203" s="21"/>
      <c r="SRN203" s="21"/>
      <c r="SRO203" s="21"/>
      <c r="SRP203" s="21"/>
      <c r="SRQ203" s="21"/>
      <c r="SRR203" s="21"/>
      <c r="SRS203" s="21"/>
      <c r="SRT203" s="21"/>
      <c r="SRU203" s="21"/>
      <c r="SRV203" s="21"/>
      <c r="SRW203" s="21"/>
      <c r="SRX203" s="21"/>
      <c r="SRY203" s="21"/>
      <c r="SRZ203" s="21"/>
      <c r="SSA203" s="21"/>
      <c r="SSB203" s="21"/>
      <c r="SSC203" s="21"/>
      <c r="SSD203" s="21"/>
      <c r="SSE203" s="21"/>
      <c r="SSF203" s="21"/>
      <c r="SSG203" s="21"/>
      <c r="SSH203" s="21"/>
      <c r="SSI203" s="21"/>
      <c r="SSJ203" s="21"/>
      <c r="SSK203" s="21"/>
      <c r="SSL203" s="21"/>
      <c r="SSM203" s="21"/>
      <c r="SSN203" s="21"/>
      <c r="SSO203" s="21"/>
      <c r="SSP203" s="21"/>
      <c r="SSQ203" s="21"/>
      <c r="SSR203" s="21"/>
      <c r="SSS203" s="21"/>
      <c r="SST203" s="21"/>
      <c r="SSU203" s="21"/>
      <c r="SSV203" s="21"/>
      <c r="SSW203" s="21"/>
      <c r="SSX203" s="21"/>
      <c r="SSY203" s="21"/>
      <c r="SSZ203" s="21"/>
      <c r="STA203" s="21"/>
      <c r="STB203" s="21"/>
      <c r="STC203" s="21"/>
      <c r="STD203" s="21"/>
      <c r="STE203" s="21"/>
      <c r="STF203" s="21"/>
      <c r="STG203" s="21"/>
      <c r="STH203" s="21"/>
      <c r="STI203" s="21"/>
      <c r="STJ203" s="21"/>
      <c r="STK203" s="21"/>
      <c r="STL203" s="21"/>
      <c r="STM203" s="21"/>
      <c r="STN203" s="21"/>
      <c r="STO203" s="21"/>
      <c r="STP203" s="21"/>
      <c r="STQ203" s="21"/>
      <c r="STR203" s="21"/>
      <c r="STS203" s="21"/>
      <c r="STT203" s="21"/>
      <c r="STU203" s="21"/>
      <c r="STV203" s="21"/>
      <c r="STW203" s="21"/>
      <c r="STX203" s="21"/>
      <c r="STY203" s="21"/>
      <c r="STZ203" s="21"/>
      <c r="SUA203" s="21"/>
      <c r="SUB203" s="21"/>
      <c r="SUC203" s="21"/>
      <c r="SUD203" s="21"/>
      <c r="SUE203" s="21"/>
      <c r="SUF203" s="21"/>
      <c r="SUG203" s="21"/>
      <c r="SUH203" s="21"/>
      <c r="SUI203" s="21"/>
      <c r="SUJ203" s="21"/>
      <c r="SUK203" s="21"/>
      <c r="SUL203" s="21"/>
      <c r="SUM203" s="21"/>
      <c r="SUN203" s="21"/>
      <c r="SUO203" s="21"/>
      <c r="SUP203" s="21"/>
      <c r="SUQ203" s="21"/>
      <c r="SUR203" s="21"/>
      <c r="SUS203" s="21"/>
      <c r="SUT203" s="21"/>
      <c r="SUU203" s="21"/>
      <c r="SUV203" s="21"/>
      <c r="SUW203" s="21"/>
      <c r="SUX203" s="21"/>
      <c r="SUY203" s="21"/>
      <c r="SUZ203" s="21"/>
      <c r="SVA203" s="21"/>
      <c r="SVB203" s="21"/>
      <c r="SVC203" s="21"/>
      <c r="SVD203" s="21"/>
      <c r="SVE203" s="21"/>
      <c r="SVF203" s="21"/>
      <c r="SVG203" s="21"/>
      <c r="SVH203" s="21"/>
      <c r="SVI203" s="21"/>
      <c r="SVJ203" s="21"/>
      <c r="SVK203" s="21"/>
      <c r="SVL203" s="21"/>
      <c r="SVM203" s="21"/>
      <c r="SVN203" s="21"/>
      <c r="SVO203" s="21"/>
      <c r="SVP203" s="21"/>
      <c r="SVQ203" s="21"/>
      <c r="SVR203" s="21"/>
      <c r="SVS203" s="21"/>
      <c r="SVT203" s="21"/>
      <c r="SVU203" s="21"/>
      <c r="SVV203" s="21"/>
      <c r="SVW203" s="21"/>
      <c r="SVX203" s="21"/>
      <c r="SVY203" s="21"/>
      <c r="SVZ203" s="21"/>
      <c r="SWA203" s="21"/>
      <c r="SWB203" s="21"/>
      <c r="SWC203" s="21"/>
      <c r="SWD203" s="21"/>
      <c r="SWE203" s="21"/>
      <c r="SWF203" s="21"/>
      <c r="SWG203" s="21"/>
      <c r="SWH203" s="21"/>
      <c r="SWI203" s="21"/>
      <c r="SWJ203" s="21"/>
      <c r="SWK203" s="21"/>
      <c r="SWL203" s="21"/>
      <c r="SWM203" s="21"/>
      <c r="SWN203" s="21"/>
      <c r="SWO203" s="21"/>
      <c r="SWP203" s="21"/>
      <c r="SWQ203" s="21"/>
      <c r="SWR203" s="21"/>
      <c r="SWS203" s="21"/>
      <c r="SWT203" s="21"/>
      <c r="SWU203" s="21"/>
      <c r="SWV203" s="21"/>
      <c r="SWW203" s="21"/>
      <c r="SWX203" s="21"/>
      <c r="SWY203" s="21"/>
      <c r="SWZ203" s="21"/>
      <c r="SXA203" s="21"/>
      <c r="SXB203" s="21"/>
      <c r="SXC203" s="21"/>
      <c r="SXD203" s="21"/>
      <c r="SXE203" s="21"/>
      <c r="SXF203" s="21"/>
      <c r="SXG203" s="21"/>
      <c r="SXH203" s="21"/>
      <c r="SXI203" s="21"/>
      <c r="SXJ203" s="21"/>
      <c r="SXK203" s="21"/>
      <c r="SXL203" s="21"/>
      <c r="SXM203" s="21"/>
      <c r="SXN203" s="21"/>
      <c r="SXO203" s="21"/>
      <c r="SXP203" s="21"/>
      <c r="SXQ203" s="21"/>
      <c r="SXR203" s="21"/>
      <c r="SXS203" s="21"/>
      <c r="SXT203" s="21"/>
      <c r="SXU203" s="21"/>
      <c r="SXV203" s="21"/>
      <c r="SXW203" s="21"/>
      <c r="SXX203" s="21"/>
      <c r="SXY203" s="21"/>
      <c r="SXZ203" s="21"/>
      <c r="SYA203" s="21"/>
      <c r="SYB203" s="21"/>
      <c r="SYC203" s="21"/>
      <c r="SYD203" s="21"/>
      <c r="SYE203" s="21"/>
      <c r="SYF203" s="21"/>
      <c r="SYG203" s="21"/>
      <c r="SYH203" s="21"/>
      <c r="SYI203" s="21"/>
      <c r="SYJ203" s="21"/>
      <c r="SYK203" s="21"/>
      <c r="SYL203" s="21"/>
      <c r="SYM203" s="21"/>
      <c r="SYN203" s="21"/>
      <c r="SYO203" s="21"/>
      <c r="SYP203" s="21"/>
      <c r="SYQ203" s="21"/>
      <c r="SYR203" s="21"/>
      <c r="SYS203" s="21"/>
      <c r="SYT203" s="21"/>
      <c r="SYU203" s="21"/>
      <c r="SYV203" s="21"/>
      <c r="SYW203" s="21"/>
      <c r="SYX203" s="21"/>
      <c r="SYY203" s="21"/>
      <c r="SYZ203" s="21"/>
      <c r="SZA203" s="21"/>
      <c r="SZB203" s="21"/>
      <c r="SZC203" s="21"/>
      <c r="SZD203" s="21"/>
      <c r="SZE203" s="21"/>
      <c r="SZF203" s="21"/>
      <c r="SZG203" s="21"/>
      <c r="SZH203" s="21"/>
      <c r="SZI203" s="21"/>
      <c r="SZJ203" s="21"/>
      <c r="SZK203" s="21"/>
      <c r="SZL203" s="21"/>
      <c r="SZM203" s="21"/>
      <c r="SZN203" s="21"/>
      <c r="SZO203" s="21"/>
      <c r="SZP203" s="21"/>
      <c r="SZQ203" s="21"/>
      <c r="SZR203" s="21"/>
      <c r="SZS203" s="21"/>
      <c r="SZT203" s="21"/>
      <c r="SZU203" s="21"/>
      <c r="SZV203" s="21"/>
      <c r="SZW203" s="21"/>
      <c r="SZX203" s="21"/>
      <c r="SZY203" s="21"/>
      <c r="SZZ203" s="21"/>
      <c r="TAA203" s="21"/>
      <c r="TAB203" s="21"/>
      <c r="TAC203" s="21"/>
      <c r="TAD203" s="21"/>
      <c r="TAE203" s="21"/>
      <c r="TAF203" s="21"/>
      <c r="TAG203" s="21"/>
      <c r="TAH203" s="21"/>
      <c r="TAI203" s="21"/>
      <c r="TAJ203" s="21"/>
      <c r="TAK203" s="21"/>
      <c r="TAL203" s="21"/>
      <c r="TAM203" s="21"/>
      <c r="TAN203" s="21"/>
      <c r="TAO203" s="21"/>
      <c r="TAP203" s="21"/>
      <c r="TAQ203" s="21"/>
      <c r="TAR203" s="21"/>
      <c r="TAS203" s="21"/>
      <c r="TAT203" s="21"/>
      <c r="TAU203" s="21"/>
      <c r="TAV203" s="21"/>
      <c r="TAW203" s="21"/>
      <c r="TAX203" s="21"/>
      <c r="TAY203" s="21"/>
      <c r="TAZ203" s="21"/>
      <c r="TBA203" s="21"/>
      <c r="TBB203" s="21"/>
      <c r="TBC203" s="21"/>
      <c r="TBD203" s="21"/>
      <c r="TBE203" s="21"/>
      <c r="TBF203" s="21"/>
      <c r="TBG203" s="21"/>
      <c r="TBH203" s="21"/>
      <c r="TBI203" s="21"/>
      <c r="TBJ203" s="21"/>
      <c r="TBK203" s="21"/>
      <c r="TBL203" s="21"/>
      <c r="TBM203" s="21"/>
      <c r="TBN203" s="21"/>
      <c r="TBO203" s="21"/>
      <c r="TBP203" s="21"/>
      <c r="TBQ203" s="21"/>
      <c r="TBR203" s="21"/>
      <c r="TBS203" s="21"/>
      <c r="TBT203" s="21"/>
      <c r="TBU203" s="21"/>
      <c r="TBV203" s="21"/>
      <c r="TBW203" s="21"/>
      <c r="TBX203" s="21"/>
      <c r="TBY203" s="21"/>
      <c r="TBZ203" s="21"/>
      <c r="TCA203" s="21"/>
      <c r="TCB203" s="21"/>
      <c r="TCC203" s="21"/>
      <c r="TCD203" s="21"/>
      <c r="TCE203" s="21"/>
      <c r="TCF203" s="21"/>
      <c r="TCG203" s="21"/>
      <c r="TCH203" s="21"/>
      <c r="TCI203" s="21"/>
      <c r="TCJ203" s="21"/>
      <c r="TCK203" s="21"/>
      <c r="TCL203" s="21"/>
      <c r="TCM203" s="21"/>
      <c r="TCN203" s="21"/>
      <c r="TCO203" s="21"/>
      <c r="TCP203" s="21"/>
      <c r="TCQ203" s="21"/>
      <c r="TCR203" s="21"/>
      <c r="TCS203" s="21"/>
      <c r="TCT203" s="21"/>
      <c r="TCU203" s="21"/>
      <c r="TCV203" s="21"/>
      <c r="TCW203" s="21"/>
      <c r="TCX203" s="21"/>
      <c r="TCY203" s="21"/>
      <c r="TCZ203" s="21"/>
      <c r="TDA203" s="21"/>
      <c r="TDB203" s="21"/>
      <c r="TDC203" s="21"/>
      <c r="TDD203" s="21"/>
      <c r="TDE203" s="21"/>
      <c r="TDF203" s="21"/>
      <c r="TDG203" s="21"/>
      <c r="TDH203" s="21"/>
      <c r="TDI203" s="21"/>
      <c r="TDJ203" s="21"/>
      <c r="TDK203" s="21"/>
      <c r="TDL203" s="21"/>
      <c r="TDM203" s="21"/>
      <c r="TDN203" s="21"/>
      <c r="TDO203" s="21"/>
      <c r="TDP203" s="21"/>
      <c r="TDQ203" s="21"/>
      <c r="TDR203" s="21"/>
      <c r="TDS203" s="21"/>
      <c r="TDT203" s="21"/>
      <c r="TDU203" s="21"/>
      <c r="TDV203" s="21"/>
      <c r="TDW203" s="21"/>
      <c r="TDX203" s="21"/>
      <c r="TDY203" s="21"/>
      <c r="TDZ203" s="21"/>
      <c r="TEA203" s="21"/>
      <c r="TEB203" s="21"/>
      <c r="TEC203" s="21"/>
      <c r="TED203" s="21"/>
      <c r="TEE203" s="21"/>
      <c r="TEF203" s="21"/>
      <c r="TEG203" s="21"/>
      <c r="TEH203" s="21"/>
      <c r="TEI203" s="21"/>
      <c r="TEJ203" s="21"/>
      <c r="TEK203" s="21"/>
      <c r="TEL203" s="21"/>
      <c r="TEM203" s="21"/>
      <c r="TEN203" s="21"/>
      <c r="TEO203" s="21"/>
      <c r="TEP203" s="21"/>
      <c r="TEQ203" s="21"/>
      <c r="TER203" s="21"/>
      <c r="TES203" s="21"/>
      <c r="TET203" s="21"/>
      <c r="TEU203" s="21"/>
      <c r="TEV203" s="21"/>
      <c r="TEW203" s="21"/>
      <c r="TEX203" s="21"/>
      <c r="TEY203" s="21"/>
      <c r="TEZ203" s="21"/>
      <c r="TFA203" s="21"/>
      <c r="TFB203" s="21"/>
      <c r="TFC203" s="21"/>
      <c r="TFD203" s="21"/>
      <c r="TFE203" s="21"/>
      <c r="TFF203" s="21"/>
      <c r="TFG203" s="21"/>
      <c r="TFH203" s="21"/>
      <c r="TFI203" s="21"/>
      <c r="TFJ203" s="21"/>
      <c r="TFK203" s="21"/>
      <c r="TFL203" s="21"/>
      <c r="TFM203" s="21"/>
      <c r="TFN203" s="21"/>
      <c r="TFO203" s="21"/>
      <c r="TFP203" s="21"/>
      <c r="TFQ203" s="21"/>
      <c r="TFR203" s="21"/>
      <c r="TFS203" s="21"/>
      <c r="TFT203" s="21"/>
      <c r="TFU203" s="21"/>
      <c r="TFV203" s="21"/>
      <c r="TFW203" s="21"/>
      <c r="TFX203" s="21"/>
      <c r="TFY203" s="21"/>
      <c r="TFZ203" s="21"/>
      <c r="TGA203" s="21"/>
      <c r="TGB203" s="21"/>
      <c r="TGC203" s="21"/>
      <c r="TGD203" s="21"/>
      <c r="TGE203" s="21"/>
      <c r="TGF203" s="21"/>
      <c r="TGG203" s="21"/>
      <c r="TGH203" s="21"/>
      <c r="TGI203" s="21"/>
      <c r="TGJ203" s="21"/>
      <c r="TGK203" s="21"/>
      <c r="TGL203" s="21"/>
      <c r="TGM203" s="21"/>
      <c r="TGN203" s="21"/>
      <c r="TGO203" s="21"/>
      <c r="TGP203" s="21"/>
      <c r="TGQ203" s="21"/>
      <c r="TGR203" s="21"/>
      <c r="TGS203" s="21"/>
      <c r="TGT203" s="21"/>
      <c r="TGU203" s="21"/>
      <c r="TGV203" s="21"/>
      <c r="TGW203" s="21"/>
      <c r="TGX203" s="21"/>
      <c r="TGY203" s="21"/>
      <c r="TGZ203" s="21"/>
      <c r="THA203" s="21"/>
      <c r="THB203" s="21"/>
      <c r="THC203" s="21"/>
      <c r="THD203" s="21"/>
      <c r="THE203" s="21"/>
      <c r="THF203" s="21"/>
      <c r="THG203" s="21"/>
      <c r="THH203" s="21"/>
      <c r="THI203" s="21"/>
      <c r="THJ203" s="21"/>
      <c r="THK203" s="21"/>
      <c r="THL203" s="21"/>
      <c r="THM203" s="21"/>
      <c r="THN203" s="21"/>
      <c r="THO203" s="21"/>
      <c r="THP203" s="21"/>
      <c r="THQ203" s="21"/>
      <c r="THR203" s="21"/>
      <c r="THS203" s="21"/>
      <c r="THT203" s="21"/>
      <c r="THU203" s="21"/>
      <c r="THV203" s="21"/>
      <c r="THW203" s="21"/>
      <c r="THX203" s="21"/>
      <c r="THY203" s="21"/>
      <c r="THZ203" s="21"/>
      <c r="TIA203" s="21"/>
      <c r="TIB203" s="21"/>
      <c r="TIC203" s="21"/>
      <c r="TID203" s="21"/>
      <c r="TIE203" s="21"/>
      <c r="TIF203" s="21"/>
      <c r="TIG203" s="21"/>
      <c r="TIH203" s="21"/>
      <c r="TII203" s="21"/>
      <c r="TIJ203" s="21"/>
      <c r="TIK203" s="21"/>
      <c r="TIL203" s="21"/>
      <c r="TIM203" s="21"/>
      <c r="TIN203" s="21"/>
      <c r="TIO203" s="21"/>
      <c r="TIP203" s="21"/>
      <c r="TIQ203" s="21"/>
      <c r="TIR203" s="21"/>
      <c r="TIS203" s="21"/>
      <c r="TIT203" s="21"/>
      <c r="TIU203" s="21"/>
      <c r="TIV203" s="21"/>
      <c r="TIW203" s="21"/>
      <c r="TIX203" s="21"/>
      <c r="TIY203" s="21"/>
      <c r="TIZ203" s="21"/>
      <c r="TJA203" s="21"/>
      <c r="TJB203" s="21"/>
      <c r="TJC203" s="21"/>
      <c r="TJD203" s="21"/>
      <c r="TJE203" s="21"/>
      <c r="TJF203" s="21"/>
      <c r="TJG203" s="21"/>
      <c r="TJH203" s="21"/>
      <c r="TJI203" s="21"/>
      <c r="TJJ203" s="21"/>
      <c r="TJK203" s="21"/>
      <c r="TJL203" s="21"/>
      <c r="TJM203" s="21"/>
      <c r="TJN203" s="21"/>
      <c r="TJO203" s="21"/>
      <c r="TJP203" s="21"/>
      <c r="TJQ203" s="21"/>
      <c r="TJR203" s="21"/>
      <c r="TJS203" s="21"/>
      <c r="TJT203" s="21"/>
      <c r="TJU203" s="21"/>
      <c r="TJV203" s="21"/>
      <c r="TJW203" s="21"/>
      <c r="TJX203" s="21"/>
      <c r="TJY203" s="21"/>
      <c r="TJZ203" s="21"/>
      <c r="TKA203" s="21"/>
      <c r="TKB203" s="21"/>
      <c r="TKC203" s="21"/>
      <c r="TKD203" s="21"/>
      <c r="TKE203" s="21"/>
      <c r="TKF203" s="21"/>
      <c r="TKG203" s="21"/>
      <c r="TKH203" s="21"/>
      <c r="TKI203" s="21"/>
      <c r="TKJ203" s="21"/>
      <c r="TKK203" s="21"/>
      <c r="TKL203" s="21"/>
      <c r="TKM203" s="21"/>
      <c r="TKN203" s="21"/>
      <c r="TKO203" s="21"/>
      <c r="TKP203" s="21"/>
      <c r="TKQ203" s="21"/>
      <c r="TKR203" s="21"/>
      <c r="TKS203" s="21"/>
      <c r="TKT203" s="21"/>
      <c r="TKU203" s="21"/>
      <c r="TKV203" s="21"/>
      <c r="TKW203" s="21"/>
      <c r="TKX203" s="21"/>
      <c r="TKY203" s="21"/>
      <c r="TKZ203" s="21"/>
      <c r="TLA203" s="21"/>
      <c r="TLB203" s="21"/>
      <c r="TLC203" s="21"/>
      <c r="TLD203" s="21"/>
      <c r="TLE203" s="21"/>
      <c r="TLF203" s="21"/>
      <c r="TLG203" s="21"/>
      <c r="TLH203" s="21"/>
      <c r="TLI203" s="21"/>
      <c r="TLJ203" s="21"/>
      <c r="TLK203" s="21"/>
      <c r="TLL203" s="21"/>
      <c r="TLM203" s="21"/>
      <c r="TLN203" s="21"/>
      <c r="TLO203" s="21"/>
      <c r="TLP203" s="21"/>
      <c r="TLQ203" s="21"/>
      <c r="TLR203" s="21"/>
      <c r="TLS203" s="21"/>
      <c r="TLT203" s="21"/>
      <c r="TLU203" s="21"/>
      <c r="TLV203" s="21"/>
      <c r="TLW203" s="21"/>
      <c r="TLX203" s="21"/>
      <c r="TLY203" s="21"/>
      <c r="TLZ203" s="21"/>
      <c r="TMA203" s="21"/>
      <c r="TMB203" s="21"/>
      <c r="TMC203" s="21"/>
      <c r="TMD203" s="21"/>
      <c r="TME203" s="21"/>
      <c r="TMF203" s="21"/>
      <c r="TMG203" s="21"/>
      <c r="TMH203" s="21"/>
      <c r="TMI203" s="21"/>
      <c r="TMJ203" s="21"/>
      <c r="TMK203" s="21"/>
      <c r="TML203" s="21"/>
      <c r="TMM203" s="21"/>
      <c r="TMN203" s="21"/>
      <c r="TMO203" s="21"/>
      <c r="TMP203" s="21"/>
      <c r="TMQ203" s="21"/>
      <c r="TMR203" s="21"/>
      <c r="TMS203" s="21"/>
      <c r="TMT203" s="21"/>
      <c r="TMU203" s="21"/>
      <c r="TMV203" s="21"/>
      <c r="TMW203" s="21"/>
      <c r="TMX203" s="21"/>
      <c r="TMY203" s="21"/>
      <c r="TMZ203" s="21"/>
      <c r="TNA203" s="21"/>
      <c r="TNB203" s="21"/>
      <c r="TNC203" s="21"/>
      <c r="TND203" s="21"/>
      <c r="TNE203" s="21"/>
      <c r="TNF203" s="21"/>
      <c r="TNG203" s="21"/>
      <c r="TNH203" s="21"/>
      <c r="TNI203" s="21"/>
      <c r="TNJ203" s="21"/>
      <c r="TNK203" s="21"/>
      <c r="TNL203" s="21"/>
      <c r="TNM203" s="21"/>
      <c r="TNN203" s="21"/>
      <c r="TNO203" s="21"/>
      <c r="TNP203" s="21"/>
      <c r="TNQ203" s="21"/>
      <c r="TNR203" s="21"/>
      <c r="TNS203" s="21"/>
      <c r="TNT203" s="21"/>
      <c r="TNU203" s="21"/>
      <c r="TNV203" s="21"/>
      <c r="TNW203" s="21"/>
      <c r="TNX203" s="21"/>
      <c r="TNY203" s="21"/>
      <c r="TNZ203" s="21"/>
      <c r="TOA203" s="21"/>
      <c r="TOB203" s="21"/>
      <c r="TOC203" s="21"/>
      <c r="TOD203" s="21"/>
      <c r="TOE203" s="21"/>
      <c r="TOF203" s="21"/>
      <c r="TOG203" s="21"/>
      <c r="TOH203" s="21"/>
      <c r="TOI203" s="21"/>
      <c r="TOJ203" s="21"/>
      <c r="TOK203" s="21"/>
      <c r="TOL203" s="21"/>
      <c r="TOM203" s="21"/>
      <c r="TON203" s="21"/>
      <c r="TOO203" s="21"/>
      <c r="TOP203" s="21"/>
      <c r="TOQ203" s="21"/>
      <c r="TOR203" s="21"/>
      <c r="TOS203" s="21"/>
      <c r="TOT203" s="21"/>
      <c r="TOU203" s="21"/>
      <c r="TOV203" s="21"/>
      <c r="TOW203" s="21"/>
      <c r="TOX203" s="21"/>
      <c r="TOY203" s="21"/>
      <c r="TOZ203" s="21"/>
      <c r="TPA203" s="21"/>
      <c r="TPB203" s="21"/>
      <c r="TPC203" s="21"/>
      <c r="TPD203" s="21"/>
      <c r="TPE203" s="21"/>
      <c r="TPF203" s="21"/>
      <c r="TPG203" s="21"/>
      <c r="TPH203" s="21"/>
      <c r="TPI203" s="21"/>
      <c r="TPJ203" s="21"/>
      <c r="TPK203" s="21"/>
      <c r="TPL203" s="21"/>
      <c r="TPM203" s="21"/>
      <c r="TPN203" s="21"/>
      <c r="TPO203" s="21"/>
      <c r="TPP203" s="21"/>
      <c r="TPQ203" s="21"/>
      <c r="TPR203" s="21"/>
      <c r="TPS203" s="21"/>
      <c r="TPT203" s="21"/>
      <c r="TPU203" s="21"/>
      <c r="TPV203" s="21"/>
      <c r="TPW203" s="21"/>
      <c r="TPX203" s="21"/>
      <c r="TPY203" s="21"/>
      <c r="TPZ203" s="21"/>
      <c r="TQA203" s="21"/>
      <c r="TQB203" s="21"/>
      <c r="TQC203" s="21"/>
      <c r="TQD203" s="21"/>
      <c r="TQE203" s="21"/>
      <c r="TQF203" s="21"/>
      <c r="TQG203" s="21"/>
      <c r="TQH203" s="21"/>
      <c r="TQI203" s="21"/>
      <c r="TQJ203" s="21"/>
      <c r="TQK203" s="21"/>
      <c r="TQL203" s="21"/>
      <c r="TQM203" s="21"/>
      <c r="TQN203" s="21"/>
      <c r="TQO203" s="21"/>
      <c r="TQP203" s="21"/>
      <c r="TQQ203" s="21"/>
      <c r="TQR203" s="21"/>
      <c r="TQS203" s="21"/>
      <c r="TQT203" s="21"/>
      <c r="TQU203" s="21"/>
      <c r="TQV203" s="21"/>
      <c r="TQW203" s="21"/>
      <c r="TQX203" s="21"/>
      <c r="TQY203" s="21"/>
      <c r="TQZ203" s="21"/>
      <c r="TRA203" s="21"/>
      <c r="TRB203" s="21"/>
      <c r="TRC203" s="21"/>
      <c r="TRD203" s="21"/>
      <c r="TRE203" s="21"/>
      <c r="TRF203" s="21"/>
      <c r="TRG203" s="21"/>
      <c r="TRH203" s="21"/>
      <c r="TRI203" s="21"/>
      <c r="TRJ203" s="21"/>
      <c r="TRK203" s="21"/>
      <c r="TRL203" s="21"/>
      <c r="TRM203" s="21"/>
      <c r="TRN203" s="21"/>
      <c r="TRO203" s="21"/>
      <c r="TRP203" s="21"/>
      <c r="TRQ203" s="21"/>
      <c r="TRR203" s="21"/>
      <c r="TRS203" s="21"/>
      <c r="TRT203" s="21"/>
      <c r="TRU203" s="21"/>
      <c r="TRV203" s="21"/>
      <c r="TRW203" s="21"/>
      <c r="TRX203" s="21"/>
      <c r="TRY203" s="21"/>
      <c r="TRZ203" s="21"/>
      <c r="TSA203" s="21"/>
      <c r="TSB203" s="21"/>
      <c r="TSC203" s="21"/>
      <c r="TSD203" s="21"/>
      <c r="TSE203" s="21"/>
      <c r="TSF203" s="21"/>
      <c r="TSG203" s="21"/>
      <c r="TSH203" s="21"/>
      <c r="TSI203" s="21"/>
      <c r="TSJ203" s="21"/>
      <c r="TSK203" s="21"/>
      <c r="TSL203" s="21"/>
      <c r="TSM203" s="21"/>
      <c r="TSN203" s="21"/>
      <c r="TSO203" s="21"/>
      <c r="TSP203" s="21"/>
      <c r="TSQ203" s="21"/>
      <c r="TSR203" s="21"/>
      <c r="TSS203" s="21"/>
      <c r="TST203" s="21"/>
      <c r="TSU203" s="21"/>
      <c r="TSV203" s="21"/>
      <c r="TSW203" s="21"/>
      <c r="TSX203" s="21"/>
      <c r="TSY203" s="21"/>
      <c r="TSZ203" s="21"/>
      <c r="TTA203" s="21"/>
      <c r="TTB203" s="21"/>
      <c r="TTC203" s="21"/>
      <c r="TTD203" s="21"/>
      <c r="TTE203" s="21"/>
      <c r="TTF203" s="21"/>
      <c r="TTG203" s="21"/>
      <c r="TTH203" s="21"/>
      <c r="TTI203" s="21"/>
      <c r="TTJ203" s="21"/>
      <c r="TTK203" s="21"/>
      <c r="TTL203" s="21"/>
      <c r="TTM203" s="21"/>
      <c r="TTN203" s="21"/>
      <c r="TTO203" s="21"/>
      <c r="TTP203" s="21"/>
      <c r="TTQ203" s="21"/>
      <c r="TTR203" s="21"/>
      <c r="TTS203" s="21"/>
      <c r="TTT203" s="21"/>
      <c r="TTU203" s="21"/>
      <c r="TTV203" s="21"/>
      <c r="TTW203" s="21"/>
      <c r="TTX203" s="21"/>
      <c r="TTY203" s="21"/>
      <c r="TTZ203" s="21"/>
      <c r="TUA203" s="21"/>
      <c r="TUB203" s="21"/>
      <c r="TUC203" s="21"/>
      <c r="TUD203" s="21"/>
      <c r="TUE203" s="21"/>
      <c r="TUF203" s="21"/>
      <c r="TUG203" s="21"/>
      <c r="TUH203" s="21"/>
      <c r="TUI203" s="21"/>
      <c r="TUJ203" s="21"/>
      <c r="TUK203" s="21"/>
      <c r="TUL203" s="21"/>
      <c r="TUM203" s="21"/>
      <c r="TUN203" s="21"/>
      <c r="TUO203" s="21"/>
      <c r="TUP203" s="21"/>
      <c r="TUQ203" s="21"/>
      <c r="TUR203" s="21"/>
      <c r="TUS203" s="21"/>
      <c r="TUT203" s="21"/>
      <c r="TUU203" s="21"/>
      <c r="TUV203" s="21"/>
      <c r="TUW203" s="21"/>
      <c r="TUX203" s="21"/>
      <c r="TUY203" s="21"/>
      <c r="TUZ203" s="21"/>
      <c r="TVA203" s="21"/>
      <c r="TVB203" s="21"/>
      <c r="TVC203" s="21"/>
      <c r="TVD203" s="21"/>
      <c r="TVE203" s="21"/>
      <c r="TVF203" s="21"/>
      <c r="TVG203" s="21"/>
      <c r="TVH203" s="21"/>
      <c r="TVI203" s="21"/>
      <c r="TVJ203" s="21"/>
      <c r="TVK203" s="21"/>
      <c r="TVL203" s="21"/>
      <c r="TVM203" s="21"/>
      <c r="TVN203" s="21"/>
      <c r="TVO203" s="21"/>
      <c r="TVP203" s="21"/>
      <c r="TVQ203" s="21"/>
      <c r="TVR203" s="21"/>
      <c r="TVS203" s="21"/>
      <c r="TVT203" s="21"/>
      <c r="TVU203" s="21"/>
      <c r="TVV203" s="21"/>
      <c r="TVW203" s="21"/>
      <c r="TVX203" s="21"/>
      <c r="TVY203" s="21"/>
      <c r="TVZ203" s="21"/>
      <c r="TWA203" s="21"/>
      <c r="TWB203" s="21"/>
      <c r="TWC203" s="21"/>
      <c r="TWD203" s="21"/>
      <c r="TWE203" s="21"/>
      <c r="TWF203" s="21"/>
      <c r="TWG203" s="21"/>
      <c r="TWH203" s="21"/>
      <c r="TWI203" s="21"/>
      <c r="TWJ203" s="21"/>
      <c r="TWK203" s="21"/>
      <c r="TWL203" s="21"/>
      <c r="TWM203" s="21"/>
      <c r="TWN203" s="21"/>
      <c r="TWO203" s="21"/>
      <c r="TWP203" s="21"/>
      <c r="TWQ203" s="21"/>
      <c r="TWR203" s="21"/>
      <c r="TWS203" s="21"/>
      <c r="TWT203" s="21"/>
      <c r="TWU203" s="21"/>
      <c r="TWV203" s="21"/>
      <c r="TWW203" s="21"/>
      <c r="TWX203" s="21"/>
      <c r="TWY203" s="21"/>
      <c r="TWZ203" s="21"/>
      <c r="TXA203" s="21"/>
      <c r="TXB203" s="21"/>
      <c r="TXC203" s="21"/>
      <c r="TXD203" s="21"/>
      <c r="TXE203" s="21"/>
      <c r="TXF203" s="21"/>
      <c r="TXG203" s="21"/>
      <c r="TXH203" s="21"/>
      <c r="TXI203" s="21"/>
      <c r="TXJ203" s="21"/>
      <c r="TXK203" s="21"/>
      <c r="TXL203" s="21"/>
      <c r="TXM203" s="21"/>
      <c r="TXN203" s="21"/>
      <c r="TXO203" s="21"/>
      <c r="TXP203" s="21"/>
      <c r="TXQ203" s="21"/>
      <c r="TXR203" s="21"/>
      <c r="TXS203" s="21"/>
      <c r="TXT203" s="21"/>
      <c r="TXU203" s="21"/>
      <c r="TXV203" s="21"/>
      <c r="TXW203" s="21"/>
      <c r="TXX203" s="21"/>
      <c r="TXY203" s="21"/>
      <c r="TXZ203" s="21"/>
      <c r="TYA203" s="21"/>
      <c r="TYB203" s="21"/>
      <c r="TYC203" s="21"/>
      <c r="TYD203" s="21"/>
      <c r="TYE203" s="21"/>
      <c r="TYF203" s="21"/>
      <c r="TYG203" s="21"/>
      <c r="TYH203" s="21"/>
      <c r="TYI203" s="21"/>
      <c r="TYJ203" s="21"/>
      <c r="TYK203" s="21"/>
      <c r="TYL203" s="21"/>
      <c r="TYM203" s="21"/>
      <c r="TYN203" s="21"/>
      <c r="TYO203" s="21"/>
      <c r="TYP203" s="21"/>
      <c r="TYQ203" s="21"/>
      <c r="TYR203" s="21"/>
      <c r="TYS203" s="21"/>
      <c r="TYT203" s="21"/>
      <c r="TYU203" s="21"/>
      <c r="TYV203" s="21"/>
      <c r="TYW203" s="21"/>
      <c r="TYX203" s="21"/>
      <c r="TYY203" s="21"/>
      <c r="TYZ203" s="21"/>
      <c r="TZA203" s="21"/>
      <c r="TZB203" s="21"/>
      <c r="TZC203" s="21"/>
      <c r="TZD203" s="21"/>
      <c r="TZE203" s="21"/>
      <c r="TZF203" s="21"/>
      <c r="TZG203" s="21"/>
      <c r="TZH203" s="21"/>
      <c r="TZI203" s="21"/>
      <c r="TZJ203" s="21"/>
      <c r="TZK203" s="21"/>
      <c r="TZL203" s="21"/>
      <c r="TZM203" s="21"/>
      <c r="TZN203" s="21"/>
      <c r="TZO203" s="21"/>
      <c r="TZP203" s="21"/>
      <c r="TZQ203" s="21"/>
      <c r="TZR203" s="21"/>
      <c r="TZS203" s="21"/>
      <c r="TZT203" s="21"/>
      <c r="TZU203" s="21"/>
      <c r="TZV203" s="21"/>
      <c r="TZW203" s="21"/>
      <c r="TZX203" s="21"/>
      <c r="TZY203" s="21"/>
      <c r="TZZ203" s="21"/>
      <c r="UAA203" s="21"/>
      <c r="UAB203" s="21"/>
      <c r="UAC203" s="21"/>
      <c r="UAD203" s="21"/>
      <c r="UAE203" s="21"/>
      <c r="UAF203" s="21"/>
      <c r="UAG203" s="21"/>
      <c r="UAH203" s="21"/>
      <c r="UAI203" s="21"/>
      <c r="UAJ203" s="21"/>
      <c r="UAK203" s="21"/>
      <c r="UAL203" s="21"/>
      <c r="UAM203" s="21"/>
      <c r="UAN203" s="21"/>
      <c r="UAO203" s="21"/>
      <c r="UAP203" s="21"/>
      <c r="UAQ203" s="21"/>
      <c r="UAR203" s="21"/>
      <c r="UAS203" s="21"/>
      <c r="UAT203" s="21"/>
      <c r="UAU203" s="21"/>
      <c r="UAV203" s="21"/>
      <c r="UAW203" s="21"/>
      <c r="UAX203" s="21"/>
      <c r="UAY203" s="21"/>
      <c r="UAZ203" s="21"/>
      <c r="UBA203" s="21"/>
      <c r="UBB203" s="21"/>
      <c r="UBC203" s="21"/>
      <c r="UBD203" s="21"/>
      <c r="UBE203" s="21"/>
      <c r="UBF203" s="21"/>
      <c r="UBG203" s="21"/>
      <c r="UBH203" s="21"/>
      <c r="UBI203" s="21"/>
      <c r="UBJ203" s="21"/>
      <c r="UBK203" s="21"/>
      <c r="UBL203" s="21"/>
      <c r="UBM203" s="21"/>
      <c r="UBN203" s="21"/>
      <c r="UBO203" s="21"/>
      <c r="UBP203" s="21"/>
      <c r="UBQ203" s="21"/>
      <c r="UBR203" s="21"/>
      <c r="UBS203" s="21"/>
      <c r="UBT203" s="21"/>
      <c r="UBU203" s="21"/>
      <c r="UBV203" s="21"/>
      <c r="UBW203" s="21"/>
      <c r="UBX203" s="21"/>
      <c r="UBY203" s="21"/>
      <c r="UBZ203" s="21"/>
      <c r="UCA203" s="21"/>
      <c r="UCB203" s="21"/>
      <c r="UCC203" s="21"/>
      <c r="UCD203" s="21"/>
      <c r="UCE203" s="21"/>
      <c r="UCF203" s="21"/>
      <c r="UCG203" s="21"/>
      <c r="UCH203" s="21"/>
      <c r="UCI203" s="21"/>
      <c r="UCJ203" s="21"/>
      <c r="UCK203" s="21"/>
      <c r="UCL203" s="21"/>
      <c r="UCM203" s="21"/>
      <c r="UCN203" s="21"/>
      <c r="UCO203" s="21"/>
      <c r="UCP203" s="21"/>
      <c r="UCQ203" s="21"/>
      <c r="UCR203" s="21"/>
      <c r="UCS203" s="21"/>
      <c r="UCT203" s="21"/>
      <c r="UCU203" s="21"/>
      <c r="UCV203" s="21"/>
      <c r="UCW203" s="21"/>
      <c r="UCX203" s="21"/>
      <c r="UCY203" s="21"/>
      <c r="UCZ203" s="21"/>
      <c r="UDA203" s="21"/>
      <c r="UDB203" s="21"/>
      <c r="UDC203" s="21"/>
      <c r="UDD203" s="21"/>
      <c r="UDE203" s="21"/>
      <c r="UDF203" s="21"/>
      <c r="UDG203" s="21"/>
      <c r="UDH203" s="21"/>
      <c r="UDI203" s="21"/>
      <c r="UDJ203" s="21"/>
      <c r="UDK203" s="21"/>
      <c r="UDL203" s="21"/>
      <c r="UDM203" s="21"/>
      <c r="UDN203" s="21"/>
      <c r="UDO203" s="21"/>
      <c r="UDP203" s="21"/>
      <c r="UDQ203" s="21"/>
      <c r="UDR203" s="21"/>
      <c r="UDS203" s="21"/>
      <c r="UDT203" s="21"/>
      <c r="UDU203" s="21"/>
      <c r="UDV203" s="21"/>
      <c r="UDW203" s="21"/>
      <c r="UDX203" s="21"/>
      <c r="UDY203" s="21"/>
      <c r="UDZ203" s="21"/>
      <c r="UEA203" s="21"/>
      <c r="UEB203" s="21"/>
      <c r="UEC203" s="21"/>
      <c r="UED203" s="21"/>
      <c r="UEE203" s="21"/>
      <c r="UEF203" s="21"/>
      <c r="UEG203" s="21"/>
      <c r="UEH203" s="21"/>
      <c r="UEI203" s="21"/>
      <c r="UEJ203" s="21"/>
      <c r="UEK203" s="21"/>
      <c r="UEL203" s="21"/>
      <c r="UEM203" s="21"/>
      <c r="UEN203" s="21"/>
      <c r="UEO203" s="21"/>
      <c r="UEP203" s="21"/>
      <c r="UEQ203" s="21"/>
      <c r="UER203" s="21"/>
      <c r="UES203" s="21"/>
      <c r="UET203" s="21"/>
      <c r="UEU203" s="21"/>
      <c r="UEV203" s="21"/>
      <c r="UEW203" s="21"/>
      <c r="UEX203" s="21"/>
      <c r="UEY203" s="21"/>
      <c r="UEZ203" s="21"/>
      <c r="UFA203" s="21"/>
      <c r="UFB203" s="21"/>
      <c r="UFC203" s="21"/>
      <c r="UFD203" s="21"/>
      <c r="UFE203" s="21"/>
      <c r="UFF203" s="21"/>
      <c r="UFG203" s="21"/>
      <c r="UFH203" s="21"/>
      <c r="UFI203" s="21"/>
      <c r="UFJ203" s="21"/>
      <c r="UFK203" s="21"/>
      <c r="UFL203" s="21"/>
      <c r="UFM203" s="21"/>
      <c r="UFN203" s="21"/>
      <c r="UFO203" s="21"/>
      <c r="UFP203" s="21"/>
      <c r="UFQ203" s="21"/>
      <c r="UFR203" s="21"/>
      <c r="UFS203" s="21"/>
      <c r="UFT203" s="21"/>
      <c r="UFU203" s="21"/>
      <c r="UFV203" s="21"/>
      <c r="UFW203" s="21"/>
      <c r="UFX203" s="21"/>
      <c r="UFY203" s="21"/>
      <c r="UFZ203" s="21"/>
      <c r="UGA203" s="21"/>
      <c r="UGB203" s="21"/>
      <c r="UGC203" s="21"/>
      <c r="UGD203" s="21"/>
      <c r="UGE203" s="21"/>
      <c r="UGF203" s="21"/>
      <c r="UGG203" s="21"/>
      <c r="UGH203" s="21"/>
      <c r="UGI203" s="21"/>
      <c r="UGJ203" s="21"/>
      <c r="UGK203" s="21"/>
      <c r="UGL203" s="21"/>
      <c r="UGM203" s="21"/>
      <c r="UGN203" s="21"/>
      <c r="UGO203" s="21"/>
      <c r="UGP203" s="21"/>
      <c r="UGQ203" s="21"/>
      <c r="UGR203" s="21"/>
      <c r="UGS203" s="21"/>
      <c r="UGT203" s="21"/>
      <c r="UGU203" s="21"/>
      <c r="UGV203" s="21"/>
      <c r="UGW203" s="21"/>
      <c r="UGX203" s="21"/>
      <c r="UGY203" s="21"/>
      <c r="UGZ203" s="21"/>
      <c r="UHA203" s="21"/>
      <c r="UHB203" s="21"/>
      <c r="UHC203" s="21"/>
      <c r="UHD203" s="21"/>
      <c r="UHE203" s="21"/>
      <c r="UHF203" s="21"/>
      <c r="UHG203" s="21"/>
      <c r="UHH203" s="21"/>
      <c r="UHI203" s="21"/>
      <c r="UHJ203" s="21"/>
      <c r="UHK203" s="21"/>
      <c r="UHL203" s="21"/>
      <c r="UHM203" s="21"/>
      <c r="UHN203" s="21"/>
      <c r="UHO203" s="21"/>
      <c r="UHP203" s="21"/>
      <c r="UHQ203" s="21"/>
      <c r="UHR203" s="21"/>
      <c r="UHS203" s="21"/>
      <c r="UHT203" s="21"/>
      <c r="UHU203" s="21"/>
      <c r="UHV203" s="21"/>
      <c r="UHW203" s="21"/>
      <c r="UHX203" s="21"/>
      <c r="UHY203" s="21"/>
      <c r="UHZ203" s="21"/>
      <c r="UIA203" s="21"/>
      <c r="UIB203" s="21"/>
      <c r="UIC203" s="21"/>
      <c r="UID203" s="21"/>
      <c r="UIE203" s="21"/>
      <c r="UIF203" s="21"/>
      <c r="UIG203" s="21"/>
      <c r="UIH203" s="21"/>
      <c r="UII203" s="21"/>
      <c r="UIJ203" s="21"/>
      <c r="UIK203" s="21"/>
      <c r="UIL203" s="21"/>
      <c r="UIM203" s="21"/>
      <c r="UIN203" s="21"/>
      <c r="UIO203" s="21"/>
      <c r="UIP203" s="21"/>
      <c r="UIQ203" s="21"/>
      <c r="UIR203" s="21"/>
      <c r="UIS203" s="21"/>
      <c r="UIT203" s="21"/>
      <c r="UIU203" s="21"/>
      <c r="UIV203" s="21"/>
      <c r="UIW203" s="21"/>
      <c r="UIX203" s="21"/>
      <c r="UIY203" s="21"/>
      <c r="UIZ203" s="21"/>
      <c r="UJA203" s="21"/>
      <c r="UJB203" s="21"/>
      <c r="UJC203" s="21"/>
      <c r="UJD203" s="21"/>
      <c r="UJE203" s="21"/>
      <c r="UJF203" s="21"/>
      <c r="UJG203" s="21"/>
      <c r="UJH203" s="21"/>
      <c r="UJI203" s="21"/>
      <c r="UJJ203" s="21"/>
      <c r="UJK203" s="21"/>
      <c r="UJL203" s="21"/>
      <c r="UJM203" s="21"/>
      <c r="UJN203" s="21"/>
      <c r="UJO203" s="21"/>
      <c r="UJP203" s="21"/>
      <c r="UJQ203" s="21"/>
      <c r="UJR203" s="21"/>
      <c r="UJS203" s="21"/>
      <c r="UJT203" s="21"/>
      <c r="UJU203" s="21"/>
      <c r="UJV203" s="21"/>
      <c r="UJW203" s="21"/>
      <c r="UJX203" s="21"/>
      <c r="UJY203" s="21"/>
      <c r="UJZ203" s="21"/>
      <c r="UKA203" s="21"/>
      <c r="UKB203" s="21"/>
      <c r="UKC203" s="21"/>
      <c r="UKD203" s="21"/>
      <c r="UKE203" s="21"/>
      <c r="UKF203" s="21"/>
      <c r="UKG203" s="21"/>
      <c r="UKH203" s="21"/>
      <c r="UKI203" s="21"/>
      <c r="UKJ203" s="21"/>
      <c r="UKK203" s="21"/>
      <c r="UKL203" s="21"/>
      <c r="UKM203" s="21"/>
      <c r="UKN203" s="21"/>
      <c r="UKO203" s="21"/>
      <c r="UKP203" s="21"/>
      <c r="UKQ203" s="21"/>
      <c r="UKR203" s="21"/>
      <c r="UKS203" s="21"/>
      <c r="UKT203" s="21"/>
      <c r="UKU203" s="21"/>
      <c r="UKV203" s="21"/>
      <c r="UKW203" s="21"/>
      <c r="UKX203" s="21"/>
      <c r="UKY203" s="21"/>
      <c r="UKZ203" s="21"/>
      <c r="ULA203" s="21"/>
      <c r="ULB203" s="21"/>
      <c r="ULC203" s="21"/>
      <c r="ULD203" s="21"/>
      <c r="ULE203" s="21"/>
      <c r="ULF203" s="21"/>
      <c r="ULG203" s="21"/>
      <c r="ULH203" s="21"/>
      <c r="ULI203" s="21"/>
      <c r="ULJ203" s="21"/>
      <c r="ULK203" s="21"/>
      <c r="ULL203" s="21"/>
      <c r="ULM203" s="21"/>
      <c r="ULN203" s="21"/>
      <c r="ULO203" s="21"/>
      <c r="ULP203" s="21"/>
      <c r="ULQ203" s="21"/>
      <c r="ULR203" s="21"/>
      <c r="ULS203" s="21"/>
      <c r="ULT203" s="21"/>
      <c r="ULU203" s="21"/>
      <c r="ULV203" s="21"/>
      <c r="ULW203" s="21"/>
      <c r="ULX203" s="21"/>
      <c r="ULY203" s="21"/>
      <c r="ULZ203" s="21"/>
      <c r="UMA203" s="21"/>
      <c r="UMB203" s="21"/>
      <c r="UMC203" s="21"/>
      <c r="UMD203" s="21"/>
      <c r="UME203" s="21"/>
      <c r="UMF203" s="21"/>
      <c r="UMG203" s="21"/>
      <c r="UMH203" s="21"/>
      <c r="UMI203" s="21"/>
      <c r="UMJ203" s="21"/>
      <c r="UMK203" s="21"/>
      <c r="UML203" s="21"/>
      <c r="UMM203" s="21"/>
      <c r="UMN203" s="21"/>
      <c r="UMO203" s="21"/>
      <c r="UMP203" s="21"/>
      <c r="UMQ203" s="21"/>
      <c r="UMR203" s="21"/>
      <c r="UMS203" s="21"/>
      <c r="UMT203" s="21"/>
      <c r="UMU203" s="21"/>
      <c r="UMV203" s="21"/>
      <c r="UMW203" s="21"/>
      <c r="UMX203" s="21"/>
      <c r="UMY203" s="21"/>
      <c r="UMZ203" s="21"/>
      <c r="UNA203" s="21"/>
      <c r="UNB203" s="21"/>
      <c r="UNC203" s="21"/>
      <c r="UND203" s="21"/>
      <c r="UNE203" s="21"/>
      <c r="UNF203" s="21"/>
      <c r="UNG203" s="21"/>
      <c r="UNH203" s="21"/>
      <c r="UNI203" s="21"/>
      <c r="UNJ203" s="21"/>
      <c r="UNK203" s="21"/>
      <c r="UNL203" s="21"/>
      <c r="UNM203" s="21"/>
      <c r="UNN203" s="21"/>
      <c r="UNO203" s="21"/>
      <c r="UNP203" s="21"/>
      <c r="UNQ203" s="21"/>
      <c r="UNR203" s="21"/>
      <c r="UNS203" s="21"/>
      <c r="UNT203" s="21"/>
      <c r="UNU203" s="21"/>
      <c r="UNV203" s="21"/>
      <c r="UNW203" s="21"/>
      <c r="UNX203" s="21"/>
      <c r="UNY203" s="21"/>
      <c r="UNZ203" s="21"/>
      <c r="UOA203" s="21"/>
      <c r="UOB203" s="21"/>
      <c r="UOC203" s="21"/>
      <c r="UOD203" s="21"/>
      <c r="UOE203" s="21"/>
      <c r="UOF203" s="21"/>
      <c r="UOG203" s="21"/>
      <c r="UOH203" s="21"/>
      <c r="UOI203" s="21"/>
      <c r="UOJ203" s="21"/>
      <c r="UOK203" s="21"/>
      <c r="UOL203" s="21"/>
      <c r="UOM203" s="21"/>
      <c r="UON203" s="21"/>
      <c r="UOO203" s="21"/>
      <c r="UOP203" s="21"/>
      <c r="UOQ203" s="21"/>
      <c r="UOR203" s="21"/>
      <c r="UOS203" s="21"/>
      <c r="UOT203" s="21"/>
      <c r="UOU203" s="21"/>
      <c r="UOV203" s="21"/>
      <c r="UOW203" s="21"/>
      <c r="UOX203" s="21"/>
      <c r="UOY203" s="21"/>
      <c r="UOZ203" s="21"/>
      <c r="UPA203" s="21"/>
      <c r="UPB203" s="21"/>
      <c r="UPC203" s="21"/>
      <c r="UPD203" s="21"/>
      <c r="UPE203" s="21"/>
      <c r="UPF203" s="21"/>
      <c r="UPG203" s="21"/>
      <c r="UPH203" s="21"/>
      <c r="UPI203" s="21"/>
      <c r="UPJ203" s="21"/>
      <c r="UPK203" s="21"/>
      <c r="UPL203" s="21"/>
      <c r="UPM203" s="21"/>
      <c r="UPN203" s="21"/>
      <c r="UPO203" s="21"/>
      <c r="UPP203" s="21"/>
      <c r="UPQ203" s="21"/>
      <c r="UPR203" s="21"/>
      <c r="UPS203" s="21"/>
      <c r="UPT203" s="21"/>
      <c r="UPU203" s="21"/>
      <c r="UPV203" s="21"/>
      <c r="UPW203" s="21"/>
      <c r="UPX203" s="21"/>
      <c r="UPY203" s="21"/>
      <c r="UPZ203" s="21"/>
      <c r="UQA203" s="21"/>
      <c r="UQB203" s="21"/>
      <c r="UQC203" s="21"/>
      <c r="UQD203" s="21"/>
      <c r="UQE203" s="21"/>
      <c r="UQF203" s="21"/>
      <c r="UQG203" s="21"/>
      <c r="UQH203" s="21"/>
      <c r="UQI203" s="21"/>
      <c r="UQJ203" s="21"/>
      <c r="UQK203" s="21"/>
      <c r="UQL203" s="21"/>
      <c r="UQM203" s="21"/>
      <c r="UQN203" s="21"/>
      <c r="UQO203" s="21"/>
      <c r="UQP203" s="21"/>
      <c r="UQQ203" s="21"/>
      <c r="UQR203" s="21"/>
      <c r="UQS203" s="21"/>
      <c r="UQT203" s="21"/>
      <c r="UQU203" s="21"/>
      <c r="UQV203" s="21"/>
      <c r="UQW203" s="21"/>
      <c r="UQX203" s="21"/>
      <c r="UQY203" s="21"/>
      <c r="UQZ203" s="21"/>
      <c r="URA203" s="21"/>
      <c r="URB203" s="21"/>
      <c r="URC203" s="21"/>
      <c r="URD203" s="21"/>
      <c r="URE203" s="21"/>
      <c r="URF203" s="21"/>
      <c r="URG203" s="21"/>
      <c r="URH203" s="21"/>
      <c r="URI203" s="21"/>
      <c r="URJ203" s="21"/>
      <c r="URK203" s="21"/>
      <c r="URL203" s="21"/>
      <c r="URM203" s="21"/>
      <c r="URN203" s="21"/>
      <c r="URO203" s="21"/>
      <c r="URP203" s="21"/>
      <c r="URQ203" s="21"/>
      <c r="URR203" s="21"/>
      <c r="URS203" s="21"/>
      <c r="URT203" s="21"/>
      <c r="URU203" s="21"/>
      <c r="URV203" s="21"/>
      <c r="URW203" s="21"/>
      <c r="URX203" s="21"/>
      <c r="URY203" s="21"/>
      <c r="URZ203" s="21"/>
      <c r="USA203" s="21"/>
      <c r="USB203" s="21"/>
      <c r="USC203" s="21"/>
      <c r="USD203" s="21"/>
      <c r="USE203" s="21"/>
      <c r="USF203" s="21"/>
      <c r="USG203" s="21"/>
      <c r="USH203" s="21"/>
      <c r="USI203" s="21"/>
      <c r="USJ203" s="21"/>
      <c r="USK203" s="21"/>
      <c r="USL203" s="21"/>
      <c r="USM203" s="21"/>
      <c r="USN203" s="21"/>
      <c r="USO203" s="21"/>
      <c r="USP203" s="21"/>
      <c r="USQ203" s="21"/>
      <c r="USR203" s="21"/>
      <c r="USS203" s="21"/>
      <c r="UST203" s="21"/>
      <c r="USU203" s="21"/>
      <c r="USV203" s="21"/>
      <c r="USW203" s="21"/>
      <c r="USX203" s="21"/>
      <c r="USY203" s="21"/>
      <c r="USZ203" s="21"/>
      <c r="UTA203" s="21"/>
      <c r="UTB203" s="21"/>
      <c r="UTC203" s="21"/>
      <c r="UTD203" s="21"/>
      <c r="UTE203" s="21"/>
      <c r="UTF203" s="21"/>
      <c r="UTG203" s="21"/>
      <c r="UTH203" s="21"/>
      <c r="UTI203" s="21"/>
      <c r="UTJ203" s="21"/>
      <c r="UTK203" s="21"/>
      <c r="UTL203" s="21"/>
      <c r="UTM203" s="21"/>
      <c r="UTN203" s="21"/>
      <c r="UTO203" s="21"/>
      <c r="UTP203" s="21"/>
      <c r="UTQ203" s="21"/>
      <c r="UTR203" s="21"/>
      <c r="UTS203" s="21"/>
      <c r="UTT203" s="21"/>
      <c r="UTU203" s="21"/>
      <c r="UTV203" s="21"/>
      <c r="UTW203" s="21"/>
      <c r="UTX203" s="21"/>
      <c r="UTY203" s="21"/>
      <c r="UTZ203" s="21"/>
      <c r="UUA203" s="21"/>
      <c r="UUB203" s="21"/>
      <c r="UUC203" s="21"/>
      <c r="UUD203" s="21"/>
      <c r="UUE203" s="21"/>
      <c r="UUF203" s="21"/>
      <c r="UUG203" s="21"/>
      <c r="UUH203" s="21"/>
      <c r="UUI203" s="21"/>
      <c r="UUJ203" s="21"/>
      <c r="UUK203" s="21"/>
      <c r="UUL203" s="21"/>
      <c r="UUM203" s="21"/>
      <c r="UUN203" s="21"/>
      <c r="UUO203" s="21"/>
      <c r="UUP203" s="21"/>
      <c r="UUQ203" s="21"/>
      <c r="UUR203" s="21"/>
      <c r="UUS203" s="21"/>
      <c r="UUT203" s="21"/>
      <c r="UUU203" s="21"/>
      <c r="UUV203" s="21"/>
      <c r="UUW203" s="21"/>
      <c r="UUX203" s="21"/>
      <c r="UUY203" s="21"/>
      <c r="UUZ203" s="21"/>
      <c r="UVA203" s="21"/>
      <c r="UVB203" s="21"/>
      <c r="UVC203" s="21"/>
      <c r="UVD203" s="21"/>
      <c r="UVE203" s="21"/>
      <c r="UVF203" s="21"/>
      <c r="UVG203" s="21"/>
      <c r="UVH203" s="21"/>
      <c r="UVI203" s="21"/>
      <c r="UVJ203" s="21"/>
      <c r="UVK203" s="21"/>
      <c r="UVL203" s="21"/>
      <c r="UVM203" s="21"/>
      <c r="UVN203" s="21"/>
      <c r="UVO203" s="21"/>
      <c r="UVP203" s="21"/>
      <c r="UVQ203" s="21"/>
      <c r="UVR203" s="21"/>
      <c r="UVS203" s="21"/>
      <c r="UVT203" s="21"/>
      <c r="UVU203" s="21"/>
      <c r="UVV203" s="21"/>
      <c r="UVW203" s="21"/>
      <c r="UVX203" s="21"/>
      <c r="UVY203" s="21"/>
      <c r="UVZ203" s="21"/>
      <c r="UWA203" s="21"/>
      <c r="UWB203" s="21"/>
      <c r="UWC203" s="21"/>
      <c r="UWD203" s="21"/>
      <c r="UWE203" s="21"/>
      <c r="UWF203" s="21"/>
      <c r="UWG203" s="21"/>
      <c r="UWH203" s="21"/>
      <c r="UWI203" s="21"/>
      <c r="UWJ203" s="21"/>
      <c r="UWK203" s="21"/>
      <c r="UWL203" s="21"/>
      <c r="UWM203" s="21"/>
      <c r="UWN203" s="21"/>
      <c r="UWO203" s="21"/>
      <c r="UWP203" s="21"/>
      <c r="UWQ203" s="21"/>
      <c r="UWR203" s="21"/>
      <c r="UWS203" s="21"/>
      <c r="UWT203" s="21"/>
      <c r="UWU203" s="21"/>
      <c r="UWV203" s="21"/>
      <c r="UWW203" s="21"/>
      <c r="UWX203" s="21"/>
      <c r="UWY203" s="21"/>
      <c r="UWZ203" s="21"/>
      <c r="UXA203" s="21"/>
      <c r="UXB203" s="21"/>
      <c r="UXC203" s="21"/>
      <c r="UXD203" s="21"/>
      <c r="UXE203" s="21"/>
      <c r="UXF203" s="21"/>
      <c r="UXG203" s="21"/>
      <c r="UXH203" s="21"/>
      <c r="UXI203" s="21"/>
      <c r="UXJ203" s="21"/>
      <c r="UXK203" s="21"/>
      <c r="UXL203" s="21"/>
      <c r="UXM203" s="21"/>
      <c r="UXN203" s="21"/>
      <c r="UXO203" s="21"/>
      <c r="UXP203" s="21"/>
      <c r="UXQ203" s="21"/>
      <c r="UXR203" s="21"/>
      <c r="UXS203" s="21"/>
      <c r="UXT203" s="21"/>
      <c r="UXU203" s="21"/>
      <c r="UXV203" s="21"/>
      <c r="UXW203" s="21"/>
      <c r="UXX203" s="21"/>
      <c r="UXY203" s="21"/>
      <c r="UXZ203" s="21"/>
      <c r="UYA203" s="21"/>
      <c r="UYB203" s="21"/>
      <c r="UYC203" s="21"/>
      <c r="UYD203" s="21"/>
      <c r="UYE203" s="21"/>
      <c r="UYF203" s="21"/>
      <c r="UYG203" s="21"/>
      <c r="UYH203" s="21"/>
      <c r="UYI203" s="21"/>
      <c r="UYJ203" s="21"/>
      <c r="UYK203" s="21"/>
      <c r="UYL203" s="21"/>
      <c r="UYM203" s="21"/>
      <c r="UYN203" s="21"/>
      <c r="UYO203" s="21"/>
      <c r="UYP203" s="21"/>
      <c r="UYQ203" s="21"/>
      <c r="UYR203" s="21"/>
      <c r="UYS203" s="21"/>
      <c r="UYT203" s="21"/>
      <c r="UYU203" s="21"/>
      <c r="UYV203" s="21"/>
      <c r="UYW203" s="21"/>
      <c r="UYX203" s="21"/>
      <c r="UYY203" s="21"/>
      <c r="UYZ203" s="21"/>
      <c r="UZA203" s="21"/>
      <c r="UZB203" s="21"/>
      <c r="UZC203" s="21"/>
      <c r="UZD203" s="21"/>
      <c r="UZE203" s="21"/>
      <c r="UZF203" s="21"/>
      <c r="UZG203" s="21"/>
      <c r="UZH203" s="21"/>
      <c r="UZI203" s="21"/>
      <c r="UZJ203" s="21"/>
      <c r="UZK203" s="21"/>
      <c r="UZL203" s="21"/>
      <c r="UZM203" s="21"/>
      <c r="UZN203" s="21"/>
      <c r="UZO203" s="21"/>
      <c r="UZP203" s="21"/>
      <c r="UZQ203" s="21"/>
      <c r="UZR203" s="21"/>
      <c r="UZS203" s="21"/>
      <c r="UZT203" s="21"/>
      <c r="UZU203" s="21"/>
      <c r="UZV203" s="21"/>
      <c r="UZW203" s="21"/>
      <c r="UZX203" s="21"/>
      <c r="UZY203" s="21"/>
      <c r="UZZ203" s="21"/>
      <c r="VAA203" s="21"/>
      <c r="VAB203" s="21"/>
      <c r="VAC203" s="21"/>
      <c r="VAD203" s="21"/>
      <c r="VAE203" s="21"/>
      <c r="VAF203" s="21"/>
      <c r="VAG203" s="21"/>
      <c r="VAH203" s="21"/>
      <c r="VAI203" s="21"/>
      <c r="VAJ203" s="21"/>
      <c r="VAK203" s="21"/>
      <c r="VAL203" s="21"/>
      <c r="VAM203" s="21"/>
      <c r="VAN203" s="21"/>
      <c r="VAO203" s="21"/>
      <c r="VAP203" s="21"/>
      <c r="VAQ203" s="21"/>
      <c r="VAR203" s="21"/>
      <c r="VAS203" s="21"/>
      <c r="VAT203" s="21"/>
      <c r="VAU203" s="21"/>
      <c r="VAV203" s="21"/>
      <c r="VAW203" s="21"/>
      <c r="VAX203" s="21"/>
      <c r="VAY203" s="21"/>
      <c r="VAZ203" s="21"/>
      <c r="VBA203" s="21"/>
      <c r="VBB203" s="21"/>
      <c r="VBC203" s="21"/>
      <c r="VBD203" s="21"/>
      <c r="VBE203" s="21"/>
      <c r="VBF203" s="21"/>
      <c r="VBG203" s="21"/>
      <c r="VBH203" s="21"/>
      <c r="VBI203" s="21"/>
      <c r="VBJ203" s="21"/>
      <c r="VBK203" s="21"/>
      <c r="VBL203" s="21"/>
      <c r="VBM203" s="21"/>
      <c r="VBN203" s="21"/>
      <c r="VBO203" s="21"/>
      <c r="VBP203" s="21"/>
      <c r="VBQ203" s="21"/>
      <c r="VBR203" s="21"/>
      <c r="VBS203" s="21"/>
      <c r="VBT203" s="21"/>
      <c r="VBU203" s="21"/>
      <c r="VBV203" s="21"/>
      <c r="VBW203" s="21"/>
      <c r="VBX203" s="21"/>
      <c r="VBY203" s="21"/>
      <c r="VBZ203" s="21"/>
      <c r="VCA203" s="21"/>
      <c r="VCB203" s="21"/>
      <c r="VCC203" s="21"/>
      <c r="VCD203" s="21"/>
      <c r="VCE203" s="21"/>
      <c r="VCF203" s="21"/>
      <c r="VCG203" s="21"/>
      <c r="VCH203" s="21"/>
      <c r="VCI203" s="21"/>
      <c r="VCJ203" s="21"/>
      <c r="VCK203" s="21"/>
      <c r="VCL203" s="21"/>
      <c r="VCM203" s="21"/>
      <c r="VCN203" s="21"/>
      <c r="VCO203" s="21"/>
      <c r="VCP203" s="21"/>
      <c r="VCQ203" s="21"/>
      <c r="VCR203" s="21"/>
      <c r="VCS203" s="21"/>
      <c r="VCT203" s="21"/>
      <c r="VCU203" s="21"/>
      <c r="VCV203" s="21"/>
      <c r="VCW203" s="21"/>
      <c r="VCX203" s="21"/>
      <c r="VCY203" s="21"/>
      <c r="VCZ203" s="21"/>
      <c r="VDA203" s="21"/>
      <c r="VDB203" s="21"/>
      <c r="VDC203" s="21"/>
      <c r="VDD203" s="21"/>
      <c r="VDE203" s="21"/>
      <c r="VDF203" s="21"/>
      <c r="VDG203" s="21"/>
      <c r="VDH203" s="21"/>
      <c r="VDI203" s="21"/>
      <c r="VDJ203" s="21"/>
      <c r="VDK203" s="21"/>
      <c r="VDL203" s="21"/>
      <c r="VDM203" s="21"/>
      <c r="VDN203" s="21"/>
      <c r="VDO203" s="21"/>
      <c r="VDP203" s="21"/>
      <c r="VDQ203" s="21"/>
      <c r="VDR203" s="21"/>
      <c r="VDS203" s="21"/>
      <c r="VDT203" s="21"/>
      <c r="VDU203" s="21"/>
      <c r="VDV203" s="21"/>
      <c r="VDW203" s="21"/>
      <c r="VDX203" s="21"/>
      <c r="VDY203" s="21"/>
      <c r="VDZ203" s="21"/>
      <c r="VEA203" s="21"/>
      <c r="VEB203" s="21"/>
      <c r="VEC203" s="21"/>
      <c r="VED203" s="21"/>
      <c r="VEE203" s="21"/>
      <c r="VEF203" s="21"/>
      <c r="VEG203" s="21"/>
      <c r="VEH203" s="21"/>
      <c r="VEI203" s="21"/>
      <c r="VEJ203" s="21"/>
      <c r="VEK203" s="21"/>
      <c r="VEL203" s="21"/>
      <c r="VEM203" s="21"/>
      <c r="VEN203" s="21"/>
      <c r="VEO203" s="21"/>
      <c r="VEP203" s="21"/>
      <c r="VEQ203" s="21"/>
      <c r="VER203" s="21"/>
      <c r="VES203" s="21"/>
      <c r="VET203" s="21"/>
      <c r="VEU203" s="21"/>
      <c r="VEV203" s="21"/>
      <c r="VEW203" s="21"/>
      <c r="VEX203" s="21"/>
      <c r="VEY203" s="21"/>
      <c r="VEZ203" s="21"/>
      <c r="VFA203" s="21"/>
      <c r="VFB203" s="21"/>
      <c r="VFC203" s="21"/>
      <c r="VFD203" s="21"/>
      <c r="VFE203" s="21"/>
      <c r="VFF203" s="21"/>
      <c r="VFG203" s="21"/>
      <c r="VFH203" s="21"/>
      <c r="VFI203" s="21"/>
      <c r="VFJ203" s="21"/>
      <c r="VFK203" s="21"/>
      <c r="VFL203" s="21"/>
      <c r="VFM203" s="21"/>
      <c r="VFN203" s="21"/>
      <c r="VFO203" s="21"/>
      <c r="VFP203" s="21"/>
      <c r="VFQ203" s="21"/>
      <c r="VFR203" s="21"/>
      <c r="VFS203" s="21"/>
      <c r="VFT203" s="21"/>
      <c r="VFU203" s="21"/>
      <c r="VFV203" s="21"/>
      <c r="VFW203" s="21"/>
      <c r="VFX203" s="21"/>
      <c r="VFY203" s="21"/>
      <c r="VFZ203" s="21"/>
      <c r="VGA203" s="21"/>
      <c r="VGB203" s="21"/>
      <c r="VGC203" s="21"/>
      <c r="VGD203" s="21"/>
      <c r="VGE203" s="21"/>
      <c r="VGF203" s="21"/>
      <c r="VGG203" s="21"/>
      <c r="VGH203" s="21"/>
      <c r="VGI203" s="21"/>
      <c r="VGJ203" s="21"/>
      <c r="VGK203" s="21"/>
      <c r="VGL203" s="21"/>
      <c r="VGM203" s="21"/>
      <c r="VGN203" s="21"/>
      <c r="VGO203" s="21"/>
      <c r="VGP203" s="21"/>
      <c r="VGQ203" s="21"/>
      <c r="VGR203" s="21"/>
      <c r="VGS203" s="21"/>
      <c r="VGT203" s="21"/>
      <c r="VGU203" s="21"/>
      <c r="VGV203" s="21"/>
      <c r="VGW203" s="21"/>
      <c r="VGX203" s="21"/>
      <c r="VGY203" s="21"/>
      <c r="VGZ203" s="21"/>
      <c r="VHA203" s="21"/>
      <c r="VHB203" s="21"/>
      <c r="VHC203" s="21"/>
      <c r="VHD203" s="21"/>
      <c r="VHE203" s="21"/>
      <c r="VHF203" s="21"/>
      <c r="VHG203" s="21"/>
      <c r="VHH203" s="21"/>
      <c r="VHI203" s="21"/>
      <c r="VHJ203" s="21"/>
      <c r="VHK203" s="21"/>
      <c r="VHL203" s="21"/>
      <c r="VHM203" s="21"/>
      <c r="VHN203" s="21"/>
      <c r="VHO203" s="21"/>
      <c r="VHP203" s="21"/>
      <c r="VHQ203" s="21"/>
      <c r="VHR203" s="21"/>
      <c r="VHS203" s="21"/>
      <c r="VHT203" s="21"/>
      <c r="VHU203" s="21"/>
      <c r="VHV203" s="21"/>
      <c r="VHW203" s="21"/>
      <c r="VHX203" s="21"/>
      <c r="VHY203" s="21"/>
      <c r="VHZ203" s="21"/>
      <c r="VIA203" s="21"/>
      <c r="VIB203" s="21"/>
      <c r="VIC203" s="21"/>
      <c r="VID203" s="21"/>
      <c r="VIE203" s="21"/>
      <c r="VIF203" s="21"/>
      <c r="VIG203" s="21"/>
      <c r="VIH203" s="21"/>
      <c r="VII203" s="21"/>
      <c r="VIJ203" s="21"/>
      <c r="VIK203" s="21"/>
      <c r="VIL203" s="21"/>
      <c r="VIM203" s="21"/>
      <c r="VIN203" s="21"/>
      <c r="VIO203" s="21"/>
      <c r="VIP203" s="21"/>
      <c r="VIQ203" s="21"/>
      <c r="VIR203" s="21"/>
      <c r="VIS203" s="21"/>
      <c r="VIT203" s="21"/>
      <c r="VIU203" s="21"/>
      <c r="VIV203" s="21"/>
      <c r="VIW203" s="21"/>
      <c r="VIX203" s="21"/>
      <c r="VIY203" s="21"/>
      <c r="VIZ203" s="21"/>
      <c r="VJA203" s="21"/>
      <c r="VJB203" s="21"/>
      <c r="VJC203" s="21"/>
      <c r="VJD203" s="21"/>
      <c r="VJE203" s="21"/>
      <c r="VJF203" s="21"/>
      <c r="VJG203" s="21"/>
      <c r="VJH203" s="21"/>
      <c r="VJI203" s="21"/>
      <c r="VJJ203" s="21"/>
      <c r="VJK203" s="21"/>
      <c r="VJL203" s="21"/>
      <c r="VJM203" s="21"/>
      <c r="VJN203" s="21"/>
      <c r="VJO203" s="21"/>
      <c r="VJP203" s="21"/>
      <c r="VJQ203" s="21"/>
      <c r="VJR203" s="21"/>
      <c r="VJS203" s="21"/>
      <c r="VJT203" s="21"/>
      <c r="VJU203" s="21"/>
      <c r="VJV203" s="21"/>
      <c r="VJW203" s="21"/>
      <c r="VJX203" s="21"/>
      <c r="VJY203" s="21"/>
      <c r="VJZ203" s="21"/>
      <c r="VKA203" s="21"/>
      <c r="VKB203" s="21"/>
      <c r="VKC203" s="21"/>
      <c r="VKD203" s="21"/>
      <c r="VKE203" s="21"/>
      <c r="VKF203" s="21"/>
      <c r="VKG203" s="21"/>
      <c r="VKH203" s="21"/>
      <c r="VKI203" s="21"/>
      <c r="VKJ203" s="21"/>
      <c r="VKK203" s="21"/>
      <c r="VKL203" s="21"/>
      <c r="VKM203" s="21"/>
      <c r="VKN203" s="21"/>
      <c r="VKO203" s="21"/>
      <c r="VKP203" s="21"/>
      <c r="VKQ203" s="21"/>
      <c r="VKR203" s="21"/>
      <c r="VKS203" s="21"/>
      <c r="VKT203" s="21"/>
      <c r="VKU203" s="21"/>
      <c r="VKV203" s="21"/>
      <c r="VKW203" s="21"/>
      <c r="VKX203" s="21"/>
      <c r="VKY203" s="21"/>
      <c r="VKZ203" s="21"/>
      <c r="VLA203" s="21"/>
      <c r="VLB203" s="21"/>
      <c r="VLC203" s="21"/>
      <c r="VLD203" s="21"/>
      <c r="VLE203" s="21"/>
      <c r="VLF203" s="21"/>
      <c r="VLG203" s="21"/>
      <c r="VLH203" s="21"/>
      <c r="VLI203" s="21"/>
      <c r="VLJ203" s="21"/>
      <c r="VLK203" s="21"/>
      <c r="VLL203" s="21"/>
      <c r="VLM203" s="21"/>
      <c r="VLN203" s="21"/>
      <c r="VLO203" s="21"/>
      <c r="VLP203" s="21"/>
      <c r="VLQ203" s="21"/>
      <c r="VLR203" s="21"/>
      <c r="VLS203" s="21"/>
      <c r="VLT203" s="21"/>
      <c r="VLU203" s="21"/>
      <c r="VLV203" s="21"/>
      <c r="VLW203" s="21"/>
      <c r="VLX203" s="21"/>
      <c r="VLY203" s="21"/>
      <c r="VLZ203" s="21"/>
      <c r="VMA203" s="21"/>
      <c r="VMB203" s="21"/>
      <c r="VMC203" s="21"/>
      <c r="VMD203" s="21"/>
      <c r="VME203" s="21"/>
      <c r="VMF203" s="21"/>
      <c r="VMG203" s="21"/>
      <c r="VMH203" s="21"/>
      <c r="VMI203" s="21"/>
      <c r="VMJ203" s="21"/>
      <c r="VMK203" s="21"/>
      <c r="VML203" s="21"/>
      <c r="VMM203" s="21"/>
      <c r="VMN203" s="21"/>
      <c r="VMO203" s="21"/>
      <c r="VMP203" s="21"/>
      <c r="VMQ203" s="21"/>
      <c r="VMR203" s="21"/>
      <c r="VMS203" s="21"/>
      <c r="VMT203" s="21"/>
      <c r="VMU203" s="21"/>
      <c r="VMV203" s="21"/>
      <c r="VMW203" s="21"/>
      <c r="VMX203" s="21"/>
      <c r="VMY203" s="21"/>
      <c r="VMZ203" s="21"/>
      <c r="VNA203" s="21"/>
      <c r="VNB203" s="21"/>
      <c r="VNC203" s="21"/>
      <c r="VND203" s="21"/>
      <c r="VNE203" s="21"/>
      <c r="VNF203" s="21"/>
      <c r="VNG203" s="21"/>
      <c r="VNH203" s="21"/>
      <c r="VNI203" s="21"/>
      <c r="VNJ203" s="21"/>
      <c r="VNK203" s="21"/>
      <c r="VNL203" s="21"/>
      <c r="VNM203" s="21"/>
      <c r="VNN203" s="21"/>
      <c r="VNO203" s="21"/>
      <c r="VNP203" s="21"/>
      <c r="VNQ203" s="21"/>
      <c r="VNR203" s="21"/>
      <c r="VNS203" s="21"/>
      <c r="VNT203" s="21"/>
      <c r="VNU203" s="21"/>
      <c r="VNV203" s="21"/>
      <c r="VNW203" s="21"/>
      <c r="VNX203" s="21"/>
      <c r="VNY203" s="21"/>
      <c r="VNZ203" s="21"/>
      <c r="VOA203" s="21"/>
      <c r="VOB203" s="21"/>
      <c r="VOC203" s="21"/>
      <c r="VOD203" s="21"/>
      <c r="VOE203" s="21"/>
      <c r="VOF203" s="21"/>
      <c r="VOG203" s="21"/>
      <c r="VOH203" s="21"/>
      <c r="VOI203" s="21"/>
      <c r="VOJ203" s="21"/>
      <c r="VOK203" s="21"/>
      <c r="VOL203" s="21"/>
      <c r="VOM203" s="21"/>
      <c r="VON203" s="21"/>
      <c r="VOO203" s="21"/>
      <c r="VOP203" s="21"/>
      <c r="VOQ203" s="21"/>
      <c r="VOR203" s="21"/>
      <c r="VOS203" s="21"/>
      <c r="VOT203" s="21"/>
      <c r="VOU203" s="21"/>
      <c r="VOV203" s="21"/>
      <c r="VOW203" s="21"/>
      <c r="VOX203" s="21"/>
      <c r="VOY203" s="21"/>
      <c r="VOZ203" s="21"/>
      <c r="VPA203" s="21"/>
      <c r="VPB203" s="21"/>
      <c r="VPC203" s="21"/>
      <c r="VPD203" s="21"/>
      <c r="VPE203" s="21"/>
      <c r="VPF203" s="21"/>
      <c r="VPG203" s="21"/>
      <c r="VPH203" s="21"/>
      <c r="VPI203" s="21"/>
      <c r="VPJ203" s="21"/>
      <c r="VPK203" s="21"/>
      <c r="VPL203" s="21"/>
      <c r="VPM203" s="21"/>
      <c r="VPN203" s="21"/>
      <c r="VPO203" s="21"/>
      <c r="VPP203" s="21"/>
      <c r="VPQ203" s="21"/>
      <c r="VPR203" s="21"/>
      <c r="VPS203" s="21"/>
      <c r="VPT203" s="21"/>
      <c r="VPU203" s="21"/>
      <c r="VPV203" s="21"/>
      <c r="VPW203" s="21"/>
      <c r="VPX203" s="21"/>
      <c r="VPY203" s="21"/>
      <c r="VPZ203" s="21"/>
      <c r="VQA203" s="21"/>
      <c r="VQB203" s="21"/>
      <c r="VQC203" s="21"/>
      <c r="VQD203" s="21"/>
      <c r="VQE203" s="21"/>
      <c r="VQF203" s="21"/>
      <c r="VQG203" s="21"/>
      <c r="VQH203" s="21"/>
      <c r="VQI203" s="21"/>
      <c r="VQJ203" s="21"/>
      <c r="VQK203" s="21"/>
      <c r="VQL203" s="21"/>
      <c r="VQM203" s="21"/>
      <c r="VQN203" s="21"/>
      <c r="VQO203" s="21"/>
      <c r="VQP203" s="21"/>
      <c r="VQQ203" s="21"/>
      <c r="VQR203" s="21"/>
      <c r="VQS203" s="21"/>
      <c r="VQT203" s="21"/>
      <c r="VQU203" s="21"/>
      <c r="VQV203" s="21"/>
      <c r="VQW203" s="21"/>
      <c r="VQX203" s="21"/>
      <c r="VQY203" s="21"/>
      <c r="VQZ203" s="21"/>
      <c r="VRA203" s="21"/>
      <c r="VRB203" s="21"/>
      <c r="VRC203" s="21"/>
      <c r="VRD203" s="21"/>
      <c r="VRE203" s="21"/>
      <c r="VRF203" s="21"/>
      <c r="VRG203" s="21"/>
      <c r="VRH203" s="21"/>
      <c r="VRI203" s="21"/>
      <c r="VRJ203" s="21"/>
      <c r="VRK203" s="21"/>
      <c r="VRL203" s="21"/>
      <c r="VRM203" s="21"/>
      <c r="VRN203" s="21"/>
      <c r="VRO203" s="21"/>
      <c r="VRP203" s="21"/>
      <c r="VRQ203" s="21"/>
      <c r="VRR203" s="21"/>
      <c r="VRS203" s="21"/>
      <c r="VRT203" s="21"/>
      <c r="VRU203" s="21"/>
      <c r="VRV203" s="21"/>
      <c r="VRW203" s="21"/>
      <c r="VRX203" s="21"/>
      <c r="VRY203" s="21"/>
      <c r="VRZ203" s="21"/>
      <c r="VSA203" s="21"/>
      <c r="VSB203" s="21"/>
      <c r="VSC203" s="21"/>
      <c r="VSD203" s="21"/>
      <c r="VSE203" s="21"/>
      <c r="VSF203" s="21"/>
      <c r="VSG203" s="21"/>
      <c r="VSH203" s="21"/>
      <c r="VSI203" s="21"/>
      <c r="VSJ203" s="21"/>
      <c r="VSK203" s="21"/>
      <c r="VSL203" s="21"/>
      <c r="VSM203" s="21"/>
      <c r="VSN203" s="21"/>
      <c r="VSO203" s="21"/>
      <c r="VSP203" s="21"/>
      <c r="VSQ203" s="21"/>
      <c r="VSR203" s="21"/>
      <c r="VSS203" s="21"/>
      <c r="VST203" s="21"/>
      <c r="VSU203" s="21"/>
      <c r="VSV203" s="21"/>
      <c r="VSW203" s="21"/>
      <c r="VSX203" s="21"/>
      <c r="VSY203" s="21"/>
      <c r="VSZ203" s="21"/>
      <c r="VTA203" s="21"/>
      <c r="VTB203" s="21"/>
      <c r="VTC203" s="21"/>
      <c r="VTD203" s="21"/>
      <c r="VTE203" s="21"/>
      <c r="VTF203" s="21"/>
      <c r="VTG203" s="21"/>
      <c r="VTH203" s="21"/>
      <c r="VTI203" s="21"/>
      <c r="VTJ203" s="21"/>
      <c r="VTK203" s="21"/>
      <c r="VTL203" s="21"/>
      <c r="VTM203" s="21"/>
      <c r="VTN203" s="21"/>
      <c r="VTO203" s="21"/>
      <c r="VTP203" s="21"/>
      <c r="VTQ203" s="21"/>
      <c r="VTR203" s="21"/>
      <c r="VTS203" s="21"/>
      <c r="VTT203" s="21"/>
      <c r="VTU203" s="21"/>
      <c r="VTV203" s="21"/>
      <c r="VTW203" s="21"/>
      <c r="VTX203" s="21"/>
      <c r="VTY203" s="21"/>
      <c r="VTZ203" s="21"/>
      <c r="VUA203" s="21"/>
      <c r="VUB203" s="21"/>
      <c r="VUC203" s="21"/>
      <c r="VUD203" s="21"/>
      <c r="VUE203" s="21"/>
      <c r="VUF203" s="21"/>
      <c r="VUG203" s="21"/>
      <c r="VUH203" s="21"/>
      <c r="VUI203" s="21"/>
      <c r="VUJ203" s="21"/>
      <c r="VUK203" s="21"/>
      <c r="VUL203" s="21"/>
      <c r="VUM203" s="21"/>
      <c r="VUN203" s="21"/>
      <c r="VUO203" s="21"/>
      <c r="VUP203" s="21"/>
      <c r="VUQ203" s="21"/>
      <c r="VUR203" s="21"/>
      <c r="VUS203" s="21"/>
      <c r="VUT203" s="21"/>
      <c r="VUU203" s="21"/>
      <c r="VUV203" s="21"/>
      <c r="VUW203" s="21"/>
      <c r="VUX203" s="21"/>
      <c r="VUY203" s="21"/>
      <c r="VUZ203" s="21"/>
      <c r="VVA203" s="21"/>
      <c r="VVB203" s="21"/>
      <c r="VVC203" s="21"/>
      <c r="VVD203" s="21"/>
      <c r="VVE203" s="21"/>
      <c r="VVF203" s="21"/>
      <c r="VVG203" s="21"/>
      <c r="VVH203" s="21"/>
      <c r="VVI203" s="21"/>
      <c r="VVJ203" s="21"/>
      <c r="VVK203" s="21"/>
      <c r="VVL203" s="21"/>
      <c r="VVM203" s="21"/>
      <c r="VVN203" s="21"/>
      <c r="VVO203" s="21"/>
      <c r="VVP203" s="21"/>
      <c r="VVQ203" s="21"/>
      <c r="VVR203" s="21"/>
      <c r="VVS203" s="21"/>
      <c r="VVT203" s="21"/>
      <c r="VVU203" s="21"/>
      <c r="VVV203" s="21"/>
      <c r="VVW203" s="21"/>
      <c r="VVX203" s="21"/>
      <c r="VVY203" s="21"/>
      <c r="VVZ203" s="21"/>
      <c r="VWA203" s="21"/>
      <c r="VWB203" s="21"/>
      <c r="VWC203" s="21"/>
      <c r="VWD203" s="21"/>
      <c r="VWE203" s="21"/>
      <c r="VWF203" s="21"/>
      <c r="VWG203" s="21"/>
      <c r="VWH203" s="21"/>
      <c r="VWI203" s="21"/>
      <c r="VWJ203" s="21"/>
      <c r="VWK203" s="21"/>
      <c r="VWL203" s="21"/>
      <c r="VWM203" s="21"/>
      <c r="VWN203" s="21"/>
      <c r="VWO203" s="21"/>
      <c r="VWP203" s="21"/>
      <c r="VWQ203" s="21"/>
      <c r="VWR203" s="21"/>
      <c r="VWS203" s="21"/>
      <c r="VWT203" s="21"/>
      <c r="VWU203" s="21"/>
      <c r="VWV203" s="21"/>
      <c r="VWW203" s="21"/>
      <c r="VWX203" s="21"/>
      <c r="VWY203" s="21"/>
      <c r="VWZ203" s="21"/>
      <c r="VXA203" s="21"/>
      <c r="VXB203" s="21"/>
      <c r="VXC203" s="21"/>
      <c r="VXD203" s="21"/>
      <c r="VXE203" s="21"/>
      <c r="VXF203" s="21"/>
      <c r="VXG203" s="21"/>
      <c r="VXH203" s="21"/>
      <c r="VXI203" s="21"/>
      <c r="VXJ203" s="21"/>
      <c r="VXK203" s="21"/>
      <c r="VXL203" s="21"/>
      <c r="VXM203" s="21"/>
      <c r="VXN203" s="21"/>
      <c r="VXO203" s="21"/>
      <c r="VXP203" s="21"/>
      <c r="VXQ203" s="21"/>
      <c r="VXR203" s="21"/>
      <c r="VXS203" s="21"/>
      <c r="VXT203" s="21"/>
      <c r="VXU203" s="21"/>
      <c r="VXV203" s="21"/>
      <c r="VXW203" s="21"/>
      <c r="VXX203" s="21"/>
      <c r="VXY203" s="21"/>
      <c r="VXZ203" s="21"/>
      <c r="VYA203" s="21"/>
      <c r="VYB203" s="21"/>
      <c r="VYC203" s="21"/>
      <c r="VYD203" s="21"/>
      <c r="VYE203" s="21"/>
      <c r="VYF203" s="21"/>
      <c r="VYG203" s="21"/>
      <c r="VYH203" s="21"/>
      <c r="VYI203" s="21"/>
      <c r="VYJ203" s="21"/>
      <c r="VYK203" s="21"/>
      <c r="VYL203" s="21"/>
      <c r="VYM203" s="21"/>
      <c r="VYN203" s="21"/>
      <c r="VYO203" s="21"/>
      <c r="VYP203" s="21"/>
      <c r="VYQ203" s="21"/>
      <c r="VYR203" s="21"/>
      <c r="VYS203" s="21"/>
      <c r="VYT203" s="21"/>
      <c r="VYU203" s="21"/>
      <c r="VYV203" s="21"/>
      <c r="VYW203" s="21"/>
      <c r="VYX203" s="21"/>
      <c r="VYY203" s="21"/>
      <c r="VYZ203" s="21"/>
      <c r="VZA203" s="21"/>
      <c r="VZB203" s="21"/>
      <c r="VZC203" s="21"/>
      <c r="VZD203" s="21"/>
      <c r="VZE203" s="21"/>
      <c r="VZF203" s="21"/>
      <c r="VZG203" s="21"/>
      <c r="VZH203" s="21"/>
      <c r="VZI203" s="21"/>
      <c r="VZJ203" s="21"/>
      <c r="VZK203" s="21"/>
      <c r="VZL203" s="21"/>
      <c r="VZM203" s="21"/>
      <c r="VZN203" s="21"/>
      <c r="VZO203" s="21"/>
      <c r="VZP203" s="21"/>
      <c r="VZQ203" s="21"/>
      <c r="VZR203" s="21"/>
      <c r="VZS203" s="21"/>
      <c r="VZT203" s="21"/>
      <c r="VZU203" s="21"/>
      <c r="VZV203" s="21"/>
      <c r="VZW203" s="21"/>
      <c r="VZX203" s="21"/>
      <c r="VZY203" s="21"/>
      <c r="VZZ203" s="21"/>
      <c r="WAA203" s="21"/>
      <c r="WAB203" s="21"/>
      <c r="WAC203" s="21"/>
      <c r="WAD203" s="21"/>
      <c r="WAE203" s="21"/>
      <c r="WAF203" s="21"/>
      <c r="WAG203" s="21"/>
      <c r="WAH203" s="21"/>
      <c r="WAI203" s="21"/>
      <c r="WAJ203" s="21"/>
      <c r="WAK203" s="21"/>
      <c r="WAL203" s="21"/>
      <c r="WAM203" s="21"/>
      <c r="WAN203" s="21"/>
      <c r="WAO203" s="21"/>
      <c r="WAP203" s="21"/>
      <c r="WAQ203" s="21"/>
      <c r="WAR203" s="21"/>
      <c r="WAS203" s="21"/>
      <c r="WAT203" s="21"/>
      <c r="WAU203" s="21"/>
      <c r="WAV203" s="21"/>
      <c r="WAW203" s="21"/>
      <c r="WAX203" s="21"/>
      <c r="WAY203" s="21"/>
      <c r="WAZ203" s="21"/>
      <c r="WBA203" s="21"/>
      <c r="WBB203" s="21"/>
      <c r="WBC203" s="21"/>
      <c r="WBD203" s="21"/>
      <c r="WBE203" s="21"/>
      <c r="WBF203" s="21"/>
      <c r="WBG203" s="21"/>
      <c r="WBH203" s="21"/>
      <c r="WBI203" s="21"/>
      <c r="WBJ203" s="21"/>
      <c r="WBK203" s="21"/>
      <c r="WBL203" s="21"/>
      <c r="WBM203" s="21"/>
      <c r="WBN203" s="21"/>
      <c r="WBO203" s="21"/>
      <c r="WBP203" s="21"/>
      <c r="WBQ203" s="21"/>
      <c r="WBR203" s="21"/>
      <c r="WBS203" s="21"/>
      <c r="WBT203" s="21"/>
      <c r="WBU203" s="21"/>
      <c r="WBV203" s="21"/>
      <c r="WBW203" s="21"/>
      <c r="WBX203" s="21"/>
      <c r="WBY203" s="21"/>
      <c r="WBZ203" s="21"/>
      <c r="WCA203" s="21"/>
      <c r="WCB203" s="21"/>
      <c r="WCC203" s="21"/>
      <c r="WCD203" s="21"/>
      <c r="WCE203" s="21"/>
      <c r="WCF203" s="21"/>
      <c r="WCG203" s="21"/>
      <c r="WCH203" s="21"/>
      <c r="WCI203" s="21"/>
      <c r="WCJ203" s="21"/>
      <c r="WCK203" s="21"/>
      <c r="WCL203" s="21"/>
      <c r="WCM203" s="21"/>
      <c r="WCN203" s="21"/>
      <c r="WCO203" s="21"/>
      <c r="WCP203" s="21"/>
      <c r="WCQ203" s="21"/>
      <c r="WCR203" s="21"/>
      <c r="WCS203" s="21"/>
      <c r="WCT203" s="21"/>
      <c r="WCU203" s="21"/>
      <c r="WCV203" s="21"/>
      <c r="WCW203" s="21"/>
      <c r="WCX203" s="21"/>
      <c r="WCY203" s="21"/>
      <c r="WCZ203" s="21"/>
      <c r="WDA203" s="21"/>
      <c r="WDB203" s="21"/>
      <c r="WDC203" s="21"/>
      <c r="WDD203" s="21"/>
      <c r="WDE203" s="21"/>
      <c r="WDF203" s="21"/>
      <c r="WDG203" s="21"/>
      <c r="WDH203" s="21"/>
      <c r="WDI203" s="21"/>
      <c r="WDJ203" s="21"/>
      <c r="WDK203" s="21"/>
      <c r="WDL203" s="21"/>
      <c r="WDM203" s="21"/>
      <c r="WDN203" s="21"/>
      <c r="WDO203" s="21"/>
      <c r="WDP203" s="21"/>
      <c r="WDQ203" s="21"/>
      <c r="WDR203" s="21"/>
      <c r="WDS203" s="21"/>
      <c r="WDT203" s="21"/>
      <c r="WDU203" s="21"/>
      <c r="WDV203" s="21"/>
      <c r="WDW203" s="21"/>
      <c r="WDX203" s="21"/>
      <c r="WDY203" s="21"/>
      <c r="WDZ203" s="21"/>
      <c r="WEA203" s="21"/>
      <c r="WEB203" s="21"/>
      <c r="WEC203" s="21"/>
      <c r="WED203" s="21"/>
      <c r="WEE203" s="21"/>
      <c r="WEF203" s="21"/>
      <c r="WEG203" s="21"/>
      <c r="WEH203" s="21"/>
      <c r="WEI203" s="21"/>
      <c r="WEJ203" s="21"/>
      <c r="WEK203" s="21"/>
      <c r="WEL203" s="21"/>
      <c r="WEM203" s="21"/>
      <c r="WEN203" s="21"/>
      <c r="WEO203" s="21"/>
      <c r="WEP203" s="21"/>
      <c r="WEQ203" s="21"/>
      <c r="WER203" s="21"/>
      <c r="WES203" s="21"/>
      <c r="WET203" s="21"/>
      <c r="WEU203" s="21"/>
      <c r="WEV203" s="21"/>
      <c r="WEW203" s="21"/>
      <c r="WEX203" s="21"/>
      <c r="WEY203" s="21"/>
      <c r="WEZ203" s="21"/>
      <c r="WFA203" s="21"/>
      <c r="WFB203" s="21"/>
      <c r="WFC203" s="21"/>
      <c r="WFD203" s="21"/>
      <c r="WFE203" s="21"/>
      <c r="WFF203" s="21"/>
      <c r="WFG203" s="21"/>
      <c r="WFH203" s="21"/>
      <c r="WFI203" s="21"/>
      <c r="WFJ203" s="21"/>
      <c r="WFK203" s="21"/>
      <c r="WFL203" s="21"/>
      <c r="WFM203" s="21"/>
      <c r="WFN203" s="21"/>
      <c r="WFO203" s="21"/>
      <c r="WFP203" s="21"/>
      <c r="WFQ203" s="21"/>
      <c r="WFR203" s="21"/>
      <c r="WFS203" s="21"/>
      <c r="WFT203" s="21"/>
      <c r="WFU203" s="21"/>
      <c r="WFV203" s="21"/>
      <c r="WFW203" s="21"/>
      <c r="WFX203" s="21"/>
      <c r="WFY203" s="21"/>
      <c r="WFZ203" s="21"/>
      <c r="WGA203" s="21"/>
      <c r="WGB203" s="21"/>
      <c r="WGC203" s="21"/>
      <c r="WGD203" s="21"/>
      <c r="WGE203" s="21"/>
      <c r="WGF203" s="21"/>
      <c r="WGG203" s="21"/>
      <c r="WGH203" s="21"/>
      <c r="WGI203" s="21"/>
      <c r="WGJ203" s="21"/>
      <c r="WGK203" s="21"/>
      <c r="WGL203" s="21"/>
      <c r="WGM203" s="21"/>
      <c r="WGN203" s="21"/>
      <c r="WGO203" s="21"/>
      <c r="WGP203" s="21"/>
      <c r="WGQ203" s="21"/>
      <c r="WGR203" s="21"/>
      <c r="WGS203" s="21"/>
      <c r="WGT203" s="21"/>
      <c r="WGU203" s="21"/>
      <c r="WGV203" s="21"/>
      <c r="WGW203" s="21"/>
      <c r="WGX203" s="21"/>
      <c r="WGY203" s="21"/>
      <c r="WGZ203" s="21"/>
      <c r="WHA203" s="21"/>
      <c r="WHB203" s="21"/>
      <c r="WHC203" s="21"/>
      <c r="WHD203" s="21"/>
      <c r="WHE203" s="21"/>
      <c r="WHF203" s="21"/>
      <c r="WHG203" s="21"/>
      <c r="WHH203" s="21"/>
      <c r="WHI203" s="21"/>
      <c r="WHJ203" s="21"/>
      <c r="WHK203" s="21"/>
      <c r="WHL203" s="21"/>
      <c r="WHM203" s="21"/>
      <c r="WHN203" s="21"/>
      <c r="WHO203" s="21"/>
      <c r="WHP203" s="21"/>
      <c r="WHQ203" s="21"/>
      <c r="WHR203" s="21"/>
      <c r="WHS203" s="21"/>
      <c r="WHT203" s="21"/>
      <c r="WHU203" s="21"/>
      <c r="WHV203" s="21"/>
      <c r="WHW203" s="21"/>
      <c r="WHX203" s="21"/>
      <c r="WHY203" s="21"/>
      <c r="WHZ203" s="21"/>
      <c r="WIA203" s="21"/>
      <c r="WIB203" s="21"/>
      <c r="WIC203" s="21"/>
      <c r="WID203" s="21"/>
      <c r="WIE203" s="21"/>
      <c r="WIF203" s="21"/>
      <c r="WIG203" s="21"/>
      <c r="WIH203" s="21"/>
      <c r="WII203" s="21"/>
      <c r="WIJ203" s="21"/>
      <c r="WIK203" s="21"/>
      <c r="WIL203" s="21"/>
      <c r="WIM203" s="21"/>
      <c r="WIN203" s="21"/>
      <c r="WIO203" s="21"/>
      <c r="WIP203" s="21"/>
      <c r="WIQ203" s="21"/>
      <c r="WIR203" s="21"/>
      <c r="WIS203" s="21"/>
      <c r="WIT203" s="21"/>
      <c r="WIU203" s="21"/>
      <c r="WIV203" s="21"/>
      <c r="WIW203" s="21"/>
      <c r="WIX203" s="21"/>
      <c r="WIY203" s="21"/>
      <c r="WIZ203" s="21"/>
      <c r="WJA203" s="21"/>
      <c r="WJB203" s="21"/>
      <c r="WJC203" s="21"/>
      <c r="WJD203" s="21"/>
      <c r="WJE203" s="21"/>
      <c r="WJF203" s="21"/>
      <c r="WJG203" s="21"/>
      <c r="WJH203" s="21"/>
      <c r="WJI203" s="21"/>
      <c r="WJJ203" s="21"/>
      <c r="WJK203" s="21"/>
      <c r="WJL203" s="21"/>
      <c r="WJM203" s="21"/>
      <c r="WJN203" s="21"/>
      <c r="WJO203" s="21"/>
      <c r="WJP203" s="21"/>
      <c r="WJQ203" s="21"/>
      <c r="WJR203" s="21"/>
      <c r="WJS203" s="21"/>
      <c r="WJT203" s="21"/>
      <c r="WJU203" s="21"/>
      <c r="WJV203" s="21"/>
      <c r="WJW203" s="21"/>
      <c r="WJX203" s="21"/>
      <c r="WJY203" s="21"/>
      <c r="WJZ203" s="21"/>
      <c r="WKA203" s="21"/>
      <c r="WKB203" s="21"/>
      <c r="WKC203" s="21"/>
      <c r="WKD203" s="21"/>
      <c r="WKE203" s="21"/>
      <c r="WKF203" s="21"/>
      <c r="WKG203" s="21"/>
      <c r="WKH203" s="21"/>
      <c r="WKI203" s="21"/>
      <c r="WKJ203" s="21"/>
      <c r="WKK203" s="21"/>
      <c r="WKL203" s="21"/>
      <c r="WKM203" s="21"/>
      <c r="WKN203" s="21"/>
      <c r="WKO203" s="21"/>
      <c r="WKP203" s="21"/>
      <c r="WKQ203" s="21"/>
      <c r="WKR203" s="21"/>
      <c r="WKS203" s="21"/>
      <c r="WKT203" s="21"/>
      <c r="WKU203" s="21"/>
      <c r="WKV203" s="21"/>
      <c r="WKW203" s="21"/>
      <c r="WKX203" s="21"/>
      <c r="WKY203" s="21"/>
      <c r="WKZ203" s="21"/>
      <c r="WLA203" s="21"/>
      <c r="WLB203" s="21"/>
      <c r="WLC203" s="21"/>
      <c r="WLD203" s="21"/>
      <c r="WLE203" s="21"/>
      <c r="WLF203" s="21"/>
      <c r="WLG203" s="21"/>
      <c r="WLH203" s="21"/>
      <c r="WLI203" s="21"/>
      <c r="WLJ203" s="21"/>
      <c r="WLK203" s="21"/>
      <c r="WLL203" s="21"/>
      <c r="WLM203" s="21"/>
      <c r="WLN203" s="21"/>
      <c r="WLO203" s="21"/>
      <c r="WLP203" s="21"/>
      <c r="WLQ203" s="21"/>
      <c r="WLR203" s="21"/>
      <c r="WLS203" s="21"/>
      <c r="WLT203" s="21"/>
      <c r="WLU203" s="21"/>
      <c r="WLV203" s="21"/>
      <c r="WLW203" s="21"/>
      <c r="WLX203" s="21"/>
      <c r="WLY203" s="21"/>
      <c r="WLZ203" s="21"/>
      <c r="WMA203" s="21"/>
      <c r="WMB203" s="21"/>
      <c r="WMC203" s="21"/>
      <c r="WMD203" s="21"/>
      <c r="WME203" s="21"/>
      <c r="WMF203" s="21"/>
      <c r="WMG203" s="21"/>
      <c r="WMH203" s="21"/>
      <c r="WMI203" s="21"/>
      <c r="WMJ203" s="21"/>
      <c r="WMK203" s="21"/>
      <c r="WML203" s="21"/>
      <c r="WMM203" s="21"/>
      <c r="WMN203" s="21"/>
      <c r="WMO203" s="21"/>
      <c r="WMP203" s="21"/>
      <c r="WMQ203" s="21"/>
      <c r="WMR203" s="21"/>
      <c r="WMS203" s="21"/>
      <c r="WMT203" s="21"/>
      <c r="WMU203" s="21"/>
      <c r="WMV203" s="21"/>
      <c r="WMW203" s="21"/>
      <c r="WMX203" s="21"/>
      <c r="WMY203" s="21"/>
      <c r="WMZ203" s="21"/>
      <c r="WNA203" s="21"/>
      <c r="WNB203" s="21"/>
      <c r="WNC203" s="21"/>
      <c r="WND203" s="21"/>
      <c r="WNE203" s="21"/>
      <c r="WNF203" s="21"/>
      <c r="WNG203" s="21"/>
      <c r="WNH203" s="21"/>
      <c r="WNI203" s="21"/>
      <c r="WNJ203" s="21"/>
      <c r="WNK203" s="21"/>
      <c r="WNL203" s="21"/>
      <c r="WNM203" s="21"/>
      <c r="WNN203" s="21"/>
      <c r="WNO203" s="21"/>
      <c r="WNP203" s="21"/>
      <c r="WNQ203" s="21"/>
      <c r="WNR203" s="21"/>
      <c r="WNS203" s="21"/>
      <c r="WNT203" s="21"/>
      <c r="WNU203" s="21"/>
      <c r="WNV203" s="21"/>
      <c r="WNW203" s="21"/>
      <c r="WNX203" s="21"/>
      <c r="WNY203" s="21"/>
      <c r="WNZ203" s="21"/>
      <c r="WOA203" s="21"/>
      <c r="WOB203" s="21"/>
      <c r="WOC203" s="21"/>
      <c r="WOD203" s="21"/>
      <c r="WOE203" s="21"/>
      <c r="WOF203" s="21"/>
      <c r="WOG203" s="21"/>
      <c r="WOH203" s="21"/>
      <c r="WOI203" s="21"/>
      <c r="WOJ203" s="21"/>
      <c r="WOK203" s="21"/>
      <c r="WOL203" s="21"/>
      <c r="WOM203" s="21"/>
      <c r="WON203" s="21"/>
      <c r="WOO203" s="21"/>
      <c r="WOP203" s="21"/>
      <c r="WOQ203" s="21"/>
      <c r="WOR203" s="21"/>
      <c r="WOS203" s="21"/>
      <c r="WOT203" s="21"/>
      <c r="WOU203" s="21"/>
      <c r="WOV203" s="21"/>
      <c r="WOW203" s="21"/>
      <c r="WOX203" s="21"/>
      <c r="WOY203" s="21"/>
      <c r="WOZ203" s="21"/>
      <c r="WPA203" s="21"/>
      <c r="WPB203" s="21"/>
      <c r="WPC203" s="21"/>
      <c r="WPD203" s="21"/>
      <c r="WPE203" s="21"/>
      <c r="WPF203" s="21"/>
      <c r="WPG203" s="21"/>
      <c r="WPH203" s="21"/>
      <c r="WPI203" s="21"/>
      <c r="WPJ203" s="21"/>
      <c r="WPK203" s="21"/>
      <c r="WPL203" s="21"/>
      <c r="WPM203" s="21"/>
      <c r="WPN203" s="21"/>
      <c r="WPO203" s="21"/>
      <c r="WPP203" s="21"/>
      <c r="WPQ203" s="21"/>
      <c r="WPR203" s="21"/>
      <c r="WPS203" s="21"/>
      <c r="WPT203" s="21"/>
      <c r="WPU203" s="21"/>
      <c r="WPV203" s="21"/>
      <c r="WPW203" s="21"/>
      <c r="WPX203" s="21"/>
      <c r="WPY203" s="21"/>
      <c r="WPZ203" s="21"/>
      <c r="WQA203" s="21"/>
      <c r="WQB203" s="21"/>
      <c r="WQC203" s="21"/>
      <c r="WQD203" s="21"/>
      <c r="WQE203" s="21"/>
      <c r="WQF203" s="21"/>
      <c r="WQG203" s="21"/>
      <c r="WQH203" s="21"/>
      <c r="WQI203" s="21"/>
      <c r="WQJ203" s="21"/>
      <c r="WQK203" s="21"/>
      <c r="WQL203" s="21"/>
      <c r="WQM203" s="21"/>
      <c r="WQN203" s="21"/>
      <c r="WQO203" s="21"/>
      <c r="WQP203" s="21"/>
      <c r="WQQ203" s="21"/>
      <c r="WQR203" s="21"/>
      <c r="WQS203" s="21"/>
      <c r="WQT203" s="21"/>
      <c r="WQU203" s="21"/>
      <c r="WQV203" s="21"/>
      <c r="WQW203" s="21"/>
      <c r="WQX203" s="21"/>
      <c r="WQY203" s="21"/>
      <c r="WQZ203" s="21"/>
      <c r="WRA203" s="21"/>
      <c r="WRB203" s="21"/>
      <c r="WRC203" s="21"/>
      <c r="WRD203" s="21"/>
      <c r="WRE203" s="21"/>
      <c r="WRF203" s="21"/>
      <c r="WRG203" s="21"/>
      <c r="WRH203" s="21"/>
      <c r="WRI203" s="21"/>
      <c r="WRJ203" s="21"/>
      <c r="WRK203" s="21"/>
      <c r="WRL203" s="21"/>
      <c r="WRM203" s="21"/>
      <c r="WRN203" s="21"/>
      <c r="WRO203" s="21"/>
      <c r="WRP203" s="21"/>
      <c r="WRQ203" s="21"/>
      <c r="WRR203" s="21"/>
      <c r="WRS203" s="21"/>
      <c r="WRT203" s="21"/>
      <c r="WRU203" s="21"/>
      <c r="WRV203" s="21"/>
      <c r="WRW203" s="21"/>
      <c r="WRX203" s="21"/>
      <c r="WRY203" s="21"/>
      <c r="WRZ203" s="21"/>
      <c r="WSA203" s="21"/>
      <c r="WSB203" s="21"/>
      <c r="WSC203" s="21"/>
      <c r="WSD203" s="21"/>
      <c r="WSE203" s="21"/>
      <c r="WSF203" s="21"/>
      <c r="WSG203" s="21"/>
      <c r="WSH203" s="21"/>
      <c r="WSI203" s="21"/>
      <c r="WSJ203" s="21"/>
      <c r="WSK203" s="21"/>
      <c r="WSL203" s="21"/>
      <c r="WSM203" s="21"/>
      <c r="WSN203" s="21"/>
      <c r="WSO203" s="21"/>
      <c r="WSP203" s="21"/>
      <c r="WSQ203" s="21"/>
      <c r="WSR203" s="21"/>
      <c r="WSS203" s="21"/>
      <c r="WST203" s="21"/>
      <c r="WSU203" s="21"/>
      <c r="WSV203" s="21"/>
      <c r="WSW203" s="21"/>
      <c r="WSX203" s="21"/>
      <c r="WSY203" s="21"/>
      <c r="WSZ203" s="21"/>
      <c r="WTA203" s="21"/>
      <c r="WTB203" s="21"/>
      <c r="WTC203" s="21"/>
      <c r="WTD203" s="21"/>
      <c r="WTE203" s="21"/>
      <c r="WTF203" s="21"/>
      <c r="WTG203" s="21"/>
      <c r="WTH203" s="21"/>
      <c r="WTI203" s="21"/>
      <c r="WTJ203" s="21"/>
      <c r="WTK203" s="21"/>
      <c r="WTL203" s="21"/>
      <c r="WTM203" s="21"/>
      <c r="WTN203" s="21"/>
      <c r="WTO203" s="21"/>
      <c r="WTP203" s="21"/>
      <c r="WTQ203" s="21"/>
      <c r="WTR203" s="21"/>
      <c r="WTS203" s="21"/>
      <c r="WTT203" s="21"/>
      <c r="WTU203" s="21"/>
      <c r="WTV203" s="21"/>
      <c r="WTW203" s="21"/>
      <c r="WTX203" s="21"/>
      <c r="WTY203" s="21"/>
      <c r="WTZ203" s="21"/>
      <c r="WUA203" s="21"/>
      <c r="WUB203" s="21"/>
      <c r="WUC203" s="21"/>
      <c r="WUD203" s="21"/>
      <c r="WUE203" s="21"/>
      <c r="WUF203" s="21"/>
      <c r="WUG203" s="21"/>
      <c r="WUH203" s="21"/>
      <c r="WUI203" s="21"/>
      <c r="WUJ203" s="21"/>
      <c r="WUK203" s="21"/>
      <c r="WUL203" s="21"/>
      <c r="WUM203" s="21"/>
      <c r="WUN203" s="21"/>
      <c r="WUO203" s="21"/>
      <c r="WUP203" s="21"/>
      <c r="WUQ203" s="21"/>
      <c r="WUR203" s="21"/>
      <c r="WUS203" s="21"/>
      <c r="WUT203" s="21"/>
      <c r="WUU203" s="21"/>
      <c r="WUV203" s="21"/>
      <c r="WUW203" s="21"/>
      <c r="WUX203" s="21"/>
      <c r="WUY203" s="21"/>
      <c r="WUZ203" s="21"/>
      <c r="WVA203" s="21"/>
      <c r="WVB203" s="21"/>
      <c r="WVC203" s="21"/>
      <c r="WVD203" s="21"/>
      <c r="WVE203" s="21"/>
      <c r="WVF203" s="21"/>
      <c r="WVG203" s="21"/>
      <c r="WVH203" s="21"/>
      <c r="WVI203" s="21"/>
      <c r="WVJ203" s="21"/>
      <c r="WVK203" s="21"/>
      <c r="WVL203" s="21"/>
      <c r="WVM203" s="21"/>
      <c r="WVN203" s="21"/>
      <c r="WVO203" s="21"/>
      <c r="WVP203" s="21"/>
      <c r="WVQ203" s="21"/>
      <c r="WVR203" s="21"/>
      <c r="WVS203" s="21"/>
      <c r="WVT203" s="21"/>
      <c r="WVU203" s="21"/>
      <c r="WVV203" s="21"/>
      <c r="WVW203" s="21"/>
      <c r="WVX203" s="21"/>
      <c r="WVY203" s="21"/>
      <c r="WVZ203" s="21"/>
      <c r="WWA203" s="21"/>
      <c r="WWB203" s="21"/>
      <c r="WWC203" s="21"/>
      <c r="WWD203" s="21"/>
      <c r="WWE203" s="21"/>
      <c r="WWF203" s="21"/>
      <c r="WWG203" s="21"/>
      <c r="WWH203" s="21"/>
      <c r="WWI203" s="21"/>
      <c r="WWJ203" s="21"/>
      <c r="WWK203" s="21"/>
      <c r="WWL203" s="21"/>
      <c r="WWM203" s="21"/>
      <c r="WWN203" s="21"/>
      <c r="WWO203" s="21"/>
      <c r="WWP203" s="21"/>
      <c r="WWQ203" s="21"/>
      <c r="WWR203" s="21"/>
      <c r="WWS203" s="21"/>
      <c r="WWT203" s="21"/>
      <c r="WWU203" s="21"/>
      <c r="WWV203" s="21"/>
      <c r="WWW203" s="21"/>
      <c r="WWX203" s="21"/>
      <c r="WWY203" s="21"/>
      <c r="WWZ203" s="21"/>
      <c r="WXA203" s="21"/>
      <c r="WXB203" s="21"/>
      <c r="WXC203" s="21"/>
      <c r="WXD203" s="21"/>
      <c r="WXE203" s="21"/>
      <c r="WXF203" s="21"/>
      <c r="WXG203" s="21"/>
      <c r="WXH203" s="21"/>
      <c r="WXI203" s="21"/>
      <c r="WXJ203" s="21"/>
      <c r="WXK203" s="21"/>
      <c r="WXL203" s="21"/>
      <c r="WXM203" s="21"/>
      <c r="WXN203" s="21"/>
      <c r="WXO203" s="21"/>
      <c r="WXP203" s="21"/>
      <c r="WXQ203" s="21"/>
      <c r="WXR203" s="21"/>
      <c r="WXS203" s="21"/>
      <c r="WXT203" s="21"/>
      <c r="WXU203" s="21"/>
      <c r="WXV203" s="21"/>
      <c r="WXW203" s="21"/>
      <c r="WXX203" s="21"/>
      <c r="WXY203" s="21"/>
      <c r="WXZ203" s="21"/>
      <c r="WYA203" s="21"/>
      <c r="WYB203" s="21"/>
      <c r="WYC203" s="21"/>
      <c r="WYD203" s="21"/>
      <c r="WYE203" s="21"/>
      <c r="WYF203" s="21"/>
      <c r="WYG203" s="21"/>
      <c r="WYH203" s="21"/>
      <c r="WYI203" s="21"/>
      <c r="WYJ203" s="21"/>
      <c r="WYK203" s="21"/>
      <c r="WYL203" s="21"/>
      <c r="WYM203" s="21"/>
      <c r="WYN203" s="21"/>
      <c r="WYO203" s="21"/>
      <c r="WYP203" s="21"/>
      <c r="WYQ203" s="21"/>
      <c r="WYR203" s="21"/>
      <c r="WYS203" s="21"/>
      <c r="WYT203" s="21"/>
      <c r="WYU203" s="21"/>
      <c r="WYV203" s="21"/>
      <c r="WYW203" s="21"/>
      <c r="WYX203" s="21"/>
      <c r="WYY203" s="21"/>
      <c r="WYZ203" s="21"/>
      <c r="WZA203" s="21"/>
      <c r="WZB203" s="21"/>
      <c r="WZC203" s="21"/>
      <c r="WZD203" s="21"/>
      <c r="WZE203" s="21"/>
      <c r="WZF203" s="21"/>
      <c r="WZG203" s="21"/>
      <c r="WZH203" s="21"/>
      <c r="WZI203" s="21"/>
      <c r="WZJ203" s="21"/>
      <c r="WZK203" s="21"/>
      <c r="WZL203" s="21"/>
      <c r="WZM203" s="21"/>
      <c r="WZN203" s="21"/>
      <c r="WZO203" s="21"/>
      <c r="WZP203" s="21"/>
      <c r="WZQ203" s="21"/>
      <c r="WZR203" s="21"/>
      <c r="WZS203" s="21"/>
      <c r="WZT203" s="21"/>
      <c r="WZU203" s="21"/>
      <c r="WZV203" s="21"/>
      <c r="WZW203" s="21"/>
      <c r="WZX203" s="21"/>
      <c r="WZY203" s="21"/>
      <c r="WZZ203" s="21"/>
      <c r="XAA203" s="21"/>
      <c r="XAB203" s="21"/>
      <c r="XAC203" s="21"/>
      <c r="XAD203" s="21"/>
      <c r="XAE203" s="21"/>
      <c r="XAF203" s="21"/>
      <c r="XAG203" s="21"/>
      <c r="XAH203" s="21"/>
      <c r="XAI203" s="21"/>
      <c r="XAJ203" s="21"/>
      <c r="XAK203" s="21"/>
      <c r="XAL203" s="21"/>
      <c r="XAM203" s="21"/>
      <c r="XAN203" s="21"/>
      <c r="XAO203" s="21"/>
      <c r="XAP203" s="21"/>
      <c r="XAQ203" s="21"/>
      <c r="XAR203" s="21"/>
      <c r="XAS203" s="21"/>
      <c r="XAT203" s="21"/>
      <c r="XAU203" s="21"/>
      <c r="XAV203" s="21"/>
      <c r="XAW203" s="21"/>
      <c r="XAX203" s="21"/>
      <c r="XAY203" s="21"/>
      <c r="XAZ203" s="21"/>
      <c r="XBA203" s="21"/>
      <c r="XBB203" s="21"/>
      <c r="XBC203" s="21"/>
      <c r="XBD203" s="21"/>
      <c r="XBE203" s="21"/>
      <c r="XBF203" s="21"/>
      <c r="XBG203" s="21"/>
      <c r="XBH203" s="21"/>
      <c r="XBI203" s="21"/>
      <c r="XBJ203" s="21"/>
      <c r="XBK203" s="21"/>
      <c r="XBL203" s="21"/>
      <c r="XBM203" s="21"/>
      <c r="XBN203" s="21"/>
      <c r="XBO203" s="21"/>
      <c r="XBP203" s="21"/>
      <c r="XBQ203" s="21"/>
      <c r="XBR203" s="21"/>
      <c r="XBS203" s="21"/>
      <c r="XBT203" s="21"/>
      <c r="XBU203" s="21"/>
      <c r="XBV203" s="21"/>
      <c r="XBW203" s="21"/>
      <c r="XBX203" s="21"/>
      <c r="XBY203" s="21"/>
      <c r="XBZ203" s="21"/>
      <c r="XCA203" s="21"/>
      <c r="XCB203" s="21"/>
      <c r="XCC203" s="21"/>
      <c r="XCD203" s="21"/>
      <c r="XCE203" s="21"/>
      <c r="XCF203" s="21"/>
      <c r="XCG203" s="21"/>
      <c r="XCH203" s="21"/>
      <c r="XCI203" s="21"/>
      <c r="XCJ203" s="21"/>
      <c r="XCK203" s="21"/>
      <c r="XCL203" s="21"/>
      <c r="XCM203" s="21"/>
      <c r="XCN203" s="21"/>
      <c r="XCO203" s="21"/>
      <c r="XCP203" s="21"/>
      <c r="XCQ203" s="21"/>
      <c r="XCR203" s="21"/>
      <c r="XCS203" s="21"/>
      <c r="XCT203" s="21"/>
      <c r="XCU203" s="21"/>
      <c r="XCV203" s="21"/>
      <c r="XCW203" s="21"/>
      <c r="XCX203" s="21"/>
      <c r="XCY203" s="21"/>
      <c r="XCZ203" s="21"/>
      <c r="XDA203" s="21"/>
      <c r="XDB203" s="21"/>
      <c r="XDC203" s="21"/>
      <c r="XDD203" s="21"/>
      <c r="XDE203" s="21"/>
      <c r="XDF203" s="21"/>
      <c r="XDG203" s="21"/>
      <c r="XDH203" s="21"/>
      <c r="XDI203" s="21"/>
      <c r="XDJ203" s="21"/>
      <c r="XDK203" s="21"/>
      <c r="XDL203" s="21"/>
      <c r="XDM203" s="21"/>
      <c r="XDN203" s="21"/>
      <c r="XDO203" s="21"/>
      <c r="XDP203" s="21"/>
      <c r="XDQ203" s="21"/>
      <c r="XDR203" s="21"/>
      <c r="XDS203" s="21"/>
      <c r="XDT203" s="21"/>
      <c r="XDU203" s="21"/>
      <c r="XDV203" s="21"/>
      <c r="XDW203" s="21"/>
      <c r="XDX203" s="21"/>
      <c r="XDY203" s="21"/>
      <c r="XDZ203" s="21"/>
      <c r="XEA203" s="21"/>
      <c r="XEB203" s="21"/>
      <c r="XEC203" s="21"/>
      <c r="XED203" s="21"/>
      <c r="XEE203" s="21"/>
      <c r="XEF203" s="21"/>
      <c r="XEG203" s="21"/>
      <c r="XEH203" s="21"/>
      <c r="XEI203" s="21"/>
      <c r="XEJ203" s="21"/>
      <c r="XEK203" s="21"/>
      <c r="XEL203" s="21"/>
      <c r="XEM203" s="21"/>
      <c r="XEN203" s="21"/>
      <c r="XEO203" s="21"/>
      <c r="XEP203" s="21"/>
      <c r="XEQ203" s="21"/>
      <c r="XER203" s="21"/>
      <c r="XES203" s="21"/>
      <c r="XET203" s="21"/>
      <c r="XEU203" s="21"/>
      <c r="XEV203" s="21"/>
      <c r="XEW203" s="21"/>
      <c r="XEX203" s="21"/>
      <c r="XEY203" s="21"/>
      <c r="XEZ203" s="21"/>
      <c r="XFA203" s="21"/>
      <c r="XFB203" s="21"/>
    </row>
    <row r="204" spans="1:16382" x14ac:dyDescent="0.3">
      <c r="A204" s="20">
        <v>45770</v>
      </c>
      <c r="B204" s="16"/>
      <c r="C204" s="16">
        <v>2524</v>
      </c>
      <c r="D204" s="17"/>
      <c r="E204" s="18" t="s">
        <v>18</v>
      </c>
      <c r="F204" s="19" t="s">
        <v>27</v>
      </c>
      <c r="G204" s="6" t="s">
        <v>26</v>
      </c>
    </row>
    <row r="205" spans="1:16382" x14ac:dyDescent="0.3">
      <c r="A205" s="20">
        <v>45770</v>
      </c>
      <c r="B205" s="16"/>
      <c r="C205" s="16">
        <v>2523.29</v>
      </c>
      <c r="D205" s="17"/>
      <c r="E205" s="18" t="s">
        <v>18</v>
      </c>
      <c r="F205" s="19" t="s">
        <v>27</v>
      </c>
      <c r="G205" s="6" t="s">
        <v>26</v>
      </c>
    </row>
    <row r="206" spans="1:16382" ht="26" x14ac:dyDescent="0.3">
      <c r="A206" s="20">
        <v>45771</v>
      </c>
      <c r="B206" s="16"/>
      <c r="C206" s="16">
        <v>17720</v>
      </c>
      <c r="D206" s="17"/>
      <c r="E206" s="18" t="s">
        <v>18</v>
      </c>
      <c r="F206" s="19" t="s">
        <v>135</v>
      </c>
      <c r="G206" s="6" t="s">
        <v>34</v>
      </c>
      <c r="H206" s="6" t="s">
        <v>129</v>
      </c>
    </row>
    <row r="207" spans="1:16382" x14ac:dyDescent="0.3">
      <c r="A207" s="20">
        <v>45771</v>
      </c>
      <c r="B207" s="16"/>
      <c r="C207" s="16">
        <f>5634+262</f>
        <v>5896</v>
      </c>
      <c r="D207" s="17"/>
      <c r="E207" s="18" t="s">
        <v>18</v>
      </c>
      <c r="F207" s="19" t="s">
        <v>136</v>
      </c>
      <c r="G207" s="6" t="s">
        <v>26</v>
      </c>
    </row>
    <row r="208" spans="1:16382" ht="26" x14ac:dyDescent="0.3">
      <c r="A208" s="20">
        <v>45771</v>
      </c>
      <c r="B208" s="16"/>
      <c r="C208" s="16">
        <v>10178</v>
      </c>
      <c r="D208" s="17"/>
      <c r="E208" s="18" t="s">
        <v>18</v>
      </c>
      <c r="F208" s="19" t="s">
        <v>137</v>
      </c>
      <c r="G208" s="6" t="s">
        <v>26</v>
      </c>
    </row>
    <row r="209" spans="1:14" x14ac:dyDescent="0.3">
      <c r="A209" s="26">
        <v>45771</v>
      </c>
      <c r="B209" s="27"/>
      <c r="C209" s="27">
        <v>10000</v>
      </c>
      <c r="D209" s="28"/>
      <c r="E209" s="29" t="s">
        <v>10</v>
      </c>
      <c r="F209" s="30"/>
      <c r="G209" s="31" t="s">
        <v>10</v>
      </c>
      <c r="H209" s="32"/>
      <c r="I209" s="33"/>
      <c r="J209" s="33"/>
    </row>
    <row r="210" spans="1:14" x14ac:dyDescent="0.3">
      <c r="A210" s="20">
        <v>45772</v>
      </c>
      <c r="B210" s="16"/>
      <c r="C210" s="16">
        <v>30000</v>
      </c>
      <c r="D210" s="17"/>
      <c r="E210" s="18" t="s">
        <v>14</v>
      </c>
      <c r="F210" s="19"/>
      <c r="G210" s="6" t="s">
        <v>14</v>
      </c>
    </row>
    <row r="211" spans="1:14" ht="39" x14ac:dyDescent="0.3">
      <c r="A211" s="20">
        <v>45773</v>
      </c>
      <c r="B211" s="16"/>
      <c r="C211" s="16">
        <v>35000</v>
      </c>
      <c r="D211" s="17"/>
      <c r="E211" s="18" t="s">
        <v>18</v>
      </c>
      <c r="F211" s="19" t="s">
        <v>138</v>
      </c>
      <c r="G211" s="6" t="s">
        <v>76</v>
      </c>
      <c r="N211" s="21"/>
    </row>
    <row r="212" spans="1:14" ht="26" x14ac:dyDescent="0.3">
      <c r="A212" s="20">
        <v>45778</v>
      </c>
      <c r="B212" s="16">
        <v>347800</v>
      </c>
      <c r="C212" s="16"/>
      <c r="D212" s="17"/>
      <c r="E212" s="18" t="s">
        <v>18</v>
      </c>
      <c r="F212" s="19" t="s">
        <v>139</v>
      </c>
      <c r="G212" s="6" t="s">
        <v>54</v>
      </c>
      <c r="H212" s="6" t="s">
        <v>55</v>
      </c>
      <c r="I212" s="7" t="s">
        <v>56</v>
      </c>
      <c r="J212" s="7" t="s">
        <v>57</v>
      </c>
      <c r="N212" s="21"/>
    </row>
    <row r="213" spans="1:14" ht="15" customHeight="1" x14ac:dyDescent="0.3">
      <c r="A213" s="20">
        <v>45778</v>
      </c>
      <c r="B213" s="16"/>
      <c r="C213" s="16">
        <v>25000</v>
      </c>
      <c r="D213" s="17"/>
      <c r="E213" s="18" t="s">
        <v>18</v>
      </c>
      <c r="F213" s="19" t="s">
        <v>140</v>
      </c>
      <c r="G213" s="6" t="s">
        <v>34</v>
      </c>
    </row>
    <row r="214" spans="1:14" x14ac:dyDescent="0.3">
      <c r="A214" s="20">
        <v>45778</v>
      </c>
      <c r="B214" s="16"/>
      <c r="C214" s="16">
        <v>140000</v>
      </c>
      <c r="D214" s="17"/>
      <c r="E214" s="18" t="s">
        <v>16</v>
      </c>
      <c r="F214" s="19"/>
      <c r="G214" s="6" t="s">
        <v>16</v>
      </c>
    </row>
    <row r="215" spans="1:14" x14ac:dyDescent="0.3">
      <c r="A215" s="20">
        <v>45778</v>
      </c>
      <c r="B215" s="16"/>
      <c r="C215" s="16">
        <v>50000</v>
      </c>
      <c r="D215" s="17"/>
      <c r="E215" s="18" t="s">
        <v>17</v>
      </c>
      <c r="F215" s="19"/>
      <c r="G215" s="6" t="s">
        <v>17</v>
      </c>
    </row>
    <row r="216" spans="1:14" ht="15" customHeight="1" x14ac:dyDescent="0.3">
      <c r="A216" s="20">
        <v>45778</v>
      </c>
      <c r="B216" s="16"/>
      <c r="C216" s="16">
        <v>100000</v>
      </c>
      <c r="D216" s="17"/>
      <c r="E216" s="18" t="s">
        <v>15</v>
      </c>
      <c r="F216" s="19"/>
      <c r="G216" s="6" t="s">
        <v>15</v>
      </c>
    </row>
    <row r="217" spans="1:14" x14ac:dyDescent="0.3">
      <c r="A217" s="20">
        <v>45779</v>
      </c>
      <c r="B217" s="16"/>
      <c r="C217" s="16">
        <v>20500</v>
      </c>
      <c r="D217" s="17"/>
      <c r="E217" s="18" t="s">
        <v>14</v>
      </c>
      <c r="F217" s="19"/>
      <c r="G217" s="6" t="s">
        <v>14</v>
      </c>
    </row>
    <row r="218" spans="1:14" ht="15.65" customHeight="1" x14ac:dyDescent="0.3">
      <c r="A218" s="20">
        <v>45780</v>
      </c>
      <c r="B218" s="16"/>
      <c r="C218" s="16">
        <v>10000</v>
      </c>
      <c r="D218" s="17"/>
      <c r="E218" s="18" t="s">
        <v>16</v>
      </c>
      <c r="F218" s="19" t="s">
        <v>105</v>
      </c>
      <c r="G218" s="6" t="s">
        <v>16</v>
      </c>
    </row>
    <row r="219" spans="1:14" x14ac:dyDescent="0.3">
      <c r="A219" s="20">
        <v>45781</v>
      </c>
      <c r="B219" s="16">
        <v>36400</v>
      </c>
      <c r="C219" s="16"/>
      <c r="D219" s="17"/>
      <c r="E219" s="18" t="s">
        <v>18</v>
      </c>
      <c r="F219" s="19" t="s">
        <v>141</v>
      </c>
      <c r="G219" s="6" t="s">
        <v>54</v>
      </c>
      <c r="H219" s="6" t="s">
        <v>55</v>
      </c>
      <c r="J219" s="35">
        <v>8</v>
      </c>
    </row>
    <row r="220" spans="1:14" x14ac:dyDescent="0.3">
      <c r="A220" s="20">
        <v>45782</v>
      </c>
      <c r="B220" s="16"/>
      <c r="C220" s="16">
        <v>18500</v>
      </c>
      <c r="D220" s="17"/>
      <c r="E220" s="18" t="s">
        <v>17</v>
      </c>
      <c r="F220" s="19"/>
      <c r="G220" s="6" t="s">
        <v>17</v>
      </c>
    </row>
    <row r="221" spans="1:14" x14ac:dyDescent="0.3">
      <c r="A221" s="20">
        <v>45784</v>
      </c>
      <c r="B221" s="16"/>
      <c r="C221" s="16">
        <v>15000</v>
      </c>
      <c r="D221" s="17"/>
      <c r="E221" s="18" t="s">
        <v>30</v>
      </c>
      <c r="F221" s="19"/>
      <c r="G221" s="6" t="s">
        <v>30</v>
      </c>
    </row>
    <row r="222" spans="1:14" x14ac:dyDescent="0.3">
      <c r="A222" s="20">
        <v>45784</v>
      </c>
      <c r="B222" s="16"/>
      <c r="C222" s="16">
        <f>509+330</f>
        <v>839</v>
      </c>
      <c r="D222" s="17"/>
      <c r="E222" s="18" t="s">
        <v>18</v>
      </c>
      <c r="F222" s="19" t="s">
        <v>27</v>
      </c>
      <c r="G222" s="6" t="s">
        <v>26</v>
      </c>
    </row>
    <row r="223" spans="1:14" x14ac:dyDescent="0.3">
      <c r="A223" s="20">
        <v>45784</v>
      </c>
      <c r="B223" s="16">
        <v>7800</v>
      </c>
      <c r="C223" s="16"/>
      <c r="D223" s="17"/>
      <c r="E223" s="18" t="s">
        <v>18</v>
      </c>
      <c r="F223" s="19" t="s">
        <v>142</v>
      </c>
      <c r="G223" s="6" t="s">
        <v>54</v>
      </c>
      <c r="H223" s="6" t="s">
        <v>143</v>
      </c>
      <c r="J223" s="7">
        <v>10</v>
      </c>
    </row>
    <row r="224" spans="1:14" ht="14.4" customHeight="1" x14ac:dyDescent="0.3">
      <c r="A224" s="20">
        <v>45785</v>
      </c>
      <c r="B224" s="16">
        <v>500000</v>
      </c>
      <c r="C224" s="16"/>
      <c r="D224" s="17"/>
      <c r="E224" s="18" t="s">
        <v>18</v>
      </c>
      <c r="F224" s="19" t="s">
        <v>144</v>
      </c>
      <c r="G224" s="6" t="s">
        <v>54</v>
      </c>
      <c r="H224" s="6" t="s">
        <v>55</v>
      </c>
      <c r="J224" s="35">
        <v>38</v>
      </c>
    </row>
    <row r="225" spans="1:13" x14ac:dyDescent="0.3">
      <c r="A225" s="20">
        <v>45785</v>
      </c>
      <c r="B225" s="16"/>
      <c r="C225" s="16">
        <v>15000</v>
      </c>
      <c r="D225" s="17"/>
      <c r="E225" s="18" t="s">
        <v>30</v>
      </c>
      <c r="F225" s="19"/>
      <c r="G225" s="6" t="s">
        <v>30</v>
      </c>
    </row>
    <row r="226" spans="1:13" x14ac:dyDescent="0.3">
      <c r="A226" s="20">
        <v>45786</v>
      </c>
      <c r="B226" s="16"/>
      <c r="C226" s="16">
        <v>1500</v>
      </c>
      <c r="D226" s="17"/>
      <c r="E226" s="18" t="s">
        <v>14</v>
      </c>
      <c r="F226" s="19"/>
      <c r="G226" s="6" t="s">
        <v>14</v>
      </c>
    </row>
    <row r="227" spans="1:13" x14ac:dyDescent="0.3">
      <c r="A227" s="20">
        <v>45786</v>
      </c>
      <c r="B227" s="16"/>
      <c r="C227" s="16">
        <v>4000</v>
      </c>
      <c r="D227" s="17"/>
      <c r="E227" s="18" t="s">
        <v>18</v>
      </c>
      <c r="F227" s="19" t="s">
        <v>145</v>
      </c>
      <c r="G227" s="6" t="s">
        <v>34</v>
      </c>
    </row>
    <row r="228" spans="1:13" ht="13.25" customHeight="1" x14ac:dyDescent="0.3">
      <c r="A228" s="20">
        <v>45787</v>
      </c>
      <c r="B228" s="16"/>
      <c r="C228" s="16">
        <v>200000</v>
      </c>
      <c r="D228" s="17"/>
      <c r="E228" s="18" t="s">
        <v>16</v>
      </c>
      <c r="F228" s="19"/>
      <c r="G228" s="6" t="s">
        <v>16</v>
      </c>
      <c r="M228" s="21"/>
    </row>
    <row r="229" spans="1:13" ht="13.25" customHeight="1" x14ac:dyDescent="0.3">
      <c r="A229" s="20">
        <v>45788</v>
      </c>
      <c r="B229" s="16"/>
      <c r="C229" s="16">
        <v>17000</v>
      </c>
      <c r="D229" s="17"/>
      <c r="E229" s="18" t="s">
        <v>14</v>
      </c>
      <c r="F229" s="19" t="s">
        <v>146</v>
      </c>
      <c r="G229" s="6" t="s">
        <v>14</v>
      </c>
      <c r="M229" s="21"/>
    </row>
    <row r="230" spans="1:13" ht="15.65" customHeight="1" x14ac:dyDescent="0.3">
      <c r="A230" s="20">
        <v>45789</v>
      </c>
      <c r="B230" s="16"/>
      <c r="C230" s="16">
        <v>34000</v>
      </c>
      <c r="D230" s="17"/>
      <c r="E230" s="18" t="s">
        <v>18</v>
      </c>
      <c r="F230" s="19" t="s">
        <v>147</v>
      </c>
      <c r="G230" s="6" t="s">
        <v>34</v>
      </c>
      <c r="M230" s="21"/>
    </row>
    <row r="231" spans="1:13" x14ac:dyDescent="0.3">
      <c r="A231" s="20">
        <v>45789</v>
      </c>
      <c r="B231" s="16"/>
      <c r="C231" s="16">
        <v>5000</v>
      </c>
      <c r="D231" s="17"/>
      <c r="E231" s="18" t="s">
        <v>16</v>
      </c>
      <c r="F231" s="19"/>
      <c r="G231" s="6" t="s">
        <v>16</v>
      </c>
    </row>
    <row r="232" spans="1:13" ht="15" customHeight="1" x14ac:dyDescent="0.3">
      <c r="A232" s="20">
        <v>45789</v>
      </c>
      <c r="B232" s="16"/>
      <c r="C232" s="16">
        <v>10000</v>
      </c>
      <c r="D232" s="17"/>
      <c r="E232" s="18" t="s">
        <v>17</v>
      </c>
      <c r="F232" s="19"/>
      <c r="G232" s="6" t="s">
        <v>17</v>
      </c>
    </row>
    <row r="233" spans="1:13" ht="26" x14ac:dyDescent="0.3">
      <c r="A233" s="20">
        <v>45789</v>
      </c>
      <c r="B233" s="16"/>
      <c r="C233" s="16">
        <v>35000</v>
      </c>
      <c r="D233" s="17"/>
      <c r="E233" s="18" t="s">
        <v>18</v>
      </c>
      <c r="F233" s="19" t="s">
        <v>148</v>
      </c>
      <c r="G233" s="6" t="s">
        <v>34</v>
      </c>
    </row>
    <row r="234" spans="1:13" x14ac:dyDescent="0.3">
      <c r="A234" s="20">
        <v>45789</v>
      </c>
      <c r="B234" s="16"/>
      <c r="C234" s="16">
        <v>41000</v>
      </c>
      <c r="D234" s="17"/>
      <c r="E234" s="18" t="s">
        <v>17</v>
      </c>
      <c r="F234" s="19"/>
      <c r="G234" s="6" t="s">
        <v>17</v>
      </c>
    </row>
    <row r="235" spans="1:13" x14ac:dyDescent="0.3">
      <c r="A235" s="20">
        <v>45789</v>
      </c>
      <c r="B235" s="16"/>
      <c r="C235" s="16">
        <v>115000</v>
      </c>
      <c r="D235" s="17"/>
      <c r="E235" s="18" t="s">
        <v>15</v>
      </c>
      <c r="F235" s="19"/>
      <c r="G235" s="6" t="s">
        <v>15</v>
      </c>
    </row>
    <row r="236" spans="1:13" ht="26" x14ac:dyDescent="0.3">
      <c r="A236" s="20">
        <v>45790</v>
      </c>
      <c r="B236" s="16">
        <v>66400</v>
      </c>
      <c r="C236" s="16"/>
      <c r="D236" s="17"/>
      <c r="E236" s="18" t="s">
        <v>18</v>
      </c>
      <c r="F236" s="19" t="s">
        <v>149</v>
      </c>
      <c r="G236" s="6" t="s">
        <v>54</v>
      </c>
      <c r="H236" s="6" t="s">
        <v>55</v>
      </c>
      <c r="I236" s="7" t="s">
        <v>150</v>
      </c>
      <c r="J236" s="35">
        <v>14</v>
      </c>
    </row>
    <row r="237" spans="1:13" x14ac:dyDescent="0.3">
      <c r="A237" s="20">
        <v>45790</v>
      </c>
      <c r="B237" s="16"/>
      <c r="C237" s="16">
        <v>13800</v>
      </c>
      <c r="D237" s="17"/>
      <c r="E237" s="18" t="s">
        <v>18</v>
      </c>
      <c r="F237" s="19" t="s">
        <v>151</v>
      </c>
      <c r="G237" s="6" t="s">
        <v>152</v>
      </c>
    </row>
    <row r="238" spans="1:13" x14ac:dyDescent="0.3">
      <c r="A238" s="20">
        <v>45790</v>
      </c>
      <c r="B238" s="16">
        <v>77000</v>
      </c>
      <c r="C238" s="16"/>
      <c r="D238" s="17"/>
      <c r="E238" s="18" t="s">
        <v>153</v>
      </c>
      <c r="F238" s="19" t="s">
        <v>154</v>
      </c>
      <c r="G238" s="6" t="s">
        <v>153</v>
      </c>
      <c r="H238" s="6" t="s">
        <v>127</v>
      </c>
      <c r="K238" s="21"/>
      <c r="L238" s="21"/>
    </row>
    <row r="239" spans="1:13" ht="26" x14ac:dyDescent="0.3">
      <c r="A239" s="20">
        <v>45790</v>
      </c>
      <c r="B239" s="16"/>
      <c r="C239" s="16">
        <v>22230</v>
      </c>
      <c r="D239" s="17"/>
      <c r="E239" s="18" t="s">
        <v>18</v>
      </c>
      <c r="F239" s="19" t="s">
        <v>155</v>
      </c>
      <c r="G239" s="6" t="s">
        <v>34</v>
      </c>
    </row>
    <row r="240" spans="1:13" ht="26" x14ac:dyDescent="0.3">
      <c r="A240" s="20">
        <v>45791</v>
      </c>
      <c r="B240" s="16">
        <v>160000</v>
      </c>
      <c r="C240" s="16"/>
      <c r="D240" s="36" t="s">
        <v>18</v>
      </c>
      <c r="E240" s="18" t="s">
        <v>18</v>
      </c>
      <c r="F240" s="25" t="s">
        <v>156</v>
      </c>
      <c r="G240" s="6" t="s">
        <v>97</v>
      </c>
      <c r="I240" s="34"/>
      <c r="J240" s="34"/>
    </row>
    <row r="241" spans="1:12" x14ac:dyDescent="0.3">
      <c r="A241" s="20">
        <v>45791</v>
      </c>
      <c r="B241" s="16"/>
      <c r="C241" s="16">
        <v>9900</v>
      </c>
      <c r="D241" s="17"/>
      <c r="E241" s="18" t="s">
        <v>31</v>
      </c>
      <c r="F241" s="22" t="s">
        <v>134</v>
      </c>
      <c r="G241" s="6" t="s">
        <v>31</v>
      </c>
    </row>
    <row r="242" spans="1:12" x14ac:dyDescent="0.3">
      <c r="A242" s="20">
        <v>45791</v>
      </c>
      <c r="B242" s="16"/>
      <c r="C242" s="16">
        <f>589+618</f>
        <v>1207</v>
      </c>
      <c r="D242" s="17"/>
      <c r="E242" s="18" t="s">
        <v>18</v>
      </c>
      <c r="F242" s="19" t="s">
        <v>157</v>
      </c>
      <c r="G242" s="6" t="s">
        <v>26</v>
      </c>
      <c r="K242" s="21"/>
      <c r="L242" s="21"/>
    </row>
    <row r="243" spans="1:12" ht="25.75" customHeight="1" x14ac:dyDescent="0.3">
      <c r="A243" s="20">
        <v>45792</v>
      </c>
      <c r="B243" s="16"/>
      <c r="C243" s="16">
        <v>2991</v>
      </c>
      <c r="D243" s="17"/>
      <c r="E243" s="18" t="s">
        <v>18</v>
      </c>
      <c r="F243" s="19" t="s">
        <v>27</v>
      </c>
      <c r="G243" s="6" t="s">
        <v>26</v>
      </c>
      <c r="K243" s="21"/>
      <c r="L243" s="21"/>
    </row>
    <row r="244" spans="1:12" ht="26" x14ac:dyDescent="0.3">
      <c r="A244" s="20">
        <v>45793</v>
      </c>
      <c r="B244" s="16">
        <v>220000</v>
      </c>
      <c r="C244" s="16"/>
      <c r="D244" s="36" t="s">
        <v>18</v>
      </c>
      <c r="E244" s="18" t="s">
        <v>18</v>
      </c>
      <c r="F244" s="25" t="s">
        <v>158</v>
      </c>
      <c r="G244" s="6" t="s">
        <v>159</v>
      </c>
      <c r="H244" s="6" t="s">
        <v>160</v>
      </c>
      <c r="I244" s="34"/>
      <c r="J244" s="34"/>
    </row>
    <row r="245" spans="1:12" ht="26" x14ac:dyDescent="0.3">
      <c r="A245" s="20">
        <v>45793</v>
      </c>
      <c r="B245" s="16">
        <v>65200</v>
      </c>
      <c r="C245" s="16"/>
      <c r="D245" s="36" t="s">
        <v>18</v>
      </c>
      <c r="E245" s="18" t="s">
        <v>18</v>
      </c>
      <c r="F245" s="25" t="s">
        <v>161</v>
      </c>
      <c r="G245" s="6" t="s">
        <v>97</v>
      </c>
      <c r="I245" s="34"/>
      <c r="J245" s="34"/>
    </row>
    <row r="246" spans="1:12" x14ac:dyDescent="0.3">
      <c r="A246" s="20">
        <v>45793</v>
      </c>
      <c r="B246" s="16"/>
      <c r="C246" s="16">
        <v>30000</v>
      </c>
      <c r="D246" s="17"/>
      <c r="E246" s="18" t="s">
        <v>23</v>
      </c>
      <c r="F246" s="19"/>
      <c r="G246" s="6" t="s">
        <v>23</v>
      </c>
    </row>
    <row r="247" spans="1:12" x14ac:dyDescent="0.3">
      <c r="A247" s="20">
        <v>45793</v>
      </c>
      <c r="B247" s="16"/>
      <c r="C247" s="16">
        <v>35000</v>
      </c>
      <c r="D247" s="17"/>
      <c r="E247" s="18" t="s">
        <v>16</v>
      </c>
      <c r="F247" s="19"/>
      <c r="G247" s="6" t="s">
        <v>16</v>
      </c>
    </row>
    <row r="248" spans="1:12" x14ac:dyDescent="0.3">
      <c r="A248" s="20">
        <v>45793</v>
      </c>
      <c r="B248" s="16"/>
      <c r="C248" s="16">
        <v>1500</v>
      </c>
      <c r="D248" s="17"/>
      <c r="E248" s="18" t="s">
        <v>18</v>
      </c>
      <c r="F248" s="19" t="s">
        <v>25</v>
      </c>
      <c r="G248" s="6" t="s">
        <v>26</v>
      </c>
    </row>
    <row r="249" spans="1:12" ht="14.4" customHeight="1" x14ac:dyDescent="0.3">
      <c r="A249" s="20">
        <v>45797</v>
      </c>
      <c r="B249" s="16"/>
      <c r="C249" s="16">
        <v>40000</v>
      </c>
      <c r="D249" s="17"/>
      <c r="E249" s="18" t="s">
        <v>434</v>
      </c>
      <c r="F249" s="19"/>
      <c r="G249" s="6" t="s">
        <v>434</v>
      </c>
    </row>
    <row r="250" spans="1:12" x14ac:dyDescent="0.3">
      <c r="A250" s="20">
        <v>45797</v>
      </c>
      <c r="B250" s="16"/>
      <c r="C250" s="16">
        <v>40000</v>
      </c>
      <c r="D250" s="17"/>
      <c r="E250" s="18" t="s">
        <v>23</v>
      </c>
      <c r="F250" s="19"/>
      <c r="G250" s="6" t="s">
        <v>23</v>
      </c>
    </row>
    <row r="251" spans="1:12" ht="30.65" customHeight="1" x14ac:dyDescent="0.3">
      <c r="A251" s="20">
        <v>45797</v>
      </c>
      <c r="B251" s="16"/>
      <c r="C251" s="16">
        <v>20000</v>
      </c>
      <c r="D251" s="17"/>
      <c r="E251" s="18" t="s">
        <v>52</v>
      </c>
      <c r="F251" s="19" t="s">
        <v>162</v>
      </c>
      <c r="G251" s="6" t="s">
        <v>52</v>
      </c>
    </row>
    <row r="252" spans="1:12" ht="13.75" customHeight="1" x14ac:dyDescent="0.3">
      <c r="A252" s="20">
        <v>45797</v>
      </c>
      <c r="B252" s="16"/>
      <c r="C252" s="16">
        <v>20000</v>
      </c>
      <c r="D252" s="17"/>
      <c r="E252" s="18" t="s">
        <v>30</v>
      </c>
      <c r="F252" s="19"/>
      <c r="G252" s="6" t="s">
        <v>30</v>
      </c>
    </row>
    <row r="253" spans="1:12" ht="15.65" customHeight="1" x14ac:dyDescent="0.3">
      <c r="A253" s="20">
        <v>45799</v>
      </c>
      <c r="B253" s="16">
        <v>85386</v>
      </c>
      <c r="C253" s="16"/>
      <c r="D253" s="36" t="s">
        <v>18</v>
      </c>
      <c r="E253" s="18" t="s">
        <v>18</v>
      </c>
      <c r="F253" s="19" t="s">
        <v>121</v>
      </c>
      <c r="G253" s="6" t="s">
        <v>54</v>
      </c>
      <c r="H253" s="6" t="s">
        <v>122</v>
      </c>
      <c r="I253" s="6" t="s">
        <v>123</v>
      </c>
      <c r="J253" s="7" t="s">
        <v>124</v>
      </c>
    </row>
    <row r="254" spans="1:12" ht="26" x14ac:dyDescent="0.3">
      <c r="A254" s="20">
        <v>45799</v>
      </c>
      <c r="B254" s="16"/>
      <c r="C254" s="16">
        <v>19300</v>
      </c>
      <c r="D254" s="36" t="s">
        <v>18</v>
      </c>
      <c r="E254" s="18" t="s">
        <v>18</v>
      </c>
      <c r="F254" s="19" t="s">
        <v>125</v>
      </c>
      <c r="G254" s="6" t="s">
        <v>54</v>
      </c>
      <c r="H254" s="6" t="s">
        <v>122</v>
      </c>
      <c r="I254" s="6" t="s">
        <v>123</v>
      </c>
      <c r="J254" s="7" t="s">
        <v>124</v>
      </c>
    </row>
    <row r="255" spans="1:12" x14ac:dyDescent="0.3">
      <c r="A255" s="20">
        <v>45799</v>
      </c>
      <c r="B255" s="16"/>
      <c r="C255" s="16">
        <v>5000</v>
      </c>
      <c r="D255" s="17"/>
      <c r="E255" s="18" t="s">
        <v>434</v>
      </c>
      <c r="F255" s="19"/>
      <c r="G255" s="6" t="s">
        <v>434</v>
      </c>
    </row>
    <row r="256" spans="1:12" ht="26" x14ac:dyDescent="0.3">
      <c r="A256" s="20">
        <v>45799</v>
      </c>
      <c r="B256" s="16">
        <v>2790</v>
      </c>
      <c r="C256" s="16"/>
      <c r="D256" s="17"/>
      <c r="E256" s="18" t="s">
        <v>18</v>
      </c>
      <c r="F256" s="19" t="s">
        <v>163</v>
      </c>
      <c r="G256" s="6" t="s">
        <v>54</v>
      </c>
      <c r="H256" s="6" t="s">
        <v>164</v>
      </c>
      <c r="J256" s="7">
        <v>21</v>
      </c>
    </row>
    <row r="257" spans="1:10" ht="15" customHeight="1" x14ac:dyDescent="0.3">
      <c r="A257" s="20">
        <v>45799</v>
      </c>
      <c r="B257" s="16"/>
      <c r="C257" s="16">
        <v>20000</v>
      </c>
      <c r="D257" s="17"/>
      <c r="E257" s="18" t="s">
        <v>23</v>
      </c>
      <c r="F257" s="19"/>
      <c r="G257" s="6" t="s">
        <v>23</v>
      </c>
    </row>
    <row r="258" spans="1:10" x14ac:dyDescent="0.3">
      <c r="A258" s="20">
        <v>45799</v>
      </c>
      <c r="B258" s="16"/>
      <c r="C258" s="16">
        <v>2319</v>
      </c>
      <c r="D258" s="17"/>
      <c r="E258" s="18" t="s">
        <v>18</v>
      </c>
      <c r="F258" s="19" t="s">
        <v>27</v>
      </c>
      <c r="G258" s="6" t="s">
        <v>26</v>
      </c>
    </row>
    <row r="259" spans="1:10" x14ac:dyDescent="0.3">
      <c r="A259" s="20">
        <v>45799</v>
      </c>
      <c r="B259" s="16"/>
      <c r="C259" s="16">
        <v>20000</v>
      </c>
      <c r="D259" s="17"/>
      <c r="E259" s="18" t="s">
        <v>17</v>
      </c>
      <c r="F259" s="19"/>
      <c r="G259" s="6" t="s">
        <v>17</v>
      </c>
    </row>
    <row r="260" spans="1:10" x14ac:dyDescent="0.3">
      <c r="A260" s="20">
        <v>45799</v>
      </c>
      <c r="B260" s="16"/>
      <c r="C260" s="16">
        <v>5000</v>
      </c>
      <c r="D260" s="17"/>
      <c r="E260" s="18" t="s">
        <v>16</v>
      </c>
      <c r="F260" s="19" t="s">
        <v>105</v>
      </c>
      <c r="G260" s="6" t="s">
        <v>16</v>
      </c>
    </row>
    <row r="261" spans="1:10" ht="15.65" customHeight="1" x14ac:dyDescent="0.3">
      <c r="A261" s="20">
        <v>45800</v>
      </c>
      <c r="B261" s="16"/>
      <c r="C261" s="16">
        <v>7000</v>
      </c>
      <c r="D261" s="17"/>
      <c r="E261" s="18" t="s">
        <v>165</v>
      </c>
      <c r="F261" s="19" t="s">
        <v>166</v>
      </c>
      <c r="G261" s="6" t="s">
        <v>167</v>
      </c>
    </row>
    <row r="262" spans="1:10" x14ac:dyDescent="0.3">
      <c r="A262" s="20">
        <v>45800</v>
      </c>
      <c r="B262" s="16">
        <v>500000</v>
      </c>
      <c r="C262" s="16"/>
      <c r="D262" s="17"/>
      <c r="E262" s="18" t="s">
        <v>18</v>
      </c>
      <c r="F262" s="19" t="s">
        <v>168</v>
      </c>
      <c r="G262" s="6" t="s">
        <v>76</v>
      </c>
      <c r="H262" s="6" t="s">
        <v>133</v>
      </c>
    </row>
    <row r="263" spans="1:10" x14ac:dyDescent="0.3">
      <c r="A263" s="20">
        <v>45800</v>
      </c>
      <c r="B263" s="16"/>
      <c r="C263" s="16">
        <v>500000</v>
      </c>
      <c r="D263" s="17"/>
      <c r="E263" s="18" t="s">
        <v>16</v>
      </c>
      <c r="F263" s="19"/>
      <c r="G263" s="6" t="s">
        <v>16</v>
      </c>
    </row>
    <row r="264" spans="1:10" x14ac:dyDescent="0.3">
      <c r="A264" s="20">
        <v>45800</v>
      </c>
      <c r="B264" s="16"/>
      <c r="C264" s="16">
        <v>20000</v>
      </c>
      <c r="D264" s="17"/>
      <c r="E264" s="18" t="s">
        <v>17</v>
      </c>
      <c r="F264" s="19"/>
      <c r="G264" s="6" t="s">
        <v>17</v>
      </c>
    </row>
    <row r="265" spans="1:10" ht="26" x14ac:dyDescent="0.3">
      <c r="A265" s="20">
        <v>45800</v>
      </c>
      <c r="B265" s="16">
        <v>22635</v>
      </c>
      <c r="C265" s="16"/>
      <c r="D265" s="17"/>
      <c r="E265" s="18" t="s">
        <v>18</v>
      </c>
      <c r="F265" s="19" t="s">
        <v>163</v>
      </c>
      <c r="G265" s="6" t="s">
        <v>54</v>
      </c>
      <c r="H265" s="6" t="s">
        <v>164</v>
      </c>
      <c r="J265" s="7">
        <v>25</v>
      </c>
    </row>
    <row r="266" spans="1:10" ht="15" customHeight="1" x14ac:dyDescent="0.3">
      <c r="A266" s="20">
        <v>45800</v>
      </c>
      <c r="B266" s="16">
        <v>5800</v>
      </c>
      <c r="C266" s="16"/>
      <c r="D266" s="17"/>
      <c r="E266" s="18" t="s">
        <v>18</v>
      </c>
      <c r="F266" s="19" t="s">
        <v>169</v>
      </c>
      <c r="G266" s="6" t="s">
        <v>54</v>
      </c>
      <c r="H266" s="6" t="s">
        <v>170</v>
      </c>
      <c r="J266" s="7">
        <v>13</v>
      </c>
    </row>
    <row r="267" spans="1:10" x14ac:dyDescent="0.3">
      <c r="A267" s="20">
        <v>45801</v>
      </c>
      <c r="B267" s="16"/>
      <c r="C267" s="16">
        <v>2574</v>
      </c>
      <c r="D267" s="17"/>
      <c r="E267" s="18" t="s">
        <v>18</v>
      </c>
      <c r="F267" s="19" t="s">
        <v>27</v>
      </c>
      <c r="G267" s="6" t="s">
        <v>26</v>
      </c>
    </row>
    <row r="268" spans="1:10" x14ac:dyDescent="0.3">
      <c r="A268" s="20">
        <v>45801</v>
      </c>
      <c r="B268" s="16"/>
      <c r="C268" s="16">
        <v>2136</v>
      </c>
      <c r="D268" s="17"/>
      <c r="E268" s="18" t="s">
        <v>18</v>
      </c>
      <c r="F268" s="19" t="s">
        <v>27</v>
      </c>
      <c r="G268" s="6" t="s">
        <v>76</v>
      </c>
    </row>
    <row r="269" spans="1:10" x14ac:dyDescent="0.3">
      <c r="A269" s="20">
        <v>45803</v>
      </c>
      <c r="B269" s="16"/>
      <c r="C269" s="16">
        <v>25000</v>
      </c>
      <c r="D269" s="17"/>
      <c r="E269" s="18" t="s">
        <v>14</v>
      </c>
      <c r="F269" s="19"/>
      <c r="G269" s="6" t="s">
        <v>14</v>
      </c>
    </row>
    <row r="270" spans="1:10" ht="15" customHeight="1" x14ac:dyDescent="0.3">
      <c r="A270" s="20">
        <v>45803</v>
      </c>
      <c r="B270" s="16"/>
      <c r="C270" s="16">
        <v>150000</v>
      </c>
      <c r="D270" s="17"/>
      <c r="E270" s="18" t="s">
        <v>15</v>
      </c>
      <c r="F270" s="19" t="s">
        <v>171</v>
      </c>
      <c r="G270" s="6" t="s">
        <v>15</v>
      </c>
    </row>
    <row r="271" spans="1:10" x14ac:dyDescent="0.3">
      <c r="A271" s="20">
        <v>45803</v>
      </c>
      <c r="B271" s="16"/>
      <c r="C271" s="16">
        <v>200000</v>
      </c>
      <c r="D271" s="17"/>
      <c r="E271" s="18" t="s">
        <v>16</v>
      </c>
      <c r="F271" s="19"/>
      <c r="G271" s="6" t="s">
        <v>16</v>
      </c>
    </row>
    <row r="272" spans="1:10" x14ac:dyDescent="0.3">
      <c r="A272" s="20">
        <v>45803</v>
      </c>
      <c r="B272" s="16"/>
      <c r="C272" s="16">
        <v>2132</v>
      </c>
      <c r="D272" s="17"/>
      <c r="E272" s="18" t="s">
        <v>18</v>
      </c>
      <c r="F272" s="19" t="s">
        <v>27</v>
      </c>
      <c r="G272" s="6" t="s">
        <v>26</v>
      </c>
    </row>
    <row r="273" spans="1:10" x14ac:dyDescent="0.3">
      <c r="A273" s="20">
        <v>45803</v>
      </c>
      <c r="B273" s="16"/>
      <c r="C273" s="16">
        <v>20000</v>
      </c>
      <c r="D273" s="17"/>
      <c r="E273" s="18" t="s">
        <v>17</v>
      </c>
      <c r="F273" s="19"/>
      <c r="G273" s="6" t="s">
        <v>17</v>
      </c>
    </row>
    <row r="274" spans="1:10" ht="26" x14ac:dyDescent="0.3">
      <c r="A274" s="20">
        <v>45804</v>
      </c>
      <c r="B274" s="16">
        <v>300000</v>
      </c>
      <c r="C274" s="16"/>
      <c r="D274" s="17"/>
      <c r="E274" s="18" t="s">
        <v>18</v>
      </c>
      <c r="F274" s="19" t="s">
        <v>172</v>
      </c>
      <c r="G274" s="6" t="s">
        <v>173</v>
      </c>
    </row>
    <row r="275" spans="1:10" x14ac:dyDescent="0.3">
      <c r="A275" s="20">
        <v>45804</v>
      </c>
      <c r="B275" s="16"/>
      <c r="C275" s="16">
        <v>2692</v>
      </c>
      <c r="D275" s="17"/>
      <c r="E275" s="18" t="s">
        <v>18</v>
      </c>
      <c r="F275" s="19" t="s">
        <v>27</v>
      </c>
      <c r="G275" s="6" t="s">
        <v>26</v>
      </c>
    </row>
    <row r="276" spans="1:10" x14ac:dyDescent="0.3">
      <c r="A276" s="20">
        <v>45804</v>
      </c>
      <c r="B276" s="16"/>
      <c r="C276" s="16">
        <v>910</v>
      </c>
      <c r="D276" s="17"/>
      <c r="E276" s="18" t="s">
        <v>18</v>
      </c>
      <c r="F276" s="19" t="s">
        <v>157</v>
      </c>
      <c r="G276" s="6" t="s">
        <v>26</v>
      </c>
    </row>
    <row r="277" spans="1:10" x14ac:dyDescent="0.3">
      <c r="A277" s="20">
        <v>45804</v>
      </c>
      <c r="B277" s="16"/>
      <c r="C277" s="16">
        <v>1090</v>
      </c>
      <c r="D277" s="17"/>
      <c r="E277" s="18" t="s">
        <v>18</v>
      </c>
      <c r="F277" s="19" t="s">
        <v>157</v>
      </c>
      <c r="G277" s="6" t="s">
        <v>26</v>
      </c>
    </row>
    <row r="278" spans="1:10" ht="15" customHeight="1" x14ac:dyDescent="0.3">
      <c r="A278" s="20">
        <v>45804</v>
      </c>
      <c r="B278" s="16"/>
      <c r="C278" s="16">
        <v>3000</v>
      </c>
      <c r="D278" s="17"/>
      <c r="E278" s="18" t="s">
        <v>91</v>
      </c>
      <c r="F278" s="19" t="s">
        <v>174</v>
      </c>
      <c r="G278" s="6" t="s">
        <v>16</v>
      </c>
    </row>
    <row r="279" spans="1:10" x14ac:dyDescent="0.3">
      <c r="A279" s="20">
        <v>45806</v>
      </c>
      <c r="B279" s="16"/>
      <c r="C279" s="16">
        <v>60000</v>
      </c>
      <c r="D279" s="17"/>
      <c r="E279" s="18" t="s">
        <v>434</v>
      </c>
      <c r="F279" s="19"/>
      <c r="G279" s="6" t="s">
        <v>434</v>
      </c>
    </row>
    <row r="280" spans="1:10" ht="41.4" customHeight="1" x14ac:dyDescent="0.3">
      <c r="A280" s="20">
        <v>45806</v>
      </c>
      <c r="B280" s="16"/>
      <c r="C280" s="16">
        <v>45000</v>
      </c>
      <c r="D280" s="17"/>
      <c r="E280" s="18" t="s">
        <v>23</v>
      </c>
      <c r="F280" s="19"/>
      <c r="G280" s="6" t="s">
        <v>23</v>
      </c>
    </row>
    <row r="281" spans="1:10" x14ac:dyDescent="0.3">
      <c r="A281" s="20">
        <v>45807</v>
      </c>
      <c r="B281" s="16"/>
      <c r="C281" s="16">
        <v>30000</v>
      </c>
      <c r="D281" s="17"/>
      <c r="E281" s="18" t="s">
        <v>30</v>
      </c>
      <c r="F281" s="19"/>
      <c r="G281" s="6" t="s">
        <v>30</v>
      </c>
    </row>
    <row r="282" spans="1:10" ht="39" x14ac:dyDescent="0.3">
      <c r="A282" s="20">
        <v>45807</v>
      </c>
      <c r="B282" s="16"/>
      <c r="C282" s="16">
        <v>4000</v>
      </c>
      <c r="D282" s="17"/>
      <c r="E282" s="18" t="s">
        <v>18</v>
      </c>
      <c r="F282" s="25" t="s">
        <v>175</v>
      </c>
      <c r="G282" s="6" t="s">
        <v>76</v>
      </c>
      <c r="I282" s="7" t="s">
        <v>85</v>
      </c>
    </row>
    <row r="283" spans="1:10" ht="26" x14ac:dyDescent="0.3">
      <c r="A283" s="20">
        <v>45807</v>
      </c>
      <c r="B283" s="16">
        <v>295640</v>
      </c>
      <c r="C283" s="16"/>
      <c r="D283" s="17"/>
      <c r="E283" s="18" t="s">
        <v>165</v>
      </c>
      <c r="F283" s="19" t="s">
        <v>176</v>
      </c>
      <c r="G283" s="6" t="s">
        <v>54</v>
      </c>
      <c r="H283" s="6" t="s">
        <v>177</v>
      </c>
      <c r="J283" s="7">
        <v>31</v>
      </c>
    </row>
    <row r="284" spans="1:10" ht="15" customHeight="1" x14ac:dyDescent="0.3">
      <c r="A284" s="20">
        <v>45807</v>
      </c>
      <c r="B284" s="16"/>
      <c r="C284" s="16">
        <v>12600</v>
      </c>
      <c r="D284" s="17"/>
      <c r="E284" s="18" t="s">
        <v>18</v>
      </c>
      <c r="F284" s="19" t="s">
        <v>178</v>
      </c>
      <c r="G284" s="6" t="s">
        <v>54</v>
      </c>
      <c r="H284" s="6" t="s">
        <v>177</v>
      </c>
      <c r="I284" s="35"/>
      <c r="J284" s="7">
        <v>31</v>
      </c>
    </row>
    <row r="285" spans="1:10" x14ac:dyDescent="0.3">
      <c r="A285" s="20">
        <v>45807</v>
      </c>
      <c r="B285" s="16"/>
      <c r="C285" s="16">
        <v>60000</v>
      </c>
      <c r="D285" s="17"/>
      <c r="E285" s="18" t="s">
        <v>10</v>
      </c>
      <c r="F285" s="19"/>
      <c r="G285" s="6" t="s">
        <v>10</v>
      </c>
    </row>
    <row r="286" spans="1:10" x14ac:dyDescent="0.3">
      <c r="A286" s="20">
        <v>45807</v>
      </c>
      <c r="B286" s="16"/>
      <c r="C286" s="16">
        <v>35000</v>
      </c>
      <c r="D286" s="17"/>
      <c r="E286" s="18" t="s">
        <v>14</v>
      </c>
      <c r="F286" s="19"/>
      <c r="G286" s="6" t="s">
        <v>14</v>
      </c>
    </row>
    <row r="287" spans="1:10" x14ac:dyDescent="0.3">
      <c r="A287" s="20">
        <v>45807</v>
      </c>
      <c r="B287" s="16"/>
      <c r="C287" s="16">
        <v>902</v>
      </c>
      <c r="D287" s="17"/>
      <c r="E287" s="18" t="s">
        <v>18</v>
      </c>
      <c r="F287" s="19" t="s">
        <v>27</v>
      </c>
      <c r="G287" s="6" t="s">
        <v>26</v>
      </c>
    </row>
    <row r="288" spans="1:10" ht="15.65" customHeight="1" x14ac:dyDescent="0.3">
      <c r="A288" s="20">
        <v>45807</v>
      </c>
      <c r="B288" s="16"/>
      <c r="C288" s="16">
        <v>20000</v>
      </c>
      <c r="D288" s="17"/>
      <c r="E288" s="18" t="s">
        <v>52</v>
      </c>
      <c r="F288" s="19" t="s">
        <v>179</v>
      </c>
      <c r="G288" s="6" t="s">
        <v>52</v>
      </c>
    </row>
    <row r="289" spans="1:10" x14ac:dyDescent="0.3">
      <c r="A289" s="20">
        <v>45808</v>
      </c>
      <c r="B289" s="16"/>
      <c r="C289" s="16">
        <v>2000</v>
      </c>
      <c r="D289" s="17"/>
      <c r="E289" s="18" t="s">
        <v>180</v>
      </c>
      <c r="F289" s="19" t="s">
        <v>181</v>
      </c>
      <c r="G289" s="6" t="s">
        <v>182</v>
      </c>
    </row>
    <row r="290" spans="1:10" ht="39" x14ac:dyDescent="0.3">
      <c r="A290" s="20">
        <v>45809</v>
      </c>
      <c r="B290" s="16"/>
      <c r="C290" s="16">
        <v>25000</v>
      </c>
      <c r="D290" s="17"/>
      <c r="E290" s="18" t="s">
        <v>18</v>
      </c>
      <c r="F290" s="25" t="s">
        <v>183</v>
      </c>
      <c r="G290" s="6" t="s">
        <v>76</v>
      </c>
      <c r="I290" s="7" t="s">
        <v>85</v>
      </c>
    </row>
    <row r="291" spans="1:10" x14ac:dyDescent="0.3">
      <c r="A291" s="20">
        <v>45809</v>
      </c>
      <c r="B291" s="16"/>
      <c r="C291" s="16">
        <v>40000</v>
      </c>
      <c r="D291" s="17"/>
      <c r="E291" s="18" t="s">
        <v>16</v>
      </c>
      <c r="F291" s="19"/>
      <c r="G291" s="6" t="s">
        <v>16</v>
      </c>
    </row>
    <row r="292" spans="1:10" x14ac:dyDescent="0.3">
      <c r="A292" s="20">
        <v>45809</v>
      </c>
      <c r="B292" s="16"/>
      <c r="C292" s="16">
        <v>100000</v>
      </c>
      <c r="D292" s="17"/>
      <c r="E292" s="18" t="s">
        <v>184</v>
      </c>
      <c r="F292" s="19"/>
      <c r="G292" s="6" t="s">
        <v>184</v>
      </c>
    </row>
    <row r="293" spans="1:10" x14ac:dyDescent="0.3">
      <c r="A293" s="20">
        <v>45812</v>
      </c>
      <c r="B293" s="16">
        <v>40304</v>
      </c>
      <c r="C293" s="16"/>
      <c r="D293" s="17"/>
      <c r="E293" s="18" t="s">
        <v>18</v>
      </c>
      <c r="F293" s="19" t="s">
        <v>185</v>
      </c>
      <c r="G293" s="6" t="s">
        <v>54</v>
      </c>
      <c r="H293" s="6" t="s">
        <v>186</v>
      </c>
      <c r="J293" s="7">
        <v>32</v>
      </c>
    </row>
    <row r="294" spans="1:10" x14ac:dyDescent="0.3">
      <c r="A294" s="20">
        <v>45812</v>
      </c>
      <c r="B294" s="16">
        <v>452360</v>
      </c>
      <c r="C294" s="16"/>
      <c r="D294" s="17"/>
      <c r="E294" s="18" t="s">
        <v>18</v>
      </c>
      <c r="F294" s="19" t="s">
        <v>187</v>
      </c>
      <c r="G294" s="6" t="s">
        <v>54</v>
      </c>
      <c r="H294" s="6" t="s">
        <v>55</v>
      </c>
      <c r="J294" s="35">
        <v>35</v>
      </c>
    </row>
    <row r="295" spans="1:10" x14ac:dyDescent="0.3">
      <c r="A295" s="20">
        <v>45812</v>
      </c>
      <c r="B295" s="16"/>
      <c r="C295" s="16">
        <v>2499</v>
      </c>
      <c r="D295" s="17"/>
      <c r="E295" s="18" t="s">
        <v>18</v>
      </c>
      <c r="F295" s="19" t="s">
        <v>27</v>
      </c>
      <c r="G295" s="6" t="s">
        <v>26</v>
      </c>
    </row>
    <row r="296" spans="1:10" ht="15.65" customHeight="1" x14ac:dyDescent="0.3">
      <c r="A296" s="20">
        <v>45812</v>
      </c>
      <c r="B296" s="16"/>
      <c r="C296" s="16">
        <v>15000</v>
      </c>
      <c r="D296" s="17"/>
      <c r="E296" s="18" t="s">
        <v>17</v>
      </c>
      <c r="F296" s="19"/>
      <c r="G296" s="6" t="s">
        <v>17</v>
      </c>
    </row>
    <row r="297" spans="1:10" x14ac:dyDescent="0.3">
      <c r="A297" s="20">
        <v>45812</v>
      </c>
      <c r="B297" s="16"/>
      <c r="C297" s="16">
        <v>2452</v>
      </c>
      <c r="D297" s="17"/>
      <c r="E297" s="18" t="s">
        <v>18</v>
      </c>
      <c r="F297" s="19" t="s">
        <v>27</v>
      </c>
      <c r="G297" s="6" t="s">
        <v>26</v>
      </c>
    </row>
    <row r="298" spans="1:10" x14ac:dyDescent="0.3">
      <c r="A298" s="20">
        <v>45812</v>
      </c>
      <c r="B298" s="16"/>
      <c r="C298" s="16">
        <v>5000</v>
      </c>
      <c r="D298" s="17"/>
      <c r="E298" s="18" t="s">
        <v>14</v>
      </c>
      <c r="F298" s="19"/>
      <c r="G298" s="6" t="s">
        <v>14</v>
      </c>
    </row>
    <row r="299" spans="1:10" ht="26" x14ac:dyDescent="0.3">
      <c r="A299" s="20">
        <v>45813</v>
      </c>
      <c r="B299" s="16"/>
      <c r="C299" s="16">
        <v>249058</v>
      </c>
      <c r="D299" s="17"/>
      <c r="E299" s="18" t="s">
        <v>18</v>
      </c>
      <c r="F299" s="19" t="s">
        <v>188</v>
      </c>
      <c r="G299" s="6" t="s">
        <v>34</v>
      </c>
    </row>
    <row r="300" spans="1:10" x14ac:dyDescent="0.3">
      <c r="A300" s="20">
        <v>45813</v>
      </c>
      <c r="B300" s="16"/>
      <c r="C300" s="16">
        <v>15000</v>
      </c>
      <c r="D300" s="17"/>
      <c r="E300" s="18" t="s">
        <v>17</v>
      </c>
      <c r="F300" s="19"/>
      <c r="G300" s="6" t="s">
        <v>17</v>
      </c>
    </row>
    <row r="301" spans="1:10" ht="26" x14ac:dyDescent="0.3">
      <c r="A301" s="20">
        <v>45813</v>
      </c>
      <c r="B301" s="16">
        <v>10024</v>
      </c>
      <c r="C301" s="16"/>
      <c r="D301" s="17"/>
      <c r="E301" s="18" t="s">
        <v>18</v>
      </c>
      <c r="F301" s="19" t="s">
        <v>189</v>
      </c>
      <c r="G301" s="6" t="s">
        <v>54</v>
      </c>
      <c r="H301" s="6" t="s">
        <v>190</v>
      </c>
      <c r="J301" s="7">
        <v>36</v>
      </c>
    </row>
    <row r="302" spans="1:10" ht="14.4" customHeight="1" x14ac:dyDescent="0.3">
      <c r="A302" s="20">
        <v>45813</v>
      </c>
      <c r="B302" s="16"/>
      <c r="C302" s="16">
        <v>10000</v>
      </c>
      <c r="D302" s="17"/>
      <c r="E302" s="18" t="s">
        <v>39</v>
      </c>
      <c r="F302" s="19" t="s">
        <v>40</v>
      </c>
      <c r="G302" s="6" t="s">
        <v>39</v>
      </c>
    </row>
    <row r="303" spans="1:10" ht="15" customHeight="1" x14ac:dyDescent="0.3">
      <c r="A303" s="20">
        <v>45814</v>
      </c>
      <c r="B303" s="16"/>
      <c r="C303" s="16">
        <v>2000</v>
      </c>
      <c r="D303" s="17"/>
      <c r="E303" s="18" t="s">
        <v>18</v>
      </c>
      <c r="F303" s="25" t="s">
        <v>191</v>
      </c>
      <c r="G303" s="6" t="s">
        <v>34</v>
      </c>
      <c r="I303" s="7" t="s">
        <v>85</v>
      </c>
    </row>
    <row r="304" spans="1:10" x14ac:dyDescent="0.3">
      <c r="A304" s="20">
        <v>45814</v>
      </c>
      <c r="B304" s="16"/>
      <c r="C304" s="16">
        <v>579</v>
      </c>
      <c r="D304" s="17"/>
      <c r="E304" s="18" t="s">
        <v>18</v>
      </c>
      <c r="F304" s="19" t="s">
        <v>27</v>
      </c>
      <c r="G304" s="6" t="s">
        <v>26</v>
      </c>
    </row>
    <row r="305" spans="1:10" x14ac:dyDescent="0.3">
      <c r="A305" s="20">
        <v>45814</v>
      </c>
      <c r="B305" s="16"/>
      <c r="C305" s="16">
        <v>2500</v>
      </c>
      <c r="D305" s="17"/>
      <c r="E305" s="18" t="s">
        <v>192</v>
      </c>
      <c r="F305" s="19"/>
      <c r="G305" s="6" t="s">
        <v>16</v>
      </c>
    </row>
    <row r="306" spans="1:10" x14ac:dyDescent="0.3">
      <c r="A306" s="37">
        <v>45814</v>
      </c>
      <c r="B306" s="38">
        <v>500000</v>
      </c>
      <c r="C306" s="16"/>
      <c r="D306" s="17"/>
      <c r="E306" s="18" t="s">
        <v>18</v>
      </c>
      <c r="F306" s="19" t="s">
        <v>19</v>
      </c>
      <c r="G306" s="6" t="s">
        <v>20</v>
      </c>
    </row>
    <row r="307" spans="1:10" x14ac:dyDescent="0.3">
      <c r="A307" s="20">
        <v>45815</v>
      </c>
      <c r="B307" s="16"/>
      <c r="C307" s="16">
        <v>170000</v>
      </c>
      <c r="D307" s="17"/>
      <c r="E307" s="18" t="s">
        <v>184</v>
      </c>
      <c r="F307" s="19"/>
      <c r="G307" s="6" t="s">
        <v>184</v>
      </c>
    </row>
    <row r="308" spans="1:10" x14ac:dyDescent="0.3">
      <c r="A308" s="20">
        <v>45815</v>
      </c>
      <c r="B308" s="16">
        <v>228600</v>
      </c>
      <c r="C308" s="16"/>
      <c r="D308" s="17"/>
      <c r="E308" s="18" t="s">
        <v>18</v>
      </c>
      <c r="F308" s="19" t="s">
        <v>187</v>
      </c>
      <c r="G308" s="6" t="s">
        <v>54</v>
      </c>
      <c r="H308" s="6" t="s">
        <v>55</v>
      </c>
      <c r="I308" s="35"/>
      <c r="J308" s="35">
        <v>38</v>
      </c>
    </row>
    <row r="309" spans="1:10" ht="15" customHeight="1" x14ac:dyDescent="0.3">
      <c r="A309" s="20">
        <v>45815</v>
      </c>
      <c r="B309" s="16"/>
      <c r="C309" s="16">
        <v>5000</v>
      </c>
      <c r="D309" s="17"/>
      <c r="E309" s="18" t="s">
        <v>18</v>
      </c>
      <c r="F309" s="25" t="s">
        <v>193</v>
      </c>
      <c r="G309" s="6" t="s">
        <v>34</v>
      </c>
      <c r="I309" s="7" t="s">
        <v>85</v>
      </c>
    </row>
    <row r="310" spans="1:10" ht="15" customHeight="1" x14ac:dyDescent="0.3">
      <c r="A310" s="20">
        <v>45815</v>
      </c>
      <c r="B310" s="16"/>
      <c r="C310" s="24">
        <v>20000</v>
      </c>
      <c r="D310" s="17"/>
      <c r="E310" s="18" t="s">
        <v>52</v>
      </c>
      <c r="F310" s="25" t="s">
        <v>194</v>
      </c>
      <c r="G310" s="6" t="s">
        <v>52</v>
      </c>
    </row>
    <row r="311" spans="1:10" x14ac:dyDescent="0.3">
      <c r="A311" s="20">
        <v>45815</v>
      </c>
      <c r="B311" s="16"/>
      <c r="C311" s="16">
        <v>400000</v>
      </c>
      <c r="D311" s="17"/>
      <c r="E311" s="18" t="s">
        <v>16</v>
      </c>
      <c r="F311" s="19"/>
      <c r="G311" s="6" t="s">
        <v>16</v>
      </c>
    </row>
    <row r="312" spans="1:10" x14ac:dyDescent="0.3">
      <c r="A312" s="20">
        <v>45815</v>
      </c>
      <c r="B312" s="16">
        <v>3900</v>
      </c>
      <c r="C312" s="16"/>
      <c r="D312" s="17"/>
      <c r="E312" s="18" t="s">
        <v>153</v>
      </c>
      <c r="F312" s="19" t="s">
        <v>154</v>
      </c>
      <c r="G312" s="6" t="s">
        <v>153</v>
      </c>
    </row>
    <row r="313" spans="1:10" x14ac:dyDescent="0.3">
      <c r="A313" s="20">
        <v>45815</v>
      </c>
      <c r="B313" s="16">
        <v>620</v>
      </c>
      <c r="C313" s="16"/>
      <c r="D313" s="17"/>
      <c r="E313" s="18" t="s">
        <v>18</v>
      </c>
      <c r="F313" s="19" t="s">
        <v>195</v>
      </c>
      <c r="G313" s="6" t="s">
        <v>112</v>
      </c>
    </row>
    <row r="314" spans="1:10" x14ac:dyDescent="0.3">
      <c r="A314" s="20">
        <v>45816</v>
      </c>
      <c r="B314" s="16">
        <v>58430</v>
      </c>
      <c r="C314" s="16"/>
      <c r="D314" s="17"/>
      <c r="E314" s="18" t="s">
        <v>18</v>
      </c>
      <c r="F314" s="19" t="s">
        <v>196</v>
      </c>
      <c r="G314" s="6" t="s">
        <v>54</v>
      </c>
      <c r="H314" s="6" t="s">
        <v>197</v>
      </c>
      <c r="J314" s="7">
        <v>40</v>
      </c>
    </row>
    <row r="315" spans="1:10" x14ac:dyDescent="0.3">
      <c r="A315" s="20">
        <v>45816</v>
      </c>
      <c r="B315" s="16"/>
      <c r="C315" s="16">
        <v>25000</v>
      </c>
      <c r="D315" s="17"/>
      <c r="E315" s="18" t="s">
        <v>14</v>
      </c>
      <c r="F315" s="19"/>
      <c r="G315" s="6" t="s">
        <v>14</v>
      </c>
    </row>
    <row r="316" spans="1:10" x14ac:dyDescent="0.3">
      <c r="A316" s="20">
        <v>45817</v>
      </c>
      <c r="B316" s="16"/>
      <c r="C316" s="16">
        <v>260000</v>
      </c>
      <c r="D316" s="17"/>
      <c r="E316" s="18" t="s">
        <v>15</v>
      </c>
      <c r="F316" s="19"/>
      <c r="G316" s="6" t="s">
        <v>15</v>
      </c>
    </row>
    <row r="317" spans="1:10" x14ac:dyDescent="0.3">
      <c r="A317" s="20">
        <v>45818</v>
      </c>
      <c r="B317" s="16">
        <v>32850</v>
      </c>
      <c r="C317" s="16"/>
      <c r="D317" s="17"/>
      <c r="E317" s="18" t="s">
        <v>18</v>
      </c>
      <c r="F317" s="19" t="s">
        <v>198</v>
      </c>
      <c r="G317" s="6" t="s">
        <v>54</v>
      </c>
      <c r="H317" s="6" t="s">
        <v>199</v>
      </c>
      <c r="J317" s="7">
        <v>44</v>
      </c>
    </row>
    <row r="318" spans="1:10" x14ac:dyDescent="0.3">
      <c r="A318" s="20">
        <v>45818</v>
      </c>
      <c r="B318" s="16"/>
      <c r="C318" s="16">
        <v>3000</v>
      </c>
      <c r="D318" s="17"/>
      <c r="E318" s="18" t="s">
        <v>192</v>
      </c>
      <c r="F318" s="19"/>
      <c r="G318" s="6" t="s">
        <v>16</v>
      </c>
    </row>
    <row r="319" spans="1:10" x14ac:dyDescent="0.3">
      <c r="A319" s="20">
        <v>45818</v>
      </c>
      <c r="B319" s="16"/>
      <c r="C319" s="16">
        <v>12620</v>
      </c>
      <c r="D319" s="17"/>
      <c r="E319" s="18" t="s">
        <v>200</v>
      </c>
      <c r="F319" s="19" t="s">
        <v>201</v>
      </c>
      <c r="G319" s="6" t="s">
        <v>26</v>
      </c>
    </row>
    <row r="320" spans="1:10" ht="16.25" customHeight="1" x14ac:dyDescent="0.3">
      <c r="A320" s="20">
        <v>45819</v>
      </c>
      <c r="B320" s="16"/>
      <c r="C320" s="16">
        <v>1500</v>
      </c>
      <c r="D320" s="17"/>
      <c r="E320" s="18" t="s">
        <v>14</v>
      </c>
      <c r="F320" s="19"/>
      <c r="G320" s="7" t="s">
        <v>14</v>
      </c>
      <c r="H320" s="7"/>
    </row>
    <row r="321" spans="1:10" x14ac:dyDescent="0.3">
      <c r="A321" s="20">
        <v>45820</v>
      </c>
      <c r="B321" s="16">
        <v>9600</v>
      </c>
      <c r="C321" s="16"/>
      <c r="D321" s="17"/>
      <c r="E321" s="18" t="s">
        <v>18</v>
      </c>
      <c r="F321" s="19" t="s">
        <v>185</v>
      </c>
      <c r="G321" s="6" t="s">
        <v>54</v>
      </c>
      <c r="H321" s="6" t="s">
        <v>186</v>
      </c>
      <c r="J321" s="7">
        <v>42</v>
      </c>
    </row>
    <row r="322" spans="1:10" x14ac:dyDescent="0.3">
      <c r="A322" s="20">
        <v>45820</v>
      </c>
      <c r="B322" s="16"/>
      <c r="C322" s="16">
        <v>10000</v>
      </c>
      <c r="D322" s="17"/>
      <c r="E322" s="18" t="s">
        <v>117</v>
      </c>
      <c r="F322" s="19"/>
      <c r="G322" s="7" t="s">
        <v>117</v>
      </c>
      <c r="H322" s="7"/>
    </row>
    <row r="323" spans="1:10" x14ac:dyDescent="0.3">
      <c r="A323" s="20">
        <v>45820</v>
      </c>
      <c r="B323" s="16"/>
      <c r="C323" s="16">
        <v>50000</v>
      </c>
      <c r="D323" s="17"/>
      <c r="E323" s="18" t="s">
        <v>117</v>
      </c>
      <c r="F323" s="19"/>
      <c r="G323" s="6" t="s">
        <v>117</v>
      </c>
    </row>
    <row r="324" spans="1:10" x14ac:dyDescent="0.3">
      <c r="A324" s="20">
        <v>45822</v>
      </c>
      <c r="B324" s="16"/>
      <c r="C324" s="16">
        <v>6500</v>
      </c>
      <c r="D324" s="17"/>
      <c r="E324" s="18" t="s">
        <v>14</v>
      </c>
      <c r="F324" s="19"/>
      <c r="G324" s="7" t="s">
        <v>14</v>
      </c>
      <c r="H324" s="7"/>
    </row>
    <row r="325" spans="1:10" x14ac:dyDescent="0.3">
      <c r="A325" s="20">
        <v>45823</v>
      </c>
      <c r="B325" s="16"/>
      <c r="C325" s="16">
        <v>2497.36</v>
      </c>
      <c r="D325" s="17"/>
      <c r="E325" s="18" t="s">
        <v>18</v>
      </c>
      <c r="F325" s="19" t="s">
        <v>27</v>
      </c>
      <c r="G325" s="6" t="s">
        <v>76</v>
      </c>
    </row>
    <row r="326" spans="1:10" x14ac:dyDescent="0.3">
      <c r="A326" s="37">
        <v>45824</v>
      </c>
      <c r="B326" s="38">
        <v>80000</v>
      </c>
      <c r="C326" s="16"/>
      <c r="D326" s="17"/>
      <c r="E326" s="18" t="s">
        <v>18</v>
      </c>
      <c r="F326" s="19" t="s">
        <v>19</v>
      </c>
      <c r="G326" s="6" t="s">
        <v>20</v>
      </c>
    </row>
    <row r="327" spans="1:10" ht="39" x14ac:dyDescent="0.3">
      <c r="A327" s="20">
        <v>45824</v>
      </c>
      <c r="B327" s="16"/>
      <c r="C327" s="16">
        <v>5000</v>
      </c>
      <c r="D327" s="17"/>
      <c r="E327" s="18" t="s">
        <v>18</v>
      </c>
      <c r="F327" s="25" t="s">
        <v>202</v>
      </c>
      <c r="G327" s="6" t="s">
        <v>76</v>
      </c>
      <c r="H327" s="6" t="s">
        <v>203</v>
      </c>
      <c r="I327" s="7" t="s">
        <v>85</v>
      </c>
    </row>
    <row r="328" spans="1:10" x14ac:dyDescent="0.3">
      <c r="A328" s="20">
        <v>45824</v>
      </c>
      <c r="B328" s="16"/>
      <c r="C328" s="16">
        <v>15000</v>
      </c>
      <c r="D328" s="17"/>
      <c r="E328" s="18" t="s">
        <v>23</v>
      </c>
      <c r="F328" s="25" t="s">
        <v>204</v>
      </c>
      <c r="G328" s="6" t="s">
        <v>23</v>
      </c>
    </row>
    <row r="329" spans="1:10" x14ac:dyDescent="0.3">
      <c r="A329" s="20">
        <v>45824</v>
      </c>
      <c r="B329" s="16">
        <v>8400</v>
      </c>
      <c r="C329" s="16"/>
      <c r="D329" s="17"/>
      <c r="E329" s="18" t="s">
        <v>18</v>
      </c>
      <c r="F329" s="19" t="s">
        <v>205</v>
      </c>
      <c r="G329" s="6" t="s">
        <v>54</v>
      </c>
      <c r="H329" s="6" t="s">
        <v>206</v>
      </c>
      <c r="J329" s="7">
        <v>45</v>
      </c>
    </row>
    <row r="330" spans="1:10" x14ac:dyDescent="0.3">
      <c r="A330" s="20">
        <v>45825</v>
      </c>
      <c r="B330" s="16">
        <v>63040</v>
      </c>
      <c r="C330" s="16"/>
      <c r="D330" s="17"/>
      <c r="E330" s="18" t="s">
        <v>18</v>
      </c>
      <c r="F330" s="19" t="s">
        <v>207</v>
      </c>
      <c r="G330" s="6" t="s">
        <v>54</v>
      </c>
      <c r="H330" s="6" t="s">
        <v>208</v>
      </c>
      <c r="J330" s="7">
        <v>47</v>
      </c>
    </row>
    <row r="331" spans="1:10" x14ac:dyDescent="0.3">
      <c r="A331" s="20">
        <v>45825</v>
      </c>
      <c r="B331" s="16">
        <v>84410</v>
      </c>
      <c r="C331" s="16"/>
      <c r="D331" s="17"/>
      <c r="E331" s="18" t="s">
        <v>18</v>
      </c>
      <c r="F331" s="19" t="s">
        <v>209</v>
      </c>
      <c r="G331" s="6" t="s">
        <v>54</v>
      </c>
      <c r="H331" s="6" t="s">
        <v>210</v>
      </c>
      <c r="J331" s="7">
        <v>49</v>
      </c>
    </row>
    <row r="332" spans="1:10" x14ac:dyDescent="0.3">
      <c r="A332" s="20">
        <v>45825</v>
      </c>
      <c r="B332" s="16"/>
      <c r="C332" s="16">
        <v>40000</v>
      </c>
      <c r="D332" s="17"/>
      <c r="E332" s="18" t="s">
        <v>434</v>
      </c>
      <c r="F332" s="19" t="s">
        <v>211</v>
      </c>
      <c r="G332" s="6" t="s">
        <v>434</v>
      </c>
    </row>
    <row r="333" spans="1:10" x14ac:dyDescent="0.3">
      <c r="A333" s="20">
        <v>45825</v>
      </c>
      <c r="B333" s="16"/>
      <c r="C333" s="16">
        <v>33000</v>
      </c>
      <c r="D333" s="17"/>
      <c r="E333" s="18" t="s">
        <v>23</v>
      </c>
      <c r="F333" s="25" t="s">
        <v>204</v>
      </c>
      <c r="G333" s="6" t="s">
        <v>23</v>
      </c>
    </row>
    <row r="334" spans="1:10" x14ac:dyDescent="0.3">
      <c r="A334" s="20">
        <v>45825</v>
      </c>
      <c r="B334" s="16"/>
      <c r="C334" s="16">
        <v>20000</v>
      </c>
      <c r="D334" s="17"/>
      <c r="E334" s="18" t="s">
        <v>30</v>
      </c>
      <c r="F334" s="19"/>
      <c r="G334" s="6" t="s">
        <v>30</v>
      </c>
    </row>
    <row r="335" spans="1:10" x14ac:dyDescent="0.3">
      <c r="A335" s="20">
        <v>45825</v>
      </c>
      <c r="B335" s="16"/>
      <c r="C335" s="16">
        <v>22000</v>
      </c>
      <c r="D335" s="17"/>
      <c r="E335" s="18" t="s">
        <v>14</v>
      </c>
      <c r="F335" s="19"/>
      <c r="G335" s="6" t="s">
        <v>14</v>
      </c>
    </row>
    <row r="336" spans="1:10" x14ac:dyDescent="0.3">
      <c r="A336" s="20">
        <v>45826</v>
      </c>
      <c r="B336" s="16">
        <v>11000</v>
      </c>
      <c r="C336" s="16"/>
      <c r="D336" s="17"/>
      <c r="E336" s="18" t="s">
        <v>18</v>
      </c>
      <c r="F336" s="19" t="s">
        <v>209</v>
      </c>
      <c r="G336" s="6" t="s">
        <v>54</v>
      </c>
      <c r="H336" s="6" t="s">
        <v>210</v>
      </c>
      <c r="J336" s="7">
        <v>49</v>
      </c>
    </row>
    <row r="337" spans="1:10" x14ac:dyDescent="0.3">
      <c r="A337" s="20">
        <v>45826</v>
      </c>
      <c r="B337" s="16"/>
      <c r="C337" s="16">
        <v>60000</v>
      </c>
      <c r="D337" s="17"/>
      <c r="E337" s="18" t="s">
        <v>117</v>
      </c>
      <c r="F337" s="19"/>
      <c r="G337" s="6" t="s">
        <v>117</v>
      </c>
    </row>
    <row r="338" spans="1:10" ht="26" x14ac:dyDescent="0.3">
      <c r="A338" s="20">
        <v>45826</v>
      </c>
      <c r="B338" s="16"/>
      <c r="C338" s="16">
        <v>19800</v>
      </c>
      <c r="D338" s="17"/>
      <c r="E338" s="18" t="s">
        <v>31</v>
      </c>
      <c r="F338" s="22" t="s">
        <v>212</v>
      </c>
      <c r="G338" s="6" t="s">
        <v>31</v>
      </c>
    </row>
    <row r="339" spans="1:10" x14ac:dyDescent="0.3">
      <c r="A339" s="37">
        <v>45826</v>
      </c>
      <c r="B339" s="38">
        <v>500000</v>
      </c>
      <c r="C339" s="16"/>
      <c r="D339" s="17"/>
      <c r="E339" s="18" t="s">
        <v>18</v>
      </c>
      <c r="F339" s="19" t="s">
        <v>19</v>
      </c>
      <c r="G339" s="6" t="s">
        <v>20</v>
      </c>
    </row>
    <row r="340" spans="1:10" x14ac:dyDescent="0.3">
      <c r="A340" s="20">
        <v>45826</v>
      </c>
      <c r="B340" s="16"/>
      <c r="C340" s="16">
        <v>20000</v>
      </c>
      <c r="D340" s="17"/>
      <c r="E340" s="18" t="s">
        <v>117</v>
      </c>
      <c r="F340" s="19"/>
      <c r="G340" s="6" t="s">
        <v>117</v>
      </c>
    </row>
    <row r="341" spans="1:10" x14ac:dyDescent="0.3">
      <c r="A341" s="26">
        <v>45826</v>
      </c>
      <c r="B341" s="27"/>
      <c r="C341" s="27">
        <v>10000</v>
      </c>
      <c r="D341" s="28"/>
      <c r="E341" s="29" t="s">
        <v>10</v>
      </c>
      <c r="F341" s="30"/>
      <c r="G341" s="31" t="s">
        <v>10</v>
      </c>
      <c r="H341" s="32"/>
      <c r="I341" s="33"/>
      <c r="J341" s="33"/>
    </row>
    <row r="342" spans="1:10" x14ac:dyDescent="0.3">
      <c r="A342" s="20">
        <v>45827</v>
      </c>
      <c r="B342" s="16">
        <v>40500</v>
      </c>
      <c r="C342" s="16"/>
      <c r="D342" s="17"/>
      <c r="E342" s="18" t="s">
        <v>18</v>
      </c>
      <c r="F342" s="19" t="s">
        <v>196</v>
      </c>
      <c r="G342" s="6" t="s">
        <v>54</v>
      </c>
      <c r="H342" s="6" t="s">
        <v>197</v>
      </c>
      <c r="J342" s="7">
        <v>50</v>
      </c>
    </row>
    <row r="343" spans="1:10" x14ac:dyDescent="0.3">
      <c r="A343" s="20">
        <v>45827</v>
      </c>
      <c r="B343" s="16"/>
      <c r="C343" s="16">
        <v>15000</v>
      </c>
      <c r="D343" s="17"/>
      <c r="E343" s="18" t="s">
        <v>17</v>
      </c>
      <c r="F343" s="19" t="s">
        <v>194</v>
      </c>
      <c r="G343" s="6" t="s">
        <v>17</v>
      </c>
    </row>
    <row r="344" spans="1:10" x14ac:dyDescent="0.3">
      <c r="A344" s="20">
        <v>45827</v>
      </c>
      <c r="B344" s="16">
        <v>130000</v>
      </c>
      <c r="C344" s="16"/>
      <c r="D344" s="17"/>
      <c r="E344" s="18" t="s">
        <v>18</v>
      </c>
      <c r="F344" s="19" t="s">
        <v>19</v>
      </c>
      <c r="G344" s="6" t="s">
        <v>20</v>
      </c>
    </row>
    <row r="345" spans="1:10" x14ac:dyDescent="0.3">
      <c r="A345" s="20">
        <v>45827</v>
      </c>
      <c r="B345" s="16">
        <v>16660</v>
      </c>
      <c r="C345" s="16"/>
      <c r="D345" s="17"/>
      <c r="E345" s="18" t="s">
        <v>18</v>
      </c>
      <c r="F345" s="19" t="s">
        <v>213</v>
      </c>
      <c r="G345" s="6" t="s">
        <v>54</v>
      </c>
      <c r="H345" s="6" t="s">
        <v>214</v>
      </c>
      <c r="J345" s="7">
        <v>51</v>
      </c>
    </row>
    <row r="346" spans="1:10" x14ac:dyDescent="0.3">
      <c r="A346" s="20">
        <v>45828</v>
      </c>
      <c r="B346" s="16">
        <v>42500</v>
      </c>
      <c r="C346" s="16"/>
      <c r="D346" s="36"/>
      <c r="E346" s="18" t="s">
        <v>18</v>
      </c>
      <c r="F346" s="19" t="s">
        <v>196</v>
      </c>
      <c r="G346" s="6" t="s">
        <v>54</v>
      </c>
      <c r="H346" s="6" t="s">
        <v>197</v>
      </c>
      <c r="J346" s="7">
        <v>53</v>
      </c>
    </row>
    <row r="347" spans="1:10" x14ac:dyDescent="0.3">
      <c r="A347" s="20">
        <v>45828</v>
      </c>
      <c r="B347" s="16"/>
      <c r="C347" s="16">
        <v>130000</v>
      </c>
      <c r="D347" s="17"/>
      <c r="E347" s="18" t="s">
        <v>15</v>
      </c>
      <c r="F347" s="19" t="s">
        <v>215</v>
      </c>
      <c r="G347" s="6" t="s">
        <v>15</v>
      </c>
    </row>
    <row r="348" spans="1:10" x14ac:dyDescent="0.3">
      <c r="A348" s="20">
        <v>45829</v>
      </c>
      <c r="B348" s="16"/>
      <c r="C348" s="16">
        <v>55000</v>
      </c>
      <c r="D348" s="17"/>
      <c r="E348" s="18" t="s">
        <v>18</v>
      </c>
      <c r="F348" s="19" t="s">
        <v>216</v>
      </c>
      <c r="G348" s="6" t="s">
        <v>26</v>
      </c>
    </row>
    <row r="349" spans="1:10" x14ac:dyDescent="0.3">
      <c r="A349" s="20">
        <v>45830</v>
      </c>
      <c r="B349" s="16"/>
      <c r="C349" s="16">
        <f>956+725</f>
        <v>1681</v>
      </c>
      <c r="D349" s="17"/>
      <c r="E349" s="18" t="s">
        <v>18</v>
      </c>
      <c r="F349" s="19" t="s">
        <v>157</v>
      </c>
      <c r="G349" s="6" t="s">
        <v>26</v>
      </c>
    </row>
    <row r="350" spans="1:10" x14ac:dyDescent="0.3">
      <c r="A350" s="20">
        <v>45830</v>
      </c>
      <c r="B350" s="16"/>
      <c r="C350" s="16">
        <v>941</v>
      </c>
      <c r="D350" s="17"/>
      <c r="E350" s="18" t="s">
        <v>18</v>
      </c>
      <c r="F350" s="19" t="s">
        <v>157</v>
      </c>
      <c r="G350" s="6" t="s">
        <v>26</v>
      </c>
    </row>
    <row r="351" spans="1:10" x14ac:dyDescent="0.3">
      <c r="A351" s="20">
        <v>45831</v>
      </c>
      <c r="B351" s="16"/>
      <c r="C351" s="16">
        <v>150000</v>
      </c>
      <c r="D351" s="17"/>
      <c r="E351" s="18" t="s">
        <v>15</v>
      </c>
      <c r="F351" s="19"/>
      <c r="G351" s="6" t="s">
        <v>15</v>
      </c>
    </row>
    <row r="352" spans="1:10" ht="26" x14ac:dyDescent="0.3">
      <c r="A352" s="20">
        <v>45831</v>
      </c>
      <c r="B352" s="16"/>
      <c r="C352" s="16">
        <v>21000</v>
      </c>
      <c r="D352" s="17"/>
      <c r="E352" s="18" t="s">
        <v>18</v>
      </c>
      <c r="F352" s="19" t="s">
        <v>217</v>
      </c>
      <c r="G352" s="6" t="s">
        <v>218</v>
      </c>
    </row>
    <row r="353" spans="1:10" x14ac:dyDescent="0.3">
      <c r="A353" s="20">
        <v>45831</v>
      </c>
      <c r="B353" s="16">
        <v>2870</v>
      </c>
      <c r="C353" s="16"/>
      <c r="D353" s="17"/>
      <c r="E353" s="18" t="s">
        <v>18</v>
      </c>
      <c r="F353" s="19" t="s">
        <v>219</v>
      </c>
      <c r="G353" s="6" t="s">
        <v>54</v>
      </c>
      <c r="H353" s="6" t="s">
        <v>220</v>
      </c>
      <c r="J353" s="7">
        <v>55</v>
      </c>
    </row>
    <row r="354" spans="1:10" x14ac:dyDescent="0.3">
      <c r="A354" s="20">
        <v>45831</v>
      </c>
      <c r="B354" s="16"/>
      <c r="C354" s="16">
        <f>130+384+289+223</f>
        <v>1026</v>
      </c>
      <c r="D354" s="17"/>
      <c r="E354" s="18" t="s">
        <v>18</v>
      </c>
      <c r="F354" s="19" t="s">
        <v>157</v>
      </c>
      <c r="G354" s="6" t="s">
        <v>26</v>
      </c>
    </row>
    <row r="355" spans="1:10" x14ac:dyDescent="0.3">
      <c r="A355" s="20">
        <v>45832</v>
      </c>
      <c r="B355" s="16"/>
      <c r="C355" s="16">
        <v>49100</v>
      </c>
      <c r="D355" s="17"/>
      <c r="E355" s="18" t="s">
        <v>200</v>
      </c>
      <c r="F355" s="19" t="s">
        <v>221</v>
      </c>
      <c r="G355" s="6" t="s">
        <v>26</v>
      </c>
    </row>
    <row r="356" spans="1:10" x14ac:dyDescent="0.3">
      <c r="A356" s="20">
        <v>45832</v>
      </c>
      <c r="B356" s="16"/>
      <c r="C356" s="16">
        <v>300000</v>
      </c>
      <c r="D356" s="17"/>
      <c r="E356" s="18" t="s">
        <v>16</v>
      </c>
      <c r="F356" s="19"/>
      <c r="G356" s="6" t="s">
        <v>16</v>
      </c>
    </row>
    <row r="357" spans="1:10" x14ac:dyDescent="0.3">
      <c r="A357" s="20">
        <v>45834</v>
      </c>
      <c r="B357" s="16">
        <v>1520</v>
      </c>
      <c r="C357" s="16"/>
      <c r="D357" s="17"/>
      <c r="E357" s="18" t="s">
        <v>18</v>
      </c>
      <c r="F357" s="19" t="s">
        <v>207</v>
      </c>
      <c r="G357" s="6" t="s">
        <v>54</v>
      </c>
      <c r="H357" s="6" t="s">
        <v>208</v>
      </c>
      <c r="J357" s="7">
        <v>47</v>
      </c>
    </row>
    <row r="358" spans="1:10" x14ac:dyDescent="0.3">
      <c r="A358" s="20">
        <v>45834</v>
      </c>
      <c r="B358" s="16">
        <v>200000</v>
      </c>
      <c r="C358" s="16"/>
      <c r="D358" s="17"/>
      <c r="E358" s="18" t="s">
        <v>18</v>
      </c>
      <c r="F358" s="19" t="s">
        <v>19</v>
      </c>
      <c r="G358" s="6" t="s">
        <v>20</v>
      </c>
    </row>
    <row r="359" spans="1:10" x14ac:dyDescent="0.3">
      <c r="A359" s="20">
        <v>45834</v>
      </c>
      <c r="B359" s="16"/>
      <c r="C359" s="16">
        <v>181840</v>
      </c>
      <c r="D359" s="17"/>
      <c r="E359" s="18" t="s">
        <v>18</v>
      </c>
      <c r="F359" s="19" t="s">
        <v>222</v>
      </c>
      <c r="G359" s="6" t="s">
        <v>34</v>
      </c>
    </row>
    <row r="360" spans="1:10" ht="39" x14ac:dyDescent="0.3">
      <c r="A360" s="20">
        <v>45834</v>
      </c>
      <c r="B360" s="16"/>
      <c r="C360" s="16">
        <v>2000</v>
      </c>
      <c r="D360" s="17"/>
      <c r="E360" s="18" t="s">
        <v>18</v>
      </c>
      <c r="F360" s="25" t="s">
        <v>223</v>
      </c>
      <c r="G360" s="6" t="s">
        <v>34</v>
      </c>
      <c r="H360" s="6" t="s">
        <v>203</v>
      </c>
      <c r="I360" s="7" t="s">
        <v>85</v>
      </c>
    </row>
    <row r="361" spans="1:10" x14ac:dyDescent="0.3">
      <c r="A361" s="20">
        <v>45834</v>
      </c>
      <c r="B361" s="16"/>
      <c r="C361" s="16">
        <v>55000</v>
      </c>
      <c r="D361" s="17"/>
      <c r="E361" s="18" t="s">
        <v>200</v>
      </c>
      <c r="F361" s="19" t="s">
        <v>224</v>
      </c>
      <c r="G361" s="6" t="s">
        <v>26</v>
      </c>
    </row>
    <row r="362" spans="1:10" ht="26" x14ac:dyDescent="0.3">
      <c r="A362" s="20">
        <v>45834</v>
      </c>
      <c r="B362" s="16"/>
      <c r="C362" s="16">
        <f>3433+11752</f>
        <v>15185</v>
      </c>
      <c r="D362" s="17"/>
      <c r="E362" s="18" t="s">
        <v>18</v>
      </c>
      <c r="F362" s="25" t="s">
        <v>225</v>
      </c>
      <c r="G362" s="39" t="s">
        <v>226</v>
      </c>
    </row>
    <row r="363" spans="1:10" x14ac:dyDescent="0.3">
      <c r="A363" s="20">
        <v>45834</v>
      </c>
      <c r="B363" s="16"/>
      <c r="C363" s="16">
        <v>1274</v>
      </c>
      <c r="D363" s="17"/>
      <c r="E363" s="18" t="s">
        <v>18</v>
      </c>
      <c r="F363" s="19" t="s">
        <v>157</v>
      </c>
      <c r="G363" s="6" t="s">
        <v>26</v>
      </c>
    </row>
    <row r="364" spans="1:10" x14ac:dyDescent="0.3">
      <c r="A364" s="20">
        <v>45835</v>
      </c>
      <c r="B364" s="16"/>
      <c r="C364" s="16">
        <v>2656</v>
      </c>
      <c r="D364" s="17"/>
      <c r="E364" s="18" t="s">
        <v>18</v>
      </c>
      <c r="F364" s="19" t="s">
        <v>27</v>
      </c>
      <c r="G364" s="6" t="s">
        <v>26</v>
      </c>
    </row>
    <row r="365" spans="1:10" x14ac:dyDescent="0.3">
      <c r="A365" s="20">
        <v>45838</v>
      </c>
      <c r="B365" s="16">
        <v>45000</v>
      </c>
      <c r="C365" s="16"/>
      <c r="D365" s="17"/>
      <c r="E365" s="18" t="s">
        <v>16</v>
      </c>
      <c r="F365" s="25" t="s">
        <v>227</v>
      </c>
      <c r="G365" s="6" t="s">
        <v>228</v>
      </c>
    </row>
    <row r="366" spans="1:10" x14ac:dyDescent="0.3">
      <c r="A366" s="20">
        <v>45838</v>
      </c>
      <c r="B366" s="16"/>
      <c r="C366" s="16">
        <v>45000</v>
      </c>
      <c r="D366" s="17"/>
      <c r="E366" s="18" t="s">
        <v>16</v>
      </c>
      <c r="F366" s="25" t="s">
        <v>227</v>
      </c>
      <c r="G366" s="6" t="s">
        <v>16</v>
      </c>
    </row>
    <row r="367" spans="1:10" x14ac:dyDescent="0.3">
      <c r="A367" s="20">
        <v>45838</v>
      </c>
      <c r="B367" s="16"/>
      <c r="C367" s="16">
        <v>15000</v>
      </c>
      <c r="D367" s="17"/>
      <c r="E367" s="18" t="s">
        <v>23</v>
      </c>
      <c r="F367" s="25"/>
      <c r="G367" s="6" t="s">
        <v>23</v>
      </c>
    </row>
    <row r="368" spans="1:10" x14ac:dyDescent="0.3">
      <c r="A368" s="20">
        <v>45838</v>
      </c>
      <c r="B368" s="16">
        <v>2800</v>
      </c>
      <c r="C368" s="16"/>
      <c r="D368" s="17"/>
      <c r="E368" s="18" t="s">
        <v>18</v>
      </c>
      <c r="F368" s="19" t="s">
        <v>229</v>
      </c>
      <c r="G368" s="6" t="s">
        <v>54</v>
      </c>
      <c r="H368" s="6" t="s">
        <v>230</v>
      </c>
      <c r="J368" s="7">
        <v>29</v>
      </c>
    </row>
    <row r="369" spans="1:10" x14ac:dyDescent="0.3">
      <c r="A369" s="20">
        <v>45838</v>
      </c>
      <c r="B369" s="16"/>
      <c r="C369" s="16">
        <v>3600</v>
      </c>
      <c r="D369" s="17"/>
      <c r="E369" s="18" t="s">
        <v>117</v>
      </c>
      <c r="F369" s="19"/>
      <c r="G369" s="6" t="s">
        <v>117</v>
      </c>
    </row>
    <row r="370" spans="1:10" ht="26" x14ac:dyDescent="0.3">
      <c r="A370" s="20">
        <v>45839</v>
      </c>
      <c r="B370" s="16">
        <v>220000</v>
      </c>
      <c r="C370" s="16"/>
      <c r="D370" s="17"/>
      <c r="E370" s="18" t="s">
        <v>18</v>
      </c>
      <c r="F370" s="19" t="s">
        <v>231</v>
      </c>
      <c r="G370" s="6" t="s">
        <v>79</v>
      </c>
      <c r="H370" s="6" t="s">
        <v>64</v>
      </c>
    </row>
    <row r="371" spans="1:10" x14ac:dyDescent="0.3">
      <c r="A371" s="20">
        <v>45839</v>
      </c>
      <c r="B371" s="16"/>
      <c r="C371" s="16">
        <v>300000</v>
      </c>
      <c r="D371" s="17"/>
      <c r="E371" s="18" t="s">
        <v>16</v>
      </c>
      <c r="F371" s="19"/>
      <c r="G371" s="6" t="s">
        <v>16</v>
      </c>
    </row>
    <row r="372" spans="1:10" x14ac:dyDescent="0.3">
      <c r="A372" s="20">
        <v>45839</v>
      </c>
      <c r="B372" s="16">
        <v>12000</v>
      </c>
      <c r="C372" s="16"/>
      <c r="D372" s="17"/>
      <c r="E372" s="18" t="s">
        <v>18</v>
      </c>
      <c r="F372" s="19" t="s">
        <v>232</v>
      </c>
      <c r="G372" s="6" t="s">
        <v>54</v>
      </c>
      <c r="H372" s="6" t="s">
        <v>233</v>
      </c>
      <c r="J372" s="7">
        <v>5</v>
      </c>
    </row>
    <row r="373" spans="1:10" ht="39" x14ac:dyDescent="0.3">
      <c r="A373" s="20">
        <v>45839</v>
      </c>
      <c r="B373" s="16">
        <v>703840</v>
      </c>
      <c r="C373" s="16"/>
      <c r="D373" s="17"/>
      <c r="E373" s="18" t="s">
        <v>18</v>
      </c>
      <c r="F373" s="19" t="s">
        <v>234</v>
      </c>
      <c r="G373" s="6" t="s">
        <v>54</v>
      </c>
      <c r="H373" s="6" t="s">
        <v>235</v>
      </c>
      <c r="J373" s="7">
        <v>63</v>
      </c>
    </row>
    <row r="374" spans="1:10" x14ac:dyDescent="0.3">
      <c r="A374" s="20">
        <v>45839</v>
      </c>
      <c r="B374" s="16"/>
      <c r="C374" s="16">
        <v>15000</v>
      </c>
      <c r="D374" s="17"/>
      <c r="E374" s="18" t="s">
        <v>17</v>
      </c>
      <c r="F374" s="19"/>
      <c r="G374" s="6" t="s">
        <v>17</v>
      </c>
    </row>
    <row r="375" spans="1:10" ht="40.75" customHeight="1" x14ac:dyDescent="0.3">
      <c r="A375" s="20">
        <v>45839</v>
      </c>
      <c r="B375" s="16"/>
      <c r="C375" s="16">
        <v>220000</v>
      </c>
      <c r="D375" s="17"/>
      <c r="E375" s="18" t="s">
        <v>15</v>
      </c>
      <c r="F375" s="19"/>
      <c r="G375" s="6" t="s">
        <v>15</v>
      </c>
    </row>
    <row r="376" spans="1:10" x14ac:dyDescent="0.3">
      <c r="A376" s="20">
        <v>45839</v>
      </c>
      <c r="B376" s="16"/>
      <c r="C376" s="16">
        <v>2535.1799999999998</v>
      </c>
      <c r="D376" s="17"/>
      <c r="E376" s="18" t="s">
        <v>18</v>
      </c>
      <c r="F376" s="19" t="s">
        <v>236</v>
      </c>
      <c r="G376" s="6" t="s">
        <v>112</v>
      </c>
    </row>
    <row r="377" spans="1:10" ht="26" x14ac:dyDescent="0.3">
      <c r="A377" s="20">
        <v>45840</v>
      </c>
      <c r="B377" s="16">
        <v>26800</v>
      </c>
      <c r="C377" s="16"/>
      <c r="D377" s="17"/>
      <c r="E377" s="18" t="s">
        <v>18</v>
      </c>
      <c r="F377" s="25" t="s">
        <v>237</v>
      </c>
      <c r="G377" s="6" t="s">
        <v>54</v>
      </c>
      <c r="H377" s="6" t="s">
        <v>235</v>
      </c>
      <c r="J377" s="7">
        <v>63</v>
      </c>
    </row>
    <row r="378" spans="1:10" ht="39" x14ac:dyDescent="0.3">
      <c r="A378" s="20">
        <v>45840</v>
      </c>
      <c r="B378" s="16"/>
      <c r="C378" s="16">
        <v>8000</v>
      </c>
      <c r="D378" s="17"/>
      <c r="E378" s="18" t="s">
        <v>18</v>
      </c>
      <c r="F378" s="25" t="s">
        <v>238</v>
      </c>
      <c r="G378" s="6" t="s">
        <v>54</v>
      </c>
      <c r="H378" s="6" t="s">
        <v>235</v>
      </c>
      <c r="I378" s="7" t="s">
        <v>85</v>
      </c>
      <c r="J378" s="7">
        <v>63</v>
      </c>
    </row>
    <row r="379" spans="1:10" ht="26" x14ac:dyDescent="0.3">
      <c r="A379" s="20">
        <v>45840</v>
      </c>
      <c r="B379" s="16">
        <v>18765</v>
      </c>
      <c r="C379" s="16"/>
      <c r="D379" s="17"/>
      <c r="E379" s="18" t="s">
        <v>18</v>
      </c>
      <c r="F379" s="19" t="s">
        <v>239</v>
      </c>
      <c r="G379" s="6" t="s">
        <v>54</v>
      </c>
      <c r="H379" s="6" t="s">
        <v>239</v>
      </c>
      <c r="J379" s="7">
        <v>67</v>
      </c>
    </row>
    <row r="380" spans="1:10" ht="26" x14ac:dyDescent="0.3">
      <c r="A380" s="20">
        <v>45840</v>
      </c>
      <c r="B380" s="16">
        <v>160820</v>
      </c>
      <c r="C380" s="16"/>
      <c r="D380" s="17"/>
      <c r="E380" s="18" t="s">
        <v>18</v>
      </c>
      <c r="F380" s="19" t="s">
        <v>240</v>
      </c>
      <c r="G380" s="6" t="s">
        <v>54</v>
      </c>
      <c r="H380" s="6" t="s">
        <v>190</v>
      </c>
      <c r="J380" s="7">
        <v>64</v>
      </c>
    </row>
    <row r="381" spans="1:10" x14ac:dyDescent="0.3">
      <c r="A381" s="20">
        <v>45840</v>
      </c>
      <c r="B381" s="16"/>
      <c r="C381" s="16">
        <v>45000</v>
      </c>
      <c r="D381" s="17"/>
      <c r="E381" s="18" t="s">
        <v>23</v>
      </c>
      <c r="F381" s="19"/>
      <c r="G381" s="6" t="s">
        <v>23</v>
      </c>
    </row>
    <row r="382" spans="1:10" x14ac:dyDescent="0.3">
      <c r="A382" s="20">
        <v>45840</v>
      </c>
      <c r="B382" s="16"/>
      <c r="C382" s="16">
        <v>15000</v>
      </c>
      <c r="D382" s="17"/>
      <c r="E382" s="18" t="s">
        <v>30</v>
      </c>
      <c r="F382" s="19"/>
      <c r="G382" s="6" t="s">
        <v>30</v>
      </c>
    </row>
    <row r="383" spans="1:10" x14ac:dyDescent="0.3">
      <c r="A383" s="20">
        <v>45840</v>
      </c>
      <c r="B383" s="16"/>
      <c r="C383" s="16">
        <v>110000</v>
      </c>
      <c r="D383" s="17"/>
      <c r="E383" s="18" t="s">
        <v>434</v>
      </c>
      <c r="F383" s="25"/>
      <c r="G383" s="6" t="s">
        <v>434</v>
      </c>
    </row>
    <row r="384" spans="1:10" ht="14.4" customHeight="1" x14ac:dyDescent="0.3">
      <c r="A384" s="20">
        <v>45840</v>
      </c>
      <c r="B384" s="16"/>
      <c r="C384" s="24">
        <v>20000</v>
      </c>
      <c r="D384" s="17"/>
      <c r="E384" s="18" t="s">
        <v>52</v>
      </c>
      <c r="F384" s="19" t="s">
        <v>241</v>
      </c>
      <c r="G384" s="6" t="s">
        <v>52</v>
      </c>
    </row>
    <row r="385" spans="1:10" x14ac:dyDescent="0.3">
      <c r="A385" s="20">
        <v>45841</v>
      </c>
      <c r="B385" s="16"/>
      <c r="C385" s="16">
        <v>964</v>
      </c>
      <c r="D385" s="17"/>
      <c r="E385" s="18" t="s">
        <v>18</v>
      </c>
      <c r="F385" s="19" t="s">
        <v>157</v>
      </c>
      <c r="G385" s="6" t="s">
        <v>26</v>
      </c>
    </row>
    <row r="386" spans="1:10" x14ac:dyDescent="0.3">
      <c r="A386" s="20">
        <v>45841</v>
      </c>
      <c r="B386" s="16"/>
      <c r="C386" s="16">
        <v>15000</v>
      </c>
      <c r="D386" s="17"/>
      <c r="E386" s="18" t="s">
        <v>14</v>
      </c>
      <c r="F386" s="19"/>
      <c r="G386" s="6" t="s">
        <v>14</v>
      </c>
    </row>
    <row r="387" spans="1:10" x14ac:dyDescent="0.3">
      <c r="A387" s="20">
        <v>45841</v>
      </c>
      <c r="B387" s="16"/>
      <c r="C387" s="16">
        <v>21000</v>
      </c>
      <c r="D387" s="17"/>
      <c r="E387" s="18" t="s">
        <v>165</v>
      </c>
      <c r="F387" s="19" t="s">
        <v>242</v>
      </c>
      <c r="G387" s="6" t="s">
        <v>26</v>
      </c>
    </row>
    <row r="388" spans="1:10" x14ac:dyDescent="0.3">
      <c r="A388" s="20">
        <v>45842</v>
      </c>
      <c r="B388" s="16">
        <v>20990</v>
      </c>
      <c r="C388" s="16"/>
      <c r="D388" s="17"/>
      <c r="E388" s="18" t="s">
        <v>18</v>
      </c>
      <c r="F388" s="25" t="s">
        <v>243</v>
      </c>
      <c r="G388" s="6" t="s">
        <v>54</v>
      </c>
      <c r="H388" s="6" t="s">
        <v>199</v>
      </c>
      <c r="J388" s="7">
        <v>44</v>
      </c>
    </row>
    <row r="389" spans="1:10" x14ac:dyDescent="0.3">
      <c r="A389" s="20">
        <v>45842</v>
      </c>
      <c r="B389" s="16"/>
      <c r="C389" s="16">
        <v>350000</v>
      </c>
      <c r="D389" s="17"/>
      <c r="E389" s="18" t="s">
        <v>16</v>
      </c>
      <c r="F389" s="19"/>
      <c r="G389" s="7" t="s">
        <v>16</v>
      </c>
      <c r="H389" s="7"/>
    </row>
    <row r="390" spans="1:10" x14ac:dyDescent="0.3">
      <c r="A390" s="20">
        <v>45842</v>
      </c>
      <c r="B390" s="16"/>
      <c r="C390" s="16">
        <v>21000</v>
      </c>
      <c r="D390" s="17"/>
      <c r="E390" s="18" t="s">
        <v>14</v>
      </c>
      <c r="F390" s="19"/>
      <c r="G390" s="7" t="s">
        <v>14</v>
      </c>
      <c r="H390" s="7"/>
    </row>
    <row r="391" spans="1:10" x14ac:dyDescent="0.3">
      <c r="A391" s="20">
        <v>45842</v>
      </c>
      <c r="B391" s="16"/>
      <c r="C391" s="16">
        <v>160000</v>
      </c>
      <c r="D391" s="17"/>
      <c r="E391" s="18" t="s">
        <v>15</v>
      </c>
      <c r="F391" s="19"/>
      <c r="G391" s="7" t="s">
        <v>15</v>
      </c>
      <c r="H391" s="7"/>
    </row>
    <row r="392" spans="1:10" x14ac:dyDescent="0.3">
      <c r="A392" s="20">
        <v>45842</v>
      </c>
      <c r="B392" s="16"/>
      <c r="C392" s="16">
        <v>12000</v>
      </c>
      <c r="D392" s="17"/>
      <c r="E392" s="18" t="s">
        <v>39</v>
      </c>
      <c r="F392" s="19" t="s">
        <v>40</v>
      </c>
      <c r="G392" s="6" t="s">
        <v>39</v>
      </c>
    </row>
    <row r="393" spans="1:10" x14ac:dyDescent="0.3">
      <c r="A393" s="20">
        <v>45843</v>
      </c>
      <c r="B393" s="16"/>
      <c r="C393" s="16">
        <v>30000</v>
      </c>
      <c r="D393" s="17"/>
      <c r="E393" s="18" t="s">
        <v>14</v>
      </c>
      <c r="F393" s="19"/>
      <c r="G393" s="6" t="s">
        <v>14</v>
      </c>
    </row>
    <row r="394" spans="1:10" x14ac:dyDescent="0.3">
      <c r="A394" s="20">
        <v>45844</v>
      </c>
      <c r="B394" s="16"/>
      <c r="C394" s="16">
        <v>3212</v>
      </c>
      <c r="D394" s="17"/>
      <c r="E394" s="18" t="s">
        <v>18</v>
      </c>
      <c r="F394" s="19" t="s">
        <v>27</v>
      </c>
      <c r="G394" s="6" t="s">
        <v>26</v>
      </c>
    </row>
    <row r="395" spans="1:10" x14ac:dyDescent="0.3">
      <c r="A395" s="20">
        <v>45846</v>
      </c>
      <c r="B395" s="16">
        <v>70000</v>
      </c>
      <c r="C395" s="16"/>
      <c r="D395" s="17"/>
      <c r="E395" s="18" t="s">
        <v>18</v>
      </c>
      <c r="F395" s="25" t="s">
        <v>244</v>
      </c>
      <c r="G395" s="6" t="s">
        <v>54</v>
      </c>
      <c r="H395" s="6" t="s">
        <v>245</v>
      </c>
      <c r="J395" s="7">
        <v>6</v>
      </c>
    </row>
    <row r="396" spans="1:10" x14ac:dyDescent="0.3">
      <c r="A396" s="20">
        <v>45846</v>
      </c>
      <c r="B396" s="16">
        <v>6630</v>
      </c>
      <c r="C396" s="16"/>
      <c r="D396" s="17"/>
      <c r="E396" s="18" t="s">
        <v>18</v>
      </c>
      <c r="F396" s="25" t="s">
        <v>246</v>
      </c>
      <c r="G396" s="6" t="s">
        <v>54</v>
      </c>
      <c r="H396" s="6" t="s">
        <v>247</v>
      </c>
      <c r="J396" s="7">
        <v>86</v>
      </c>
    </row>
    <row r="397" spans="1:10" x14ac:dyDescent="0.3">
      <c r="A397" s="20">
        <v>45846</v>
      </c>
      <c r="B397" s="16">
        <v>67500</v>
      </c>
      <c r="C397" s="16"/>
      <c r="D397" s="17"/>
      <c r="E397" s="18" t="s">
        <v>18</v>
      </c>
      <c r="F397" s="25" t="s">
        <v>248</v>
      </c>
      <c r="G397" s="6" t="s">
        <v>54</v>
      </c>
      <c r="H397" s="6" t="s">
        <v>177</v>
      </c>
      <c r="J397" s="7">
        <v>68</v>
      </c>
    </row>
    <row r="398" spans="1:10" ht="26" x14ac:dyDescent="0.3">
      <c r="A398" s="20">
        <v>45846</v>
      </c>
      <c r="B398" s="16"/>
      <c r="C398" s="16">
        <v>25000</v>
      </c>
      <c r="D398" s="17"/>
      <c r="E398" s="18" t="s">
        <v>18</v>
      </c>
      <c r="F398" s="25" t="s">
        <v>249</v>
      </c>
      <c r="G398" s="6" t="s">
        <v>34</v>
      </c>
      <c r="H398" s="6" t="s">
        <v>250</v>
      </c>
    </row>
    <row r="399" spans="1:10" ht="26" x14ac:dyDescent="0.3">
      <c r="A399" s="20">
        <v>45846</v>
      </c>
      <c r="B399" s="16"/>
      <c r="C399" s="16">
        <v>64000</v>
      </c>
      <c r="D399" s="17"/>
      <c r="E399" s="18" t="s">
        <v>251</v>
      </c>
      <c r="F399" s="19" t="s">
        <v>252</v>
      </c>
      <c r="G399" s="6" t="s">
        <v>34</v>
      </c>
    </row>
    <row r="400" spans="1:10" x14ac:dyDescent="0.3">
      <c r="A400" s="20">
        <v>45847</v>
      </c>
      <c r="B400" s="16">
        <v>37400</v>
      </c>
      <c r="C400" s="16"/>
      <c r="D400" s="17"/>
      <c r="E400" s="18" t="s">
        <v>18</v>
      </c>
      <c r="F400" s="25" t="s">
        <v>244</v>
      </c>
      <c r="G400" s="6" t="s">
        <v>54</v>
      </c>
      <c r="H400" s="6" t="s">
        <v>245</v>
      </c>
      <c r="J400" s="7">
        <v>6</v>
      </c>
    </row>
    <row r="401" spans="1:10" x14ac:dyDescent="0.3">
      <c r="A401" s="20">
        <v>45847</v>
      </c>
      <c r="B401" s="16"/>
      <c r="C401" s="16">
        <v>45000</v>
      </c>
      <c r="D401" s="17"/>
      <c r="E401" s="18" t="s">
        <v>23</v>
      </c>
      <c r="F401" s="25" t="s">
        <v>204</v>
      </c>
      <c r="G401" s="6" t="s">
        <v>23</v>
      </c>
    </row>
    <row r="402" spans="1:10" x14ac:dyDescent="0.3">
      <c r="A402" s="20">
        <v>45847</v>
      </c>
      <c r="B402" s="16"/>
      <c r="C402" s="16">
        <v>5000</v>
      </c>
      <c r="D402" s="17"/>
      <c r="E402" s="18" t="s">
        <v>18</v>
      </c>
      <c r="F402" s="19" t="s">
        <v>253</v>
      </c>
      <c r="G402" s="6" t="s">
        <v>26</v>
      </c>
    </row>
    <row r="403" spans="1:10" x14ac:dyDescent="0.3">
      <c r="A403" s="20">
        <v>45848</v>
      </c>
      <c r="B403" s="16"/>
      <c r="C403" s="16">
        <v>3450</v>
      </c>
      <c r="D403" s="17"/>
      <c r="E403" s="18" t="s">
        <v>18</v>
      </c>
      <c r="F403" s="19" t="s">
        <v>254</v>
      </c>
      <c r="G403" s="6" t="s">
        <v>112</v>
      </c>
    </row>
    <row r="404" spans="1:10" x14ac:dyDescent="0.3">
      <c r="A404" s="20">
        <v>45850</v>
      </c>
      <c r="B404" s="16">
        <v>58200</v>
      </c>
      <c r="C404" s="16"/>
      <c r="D404" s="17"/>
      <c r="E404" s="18" t="s">
        <v>18</v>
      </c>
      <c r="F404" s="19" t="s">
        <v>255</v>
      </c>
      <c r="G404" s="6" t="s">
        <v>54</v>
      </c>
      <c r="H404" s="6" t="s">
        <v>153</v>
      </c>
      <c r="J404" s="7">
        <v>87</v>
      </c>
    </row>
    <row r="405" spans="1:10" x14ac:dyDescent="0.3">
      <c r="A405" s="20">
        <v>45850</v>
      </c>
      <c r="B405" s="16"/>
      <c r="C405" s="16">
        <v>150000</v>
      </c>
      <c r="D405" s="17"/>
      <c r="E405" s="18" t="s">
        <v>16</v>
      </c>
      <c r="F405" s="19"/>
      <c r="G405" s="7" t="s">
        <v>16</v>
      </c>
      <c r="H405" s="7"/>
    </row>
    <row r="406" spans="1:10" x14ac:dyDescent="0.3">
      <c r="A406" s="20">
        <v>45851</v>
      </c>
      <c r="B406" s="16"/>
      <c r="C406" s="16">
        <v>80000</v>
      </c>
      <c r="D406" s="17"/>
      <c r="E406" s="18" t="s">
        <v>16</v>
      </c>
      <c r="F406" s="19"/>
      <c r="G406" s="7" t="s">
        <v>16</v>
      </c>
      <c r="H406" s="7"/>
    </row>
    <row r="407" spans="1:10" x14ac:dyDescent="0.3">
      <c r="A407" s="20">
        <v>45851</v>
      </c>
      <c r="B407" s="16"/>
      <c r="C407" s="16">
        <v>2496</v>
      </c>
      <c r="D407" s="17"/>
      <c r="E407" s="18" t="s">
        <v>18</v>
      </c>
      <c r="F407" s="19" t="s">
        <v>27</v>
      </c>
      <c r="G407" s="6" t="s">
        <v>76</v>
      </c>
    </row>
    <row r="408" spans="1:10" x14ac:dyDescent="0.3">
      <c r="A408" s="20">
        <v>45852</v>
      </c>
      <c r="B408" s="16"/>
      <c r="C408" s="16">
        <v>4500</v>
      </c>
      <c r="D408" s="17"/>
      <c r="E408" s="18" t="s">
        <v>17</v>
      </c>
      <c r="F408" s="19"/>
      <c r="G408" s="6" t="s">
        <v>17</v>
      </c>
    </row>
    <row r="409" spans="1:10" x14ac:dyDescent="0.3">
      <c r="A409" s="20">
        <v>45852</v>
      </c>
      <c r="B409" s="16"/>
      <c r="C409" s="16">
        <v>15000</v>
      </c>
      <c r="D409" s="17"/>
      <c r="E409" s="18" t="s">
        <v>14</v>
      </c>
      <c r="F409" s="19"/>
      <c r="G409" s="6" t="s">
        <v>14</v>
      </c>
    </row>
    <row r="410" spans="1:10" x14ac:dyDescent="0.3">
      <c r="A410" s="20">
        <v>45853</v>
      </c>
      <c r="B410" s="16"/>
      <c r="C410" s="16">
        <v>1160</v>
      </c>
      <c r="D410" s="17"/>
      <c r="E410" s="18" t="s">
        <v>14</v>
      </c>
      <c r="F410" s="19"/>
      <c r="G410" s="6" t="s">
        <v>14</v>
      </c>
    </row>
    <row r="411" spans="1:10" x14ac:dyDescent="0.3">
      <c r="A411" s="20">
        <v>45853</v>
      </c>
      <c r="B411" s="16"/>
      <c r="C411" s="16">
        <v>3000</v>
      </c>
      <c r="D411" s="17"/>
      <c r="E411" s="18" t="s">
        <v>23</v>
      </c>
      <c r="F411" s="19"/>
      <c r="G411" s="6" t="s">
        <v>23</v>
      </c>
    </row>
    <row r="412" spans="1:10" x14ac:dyDescent="0.3">
      <c r="A412" s="20">
        <v>45854</v>
      </c>
      <c r="B412" s="16"/>
      <c r="C412" s="16">
        <v>10000</v>
      </c>
      <c r="D412" s="17"/>
      <c r="E412" s="18" t="s">
        <v>14</v>
      </c>
      <c r="F412" s="19"/>
      <c r="G412" s="6" t="s">
        <v>14</v>
      </c>
    </row>
    <row r="413" spans="1:10" ht="26" x14ac:dyDescent="0.3">
      <c r="A413" s="20">
        <v>45855</v>
      </c>
      <c r="B413" s="16"/>
      <c r="C413" s="16">
        <v>34400</v>
      </c>
      <c r="D413" s="17"/>
      <c r="E413" s="18" t="s">
        <v>18</v>
      </c>
      <c r="F413" s="19" t="s">
        <v>256</v>
      </c>
      <c r="G413" s="6" t="s">
        <v>54</v>
      </c>
      <c r="H413" s="6" t="s">
        <v>257</v>
      </c>
      <c r="J413" s="7">
        <v>56</v>
      </c>
    </row>
    <row r="414" spans="1:10" x14ac:dyDescent="0.3">
      <c r="A414" s="20">
        <v>45855</v>
      </c>
      <c r="B414" s="16"/>
      <c r="C414" s="16">
        <v>160000</v>
      </c>
      <c r="D414" s="17"/>
      <c r="E414" s="18" t="s">
        <v>16</v>
      </c>
      <c r="F414" s="19"/>
      <c r="G414" s="7" t="s">
        <v>16</v>
      </c>
      <c r="H414" s="7"/>
    </row>
    <row r="415" spans="1:10" x14ac:dyDescent="0.3">
      <c r="A415" s="20">
        <v>45857</v>
      </c>
      <c r="B415" s="16"/>
      <c r="C415" s="16">
        <f>1965+1924</f>
        <v>3889</v>
      </c>
      <c r="D415" s="17"/>
      <c r="E415" s="18" t="s">
        <v>18</v>
      </c>
      <c r="F415" s="19" t="s">
        <v>27</v>
      </c>
      <c r="G415" s="6" t="s">
        <v>26</v>
      </c>
    </row>
    <row r="416" spans="1:10" x14ac:dyDescent="0.3">
      <c r="A416" s="20">
        <v>45858</v>
      </c>
      <c r="B416" s="16">
        <v>111550</v>
      </c>
      <c r="C416" s="16"/>
      <c r="D416" s="17"/>
      <c r="E416" s="18" t="s">
        <v>18</v>
      </c>
      <c r="F416" s="19" t="s">
        <v>248</v>
      </c>
      <c r="G416" s="7" t="s">
        <v>54</v>
      </c>
      <c r="H416" s="7" t="s">
        <v>177</v>
      </c>
      <c r="J416" s="7">
        <v>69</v>
      </c>
    </row>
    <row r="417" spans="1:10" ht="26" x14ac:dyDescent="0.3">
      <c r="A417" s="20">
        <v>45859</v>
      </c>
      <c r="B417" s="16">
        <v>69000</v>
      </c>
      <c r="C417" s="16"/>
      <c r="D417" s="17"/>
      <c r="E417" s="18" t="s">
        <v>18</v>
      </c>
      <c r="F417" s="19" t="s">
        <v>258</v>
      </c>
      <c r="G417" s="6" t="s">
        <v>259</v>
      </c>
    </row>
    <row r="418" spans="1:10" x14ac:dyDescent="0.3">
      <c r="A418" s="20">
        <v>45859</v>
      </c>
      <c r="B418" s="16"/>
      <c r="C418" s="16">
        <v>20000</v>
      </c>
      <c r="D418" s="17"/>
      <c r="E418" s="18" t="s">
        <v>14</v>
      </c>
      <c r="F418" s="19"/>
      <c r="G418" s="6" t="s">
        <v>14</v>
      </c>
    </row>
    <row r="419" spans="1:10" x14ac:dyDescent="0.3">
      <c r="A419" s="20">
        <v>45860</v>
      </c>
      <c r="B419" s="16"/>
      <c r="C419" s="16">
        <v>20000</v>
      </c>
      <c r="D419" s="17"/>
      <c r="E419" s="18" t="s">
        <v>18</v>
      </c>
      <c r="F419" s="19" t="s">
        <v>260</v>
      </c>
      <c r="G419" s="7" t="s">
        <v>34</v>
      </c>
      <c r="H419" s="7"/>
    </row>
    <row r="420" spans="1:10" x14ac:dyDescent="0.3">
      <c r="A420" s="20">
        <v>45860</v>
      </c>
      <c r="B420" s="16"/>
      <c r="C420" s="16">
        <v>20000</v>
      </c>
      <c r="D420" s="17"/>
      <c r="E420" s="18" t="s">
        <v>17</v>
      </c>
      <c r="F420" s="19"/>
      <c r="G420" s="7" t="s">
        <v>17</v>
      </c>
      <c r="H420" s="7"/>
    </row>
    <row r="421" spans="1:10" x14ac:dyDescent="0.3">
      <c r="A421" s="20">
        <v>45860</v>
      </c>
      <c r="B421" s="16"/>
      <c r="C421" s="16">
        <v>200000</v>
      </c>
      <c r="D421" s="17"/>
      <c r="E421" s="18" t="s">
        <v>15</v>
      </c>
      <c r="F421" s="19" t="s">
        <v>261</v>
      </c>
      <c r="G421" s="7" t="s">
        <v>15</v>
      </c>
      <c r="H421" s="7"/>
    </row>
    <row r="422" spans="1:10" x14ac:dyDescent="0.3">
      <c r="A422" s="26">
        <v>45860</v>
      </c>
      <c r="B422" s="27"/>
      <c r="C422" s="27">
        <v>20000</v>
      </c>
      <c r="D422" s="28"/>
      <c r="E422" s="29" t="s">
        <v>10</v>
      </c>
      <c r="F422" s="30"/>
      <c r="G422" s="31" t="s">
        <v>10</v>
      </c>
      <c r="H422" s="32"/>
      <c r="I422" s="33"/>
      <c r="J422" s="33"/>
    </row>
    <row r="423" spans="1:10" ht="26" x14ac:dyDescent="0.3">
      <c r="A423" s="20">
        <v>45862</v>
      </c>
      <c r="B423" s="16">
        <v>22500</v>
      </c>
      <c r="C423" s="16"/>
      <c r="D423" s="17"/>
      <c r="E423" s="18" t="s">
        <v>18</v>
      </c>
      <c r="F423" s="25" t="s">
        <v>262</v>
      </c>
      <c r="G423" s="6" t="s">
        <v>54</v>
      </c>
      <c r="H423" s="6" t="s">
        <v>263</v>
      </c>
      <c r="J423" s="7">
        <v>80</v>
      </c>
    </row>
    <row r="424" spans="1:10" ht="26" x14ac:dyDescent="0.3">
      <c r="A424" s="20">
        <v>45862</v>
      </c>
      <c r="B424" s="16">
        <v>278200</v>
      </c>
      <c r="C424" s="16"/>
      <c r="D424" s="17"/>
      <c r="E424" s="18" t="s">
        <v>18</v>
      </c>
      <c r="F424" s="25" t="s">
        <v>264</v>
      </c>
      <c r="G424" s="6" t="s">
        <v>54</v>
      </c>
      <c r="H424" s="6" t="s">
        <v>265</v>
      </c>
      <c r="J424" s="7">
        <v>79</v>
      </c>
    </row>
    <row r="425" spans="1:10" ht="26" x14ac:dyDescent="0.3">
      <c r="A425" s="20">
        <v>45862</v>
      </c>
      <c r="B425" s="16"/>
      <c r="C425" s="16">
        <v>52850</v>
      </c>
      <c r="D425" s="17"/>
      <c r="E425" s="18" t="s">
        <v>165</v>
      </c>
      <c r="F425" s="25" t="s">
        <v>266</v>
      </c>
      <c r="G425" s="6" t="s">
        <v>54</v>
      </c>
      <c r="H425" s="6" t="s">
        <v>265</v>
      </c>
      <c r="J425" s="7">
        <v>79</v>
      </c>
    </row>
    <row r="426" spans="1:10" x14ac:dyDescent="0.3">
      <c r="A426" s="20">
        <v>45862</v>
      </c>
      <c r="B426" s="16"/>
      <c r="C426" s="16">
        <v>692</v>
      </c>
      <c r="D426" s="17"/>
      <c r="E426" s="18" t="s">
        <v>18</v>
      </c>
      <c r="F426" s="19" t="s">
        <v>157</v>
      </c>
      <c r="G426" s="6" t="s">
        <v>26</v>
      </c>
    </row>
    <row r="427" spans="1:10" x14ac:dyDescent="0.3">
      <c r="A427" s="20">
        <v>45862</v>
      </c>
      <c r="B427" s="16"/>
      <c r="C427" s="16">
        <v>9450</v>
      </c>
      <c r="D427" s="17"/>
      <c r="E427" s="18" t="s">
        <v>18</v>
      </c>
      <c r="F427" s="19" t="s">
        <v>267</v>
      </c>
      <c r="G427" s="6" t="s">
        <v>112</v>
      </c>
    </row>
    <row r="428" spans="1:10" x14ac:dyDescent="0.3">
      <c r="A428" s="20">
        <v>45863</v>
      </c>
      <c r="B428" s="16"/>
      <c r="C428" s="16">
        <v>800</v>
      </c>
      <c r="D428" s="17"/>
      <c r="E428" s="18" t="s">
        <v>14</v>
      </c>
      <c r="F428" s="19"/>
      <c r="G428" s="6" t="s">
        <v>14</v>
      </c>
    </row>
    <row r="429" spans="1:10" x14ac:dyDescent="0.3">
      <c r="A429" s="20">
        <v>45863</v>
      </c>
      <c r="B429" s="16"/>
      <c r="C429" s="16">
        <v>3119</v>
      </c>
      <c r="D429" s="17"/>
      <c r="E429" s="18" t="s">
        <v>18</v>
      </c>
      <c r="F429" s="19" t="s">
        <v>27</v>
      </c>
      <c r="G429" s="6" t="s">
        <v>26</v>
      </c>
    </row>
    <row r="430" spans="1:10" x14ac:dyDescent="0.3">
      <c r="A430" s="20">
        <v>45865</v>
      </c>
      <c r="B430" s="16"/>
      <c r="C430" s="16">
        <v>18000</v>
      </c>
      <c r="D430" s="17"/>
      <c r="E430" s="18" t="s">
        <v>434</v>
      </c>
      <c r="F430" s="19"/>
      <c r="G430" s="6" t="s">
        <v>434</v>
      </c>
    </row>
    <row r="431" spans="1:10" x14ac:dyDescent="0.3">
      <c r="A431" s="20">
        <v>45866</v>
      </c>
      <c r="B431" s="16"/>
      <c r="C431" s="16">
        <v>3500</v>
      </c>
      <c r="D431" s="17"/>
      <c r="E431" s="18" t="s">
        <v>14</v>
      </c>
      <c r="F431" s="19"/>
      <c r="G431" s="6" t="s">
        <v>14</v>
      </c>
    </row>
    <row r="432" spans="1:10" x14ac:dyDescent="0.3">
      <c r="A432" s="20">
        <v>45866</v>
      </c>
      <c r="B432" s="16"/>
      <c r="C432" s="16">
        <v>10000</v>
      </c>
      <c r="D432" s="17"/>
      <c r="E432" s="18" t="s">
        <v>18</v>
      </c>
      <c r="F432" s="19" t="s">
        <v>268</v>
      </c>
      <c r="G432" s="6" t="s">
        <v>112</v>
      </c>
    </row>
    <row r="433" spans="1:10" x14ac:dyDescent="0.3">
      <c r="A433" s="20">
        <v>45868</v>
      </c>
      <c r="B433" s="16"/>
      <c r="C433" s="16">
        <v>25000</v>
      </c>
      <c r="D433" s="17"/>
      <c r="E433" s="18" t="s">
        <v>17</v>
      </c>
      <c r="F433" s="19"/>
      <c r="G433" s="6" t="s">
        <v>17</v>
      </c>
    </row>
    <row r="434" spans="1:10" x14ac:dyDescent="0.3">
      <c r="A434" s="20">
        <v>45868</v>
      </c>
      <c r="B434" s="16"/>
      <c r="C434" s="16">
        <v>400000</v>
      </c>
      <c r="D434" s="17"/>
      <c r="E434" s="18" t="s">
        <v>16</v>
      </c>
      <c r="F434" s="19"/>
      <c r="G434" s="6" t="s">
        <v>16</v>
      </c>
    </row>
    <row r="435" spans="1:10" x14ac:dyDescent="0.3">
      <c r="A435" s="20">
        <v>45868</v>
      </c>
      <c r="B435" s="16"/>
      <c r="C435" s="16">
        <v>15000</v>
      </c>
      <c r="D435" s="17"/>
      <c r="E435" s="18" t="s">
        <v>23</v>
      </c>
      <c r="F435" s="19" t="s">
        <v>24</v>
      </c>
      <c r="G435" s="6" t="s">
        <v>23</v>
      </c>
    </row>
    <row r="436" spans="1:10" ht="26" x14ac:dyDescent="0.3">
      <c r="A436" s="20">
        <v>45868</v>
      </c>
      <c r="B436" s="16">
        <v>207000</v>
      </c>
      <c r="C436" s="16"/>
      <c r="D436" s="17"/>
      <c r="E436" s="18" t="s">
        <v>18</v>
      </c>
      <c r="F436" s="19" t="s">
        <v>269</v>
      </c>
      <c r="G436" s="6" t="s">
        <v>259</v>
      </c>
    </row>
    <row r="437" spans="1:10" x14ac:dyDescent="0.3">
      <c r="A437" s="20">
        <v>45868</v>
      </c>
      <c r="B437" s="16">
        <v>34690</v>
      </c>
      <c r="C437" s="16"/>
      <c r="D437" s="17"/>
      <c r="E437" s="18" t="s">
        <v>18</v>
      </c>
      <c r="F437" s="19" t="s">
        <v>270</v>
      </c>
      <c r="G437" s="6" t="s">
        <v>54</v>
      </c>
      <c r="H437" s="6" t="s">
        <v>271</v>
      </c>
      <c r="J437" s="7">
        <v>83</v>
      </c>
    </row>
    <row r="438" spans="1:10" x14ac:dyDescent="0.3">
      <c r="A438" s="20">
        <v>45869</v>
      </c>
      <c r="B438" s="16"/>
      <c r="C438" s="16">
        <v>48000</v>
      </c>
      <c r="D438" s="17"/>
      <c r="E438" s="18" t="s">
        <v>23</v>
      </c>
      <c r="F438" s="19" t="s">
        <v>272</v>
      </c>
      <c r="G438" s="6" t="s">
        <v>23</v>
      </c>
    </row>
    <row r="439" spans="1:10" x14ac:dyDescent="0.3">
      <c r="A439" s="20">
        <v>45869</v>
      </c>
      <c r="B439" s="16"/>
      <c r="C439" s="16">
        <v>33500</v>
      </c>
      <c r="D439" s="17"/>
      <c r="E439" s="18" t="s">
        <v>273</v>
      </c>
      <c r="F439" s="19"/>
      <c r="G439" s="6" t="s">
        <v>273</v>
      </c>
    </row>
    <row r="440" spans="1:10" x14ac:dyDescent="0.3">
      <c r="A440" s="20">
        <v>45869</v>
      </c>
      <c r="B440" s="16"/>
      <c r="C440" s="16">
        <v>65000</v>
      </c>
      <c r="D440" s="17"/>
      <c r="E440" s="18" t="s">
        <v>434</v>
      </c>
      <c r="F440" s="19"/>
      <c r="G440" s="6" t="s">
        <v>434</v>
      </c>
    </row>
    <row r="441" spans="1:10" x14ac:dyDescent="0.3">
      <c r="A441" s="20">
        <v>45869</v>
      </c>
      <c r="B441" s="16">
        <v>178240</v>
      </c>
      <c r="C441" s="16"/>
      <c r="D441" s="17"/>
      <c r="E441" s="18" t="s">
        <v>18</v>
      </c>
      <c r="F441" s="19" t="s">
        <v>196</v>
      </c>
      <c r="G441" s="6" t="s">
        <v>54</v>
      </c>
      <c r="H441" s="6" t="s">
        <v>197</v>
      </c>
      <c r="J441" s="7">
        <v>85</v>
      </c>
    </row>
    <row r="442" spans="1:10" x14ac:dyDescent="0.3">
      <c r="A442" s="20">
        <v>45869</v>
      </c>
      <c r="B442" s="16"/>
      <c r="C442" s="16">
        <v>8000</v>
      </c>
      <c r="D442" s="17"/>
      <c r="E442" s="18" t="s">
        <v>434</v>
      </c>
      <c r="F442" s="19"/>
      <c r="G442" s="6" t="s">
        <v>434</v>
      </c>
    </row>
    <row r="443" spans="1:10" x14ac:dyDescent="0.3">
      <c r="A443" s="20">
        <v>45869</v>
      </c>
      <c r="B443" s="16"/>
      <c r="C443" s="16">
        <v>40000</v>
      </c>
      <c r="D443" s="17"/>
      <c r="E443" s="18" t="s">
        <v>14</v>
      </c>
      <c r="F443" s="19"/>
      <c r="G443" s="7" t="s">
        <v>14</v>
      </c>
      <c r="H443" s="7"/>
    </row>
    <row r="444" spans="1:10" ht="14.4" customHeight="1" x14ac:dyDescent="0.3">
      <c r="A444" s="20">
        <v>45869</v>
      </c>
      <c r="B444" s="16"/>
      <c r="C444" s="16">
        <v>30000</v>
      </c>
      <c r="D444" s="17"/>
      <c r="E444" s="18" t="s">
        <v>10</v>
      </c>
      <c r="F444" s="19"/>
      <c r="G444" s="6" t="s">
        <v>10</v>
      </c>
      <c r="H444" s="7"/>
    </row>
    <row r="445" spans="1:10" ht="14.4" customHeight="1" x14ac:dyDescent="0.3">
      <c r="A445" s="20">
        <v>45869</v>
      </c>
      <c r="B445" s="16"/>
      <c r="C445" s="16">
        <v>270000</v>
      </c>
      <c r="D445" s="17"/>
      <c r="E445" s="18" t="s">
        <v>15</v>
      </c>
      <c r="F445" s="19"/>
      <c r="G445" s="7" t="s">
        <v>15</v>
      </c>
      <c r="H445" s="7"/>
    </row>
    <row r="446" spans="1:10" x14ac:dyDescent="0.3">
      <c r="A446" s="20">
        <v>45869</v>
      </c>
      <c r="B446" s="16"/>
      <c r="C446" s="16">
        <v>1796</v>
      </c>
      <c r="D446" s="17"/>
      <c r="E446" s="18" t="s">
        <v>18</v>
      </c>
      <c r="F446" s="19" t="s">
        <v>27</v>
      </c>
      <c r="G446" s="6" t="s">
        <v>26</v>
      </c>
    </row>
    <row r="447" spans="1:10" x14ac:dyDescent="0.3">
      <c r="A447" s="20">
        <v>45869</v>
      </c>
      <c r="B447" s="16"/>
      <c r="C447" s="16">
        <v>2201.4</v>
      </c>
      <c r="D447" s="17"/>
      <c r="E447" s="18" t="s">
        <v>18</v>
      </c>
      <c r="F447" s="19" t="s">
        <v>27</v>
      </c>
      <c r="G447" s="6" t="s">
        <v>26</v>
      </c>
    </row>
    <row r="448" spans="1:10" x14ac:dyDescent="0.3">
      <c r="A448" s="20">
        <v>45870</v>
      </c>
      <c r="B448" s="16">
        <v>15150</v>
      </c>
      <c r="C448" s="16"/>
      <c r="D448" s="17"/>
      <c r="E448" s="18" t="s">
        <v>18</v>
      </c>
      <c r="F448" s="19" t="s">
        <v>196</v>
      </c>
      <c r="G448" s="6" t="s">
        <v>54</v>
      </c>
      <c r="H448" s="6" t="s">
        <v>197</v>
      </c>
      <c r="J448" s="7">
        <v>85</v>
      </c>
    </row>
    <row r="449" spans="1:10" x14ac:dyDescent="0.3">
      <c r="A449" s="20">
        <v>45870</v>
      </c>
      <c r="B449" s="16"/>
      <c r="C449" s="16">
        <v>35000</v>
      </c>
      <c r="D449" s="17"/>
      <c r="E449" s="18" t="s">
        <v>16</v>
      </c>
      <c r="F449" s="19"/>
      <c r="G449" s="6" t="s">
        <v>16</v>
      </c>
    </row>
    <row r="450" spans="1:10" x14ac:dyDescent="0.3">
      <c r="A450" s="20">
        <v>45871</v>
      </c>
      <c r="B450" s="16"/>
      <c r="C450" s="16">
        <v>3000</v>
      </c>
      <c r="D450" s="17"/>
      <c r="E450" s="18" t="s">
        <v>18</v>
      </c>
      <c r="F450" s="19" t="s">
        <v>274</v>
      </c>
      <c r="G450" s="6" t="s">
        <v>112</v>
      </c>
    </row>
    <row r="451" spans="1:10" x14ac:dyDescent="0.3">
      <c r="A451" s="20">
        <v>45871</v>
      </c>
      <c r="B451" s="16"/>
      <c r="C451" s="16">
        <v>15000</v>
      </c>
      <c r="D451" s="17"/>
      <c r="E451" s="18" t="s">
        <v>14</v>
      </c>
      <c r="F451" s="19"/>
      <c r="G451" s="6" t="s">
        <v>14</v>
      </c>
    </row>
    <row r="452" spans="1:10" x14ac:dyDescent="0.3">
      <c r="A452" s="20">
        <v>45871</v>
      </c>
      <c r="B452" s="16"/>
      <c r="C452" s="16">
        <v>2836.88</v>
      </c>
      <c r="D452" s="17"/>
      <c r="E452" s="18" t="s">
        <v>18</v>
      </c>
      <c r="F452" s="19" t="s">
        <v>27</v>
      </c>
      <c r="G452" s="6" t="s">
        <v>26</v>
      </c>
    </row>
    <row r="453" spans="1:10" x14ac:dyDescent="0.3">
      <c r="A453" s="26">
        <v>45868</v>
      </c>
      <c r="B453" s="27"/>
      <c r="C453" s="40">
        <v>20000</v>
      </c>
      <c r="D453" s="28"/>
      <c r="E453" s="29" t="s">
        <v>52</v>
      </c>
      <c r="F453" s="19" t="s">
        <v>275</v>
      </c>
      <c r="G453" s="31" t="s">
        <v>52</v>
      </c>
      <c r="H453" s="32"/>
      <c r="I453" s="33"/>
      <c r="J453" s="33"/>
    </row>
    <row r="454" spans="1:10" x14ac:dyDescent="0.3">
      <c r="A454" s="20">
        <v>45873</v>
      </c>
      <c r="B454" s="16">
        <v>40200</v>
      </c>
      <c r="C454" s="16"/>
      <c r="D454" s="17"/>
      <c r="E454" s="18" t="s">
        <v>18</v>
      </c>
      <c r="F454" s="19" t="s">
        <v>196</v>
      </c>
      <c r="G454" s="6" t="s">
        <v>54</v>
      </c>
      <c r="H454" s="6" t="s">
        <v>197</v>
      </c>
      <c r="J454" s="7">
        <v>88</v>
      </c>
    </row>
    <row r="455" spans="1:10" ht="26" x14ac:dyDescent="0.3">
      <c r="A455" s="20">
        <v>45874</v>
      </c>
      <c r="B455" s="16">
        <v>82000</v>
      </c>
      <c r="C455" s="16"/>
      <c r="D455" s="17"/>
      <c r="E455" s="18" t="s">
        <v>18</v>
      </c>
      <c r="F455" s="19" t="s">
        <v>276</v>
      </c>
      <c r="G455" s="6" t="s">
        <v>277</v>
      </c>
    </row>
    <row r="456" spans="1:10" ht="26" x14ac:dyDescent="0.3">
      <c r="A456" s="20">
        <v>45874</v>
      </c>
      <c r="B456" s="16"/>
      <c r="C456" s="16">
        <v>64000</v>
      </c>
      <c r="D456" s="17"/>
      <c r="E456" s="18" t="s">
        <v>18</v>
      </c>
      <c r="F456" s="19" t="s">
        <v>278</v>
      </c>
      <c r="G456" s="6" t="s">
        <v>277</v>
      </c>
    </row>
    <row r="457" spans="1:10" x14ac:dyDescent="0.3">
      <c r="A457" s="20">
        <v>45874</v>
      </c>
      <c r="B457" s="16"/>
      <c r="C457" s="16">
        <v>5000</v>
      </c>
      <c r="D457" s="17"/>
      <c r="E457" s="18" t="s">
        <v>14</v>
      </c>
      <c r="F457" s="19"/>
      <c r="G457" s="6" t="s">
        <v>14</v>
      </c>
    </row>
    <row r="458" spans="1:10" x14ac:dyDescent="0.3">
      <c r="A458" s="20">
        <v>45874</v>
      </c>
      <c r="B458" s="16"/>
      <c r="C458" s="16">
        <v>20000</v>
      </c>
      <c r="D458" s="17"/>
      <c r="E458" s="18" t="s">
        <v>117</v>
      </c>
      <c r="F458" s="19"/>
      <c r="G458" s="6" t="s">
        <v>117</v>
      </c>
    </row>
    <row r="459" spans="1:10" x14ac:dyDescent="0.3">
      <c r="A459" s="20">
        <v>45875</v>
      </c>
      <c r="B459" s="16"/>
      <c r="C459" s="16">
        <v>10000</v>
      </c>
      <c r="D459" s="17"/>
      <c r="E459" s="18" t="s">
        <v>14</v>
      </c>
      <c r="F459" s="19" t="s">
        <v>261</v>
      </c>
      <c r="G459" s="6" t="s">
        <v>14</v>
      </c>
    </row>
    <row r="460" spans="1:10" x14ac:dyDescent="0.3">
      <c r="A460" s="20">
        <v>45875</v>
      </c>
      <c r="B460" s="16"/>
      <c r="C460" s="16">
        <v>50000</v>
      </c>
      <c r="D460" s="17"/>
      <c r="E460" s="18" t="s">
        <v>91</v>
      </c>
      <c r="F460" s="19" t="s">
        <v>279</v>
      </c>
      <c r="G460" s="6" t="s">
        <v>93</v>
      </c>
      <c r="H460" s="6" t="s">
        <v>43</v>
      </c>
    </row>
    <row r="461" spans="1:10" x14ac:dyDescent="0.3">
      <c r="A461" s="20">
        <v>45875</v>
      </c>
      <c r="B461" s="16"/>
      <c r="C461" s="16">
        <v>13417</v>
      </c>
      <c r="D461" s="17"/>
      <c r="E461" s="18" t="s">
        <v>18</v>
      </c>
      <c r="F461" s="19" t="s">
        <v>280</v>
      </c>
      <c r="G461" s="6" t="s">
        <v>34</v>
      </c>
    </row>
    <row r="462" spans="1:10" x14ac:dyDescent="0.3">
      <c r="A462" s="20">
        <v>45875</v>
      </c>
      <c r="B462" s="16"/>
      <c r="C462" s="16">
        <v>20000</v>
      </c>
      <c r="D462" s="17"/>
      <c r="E462" s="18" t="s">
        <v>91</v>
      </c>
      <c r="F462" s="19" t="s">
        <v>93</v>
      </c>
      <c r="G462" s="6" t="s">
        <v>16</v>
      </c>
    </row>
    <row r="463" spans="1:10" x14ac:dyDescent="0.3">
      <c r="A463" s="20">
        <v>45875</v>
      </c>
      <c r="B463" s="16"/>
      <c r="C463" s="16">
        <v>2318</v>
      </c>
      <c r="D463" s="17"/>
      <c r="E463" s="18" t="s">
        <v>18</v>
      </c>
      <c r="F463" s="19" t="s">
        <v>280</v>
      </c>
      <c r="G463" s="6" t="s">
        <v>34</v>
      </c>
    </row>
    <row r="464" spans="1:10" x14ac:dyDescent="0.3">
      <c r="A464" s="20">
        <v>45876</v>
      </c>
      <c r="B464" s="16"/>
      <c r="C464" s="16">
        <v>29346.799999999999</v>
      </c>
      <c r="D464" s="17"/>
      <c r="E464" s="18" t="s">
        <v>18</v>
      </c>
      <c r="F464" s="19" t="s">
        <v>280</v>
      </c>
      <c r="G464" s="6" t="s">
        <v>34</v>
      </c>
    </row>
    <row r="465" spans="1:10" x14ac:dyDescent="0.3">
      <c r="A465" s="20">
        <v>45877</v>
      </c>
      <c r="B465" s="16"/>
      <c r="C465" s="16">
        <v>8000</v>
      </c>
      <c r="D465" s="17"/>
      <c r="E465" s="18" t="s">
        <v>434</v>
      </c>
      <c r="F465" s="19"/>
      <c r="G465" s="6" t="s">
        <v>434</v>
      </c>
    </row>
    <row r="466" spans="1:10" x14ac:dyDescent="0.3">
      <c r="A466" s="20">
        <v>45878</v>
      </c>
      <c r="B466" s="16"/>
      <c r="C466" s="16">
        <v>12000</v>
      </c>
      <c r="D466" s="17"/>
      <c r="E466" s="18" t="s">
        <v>14</v>
      </c>
      <c r="F466" s="19"/>
      <c r="G466" s="6" t="s">
        <v>14</v>
      </c>
    </row>
    <row r="467" spans="1:10" ht="52" x14ac:dyDescent="0.3">
      <c r="A467" s="20">
        <v>45878</v>
      </c>
      <c r="B467" s="16"/>
      <c r="C467" s="16">
        <v>30000</v>
      </c>
      <c r="D467" s="17"/>
      <c r="E467" s="18" t="s">
        <v>18</v>
      </c>
      <c r="F467" s="25" t="s">
        <v>281</v>
      </c>
      <c r="G467" s="6" t="s">
        <v>76</v>
      </c>
    </row>
    <row r="468" spans="1:10" x14ac:dyDescent="0.3">
      <c r="A468" s="20">
        <v>45879</v>
      </c>
      <c r="B468" s="16"/>
      <c r="C468" s="16">
        <v>2423</v>
      </c>
      <c r="D468" s="17"/>
      <c r="E468" s="18" t="s">
        <v>18</v>
      </c>
      <c r="F468" s="19" t="s">
        <v>27</v>
      </c>
      <c r="G468" s="6" t="s">
        <v>26</v>
      </c>
    </row>
    <row r="469" spans="1:10" x14ac:dyDescent="0.3">
      <c r="A469" s="20">
        <v>45879</v>
      </c>
      <c r="B469" s="16"/>
      <c r="C469" s="16">
        <v>2155</v>
      </c>
      <c r="D469" s="17"/>
      <c r="E469" s="18" t="s">
        <v>18</v>
      </c>
      <c r="F469" s="19" t="s">
        <v>27</v>
      </c>
      <c r="G469" s="6" t="s">
        <v>26</v>
      </c>
    </row>
    <row r="470" spans="1:10" x14ac:dyDescent="0.3">
      <c r="A470" s="20">
        <v>45879</v>
      </c>
      <c r="B470" s="16"/>
      <c r="C470" s="16">
        <v>11318</v>
      </c>
      <c r="D470" s="17"/>
      <c r="E470" s="18" t="s">
        <v>18</v>
      </c>
      <c r="F470" s="19" t="s">
        <v>282</v>
      </c>
      <c r="G470" s="6" t="s">
        <v>34</v>
      </c>
    </row>
    <row r="471" spans="1:10" x14ac:dyDescent="0.3">
      <c r="A471" s="20">
        <v>45879</v>
      </c>
      <c r="B471" s="16"/>
      <c r="C471" s="16">
        <v>3000</v>
      </c>
      <c r="D471" s="17"/>
      <c r="E471" s="18" t="s">
        <v>18</v>
      </c>
      <c r="F471" s="19" t="s">
        <v>253</v>
      </c>
      <c r="G471" s="6" t="s">
        <v>26</v>
      </c>
    </row>
    <row r="472" spans="1:10" x14ac:dyDescent="0.3">
      <c r="A472" s="20">
        <v>45879</v>
      </c>
      <c r="B472" s="16"/>
      <c r="C472" s="16">
        <v>2423</v>
      </c>
      <c r="D472" s="17"/>
      <c r="E472" s="18" t="s">
        <v>18</v>
      </c>
      <c r="F472" s="19" t="s">
        <v>27</v>
      </c>
      <c r="G472" s="6" t="s">
        <v>26</v>
      </c>
    </row>
    <row r="473" spans="1:10" x14ac:dyDescent="0.3">
      <c r="A473" s="20">
        <v>45880</v>
      </c>
      <c r="B473" s="16"/>
      <c r="C473" s="16">
        <v>5000</v>
      </c>
      <c r="D473" s="17"/>
      <c r="E473" s="18" t="s">
        <v>14</v>
      </c>
      <c r="F473" s="19"/>
      <c r="G473" s="6" t="s">
        <v>14</v>
      </c>
    </row>
    <row r="474" spans="1:10" x14ac:dyDescent="0.3">
      <c r="A474" s="20">
        <v>45880</v>
      </c>
      <c r="B474" s="16">
        <v>21260</v>
      </c>
      <c r="C474" s="16"/>
      <c r="D474" s="17"/>
      <c r="E474" s="18" t="s">
        <v>18</v>
      </c>
      <c r="F474" s="19" t="s">
        <v>177</v>
      </c>
      <c r="G474" s="6" t="s">
        <v>54</v>
      </c>
      <c r="H474" s="6" t="s">
        <v>177</v>
      </c>
      <c r="J474" s="7">
        <v>91</v>
      </c>
    </row>
    <row r="475" spans="1:10" x14ac:dyDescent="0.3">
      <c r="A475" s="20">
        <v>45881</v>
      </c>
      <c r="B475" s="16">
        <v>2590</v>
      </c>
      <c r="C475" s="16"/>
      <c r="D475" s="17"/>
      <c r="E475" s="18" t="s">
        <v>18</v>
      </c>
      <c r="F475" s="19" t="s">
        <v>270</v>
      </c>
      <c r="G475" s="6" t="s">
        <v>54</v>
      </c>
      <c r="H475" s="6" t="s">
        <v>271</v>
      </c>
      <c r="J475" s="7">
        <v>92</v>
      </c>
    </row>
    <row r="476" spans="1:10" x14ac:dyDescent="0.3">
      <c r="A476" s="20">
        <v>45881</v>
      </c>
      <c r="B476" s="16"/>
      <c r="C476" s="16">
        <v>12000</v>
      </c>
      <c r="D476" s="17"/>
      <c r="E476" s="18" t="s">
        <v>39</v>
      </c>
      <c r="F476" s="19" t="s">
        <v>40</v>
      </c>
      <c r="G476" s="6" t="s">
        <v>39</v>
      </c>
    </row>
    <row r="477" spans="1:10" x14ac:dyDescent="0.3">
      <c r="A477" s="20">
        <v>45882</v>
      </c>
      <c r="B477" s="16">
        <v>73600</v>
      </c>
      <c r="C477" s="16"/>
      <c r="D477" s="17"/>
      <c r="E477" s="18" t="s">
        <v>18</v>
      </c>
      <c r="F477" s="19" t="s">
        <v>196</v>
      </c>
      <c r="G477" s="6" t="s">
        <v>54</v>
      </c>
      <c r="H477" s="6" t="s">
        <v>197</v>
      </c>
      <c r="J477" s="7">
        <v>30</v>
      </c>
    </row>
    <row r="478" spans="1:10" x14ac:dyDescent="0.3">
      <c r="A478" s="20">
        <v>45882</v>
      </c>
      <c r="B478" s="16"/>
      <c r="C478" s="16">
        <v>1833</v>
      </c>
      <c r="D478" s="17"/>
      <c r="E478" s="18" t="s">
        <v>18</v>
      </c>
      <c r="F478" s="19" t="s">
        <v>27</v>
      </c>
      <c r="G478" s="6" t="s">
        <v>26</v>
      </c>
    </row>
    <row r="479" spans="1:10" x14ac:dyDescent="0.3">
      <c r="A479" s="20">
        <v>45882</v>
      </c>
      <c r="B479" s="16"/>
      <c r="C479" s="16">
        <v>20000</v>
      </c>
      <c r="D479" s="17"/>
      <c r="E479" s="18" t="s">
        <v>17</v>
      </c>
      <c r="F479" s="19" t="s">
        <v>194</v>
      </c>
      <c r="G479" s="6" t="s">
        <v>17</v>
      </c>
    </row>
    <row r="480" spans="1:10" x14ac:dyDescent="0.3">
      <c r="A480" s="20">
        <v>45882</v>
      </c>
      <c r="B480" s="16"/>
      <c r="C480" s="16">
        <v>25000</v>
      </c>
      <c r="D480" s="17"/>
      <c r="E480" s="18" t="s">
        <v>14</v>
      </c>
      <c r="F480" s="19" t="s">
        <v>194</v>
      </c>
      <c r="G480" s="6" t="s">
        <v>14</v>
      </c>
    </row>
    <row r="481" spans="1:10" x14ac:dyDescent="0.3">
      <c r="A481" s="20">
        <v>45882</v>
      </c>
      <c r="B481" s="16"/>
      <c r="C481" s="16">
        <v>30000</v>
      </c>
      <c r="D481" s="17"/>
      <c r="E481" s="18" t="s">
        <v>16</v>
      </c>
      <c r="F481" s="19" t="s">
        <v>283</v>
      </c>
      <c r="G481" s="6" t="s">
        <v>16</v>
      </c>
    </row>
    <row r="482" spans="1:10" x14ac:dyDescent="0.3">
      <c r="A482" s="20">
        <v>45882</v>
      </c>
      <c r="B482" s="16"/>
      <c r="C482" s="16">
        <v>30000</v>
      </c>
      <c r="D482" s="17"/>
      <c r="E482" s="18" t="s">
        <v>16</v>
      </c>
      <c r="F482" s="19" t="s">
        <v>105</v>
      </c>
      <c r="G482" s="6" t="s">
        <v>16</v>
      </c>
    </row>
    <row r="483" spans="1:10" x14ac:dyDescent="0.3">
      <c r="A483" s="20">
        <v>45882</v>
      </c>
      <c r="B483" s="16"/>
      <c r="C483" s="16">
        <v>15000</v>
      </c>
      <c r="D483" s="17"/>
      <c r="E483" s="18" t="s">
        <v>15</v>
      </c>
      <c r="F483" s="19"/>
      <c r="G483" s="6" t="s">
        <v>15</v>
      </c>
    </row>
    <row r="484" spans="1:10" x14ac:dyDescent="0.3">
      <c r="A484" s="20">
        <v>45882</v>
      </c>
      <c r="B484" s="16"/>
      <c r="C484" s="16">
        <v>230000</v>
      </c>
      <c r="D484" s="17"/>
      <c r="E484" s="18" t="s">
        <v>16</v>
      </c>
      <c r="F484" s="19"/>
      <c r="G484" s="7" t="s">
        <v>16</v>
      </c>
      <c r="H484" s="7"/>
    </row>
    <row r="485" spans="1:10" x14ac:dyDescent="0.3">
      <c r="A485" s="20">
        <v>45883</v>
      </c>
      <c r="B485" s="16"/>
      <c r="C485" s="16">
        <v>15000</v>
      </c>
      <c r="D485" s="17"/>
      <c r="E485" s="18" t="s">
        <v>14</v>
      </c>
      <c r="F485" s="19"/>
      <c r="G485" s="6" t="s">
        <v>14</v>
      </c>
    </row>
    <row r="486" spans="1:10" x14ac:dyDescent="0.3">
      <c r="A486" s="20">
        <v>45883</v>
      </c>
      <c r="B486" s="16"/>
      <c r="C486" s="16">
        <v>15000</v>
      </c>
      <c r="D486" s="17"/>
      <c r="E486" s="18" t="s">
        <v>70</v>
      </c>
      <c r="F486" s="19" t="s">
        <v>284</v>
      </c>
      <c r="G486" s="6" t="s">
        <v>110</v>
      </c>
      <c r="H486" s="6" t="s">
        <v>43</v>
      </c>
    </row>
    <row r="487" spans="1:10" ht="26" x14ac:dyDescent="0.3">
      <c r="A487" s="20">
        <v>45884</v>
      </c>
      <c r="B487" s="16">
        <v>2880</v>
      </c>
      <c r="C487" s="16"/>
      <c r="D487" s="17"/>
      <c r="E487" s="18" t="s">
        <v>18</v>
      </c>
      <c r="F487" s="19" t="s">
        <v>285</v>
      </c>
      <c r="G487" s="6" t="s">
        <v>54</v>
      </c>
      <c r="H487" s="6" t="s">
        <v>239</v>
      </c>
      <c r="J487" s="7">
        <v>94</v>
      </c>
    </row>
    <row r="488" spans="1:10" ht="26" x14ac:dyDescent="0.3">
      <c r="A488" s="20">
        <v>45884</v>
      </c>
      <c r="B488" s="16">
        <v>38540</v>
      </c>
      <c r="C488" s="16"/>
      <c r="D488" s="17"/>
      <c r="E488" s="18" t="s">
        <v>18</v>
      </c>
      <c r="F488" s="19" t="s">
        <v>286</v>
      </c>
      <c r="G488" s="6" t="s">
        <v>54</v>
      </c>
      <c r="H488" s="6" t="s">
        <v>287</v>
      </c>
      <c r="J488" s="7">
        <v>96</v>
      </c>
    </row>
    <row r="489" spans="1:10" ht="26" x14ac:dyDescent="0.3">
      <c r="A489" s="20">
        <v>45884</v>
      </c>
      <c r="B489" s="16"/>
      <c r="C489" s="16">
        <v>13500</v>
      </c>
      <c r="D489" s="17"/>
      <c r="E489" s="18" t="s">
        <v>31</v>
      </c>
      <c r="F489" s="22" t="s">
        <v>288</v>
      </c>
      <c r="G489" s="6" t="s">
        <v>31</v>
      </c>
    </row>
    <row r="490" spans="1:10" x14ac:dyDescent="0.3">
      <c r="A490" s="20">
        <v>45884</v>
      </c>
      <c r="B490" s="16"/>
      <c r="C490" s="16">
        <v>3249</v>
      </c>
      <c r="D490" s="17"/>
      <c r="E490" s="18" t="s">
        <v>18</v>
      </c>
      <c r="F490" s="19" t="s">
        <v>27</v>
      </c>
      <c r="G490" s="6" t="s">
        <v>26</v>
      </c>
    </row>
    <row r="491" spans="1:10" x14ac:dyDescent="0.3">
      <c r="A491" s="20">
        <v>45884</v>
      </c>
      <c r="B491" s="16"/>
      <c r="C491" s="16">
        <v>15000</v>
      </c>
      <c r="D491" s="17"/>
      <c r="E491" s="18" t="s">
        <v>14</v>
      </c>
      <c r="F491" s="19"/>
      <c r="G491" s="6" t="s">
        <v>14</v>
      </c>
    </row>
    <row r="492" spans="1:10" x14ac:dyDescent="0.3">
      <c r="A492" s="20">
        <v>45884</v>
      </c>
      <c r="B492" s="16"/>
      <c r="C492" s="16">
        <v>10000</v>
      </c>
      <c r="D492" s="17"/>
      <c r="E492" s="18" t="s">
        <v>23</v>
      </c>
      <c r="F492" s="19"/>
      <c r="G492" s="6" t="s">
        <v>23</v>
      </c>
    </row>
    <row r="493" spans="1:10" x14ac:dyDescent="0.3">
      <c r="A493" s="20">
        <v>45884</v>
      </c>
      <c r="B493" s="16"/>
      <c r="C493" s="16">
        <v>7000</v>
      </c>
      <c r="D493" s="17"/>
      <c r="E493" s="18" t="s">
        <v>273</v>
      </c>
      <c r="F493" s="19"/>
      <c r="G493" s="6" t="s">
        <v>273</v>
      </c>
    </row>
    <row r="494" spans="1:10" x14ac:dyDescent="0.3">
      <c r="A494" s="20">
        <v>45884</v>
      </c>
      <c r="B494" s="16"/>
      <c r="C494" s="16">
        <v>15000</v>
      </c>
      <c r="D494" s="17"/>
      <c r="E494" s="18" t="s">
        <v>273</v>
      </c>
      <c r="F494" s="19"/>
      <c r="G494" s="6" t="s">
        <v>273</v>
      </c>
    </row>
    <row r="495" spans="1:10" x14ac:dyDescent="0.3">
      <c r="A495" s="20">
        <v>45884</v>
      </c>
      <c r="B495" s="16"/>
      <c r="C495" s="16">
        <v>15000</v>
      </c>
      <c r="D495" s="17"/>
      <c r="E495" s="18" t="s">
        <v>23</v>
      </c>
      <c r="F495" s="19"/>
      <c r="G495" s="6" t="s">
        <v>23</v>
      </c>
    </row>
    <row r="496" spans="1:10" x14ac:dyDescent="0.3">
      <c r="A496" s="20">
        <v>45884</v>
      </c>
      <c r="B496" s="16"/>
      <c r="C496" s="16">
        <v>3026</v>
      </c>
      <c r="D496" s="17"/>
      <c r="E496" s="18" t="s">
        <v>18</v>
      </c>
      <c r="F496" s="19" t="s">
        <v>27</v>
      </c>
      <c r="G496" s="6" t="s">
        <v>26</v>
      </c>
    </row>
    <row r="497" spans="1:10" x14ac:dyDescent="0.3">
      <c r="A497" s="20">
        <v>45886</v>
      </c>
      <c r="B497" s="16"/>
      <c r="C497" s="16">
        <v>100000</v>
      </c>
      <c r="D497" s="17"/>
      <c r="E497" s="18" t="s">
        <v>16</v>
      </c>
      <c r="F497" s="19"/>
      <c r="G497" s="7" t="s">
        <v>16</v>
      </c>
      <c r="H497" s="7"/>
    </row>
    <row r="498" spans="1:10" x14ac:dyDescent="0.3">
      <c r="A498" s="20">
        <v>45887</v>
      </c>
      <c r="B498" s="16"/>
      <c r="C498" s="16">
        <v>2311</v>
      </c>
      <c r="D498" s="17"/>
      <c r="E498" s="18" t="s">
        <v>18</v>
      </c>
      <c r="F498" s="19" t="s">
        <v>27</v>
      </c>
      <c r="G498" s="6" t="s">
        <v>26</v>
      </c>
    </row>
    <row r="499" spans="1:10" x14ac:dyDescent="0.3">
      <c r="A499" s="20">
        <v>45887</v>
      </c>
      <c r="B499" s="16"/>
      <c r="C499" s="16">
        <v>25000</v>
      </c>
      <c r="D499" s="17"/>
      <c r="E499" s="18" t="s">
        <v>17</v>
      </c>
      <c r="F499" s="19"/>
      <c r="G499" s="7" t="s">
        <v>17</v>
      </c>
      <c r="H499" s="7"/>
    </row>
    <row r="500" spans="1:10" x14ac:dyDescent="0.3">
      <c r="A500" s="20">
        <v>45887</v>
      </c>
      <c r="B500" s="16"/>
      <c r="C500" s="16">
        <v>30000</v>
      </c>
      <c r="D500" s="17"/>
      <c r="E500" s="18" t="s">
        <v>14</v>
      </c>
      <c r="F500" s="19"/>
      <c r="G500" s="7" t="s">
        <v>14</v>
      </c>
      <c r="H500" s="7"/>
    </row>
    <row r="501" spans="1:10" ht="26" x14ac:dyDescent="0.3">
      <c r="A501" s="20">
        <v>45887</v>
      </c>
      <c r="B501" s="16"/>
      <c r="C501" s="16">
        <v>22500</v>
      </c>
      <c r="D501" s="17"/>
      <c r="E501" s="18" t="s">
        <v>18</v>
      </c>
      <c r="F501" s="19" t="s">
        <v>289</v>
      </c>
      <c r="G501" s="6" t="s">
        <v>26</v>
      </c>
    </row>
    <row r="502" spans="1:10" x14ac:dyDescent="0.3">
      <c r="A502" s="20">
        <v>45887</v>
      </c>
      <c r="B502" s="16"/>
      <c r="C502" s="16">
        <v>2310</v>
      </c>
      <c r="D502" s="17"/>
      <c r="E502" s="18" t="s">
        <v>18</v>
      </c>
      <c r="F502" s="19" t="s">
        <v>27</v>
      </c>
      <c r="G502" s="6" t="s">
        <v>26</v>
      </c>
    </row>
    <row r="503" spans="1:10" x14ac:dyDescent="0.3">
      <c r="A503" s="20">
        <v>45888</v>
      </c>
      <c r="B503" s="16"/>
      <c r="C503" s="16">
        <v>15000</v>
      </c>
      <c r="D503" s="17"/>
      <c r="E503" s="18" t="s">
        <v>434</v>
      </c>
      <c r="F503" s="19"/>
      <c r="G503" s="6" t="s">
        <v>434</v>
      </c>
    </row>
    <row r="504" spans="1:10" x14ac:dyDescent="0.3">
      <c r="A504" s="20">
        <v>45888</v>
      </c>
      <c r="B504" s="16"/>
      <c r="C504" s="16">
        <v>10000</v>
      </c>
      <c r="D504" s="17"/>
      <c r="E504" s="18" t="s">
        <v>10</v>
      </c>
      <c r="F504" s="19"/>
      <c r="G504" s="6" t="s">
        <v>10</v>
      </c>
      <c r="H504" s="7"/>
    </row>
    <row r="505" spans="1:10" x14ac:dyDescent="0.3">
      <c r="A505" s="20">
        <v>45888</v>
      </c>
      <c r="B505" s="16"/>
      <c r="C505" s="16">
        <v>200000</v>
      </c>
      <c r="D505" s="17"/>
      <c r="E505" s="18" t="s">
        <v>15</v>
      </c>
      <c r="F505" s="19"/>
      <c r="G505" s="7" t="s">
        <v>15</v>
      </c>
      <c r="H505" s="7"/>
    </row>
    <row r="506" spans="1:10" x14ac:dyDescent="0.3">
      <c r="A506" s="20">
        <v>45888</v>
      </c>
      <c r="B506" s="16">
        <v>2220</v>
      </c>
      <c r="C506" s="16"/>
      <c r="D506" s="17"/>
      <c r="E506" s="18" t="s">
        <v>18</v>
      </c>
      <c r="F506" s="19" t="s">
        <v>270</v>
      </c>
      <c r="G506" s="6" t="s">
        <v>54</v>
      </c>
      <c r="H506" s="6" t="s">
        <v>271</v>
      </c>
      <c r="J506" s="7">
        <v>98</v>
      </c>
    </row>
    <row r="507" spans="1:10" x14ac:dyDescent="0.3">
      <c r="A507" s="20">
        <v>45888</v>
      </c>
      <c r="B507" s="16"/>
      <c r="C507" s="16">
        <v>1870.2</v>
      </c>
      <c r="D507" s="17"/>
      <c r="E507" s="18" t="s">
        <v>18</v>
      </c>
      <c r="F507" s="19" t="s">
        <v>27</v>
      </c>
      <c r="G507" s="6" t="s">
        <v>26</v>
      </c>
    </row>
    <row r="508" spans="1:10" x14ac:dyDescent="0.3">
      <c r="A508" s="20">
        <v>45889</v>
      </c>
      <c r="B508" s="16"/>
      <c r="C508" s="16">
        <v>23000</v>
      </c>
      <c r="D508" s="17"/>
      <c r="E508" s="18" t="s">
        <v>23</v>
      </c>
      <c r="F508" s="19"/>
      <c r="G508" s="6" t="s">
        <v>23</v>
      </c>
    </row>
    <row r="509" spans="1:10" x14ac:dyDescent="0.3">
      <c r="A509" s="20">
        <v>45889</v>
      </c>
      <c r="B509" s="16"/>
      <c r="C509" s="16">
        <v>25000</v>
      </c>
      <c r="D509" s="17"/>
      <c r="E509" s="18" t="s">
        <v>434</v>
      </c>
      <c r="F509" s="19"/>
      <c r="G509" s="6" t="s">
        <v>434</v>
      </c>
    </row>
    <row r="510" spans="1:10" x14ac:dyDescent="0.3">
      <c r="A510" s="20">
        <v>45889</v>
      </c>
      <c r="B510" s="16">
        <v>170000</v>
      </c>
      <c r="C510" s="16"/>
      <c r="D510" s="17"/>
      <c r="E510" s="18" t="s">
        <v>18</v>
      </c>
      <c r="F510" s="19" t="s">
        <v>290</v>
      </c>
      <c r="G510" s="7" t="s">
        <v>291</v>
      </c>
      <c r="H510" s="7" t="s">
        <v>43</v>
      </c>
    </row>
    <row r="511" spans="1:10" x14ac:dyDescent="0.3">
      <c r="A511" s="20">
        <v>45889</v>
      </c>
      <c r="B511" s="16"/>
      <c r="C511" s="16">
        <v>10000</v>
      </c>
      <c r="D511" s="17"/>
      <c r="E511" s="18" t="s">
        <v>14</v>
      </c>
      <c r="F511" s="19"/>
      <c r="G511" s="7" t="s">
        <v>14</v>
      </c>
      <c r="H511" s="7"/>
    </row>
    <row r="512" spans="1:10" x14ac:dyDescent="0.3">
      <c r="A512" s="20">
        <v>45890</v>
      </c>
      <c r="B512" s="16"/>
      <c r="C512" s="16">
        <v>4183</v>
      </c>
      <c r="D512" s="17"/>
      <c r="E512" s="18" t="s">
        <v>18</v>
      </c>
      <c r="F512" s="19" t="s">
        <v>292</v>
      </c>
      <c r="G512" s="7" t="s">
        <v>26</v>
      </c>
      <c r="H512" s="7"/>
    </row>
    <row r="513" spans="1:10" x14ac:dyDescent="0.3">
      <c r="A513" s="20">
        <v>45890</v>
      </c>
      <c r="B513" s="16"/>
      <c r="C513" s="16">
        <v>150000</v>
      </c>
      <c r="D513" s="17"/>
      <c r="E513" s="18" t="s">
        <v>15</v>
      </c>
      <c r="F513" s="19" t="s">
        <v>171</v>
      </c>
      <c r="G513" s="7" t="s">
        <v>15</v>
      </c>
      <c r="H513" s="7"/>
    </row>
    <row r="514" spans="1:10" x14ac:dyDescent="0.3">
      <c r="A514" s="20">
        <v>45890</v>
      </c>
      <c r="B514" s="16">
        <v>600</v>
      </c>
      <c r="C514" s="16"/>
      <c r="D514" s="17"/>
      <c r="E514" s="18" t="s">
        <v>18</v>
      </c>
      <c r="F514" s="19" t="s">
        <v>293</v>
      </c>
      <c r="G514" s="6" t="s">
        <v>112</v>
      </c>
    </row>
    <row r="515" spans="1:10" ht="26" x14ac:dyDescent="0.3">
      <c r="A515" s="20">
        <v>45890</v>
      </c>
      <c r="B515" s="16"/>
      <c r="C515" s="16">
        <v>4182.7</v>
      </c>
      <c r="D515" s="17"/>
      <c r="E515" s="18" t="s">
        <v>18</v>
      </c>
      <c r="F515" s="19" t="s">
        <v>294</v>
      </c>
      <c r="G515" s="6" t="s">
        <v>76</v>
      </c>
    </row>
    <row r="516" spans="1:10" x14ac:dyDescent="0.3">
      <c r="A516" s="20">
        <v>45891</v>
      </c>
      <c r="B516" s="16"/>
      <c r="C516" s="16">
        <v>67400</v>
      </c>
      <c r="D516" s="17"/>
      <c r="E516" s="18" t="s">
        <v>73</v>
      </c>
      <c r="F516" s="19" t="s">
        <v>295</v>
      </c>
      <c r="G516" s="6" t="s">
        <v>26</v>
      </c>
    </row>
    <row r="517" spans="1:10" ht="26" x14ac:dyDescent="0.3">
      <c r="A517" s="20">
        <v>45891</v>
      </c>
      <c r="B517" s="16"/>
      <c r="C517" s="16">
        <v>22800</v>
      </c>
      <c r="D517" s="17"/>
      <c r="E517" s="18" t="s">
        <v>18</v>
      </c>
      <c r="F517" s="19" t="s">
        <v>296</v>
      </c>
      <c r="G517" s="7" t="s">
        <v>63</v>
      </c>
      <c r="H517" s="7"/>
    </row>
    <row r="518" spans="1:10" x14ac:dyDescent="0.3">
      <c r="A518" s="20">
        <v>45891</v>
      </c>
      <c r="B518" s="16"/>
      <c r="C518" s="16">
        <v>130000</v>
      </c>
      <c r="D518" s="17"/>
      <c r="E518" s="18" t="s">
        <v>14</v>
      </c>
      <c r="F518" s="19"/>
      <c r="G518" s="7" t="s">
        <v>14</v>
      </c>
      <c r="H518" s="7"/>
    </row>
    <row r="519" spans="1:10" x14ac:dyDescent="0.3">
      <c r="A519" s="20">
        <v>45891</v>
      </c>
      <c r="B519" s="16"/>
      <c r="C519" s="16">
        <v>941</v>
      </c>
      <c r="D519" s="17"/>
      <c r="E519" s="18" t="s">
        <v>18</v>
      </c>
      <c r="F519" s="19" t="s">
        <v>157</v>
      </c>
      <c r="G519" s="6" t="s">
        <v>26</v>
      </c>
    </row>
    <row r="520" spans="1:10" x14ac:dyDescent="0.3">
      <c r="A520" s="20">
        <v>45891</v>
      </c>
      <c r="B520" s="16"/>
      <c r="C520" s="16">
        <v>15000</v>
      </c>
      <c r="D520" s="17"/>
      <c r="E520" s="18" t="s">
        <v>14</v>
      </c>
      <c r="F520" s="19" t="s">
        <v>194</v>
      </c>
      <c r="G520" s="6" t="s">
        <v>14</v>
      </c>
    </row>
    <row r="521" spans="1:10" x14ac:dyDescent="0.3">
      <c r="A521" s="20">
        <v>45891</v>
      </c>
      <c r="B521" s="16"/>
      <c r="C521" s="16">
        <v>10000</v>
      </c>
      <c r="D521" s="17"/>
      <c r="E521" s="18" t="s">
        <v>14</v>
      </c>
      <c r="F521" s="19"/>
      <c r="G521" s="6" t="s">
        <v>14</v>
      </c>
    </row>
    <row r="522" spans="1:10" ht="26" x14ac:dyDescent="0.3">
      <c r="A522" s="20">
        <v>45892</v>
      </c>
      <c r="B522" s="16"/>
      <c r="C522" s="16">
        <v>1519</v>
      </c>
      <c r="D522" s="17"/>
      <c r="E522" s="18" t="s">
        <v>18</v>
      </c>
      <c r="F522" s="19" t="s">
        <v>297</v>
      </c>
      <c r="G522" s="6" t="s">
        <v>76</v>
      </c>
    </row>
    <row r="523" spans="1:10" x14ac:dyDescent="0.3">
      <c r="A523" s="20">
        <v>45892</v>
      </c>
      <c r="B523" s="16"/>
      <c r="C523" s="16">
        <v>2078</v>
      </c>
      <c r="D523" s="17"/>
      <c r="E523" s="18" t="s">
        <v>18</v>
      </c>
      <c r="F523" s="19" t="s">
        <v>27</v>
      </c>
      <c r="G523" s="6" t="s">
        <v>26</v>
      </c>
    </row>
    <row r="524" spans="1:10" x14ac:dyDescent="0.3">
      <c r="A524" s="20">
        <v>45893</v>
      </c>
      <c r="B524" s="16"/>
      <c r="C524" s="16">
        <v>3614</v>
      </c>
      <c r="D524" s="17"/>
      <c r="E524" s="18" t="s">
        <v>18</v>
      </c>
      <c r="F524" s="19" t="s">
        <v>27</v>
      </c>
      <c r="G524" s="6" t="s">
        <v>26</v>
      </c>
    </row>
    <row r="525" spans="1:10" ht="39" x14ac:dyDescent="0.3">
      <c r="A525" s="20">
        <v>45894</v>
      </c>
      <c r="B525" s="16"/>
      <c r="C525" s="16">
        <v>10000</v>
      </c>
      <c r="D525" s="17"/>
      <c r="E525" s="18" t="s">
        <v>18</v>
      </c>
      <c r="F525" s="41" t="s">
        <v>298</v>
      </c>
      <c r="G525" s="6" t="s">
        <v>54</v>
      </c>
      <c r="H525" s="6" t="s">
        <v>299</v>
      </c>
      <c r="I525" s="7" t="s">
        <v>85</v>
      </c>
      <c r="J525" s="7">
        <v>3</v>
      </c>
    </row>
    <row r="526" spans="1:10" x14ac:dyDescent="0.3">
      <c r="A526" s="20">
        <v>45894</v>
      </c>
      <c r="B526" s="16"/>
      <c r="C526" s="16">
        <v>41600</v>
      </c>
      <c r="D526" s="17"/>
      <c r="E526" s="18" t="s">
        <v>18</v>
      </c>
      <c r="F526" s="19" t="s">
        <v>300</v>
      </c>
      <c r="G526" s="7" t="s">
        <v>26</v>
      </c>
      <c r="H526" s="7"/>
    </row>
    <row r="527" spans="1:10" x14ac:dyDescent="0.3">
      <c r="A527" s="20">
        <v>45894</v>
      </c>
      <c r="B527" s="16"/>
      <c r="C527" s="16">
        <v>10000</v>
      </c>
      <c r="D527" s="17"/>
      <c r="E527" s="18" t="s">
        <v>18</v>
      </c>
      <c r="F527" s="19" t="s">
        <v>301</v>
      </c>
      <c r="G527" s="7" t="s">
        <v>26</v>
      </c>
      <c r="H527" s="7"/>
    </row>
    <row r="528" spans="1:10" x14ac:dyDescent="0.3">
      <c r="A528" s="20">
        <v>45894</v>
      </c>
      <c r="B528" s="16">
        <v>65500</v>
      </c>
      <c r="C528" s="16"/>
      <c r="D528" s="17"/>
      <c r="E528" s="18" t="s">
        <v>18</v>
      </c>
      <c r="F528" s="19" t="s">
        <v>196</v>
      </c>
      <c r="G528" s="6" t="s">
        <v>54</v>
      </c>
      <c r="H528" s="6" t="s">
        <v>197</v>
      </c>
      <c r="J528" s="7">
        <v>99</v>
      </c>
    </row>
    <row r="529" spans="1:10" x14ac:dyDescent="0.3">
      <c r="A529" s="20">
        <v>45894</v>
      </c>
      <c r="B529" s="16">
        <v>31600</v>
      </c>
      <c r="C529" s="16"/>
      <c r="D529" s="17"/>
      <c r="E529" s="18" t="s">
        <v>18</v>
      </c>
      <c r="F529" s="19" t="s">
        <v>196</v>
      </c>
      <c r="G529" s="6" t="s">
        <v>54</v>
      </c>
      <c r="H529" s="6" t="s">
        <v>197</v>
      </c>
      <c r="J529" s="7">
        <v>99</v>
      </c>
    </row>
    <row r="530" spans="1:10" x14ac:dyDescent="0.3">
      <c r="A530" s="20">
        <v>45894</v>
      </c>
      <c r="B530" s="16"/>
      <c r="C530" s="16">
        <f>310000+15000</f>
        <v>325000</v>
      </c>
      <c r="D530" s="17"/>
      <c r="E530" s="18" t="s">
        <v>16</v>
      </c>
      <c r="F530" s="19"/>
      <c r="G530" s="7" t="s">
        <v>16</v>
      </c>
      <c r="H530" s="7"/>
    </row>
    <row r="531" spans="1:10" ht="16.25" customHeight="1" x14ac:dyDescent="0.3">
      <c r="A531" s="20">
        <v>45894</v>
      </c>
      <c r="B531" s="16"/>
      <c r="C531" s="16">
        <v>1000</v>
      </c>
      <c r="D531" s="17"/>
      <c r="E531" s="18" t="s">
        <v>14</v>
      </c>
      <c r="F531" s="19"/>
      <c r="G531" s="6" t="s">
        <v>14</v>
      </c>
    </row>
    <row r="532" spans="1:10" ht="39" x14ac:dyDescent="0.3">
      <c r="A532" s="20">
        <v>45895</v>
      </c>
      <c r="B532" s="16"/>
      <c r="C532" s="16">
        <v>35000</v>
      </c>
      <c r="D532" s="17"/>
      <c r="E532" s="18" t="s">
        <v>18</v>
      </c>
      <c r="F532" s="41" t="s">
        <v>302</v>
      </c>
      <c r="G532" s="6" t="s">
        <v>54</v>
      </c>
      <c r="H532" s="6" t="s">
        <v>299</v>
      </c>
      <c r="I532" s="7" t="s">
        <v>85</v>
      </c>
      <c r="J532" s="7">
        <v>3</v>
      </c>
    </row>
    <row r="533" spans="1:10" x14ac:dyDescent="0.3">
      <c r="A533" s="20">
        <v>45895</v>
      </c>
      <c r="B533" s="16"/>
      <c r="C533" s="16">
        <v>2500</v>
      </c>
      <c r="D533" s="17"/>
      <c r="E533" s="18" t="s">
        <v>14</v>
      </c>
      <c r="F533" s="19"/>
      <c r="G533" s="7" t="s">
        <v>14</v>
      </c>
      <c r="H533" s="7"/>
    </row>
    <row r="534" spans="1:10" x14ac:dyDescent="0.3">
      <c r="A534" s="20">
        <v>45895</v>
      </c>
      <c r="B534" s="16"/>
      <c r="C534" s="16">
        <v>825</v>
      </c>
      <c r="D534" s="17"/>
      <c r="E534" s="18" t="s">
        <v>18</v>
      </c>
      <c r="F534" s="19" t="s">
        <v>157</v>
      </c>
      <c r="G534" s="6" t="s">
        <v>112</v>
      </c>
    </row>
    <row r="535" spans="1:10" x14ac:dyDescent="0.3">
      <c r="A535" s="20">
        <v>45896</v>
      </c>
      <c r="B535" s="16"/>
      <c r="C535" s="16">
        <v>25000</v>
      </c>
      <c r="D535" s="17"/>
      <c r="E535" s="18" t="s">
        <v>303</v>
      </c>
      <c r="F535" s="19"/>
      <c r="G535" s="6" t="s">
        <v>303</v>
      </c>
    </row>
    <row r="536" spans="1:10" x14ac:dyDescent="0.3">
      <c r="A536" s="20">
        <v>45896</v>
      </c>
      <c r="B536" s="16"/>
      <c r="C536" s="16">
        <v>12000</v>
      </c>
      <c r="D536" s="17"/>
      <c r="E536" s="18" t="s">
        <v>18</v>
      </c>
      <c r="F536" s="25" t="s">
        <v>304</v>
      </c>
      <c r="G536" s="6" t="s">
        <v>54</v>
      </c>
      <c r="H536" s="6" t="s">
        <v>299</v>
      </c>
      <c r="J536" s="7">
        <v>3</v>
      </c>
    </row>
    <row r="537" spans="1:10" x14ac:dyDescent="0.3">
      <c r="A537" s="20">
        <v>45896</v>
      </c>
      <c r="B537" s="16"/>
      <c r="C537" s="16">
        <v>40000</v>
      </c>
      <c r="D537" s="17"/>
      <c r="E537" s="18" t="s">
        <v>14</v>
      </c>
      <c r="F537" s="19"/>
      <c r="G537" s="7" t="s">
        <v>14</v>
      </c>
      <c r="H537" s="7"/>
    </row>
    <row r="538" spans="1:10" x14ac:dyDescent="0.3">
      <c r="A538" s="20">
        <v>45897</v>
      </c>
      <c r="B538" s="16"/>
      <c r="C538" s="16">
        <v>20000</v>
      </c>
      <c r="D538" s="17"/>
      <c r="E538" s="18" t="s">
        <v>17</v>
      </c>
      <c r="F538" s="19"/>
      <c r="G538" s="7" t="s">
        <v>17</v>
      </c>
      <c r="H538" s="7"/>
    </row>
    <row r="539" spans="1:10" ht="26" x14ac:dyDescent="0.3">
      <c r="A539" s="20">
        <v>45898</v>
      </c>
      <c r="B539" s="16">
        <v>28000</v>
      </c>
      <c r="C539" s="16"/>
      <c r="D539" s="17"/>
      <c r="E539" s="18" t="s">
        <v>18</v>
      </c>
      <c r="F539" s="19" t="s">
        <v>305</v>
      </c>
      <c r="G539" s="7" t="s">
        <v>54</v>
      </c>
      <c r="H539" s="7" t="s">
        <v>257</v>
      </c>
      <c r="J539" s="7">
        <v>56</v>
      </c>
    </row>
    <row r="540" spans="1:10" x14ac:dyDescent="0.3">
      <c r="A540" s="20">
        <v>45898</v>
      </c>
      <c r="B540" s="16"/>
      <c r="C540" s="16">
        <v>82838</v>
      </c>
      <c r="D540" s="17"/>
      <c r="E540" s="18" t="s">
        <v>73</v>
      </c>
      <c r="F540" s="19" t="s">
        <v>224</v>
      </c>
      <c r="G540" s="7" t="s">
        <v>26</v>
      </c>
      <c r="H540" s="7"/>
    </row>
    <row r="541" spans="1:10" x14ac:dyDescent="0.3">
      <c r="A541" s="20">
        <v>45898</v>
      </c>
      <c r="B541" s="16"/>
      <c r="C541" s="16">
        <v>10000</v>
      </c>
      <c r="D541" s="17"/>
      <c r="E541" s="18" t="s">
        <v>23</v>
      </c>
      <c r="F541" s="19"/>
      <c r="G541" s="6" t="s">
        <v>23</v>
      </c>
    </row>
    <row r="542" spans="1:10" x14ac:dyDescent="0.3">
      <c r="A542" s="20">
        <v>45899</v>
      </c>
      <c r="B542" s="16"/>
      <c r="C542" s="16">
        <v>205000</v>
      </c>
      <c r="D542" s="17"/>
      <c r="E542" s="18" t="s">
        <v>16</v>
      </c>
      <c r="F542" s="19"/>
      <c r="G542" s="7" t="s">
        <v>16</v>
      </c>
      <c r="H542" s="7"/>
    </row>
    <row r="543" spans="1:10" x14ac:dyDescent="0.3">
      <c r="A543" s="20">
        <v>45900</v>
      </c>
      <c r="B543" s="16"/>
      <c r="C543" s="16">
        <v>35000</v>
      </c>
      <c r="D543" s="17"/>
      <c r="E543" s="18" t="s">
        <v>14</v>
      </c>
      <c r="F543" s="19"/>
      <c r="G543" s="7" t="s">
        <v>14</v>
      </c>
      <c r="H543" s="7"/>
    </row>
    <row r="544" spans="1:10" x14ac:dyDescent="0.3">
      <c r="A544" s="20">
        <v>45900</v>
      </c>
      <c r="B544" s="16"/>
      <c r="C544" s="16">
        <v>50000</v>
      </c>
      <c r="D544" s="17"/>
      <c r="E544" s="18" t="s">
        <v>16</v>
      </c>
      <c r="F544" s="19" t="s">
        <v>105</v>
      </c>
      <c r="G544" s="6" t="s">
        <v>16</v>
      </c>
    </row>
    <row r="545" spans="1:10" x14ac:dyDescent="0.3">
      <c r="A545" s="20">
        <v>45900</v>
      </c>
      <c r="B545" s="16"/>
      <c r="C545" s="16">
        <f>1016+7450</f>
        <v>8466</v>
      </c>
      <c r="D545" s="17"/>
      <c r="E545" s="18" t="s">
        <v>18</v>
      </c>
      <c r="F545" s="19" t="s">
        <v>306</v>
      </c>
      <c r="G545" s="6" t="s">
        <v>34</v>
      </c>
    </row>
    <row r="546" spans="1:10" x14ac:dyDescent="0.3">
      <c r="A546" s="20">
        <v>45900</v>
      </c>
      <c r="B546" s="16"/>
      <c r="C546" s="16">
        <v>3111</v>
      </c>
      <c r="D546" s="17"/>
      <c r="E546" s="18" t="s">
        <v>18</v>
      </c>
      <c r="F546" s="19" t="s">
        <v>27</v>
      </c>
      <c r="G546" s="6" t="s">
        <v>26</v>
      </c>
    </row>
    <row r="547" spans="1:10" x14ac:dyDescent="0.3">
      <c r="A547" s="20">
        <v>45901</v>
      </c>
      <c r="B547" s="16"/>
      <c r="C547" s="16">
        <v>70000</v>
      </c>
      <c r="D547" s="17"/>
      <c r="E547" s="18" t="s">
        <v>15</v>
      </c>
      <c r="F547" s="19"/>
      <c r="G547" s="7" t="s">
        <v>15</v>
      </c>
      <c r="H547" s="7"/>
    </row>
    <row r="548" spans="1:10" x14ac:dyDescent="0.3">
      <c r="A548" s="20">
        <v>45901</v>
      </c>
      <c r="B548" s="16"/>
      <c r="C548" s="16">
        <v>25000</v>
      </c>
      <c r="D548" s="17"/>
      <c r="E548" s="18" t="s">
        <v>18</v>
      </c>
      <c r="F548" s="19" t="s">
        <v>307</v>
      </c>
      <c r="G548" s="7" t="s">
        <v>34</v>
      </c>
      <c r="H548" s="7"/>
    </row>
    <row r="549" spans="1:10" x14ac:dyDescent="0.3">
      <c r="A549" s="20">
        <v>45901</v>
      </c>
      <c r="B549" s="16"/>
      <c r="C549" s="16">
        <v>6000</v>
      </c>
      <c r="D549" s="17"/>
      <c r="E549" s="18" t="s">
        <v>18</v>
      </c>
      <c r="F549" s="19" t="s">
        <v>308</v>
      </c>
      <c r="G549" s="7" t="s">
        <v>34</v>
      </c>
      <c r="H549" s="7"/>
    </row>
    <row r="550" spans="1:10" x14ac:dyDescent="0.3">
      <c r="A550" s="20">
        <v>45901</v>
      </c>
      <c r="B550" s="16">
        <v>14000</v>
      </c>
      <c r="C550" s="16"/>
      <c r="D550" s="17"/>
      <c r="E550" s="18" t="s">
        <v>18</v>
      </c>
      <c r="F550" s="19" t="s">
        <v>196</v>
      </c>
      <c r="G550" s="6" t="s">
        <v>54</v>
      </c>
      <c r="H550" s="6" t="s">
        <v>197</v>
      </c>
      <c r="J550" s="7">
        <v>99</v>
      </c>
    </row>
    <row r="551" spans="1:10" x14ac:dyDescent="0.3">
      <c r="A551" s="20">
        <v>45902</v>
      </c>
      <c r="B551" s="16"/>
      <c r="C551" s="16">
        <v>15000</v>
      </c>
      <c r="D551" s="17"/>
      <c r="E551" s="18" t="s">
        <v>434</v>
      </c>
      <c r="F551" s="19" t="s">
        <v>309</v>
      </c>
      <c r="G551" s="6" t="s">
        <v>434</v>
      </c>
      <c r="H551" s="7"/>
    </row>
    <row r="552" spans="1:10" x14ac:dyDescent="0.3">
      <c r="A552" s="20">
        <v>45902</v>
      </c>
      <c r="B552" s="16"/>
      <c r="C552" s="16">
        <v>100000</v>
      </c>
      <c r="D552" s="17"/>
      <c r="E552" s="18" t="s">
        <v>14</v>
      </c>
      <c r="F552" s="19"/>
      <c r="G552" s="7" t="s">
        <v>14</v>
      </c>
      <c r="H552" s="7"/>
    </row>
    <row r="553" spans="1:10" x14ac:dyDescent="0.3">
      <c r="A553" s="20">
        <v>45902</v>
      </c>
      <c r="B553" s="16"/>
      <c r="C553" s="16">
        <v>15000</v>
      </c>
      <c r="D553" s="17"/>
      <c r="E553" s="18" t="s">
        <v>14</v>
      </c>
      <c r="F553" s="19"/>
      <c r="G553" s="7" t="s">
        <v>14</v>
      </c>
      <c r="H553" s="7"/>
    </row>
    <row r="554" spans="1:10" x14ac:dyDescent="0.3">
      <c r="A554" s="20">
        <v>45902</v>
      </c>
      <c r="B554" s="16"/>
      <c r="C554" s="16">
        <v>33000</v>
      </c>
      <c r="D554" s="17"/>
      <c r="E554" s="18" t="s">
        <v>273</v>
      </c>
      <c r="F554" s="19"/>
      <c r="G554" s="7" t="s">
        <v>273</v>
      </c>
      <c r="H554" s="7"/>
    </row>
    <row r="555" spans="1:10" x14ac:dyDescent="0.3">
      <c r="A555" s="20">
        <v>45902</v>
      </c>
      <c r="B555" s="16"/>
      <c r="C555" s="16">
        <f>31000+4000</f>
        <v>35000</v>
      </c>
      <c r="D555" s="17"/>
      <c r="E555" s="18" t="s">
        <v>310</v>
      </c>
      <c r="F555" s="19" t="s">
        <v>311</v>
      </c>
      <c r="G555" s="7" t="s">
        <v>310</v>
      </c>
      <c r="H555" s="7"/>
    </row>
    <row r="556" spans="1:10" x14ac:dyDescent="0.3">
      <c r="A556" s="20">
        <v>45902</v>
      </c>
      <c r="B556" s="16"/>
      <c r="C556" s="16">
        <v>53000</v>
      </c>
      <c r="D556" s="17"/>
      <c r="E556" s="18" t="s">
        <v>23</v>
      </c>
      <c r="F556" s="19"/>
      <c r="G556" s="7" t="s">
        <v>23</v>
      </c>
      <c r="H556" s="7"/>
    </row>
    <row r="557" spans="1:10" ht="14" customHeight="1" x14ac:dyDescent="0.3">
      <c r="A557" s="20">
        <v>45902</v>
      </c>
      <c r="B557" s="16"/>
      <c r="C557" s="16">
        <v>25000</v>
      </c>
      <c r="D557" s="17"/>
      <c r="E557" s="18" t="s">
        <v>17</v>
      </c>
      <c r="F557" s="19"/>
      <c r="G557" s="7" t="s">
        <v>17</v>
      </c>
      <c r="H557" s="7"/>
    </row>
    <row r="558" spans="1:10" x14ac:dyDescent="0.3">
      <c r="A558" s="20">
        <v>45902</v>
      </c>
      <c r="B558" s="16"/>
      <c r="C558" s="16">
        <v>120000</v>
      </c>
      <c r="D558" s="17"/>
      <c r="E558" s="18" t="s">
        <v>15</v>
      </c>
      <c r="F558" s="19"/>
      <c r="G558" s="7" t="s">
        <v>15</v>
      </c>
      <c r="H558" s="7"/>
    </row>
    <row r="559" spans="1:10" ht="15" customHeight="1" x14ac:dyDescent="0.3">
      <c r="A559" s="20">
        <v>45902</v>
      </c>
      <c r="B559" s="16"/>
      <c r="C559" s="16">
        <v>135000</v>
      </c>
      <c r="D559" s="17"/>
      <c r="E559" s="18" t="s">
        <v>16</v>
      </c>
      <c r="F559" s="19"/>
      <c r="G559" s="7" t="s">
        <v>16</v>
      </c>
      <c r="H559" s="7"/>
    </row>
    <row r="560" spans="1:10" ht="26" x14ac:dyDescent="0.3">
      <c r="A560" s="20">
        <v>45903</v>
      </c>
      <c r="B560" s="16">
        <v>1000000</v>
      </c>
      <c r="C560" s="16"/>
      <c r="D560" s="17"/>
      <c r="E560" s="18" t="s">
        <v>165</v>
      </c>
      <c r="F560" s="25" t="s">
        <v>312</v>
      </c>
      <c r="G560" s="6" t="s">
        <v>107</v>
      </c>
      <c r="H560" s="7" t="s">
        <v>133</v>
      </c>
    </row>
    <row r="561" spans="1:10" x14ac:dyDescent="0.3">
      <c r="A561" s="20">
        <v>45903</v>
      </c>
      <c r="B561" s="16"/>
      <c r="C561" s="16">
        <v>30000</v>
      </c>
      <c r="D561" s="17"/>
      <c r="E561" s="18" t="s">
        <v>434</v>
      </c>
      <c r="F561" s="19" t="s">
        <v>313</v>
      </c>
      <c r="G561" s="6" t="s">
        <v>434</v>
      </c>
      <c r="H561" s="7"/>
    </row>
    <row r="562" spans="1:10" x14ac:dyDescent="0.3">
      <c r="A562" s="20">
        <v>45903</v>
      </c>
      <c r="B562" s="16"/>
      <c r="C562" s="24">
        <v>20000</v>
      </c>
      <c r="D562" s="17"/>
      <c r="E562" s="18" t="s">
        <v>52</v>
      </c>
      <c r="F562" s="19" t="s">
        <v>314</v>
      </c>
      <c r="G562" s="6" t="s">
        <v>52</v>
      </c>
      <c r="H562" s="7"/>
    </row>
    <row r="563" spans="1:10" ht="14.4" customHeight="1" x14ac:dyDescent="0.3">
      <c r="A563" s="20">
        <v>45903</v>
      </c>
      <c r="B563" s="16"/>
      <c r="C563" s="16">
        <v>70000</v>
      </c>
      <c r="D563" s="17"/>
      <c r="E563" s="18" t="s">
        <v>18</v>
      </c>
      <c r="F563" s="19" t="s">
        <v>315</v>
      </c>
      <c r="G563" s="7" t="s">
        <v>291</v>
      </c>
      <c r="H563" s="7" t="s">
        <v>43</v>
      </c>
    </row>
    <row r="564" spans="1:10" x14ac:dyDescent="0.3">
      <c r="A564" s="20">
        <v>45903</v>
      </c>
      <c r="B564" s="16"/>
      <c r="C564" s="16">
        <v>71852</v>
      </c>
      <c r="D564" s="17"/>
      <c r="E564" s="18" t="s">
        <v>73</v>
      </c>
      <c r="F564" s="19" t="s">
        <v>221</v>
      </c>
      <c r="G564" s="7" t="s">
        <v>26</v>
      </c>
      <c r="H564" s="7"/>
    </row>
    <row r="565" spans="1:10" ht="14" customHeight="1" x14ac:dyDescent="0.3">
      <c r="A565" s="20">
        <v>45903</v>
      </c>
      <c r="B565" s="16"/>
      <c r="C565" s="16">
        <v>70000</v>
      </c>
      <c r="D565" s="17"/>
      <c r="E565" s="18" t="s">
        <v>200</v>
      </c>
      <c r="F565" s="19" t="s">
        <v>221</v>
      </c>
      <c r="G565" s="7" t="s">
        <v>26</v>
      </c>
      <c r="H565" s="7"/>
    </row>
    <row r="566" spans="1:10" x14ac:dyDescent="0.3">
      <c r="A566" s="20">
        <v>45903</v>
      </c>
      <c r="B566" s="16"/>
      <c r="C566" s="16">
        <v>2876</v>
      </c>
      <c r="D566" s="17"/>
      <c r="E566" s="18" t="s">
        <v>18</v>
      </c>
      <c r="F566" s="19" t="s">
        <v>27</v>
      </c>
      <c r="G566" s="6" t="s">
        <v>26</v>
      </c>
    </row>
    <row r="567" spans="1:10" ht="26" x14ac:dyDescent="0.3">
      <c r="A567" s="20">
        <v>45904</v>
      </c>
      <c r="B567" s="16"/>
      <c r="C567" s="16">
        <v>70000</v>
      </c>
      <c r="D567" s="17"/>
      <c r="E567" s="18" t="s">
        <v>18</v>
      </c>
      <c r="F567" s="19" t="s">
        <v>316</v>
      </c>
      <c r="G567" s="7" t="s">
        <v>291</v>
      </c>
      <c r="H567" s="7" t="s">
        <v>43</v>
      </c>
    </row>
    <row r="568" spans="1:10" x14ac:dyDescent="0.3">
      <c r="A568" s="20">
        <v>45904</v>
      </c>
      <c r="B568" s="16">
        <v>35000</v>
      </c>
      <c r="C568" s="16"/>
      <c r="D568" s="17"/>
      <c r="E568" s="18" t="s">
        <v>18</v>
      </c>
      <c r="F568" s="19" t="s">
        <v>317</v>
      </c>
      <c r="G568" s="7" t="s">
        <v>54</v>
      </c>
      <c r="H568" s="7" t="s">
        <v>318</v>
      </c>
      <c r="J568" s="7">
        <v>103</v>
      </c>
    </row>
    <row r="569" spans="1:10" x14ac:dyDescent="0.3">
      <c r="A569" s="20">
        <v>45904</v>
      </c>
      <c r="B569" s="16"/>
      <c r="C569" s="16">
        <v>20000</v>
      </c>
      <c r="D569" s="17"/>
      <c r="E569" s="18" t="s">
        <v>14</v>
      </c>
      <c r="F569" s="19" t="s">
        <v>319</v>
      </c>
      <c r="G569" s="6" t="s">
        <v>14</v>
      </c>
    </row>
    <row r="570" spans="1:10" ht="26" x14ac:dyDescent="0.3">
      <c r="A570" s="20">
        <v>45904</v>
      </c>
      <c r="B570" s="16"/>
      <c r="C570" s="16">
        <v>30000</v>
      </c>
      <c r="D570" s="17"/>
      <c r="E570" s="18" t="s">
        <v>18</v>
      </c>
      <c r="F570" s="19" t="s">
        <v>320</v>
      </c>
      <c r="G570" s="7" t="s">
        <v>291</v>
      </c>
      <c r="H570" s="7" t="s">
        <v>43</v>
      </c>
    </row>
    <row r="571" spans="1:10" x14ac:dyDescent="0.3">
      <c r="A571" s="20">
        <v>45904</v>
      </c>
      <c r="B571" s="16"/>
      <c r="C571" s="16">
        <f>1283+530</f>
        <v>1813</v>
      </c>
      <c r="D571" s="17"/>
      <c r="E571" s="18" t="s">
        <v>18</v>
      </c>
      <c r="F571" s="19" t="s">
        <v>157</v>
      </c>
      <c r="G571" s="6" t="s">
        <v>112</v>
      </c>
    </row>
    <row r="572" spans="1:10" ht="26" x14ac:dyDescent="0.3">
      <c r="A572" s="20">
        <v>45905</v>
      </c>
      <c r="B572" s="16"/>
      <c r="C572" s="16">
        <v>31500</v>
      </c>
      <c r="D572" s="17"/>
      <c r="E572" s="18" t="s">
        <v>18</v>
      </c>
      <c r="F572" s="19" t="s">
        <v>256</v>
      </c>
      <c r="G572" s="6" t="s">
        <v>54</v>
      </c>
      <c r="H572" s="6" t="s">
        <v>257</v>
      </c>
      <c r="J572" s="7">
        <v>76</v>
      </c>
    </row>
    <row r="573" spans="1:10" x14ac:dyDescent="0.3">
      <c r="A573" s="20">
        <v>45905</v>
      </c>
      <c r="B573" s="16"/>
      <c r="C573" s="16">
        <v>15000</v>
      </c>
      <c r="D573" s="17"/>
      <c r="E573" s="18" t="s">
        <v>14</v>
      </c>
      <c r="F573" s="42"/>
      <c r="G573" s="6" t="s">
        <v>14</v>
      </c>
    </row>
    <row r="574" spans="1:10" ht="16.25" customHeight="1" x14ac:dyDescent="0.3">
      <c r="A574" s="20">
        <v>45906</v>
      </c>
      <c r="B574" s="16"/>
      <c r="C574" s="16">
        <v>150000</v>
      </c>
      <c r="D574" s="17"/>
      <c r="E574" s="34" t="s">
        <v>16</v>
      </c>
      <c r="F574" s="19"/>
      <c r="G574" s="7" t="s">
        <v>16</v>
      </c>
      <c r="H574" s="7"/>
    </row>
    <row r="575" spans="1:10" x14ac:dyDescent="0.3">
      <c r="A575" s="20">
        <v>45906</v>
      </c>
      <c r="B575" s="16"/>
      <c r="C575" s="16">
        <v>147939.9</v>
      </c>
      <c r="D575" s="17"/>
      <c r="E575" s="18" t="s">
        <v>18</v>
      </c>
      <c r="F575" s="19" t="s">
        <v>321</v>
      </c>
      <c r="G575" s="6" t="s">
        <v>112</v>
      </c>
    </row>
    <row r="576" spans="1:10" ht="15.65" customHeight="1" x14ac:dyDescent="0.3">
      <c r="A576" s="20">
        <v>45907</v>
      </c>
      <c r="B576" s="16"/>
      <c r="C576" s="16">
        <v>15000</v>
      </c>
      <c r="D576" s="17"/>
      <c r="E576" s="18" t="s">
        <v>14</v>
      </c>
      <c r="F576" s="19"/>
      <c r="G576" s="6" t="s">
        <v>14</v>
      </c>
    </row>
    <row r="577" spans="1:10" x14ac:dyDescent="0.3">
      <c r="A577" s="20">
        <v>45908</v>
      </c>
      <c r="B577" s="16"/>
      <c r="C577" s="16">
        <v>15000</v>
      </c>
      <c r="D577" s="17"/>
      <c r="E577" s="18" t="s">
        <v>14</v>
      </c>
      <c r="F577" s="19"/>
      <c r="G577" s="6" t="s">
        <v>14</v>
      </c>
    </row>
    <row r="578" spans="1:10" ht="26" x14ac:dyDescent="0.3">
      <c r="A578" s="20">
        <v>45908</v>
      </c>
      <c r="B578" s="16"/>
      <c r="C578" s="16">
        <v>15200</v>
      </c>
      <c r="D578" s="17"/>
      <c r="E578" s="18" t="s">
        <v>18</v>
      </c>
      <c r="F578" s="19" t="s">
        <v>322</v>
      </c>
      <c r="G578" s="7" t="s">
        <v>54</v>
      </c>
      <c r="H578" s="7" t="s">
        <v>299</v>
      </c>
      <c r="J578" s="7">
        <v>3</v>
      </c>
    </row>
    <row r="579" spans="1:10" ht="15" customHeight="1" x14ac:dyDescent="0.3">
      <c r="A579" s="20">
        <v>45908</v>
      </c>
      <c r="B579" s="16"/>
      <c r="C579" s="16">
        <v>42000</v>
      </c>
      <c r="D579" s="17"/>
      <c r="E579" s="18" t="s">
        <v>18</v>
      </c>
      <c r="F579" s="42" t="s">
        <v>323</v>
      </c>
      <c r="G579" s="7" t="s">
        <v>107</v>
      </c>
      <c r="H579" s="7"/>
    </row>
    <row r="580" spans="1:10" ht="39" x14ac:dyDescent="0.3">
      <c r="A580" s="20">
        <v>45908</v>
      </c>
      <c r="B580" s="16"/>
      <c r="C580" s="16">
        <f>20000+15000</f>
        <v>35000</v>
      </c>
      <c r="D580" s="17"/>
      <c r="E580" s="18" t="s">
        <v>18</v>
      </c>
      <c r="F580" s="43" t="s">
        <v>324</v>
      </c>
      <c r="G580" s="7" t="s">
        <v>34</v>
      </c>
      <c r="H580" s="7"/>
    </row>
    <row r="581" spans="1:10" x14ac:dyDescent="0.3">
      <c r="A581" s="20">
        <v>45908</v>
      </c>
      <c r="B581" s="16"/>
      <c r="C581" s="16">
        <v>250000</v>
      </c>
      <c r="D581" s="17"/>
      <c r="E581" s="18" t="s">
        <v>16</v>
      </c>
      <c r="F581" s="19"/>
      <c r="G581" s="7" t="s">
        <v>16</v>
      </c>
      <c r="H581" s="7"/>
    </row>
    <row r="582" spans="1:10" x14ac:dyDescent="0.3">
      <c r="A582" s="20">
        <v>45909</v>
      </c>
      <c r="B582" s="16"/>
      <c r="C582" s="16">
        <v>30000</v>
      </c>
      <c r="D582" s="17"/>
      <c r="E582" s="18" t="s">
        <v>434</v>
      </c>
      <c r="F582" s="19"/>
      <c r="G582" s="6" t="s">
        <v>434</v>
      </c>
      <c r="H582" s="7"/>
    </row>
    <row r="583" spans="1:10" x14ac:dyDescent="0.3">
      <c r="A583" s="20">
        <v>45909</v>
      </c>
      <c r="B583" s="16"/>
      <c r="C583" s="16">
        <v>10000</v>
      </c>
      <c r="D583" s="17"/>
      <c r="E583" s="18" t="s">
        <v>14</v>
      </c>
      <c r="F583" s="19"/>
      <c r="G583" s="6" t="s">
        <v>14</v>
      </c>
    </row>
    <row r="584" spans="1:10" x14ac:dyDescent="0.3">
      <c r="A584" s="20">
        <v>45909</v>
      </c>
      <c r="B584" s="16"/>
      <c r="C584" s="16">
        <v>5000</v>
      </c>
      <c r="D584" s="17"/>
      <c r="E584" s="18" t="s">
        <v>16</v>
      </c>
      <c r="F584" s="19" t="s">
        <v>105</v>
      </c>
      <c r="G584" s="6" t="s">
        <v>16</v>
      </c>
    </row>
    <row r="585" spans="1:10" x14ac:dyDescent="0.3">
      <c r="A585" s="20">
        <v>45909</v>
      </c>
      <c r="B585" s="16"/>
      <c r="C585" s="16">
        <f>663+787</f>
        <v>1450</v>
      </c>
      <c r="D585" s="17"/>
      <c r="E585" s="18" t="s">
        <v>18</v>
      </c>
      <c r="F585" s="19" t="s">
        <v>157</v>
      </c>
      <c r="G585" s="6" t="s">
        <v>112</v>
      </c>
    </row>
    <row r="586" spans="1:10" ht="26" x14ac:dyDescent="0.3">
      <c r="A586" s="20">
        <v>45910</v>
      </c>
      <c r="B586" s="16">
        <v>370000</v>
      </c>
      <c r="C586" s="16"/>
      <c r="D586" s="17"/>
      <c r="E586" s="18" t="s">
        <v>18</v>
      </c>
      <c r="F586" s="25" t="s">
        <v>325</v>
      </c>
      <c r="G586" s="39" t="s">
        <v>277</v>
      </c>
    </row>
    <row r="587" spans="1:10" ht="26" x14ac:dyDescent="0.3">
      <c r="A587" s="20">
        <v>45910</v>
      </c>
      <c r="B587" s="16"/>
      <c r="C587" s="16">
        <v>13500</v>
      </c>
      <c r="D587" s="17"/>
      <c r="E587" s="18" t="s">
        <v>31</v>
      </c>
      <c r="F587" s="22" t="s">
        <v>326</v>
      </c>
      <c r="G587" s="6" t="s">
        <v>31</v>
      </c>
      <c r="H587" s="7"/>
    </row>
    <row r="588" spans="1:10" ht="15" customHeight="1" x14ac:dyDescent="0.3">
      <c r="A588" s="20">
        <v>45910</v>
      </c>
      <c r="B588" s="16">
        <v>36480</v>
      </c>
      <c r="C588" s="16"/>
      <c r="D588" s="17"/>
      <c r="E588" s="18" t="s">
        <v>18</v>
      </c>
      <c r="F588" s="19" t="s">
        <v>327</v>
      </c>
      <c r="G588" s="7" t="s">
        <v>54</v>
      </c>
      <c r="H588" s="7" t="s">
        <v>328</v>
      </c>
      <c r="J588" s="7">
        <v>107</v>
      </c>
    </row>
    <row r="589" spans="1:10" x14ac:dyDescent="0.3">
      <c r="A589" s="20">
        <v>45910</v>
      </c>
      <c r="B589" s="16">
        <v>82800</v>
      </c>
      <c r="C589" s="16"/>
      <c r="D589" s="17"/>
      <c r="E589" s="18" t="s">
        <v>18</v>
      </c>
      <c r="F589" s="19" t="s">
        <v>177</v>
      </c>
      <c r="G589" s="6" t="s">
        <v>54</v>
      </c>
      <c r="H589" s="6" t="s">
        <v>177</v>
      </c>
      <c r="J589" s="7">
        <v>105</v>
      </c>
    </row>
    <row r="590" spans="1:10" x14ac:dyDescent="0.3">
      <c r="A590" s="20">
        <v>45910</v>
      </c>
      <c r="B590" s="16"/>
      <c r="C590" s="16">
        <v>20000</v>
      </c>
      <c r="D590" s="17"/>
      <c r="E590" s="18" t="s">
        <v>17</v>
      </c>
      <c r="F590" s="19"/>
      <c r="G590" s="7" t="s">
        <v>17</v>
      </c>
      <c r="H590" s="7"/>
    </row>
    <row r="591" spans="1:10" x14ac:dyDescent="0.3">
      <c r="A591" s="20">
        <v>45910</v>
      </c>
      <c r="B591" s="16"/>
      <c r="C591" s="16">
        <v>350000</v>
      </c>
      <c r="D591" s="17"/>
      <c r="E591" s="18" t="s">
        <v>15</v>
      </c>
      <c r="F591" s="19" t="s">
        <v>261</v>
      </c>
      <c r="G591" s="7" t="s">
        <v>15</v>
      </c>
      <c r="H591" s="7"/>
    </row>
    <row r="592" spans="1:10" x14ac:dyDescent="0.3">
      <c r="A592" s="44">
        <v>45912</v>
      </c>
      <c r="B592" s="45"/>
      <c r="C592" s="45">
        <v>12000</v>
      </c>
      <c r="D592" s="46"/>
      <c r="E592" s="47" t="s">
        <v>329</v>
      </c>
      <c r="F592" s="48" t="s">
        <v>40</v>
      </c>
      <c r="G592" s="6" t="s">
        <v>329</v>
      </c>
    </row>
    <row r="593" spans="1:8" ht="26" x14ac:dyDescent="0.3">
      <c r="A593" s="20">
        <v>45912</v>
      </c>
      <c r="B593" s="16">
        <f>99080+50200</f>
        <v>149280</v>
      </c>
      <c r="C593" s="16"/>
      <c r="D593" s="17"/>
      <c r="E593" s="18" t="s">
        <v>18</v>
      </c>
      <c r="F593" s="19" t="s">
        <v>330</v>
      </c>
      <c r="G593" s="7" t="s">
        <v>63</v>
      </c>
      <c r="H593" s="7"/>
    </row>
    <row r="594" spans="1:8" ht="15" customHeight="1" x14ac:dyDescent="0.3">
      <c r="A594" s="20">
        <v>45912</v>
      </c>
      <c r="B594" s="16">
        <f>1350000-B593</f>
        <v>1200720</v>
      </c>
      <c r="C594" s="16"/>
      <c r="D594" s="17"/>
      <c r="E594" s="18" t="s">
        <v>18</v>
      </c>
      <c r="F594" s="19" t="s">
        <v>331</v>
      </c>
      <c r="G594" s="7" t="s">
        <v>63</v>
      </c>
      <c r="H594" s="7"/>
    </row>
    <row r="595" spans="1:8" x14ac:dyDescent="0.3">
      <c r="A595" s="20">
        <v>45912</v>
      </c>
      <c r="B595" s="16"/>
      <c r="C595" s="16">
        <v>48000</v>
      </c>
      <c r="D595" s="17"/>
      <c r="E595" s="18" t="s">
        <v>23</v>
      </c>
      <c r="F595" s="19"/>
      <c r="G595" s="7" t="s">
        <v>23</v>
      </c>
      <c r="H595" s="7"/>
    </row>
    <row r="596" spans="1:8" x14ac:dyDescent="0.3">
      <c r="A596" s="20">
        <v>45912</v>
      </c>
      <c r="B596" s="16"/>
      <c r="C596" s="16">
        <v>22000</v>
      </c>
      <c r="D596" s="17"/>
      <c r="E596" s="18" t="s">
        <v>273</v>
      </c>
      <c r="F596" s="19"/>
      <c r="G596" s="6" t="s">
        <v>273</v>
      </c>
    </row>
    <row r="597" spans="1:8" x14ac:dyDescent="0.3">
      <c r="A597" s="20">
        <v>45912</v>
      </c>
      <c r="B597" s="16"/>
      <c r="C597" s="16">
        <v>1500</v>
      </c>
      <c r="D597" s="17"/>
      <c r="E597" s="18" t="s">
        <v>165</v>
      </c>
      <c r="F597" s="19" t="s">
        <v>253</v>
      </c>
      <c r="G597" s="6" t="s">
        <v>26</v>
      </c>
    </row>
    <row r="598" spans="1:8" x14ac:dyDescent="0.3">
      <c r="A598" s="20">
        <v>45913</v>
      </c>
      <c r="B598" s="16"/>
      <c r="C598" s="24">
        <v>260000</v>
      </c>
      <c r="D598" s="17"/>
      <c r="E598" s="18" t="s">
        <v>16</v>
      </c>
      <c r="F598" s="19" t="s">
        <v>332</v>
      </c>
      <c r="G598" s="7" t="s">
        <v>16</v>
      </c>
      <c r="H598" s="7"/>
    </row>
    <row r="599" spans="1:8" x14ac:dyDescent="0.3">
      <c r="A599" s="20">
        <v>45913</v>
      </c>
      <c r="B599" s="16">
        <v>100000</v>
      </c>
      <c r="C599" s="16"/>
      <c r="D599" s="17"/>
      <c r="E599" s="18" t="s">
        <v>70</v>
      </c>
      <c r="F599" s="19" t="s">
        <v>43</v>
      </c>
      <c r="G599" s="7" t="s">
        <v>70</v>
      </c>
      <c r="H599" s="7" t="s">
        <v>43</v>
      </c>
    </row>
    <row r="600" spans="1:8" x14ac:dyDescent="0.3">
      <c r="A600" s="20">
        <v>45913</v>
      </c>
      <c r="B600" s="16">
        <v>15000</v>
      </c>
      <c r="C600" s="16"/>
      <c r="D600" s="17"/>
      <c r="E600" s="18" t="s">
        <v>70</v>
      </c>
      <c r="F600" s="19" t="s">
        <v>43</v>
      </c>
      <c r="G600" s="7" t="s">
        <v>70</v>
      </c>
      <c r="H600" s="7" t="s">
        <v>43</v>
      </c>
    </row>
    <row r="601" spans="1:8" x14ac:dyDescent="0.3">
      <c r="A601" s="20">
        <v>45913</v>
      </c>
      <c r="B601" s="16"/>
      <c r="C601" s="16">
        <v>15000</v>
      </c>
      <c r="D601" s="17"/>
      <c r="E601" s="18" t="s">
        <v>91</v>
      </c>
      <c r="F601" s="19"/>
      <c r="G601" s="6" t="s">
        <v>93</v>
      </c>
      <c r="H601" s="6" t="s">
        <v>43</v>
      </c>
    </row>
    <row r="602" spans="1:8" ht="26" x14ac:dyDescent="0.3">
      <c r="A602" s="20">
        <v>45913</v>
      </c>
      <c r="B602" s="16"/>
      <c r="C602" s="16">
        <v>22200</v>
      </c>
      <c r="D602" s="17"/>
      <c r="E602" s="18" t="s">
        <v>18</v>
      </c>
      <c r="F602" s="19" t="s">
        <v>333</v>
      </c>
      <c r="G602" s="6" t="s">
        <v>63</v>
      </c>
    </row>
    <row r="603" spans="1:8" x14ac:dyDescent="0.3">
      <c r="A603" s="20">
        <v>45914</v>
      </c>
      <c r="B603" s="16"/>
      <c r="C603" s="16">
        <v>15000</v>
      </c>
      <c r="D603" s="17"/>
      <c r="E603" s="18" t="s">
        <v>434</v>
      </c>
      <c r="F603" s="19"/>
      <c r="G603" s="6" t="s">
        <v>434</v>
      </c>
      <c r="H603" s="7"/>
    </row>
    <row r="604" spans="1:8" x14ac:dyDescent="0.3">
      <c r="A604" s="20">
        <v>45915</v>
      </c>
      <c r="B604" s="16"/>
      <c r="C604" s="16">
        <v>225000</v>
      </c>
      <c r="D604" s="17"/>
      <c r="E604" s="18" t="s">
        <v>15</v>
      </c>
      <c r="F604" s="19"/>
      <c r="G604" s="6" t="s">
        <v>15</v>
      </c>
    </row>
    <row r="605" spans="1:8" x14ac:dyDescent="0.3">
      <c r="A605" s="20">
        <v>45915</v>
      </c>
      <c r="B605" s="16"/>
      <c r="C605" s="16">
        <v>15000</v>
      </c>
      <c r="D605" s="17"/>
      <c r="E605" s="18" t="s">
        <v>434</v>
      </c>
      <c r="F605" s="19"/>
      <c r="G605" s="6" t="s">
        <v>434</v>
      </c>
    </row>
    <row r="606" spans="1:8" x14ac:dyDescent="0.3">
      <c r="A606" s="20">
        <v>45916</v>
      </c>
      <c r="B606" s="16"/>
      <c r="C606" s="16">
        <v>30000</v>
      </c>
      <c r="D606" s="17"/>
      <c r="E606" s="18" t="s">
        <v>434</v>
      </c>
      <c r="F606" s="19"/>
      <c r="G606" s="6" t="s">
        <v>434</v>
      </c>
      <c r="H606" s="7"/>
    </row>
    <row r="607" spans="1:8" x14ac:dyDescent="0.3">
      <c r="A607" s="20">
        <v>45916</v>
      </c>
      <c r="B607" s="16"/>
      <c r="C607" s="16">
        <v>4000</v>
      </c>
      <c r="D607" s="17"/>
      <c r="E607" s="18" t="s">
        <v>23</v>
      </c>
      <c r="F607" s="19" t="s">
        <v>61</v>
      </c>
      <c r="G607" s="6" t="s">
        <v>23</v>
      </c>
    </row>
    <row r="608" spans="1:8" x14ac:dyDescent="0.3">
      <c r="A608" s="20">
        <v>45916</v>
      </c>
      <c r="B608" s="16"/>
      <c r="C608" s="16">
        <v>3000</v>
      </c>
      <c r="D608" s="17"/>
      <c r="E608" s="18" t="s">
        <v>165</v>
      </c>
      <c r="F608" s="19" t="s">
        <v>253</v>
      </c>
      <c r="G608" s="6" t="s">
        <v>26</v>
      </c>
    </row>
    <row r="609" spans="1:9" x14ac:dyDescent="0.3">
      <c r="A609" s="20">
        <v>45916</v>
      </c>
      <c r="B609" s="16"/>
      <c r="C609" s="16">
        <f>2404.65+2447</f>
        <v>4851.6499999999996</v>
      </c>
      <c r="D609" s="17"/>
      <c r="E609" s="18" t="s">
        <v>18</v>
      </c>
      <c r="F609" s="19" t="s">
        <v>27</v>
      </c>
      <c r="G609" s="6" t="s">
        <v>26</v>
      </c>
    </row>
    <row r="610" spans="1:9" x14ac:dyDescent="0.3">
      <c r="A610" s="20">
        <v>45917</v>
      </c>
      <c r="B610" s="16"/>
      <c r="C610" s="16">
        <v>10000</v>
      </c>
      <c r="D610" s="17"/>
      <c r="E610" s="18" t="s">
        <v>434</v>
      </c>
      <c r="F610" s="19"/>
      <c r="G610" s="6" t="s">
        <v>434</v>
      </c>
      <c r="H610" s="7"/>
    </row>
    <row r="611" spans="1:9" ht="52" x14ac:dyDescent="0.3">
      <c r="A611" s="20">
        <v>45917</v>
      </c>
      <c r="B611" s="16"/>
      <c r="C611" s="16">
        <v>5000</v>
      </c>
      <c r="D611" s="17"/>
      <c r="E611" s="18" t="s">
        <v>18</v>
      </c>
      <c r="F611" s="25" t="s">
        <v>334</v>
      </c>
      <c r="G611" s="6" t="s">
        <v>107</v>
      </c>
      <c r="I611" s="6" t="s">
        <v>85</v>
      </c>
    </row>
    <row r="612" spans="1:9" ht="26" x14ac:dyDescent="0.3">
      <c r="A612" s="20">
        <v>45917</v>
      </c>
      <c r="B612" s="16"/>
      <c r="C612" s="16">
        <v>226400</v>
      </c>
      <c r="D612" s="17"/>
      <c r="E612" s="18" t="s">
        <v>18</v>
      </c>
      <c r="F612" s="19" t="s">
        <v>335</v>
      </c>
      <c r="G612" s="7" t="s">
        <v>107</v>
      </c>
      <c r="H612" s="7"/>
    </row>
    <row r="613" spans="1:9" x14ac:dyDescent="0.3">
      <c r="A613" s="20">
        <v>45917</v>
      </c>
      <c r="B613" s="16"/>
      <c r="C613" s="16">
        <v>26000</v>
      </c>
      <c r="D613" s="17"/>
      <c r="E613" s="18" t="s">
        <v>117</v>
      </c>
      <c r="F613" s="19"/>
      <c r="G613" s="6" t="s">
        <v>117</v>
      </c>
    </row>
    <row r="614" spans="1:9" ht="26" x14ac:dyDescent="0.3">
      <c r="A614" s="20">
        <v>45918</v>
      </c>
      <c r="B614" s="16">
        <v>3300000</v>
      </c>
      <c r="C614" s="16"/>
      <c r="D614" s="17"/>
      <c r="E614" s="18" t="s">
        <v>434</v>
      </c>
      <c r="F614" s="19" t="s">
        <v>336</v>
      </c>
      <c r="G614" s="6" t="s">
        <v>159</v>
      </c>
      <c r="H614" s="6" t="s">
        <v>160</v>
      </c>
    </row>
    <row r="615" spans="1:9" ht="26" x14ac:dyDescent="0.3">
      <c r="A615" s="20">
        <v>45918</v>
      </c>
      <c r="B615" s="16">
        <v>400000</v>
      </c>
      <c r="C615" s="16"/>
      <c r="D615" s="17"/>
      <c r="E615" s="18" t="s">
        <v>18</v>
      </c>
      <c r="F615" s="19" t="s">
        <v>337</v>
      </c>
      <c r="G615" s="6" t="s">
        <v>107</v>
      </c>
      <c r="H615" s="6" t="s">
        <v>133</v>
      </c>
    </row>
    <row r="616" spans="1:9" x14ac:dyDescent="0.3">
      <c r="A616" s="20">
        <v>45918</v>
      </c>
      <c r="B616" s="16">
        <v>52000</v>
      </c>
      <c r="C616" s="16"/>
      <c r="D616" s="17"/>
      <c r="E616" s="18" t="s">
        <v>434</v>
      </c>
      <c r="F616" s="19" t="s">
        <v>338</v>
      </c>
      <c r="G616" s="6" t="s">
        <v>339</v>
      </c>
    </row>
    <row r="617" spans="1:9" x14ac:dyDescent="0.3">
      <c r="A617" s="20">
        <v>45918</v>
      </c>
      <c r="B617" s="16"/>
      <c r="C617" s="16">
        <v>52000</v>
      </c>
      <c r="D617" s="17"/>
      <c r="E617" s="18" t="s">
        <v>434</v>
      </c>
      <c r="F617" s="19"/>
      <c r="G617" s="6" t="s">
        <v>434</v>
      </c>
    </row>
    <row r="618" spans="1:9" x14ac:dyDescent="0.3">
      <c r="A618" s="20">
        <v>45918</v>
      </c>
      <c r="B618" s="16"/>
      <c r="C618" s="16">
        <v>195000</v>
      </c>
      <c r="D618" s="17"/>
      <c r="E618" s="18" t="s">
        <v>16</v>
      </c>
      <c r="F618" s="19"/>
      <c r="G618" s="6" t="s">
        <v>16</v>
      </c>
    </row>
    <row r="619" spans="1:9" x14ac:dyDescent="0.3">
      <c r="A619" s="20">
        <v>45919</v>
      </c>
      <c r="B619" s="16"/>
      <c r="C619" s="16">
        <v>8130</v>
      </c>
      <c r="D619" s="17"/>
      <c r="E619" s="18" t="s">
        <v>165</v>
      </c>
      <c r="F619" s="19" t="s">
        <v>306</v>
      </c>
      <c r="G619" s="6" t="s">
        <v>107</v>
      </c>
    </row>
    <row r="620" spans="1:9" x14ac:dyDescent="0.3">
      <c r="A620" s="20">
        <v>45919</v>
      </c>
      <c r="B620" s="16"/>
      <c r="C620" s="16">
        <f>2467+1563</f>
        <v>4030</v>
      </c>
      <c r="D620" s="17"/>
      <c r="E620" s="18" t="s">
        <v>18</v>
      </c>
      <c r="F620" s="19" t="s">
        <v>157</v>
      </c>
      <c r="G620" s="6" t="s">
        <v>112</v>
      </c>
    </row>
    <row r="621" spans="1:9" x14ac:dyDescent="0.3">
      <c r="A621" s="20">
        <v>45920</v>
      </c>
      <c r="B621" s="16"/>
      <c r="C621" s="16">
        <v>330000</v>
      </c>
      <c r="D621" s="17"/>
      <c r="E621" s="18" t="s">
        <v>16</v>
      </c>
      <c r="F621" s="19"/>
      <c r="G621" s="6" t="s">
        <v>16</v>
      </c>
    </row>
    <row r="622" spans="1:9" x14ac:dyDescent="0.3">
      <c r="A622" s="20">
        <v>45920</v>
      </c>
      <c r="B622" s="16"/>
      <c r="C622" s="16">
        <v>3000</v>
      </c>
      <c r="D622" s="17"/>
      <c r="E622" s="18" t="s">
        <v>14</v>
      </c>
      <c r="F622" s="19"/>
      <c r="G622" s="6" t="s">
        <v>14</v>
      </c>
    </row>
    <row r="623" spans="1:9" x14ac:dyDescent="0.3">
      <c r="A623" s="20">
        <v>45920</v>
      </c>
      <c r="B623" s="16"/>
      <c r="C623" s="16">
        <v>754</v>
      </c>
      <c r="D623" s="17"/>
      <c r="E623" s="18" t="s">
        <v>18</v>
      </c>
      <c r="F623" s="19" t="s">
        <v>157</v>
      </c>
      <c r="G623" s="6" t="s">
        <v>112</v>
      </c>
    </row>
    <row r="624" spans="1:9" x14ac:dyDescent="0.3">
      <c r="A624" s="20">
        <v>45921</v>
      </c>
      <c r="B624" s="16"/>
      <c r="C624" s="16">
        <v>30000</v>
      </c>
      <c r="D624" s="17"/>
      <c r="E624" s="18" t="s">
        <v>14</v>
      </c>
      <c r="F624" s="19"/>
      <c r="G624" s="6" t="s">
        <v>14</v>
      </c>
    </row>
    <row r="625" spans="1:10" x14ac:dyDescent="0.3">
      <c r="A625" s="20">
        <v>45921</v>
      </c>
      <c r="B625" s="16"/>
      <c r="C625" s="16">
        <v>5000</v>
      </c>
      <c r="D625" s="17"/>
      <c r="E625" s="18" t="s">
        <v>340</v>
      </c>
      <c r="F625" s="19" t="s">
        <v>341</v>
      </c>
      <c r="G625" s="6" t="s">
        <v>340</v>
      </c>
    </row>
    <row r="626" spans="1:10" x14ac:dyDescent="0.3">
      <c r="A626" s="20">
        <v>45922</v>
      </c>
      <c r="B626" s="16"/>
      <c r="C626" s="16">
        <v>170000</v>
      </c>
      <c r="D626" s="17"/>
      <c r="E626" s="18" t="s">
        <v>118</v>
      </c>
      <c r="F626" s="19" t="s">
        <v>342</v>
      </c>
      <c r="G626" s="6" t="s">
        <v>34</v>
      </c>
    </row>
    <row r="627" spans="1:10" x14ac:dyDescent="0.3">
      <c r="A627" s="20">
        <v>45922</v>
      </c>
      <c r="B627" s="16"/>
      <c r="C627" s="16">
        <v>15760</v>
      </c>
      <c r="D627" s="17"/>
      <c r="E627" s="18" t="s">
        <v>18</v>
      </c>
      <c r="F627" s="19" t="s">
        <v>282</v>
      </c>
      <c r="G627" s="6" t="s">
        <v>112</v>
      </c>
    </row>
    <row r="628" spans="1:10" ht="39" x14ac:dyDescent="0.3">
      <c r="A628" s="20">
        <v>45923</v>
      </c>
      <c r="B628" s="16"/>
      <c r="C628" s="24">
        <v>3000</v>
      </c>
      <c r="D628" s="17"/>
      <c r="E628" s="18" t="s">
        <v>18</v>
      </c>
      <c r="F628" s="25" t="s">
        <v>343</v>
      </c>
      <c r="G628" s="6" t="s">
        <v>159</v>
      </c>
      <c r="H628" s="6" t="s">
        <v>344</v>
      </c>
      <c r="I628" s="6" t="s">
        <v>85</v>
      </c>
    </row>
    <row r="629" spans="1:10" ht="39" x14ac:dyDescent="0.3">
      <c r="A629" s="20">
        <v>45923</v>
      </c>
      <c r="B629" s="16"/>
      <c r="C629" s="24">
        <v>13000</v>
      </c>
      <c r="D629" s="17"/>
      <c r="E629" s="18" t="s">
        <v>18</v>
      </c>
      <c r="F629" s="25" t="s">
        <v>345</v>
      </c>
      <c r="G629" s="6" t="s">
        <v>159</v>
      </c>
      <c r="H629" s="6" t="s">
        <v>344</v>
      </c>
      <c r="I629" s="6" t="s">
        <v>85</v>
      </c>
    </row>
    <row r="630" spans="1:10" x14ac:dyDescent="0.3">
      <c r="A630" s="20">
        <v>45923</v>
      </c>
      <c r="B630" s="16"/>
      <c r="C630" s="16">
        <v>145000</v>
      </c>
      <c r="D630" s="17"/>
      <c r="E630" s="18" t="s">
        <v>15</v>
      </c>
      <c r="F630" s="19"/>
      <c r="G630" s="6" t="s">
        <v>15</v>
      </c>
    </row>
    <row r="631" spans="1:10" x14ac:dyDescent="0.3">
      <c r="A631" s="20">
        <v>45924</v>
      </c>
      <c r="B631" s="16"/>
      <c r="C631" s="16">
        <v>200000</v>
      </c>
      <c r="D631" s="17"/>
      <c r="E631" s="18" t="s">
        <v>434</v>
      </c>
      <c r="F631" s="19"/>
      <c r="G631" s="6" t="s">
        <v>434</v>
      </c>
    </row>
    <row r="632" spans="1:10" ht="39" x14ac:dyDescent="0.3">
      <c r="A632" s="20">
        <v>45924</v>
      </c>
      <c r="B632" s="16"/>
      <c r="C632" s="24">
        <v>2000</v>
      </c>
      <c r="D632" s="17"/>
      <c r="E632" s="18" t="s">
        <v>18</v>
      </c>
      <c r="F632" s="25" t="s">
        <v>346</v>
      </c>
      <c r="G632" s="6" t="s">
        <v>159</v>
      </c>
      <c r="H632" s="6" t="s">
        <v>344</v>
      </c>
      <c r="I632" s="6" t="s">
        <v>85</v>
      </c>
    </row>
    <row r="633" spans="1:10" x14ac:dyDescent="0.3">
      <c r="A633" s="20">
        <v>45924</v>
      </c>
      <c r="B633" s="16">
        <v>45000</v>
      </c>
      <c r="C633" s="16"/>
      <c r="D633" s="17"/>
      <c r="E633" s="18" t="s">
        <v>18</v>
      </c>
      <c r="F633" s="19" t="s">
        <v>196</v>
      </c>
      <c r="G633" s="6" t="s">
        <v>54</v>
      </c>
      <c r="H633" s="6" t="s">
        <v>197</v>
      </c>
      <c r="J633" s="7">
        <v>117</v>
      </c>
    </row>
    <row r="634" spans="1:10" x14ac:dyDescent="0.3">
      <c r="A634" s="20">
        <v>45924</v>
      </c>
      <c r="B634" s="16"/>
      <c r="C634" s="16">
        <v>40000</v>
      </c>
      <c r="D634" s="17"/>
      <c r="E634" s="18" t="s">
        <v>10</v>
      </c>
      <c r="F634" s="19"/>
      <c r="G634" s="6" t="s">
        <v>10</v>
      </c>
    </row>
    <row r="635" spans="1:10" x14ac:dyDescent="0.3">
      <c r="A635" s="20">
        <v>45924</v>
      </c>
      <c r="B635" s="16"/>
      <c r="C635" s="16">
        <v>29967</v>
      </c>
      <c r="D635" s="17"/>
      <c r="E635" s="18" t="s">
        <v>18</v>
      </c>
      <c r="F635" s="19" t="s">
        <v>306</v>
      </c>
      <c r="G635" s="6" t="s">
        <v>112</v>
      </c>
    </row>
    <row r="636" spans="1:10" x14ac:dyDescent="0.3">
      <c r="A636" s="20">
        <v>45924</v>
      </c>
      <c r="B636" s="16"/>
      <c r="C636" s="16">
        <v>3303</v>
      </c>
      <c r="D636" s="17"/>
      <c r="E636" s="18" t="s">
        <v>165</v>
      </c>
      <c r="F636" s="19" t="s">
        <v>27</v>
      </c>
      <c r="G636" s="6" t="s">
        <v>26</v>
      </c>
    </row>
    <row r="637" spans="1:10" x14ac:dyDescent="0.3">
      <c r="A637" s="20">
        <v>45925</v>
      </c>
      <c r="B637" s="16">
        <v>9000</v>
      </c>
      <c r="C637" s="16"/>
      <c r="D637" s="17"/>
      <c r="E637" s="18" t="s">
        <v>18</v>
      </c>
      <c r="F637" s="19" t="s">
        <v>196</v>
      </c>
      <c r="G637" s="6" t="s">
        <v>54</v>
      </c>
      <c r="H637" s="6" t="s">
        <v>197</v>
      </c>
      <c r="J637" s="7">
        <v>117</v>
      </c>
    </row>
    <row r="638" spans="1:10" x14ac:dyDescent="0.3">
      <c r="A638" s="20">
        <v>45925</v>
      </c>
      <c r="B638" s="16"/>
      <c r="C638" s="16">
        <v>2290.5</v>
      </c>
      <c r="D638" s="17"/>
      <c r="E638" s="18" t="s">
        <v>18</v>
      </c>
      <c r="F638" s="19" t="s">
        <v>51</v>
      </c>
      <c r="G638" s="6" t="s">
        <v>34</v>
      </c>
    </row>
    <row r="639" spans="1:10" x14ac:dyDescent="0.3">
      <c r="A639" s="20">
        <v>45925</v>
      </c>
      <c r="B639" s="16"/>
      <c r="C639" s="16">
        <v>1930</v>
      </c>
      <c r="D639" s="17"/>
      <c r="E639" s="18" t="s">
        <v>18</v>
      </c>
      <c r="F639" s="19" t="s">
        <v>306</v>
      </c>
      <c r="G639" s="6" t="s">
        <v>112</v>
      </c>
    </row>
    <row r="640" spans="1:10" x14ac:dyDescent="0.3">
      <c r="A640" s="20">
        <v>45925</v>
      </c>
      <c r="B640" s="16"/>
      <c r="C640" s="16">
        <v>993</v>
      </c>
      <c r="D640" s="17"/>
      <c r="E640" s="18" t="s">
        <v>18</v>
      </c>
      <c r="F640" s="19" t="s">
        <v>157</v>
      </c>
      <c r="G640" s="6" t="s">
        <v>112</v>
      </c>
    </row>
    <row r="641" spans="1:10" ht="39" x14ac:dyDescent="0.3">
      <c r="A641" s="20">
        <v>45926</v>
      </c>
      <c r="B641" s="16"/>
      <c r="C641" s="24">
        <v>2000</v>
      </c>
      <c r="D641" s="17"/>
      <c r="E641" s="18"/>
      <c r="F641" s="25" t="s">
        <v>347</v>
      </c>
      <c r="G641" s="6" t="s">
        <v>159</v>
      </c>
      <c r="H641" s="6" t="s">
        <v>344</v>
      </c>
    </row>
    <row r="642" spans="1:10" x14ac:dyDescent="0.3">
      <c r="A642" s="20">
        <v>45926</v>
      </c>
      <c r="B642" s="16"/>
      <c r="C642" s="16">
        <v>10000</v>
      </c>
      <c r="D642" s="17"/>
      <c r="E642" s="18" t="s">
        <v>434</v>
      </c>
      <c r="F642" s="19"/>
      <c r="G642" s="6" t="s">
        <v>434</v>
      </c>
    </row>
    <row r="643" spans="1:10" x14ac:dyDescent="0.3">
      <c r="A643" s="20">
        <v>45926</v>
      </c>
      <c r="B643" s="16"/>
      <c r="C643" s="24">
        <v>31000</v>
      </c>
      <c r="D643" s="17"/>
      <c r="E643" s="18" t="s">
        <v>251</v>
      </c>
      <c r="F643" s="19" t="s">
        <v>348</v>
      </c>
      <c r="G643" s="6" t="s">
        <v>159</v>
      </c>
      <c r="H643" s="6" t="s">
        <v>349</v>
      </c>
    </row>
    <row r="644" spans="1:10" x14ac:dyDescent="0.3">
      <c r="A644" s="20">
        <v>45926</v>
      </c>
      <c r="B644" s="16"/>
      <c r="C644" s="16">
        <v>588352</v>
      </c>
      <c r="D644" s="17"/>
      <c r="E644" s="18" t="s">
        <v>18</v>
      </c>
      <c r="F644" s="19" t="s">
        <v>350</v>
      </c>
      <c r="G644" s="6" t="s">
        <v>159</v>
      </c>
      <c r="H644" s="6" t="s">
        <v>351</v>
      </c>
    </row>
    <row r="645" spans="1:10" ht="39" x14ac:dyDescent="0.3">
      <c r="A645" s="20">
        <v>45926</v>
      </c>
      <c r="B645" s="16"/>
      <c r="C645" s="24">
        <v>2000</v>
      </c>
      <c r="D645" s="17"/>
      <c r="E645" s="18" t="s">
        <v>18</v>
      </c>
      <c r="F645" s="25" t="s">
        <v>347</v>
      </c>
      <c r="G645" s="6" t="s">
        <v>159</v>
      </c>
      <c r="H645" s="6" t="s">
        <v>344</v>
      </c>
    </row>
    <row r="646" spans="1:10" ht="39" x14ac:dyDescent="0.3">
      <c r="A646" s="20">
        <v>45926</v>
      </c>
      <c r="B646" s="16"/>
      <c r="C646" s="24">
        <v>8000</v>
      </c>
      <c r="D646" s="17"/>
      <c r="E646" s="18" t="s">
        <v>18</v>
      </c>
      <c r="F646" s="25" t="s">
        <v>352</v>
      </c>
      <c r="G646" s="6" t="s">
        <v>159</v>
      </c>
      <c r="H646" s="6" t="s">
        <v>344</v>
      </c>
    </row>
    <row r="647" spans="1:10" x14ac:dyDescent="0.3">
      <c r="A647" s="20">
        <v>45927</v>
      </c>
      <c r="B647" s="16"/>
      <c r="C647" s="16">
        <v>4000</v>
      </c>
      <c r="D647" s="17"/>
      <c r="E647" s="18" t="s">
        <v>18</v>
      </c>
      <c r="F647" s="19" t="s">
        <v>353</v>
      </c>
      <c r="G647" s="6" t="s">
        <v>354</v>
      </c>
    </row>
    <row r="648" spans="1:10" x14ac:dyDescent="0.3">
      <c r="A648" s="20">
        <v>45927</v>
      </c>
      <c r="B648" s="16"/>
      <c r="C648" s="16">
        <v>270000</v>
      </c>
      <c r="D648" s="17"/>
      <c r="E648" s="18" t="s">
        <v>16</v>
      </c>
      <c r="F648" s="19"/>
      <c r="G648" s="6" t="s">
        <v>16</v>
      </c>
    </row>
    <row r="649" spans="1:10" x14ac:dyDescent="0.3">
      <c r="A649" s="20">
        <v>45929</v>
      </c>
      <c r="B649" s="16"/>
      <c r="C649" s="16">
        <v>40800</v>
      </c>
      <c r="D649" s="17"/>
      <c r="E649" s="18" t="s">
        <v>18</v>
      </c>
      <c r="F649" s="19" t="s">
        <v>355</v>
      </c>
      <c r="G649" s="6" t="s">
        <v>339</v>
      </c>
    </row>
    <row r="650" spans="1:10" x14ac:dyDescent="0.3">
      <c r="A650" s="20">
        <v>45929</v>
      </c>
      <c r="B650" s="16"/>
      <c r="C650" s="16">
        <v>6000</v>
      </c>
      <c r="D650" s="17"/>
      <c r="E650" s="18" t="s">
        <v>434</v>
      </c>
      <c r="F650" s="19"/>
      <c r="G650" s="6" t="s">
        <v>434</v>
      </c>
    </row>
    <row r="651" spans="1:10" x14ac:dyDescent="0.3">
      <c r="A651" s="20">
        <v>45929</v>
      </c>
      <c r="B651" s="16"/>
      <c r="C651" s="16">
        <v>25000</v>
      </c>
      <c r="D651" s="17"/>
      <c r="E651" s="18" t="s">
        <v>17</v>
      </c>
      <c r="F651" s="19"/>
      <c r="G651" s="6" t="s">
        <v>17</v>
      </c>
    </row>
    <row r="652" spans="1:10" x14ac:dyDescent="0.3">
      <c r="A652" s="20">
        <v>45929</v>
      </c>
      <c r="B652" s="16"/>
      <c r="C652" s="16">
        <v>160000</v>
      </c>
      <c r="D652" s="17"/>
      <c r="E652" s="18" t="s">
        <v>15</v>
      </c>
      <c r="F652" s="19"/>
      <c r="G652" s="6" t="s">
        <v>15</v>
      </c>
    </row>
    <row r="653" spans="1:10" x14ac:dyDescent="0.3">
      <c r="A653" s="20">
        <v>45929</v>
      </c>
      <c r="B653" s="16"/>
      <c r="C653" s="16">
        <v>38100</v>
      </c>
      <c r="D653" s="17"/>
      <c r="E653" s="18" t="s">
        <v>14</v>
      </c>
      <c r="F653" s="19"/>
      <c r="G653" s="6" t="s">
        <v>14</v>
      </c>
    </row>
    <row r="654" spans="1:10" x14ac:dyDescent="0.3">
      <c r="A654" s="20">
        <v>45929</v>
      </c>
      <c r="B654" s="16"/>
      <c r="C654" s="16">
        <v>5000</v>
      </c>
      <c r="D654" s="17"/>
      <c r="E654" s="18" t="s">
        <v>18</v>
      </c>
      <c r="F654" s="19" t="s">
        <v>356</v>
      </c>
      <c r="G654" s="6" t="s">
        <v>34</v>
      </c>
    </row>
    <row r="655" spans="1:10" ht="26" x14ac:dyDescent="0.3">
      <c r="A655" s="20">
        <v>45930</v>
      </c>
      <c r="B655" s="16"/>
      <c r="C655" s="16">
        <v>13500</v>
      </c>
      <c r="D655" s="17"/>
      <c r="E655" s="18" t="s">
        <v>31</v>
      </c>
      <c r="F655" s="22" t="s">
        <v>357</v>
      </c>
      <c r="G655" s="6" t="s">
        <v>31</v>
      </c>
    </row>
    <row r="656" spans="1:10" ht="39" x14ac:dyDescent="0.3">
      <c r="A656" s="20">
        <v>45930</v>
      </c>
      <c r="B656" s="16"/>
      <c r="C656" s="16">
        <v>5000</v>
      </c>
      <c r="D656" s="17"/>
      <c r="E656" s="18" t="s">
        <v>18</v>
      </c>
      <c r="F656" s="25" t="s">
        <v>358</v>
      </c>
      <c r="G656" s="6" t="s">
        <v>54</v>
      </c>
      <c r="H656" s="6" t="s">
        <v>359</v>
      </c>
      <c r="J656" s="7" t="s">
        <v>360</v>
      </c>
    </row>
    <row r="657" spans="1:11" x14ac:dyDescent="0.3">
      <c r="A657" s="20">
        <v>45930</v>
      </c>
      <c r="B657" s="16"/>
      <c r="C657" s="16">
        <v>2964</v>
      </c>
      <c r="D657" s="17"/>
      <c r="E657" s="18" t="s">
        <v>18</v>
      </c>
      <c r="F657" s="19" t="s">
        <v>27</v>
      </c>
      <c r="G657" s="6" t="s">
        <v>26</v>
      </c>
    </row>
    <row r="658" spans="1:11" ht="39" x14ac:dyDescent="0.3">
      <c r="A658" s="20">
        <v>45931</v>
      </c>
      <c r="B658" s="16"/>
      <c r="C658" s="16">
        <v>30000</v>
      </c>
      <c r="D658" s="17"/>
      <c r="E658" s="18" t="s">
        <v>18</v>
      </c>
      <c r="F658" s="25" t="s">
        <v>361</v>
      </c>
      <c r="G658" s="6" t="s">
        <v>54</v>
      </c>
      <c r="H658" s="6" t="s">
        <v>359</v>
      </c>
      <c r="J658" s="7" t="s">
        <v>360</v>
      </c>
    </row>
    <row r="659" spans="1:11" x14ac:dyDescent="0.3">
      <c r="A659" s="20">
        <v>45931</v>
      </c>
      <c r="B659" s="16"/>
      <c r="C659" s="16">
        <v>27000</v>
      </c>
      <c r="D659" s="17"/>
      <c r="E659" s="18" t="s">
        <v>17</v>
      </c>
      <c r="F659" s="19"/>
      <c r="G659" s="6" t="s">
        <v>17</v>
      </c>
    </row>
    <row r="660" spans="1:11" x14ac:dyDescent="0.3">
      <c r="A660" s="20">
        <v>45931</v>
      </c>
      <c r="B660" s="16"/>
      <c r="C660" s="16">
        <v>15000</v>
      </c>
      <c r="D660" s="17"/>
      <c r="E660" s="18" t="s">
        <v>434</v>
      </c>
      <c r="F660" s="19"/>
      <c r="G660" s="6" t="s">
        <v>434</v>
      </c>
    </row>
    <row r="661" spans="1:11" x14ac:dyDescent="0.3">
      <c r="A661" s="20">
        <v>45932</v>
      </c>
      <c r="B661" s="16"/>
      <c r="C661" s="16">
        <v>11000</v>
      </c>
      <c r="D661" s="17"/>
      <c r="E661" s="18" t="s">
        <v>434</v>
      </c>
      <c r="F661" s="19"/>
      <c r="G661" s="6" t="s">
        <v>434</v>
      </c>
    </row>
    <row r="662" spans="1:11" ht="26" x14ac:dyDescent="0.3">
      <c r="A662" s="20">
        <v>45932</v>
      </c>
      <c r="B662" s="16"/>
      <c r="C662" s="16">
        <v>3000</v>
      </c>
      <c r="D662" s="17"/>
      <c r="E662" s="18" t="s">
        <v>18</v>
      </c>
      <c r="F662" s="25" t="s">
        <v>362</v>
      </c>
      <c r="G662" s="6" t="s">
        <v>54</v>
      </c>
      <c r="H662" s="6" t="s">
        <v>359</v>
      </c>
      <c r="J662" s="7" t="s">
        <v>360</v>
      </c>
    </row>
    <row r="663" spans="1:11" x14ac:dyDescent="0.3">
      <c r="A663" s="20">
        <v>45932</v>
      </c>
      <c r="B663" s="16"/>
      <c r="C663" s="16">
        <v>94000</v>
      </c>
      <c r="D663" s="17"/>
      <c r="E663" s="18" t="s">
        <v>23</v>
      </c>
      <c r="F663" s="19"/>
      <c r="G663" s="6" t="s">
        <v>23</v>
      </c>
    </row>
    <row r="664" spans="1:11" x14ac:dyDescent="0.3">
      <c r="A664" s="20">
        <v>45932</v>
      </c>
      <c r="B664" s="16"/>
      <c r="C664" s="16">
        <v>38000</v>
      </c>
      <c r="D664" s="17"/>
      <c r="E664" s="18" t="s">
        <v>273</v>
      </c>
      <c r="F664" s="19"/>
      <c r="G664" s="6" t="s">
        <v>273</v>
      </c>
    </row>
    <row r="665" spans="1:11" ht="26" x14ac:dyDescent="0.3">
      <c r="A665" s="20">
        <v>45932</v>
      </c>
      <c r="B665" s="16">
        <v>290000</v>
      </c>
      <c r="C665" s="16"/>
      <c r="D665" s="17"/>
      <c r="E665" s="49" t="s">
        <v>18</v>
      </c>
      <c r="F665" s="19" t="s">
        <v>363</v>
      </c>
      <c r="G665" s="6" t="s">
        <v>173</v>
      </c>
    </row>
    <row r="666" spans="1:11" x14ac:dyDescent="0.3">
      <c r="A666" s="20">
        <v>45932</v>
      </c>
      <c r="B666" s="16"/>
      <c r="C666" s="16">
        <v>50000</v>
      </c>
      <c r="D666" s="17"/>
      <c r="E666" s="18" t="s">
        <v>10</v>
      </c>
      <c r="F666" s="19"/>
      <c r="G666" s="6" t="s">
        <v>10</v>
      </c>
    </row>
    <row r="667" spans="1:11" x14ac:dyDescent="0.3">
      <c r="A667" s="20">
        <v>45933</v>
      </c>
      <c r="B667" s="16"/>
      <c r="C667" s="16">
        <v>63000</v>
      </c>
      <c r="D667" s="17"/>
      <c r="E667" s="18" t="s">
        <v>18</v>
      </c>
      <c r="F667" s="19" t="s">
        <v>355</v>
      </c>
      <c r="G667" s="6" t="s">
        <v>364</v>
      </c>
    </row>
    <row r="668" spans="1:11" x14ac:dyDescent="0.3">
      <c r="A668" s="20">
        <v>45933</v>
      </c>
      <c r="B668" s="16"/>
      <c r="C668" s="16">
        <v>10000</v>
      </c>
      <c r="D668" s="17"/>
      <c r="E668" s="18" t="s">
        <v>14</v>
      </c>
      <c r="F668" s="19"/>
      <c r="G668" s="6" t="s">
        <v>14</v>
      </c>
    </row>
    <row r="669" spans="1:11" ht="16.25" customHeight="1" x14ac:dyDescent="0.3">
      <c r="A669" s="20">
        <v>45933</v>
      </c>
      <c r="B669" s="16"/>
      <c r="C669" s="16">
        <v>15000</v>
      </c>
      <c r="D669" s="17"/>
      <c r="E669" s="18" t="s">
        <v>18</v>
      </c>
      <c r="F669" s="25" t="s">
        <v>365</v>
      </c>
      <c r="G669" s="6" t="s">
        <v>54</v>
      </c>
      <c r="H669" s="6" t="s">
        <v>359</v>
      </c>
      <c r="J669" s="7" t="s">
        <v>360</v>
      </c>
    </row>
    <row r="670" spans="1:11" ht="14.4" customHeight="1" x14ac:dyDescent="0.3">
      <c r="A670" s="20">
        <v>45933</v>
      </c>
      <c r="B670" s="16"/>
      <c r="C670" s="16">
        <v>21000</v>
      </c>
      <c r="D670" s="17"/>
      <c r="E670" s="18" t="s">
        <v>18</v>
      </c>
      <c r="F670" s="19" t="s">
        <v>366</v>
      </c>
      <c r="G670" s="6" t="s">
        <v>26</v>
      </c>
      <c r="K670" s="50"/>
    </row>
    <row r="671" spans="1:11" ht="14.4" customHeight="1" x14ac:dyDescent="0.3">
      <c r="A671" s="20">
        <v>45933</v>
      </c>
      <c r="B671" s="16">
        <v>300000</v>
      </c>
      <c r="C671" s="16"/>
      <c r="D671" s="17"/>
      <c r="E671" s="18" t="s">
        <v>434</v>
      </c>
      <c r="F671" s="19" t="s">
        <v>367</v>
      </c>
      <c r="G671" s="6" t="s">
        <v>218</v>
      </c>
      <c r="K671" s="50"/>
    </row>
    <row r="672" spans="1:11" ht="14.4" customHeight="1" x14ac:dyDescent="0.3">
      <c r="A672" s="20">
        <v>45933</v>
      </c>
      <c r="B672" s="16"/>
      <c r="C672" s="16">
        <v>55000</v>
      </c>
      <c r="D672" s="17"/>
      <c r="E672" s="18" t="s">
        <v>434</v>
      </c>
      <c r="F672" s="19"/>
      <c r="G672" s="6" t="s">
        <v>434</v>
      </c>
      <c r="K672" s="50"/>
    </row>
    <row r="673" spans="1:16" ht="14.4" customHeight="1" x14ac:dyDescent="0.3">
      <c r="A673" s="20">
        <v>45934</v>
      </c>
      <c r="B673" s="16">
        <v>1700000</v>
      </c>
      <c r="C673" s="16"/>
      <c r="D673" s="17"/>
      <c r="E673" s="18" t="s">
        <v>165</v>
      </c>
      <c r="F673" s="19" t="s">
        <v>368</v>
      </c>
      <c r="G673" s="6" t="s">
        <v>159</v>
      </c>
      <c r="H673" s="6" t="s">
        <v>160</v>
      </c>
      <c r="K673" s="50"/>
    </row>
    <row r="674" spans="1:16" ht="43.25" customHeight="1" x14ac:dyDescent="0.3">
      <c r="A674" s="20">
        <v>45934</v>
      </c>
      <c r="B674" s="16"/>
      <c r="C674" s="16">
        <v>67500</v>
      </c>
      <c r="D674" s="17"/>
      <c r="E674" s="18" t="s">
        <v>18</v>
      </c>
      <c r="F674" s="19" t="s">
        <v>369</v>
      </c>
      <c r="G674" s="6" t="s">
        <v>76</v>
      </c>
    </row>
    <row r="675" spans="1:16" ht="14.4" customHeight="1" x14ac:dyDescent="0.3">
      <c r="A675" s="20">
        <v>45934</v>
      </c>
      <c r="B675" s="16"/>
      <c r="C675" s="16">
        <v>283500</v>
      </c>
      <c r="D675" s="17"/>
      <c r="E675" s="18" t="s">
        <v>18</v>
      </c>
      <c r="F675" s="19" t="s">
        <v>370</v>
      </c>
      <c r="G675" s="6" t="s">
        <v>159</v>
      </c>
      <c r="H675" s="6" t="s">
        <v>351</v>
      </c>
    </row>
    <row r="676" spans="1:16" ht="15.65" customHeight="1" x14ac:dyDescent="0.3">
      <c r="A676" s="51">
        <v>45934</v>
      </c>
      <c r="B676" s="52"/>
      <c r="C676" s="52">
        <v>325000</v>
      </c>
      <c r="D676" s="53"/>
      <c r="E676" s="54" t="s">
        <v>16</v>
      </c>
      <c r="F676" s="55"/>
      <c r="G676" s="56" t="s">
        <v>16</v>
      </c>
      <c r="H676" s="56"/>
      <c r="I676" s="57"/>
      <c r="J676" s="57"/>
    </row>
    <row r="677" spans="1:16" x14ac:dyDescent="0.3">
      <c r="A677" s="51">
        <v>45934</v>
      </c>
      <c r="B677" s="52"/>
      <c r="C677" s="52">
        <v>110000</v>
      </c>
      <c r="D677" s="53"/>
      <c r="E677" s="58" t="s">
        <v>15</v>
      </c>
      <c r="F677" s="59"/>
      <c r="G677" s="56" t="s">
        <v>15</v>
      </c>
      <c r="H677" s="56"/>
      <c r="I677" s="57"/>
      <c r="J677" s="57"/>
    </row>
    <row r="678" spans="1:16" x14ac:dyDescent="0.3">
      <c r="A678" s="51">
        <v>45934</v>
      </c>
      <c r="B678" s="52"/>
      <c r="C678" s="52">
        <v>15000</v>
      </c>
      <c r="D678" s="53"/>
      <c r="E678" s="54" t="s">
        <v>14</v>
      </c>
      <c r="F678" s="55"/>
      <c r="G678" s="56" t="s">
        <v>14</v>
      </c>
      <c r="H678" s="56"/>
      <c r="I678" s="57"/>
      <c r="J678" s="57"/>
    </row>
    <row r="679" spans="1:16" ht="67.25" customHeight="1" x14ac:dyDescent="0.3">
      <c r="A679" s="51">
        <v>45934</v>
      </c>
      <c r="B679" s="52"/>
      <c r="C679" s="52">
        <v>100000</v>
      </c>
      <c r="D679" s="53"/>
      <c r="E679" s="54" t="s">
        <v>310</v>
      </c>
      <c r="F679" s="55" t="s">
        <v>371</v>
      </c>
      <c r="G679" s="56" t="s">
        <v>310</v>
      </c>
      <c r="H679" s="56"/>
      <c r="I679" s="57"/>
      <c r="J679" s="57"/>
      <c r="K679" s="60"/>
    </row>
    <row r="680" spans="1:16" ht="28.75" customHeight="1" x14ac:dyDescent="0.3">
      <c r="A680" s="20">
        <v>45935</v>
      </c>
      <c r="B680" s="16">
        <v>174560</v>
      </c>
      <c r="C680" s="16"/>
      <c r="D680" s="17"/>
      <c r="E680" s="18" t="s">
        <v>18</v>
      </c>
      <c r="F680" s="19" t="s">
        <v>372</v>
      </c>
      <c r="G680" s="6" t="s">
        <v>79</v>
      </c>
      <c r="H680" s="6" t="s">
        <v>64</v>
      </c>
    </row>
    <row r="681" spans="1:16" ht="13.25" customHeight="1" x14ac:dyDescent="0.3">
      <c r="A681" s="20">
        <v>45935</v>
      </c>
      <c r="B681" s="16"/>
      <c r="C681" s="16">
        <v>10000</v>
      </c>
      <c r="D681" s="17"/>
      <c r="E681" s="18" t="s">
        <v>434</v>
      </c>
      <c r="F681" s="19"/>
      <c r="G681" s="6" t="s">
        <v>434</v>
      </c>
      <c r="K681" s="50"/>
    </row>
    <row r="682" spans="1:16" ht="13.25" customHeight="1" x14ac:dyDescent="0.3">
      <c r="A682" s="44">
        <v>45935</v>
      </c>
      <c r="B682" s="45"/>
      <c r="C682" s="45">
        <v>3001</v>
      </c>
      <c r="D682" s="46"/>
      <c r="E682" s="47" t="s">
        <v>18</v>
      </c>
      <c r="F682" s="19" t="s">
        <v>27</v>
      </c>
      <c r="G682" s="61" t="s">
        <v>26</v>
      </c>
      <c r="H682" s="61"/>
      <c r="I682" s="62"/>
      <c r="J682" s="62"/>
      <c r="K682" s="63"/>
      <c r="L682" s="63"/>
      <c r="M682" s="63"/>
      <c r="N682" s="63"/>
      <c r="O682" s="63"/>
      <c r="P682" s="63"/>
    </row>
    <row r="683" spans="1:16" ht="13.25" customHeight="1" x14ac:dyDescent="0.3">
      <c r="A683" s="44">
        <v>45935</v>
      </c>
      <c r="B683" s="45"/>
      <c r="C683" s="45">
        <v>3173</v>
      </c>
      <c r="D683" s="46"/>
      <c r="E683" s="47" t="s">
        <v>18</v>
      </c>
      <c r="F683" s="19" t="s">
        <v>27</v>
      </c>
      <c r="G683" s="61" t="s">
        <v>26</v>
      </c>
      <c r="H683" s="61"/>
      <c r="I683" s="62"/>
      <c r="J683" s="62"/>
      <c r="K683" s="63"/>
      <c r="L683" s="63"/>
      <c r="M683" s="63"/>
      <c r="N683" s="63"/>
      <c r="O683" s="63"/>
      <c r="P683" s="63"/>
    </row>
    <row r="684" spans="1:16" ht="13.25" customHeight="1" x14ac:dyDescent="0.3">
      <c r="A684" s="20">
        <v>45936</v>
      </c>
      <c r="B684" s="16"/>
      <c r="C684" s="16">
        <v>800840</v>
      </c>
      <c r="D684" s="17"/>
      <c r="E684" s="18" t="s">
        <v>18</v>
      </c>
      <c r="F684" s="19" t="s">
        <v>373</v>
      </c>
      <c r="G684" s="6" t="s">
        <v>54</v>
      </c>
      <c r="H684" s="6" t="s">
        <v>299</v>
      </c>
      <c r="J684" s="7">
        <v>3</v>
      </c>
      <c r="K684" s="50"/>
    </row>
    <row r="685" spans="1:16" ht="13.25" customHeight="1" x14ac:dyDescent="0.3">
      <c r="A685" s="20">
        <v>45936</v>
      </c>
      <c r="B685" s="16">
        <f>1518390+258400+77000</f>
        <v>1853790</v>
      </c>
      <c r="C685" s="16"/>
      <c r="D685" s="17"/>
      <c r="E685" s="18" t="s">
        <v>18</v>
      </c>
      <c r="F685" s="19" t="s">
        <v>374</v>
      </c>
      <c r="G685" s="6" t="s">
        <v>54</v>
      </c>
      <c r="H685" s="6" t="s">
        <v>359</v>
      </c>
      <c r="J685" s="7" t="s">
        <v>360</v>
      </c>
      <c r="K685" s="50"/>
    </row>
    <row r="686" spans="1:16" s="60" customFormat="1" ht="13.25" customHeight="1" x14ac:dyDescent="0.3">
      <c r="A686" s="20">
        <v>45937</v>
      </c>
      <c r="B686" s="16"/>
      <c r="C686" s="16">
        <v>10000</v>
      </c>
      <c r="D686" s="17"/>
      <c r="E686" s="18" t="s">
        <v>434</v>
      </c>
      <c r="F686" s="19"/>
      <c r="G686" s="6" t="s">
        <v>434</v>
      </c>
      <c r="H686" s="6"/>
      <c r="I686" s="7"/>
      <c r="J686" s="7"/>
      <c r="K686" s="8"/>
      <c r="L686" s="8"/>
      <c r="M686" s="8"/>
      <c r="N686" s="8"/>
      <c r="O686" s="8"/>
      <c r="P686" s="8"/>
    </row>
    <row r="687" spans="1:16" s="60" customFormat="1" ht="43.25" customHeight="1" x14ac:dyDescent="0.3">
      <c r="A687" s="64">
        <v>45937</v>
      </c>
      <c r="B687" s="65"/>
      <c r="C687" s="65">
        <v>25000</v>
      </c>
      <c r="D687" s="17"/>
      <c r="E687" s="66" t="s">
        <v>18</v>
      </c>
      <c r="F687" s="67" t="s">
        <v>375</v>
      </c>
      <c r="G687" s="68" t="s">
        <v>76</v>
      </c>
      <c r="H687" s="68"/>
      <c r="I687" s="69"/>
      <c r="J687" s="69"/>
      <c r="K687" s="8"/>
      <c r="L687" s="8"/>
      <c r="M687" s="8"/>
      <c r="N687" s="8"/>
      <c r="O687" s="8"/>
      <c r="P687" s="8"/>
    </row>
    <row r="688" spans="1:16" s="60" customFormat="1" x14ac:dyDescent="0.3">
      <c r="A688" s="44">
        <v>45939</v>
      </c>
      <c r="B688" s="45"/>
      <c r="C688" s="45">
        <v>12000</v>
      </c>
      <c r="D688" s="46"/>
      <c r="E688" s="47" t="s">
        <v>329</v>
      </c>
      <c r="F688" s="48" t="s">
        <v>40</v>
      </c>
      <c r="G688" s="6" t="s">
        <v>329</v>
      </c>
      <c r="H688" s="6"/>
      <c r="I688" s="7"/>
      <c r="J688" s="7"/>
      <c r="K688" s="8"/>
      <c r="L688" s="8"/>
      <c r="M688" s="8"/>
      <c r="N688" s="8"/>
      <c r="O688" s="8"/>
      <c r="P688" s="8"/>
    </row>
    <row r="689" spans="1:16" s="60" customFormat="1" ht="26" x14ac:dyDescent="0.3">
      <c r="A689" s="20">
        <v>45940</v>
      </c>
      <c r="B689" s="16">
        <v>545000</v>
      </c>
      <c r="C689" s="16"/>
      <c r="D689" s="17"/>
      <c r="E689" s="18" t="s">
        <v>165</v>
      </c>
      <c r="F689" s="19" t="s">
        <v>376</v>
      </c>
      <c r="G689" s="6" t="s">
        <v>159</v>
      </c>
      <c r="H689" s="6" t="s">
        <v>160</v>
      </c>
      <c r="I689" s="7"/>
      <c r="J689" s="7"/>
      <c r="K689" s="8"/>
    </row>
    <row r="690" spans="1:16" s="60" customFormat="1" ht="16.75" customHeight="1" x14ac:dyDescent="0.3">
      <c r="A690" s="51">
        <v>45940</v>
      </c>
      <c r="B690" s="52"/>
      <c r="C690" s="52">
        <v>127000</v>
      </c>
      <c r="D690" s="53"/>
      <c r="E690" s="54" t="s">
        <v>15</v>
      </c>
      <c r="F690" s="55"/>
      <c r="G690" s="56" t="s">
        <v>15</v>
      </c>
      <c r="H690" s="56"/>
      <c r="I690" s="57"/>
      <c r="J690" s="57"/>
      <c r="K690" s="8"/>
    </row>
    <row r="691" spans="1:16" s="50" customFormat="1" x14ac:dyDescent="0.3">
      <c r="A691" s="51">
        <v>45940</v>
      </c>
      <c r="B691" s="52"/>
      <c r="C691" s="52">
        <v>135000</v>
      </c>
      <c r="D691" s="53"/>
      <c r="E691" s="54" t="s">
        <v>16</v>
      </c>
      <c r="F691" s="55"/>
      <c r="G691" s="56" t="s">
        <v>16</v>
      </c>
      <c r="H691" s="56"/>
      <c r="I691" s="57"/>
      <c r="J691" s="57"/>
      <c r="K691" s="8"/>
      <c r="L691" s="60"/>
      <c r="M691" s="60"/>
      <c r="N691" s="60"/>
      <c r="O691" s="60"/>
      <c r="P691" s="60"/>
    </row>
    <row r="692" spans="1:16" s="50" customFormat="1" x14ac:dyDescent="0.3">
      <c r="A692" s="51">
        <v>45941</v>
      </c>
      <c r="B692" s="52"/>
      <c r="C692" s="52">
        <v>125000</v>
      </c>
      <c r="D692" s="53"/>
      <c r="E692" s="54" t="s">
        <v>16</v>
      </c>
      <c r="F692" s="55"/>
      <c r="G692" s="56" t="s">
        <v>16</v>
      </c>
      <c r="H692" s="56"/>
      <c r="I692" s="57"/>
      <c r="J692" s="57"/>
      <c r="K692" s="8"/>
      <c r="L692" s="60"/>
      <c r="M692" s="60"/>
      <c r="N692" s="60"/>
      <c r="O692" s="60"/>
      <c r="P692" s="60"/>
    </row>
    <row r="693" spans="1:16" s="50" customFormat="1" x14ac:dyDescent="0.3">
      <c r="A693" s="20">
        <v>45944</v>
      </c>
      <c r="B693" s="16"/>
      <c r="C693" s="16">
        <v>60000</v>
      </c>
      <c r="D693" s="17"/>
      <c r="E693" s="18" t="s">
        <v>16</v>
      </c>
      <c r="F693" s="19"/>
      <c r="G693" s="6" t="s">
        <v>16</v>
      </c>
      <c r="H693" s="6"/>
      <c r="I693" s="7"/>
      <c r="J693" s="7"/>
      <c r="K693" s="8"/>
      <c r="L693" s="60"/>
      <c r="M693" s="60"/>
      <c r="N693" s="60"/>
      <c r="O693" s="60"/>
      <c r="P693" s="60"/>
    </row>
    <row r="694" spans="1:16" s="50" customFormat="1" ht="54" customHeight="1" x14ac:dyDescent="0.3">
      <c r="A694" s="20">
        <v>45945</v>
      </c>
      <c r="B694" s="16"/>
      <c r="C694" s="16">
        <v>56000</v>
      </c>
      <c r="D694" s="17"/>
      <c r="E694" s="18" t="s">
        <v>23</v>
      </c>
      <c r="F694" s="19"/>
      <c r="G694" s="6" t="s">
        <v>23</v>
      </c>
      <c r="H694" s="6"/>
      <c r="I694" s="7"/>
      <c r="J694" s="7"/>
      <c r="K694" s="8"/>
    </row>
    <row r="695" spans="1:16" s="50" customFormat="1" ht="40.25" customHeight="1" x14ac:dyDescent="0.3">
      <c r="A695" s="20">
        <v>45945</v>
      </c>
      <c r="B695" s="16"/>
      <c r="C695" s="16">
        <v>24000</v>
      </c>
      <c r="D695" s="17"/>
      <c r="E695" s="18" t="s">
        <v>273</v>
      </c>
      <c r="F695" s="19"/>
      <c r="G695" s="6" t="s">
        <v>273</v>
      </c>
      <c r="H695" s="6"/>
      <c r="I695" s="7"/>
      <c r="J695" s="7"/>
      <c r="K695" s="8"/>
    </row>
    <row r="696" spans="1:16" s="50" customFormat="1" ht="26" x14ac:dyDescent="0.3">
      <c r="A696" s="20">
        <v>45945</v>
      </c>
      <c r="B696" s="16"/>
      <c r="C696" s="16">
        <v>52000</v>
      </c>
      <c r="D696" s="17"/>
      <c r="E696" s="18" t="s">
        <v>18</v>
      </c>
      <c r="F696" s="19" t="s">
        <v>377</v>
      </c>
      <c r="G696" s="6" t="s">
        <v>76</v>
      </c>
      <c r="H696" s="6"/>
      <c r="I696" s="7"/>
      <c r="J696" s="7"/>
      <c r="K696" s="8"/>
    </row>
    <row r="697" spans="1:16" s="50" customFormat="1" ht="39" x14ac:dyDescent="0.3">
      <c r="A697" s="20">
        <v>45945</v>
      </c>
      <c r="B697" s="16"/>
      <c r="C697" s="16">
        <v>6000</v>
      </c>
      <c r="D697" s="17"/>
      <c r="E697" s="18" t="s">
        <v>18</v>
      </c>
      <c r="F697" s="25" t="s">
        <v>378</v>
      </c>
      <c r="G697" s="6" t="s">
        <v>63</v>
      </c>
      <c r="H697" s="6"/>
      <c r="I697" s="7"/>
      <c r="J697" s="7"/>
      <c r="K697" s="60"/>
    </row>
    <row r="698" spans="1:16" s="50" customFormat="1" ht="44.4" customHeight="1" x14ac:dyDescent="0.3">
      <c r="A698" s="20">
        <v>45945</v>
      </c>
      <c r="B698" s="16"/>
      <c r="C698" s="16">
        <v>20000</v>
      </c>
      <c r="D698" s="17"/>
      <c r="E698" s="18" t="s">
        <v>18</v>
      </c>
      <c r="F698" s="25" t="s">
        <v>379</v>
      </c>
      <c r="G698" s="6" t="s">
        <v>63</v>
      </c>
      <c r="H698" s="6"/>
      <c r="I698" s="7"/>
      <c r="J698" s="7"/>
      <c r="K698" s="8"/>
    </row>
    <row r="699" spans="1:16" s="50" customFormat="1" ht="14.4" customHeight="1" x14ac:dyDescent="0.3">
      <c r="A699" s="44">
        <v>45945</v>
      </c>
      <c r="B699" s="45"/>
      <c r="C699" s="45">
        <v>2050</v>
      </c>
      <c r="D699" s="46"/>
      <c r="E699" s="47" t="s">
        <v>18</v>
      </c>
      <c r="F699" s="19" t="s">
        <v>27</v>
      </c>
      <c r="G699" s="61" t="s">
        <v>26</v>
      </c>
      <c r="H699" s="61"/>
      <c r="I699" s="62"/>
      <c r="J699" s="62"/>
      <c r="K699" s="63"/>
      <c r="L699" s="63"/>
      <c r="M699" s="63"/>
      <c r="N699" s="63"/>
      <c r="O699" s="63"/>
      <c r="P699" s="63"/>
    </row>
    <row r="700" spans="1:16" s="50" customFormat="1" x14ac:dyDescent="0.3">
      <c r="A700" s="20">
        <v>45946</v>
      </c>
      <c r="B700" s="16">
        <v>167900</v>
      </c>
      <c r="C700" s="16"/>
      <c r="D700" s="17"/>
      <c r="E700" s="18" t="s">
        <v>18</v>
      </c>
      <c r="F700" s="19" t="s">
        <v>177</v>
      </c>
      <c r="G700" s="6" t="s">
        <v>54</v>
      </c>
      <c r="H700" s="6" t="s">
        <v>177</v>
      </c>
      <c r="I700" s="7"/>
      <c r="J700" s="7"/>
      <c r="K700" s="8"/>
    </row>
    <row r="701" spans="1:16" ht="26" x14ac:dyDescent="0.3">
      <c r="A701" s="20">
        <v>45946</v>
      </c>
      <c r="B701" s="16"/>
      <c r="C701" s="16">
        <v>22500</v>
      </c>
      <c r="D701" s="17"/>
      <c r="E701" s="18" t="s">
        <v>18</v>
      </c>
      <c r="F701" s="19" t="s">
        <v>380</v>
      </c>
      <c r="G701" s="6" t="s">
        <v>63</v>
      </c>
      <c r="K701" s="60"/>
      <c r="L701" s="50"/>
      <c r="M701" s="50"/>
      <c r="N701" s="50"/>
      <c r="O701" s="50"/>
      <c r="P701" s="50"/>
    </row>
    <row r="702" spans="1:16" ht="26" x14ac:dyDescent="0.3">
      <c r="A702" s="20">
        <v>45946</v>
      </c>
      <c r="B702" s="16"/>
      <c r="C702" s="16">
        <v>34400</v>
      </c>
      <c r="D702" s="17"/>
      <c r="E702" s="18" t="s">
        <v>18</v>
      </c>
      <c r="F702" s="19" t="s">
        <v>381</v>
      </c>
      <c r="G702" s="6" t="s">
        <v>63</v>
      </c>
      <c r="K702" s="50"/>
      <c r="L702" s="50"/>
      <c r="M702" s="50"/>
      <c r="N702" s="50"/>
      <c r="O702" s="50"/>
      <c r="P702" s="50"/>
    </row>
    <row r="703" spans="1:16" x14ac:dyDescent="0.3">
      <c r="A703" s="20">
        <v>45946</v>
      </c>
      <c r="B703" s="16"/>
      <c r="C703" s="16">
        <v>55000</v>
      </c>
      <c r="D703" s="17"/>
      <c r="E703" s="18" t="s">
        <v>434</v>
      </c>
      <c r="F703" s="19"/>
      <c r="G703" s="6" t="s">
        <v>434</v>
      </c>
      <c r="K703" s="50"/>
      <c r="L703" s="50"/>
      <c r="M703" s="50"/>
      <c r="N703" s="50"/>
      <c r="O703" s="50"/>
      <c r="P703" s="50"/>
    </row>
    <row r="704" spans="1:16" ht="28.25" customHeight="1" x14ac:dyDescent="0.3">
      <c r="A704" s="64">
        <v>45946</v>
      </c>
      <c r="B704" s="65"/>
      <c r="C704" s="65">
        <v>5000</v>
      </c>
      <c r="D704" s="17"/>
      <c r="E704" s="66" t="s">
        <v>18</v>
      </c>
      <c r="F704" s="67" t="s">
        <v>382</v>
      </c>
      <c r="G704" s="68" t="s">
        <v>76</v>
      </c>
      <c r="H704" s="68"/>
      <c r="I704" s="69"/>
      <c r="J704" s="69"/>
      <c r="L704" s="50"/>
      <c r="M704" s="50"/>
      <c r="N704" s="50"/>
      <c r="O704" s="50"/>
      <c r="P704" s="50"/>
    </row>
    <row r="705" spans="1:16" x14ac:dyDescent="0.3">
      <c r="A705" s="70">
        <v>45946</v>
      </c>
      <c r="B705" s="71"/>
      <c r="C705" s="71">
        <v>286110</v>
      </c>
      <c r="D705" s="72"/>
      <c r="E705" s="18" t="s">
        <v>184</v>
      </c>
      <c r="F705" s="19"/>
      <c r="G705" s="6" t="s">
        <v>184</v>
      </c>
      <c r="H705" s="32"/>
      <c r="I705" s="33"/>
      <c r="J705" s="33"/>
      <c r="K705" s="60"/>
    </row>
    <row r="706" spans="1:16" ht="14.4" customHeight="1" x14ac:dyDescent="0.3">
      <c r="A706" s="70">
        <v>45946</v>
      </c>
      <c r="B706" s="71"/>
      <c r="C706" s="71">
        <v>25000</v>
      </c>
      <c r="D706" s="72"/>
      <c r="E706" s="73" t="s">
        <v>14</v>
      </c>
      <c r="F706" s="74"/>
      <c r="G706" s="32" t="s">
        <v>14</v>
      </c>
      <c r="H706" s="32"/>
      <c r="I706" s="33"/>
      <c r="J706" s="33"/>
      <c r="K706" s="60"/>
    </row>
    <row r="707" spans="1:16" ht="39" x14ac:dyDescent="0.3">
      <c r="A707" s="64">
        <v>45947</v>
      </c>
      <c r="B707" s="65"/>
      <c r="C707" s="65">
        <v>40000</v>
      </c>
      <c r="D707" s="17"/>
      <c r="E707" s="66" t="s">
        <v>18</v>
      </c>
      <c r="F707" s="67" t="s">
        <v>383</v>
      </c>
      <c r="G707" s="68" t="s">
        <v>76</v>
      </c>
      <c r="H707" s="68"/>
      <c r="I707" s="69"/>
      <c r="J707" s="69"/>
    </row>
    <row r="708" spans="1:16" x14ac:dyDescent="0.3">
      <c r="A708" s="51">
        <v>45947</v>
      </c>
      <c r="B708" s="52"/>
      <c r="C708" s="52">
        <f>293300+7000-C709</f>
        <v>144300</v>
      </c>
      <c r="D708" s="53"/>
      <c r="E708" s="54" t="s">
        <v>16</v>
      </c>
      <c r="F708" s="55"/>
      <c r="G708" s="56" t="s">
        <v>16</v>
      </c>
      <c r="H708" s="56"/>
      <c r="I708" s="57"/>
      <c r="J708" s="57"/>
      <c r="K708" s="50"/>
    </row>
    <row r="709" spans="1:16" x14ac:dyDescent="0.3">
      <c r="A709" s="51">
        <v>45947</v>
      </c>
      <c r="B709" s="52"/>
      <c r="C709" s="52">
        <v>156000</v>
      </c>
      <c r="D709" s="53"/>
      <c r="E709" s="54" t="s">
        <v>384</v>
      </c>
      <c r="F709" s="55" t="s">
        <v>385</v>
      </c>
      <c r="G709" s="56" t="s">
        <v>41</v>
      </c>
      <c r="H709" s="56" t="s">
        <v>43</v>
      </c>
      <c r="I709" s="57"/>
      <c r="J709" s="57"/>
    </row>
    <row r="710" spans="1:16" x14ac:dyDescent="0.3">
      <c r="A710" s="70">
        <v>45947</v>
      </c>
      <c r="B710" s="71"/>
      <c r="C710" s="71">
        <v>30000</v>
      </c>
      <c r="D710" s="72"/>
      <c r="E710" s="73" t="s">
        <v>14</v>
      </c>
      <c r="F710" s="74"/>
      <c r="G710" s="32" t="s">
        <v>14</v>
      </c>
      <c r="H710" s="32"/>
      <c r="I710" s="33"/>
      <c r="J710" s="33"/>
    </row>
    <row r="711" spans="1:16" ht="39" x14ac:dyDescent="0.3">
      <c r="A711" s="64">
        <v>45948</v>
      </c>
      <c r="B711" s="65"/>
      <c r="C711" s="65">
        <v>2000</v>
      </c>
      <c r="D711" s="17"/>
      <c r="E711" s="66" t="s">
        <v>18</v>
      </c>
      <c r="F711" s="67" t="s">
        <v>386</v>
      </c>
      <c r="G711" s="68" t="s">
        <v>76</v>
      </c>
      <c r="H711" s="68"/>
      <c r="I711" s="69"/>
      <c r="J711" s="69"/>
    </row>
    <row r="712" spans="1:16" ht="52" x14ac:dyDescent="0.3">
      <c r="A712" s="64">
        <v>45948</v>
      </c>
      <c r="B712" s="65"/>
      <c r="C712" s="65">
        <v>10000</v>
      </c>
      <c r="D712" s="17"/>
      <c r="E712" s="66" t="s">
        <v>18</v>
      </c>
      <c r="F712" s="67" t="s">
        <v>387</v>
      </c>
      <c r="G712" s="68" t="s">
        <v>76</v>
      </c>
      <c r="H712" s="68"/>
      <c r="I712" s="69"/>
      <c r="J712" s="69"/>
    </row>
    <row r="713" spans="1:16" x14ac:dyDescent="0.3">
      <c r="A713" s="44">
        <v>45948</v>
      </c>
      <c r="B713" s="45"/>
      <c r="C713" s="45">
        <v>2577</v>
      </c>
      <c r="D713" s="46"/>
      <c r="E713" s="47" t="s">
        <v>18</v>
      </c>
      <c r="F713" s="48" t="s">
        <v>27</v>
      </c>
      <c r="G713" s="61" t="s">
        <v>26</v>
      </c>
      <c r="H713" s="61"/>
      <c r="I713" s="62"/>
      <c r="J713" s="62"/>
      <c r="K713" s="63"/>
      <c r="L713" s="63"/>
      <c r="M713" s="63"/>
      <c r="N713" s="63"/>
      <c r="O713" s="63"/>
      <c r="P713" s="63"/>
    </row>
    <row r="714" spans="1:16" ht="29.4" customHeight="1" x14ac:dyDescent="0.3">
      <c r="A714" s="70">
        <v>45949</v>
      </c>
      <c r="B714" s="71"/>
      <c r="C714" s="71">
        <v>60000</v>
      </c>
      <c r="D714" s="72"/>
      <c r="E714" s="73" t="s">
        <v>17</v>
      </c>
      <c r="F714" s="74"/>
      <c r="G714" s="32" t="s">
        <v>17</v>
      </c>
      <c r="H714" s="32"/>
      <c r="I714" s="33"/>
      <c r="J714" s="33"/>
    </row>
    <row r="715" spans="1:16" x14ac:dyDescent="0.3">
      <c r="A715" s="44">
        <v>45949</v>
      </c>
      <c r="B715" s="45"/>
      <c r="C715" s="45">
        <v>1500</v>
      </c>
      <c r="D715" s="46"/>
      <c r="E715" s="47" t="s">
        <v>165</v>
      </c>
      <c r="F715" s="48" t="s">
        <v>253</v>
      </c>
      <c r="G715" s="61" t="s">
        <v>26</v>
      </c>
      <c r="H715" s="61"/>
      <c r="I715" s="62"/>
      <c r="J715" s="62"/>
      <c r="K715" s="63"/>
      <c r="L715" s="63"/>
      <c r="M715" s="63"/>
      <c r="N715" s="63"/>
      <c r="O715" s="63"/>
      <c r="P715" s="63"/>
    </row>
    <row r="716" spans="1:16" x14ac:dyDescent="0.3">
      <c r="A716" s="51">
        <v>45950</v>
      </c>
      <c r="B716" s="52"/>
      <c r="C716" s="52">
        <v>97000</v>
      </c>
      <c r="D716" s="53"/>
      <c r="E716" s="54" t="s">
        <v>15</v>
      </c>
      <c r="F716" s="55"/>
      <c r="G716" s="56" t="s">
        <v>15</v>
      </c>
      <c r="H716" s="56"/>
      <c r="I716" s="57"/>
      <c r="J716" s="57"/>
    </row>
    <row r="717" spans="1:16" x14ac:dyDescent="0.3">
      <c r="A717" s="44">
        <v>45954</v>
      </c>
      <c r="B717" s="45"/>
      <c r="C717" s="45">
        <v>12000</v>
      </c>
      <c r="D717" s="46"/>
      <c r="E717" s="18" t="s">
        <v>434</v>
      </c>
      <c r="F717" s="48"/>
      <c r="G717" s="6" t="s">
        <v>434</v>
      </c>
    </row>
    <row r="718" spans="1:16" x14ac:dyDescent="0.3">
      <c r="A718" s="70">
        <v>45956</v>
      </c>
      <c r="B718" s="71"/>
      <c r="C718" s="71">
        <v>304000</v>
      </c>
      <c r="D718" s="72"/>
      <c r="E718" s="73" t="s">
        <v>16</v>
      </c>
      <c r="F718" s="74"/>
      <c r="G718" s="32" t="s">
        <v>16</v>
      </c>
      <c r="H718" s="32"/>
      <c r="I718" s="33"/>
      <c r="J718" s="33"/>
    </row>
    <row r="719" spans="1:16" x14ac:dyDescent="0.3">
      <c r="A719" s="44">
        <v>45956</v>
      </c>
      <c r="B719" s="45"/>
      <c r="C719" s="45">
        <v>3000</v>
      </c>
      <c r="D719" s="46"/>
      <c r="E719" s="47" t="s">
        <v>70</v>
      </c>
      <c r="F719" s="48"/>
      <c r="G719" s="61" t="s">
        <v>70</v>
      </c>
      <c r="H719" s="61"/>
      <c r="I719" s="62"/>
      <c r="J719" s="62"/>
      <c r="K719" s="63"/>
      <c r="L719" s="63"/>
      <c r="M719" s="63"/>
      <c r="N719" s="63"/>
      <c r="O719" s="63"/>
      <c r="P719" s="63"/>
    </row>
    <row r="720" spans="1:16" x14ac:dyDescent="0.3">
      <c r="A720" s="44">
        <v>45956</v>
      </c>
      <c r="B720" s="45"/>
      <c r="C720" s="45">
        <f>1015</f>
        <v>1015</v>
      </c>
      <c r="D720" s="46"/>
      <c r="E720" s="47" t="s">
        <v>16</v>
      </c>
      <c r="F720" s="48" t="s">
        <v>105</v>
      </c>
      <c r="G720" s="6" t="s">
        <v>16</v>
      </c>
    </row>
    <row r="721" spans="1:16" x14ac:dyDescent="0.3">
      <c r="A721" s="70">
        <v>45958</v>
      </c>
      <c r="B721" s="71"/>
      <c r="C721" s="71">
        <v>20000</v>
      </c>
      <c r="D721" s="72"/>
      <c r="E721" s="73" t="s">
        <v>17</v>
      </c>
      <c r="F721" s="74"/>
      <c r="G721" s="32" t="s">
        <v>17</v>
      </c>
      <c r="H721" s="32"/>
      <c r="I721" s="33"/>
      <c r="J721" s="33"/>
    </row>
    <row r="722" spans="1:16" x14ac:dyDescent="0.3">
      <c r="A722" s="70">
        <v>45958</v>
      </c>
      <c r="B722" s="71"/>
      <c r="C722" s="71">
        <v>60250</v>
      </c>
      <c r="D722" s="72"/>
      <c r="E722" s="73" t="s">
        <v>14</v>
      </c>
      <c r="F722" s="74"/>
      <c r="G722" s="32" t="s">
        <v>14</v>
      </c>
      <c r="H722" s="32"/>
      <c r="I722" s="33"/>
      <c r="J722" s="33"/>
    </row>
    <row r="723" spans="1:16" x14ac:dyDescent="0.3">
      <c r="A723" s="70">
        <v>45958</v>
      </c>
      <c r="B723" s="71">
        <v>20000</v>
      </c>
      <c r="C723" s="71"/>
      <c r="D723" s="72"/>
      <c r="E723" s="73" t="s">
        <v>14</v>
      </c>
      <c r="F723" s="74" t="s">
        <v>388</v>
      </c>
      <c r="G723" s="32" t="s">
        <v>14</v>
      </c>
      <c r="H723" s="32" t="s">
        <v>43</v>
      </c>
      <c r="I723" s="33"/>
      <c r="J723" s="33"/>
    </row>
    <row r="724" spans="1:16" x14ac:dyDescent="0.3">
      <c r="A724" s="44">
        <v>45959</v>
      </c>
      <c r="B724" s="45"/>
      <c r="C724" s="45">
        <v>91300</v>
      </c>
      <c r="D724" s="46"/>
      <c r="E724" s="47" t="s">
        <v>15</v>
      </c>
      <c r="F724" s="48"/>
      <c r="G724" s="61" t="s">
        <v>15</v>
      </c>
      <c r="H724" s="61"/>
      <c r="I724" s="62"/>
      <c r="J724" s="62"/>
      <c r="K724" s="63"/>
      <c r="L724" s="63"/>
      <c r="M724" s="63"/>
      <c r="N724" s="63"/>
      <c r="O724" s="63"/>
      <c r="P724" s="63"/>
    </row>
    <row r="725" spans="1:16" x14ac:dyDescent="0.3">
      <c r="A725" s="44">
        <v>45960</v>
      </c>
      <c r="B725" s="45">
        <v>28160</v>
      </c>
      <c r="C725" s="45"/>
      <c r="D725" s="46"/>
      <c r="E725" s="47" t="s">
        <v>18</v>
      </c>
      <c r="F725" s="48" t="s">
        <v>389</v>
      </c>
      <c r="G725" s="6" t="s">
        <v>54</v>
      </c>
      <c r="H725" s="6" t="s">
        <v>233</v>
      </c>
      <c r="J725" s="7">
        <v>136</v>
      </c>
    </row>
    <row r="726" spans="1:16" ht="27.65" customHeight="1" x14ac:dyDescent="0.3">
      <c r="A726" s="44">
        <v>45960</v>
      </c>
      <c r="B726" s="45">
        <v>24000</v>
      </c>
      <c r="C726" s="45"/>
      <c r="D726" s="46"/>
      <c r="E726" s="47" t="s">
        <v>18</v>
      </c>
      <c r="F726" s="48" t="s">
        <v>389</v>
      </c>
      <c r="G726" s="6" t="s">
        <v>54</v>
      </c>
      <c r="H726" s="6" t="s">
        <v>233</v>
      </c>
      <c r="J726" s="7">
        <v>137</v>
      </c>
    </row>
    <row r="727" spans="1:16" ht="39" x14ac:dyDescent="0.3">
      <c r="A727" s="20">
        <v>45961</v>
      </c>
      <c r="B727" s="16">
        <v>1500000</v>
      </c>
      <c r="C727" s="16"/>
      <c r="D727" s="17"/>
      <c r="E727" s="18" t="s">
        <v>434</v>
      </c>
      <c r="F727" s="19" t="s">
        <v>390</v>
      </c>
      <c r="G727" s="6" t="s">
        <v>159</v>
      </c>
    </row>
    <row r="728" spans="1:16" x14ac:dyDescent="0.3">
      <c r="A728" s="20">
        <v>45961</v>
      </c>
      <c r="B728" s="16"/>
      <c r="C728" s="16">
        <v>70000</v>
      </c>
      <c r="D728" s="17"/>
      <c r="E728" s="18" t="s">
        <v>434</v>
      </c>
      <c r="F728" s="19"/>
      <c r="G728" s="6" t="s">
        <v>434</v>
      </c>
    </row>
    <row r="729" spans="1:16" x14ac:dyDescent="0.3">
      <c r="A729" s="20">
        <v>45961</v>
      </c>
      <c r="B729" s="16"/>
      <c r="C729" s="16">
        <v>50000</v>
      </c>
      <c r="D729" s="17"/>
      <c r="E729" s="18" t="s">
        <v>23</v>
      </c>
      <c r="F729" s="19" t="s">
        <v>391</v>
      </c>
      <c r="G729" s="6" t="s">
        <v>23</v>
      </c>
    </row>
    <row r="730" spans="1:16" ht="12" customHeight="1" x14ac:dyDescent="0.3">
      <c r="A730" s="20">
        <v>45961</v>
      </c>
      <c r="B730" s="16"/>
      <c r="C730" s="16">
        <v>36000</v>
      </c>
      <c r="D730" s="17"/>
      <c r="E730" s="18" t="s">
        <v>273</v>
      </c>
      <c r="F730" s="19" t="s">
        <v>392</v>
      </c>
      <c r="G730" s="6" t="s">
        <v>273</v>
      </c>
    </row>
    <row r="731" spans="1:16" x14ac:dyDescent="0.3">
      <c r="A731" s="70">
        <v>45961</v>
      </c>
      <c r="B731" s="71"/>
      <c r="C731" s="71">
        <v>70000</v>
      </c>
      <c r="D731" s="72"/>
      <c r="E731" s="18" t="s">
        <v>434</v>
      </c>
      <c r="F731" s="74"/>
      <c r="G731" s="6" t="s">
        <v>434</v>
      </c>
      <c r="H731" s="32"/>
      <c r="I731" s="33"/>
      <c r="J731" s="33"/>
    </row>
    <row r="732" spans="1:16" ht="39" x14ac:dyDescent="0.3">
      <c r="A732" s="70">
        <v>45961</v>
      </c>
      <c r="B732" s="71">
        <v>1500000</v>
      </c>
      <c r="C732" s="71"/>
      <c r="D732" s="72"/>
      <c r="E732" s="18" t="s">
        <v>434</v>
      </c>
      <c r="F732" s="74" t="s">
        <v>393</v>
      </c>
      <c r="G732" s="6" t="s">
        <v>159</v>
      </c>
      <c r="H732" s="32"/>
      <c r="I732" s="33"/>
      <c r="J732" s="33"/>
    </row>
    <row r="733" spans="1:16" x14ac:dyDescent="0.3">
      <c r="A733" s="44">
        <v>45962</v>
      </c>
      <c r="B733" s="45"/>
      <c r="C733" s="45">
        <v>10000</v>
      </c>
      <c r="D733" s="46"/>
      <c r="E733" s="47" t="s">
        <v>14</v>
      </c>
      <c r="F733" s="48"/>
      <c r="G733" s="61" t="s">
        <v>14</v>
      </c>
      <c r="H733" s="61"/>
      <c r="I733" s="62"/>
      <c r="J733" s="62"/>
      <c r="K733" s="63"/>
      <c r="L733" s="63"/>
      <c r="M733" s="63"/>
      <c r="N733" s="63"/>
      <c r="O733" s="63"/>
      <c r="P733" s="63"/>
    </row>
    <row r="734" spans="1:16" x14ac:dyDescent="0.3">
      <c r="A734" s="70">
        <v>45963</v>
      </c>
      <c r="B734" s="71"/>
      <c r="C734" s="71">
        <v>363000</v>
      </c>
      <c r="D734" s="72"/>
      <c r="E734" s="73" t="s">
        <v>16</v>
      </c>
      <c r="F734" s="74"/>
      <c r="G734" s="32" t="s">
        <v>16</v>
      </c>
      <c r="H734" s="32"/>
      <c r="I734" s="33"/>
      <c r="J734" s="33"/>
    </row>
    <row r="735" spans="1:16" x14ac:dyDescent="0.3">
      <c r="A735" s="70">
        <v>45963</v>
      </c>
      <c r="B735" s="71">
        <v>248400</v>
      </c>
      <c r="C735" s="71"/>
      <c r="D735" s="72"/>
      <c r="E735" s="73" t="s">
        <v>18</v>
      </c>
      <c r="F735" s="74" t="s">
        <v>394</v>
      </c>
      <c r="G735" s="32" t="s">
        <v>54</v>
      </c>
      <c r="H735" s="32" t="s">
        <v>395</v>
      </c>
      <c r="I735" s="33"/>
      <c r="J735" s="33"/>
    </row>
    <row r="736" spans="1:16" x14ac:dyDescent="0.3">
      <c r="A736" s="70">
        <v>45964</v>
      </c>
      <c r="B736" s="71"/>
      <c r="C736" s="71">
        <v>86400</v>
      </c>
      <c r="D736" s="72"/>
      <c r="E736" s="73" t="s">
        <v>15</v>
      </c>
      <c r="F736" s="74" t="s">
        <v>385</v>
      </c>
      <c r="G736" s="32" t="s">
        <v>15</v>
      </c>
      <c r="H736" s="32"/>
      <c r="I736" s="33"/>
      <c r="J736" s="33"/>
    </row>
    <row r="737" spans="1:16" x14ac:dyDescent="0.3">
      <c r="A737" s="70">
        <v>45964</v>
      </c>
      <c r="B737" s="71"/>
      <c r="C737" s="71">
        <v>350000</v>
      </c>
      <c r="D737" s="72"/>
      <c r="E737" s="73" t="s">
        <v>16</v>
      </c>
      <c r="F737" s="74" t="s">
        <v>396</v>
      </c>
      <c r="G737" s="32" t="s">
        <v>16</v>
      </c>
      <c r="H737" s="32" t="s">
        <v>43</v>
      </c>
      <c r="I737" s="33"/>
      <c r="J737" s="33"/>
    </row>
    <row r="738" spans="1:16" x14ac:dyDescent="0.3">
      <c r="A738" s="44">
        <v>45964</v>
      </c>
      <c r="B738" s="45">
        <v>17760</v>
      </c>
      <c r="C738" s="45"/>
      <c r="D738" s="46"/>
      <c r="E738" s="47" t="s">
        <v>18</v>
      </c>
      <c r="F738" s="48" t="s">
        <v>397</v>
      </c>
      <c r="G738" s="6" t="s">
        <v>54</v>
      </c>
      <c r="H738" s="6" t="s">
        <v>233</v>
      </c>
      <c r="J738" s="7">
        <v>137</v>
      </c>
    </row>
    <row r="739" spans="1:16" x14ac:dyDescent="0.3">
      <c r="A739" s="70">
        <v>45965</v>
      </c>
      <c r="B739" s="71"/>
      <c r="C739" s="71">
        <v>35000</v>
      </c>
      <c r="D739" s="72"/>
      <c r="E739" s="73" t="s">
        <v>14</v>
      </c>
      <c r="F739" s="74"/>
      <c r="G739" s="32" t="s">
        <v>14</v>
      </c>
      <c r="H739" s="32"/>
      <c r="I739" s="33"/>
      <c r="J739" s="33"/>
    </row>
    <row r="740" spans="1:16" x14ac:dyDescent="0.3">
      <c r="A740" s="70">
        <v>45967</v>
      </c>
      <c r="B740" s="71"/>
      <c r="C740" s="71">
        <v>91000</v>
      </c>
      <c r="D740" s="72"/>
      <c r="E740" s="73" t="s">
        <v>15</v>
      </c>
      <c r="F740" s="74"/>
      <c r="G740" s="32" t="s">
        <v>15</v>
      </c>
      <c r="H740" s="32"/>
      <c r="I740" s="33"/>
      <c r="J740" s="33"/>
    </row>
    <row r="741" spans="1:16" x14ac:dyDescent="0.3">
      <c r="A741" s="44">
        <v>45967</v>
      </c>
      <c r="B741" s="45"/>
      <c r="C741" s="45">
        <v>3000</v>
      </c>
      <c r="D741" s="46"/>
      <c r="E741" s="47" t="s">
        <v>17</v>
      </c>
      <c r="F741" s="48"/>
      <c r="G741" s="6" t="s">
        <v>17</v>
      </c>
    </row>
    <row r="742" spans="1:16" x14ac:dyDescent="0.3">
      <c r="A742" s="44">
        <v>45968</v>
      </c>
      <c r="B742" s="45"/>
      <c r="C742" s="45">
        <v>5000</v>
      </c>
      <c r="D742" s="46"/>
      <c r="E742" s="47" t="s">
        <v>14</v>
      </c>
      <c r="F742" s="48"/>
      <c r="G742" s="61" t="s">
        <v>14</v>
      </c>
      <c r="H742" s="61"/>
      <c r="I742" s="62"/>
      <c r="J742" s="62"/>
      <c r="K742" s="63"/>
      <c r="L742" s="63"/>
      <c r="M742" s="63"/>
      <c r="N742" s="63"/>
      <c r="O742" s="63"/>
      <c r="P742" s="63"/>
    </row>
    <row r="743" spans="1:16" s="63" customFormat="1" ht="26" x14ac:dyDescent="0.3">
      <c r="A743" s="70">
        <v>45969</v>
      </c>
      <c r="B743" s="71">
        <v>120000</v>
      </c>
      <c r="C743" s="71"/>
      <c r="D743" s="72"/>
      <c r="E743" s="73" t="s">
        <v>18</v>
      </c>
      <c r="F743" s="19" t="s">
        <v>398</v>
      </c>
      <c r="G743" s="6" t="s">
        <v>159</v>
      </c>
      <c r="H743" s="32"/>
      <c r="I743" s="33"/>
      <c r="J743" s="33"/>
      <c r="K743" s="8"/>
      <c r="L743" s="8"/>
      <c r="M743" s="8"/>
      <c r="N743" s="8"/>
      <c r="O743" s="8"/>
      <c r="P743" s="8"/>
    </row>
    <row r="744" spans="1:16" s="63" customFormat="1" x14ac:dyDescent="0.3">
      <c r="A744" s="70">
        <v>45969</v>
      </c>
      <c r="B744" s="71"/>
      <c r="C744" s="71">
        <v>271000</v>
      </c>
      <c r="D744" s="72"/>
      <c r="E744" s="73" t="s">
        <v>16</v>
      </c>
      <c r="F744" s="74"/>
      <c r="G744" s="32" t="s">
        <v>16</v>
      </c>
      <c r="H744" s="32"/>
      <c r="I744" s="33"/>
      <c r="J744" s="33"/>
      <c r="K744" s="8"/>
      <c r="L744" s="8"/>
      <c r="M744" s="8"/>
      <c r="N744" s="8"/>
      <c r="O744" s="8"/>
      <c r="P744" s="8"/>
    </row>
    <row r="745" spans="1:16" s="63" customFormat="1" x14ac:dyDescent="0.3">
      <c r="A745" s="70">
        <v>45969</v>
      </c>
      <c r="B745" s="71"/>
      <c r="C745" s="71">
        <v>30000</v>
      </c>
      <c r="D745" s="72"/>
      <c r="E745" s="73" t="s">
        <v>17</v>
      </c>
      <c r="F745" s="74"/>
      <c r="G745" s="32" t="s">
        <v>17</v>
      </c>
      <c r="H745" s="32"/>
      <c r="I745" s="33"/>
      <c r="J745" s="33"/>
      <c r="K745" s="8"/>
      <c r="L745" s="8"/>
      <c r="M745" s="8"/>
      <c r="N745" s="8"/>
      <c r="O745" s="8"/>
      <c r="P745" s="8"/>
    </row>
    <row r="746" spans="1:16" s="63" customFormat="1" x14ac:dyDescent="0.3">
      <c r="A746" s="70">
        <v>45969</v>
      </c>
      <c r="B746" s="71">
        <v>15000</v>
      </c>
      <c r="C746" s="71"/>
      <c r="D746" s="72"/>
      <c r="E746" s="73" t="s">
        <v>70</v>
      </c>
      <c r="F746" s="74" t="s">
        <v>388</v>
      </c>
      <c r="G746" s="32" t="s">
        <v>70</v>
      </c>
      <c r="H746" s="32" t="s">
        <v>43</v>
      </c>
      <c r="I746" s="33"/>
      <c r="J746" s="33"/>
      <c r="K746" s="8"/>
      <c r="L746" s="8"/>
      <c r="M746" s="8"/>
      <c r="N746" s="8"/>
      <c r="O746" s="8"/>
      <c r="P746" s="8"/>
    </row>
    <row r="747" spans="1:16" s="63" customFormat="1" x14ac:dyDescent="0.3">
      <c r="A747" s="70">
        <v>45969</v>
      </c>
      <c r="B747" s="71"/>
      <c r="C747" s="71">
        <v>5000</v>
      </c>
      <c r="D747" s="72"/>
      <c r="E747" s="73" t="s">
        <v>16</v>
      </c>
      <c r="F747" s="74"/>
      <c r="G747" s="32" t="s">
        <v>16</v>
      </c>
      <c r="H747" s="32"/>
      <c r="I747" s="33"/>
      <c r="J747" s="33"/>
      <c r="K747" s="8"/>
      <c r="L747" s="8"/>
      <c r="M747" s="8"/>
      <c r="N747" s="8"/>
      <c r="O747" s="8"/>
      <c r="P747" s="8"/>
    </row>
    <row r="748" spans="1:16" s="63" customFormat="1" x14ac:dyDescent="0.3">
      <c r="A748" s="44">
        <v>45970</v>
      </c>
      <c r="B748" s="45"/>
      <c r="C748" s="45">
        <v>2494</v>
      </c>
      <c r="D748" s="46"/>
      <c r="E748" s="47" t="s">
        <v>165</v>
      </c>
      <c r="F748" s="48" t="s">
        <v>27</v>
      </c>
      <c r="G748" s="6" t="s">
        <v>76</v>
      </c>
      <c r="H748" s="6"/>
      <c r="I748" s="7"/>
      <c r="J748" s="7"/>
      <c r="K748" s="8"/>
      <c r="L748" s="8"/>
      <c r="M748" s="8"/>
      <c r="N748" s="8"/>
      <c r="O748" s="8"/>
      <c r="P748" s="8"/>
    </row>
    <row r="749" spans="1:16" s="63" customFormat="1" x14ac:dyDescent="0.3">
      <c r="A749" s="44">
        <v>45970</v>
      </c>
      <c r="B749" s="45"/>
      <c r="C749" s="45">
        <f>5315.08+1199.98</f>
        <v>6515.0599999999995</v>
      </c>
      <c r="D749" s="46"/>
      <c r="E749" s="47" t="s">
        <v>18</v>
      </c>
      <c r="F749" s="48" t="s">
        <v>399</v>
      </c>
      <c r="G749" s="6" t="s">
        <v>76</v>
      </c>
      <c r="H749" s="6"/>
      <c r="I749" s="7"/>
      <c r="J749" s="7"/>
      <c r="K749" s="8"/>
      <c r="L749" s="8"/>
      <c r="M749" s="8"/>
      <c r="N749" s="8"/>
      <c r="O749" s="8"/>
      <c r="P749" s="8"/>
    </row>
    <row r="750" spans="1:16" s="63" customFormat="1" x14ac:dyDescent="0.3">
      <c r="A750" s="44">
        <v>45970</v>
      </c>
      <c r="B750" s="45"/>
      <c r="C750" s="45">
        <v>3189</v>
      </c>
      <c r="D750" s="46"/>
      <c r="E750" s="47" t="s">
        <v>165</v>
      </c>
      <c r="F750" s="48" t="s">
        <v>27</v>
      </c>
      <c r="G750" s="6" t="s">
        <v>76</v>
      </c>
      <c r="H750" s="6"/>
      <c r="I750" s="7"/>
      <c r="J750" s="7"/>
      <c r="K750" s="8"/>
      <c r="L750" s="8"/>
      <c r="M750" s="8"/>
      <c r="N750" s="8"/>
      <c r="O750" s="8"/>
      <c r="P750" s="8"/>
    </row>
    <row r="751" spans="1:16" s="63" customFormat="1" x14ac:dyDescent="0.3">
      <c r="A751" s="44">
        <v>45970</v>
      </c>
      <c r="B751" s="45"/>
      <c r="C751" s="45">
        <v>12000</v>
      </c>
      <c r="D751" s="46"/>
      <c r="E751" s="47" t="s">
        <v>329</v>
      </c>
      <c r="F751" s="48" t="s">
        <v>40</v>
      </c>
      <c r="G751" s="6" t="s">
        <v>329</v>
      </c>
      <c r="H751" s="6"/>
      <c r="I751" s="7"/>
      <c r="J751" s="7"/>
      <c r="K751" s="8"/>
      <c r="L751" s="8"/>
      <c r="M751" s="8"/>
      <c r="N751" s="8"/>
      <c r="O751" s="8"/>
      <c r="P751" s="8"/>
    </row>
    <row r="752" spans="1:16" s="63" customFormat="1" x14ac:dyDescent="0.3">
      <c r="A752" s="44">
        <v>45970</v>
      </c>
      <c r="B752" s="45"/>
      <c r="C752" s="45">
        <v>5000</v>
      </c>
      <c r="D752" s="46"/>
      <c r="E752" s="47" t="s">
        <v>18</v>
      </c>
      <c r="F752" s="48" t="s">
        <v>253</v>
      </c>
      <c r="G752" s="6" t="s">
        <v>26</v>
      </c>
      <c r="H752" s="6"/>
      <c r="I752" s="7"/>
      <c r="J752" s="7"/>
      <c r="K752" s="8"/>
      <c r="L752" s="8"/>
      <c r="M752" s="8"/>
      <c r="N752" s="8"/>
      <c r="O752" s="8"/>
      <c r="P752" s="8"/>
    </row>
    <row r="753" spans="1:16" s="63" customFormat="1" ht="26" x14ac:dyDescent="0.3">
      <c r="A753" s="70">
        <v>45971</v>
      </c>
      <c r="B753" s="71"/>
      <c r="C753" s="71">
        <v>13500</v>
      </c>
      <c r="D753" s="72"/>
      <c r="E753" s="73" t="s">
        <v>31</v>
      </c>
      <c r="F753" s="75" t="s">
        <v>400</v>
      </c>
      <c r="G753" s="32" t="s">
        <v>31</v>
      </c>
      <c r="H753" s="32"/>
      <c r="I753" s="33"/>
      <c r="J753" s="33"/>
      <c r="K753" s="8"/>
      <c r="L753" s="8"/>
      <c r="M753" s="8"/>
      <c r="N753" s="8"/>
      <c r="O753" s="8"/>
      <c r="P753" s="8"/>
    </row>
    <row r="754" spans="1:16" s="63" customFormat="1" x14ac:dyDescent="0.3">
      <c r="A754" s="44">
        <v>45974</v>
      </c>
      <c r="B754" s="45"/>
      <c r="C754" s="45">
        <v>184</v>
      </c>
      <c r="D754" s="46"/>
      <c r="E754" s="47" t="s">
        <v>18</v>
      </c>
      <c r="F754" s="48" t="s">
        <v>401</v>
      </c>
      <c r="G754" s="6" t="s">
        <v>76</v>
      </c>
      <c r="H754" s="6"/>
      <c r="I754" s="7"/>
      <c r="J754" s="7"/>
      <c r="K754" s="8"/>
      <c r="L754" s="8"/>
      <c r="M754" s="8"/>
      <c r="N754" s="8"/>
      <c r="O754" s="8"/>
      <c r="P754" s="8"/>
    </row>
    <row r="755" spans="1:16" s="63" customFormat="1" x14ac:dyDescent="0.3">
      <c r="A755" s="44">
        <v>45974</v>
      </c>
      <c r="B755" s="45"/>
      <c r="C755" s="45">
        <v>5286</v>
      </c>
      <c r="D755" s="46"/>
      <c r="E755" s="47" t="s">
        <v>18</v>
      </c>
      <c r="F755" s="48" t="s">
        <v>402</v>
      </c>
      <c r="G755" s="6" t="s">
        <v>76</v>
      </c>
      <c r="H755" s="6"/>
      <c r="I755" s="7"/>
      <c r="J755" s="7"/>
      <c r="K755" s="8"/>
      <c r="L755" s="8"/>
      <c r="M755" s="8"/>
      <c r="N755" s="8"/>
      <c r="O755" s="8"/>
      <c r="P755" s="8"/>
    </row>
    <row r="756" spans="1:16" s="63" customFormat="1" x14ac:dyDescent="0.3">
      <c r="A756" s="44">
        <v>45974</v>
      </c>
      <c r="B756" s="45"/>
      <c r="C756" s="45">
        <v>1080</v>
      </c>
      <c r="D756" s="46"/>
      <c r="E756" s="47" t="s">
        <v>165</v>
      </c>
      <c r="F756" s="48" t="s">
        <v>403</v>
      </c>
      <c r="G756" s="6" t="s">
        <v>76</v>
      </c>
      <c r="H756" s="6"/>
      <c r="I756" s="7"/>
      <c r="J756" s="7"/>
      <c r="K756" s="8"/>
      <c r="L756" s="8"/>
      <c r="M756" s="8"/>
      <c r="N756" s="8"/>
      <c r="O756" s="8"/>
      <c r="P756" s="8"/>
    </row>
    <row r="757" spans="1:16" s="63" customFormat="1" x14ac:dyDescent="0.3">
      <c r="A757" s="44">
        <v>45974</v>
      </c>
      <c r="B757" s="45"/>
      <c r="C757" s="45">
        <f>6331.62+835.89</f>
        <v>7167.51</v>
      </c>
      <c r="D757" s="46"/>
      <c r="E757" s="47" t="s">
        <v>165</v>
      </c>
      <c r="F757" s="48" t="s">
        <v>399</v>
      </c>
      <c r="G757" s="6" t="s">
        <v>76</v>
      </c>
      <c r="H757" s="6"/>
      <c r="I757" s="7"/>
      <c r="J757" s="7"/>
      <c r="K757" s="8"/>
      <c r="L757" s="8"/>
      <c r="M757" s="8"/>
      <c r="N757" s="8"/>
      <c r="O757" s="8"/>
      <c r="P757" s="8"/>
    </row>
    <row r="758" spans="1:16" s="63" customFormat="1" x14ac:dyDescent="0.3">
      <c r="A758" s="70">
        <v>45977</v>
      </c>
      <c r="B758" s="71"/>
      <c r="C758" s="71">
        <v>285000</v>
      </c>
      <c r="D758" s="72"/>
      <c r="E758" s="73" t="s">
        <v>16</v>
      </c>
      <c r="F758" s="74"/>
      <c r="G758" s="32" t="s">
        <v>16</v>
      </c>
      <c r="H758" s="32"/>
      <c r="I758" s="33"/>
      <c r="J758" s="33"/>
      <c r="K758" s="8"/>
      <c r="L758" s="8"/>
      <c r="M758" s="8"/>
      <c r="N758" s="8"/>
      <c r="O758" s="8"/>
      <c r="P758" s="8"/>
    </row>
    <row r="759" spans="1:16" s="63" customFormat="1" x14ac:dyDescent="0.3">
      <c r="A759" s="70">
        <v>45977</v>
      </c>
      <c r="B759" s="71">
        <v>15000</v>
      </c>
      <c r="C759" s="71"/>
      <c r="D759" s="72"/>
      <c r="E759" s="73" t="s">
        <v>70</v>
      </c>
      <c r="F759" s="74" t="s">
        <v>388</v>
      </c>
      <c r="G759" s="32" t="s">
        <v>70</v>
      </c>
      <c r="H759" s="32" t="s">
        <v>43</v>
      </c>
      <c r="I759" s="33"/>
      <c r="J759" s="33"/>
      <c r="K759" s="8"/>
      <c r="L759" s="8"/>
      <c r="M759" s="8"/>
      <c r="N759" s="8"/>
      <c r="O759" s="8"/>
      <c r="P759" s="8"/>
    </row>
    <row r="760" spans="1:16" s="63" customFormat="1" x14ac:dyDescent="0.3">
      <c r="A760" s="70">
        <v>45977</v>
      </c>
      <c r="B760" s="71"/>
      <c r="C760" s="71">
        <v>110000</v>
      </c>
      <c r="D760" s="72"/>
      <c r="E760" s="73" t="s">
        <v>15</v>
      </c>
      <c r="F760" s="74" t="s">
        <v>385</v>
      </c>
      <c r="G760" s="32" t="s">
        <v>15</v>
      </c>
      <c r="H760" s="32"/>
      <c r="I760" s="33"/>
      <c r="J760" s="33"/>
      <c r="K760" s="8"/>
      <c r="L760" s="8"/>
      <c r="M760" s="8"/>
      <c r="N760" s="8"/>
      <c r="O760" s="8"/>
      <c r="P760" s="8"/>
    </row>
    <row r="761" spans="1:16" ht="26" x14ac:dyDescent="0.3">
      <c r="A761" s="70">
        <v>45978</v>
      </c>
      <c r="B761" s="71">
        <v>281000</v>
      </c>
      <c r="C761" s="71"/>
      <c r="D761" s="72"/>
      <c r="E761" s="18" t="s">
        <v>434</v>
      </c>
      <c r="F761" s="74" t="s">
        <v>404</v>
      </c>
      <c r="G761" s="32" t="s">
        <v>63</v>
      </c>
      <c r="H761" s="32"/>
      <c r="I761" s="33"/>
      <c r="J761" s="33"/>
    </row>
    <row r="762" spans="1:16" x14ac:dyDescent="0.3">
      <c r="A762" s="70">
        <v>45978</v>
      </c>
      <c r="B762" s="71"/>
      <c r="C762" s="71">
        <v>65000</v>
      </c>
      <c r="D762" s="72"/>
      <c r="E762" s="18" t="s">
        <v>434</v>
      </c>
      <c r="F762" s="74"/>
      <c r="G762" s="6" t="s">
        <v>434</v>
      </c>
      <c r="H762" s="32"/>
      <c r="I762" s="33"/>
      <c r="J762" s="33"/>
    </row>
    <row r="763" spans="1:16" x14ac:dyDescent="0.3">
      <c r="A763" s="70">
        <v>45978</v>
      </c>
      <c r="B763" s="71"/>
      <c r="C763" s="71">
        <v>56000</v>
      </c>
      <c r="D763" s="72"/>
      <c r="E763" s="73" t="s">
        <v>23</v>
      </c>
      <c r="F763" s="74"/>
      <c r="G763" s="32" t="s">
        <v>23</v>
      </c>
      <c r="H763" s="32"/>
      <c r="I763" s="33"/>
      <c r="J763" s="33"/>
    </row>
    <row r="764" spans="1:16" x14ac:dyDescent="0.3">
      <c r="A764" s="70">
        <v>45978</v>
      </c>
      <c r="B764" s="71"/>
      <c r="C764" s="71">
        <v>24000</v>
      </c>
      <c r="D764" s="72"/>
      <c r="E764" s="73" t="s">
        <v>273</v>
      </c>
      <c r="F764" s="74"/>
      <c r="G764" s="32" t="s">
        <v>273</v>
      </c>
      <c r="H764" s="32"/>
      <c r="I764" s="33"/>
      <c r="J764" s="33"/>
    </row>
    <row r="765" spans="1:16" x14ac:dyDescent="0.3">
      <c r="A765" s="44">
        <v>45979</v>
      </c>
      <c r="B765" s="45"/>
      <c r="C765" s="45">
        <v>2000</v>
      </c>
      <c r="D765" s="46"/>
      <c r="E765" s="47" t="s">
        <v>15</v>
      </c>
      <c r="F765" s="48"/>
      <c r="G765" s="61" t="s">
        <v>15</v>
      </c>
      <c r="H765" s="61"/>
      <c r="I765" s="62"/>
      <c r="J765" s="62"/>
      <c r="K765" s="63"/>
      <c r="L765" s="63"/>
      <c r="M765" s="63"/>
      <c r="N765" s="63"/>
      <c r="O765" s="63"/>
      <c r="P765" s="63"/>
    </row>
    <row r="766" spans="1:16" x14ac:dyDescent="0.3">
      <c r="A766" s="44">
        <v>45979</v>
      </c>
      <c r="B766" s="45"/>
      <c r="C766" s="45">
        <v>50000</v>
      </c>
      <c r="D766" s="46"/>
      <c r="E766" s="47" t="s">
        <v>405</v>
      </c>
      <c r="F766" s="48"/>
      <c r="G766" s="61" t="s">
        <v>17</v>
      </c>
      <c r="H766" s="61"/>
      <c r="I766" s="62"/>
      <c r="J766" s="62"/>
      <c r="K766" s="63"/>
      <c r="L766" s="63"/>
      <c r="M766" s="63"/>
      <c r="N766" s="63"/>
      <c r="O766" s="63"/>
      <c r="P766" s="63"/>
    </row>
    <row r="767" spans="1:16" x14ac:dyDescent="0.3">
      <c r="A767" s="44">
        <v>45979</v>
      </c>
      <c r="B767" s="45"/>
      <c r="C767" s="45">
        <v>13048</v>
      </c>
      <c r="D767" s="46"/>
      <c r="E767" s="47" t="s">
        <v>406</v>
      </c>
      <c r="F767" s="48" t="s">
        <v>407</v>
      </c>
      <c r="G767" s="6" t="s">
        <v>58</v>
      </c>
    </row>
    <row r="768" spans="1:16" ht="26" x14ac:dyDescent="0.3">
      <c r="A768" s="70">
        <v>45981</v>
      </c>
      <c r="B768" s="71"/>
      <c r="C768" s="71">
        <v>6500</v>
      </c>
      <c r="D768" s="72"/>
      <c r="E768" s="73" t="s">
        <v>18</v>
      </c>
      <c r="F768" s="74" t="s">
        <v>408</v>
      </c>
      <c r="G768" s="32" t="s">
        <v>34</v>
      </c>
      <c r="H768" s="32"/>
      <c r="I768" s="33"/>
      <c r="J768" s="33"/>
    </row>
    <row r="769" spans="1:16" x14ac:dyDescent="0.3">
      <c r="A769" s="44">
        <v>45982</v>
      </c>
      <c r="B769" s="45"/>
      <c r="C769" s="45">
        <v>15000</v>
      </c>
      <c r="D769" s="46"/>
      <c r="E769" s="47" t="s">
        <v>118</v>
      </c>
      <c r="F769" s="48"/>
      <c r="G769" s="6" t="s">
        <v>303</v>
      </c>
    </row>
    <row r="770" spans="1:16" x14ac:dyDescent="0.3">
      <c r="A770" s="44">
        <v>45982</v>
      </c>
      <c r="B770" s="45"/>
      <c r="C770" s="45">
        <v>14250</v>
      </c>
      <c r="D770" s="46"/>
      <c r="E770" s="47" t="s">
        <v>18</v>
      </c>
      <c r="F770" s="48" t="s">
        <v>409</v>
      </c>
      <c r="G770" s="6" t="s">
        <v>26</v>
      </c>
    </row>
    <row r="771" spans="1:16" x14ac:dyDescent="0.3">
      <c r="A771" s="44">
        <v>45983</v>
      </c>
      <c r="B771" s="45"/>
      <c r="C771" s="45">
        <v>10000</v>
      </c>
      <c r="D771" s="46"/>
      <c r="E771" s="47" t="s">
        <v>16</v>
      </c>
      <c r="F771" s="48" t="s">
        <v>105</v>
      </c>
      <c r="G771" s="6" t="s">
        <v>16</v>
      </c>
    </row>
    <row r="772" spans="1:16" x14ac:dyDescent="0.3">
      <c r="A772" s="44">
        <v>45983</v>
      </c>
      <c r="B772" s="45"/>
      <c r="C772" s="45">
        <v>1500</v>
      </c>
      <c r="D772" s="46"/>
      <c r="E772" s="47" t="s">
        <v>14</v>
      </c>
      <c r="F772" s="48"/>
      <c r="G772" s="6" t="s">
        <v>14</v>
      </c>
    </row>
    <row r="773" spans="1:16" x14ac:dyDescent="0.3">
      <c r="A773" s="44">
        <v>45984</v>
      </c>
      <c r="B773" s="45"/>
      <c r="C773" s="45">
        <v>350000</v>
      </c>
      <c r="D773" s="46"/>
      <c r="E773" s="47" t="s">
        <v>17</v>
      </c>
      <c r="F773" s="48"/>
      <c r="G773" s="6" t="s">
        <v>17</v>
      </c>
      <c r="J773" s="62"/>
      <c r="K773" s="63"/>
      <c r="L773" s="63"/>
      <c r="M773" s="63"/>
      <c r="N773" s="63"/>
      <c r="O773" s="63"/>
      <c r="P773" s="63"/>
    </row>
    <row r="774" spans="1:16" x14ac:dyDescent="0.3">
      <c r="A774" s="44">
        <v>45985</v>
      </c>
      <c r="B774" s="45"/>
      <c r="C774" s="45">
        <v>3165</v>
      </c>
      <c r="D774" s="46"/>
      <c r="E774" s="47" t="s">
        <v>18</v>
      </c>
      <c r="F774" s="48" t="s">
        <v>27</v>
      </c>
      <c r="G774" s="61" t="s">
        <v>26</v>
      </c>
      <c r="H774" s="61"/>
      <c r="I774" s="62"/>
    </row>
    <row r="775" spans="1:16" x14ac:dyDescent="0.3">
      <c r="A775" s="44">
        <v>45986</v>
      </c>
      <c r="B775" s="45"/>
      <c r="C775" s="45">
        <v>5000</v>
      </c>
      <c r="D775" s="46"/>
      <c r="E775" s="47" t="s">
        <v>17</v>
      </c>
      <c r="F775" s="48"/>
      <c r="G775" s="6" t="s">
        <v>17</v>
      </c>
    </row>
    <row r="776" spans="1:16" x14ac:dyDescent="0.3">
      <c r="A776" s="44">
        <v>45987</v>
      </c>
      <c r="B776" s="45"/>
      <c r="C776" s="45">
        <v>40000</v>
      </c>
      <c r="D776" s="46"/>
      <c r="E776" s="47" t="s">
        <v>10</v>
      </c>
      <c r="F776" s="48"/>
      <c r="G776" s="6" t="s">
        <v>10</v>
      </c>
      <c r="J776" s="33"/>
    </row>
    <row r="777" spans="1:16" x14ac:dyDescent="0.3">
      <c r="A777" s="44">
        <v>45988</v>
      </c>
      <c r="B777" s="45"/>
      <c r="C777" s="45">
        <f>10310.85+562.5</f>
        <v>10873.35</v>
      </c>
      <c r="D777" s="46"/>
      <c r="E777" s="47" t="s">
        <v>18</v>
      </c>
      <c r="F777" s="48" t="s">
        <v>410</v>
      </c>
      <c r="G777" s="6" t="s">
        <v>26</v>
      </c>
    </row>
    <row r="778" spans="1:16" ht="14.4" customHeight="1" x14ac:dyDescent="0.3">
      <c r="A778" s="51">
        <v>45988</v>
      </c>
      <c r="B778" s="52"/>
      <c r="C778" s="52">
        <v>5000</v>
      </c>
      <c r="D778" s="53"/>
      <c r="E778" s="54" t="s">
        <v>18</v>
      </c>
      <c r="F778" s="55" t="s">
        <v>253</v>
      </c>
      <c r="G778" s="56" t="s">
        <v>26</v>
      </c>
      <c r="H778" s="56"/>
    </row>
    <row r="779" spans="1:16" x14ac:dyDescent="0.3">
      <c r="A779" s="70">
        <v>45989</v>
      </c>
      <c r="B779" s="71"/>
      <c r="C779" s="71">
        <v>27618</v>
      </c>
      <c r="D779" s="72"/>
      <c r="E779" s="73" t="s">
        <v>18</v>
      </c>
      <c r="F779" s="74" t="s">
        <v>280</v>
      </c>
      <c r="G779" s="32" t="s">
        <v>34</v>
      </c>
      <c r="H779" s="32"/>
      <c r="I779" s="33"/>
      <c r="J779" s="33"/>
      <c r="L779" s="63"/>
      <c r="M779" s="63"/>
      <c r="N779" s="63"/>
      <c r="O779" s="63"/>
      <c r="P779" s="63"/>
    </row>
    <row r="780" spans="1:16" x14ac:dyDescent="0.3">
      <c r="A780" s="44">
        <v>45990</v>
      </c>
      <c r="B780" s="45"/>
      <c r="C780" s="45">
        <v>40000</v>
      </c>
      <c r="D780" s="46"/>
      <c r="E780" s="47" t="s">
        <v>14</v>
      </c>
      <c r="F780" s="48"/>
      <c r="G780" s="6" t="s">
        <v>14</v>
      </c>
      <c r="J780" s="62"/>
      <c r="K780" s="63"/>
      <c r="L780" s="63"/>
      <c r="M780" s="63"/>
      <c r="N780" s="63"/>
      <c r="O780" s="63"/>
      <c r="P780" s="63"/>
    </row>
    <row r="781" spans="1:16" x14ac:dyDescent="0.3">
      <c r="A781" s="44">
        <v>45991</v>
      </c>
      <c r="B781" s="45"/>
      <c r="C781" s="45">
        <v>15000</v>
      </c>
      <c r="D781" s="46"/>
      <c r="E781" s="47" t="s">
        <v>411</v>
      </c>
      <c r="F781" s="48" t="s">
        <v>412</v>
      </c>
      <c r="G781" s="6" t="s">
        <v>93</v>
      </c>
      <c r="H781" s="6" t="s">
        <v>43</v>
      </c>
      <c r="J781" s="62"/>
      <c r="K781" s="63"/>
      <c r="L781" s="63"/>
      <c r="M781" s="63"/>
      <c r="N781" s="63"/>
      <c r="O781" s="63"/>
      <c r="P781" s="63"/>
    </row>
    <row r="782" spans="1:16" x14ac:dyDescent="0.3">
      <c r="A782" s="44">
        <v>45991</v>
      </c>
      <c r="B782" s="45"/>
      <c r="C782" s="45">
        <v>90000</v>
      </c>
      <c r="D782" s="46"/>
      <c r="E782" s="47" t="s">
        <v>413</v>
      </c>
      <c r="F782" s="48" t="s">
        <v>414</v>
      </c>
      <c r="G782" s="6" t="s">
        <v>413</v>
      </c>
      <c r="H782" s="6" t="s">
        <v>43</v>
      </c>
      <c r="J782" s="62"/>
      <c r="K782" s="63"/>
      <c r="L782" s="63"/>
      <c r="M782" s="63"/>
      <c r="N782" s="63"/>
      <c r="O782" s="63"/>
      <c r="P782" s="63"/>
    </row>
    <row r="783" spans="1:16" x14ac:dyDescent="0.3">
      <c r="A783" s="51">
        <v>45991</v>
      </c>
      <c r="B783" s="52"/>
      <c r="C783" s="52">
        <v>25000</v>
      </c>
      <c r="D783" s="53"/>
      <c r="E783" s="54" t="s">
        <v>18</v>
      </c>
      <c r="F783" s="55" t="s">
        <v>415</v>
      </c>
      <c r="G783" s="56" t="s">
        <v>26</v>
      </c>
      <c r="H783" s="56"/>
      <c r="L783" s="63"/>
      <c r="M783" s="63"/>
      <c r="N783" s="63"/>
      <c r="O783" s="63"/>
      <c r="P783" s="63"/>
    </row>
    <row r="784" spans="1:16" ht="26" x14ac:dyDescent="0.3">
      <c r="A784" s="70">
        <v>45992</v>
      </c>
      <c r="B784" s="71">
        <v>800000</v>
      </c>
      <c r="C784" s="71"/>
      <c r="D784" s="72"/>
      <c r="E784" s="73" t="s">
        <v>18</v>
      </c>
      <c r="F784" s="74" t="s">
        <v>416</v>
      </c>
      <c r="G784" s="32" t="s">
        <v>417</v>
      </c>
      <c r="H784" s="32"/>
      <c r="I784" s="33"/>
      <c r="J784" s="62"/>
      <c r="K784" s="63"/>
      <c r="L784" s="63"/>
      <c r="M784" s="63"/>
      <c r="N784" s="63"/>
      <c r="O784" s="63"/>
      <c r="P784" s="63"/>
    </row>
    <row r="785" spans="1:11" x14ac:dyDescent="0.3">
      <c r="A785" s="44">
        <v>45992</v>
      </c>
      <c r="B785" s="45"/>
      <c r="C785" s="45">
        <v>393000</v>
      </c>
      <c r="D785" s="46"/>
      <c r="E785" s="47" t="s">
        <v>16</v>
      </c>
      <c r="F785" s="48"/>
      <c r="G785" s="61" t="s">
        <v>16</v>
      </c>
      <c r="H785" s="61"/>
      <c r="I785" s="62"/>
      <c r="J785" s="62"/>
      <c r="K785" s="63"/>
    </row>
    <row r="786" spans="1:11" x14ac:dyDescent="0.3">
      <c r="A786" s="44">
        <v>45992</v>
      </c>
      <c r="B786" s="45"/>
      <c r="C786" s="45">
        <v>131000</v>
      </c>
      <c r="D786" s="46"/>
      <c r="E786" s="47" t="s">
        <v>15</v>
      </c>
      <c r="F786" s="48"/>
      <c r="G786" s="61" t="s">
        <v>15</v>
      </c>
      <c r="H786" s="61"/>
      <c r="I786" s="62"/>
      <c r="J786" s="62"/>
      <c r="K786" s="63"/>
    </row>
    <row r="787" spans="1:11" x14ac:dyDescent="0.3">
      <c r="A787" s="44">
        <v>45992</v>
      </c>
      <c r="B787" s="45">
        <v>10000</v>
      </c>
      <c r="C787" s="45"/>
      <c r="D787" s="46"/>
      <c r="E787" s="47" t="s">
        <v>70</v>
      </c>
      <c r="F787" s="48" t="s">
        <v>388</v>
      </c>
      <c r="G787" s="61" t="s">
        <v>70</v>
      </c>
      <c r="H787" s="61" t="s">
        <v>43</v>
      </c>
      <c r="I787" s="62"/>
    </row>
    <row r="788" spans="1:11" x14ac:dyDescent="0.3">
      <c r="A788" s="44">
        <v>45992</v>
      </c>
      <c r="B788" s="45"/>
      <c r="C788" s="45">
        <v>15000</v>
      </c>
      <c r="D788" s="46"/>
      <c r="E788" s="47" t="s">
        <v>14</v>
      </c>
      <c r="F788" s="48"/>
      <c r="G788" s="6" t="s">
        <v>14</v>
      </c>
    </row>
    <row r="789" spans="1:11" x14ac:dyDescent="0.3">
      <c r="A789" s="44">
        <v>45993</v>
      </c>
      <c r="B789" s="45"/>
      <c r="C789" s="45">
        <v>93000</v>
      </c>
      <c r="D789" s="46"/>
      <c r="E789" s="47" t="s">
        <v>23</v>
      </c>
      <c r="F789" s="48"/>
      <c r="G789" s="61" t="s">
        <v>23</v>
      </c>
      <c r="H789" s="61"/>
      <c r="I789" s="62"/>
    </row>
    <row r="790" spans="1:11" x14ac:dyDescent="0.3">
      <c r="A790" s="44">
        <v>45993</v>
      </c>
      <c r="B790" s="45"/>
      <c r="C790" s="45">
        <v>36000</v>
      </c>
      <c r="D790" s="46"/>
      <c r="E790" s="47" t="s">
        <v>273</v>
      </c>
      <c r="F790" s="48"/>
      <c r="G790" s="61" t="s">
        <v>273</v>
      </c>
      <c r="H790" s="61"/>
      <c r="I790" s="62"/>
    </row>
    <row r="791" spans="1:11" x14ac:dyDescent="0.3">
      <c r="A791" s="44">
        <v>45993</v>
      </c>
      <c r="B791" s="45"/>
      <c r="C791" s="45">
        <v>50000</v>
      </c>
      <c r="D791" s="46"/>
      <c r="E791" s="18" t="s">
        <v>434</v>
      </c>
      <c r="F791" s="48"/>
      <c r="G791" s="6" t="s">
        <v>434</v>
      </c>
      <c r="H791" s="61"/>
      <c r="I791" s="62"/>
    </row>
    <row r="792" spans="1:11" x14ac:dyDescent="0.3">
      <c r="A792" s="76">
        <v>45993</v>
      </c>
      <c r="B792" s="77"/>
      <c r="C792" s="77">
        <v>5000</v>
      </c>
      <c r="D792" s="78"/>
      <c r="E792" s="79" t="s">
        <v>14</v>
      </c>
      <c r="F792" s="80"/>
      <c r="G792" s="81" t="s">
        <v>14</v>
      </c>
    </row>
    <row r="793" spans="1:11" x14ac:dyDescent="0.3">
      <c r="A793" s="44">
        <v>45994</v>
      </c>
      <c r="B793" s="45"/>
      <c r="C793" s="45">
        <v>12291</v>
      </c>
      <c r="D793" s="46"/>
      <c r="E793" s="47" t="s">
        <v>18</v>
      </c>
      <c r="F793" s="48" t="s">
        <v>418</v>
      </c>
      <c r="G793" s="6" t="s">
        <v>34</v>
      </c>
    </row>
    <row r="794" spans="1:11" x14ac:dyDescent="0.3">
      <c r="A794" s="44">
        <v>45994</v>
      </c>
      <c r="B794" s="45"/>
      <c r="C794" s="45">
        <v>3500</v>
      </c>
      <c r="D794" s="46"/>
      <c r="E794" s="47" t="s">
        <v>18</v>
      </c>
      <c r="F794" s="48" t="s">
        <v>419</v>
      </c>
      <c r="G794" s="6" t="s">
        <v>26</v>
      </c>
    </row>
    <row r="795" spans="1:11" x14ac:dyDescent="0.3">
      <c r="A795" s="76">
        <v>45994</v>
      </c>
      <c r="B795" s="77"/>
      <c r="C795" s="77">
        <v>30000</v>
      </c>
      <c r="D795" s="78"/>
      <c r="E795" s="79" t="s">
        <v>17</v>
      </c>
      <c r="F795" s="80"/>
      <c r="G795" s="81" t="s">
        <v>17</v>
      </c>
    </row>
    <row r="796" spans="1:11" x14ac:dyDescent="0.3">
      <c r="A796" s="44">
        <v>45995</v>
      </c>
      <c r="B796" s="45"/>
      <c r="C796" s="45">
        <v>20000</v>
      </c>
      <c r="D796" s="46"/>
      <c r="E796" s="47" t="s">
        <v>52</v>
      </c>
      <c r="F796" s="48" t="s">
        <v>420</v>
      </c>
      <c r="G796" s="6" t="s">
        <v>52</v>
      </c>
    </row>
    <row r="797" spans="1:11" x14ac:dyDescent="0.3">
      <c r="A797" s="51">
        <v>45996</v>
      </c>
      <c r="B797" s="52"/>
      <c r="C797" s="52">
        <v>1748</v>
      </c>
      <c r="D797" s="53"/>
      <c r="E797" s="54" t="s">
        <v>18</v>
      </c>
      <c r="F797" s="55" t="s">
        <v>27</v>
      </c>
      <c r="G797" s="56" t="s">
        <v>26</v>
      </c>
      <c r="H797" s="56"/>
    </row>
    <row r="798" spans="1:11" x14ac:dyDescent="0.3">
      <c r="A798" s="51">
        <v>45996</v>
      </c>
      <c r="B798" s="52"/>
      <c r="C798" s="52">
        <v>3680</v>
      </c>
      <c r="D798" s="53"/>
      <c r="E798" s="54" t="s">
        <v>18</v>
      </c>
      <c r="F798" s="55" t="s">
        <v>421</v>
      </c>
      <c r="G798" s="56" t="s">
        <v>26</v>
      </c>
      <c r="H798" s="56"/>
    </row>
    <row r="799" spans="1:11" x14ac:dyDescent="0.3">
      <c r="A799" s="76">
        <v>45996</v>
      </c>
      <c r="B799" s="77"/>
      <c r="C799" s="77">
        <v>52100</v>
      </c>
      <c r="D799" s="78"/>
      <c r="E799" s="79" t="s">
        <v>10</v>
      </c>
      <c r="F799" s="80"/>
      <c r="G799" s="81" t="s">
        <v>10</v>
      </c>
      <c r="H799" s="56"/>
    </row>
    <row r="800" spans="1:11" x14ac:dyDescent="0.3">
      <c r="A800" s="76">
        <v>45996</v>
      </c>
      <c r="B800" s="77"/>
      <c r="C800" s="77">
        <v>52100</v>
      </c>
      <c r="D800" s="78"/>
      <c r="E800" s="79" t="s">
        <v>10</v>
      </c>
      <c r="F800" s="80"/>
      <c r="G800" s="81" t="s">
        <v>10</v>
      </c>
    </row>
    <row r="801" spans="1:8" ht="26" x14ac:dyDescent="0.3">
      <c r="A801" s="44">
        <v>45997</v>
      </c>
      <c r="B801" s="45">
        <v>300000</v>
      </c>
      <c r="C801" s="45"/>
      <c r="D801" s="46"/>
      <c r="E801" s="47" t="s">
        <v>18</v>
      </c>
      <c r="F801" s="19" t="s">
        <v>422</v>
      </c>
      <c r="G801" s="6" t="s">
        <v>107</v>
      </c>
    </row>
    <row r="802" spans="1:8" x14ac:dyDescent="0.3">
      <c r="A802" s="51">
        <v>45997</v>
      </c>
      <c r="B802" s="52"/>
      <c r="C802" s="52">
        <v>5000</v>
      </c>
      <c r="D802" s="53"/>
      <c r="E802" s="54" t="s">
        <v>14</v>
      </c>
      <c r="F802" s="55"/>
      <c r="G802" s="56" t="s">
        <v>14</v>
      </c>
      <c r="H802" s="56"/>
    </row>
    <row r="803" spans="1:8" x14ac:dyDescent="0.3">
      <c r="A803" s="51">
        <v>45998</v>
      </c>
      <c r="B803" s="52"/>
      <c r="C803" s="52">
        <v>1000</v>
      </c>
      <c r="D803" s="53"/>
      <c r="E803" s="54" t="s">
        <v>165</v>
      </c>
      <c r="F803" s="55" t="s">
        <v>423</v>
      </c>
      <c r="G803" s="56" t="s">
        <v>26</v>
      </c>
      <c r="H803" s="56"/>
    </row>
    <row r="804" spans="1:8" x14ac:dyDescent="0.3">
      <c r="A804" s="76">
        <v>45998</v>
      </c>
      <c r="B804" s="77"/>
      <c r="C804" s="77">
        <v>40000</v>
      </c>
      <c r="D804" s="78"/>
      <c r="E804" s="79" t="s">
        <v>18</v>
      </c>
      <c r="F804" s="80" t="s">
        <v>424</v>
      </c>
      <c r="G804" s="81" t="s">
        <v>26</v>
      </c>
    </row>
    <row r="805" spans="1:8" x14ac:dyDescent="0.3">
      <c r="A805" s="76">
        <v>45998</v>
      </c>
      <c r="B805" s="77"/>
      <c r="C805" s="77">
        <v>60000</v>
      </c>
      <c r="D805" s="78"/>
      <c r="E805" s="79" t="s">
        <v>18</v>
      </c>
      <c r="F805" s="80" t="s">
        <v>425</v>
      </c>
      <c r="G805" s="81" t="s">
        <v>26</v>
      </c>
    </row>
    <row r="806" spans="1:8" x14ac:dyDescent="0.3">
      <c r="A806" s="76">
        <v>45999</v>
      </c>
      <c r="B806" s="77"/>
      <c r="C806" s="77">
        <v>31500</v>
      </c>
      <c r="D806" s="78"/>
      <c r="E806" s="79" t="s">
        <v>15</v>
      </c>
      <c r="F806" s="80"/>
      <c r="G806" s="81" t="s">
        <v>15</v>
      </c>
    </row>
    <row r="807" spans="1:8" x14ac:dyDescent="0.3">
      <c r="A807" s="76">
        <v>45999</v>
      </c>
      <c r="B807" s="77"/>
      <c r="C807" s="77">
        <v>10000</v>
      </c>
      <c r="D807" s="78"/>
      <c r="E807" s="79" t="s">
        <v>14</v>
      </c>
      <c r="F807" s="80"/>
      <c r="G807" s="81" t="s">
        <v>14</v>
      </c>
    </row>
    <row r="808" spans="1:8" x14ac:dyDescent="0.3">
      <c r="A808" s="76">
        <v>45999</v>
      </c>
      <c r="B808" s="77"/>
      <c r="C808" s="77">
        <v>5000</v>
      </c>
      <c r="D808" s="78"/>
      <c r="E808" s="79" t="s">
        <v>426</v>
      </c>
      <c r="F808" s="80" t="s">
        <v>427</v>
      </c>
      <c r="G808" s="81" t="s">
        <v>426</v>
      </c>
    </row>
    <row r="809" spans="1:8" x14ac:dyDescent="0.3">
      <c r="A809" s="44">
        <v>46000</v>
      </c>
      <c r="B809" s="45"/>
      <c r="C809" s="45">
        <v>10000</v>
      </c>
      <c r="D809" s="46"/>
      <c r="E809" s="47" t="s">
        <v>14</v>
      </c>
      <c r="F809" s="48"/>
      <c r="G809" s="6" t="s">
        <v>14</v>
      </c>
    </row>
    <row r="810" spans="1:8" x14ac:dyDescent="0.3">
      <c r="A810" s="44">
        <v>46000</v>
      </c>
      <c r="B810" s="45"/>
      <c r="C810" s="45">
        <v>16500</v>
      </c>
      <c r="D810" s="46"/>
      <c r="E810" s="47" t="s">
        <v>18</v>
      </c>
      <c r="F810" s="48" t="s">
        <v>428</v>
      </c>
      <c r="G810" s="6" t="s">
        <v>26</v>
      </c>
    </row>
    <row r="811" spans="1:8" x14ac:dyDescent="0.3">
      <c r="A811" s="51">
        <v>46000</v>
      </c>
      <c r="B811" s="52"/>
      <c r="C811" s="52">
        <v>3000</v>
      </c>
      <c r="D811" s="53"/>
      <c r="E811" s="54" t="s">
        <v>18</v>
      </c>
      <c r="F811" s="55" t="s">
        <v>253</v>
      </c>
      <c r="G811" s="56" t="s">
        <v>26</v>
      </c>
      <c r="H811" s="56"/>
    </row>
    <row r="812" spans="1:8" x14ac:dyDescent="0.3">
      <c r="A812" s="51">
        <v>46000</v>
      </c>
      <c r="B812" s="52"/>
      <c r="C812" s="52">
        <v>15000</v>
      </c>
      <c r="D812" s="53"/>
      <c r="E812" s="54" t="s">
        <v>329</v>
      </c>
      <c r="F812" s="55" t="s">
        <v>40</v>
      </c>
      <c r="G812" s="56" t="s">
        <v>329</v>
      </c>
      <c r="H812" s="56"/>
    </row>
    <row r="813" spans="1:8" x14ac:dyDescent="0.3">
      <c r="A813" s="44">
        <v>46001</v>
      </c>
      <c r="B813" s="45"/>
      <c r="C813" s="45">
        <v>1000</v>
      </c>
      <c r="D813" s="46"/>
      <c r="E813" s="47" t="s">
        <v>18</v>
      </c>
      <c r="F813" s="48" t="s">
        <v>429</v>
      </c>
      <c r="G813" s="6" t="s">
        <v>26</v>
      </c>
    </row>
    <row r="814" spans="1:8" x14ac:dyDescent="0.3">
      <c r="A814" s="44">
        <v>46003</v>
      </c>
      <c r="B814" s="45"/>
      <c r="C814" s="45">
        <v>5500</v>
      </c>
      <c r="D814" s="46"/>
      <c r="E814" s="47" t="s">
        <v>14</v>
      </c>
      <c r="F814" s="48"/>
      <c r="G814" s="6" t="s">
        <v>14</v>
      </c>
    </row>
    <row r="815" spans="1:8" x14ac:dyDescent="0.3">
      <c r="A815" s="51">
        <v>46004</v>
      </c>
      <c r="B815" s="52"/>
      <c r="C815" s="52">
        <v>3800</v>
      </c>
      <c r="D815" s="53"/>
      <c r="E815" s="54" t="s">
        <v>16</v>
      </c>
      <c r="F815" s="55"/>
      <c r="G815" s="56" t="s">
        <v>16</v>
      </c>
      <c r="H815" s="56"/>
    </row>
    <row r="816" spans="1:8" x14ac:dyDescent="0.3">
      <c r="A816" s="44">
        <v>46005</v>
      </c>
      <c r="B816" s="45"/>
      <c r="C816" s="45">
        <v>10000</v>
      </c>
      <c r="D816" s="46"/>
      <c r="E816" s="47" t="s">
        <v>17</v>
      </c>
      <c r="F816" s="48"/>
      <c r="G816" s="6" t="s">
        <v>17</v>
      </c>
    </row>
    <row r="817" spans="1:8" x14ac:dyDescent="0.3">
      <c r="A817" s="51">
        <v>46005</v>
      </c>
      <c r="B817" s="52"/>
      <c r="C817" s="52">
        <v>3013</v>
      </c>
      <c r="D817" s="53"/>
      <c r="E817" s="54" t="s">
        <v>18</v>
      </c>
      <c r="F817" s="55" t="s">
        <v>27</v>
      </c>
      <c r="G817" s="56" t="s">
        <v>26</v>
      </c>
      <c r="H817" s="56"/>
    </row>
    <row r="818" spans="1:8" x14ac:dyDescent="0.3">
      <c r="A818" s="44">
        <v>46006</v>
      </c>
      <c r="B818" s="45"/>
      <c r="C818" s="45">
        <v>30000</v>
      </c>
      <c r="D818" s="46"/>
      <c r="E818" s="47" t="s">
        <v>14</v>
      </c>
      <c r="F818" s="48"/>
      <c r="G818" s="6" t="s">
        <v>14</v>
      </c>
    </row>
    <row r="819" spans="1:8" ht="26" x14ac:dyDescent="0.3">
      <c r="A819" s="51">
        <v>46006</v>
      </c>
      <c r="B819" s="52">
        <v>15000</v>
      </c>
      <c r="C819" s="52"/>
      <c r="D819" s="53"/>
      <c r="E819" s="54" t="s">
        <v>18</v>
      </c>
      <c r="F819" s="55" t="s">
        <v>430</v>
      </c>
      <c r="G819" s="56" t="s">
        <v>54</v>
      </c>
      <c r="H819" s="56" t="s">
        <v>431</v>
      </c>
    </row>
    <row r="820" spans="1:8" x14ac:dyDescent="0.3">
      <c r="A820" s="51">
        <v>46006</v>
      </c>
      <c r="B820" s="52"/>
      <c r="C820" s="52">
        <v>29256</v>
      </c>
      <c r="D820" s="53"/>
      <c r="E820" s="54" t="s">
        <v>18</v>
      </c>
      <c r="F820" s="55" t="s">
        <v>306</v>
      </c>
      <c r="G820" s="56" t="s">
        <v>34</v>
      </c>
      <c r="H820" s="56"/>
    </row>
    <row r="821" spans="1:8" x14ac:dyDescent="0.3">
      <c r="A821" s="44">
        <v>46007</v>
      </c>
      <c r="B821" s="45"/>
      <c r="C821" s="45">
        <f>100+58000</f>
        <v>58100</v>
      </c>
      <c r="D821" s="46"/>
      <c r="E821" s="47" t="s">
        <v>23</v>
      </c>
      <c r="F821" s="48"/>
      <c r="G821" s="6" t="s">
        <v>23</v>
      </c>
    </row>
    <row r="822" spans="1:8" x14ac:dyDescent="0.3">
      <c r="A822" s="44">
        <v>46007</v>
      </c>
      <c r="B822" s="45"/>
      <c r="C822" s="45">
        <v>24000</v>
      </c>
      <c r="D822" s="46"/>
      <c r="E822" s="47" t="s">
        <v>273</v>
      </c>
      <c r="F822" s="48"/>
      <c r="G822" s="6" t="s">
        <v>273</v>
      </c>
    </row>
    <row r="823" spans="1:8" x14ac:dyDescent="0.3">
      <c r="A823" s="51">
        <v>46007</v>
      </c>
      <c r="B823" s="52"/>
      <c r="C823" s="52">
        <v>3000</v>
      </c>
      <c r="D823" s="53"/>
      <c r="E823" s="54" t="s">
        <v>18</v>
      </c>
      <c r="F823" s="55" t="s">
        <v>253</v>
      </c>
      <c r="G823" s="56" t="s">
        <v>26</v>
      </c>
      <c r="H823" s="56"/>
    </row>
    <row r="824" spans="1:8" x14ac:dyDescent="0.3">
      <c r="A824" s="44">
        <v>46009</v>
      </c>
      <c r="B824" s="45"/>
      <c r="C824" s="45">
        <v>50000</v>
      </c>
      <c r="D824" s="46"/>
      <c r="E824" s="18" t="s">
        <v>434</v>
      </c>
      <c r="F824" s="48"/>
      <c r="G824" s="6" t="s">
        <v>434</v>
      </c>
    </row>
    <row r="825" spans="1:8" x14ac:dyDescent="0.3">
      <c r="A825" s="76">
        <v>46011</v>
      </c>
      <c r="B825" s="77"/>
      <c r="C825" s="77">
        <v>7000</v>
      </c>
      <c r="D825" s="78"/>
      <c r="E825" s="79" t="s">
        <v>14</v>
      </c>
      <c r="F825" s="80"/>
      <c r="G825" s="81" t="s">
        <v>14</v>
      </c>
      <c r="H825" s="56"/>
    </row>
    <row r="826" spans="1:8" ht="26" x14ac:dyDescent="0.3">
      <c r="A826" s="44">
        <v>46013</v>
      </c>
      <c r="B826" s="45">
        <v>200000</v>
      </c>
      <c r="C826" s="45"/>
      <c r="D826" s="46"/>
      <c r="E826" s="47" t="s">
        <v>18</v>
      </c>
      <c r="F826" s="19" t="s">
        <v>422</v>
      </c>
      <c r="G826" s="6" t="s">
        <v>107</v>
      </c>
    </row>
    <row r="827" spans="1:8" ht="26" x14ac:dyDescent="0.3">
      <c r="A827" s="51">
        <v>46013</v>
      </c>
      <c r="B827" s="52"/>
      <c r="C827" s="52">
        <v>90000</v>
      </c>
      <c r="D827" s="53"/>
      <c r="E827" s="54" t="s">
        <v>18</v>
      </c>
      <c r="F827" s="55" t="s">
        <v>432</v>
      </c>
      <c r="G827" s="56" t="s">
        <v>417</v>
      </c>
      <c r="H827" s="56"/>
    </row>
    <row r="828" spans="1:8" x14ac:dyDescent="0.3">
      <c r="A828" s="76">
        <v>46013</v>
      </c>
      <c r="B828" s="77"/>
      <c r="C828" s="77">
        <v>5000</v>
      </c>
      <c r="D828" s="78"/>
      <c r="E828" s="79" t="s">
        <v>433</v>
      </c>
      <c r="F828" s="80" t="s">
        <v>13</v>
      </c>
      <c r="G828" s="81" t="s">
        <v>182</v>
      </c>
    </row>
    <row r="829" spans="1:8" x14ac:dyDescent="0.3">
      <c r="A829" s="76">
        <v>46015</v>
      </c>
      <c r="B829" s="77"/>
      <c r="C829" s="77">
        <v>40000</v>
      </c>
      <c r="D829" s="78"/>
      <c r="E829" s="79" t="s">
        <v>10</v>
      </c>
      <c r="F829" s="80"/>
      <c r="G829" s="81" t="s">
        <v>10</v>
      </c>
      <c r="H829" s="56"/>
    </row>
    <row r="830" spans="1:8" x14ac:dyDescent="0.3">
      <c r="A830" s="76">
        <v>46015</v>
      </c>
      <c r="B830" s="77"/>
      <c r="C830" s="77">
        <v>40000</v>
      </c>
      <c r="D830" s="78"/>
      <c r="E830" s="79" t="s">
        <v>14</v>
      </c>
      <c r="F830" s="80"/>
      <c r="G830" s="81" t="s">
        <v>14</v>
      </c>
      <c r="H830" s="56"/>
    </row>
    <row r="831" spans="1:8" x14ac:dyDescent="0.3">
      <c r="A831" s="76">
        <v>46015</v>
      </c>
      <c r="B831" s="77"/>
      <c r="C831" s="77">
        <v>40000</v>
      </c>
      <c r="D831" s="78"/>
      <c r="E831" s="79" t="s">
        <v>118</v>
      </c>
      <c r="F831" s="80"/>
      <c r="G831" s="81" t="s">
        <v>303</v>
      </c>
      <c r="H831" s="56"/>
    </row>
    <row r="832" spans="1:8" x14ac:dyDescent="0.3">
      <c r="A832" s="76">
        <v>46017</v>
      </c>
      <c r="B832" s="77"/>
      <c r="C832" s="77">
        <v>90000</v>
      </c>
      <c r="D832" s="78"/>
      <c r="E832" s="79" t="s">
        <v>17</v>
      </c>
      <c r="F832" s="80"/>
      <c r="G832" s="81" t="s">
        <v>17</v>
      </c>
      <c r="H832" s="56"/>
    </row>
    <row r="833" spans="1:8" x14ac:dyDescent="0.3">
      <c r="A833" s="76">
        <v>46021</v>
      </c>
      <c r="B833" s="77"/>
      <c r="C833" s="77">
        <v>55000</v>
      </c>
      <c r="D833" s="78"/>
      <c r="E833" s="18" t="s">
        <v>434</v>
      </c>
      <c r="F833" s="80"/>
      <c r="G833" s="6" t="s">
        <v>434</v>
      </c>
      <c r="H833" s="56"/>
    </row>
    <row r="834" spans="1:8" x14ac:dyDescent="0.3">
      <c r="A834" s="76">
        <v>46021</v>
      </c>
      <c r="B834" s="77"/>
      <c r="C834" s="77">
        <v>79000</v>
      </c>
      <c r="D834" s="78"/>
      <c r="E834" s="79" t="s">
        <v>23</v>
      </c>
      <c r="F834" s="80"/>
      <c r="G834" s="81" t="s">
        <v>23</v>
      </c>
      <c r="H834" s="56"/>
    </row>
    <row r="835" spans="1:8" x14ac:dyDescent="0.3">
      <c r="A835" s="76">
        <v>46021</v>
      </c>
      <c r="B835" s="77"/>
      <c r="C835" s="77">
        <v>36000</v>
      </c>
      <c r="D835" s="78"/>
      <c r="E835" s="79" t="s">
        <v>273</v>
      </c>
      <c r="F835" s="80"/>
      <c r="G835" s="81" t="s">
        <v>273</v>
      </c>
      <c r="H835" s="56"/>
    </row>
    <row r="836" spans="1:8" x14ac:dyDescent="0.3">
      <c r="A836" s="20"/>
      <c r="B836" s="16"/>
      <c r="C836" s="16"/>
      <c r="D836" s="17"/>
      <c r="E836" s="18"/>
      <c r="F836" s="19"/>
    </row>
    <row r="837" spans="1:8" x14ac:dyDescent="0.3">
      <c r="A837" s="20"/>
      <c r="B837" s="16"/>
      <c r="C837" s="16"/>
      <c r="D837" s="17"/>
      <c r="E837" s="18"/>
      <c r="F837" s="19"/>
    </row>
    <row r="838" spans="1:8" x14ac:dyDescent="0.3">
      <c r="A838" s="20"/>
      <c r="B838" s="16"/>
      <c r="C838" s="16"/>
      <c r="D838" s="17"/>
      <c r="E838" s="18"/>
      <c r="F838" s="19"/>
    </row>
    <row r="839" spans="1:8" x14ac:dyDescent="0.3">
      <c r="A839" s="20"/>
      <c r="B839" s="16"/>
      <c r="C839" s="16"/>
      <c r="D839" s="17"/>
      <c r="E839" s="18"/>
      <c r="F839" s="19"/>
    </row>
    <row r="840" spans="1:8" x14ac:dyDescent="0.3">
      <c r="A840" s="20"/>
      <c r="B840" s="16"/>
      <c r="C840" s="16"/>
      <c r="D840" s="17"/>
      <c r="E840" s="18"/>
      <c r="F840" s="19"/>
    </row>
    <row r="841" spans="1:8" x14ac:dyDescent="0.3">
      <c r="A841" s="20"/>
      <c r="B841" s="16"/>
      <c r="C841" s="16"/>
      <c r="D841" s="17"/>
      <c r="E841" s="18"/>
      <c r="F841" s="19"/>
    </row>
    <row r="842" spans="1:8" x14ac:dyDescent="0.3">
      <c r="A842" s="20"/>
      <c r="B842" s="16"/>
      <c r="C842" s="16"/>
      <c r="D842" s="17"/>
      <c r="E842" s="18"/>
      <c r="F842" s="19"/>
    </row>
    <row r="843" spans="1:8" x14ac:dyDescent="0.3">
      <c r="A843" s="20"/>
      <c r="B843" s="16"/>
      <c r="C843" s="16"/>
      <c r="D843" s="17"/>
      <c r="E843" s="18"/>
      <c r="F843" s="19"/>
    </row>
    <row r="844" spans="1:8" x14ac:dyDescent="0.3">
      <c r="A844" s="20"/>
      <c r="B844" s="16"/>
      <c r="C844" s="16"/>
      <c r="D844" s="17"/>
      <c r="E844" s="18"/>
      <c r="F844" s="19"/>
    </row>
    <row r="845" spans="1:8" x14ac:dyDescent="0.3">
      <c r="A845" s="20"/>
      <c r="B845" s="16"/>
      <c r="C845" s="16"/>
      <c r="D845" s="17"/>
      <c r="E845" s="18"/>
      <c r="F845" s="19"/>
    </row>
    <row r="846" spans="1:8" x14ac:dyDescent="0.3">
      <c r="A846" s="20"/>
      <c r="B846" s="16"/>
      <c r="C846" s="16"/>
      <c r="D846" s="17"/>
      <c r="E846" s="18"/>
      <c r="F846" s="19"/>
    </row>
    <row r="847" spans="1:8" x14ac:dyDescent="0.3">
      <c r="A847" s="20"/>
      <c r="B847" s="16"/>
      <c r="C847" s="16"/>
      <c r="D847" s="17"/>
      <c r="E847" s="18"/>
      <c r="F847" s="19"/>
    </row>
    <row r="848" spans="1:8" x14ac:dyDescent="0.3">
      <c r="A848" s="20"/>
      <c r="B848" s="16"/>
      <c r="C848" s="16"/>
      <c r="D848" s="17"/>
      <c r="E848" s="18"/>
      <c r="F848" s="19"/>
    </row>
    <row r="849" spans="1:6" x14ac:dyDescent="0.3">
      <c r="A849" s="20"/>
      <c r="B849" s="16"/>
      <c r="C849" s="16"/>
      <c r="D849" s="17"/>
      <c r="E849" s="18"/>
      <c r="F849" s="19"/>
    </row>
    <row r="850" spans="1:6" x14ac:dyDescent="0.3">
      <c r="A850" s="20"/>
      <c r="B850" s="16"/>
      <c r="C850" s="16"/>
      <c r="D850" s="17"/>
      <c r="E850" s="18"/>
      <c r="F850" s="19"/>
    </row>
    <row r="851" spans="1:6" x14ac:dyDescent="0.3">
      <c r="A851" s="20"/>
      <c r="B851" s="16"/>
      <c r="C851" s="16"/>
      <c r="D851" s="17"/>
      <c r="E851" s="18"/>
      <c r="F851" s="19"/>
    </row>
    <row r="852" spans="1:6" x14ac:dyDescent="0.3">
      <c r="A852" s="20"/>
      <c r="B852" s="16"/>
      <c r="C852" s="16"/>
      <c r="D852" s="17"/>
      <c r="E852" s="18"/>
      <c r="F852" s="19"/>
    </row>
    <row r="853" spans="1:6" x14ac:dyDescent="0.3">
      <c r="A853" s="20"/>
      <c r="B853" s="16"/>
      <c r="C853" s="16"/>
      <c r="D853" s="17"/>
      <c r="E853" s="18"/>
      <c r="F853" s="19"/>
    </row>
    <row r="854" spans="1:6" x14ac:dyDescent="0.3">
      <c r="A854" s="20"/>
      <c r="B854" s="16"/>
      <c r="C854" s="16"/>
      <c r="D854" s="17"/>
      <c r="E854" s="18"/>
      <c r="F854" s="19"/>
    </row>
    <row r="855" spans="1:6" x14ac:dyDescent="0.3">
      <c r="A855" s="20"/>
      <c r="B855" s="16"/>
      <c r="C855" s="16"/>
      <c r="D855" s="17"/>
      <c r="E855" s="18"/>
      <c r="F855" s="19"/>
    </row>
    <row r="856" spans="1:6" x14ac:dyDescent="0.3">
      <c r="A856" s="20"/>
      <c r="B856" s="16"/>
      <c r="C856" s="16"/>
      <c r="D856" s="17"/>
      <c r="E856" s="18"/>
      <c r="F856" s="19"/>
    </row>
    <row r="857" spans="1:6" x14ac:dyDescent="0.3">
      <c r="A857" s="20"/>
      <c r="B857" s="16"/>
      <c r="C857" s="16"/>
      <c r="D857" s="17"/>
      <c r="E857" s="18"/>
      <c r="F857" s="19"/>
    </row>
    <row r="858" spans="1:6" x14ac:dyDescent="0.3">
      <c r="A858" s="20"/>
      <c r="B858" s="16"/>
      <c r="C858" s="16"/>
      <c r="D858" s="17"/>
      <c r="E858" s="18"/>
      <c r="F858" s="19"/>
    </row>
    <row r="859" spans="1:6" x14ac:dyDescent="0.3">
      <c r="A859" s="20"/>
      <c r="B859" s="16"/>
      <c r="C859" s="16"/>
      <c r="D859" s="17"/>
      <c r="E859" s="18"/>
      <c r="F859" s="19"/>
    </row>
    <row r="860" spans="1:6" x14ac:dyDescent="0.3">
      <c r="A860" s="20"/>
      <c r="B860" s="16"/>
      <c r="C860" s="16"/>
      <c r="D860" s="17"/>
      <c r="E860" s="18"/>
      <c r="F860" s="19"/>
    </row>
  </sheetData>
  <autoFilter ref="A2:XFB835" xr:uid="{51F5B859-C3EB-4355-96A7-146AB6D7FDC2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05219</dc:creator>
  <cp:lastModifiedBy>05219</cp:lastModifiedBy>
  <dcterms:created xsi:type="dcterms:W3CDTF">2026-02-11T20:00:21Z</dcterms:created>
  <dcterms:modified xsi:type="dcterms:W3CDTF">2026-02-11T20:02:29Z</dcterms:modified>
</cp:coreProperties>
</file>