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3\"/>
    </mc:Choice>
  </mc:AlternateContent>
  <xr:revisionPtr revIDLastSave="0" documentId="13_ncr:1_{D0C81F77-7274-4050-847E-04019E6B8F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одотчет" sheetId="1" r:id="rId1"/>
  </sheets>
  <definedNames>
    <definedName name="_xlnm._FilterDatabase" localSheetId="0" hidden="1">подотчет!$A$1:$E$1</definedName>
  </definedNames>
  <calcPr calcId="181029"/>
</workbook>
</file>

<file path=xl/calcChain.xml><?xml version="1.0" encoding="utf-8"?>
<calcChain xmlns="http://schemas.openxmlformats.org/spreadsheetml/2006/main">
  <c r="E3" i="1" l="1"/>
  <c r="E2" i="1"/>
  <c r="C2" i="1"/>
  <c r="B2" i="1"/>
  <c r="C31" i="1"/>
  <c r="C29" i="1" l="1"/>
  <c r="F36" i="1"/>
  <c r="N36" i="1" s="1"/>
  <c r="C26" i="1" l="1"/>
  <c r="F24" i="1" l="1"/>
  <c r="C24" i="1" s="1"/>
  <c r="C22" i="1" l="1"/>
  <c r="C19" i="1" l="1"/>
  <c r="C16" i="1"/>
  <c r="C14" i="1"/>
  <c r="C12" i="1" l="1"/>
  <c r="F9" i="1"/>
  <c r="C7" i="1" l="1"/>
  <c r="C5" i="1"/>
  <c r="C4" i="1"/>
  <c r="C3" i="1"/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</calcChain>
</file>

<file path=xl/sharedStrings.xml><?xml version="1.0" encoding="utf-8"?>
<sst xmlns="http://schemas.openxmlformats.org/spreadsheetml/2006/main" count="39" uniqueCount="31">
  <si>
    <t>дата</t>
  </si>
  <si>
    <t>приход</t>
  </si>
  <si>
    <t>расход</t>
  </si>
  <si>
    <t>назначение</t>
  </si>
  <si>
    <t>остаток</t>
  </si>
  <si>
    <t>ИТОГО:</t>
  </si>
  <si>
    <t>км</t>
  </si>
  <si>
    <t>амортизация учтена</t>
  </si>
  <si>
    <t>амортизация</t>
  </si>
  <si>
    <t>бензин комарово</t>
  </si>
  <si>
    <t>бензин вырица</t>
  </si>
  <si>
    <t>аморт.:</t>
  </si>
  <si>
    <t>р.</t>
  </si>
  <si>
    <t xml:space="preserve"> </t>
  </si>
  <si>
    <t>ЗСД Комарово</t>
  </si>
  <si>
    <t>бензин Коммунар</t>
  </si>
  <si>
    <t>бензин Тапио</t>
  </si>
  <si>
    <t>печать чертежей для Стрельцово</t>
  </si>
  <si>
    <t>ЗСД комарово-симагино-стрельцово</t>
  </si>
  <si>
    <t>бензин комарово-симагино-стрельцово</t>
  </si>
  <si>
    <t>бензин репинские усадьбы</t>
  </si>
  <si>
    <t>ЗСД репинские усадьбы</t>
  </si>
  <si>
    <t>бензин Морские террасы</t>
  </si>
  <si>
    <t>ЗСД Морские террасы</t>
  </si>
  <si>
    <t>бензин Ленинское</t>
  </si>
  <si>
    <t>ЗСД Ленинское</t>
  </si>
  <si>
    <t>ЗСД Ленинское+шоурум</t>
  </si>
  <si>
    <t>бензин Ленинское+шоурум</t>
  </si>
  <si>
    <t>бензин Ленинское-офис</t>
  </si>
  <si>
    <t>ЗСД Ленинское-офис</t>
  </si>
  <si>
    <t>из кассы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</si>
</sst>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* #,##0&quot;   &quot;;&quot;-&quot;* #,##0&quot;   &quot;;&quot; &quot;* &quot;-&quot;??&quot;   &quot;"/>
    <numFmt numFmtId="165" formatCode="dd/mm/yy;@"/>
  </numFmts>
  <fonts count="9" x14ac:knownFonts="1">
    <font>
      <sz val="10"/>
      <color indexed="8"/>
      <name val="Arial Cyr"/>
    </font>
    <font>
      <i/>
      <sz val="10"/>
      <color indexed="8"/>
      <name val="Arial Cyr"/>
      <charset val="204"/>
    </font>
    <font>
      <b/>
      <i/>
      <sz val="10"/>
      <color indexed="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FF0000"/>
      <name val="Arial Cyr"/>
      <charset val="204"/>
    </font>
    <font>
      <b/>
      <sz val="10"/>
      <color indexed="8"/>
      <name val="Arial Cyr"/>
      <charset val="204"/>
    </font>
    <font>
      <i/>
      <sz val="10"/>
      <color theme="0" tint="-0.249977111117893"/>
      <name val="Arial Cyr"/>
    </font>
    <font>
      <b/>
      <sz val="10"/>
      <color theme="0" tint="-0.249977111117893"/>
      <name val="Arial Cyr"/>
    </font>
    <font>
      <sz val="10"/>
      <color theme="0" tint="-0.249977111117893"/>
      <name val="Arial Cy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/>
      <bottom style="thin">
        <color indexed="1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3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4" fontId="4" fillId="2" borderId="5" xfId="0" applyNumberFormat="1" applyFont="1" applyFill="1" applyBorder="1"/>
    <xf numFmtId="0" fontId="4" fillId="2" borderId="5" xfId="0" applyFont="1" applyFill="1" applyBorder="1"/>
    <xf numFmtId="3" fontId="4" fillId="2" borderId="2" xfId="0" applyNumberFormat="1" applyFont="1" applyFill="1" applyBorder="1"/>
    <xf numFmtId="0" fontId="4" fillId="0" borderId="0" xfId="0" applyNumberFormat="1" applyFont="1"/>
    <xf numFmtId="3" fontId="0" fillId="2" borderId="6" xfId="0" applyNumberFormat="1" applyFill="1" applyBorder="1"/>
    <xf numFmtId="0" fontId="0" fillId="0" borderId="7" xfId="0" applyNumberFormat="1" applyBorder="1"/>
    <xf numFmtId="0" fontId="5" fillId="0" borderId="7" xfId="0" applyNumberFormat="1" applyFont="1" applyBorder="1"/>
    <xf numFmtId="165" fontId="1" fillId="2" borderId="1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NumberFormat="1" applyFont="1" applyAlignment="1">
      <alignment horizontal="center"/>
    </xf>
    <xf numFmtId="0" fontId="7" fillId="0" borderId="0" xfId="0" applyNumberFormat="1" applyFont="1"/>
    <xf numFmtId="0" fontId="8" fillId="0" borderId="0" xfId="0" applyNumberFormat="1" applyFont="1"/>
    <xf numFmtId="0" fontId="8" fillId="0" borderId="7" xfId="0" applyNumberFormat="1" applyFont="1" applyBorder="1"/>
    <xf numFmtId="0" fontId="5" fillId="0" borderId="0" xfId="0" applyNumberFormat="1" applyFont="1" applyBorder="1"/>
    <xf numFmtId="0" fontId="0" fillId="0" borderId="0" xfId="0" applyNumberFormat="1" applyBorder="1"/>
    <xf numFmtId="165" fontId="0" fillId="2" borderId="8" xfId="0" applyNumberFormat="1" applyFill="1" applyBorder="1" applyAlignment="1">
      <alignment horizontal="center" wrapText="1"/>
    </xf>
    <xf numFmtId="3" fontId="0" fillId="2" borderId="8" xfId="0" applyNumberFormat="1" applyFill="1" applyBorder="1"/>
    <xf numFmtId="3" fontId="0" fillId="2" borderId="8" xfId="0" applyNumberFormat="1" applyFill="1" applyBorder="1" applyAlignment="1">
      <alignment wrapText="1"/>
    </xf>
    <xf numFmtId="0" fontId="0" fillId="2" borderId="8" xfId="0" applyFill="1" applyBorder="1" applyAlignment="1">
      <alignment wrapText="1"/>
    </xf>
    <xf numFmtId="165" fontId="0" fillId="2" borderId="10" xfId="0" applyNumberFormat="1" applyFill="1" applyBorder="1" applyAlignment="1">
      <alignment horizontal="center" wrapText="1"/>
    </xf>
    <xf numFmtId="3" fontId="0" fillId="2" borderId="10" xfId="0" applyNumberFormat="1" applyFill="1" applyBorder="1"/>
    <xf numFmtId="165" fontId="0" fillId="2" borderId="9" xfId="0" applyNumberFormat="1" applyFill="1" applyBorder="1" applyAlignment="1">
      <alignment horizontal="center" wrapText="1"/>
    </xf>
    <xf numFmtId="3" fontId="0" fillId="2" borderId="9" xfId="0" applyNumberFormat="1" applyFill="1" applyBorder="1"/>
    <xf numFmtId="3" fontId="0" fillId="2" borderId="9" xfId="0" applyNumberFormat="1" applyFill="1" applyBorder="1" applyAlignment="1">
      <alignment wrapText="1"/>
    </xf>
    <xf numFmtId="3" fontId="0" fillId="2" borderId="11" xfId="0" applyNumberFormat="1" applyFill="1" applyBorder="1"/>
    <xf numFmtId="3" fontId="0" fillId="2" borderId="10" xfId="0" applyNumberFormat="1" applyFill="1" applyBorder="1" applyAlignment="1">
      <alignment wrapText="1"/>
    </xf>
    <xf numFmtId="3" fontId="0" fillId="2" borderId="12" xfId="0" applyNumberFormat="1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9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4B55"/>
      <rgbColor rgb="00AAAAAA"/>
      <rgbColor rgb="000000FF"/>
      <rgbColor rgb="00FFFF00"/>
      <rgbColor rgb="00FF00FF"/>
      <rgbColor rgb="0000FFFF"/>
      <rgbColor rgb="00800000"/>
      <rgbColor rgb="00006411"/>
      <rgbColor rgb="00000090"/>
      <rgbColor rgb="0090713A"/>
      <rgbColor rgb="00800080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O50"/>
  <sheetViews>
    <sheetView showGridLines="0" tabSelected="1" topLeftCell="A16" zoomScale="106" zoomScaleNormal="75" workbookViewId="0">
      <selection activeCell="E4" sqref="E4"/>
    </sheetView>
  </sheetViews>
  <sheetFormatPr defaultColWidth="8.44140625" defaultRowHeight="13.35" customHeight="1" x14ac:dyDescent="0.25"/>
  <cols>
    <col min="1" max="1" width="9.88671875" style="14" customWidth="1"/>
    <col min="2" max="3" width="12.109375" style="1" customWidth="1"/>
    <col min="4" max="4" width="49.33203125" style="1" customWidth="1"/>
    <col min="5" max="5" width="11.44140625" style="1" customWidth="1"/>
    <col min="6" max="7" width="8.44140625" style="1"/>
    <col min="8" max="8" width="8.44140625" style="17"/>
    <col min="9" max="9" width="8.44140625" style="1"/>
    <col min="10" max="10" width="8.44140625" style="1" customWidth="1"/>
    <col min="11" max="11" width="20.44140625" style="1" customWidth="1"/>
    <col min="12" max="16384" width="8.44140625" style="1"/>
  </cols>
  <sheetData>
    <row r="1" spans="1:11" s="4" customFormat="1" ht="14.1" customHeight="1" x14ac:dyDescent="0.25">
      <c r="A1" s="12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15"/>
    </row>
    <row r="2" spans="1:11" s="8" customFormat="1" ht="15" customHeight="1" x14ac:dyDescent="0.25">
      <c r="A2" s="13" t="s">
        <v>5</v>
      </c>
      <c r="B2" s="5">
        <f>SUM(B3:B35)</f>
        <v>34600</v>
      </c>
      <c r="C2" s="5">
        <f>SUM(C3:C35)</f>
        <v>35913.332000000002</v>
      </c>
      <c r="D2" s="6"/>
      <c r="E2" s="7">
        <f>B2-C2</f>
        <v>-1313.3320000000022</v>
      </c>
      <c r="H2" s="16"/>
    </row>
    <row r="3" spans="1:11" ht="13.35" customHeight="1" x14ac:dyDescent="0.25">
      <c r="A3" s="21">
        <v>45730</v>
      </c>
      <c r="B3" s="22"/>
      <c r="C3" s="31">
        <f>F3*12/100*H3</f>
        <v>863.76</v>
      </c>
      <c r="D3" s="24" t="s">
        <v>15</v>
      </c>
      <c r="E3" s="9">
        <f>1313+B3-C3</f>
        <v>449.24</v>
      </c>
      <c r="F3" s="1">
        <v>118</v>
      </c>
      <c r="H3" s="17">
        <v>61</v>
      </c>
    </row>
    <row r="4" spans="1:11" ht="13.35" customHeight="1" x14ac:dyDescent="0.25">
      <c r="A4" s="21">
        <v>45777</v>
      </c>
      <c r="B4" s="22"/>
      <c r="C4" s="31">
        <f>F4*12/100*H4</f>
        <v>1209.6719999999998</v>
      </c>
      <c r="D4" s="24" t="s">
        <v>10</v>
      </c>
      <c r="E4" s="9">
        <f t="shared" ref="E4:E36" si="0">E3+B4-C4</f>
        <v>-760.43199999999979</v>
      </c>
      <c r="F4" s="1">
        <v>159</v>
      </c>
      <c r="H4" s="17">
        <v>63.4</v>
      </c>
    </row>
    <row r="5" spans="1:11" ht="13.35" customHeight="1" x14ac:dyDescent="0.25">
      <c r="A5" s="21">
        <v>45784</v>
      </c>
      <c r="B5" s="22"/>
      <c r="C5" s="31">
        <f>F5*12/100*H5</f>
        <v>928.17600000000004</v>
      </c>
      <c r="D5" s="24" t="s">
        <v>9</v>
      </c>
      <c r="E5" s="9">
        <f t="shared" si="0"/>
        <v>-1688.6079999999997</v>
      </c>
      <c r="F5" s="1">
        <v>122</v>
      </c>
      <c r="H5" s="17">
        <v>63.4</v>
      </c>
    </row>
    <row r="6" spans="1:11" ht="13.35" customHeight="1" x14ac:dyDescent="0.25">
      <c r="A6" s="21">
        <v>45784</v>
      </c>
      <c r="B6" s="22"/>
      <c r="C6" s="23">
        <v>1106</v>
      </c>
      <c r="D6" s="24" t="s">
        <v>14</v>
      </c>
      <c r="E6" s="9">
        <f t="shared" si="0"/>
        <v>-2794.6079999999997</v>
      </c>
    </row>
    <row r="7" spans="1:11" ht="13.35" customHeight="1" x14ac:dyDescent="0.25">
      <c r="A7" s="21">
        <v>45796</v>
      </c>
      <c r="B7" s="22"/>
      <c r="C7" s="31">
        <f>F7*12/100*H7</f>
        <v>1399.8719999999998</v>
      </c>
      <c r="D7" s="24" t="s">
        <v>16</v>
      </c>
      <c r="E7" s="9">
        <f t="shared" si="0"/>
        <v>-4194.4799999999996</v>
      </c>
      <c r="F7" s="1">
        <v>184</v>
      </c>
      <c r="H7" s="17">
        <v>63.4</v>
      </c>
    </row>
    <row r="8" spans="1:11" ht="13.35" customHeight="1" x14ac:dyDescent="0.25">
      <c r="A8" s="21">
        <v>45797</v>
      </c>
      <c r="B8" s="22">
        <v>3000</v>
      </c>
      <c r="C8" s="23"/>
      <c r="D8" s="24"/>
      <c r="E8" s="9">
        <f t="shared" si="0"/>
        <v>-1194.4799999999996</v>
      </c>
    </row>
    <row r="9" spans="1:11" ht="13.35" customHeight="1" thickBot="1" x14ac:dyDescent="0.3">
      <c r="A9" s="27">
        <v>45838</v>
      </c>
      <c r="B9" s="28">
        <v>5500</v>
      </c>
      <c r="C9" s="29">
        <v>3790</v>
      </c>
      <c r="D9" s="34"/>
      <c r="E9" s="30">
        <f t="shared" si="0"/>
        <v>515.52000000000044</v>
      </c>
      <c r="F9" s="11">
        <f>SUM(F3:F8)</f>
        <v>583</v>
      </c>
      <c r="G9" s="10"/>
      <c r="H9" s="18"/>
      <c r="I9" s="10"/>
      <c r="J9" s="10"/>
      <c r="K9" s="10" t="s">
        <v>7</v>
      </c>
    </row>
    <row r="10" spans="1:11" ht="13.35" customHeight="1" x14ac:dyDescent="0.25">
      <c r="A10" s="25">
        <v>45846</v>
      </c>
      <c r="B10" s="26"/>
      <c r="C10" s="31">
        <v>166</v>
      </c>
      <c r="D10" s="33" t="s">
        <v>17</v>
      </c>
      <c r="E10" s="9">
        <f t="shared" si="0"/>
        <v>349.52000000000044</v>
      </c>
    </row>
    <row r="11" spans="1:11" ht="13.35" customHeight="1" x14ac:dyDescent="0.25">
      <c r="A11" s="21">
        <v>45847</v>
      </c>
      <c r="B11" s="22"/>
      <c r="C11" s="23">
        <v>1106</v>
      </c>
      <c r="D11" s="24" t="s">
        <v>18</v>
      </c>
      <c r="E11" s="9">
        <f t="shared" si="0"/>
        <v>-756.47999999999956</v>
      </c>
    </row>
    <row r="12" spans="1:11" ht="13.35" customHeight="1" x14ac:dyDescent="0.25">
      <c r="A12" s="21">
        <v>45847</v>
      </c>
      <c r="B12" s="22"/>
      <c r="C12" s="31">
        <f>F12*12/100*H12</f>
        <v>2004.48</v>
      </c>
      <c r="D12" s="24" t="s">
        <v>19</v>
      </c>
      <c r="E12" s="9">
        <f t="shared" si="0"/>
        <v>-2760.9599999999996</v>
      </c>
      <c r="F12" s="1">
        <v>261</v>
      </c>
      <c r="H12" s="17">
        <v>64</v>
      </c>
    </row>
    <row r="13" spans="1:11" ht="13.35" customHeight="1" x14ac:dyDescent="0.25">
      <c r="A13" s="21">
        <v>45853</v>
      </c>
      <c r="B13" s="22">
        <v>3000</v>
      </c>
      <c r="C13" s="23"/>
      <c r="D13" s="24"/>
      <c r="E13" s="9">
        <f t="shared" si="0"/>
        <v>239.04000000000042</v>
      </c>
    </row>
    <row r="14" spans="1:11" ht="13.35" customHeight="1" x14ac:dyDescent="0.25">
      <c r="A14" s="21">
        <v>45905</v>
      </c>
      <c r="B14" s="22"/>
      <c r="C14" s="31">
        <f>F14*12/100*H14</f>
        <v>867.84</v>
      </c>
      <c r="D14" s="24" t="s">
        <v>20</v>
      </c>
      <c r="E14" s="9">
        <f t="shared" si="0"/>
        <v>-628.79999999999961</v>
      </c>
      <c r="F14" s="1">
        <v>113</v>
      </c>
      <c r="H14" s="17">
        <v>64</v>
      </c>
    </row>
    <row r="15" spans="1:11" ht="13.35" customHeight="1" x14ac:dyDescent="0.25">
      <c r="A15" s="21">
        <v>45905</v>
      </c>
      <c r="B15" s="22"/>
      <c r="C15" s="23">
        <v>1106</v>
      </c>
      <c r="D15" s="24" t="s">
        <v>21</v>
      </c>
      <c r="E15" s="9">
        <f t="shared" si="0"/>
        <v>-1734.7999999999997</v>
      </c>
    </row>
    <row r="16" spans="1:11" ht="13.35" customHeight="1" x14ac:dyDescent="0.25">
      <c r="A16" s="21">
        <v>45912</v>
      </c>
      <c r="B16" s="22"/>
      <c r="C16" s="31">
        <f>F16*12/100*H16</f>
        <v>1344</v>
      </c>
      <c r="D16" s="24" t="s">
        <v>22</v>
      </c>
      <c r="E16" s="9">
        <f t="shared" si="0"/>
        <v>-3078.7999999999997</v>
      </c>
      <c r="F16" s="1">
        <v>175</v>
      </c>
      <c r="H16" s="17">
        <v>64</v>
      </c>
    </row>
    <row r="17" spans="1:11" ht="13.35" customHeight="1" x14ac:dyDescent="0.25">
      <c r="A17" s="21">
        <v>45912</v>
      </c>
      <c r="B17" s="22"/>
      <c r="C17" s="23">
        <v>1106</v>
      </c>
      <c r="D17" s="24" t="s">
        <v>23</v>
      </c>
      <c r="E17" s="9">
        <f t="shared" si="0"/>
        <v>-4184.7999999999993</v>
      </c>
    </row>
    <row r="18" spans="1:11" ht="13.35" customHeight="1" x14ac:dyDescent="0.25">
      <c r="A18" s="21">
        <v>45916</v>
      </c>
      <c r="B18" s="22">
        <v>4000</v>
      </c>
      <c r="C18" s="23"/>
      <c r="D18" s="24"/>
      <c r="E18" s="9">
        <f t="shared" si="0"/>
        <v>-184.79999999999927</v>
      </c>
    </row>
    <row r="19" spans="1:11" ht="13.35" customHeight="1" x14ac:dyDescent="0.25">
      <c r="A19" s="21">
        <v>45917</v>
      </c>
      <c r="B19" s="22"/>
      <c r="C19" s="31">
        <f>F19*12/100*H19</f>
        <v>929.28</v>
      </c>
      <c r="D19" s="24" t="s">
        <v>24</v>
      </c>
      <c r="E19" s="9">
        <f t="shared" si="0"/>
        <v>-1114.0799999999992</v>
      </c>
      <c r="F19" s="1">
        <v>121</v>
      </c>
      <c r="H19" s="17">
        <v>64</v>
      </c>
    </row>
    <row r="20" spans="1:11" ht="13.35" customHeight="1" x14ac:dyDescent="0.25">
      <c r="A20" s="21">
        <v>45917</v>
      </c>
      <c r="B20" s="22"/>
      <c r="C20" s="23">
        <v>312</v>
      </c>
      <c r="D20" s="24" t="s">
        <v>25</v>
      </c>
      <c r="E20" s="9">
        <f t="shared" si="0"/>
        <v>-1426.0799999999992</v>
      </c>
    </row>
    <row r="21" spans="1:11" ht="13.35" customHeight="1" x14ac:dyDescent="0.25">
      <c r="A21" s="21">
        <v>45930</v>
      </c>
      <c r="B21" s="22">
        <v>2000</v>
      </c>
      <c r="C21" s="23"/>
      <c r="D21" s="24"/>
      <c r="E21" s="9">
        <f t="shared" si="0"/>
        <v>573.92000000000075</v>
      </c>
    </row>
    <row r="22" spans="1:11" ht="13.35" customHeight="1" x14ac:dyDescent="0.25">
      <c r="A22" s="21">
        <v>45957</v>
      </c>
      <c r="B22" s="22"/>
      <c r="C22" s="31">
        <f>F22*12/100*H22</f>
        <v>1340.28</v>
      </c>
      <c r="D22" s="24" t="s">
        <v>10</v>
      </c>
      <c r="E22" s="9">
        <f t="shared" si="0"/>
        <v>-766.35999999999922</v>
      </c>
      <c r="F22" s="1">
        <v>170</v>
      </c>
      <c r="H22" s="17">
        <v>65.7</v>
      </c>
    </row>
    <row r="23" spans="1:11" ht="13.35" customHeight="1" x14ac:dyDescent="0.25">
      <c r="A23" s="21">
        <v>45961</v>
      </c>
      <c r="B23" s="22">
        <v>2000</v>
      </c>
      <c r="C23" s="31"/>
      <c r="D23" s="24"/>
      <c r="E23" s="9">
        <f t="shared" si="0"/>
        <v>1233.6400000000008</v>
      </c>
    </row>
    <row r="24" spans="1:11" ht="13.35" customHeight="1" x14ac:dyDescent="0.25">
      <c r="A24" s="21">
        <v>45978</v>
      </c>
      <c r="B24" s="22"/>
      <c r="C24" s="31">
        <f>F24*12/100*H24</f>
        <v>890.89200000000005</v>
      </c>
      <c r="D24" s="24" t="s">
        <v>20</v>
      </c>
      <c r="E24" s="9">
        <f t="shared" si="0"/>
        <v>342.74800000000073</v>
      </c>
      <c r="F24" s="1">
        <f>60+35+18</f>
        <v>113</v>
      </c>
      <c r="H24" s="17">
        <v>65.7</v>
      </c>
    </row>
    <row r="25" spans="1:11" ht="13.35" customHeight="1" x14ac:dyDescent="0.25">
      <c r="A25" s="21">
        <v>45978</v>
      </c>
      <c r="B25" s="22"/>
      <c r="C25" s="31">
        <v>436</v>
      </c>
      <c r="D25" s="24" t="s">
        <v>21</v>
      </c>
      <c r="E25" s="9">
        <f t="shared" si="0"/>
        <v>-93.251999999999271</v>
      </c>
    </row>
    <row r="26" spans="1:11" ht="13.35" customHeight="1" x14ac:dyDescent="0.25">
      <c r="A26" s="21">
        <v>45988</v>
      </c>
      <c r="B26" s="22"/>
      <c r="C26" s="31">
        <f>F26*12/100*H26</f>
        <v>961.84800000000007</v>
      </c>
      <c r="D26" s="24" t="s">
        <v>27</v>
      </c>
      <c r="E26" s="9">
        <f t="shared" si="0"/>
        <v>-1055.0999999999995</v>
      </c>
      <c r="F26" s="1">
        <v>122</v>
      </c>
      <c r="H26" s="17">
        <v>65.7</v>
      </c>
    </row>
    <row r="27" spans="1:11" ht="13.35" customHeight="1" x14ac:dyDescent="0.25">
      <c r="A27" s="21">
        <v>45988</v>
      </c>
      <c r="B27" s="22"/>
      <c r="C27" s="31">
        <v>1151</v>
      </c>
      <c r="D27" s="24" t="s">
        <v>26</v>
      </c>
      <c r="E27" s="9">
        <f t="shared" si="0"/>
        <v>-2206.0999999999995</v>
      </c>
    </row>
    <row r="28" spans="1:11" ht="13.35" customHeight="1" thickBot="1" x14ac:dyDescent="0.3">
      <c r="A28" s="27">
        <v>45992</v>
      </c>
      <c r="B28" s="32">
        <v>9000</v>
      </c>
      <c r="C28" s="32">
        <v>6988</v>
      </c>
      <c r="D28" s="34" t="s">
        <v>8</v>
      </c>
      <c r="E28" s="30">
        <f>E27+B28-C28</f>
        <v>-194.09999999999945</v>
      </c>
      <c r="F28" s="11">
        <v>6988</v>
      </c>
      <c r="G28" s="10"/>
      <c r="H28" s="18"/>
      <c r="I28" s="10"/>
      <c r="J28" s="10"/>
      <c r="K28" s="10" t="s">
        <v>7</v>
      </c>
    </row>
    <row r="29" spans="1:11" ht="13.35" customHeight="1" x14ac:dyDescent="0.25">
      <c r="A29" s="25">
        <v>46000</v>
      </c>
      <c r="B29" s="26"/>
      <c r="C29" s="31">
        <f>F29*12/100*H29</f>
        <v>946.08</v>
      </c>
      <c r="D29" s="33" t="s">
        <v>24</v>
      </c>
      <c r="E29" s="9">
        <f t="shared" si="0"/>
        <v>-1140.1799999999994</v>
      </c>
      <c r="F29" s="1">
        <v>120</v>
      </c>
      <c r="H29" s="17">
        <v>65.7</v>
      </c>
    </row>
    <row r="30" spans="1:11" ht="13.35" customHeight="1" x14ac:dyDescent="0.25">
      <c r="A30" s="25">
        <v>46000</v>
      </c>
      <c r="B30" s="26"/>
      <c r="C30" s="31">
        <v>1106</v>
      </c>
      <c r="D30" s="33" t="s">
        <v>25</v>
      </c>
      <c r="E30" s="9">
        <f t="shared" si="0"/>
        <v>-2246.1799999999994</v>
      </c>
    </row>
    <row r="31" spans="1:11" ht="13.35" customHeight="1" x14ac:dyDescent="0.25">
      <c r="A31" s="25">
        <v>46007</v>
      </c>
      <c r="B31" s="26"/>
      <c r="C31" s="31">
        <f>F31*12/100*H31</f>
        <v>1009.152</v>
      </c>
      <c r="D31" s="33" t="s">
        <v>28</v>
      </c>
      <c r="E31" s="9">
        <f>E30+B31-C31</f>
        <v>-3255.3319999999994</v>
      </c>
      <c r="F31" s="1">
        <v>128</v>
      </c>
      <c r="H31" s="17">
        <v>65.7</v>
      </c>
    </row>
    <row r="32" spans="1:11" ht="13.35" customHeight="1" x14ac:dyDescent="0.25">
      <c r="A32" s="25">
        <v>46007</v>
      </c>
      <c r="B32" s="26"/>
      <c r="C32" s="31">
        <v>1233</v>
      </c>
      <c r="D32" s="33" t="s">
        <v>29</v>
      </c>
      <c r="E32" s="9">
        <f t="shared" si="0"/>
        <v>-4488.3319999999994</v>
      </c>
    </row>
    <row r="33" spans="1:15" ht="13.35" customHeight="1" x14ac:dyDescent="0.25">
      <c r="A33" s="25">
        <v>46007</v>
      </c>
      <c r="B33" s="26">
        <v>2100</v>
      </c>
      <c r="C33" s="31"/>
      <c r="D33" s="33" t="s">
        <v>30</v>
      </c>
      <c r="E33" s="9">
        <f t="shared" si="0"/>
        <v>-2388.3319999999994</v>
      </c>
    </row>
    <row r="34" spans="1:15" ht="13.35" customHeight="1" x14ac:dyDescent="0.25">
      <c r="A34" s="21">
        <v>46017</v>
      </c>
      <c r="B34" s="22"/>
      <c r="C34" s="31">
        <v>1612</v>
      </c>
      <c r="D34" s="24" t="s">
        <v>8</v>
      </c>
      <c r="E34" s="9">
        <f t="shared" si="0"/>
        <v>-4000.3319999999994</v>
      </c>
    </row>
    <row r="35" spans="1:15" ht="13.35" customHeight="1" x14ac:dyDescent="0.25">
      <c r="A35" s="21">
        <v>46021</v>
      </c>
      <c r="B35" s="22">
        <v>4000</v>
      </c>
      <c r="C35" s="23"/>
      <c r="D35" s="24" t="s">
        <v>30</v>
      </c>
      <c r="E35" s="9">
        <f t="shared" si="0"/>
        <v>-0.3319999999994252</v>
      </c>
    </row>
    <row r="36" spans="1:15" ht="13.35" customHeight="1" x14ac:dyDescent="0.25">
      <c r="A36" s="21"/>
      <c r="B36" s="22"/>
      <c r="C36" s="23"/>
      <c r="D36" s="24"/>
      <c r="E36" s="9">
        <f t="shared" si="0"/>
        <v>-0.3319999999994252</v>
      </c>
      <c r="F36" s="19">
        <f>SUM(F29:F35)</f>
        <v>248</v>
      </c>
      <c r="G36" s="20" t="s">
        <v>6</v>
      </c>
      <c r="M36" s="1" t="s">
        <v>11</v>
      </c>
      <c r="N36" s="1">
        <f>F36*6.5</f>
        <v>1612</v>
      </c>
      <c r="O36" s="1" t="s">
        <v>12</v>
      </c>
    </row>
    <row r="37" spans="1:15" ht="13.35" customHeight="1" x14ac:dyDescent="0.25">
      <c r="A37" s="1"/>
      <c r="H37" s="1"/>
    </row>
    <row r="38" spans="1:15" ht="13.35" customHeight="1" x14ac:dyDescent="0.25">
      <c r="A38" s="1"/>
      <c r="H38" s="1" t="s">
        <v>13</v>
      </c>
    </row>
    <row r="39" spans="1:15" ht="13.35" customHeight="1" x14ac:dyDescent="0.25">
      <c r="A39" s="1"/>
      <c r="H39" s="1"/>
    </row>
    <row r="40" spans="1:15" ht="13.35" customHeight="1" x14ac:dyDescent="0.25">
      <c r="A40" s="1"/>
      <c r="H40" s="1"/>
    </row>
    <row r="41" spans="1:15" ht="13.35" customHeight="1" x14ac:dyDescent="0.25">
      <c r="A41" s="1"/>
      <c r="H41" s="1"/>
    </row>
    <row r="42" spans="1:15" ht="13.35" customHeight="1" x14ac:dyDescent="0.25">
      <c r="A42" s="1"/>
      <c r="H42" s="1"/>
    </row>
    <row r="43" spans="1:15" ht="13.35" customHeight="1" x14ac:dyDescent="0.25">
      <c r="A43" s="1"/>
      <c r="H43" s="1"/>
    </row>
    <row r="44" spans="1:15" ht="13.35" customHeight="1" x14ac:dyDescent="0.25">
      <c r="A44" s="1"/>
      <c r="H44" s="1"/>
    </row>
    <row r="45" spans="1:15" ht="13.35" customHeight="1" x14ac:dyDescent="0.25">
      <c r="A45" s="1"/>
      <c r="H45" s="1"/>
    </row>
    <row r="46" spans="1:15" ht="13.35" customHeight="1" x14ac:dyDescent="0.25">
      <c r="A46" s="1"/>
      <c r="H46" s="1"/>
    </row>
    <row r="47" spans="1:15" ht="13.35" customHeight="1" x14ac:dyDescent="0.25">
      <c r="A47" s="1"/>
      <c r="H47" s="1"/>
    </row>
    <row r="48" spans="1:15" ht="13.35" customHeight="1" x14ac:dyDescent="0.25">
      <c r="A48" s="1"/>
      <c r="H48" s="1"/>
    </row>
    <row r="49" s="1" customFormat="1" ht="13.35" customHeight="1" x14ac:dyDescent="0.25"/>
    <row r="50" s="1" customFormat="1" ht="13.35" customHeight="1" x14ac:dyDescent="0.25"/>
  </sheetData>
  <autoFilter ref="A1:E1" xr:uid="{00000000-0009-0000-0000-000000000000}"/>
  <phoneticPr fontId="0" type="noConversion"/>
  <pageMargins left="0.75" right="0.75" top="1" bottom="1" header="0.5" footer="0.5"/>
  <pageSetup paperSize="9" orientation="portrait" verticalDpi="2048" r:id="rId1"/>
  <headerFooter alignWithMargins="0"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подотчет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Bochkov Dima</dc:creator>
  <cp:keywords/>
  <dc:description/>
  <cp:lastModifiedBy>Алексей</cp:lastModifiedBy>
  <cp:revision/>
  <dcterms:created xsi:type="dcterms:W3CDTF">2019-05-28T14:33:23Z</dcterms:created>
  <dcterms:modified xsi:type="dcterms:W3CDTF">2026-02-17T17:04:08Z</dcterms:modified>
  <cp:category/>
  <cp:contentStatus/>
</cp:coreProperties>
</file>