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3"/>
  <workbookPr/>
  <mc:AlternateContent xmlns:mc="http://schemas.openxmlformats.org/markup-compatibility/2006">
    <mc:Choice Requires="x15">
      <x15ac:absPath xmlns:x15ac="http://schemas.microsoft.com/office/spreadsheetml/2010/11/ac" url="D:\2\"/>
    </mc:Choice>
  </mc:AlternateContent>
  <xr:revisionPtr revIDLastSave="0" documentId="13_ncr:1_{90AEC492-D49B-4CDD-82C7-0791F023A2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" sheetId="16" r:id="rId1"/>
  </sheets>
  <definedNames>
    <definedName name="_xlnm._FilterDatabase" localSheetId="0" hidden="1">'2025'!$A$2:$I$368</definedName>
  </definedNames>
  <calcPr calcId="191029"/>
  <fileRecoveryPr autoRecover="0"/>
</workbook>
</file>

<file path=xl/calcChain.xml><?xml version="1.0" encoding="utf-8"?>
<calcChain xmlns="http://schemas.openxmlformats.org/spreadsheetml/2006/main">
  <c r="I1" i="16" l="1"/>
  <c r="G3" i="16" l="1"/>
  <c r="F3" i="16"/>
  <c r="E3" i="16"/>
  <c r="D3" i="16"/>
  <c r="C3" i="16"/>
  <c r="I3" i="16" l="1"/>
  <c r="I4" i="16" l="1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I22" i="16" s="1"/>
  <c r="I23" i="16" s="1"/>
  <c r="I24" i="16" s="1"/>
  <c r="I25" i="16" s="1"/>
  <c r="I26" i="16" s="1"/>
  <c r="I27" i="16" s="1"/>
  <c r="I28" i="16" s="1"/>
  <c r="I29" i="16" s="1"/>
  <c r="I30" i="16" s="1"/>
  <c r="I31" i="16" s="1"/>
  <c r="I32" i="16" s="1"/>
  <c r="I33" i="16" s="1"/>
  <c r="I34" i="16" s="1"/>
  <c r="I35" i="16" s="1"/>
  <c r="I36" i="16" s="1"/>
  <c r="I37" i="16" s="1"/>
  <c r="I38" i="16" s="1"/>
  <c r="I39" i="16" s="1"/>
  <c r="I40" i="16" s="1"/>
  <c r="I41" i="16" s="1"/>
  <c r="I42" i="16" s="1"/>
  <c r="I43" i="16" s="1"/>
  <c r="I44" i="16" s="1"/>
  <c r="I45" i="16" s="1"/>
  <c r="I46" i="16" s="1"/>
  <c r="I47" i="16" s="1"/>
  <c r="I48" i="16" s="1"/>
  <c r="I49" i="16" s="1"/>
  <c r="I50" i="16" s="1"/>
  <c r="I51" i="16" s="1"/>
  <c r="I52" i="16" s="1"/>
  <c r="I53" i="16" s="1"/>
  <c r="I54" i="16" s="1"/>
  <c r="I55" i="16" s="1"/>
  <c r="I56" i="16" s="1"/>
  <c r="I57" i="16" s="1"/>
  <c r="I58" i="16" s="1"/>
  <c r="I59" i="16" s="1"/>
  <c r="I60" i="16" s="1"/>
  <c r="I61" i="16" s="1"/>
  <c r="I62" i="16" s="1"/>
  <c r="I63" i="16" s="1"/>
  <c r="I64" i="16" s="1"/>
  <c r="I65" i="16" s="1"/>
  <c r="I66" i="16" s="1"/>
  <c r="I67" i="16" s="1"/>
  <c r="I68" i="16" s="1"/>
  <c r="I69" i="16" s="1"/>
  <c r="I70" i="16" s="1"/>
  <c r="I71" i="16" s="1"/>
  <c r="I72" i="16" s="1"/>
  <c r="I73" i="16" s="1"/>
  <c r="I74" i="16" s="1"/>
  <c r="I75" i="16" s="1"/>
  <c r="I76" i="16" s="1"/>
  <c r="I77" i="16" s="1"/>
  <c r="I78" i="16" s="1"/>
  <c r="I79" i="16" s="1"/>
  <c r="I80" i="16" s="1"/>
  <c r="I81" i="16" s="1"/>
  <c r="I82" i="16" s="1"/>
  <c r="I83" i="16" s="1"/>
  <c r="I84" i="16" s="1"/>
  <c r="I85" i="16" s="1"/>
  <c r="I86" i="16" s="1"/>
  <c r="I87" i="16" s="1"/>
  <c r="I88" i="16" s="1"/>
  <c r="I89" i="16" s="1"/>
  <c r="I90" i="16" s="1"/>
  <c r="I91" i="16" s="1"/>
  <c r="I92" i="16" s="1"/>
  <c r="I93" i="16" s="1"/>
  <c r="I94" i="16" s="1"/>
  <c r="I95" i="16" s="1"/>
  <c r="I96" i="16" s="1"/>
  <c r="I97" i="16" s="1"/>
  <c r="I98" i="16" s="1"/>
  <c r="I99" i="16" s="1"/>
  <c r="I100" i="16" s="1"/>
  <c r="I101" i="16" s="1"/>
  <c r="I102" i="16" s="1"/>
  <c r="I103" i="16" s="1"/>
  <c r="I104" i="16" s="1"/>
  <c r="I105" i="16" s="1"/>
  <c r="I106" i="16" s="1"/>
  <c r="I107" i="16" s="1"/>
  <c r="I108" i="16" s="1"/>
  <c r="I109" i="16" s="1"/>
  <c r="I110" i="16" s="1"/>
  <c r="I111" i="16" s="1"/>
  <c r="I112" i="16" s="1"/>
  <c r="I113" i="16" s="1"/>
  <c r="I114" i="16" s="1"/>
  <c r="I115" i="16" s="1"/>
  <c r="I116" i="16" s="1"/>
  <c r="I117" i="16" s="1"/>
  <c r="I118" i="16" s="1"/>
  <c r="I119" i="16" s="1"/>
  <c r="I120" i="16" s="1"/>
  <c r="I121" i="16" s="1"/>
  <c r="I122" i="16" s="1"/>
  <c r="I123" i="16" s="1"/>
  <c r="I124" i="16" s="1"/>
  <c r="I125" i="16" s="1"/>
  <c r="I126" i="16" s="1"/>
  <c r="I127" i="16" s="1"/>
  <c r="I128" i="16" s="1"/>
  <c r="I129" i="16" s="1"/>
  <c r="I130" i="16" s="1"/>
  <c r="I131" i="16" s="1"/>
  <c r="I132" i="16" s="1"/>
  <c r="I133" i="16" s="1"/>
  <c r="I134" i="16" s="1"/>
  <c r="I135" i="16" s="1"/>
  <c r="I136" i="16" s="1"/>
  <c r="I137" i="16" s="1"/>
  <c r="I138" i="16" s="1"/>
  <c r="I139" i="16" s="1"/>
  <c r="I140" i="16" s="1"/>
  <c r="I141" i="16" s="1"/>
  <c r="I142" i="16" s="1"/>
  <c r="I143" i="16" s="1"/>
  <c r="I144" i="16" s="1"/>
  <c r="I145" i="16" s="1"/>
  <c r="I146" i="16" s="1"/>
  <c r="I147" i="16" s="1"/>
  <c r="I148" i="16" s="1"/>
  <c r="I149" i="16" s="1"/>
  <c r="I150" i="16" s="1"/>
  <c r="I151" i="16" s="1"/>
  <c r="I152" i="16" s="1"/>
  <c r="I153" i="16" s="1"/>
  <c r="I154" i="16" s="1"/>
  <c r="I155" i="16" s="1"/>
  <c r="I156" i="16" s="1"/>
  <c r="I157" i="16" s="1"/>
  <c r="I158" i="16" s="1"/>
  <c r="I159" i="16" s="1"/>
  <c r="I160" i="16" s="1"/>
  <c r="I161" i="16" s="1"/>
  <c r="I162" i="16" s="1"/>
  <c r="I163" i="16" s="1"/>
  <c r="I164" i="16" s="1"/>
  <c r="I165" i="16" s="1"/>
  <c r="I166" i="16" s="1"/>
  <c r="I167" i="16" s="1"/>
  <c r="I168" i="16" s="1"/>
  <c r="I169" i="16" s="1"/>
  <c r="I170" i="16" s="1"/>
  <c r="I171" i="16" s="1"/>
  <c r="I172" i="16" s="1"/>
  <c r="I173" i="16" s="1"/>
  <c r="I174" i="16" s="1"/>
  <c r="I175" i="16" s="1"/>
  <c r="I176" i="16" s="1"/>
  <c r="I177" i="16" s="1"/>
  <c r="I178" i="16" s="1"/>
  <c r="I179" i="16" s="1"/>
  <c r="I180" i="16" s="1"/>
  <c r="I181" i="16" s="1"/>
  <c r="I182" i="16" s="1"/>
  <c r="I183" i="16" s="1"/>
  <c r="I184" i="16" s="1"/>
  <c r="I185" i="16" s="1"/>
  <c r="I186" i="16" s="1"/>
  <c r="I187" i="16" s="1"/>
  <c r="I188" i="16" s="1"/>
  <c r="I189" i="16" s="1"/>
  <c r="I190" i="16" s="1"/>
  <c r="I191" i="16" s="1"/>
  <c r="I192" i="16" s="1"/>
  <c r="I193" i="16" s="1"/>
  <c r="I194" i="16" s="1"/>
  <c r="I195" i="16" s="1"/>
  <c r="I196" i="16" s="1"/>
  <c r="I197" i="16" s="1"/>
  <c r="I198" i="16" s="1"/>
  <c r="I199" i="16" s="1"/>
  <c r="I200" i="16" s="1"/>
  <c r="I201" i="16" s="1"/>
  <c r="I202" i="16" s="1"/>
  <c r="I203" i="16" s="1"/>
  <c r="I204" i="16" s="1"/>
  <c r="I205" i="16" s="1"/>
  <c r="I206" i="16" s="1"/>
  <c r="I207" i="16" s="1"/>
  <c r="I208" i="16" s="1"/>
  <c r="I209" i="16" s="1"/>
  <c r="I210" i="16" s="1"/>
  <c r="I211" i="16" s="1"/>
  <c r="I212" i="16" s="1"/>
  <c r="I213" i="16" s="1"/>
  <c r="I214" i="16" s="1"/>
  <c r="I215" i="16" s="1"/>
  <c r="I216" i="16" s="1"/>
  <c r="I217" i="16" s="1"/>
  <c r="I218" i="16" s="1"/>
  <c r="I219" i="16" s="1"/>
  <c r="I220" i="16" s="1"/>
  <c r="I221" i="16" s="1"/>
  <c r="I222" i="16" s="1"/>
  <c r="I223" i="16" s="1"/>
  <c r="I224" i="16" s="1"/>
  <c r="I225" i="16" s="1"/>
  <c r="I226" i="16" s="1"/>
  <c r="I227" i="16" s="1"/>
  <c r="I228" i="16" s="1"/>
  <c r="I229" i="16" s="1"/>
  <c r="I230" i="16" s="1"/>
  <c r="I231" i="16" s="1"/>
  <c r="I232" i="16" s="1"/>
  <c r="I233" i="16" s="1"/>
  <c r="I234" i="16" s="1"/>
  <c r="I235" i="16" s="1"/>
  <c r="I236" i="16" s="1"/>
  <c r="I237" i="16" s="1"/>
  <c r="I238" i="16" s="1"/>
  <c r="I239" i="16" s="1"/>
  <c r="I240" i="16" s="1"/>
  <c r="I241" i="16" s="1"/>
  <c r="I242" i="16" s="1"/>
  <c r="I243" i="16" s="1"/>
  <c r="I244" i="16" s="1"/>
  <c r="I245" i="16" s="1"/>
  <c r="I246" i="16" s="1"/>
  <c r="I247" i="16" s="1"/>
  <c r="I248" i="16" s="1"/>
  <c r="I249" i="16" s="1"/>
  <c r="I250" i="16" s="1"/>
  <c r="I251" i="16" s="1"/>
  <c r="I252" i="16" s="1"/>
  <c r="I253" i="16" s="1"/>
  <c r="I254" i="16" s="1"/>
  <c r="I255" i="16" s="1"/>
  <c r="I256" i="16" s="1"/>
  <c r="I257" i="16" s="1"/>
  <c r="I258" i="16" s="1"/>
  <c r="I259" i="16" s="1"/>
  <c r="I260" i="16" s="1"/>
  <c r="I261" i="16" s="1"/>
  <c r="I262" i="16" s="1"/>
  <c r="I263" i="16" s="1"/>
  <c r="I264" i="16" s="1"/>
  <c r="I265" i="16" s="1"/>
  <c r="I266" i="16" s="1"/>
  <c r="I267" i="16" s="1"/>
  <c r="I268" i="16" s="1"/>
  <c r="I269" i="16" s="1"/>
  <c r="I270" i="16" s="1"/>
  <c r="I271" i="16" s="1"/>
  <c r="I272" i="16" s="1"/>
  <c r="I273" i="16" s="1"/>
  <c r="I274" i="16" s="1"/>
  <c r="I275" i="16" s="1"/>
  <c r="I276" i="16" s="1"/>
  <c r="I277" i="16" s="1"/>
  <c r="I278" i="16" s="1"/>
  <c r="I279" i="16" s="1"/>
  <c r="I280" i="16" s="1"/>
  <c r="I281" i="16" s="1"/>
  <c r="I282" i="16" s="1"/>
  <c r="I283" i="16" s="1"/>
  <c r="I284" i="16" s="1"/>
  <c r="I285" i="16" s="1"/>
  <c r="I286" i="16" s="1"/>
  <c r="I287" i="16" s="1"/>
  <c r="I288" i="16" s="1"/>
  <c r="I289" i="16" s="1"/>
  <c r="I290" i="16" s="1"/>
  <c r="I291" i="16" s="1"/>
  <c r="I292" i="16" s="1"/>
  <c r="I293" i="16" s="1"/>
  <c r="I294" i="16" s="1"/>
  <c r="I295" i="16" s="1"/>
  <c r="I296" i="16" s="1"/>
  <c r="I297" i="16" s="1"/>
  <c r="I298" i="16" s="1"/>
  <c r="I299" i="16" s="1"/>
  <c r="I300" i="16" s="1"/>
  <c r="I301" i="16" s="1"/>
  <c r="I302" i="16" s="1"/>
  <c r="I303" i="16" s="1"/>
  <c r="I304" i="16" s="1"/>
  <c r="I305" i="16" s="1"/>
  <c r="I306" i="16" s="1"/>
  <c r="I307" i="16" s="1"/>
  <c r="I308" i="16" s="1"/>
  <c r="I309" i="16" s="1"/>
  <c r="I310" i="16" s="1"/>
  <c r="I311" i="16" s="1"/>
  <c r="I312" i="16" s="1"/>
  <c r="I313" i="16" s="1"/>
  <c r="I314" i="16" s="1"/>
  <c r="I315" i="16" s="1"/>
  <c r="I316" i="16" s="1"/>
  <c r="I317" i="16" s="1"/>
  <c r="I318" i="16" s="1"/>
  <c r="I319" i="16" s="1"/>
  <c r="I320" i="16" s="1"/>
  <c r="I321" i="16" s="1"/>
  <c r="I322" i="16" s="1"/>
  <c r="I323" i="16" s="1"/>
  <c r="I324" i="16" s="1"/>
  <c r="I325" i="16" s="1"/>
  <c r="I326" i="16" s="1"/>
  <c r="I327" i="16" s="1"/>
  <c r="I328" i="16" s="1"/>
  <c r="I329" i="16" s="1"/>
  <c r="I330" i="16" s="1"/>
  <c r="I331" i="16" s="1"/>
  <c r="I332" i="16" s="1"/>
  <c r="I333" i="16" s="1"/>
  <c r="I334" i="16" s="1"/>
  <c r="I335" i="16" s="1"/>
  <c r="I336" i="16" s="1"/>
  <c r="I337" i="16" s="1"/>
  <c r="I338" i="16" s="1"/>
  <c r="I339" i="16" s="1"/>
  <c r="I340" i="16" s="1"/>
  <c r="I341" i="16" s="1"/>
  <c r="I342" i="16" s="1"/>
  <c r="I343" i="16" s="1"/>
  <c r="I344" i="16" s="1"/>
  <c r="I345" i="16" s="1"/>
  <c r="I346" i="16" s="1"/>
  <c r="I347" i="16" s="1"/>
  <c r="I348" i="16" s="1"/>
  <c r="I349" i="16" s="1"/>
  <c r="I350" i="16" s="1"/>
  <c r="I351" i="16" s="1"/>
  <c r="I352" i="16" s="1"/>
  <c r="I353" i="16" s="1"/>
  <c r="I354" i="16" s="1"/>
  <c r="I355" i="16" s="1"/>
  <c r="I356" i="16" s="1"/>
  <c r="I357" i="16" s="1"/>
  <c r="I358" i="16" s="1"/>
  <c r="I359" i="16" s="1"/>
  <c r="I360" i="16" s="1"/>
  <c r="I361" i="16" s="1"/>
  <c r="I362" i="16" s="1"/>
  <c r="I363" i="16" s="1"/>
  <c r="I364" i="16" s="1"/>
  <c r="I365" i="16" s="1"/>
  <c r="I366" i="16" l="1"/>
  <c r="I367" i="16" s="1"/>
  <c r="I368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Алексей</author>
  </authors>
  <commentList>
    <comment ref="C135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>Алексей:</t>
        </r>
        <r>
          <rPr>
            <sz val="9"/>
            <color indexed="81"/>
            <rFont val="Tahoma"/>
            <charset val="1"/>
          </rPr>
          <t xml:space="preserve">
было 50000</t>
        </r>
      </text>
    </comment>
    <comment ref="C145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выдано 22/05 и 23/05 по 50000?</t>
        </r>
      </text>
    </comment>
  </commentList>
</comments>
</file>

<file path=xl/sharedStrings.xml><?xml version="1.0" encoding="utf-8"?>
<sst xmlns="http://schemas.openxmlformats.org/spreadsheetml/2006/main" count="105" uniqueCount="93">
  <si>
    <t>дата</t>
  </si>
  <si>
    <t>остаток</t>
  </si>
  <si>
    <t>на что</t>
  </si>
  <si>
    <t>приход, руб.</t>
  </si>
  <si>
    <t>расход, материалы</t>
  </si>
  <si>
    <t>расход, транспорт, бензин</t>
  </si>
  <si>
    <t>ИТОГО:</t>
  </si>
  <si>
    <t>з/п Саша</t>
  </si>
  <si>
    <t>бензин</t>
  </si>
  <si>
    <t>Бензин</t>
  </si>
  <si>
    <t>Место, что делал</t>
  </si>
  <si>
    <t xml:space="preserve"> </t>
  </si>
  <si>
    <t xml:space="preserve">лак </t>
  </si>
  <si>
    <t xml:space="preserve">профиль. Клей монтаж. Малярная лента. Плитки. </t>
  </si>
  <si>
    <t>ручка д/стеллажа</t>
  </si>
  <si>
    <t>магнит. Заглушка. Расп/шур. Сверло.петля. Брусок. Мебельная шит. …</t>
  </si>
  <si>
    <t>кляймер оцинков. Профил пвх. Панель пвх. …</t>
  </si>
  <si>
    <t>лезвие для ножа. Нож строительный. Респиратор</t>
  </si>
  <si>
    <t>смесь кладочная</t>
  </si>
  <si>
    <t xml:space="preserve">профиль наружный. Цемент затир. Крестики. Рива. Клей.  Бензин </t>
  </si>
  <si>
    <t>леруа мерлин. Бензин</t>
  </si>
  <si>
    <t>спрей назално, називин, нурофен</t>
  </si>
  <si>
    <t>Лак аэросольный,</t>
  </si>
  <si>
    <t>Стодал, Аквамарис</t>
  </si>
  <si>
    <t>клей для плитки, смесь кладочная</t>
  </si>
  <si>
    <t>Лак термостойкий, Эмайл термостойкая</t>
  </si>
  <si>
    <t>Краска моющаяся</t>
  </si>
  <si>
    <t>Гидро жидкос, Бензин</t>
  </si>
  <si>
    <t>Эмаль термостойкая</t>
  </si>
  <si>
    <t>Госполина за рег. Транспорта</t>
  </si>
  <si>
    <t>Цемент, автоочиститель стекол</t>
  </si>
  <si>
    <t>Электроды сварочные, стеклоомыватель</t>
  </si>
  <si>
    <t>Алмазы диск по бетону, Алмазы диск покерамика, клей для плитки, плитка</t>
  </si>
  <si>
    <t>Арматура, цемент</t>
  </si>
  <si>
    <t>Цемент</t>
  </si>
  <si>
    <t>Валик, Ванночка для краски, колер, краска, круг отрезной по металлу, лента малярная, мойка для кухни</t>
  </si>
  <si>
    <t xml:space="preserve">комп. Зажим, плитка 60х30, профиль окантовочный, профиль наружн, рейка, </t>
  </si>
  <si>
    <t>Цемент, сетка кладочная</t>
  </si>
  <si>
    <t>профиль наружн.,коипл. Зажим, плитка 60х30</t>
  </si>
  <si>
    <t>сверло по керамике, клей для плитки, бензин</t>
  </si>
  <si>
    <t>Заказ-наряд № 3Н-154</t>
  </si>
  <si>
    <t>Карта памяти</t>
  </si>
  <si>
    <t>Комплект Беспроводной мини IP камера</t>
  </si>
  <si>
    <t xml:space="preserve">труба стальная </t>
  </si>
  <si>
    <t>Шлифовальная машинка</t>
  </si>
  <si>
    <t>Петля, круг шлиф., диск шлиф., ключ для пнд фмтингов, набор краско распылитель, паста пл., лента уплот. , смаска, аэросоль очистител, антискоч, масло мотор 2т, Запчасти для автомобиль</t>
  </si>
  <si>
    <t>Кисть плоская,колодка удлинителя, лента малярная, электроды ресанта, клей для ванных комната</t>
  </si>
  <si>
    <t>Замена втулок стабилизатор</t>
  </si>
  <si>
    <t>автолампа</t>
  </si>
  <si>
    <t>Тормозной диск</t>
  </si>
  <si>
    <t>покупка в леруа мерлен</t>
  </si>
  <si>
    <t xml:space="preserve">Плита (Купил в авито), Единый билет </t>
  </si>
  <si>
    <t>Труба с раструбом, лампа LED, сифон, ср-во для прочиски, труба пвх, картр. Угольный, заглушка, набор перчаток, изолента, Автобус</t>
  </si>
  <si>
    <t>Стройматериалы (Брусок) Без чек</t>
  </si>
  <si>
    <t>Саморезы, опора бруса, уголок соединительный</t>
  </si>
  <si>
    <t>Коллектор с отсекающим кранами, угол пнд, муфта, заглушка 3/4"</t>
  </si>
  <si>
    <t>(8896 - без чек - саморезы, опора бруса, уголок соединительный, цемент м-500, скобы для степлера, грунт аэросоль, эмаль аэросоль), месячный на автобус спб</t>
  </si>
  <si>
    <t>арматура d-8 - без чек</t>
  </si>
  <si>
    <t xml:space="preserve">скобы, ниппель переходнй, муфта, уголок, крепеж,планка,кювета для валиков, шпатель, подводка для воды, труба, теплоизоляция для труб, ваконка, </t>
  </si>
  <si>
    <t>Саморезы, варонка автомобильная, ручка-скоба металлист, задвижка накладная, крюжок вертровой, петля накладная</t>
  </si>
  <si>
    <r>
      <t>ИТОГО Фабрис</t>
    </r>
    <r>
      <rPr>
        <b/>
        <sz val="10"/>
        <color rgb="FF00B0F0"/>
        <rFont val="Arial Narrow"/>
        <family val="2"/>
        <charset val="204"/>
      </rPr>
      <t xml:space="preserve"> </t>
    </r>
    <r>
      <rPr>
        <sz val="10"/>
        <color rgb="FF00B0F0"/>
        <rFont val="Arial Narrow"/>
        <family val="2"/>
        <charset val="204"/>
      </rPr>
      <t>нам должен:</t>
    </r>
  </si>
  <si>
    <t>ИТОГО Кэролайн нам должна:</t>
  </si>
  <si>
    <t>зп Фабриса за май и компенсация за отпуск при увольнении</t>
  </si>
  <si>
    <t xml:space="preserve">угольник Valtec, клей монтажный, рзетка, Степер для скоб, подводка для воды, грунт-эмаль, скобы для степер, </t>
  </si>
  <si>
    <t>уайтспирит krona</t>
  </si>
  <si>
    <t>Единый билет</t>
  </si>
  <si>
    <t>месячный на автобус спб, Единый билет</t>
  </si>
  <si>
    <t>Пена монтажная</t>
  </si>
  <si>
    <t>клей для плитки Plitonit B</t>
  </si>
  <si>
    <t>Лизобак спрей, Римза таб.</t>
  </si>
  <si>
    <t>Свеча 2Т L7T, Антифриз</t>
  </si>
  <si>
    <t>Патрубок воздушный, радиатор</t>
  </si>
  <si>
    <t xml:space="preserve">Масло, Кронштейн переключения, рамкой кпп, масляного филтра, </t>
  </si>
  <si>
    <t>Патрубок воздушный</t>
  </si>
  <si>
    <t xml:space="preserve">Свеча зажигания 2х тактного двигателя,  Держател электродов, проволонка, </t>
  </si>
  <si>
    <t>Лампа автомобильная</t>
  </si>
  <si>
    <t>Рем комплект камера шин</t>
  </si>
  <si>
    <t>ИТОГО Фабрис нам должен</t>
  </si>
  <si>
    <t>месячный на автобус спб, Единый билет, Рулевая рейка, Жидкос гур, антифриз красный</t>
  </si>
  <si>
    <t>ИТОГО Кэролайн нам должна:  гвозди, вагонка, штапик</t>
  </si>
  <si>
    <t>плитки, клей для плитки, петле, ручки для дверь,респиратор, шлифовальный диск, круг отрезной</t>
  </si>
  <si>
    <t>Ремонт авто</t>
  </si>
  <si>
    <t>Суппорт лево, колотки, гоффра</t>
  </si>
  <si>
    <t>датчик кислорода, суппорт права</t>
  </si>
  <si>
    <t>профиль для плитки, затирка, Саморез, Зажим,  для плитка, Сверло, дюбель, шпатель резиновый</t>
  </si>
  <si>
    <t>Круг р120, жидкий ключ, ключ балон</t>
  </si>
  <si>
    <t>Батерейка, диск алмазный, Насадка пластиковая, пистолет для герметика, растворитель 646, респиратор формованный, стеклоомыватель зимнийшпатель малярный 125</t>
  </si>
  <si>
    <t>Лента метализированная клейкая, лента алюминиевая клейкая</t>
  </si>
  <si>
    <t>Отвод моно d150, грметик термостойкий, кран шаровой латунный, контргайка 1/2''</t>
  </si>
  <si>
    <t>ИТОГО Кэролайн нам должна:  Бензин</t>
  </si>
  <si>
    <t>з/п Фая</t>
  </si>
  <si>
    <t xml:space="preserve"> от 16.01.2025</t>
  </si>
  <si>
    <t>от 06.03.2025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</si>
</sst>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;@"/>
    <numFmt numFmtId="165" formatCode="_-* #,##0_-;\-* #,##0_-;_-* &quot;-&quot;??_-;_-@_-"/>
  </numFmts>
  <fonts count="14" x14ac:knownFonts="1">
    <font>
      <sz val="10"/>
      <name val="Arial Cyr"/>
      <family val="2"/>
      <charset val="204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rgb="FFFF0000"/>
      <name val="Arial Narrow"/>
      <family val="2"/>
      <charset val="204"/>
    </font>
    <font>
      <sz val="10"/>
      <name val="Arial Cyr"/>
      <family val="2"/>
      <charset val="204"/>
    </font>
    <font>
      <sz val="10"/>
      <color rgb="FF0070C0"/>
      <name val="Arial Narrow"/>
      <family val="2"/>
      <charset val="204"/>
    </font>
    <font>
      <sz val="10"/>
      <color rgb="FF00B0F0"/>
      <name val="Arial Narrow"/>
      <family val="2"/>
      <charset val="204"/>
    </font>
    <font>
      <b/>
      <sz val="10"/>
      <color rgb="FF00B0F0"/>
      <name val="Arial Narrow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wrapText="1"/>
    </xf>
    <xf numFmtId="4" fontId="2" fillId="2" borderId="1" xfId="0" applyNumberFormat="1" applyFont="1" applyFill="1" applyBorder="1"/>
    <xf numFmtId="0" fontId="2" fillId="2" borderId="0" xfId="0" applyFont="1" applyFill="1"/>
    <xf numFmtId="43" fontId="1" fillId="2" borderId="1" xfId="1" applyFont="1" applyFill="1" applyBorder="1" applyAlignment="1">
      <alignment horizontal="center" vertical="center" wrapText="1"/>
    </xf>
    <xf numFmtId="0" fontId="2" fillId="0" borderId="0" xfId="0" applyFont="1"/>
    <xf numFmtId="4" fontId="2" fillId="0" borderId="0" xfId="0" applyNumberFormat="1" applyFont="1"/>
    <xf numFmtId="0" fontId="2" fillId="0" borderId="1" xfId="0" applyFont="1" applyBorder="1"/>
    <xf numFmtId="43" fontId="2" fillId="2" borderId="0" xfId="1" applyFont="1" applyFill="1"/>
    <xf numFmtId="43" fontId="2" fillId="2" borderId="1" xfId="1" applyFont="1" applyFill="1" applyBorder="1"/>
    <xf numFmtId="0" fontId="2" fillId="2" borderId="1" xfId="0" applyFont="1" applyFill="1" applyBorder="1"/>
    <xf numFmtId="43" fontId="7" fillId="2" borderId="1" xfId="1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165" fontId="3" fillId="2" borderId="1" xfId="1" applyNumberFormat="1" applyFont="1" applyFill="1" applyBorder="1" applyAlignment="1">
      <alignment horizontal="right" wrapText="1"/>
    </xf>
    <xf numFmtId="165" fontId="3" fillId="2" borderId="1" xfId="0" applyNumberFormat="1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wrapText="1"/>
    </xf>
    <xf numFmtId="165" fontId="2" fillId="0" borderId="0" xfId="1" applyNumberFormat="1" applyFont="1"/>
    <xf numFmtId="165" fontId="1" fillId="2" borderId="1" xfId="1" applyNumberFormat="1" applyFont="1" applyFill="1" applyBorder="1" applyAlignment="1">
      <alignment horizontal="center" vertical="center" wrapText="1"/>
    </xf>
    <xf numFmtId="165" fontId="2" fillId="0" borderId="1" xfId="1" applyNumberFormat="1" applyFont="1" applyBorder="1"/>
    <xf numFmtId="165" fontId="9" fillId="0" borderId="1" xfId="1" applyNumberFormat="1" applyFont="1" applyBorder="1"/>
    <xf numFmtId="165" fontId="10" fillId="0" borderId="1" xfId="1" applyNumberFormat="1" applyFont="1" applyBorder="1"/>
    <xf numFmtId="165" fontId="2" fillId="3" borderId="1" xfId="1" applyNumberFormat="1" applyFont="1" applyFill="1" applyBorder="1"/>
    <xf numFmtId="0" fontId="2" fillId="2" borderId="1" xfId="0" applyFont="1" applyFill="1" applyBorder="1" applyAlignment="1">
      <alignment wrapText="1"/>
    </xf>
    <xf numFmtId="165" fontId="2" fillId="2" borderId="1" xfId="1" applyNumberFormat="1" applyFont="1" applyFill="1" applyBorder="1"/>
    <xf numFmtId="165" fontId="10" fillId="2" borderId="1" xfId="1" applyNumberFormat="1" applyFont="1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8"/>
  <sheetViews>
    <sheetView tabSelected="1" topLeftCell="A289" zoomScaleNormal="100" workbookViewId="0">
      <selection activeCell="F16" sqref="F16"/>
    </sheetView>
  </sheetViews>
  <sheetFormatPr defaultColWidth="8.90625" defaultRowHeight="13" x14ac:dyDescent="0.3"/>
  <cols>
    <col min="1" max="1" width="8.90625" style="11"/>
    <col min="2" max="2" width="8.90625" style="11" customWidth="1"/>
    <col min="3" max="3" width="13.36328125" style="23" customWidth="1"/>
    <col min="4" max="5" width="11.54296875" style="23" customWidth="1"/>
    <col min="6" max="6" width="11.54296875" style="14" customWidth="1"/>
    <col min="7" max="7" width="9" style="14" bestFit="1" customWidth="1"/>
    <col min="8" max="8" width="26.453125" style="9" customWidth="1"/>
    <col min="9" max="9" width="9.08984375" style="11" bestFit="1" customWidth="1"/>
    <col min="10" max="16384" width="8.90625" style="11"/>
  </cols>
  <sheetData>
    <row r="1" spans="1:9" x14ac:dyDescent="0.3">
      <c r="I1" s="12">
        <f>0</f>
        <v>0</v>
      </c>
    </row>
    <row r="2" spans="1:9" s="4" customFormat="1" ht="39" x14ac:dyDescent="0.25">
      <c r="A2" s="2" t="s">
        <v>0</v>
      </c>
      <c r="B2" s="2" t="s">
        <v>10</v>
      </c>
      <c r="C2" s="24" t="s">
        <v>3</v>
      </c>
      <c r="D2" s="24" t="s">
        <v>90</v>
      </c>
      <c r="E2" s="24" t="s">
        <v>7</v>
      </c>
      <c r="F2" s="10" t="s">
        <v>4</v>
      </c>
      <c r="G2" s="10" t="s">
        <v>5</v>
      </c>
      <c r="H2" s="1" t="s">
        <v>2</v>
      </c>
      <c r="I2" s="3" t="s">
        <v>1</v>
      </c>
    </row>
    <row r="3" spans="1:9" s="6" customFormat="1" x14ac:dyDescent="0.3">
      <c r="A3" s="5" t="s">
        <v>6</v>
      </c>
      <c r="B3" s="5"/>
      <c r="C3" s="20">
        <f>SUM(C4:C524)</f>
        <v>1422801.8</v>
      </c>
      <c r="D3" s="20">
        <f>SUM(D4:D524)</f>
        <v>992000</v>
      </c>
      <c r="E3" s="20">
        <f>SUM(E4:E524)</f>
        <v>126000</v>
      </c>
      <c r="F3" s="20">
        <f>SUM(F4:F524)</f>
        <v>221233.25</v>
      </c>
      <c r="G3" s="20">
        <f>SUM(G4:G524)</f>
        <v>108428.78</v>
      </c>
      <c r="H3" s="21"/>
      <c r="I3" s="22">
        <f>I1+C3-D3-F3-G3-E3</f>
        <v>-24860.229999999952</v>
      </c>
    </row>
    <row r="4" spans="1:9" x14ac:dyDescent="0.3">
      <c r="A4" s="7">
        <v>45658</v>
      </c>
      <c r="B4" s="13"/>
      <c r="C4" s="25"/>
      <c r="D4" s="25">
        <v>4000</v>
      </c>
      <c r="E4" s="25"/>
      <c r="F4" s="15"/>
      <c r="G4" s="15"/>
      <c r="H4" s="16"/>
      <c r="I4" s="8">
        <f>I1+C4-D4-F4-G4-E4</f>
        <v>-4000</v>
      </c>
    </row>
    <row r="5" spans="1:9" x14ac:dyDescent="0.3">
      <c r="A5" s="7">
        <v>45659</v>
      </c>
      <c r="B5" s="13"/>
      <c r="C5" s="25"/>
      <c r="D5" s="25">
        <v>4000</v>
      </c>
      <c r="E5" s="25"/>
      <c r="F5" s="15"/>
      <c r="G5" s="15"/>
      <c r="H5" s="16"/>
      <c r="I5" s="8">
        <f>I4+C5-D5-F5-G5-E5</f>
        <v>-8000</v>
      </c>
    </row>
    <row r="6" spans="1:9" x14ac:dyDescent="0.3">
      <c r="A6" s="7">
        <v>45660</v>
      </c>
      <c r="B6" s="13"/>
      <c r="C6" s="25"/>
      <c r="D6" s="25">
        <v>4000</v>
      </c>
      <c r="E6" s="25"/>
      <c r="F6" s="15"/>
      <c r="G6" s="15"/>
      <c r="H6" s="16"/>
      <c r="I6" s="8">
        <f t="shared" ref="I6:I69" si="0">I5+C6-D6-F6-G6-E6</f>
        <v>-12000</v>
      </c>
    </row>
    <row r="7" spans="1:9" x14ac:dyDescent="0.3">
      <c r="A7" s="7">
        <v>45661</v>
      </c>
      <c r="B7" s="13"/>
      <c r="C7" s="25"/>
      <c r="D7" s="25">
        <v>4000</v>
      </c>
      <c r="E7" s="25"/>
      <c r="F7" s="15"/>
      <c r="G7" s="15"/>
      <c r="H7" s="16"/>
      <c r="I7" s="8">
        <f t="shared" si="0"/>
        <v>-16000</v>
      </c>
    </row>
    <row r="8" spans="1:9" x14ac:dyDescent="0.3">
      <c r="A8" s="7">
        <v>45662</v>
      </c>
      <c r="B8" s="13"/>
      <c r="C8" s="25"/>
      <c r="D8" s="25"/>
      <c r="E8" s="25"/>
      <c r="F8" s="15"/>
      <c r="G8" s="15"/>
      <c r="H8" s="16"/>
      <c r="I8" s="8">
        <f t="shared" si="0"/>
        <v>-16000</v>
      </c>
    </row>
    <row r="9" spans="1:9" x14ac:dyDescent="0.3">
      <c r="A9" s="7">
        <v>45663</v>
      </c>
      <c r="B9" s="13"/>
      <c r="C9" s="25"/>
      <c r="D9" s="25">
        <v>4000</v>
      </c>
      <c r="E9" s="25"/>
      <c r="F9" s="15">
        <v>1649</v>
      </c>
      <c r="G9" s="15"/>
      <c r="H9" s="16" t="s">
        <v>17</v>
      </c>
      <c r="I9" s="8">
        <f t="shared" si="0"/>
        <v>-21649</v>
      </c>
    </row>
    <row r="10" spans="1:9" x14ac:dyDescent="0.3">
      <c r="A10" s="7">
        <v>45664</v>
      </c>
      <c r="B10" s="13"/>
      <c r="C10" s="25"/>
      <c r="D10" s="25">
        <v>4000</v>
      </c>
      <c r="E10" s="25"/>
      <c r="F10" s="15">
        <v>1130</v>
      </c>
      <c r="G10" s="15"/>
      <c r="H10" s="16" t="s">
        <v>18</v>
      </c>
      <c r="I10" s="8">
        <f t="shared" si="0"/>
        <v>-26779</v>
      </c>
    </row>
    <row r="11" spans="1:9" x14ac:dyDescent="0.3">
      <c r="A11" s="7">
        <v>45665</v>
      </c>
      <c r="B11" s="13"/>
      <c r="C11" s="25">
        <v>10000</v>
      </c>
      <c r="D11" s="25">
        <v>4000</v>
      </c>
      <c r="E11" s="25"/>
      <c r="F11" s="15">
        <v>2239</v>
      </c>
      <c r="G11" s="15">
        <v>3276.72</v>
      </c>
      <c r="H11" s="16" t="s">
        <v>19</v>
      </c>
      <c r="I11" s="8">
        <f t="shared" si="0"/>
        <v>-26294.720000000001</v>
      </c>
    </row>
    <row r="12" spans="1:9" x14ac:dyDescent="0.3">
      <c r="A12" s="7">
        <v>45666</v>
      </c>
      <c r="B12" s="13"/>
      <c r="C12" s="25"/>
      <c r="D12" s="25">
        <v>4000</v>
      </c>
      <c r="E12" s="25"/>
      <c r="F12" s="15">
        <v>4144</v>
      </c>
      <c r="G12" s="15"/>
      <c r="H12" s="16" t="s">
        <v>16</v>
      </c>
      <c r="I12" s="8">
        <f t="shared" si="0"/>
        <v>-34438.720000000001</v>
      </c>
    </row>
    <row r="13" spans="1:9" x14ac:dyDescent="0.3">
      <c r="A13" s="7">
        <v>45667</v>
      </c>
      <c r="B13" s="13"/>
      <c r="C13" s="25"/>
      <c r="D13" s="25">
        <v>4000</v>
      </c>
      <c r="E13" s="25"/>
      <c r="F13" s="15"/>
      <c r="G13" s="15"/>
      <c r="H13" s="16"/>
      <c r="I13" s="8">
        <f t="shared" si="0"/>
        <v>-38438.720000000001</v>
      </c>
    </row>
    <row r="14" spans="1:9" x14ac:dyDescent="0.3">
      <c r="A14" s="7">
        <v>45668</v>
      </c>
      <c r="B14" s="13"/>
      <c r="C14" s="25"/>
      <c r="D14" s="25">
        <v>4000</v>
      </c>
      <c r="E14" s="25"/>
      <c r="F14" s="15"/>
      <c r="G14" s="15"/>
      <c r="H14" s="16"/>
      <c r="I14" s="8">
        <f t="shared" si="0"/>
        <v>-42438.720000000001</v>
      </c>
    </row>
    <row r="15" spans="1:9" x14ac:dyDescent="0.3">
      <c r="A15" s="7">
        <v>45669</v>
      </c>
      <c r="B15" s="13"/>
      <c r="C15" s="25"/>
      <c r="D15" s="25"/>
      <c r="E15" s="25"/>
      <c r="F15" s="15"/>
      <c r="G15" s="15"/>
      <c r="H15" s="16"/>
      <c r="I15" s="8">
        <f t="shared" si="0"/>
        <v>-42438.720000000001</v>
      </c>
    </row>
    <row r="16" spans="1:9" x14ac:dyDescent="0.3">
      <c r="A16" s="7">
        <v>45670</v>
      </c>
      <c r="B16" s="13"/>
      <c r="C16" s="25"/>
      <c r="D16" s="25">
        <v>4000</v>
      </c>
      <c r="E16" s="25"/>
      <c r="F16" s="15"/>
      <c r="G16" s="15"/>
      <c r="H16" s="16"/>
      <c r="I16" s="8">
        <f t="shared" si="0"/>
        <v>-46438.720000000001</v>
      </c>
    </row>
    <row r="17" spans="1:9" x14ac:dyDescent="0.3">
      <c r="A17" s="7">
        <v>45671</v>
      </c>
      <c r="B17" s="13"/>
      <c r="C17" s="25"/>
      <c r="D17" s="25">
        <v>4000</v>
      </c>
      <c r="E17" s="25"/>
      <c r="F17" s="15"/>
      <c r="G17" s="15"/>
      <c r="H17" s="16"/>
      <c r="I17" s="8">
        <f t="shared" si="0"/>
        <v>-50438.720000000001</v>
      </c>
    </row>
    <row r="18" spans="1:9" x14ac:dyDescent="0.3">
      <c r="A18" s="7">
        <v>45672</v>
      </c>
      <c r="B18" s="13"/>
      <c r="C18" s="25"/>
      <c r="D18" s="25">
        <v>4000</v>
      </c>
      <c r="E18" s="25"/>
      <c r="F18" s="15">
        <v>2491</v>
      </c>
      <c r="G18" s="15"/>
      <c r="H18" s="16" t="s">
        <v>13</v>
      </c>
      <c r="I18" s="8">
        <f t="shared" si="0"/>
        <v>-56929.72</v>
      </c>
    </row>
    <row r="19" spans="1:9" x14ac:dyDescent="0.3">
      <c r="A19" s="7">
        <v>45673</v>
      </c>
      <c r="B19" s="13"/>
      <c r="C19" s="25"/>
      <c r="D19" s="25">
        <v>4000</v>
      </c>
      <c r="E19" s="25"/>
      <c r="F19" s="15"/>
      <c r="G19" s="15"/>
      <c r="H19" s="16"/>
      <c r="I19" s="8">
        <f t="shared" si="0"/>
        <v>-60929.72</v>
      </c>
    </row>
    <row r="20" spans="1:9" x14ac:dyDescent="0.3">
      <c r="A20" s="7">
        <v>45674</v>
      </c>
      <c r="B20" s="13"/>
      <c r="C20" s="25">
        <v>75000</v>
      </c>
      <c r="D20" s="25">
        <v>4000</v>
      </c>
      <c r="E20" s="25"/>
      <c r="F20" s="15">
        <v>8454</v>
      </c>
      <c r="G20" s="15"/>
      <c r="H20" s="16" t="s">
        <v>15</v>
      </c>
      <c r="I20" s="8">
        <f t="shared" si="0"/>
        <v>1616.2799999999988</v>
      </c>
    </row>
    <row r="21" spans="1:9" x14ac:dyDescent="0.3">
      <c r="A21" s="7">
        <v>45675</v>
      </c>
      <c r="B21" s="13"/>
      <c r="C21" s="25"/>
      <c r="D21" s="25">
        <v>4000</v>
      </c>
      <c r="E21" s="25"/>
      <c r="F21" s="15"/>
      <c r="G21" s="15"/>
      <c r="H21" s="16"/>
      <c r="I21" s="8">
        <f t="shared" si="0"/>
        <v>-2383.7200000000012</v>
      </c>
    </row>
    <row r="22" spans="1:9" x14ac:dyDescent="0.3">
      <c r="A22" s="7">
        <v>45676</v>
      </c>
      <c r="B22" s="13"/>
      <c r="C22" s="25"/>
      <c r="D22" s="25"/>
      <c r="E22" s="25"/>
      <c r="F22" s="15"/>
      <c r="G22" s="15"/>
      <c r="H22" s="16"/>
      <c r="I22" s="8">
        <f t="shared" si="0"/>
        <v>-2383.7200000000012</v>
      </c>
    </row>
    <row r="23" spans="1:9" x14ac:dyDescent="0.3">
      <c r="A23" s="7">
        <v>45677</v>
      </c>
      <c r="B23" s="13"/>
      <c r="C23" s="25"/>
      <c r="D23" s="25">
        <v>4000</v>
      </c>
      <c r="E23" s="25"/>
      <c r="F23" s="15">
        <v>3023.5</v>
      </c>
      <c r="G23" s="15">
        <v>3522.67</v>
      </c>
      <c r="H23" s="16" t="s">
        <v>20</v>
      </c>
      <c r="I23" s="8">
        <f t="shared" si="0"/>
        <v>-12929.890000000001</v>
      </c>
    </row>
    <row r="24" spans="1:9" x14ac:dyDescent="0.3">
      <c r="A24" s="7">
        <v>45678</v>
      </c>
      <c r="B24" s="13"/>
      <c r="C24" s="25"/>
      <c r="D24" s="25">
        <v>4000</v>
      </c>
      <c r="E24" s="25"/>
      <c r="F24" s="15"/>
      <c r="G24" s="15"/>
      <c r="H24" s="16"/>
      <c r="I24" s="8">
        <f t="shared" si="0"/>
        <v>-16929.89</v>
      </c>
    </row>
    <row r="25" spans="1:9" x14ac:dyDescent="0.3">
      <c r="A25" s="7">
        <v>45679</v>
      </c>
      <c r="B25" s="13"/>
      <c r="C25" s="25"/>
      <c r="D25" s="25">
        <v>4000</v>
      </c>
      <c r="E25" s="25"/>
      <c r="F25" s="15"/>
      <c r="G25" s="15"/>
      <c r="H25" s="16"/>
      <c r="I25" s="8">
        <f t="shared" si="0"/>
        <v>-20929.89</v>
      </c>
    </row>
    <row r="26" spans="1:9" x14ac:dyDescent="0.3">
      <c r="A26" s="7">
        <v>45680</v>
      </c>
      <c r="B26" s="13"/>
      <c r="C26" s="25"/>
      <c r="D26" s="25">
        <v>4000</v>
      </c>
      <c r="E26" s="25"/>
      <c r="F26" s="15">
        <v>174</v>
      </c>
      <c r="G26" s="15"/>
      <c r="H26" s="16" t="s">
        <v>14</v>
      </c>
      <c r="I26" s="8">
        <f t="shared" si="0"/>
        <v>-25103.89</v>
      </c>
    </row>
    <row r="27" spans="1:9" x14ac:dyDescent="0.3">
      <c r="A27" s="7">
        <v>45681</v>
      </c>
      <c r="B27" s="13"/>
      <c r="C27" s="25"/>
      <c r="D27" s="25">
        <v>4000</v>
      </c>
      <c r="E27" s="25"/>
      <c r="F27" s="15"/>
      <c r="G27" s="15"/>
      <c r="H27" s="16"/>
      <c r="I27" s="8">
        <f t="shared" si="0"/>
        <v>-29103.89</v>
      </c>
    </row>
    <row r="28" spans="1:9" x14ac:dyDescent="0.3">
      <c r="A28" s="7">
        <v>45682</v>
      </c>
      <c r="B28" s="13"/>
      <c r="C28" s="25"/>
      <c r="D28" s="25">
        <v>4000</v>
      </c>
      <c r="E28" s="25"/>
      <c r="F28" s="15"/>
      <c r="G28" s="15"/>
      <c r="H28" s="16"/>
      <c r="I28" s="8">
        <f t="shared" si="0"/>
        <v>-33103.89</v>
      </c>
    </row>
    <row r="29" spans="1:9" x14ac:dyDescent="0.3">
      <c r="A29" s="7">
        <v>45683</v>
      </c>
      <c r="B29" s="13"/>
      <c r="C29" s="25"/>
      <c r="D29" s="25"/>
      <c r="E29" s="25"/>
      <c r="F29" s="15"/>
      <c r="G29" s="15"/>
      <c r="H29" s="16"/>
      <c r="I29" s="8">
        <f t="shared" si="0"/>
        <v>-33103.89</v>
      </c>
    </row>
    <row r="30" spans="1:9" x14ac:dyDescent="0.3">
      <c r="A30" s="7">
        <v>45684</v>
      </c>
      <c r="B30" s="13"/>
      <c r="C30" s="25"/>
      <c r="D30" s="25">
        <v>4000</v>
      </c>
      <c r="E30" s="25"/>
      <c r="F30" s="15"/>
      <c r="G30" s="15"/>
      <c r="H30" s="16"/>
      <c r="I30" s="8">
        <f t="shared" si="0"/>
        <v>-37103.89</v>
      </c>
    </row>
    <row r="31" spans="1:9" x14ac:dyDescent="0.3">
      <c r="A31" s="7">
        <v>45685</v>
      </c>
      <c r="B31" s="13"/>
      <c r="C31" s="25"/>
      <c r="D31" s="25">
        <v>4000</v>
      </c>
      <c r="E31" s="25"/>
      <c r="F31" s="15"/>
      <c r="G31" s="15"/>
      <c r="H31" s="16"/>
      <c r="I31" s="8">
        <f t="shared" si="0"/>
        <v>-41103.89</v>
      </c>
    </row>
    <row r="32" spans="1:9" x14ac:dyDescent="0.3">
      <c r="A32" s="7">
        <v>45686</v>
      </c>
      <c r="B32" s="13"/>
      <c r="C32" s="25"/>
      <c r="D32" s="25">
        <v>4000</v>
      </c>
      <c r="E32" s="25"/>
      <c r="F32" s="15"/>
      <c r="G32" s="15"/>
      <c r="H32" s="16"/>
      <c r="I32" s="8">
        <f t="shared" si="0"/>
        <v>-45103.89</v>
      </c>
    </row>
    <row r="33" spans="1:9" x14ac:dyDescent="0.3">
      <c r="A33" s="7">
        <v>45687</v>
      </c>
      <c r="B33" s="13"/>
      <c r="C33" s="25"/>
      <c r="D33" s="25">
        <v>4000</v>
      </c>
      <c r="E33" s="25"/>
      <c r="F33" s="15">
        <v>486</v>
      </c>
      <c r="G33" s="15"/>
      <c r="H33" s="16" t="s">
        <v>12</v>
      </c>
      <c r="I33" s="8">
        <f t="shared" si="0"/>
        <v>-49589.89</v>
      </c>
    </row>
    <row r="34" spans="1:9" x14ac:dyDescent="0.3">
      <c r="A34" s="7">
        <v>45688</v>
      </c>
      <c r="B34" s="13"/>
      <c r="C34" s="25"/>
      <c r="D34" s="25">
        <v>4000</v>
      </c>
      <c r="E34" s="25"/>
      <c r="F34" s="15"/>
      <c r="G34" s="15"/>
      <c r="H34" s="16"/>
      <c r="I34" s="8">
        <f t="shared" si="0"/>
        <v>-53589.89</v>
      </c>
    </row>
    <row r="35" spans="1:9" x14ac:dyDescent="0.3">
      <c r="A35" s="7">
        <v>45689</v>
      </c>
      <c r="B35" s="13"/>
      <c r="C35" s="25"/>
      <c r="D35" s="25">
        <v>4000</v>
      </c>
      <c r="E35" s="25"/>
      <c r="F35" s="15"/>
      <c r="G35" s="15">
        <v>2499.87</v>
      </c>
      <c r="H35" s="16" t="s">
        <v>8</v>
      </c>
      <c r="I35" s="8">
        <f t="shared" si="0"/>
        <v>-60089.760000000002</v>
      </c>
    </row>
    <row r="36" spans="1:9" x14ac:dyDescent="0.3">
      <c r="A36" s="7">
        <v>45690</v>
      </c>
      <c r="B36" s="13"/>
      <c r="C36" s="25"/>
      <c r="D36" s="25"/>
      <c r="E36" s="25"/>
      <c r="F36" s="15"/>
      <c r="G36" s="15"/>
      <c r="H36" s="16"/>
      <c r="I36" s="8">
        <f t="shared" si="0"/>
        <v>-60089.760000000002</v>
      </c>
    </row>
    <row r="37" spans="1:9" x14ac:dyDescent="0.3">
      <c r="A37" s="7">
        <v>45691</v>
      </c>
      <c r="B37" s="13"/>
      <c r="C37" s="25"/>
      <c r="D37" s="25">
        <v>4000</v>
      </c>
      <c r="E37" s="25">
        <v>3000</v>
      </c>
      <c r="F37" s="15"/>
      <c r="G37" s="15"/>
      <c r="H37" s="16"/>
      <c r="I37" s="8">
        <f t="shared" si="0"/>
        <v>-67089.760000000009</v>
      </c>
    </row>
    <row r="38" spans="1:9" x14ac:dyDescent="0.3">
      <c r="A38" s="7">
        <v>45692</v>
      </c>
      <c r="B38" s="13"/>
      <c r="C38" s="25"/>
      <c r="D38" s="25">
        <v>4000</v>
      </c>
      <c r="E38" s="25">
        <v>3000</v>
      </c>
      <c r="F38" s="15"/>
      <c r="G38" s="15"/>
      <c r="H38" s="16"/>
      <c r="I38" s="8">
        <f t="shared" si="0"/>
        <v>-74089.760000000009</v>
      </c>
    </row>
    <row r="39" spans="1:9" x14ac:dyDescent="0.3">
      <c r="A39" s="7">
        <v>45693</v>
      </c>
      <c r="B39" s="13"/>
      <c r="C39" s="25">
        <v>20000</v>
      </c>
      <c r="D39" s="25">
        <v>4000</v>
      </c>
      <c r="E39" s="25">
        <v>3000</v>
      </c>
      <c r="F39" s="15"/>
      <c r="G39" s="15"/>
      <c r="H39" s="16"/>
      <c r="I39" s="8">
        <f t="shared" si="0"/>
        <v>-61089.760000000009</v>
      </c>
    </row>
    <row r="40" spans="1:9" x14ac:dyDescent="0.3">
      <c r="A40" s="7">
        <v>45694</v>
      </c>
      <c r="B40" s="13"/>
      <c r="C40" s="25"/>
      <c r="D40" s="25">
        <v>4000</v>
      </c>
      <c r="E40" s="25">
        <v>3000</v>
      </c>
      <c r="F40" s="15"/>
      <c r="G40" s="15"/>
      <c r="H40" s="16"/>
      <c r="I40" s="8">
        <f t="shared" si="0"/>
        <v>-68089.760000000009</v>
      </c>
    </row>
    <row r="41" spans="1:9" x14ac:dyDescent="0.3">
      <c r="A41" s="7">
        <v>45695</v>
      </c>
      <c r="B41" s="13"/>
      <c r="C41" s="25"/>
      <c r="D41" s="25">
        <v>4000</v>
      </c>
      <c r="E41" s="25">
        <v>3000</v>
      </c>
      <c r="F41" s="15"/>
      <c r="G41" s="15"/>
      <c r="H41" s="16"/>
      <c r="I41" s="8">
        <f t="shared" si="0"/>
        <v>-75089.760000000009</v>
      </c>
    </row>
    <row r="42" spans="1:9" x14ac:dyDescent="0.3">
      <c r="A42" s="7">
        <v>45696</v>
      </c>
      <c r="B42" s="13"/>
      <c r="C42" s="25"/>
      <c r="D42" s="25">
        <v>4000</v>
      </c>
      <c r="E42" s="25"/>
      <c r="F42" s="15"/>
      <c r="G42" s="15"/>
      <c r="H42" s="16"/>
      <c r="I42" s="8">
        <f t="shared" si="0"/>
        <v>-79089.760000000009</v>
      </c>
    </row>
    <row r="43" spans="1:9" x14ac:dyDescent="0.3">
      <c r="A43" s="7">
        <v>45697</v>
      </c>
      <c r="B43" s="13"/>
      <c r="C43" s="25">
        <v>12000</v>
      </c>
      <c r="D43" s="25"/>
      <c r="E43" s="25"/>
      <c r="F43" s="15"/>
      <c r="G43" s="15">
        <v>3832.12</v>
      </c>
      <c r="H43" s="16" t="s">
        <v>27</v>
      </c>
      <c r="I43" s="8">
        <f t="shared" si="0"/>
        <v>-70921.88</v>
      </c>
    </row>
    <row r="44" spans="1:9" x14ac:dyDescent="0.3">
      <c r="A44" s="7">
        <v>45698</v>
      </c>
      <c r="B44" s="13"/>
      <c r="C44" s="25"/>
      <c r="D44" s="25">
        <v>4000</v>
      </c>
      <c r="E44" s="25">
        <v>3000</v>
      </c>
      <c r="F44" s="15">
        <v>702</v>
      </c>
      <c r="G44" s="15"/>
      <c r="H44" s="16" t="s">
        <v>22</v>
      </c>
      <c r="I44" s="8">
        <f t="shared" si="0"/>
        <v>-78623.88</v>
      </c>
    </row>
    <row r="45" spans="1:9" x14ac:dyDescent="0.3">
      <c r="A45" s="7">
        <v>45699</v>
      </c>
      <c r="B45" s="13"/>
      <c r="C45" s="25"/>
      <c r="D45" s="25">
        <v>4000</v>
      </c>
      <c r="E45" s="25">
        <v>3000</v>
      </c>
      <c r="F45" s="15">
        <v>724</v>
      </c>
      <c r="G45" s="15"/>
      <c r="H45" s="16" t="s">
        <v>24</v>
      </c>
      <c r="I45" s="8">
        <f t="shared" si="0"/>
        <v>-86347.88</v>
      </c>
    </row>
    <row r="46" spans="1:9" x14ac:dyDescent="0.3">
      <c r="A46" s="7">
        <v>45700</v>
      </c>
      <c r="B46" s="13"/>
      <c r="C46" s="25"/>
      <c r="D46" s="25">
        <v>4000</v>
      </c>
      <c r="E46" s="25">
        <v>3000</v>
      </c>
      <c r="F46" s="15">
        <v>1120</v>
      </c>
      <c r="G46" s="15"/>
      <c r="H46" s="16" t="s">
        <v>23</v>
      </c>
      <c r="I46" s="8">
        <f t="shared" si="0"/>
        <v>-94467.88</v>
      </c>
    </row>
    <row r="47" spans="1:9" x14ac:dyDescent="0.3">
      <c r="A47" s="7">
        <v>45701</v>
      </c>
      <c r="B47" s="13"/>
      <c r="C47" s="25"/>
      <c r="D47" s="25">
        <v>4000</v>
      </c>
      <c r="E47" s="25">
        <v>3000</v>
      </c>
      <c r="F47" s="15"/>
      <c r="G47" s="15"/>
      <c r="H47" s="16"/>
      <c r="I47" s="8">
        <f t="shared" si="0"/>
        <v>-101467.88</v>
      </c>
    </row>
    <row r="48" spans="1:9" x14ac:dyDescent="0.3">
      <c r="A48" s="7">
        <v>45702</v>
      </c>
      <c r="B48" s="13"/>
      <c r="C48" s="25"/>
      <c r="D48" s="25">
        <v>4000</v>
      </c>
      <c r="E48" s="25">
        <v>3000</v>
      </c>
      <c r="F48" s="15">
        <v>1300</v>
      </c>
      <c r="G48" s="17"/>
      <c r="H48" s="16" t="s">
        <v>29</v>
      </c>
      <c r="I48" s="8">
        <f t="shared" si="0"/>
        <v>-109767.88</v>
      </c>
    </row>
    <row r="49" spans="1:9" x14ac:dyDescent="0.3">
      <c r="A49" s="7">
        <v>45703</v>
      </c>
      <c r="B49" s="13"/>
      <c r="C49" s="25"/>
      <c r="D49" s="25">
        <v>4000</v>
      </c>
      <c r="E49" s="25">
        <v>3000</v>
      </c>
      <c r="F49" s="15"/>
      <c r="G49" s="15">
        <v>1500.4</v>
      </c>
      <c r="H49" s="16" t="s">
        <v>9</v>
      </c>
      <c r="I49" s="8">
        <f t="shared" si="0"/>
        <v>-118268.28</v>
      </c>
    </row>
    <row r="50" spans="1:9" x14ac:dyDescent="0.3">
      <c r="A50" s="7">
        <v>45704</v>
      </c>
      <c r="B50" s="13"/>
      <c r="C50" s="25"/>
      <c r="D50" s="25"/>
      <c r="E50" s="25"/>
      <c r="F50" s="15"/>
      <c r="G50" s="15"/>
      <c r="H50" s="16"/>
      <c r="I50" s="8">
        <f t="shared" si="0"/>
        <v>-118268.28</v>
      </c>
    </row>
    <row r="51" spans="1:9" x14ac:dyDescent="0.3">
      <c r="A51" s="7">
        <v>45705</v>
      </c>
      <c r="B51" s="13"/>
      <c r="C51" s="25"/>
      <c r="D51" s="25">
        <v>4000</v>
      </c>
      <c r="E51" s="25">
        <v>3000</v>
      </c>
      <c r="F51" s="15">
        <v>572</v>
      </c>
      <c r="G51" s="15"/>
      <c r="H51" s="16" t="s">
        <v>26</v>
      </c>
      <c r="I51" s="8">
        <f t="shared" si="0"/>
        <v>-125840.28</v>
      </c>
    </row>
    <row r="52" spans="1:9" x14ac:dyDescent="0.3">
      <c r="A52" s="7">
        <v>45706</v>
      </c>
      <c r="B52" s="13"/>
      <c r="C52" s="25">
        <v>35000</v>
      </c>
      <c r="D52" s="25">
        <v>4000</v>
      </c>
      <c r="E52" s="25">
        <v>3000</v>
      </c>
      <c r="F52" s="15"/>
      <c r="G52" s="15">
        <v>3255.43</v>
      </c>
      <c r="H52" s="16" t="s">
        <v>9</v>
      </c>
      <c r="I52" s="8">
        <f t="shared" si="0"/>
        <v>-101095.70999999999</v>
      </c>
    </row>
    <row r="53" spans="1:9" x14ac:dyDescent="0.3">
      <c r="A53" s="7">
        <v>45707</v>
      </c>
      <c r="B53" s="13"/>
      <c r="C53" s="25"/>
      <c r="D53" s="25">
        <v>4000</v>
      </c>
      <c r="E53" s="25">
        <v>3000</v>
      </c>
      <c r="F53" s="15"/>
      <c r="G53" s="15"/>
      <c r="H53" s="16"/>
      <c r="I53" s="8">
        <f t="shared" si="0"/>
        <v>-108095.70999999999</v>
      </c>
    </row>
    <row r="54" spans="1:9" x14ac:dyDescent="0.3">
      <c r="A54" s="7">
        <v>45708</v>
      </c>
      <c r="B54" s="13"/>
      <c r="C54" s="25"/>
      <c r="D54" s="25">
        <v>4000</v>
      </c>
      <c r="E54" s="25">
        <v>3000</v>
      </c>
      <c r="F54" s="15"/>
      <c r="G54" s="15"/>
      <c r="H54" s="16"/>
      <c r="I54" s="8">
        <f t="shared" si="0"/>
        <v>-115095.70999999999</v>
      </c>
    </row>
    <row r="55" spans="1:9" x14ac:dyDescent="0.3">
      <c r="A55" s="7">
        <v>45709</v>
      </c>
      <c r="B55" s="13"/>
      <c r="C55" s="25"/>
      <c r="D55" s="25">
        <v>4000</v>
      </c>
      <c r="E55" s="25">
        <v>3000</v>
      </c>
      <c r="F55" s="15">
        <v>1288.7</v>
      </c>
      <c r="G55" s="15"/>
      <c r="H55" s="16" t="s">
        <v>21</v>
      </c>
      <c r="I55" s="8">
        <f t="shared" si="0"/>
        <v>-123384.40999999999</v>
      </c>
    </row>
    <row r="56" spans="1:9" x14ac:dyDescent="0.3">
      <c r="A56" s="7">
        <v>45710</v>
      </c>
      <c r="B56" s="13"/>
      <c r="C56" s="25"/>
      <c r="D56" s="25">
        <v>4000</v>
      </c>
      <c r="E56" s="25">
        <v>3000</v>
      </c>
      <c r="F56" s="15"/>
      <c r="G56" s="15"/>
      <c r="H56" s="16"/>
      <c r="I56" s="8">
        <f t="shared" si="0"/>
        <v>-130384.40999999999</v>
      </c>
    </row>
    <row r="57" spans="1:9" x14ac:dyDescent="0.3">
      <c r="A57" s="7">
        <v>45711</v>
      </c>
      <c r="B57" s="13"/>
      <c r="C57" s="25"/>
      <c r="D57" s="25"/>
      <c r="E57" s="25"/>
      <c r="F57" s="15"/>
      <c r="G57" s="15"/>
      <c r="H57" s="16"/>
      <c r="I57" s="8">
        <f t="shared" si="0"/>
        <v>-130384.40999999999</v>
      </c>
    </row>
    <row r="58" spans="1:9" x14ac:dyDescent="0.3">
      <c r="A58" s="7">
        <v>45712</v>
      </c>
      <c r="B58" s="13"/>
      <c r="C58" s="25"/>
      <c r="D58" s="25">
        <v>4000</v>
      </c>
      <c r="E58" s="25">
        <v>3000</v>
      </c>
      <c r="F58" s="15"/>
      <c r="G58" s="15"/>
      <c r="H58" s="16"/>
      <c r="I58" s="8">
        <f t="shared" si="0"/>
        <v>-137384.40999999997</v>
      </c>
    </row>
    <row r="59" spans="1:9" x14ac:dyDescent="0.3">
      <c r="A59" s="7">
        <v>45713</v>
      </c>
      <c r="B59" s="13"/>
      <c r="C59" s="25">
        <v>20000</v>
      </c>
      <c r="D59" s="25">
        <v>4000</v>
      </c>
      <c r="E59" s="25">
        <v>3000</v>
      </c>
      <c r="F59" s="15"/>
      <c r="G59" s="15"/>
      <c r="H59" s="16"/>
      <c r="I59" s="8">
        <f t="shared" si="0"/>
        <v>-124384.40999999997</v>
      </c>
    </row>
    <row r="60" spans="1:9" x14ac:dyDescent="0.3">
      <c r="A60" s="7">
        <v>45714</v>
      </c>
      <c r="B60" s="13"/>
      <c r="C60" s="25"/>
      <c r="D60" s="25">
        <v>4000</v>
      </c>
      <c r="E60" s="25">
        <v>3000</v>
      </c>
      <c r="F60" s="15">
        <v>1997</v>
      </c>
      <c r="G60" s="15">
        <v>3524</v>
      </c>
      <c r="H60" s="16" t="s">
        <v>25</v>
      </c>
      <c r="I60" s="8">
        <f t="shared" si="0"/>
        <v>-136905.40999999997</v>
      </c>
    </row>
    <row r="61" spans="1:9" x14ac:dyDescent="0.3">
      <c r="A61" s="7">
        <v>45715</v>
      </c>
      <c r="B61" s="13"/>
      <c r="C61" s="25"/>
      <c r="D61" s="25">
        <v>4000</v>
      </c>
      <c r="E61" s="25">
        <v>3000</v>
      </c>
      <c r="F61" s="15"/>
      <c r="G61" s="15"/>
      <c r="H61" s="16"/>
      <c r="I61" s="8">
        <f t="shared" si="0"/>
        <v>-143905.40999999997</v>
      </c>
    </row>
    <row r="62" spans="1:9" x14ac:dyDescent="0.3">
      <c r="A62" s="7">
        <v>45716</v>
      </c>
      <c r="B62" s="13"/>
      <c r="C62" s="25"/>
      <c r="D62" s="25">
        <v>4000</v>
      </c>
      <c r="E62" s="25">
        <v>3000</v>
      </c>
      <c r="F62" s="15">
        <v>1034</v>
      </c>
      <c r="G62" s="15"/>
      <c r="H62" s="16" t="s">
        <v>28</v>
      </c>
      <c r="I62" s="8">
        <f t="shared" si="0"/>
        <v>-151939.40999999997</v>
      </c>
    </row>
    <row r="63" spans="1:9" x14ac:dyDescent="0.3">
      <c r="A63" s="7">
        <v>45717</v>
      </c>
      <c r="B63" s="13"/>
      <c r="C63" s="25"/>
      <c r="D63" s="25"/>
      <c r="E63" s="25"/>
      <c r="F63" s="15"/>
      <c r="G63" s="15"/>
      <c r="H63" s="16"/>
      <c r="I63" s="8">
        <f t="shared" si="0"/>
        <v>-151939.40999999997</v>
      </c>
    </row>
    <row r="64" spans="1:9" x14ac:dyDescent="0.3">
      <c r="A64" s="7">
        <v>45718</v>
      </c>
      <c r="B64" s="13"/>
      <c r="C64" s="25"/>
      <c r="D64" s="25"/>
      <c r="E64" s="25"/>
      <c r="F64" s="15"/>
      <c r="G64" s="15"/>
      <c r="H64" s="16"/>
      <c r="I64" s="8">
        <f t="shared" si="0"/>
        <v>-151939.40999999997</v>
      </c>
    </row>
    <row r="65" spans="1:9" x14ac:dyDescent="0.3">
      <c r="A65" s="7">
        <v>45719</v>
      </c>
      <c r="B65" s="13"/>
      <c r="C65" s="25"/>
      <c r="D65" s="25">
        <v>4000</v>
      </c>
      <c r="E65" s="25">
        <v>3000</v>
      </c>
      <c r="F65" s="15">
        <v>690</v>
      </c>
      <c r="G65" s="15"/>
      <c r="H65" s="16" t="s">
        <v>31</v>
      </c>
      <c r="I65" s="8">
        <f t="shared" si="0"/>
        <v>-159629.40999999997</v>
      </c>
    </row>
    <row r="66" spans="1:9" x14ac:dyDescent="0.3">
      <c r="A66" s="7">
        <v>45720</v>
      </c>
      <c r="B66" s="13"/>
      <c r="C66" s="25"/>
      <c r="D66" s="25">
        <v>4000</v>
      </c>
      <c r="E66" s="25">
        <v>3000</v>
      </c>
      <c r="F66" s="15"/>
      <c r="G66" s="15"/>
      <c r="H66" s="16"/>
      <c r="I66" s="8">
        <f t="shared" si="0"/>
        <v>-166629.40999999997</v>
      </c>
    </row>
    <row r="67" spans="1:9" x14ac:dyDescent="0.3">
      <c r="A67" s="7">
        <v>45721</v>
      </c>
      <c r="B67" s="13"/>
      <c r="C67" s="25">
        <v>30000</v>
      </c>
      <c r="D67" s="25">
        <v>4000</v>
      </c>
      <c r="E67" s="25">
        <v>3000</v>
      </c>
      <c r="F67" s="15"/>
      <c r="G67" s="15"/>
      <c r="H67" s="16"/>
      <c r="I67" s="8">
        <f t="shared" si="0"/>
        <v>-143629.40999999997</v>
      </c>
    </row>
    <row r="68" spans="1:9" x14ac:dyDescent="0.3">
      <c r="A68" s="7">
        <v>45722</v>
      </c>
      <c r="B68" s="13"/>
      <c r="C68" s="25"/>
      <c r="D68" s="25">
        <v>4000</v>
      </c>
      <c r="E68" s="25">
        <v>3000</v>
      </c>
      <c r="F68" s="15"/>
      <c r="G68" s="15"/>
      <c r="H68" s="16"/>
      <c r="I68" s="8">
        <f t="shared" si="0"/>
        <v>-150629.40999999997</v>
      </c>
    </row>
    <row r="69" spans="1:9" x14ac:dyDescent="0.3">
      <c r="A69" s="7">
        <v>45723</v>
      </c>
      <c r="B69" s="13"/>
      <c r="C69" s="25"/>
      <c r="D69" s="25">
        <v>4000</v>
      </c>
      <c r="E69" s="25">
        <v>3000</v>
      </c>
      <c r="F69" s="15"/>
      <c r="G69" s="15"/>
      <c r="H69" s="16"/>
      <c r="I69" s="8">
        <f t="shared" si="0"/>
        <v>-157629.40999999997</v>
      </c>
    </row>
    <row r="70" spans="1:9" x14ac:dyDescent="0.3">
      <c r="A70" s="7">
        <v>45724</v>
      </c>
      <c r="B70" s="13"/>
      <c r="C70" s="25"/>
      <c r="D70" s="25"/>
      <c r="E70" s="25"/>
      <c r="F70" s="15">
        <v>3226.88</v>
      </c>
      <c r="G70" s="15"/>
      <c r="H70" s="16" t="s">
        <v>9</v>
      </c>
      <c r="I70" s="8">
        <f t="shared" ref="I70:I133" si="1">I69+C70-D70-F70-G70-E70</f>
        <v>-160856.28999999998</v>
      </c>
    </row>
    <row r="71" spans="1:9" x14ac:dyDescent="0.3">
      <c r="A71" s="7">
        <v>45725</v>
      </c>
      <c r="B71" s="13"/>
      <c r="C71" s="25"/>
      <c r="D71" s="25"/>
      <c r="E71" s="25"/>
      <c r="F71" s="15"/>
      <c r="G71" s="15"/>
      <c r="H71" s="16"/>
      <c r="I71" s="8">
        <f t="shared" si="1"/>
        <v>-160856.28999999998</v>
      </c>
    </row>
    <row r="72" spans="1:9" x14ac:dyDescent="0.3">
      <c r="A72" s="7">
        <v>45726</v>
      </c>
      <c r="B72" s="13"/>
      <c r="C72" s="25"/>
      <c r="D72" s="25">
        <v>4000</v>
      </c>
      <c r="E72" s="25">
        <v>3000</v>
      </c>
      <c r="F72" s="15"/>
      <c r="G72" s="15"/>
      <c r="H72" s="16"/>
      <c r="I72" s="8">
        <f t="shared" si="1"/>
        <v>-167856.28999999998</v>
      </c>
    </row>
    <row r="73" spans="1:9" x14ac:dyDescent="0.3">
      <c r="A73" s="7">
        <v>45727</v>
      </c>
      <c r="B73" s="13"/>
      <c r="C73" s="25"/>
      <c r="D73" s="25">
        <v>4000</v>
      </c>
      <c r="E73" s="25">
        <v>3000</v>
      </c>
      <c r="F73" s="15">
        <v>705</v>
      </c>
      <c r="G73" s="15"/>
      <c r="H73" s="16" t="s">
        <v>30</v>
      </c>
      <c r="I73" s="8">
        <f t="shared" si="1"/>
        <v>-175561.28999999998</v>
      </c>
    </row>
    <row r="74" spans="1:9" x14ac:dyDescent="0.3">
      <c r="A74" s="7">
        <v>45728</v>
      </c>
      <c r="B74" s="13"/>
      <c r="C74" s="25"/>
      <c r="D74" s="25">
        <v>4000</v>
      </c>
      <c r="E74" s="25">
        <v>3000</v>
      </c>
      <c r="F74" s="15">
        <v>2124</v>
      </c>
      <c r="G74" s="15"/>
      <c r="H74" s="16" t="s">
        <v>32</v>
      </c>
      <c r="I74" s="8">
        <f t="shared" si="1"/>
        <v>-184685.28999999998</v>
      </c>
    </row>
    <row r="75" spans="1:9" x14ac:dyDescent="0.3">
      <c r="A75" s="7">
        <v>45729</v>
      </c>
      <c r="B75" s="13"/>
      <c r="C75" s="25"/>
      <c r="D75" s="25">
        <v>4000</v>
      </c>
      <c r="E75" s="25">
        <v>3000</v>
      </c>
      <c r="F75" s="15"/>
      <c r="G75" s="15"/>
      <c r="H75" s="16"/>
      <c r="I75" s="8">
        <f t="shared" si="1"/>
        <v>-191685.28999999998</v>
      </c>
    </row>
    <row r="76" spans="1:9" x14ac:dyDescent="0.3">
      <c r="A76" s="7">
        <v>45730</v>
      </c>
      <c r="B76" s="13"/>
      <c r="C76" s="25"/>
      <c r="D76" s="25">
        <v>4000</v>
      </c>
      <c r="E76" s="25">
        <v>3000</v>
      </c>
      <c r="F76" s="15"/>
      <c r="G76" s="15"/>
      <c r="H76" s="16"/>
      <c r="I76" s="8">
        <f t="shared" si="1"/>
        <v>-198685.28999999998</v>
      </c>
    </row>
    <row r="77" spans="1:9" x14ac:dyDescent="0.3">
      <c r="A77" s="7">
        <v>45731</v>
      </c>
      <c r="B77" s="13"/>
      <c r="C77" s="25"/>
      <c r="D77" s="25">
        <v>4000</v>
      </c>
      <c r="E77" s="25"/>
      <c r="F77" s="15"/>
      <c r="G77" s="15"/>
      <c r="H77" s="16"/>
      <c r="I77" s="8">
        <f t="shared" si="1"/>
        <v>-202685.28999999998</v>
      </c>
    </row>
    <row r="78" spans="1:9" x14ac:dyDescent="0.3">
      <c r="A78" s="7">
        <v>45732</v>
      </c>
      <c r="B78" s="13"/>
      <c r="C78" s="25">
        <v>40000</v>
      </c>
      <c r="D78" s="25"/>
      <c r="E78" s="25"/>
      <c r="F78" s="15"/>
      <c r="G78" s="15"/>
      <c r="H78" s="16"/>
      <c r="I78" s="8">
        <f t="shared" si="1"/>
        <v>-162685.28999999998</v>
      </c>
    </row>
    <row r="79" spans="1:9" x14ac:dyDescent="0.3">
      <c r="A79" s="7">
        <v>45733</v>
      </c>
      <c r="B79" s="13"/>
      <c r="C79" s="25"/>
      <c r="D79" s="25">
        <v>4000</v>
      </c>
      <c r="E79" s="25">
        <v>3000</v>
      </c>
      <c r="F79" s="15">
        <v>890</v>
      </c>
      <c r="G79" s="15"/>
      <c r="H79" s="16" t="s">
        <v>37</v>
      </c>
      <c r="I79" s="8">
        <f t="shared" si="1"/>
        <v>-170575.28999999998</v>
      </c>
    </row>
    <row r="80" spans="1:9" x14ac:dyDescent="0.3">
      <c r="A80" s="7">
        <v>45734</v>
      </c>
      <c r="B80" s="13"/>
      <c r="C80" s="25"/>
      <c r="D80" s="25">
        <v>4000</v>
      </c>
      <c r="E80" s="25">
        <v>3000</v>
      </c>
      <c r="F80" s="15">
        <v>2908</v>
      </c>
      <c r="G80" s="15"/>
      <c r="H80" s="16" t="s">
        <v>38</v>
      </c>
      <c r="I80" s="8">
        <f t="shared" si="1"/>
        <v>-180483.28999999998</v>
      </c>
    </row>
    <row r="81" spans="1:9" x14ac:dyDescent="0.3">
      <c r="A81" s="7">
        <v>45735</v>
      </c>
      <c r="B81" s="13"/>
      <c r="C81" s="25"/>
      <c r="D81" s="25">
        <v>4000</v>
      </c>
      <c r="E81" s="25">
        <v>3000</v>
      </c>
      <c r="F81" s="15"/>
      <c r="G81" s="15"/>
      <c r="H81" s="16"/>
      <c r="I81" s="8">
        <f t="shared" si="1"/>
        <v>-187483.28999999998</v>
      </c>
    </row>
    <row r="82" spans="1:9" x14ac:dyDescent="0.3">
      <c r="A82" s="7">
        <v>45736</v>
      </c>
      <c r="B82" s="13"/>
      <c r="C82" s="25"/>
      <c r="D82" s="25">
        <v>4000</v>
      </c>
      <c r="E82" s="25">
        <v>3000</v>
      </c>
      <c r="F82" s="15">
        <v>696</v>
      </c>
      <c r="G82" s="15">
        <v>3683.36</v>
      </c>
      <c r="H82" s="16" t="s">
        <v>39</v>
      </c>
      <c r="I82" s="8">
        <f t="shared" si="1"/>
        <v>-198862.64999999997</v>
      </c>
    </row>
    <row r="83" spans="1:9" x14ac:dyDescent="0.3">
      <c r="A83" s="7">
        <v>45737</v>
      </c>
      <c r="B83" s="13"/>
      <c r="C83" s="25">
        <v>80000</v>
      </c>
      <c r="D83" s="25">
        <v>4000</v>
      </c>
      <c r="E83" s="25">
        <v>3000</v>
      </c>
      <c r="F83" s="15">
        <v>4163</v>
      </c>
      <c r="G83" s="15"/>
      <c r="H83" s="16" t="s">
        <v>36</v>
      </c>
      <c r="I83" s="8">
        <f t="shared" si="1"/>
        <v>-130025.64999999997</v>
      </c>
    </row>
    <row r="84" spans="1:9" x14ac:dyDescent="0.3">
      <c r="A84" s="7">
        <v>45738</v>
      </c>
      <c r="B84" s="13"/>
      <c r="C84" s="25"/>
      <c r="D84" s="25">
        <v>4000</v>
      </c>
      <c r="E84" s="25"/>
      <c r="F84" s="15"/>
      <c r="G84" s="15"/>
      <c r="H84" s="16"/>
      <c r="I84" s="8">
        <f t="shared" si="1"/>
        <v>-134025.64999999997</v>
      </c>
    </row>
    <row r="85" spans="1:9" x14ac:dyDescent="0.3">
      <c r="A85" s="7">
        <v>45739</v>
      </c>
      <c r="B85" s="13"/>
      <c r="C85" s="25"/>
      <c r="D85" s="25"/>
      <c r="E85" s="25"/>
      <c r="F85" s="15"/>
      <c r="G85" s="15"/>
      <c r="H85" s="16"/>
      <c r="I85" s="8">
        <f t="shared" si="1"/>
        <v>-134025.64999999997</v>
      </c>
    </row>
    <row r="86" spans="1:9" x14ac:dyDescent="0.3">
      <c r="A86" s="7">
        <v>45740</v>
      </c>
      <c r="B86" s="13"/>
      <c r="C86" s="25"/>
      <c r="D86" s="25">
        <v>4000</v>
      </c>
      <c r="E86" s="25">
        <v>3000</v>
      </c>
      <c r="F86" s="15">
        <v>4845</v>
      </c>
      <c r="G86" s="15"/>
      <c r="H86" s="16" t="s">
        <v>35</v>
      </c>
      <c r="I86" s="8">
        <f t="shared" si="1"/>
        <v>-145870.64999999997</v>
      </c>
    </row>
    <row r="87" spans="1:9" x14ac:dyDescent="0.3">
      <c r="A87" s="7">
        <v>45741</v>
      </c>
      <c r="B87" s="13"/>
      <c r="C87" s="25"/>
      <c r="D87" s="25">
        <v>4000</v>
      </c>
      <c r="E87" s="25">
        <v>3000</v>
      </c>
      <c r="F87" s="15"/>
      <c r="G87" s="15"/>
      <c r="H87" s="16"/>
      <c r="I87" s="8">
        <f t="shared" si="1"/>
        <v>-152870.64999999997</v>
      </c>
    </row>
    <row r="88" spans="1:9" x14ac:dyDescent="0.3">
      <c r="A88" s="7">
        <v>45742</v>
      </c>
      <c r="B88" s="13"/>
      <c r="C88" s="25"/>
      <c r="D88" s="25">
        <v>4000</v>
      </c>
      <c r="E88" s="25">
        <v>3000</v>
      </c>
      <c r="F88" s="15"/>
      <c r="G88" s="15"/>
      <c r="H88" s="16"/>
      <c r="I88" s="8">
        <f t="shared" si="1"/>
        <v>-159870.64999999997</v>
      </c>
    </row>
    <row r="89" spans="1:9" x14ac:dyDescent="0.3">
      <c r="A89" s="7">
        <v>45743</v>
      </c>
      <c r="B89" s="13"/>
      <c r="C89" s="25"/>
      <c r="D89" s="25">
        <v>4000</v>
      </c>
      <c r="E89" s="25">
        <v>3000</v>
      </c>
      <c r="F89" s="15">
        <v>624</v>
      </c>
      <c r="G89" s="15"/>
      <c r="H89" s="16" t="s">
        <v>34</v>
      </c>
      <c r="I89" s="8">
        <f t="shared" si="1"/>
        <v>-167494.64999999997</v>
      </c>
    </row>
    <row r="90" spans="1:9" x14ac:dyDescent="0.3">
      <c r="A90" s="7">
        <v>45744</v>
      </c>
      <c r="B90" s="13"/>
      <c r="C90" s="25"/>
      <c r="D90" s="25">
        <v>4000</v>
      </c>
      <c r="E90" s="25">
        <v>3000</v>
      </c>
      <c r="F90" s="15">
        <v>5878</v>
      </c>
      <c r="G90" s="15"/>
      <c r="H90" s="16" t="s">
        <v>33</v>
      </c>
      <c r="I90" s="8">
        <f t="shared" si="1"/>
        <v>-180372.64999999997</v>
      </c>
    </row>
    <row r="91" spans="1:9" x14ac:dyDescent="0.3">
      <c r="A91" s="7">
        <v>45745</v>
      </c>
      <c r="B91" s="13"/>
      <c r="C91" s="25"/>
      <c r="D91" s="25"/>
      <c r="E91" s="25"/>
      <c r="F91" s="15"/>
      <c r="G91" s="15"/>
      <c r="H91" s="16"/>
      <c r="I91" s="8">
        <f t="shared" si="1"/>
        <v>-180372.64999999997</v>
      </c>
    </row>
    <row r="92" spans="1:9" x14ac:dyDescent="0.3">
      <c r="A92" s="7">
        <v>45746</v>
      </c>
      <c r="B92" s="13"/>
      <c r="C92" s="26">
        <v>27927</v>
      </c>
      <c r="D92" s="25"/>
      <c r="E92" s="25"/>
      <c r="F92" s="15"/>
      <c r="G92" s="15"/>
      <c r="H92" s="18" t="s">
        <v>91</v>
      </c>
      <c r="I92" s="8">
        <f t="shared" si="1"/>
        <v>-152445.64999999997</v>
      </c>
    </row>
    <row r="93" spans="1:9" x14ac:dyDescent="0.3">
      <c r="A93" s="7">
        <v>45747</v>
      </c>
      <c r="B93" s="13"/>
      <c r="C93" s="25"/>
      <c r="D93" s="25">
        <v>4000</v>
      </c>
      <c r="E93" s="25">
        <v>0</v>
      </c>
      <c r="F93" s="15"/>
      <c r="G93" s="15"/>
      <c r="H93" s="16"/>
      <c r="I93" s="8">
        <f t="shared" si="1"/>
        <v>-156445.64999999997</v>
      </c>
    </row>
    <row r="94" spans="1:9" x14ac:dyDescent="0.3">
      <c r="A94" s="7">
        <v>45748</v>
      </c>
      <c r="B94" s="13"/>
      <c r="C94" s="25"/>
      <c r="D94" s="25">
        <v>4000</v>
      </c>
      <c r="E94" s="25"/>
      <c r="F94" s="15"/>
      <c r="G94" s="15"/>
      <c r="H94" s="16"/>
      <c r="I94" s="8">
        <f t="shared" si="1"/>
        <v>-160445.64999999997</v>
      </c>
    </row>
    <row r="95" spans="1:9" x14ac:dyDescent="0.3">
      <c r="A95" s="7">
        <v>45749</v>
      </c>
      <c r="B95" s="13"/>
      <c r="C95" s="25"/>
      <c r="D95" s="25">
        <v>4000</v>
      </c>
      <c r="E95" s="25"/>
      <c r="F95" s="15"/>
      <c r="G95" s="15"/>
      <c r="H95" s="16"/>
      <c r="I95" s="8">
        <f t="shared" si="1"/>
        <v>-164445.64999999997</v>
      </c>
    </row>
    <row r="96" spans="1:9" x14ac:dyDescent="0.3">
      <c r="A96" s="7">
        <v>45750</v>
      </c>
      <c r="B96" s="13"/>
      <c r="C96" s="25">
        <v>15000</v>
      </c>
      <c r="D96" s="25">
        <v>4000</v>
      </c>
      <c r="E96" s="25"/>
      <c r="F96" s="15"/>
      <c r="G96" s="15"/>
      <c r="H96" s="16"/>
      <c r="I96" s="8">
        <f t="shared" si="1"/>
        <v>-153445.64999999997</v>
      </c>
    </row>
    <row r="97" spans="1:9" x14ac:dyDescent="0.3">
      <c r="A97" s="7">
        <v>45751</v>
      </c>
      <c r="B97" s="13"/>
      <c r="C97" s="25">
        <v>75000</v>
      </c>
      <c r="D97" s="25">
        <v>4000</v>
      </c>
      <c r="E97" s="25"/>
      <c r="F97" s="15"/>
      <c r="G97" s="15"/>
      <c r="H97" s="16"/>
      <c r="I97" s="8">
        <f t="shared" si="1"/>
        <v>-82445.649999999965</v>
      </c>
    </row>
    <row r="98" spans="1:9" x14ac:dyDescent="0.3">
      <c r="A98" s="7">
        <v>45752</v>
      </c>
      <c r="B98" s="13"/>
      <c r="C98" s="25"/>
      <c r="D98" s="25">
        <v>4000</v>
      </c>
      <c r="E98" s="25"/>
      <c r="F98" s="15"/>
      <c r="G98" s="15"/>
      <c r="H98" s="16"/>
      <c r="I98" s="8">
        <f t="shared" si="1"/>
        <v>-86445.649999999965</v>
      </c>
    </row>
    <row r="99" spans="1:9" x14ac:dyDescent="0.3">
      <c r="A99" s="7">
        <v>45753</v>
      </c>
      <c r="B99" s="13"/>
      <c r="C99" s="25"/>
      <c r="D99" s="25"/>
      <c r="E99" s="25"/>
      <c r="F99" s="15">
        <v>970</v>
      </c>
      <c r="G99" s="15"/>
      <c r="H99" s="16" t="s">
        <v>42</v>
      </c>
      <c r="I99" s="8">
        <f t="shared" si="1"/>
        <v>-87415.649999999965</v>
      </c>
    </row>
    <row r="100" spans="1:9" x14ac:dyDescent="0.3">
      <c r="A100" s="7">
        <v>45754</v>
      </c>
      <c r="B100" s="13"/>
      <c r="C100" s="25"/>
      <c r="D100" s="25"/>
      <c r="E100" s="25"/>
      <c r="F100" s="15">
        <v>11520.67</v>
      </c>
      <c r="G100" s="15"/>
      <c r="H100" s="16" t="s">
        <v>40</v>
      </c>
      <c r="I100" s="8">
        <f t="shared" si="1"/>
        <v>-98936.319999999963</v>
      </c>
    </row>
    <row r="101" spans="1:9" x14ac:dyDescent="0.3">
      <c r="A101" s="7">
        <v>45755</v>
      </c>
      <c r="B101" s="13"/>
      <c r="C101" s="25"/>
      <c r="D101" s="25">
        <v>4000</v>
      </c>
      <c r="E101" s="25"/>
      <c r="F101" s="15">
        <v>1031</v>
      </c>
      <c r="G101" s="15"/>
      <c r="H101" s="16" t="s">
        <v>41</v>
      </c>
      <c r="I101" s="8">
        <f t="shared" si="1"/>
        <v>-103967.31999999996</v>
      </c>
    </row>
    <row r="102" spans="1:9" x14ac:dyDescent="0.3">
      <c r="A102" s="7">
        <v>45756</v>
      </c>
      <c r="B102" s="13"/>
      <c r="C102" s="25"/>
      <c r="D102" s="25">
        <v>4000</v>
      </c>
      <c r="E102" s="25"/>
      <c r="F102" s="15">
        <v>1376</v>
      </c>
      <c r="G102" s="15"/>
      <c r="H102" s="16" t="s">
        <v>43</v>
      </c>
      <c r="I102" s="8">
        <f t="shared" si="1"/>
        <v>-109343.31999999996</v>
      </c>
    </row>
    <row r="103" spans="1:9" x14ac:dyDescent="0.3">
      <c r="A103" s="7">
        <v>45757</v>
      </c>
      <c r="B103" s="13"/>
      <c r="C103" s="25"/>
      <c r="D103" s="25">
        <v>4000</v>
      </c>
      <c r="E103" s="25"/>
      <c r="F103" s="15">
        <v>1236.9000000000001</v>
      </c>
      <c r="G103" s="15">
        <v>3993.12</v>
      </c>
      <c r="H103" s="16" t="s">
        <v>50</v>
      </c>
      <c r="I103" s="8">
        <f t="shared" si="1"/>
        <v>-118573.33999999995</v>
      </c>
    </row>
    <row r="104" spans="1:9" x14ac:dyDescent="0.3">
      <c r="A104" s="7">
        <v>45758</v>
      </c>
      <c r="B104" s="13"/>
      <c r="C104" s="25"/>
      <c r="D104" s="25">
        <v>4000</v>
      </c>
      <c r="E104" s="25"/>
      <c r="F104" s="15">
        <v>1800</v>
      </c>
      <c r="G104" s="15"/>
      <c r="H104" s="16" t="s">
        <v>47</v>
      </c>
      <c r="I104" s="8">
        <f t="shared" si="1"/>
        <v>-124373.33999999995</v>
      </c>
    </row>
    <row r="105" spans="1:9" x14ac:dyDescent="0.3">
      <c r="A105" s="7">
        <v>45759</v>
      </c>
      <c r="B105" s="13"/>
      <c r="C105" s="25"/>
      <c r="D105" s="25">
        <v>4000</v>
      </c>
      <c r="E105" s="25"/>
      <c r="F105" s="15"/>
      <c r="G105" s="15"/>
      <c r="H105" s="16"/>
      <c r="I105" s="8">
        <f t="shared" si="1"/>
        <v>-128373.33999999995</v>
      </c>
    </row>
    <row r="106" spans="1:9" x14ac:dyDescent="0.3">
      <c r="A106" s="7">
        <v>45760</v>
      </c>
      <c r="B106" s="13"/>
      <c r="C106" s="25"/>
      <c r="D106" s="25"/>
      <c r="E106" s="25"/>
      <c r="F106" s="15"/>
      <c r="G106" s="15"/>
      <c r="H106" s="16"/>
      <c r="I106" s="8">
        <f t="shared" si="1"/>
        <v>-128373.33999999995</v>
      </c>
    </row>
    <row r="107" spans="1:9" x14ac:dyDescent="0.3">
      <c r="A107" s="7">
        <v>45761</v>
      </c>
      <c r="B107" s="13"/>
      <c r="C107" s="25"/>
      <c r="D107" s="25"/>
      <c r="E107" s="25"/>
      <c r="F107" s="15"/>
      <c r="G107" s="15"/>
      <c r="H107" s="16"/>
      <c r="I107" s="8">
        <f t="shared" si="1"/>
        <v>-128373.33999999995</v>
      </c>
    </row>
    <row r="108" spans="1:9" x14ac:dyDescent="0.3">
      <c r="A108" s="7">
        <v>45762</v>
      </c>
      <c r="B108" s="13"/>
      <c r="C108" s="25"/>
      <c r="D108" s="25"/>
      <c r="E108" s="25"/>
      <c r="F108" s="15"/>
      <c r="G108" s="15"/>
      <c r="H108" s="16"/>
      <c r="I108" s="8">
        <f t="shared" si="1"/>
        <v>-128373.33999999995</v>
      </c>
    </row>
    <row r="109" spans="1:9" x14ac:dyDescent="0.3">
      <c r="A109" s="7">
        <v>45763</v>
      </c>
      <c r="B109" s="13"/>
      <c r="C109" s="26">
        <v>27927</v>
      </c>
      <c r="D109" s="25">
        <v>4000</v>
      </c>
      <c r="E109" s="25"/>
      <c r="F109" s="15"/>
      <c r="G109" s="15"/>
      <c r="H109" s="18" t="s">
        <v>92</v>
      </c>
      <c r="I109" s="8">
        <f t="shared" si="1"/>
        <v>-104446.33999999995</v>
      </c>
    </row>
    <row r="110" spans="1:9" x14ac:dyDescent="0.3">
      <c r="A110" s="7">
        <v>45764</v>
      </c>
      <c r="B110" s="13"/>
      <c r="C110" s="25"/>
      <c r="D110" s="25">
        <v>4000</v>
      </c>
      <c r="E110" s="25"/>
      <c r="F110" s="15"/>
      <c r="G110" s="15"/>
      <c r="H110" s="16"/>
      <c r="I110" s="8">
        <f t="shared" si="1"/>
        <v>-108446.33999999995</v>
      </c>
    </row>
    <row r="111" spans="1:9" x14ac:dyDescent="0.3">
      <c r="A111" s="7">
        <v>45765</v>
      </c>
      <c r="B111" s="13"/>
      <c r="C111" s="25"/>
      <c r="D111" s="25">
        <v>4000</v>
      </c>
      <c r="E111" s="25"/>
      <c r="F111" s="15"/>
      <c r="G111" s="15">
        <v>3427.36</v>
      </c>
      <c r="H111" s="16" t="s">
        <v>8</v>
      </c>
      <c r="I111" s="8">
        <f t="shared" si="1"/>
        <v>-115873.69999999995</v>
      </c>
    </row>
    <row r="112" spans="1:9" x14ac:dyDescent="0.3">
      <c r="A112" s="7">
        <v>45766</v>
      </c>
      <c r="B112" s="13"/>
      <c r="C112" s="25">
        <v>23000</v>
      </c>
      <c r="D112" s="25">
        <v>4000</v>
      </c>
      <c r="E112" s="25"/>
      <c r="F112" s="15"/>
      <c r="G112" s="15"/>
      <c r="H112" s="16"/>
      <c r="I112" s="8">
        <f t="shared" si="1"/>
        <v>-96873.699999999953</v>
      </c>
    </row>
    <row r="113" spans="1:9" x14ac:dyDescent="0.3">
      <c r="A113" s="7">
        <v>45767</v>
      </c>
      <c r="B113" s="13"/>
      <c r="C113" s="25"/>
      <c r="D113" s="25">
        <v>4000</v>
      </c>
      <c r="E113" s="25"/>
      <c r="F113" s="15">
        <v>2988</v>
      </c>
      <c r="G113" s="15"/>
      <c r="H113" s="16" t="s">
        <v>44</v>
      </c>
      <c r="I113" s="8">
        <f t="shared" si="1"/>
        <v>-103861.69999999995</v>
      </c>
    </row>
    <row r="114" spans="1:9" x14ac:dyDescent="0.3">
      <c r="A114" s="7">
        <v>45768</v>
      </c>
      <c r="B114" s="13"/>
      <c r="C114" s="25"/>
      <c r="D114" s="25">
        <v>4000</v>
      </c>
      <c r="E114" s="25"/>
      <c r="F114" s="15">
        <v>5198.5</v>
      </c>
      <c r="G114" s="15">
        <v>10084</v>
      </c>
      <c r="H114" s="16" t="s">
        <v>45</v>
      </c>
      <c r="I114" s="8">
        <f t="shared" si="1"/>
        <v>-123144.19999999995</v>
      </c>
    </row>
    <row r="115" spans="1:9" x14ac:dyDescent="0.3">
      <c r="A115" s="7">
        <v>45769</v>
      </c>
      <c r="B115" s="13"/>
      <c r="C115" s="25"/>
      <c r="D115" s="25">
        <v>4000</v>
      </c>
      <c r="E115" s="25"/>
      <c r="F115" s="15"/>
      <c r="G115" s="15">
        <v>159</v>
      </c>
      <c r="H115" s="16" t="s">
        <v>48</v>
      </c>
      <c r="I115" s="8">
        <f t="shared" si="1"/>
        <v>-127303.19999999995</v>
      </c>
    </row>
    <row r="116" spans="1:9" x14ac:dyDescent="0.3">
      <c r="A116" s="7">
        <v>45770</v>
      </c>
      <c r="B116" s="13"/>
      <c r="C116" s="25"/>
      <c r="D116" s="25">
        <v>4000</v>
      </c>
      <c r="E116" s="25"/>
      <c r="F116" s="15">
        <v>700</v>
      </c>
      <c r="G116" s="15"/>
      <c r="H116" s="16" t="s">
        <v>49</v>
      </c>
      <c r="I116" s="8">
        <f t="shared" si="1"/>
        <v>-132003.19999999995</v>
      </c>
    </row>
    <row r="117" spans="1:9" x14ac:dyDescent="0.3">
      <c r="A117" s="7">
        <v>45771</v>
      </c>
      <c r="B117" s="13"/>
      <c r="C117" s="25"/>
      <c r="D117" s="25">
        <v>4000</v>
      </c>
      <c r="E117" s="25"/>
      <c r="F117" s="15">
        <v>1712</v>
      </c>
      <c r="G117" s="15"/>
      <c r="H117" s="16" t="s">
        <v>46</v>
      </c>
      <c r="I117" s="8">
        <f t="shared" si="1"/>
        <v>-137715.19999999995</v>
      </c>
    </row>
    <row r="118" spans="1:9" x14ac:dyDescent="0.3">
      <c r="A118" s="7">
        <v>45772</v>
      </c>
      <c r="B118" s="13"/>
      <c r="C118" s="25"/>
      <c r="D118" s="25">
        <v>4000</v>
      </c>
      <c r="E118" s="25"/>
      <c r="F118" s="15"/>
      <c r="G118" s="15"/>
      <c r="H118" s="16"/>
      <c r="I118" s="8">
        <f t="shared" si="1"/>
        <v>-141715.19999999995</v>
      </c>
    </row>
    <row r="119" spans="1:9" x14ac:dyDescent="0.3">
      <c r="A119" s="7">
        <v>45773</v>
      </c>
      <c r="B119" s="13"/>
      <c r="C119" s="25"/>
      <c r="D119" s="25">
        <v>4000</v>
      </c>
      <c r="E119" s="25"/>
      <c r="F119" s="15">
        <v>3558</v>
      </c>
      <c r="G119" s="15"/>
      <c r="H119" s="16" t="s">
        <v>55</v>
      </c>
      <c r="I119" s="8">
        <f t="shared" si="1"/>
        <v>-149273.19999999995</v>
      </c>
    </row>
    <row r="120" spans="1:9" x14ac:dyDescent="0.3">
      <c r="A120" s="7">
        <v>45774</v>
      </c>
      <c r="B120" s="13"/>
      <c r="C120" s="25"/>
      <c r="D120" s="25">
        <v>4000</v>
      </c>
      <c r="E120" s="25"/>
      <c r="F120" s="15"/>
      <c r="G120" s="15"/>
      <c r="H120" s="16"/>
      <c r="I120" s="8">
        <f t="shared" si="1"/>
        <v>-153273.19999999995</v>
      </c>
    </row>
    <row r="121" spans="1:9" x14ac:dyDescent="0.3">
      <c r="A121" s="7">
        <v>45775</v>
      </c>
      <c r="B121" s="13"/>
      <c r="C121" s="25"/>
      <c r="D121" s="25">
        <v>4000</v>
      </c>
      <c r="E121" s="25"/>
      <c r="F121" s="15"/>
      <c r="G121" s="15"/>
      <c r="H121" s="16"/>
      <c r="I121" s="8">
        <f t="shared" si="1"/>
        <v>-157273.19999999995</v>
      </c>
    </row>
    <row r="122" spans="1:9" x14ac:dyDescent="0.3">
      <c r="A122" s="7">
        <v>45776</v>
      </c>
      <c r="B122" s="13"/>
      <c r="C122" s="25"/>
      <c r="D122" s="25">
        <v>4000</v>
      </c>
      <c r="E122" s="25"/>
      <c r="F122" s="15">
        <v>500</v>
      </c>
      <c r="G122" s="15">
        <v>1000</v>
      </c>
      <c r="H122" s="16" t="s">
        <v>51</v>
      </c>
      <c r="I122" s="8">
        <f t="shared" si="1"/>
        <v>-162773.19999999995</v>
      </c>
    </row>
    <row r="123" spans="1:9" x14ac:dyDescent="0.3">
      <c r="A123" s="7">
        <v>45777</v>
      </c>
      <c r="B123" s="13"/>
      <c r="C123" s="25"/>
      <c r="D123" s="25">
        <v>4000</v>
      </c>
      <c r="E123" s="25"/>
      <c r="F123" s="15">
        <v>3104.5</v>
      </c>
      <c r="G123" s="15">
        <v>140</v>
      </c>
      <c r="H123" s="16" t="s">
        <v>52</v>
      </c>
      <c r="I123" s="8">
        <f t="shared" si="1"/>
        <v>-170017.69999999995</v>
      </c>
    </row>
    <row r="124" spans="1:9" x14ac:dyDescent="0.3">
      <c r="A124" s="7">
        <v>45778</v>
      </c>
      <c r="B124" s="13"/>
      <c r="C124" s="25">
        <v>50000</v>
      </c>
      <c r="D124" s="25">
        <v>4000</v>
      </c>
      <c r="E124" s="25"/>
      <c r="F124" s="15"/>
      <c r="G124" s="15"/>
      <c r="H124" s="16"/>
      <c r="I124" s="8">
        <f t="shared" si="1"/>
        <v>-124017.69999999995</v>
      </c>
    </row>
    <row r="125" spans="1:9" x14ac:dyDescent="0.3">
      <c r="A125" s="7">
        <v>45779</v>
      </c>
      <c r="B125" s="13"/>
      <c r="C125" s="25"/>
      <c r="D125" s="25">
        <v>4000</v>
      </c>
      <c r="E125" s="25"/>
      <c r="F125" s="15"/>
      <c r="G125" s="15"/>
      <c r="H125" s="16"/>
      <c r="I125" s="8">
        <f t="shared" si="1"/>
        <v>-128017.69999999995</v>
      </c>
    </row>
    <row r="126" spans="1:9" x14ac:dyDescent="0.3">
      <c r="A126" s="7">
        <v>45780</v>
      </c>
      <c r="B126" s="13"/>
      <c r="C126" s="25"/>
      <c r="D126" s="25">
        <v>4000</v>
      </c>
      <c r="E126" s="25"/>
      <c r="F126" s="15"/>
      <c r="G126" s="15"/>
      <c r="H126" s="16"/>
      <c r="I126" s="8">
        <f t="shared" si="1"/>
        <v>-132017.69999999995</v>
      </c>
    </row>
    <row r="127" spans="1:9" x14ac:dyDescent="0.3">
      <c r="A127" s="7">
        <v>45781</v>
      </c>
      <c r="B127" s="13"/>
      <c r="C127" s="25"/>
      <c r="D127" s="25">
        <v>4000</v>
      </c>
      <c r="E127" s="25"/>
      <c r="F127" s="15"/>
      <c r="G127" s="15"/>
      <c r="H127" s="16"/>
      <c r="I127" s="8">
        <f t="shared" si="1"/>
        <v>-136017.69999999995</v>
      </c>
    </row>
    <row r="128" spans="1:9" x14ac:dyDescent="0.3">
      <c r="A128" s="7">
        <v>45782</v>
      </c>
      <c r="B128" s="13"/>
      <c r="C128" s="25">
        <v>18500</v>
      </c>
      <c r="D128" s="25">
        <v>4000</v>
      </c>
      <c r="E128" s="25"/>
      <c r="F128" s="15">
        <v>28500</v>
      </c>
      <c r="G128" s="15"/>
      <c r="H128" s="16" t="s">
        <v>53</v>
      </c>
      <c r="I128" s="8">
        <f t="shared" si="1"/>
        <v>-150017.69999999995</v>
      </c>
    </row>
    <row r="129" spans="1:9" x14ac:dyDescent="0.3">
      <c r="A129" s="7">
        <v>45783</v>
      </c>
      <c r="B129" s="13"/>
      <c r="C129" s="25"/>
      <c r="D129" s="25">
        <v>4000</v>
      </c>
      <c r="E129" s="25"/>
      <c r="F129" s="15">
        <v>4305</v>
      </c>
      <c r="G129" s="15"/>
      <c r="H129" s="16" t="s">
        <v>54</v>
      </c>
      <c r="I129" s="8">
        <f t="shared" si="1"/>
        <v>-158322.69999999995</v>
      </c>
    </row>
    <row r="130" spans="1:9" x14ac:dyDescent="0.3">
      <c r="A130" s="7">
        <v>45784</v>
      </c>
      <c r="B130" s="13"/>
      <c r="C130" s="25"/>
      <c r="D130" s="25">
        <v>4000</v>
      </c>
      <c r="E130" s="25"/>
      <c r="F130" s="15"/>
      <c r="G130" s="15"/>
      <c r="H130" s="16"/>
      <c r="I130" s="8">
        <f t="shared" si="1"/>
        <v>-162322.69999999995</v>
      </c>
    </row>
    <row r="131" spans="1:9" x14ac:dyDescent="0.3">
      <c r="A131" s="7">
        <v>45785</v>
      </c>
      <c r="B131" s="13"/>
      <c r="C131" s="25"/>
      <c r="D131" s="25">
        <v>4000</v>
      </c>
      <c r="E131" s="25"/>
      <c r="F131" s="15"/>
      <c r="G131" s="15"/>
      <c r="H131" s="16"/>
      <c r="I131" s="8">
        <f t="shared" si="1"/>
        <v>-166322.69999999995</v>
      </c>
    </row>
    <row r="132" spans="1:9" x14ac:dyDescent="0.3">
      <c r="A132" s="7">
        <v>45786</v>
      </c>
      <c r="B132" s="13"/>
      <c r="C132" s="25"/>
      <c r="D132" s="25">
        <v>4000</v>
      </c>
      <c r="E132" s="25"/>
      <c r="F132" s="15"/>
      <c r="G132" s="15"/>
      <c r="H132" s="16"/>
      <c r="I132" s="8">
        <f t="shared" si="1"/>
        <v>-170322.69999999995</v>
      </c>
    </row>
    <row r="133" spans="1:9" x14ac:dyDescent="0.3">
      <c r="A133" s="7">
        <v>45787</v>
      </c>
      <c r="B133" s="13"/>
      <c r="C133" s="25"/>
      <c r="D133" s="25">
        <v>4000</v>
      </c>
      <c r="E133" s="25"/>
      <c r="F133" s="15"/>
      <c r="G133" s="15"/>
      <c r="H133" s="16"/>
      <c r="I133" s="8">
        <f t="shared" si="1"/>
        <v>-174322.69999999995</v>
      </c>
    </row>
    <row r="134" spans="1:9" x14ac:dyDescent="0.3">
      <c r="A134" s="7">
        <v>45788</v>
      </c>
      <c r="B134" s="13"/>
      <c r="C134" s="25"/>
      <c r="D134" s="25">
        <v>4000</v>
      </c>
      <c r="E134" s="25"/>
      <c r="F134" s="15"/>
      <c r="G134" s="15"/>
      <c r="H134" s="16"/>
      <c r="I134" s="8">
        <f t="shared" ref="I134:I197" si="2">I133+C134-D134-F134-G134-E134</f>
        <v>-178322.69999999995</v>
      </c>
    </row>
    <row r="135" spans="1:9" x14ac:dyDescent="0.3">
      <c r="A135" s="7">
        <v>45789</v>
      </c>
      <c r="B135" s="13"/>
      <c r="C135" s="28">
        <v>51000</v>
      </c>
      <c r="D135" s="25">
        <v>4000</v>
      </c>
      <c r="E135" s="25"/>
      <c r="F135" s="15">
        <v>8896</v>
      </c>
      <c r="G135" s="15">
        <v>2260</v>
      </c>
      <c r="H135" s="16" t="s">
        <v>56</v>
      </c>
      <c r="I135" s="8">
        <f t="shared" si="2"/>
        <v>-142478.69999999995</v>
      </c>
    </row>
    <row r="136" spans="1:9" x14ac:dyDescent="0.3">
      <c r="A136" s="7">
        <v>45790</v>
      </c>
      <c r="B136" s="13"/>
      <c r="C136" s="25"/>
      <c r="D136" s="25">
        <v>4000</v>
      </c>
      <c r="E136" s="25"/>
      <c r="F136" s="15">
        <v>1990</v>
      </c>
      <c r="G136" s="15"/>
      <c r="H136" s="16" t="s">
        <v>57</v>
      </c>
      <c r="I136" s="8">
        <f t="shared" si="2"/>
        <v>-148468.69999999995</v>
      </c>
    </row>
    <row r="137" spans="1:9" x14ac:dyDescent="0.3">
      <c r="A137" s="7">
        <v>45791</v>
      </c>
      <c r="B137" s="13"/>
      <c r="C137" s="25"/>
      <c r="D137" s="25">
        <v>4000</v>
      </c>
      <c r="E137" s="25"/>
      <c r="F137" s="15"/>
      <c r="G137" s="15"/>
      <c r="H137" s="16"/>
      <c r="I137" s="8">
        <f t="shared" si="2"/>
        <v>-152468.69999999995</v>
      </c>
    </row>
    <row r="138" spans="1:9" x14ac:dyDescent="0.3">
      <c r="A138" s="7">
        <v>45792</v>
      </c>
      <c r="B138" s="13"/>
      <c r="C138" s="25"/>
      <c r="D138" s="25">
        <v>4000</v>
      </c>
      <c r="E138" s="25"/>
      <c r="F138" s="15"/>
      <c r="G138" s="15"/>
      <c r="H138" s="16"/>
      <c r="I138" s="8">
        <f t="shared" si="2"/>
        <v>-156468.69999999995</v>
      </c>
    </row>
    <row r="139" spans="1:9" x14ac:dyDescent="0.3">
      <c r="A139" s="7">
        <v>45793</v>
      </c>
      <c r="B139" s="13"/>
      <c r="C139" s="25"/>
      <c r="D139" s="25">
        <v>4000</v>
      </c>
      <c r="E139" s="25"/>
      <c r="F139" s="15"/>
      <c r="G139" s="15"/>
      <c r="H139" s="16"/>
      <c r="I139" s="8">
        <f t="shared" si="2"/>
        <v>-160468.69999999995</v>
      </c>
    </row>
    <row r="140" spans="1:9" x14ac:dyDescent="0.3">
      <c r="A140" s="7">
        <v>45794</v>
      </c>
      <c r="B140" s="13"/>
      <c r="C140" s="25"/>
      <c r="D140" s="25">
        <v>4000</v>
      </c>
      <c r="E140" s="25"/>
      <c r="F140" s="15"/>
      <c r="G140" s="15"/>
      <c r="H140" s="16"/>
      <c r="I140" s="8">
        <f t="shared" si="2"/>
        <v>-164468.69999999995</v>
      </c>
    </row>
    <row r="141" spans="1:9" x14ac:dyDescent="0.3">
      <c r="A141" s="7">
        <v>45795</v>
      </c>
      <c r="B141" s="13"/>
      <c r="C141" s="25"/>
      <c r="D141" s="25">
        <v>4000</v>
      </c>
      <c r="E141" s="25"/>
      <c r="F141" s="15"/>
      <c r="G141" s="15"/>
      <c r="H141" s="16"/>
      <c r="I141" s="8">
        <f t="shared" si="2"/>
        <v>-168468.69999999995</v>
      </c>
    </row>
    <row r="142" spans="1:9" x14ac:dyDescent="0.3">
      <c r="A142" s="7">
        <v>45796</v>
      </c>
      <c r="B142" s="13"/>
      <c r="C142" s="25"/>
      <c r="D142" s="25">
        <v>4000</v>
      </c>
      <c r="E142" s="25"/>
      <c r="F142" s="15"/>
      <c r="G142" s="15"/>
      <c r="H142" s="16"/>
      <c r="I142" s="8">
        <f t="shared" si="2"/>
        <v>-172468.69999999995</v>
      </c>
    </row>
    <row r="143" spans="1:9" x14ac:dyDescent="0.3">
      <c r="A143" s="7">
        <v>45797</v>
      </c>
      <c r="B143" s="13"/>
      <c r="C143" s="25">
        <v>15000</v>
      </c>
      <c r="D143" s="25">
        <v>4000</v>
      </c>
      <c r="E143" s="25"/>
      <c r="F143" s="15">
        <v>8201</v>
      </c>
      <c r="G143" s="15"/>
      <c r="H143" s="16" t="s">
        <v>58</v>
      </c>
      <c r="I143" s="8">
        <f t="shared" si="2"/>
        <v>-169669.69999999995</v>
      </c>
    </row>
    <row r="144" spans="1:9" x14ac:dyDescent="0.3">
      <c r="A144" s="7">
        <v>45798</v>
      </c>
      <c r="B144" s="13"/>
      <c r="C144" s="25"/>
      <c r="D144" s="25">
        <v>4000</v>
      </c>
      <c r="E144" s="25"/>
      <c r="F144" s="15"/>
      <c r="G144" s="15"/>
      <c r="H144" s="16"/>
      <c r="I144" s="8">
        <f t="shared" si="2"/>
        <v>-173669.69999999995</v>
      </c>
    </row>
    <row r="145" spans="1:9" x14ac:dyDescent="0.3">
      <c r="A145" s="7">
        <v>45799</v>
      </c>
      <c r="B145" s="13"/>
      <c r="C145" s="28">
        <v>20000</v>
      </c>
      <c r="D145" s="25">
        <v>4000</v>
      </c>
      <c r="E145" s="25"/>
      <c r="F145" s="15"/>
      <c r="G145" s="15"/>
      <c r="H145" s="16"/>
      <c r="I145" s="8">
        <f t="shared" si="2"/>
        <v>-157669.69999999995</v>
      </c>
    </row>
    <row r="146" spans="1:9" x14ac:dyDescent="0.3">
      <c r="A146" s="7">
        <v>45800</v>
      </c>
      <c r="B146" s="13"/>
      <c r="C146" s="25">
        <v>20000</v>
      </c>
      <c r="D146" s="25"/>
      <c r="E146" s="25"/>
      <c r="F146" s="15"/>
      <c r="G146" s="15"/>
      <c r="H146" s="16"/>
      <c r="I146" s="8">
        <f t="shared" si="2"/>
        <v>-137669.69999999995</v>
      </c>
    </row>
    <row r="147" spans="1:9" x14ac:dyDescent="0.3">
      <c r="A147" s="7">
        <v>45801</v>
      </c>
      <c r="B147" s="13"/>
      <c r="C147" s="25"/>
      <c r="D147" s="25"/>
      <c r="E147" s="25"/>
      <c r="F147" s="15"/>
      <c r="G147" s="15"/>
      <c r="H147" s="16"/>
      <c r="I147" s="8">
        <f t="shared" si="2"/>
        <v>-137669.69999999995</v>
      </c>
    </row>
    <row r="148" spans="1:9" x14ac:dyDescent="0.3">
      <c r="A148" s="7">
        <v>45802</v>
      </c>
      <c r="B148" s="13"/>
      <c r="C148" s="25"/>
      <c r="D148" s="25"/>
      <c r="E148" s="25"/>
      <c r="F148" s="15"/>
      <c r="G148" s="15"/>
      <c r="H148" s="16"/>
      <c r="I148" s="8">
        <f t="shared" si="2"/>
        <v>-137669.69999999995</v>
      </c>
    </row>
    <row r="149" spans="1:9" x14ac:dyDescent="0.3">
      <c r="A149" s="7">
        <v>45803</v>
      </c>
      <c r="B149" s="13"/>
      <c r="C149" s="25">
        <v>20000</v>
      </c>
      <c r="D149" s="25"/>
      <c r="E149" s="25"/>
      <c r="F149" s="15"/>
      <c r="G149" s="15"/>
      <c r="H149" s="16"/>
      <c r="I149" s="8">
        <f t="shared" si="2"/>
        <v>-117669.69999999995</v>
      </c>
    </row>
    <row r="150" spans="1:9" x14ac:dyDescent="0.3">
      <c r="A150" s="7">
        <v>45804</v>
      </c>
      <c r="B150" s="13"/>
      <c r="C150" s="25"/>
      <c r="D150" s="25"/>
      <c r="E150" s="25"/>
      <c r="F150" s="15"/>
      <c r="G150" s="15"/>
      <c r="H150" s="16"/>
      <c r="I150" s="8">
        <f t="shared" si="2"/>
        <v>-117669.69999999995</v>
      </c>
    </row>
    <row r="151" spans="1:9" x14ac:dyDescent="0.3">
      <c r="A151" s="7">
        <v>45805</v>
      </c>
      <c r="B151" s="13"/>
      <c r="C151" s="25"/>
      <c r="D151" s="25"/>
      <c r="E151" s="25"/>
      <c r="F151" s="15"/>
      <c r="G151" s="15"/>
      <c r="H151" s="16"/>
      <c r="I151" s="8">
        <f t="shared" si="2"/>
        <v>-117669.69999999995</v>
      </c>
    </row>
    <row r="152" spans="1:9" x14ac:dyDescent="0.3">
      <c r="A152" s="7">
        <v>45806</v>
      </c>
      <c r="B152" s="13"/>
      <c r="C152" s="25"/>
      <c r="D152" s="25"/>
      <c r="E152" s="25"/>
      <c r="F152" s="15"/>
      <c r="G152" s="15"/>
      <c r="H152" s="16"/>
      <c r="I152" s="8">
        <f t="shared" si="2"/>
        <v>-117669.69999999995</v>
      </c>
    </row>
    <row r="153" spans="1:9" x14ac:dyDescent="0.3">
      <c r="A153" s="7">
        <v>45807</v>
      </c>
      <c r="B153" s="13"/>
      <c r="C153" s="25"/>
      <c r="D153" s="25"/>
      <c r="E153" s="25"/>
      <c r="F153" s="15"/>
      <c r="G153" s="15"/>
      <c r="H153" s="16"/>
      <c r="I153" s="8">
        <f t="shared" si="2"/>
        <v>-117669.69999999995</v>
      </c>
    </row>
    <row r="154" spans="1:9" x14ac:dyDescent="0.3">
      <c r="A154" s="7">
        <v>45808</v>
      </c>
      <c r="B154" s="13"/>
      <c r="C154" s="25"/>
      <c r="D154" s="25"/>
      <c r="E154" s="25"/>
      <c r="F154" s="15"/>
      <c r="G154" s="15"/>
      <c r="H154" s="16"/>
      <c r="I154" s="8">
        <f t="shared" si="2"/>
        <v>-117669.69999999995</v>
      </c>
    </row>
    <row r="155" spans="1:9" x14ac:dyDescent="0.3">
      <c r="A155" s="7">
        <v>45809</v>
      </c>
      <c r="B155" s="13"/>
      <c r="C155" s="25"/>
      <c r="D155" s="25"/>
      <c r="E155" s="25"/>
      <c r="F155" s="15"/>
      <c r="G155" s="15"/>
      <c r="H155" s="16"/>
      <c r="I155" s="8">
        <f t="shared" si="2"/>
        <v>-117669.69999999995</v>
      </c>
    </row>
    <row r="156" spans="1:9" x14ac:dyDescent="0.3">
      <c r="A156" s="7">
        <v>45810</v>
      </c>
      <c r="B156" s="13"/>
      <c r="C156" s="25"/>
      <c r="D156" s="25"/>
      <c r="E156" s="25"/>
      <c r="F156" s="15"/>
      <c r="G156" s="15"/>
      <c r="H156" s="16"/>
      <c r="I156" s="8">
        <f t="shared" si="2"/>
        <v>-117669.69999999995</v>
      </c>
    </row>
    <row r="157" spans="1:9" x14ac:dyDescent="0.3">
      <c r="A157" s="7">
        <v>45811</v>
      </c>
      <c r="B157" s="13"/>
      <c r="C157" s="25"/>
      <c r="D157" s="25"/>
      <c r="E157" s="25"/>
      <c r="F157" s="15"/>
      <c r="G157" s="15"/>
      <c r="H157" s="16"/>
      <c r="I157" s="8">
        <f t="shared" si="2"/>
        <v>-117669.69999999995</v>
      </c>
    </row>
    <row r="158" spans="1:9" x14ac:dyDescent="0.3">
      <c r="A158" s="7">
        <v>45812</v>
      </c>
      <c r="B158" s="13"/>
      <c r="C158" s="25">
        <v>15000</v>
      </c>
      <c r="D158" s="25"/>
      <c r="E158" s="25"/>
      <c r="F158" s="15"/>
      <c r="G158" s="15"/>
      <c r="H158" s="16"/>
      <c r="I158" s="8">
        <f t="shared" si="2"/>
        <v>-102669.69999999995</v>
      </c>
    </row>
    <row r="159" spans="1:9" x14ac:dyDescent="0.3">
      <c r="A159" s="7">
        <v>45813</v>
      </c>
      <c r="B159" s="13"/>
      <c r="C159" s="25">
        <v>15000</v>
      </c>
      <c r="D159" s="25"/>
      <c r="E159" s="25"/>
      <c r="F159" s="15"/>
      <c r="G159" s="15"/>
      <c r="H159" s="16"/>
      <c r="I159" s="8">
        <f t="shared" si="2"/>
        <v>-87669.699999999953</v>
      </c>
    </row>
    <row r="160" spans="1:9" x14ac:dyDescent="0.3">
      <c r="A160" s="7">
        <v>45814</v>
      </c>
      <c r="B160" s="13"/>
      <c r="C160" s="25"/>
      <c r="D160" s="25"/>
      <c r="E160" s="25"/>
      <c r="F160" s="15"/>
      <c r="G160" s="15"/>
      <c r="H160" s="16"/>
      <c r="I160" s="8">
        <f t="shared" si="2"/>
        <v>-87669.699999999953</v>
      </c>
    </row>
    <row r="161" spans="1:9" x14ac:dyDescent="0.3">
      <c r="A161" s="7">
        <v>45815</v>
      </c>
      <c r="B161" s="13"/>
      <c r="C161" s="25"/>
      <c r="D161" s="25"/>
      <c r="E161" s="25"/>
      <c r="F161" s="15"/>
      <c r="G161" s="15"/>
      <c r="H161" s="16"/>
      <c r="I161" s="8">
        <f t="shared" si="2"/>
        <v>-87669.699999999953</v>
      </c>
    </row>
    <row r="162" spans="1:9" x14ac:dyDescent="0.3">
      <c r="A162" s="7">
        <v>45816</v>
      </c>
      <c r="B162" s="13"/>
      <c r="C162" s="25"/>
      <c r="D162" s="25"/>
      <c r="E162" s="25"/>
      <c r="F162" s="15"/>
      <c r="G162" s="15"/>
      <c r="H162" s="11"/>
      <c r="I162" s="8">
        <f t="shared" si="2"/>
        <v>-87669.699999999953</v>
      </c>
    </row>
    <row r="163" spans="1:9" x14ac:dyDescent="0.3">
      <c r="A163" s="7">
        <v>45817</v>
      </c>
      <c r="B163" s="13"/>
      <c r="C163" s="25"/>
      <c r="D163" s="25"/>
      <c r="E163" s="25"/>
      <c r="F163" s="15"/>
      <c r="G163" s="15"/>
      <c r="H163" s="16"/>
      <c r="I163" s="8">
        <f t="shared" si="2"/>
        <v>-87669.699999999953</v>
      </c>
    </row>
    <row r="164" spans="1:9" x14ac:dyDescent="0.3">
      <c r="A164" s="7">
        <v>45818</v>
      </c>
      <c r="B164" s="13"/>
      <c r="C164" s="25"/>
      <c r="D164" s="25"/>
      <c r="E164" s="25"/>
      <c r="F164" s="15"/>
      <c r="G164" s="15"/>
      <c r="H164" s="16"/>
      <c r="I164" s="8">
        <f t="shared" si="2"/>
        <v>-87669.699999999953</v>
      </c>
    </row>
    <row r="165" spans="1:9" x14ac:dyDescent="0.3">
      <c r="A165" s="7">
        <v>45819</v>
      </c>
      <c r="B165" s="13"/>
      <c r="C165" s="25"/>
      <c r="D165" s="25"/>
      <c r="E165" s="25"/>
      <c r="F165" s="15"/>
      <c r="G165" s="15"/>
      <c r="H165" s="16"/>
      <c r="I165" s="8">
        <f t="shared" si="2"/>
        <v>-87669.699999999953</v>
      </c>
    </row>
    <row r="166" spans="1:9" x14ac:dyDescent="0.3">
      <c r="A166" s="7">
        <v>45820</v>
      </c>
      <c r="B166" s="13"/>
      <c r="C166" s="25"/>
      <c r="D166" s="25"/>
      <c r="E166" s="25"/>
      <c r="F166" s="15"/>
      <c r="G166" s="15"/>
      <c r="H166" s="16"/>
      <c r="I166" s="8">
        <f t="shared" si="2"/>
        <v>-87669.699999999953</v>
      </c>
    </row>
    <row r="167" spans="1:9" x14ac:dyDescent="0.3">
      <c r="A167" s="7">
        <v>45821</v>
      </c>
      <c r="B167" s="13"/>
      <c r="C167" s="25"/>
      <c r="D167" s="25"/>
      <c r="E167" s="25"/>
      <c r="F167" s="15"/>
      <c r="G167" s="15"/>
      <c r="H167" s="16"/>
      <c r="I167" s="8">
        <f t="shared" si="2"/>
        <v>-87669.699999999953</v>
      </c>
    </row>
    <row r="168" spans="1:9" x14ac:dyDescent="0.3">
      <c r="A168" s="7">
        <v>45822</v>
      </c>
      <c r="B168" s="13"/>
      <c r="C168" s="25"/>
      <c r="D168" s="25"/>
      <c r="E168" s="25"/>
      <c r="F168" s="15"/>
      <c r="G168" s="15"/>
      <c r="H168" s="16"/>
      <c r="I168" s="8">
        <f t="shared" si="2"/>
        <v>-87669.699999999953</v>
      </c>
    </row>
    <row r="169" spans="1:9" x14ac:dyDescent="0.3">
      <c r="A169" s="7">
        <v>45823</v>
      </c>
      <c r="B169" s="13"/>
      <c r="C169" s="25"/>
      <c r="D169" s="25"/>
      <c r="E169" s="25"/>
      <c r="F169" s="15"/>
      <c r="G169" s="15"/>
      <c r="H169" s="16"/>
      <c r="I169" s="8">
        <f t="shared" si="2"/>
        <v>-87669.699999999953</v>
      </c>
    </row>
    <row r="170" spans="1:9" x14ac:dyDescent="0.3">
      <c r="A170" s="7">
        <v>45824</v>
      </c>
      <c r="B170" s="13"/>
      <c r="C170" s="25"/>
      <c r="D170" s="25"/>
      <c r="E170" s="25"/>
      <c r="F170" s="15"/>
      <c r="G170" s="15"/>
      <c r="H170" s="16"/>
      <c r="I170" s="8">
        <f t="shared" si="2"/>
        <v>-87669.699999999953</v>
      </c>
    </row>
    <row r="171" spans="1:9" x14ac:dyDescent="0.3">
      <c r="A171" s="7">
        <v>45825</v>
      </c>
      <c r="B171" s="13"/>
      <c r="C171" s="25"/>
      <c r="D171" s="25"/>
      <c r="E171" s="25"/>
      <c r="F171" s="15"/>
      <c r="G171" s="15"/>
      <c r="H171" s="16"/>
      <c r="I171" s="8">
        <f t="shared" si="2"/>
        <v>-87669.699999999953</v>
      </c>
    </row>
    <row r="172" spans="1:9" x14ac:dyDescent="0.3">
      <c r="A172" s="7">
        <v>45826</v>
      </c>
      <c r="B172" s="13"/>
      <c r="C172" s="25"/>
      <c r="D172" s="25"/>
      <c r="E172" s="25"/>
      <c r="F172" s="15"/>
      <c r="G172" s="15"/>
      <c r="H172" s="16"/>
      <c r="I172" s="8">
        <f t="shared" si="2"/>
        <v>-87669.699999999953</v>
      </c>
    </row>
    <row r="173" spans="1:9" x14ac:dyDescent="0.3">
      <c r="A173" s="7">
        <v>45827</v>
      </c>
      <c r="B173" s="13"/>
      <c r="C173" s="25"/>
      <c r="D173" s="25"/>
      <c r="E173" s="25"/>
      <c r="F173" s="15"/>
      <c r="G173" s="15"/>
      <c r="H173" s="16"/>
      <c r="I173" s="8">
        <f t="shared" si="2"/>
        <v>-87669.699999999953</v>
      </c>
    </row>
    <row r="174" spans="1:9" x14ac:dyDescent="0.3">
      <c r="A174" s="7">
        <v>45828</v>
      </c>
      <c r="B174" s="13"/>
      <c r="C174" s="25"/>
      <c r="D174" s="25"/>
      <c r="E174" s="25"/>
      <c r="F174" s="15"/>
      <c r="G174" s="15"/>
      <c r="H174" s="16"/>
      <c r="I174" s="8">
        <f t="shared" si="2"/>
        <v>-87669.699999999953</v>
      </c>
    </row>
    <row r="175" spans="1:9" x14ac:dyDescent="0.3">
      <c r="A175" s="7">
        <v>45829</v>
      </c>
      <c r="B175" s="13"/>
      <c r="C175" s="25"/>
      <c r="D175" s="25"/>
      <c r="E175" s="25"/>
      <c r="F175" s="15"/>
      <c r="G175" s="15"/>
      <c r="H175" s="16"/>
      <c r="I175" s="8">
        <f t="shared" si="2"/>
        <v>-87669.699999999953</v>
      </c>
    </row>
    <row r="176" spans="1:9" x14ac:dyDescent="0.3">
      <c r="A176" s="7">
        <v>45830</v>
      </c>
      <c r="B176" s="13"/>
      <c r="C176" s="25"/>
      <c r="D176" s="25"/>
      <c r="E176" s="25"/>
      <c r="F176" s="15"/>
      <c r="G176" s="15"/>
      <c r="H176" s="16"/>
      <c r="I176" s="8">
        <f t="shared" si="2"/>
        <v>-87669.699999999953</v>
      </c>
    </row>
    <row r="177" spans="1:9" x14ac:dyDescent="0.3">
      <c r="A177" s="7">
        <v>45831</v>
      </c>
      <c r="B177" s="13"/>
      <c r="C177" s="25"/>
      <c r="D177" s="25"/>
      <c r="E177" s="25"/>
      <c r="F177" s="15"/>
      <c r="G177" s="15"/>
      <c r="H177" s="16"/>
      <c r="I177" s="8">
        <f t="shared" si="2"/>
        <v>-87669.699999999953</v>
      </c>
    </row>
    <row r="178" spans="1:9" x14ac:dyDescent="0.3">
      <c r="A178" s="7">
        <v>45832</v>
      </c>
      <c r="B178" s="13"/>
      <c r="C178" s="25"/>
      <c r="D178" s="25"/>
      <c r="E178" s="25"/>
      <c r="F178" s="15"/>
      <c r="G178" s="15"/>
      <c r="H178" s="16"/>
      <c r="I178" s="8">
        <f t="shared" si="2"/>
        <v>-87669.699999999953</v>
      </c>
    </row>
    <row r="179" spans="1:9" x14ac:dyDescent="0.3">
      <c r="A179" s="7">
        <v>45833</v>
      </c>
      <c r="B179" s="13"/>
      <c r="C179" s="25"/>
      <c r="D179" s="25"/>
      <c r="E179" s="25"/>
      <c r="F179" s="15"/>
      <c r="G179" s="15"/>
      <c r="H179" s="16"/>
      <c r="I179" s="8">
        <f t="shared" si="2"/>
        <v>-87669.699999999953</v>
      </c>
    </row>
    <row r="180" spans="1:9" x14ac:dyDescent="0.3">
      <c r="A180" s="7">
        <v>45834</v>
      </c>
      <c r="B180" s="13"/>
      <c r="C180" s="25"/>
      <c r="D180" s="25"/>
      <c r="E180" s="25"/>
      <c r="F180" s="15"/>
      <c r="G180" s="15"/>
      <c r="H180" s="16"/>
      <c r="I180" s="8">
        <f t="shared" si="2"/>
        <v>-87669.699999999953</v>
      </c>
    </row>
    <row r="181" spans="1:9" x14ac:dyDescent="0.3">
      <c r="A181" s="7">
        <v>45835</v>
      </c>
      <c r="B181" s="13"/>
      <c r="C181" s="25"/>
      <c r="D181" s="25"/>
      <c r="E181" s="25"/>
      <c r="F181" s="15"/>
      <c r="G181" s="15"/>
      <c r="H181" s="16"/>
      <c r="I181" s="8">
        <f t="shared" si="2"/>
        <v>-87669.699999999953</v>
      </c>
    </row>
    <row r="182" spans="1:9" x14ac:dyDescent="0.3">
      <c r="A182" s="7">
        <v>45836</v>
      </c>
      <c r="B182" s="13"/>
      <c r="C182" s="25"/>
      <c r="D182" s="25"/>
      <c r="E182" s="25"/>
      <c r="F182" s="15"/>
      <c r="G182" s="15"/>
      <c r="H182" s="16"/>
      <c r="I182" s="8">
        <f t="shared" si="2"/>
        <v>-87669.699999999953</v>
      </c>
    </row>
    <row r="183" spans="1:9" x14ac:dyDescent="0.3">
      <c r="A183" s="7">
        <v>45837</v>
      </c>
      <c r="B183" s="13"/>
      <c r="C183" s="25"/>
      <c r="D183" s="25"/>
      <c r="E183" s="25"/>
      <c r="F183" s="15"/>
      <c r="G183" s="15"/>
      <c r="H183" s="16"/>
      <c r="I183" s="8">
        <f t="shared" si="2"/>
        <v>-87669.699999999953</v>
      </c>
    </row>
    <row r="184" spans="1:9" x14ac:dyDescent="0.3">
      <c r="A184" s="7">
        <v>45838</v>
      </c>
      <c r="B184" s="13"/>
      <c r="C184" s="25"/>
      <c r="D184" s="25"/>
      <c r="E184" s="25"/>
      <c r="F184" s="15"/>
      <c r="G184" s="15"/>
      <c r="H184" s="16"/>
      <c r="I184" s="8">
        <f t="shared" si="2"/>
        <v>-87669.699999999953</v>
      </c>
    </row>
    <row r="185" spans="1:9" x14ac:dyDescent="0.3">
      <c r="A185" s="7">
        <v>45839</v>
      </c>
      <c r="B185" s="13"/>
      <c r="C185" s="25"/>
      <c r="D185" s="25"/>
      <c r="E185" s="25"/>
      <c r="F185" s="15"/>
      <c r="G185" s="15"/>
      <c r="H185" s="16"/>
      <c r="I185" s="8">
        <f t="shared" si="2"/>
        <v>-87669.699999999953</v>
      </c>
    </row>
    <row r="186" spans="1:9" x14ac:dyDescent="0.3">
      <c r="A186" s="7">
        <v>45840</v>
      </c>
      <c r="B186" s="13"/>
      <c r="C186" s="25"/>
      <c r="D186" s="25"/>
      <c r="E186" s="25"/>
      <c r="F186" s="15"/>
      <c r="G186" s="15"/>
      <c r="H186" s="16"/>
      <c r="I186" s="8">
        <f t="shared" si="2"/>
        <v>-87669.699999999953</v>
      </c>
    </row>
    <row r="187" spans="1:9" x14ac:dyDescent="0.3">
      <c r="A187" s="7">
        <v>45841</v>
      </c>
      <c r="B187" s="13"/>
      <c r="C187" s="25"/>
      <c r="D187" s="25"/>
      <c r="E187" s="25"/>
      <c r="F187" s="15"/>
      <c r="G187" s="15"/>
      <c r="H187" s="16"/>
      <c r="I187" s="8">
        <f t="shared" si="2"/>
        <v>-87669.699999999953</v>
      </c>
    </row>
    <row r="188" spans="1:9" x14ac:dyDescent="0.3">
      <c r="A188" s="7">
        <v>45842</v>
      </c>
      <c r="B188" s="13"/>
      <c r="C188" s="25"/>
      <c r="D188" s="25"/>
      <c r="E188" s="25"/>
      <c r="F188" s="15"/>
      <c r="G188" s="15"/>
      <c r="H188" s="16"/>
      <c r="I188" s="8">
        <f t="shared" si="2"/>
        <v>-87669.699999999953</v>
      </c>
    </row>
    <row r="189" spans="1:9" x14ac:dyDescent="0.3">
      <c r="A189" s="7">
        <v>45843</v>
      </c>
      <c r="B189" s="13"/>
      <c r="C189" s="25"/>
      <c r="D189" s="25"/>
      <c r="E189" s="25"/>
      <c r="F189" s="15"/>
      <c r="G189" s="15"/>
      <c r="H189" s="16"/>
      <c r="I189" s="8">
        <f t="shared" si="2"/>
        <v>-87669.699999999953</v>
      </c>
    </row>
    <row r="190" spans="1:9" x14ac:dyDescent="0.3">
      <c r="A190" s="7">
        <v>45844</v>
      </c>
      <c r="B190" s="13"/>
      <c r="C190" s="25"/>
      <c r="D190" s="25"/>
      <c r="E190" s="25"/>
      <c r="F190" s="15"/>
      <c r="G190" s="15"/>
      <c r="H190" s="16"/>
      <c r="I190" s="8">
        <f t="shared" si="2"/>
        <v>-87669.699999999953</v>
      </c>
    </row>
    <row r="191" spans="1:9" x14ac:dyDescent="0.3">
      <c r="A191" s="7">
        <v>45845</v>
      </c>
      <c r="B191" s="13"/>
      <c r="C191" s="27">
        <v>72546</v>
      </c>
      <c r="D191" s="25">
        <v>4000</v>
      </c>
      <c r="E191" s="25"/>
      <c r="F191" s="15"/>
      <c r="G191" s="15"/>
      <c r="H191" s="19" t="s">
        <v>60</v>
      </c>
      <c r="I191" s="8">
        <f t="shared" si="2"/>
        <v>-19123.699999999953</v>
      </c>
    </row>
    <row r="192" spans="1:9" x14ac:dyDescent="0.3">
      <c r="A192" s="7">
        <v>45846</v>
      </c>
      <c r="B192" s="13"/>
      <c r="C192" s="27">
        <v>29202.799999999999</v>
      </c>
      <c r="D192" s="25"/>
      <c r="E192" s="25"/>
      <c r="F192" s="15"/>
      <c r="G192" s="15"/>
      <c r="H192" s="19" t="s">
        <v>61</v>
      </c>
      <c r="I192" s="8">
        <f t="shared" si="2"/>
        <v>10079.100000000046</v>
      </c>
    </row>
    <row r="193" spans="1:9" x14ac:dyDescent="0.3">
      <c r="A193" s="7">
        <v>45847</v>
      </c>
      <c r="B193" s="13"/>
      <c r="C193" s="25"/>
      <c r="D193" s="25">
        <v>4000</v>
      </c>
      <c r="E193" s="25"/>
      <c r="F193" s="15">
        <v>5719</v>
      </c>
      <c r="G193" s="15"/>
      <c r="H193" s="16" t="s">
        <v>59</v>
      </c>
      <c r="I193" s="8">
        <f t="shared" si="2"/>
        <v>360.10000000004584</v>
      </c>
    </row>
    <row r="194" spans="1:9" x14ac:dyDescent="0.3">
      <c r="A194" s="7">
        <v>45848</v>
      </c>
      <c r="B194" s="13"/>
      <c r="C194" s="25"/>
      <c r="D194" s="25">
        <v>4000</v>
      </c>
      <c r="E194" s="25"/>
      <c r="F194" s="15"/>
      <c r="G194" s="15"/>
      <c r="H194" s="16"/>
      <c r="I194" s="8">
        <f t="shared" si="2"/>
        <v>-3639.8999999999542</v>
      </c>
    </row>
    <row r="195" spans="1:9" ht="27" customHeight="1" x14ac:dyDescent="0.3">
      <c r="A195" s="7">
        <v>45849</v>
      </c>
      <c r="B195" s="13"/>
      <c r="C195" s="25">
        <v>36709.56</v>
      </c>
      <c r="D195" s="25">
        <v>4000</v>
      </c>
      <c r="E195" s="25"/>
      <c r="F195" s="15"/>
      <c r="G195" s="15"/>
      <c r="H195" s="29" t="s">
        <v>62</v>
      </c>
      <c r="I195" s="8">
        <f t="shared" si="2"/>
        <v>29069.660000000047</v>
      </c>
    </row>
    <row r="196" spans="1:9" x14ac:dyDescent="0.3">
      <c r="A196" s="7">
        <v>45850</v>
      </c>
      <c r="B196" s="13"/>
      <c r="C196" s="25"/>
      <c r="D196" s="25">
        <v>4000</v>
      </c>
      <c r="E196" s="25"/>
      <c r="F196" s="15">
        <v>2260</v>
      </c>
      <c r="G196" s="15">
        <v>500</v>
      </c>
      <c r="H196" s="16" t="s">
        <v>66</v>
      </c>
      <c r="I196" s="8">
        <f t="shared" si="2"/>
        <v>22309.660000000047</v>
      </c>
    </row>
    <row r="197" spans="1:9" x14ac:dyDescent="0.3">
      <c r="A197" s="7">
        <v>45851</v>
      </c>
      <c r="B197" s="13"/>
      <c r="C197" s="25"/>
      <c r="D197" s="25">
        <v>4000</v>
      </c>
      <c r="E197" s="25"/>
      <c r="F197" s="15"/>
      <c r="G197" s="15"/>
      <c r="H197" s="16"/>
      <c r="I197" s="8">
        <f t="shared" si="2"/>
        <v>18309.660000000047</v>
      </c>
    </row>
    <row r="198" spans="1:9" x14ac:dyDescent="0.3">
      <c r="A198" s="7">
        <v>45852</v>
      </c>
      <c r="B198" s="13"/>
      <c r="C198" s="25">
        <v>15000</v>
      </c>
      <c r="D198" s="25">
        <v>4000</v>
      </c>
      <c r="E198" s="25"/>
      <c r="F198" s="15">
        <v>4258</v>
      </c>
      <c r="G198" s="15"/>
      <c r="H198" s="16" t="s">
        <v>63</v>
      </c>
      <c r="I198" s="8">
        <f t="shared" ref="I198:I261" si="3">I197+C198-D198-F198-G198-E198</f>
        <v>25051.660000000047</v>
      </c>
    </row>
    <row r="199" spans="1:9" x14ac:dyDescent="0.3">
      <c r="A199" s="7">
        <v>45853</v>
      </c>
      <c r="B199" s="13"/>
      <c r="C199" s="25">
        <v>4500</v>
      </c>
      <c r="D199" s="25">
        <v>4000</v>
      </c>
      <c r="E199" s="25"/>
      <c r="F199" s="15"/>
      <c r="G199" s="15"/>
      <c r="H199" s="16"/>
      <c r="I199" s="8">
        <f t="shared" si="3"/>
        <v>25551.660000000047</v>
      </c>
    </row>
    <row r="200" spans="1:9" x14ac:dyDescent="0.3">
      <c r="A200" s="7">
        <v>45854</v>
      </c>
      <c r="B200" s="13"/>
      <c r="C200" s="25"/>
      <c r="D200" s="25">
        <v>4000</v>
      </c>
      <c r="E200" s="25"/>
      <c r="F200" s="15"/>
      <c r="G200" s="15"/>
      <c r="H200" s="16"/>
      <c r="I200" s="8">
        <f t="shared" si="3"/>
        <v>21551.660000000047</v>
      </c>
    </row>
    <row r="201" spans="1:9" x14ac:dyDescent="0.3">
      <c r="A201" s="7">
        <v>45855</v>
      </c>
      <c r="B201" s="13"/>
      <c r="C201" s="25"/>
      <c r="D201" s="25">
        <v>4000</v>
      </c>
      <c r="E201" s="25"/>
      <c r="F201" s="15">
        <v>392</v>
      </c>
      <c r="G201" s="15"/>
      <c r="H201" s="16" t="s">
        <v>64</v>
      </c>
      <c r="I201" s="8">
        <f t="shared" si="3"/>
        <v>17159.660000000047</v>
      </c>
    </row>
    <row r="202" spans="1:9" x14ac:dyDescent="0.3">
      <c r="A202" s="7">
        <v>45856</v>
      </c>
      <c r="B202" s="13"/>
      <c r="C202" s="25"/>
      <c r="D202" s="25">
        <v>4000</v>
      </c>
      <c r="E202" s="25"/>
      <c r="F202" s="15"/>
      <c r="G202" s="15"/>
      <c r="H202" s="16"/>
      <c r="I202" s="8">
        <f t="shared" si="3"/>
        <v>13159.660000000047</v>
      </c>
    </row>
    <row r="203" spans="1:9" x14ac:dyDescent="0.3">
      <c r="A203" s="7">
        <v>45857</v>
      </c>
      <c r="B203" s="13"/>
      <c r="C203" s="25"/>
      <c r="D203" s="25">
        <v>4000</v>
      </c>
      <c r="E203" s="25"/>
      <c r="F203" s="15"/>
      <c r="G203" s="15"/>
      <c r="H203" s="16"/>
      <c r="I203" s="8">
        <f t="shared" si="3"/>
        <v>9159.6600000000471</v>
      </c>
    </row>
    <row r="204" spans="1:9" x14ac:dyDescent="0.3">
      <c r="A204" s="7">
        <v>45858</v>
      </c>
      <c r="B204" s="13"/>
      <c r="C204" s="25"/>
      <c r="D204" s="25">
        <v>4000</v>
      </c>
      <c r="E204" s="25"/>
      <c r="F204" s="15"/>
      <c r="G204" s="15"/>
      <c r="H204" s="16"/>
      <c r="I204" s="8">
        <f t="shared" si="3"/>
        <v>5159.6600000000471</v>
      </c>
    </row>
    <row r="205" spans="1:9" x14ac:dyDescent="0.3">
      <c r="A205" s="7">
        <v>45859</v>
      </c>
      <c r="B205" s="13"/>
      <c r="C205" s="25"/>
      <c r="D205" s="25">
        <v>4000</v>
      </c>
      <c r="E205" s="25"/>
      <c r="F205" s="15"/>
      <c r="G205" s="15"/>
      <c r="H205" s="16"/>
      <c r="I205" s="8">
        <f t="shared" si="3"/>
        <v>1159.6600000000471</v>
      </c>
    </row>
    <row r="206" spans="1:9" x14ac:dyDescent="0.3">
      <c r="A206" s="7">
        <v>45860</v>
      </c>
      <c r="B206" s="13"/>
      <c r="C206" s="25"/>
      <c r="D206" s="25">
        <v>4000</v>
      </c>
      <c r="E206" s="25"/>
      <c r="F206" s="15"/>
      <c r="G206" s="15"/>
      <c r="H206" s="16"/>
      <c r="I206" s="8">
        <f t="shared" si="3"/>
        <v>-2840.3399999999529</v>
      </c>
    </row>
    <row r="207" spans="1:9" x14ac:dyDescent="0.3">
      <c r="A207" s="7">
        <v>45861</v>
      </c>
      <c r="B207" s="13"/>
      <c r="C207" s="25"/>
      <c r="D207" s="25">
        <v>4000</v>
      </c>
      <c r="E207" s="25"/>
      <c r="F207" s="15"/>
      <c r="G207" s="15"/>
      <c r="H207" s="16"/>
      <c r="I207" s="8">
        <f t="shared" si="3"/>
        <v>-6840.3399999999529</v>
      </c>
    </row>
    <row r="208" spans="1:9" x14ac:dyDescent="0.3">
      <c r="A208" s="7">
        <v>45862</v>
      </c>
      <c r="B208" s="13"/>
      <c r="C208" s="25"/>
      <c r="D208" s="25">
        <v>4000</v>
      </c>
      <c r="E208" s="25"/>
      <c r="F208" s="15"/>
      <c r="G208" s="15"/>
      <c r="H208" s="16"/>
      <c r="I208" s="8">
        <f t="shared" si="3"/>
        <v>-10840.339999999953</v>
      </c>
    </row>
    <row r="209" spans="1:9" x14ac:dyDescent="0.3">
      <c r="A209" s="7">
        <v>45863</v>
      </c>
      <c r="B209" s="13"/>
      <c r="C209" s="25"/>
      <c r="D209" s="25">
        <v>4000</v>
      </c>
      <c r="E209" s="25"/>
      <c r="F209" s="15"/>
      <c r="G209" s="15"/>
      <c r="H209" s="16"/>
      <c r="I209" s="8">
        <f t="shared" si="3"/>
        <v>-14840.339999999953</v>
      </c>
    </row>
    <row r="210" spans="1:9" x14ac:dyDescent="0.3">
      <c r="A210" s="7">
        <v>45864</v>
      </c>
      <c r="B210" s="13"/>
      <c r="C210" s="25"/>
      <c r="D210" s="25">
        <v>4000</v>
      </c>
      <c r="E210" s="25"/>
      <c r="F210" s="15"/>
      <c r="G210" s="15">
        <v>1000</v>
      </c>
      <c r="H210" s="16" t="s">
        <v>65</v>
      </c>
      <c r="I210" s="8">
        <f t="shared" si="3"/>
        <v>-19840.339999999953</v>
      </c>
    </row>
    <row r="211" spans="1:9" x14ac:dyDescent="0.3">
      <c r="A211" s="7">
        <v>45865</v>
      </c>
      <c r="B211" s="13"/>
      <c r="C211" s="25"/>
      <c r="D211" s="25">
        <v>4000</v>
      </c>
      <c r="E211" s="25"/>
      <c r="F211" s="15"/>
      <c r="G211" s="15"/>
      <c r="H211" s="16"/>
      <c r="I211" s="8">
        <f t="shared" si="3"/>
        <v>-23840.339999999953</v>
      </c>
    </row>
    <row r="212" spans="1:9" x14ac:dyDescent="0.3">
      <c r="A212" s="7">
        <v>45866</v>
      </c>
      <c r="B212" s="13"/>
      <c r="C212" s="25"/>
      <c r="D212" s="25">
        <v>4000</v>
      </c>
      <c r="E212" s="25"/>
      <c r="F212" s="15"/>
      <c r="G212" s="15"/>
      <c r="H212" s="16"/>
      <c r="I212" s="8">
        <f t="shared" si="3"/>
        <v>-27840.339999999953</v>
      </c>
    </row>
    <row r="213" spans="1:9" x14ac:dyDescent="0.3">
      <c r="A213" s="7">
        <v>45867</v>
      </c>
      <c r="B213" s="13"/>
      <c r="C213" s="25"/>
      <c r="D213" s="25">
        <v>4000</v>
      </c>
      <c r="E213" s="25"/>
      <c r="F213" s="15"/>
      <c r="G213" s="15"/>
      <c r="H213" s="16"/>
      <c r="I213" s="8">
        <f t="shared" si="3"/>
        <v>-31840.339999999953</v>
      </c>
    </row>
    <row r="214" spans="1:9" x14ac:dyDescent="0.3">
      <c r="A214" s="7">
        <v>45868</v>
      </c>
      <c r="B214" s="13"/>
      <c r="C214" s="25">
        <v>25000</v>
      </c>
      <c r="D214" s="25">
        <v>4000</v>
      </c>
      <c r="E214" s="25"/>
      <c r="F214" s="15"/>
      <c r="G214" s="15"/>
      <c r="H214" s="16"/>
      <c r="I214" s="8">
        <f t="shared" si="3"/>
        <v>-10840.339999999953</v>
      </c>
    </row>
    <row r="215" spans="1:9" x14ac:dyDescent="0.3">
      <c r="A215" s="7">
        <v>45869</v>
      </c>
      <c r="B215" s="13"/>
      <c r="C215" s="25"/>
      <c r="D215" s="25">
        <v>4000</v>
      </c>
      <c r="E215" s="25"/>
      <c r="F215" s="15"/>
      <c r="G215" s="15"/>
      <c r="H215" s="16"/>
      <c r="I215" s="8">
        <f t="shared" si="3"/>
        <v>-14840.339999999953</v>
      </c>
    </row>
    <row r="216" spans="1:9" x14ac:dyDescent="0.3">
      <c r="A216" s="7">
        <v>45870</v>
      </c>
      <c r="B216" s="13"/>
      <c r="C216" s="25"/>
      <c r="D216" s="25">
        <v>4000</v>
      </c>
      <c r="E216" s="25"/>
      <c r="F216" s="15"/>
      <c r="G216" s="15"/>
      <c r="H216" s="16"/>
      <c r="I216" s="8">
        <f t="shared" si="3"/>
        <v>-18840.339999999953</v>
      </c>
    </row>
    <row r="217" spans="1:9" x14ac:dyDescent="0.3">
      <c r="A217" s="7">
        <v>45871</v>
      </c>
      <c r="B217" s="13"/>
      <c r="C217" s="25"/>
      <c r="D217" s="25">
        <v>4000</v>
      </c>
      <c r="E217" s="25"/>
      <c r="F217" s="15"/>
      <c r="G217" s="15"/>
      <c r="H217" s="16"/>
      <c r="I217" s="8">
        <f t="shared" si="3"/>
        <v>-22840.339999999953</v>
      </c>
    </row>
    <row r="218" spans="1:9" x14ac:dyDescent="0.3">
      <c r="A218" s="7">
        <v>45872</v>
      </c>
      <c r="B218" s="13"/>
      <c r="C218" s="25"/>
      <c r="D218" s="25">
        <v>4000</v>
      </c>
      <c r="E218" s="25"/>
      <c r="F218" s="15"/>
      <c r="G218" s="15"/>
      <c r="H218" s="16" t="s">
        <v>11</v>
      </c>
      <c r="I218" s="8">
        <f t="shared" si="3"/>
        <v>-26840.339999999953</v>
      </c>
    </row>
    <row r="219" spans="1:9" x14ac:dyDescent="0.3">
      <c r="A219" s="7">
        <v>45873</v>
      </c>
      <c r="B219" s="13"/>
      <c r="C219" s="25"/>
      <c r="D219" s="25">
        <v>4000</v>
      </c>
      <c r="E219" s="25"/>
      <c r="F219" s="15"/>
      <c r="G219" s="15"/>
      <c r="H219" s="16"/>
      <c r="I219" s="8">
        <f t="shared" si="3"/>
        <v>-30840.339999999953</v>
      </c>
    </row>
    <row r="220" spans="1:9" x14ac:dyDescent="0.3">
      <c r="A220" s="7">
        <v>45874</v>
      </c>
      <c r="B220" s="13"/>
      <c r="C220" s="25"/>
      <c r="D220" s="25">
        <v>4000</v>
      </c>
      <c r="E220" s="25"/>
      <c r="F220" s="15"/>
      <c r="G220" s="15"/>
      <c r="H220" s="16"/>
      <c r="I220" s="8">
        <f t="shared" si="3"/>
        <v>-34840.339999999953</v>
      </c>
    </row>
    <row r="221" spans="1:9" x14ac:dyDescent="0.3">
      <c r="A221" s="7">
        <v>45875</v>
      </c>
      <c r="B221" s="13"/>
      <c r="C221" s="25"/>
      <c r="D221" s="25">
        <v>4000</v>
      </c>
      <c r="E221" s="25"/>
      <c r="F221" s="15"/>
      <c r="G221" s="15"/>
      <c r="H221" s="16"/>
      <c r="I221" s="8">
        <f t="shared" si="3"/>
        <v>-38840.339999999953</v>
      </c>
    </row>
    <row r="222" spans="1:9" x14ac:dyDescent="0.3">
      <c r="A222" s="7">
        <v>45876</v>
      </c>
      <c r="B222" s="13"/>
      <c r="C222" s="25"/>
      <c r="D222" s="25">
        <v>4000</v>
      </c>
      <c r="E222" s="25"/>
      <c r="F222" s="15"/>
      <c r="G222" s="15">
        <v>1000</v>
      </c>
      <c r="H222" s="16" t="s">
        <v>65</v>
      </c>
      <c r="I222" s="8">
        <f t="shared" si="3"/>
        <v>-43840.339999999953</v>
      </c>
    </row>
    <row r="223" spans="1:9" x14ac:dyDescent="0.3">
      <c r="A223" s="7">
        <v>45877</v>
      </c>
      <c r="B223" s="13"/>
      <c r="C223" s="25"/>
      <c r="D223" s="25">
        <v>4000</v>
      </c>
      <c r="E223" s="25"/>
      <c r="F223" s="15">
        <v>657</v>
      </c>
      <c r="G223" s="15"/>
      <c r="H223" s="16" t="s">
        <v>67</v>
      </c>
      <c r="I223" s="8">
        <f t="shared" si="3"/>
        <v>-48497.339999999953</v>
      </c>
    </row>
    <row r="224" spans="1:9" x14ac:dyDescent="0.3">
      <c r="A224" s="7">
        <v>45878</v>
      </c>
      <c r="B224" s="13"/>
      <c r="C224" s="25"/>
      <c r="D224" s="25">
        <v>4000</v>
      </c>
      <c r="E224" s="25"/>
      <c r="F224" s="15"/>
      <c r="G224" s="15"/>
      <c r="H224" s="16"/>
      <c r="I224" s="8">
        <f t="shared" si="3"/>
        <v>-52497.339999999953</v>
      </c>
    </row>
    <row r="225" spans="1:9" x14ac:dyDescent="0.3">
      <c r="A225" s="7">
        <v>45879</v>
      </c>
      <c r="B225" s="13"/>
      <c r="C225" s="25"/>
      <c r="D225" s="25">
        <v>4000</v>
      </c>
      <c r="E225" s="25"/>
      <c r="F225" s="15"/>
      <c r="G225" s="15"/>
      <c r="H225" s="16"/>
      <c r="I225" s="8">
        <f t="shared" si="3"/>
        <v>-56497.339999999953</v>
      </c>
    </row>
    <row r="226" spans="1:9" x14ac:dyDescent="0.3">
      <c r="A226" s="7">
        <v>45880</v>
      </c>
      <c r="B226" s="13"/>
      <c r="C226" s="25"/>
      <c r="D226" s="25">
        <v>4000</v>
      </c>
      <c r="E226" s="25"/>
      <c r="F226" s="15"/>
      <c r="G226" s="15"/>
      <c r="H226" s="16"/>
      <c r="I226" s="8">
        <f t="shared" si="3"/>
        <v>-60497.339999999953</v>
      </c>
    </row>
    <row r="227" spans="1:9" s="9" customFormat="1" x14ac:dyDescent="0.3">
      <c r="A227" s="7">
        <v>45881</v>
      </c>
      <c r="B227" s="16"/>
      <c r="C227" s="30"/>
      <c r="D227" s="30">
        <v>4000</v>
      </c>
      <c r="E227" s="30"/>
      <c r="F227" s="15"/>
      <c r="G227" s="15"/>
      <c r="H227" s="16"/>
      <c r="I227" s="8">
        <f t="shared" si="3"/>
        <v>-64497.339999999953</v>
      </c>
    </row>
    <row r="228" spans="1:9" s="9" customFormat="1" x14ac:dyDescent="0.3">
      <c r="A228" s="7">
        <v>45882</v>
      </c>
      <c r="B228" s="16"/>
      <c r="C228" s="30">
        <v>20000</v>
      </c>
      <c r="D228" s="30">
        <v>4000</v>
      </c>
      <c r="E228" s="30"/>
      <c r="F228" s="15"/>
      <c r="G228" s="15"/>
      <c r="H228" s="16"/>
      <c r="I228" s="8">
        <f t="shared" si="3"/>
        <v>-48497.339999999953</v>
      </c>
    </row>
    <row r="229" spans="1:9" s="9" customFormat="1" x14ac:dyDescent="0.3">
      <c r="A229" s="7">
        <v>45883</v>
      </c>
      <c r="B229" s="16"/>
      <c r="C229" s="30"/>
      <c r="D229" s="30">
        <v>4000</v>
      </c>
      <c r="E229" s="30"/>
      <c r="F229" s="15"/>
      <c r="G229" s="15"/>
      <c r="H229" s="16"/>
      <c r="I229" s="8">
        <f t="shared" si="3"/>
        <v>-52497.339999999953</v>
      </c>
    </row>
    <row r="230" spans="1:9" s="9" customFormat="1" x14ac:dyDescent="0.3">
      <c r="A230" s="7">
        <v>45884</v>
      </c>
      <c r="B230" s="16"/>
      <c r="C230" s="30"/>
      <c r="D230" s="30">
        <v>4000</v>
      </c>
      <c r="E230" s="30"/>
      <c r="F230" s="15"/>
      <c r="G230" s="15"/>
      <c r="H230" s="16"/>
      <c r="I230" s="8">
        <f t="shared" si="3"/>
        <v>-56497.339999999953</v>
      </c>
    </row>
    <row r="231" spans="1:9" s="9" customFormat="1" x14ac:dyDescent="0.3">
      <c r="A231" s="7">
        <v>45885</v>
      </c>
      <c r="B231" s="16"/>
      <c r="C231" s="30"/>
      <c r="D231" s="30">
        <v>4000</v>
      </c>
      <c r="E231" s="30"/>
      <c r="F231" s="15"/>
      <c r="G231" s="15">
        <v>1633</v>
      </c>
      <c r="H231" s="16" t="s">
        <v>75</v>
      </c>
      <c r="I231" s="8">
        <f t="shared" si="3"/>
        <v>-62130.339999999953</v>
      </c>
    </row>
    <row r="232" spans="1:9" s="9" customFormat="1" x14ac:dyDescent="0.3">
      <c r="A232" s="7">
        <v>45886</v>
      </c>
      <c r="B232" s="16"/>
      <c r="C232" s="30"/>
      <c r="D232" s="30">
        <v>4000</v>
      </c>
      <c r="E232" s="30"/>
      <c r="F232" s="15"/>
      <c r="G232" s="15"/>
      <c r="H232" s="16"/>
      <c r="I232" s="8">
        <f t="shared" si="3"/>
        <v>-66130.339999999953</v>
      </c>
    </row>
    <row r="233" spans="1:9" s="9" customFormat="1" x14ac:dyDescent="0.3">
      <c r="A233" s="7">
        <v>45887</v>
      </c>
      <c r="B233" s="16"/>
      <c r="C233" s="30"/>
      <c r="D233" s="30">
        <v>4000</v>
      </c>
      <c r="E233" s="30"/>
      <c r="F233" s="15"/>
      <c r="G233" s="15"/>
      <c r="H233" s="16"/>
      <c r="I233" s="8">
        <f t="shared" si="3"/>
        <v>-70130.339999999953</v>
      </c>
    </row>
    <row r="234" spans="1:9" s="9" customFormat="1" x14ac:dyDescent="0.3">
      <c r="A234" s="7">
        <v>45888</v>
      </c>
      <c r="B234" s="16"/>
      <c r="C234" s="30">
        <v>25000</v>
      </c>
      <c r="D234" s="30">
        <v>4000</v>
      </c>
      <c r="E234" s="30"/>
      <c r="F234" s="15">
        <v>578</v>
      </c>
      <c r="G234" s="15"/>
      <c r="H234" s="16" t="s">
        <v>68</v>
      </c>
      <c r="I234" s="8">
        <f t="shared" si="3"/>
        <v>-49708.339999999953</v>
      </c>
    </row>
    <row r="235" spans="1:9" s="9" customFormat="1" x14ac:dyDescent="0.3">
      <c r="A235" s="7">
        <v>45889</v>
      </c>
      <c r="B235" s="16"/>
      <c r="C235" s="30"/>
      <c r="D235" s="30">
        <v>4000</v>
      </c>
      <c r="E235" s="30"/>
      <c r="F235" s="15"/>
      <c r="G235" s="15"/>
      <c r="H235" s="16"/>
      <c r="I235" s="8">
        <f t="shared" si="3"/>
        <v>-53708.339999999953</v>
      </c>
    </row>
    <row r="236" spans="1:9" s="9" customFormat="1" x14ac:dyDescent="0.3">
      <c r="A236" s="7">
        <v>45890</v>
      </c>
      <c r="B236" s="16"/>
      <c r="C236" s="30"/>
      <c r="D236" s="30">
        <v>4000</v>
      </c>
      <c r="E236" s="30"/>
      <c r="F236" s="15"/>
      <c r="G236" s="15"/>
      <c r="H236" s="16"/>
      <c r="I236" s="8">
        <f t="shared" si="3"/>
        <v>-57708.339999999953</v>
      </c>
    </row>
    <row r="237" spans="1:9" s="9" customFormat="1" x14ac:dyDescent="0.3">
      <c r="A237" s="7">
        <v>45891</v>
      </c>
      <c r="B237" s="16"/>
      <c r="C237" s="30"/>
      <c r="D237" s="30">
        <v>4000</v>
      </c>
      <c r="E237" s="30"/>
      <c r="F237" s="15"/>
      <c r="G237" s="15"/>
      <c r="H237" s="16"/>
      <c r="I237" s="8">
        <f t="shared" si="3"/>
        <v>-61708.339999999953</v>
      </c>
    </row>
    <row r="238" spans="1:9" s="9" customFormat="1" x14ac:dyDescent="0.3">
      <c r="A238" s="7">
        <v>45892</v>
      </c>
      <c r="B238" s="16"/>
      <c r="C238" s="30"/>
      <c r="D238" s="30">
        <v>4000</v>
      </c>
      <c r="E238" s="30"/>
      <c r="F238" s="15"/>
      <c r="G238" s="15"/>
      <c r="H238" s="16"/>
      <c r="I238" s="8">
        <f t="shared" si="3"/>
        <v>-65708.339999999953</v>
      </c>
    </row>
    <row r="239" spans="1:9" s="9" customFormat="1" x14ac:dyDescent="0.3">
      <c r="A239" s="7">
        <v>45893</v>
      </c>
      <c r="B239" s="16"/>
      <c r="C239" s="30"/>
      <c r="D239" s="30">
        <v>4000</v>
      </c>
      <c r="E239" s="30"/>
      <c r="F239" s="15">
        <v>910</v>
      </c>
      <c r="G239" s="15"/>
      <c r="H239" s="16" t="s">
        <v>69</v>
      </c>
      <c r="I239" s="8">
        <f t="shared" si="3"/>
        <v>-70618.339999999953</v>
      </c>
    </row>
    <row r="240" spans="1:9" s="9" customFormat="1" x14ac:dyDescent="0.3">
      <c r="A240" s="7">
        <v>45894</v>
      </c>
      <c r="B240" s="16"/>
      <c r="C240" s="30"/>
      <c r="D240" s="30">
        <v>4000</v>
      </c>
      <c r="E240" s="30"/>
      <c r="F240" s="15"/>
      <c r="G240" s="15"/>
      <c r="H240" s="16"/>
      <c r="I240" s="8">
        <f t="shared" si="3"/>
        <v>-74618.339999999953</v>
      </c>
    </row>
    <row r="241" spans="1:9" s="9" customFormat="1" x14ac:dyDescent="0.3">
      <c r="A241" s="7">
        <v>45895</v>
      </c>
      <c r="B241" s="16"/>
      <c r="C241" s="30"/>
      <c r="D241" s="30">
        <v>4000</v>
      </c>
      <c r="E241" s="30"/>
      <c r="F241" s="15"/>
      <c r="G241" s="15"/>
      <c r="H241" s="16"/>
      <c r="I241" s="8">
        <f t="shared" si="3"/>
        <v>-78618.339999999953</v>
      </c>
    </row>
    <row r="242" spans="1:9" s="9" customFormat="1" x14ac:dyDescent="0.3">
      <c r="A242" s="7">
        <v>45896</v>
      </c>
      <c r="B242" s="16"/>
      <c r="C242" s="30"/>
      <c r="D242" s="30">
        <v>4000</v>
      </c>
      <c r="E242" s="30"/>
      <c r="F242" s="15">
        <v>951</v>
      </c>
      <c r="G242" s="15"/>
      <c r="H242" s="16" t="s">
        <v>70</v>
      </c>
      <c r="I242" s="8">
        <f t="shared" si="3"/>
        <v>-83569.339999999953</v>
      </c>
    </row>
    <row r="243" spans="1:9" s="9" customFormat="1" x14ac:dyDescent="0.3">
      <c r="A243" s="7">
        <v>45897</v>
      </c>
      <c r="B243" s="16"/>
      <c r="C243" s="30">
        <v>20000</v>
      </c>
      <c r="D243" s="30">
        <v>4000</v>
      </c>
      <c r="E243" s="30"/>
      <c r="F243" s="15">
        <v>2407</v>
      </c>
      <c r="G243" s="15">
        <v>500</v>
      </c>
      <c r="H243" s="16" t="s">
        <v>66</v>
      </c>
      <c r="I243" s="8">
        <f t="shared" si="3"/>
        <v>-70476.339999999953</v>
      </c>
    </row>
    <row r="244" spans="1:9" s="9" customFormat="1" x14ac:dyDescent="0.3">
      <c r="A244" s="7">
        <v>45898</v>
      </c>
      <c r="B244" s="16"/>
      <c r="C244" s="30"/>
      <c r="D244" s="30">
        <v>4000</v>
      </c>
      <c r="E244" s="30"/>
      <c r="F244" s="15"/>
      <c r="G244" s="15"/>
      <c r="H244" s="16"/>
      <c r="I244" s="8">
        <f t="shared" si="3"/>
        <v>-74476.339999999953</v>
      </c>
    </row>
    <row r="245" spans="1:9" s="9" customFormat="1" x14ac:dyDescent="0.3">
      <c r="A245" s="7">
        <v>45899</v>
      </c>
      <c r="B245" s="16"/>
      <c r="C245" s="30"/>
      <c r="D245" s="30">
        <v>4000</v>
      </c>
      <c r="E245" s="30"/>
      <c r="F245" s="15"/>
      <c r="G245" s="15"/>
      <c r="H245" s="16"/>
      <c r="I245" s="8">
        <f t="shared" si="3"/>
        <v>-78476.339999999953</v>
      </c>
    </row>
    <row r="246" spans="1:9" s="9" customFormat="1" x14ac:dyDescent="0.3">
      <c r="A246" s="7">
        <v>45900</v>
      </c>
      <c r="B246" s="16"/>
      <c r="C246" s="30"/>
      <c r="D246" s="30">
        <v>4000</v>
      </c>
      <c r="E246" s="30"/>
      <c r="F246" s="15">
        <v>2285</v>
      </c>
      <c r="G246" s="15"/>
      <c r="H246" s="16" t="s">
        <v>74</v>
      </c>
      <c r="I246" s="8">
        <f t="shared" si="3"/>
        <v>-84761.339999999953</v>
      </c>
    </row>
    <row r="247" spans="1:9" s="9" customFormat="1" x14ac:dyDescent="0.3">
      <c r="A247" s="7">
        <v>45901</v>
      </c>
      <c r="B247" s="16"/>
      <c r="C247" s="30"/>
      <c r="D247" s="30">
        <v>4000</v>
      </c>
      <c r="E247" s="30"/>
      <c r="F247" s="15"/>
      <c r="G247" s="15"/>
      <c r="H247" s="16"/>
      <c r="I247" s="8">
        <f t="shared" si="3"/>
        <v>-88761.339999999953</v>
      </c>
    </row>
    <row r="248" spans="1:9" s="9" customFormat="1" x14ac:dyDescent="0.3">
      <c r="A248" s="7">
        <v>45902</v>
      </c>
      <c r="B248" s="16"/>
      <c r="C248" s="30">
        <v>25000</v>
      </c>
      <c r="D248" s="30">
        <v>4000</v>
      </c>
      <c r="E248" s="30"/>
      <c r="F248" s="15"/>
      <c r="G248" s="15"/>
      <c r="H248" s="16"/>
      <c r="I248" s="8">
        <f t="shared" si="3"/>
        <v>-67761.339999999953</v>
      </c>
    </row>
    <row r="249" spans="1:9" s="9" customFormat="1" x14ac:dyDescent="0.3">
      <c r="A249" s="7">
        <v>45903</v>
      </c>
      <c r="B249" s="16"/>
      <c r="C249" s="30"/>
      <c r="D249" s="30">
        <v>4000</v>
      </c>
      <c r="E249" s="30"/>
      <c r="F249" s="15"/>
      <c r="G249" s="15">
        <v>1000</v>
      </c>
      <c r="H249" s="16" t="s">
        <v>65</v>
      </c>
      <c r="I249" s="8">
        <f t="shared" si="3"/>
        <v>-72761.339999999953</v>
      </c>
    </row>
    <row r="250" spans="1:9" s="9" customFormat="1" x14ac:dyDescent="0.3">
      <c r="A250" s="7">
        <v>45904</v>
      </c>
      <c r="B250" s="16"/>
      <c r="C250" s="30"/>
      <c r="D250" s="30">
        <v>4000</v>
      </c>
      <c r="E250" s="30"/>
      <c r="F250" s="15">
        <v>5147</v>
      </c>
      <c r="G250" s="15"/>
      <c r="H250" s="16" t="s">
        <v>71</v>
      </c>
      <c r="I250" s="8">
        <f t="shared" si="3"/>
        <v>-81908.339999999953</v>
      </c>
    </row>
    <row r="251" spans="1:9" s="9" customFormat="1" x14ac:dyDescent="0.3">
      <c r="A251" s="7">
        <v>45905</v>
      </c>
      <c r="B251" s="16"/>
      <c r="C251" s="30"/>
      <c r="D251" s="30">
        <v>4000</v>
      </c>
      <c r="E251" s="30"/>
      <c r="F251" s="15"/>
      <c r="G251" s="15"/>
      <c r="H251" s="16"/>
      <c r="I251" s="8">
        <f t="shared" si="3"/>
        <v>-85908.339999999953</v>
      </c>
    </row>
    <row r="252" spans="1:9" s="9" customFormat="1" x14ac:dyDescent="0.3">
      <c r="A252" s="7">
        <v>45906</v>
      </c>
      <c r="B252" s="16"/>
      <c r="C252" s="30"/>
      <c r="D252" s="30"/>
      <c r="E252" s="30"/>
      <c r="F252" s="15"/>
      <c r="G252" s="15"/>
      <c r="H252" s="16"/>
      <c r="I252" s="8">
        <f t="shared" si="3"/>
        <v>-85908.339999999953</v>
      </c>
    </row>
    <row r="253" spans="1:9" s="9" customFormat="1" x14ac:dyDescent="0.3">
      <c r="A253" s="7">
        <v>45907</v>
      </c>
      <c r="B253" s="16"/>
      <c r="C253" s="30"/>
      <c r="D253" s="30">
        <v>4000</v>
      </c>
      <c r="E253" s="30"/>
      <c r="F253" s="15"/>
      <c r="G253" s="15"/>
      <c r="H253" s="16"/>
      <c r="I253" s="8">
        <f t="shared" si="3"/>
        <v>-89908.339999999953</v>
      </c>
    </row>
    <row r="254" spans="1:9" s="9" customFormat="1" x14ac:dyDescent="0.3">
      <c r="A254" s="7">
        <v>45908</v>
      </c>
      <c r="B254" s="16"/>
      <c r="C254" s="30"/>
      <c r="D254" s="30">
        <v>4000</v>
      </c>
      <c r="E254" s="30"/>
      <c r="F254" s="15"/>
      <c r="G254" s="15"/>
      <c r="H254" s="16"/>
      <c r="I254" s="8">
        <f t="shared" si="3"/>
        <v>-93908.339999999953</v>
      </c>
    </row>
    <row r="255" spans="1:9" s="9" customFormat="1" x14ac:dyDescent="0.3">
      <c r="A255" s="7">
        <v>45909</v>
      </c>
      <c r="B255" s="16"/>
      <c r="C255" s="30"/>
      <c r="D255" s="30">
        <v>4000</v>
      </c>
      <c r="E255" s="30"/>
      <c r="F255" s="15"/>
      <c r="G255" s="15">
        <v>2735</v>
      </c>
      <c r="H255" s="16" t="s">
        <v>72</v>
      </c>
      <c r="I255" s="8">
        <f t="shared" si="3"/>
        <v>-100643.33999999995</v>
      </c>
    </row>
    <row r="256" spans="1:9" s="9" customFormat="1" x14ac:dyDescent="0.3">
      <c r="A256" s="7">
        <v>45910</v>
      </c>
      <c r="B256" s="16"/>
      <c r="C256" s="30">
        <v>20000</v>
      </c>
      <c r="D256" s="30">
        <v>4000</v>
      </c>
      <c r="E256" s="30"/>
      <c r="F256" s="15">
        <v>913</v>
      </c>
      <c r="G256" s="15"/>
      <c r="H256" s="16" t="s">
        <v>73</v>
      </c>
      <c r="I256" s="8">
        <f t="shared" si="3"/>
        <v>-85556.339999999953</v>
      </c>
    </row>
    <row r="257" spans="1:9" s="9" customFormat="1" x14ac:dyDescent="0.3">
      <c r="A257" s="7">
        <v>45911</v>
      </c>
      <c r="B257" s="16"/>
      <c r="C257" s="30"/>
      <c r="D257" s="30">
        <v>4000</v>
      </c>
      <c r="E257" s="30"/>
      <c r="F257" s="15"/>
      <c r="G257" s="15"/>
      <c r="H257" s="16"/>
      <c r="I257" s="8">
        <f t="shared" si="3"/>
        <v>-89556.339999999953</v>
      </c>
    </row>
    <row r="258" spans="1:9" s="9" customFormat="1" x14ac:dyDescent="0.3">
      <c r="A258" s="7">
        <v>45912</v>
      </c>
      <c r="B258" s="16"/>
      <c r="C258" s="30"/>
      <c r="D258" s="30">
        <v>4000</v>
      </c>
      <c r="E258" s="30"/>
      <c r="F258" s="15">
        <v>1242</v>
      </c>
      <c r="G258" s="15"/>
      <c r="H258" s="16" t="s">
        <v>76</v>
      </c>
      <c r="I258" s="8">
        <f t="shared" si="3"/>
        <v>-94798.339999999953</v>
      </c>
    </row>
    <row r="259" spans="1:9" s="9" customFormat="1" x14ac:dyDescent="0.3">
      <c r="A259" s="7">
        <v>45913</v>
      </c>
      <c r="B259" s="16"/>
      <c r="C259" s="30"/>
      <c r="D259" s="30">
        <v>4000</v>
      </c>
      <c r="E259" s="30"/>
      <c r="F259" s="15"/>
      <c r="G259" s="15"/>
      <c r="H259" s="16"/>
      <c r="I259" s="8">
        <f t="shared" si="3"/>
        <v>-98798.339999999953</v>
      </c>
    </row>
    <row r="260" spans="1:9" s="9" customFormat="1" x14ac:dyDescent="0.3">
      <c r="A260" s="7">
        <v>45914</v>
      </c>
      <c r="B260" s="16"/>
      <c r="C260" s="30"/>
      <c r="D260" s="30">
        <v>4000</v>
      </c>
      <c r="E260" s="30"/>
      <c r="F260" s="15"/>
      <c r="G260" s="15"/>
      <c r="H260" s="16"/>
      <c r="I260" s="8">
        <f t="shared" si="3"/>
        <v>-102798.33999999995</v>
      </c>
    </row>
    <row r="261" spans="1:9" s="9" customFormat="1" x14ac:dyDescent="0.3">
      <c r="A261" s="7">
        <v>45915</v>
      </c>
      <c r="B261" s="16"/>
      <c r="C261" s="30"/>
      <c r="D261" s="30">
        <v>4000</v>
      </c>
      <c r="E261" s="30"/>
      <c r="F261" s="15"/>
      <c r="G261" s="15"/>
      <c r="H261" s="16"/>
      <c r="I261" s="8">
        <f t="shared" si="3"/>
        <v>-106798.33999999995</v>
      </c>
    </row>
    <row r="262" spans="1:9" s="9" customFormat="1" x14ac:dyDescent="0.3">
      <c r="A262" s="7">
        <v>45916</v>
      </c>
      <c r="B262" s="16"/>
      <c r="C262" s="30"/>
      <c r="D262" s="30">
        <v>4000</v>
      </c>
      <c r="E262" s="30"/>
      <c r="F262" s="15"/>
      <c r="G262" s="15"/>
      <c r="H262" s="16"/>
      <c r="I262" s="8">
        <f t="shared" ref="I262:I325" si="4">I261+C262-D262-F262-G262-E262</f>
        <v>-110798.33999999995</v>
      </c>
    </row>
    <row r="263" spans="1:9" s="9" customFormat="1" x14ac:dyDescent="0.3">
      <c r="A263" s="7">
        <v>45917</v>
      </c>
      <c r="B263" s="16"/>
      <c r="C263" s="30"/>
      <c r="D263" s="30">
        <v>4000</v>
      </c>
      <c r="E263" s="30"/>
      <c r="F263" s="15"/>
      <c r="G263" s="15"/>
      <c r="H263" s="16"/>
      <c r="I263" s="8">
        <f t="shared" si="4"/>
        <v>-114798.33999999995</v>
      </c>
    </row>
    <row r="264" spans="1:9" s="9" customFormat="1" x14ac:dyDescent="0.3">
      <c r="A264" s="7">
        <v>45918</v>
      </c>
      <c r="B264" s="16"/>
      <c r="C264" s="30"/>
      <c r="D264" s="30">
        <v>4000</v>
      </c>
      <c r="E264" s="30"/>
      <c r="F264" s="15"/>
      <c r="G264" s="15"/>
      <c r="H264" s="16"/>
      <c r="I264" s="8">
        <f t="shared" si="4"/>
        <v>-118798.33999999995</v>
      </c>
    </row>
    <row r="265" spans="1:9" s="9" customFormat="1" x14ac:dyDescent="0.3">
      <c r="A265" s="7">
        <v>45919</v>
      </c>
      <c r="B265" s="16"/>
      <c r="C265" s="30"/>
      <c r="D265" s="30">
        <v>4000</v>
      </c>
      <c r="E265" s="30"/>
      <c r="F265" s="15"/>
      <c r="G265" s="15"/>
      <c r="H265" s="16"/>
      <c r="I265" s="8">
        <f t="shared" si="4"/>
        <v>-122798.33999999995</v>
      </c>
    </row>
    <row r="266" spans="1:9" s="9" customFormat="1" x14ac:dyDescent="0.3">
      <c r="A266" s="7">
        <v>45920</v>
      </c>
      <c r="B266" s="16"/>
      <c r="C266" s="30"/>
      <c r="D266" s="30">
        <v>4000</v>
      </c>
      <c r="E266" s="30"/>
      <c r="F266" s="15"/>
      <c r="G266" s="15"/>
      <c r="H266" s="16"/>
      <c r="I266" s="8">
        <f t="shared" si="4"/>
        <v>-126798.33999999995</v>
      </c>
    </row>
    <row r="267" spans="1:9" s="9" customFormat="1" x14ac:dyDescent="0.3">
      <c r="A267" s="7">
        <v>45921</v>
      </c>
      <c r="B267" s="16"/>
      <c r="C267" s="30"/>
      <c r="D267" s="30"/>
      <c r="E267" s="30"/>
      <c r="F267" s="15"/>
      <c r="G267" s="15"/>
      <c r="H267" s="16"/>
      <c r="I267" s="8">
        <f t="shared" si="4"/>
        <v>-126798.33999999995</v>
      </c>
    </row>
    <row r="268" spans="1:9" s="9" customFormat="1" x14ac:dyDescent="0.3">
      <c r="A268" s="7">
        <v>45922</v>
      </c>
      <c r="B268" s="16"/>
      <c r="C268" s="30"/>
      <c r="D268" s="30">
        <v>4000</v>
      </c>
      <c r="E268" s="30"/>
      <c r="F268" s="15"/>
      <c r="G268" s="15"/>
      <c r="H268" s="16"/>
      <c r="I268" s="8">
        <f t="shared" si="4"/>
        <v>-130798.33999999995</v>
      </c>
    </row>
    <row r="269" spans="1:9" s="9" customFormat="1" x14ac:dyDescent="0.3">
      <c r="A269" s="7">
        <v>45923</v>
      </c>
      <c r="B269" s="16"/>
      <c r="C269" s="30"/>
      <c r="D269" s="30">
        <v>4000</v>
      </c>
      <c r="E269" s="30"/>
      <c r="F269" s="15"/>
      <c r="G269" s="15"/>
      <c r="H269" s="16"/>
      <c r="I269" s="8">
        <f t="shared" si="4"/>
        <v>-134798.33999999997</v>
      </c>
    </row>
    <row r="270" spans="1:9" s="9" customFormat="1" x14ac:dyDescent="0.3">
      <c r="A270" s="7">
        <v>45924</v>
      </c>
      <c r="B270" s="16"/>
      <c r="C270" s="30"/>
      <c r="D270" s="30">
        <v>4000</v>
      </c>
      <c r="E270" s="30"/>
      <c r="F270" s="15"/>
      <c r="G270" s="15"/>
      <c r="H270" s="16"/>
      <c r="I270" s="8">
        <f t="shared" si="4"/>
        <v>-138798.33999999997</v>
      </c>
    </row>
    <row r="271" spans="1:9" s="9" customFormat="1" x14ac:dyDescent="0.3">
      <c r="A271" s="7">
        <v>45925</v>
      </c>
      <c r="B271" s="16"/>
      <c r="C271" s="30"/>
      <c r="D271" s="30">
        <v>4000</v>
      </c>
      <c r="E271" s="30"/>
      <c r="F271" s="15"/>
      <c r="G271" s="15"/>
      <c r="H271" s="16"/>
      <c r="I271" s="8">
        <f t="shared" si="4"/>
        <v>-142798.33999999997</v>
      </c>
    </row>
    <row r="272" spans="1:9" s="9" customFormat="1" x14ac:dyDescent="0.3">
      <c r="A272" s="7">
        <v>45926</v>
      </c>
      <c r="B272" s="16"/>
      <c r="C272" s="30"/>
      <c r="D272" s="30">
        <v>4000</v>
      </c>
      <c r="E272" s="30"/>
      <c r="F272" s="15"/>
      <c r="G272" s="15"/>
      <c r="H272" s="16"/>
      <c r="I272" s="8">
        <f t="shared" si="4"/>
        <v>-146798.33999999997</v>
      </c>
    </row>
    <row r="273" spans="1:9" s="9" customFormat="1" x14ac:dyDescent="0.3">
      <c r="A273" s="7">
        <v>45927</v>
      </c>
      <c r="B273" s="16"/>
      <c r="C273" s="30"/>
      <c r="D273" s="30">
        <v>4000</v>
      </c>
      <c r="E273" s="30"/>
      <c r="F273" s="15"/>
      <c r="G273" s="15"/>
      <c r="H273" s="16"/>
      <c r="I273" s="8">
        <f t="shared" si="4"/>
        <v>-150798.33999999997</v>
      </c>
    </row>
    <row r="274" spans="1:9" s="9" customFormat="1" x14ac:dyDescent="0.3">
      <c r="A274" s="7">
        <v>45928</v>
      </c>
      <c r="B274" s="16"/>
      <c r="C274" s="30">
        <v>25000</v>
      </c>
      <c r="D274" s="30"/>
      <c r="E274" s="30"/>
      <c r="F274" s="15"/>
      <c r="G274" s="15"/>
      <c r="H274" s="16"/>
      <c r="I274" s="8">
        <f t="shared" si="4"/>
        <v>-125798.33999999997</v>
      </c>
    </row>
    <row r="275" spans="1:9" s="9" customFormat="1" x14ac:dyDescent="0.3">
      <c r="A275" s="7">
        <v>45929</v>
      </c>
      <c r="B275" s="16"/>
      <c r="C275" s="30"/>
      <c r="D275" s="30">
        <v>4000</v>
      </c>
      <c r="E275" s="30"/>
      <c r="F275" s="15">
        <v>2407</v>
      </c>
      <c r="G275" s="15">
        <v>14992</v>
      </c>
      <c r="H275" s="16" t="s">
        <v>78</v>
      </c>
      <c r="I275" s="8">
        <f t="shared" si="4"/>
        <v>-147197.33999999997</v>
      </c>
    </row>
    <row r="276" spans="1:9" s="9" customFormat="1" x14ac:dyDescent="0.3">
      <c r="A276" s="7">
        <v>45930</v>
      </c>
      <c r="B276" s="16"/>
      <c r="C276" s="31">
        <v>101739.13</v>
      </c>
      <c r="D276" s="30">
        <v>4000</v>
      </c>
      <c r="E276" s="30"/>
      <c r="F276" s="15"/>
      <c r="G276" s="15"/>
      <c r="H276" s="19" t="s">
        <v>77</v>
      </c>
      <c r="I276" s="8">
        <f t="shared" si="4"/>
        <v>-49458.209999999963</v>
      </c>
    </row>
    <row r="277" spans="1:9" s="9" customFormat="1" x14ac:dyDescent="0.3">
      <c r="A277" s="7">
        <v>45931</v>
      </c>
      <c r="B277" s="16"/>
      <c r="C277" s="31">
        <v>35000</v>
      </c>
      <c r="D277" s="30">
        <v>4000</v>
      </c>
      <c r="E277" s="30"/>
      <c r="F277" s="15">
        <v>7947</v>
      </c>
      <c r="G277" s="15"/>
      <c r="H277" s="19" t="s">
        <v>79</v>
      </c>
      <c r="I277" s="8">
        <f t="shared" si="4"/>
        <v>-26405.209999999963</v>
      </c>
    </row>
    <row r="278" spans="1:9" s="9" customFormat="1" x14ac:dyDescent="0.3">
      <c r="A278" s="7">
        <v>45932</v>
      </c>
      <c r="B278" s="16"/>
      <c r="C278" s="30">
        <v>27000</v>
      </c>
      <c r="D278" s="30">
        <v>4000</v>
      </c>
      <c r="E278" s="30"/>
      <c r="F278" s="15"/>
      <c r="G278" s="15"/>
      <c r="H278" s="16"/>
      <c r="I278" s="8">
        <f t="shared" si="4"/>
        <v>-3405.2099999999627</v>
      </c>
    </row>
    <row r="279" spans="1:9" s="9" customFormat="1" x14ac:dyDescent="0.3">
      <c r="A279" s="7">
        <v>45933</v>
      </c>
      <c r="B279" s="16"/>
      <c r="C279" s="30"/>
      <c r="D279" s="30">
        <v>4000</v>
      </c>
      <c r="E279" s="30"/>
      <c r="F279" s="15"/>
      <c r="G279" s="15"/>
      <c r="H279" s="16"/>
      <c r="I279" s="8">
        <f t="shared" si="4"/>
        <v>-7405.2099999999627</v>
      </c>
    </row>
    <row r="280" spans="1:9" s="9" customFormat="1" x14ac:dyDescent="0.3">
      <c r="A280" s="7">
        <v>45934</v>
      </c>
      <c r="B280" s="16"/>
      <c r="C280" s="30"/>
      <c r="D280" s="30">
        <v>4000</v>
      </c>
      <c r="E280" s="30"/>
      <c r="F280" s="15"/>
      <c r="G280" s="15"/>
      <c r="H280" s="16"/>
      <c r="I280" s="8">
        <f t="shared" si="4"/>
        <v>-11405.209999999963</v>
      </c>
    </row>
    <row r="281" spans="1:9" s="9" customFormat="1" x14ac:dyDescent="0.3">
      <c r="A281" s="7">
        <v>45935</v>
      </c>
      <c r="B281" s="16"/>
      <c r="C281" s="30"/>
      <c r="D281" s="30"/>
      <c r="E281" s="30"/>
      <c r="F281" s="15"/>
      <c r="G281" s="15"/>
      <c r="H281" s="16"/>
      <c r="I281" s="8">
        <f t="shared" si="4"/>
        <v>-11405.209999999963</v>
      </c>
    </row>
    <row r="282" spans="1:9" s="9" customFormat="1" x14ac:dyDescent="0.3">
      <c r="A282" s="7">
        <v>45936</v>
      </c>
      <c r="B282" s="16"/>
      <c r="C282" s="30"/>
      <c r="D282" s="30">
        <v>4000</v>
      </c>
      <c r="E282" s="30"/>
      <c r="F282" s="15"/>
      <c r="G282" s="15"/>
      <c r="H282" s="16"/>
      <c r="I282" s="8">
        <f t="shared" si="4"/>
        <v>-15405.209999999963</v>
      </c>
    </row>
    <row r="283" spans="1:9" s="9" customFormat="1" x14ac:dyDescent="0.3">
      <c r="A283" s="7">
        <v>45937</v>
      </c>
      <c r="B283" s="16"/>
      <c r="C283" s="30"/>
      <c r="D283" s="30">
        <v>4000</v>
      </c>
      <c r="E283" s="30"/>
      <c r="F283" s="15"/>
      <c r="G283" s="15"/>
      <c r="H283" s="16"/>
      <c r="I283" s="8">
        <f t="shared" si="4"/>
        <v>-19405.209999999963</v>
      </c>
    </row>
    <row r="284" spans="1:9" s="9" customFormat="1" x14ac:dyDescent="0.3">
      <c r="A284" s="7">
        <v>45938</v>
      </c>
      <c r="B284" s="16"/>
      <c r="C284" s="30"/>
      <c r="D284" s="30">
        <v>4000</v>
      </c>
      <c r="E284" s="30"/>
      <c r="F284" s="15">
        <v>1000</v>
      </c>
      <c r="G284" s="15"/>
      <c r="H284" s="16" t="s">
        <v>65</v>
      </c>
      <c r="I284" s="8">
        <f t="shared" si="4"/>
        <v>-24405.209999999963</v>
      </c>
    </row>
    <row r="285" spans="1:9" s="9" customFormat="1" x14ac:dyDescent="0.3">
      <c r="A285" s="7">
        <v>45939</v>
      </c>
      <c r="B285" s="16"/>
      <c r="C285" s="30"/>
      <c r="D285" s="30">
        <v>4000</v>
      </c>
      <c r="E285" s="30"/>
      <c r="F285" s="15">
        <v>13771.6</v>
      </c>
      <c r="G285" s="15"/>
      <c r="H285" s="16" t="s">
        <v>80</v>
      </c>
      <c r="I285" s="8">
        <f t="shared" si="4"/>
        <v>-42176.809999999961</v>
      </c>
    </row>
    <row r="286" spans="1:9" s="9" customFormat="1" x14ac:dyDescent="0.3">
      <c r="A286" s="7">
        <v>45940</v>
      </c>
      <c r="B286" s="16"/>
      <c r="C286" s="30"/>
      <c r="D286" s="30">
        <v>4000</v>
      </c>
      <c r="E286" s="30"/>
      <c r="F286" s="15"/>
      <c r="G286" s="15"/>
      <c r="H286" s="16"/>
      <c r="I286" s="8">
        <f t="shared" si="4"/>
        <v>-46176.809999999961</v>
      </c>
    </row>
    <row r="287" spans="1:9" s="9" customFormat="1" x14ac:dyDescent="0.3">
      <c r="A287" s="7">
        <v>45941</v>
      </c>
      <c r="B287" s="16"/>
      <c r="C287" s="30"/>
      <c r="D287" s="30">
        <v>4000</v>
      </c>
      <c r="E287" s="30"/>
      <c r="F287" s="15"/>
      <c r="G287" s="15"/>
      <c r="H287" s="16"/>
      <c r="I287" s="8">
        <f t="shared" si="4"/>
        <v>-50176.809999999961</v>
      </c>
    </row>
    <row r="288" spans="1:9" s="9" customFormat="1" x14ac:dyDescent="0.3">
      <c r="A288" s="7">
        <v>45942</v>
      </c>
      <c r="B288" s="16"/>
      <c r="C288" s="30"/>
      <c r="D288" s="30"/>
      <c r="E288" s="30"/>
      <c r="F288" s="15"/>
      <c r="G288" s="15"/>
      <c r="H288" s="16"/>
      <c r="I288" s="8">
        <f t="shared" si="4"/>
        <v>-50176.809999999961</v>
      </c>
    </row>
    <row r="289" spans="1:9" s="9" customFormat="1" x14ac:dyDescent="0.3">
      <c r="A289" s="7">
        <v>45943</v>
      </c>
      <c r="B289" s="16"/>
      <c r="C289" s="30"/>
      <c r="D289" s="30">
        <v>4000</v>
      </c>
      <c r="E289" s="30"/>
      <c r="F289" s="15"/>
      <c r="G289" s="15"/>
      <c r="H289" s="16"/>
      <c r="I289" s="8">
        <f t="shared" si="4"/>
        <v>-54176.809999999961</v>
      </c>
    </row>
    <row r="290" spans="1:9" s="9" customFormat="1" x14ac:dyDescent="0.3">
      <c r="A290" s="7">
        <v>45944</v>
      </c>
      <c r="B290" s="16"/>
      <c r="C290" s="30"/>
      <c r="D290" s="30">
        <v>4000</v>
      </c>
      <c r="E290" s="30"/>
      <c r="F290" s="15"/>
      <c r="G290" s="15"/>
      <c r="H290" s="16"/>
      <c r="I290" s="8">
        <f t="shared" si="4"/>
        <v>-58176.809999999961</v>
      </c>
    </row>
    <row r="291" spans="1:9" s="9" customFormat="1" x14ac:dyDescent="0.3">
      <c r="A291" s="7">
        <v>45945</v>
      </c>
      <c r="B291" s="16"/>
      <c r="C291" s="30"/>
      <c r="D291" s="30">
        <v>4000</v>
      </c>
      <c r="E291" s="30"/>
      <c r="F291" s="15"/>
      <c r="G291" s="15"/>
      <c r="H291" s="16"/>
      <c r="I291" s="8">
        <f t="shared" si="4"/>
        <v>-62176.809999999961</v>
      </c>
    </row>
    <row r="292" spans="1:9" s="9" customFormat="1" x14ac:dyDescent="0.3">
      <c r="A292" s="7">
        <v>45946</v>
      </c>
      <c r="B292" s="16"/>
      <c r="C292" s="30"/>
      <c r="D292" s="30">
        <v>4000</v>
      </c>
      <c r="E292" s="30"/>
      <c r="F292" s="15"/>
      <c r="G292" s="15"/>
      <c r="H292" s="16"/>
      <c r="I292" s="8">
        <f t="shared" si="4"/>
        <v>-66176.809999999969</v>
      </c>
    </row>
    <row r="293" spans="1:9" s="9" customFormat="1" x14ac:dyDescent="0.3">
      <c r="A293" s="7">
        <v>45947</v>
      </c>
      <c r="B293" s="16"/>
      <c r="C293" s="30"/>
      <c r="D293" s="30">
        <v>4000</v>
      </c>
      <c r="E293" s="30"/>
      <c r="F293" s="15"/>
      <c r="G293" s="15"/>
      <c r="H293" s="16"/>
      <c r="I293" s="8">
        <f t="shared" si="4"/>
        <v>-70176.809999999969</v>
      </c>
    </row>
    <row r="294" spans="1:9" s="9" customFormat="1" x14ac:dyDescent="0.3">
      <c r="A294" s="7">
        <v>45948</v>
      </c>
      <c r="B294" s="16"/>
      <c r="C294" s="30"/>
      <c r="D294" s="30">
        <v>4000</v>
      </c>
      <c r="E294" s="30"/>
      <c r="F294" s="15"/>
      <c r="G294" s="15"/>
      <c r="H294" s="16"/>
      <c r="I294" s="8">
        <f t="shared" si="4"/>
        <v>-74176.809999999969</v>
      </c>
    </row>
    <row r="295" spans="1:9" s="9" customFormat="1" x14ac:dyDescent="0.3">
      <c r="A295" s="7">
        <v>45949</v>
      </c>
      <c r="B295" s="16"/>
      <c r="C295" s="30">
        <v>60000</v>
      </c>
      <c r="D295" s="30"/>
      <c r="E295" s="30"/>
      <c r="F295" s="15"/>
      <c r="G295" s="15"/>
      <c r="H295" s="16"/>
      <c r="I295" s="8">
        <f t="shared" si="4"/>
        <v>-14176.809999999969</v>
      </c>
    </row>
    <row r="296" spans="1:9" s="9" customFormat="1" x14ac:dyDescent="0.3">
      <c r="A296" s="7">
        <v>45950</v>
      </c>
      <c r="B296" s="16"/>
      <c r="C296" s="30"/>
      <c r="D296" s="30">
        <v>4000</v>
      </c>
      <c r="E296" s="30"/>
      <c r="F296" s="15"/>
      <c r="G296" s="15"/>
      <c r="H296" s="16"/>
      <c r="I296" s="8">
        <f t="shared" si="4"/>
        <v>-18176.809999999969</v>
      </c>
    </row>
    <row r="297" spans="1:9" s="9" customFormat="1" x14ac:dyDescent="0.3">
      <c r="A297" s="7">
        <v>45951</v>
      </c>
      <c r="B297" s="16"/>
      <c r="C297" s="30"/>
      <c r="D297" s="30">
        <v>4000</v>
      </c>
      <c r="E297" s="30"/>
      <c r="F297" s="15"/>
      <c r="G297" s="15">
        <v>19043</v>
      </c>
      <c r="H297" s="16" t="s">
        <v>81</v>
      </c>
      <c r="I297" s="8">
        <f t="shared" si="4"/>
        <v>-41219.809999999969</v>
      </c>
    </row>
    <row r="298" spans="1:9" s="9" customFormat="1" x14ac:dyDescent="0.3">
      <c r="A298" s="7">
        <v>45952</v>
      </c>
      <c r="B298" s="16"/>
      <c r="C298" s="30"/>
      <c r="D298" s="30">
        <v>4000</v>
      </c>
      <c r="E298" s="30"/>
      <c r="F298" s="15"/>
      <c r="G298" s="15"/>
      <c r="H298" s="16"/>
      <c r="I298" s="8">
        <f t="shared" si="4"/>
        <v>-45219.809999999969</v>
      </c>
    </row>
    <row r="299" spans="1:9" s="9" customFormat="1" x14ac:dyDescent="0.3">
      <c r="A299" s="7">
        <v>45953</v>
      </c>
      <c r="B299" s="16"/>
      <c r="C299" s="30"/>
      <c r="D299" s="30">
        <v>4000</v>
      </c>
      <c r="E299" s="30"/>
      <c r="F299" s="15"/>
      <c r="G299" s="15"/>
      <c r="H299" s="16"/>
      <c r="I299" s="8">
        <f t="shared" si="4"/>
        <v>-49219.809999999969</v>
      </c>
    </row>
    <row r="300" spans="1:9" s="9" customFormat="1" x14ac:dyDescent="0.3">
      <c r="A300" s="7">
        <v>45954</v>
      </c>
      <c r="B300" s="16"/>
      <c r="C300" s="30"/>
      <c r="D300" s="30">
        <v>4000</v>
      </c>
      <c r="E300" s="30"/>
      <c r="F300" s="15"/>
      <c r="G300" s="15"/>
      <c r="H300" s="16"/>
      <c r="I300" s="8">
        <f t="shared" si="4"/>
        <v>-53219.809999999969</v>
      </c>
    </row>
    <row r="301" spans="1:9" s="9" customFormat="1" x14ac:dyDescent="0.3">
      <c r="A301" s="7">
        <v>45955</v>
      </c>
      <c r="B301" s="16"/>
      <c r="C301" s="30"/>
      <c r="D301" s="30">
        <v>4000</v>
      </c>
      <c r="E301" s="30"/>
      <c r="F301" s="15"/>
      <c r="G301" s="15"/>
      <c r="H301" s="16"/>
      <c r="I301" s="8">
        <f t="shared" si="4"/>
        <v>-57219.809999999969</v>
      </c>
    </row>
    <row r="302" spans="1:9" s="9" customFormat="1" x14ac:dyDescent="0.3">
      <c r="A302" s="7">
        <v>45956</v>
      </c>
      <c r="B302" s="16"/>
      <c r="C302" s="30"/>
      <c r="D302" s="30"/>
      <c r="E302" s="30"/>
      <c r="F302" s="15"/>
      <c r="G302" s="15"/>
      <c r="H302" s="16"/>
      <c r="I302" s="8">
        <f t="shared" si="4"/>
        <v>-57219.809999999969</v>
      </c>
    </row>
    <row r="303" spans="1:9" s="9" customFormat="1" x14ac:dyDescent="0.3">
      <c r="A303" s="7">
        <v>45957</v>
      </c>
      <c r="B303" s="16"/>
      <c r="C303" s="30"/>
      <c r="D303" s="30">
        <v>4000</v>
      </c>
      <c r="E303" s="30"/>
      <c r="F303" s="15"/>
      <c r="G303" s="15">
        <v>3654.06</v>
      </c>
      <c r="H303" s="16" t="s">
        <v>8</v>
      </c>
      <c r="I303" s="8">
        <f t="shared" si="4"/>
        <v>-64873.869999999966</v>
      </c>
    </row>
    <row r="304" spans="1:9" s="9" customFormat="1" x14ac:dyDescent="0.3">
      <c r="A304" s="7">
        <v>45958</v>
      </c>
      <c r="B304" s="16"/>
      <c r="C304" s="30"/>
      <c r="D304" s="30"/>
      <c r="E304" s="30"/>
      <c r="F304" s="15"/>
      <c r="G304" s="15"/>
      <c r="H304" s="16"/>
      <c r="I304" s="8">
        <f t="shared" si="4"/>
        <v>-64873.869999999966</v>
      </c>
    </row>
    <row r="305" spans="1:9" s="9" customFormat="1" x14ac:dyDescent="0.3">
      <c r="A305" s="7">
        <v>45959</v>
      </c>
      <c r="B305" s="16"/>
      <c r="C305" s="30"/>
      <c r="D305" s="30">
        <v>4000</v>
      </c>
      <c r="E305" s="30"/>
      <c r="F305" s="15">
        <v>4881</v>
      </c>
      <c r="G305" s="15">
        <v>1377</v>
      </c>
      <c r="H305" s="16" t="s">
        <v>83</v>
      </c>
      <c r="I305" s="8">
        <f t="shared" si="4"/>
        <v>-75131.869999999966</v>
      </c>
    </row>
    <row r="306" spans="1:9" s="9" customFormat="1" x14ac:dyDescent="0.3">
      <c r="A306" s="7">
        <v>45960</v>
      </c>
      <c r="B306" s="16"/>
      <c r="C306" s="30">
        <v>20000</v>
      </c>
      <c r="D306" s="30">
        <v>4000</v>
      </c>
      <c r="E306" s="30"/>
      <c r="F306" s="15">
        <v>499</v>
      </c>
      <c r="G306" s="15"/>
      <c r="H306" s="16" t="s">
        <v>87</v>
      </c>
      <c r="I306" s="8">
        <f t="shared" si="4"/>
        <v>-59630.869999999966</v>
      </c>
    </row>
    <row r="307" spans="1:9" s="9" customFormat="1" x14ac:dyDescent="0.3">
      <c r="A307" s="7">
        <v>45961</v>
      </c>
      <c r="B307" s="16"/>
      <c r="C307" s="30"/>
      <c r="D307" s="30">
        <v>4000</v>
      </c>
      <c r="E307" s="30"/>
      <c r="F307" s="15">
        <v>3973</v>
      </c>
      <c r="G307" s="15"/>
      <c r="H307" s="16" t="s">
        <v>86</v>
      </c>
      <c r="I307" s="8">
        <f t="shared" si="4"/>
        <v>-67603.869999999966</v>
      </c>
    </row>
    <row r="308" spans="1:9" s="9" customFormat="1" x14ac:dyDescent="0.3">
      <c r="A308" s="7">
        <v>45962</v>
      </c>
      <c r="B308" s="16"/>
      <c r="C308" s="30"/>
      <c r="D308" s="30">
        <v>4000</v>
      </c>
      <c r="E308" s="30"/>
      <c r="F308" s="15"/>
      <c r="G308" s="15">
        <v>3536.07</v>
      </c>
      <c r="H308" s="16" t="s">
        <v>8</v>
      </c>
      <c r="I308" s="8">
        <f t="shared" si="4"/>
        <v>-75139.939999999973</v>
      </c>
    </row>
    <row r="309" spans="1:9" s="9" customFormat="1" x14ac:dyDescent="0.3">
      <c r="A309" s="7">
        <v>45963</v>
      </c>
      <c r="B309" s="16"/>
      <c r="C309" s="30"/>
      <c r="D309" s="30"/>
      <c r="E309" s="30"/>
      <c r="F309" s="15"/>
      <c r="G309" s="15"/>
      <c r="H309" s="16"/>
      <c r="I309" s="8">
        <f t="shared" si="4"/>
        <v>-75139.939999999973</v>
      </c>
    </row>
    <row r="310" spans="1:9" s="9" customFormat="1" x14ac:dyDescent="0.3">
      <c r="A310" s="7">
        <v>45964</v>
      </c>
      <c r="B310" s="16"/>
      <c r="C310" s="30"/>
      <c r="D310" s="30">
        <v>4000</v>
      </c>
      <c r="E310" s="30"/>
      <c r="F310" s="15"/>
      <c r="G310" s="15"/>
      <c r="H310" s="16"/>
      <c r="I310" s="8">
        <f t="shared" si="4"/>
        <v>-79139.939999999973</v>
      </c>
    </row>
    <row r="311" spans="1:9" s="9" customFormat="1" x14ac:dyDescent="0.3">
      <c r="A311" s="7">
        <v>45965</v>
      </c>
      <c r="B311" s="16"/>
      <c r="C311" s="30"/>
      <c r="D311" s="30">
        <v>4000</v>
      </c>
      <c r="E311" s="30"/>
      <c r="F311" s="15">
        <v>1884</v>
      </c>
      <c r="G311" s="15"/>
      <c r="H311" s="16" t="s">
        <v>84</v>
      </c>
      <c r="I311" s="8">
        <f t="shared" si="4"/>
        <v>-85023.939999999973</v>
      </c>
    </row>
    <row r="312" spans="1:9" s="9" customFormat="1" x14ac:dyDescent="0.3">
      <c r="A312" s="7">
        <v>45966</v>
      </c>
      <c r="B312" s="16"/>
      <c r="C312" s="30"/>
      <c r="D312" s="30"/>
      <c r="E312" s="30"/>
      <c r="F312" s="15"/>
      <c r="G312" s="15"/>
      <c r="H312" s="16"/>
      <c r="I312" s="8">
        <f t="shared" si="4"/>
        <v>-85023.939999999973</v>
      </c>
    </row>
    <row r="313" spans="1:9" s="9" customFormat="1" x14ac:dyDescent="0.3">
      <c r="A313" s="7">
        <v>45967</v>
      </c>
      <c r="B313" s="16"/>
      <c r="C313" s="30"/>
      <c r="D313" s="30">
        <v>4000</v>
      </c>
      <c r="E313" s="30"/>
      <c r="F313" s="15"/>
      <c r="G313" s="15"/>
      <c r="H313" s="16"/>
      <c r="I313" s="8">
        <f t="shared" si="4"/>
        <v>-89023.939999999973</v>
      </c>
    </row>
    <row r="314" spans="1:9" s="9" customFormat="1" x14ac:dyDescent="0.3">
      <c r="A314" s="7">
        <v>45968</v>
      </c>
      <c r="B314" s="16"/>
      <c r="C314" s="30"/>
      <c r="D314" s="30">
        <v>4000</v>
      </c>
      <c r="E314" s="30"/>
      <c r="F314" s="15"/>
      <c r="G314" s="15"/>
      <c r="H314" s="16"/>
      <c r="I314" s="8">
        <f t="shared" si="4"/>
        <v>-93023.939999999973</v>
      </c>
    </row>
    <row r="315" spans="1:9" s="9" customFormat="1" x14ac:dyDescent="0.3">
      <c r="A315" s="7">
        <v>45969</v>
      </c>
      <c r="B315" s="16"/>
      <c r="C315" s="30"/>
      <c r="D315" s="30">
        <v>4000</v>
      </c>
      <c r="E315" s="30"/>
      <c r="F315" s="15">
        <v>1399</v>
      </c>
      <c r="G315" s="15"/>
      <c r="H315" s="16" t="s">
        <v>85</v>
      </c>
      <c r="I315" s="8">
        <f t="shared" si="4"/>
        <v>-98422.939999999973</v>
      </c>
    </row>
    <row r="316" spans="1:9" s="9" customFormat="1" x14ac:dyDescent="0.3">
      <c r="A316" s="7">
        <v>45970</v>
      </c>
      <c r="B316" s="16"/>
      <c r="C316" s="30">
        <v>30000</v>
      </c>
      <c r="D316" s="30"/>
      <c r="E316" s="30"/>
      <c r="F316" s="15"/>
      <c r="G316" s="15">
        <v>3504.08</v>
      </c>
      <c r="H316" s="16" t="s">
        <v>8</v>
      </c>
      <c r="I316" s="8">
        <f t="shared" si="4"/>
        <v>-71927.019999999975</v>
      </c>
    </row>
    <row r="317" spans="1:9" s="9" customFormat="1" x14ac:dyDescent="0.3">
      <c r="A317" s="7">
        <v>45971</v>
      </c>
      <c r="B317" s="16"/>
      <c r="C317" s="30"/>
      <c r="D317" s="30">
        <v>4000</v>
      </c>
      <c r="E317" s="30"/>
      <c r="F317" s="15"/>
      <c r="G317" s="15"/>
      <c r="H317" s="16"/>
      <c r="I317" s="8">
        <f t="shared" si="4"/>
        <v>-75927.019999999975</v>
      </c>
    </row>
    <row r="318" spans="1:9" s="9" customFormat="1" x14ac:dyDescent="0.3">
      <c r="A318" s="7">
        <v>45972</v>
      </c>
      <c r="B318" s="16"/>
      <c r="C318" s="30"/>
      <c r="D318" s="30">
        <v>4000</v>
      </c>
      <c r="E318" s="30"/>
      <c r="F318" s="15">
        <v>3737</v>
      </c>
      <c r="G318" s="15"/>
      <c r="H318" s="16" t="s">
        <v>88</v>
      </c>
      <c r="I318" s="8">
        <f t="shared" si="4"/>
        <v>-83664.019999999975</v>
      </c>
    </row>
    <row r="319" spans="1:9" s="9" customFormat="1" x14ac:dyDescent="0.3">
      <c r="A319" s="7">
        <v>45973</v>
      </c>
      <c r="B319" s="16"/>
      <c r="C319" s="30"/>
      <c r="D319" s="30">
        <v>4000</v>
      </c>
      <c r="E319" s="30"/>
      <c r="F319" s="15"/>
      <c r="G319" s="15"/>
      <c r="H319" s="16"/>
      <c r="I319" s="8">
        <f t="shared" si="4"/>
        <v>-87664.019999999975</v>
      </c>
    </row>
    <row r="320" spans="1:9" s="9" customFormat="1" x14ac:dyDescent="0.3">
      <c r="A320" s="7">
        <v>45974</v>
      </c>
      <c r="B320" s="16"/>
      <c r="C320" s="30"/>
      <c r="D320" s="30">
        <v>4000</v>
      </c>
      <c r="E320" s="30"/>
      <c r="F320" s="15"/>
      <c r="G320" s="15"/>
      <c r="H320" s="16"/>
      <c r="I320" s="8">
        <f t="shared" si="4"/>
        <v>-91664.019999999975</v>
      </c>
    </row>
    <row r="321" spans="1:9" s="9" customFormat="1" x14ac:dyDescent="0.3">
      <c r="A321" s="7">
        <v>45975</v>
      </c>
      <c r="B321" s="16"/>
      <c r="C321" s="30"/>
      <c r="D321" s="30">
        <v>4000</v>
      </c>
      <c r="E321" s="30"/>
      <c r="F321" s="15">
        <v>5150</v>
      </c>
      <c r="G321" s="15">
        <v>951</v>
      </c>
      <c r="H321" s="16" t="s">
        <v>82</v>
      </c>
      <c r="I321" s="8">
        <f t="shared" si="4"/>
        <v>-101765.01999999997</v>
      </c>
    </row>
    <row r="322" spans="1:9" s="9" customFormat="1" x14ac:dyDescent="0.3">
      <c r="A322" s="7">
        <v>45976</v>
      </c>
      <c r="B322" s="16"/>
      <c r="C322" s="30"/>
      <c r="D322" s="30">
        <v>4000</v>
      </c>
      <c r="E322" s="30"/>
      <c r="F322" s="15"/>
      <c r="G322" s="15"/>
      <c r="H322" s="16"/>
      <c r="I322" s="8">
        <f t="shared" si="4"/>
        <v>-105765.01999999997</v>
      </c>
    </row>
    <row r="323" spans="1:9" s="9" customFormat="1" x14ac:dyDescent="0.3">
      <c r="A323" s="7">
        <v>45977</v>
      </c>
      <c r="B323" s="16"/>
      <c r="C323" s="30"/>
      <c r="D323" s="30"/>
      <c r="E323" s="30"/>
      <c r="F323" s="15"/>
      <c r="G323" s="15"/>
      <c r="H323" s="16"/>
      <c r="I323" s="8">
        <f t="shared" si="4"/>
        <v>-105765.01999999997</v>
      </c>
    </row>
    <row r="324" spans="1:9" s="9" customFormat="1" x14ac:dyDescent="0.3">
      <c r="A324" s="7">
        <v>45978</v>
      </c>
      <c r="B324" s="16"/>
      <c r="C324" s="30"/>
      <c r="D324" s="30">
        <v>4000</v>
      </c>
      <c r="E324" s="30"/>
      <c r="F324" s="15"/>
      <c r="G324" s="15"/>
      <c r="H324" s="16"/>
      <c r="I324" s="8">
        <f t="shared" si="4"/>
        <v>-109765.01999999997</v>
      </c>
    </row>
    <row r="325" spans="1:9" s="9" customFormat="1" x14ac:dyDescent="0.3">
      <c r="A325" s="7">
        <v>45979</v>
      </c>
      <c r="B325" s="16"/>
      <c r="C325" s="30">
        <v>50000</v>
      </c>
      <c r="D325" s="30">
        <v>4000</v>
      </c>
      <c r="E325" s="30"/>
      <c r="F325" s="15"/>
      <c r="G325" s="15"/>
      <c r="H325" s="16"/>
      <c r="I325" s="8">
        <f t="shared" si="4"/>
        <v>-63765.019999999975</v>
      </c>
    </row>
    <row r="326" spans="1:9" s="9" customFormat="1" x14ac:dyDescent="0.3">
      <c r="A326" s="7">
        <v>45980</v>
      </c>
      <c r="B326" s="16"/>
      <c r="C326" s="30"/>
      <c r="D326" s="30">
        <v>4000</v>
      </c>
      <c r="E326" s="30"/>
      <c r="F326" s="15"/>
      <c r="G326" s="15">
        <v>3456.42</v>
      </c>
      <c r="H326" s="16" t="s">
        <v>8</v>
      </c>
      <c r="I326" s="8">
        <f t="shared" ref="I326:I365" si="5">I325+C326-D326-F326-G326-E326</f>
        <v>-71221.439999999973</v>
      </c>
    </row>
    <row r="327" spans="1:9" s="9" customFormat="1" x14ac:dyDescent="0.3">
      <c r="A327" s="7">
        <v>45981</v>
      </c>
      <c r="B327" s="16"/>
      <c r="C327" s="30"/>
      <c r="D327" s="30">
        <v>4000</v>
      </c>
      <c r="E327" s="30"/>
      <c r="F327" s="15"/>
      <c r="G327" s="15"/>
      <c r="H327" s="16"/>
      <c r="I327" s="8">
        <f t="shared" si="5"/>
        <v>-75221.439999999973</v>
      </c>
    </row>
    <row r="328" spans="1:9" s="9" customFormat="1" x14ac:dyDescent="0.3">
      <c r="A328" s="7">
        <v>45982</v>
      </c>
      <c r="B328" s="16"/>
      <c r="C328" s="30"/>
      <c r="D328" s="30">
        <v>4000</v>
      </c>
      <c r="E328" s="30"/>
      <c r="F328" s="15"/>
      <c r="G328" s="15"/>
      <c r="H328" s="16"/>
      <c r="I328" s="8">
        <f t="shared" si="5"/>
        <v>-79221.439999999973</v>
      </c>
    </row>
    <row r="329" spans="1:9" s="9" customFormat="1" x14ac:dyDescent="0.3">
      <c r="A329" s="7">
        <v>45983</v>
      </c>
      <c r="B329" s="16"/>
      <c r="C329" s="30"/>
      <c r="D329" s="30"/>
      <c r="E329" s="30"/>
      <c r="F329" s="15"/>
      <c r="G329" s="15"/>
      <c r="H329" s="16"/>
      <c r="I329" s="8">
        <f t="shared" si="5"/>
        <v>-79221.439999999973</v>
      </c>
    </row>
    <row r="330" spans="1:9" s="9" customFormat="1" x14ac:dyDescent="0.3">
      <c r="A330" s="7">
        <v>45984</v>
      </c>
      <c r="B330" s="16"/>
      <c r="C330" s="30"/>
      <c r="D330" s="30"/>
      <c r="E330" s="30"/>
      <c r="F330" s="15"/>
      <c r="G330" s="15"/>
      <c r="H330" s="16"/>
      <c r="I330" s="8">
        <f t="shared" si="5"/>
        <v>-79221.439999999973</v>
      </c>
    </row>
    <row r="331" spans="1:9" s="9" customFormat="1" x14ac:dyDescent="0.3">
      <c r="A331" s="7">
        <v>45985</v>
      </c>
      <c r="B331" s="16"/>
      <c r="C331" s="31">
        <v>5750.18</v>
      </c>
      <c r="D331" s="30">
        <v>4000</v>
      </c>
      <c r="E331" s="30"/>
      <c r="F331" s="15"/>
      <c r="G331" s="15">
        <v>3389.1</v>
      </c>
      <c r="H331" s="19" t="s">
        <v>89</v>
      </c>
      <c r="I331" s="8">
        <f t="shared" si="5"/>
        <v>-80860.359999999986</v>
      </c>
    </row>
    <row r="332" spans="1:9" s="9" customFormat="1" x14ac:dyDescent="0.3">
      <c r="A332" s="7">
        <v>45986</v>
      </c>
      <c r="B332" s="16"/>
      <c r="C332" s="31">
        <v>60000.13</v>
      </c>
      <c r="D332" s="30">
        <v>4000</v>
      </c>
      <c r="E332" s="30"/>
      <c r="F332" s="15"/>
      <c r="G332" s="15"/>
      <c r="H332" s="19" t="s">
        <v>77</v>
      </c>
      <c r="I332" s="8">
        <f t="shared" si="5"/>
        <v>-24860.229999999989</v>
      </c>
    </row>
    <row r="333" spans="1:9" s="9" customFormat="1" x14ac:dyDescent="0.3">
      <c r="A333" s="7">
        <v>45987</v>
      </c>
      <c r="B333" s="16"/>
      <c r="C333" s="30"/>
      <c r="D333" s="30"/>
      <c r="E333" s="30"/>
      <c r="F333" s="15"/>
      <c r="G333" s="15"/>
      <c r="H333" s="16"/>
      <c r="I333" s="8">
        <f t="shared" si="5"/>
        <v>-24860.229999999989</v>
      </c>
    </row>
    <row r="334" spans="1:9" s="9" customFormat="1" x14ac:dyDescent="0.3">
      <c r="A334" s="7">
        <v>45988</v>
      </c>
      <c r="B334" s="16"/>
      <c r="C334" s="30"/>
      <c r="D334" s="30"/>
      <c r="E334" s="30"/>
      <c r="F334" s="15"/>
      <c r="G334" s="15"/>
      <c r="H334" s="16"/>
      <c r="I334" s="8">
        <f t="shared" si="5"/>
        <v>-24860.229999999989</v>
      </c>
    </row>
    <row r="335" spans="1:9" s="9" customFormat="1" x14ac:dyDescent="0.3">
      <c r="A335" s="7">
        <v>45989</v>
      </c>
      <c r="B335" s="16"/>
      <c r="C335" s="30"/>
      <c r="D335" s="30"/>
      <c r="E335" s="30"/>
      <c r="F335" s="15"/>
      <c r="G335" s="15"/>
      <c r="H335" s="16"/>
      <c r="I335" s="8">
        <f t="shared" si="5"/>
        <v>-24860.229999999989</v>
      </c>
    </row>
    <row r="336" spans="1:9" s="9" customFormat="1" x14ac:dyDescent="0.3">
      <c r="A336" s="7">
        <v>45990</v>
      </c>
      <c r="B336" s="16"/>
      <c r="C336" s="30"/>
      <c r="D336" s="30"/>
      <c r="E336" s="30"/>
      <c r="F336" s="15"/>
      <c r="G336" s="15"/>
      <c r="H336" s="16"/>
      <c r="I336" s="8">
        <f t="shared" si="5"/>
        <v>-24860.229999999989</v>
      </c>
    </row>
    <row r="337" spans="1:9" s="9" customFormat="1" x14ac:dyDescent="0.3">
      <c r="A337" s="7">
        <v>45991</v>
      </c>
      <c r="B337" s="16"/>
      <c r="C337" s="30"/>
      <c r="D337" s="30"/>
      <c r="E337" s="30"/>
      <c r="F337" s="15"/>
      <c r="G337" s="15"/>
      <c r="H337" s="16"/>
      <c r="I337" s="8">
        <f t="shared" si="5"/>
        <v>-24860.229999999989</v>
      </c>
    </row>
    <row r="338" spans="1:9" s="9" customFormat="1" x14ac:dyDescent="0.3">
      <c r="A338" s="7">
        <v>45992</v>
      </c>
      <c r="B338" s="16"/>
      <c r="C338" s="30"/>
      <c r="D338" s="30"/>
      <c r="E338" s="30"/>
      <c r="F338" s="15"/>
      <c r="G338" s="15"/>
      <c r="H338" s="16"/>
      <c r="I338" s="8">
        <f t="shared" si="5"/>
        <v>-24860.229999999989</v>
      </c>
    </row>
    <row r="339" spans="1:9" s="9" customFormat="1" x14ac:dyDescent="0.3">
      <c r="A339" s="7">
        <v>45993</v>
      </c>
      <c r="B339" s="16"/>
      <c r="C339" s="30"/>
      <c r="D339" s="30"/>
      <c r="E339" s="30"/>
      <c r="F339" s="15"/>
      <c r="G339" s="15"/>
      <c r="H339" s="16"/>
      <c r="I339" s="8">
        <f t="shared" si="5"/>
        <v>-24860.229999999989</v>
      </c>
    </row>
    <row r="340" spans="1:9" s="9" customFormat="1" x14ac:dyDescent="0.3">
      <c r="A340" s="7">
        <v>45994</v>
      </c>
      <c r="B340" s="16"/>
      <c r="C340" s="30"/>
      <c r="D340" s="30"/>
      <c r="E340" s="30"/>
      <c r="F340" s="15"/>
      <c r="G340" s="15"/>
      <c r="H340" s="16"/>
      <c r="I340" s="8">
        <f t="shared" si="5"/>
        <v>-24860.229999999989</v>
      </c>
    </row>
    <row r="341" spans="1:9" s="9" customFormat="1" x14ac:dyDescent="0.3">
      <c r="A341" s="7">
        <v>45995</v>
      </c>
      <c r="B341" s="16"/>
      <c r="C341" s="30"/>
      <c r="D341" s="30"/>
      <c r="E341" s="30"/>
      <c r="F341" s="15"/>
      <c r="G341" s="15"/>
      <c r="H341" s="16"/>
      <c r="I341" s="8">
        <f t="shared" si="5"/>
        <v>-24860.229999999989</v>
      </c>
    </row>
    <row r="342" spans="1:9" s="9" customFormat="1" x14ac:dyDescent="0.3">
      <c r="A342" s="7">
        <v>45996</v>
      </c>
      <c r="B342" s="16"/>
      <c r="C342" s="30"/>
      <c r="D342" s="30"/>
      <c r="E342" s="30"/>
      <c r="F342" s="15"/>
      <c r="G342" s="15"/>
      <c r="H342" s="16"/>
      <c r="I342" s="8">
        <f t="shared" si="5"/>
        <v>-24860.229999999989</v>
      </c>
    </row>
    <row r="343" spans="1:9" s="9" customFormat="1" x14ac:dyDescent="0.3">
      <c r="A343" s="7">
        <v>45997</v>
      </c>
      <c r="B343" s="16"/>
      <c r="C343" s="30"/>
      <c r="D343" s="30"/>
      <c r="E343" s="30"/>
      <c r="F343" s="15"/>
      <c r="G343" s="15"/>
      <c r="H343" s="16"/>
      <c r="I343" s="8">
        <f t="shared" si="5"/>
        <v>-24860.229999999989</v>
      </c>
    </row>
    <row r="344" spans="1:9" s="9" customFormat="1" x14ac:dyDescent="0.3">
      <c r="A344" s="7">
        <v>45998</v>
      </c>
      <c r="B344" s="16"/>
      <c r="C344" s="30"/>
      <c r="D344" s="30"/>
      <c r="E344" s="30"/>
      <c r="F344" s="15"/>
      <c r="G344" s="15"/>
      <c r="H344" s="16"/>
      <c r="I344" s="8">
        <f t="shared" si="5"/>
        <v>-24860.229999999989</v>
      </c>
    </row>
    <row r="345" spans="1:9" s="9" customFormat="1" x14ac:dyDescent="0.3">
      <c r="A345" s="7">
        <v>45999</v>
      </c>
      <c r="B345" s="16"/>
      <c r="C345" s="30"/>
      <c r="D345" s="30"/>
      <c r="E345" s="30"/>
      <c r="F345" s="15"/>
      <c r="G345" s="15"/>
      <c r="H345" s="16"/>
      <c r="I345" s="8">
        <f t="shared" si="5"/>
        <v>-24860.229999999989</v>
      </c>
    </row>
    <row r="346" spans="1:9" s="9" customFormat="1" x14ac:dyDescent="0.3">
      <c r="A346" s="7">
        <v>46000</v>
      </c>
      <c r="B346" s="16"/>
      <c r="C346" s="30"/>
      <c r="D346" s="30"/>
      <c r="E346" s="30"/>
      <c r="F346" s="15"/>
      <c r="G346" s="15"/>
      <c r="H346" s="16"/>
      <c r="I346" s="8">
        <f t="shared" si="5"/>
        <v>-24860.229999999989</v>
      </c>
    </row>
    <row r="347" spans="1:9" s="9" customFormat="1" x14ac:dyDescent="0.3">
      <c r="A347" s="7">
        <v>46001</v>
      </c>
      <c r="B347" s="16"/>
      <c r="C347" s="30"/>
      <c r="D347" s="30"/>
      <c r="E347" s="30"/>
      <c r="F347" s="15"/>
      <c r="G347" s="15"/>
      <c r="H347" s="16"/>
      <c r="I347" s="8">
        <f t="shared" si="5"/>
        <v>-24860.229999999989</v>
      </c>
    </row>
    <row r="348" spans="1:9" s="9" customFormat="1" x14ac:dyDescent="0.3">
      <c r="A348" s="7">
        <v>46002</v>
      </c>
      <c r="B348" s="16"/>
      <c r="C348" s="30"/>
      <c r="D348" s="30"/>
      <c r="E348" s="30"/>
      <c r="F348" s="15"/>
      <c r="G348" s="15"/>
      <c r="H348" s="16"/>
      <c r="I348" s="8">
        <f t="shared" si="5"/>
        <v>-24860.229999999989</v>
      </c>
    </row>
    <row r="349" spans="1:9" s="9" customFormat="1" x14ac:dyDescent="0.3">
      <c r="A349" s="7">
        <v>46003</v>
      </c>
      <c r="B349" s="16"/>
      <c r="C349" s="30"/>
      <c r="D349" s="30"/>
      <c r="E349" s="30"/>
      <c r="F349" s="15"/>
      <c r="G349" s="15"/>
      <c r="H349" s="16"/>
      <c r="I349" s="8">
        <f t="shared" si="5"/>
        <v>-24860.229999999989</v>
      </c>
    </row>
    <row r="350" spans="1:9" s="9" customFormat="1" x14ac:dyDescent="0.3">
      <c r="A350" s="7">
        <v>46004</v>
      </c>
      <c r="B350" s="16"/>
      <c r="C350" s="30"/>
      <c r="D350" s="30"/>
      <c r="E350" s="30"/>
      <c r="F350" s="15"/>
      <c r="G350" s="15"/>
      <c r="H350" s="16"/>
      <c r="I350" s="8">
        <f t="shared" si="5"/>
        <v>-24860.229999999989</v>
      </c>
    </row>
    <row r="351" spans="1:9" s="9" customFormat="1" x14ac:dyDescent="0.3">
      <c r="A351" s="7">
        <v>46005</v>
      </c>
      <c r="B351" s="16"/>
      <c r="C351" s="30"/>
      <c r="D351" s="30"/>
      <c r="E351" s="30"/>
      <c r="F351" s="15"/>
      <c r="G351" s="15"/>
      <c r="H351" s="16"/>
      <c r="I351" s="8">
        <f t="shared" si="5"/>
        <v>-24860.229999999989</v>
      </c>
    </row>
    <row r="352" spans="1:9" s="9" customFormat="1" x14ac:dyDescent="0.3">
      <c r="A352" s="7">
        <v>46006</v>
      </c>
      <c r="B352" s="16"/>
      <c r="C352" s="30"/>
      <c r="D352" s="30"/>
      <c r="E352" s="30"/>
      <c r="F352" s="15"/>
      <c r="G352" s="15"/>
      <c r="H352" s="16"/>
      <c r="I352" s="8">
        <f t="shared" si="5"/>
        <v>-24860.229999999989</v>
      </c>
    </row>
    <row r="353" spans="1:9" s="9" customFormat="1" x14ac:dyDescent="0.3">
      <c r="A353" s="7">
        <v>46007</v>
      </c>
      <c r="B353" s="16"/>
      <c r="C353" s="30"/>
      <c r="D353" s="30"/>
      <c r="E353" s="30"/>
      <c r="F353" s="15"/>
      <c r="G353" s="15"/>
      <c r="H353" s="16"/>
      <c r="I353" s="8">
        <f t="shared" si="5"/>
        <v>-24860.229999999989</v>
      </c>
    </row>
    <row r="354" spans="1:9" s="9" customFormat="1" x14ac:dyDescent="0.3">
      <c r="A354" s="7">
        <v>46008</v>
      </c>
      <c r="B354" s="16"/>
      <c r="C354" s="30"/>
      <c r="D354" s="30"/>
      <c r="E354" s="30"/>
      <c r="F354" s="15"/>
      <c r="G354" s="15"/>
      <c r="H354" s="16"/>
      <c r="I354" s="8">
        <f t="shared" si="5"/>
        <v>-24860.229999999989</v>
      </c>
    </row>
    <row r="355" spans="1:9" s="9" customFormat="1" x14ac:dyDescent="0.3">
      <c r="A355" s="7">
        <v>46009</v>
      </c>
      <c r="B355" s="16"/>
      <c r="C355" s="30"/>
      <c r="D355" s="30"/>
      <c r="E355" s="30"/>
      <c r="F355" s="15"/>
      <c r="G355" s="15"/>
      <c r="H355" s="16"/>
      <c r="I355" s="8">
        <f t="shared" si="5"/>
        <v>-24860.229999999989</v>
      </c>
    </row>
    <row r="356" spans="1:9" s="9" customFormat="1" x14ac:dyDescent="0.3">
      <c r="A356" s="7">
        <v>46010</v>
      </c>
      <c r="B356" s="16"/>
      <c r="C356" s="30"/>
      <c r="D356" s="30"/>
      <c r="E356" s="30"/>
      <c r="F356" s="15"/>
      <c r="G356" s="15"/>
      <c r="H356" s="16"/>
      <c r="I356" s="8">
        <f t="shared" si="5"/>
        <v>-24860.229999999989</v>
      </c>
    </row>
    <row r="357" spans="1:9" s="9" customFormat="1" x14ac:dyDescent="0.3">
      <c r="A357" s="7">
        <v>46011</v>
      </c>
      <c r="B357" s="16"/>
      <c r="C357" s="30"/>
      <c r="D357" s="30"/>
      <c r="E357" s="30"/>
      <c r="F357" s="15"/>
      <c r="G357" s="15"/>
      <c r="H357" s="16"/>
      <c r="I357" s="8">
        <f t="shared" si="5"/>
        <v>-24860.229999999989</v>
      </c>
    </row>
    <row r="358" spans="1:9" s="9" customFormat="1" x14ac:dyDescent="0.3">
      <c r="A358" s="7">
        <v>46012</v>
      </c>
      <c r="B358" s="16"/>
      <c r="C358" s="30"/>
      <c r="D358" s="30"/>
      <c r="E358" s="30"/>
      <c r="F358" s="15"/>
      <c r="G358" s="15"/>
      <c r="H358" s="16"/>
      <c r="I358" s="8">
        <f t="shared" si="5"/>
        <v>-24860.229999999989</v>
      </c>
    </row>
    <row r="359" spans="1:9" s="9" customFormat="1" x14ac:dyDescent="0.3">
      <c r="A359" s="7">
        <v>46013</v>
      </c>
      <c r="B359" s="16"/>
      <c r="C359" s="30"/>
      <c r="D359" s="30"/>
      <c r="E359" s="30"/>
      <c r="F359" s="15"/>
      <c r="G359" s="15"/>
      <c r="H359" s="16"/>
      <c r="I359" s="8">
        <f t="shared" si="5"/>
        <v>-24860.229999999989</v>
      </c>
    </row>
    <row r="360" spans="1:9" s="9" customFormat="1" x14ac:dyDescent="0.3">
      <c r="A360" s="7">
        <v>46014</v>
      </c>
      <c r="B360" s="16"/>
      <c r="C360" s="30"/>
      <c r="D360" s="30"/>
      <c r="E360" s="30"/>
      <c r="F360" s="15"/>
      <c r="G360" s="15"/>
      <c r="H360" s="16"/>
      <c r="I360" s="8">
        <f t="shared" si="5"/>
        <v>-24860.229999999989</v>
      </c>
    </row>
    <row r="361" spans="1:9" s="9" customFormat="1" x14ac:dyDescent="0.3">
      <c r="A361" s="7">
        <v>46015</v>
      </c>
      <c r="B361" s="16"/>
      <c r="C361" s="30"/>
      <c r="D361" s="30"/>
      <c r="E361" s="30"/>
      <c r="F361" s="15"/>
      <c r="G361" s="15"/>
      <c r="H361" s="16"/>
      <c r="I361" s="8">
        <f t="shared" si="5"/>
        <v>-24860.229999999989</v>
      </c>
    </row>
    <row r="362" spans="1:9" s="9" customFormat="1" x14ac:dyDescent="0.3">
      <c r="A362" s="7">
        <v>46016</v>
      </c>
      <c r="B362" s="16"/>
      <c r="C362" s="30"/>
      <c r="D362" s="30"/>
      <c r="E362" s="30"/>
      <c r="F362" s="15"/>
      <c r="G362" s="15"/>
      <c r="H362" s="16"/>
      <c r="I362" s="8">
        <f t="shared" si="5"/>
        <v>-24860.229999999989</v>
      </c>
    </row>
    <row r="363" spans="1:9" s="9" customFormat="1" x14ac:dyDescent="0.3">
      <c r="A363" s="7">
        <v>46017</v>
      </c>
      <c r="B363" s="16"/>
      <c r="C363" s="30"/>
      <c r="D363" s="30"/>
      <c r="E363" s="30"/>
      <c r="F363" s="15"/>
      <c r="G363" s="15"/>
      <c r="H363" s="16"/>
      <c r="I363" s="8">
        <f t="shared" si="5"/>
        <v>-24860.229999999989</v>
      </c>
    </row>
    <row r="364" spans="1:9" x14ac:dyDescent="0.3">
      <c r="A364" s="7">
        <v>46018</v>
      </c>
      <c r="B364" s="13"/>
      <c r="C364" s="25"/>
      <c r="D364" s="25"/>
      <c r="E364" s="25"/>
      <c r="F364" s="15"/>
      <c r="G364" s="15"/>
      <c r="H364" s="16"/>
      <c r="I364" s="8">
        <f t="shared" si="5"/>
        <v>-24860.229999999989</v>
      </c>
    </row>
    <row r="365" spans="1:9" x14ac:dyDescent="0.3">
      <c r="A365" s="7">
        <v>46019</v>
      </c>
      <c r="B365" s="13"/>
      <c r="C365" s="25"/>
      <c r="D365" s="25"/>
      <c r="E365" s="25"/>
      <c r="F365" s="15"/>
      <c r="G365" s="15"/>
      <c r="H365" s="16"/>
      <c r="I365" s="8">
        <f t="shared" si="5"/>
        <v>-24860.229999999989</v>
      </c>
    </row>
    <row r="366" spans="1:9" x14ac:dyDescent="0.3">
      <c r="A366" s="7">
        <v>46020</v>
      </c>
      <c r="B366" s="13"/>
      <c r="C366" s="25"/>
      <c r="D366" s="25"/>
      <c r="E366" s="25"/>
      <c r="F366" s="15"/>
      <c r="G366" s="15"/>
      <c r="H366" s="16"/>
      <c r="I366" s="8">
        <f t="shared" ref="I366:I368" si="6">I365+C366-D366-F366-G366-E366</f>
        <v>-24860.229999999989</v>
      </c>
    </row>
    <row r="367" spans="1:9" x14ac:dyDescent="0.3">
      <c r="A367" s="7">
        <v>46021</v>
      </c>
      <c r="B367" s="13"/>
      <c r="C367" s="25"/>
      <c r="D367" s="25"/>
      <c r="E367" s="25"/>
      <c r="F367" s="15"/>
      <c r="G367" s="15"/>
      <c r="H367" s="16"/>
      <c r="I367" s="8">
        <f t="shared" si="6"/>
        <v>-24860.229999999989</v>
      </c>
    </row>
    <row r="368" spans="1:9" x14ac:dyDescent="0.3">
      <c r="A368" s="7">
        <v>46022</v>
      </c>
      <c r="B368" s="13"/>
      <c r="C368" s="25"/>
      <c r="D368" s="25"/>
      <c r="E368" s="25"/>
      <c r="F368" s="15"/>
      <c r="G368" s="15"/>
      <c r="H368" s="16"/>
      <c r="I368" s="8">
        <f t="shared" si="6"/>
        <v>-24860.229999999989</v>
      </c>
    </row>
  </sheetData>
  <autoFilter ref="A2:I368" xr:uid="{00000000-0009-0000-0000-000003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05219</cp:lastModifiedBy>
  <cp:lastPrinted>2022-03-02T05:54:44Z</cp:lastPrinted>
  <dcterms:created xsi:type="dcterms:W3CDTF">2010-07-27T08:57:34Z</dcterms:created>
  <dcterms:modified xsi:type="dcterms:W3CDTF">2026-02-11T20:16:13Z</dcterms:modified>
</cp:coreProperties>
</file>