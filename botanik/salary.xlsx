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ИП Баташев\отчеты\"/>
    </mc:Choice>
  </mc:AlternateContent>
  <xr:revisionPtr revIDLastSave="0" documentId="13_ncr:1_{C61A990D-CB28-4809-A85F-D489EC9C7D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81029"/>
</workbook>
</file>

<file path=xl/calcChain.xml><?xml version="1.0" encoding="utf-8"?>
<calcChain xmlns="http://schemas.openxmlformats.org/spreadsheetml/2006/main">
  <c r="AD3" i="1" l="1"/>
  <c r="Y17" i="1"/>
  <c r="D5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Z17" i="1"/>
  <c r="AA17" i="1"/>
  <c r="AB17" i="1"/>
  <c r="AC17" i="1"/>
  <c r="G17" i="1"/>
  <c r="Q12" i="1"/>
  <c r="V11" i="1"/>
  <c r="V12" i="1"/>
  <c r="V13" i="1"/>
  <c r="V14" i="1"/>
  <c r="V15" i="1"/>
  <c r="AD18" i="1" l="1"/>
  <c r="AD17" i="1"/>
  <c r="N13" i="1"/>
  <c r="E15" i="1"/>
  <c r="E16" i="1"/>
  <c r="E13" i="1"/>
  <c r="E6" i="1"/>
  <c r="F17" i="1"/>
  <c r="E8" i="1" l="1"/>
  <c r="E7" i="1" l="1"/>
  <c r="D17" i="1" l="1"/>
  <c r="E4" i="1" l="1"/>
  <c r="E14" i="1"/>
  <c r="E9" i="1"/>
  <c r="E12" i="1"/>
  <c r="E10" i="1"/>
  <c r="E11" i="1"/>
  <c r="E3" i="1"/>
  <c r="E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Алексей</author>
  </authors>
  <commentList>
    <comment ref="N4" authorId="0" shapeId="0" xr:uid="{535087DA-F5F8-410D-908B-42506D98117D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09/09 557,14р</t>
        </r>
      </text>
    </comment>
    <comment ref="G8" authorId="0" shapeId="0" xr:uid="{9AA32FC6-BDAB-4454-AD3E-92A91881804F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17/03/25</t>
        </r>
      </text>
    </comment>
    <comment ref="G11" authorId="0" shapeId="0" xr:uid="{B62080AE-F6B9-4FC6-ADB1-36D387BD76C4}">
      <text>
        <r>
          <rPr>
            <b/>
            <sz val="9"/>
            <color indexed="81"/>
            <rFont val="Tahoma"/>
            <family val="2"/>
            <charset val="204"/>
          </rPr>
          <t>546р - дек
8500р - янв</t>
        </r>
      </text>
    </comment>
    <comment ref="V11" authorId="0" shapeId="0" xr:uid="{E13F19D1-0045-442E-810F-9D73B9355A46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15/09 21662р*4мес (май-авг)</t>
        </r>
      </text>
    </comment>
    <comment ref="V12" authorId="0" shapeId="0" xr:uid="{7291F191-45C0-4C97-A779-AAD0AF416C37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04/09 
10/10 14490
</t>
        </r>
      </text>
    </comment>
    <comment ref="X12" authorId="0" shapeId="0" xr:uid="{5D1D4C78-7EC7-45D0-818E-8852091CEFD3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аванс окт</t>
        </r>
      </text>
    </comment>
    <comment ref="N13" authorId="0" shapeId="0" xr:uid="{32B29B7D-5194-4626-A51F-0AFFDB882A0B}">
      <text>
        <r>
          <rPr>
            <b/>
            <sz val="9"/>
            <color indexed="81"/>
            <rFont val="Tahoma"/>
            <family val="2"/>
            <charset val="204"/>
          </rPr>
          <t>Алексей:
10/07</t>
        </r>
        <r>
          <rPr>
            <sz val="9"/>
            <color indexed="81"/>
            <rFont val="Tahoma"/>
            <family val="2"/>
            <charset val="204"/>
          </rPr>
          <t xml:space="preserve">
18618р - зп за май
13319,56р - компенсация отпуска
ндфл 4772р</t>
        </r>
      </text>
    </comment>
    <comment ref="V13" authorId="0" shapeId="0" xr:uid="{0E956644-7164-4230-98EB-DD40DF883274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11/09 май-авг
НДФЛ 13226р</t>
        </r>
      </text>
    </comment>
    <comment ref="V14" authorId="0" shapeId="0" xr:uid="{4366E469-381C-491F-8CE4-91B3DB85B23F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11/09 май-авг
ндфл 4368р</t>
        </r>
      </text>
    </comment>
    <comment ref="J15" authorId="0" shapeId="0" xr:uid="{FEA60753-5A0F-4DD5-AB2B-45A50E337871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12/05/25</t>
        </r>
      </text>
    </comment>
    <comment ref="V15" authorId="0" shapeId="0" xr:uid="{9AE7BCAF-4E51-4C3C-AD82-53405DCF2B9C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04/09 зп май-авг
ндфл 14144р</t>
        </r>
      </text>
    </comment>
  </commentList>
</comments>
</file>

<file path=xl/sharedStrings.xml><?xml version="1.0" encoding="utf-8"?>
<sst xmlns="http://schemas.openxmlformats.org/spreadsheetml/2006/main" count="44" uniqueCount="32">
  <si>
    <t>Иванов</t>
  </si>
  <si>
    <t>оклад</t>
  </si>
  <si>
    <t>октябрь</t>
  </si>
  <si>
    <t>ноябрь</t>
  </si>
  <si>
    <t>декабрь</t>
  </si>
  <si>
    <t>Мбоко Елиссе (Принц)</t>
  </si>
  <si>
    <t>Бочков</t>
  </si>
  <si>
    <t>Андесса Крист</t>
  </si>
  <si>
    <t>Гуан Квабена</t>
  </si>
  <si>
    <t xml:space="preserve">начисление с учетом ставки </t>
  </si>
  <si>
    <t>Васильев</t>
  </si>
  <si>
    <t>Одуро Квами Обед</t>
  </si>
  <si>
    <t>Минджоу Кэролайн</t>
  </si>
  <si>
    <t>Шанаев</t>
  </si>
  <si>
    <t>Санкох Абу Бакарр</t>
  </si>
  <si>
    <t>июль</t>
  </si>
  <si>
    <t>август</t>
  </si>
  <si>
    <t>сентябрь</t>
  </si>
  <si>
    <t>январь</t>
  </si>
  <si>
    <t>февраль</t>
  </si>
  <si>
    <t>март</t>
  </si>
  <si>
    <t>апрель</t>
  </si>
  <si>
    <t>май</t>
  </si>
  <si>
    <t>июнь</t>
  </si>
  <si>
    <t>Шарова</t>
  </si>
  <si>
    <t>Леуга Виллиамс Фабрис</t>
  </si>
  <si>
    <t>Селатса Жозеф Асонго</t>
  </si>
  <si>
    <t>РФ</t>
  </si>
  <si>
    <t>ИГ</t>
  </si>
  <si>
    <t>2025г.</t>
  </si>
  <si>
    <t>Дельва</t>
  </si>
  <si>
    <t>4-15 сент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</si>
</sst>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р_._-;\-* #,##0.00_р_._-;_-* &quot;-&quot;??_р_._-;_-@_-"/>
    <numFmt numFmtId="165" formatCode="_-* #,##0_р_._-;\-* #,##0_р_._-;_-* &quot;-&quot;??_р_._-;_-@_-"/>
    <numFmt numFmtId="166" formatCode="dd/mm/yy;@"/>
    <numFmt numFmtId="167" formatCode="_-* #,##0.0_р_._-;\-* #,##0.0_р_._-;_-* &quot;-&quot;??_р_._-;_-@_-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8"/>
      <name val="Calibri"/>
      <family val="2"/>
      <charset val="204"/>
    </font>
    <font>
      <sz val="11"/>
      <name val="Calibri"/>
      <family val="2"/>
      <charset val="204"/>
    </font>
    <font>
      <i/>
      <sz val="11"/>
      <color indexed="14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name val="Arial Narrow"/>
      <family val="2"/>
      <charset val="204"/>
    </font>
    <font>
      <i/>
      <sz val="11"/>
      <color indexed="14"/>
      <name val="Arial Narrow"/>
      <family val="2"/>
      <charset val="204"/>
    </font>
    <font>
      <b/>
      <sz val="11"/>
      <color rgb="FFFF0000"/>
      <name val="Arial Narrow"/>
      <family val="2"/>
      <charset val="204"/>
    </font>
    <font>
      <b/>
      <sz val="11"/>
      <name val="Arial Narrow"/>
      <family val="2"/>
      <charset val="204"/>
    </font>
    <font>
      <b/>
      <sz val="11"/>
      <color indexed="10"/>
      <name val="Arial Narrow"/>
      <family val="2"/>
      <charset val="204"/>
    </font>
    <font>
      <b/>
      <i/>
      <sz val="1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4" fillId="2" borderId="0" xfId="0" applyFont="1" applyFill="1"/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164" fontId="2" fillId="2" borderId="0" xfId="1" applyFont="1" applyFill="1"/>
    <xf numFmtId="0" fontId="4" fillId="2" borderId="22" xfId="0" applyFont="1" applyFill="1" applyBorder="1" applyAlignment="1">
      <alignment horizontal="center"/>
    </xf>
    <xf numFmtId="165" fontId="4" fillId="2" borderId="22" xfId="1" applyNumberFormat="1" applyFont="1" applyFill="1" applyBorder="1"/>
    <xf numFmtId="0" fontId="4" fillId="2" borderId="23" xfId="0" applyFont="1" applyFill="1" applyBorder="1" applyAlignment="1">
      <alignment horizontal="center"/>
    </xf>
    <xf numFmtId="165" fontId="4" fillId="2" borderId="23" xfId="1" applyNumberFormat="1" applyFont="1" applyFill="1" applyBorder="1"/>
    <xf numFmtId="0" fontId="4" fillId="2" borderId="6" xfId="0" applyFont="1" applyFill="1" applyBorder="1"/>
    <xf numFmtId="0" fontId="4" fillId="2" borderId="24" xfId="0" applyFont="1" applyFill="1" applyBorder="1" applyAlignment="1">
      <alignment horizontal="center"/>
    </xf>
    <xf numFmtId="165" fontId="4" fillId="2" borderId="24" xfId="1" applyNumberFormat="1" applyFont="1" applyFill="1" applyBorder="1"/>
    <xf numFmtId="0" fontId="4" fillId="2" borderId="1" xfId="0" applyFont="1" applyFill="1" applyBorder="1"/>
    <xf numFmtId="0" fontId="4" fillId="2" borderId="3" xfId="0" applyFont="1" applyFill="1" applyBorder="1"/>
    <xf numFmtId="0" fontId="4" fillId="2" borderId="25" xfId="0" applyFont="1" applyFill="1" applyBorder="1" applyAlignment="1">
      <alignment horizontal="center"/>
    </xf>
    <xf numFmtId="165" fontId="4" fillId="2" borderId="25" xfId="1" applyNumberFormat="1" applyFont="1" applyFill="1" applyBorder="1"/>
    <xf numFmtId="0" fontId="4" fillId="2" borderId="26" xfId="0" applyFont="1" applyFill="1" applyBorder="1" applyAlignment="1">
      <alignment horizontal="center"/>
    </xf>
    <xf numFmtId="165" fontId="4" fillId="2" borderId="26" xfId="1" applyNumberFormat="1" applyFont="1" applyFill="1" applyBorder="1"/>
    <xf numFmtId="0" fontId="4" fillId="2" borderId="20" xfId="0" applyFont="1" applyFill="1" applyBorder="1"/>
    <xf numFmtId="0" fontId="4" fillId="2" borderId="18" xfId="0" applyFont="1" applyFill="1" applyBorder="1"/>
    <xf numFmtId="165" fontId="2" fillId="2" borderId="28" xfId="1" applyNumberFormat="1" applyFont="1" applyFill="1" applyBorder="1"/>
    <xf numFmtId="165" fontId="2" fillId="2" borderId="31" xfId="1" applyNumberFormat="1" applyFont="1" applyFill="1" applyBorder="1"/>
    <xf numFmtId="165" fontId="2" fillId="2" borderId="32" xfId="1" applyNumberFormat="1" applyFont="1" applyFill="1" applyBorder="1"/>
    <xf numFmtId="165" fontId="2" fillId="2" borderId="33" xfId="1" applyNumberFormat="1" applyFont="1" applyFill="1" applyBorder="1"/>
    <xf numFmtId="165" fontId="2" fillId="2" borderId="34" xfId="1" applyNumberFormat="1" applyFont="1" applyFill="1" applyBorder="1"/>
    <xf numFmtId="4" fontId="8" fillId="2" borderId="7" xfId="1" applyNumberFormat="1" applyFont="1" applyFill="1" applyBorder="1" applyAlignment="1">
      <alignment horizontal="right"/>
    </xf>
    <xf numFmtId="4" fontId="8" fillId="2" borderId="2" xfId="1" applyNumberFormat="1" applyFont="1" applyFill="1" applyBorder="1" applyAlignment="1">
      <alignment horizontal="right"/>
    </xf>
    <xf numFmtId="4" fontId="8" fillId="2" borderId="4" xfId="1" applyNumberFormat="1" applyFont="1" applyFill="1" applyBorder="1" applyAlignment="1">
      <alignment horizontal="right"/>
    </xf>
    <xf numFmtId="4" fontId="8" fillId="2" borderId="21" xfId="1" applyNumberFormat="1" applyFont="1" applyFill="1" applyBorder="1" applyAlignment="1">
      <alignment horizontal="right"/>
    </xf>
    <xf numFmtId="4" fontId="8" fillId="2" borderId="19" xfId="1" applyNumberFormat="1" applyFont="1" applyFill="1" applyBorder="1" applyAlignment="1">
      <alignment horizontal="right"/>
    </xf>
    <xf numFmtId="4" fontId="8" fillId="2" borderId="0" xfId="1" applyNumberFormat="1" applyFont="1" applyFill="1" applyAlignment="1">
      <alignment horizontal="right"/>
    </xf>
    <xf numFmtId="4" fontId="8" fillId="2" borderId="6" xfId="1" applyNumberFormat="1" applyFont="1" applyFill="1" applyBorder="1" applyAlignment="1">
      <alignment horizontal="right"/>
    </xf>
    <xf numFmtId="4" fontId="8" fillId="2" borderId="29" xfId="1" applyNumberFormat="1" applyFont="1" applyFill="1" applyBorder="1" applyAlignment="1">
      <alignment horizontal="right"/>
    </xf>
    <xf numFmtId="4" fontId="8" fillId="2" borderId="28" xfId="1" applyNumberFormat="1" applyFont="1" applyFill="1" applyBorder="1" applyAlignment="1">
      <alignment horizontal="right"/>
    </xf>
    <xf numFmtId="4" fontId="8" fillId="2" borderId="1" xfId="1" applyNumberFormat="1" applyFont="1" applyFill="1" applyBorder="1" applyAlignment="1">
      <alignment horizontal="right"/>
    </xf>
    <xf numFmtId="4" fontId="8" fillId="2" borderId="13" xfId="1" applyNumberFormat="1" applyFont="1" applyFill="1" applyBorder="1" applyAlignment="1">
      <alignment horizontal="right"/>
    </xf>
    <xf numFmtId="4" fontId="8" fillId="2" borderId="31" xfId="1" applyNumberFormat="1" applyFont="1" applyFill="1" applyBorder="1" applyAlignment="1">
      <alignment horizontal="right"/>
    </xf>
    <xf numFmtId="4" fontId="8" fillId="2" borderId="3" xfId="1" applyNumberFormat="1" applyFont="1" applyFill="1" applyBorder="1" applyAlignment="1">
      <alignment horizontal="right"/>
    </xf>
    <xf numFmtId="4" fontId="8" fillId="2" borderId="30" xfId="1" applyNumberFormat="1" applyFont="1" applyFill="1" applyBorder="1" applyAlignment="1">
      <alignment horizontal="right"/>
    </xf>
    <xf numFmtId="4" fontId="8" fillId="2" borderId="32" xfId="1" applyNumberFormat="1" applyFont="1" applyFill="1" applyBorder="1" applyAlignment="1">
      <alignment horizontal="right"/>
    </xf>
    <xf numFmtId="4" fontId="8" fillId="2" borderId="20" xfId="1" applyNumberFormat="1" applyFont="1" applyFill="1" applyBorder="1" applyAlignment="1">
      <alignment horizontal="right"/>
    </xf>
    <xf numFmtId="4" fontId="8" fillId="2" borderId="10" xfId="1" applyNumberFormat="1" applyFont="1" applyFill="1" applyBorder="1" applyAlignment="1">
      <alignment horizontal="right"/>
    </xf>
    <xf numFmtId="4" fontId="8" fillId="2" borderId="33" xfId="1" applyNumberFormat="1" applyFont="1" applyFill="1" applyBorder="1" applyAlignment="1">
      <alignment horizontal="right"/>
    </xf>
    <xf numFmtId="4" fontId="8" fillId="2" borderId="18" xfId="1" applyNumberFormat="1" applyFont="1" applyFill="1" applyBorder="1" applyAlignment="1">
      <alignment horizontal="right"/>
    </xf>
    <xf numFmtId="4" fontId="8" fillId="2" borderId="12" xfId="1" applyNumberFormat="1" applyFont="1" applyFill="1" applyBorder="1" applyAlignment="1">
      <alignment horizontal="right"/>
    </xf>
    <xf numFmtId="4" fontId="8" fillId="2" borderId="34" xfId="1" applyNumberFormat="1" applyFont="1" applyFill="1" applyBorder="1" applyAlignment="1">
      <alignment horizontal="right"/>
    </xf>
    <xf numFmtId="4" fontId="8" fillId="2" borderId="35" xfId="1" applyNumberFormat="1" applyFont="1" applyFill="1" applyBorder="1" applyAlignment="1">
      <alignment horizontal="right"/>
    </xf>
    <xf numFmtId="4" fontId="8" fillId="2" borderId="36" xfId="1" applyNumberFormat="1" applyFont="1" applyFill="1" applyBorder="1" applyAlignment="1">
      <alignment horizontal="right"/>
    </xf>
    <xf numFmtId="4" fontId="8" fillId="2" borderId="37" xfId="1" applyNumberFormat="1" applyFont="1" applyFill="1" applyBorder="1" applyAlignment="1">
      <alignment horizontal="right"/>
    </xf>
    <xf numFmtId="166" fontId="9" fillId="2" borderId="8" xfId="1" applyNumberFormat="1" applyFont="1" applyFill="1" applyBorder="1" applyAlignment="1">
      <alignment horizontal="center" vertical="center"/>
    </xf>
    <xf numFmtId="166" fontId="9" fillId="2" borderId="9" xfId="1" applyNumberFormat="1" applyFont="1" applyFill="1" applyBorder="1" applyAlignment="1">
      <alignment horizontal="center" vertical="center"/>
    </xf>
    <xf numFmtId="166" fontId="9" fillId="2" borderId="14" xfId="1" applyNumberFormat="1" applyFont="1" applyFill="1" applyBorder="1" applyAlignment="1">
      <alignment horizontal="center" vertical="center"/>
    </xf>
    <xf numFmtId="166" fontId="9" fillId="2" borderId="17" xfId="1" applyNumberFormat="1" applyFont="1" applyFill="1" applyBorder="1" applyAlignment="1">
      <alignment horizontal="center" vertical="center"/>
    </xf>
    <xf numFmtId="166" fontId="9" fillId="2" borderId="11" xfId="1" applyNumberFormat="1" applyFont="1" applyFill="1" applyBorder="1" applyAlignment="1">
      <alignment horizontal="center" vertical="center"/>
    </xf>
    <xf numFmtId="166" fontId="9" fillId="2" borderId="38" xfId="1" applyNumberFormat="1" applyFont="1" applyFill="1" applyBorder="1" applyAlignment="1">
      <alignment horizontal="center" vertical="center"/>
    </xf>
    <xf numFmtId="166" fontId="9" fillId="2" borderId="39" xfId="1" applyNumberFormat="1" applyFont="1" applyFill="1" applyBorder="1" applyAlignment="1">
      <alignment horizontal="center" vertical="center"/>
    </xf>
    <xf numFmtId="167" fontId="4" fillId="2" borderId="22" xfId="1" applyNumberFormat="1" applyFont="1" applyFill="1" applyBorder="1"/>
    <xf numFmtId="4" fontId="10" fillId="2" borderId="13" xfId="0" applyNumberFormat="1" applyFont="1" applyFill="1" applyBorder="1"/>
    <xf numFmtId="4" fontId="10" fillId="2" borderId="0" xfId="0" applyNumberFormat="1" applyFont="1" applyFill="1"/>
    <xf numFmtId="0" fontId="11" fillId="2" borderId="0" xfId="0" applyFont="1" applyFill="1" applyAlignment="1">
      <alignment horizontal="center"/>
    </xf>
    <xf numFmtId="0" fontId="11" fillId="2" borderId="0" xfId="0" applyFont="1" applyFill="1"/>
    <xf numFmtId="165" fontId="11" fillId="2" borderId="0" xfId="1" applyNumberFormat="1" applyFont="1" applyFill="1"/>
    <xf numFmtId="4" fontId="10" fillId="2" borderId="0" xfId="1" applyNumberFormat="1" applyFont="1" applyFill="1"/>
    <xf numFmtId="164" fontId="12" fillId="2" borderId="0" xfId="0" applyNumberFormat="1" applyFont="1" applyFill="1"/>
    <xf numFmtId="4" fontId="13" fillId="2" borderId="0" xfId="0" applyNumberFormat="1" applyFont="1" applyFill="1"/>
    <xf numFmtId="4" fontId="13" fillId="2" borderId="0" xfId="1" applyNumberFormat="1" applyFont="1" applyFill="1" applyAlignment="1">
      <alignment horizontal="right"/>
    </xf>
    <xf numFmtId="0" fontId="4" fillId="2" borderId="1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4" fontId="10" fillId="2" borderId="12" xfId="0" applyNumberFormat="1" applyFont="1" applyFill="1" applyBorder="1" applyAlignment="1">
      <alignment horizontal="center" vertical="center"/>
    </xf>
    <xf numFmtId="4" fontId="10" fillId="2" borderId="10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164" fontId="2" fillId="2" borderId="27" xfId="1" applyFont="1" applyFill="1" applyBorder="1" applyAlignment="1">
      <alignment horizontal="center" vertical="center" wrapText="1"/>
    </xf>
    <xf numFmtId="164" fontId="2" fillId="2" borderId="0" xfId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4" fontId="8" fillId="2" borderId="14" xfId="1" applyNumberFormat="1" applyFont="1" applyFill="1" applyBorder="1" applyAlignment="1">
      <alignment horizontal="center"/>
    </xf>
    <xf numFmtId="4" fontId="8" fillId="2" borderId="17" xfId="1" applyNumberFormat="1" applyFont="1" applyFill="1" applyBorder="1" applyAlignment="1">
      <alignment horizontal="center"/>
    </xf>
    <xf numFmtId="4" fontId="8" fillId="2" borderId="8" xfId="1" applyNumberFormat="1" applyFont="1" applyFill="1" applyBorder="1" applyAlignment="1">
      <alignment horizontal="center"/>
    </xf>
    <xf numFmtId="4" fontId="8" fillId="2" borderId="9" xfId="1" applyNumberFormat="1" applyFont="1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zoomScaleNormal="100" workbookViewId="0">
      <pane xSplit="2" topLeftCell="P1" activePane="topRight" state="frozen"/>
      <selection pane="topRight" activeCell="AD4" sqref="AD4"/>
    </sheetView>
  </sheetViews>
  <sheetFormatPr defaultColWidth="8.88671875" defaultRowHeight="14.4" x14ac:dyDescent="0.3"/>
  <cols>
    <col min="1" max="1" width="4.77734375" style="3" hidden="1" customWidth="1"/>
    <col min="2" max="2" width="22.44140625" style="1" customWidth="1"/>
    <col min="3" max="3" width="4.21875" style="3" hidden="1" customWidth="1"/>
    <col min="4" max="4" width="14.109375" style="1" hidden="1" customWidth="1"/>
    <col min="5" max="5" width="13.6640625" style="4" hidden="1" customWidth="1"/>
    <col min="6" max="6" width="5.88671875" style="30" customWidth="1"/>
    <col min="7" max="7" width="10.109375" style="30" customWidth="1"/>
    <col min="8" max="8" width="6.109375" style="30" customWidth="1"/>
    <col min="9" max="9" width="10.109375" style="30" customWidth="1"/>
    <col min="10" max="10" width="9.44140625" style="30" customWidth="1"/>
    <col min="11" max="11" width="10.109375" style="30" customWidth="1"/>
    <col min="12" max="12" width="6" style="30" customWidth="1"/>
    <col min="13" max="13" width="10.109375" style="30" customWidth="1"/>
    <col min="14" max="14" width="9.44140625" style="30" customWidth="1"/>
    <col min="15" max="15" width="10.109375" style="30" customWidth="1"/>
    <col min="16" max="16" width="5.44140625" style="30" customWidth="1"/>
    <col min="17" max="17" width="10.109375" style="30" customWidth="1"/>
    <col min="18" max="18" width="9.33203125" style="30" customWidth="1"/>
    <col min="19" max="19" width="10.109375" style="30" customWidth="1"/>
    <col min="20" max="20" width="7.88671875" style="30" customWidth="1"/>
    <col min="21" max="29" width="10.109375" style="30" customWidth="1"/>
    <col min="30" max="30" width="12" style="58" customWidth="1"/>
    <col min="31" max="31" width="12.44140625" style="1" customWidth="1"/>
    <col min="32" max="16384" width="8.88671875" style="1"/>
  </cols>
  <sheetData>
    <row r="1" spans="1:30" ht="15" thickBot="1" x14ac:dyDescent="0.35">
      <c r="A1" s="68"/>
      <c r="B1" s="71"/>
      <c r="C1" s="66"/>
      <c r="D1" s="75" t="s">
        <v>1</v>
      </c>
      <c r="E1" s="73" t="s">
        <v>9</v>
      </c>
      <c r="F1" s="79" t="s">
        <v>18</v>
      </c>
      <c r="G1" s="80"/>
      <c r="H1" s="79" t="s">
        <v>19</v>
      </c>
      <c r="I1" s="80"/>
      <c r="J1" s="77" t="s">
        <v>20</v>
      </c>
      <c r="K1" s="78"/>
      <c r="L1" s="79" t="s">
        <v>21</v>
      </c>
      <c r="M1" s="80"/>
      <c r="N1" s="79" t="s">
        <v>22</v>
      </c>
      <c r="O1" s="78"/>
      <c r="P1" s="79" t="s">
        <v>23</v>
      </c>
      <c r="Q1" s="80"/>
      <c r="R1" s="77" t="s">
        <v>15</v>
      </c>
      <c r="S1" s="78"/>
      <c r="T1" s="79" t="s">
        <v>16</v>
      </c>
      <c r="U1" s="80"/>
      <c r="V1" s="77" t="s">
        <v>17</v>
      </c>
      <c r="W1" s="78"/>
      <c r="X1" s="79" t="s">
        <v>2</v>
      </c>
      <c r="Y1" s="80"/>
      <c r="Z1" s="77" t="s">
        <v>3</v>
      </c>
      <c r="AA1" s="78"/>
      <c r="AB1" s="79" t="s">
        <v>4</v>
      </c>
      <c r="AC1" s="80"/>
      <c r="AD1" s="69" t="s">
        <v>29</v>
      </c>
    </row>
    <row r="2" spans="1:30" s="2" customFormat="1" ht="15" thickBot="1" x14ac:dyDescent="0.35">
      <c r="A2" s="68"/>
      <c r="B2" s="72"/>
      <c r="C2" s="67"/>
      <c r="D2" s="76"/>
      <c r="E2" s="74"/>
      <c r="F2" s="49"/>
      <c r="G2" s="50">
        <v>45722</v>
      </c>
      <c r="H2" s="49"/>
      <c r="I2" s="50">
        <v>45733</v>
      </c>
      <c r="J2" s="51">
        <v>45789</v>
      </c>
      <c r="K2" s="52">
        <v>45826</v>
      </c>
      <c r="L2" s="49"/>
      <c r="M2" s="53">
        <v>45846</v>
      </c>
      <c r="N2" s="54"/>
      <c r="O2" s="55">
        <v>45923</v>
      </c>
      <c r="P2" s="51"/>
      <c r="Q2" s="50">
        <v>45936</v>
      </c>
      <c r="R2" s="51">
        <v>45936</v>
      </c>
      <c r="S2" s="52">
        <v>45940</v>
      </c>
      <c r="T2" s="49">
        <v>45936</v>
      </c>
      <c r="U2" s="50">
        <v>45944</v>
      </c>
      <c r="V2" s="51" t="s">
        <v>31</v>
      </c>
      <c r="W2" s="52">
        <v>45959</v>
      </c>
      <c r="X2" s="49">
        <v>45940</v>
      </c>
      <c r="Y2" s="50">
        <v>46015</v>
      </c>
      <c r="Z2" s="51">
        <v>46015</v>
      </c>
      <c r="AA2" s="52"/>
      <c r="AB2" s="49">
        <v>46031</v>
      </c>
      <c r="AC2" s="50"/>
      <c r="AD2" s="70"/>
    </row>
    <row r="3" spans="1:30" x14ac:dyDescent="0.3">
      <c r="A3" s="3">
        <v>1</v>
      </c>
      <c r="B3" s="9" t="s">
        <v>6</v>
      </c>
      <c r="C3" s="10" t="s">
        <v>27</v>
      </c>
      <c r="D3" s="11">
        <v>36000</v>
      </c>
      <c r="E3" s="20">
        <f>D3/4</f>
        <v>9000</v>
      </c>
      <c r="F3" s="31"/>
      <c r="G3" s="25">
        <v>7830</v>
      </c>
      <c r="H3" s="31"/>
      <c r="I3" s="25">
        <v>7830</v>
      </c>
      <c r="J3" s="32"/>
      <c r="K3" s="33">
        <v>7830</v>
      </c>
      <c r="L3" s="31"/>
      <c r="M3" s="25">
        <v>7830</v>
      </c>
      <c r="N3" s="46"/>
      <c r="O3" s="25">
        <v>7830</v>
      </c>
      <c r="P3" s="32"/>
      <c r="Q3" s="25">
        <v>7830</v>
      </c>
      <c r="R3" s="32"/>
      <c r="S3" s="33">
        <v>7830</v>
      </c>
      <c r="T3" s="31"/>
      <c r="U3" s="25">
        <v>7830</v>
      </c>
      <c r="V3" s="32"/>
      <c r="W3" s="33">
        <v>7830</v>
      </c>
      <c r="X3" s="31"/>
      <c r="Y3" s="25">
        <v>7830</v>
      </c>
      <c r="Z3" s="32"/>
      <c r="AA3" s="33"/>
      <c r="AB3" s="31"/>
      <c r="AC3" s="25"/>
      <c r="AD3" s="57">
        <f>SUM(F3:AC3)</f>
        <v>78300</v>
      </c>
    </row>
    <row r="4" spans="1:30" x14ac:dyDescent="0.3">
      <c r="A4" s="3">
        <v>2</v>
      </c>
      <c r="B4" s="12" t="s">
        <v>10</v>
      </c>
      <c r="C4" s="5" t="s">
        <v>27</v>
      </c>
      <c r="D4" s="6">
        <v>36000</v>
      </c>
      <c r="E4" s="21">
        <f t="shared" ref="E4:E12" si="0">D4/4</f>
        <v>9000</v>
      </c>
      <c r="F4" s="34"/>
      <c r="G4" s="26">
        <v>7612</v>
      </c>
      <c r="H4" s="34"/>
      <c r="I4" s="26">
        <v>7613</v>
      </c>
      <c r="J4" s="35"/>
      <c r="K4" s="36">
        <v>7612</v>
      </c>
      <c r="L4" s="34"/>
      <c r="M4" s="26">
        <v>7613</v>
      </c>
      <c r="N4" s="47">
        <v>557.14</v>
      </c>
      <c r="O4" s="26">
        <v>7612</v>
      </c>
      <c r="P4" s="35"/>
      <c r="Q4" s="26">
        <v>7613</v>
      </c>
      <c r="R4" s="35"/>
      <c r="S4" s="36">
        <v>7612</v>
      </c>
      <c r="T4" s="34"/>
      <c r="U4" s="26">
        <v>6887.67</v>
      </c>
      <c r="V4" s="35"/>
      <c r="W4" s="36">
        <v>6573.82</v>
      </c>
      <c r="X4" s="34"/>
      <c r="Y4" s="26">
        <v>7613</v>
      </c>
      <c r="Z4" s="35"/>
      <c r="AA4" s="36"/>
      <c r="AB4" s="34"/>
      <c r="AC4" s="26"/>
      <c r="AD4" s="57">
        <f t="shared" ref="AD4:AD16" si="1">SUM(F4:AC4)</f>
        <v>74918.63</v>
      </c>
    </row>
    <row r="5" spans="1:30" x14ac:dyDescent="0.3">
      <c r="A5" s="3">
        <v>3</v>
      </c>
      <c r="B5" s="12" t="s">
        <v>30</v>
      </c>
      <c r="C5" s="5" t="s">
        <v>27</v>
      </c>
      <c r="D5" s="56">
        <f>E5/16</f>
        <v>1812.5</v>
      </c>
      <c r="E5" s="21">
        <v>29000</v>
      </c>
      <c r="F5" s="34"/>
      <c r="G5" s="26">
        <v>0</v>
      </c>
      <c r="H5" s="34"/>
      <c r="I5" s="26">
        <v>946.5</v>
      </c>
      <c r="J5" s="35"/>
      <c r="K5" s="36">
        <v>1576.5</v>
      </c>
      <c r="L5" s="34"/>
      <c r="M5" s="26">
        <v>1576.5</v>
      </c>
      <c r="N5" s="47"/>
      <c r="O5" s="26">
        <v>1577.5</v>
      </c>
      <c r="P5" s="35"/>
      <c r="Q5" s="26">
        <v>1576.5</v>
      </c>
      <c r="R5" s="35"/>
      <c r="S5" s="36">
        <v>1576.5</v>
      </c>
      <c r="T5" s="34"/>
      <c r="U5" s="26">
        <v>1577.5</v>
      </c>
      <c r="V5" s="35"/>
      <c r="W5" s="36">
        <v>1576.5</v>
      </c>
      <c r="X5" s="34"/>
      <c r="Y5" s="26">
        <v>1577.5</v>
      </c>
      <c r="Z5" s="35"/>
      <c r="AA5" s="36"/>
      <c r="AB5" s="34"/>
      <c r="AC5" s="26"/>
      <c r="AD5" s="57">
        <f t="shared" si="1"/>
        <v>13561.5</v>
      </c>
    </row>
    <row r="6" spans="1:30" x14ac:dyDescent="0.3">
      <c r="A6" s="3">
        <v>4</v>
      </c>
      <c r="B6" s="12" t="s">
        <v>0</v>
      </c>
      <c r="C6" s="5" t="s">
        <v>27</v>
      </c>
      <c r="D6" s="6">
        <v>36000</v>
      </c>
      <c r="E6" s="21">
        <f>D6/4</f>
        <v>9000</v>
      </c>
      <c r="F6" s="34"/>
      <c r="G6" s="26">
        <v>8922</v>
      </c>
      <c r="H6" s="34"/>
      <c r="I6" s="26">
        <v>8376</v>
      </c>
      <c r="J6" s="35"/>
      <c r="K6" s="36">
        <v>7830</v>
      </c>
      <c r="L6" s="34"/>
      <c r="M6" s="26">
        <v>8922</v>
      </c>
      <c r="N6" s="47"/>
      <c r="O6" s="26">
        <v>8376</v>
      </c>
      <c r="P6" s="35"/>
      <c r="Q6" s="26">
        <v>7284</v>
      </c>
      <c r="R6" s="35"/>
      <c r="S6" s="36">
        <v>8376</v>
      </c>
      <c r="T6" s="34"/>
      <c r="U6" s="26">
        <v>8376</v>
      </c>
      <c r="V6" s="35"/>
      <c r="W6" s="36">
        <v>8376</v>
      </c>
      <c r="X6" s="34"/>
      <c r="Y6" s="26">
        <v>7284</v>
      </c>
      <c r="Z6" s="35"/>
      <c r="AA6" s="36"/>
      <c r="AB6" s="34"/>
      <c r="AC6" s="26"/>
      <c r="AD6" s="57">
        <f t="shared" si="1"/>
        <v>82122</v>
      </c>
    </row>
    <row r="7" spans="1:30" x14ac:dyDescent="0.3">
      <c r="A7" s="3">
        <v>5</v>
      </c>
      <c r="B7" s="12" t="s">
        <v>13</v>
      </c>
      <c r="C7" s="5" t="s">
        <v>27</v>
      </c>
      <c r="D7" s="6">
        <v>37000</v>
      </c>
      <c r="E7" s="21">
        <f t="shared" ref="E7" si="2">D7/4</f>
        <v>9250</v>
      </c>
      <c r="F7" s="34"/>
      <c r="G7" s="26">
        <v>8047</v>
      </c>
      <c r="H7" s="34"/>
      <c r="I7" s="26">
        <v>8047</v>
      </c>
      <c r="J7" s="35"/>
      <c r="K7" s="36">
        <v>8048</v>
      </c>
      <c r="L7" s="34"/>
      <c r="M7" s="26">
        <v>8047</v>
      </c>
      <c r="N7" s="47"/>
      <c r="O7" s="26">
        <v>8048</v>
      </c>
      <c r="P7" s="35"/>
      <c r="Q7" s="26">
        <v>8047</v>
      </c>
      <c r="R7" s="35"/>
      <c r="S7" s="36">
        <v>8048</v>
      </c>
      <c r="T7" s="34"/>
      <c r="U7" s="26">
        <v>8047</v>
      </c>
      <c r="V7" s="35"/>
      <c r="W7" s="36">
        <v>8048</v>
      </c>
      <c r="X7" s="34"/>
      <c r="Y7" s="26">
        <v>8047</v>
      </c>
      <c r="Z7" s="35"/>
      <c r="AA7" s="36"/>
      <c r="AB7" s="34"/>
      <c r="AC7" s="26"/>
      <c r="AD7" s="57">
        <f t="shared" si="1"/>
        <v>80474</v>
      </c>
    </row>
    <row r="8" spans="1:30" ht="15" thickBot="1" x14ac:dyDescent="0.35">
      <c r="A8" s="3">
        <v>6</v>
      </c>
      <c r="B8" s="13" t="s">
        <v>24</v>
      </c>
      <c r="C8" s="14" t="s">
        <v>27</v>
      </c>
      <c r="D8" s="15">
        <v>35000</v>
      </c>
      <c r="E8" s="22">
        <f t="shared" ref="E8" si="3">D8/4</f>
        <v>8750</v>
      </c>
      <c r="F8" s="37"/>
      <c r="G8" s="27">
        <v>7612</v>
      </c>
      <c r="H8" s="37"/>
      <c r="I8" s="27">
        <v>7613</v>
      </c>
      <c r="J8" s="38"/>
      <c r="K8" s="39">
        <v>7612</v>
      </c>
      <c r="L8" s="37"/>
      <c r="M8" s="27">
        <v>7613</v>
      </c>
      <c r="N8" s="48"/>
      <c r="O8" s="27">
        <v>7612</v>
      </c>
      <c r="P8" s="38"/>
      <c r="Q8" s="27">
        <v>7613</v>
      </c>
      <c r="R8" s="38"/>
      <c r="S8" s="39">
        <v>7612</v>
      </c>
      <c r="T8" s="37"/>
      <c r="U8" s="27">
        <v>7613</v>
      </c>
      <c r="V8" s="38"/>
      <c r="W8" s="39">
        <v>7612</v>
      </c>
      <c r="X8" s="37"/>
      <c r="Y8" s="27">
        <v>7613</v>
      </c>
      <c r="Z8" s="38"/>
      <c r="AA8" s="39"/>
      <c r="AB8" s="37"/>
      <c r="AC8" s="27"/>
      <c r="AD8" s="57">
        <f t="shared" si="1"/>
        <v>76125</v>
      </c>
    </row>
    <row r="9" spans="1:30" x14ac:dyDescent="0.3">
      <c r="A9" s="3">
        <v>7</v>
      </c>
      <c r="B9" s="18" t="s">
        <v>7</v>
      </c>
      <c r="C9" s="7" t="s">
        <v>27</v>
      </c>
      <c r="D9" s="8">
        <v>34000</v>
      </c>
      <c r="E9" s="23">
        <f t="shared" si="0"/>
        <v>8500</v>
      </c>
      <c r="F9" s="40"/>
      <c r="G9" s="28">
        <v>8487</v>
      </c>
      <c r="H9" s="40"/>
      <c r="I9" s="28">
        <v>7941</v>
      </c>
      <c r="J9" s="41"/>
      <c r="K9" s="42">
        <v>7443</v>
      </c>
      <c r="L9" s="40"/>
      <c r="M9" s="28">
        <v>8487</v>
      </c>
      <c r="N9" s="46"/>
      <c r="O9" s="25">
        <v>7941</v>
      </c>
      <c r="P9" s="41"/>
      <c r="Q9" s="28">
        <v>6801</v>
      </c>
      <c r="R9" s="41"/>
      <c r="S9" s="42">
        <v>7941</v>
      </c>
      <c r="T9" s="40"/>
      <c r="U9" s="28">
        <v>7941</v>
      </c>
      <c r="V9" s="41"/>
      <c r="W9" s="42">
        <v>7941</v>
      </c>
      <c r="X9" s="40"/>
      <c r="Y9" s="28">
        <v>6849</v>
      </c>
      <c r="Z9" s="41"/>
      <c r="AA9" s="42"/>
      <c r="AB9" s="40"/>
      <c r="AC9" s="28"/>
      <c r="AD9" s="57">
        <f t="shared" si="1"/>
        <v>77772</v>
      </c>
    </row>
    <row r="10" spans="1:30" x14ac:dyDescent="0.3">
      <c r="A10" s="3">
        <v>8</v>
      </c>
      <c r="B10" s="12" t="s">
        <v>5</v>
      </c>
      <c r="C10" s="5" t="s">
        <v>27</v>
      </c>
      <c r="D10" s="6">
        <v>34000</v>
      </c>
      <c r="E10" s="21">
        <f>D10/4</f>
        <v>8500</v>
      </c>
      <c r="F10" s="34"/>
      <c r="G10" s="26">
        <v>7395</v>
      </c>
      <c r="H10" s="34"/>
      <c r="I10" s="26">
        <v>7395</v>
      </c>
      <c r="J10" s="35"/>
      <c r="K10" s="36">
        <v>7395</v>
      </c>
      <c r="L10" s="34"/>
      <c r="M10" s="26">
        <v>7395</v>
      </c>
      <c r="N10" s="47"/>
      <c r="O10" s="26">
        <v>7395</v>
      </c>
      <c r="P10" s="35"/>
      <c r="Q10" s="26">
        <v>7395</v>
      </c>
      <c r="R10" s="35"/>
      <c r="S10" s="36">
        <v>7395</v>
      </c>
      <c r="T10" s="34"/>
      <c r="U10" s="26">
        <v>7395</v>
      </c>
      <c r="V10" s="35"/>
      <c r="W10" s="36">
        <v>7395</v>
      </c>
      <c r="X10" s="34"/>
      <c r="Y10" s="26">
        <v>7395</v>
      </c>
      <c r="Z10" s="35"/>
      <c r="AA10" s="36"/>
      <c r="AB10" s="34"/>
      <c r="AC10" s="26"/>
      <c r="AD10" s="57">
        <f t="shared" si="1"/>
        <v>73950</v>
      </c>
    </row>
    <row r="11" spans="1:30" ht="15" thickBot="1" x14ac:dyDescent="0.35">
      <c r="A11" s="3">
        <v>9</v>
      </c>
      <c r="B11" s="19" t="s">
        <v>11</v>
      </c>
      <c r="C11" s="16" t="s">
        <v>27</v>
      </c>
      <c r="D11" s="17">
        <v>34000</v>
      </c>
      <c r="E11" s="24">
        <f>D11/4</f>
        <v>8500</v>
      </c>
      <c r="F11" s="43"/>
      <c r="G11" s="29">
        <v>9046</v>
      </c>
      <c r="H11" s="43"/>
      <c r="I11" s="29">
        <v>8500</v>
      </c>
      <c r="J11" s="44"/>
      <c r="K11" s="45">
        <v>10144</v>
      </c>
      <c r="L11" s="43"/>
      <c r="M11" s="29">
        <v>10256</v>
      </c>
      <c r="N11" s="48"/>
      <c r="O11" s="27">
        <v>0</v>
      </c>
      <c r="P11" s="44"/>
      <c r="Q11" s="29">
        <v>0</v>
      </c>
      <c r="R11" s="44"/>
      <c r="S11" s="45">
        <v>0</v>
      </c>
      <c r="T11" s="43"/>
      <c r="U11" s="29">
        <v>0</v>
      </c>
      <c r="V11" s="44">
        <f>21662*4</f>
        <v>86648</v>
      </c>
      <c r="W11" s="45">
        <v>21663</v>
      </c>
      <c r="X11" s="43"/>
      <c r="Y11" s="29">
        <v>21662</v>
      </c>
      <c r="Z11" s="44">
        <v>21662</v>
      </c>
      <c r="AA11" s="45"/>
      <c r="AB11" s="43">
        <v>21662</v>
      </c>
      <c r="AC11" s="29"/>
      <c r="AD11" s="57">
        <f t="shared" si="1"/>
        <v>211243</v>
      </c>
    </row>
    <row r="12" spans="1:30" x14ac:dyDescent="0.3">
      <c r="A12" s="3">
        <v>10</v>
      </c>
      <c r="B12" s="9" t="s">
        <v>8</v>
      </c>
      <c r="C12" s="10" t="s">
        <v>28</v>
      </c>
      <c r="D12" s="11">
        <v>34000</v>
      </c>
      <c r="E12" s="20">
        <f t="shared" si="0"/>
        <v>8500</v>
      </c>
      <c r="F12" s="31"/>
      <c r="G12" s="25">
        <v>8487</v>
      </c>
      <c r="H12" s="31"/>
      <c r="I12" s="25">
        <v>7941</v>
      </c>
      <c r="J12" s="32"/>
      <c r="K12" s="33">
        <v>7443</v>
      </c>
      <c r="L12" s="31"/>
      <c r="M12" s="25">
        <v>8487</v>
      </c>
      <c r="N12" s="46"/>
      <c r="O12" s="25">
        <v>7941</v>
      </c>
      <c r="P12" s="32"/>
      <c r="Q12" s="25">
        <f>6801</f>
        <v>6801</v>
      </c>
      <c r="R12" s="32">
        <v>7941</v>
      </c>
      <c r="S12" s="33">
        <v>0</v>
      </c>
      <c r="T12" s="31">
        <v>7941</v>
      </c>
      <c r="U12" s="25">
        <v>0</v>
      </c>
      <c r="V12" s="32">
        <f>30126+17748</f>
        <v>47874</v>
      </c>
      <c r="W12" s="33">
        <v>0</v>
      </c>
      <c r="X12" s="31">
        <v>14790</v>
      </c>
      <c r="Y12" s="25">
        <v>26076</v>
      </c>
      <c r="Z12" s="32"/>
      <c r="AA12" s="33"/>
      <c r="AB12" s="31"/>
      <c r="AC12" s="25"/>
      <c r="AD12" s="57">
        <f t="shared" si="1"/>
        <v>151722</v>
      </c>
    </row>
    <row r="13" spans="1:30" x14ac:dyDescent="0.3">
      <c r="A13" s="3">
        <v>11</v>
      </c>
      <c r="B13" s="12" t="s">
        <v>25</v>
      </c>
      <c r="C13" s="5" t="s">
        <v>28</v>
      </c>
      <c r="D13" s="6">
        <v>32100</v>
      </c>
      <c r="E13" s="21">
        <f>D13/1</f>
        <v>32100</v>
      </c>
      <c r="F13" s="34"/>
      <c r="G13" s="26">
        <v>27927</v>
      </c>
      <c r="H13" s="34"/>
      <c r="I13" s="26">
        <v>27927</v>
      </c>
      <c r="J13" s="35"/>
      <c r="K13" s="36">
        <v>27927</v>
      </c>
      <c r="L13" s="34"/>
      <c r="M13" s="26">
        <v>27927</v>
      </c>
      <c r="N13" s="47">
        <f>13319.56+18618</f>
        <v>31937.559999999998</v>
      </c>
      <c r="O13" s="26">
        <v>0</v>
      </c>
      <c r="P13" s="35"/>
      <c r="Q13" s="26">
        <v>0</v>
      </c>
      <c r="R13" s="35"/>
      <c r="S13" s="36">
        <v>0</v>
      </c>
      <c r="T13" s="34"/>
      <c r="U13" s="26">
        <v>0</v>
      </c>
      <c r="V13" s="35">
        <f>36313.13+52200</f>
        <v>88513.13</v>
      </c>
      <c r="W13" s="36">
        <v>52200</v>
      </c>
      <c r="X13" s="34"/>
      <c r="Y13" s="26">
        <v>52200</v>
      </c>
      <c r="Z13" s="35"/>
      <c r="AA13" s="36"/>
      <c r="AB13" s="34"/>
      <c r="AC13" s="26"/>
      <c r="AD13" s="57">
        <f t="shared" si="1"/>
        <v>336558.69</v>
      </c>
    </row>
    <row r="14" spans="1:30" x14ac:dyDescent="0.3">
      <c r="A14" s="3">
        <v>12</v>
      </c>
      <c r="B14" s="12" t="s">
        <v>12</v>
      </c>
      <c r="C14" s="5" t="s">
        <v>28</v>
      </c>
      <c r="D14" s="6">
        <v>35000</v>
      </c>
      <c r="E14" s="21">
        <f>D14/4</f>
        <v>8750</v>
      </c>
      <c r="F14" s="34"/>
      <c r="G14" s="26">
        <v>5738.47</v>
      </c>
      <c r="H14" s="34"/>
      <c r="I14" s="26">
        <v>5510</v>
      </c>
      <c r="J14" s="35"/>
      <c r="K14" s="36">
        <v>7068.33</v>
      </c>
      <c r="L14" s="34"/>
      <c r="M14" s="26">
        <v>7976</v>
      </c>
      <c r="N14" s="47"/>
      <c r="O14" s="26">
        <v>0</v>
      </c>
      <c r="P14" s="35"/>
      <c r="Q14" s="26">
        <v>0</v>
      </c>
      <c r="R14" s="35"/>
      <c r="S14" s="36">
        <v>0</v>
      </c>
      <c r="T14" s="34"/>
      <c r="U14" s="26">
        <v>0</v>
      </c>
      <c r="V14" s="35">
        <f>7795+7430+7795+7612</f>
        <v>30632</v>
      </c>
      <c r="W14" s="36">
        <v>4845.18</v>
      </c>
      <c r="X14" s="34"/>
      <c r="Y14" s="26">
        <v>7794</v>
      </c>
      <c r="Z14" s="35"/>
      <c r="AA14" s="36"/>
      <c r="AB14" s="34"/>
      <c r="AC14" s="26"/>
      <c r="AD14" s="57">
        <f t="shared" si="1"/>
        <v>69563.98000000001</v>
      </c>
    </row>
    <row r="15" spans="1:30" x14ac:dyDescent="0.3">
      <c r="A15" s="3">
        <v>13</v>
      </c>
      <c r="B15" s="12" t="s">
        <v>14</v>
      </c>
      <c r="C15" s="5" t="s">
        <v>28</v>
      </c>
      <c r="D15" s="6">
        <v>34000</v>
      </c>
      <c r="E15" s="21">
        <f>D15*0.8</f>
        <v>27200</v>
      </c>
      <c r="F15" s="34"/>
      <c r="G15" s="26">
        <v>23664</v>
      </c>
      <c r="H15" s="34"/>
      <c r="I15" s="26">
        <v>23664</v>
      </c>
      <c r="J15" s="35">
        <v>23664</v>
      </c>
      <c r="K15" s="36">
        <v>0</v>
      </c>
      <c r="L15" s="34"/>
      <c r="M15" s="26">
        <v>23664</v>
      </c>
      <c r="N15" s="47"/>
      <c r="O15" s="26">
        <v>0</v>
      </c>
      <c r="P15" s="35"/>
      <c r="Q15" s="26">
        <v>0</v>
      </c>
      <c r="R15" s="35"/>
      <c r="S15" s="36">
        <v>0</v>
      </c>
      <c r="T15" s="34"/>
      <c r="U15" s="26">
        <v>0</v>
      </c>
      <c r="V15" s="35">
        <f>23664*4</f>
        <v>94656</v>
      </c>
      <c r="W15" s="36">
        <v>23664</v>
      </c>
      <c r="X15" s="34"/>
      <c r="Y15" s="26">
        <v>23664</v>
      </c>
      <c r="Z15" s="35"/>
      <c r="AA15" s="36"/>
      <c r="AB15" s="34"/>
      <c r="AC15" s="26"/>
      <c r="AD15" s="57">
        <f t="shared" si="1"/>
        <v>236640</v>
      </c>
    </row>
    <row r="16" spans="1:30" ht="15" thickBot="1" x14ac:dyDescent="0.35">
      <c r="A16" s="3">
        <v>14</v>
      </c>
      <c r="B16" s="13" t="s">
        <v>26</v>
      </c>
      <c r="C16" s="14" t="s">
        <v>28</v>
      </c>
      <c r="D16" s="15">
        <v>32100</v>
      </c>
      <c r="E16" s="22">
        <f>D16</f>
        <v>32100</v>
      </c>
      <c r="F16" s="37"/>
      <c r="G16" s="27">
        <v>27927</v>
      </c>
      <c r="H16" s="37"/>
      <c r="I16" s="27">
        <v>27927</v>
      </c>
      <c r="J16" s="38"/>
      <c r="K16" s="39">
        <v>27927</v>
      </c>
      <c r="L16" s="37"/>
      <c r="M16" s="27">
        <v>27927</v>
      </c>
      <c r="N16" s="48"/>
      <c r="O16" s="27">
        <v>27927</v>
      </c>
      <c r="P16" s="38"/>
      <c r="Q16" s="27">
        <v>27927</v>
      </c>
      <c r="R16" s="38"/>
      <c r="S16" s="39">
        <v>27927</v>
      </c>
      <c r="T16" s="37"/>
      <c r="U16" s="27">
        <v>27927</v>
      </c>
      <c r="V16" s="38"/>
      <c r="W16" s="39">
        <v>52200</v>
      </c>
      <c r="X16" s="37"/>
      <c r="Y16" s="27">
        <v>52200</v>
      </c>
      <c r="Z16" s="38"/>
      <c r="AA16" s="39"/>
      <c r="AB16" s="37"/>
      <c r="AC16" s="27"/>
      <c r="AD16" s="57">
        <f t="shared" si="1"/>
        <v>327816</v>
      </c>
    </row>
    <row r="17" spans="1:31" s="60" customFormat="1" ht="15" customHeight="1" x14ac:dyDescent="0.25">
      <c r="A17" s="59"/>
      <c r="C17" s="59"/>
      <c r="D17" s="61">
        <f>SUM(D3:D14)</f>
        <v>384912.5</v>
      </c>
      <c r="E17" s="61">
        <f>SUM(E3:E14)</f>
        <v>148850</v>
      </c>
      <c r="F17" s="65">
        <f>SUM(F3:F16)</f>
        <v>0</v>
      </c>
      <c r="G17" s="65">
        <f>SUM(G3:G16)</f>
        <v>158694.47</v>
      </c>
      <c r="H17" s="65">
        <f t="shared" ref="H17:AC17" si="4">SUM(H3:H16)</f>
        <v>0</v>
      </c>
      <c r="I17" s="65">
        <f t="shared" si="4"/>
        <v>157230.5</v>
      </c>
      <c r="J17" s="65">
        <f t="shared" si="4"/>
        <v>23664</v>
      </c>
      <c r="K17" s="65">
        <f t="shared" si="4"/>
        <v>135855.83000000002</v>
      </c>
      <c r="L17" s="65">
        <f t="shared" si="4"/>
        <v>0</v>
      </c>
      <c r="M17" s="65">
        <f t="shared" si="4"/>
        <v>163720.5</v>
      </c>
      <c r="N17" s="65">
        <f t="shared" si="4"/>
        <v>32494.699999999997</v>
      </c>
      <c r="O17" s="65">
        <f t="shared" si="4"/>
        <v>92259.5</v>
      </c>
      <c r="P17" s="65">
        <f t="shared" si="4"/>
        <v>0</v>
      </c>
      <c r="Q17" s="65">
        <f t="shared" si="4"/>
        <v>88887.5</v>
      </c>
      <c r="R17" s="65">
        <f t="shared" si="4"/>
        <v>7941</v>
      </c>
      <c r="S17" s="65">
        <f t="shared" si="4"/>
        <v>84317.5</v>
      </c>
      <c r="T17" s="65">
        <f t="shared" si="4"/>
        <v>7941</v>
      </c>
      <c r="U17" s="65">
        <f t="shared" si="4"/>
        <v>83594.17</v>
      </c>
      <c r="V17" s="65">
        <f t="shared" si="4"/>
        <v>348323.13</v>
      </c>
      <c r="W17" s="65">
        <f t="shared" si="4"/>
        <v>209924.5</v>
      </c>
      <c r="X17" s="65">
        <f t="shared" si="4"/>
        <v>14790</v>
      </c>
      <c r="Y17" s="65">
        <f>SUM(Y3:Y16)</f>
        <v>237804.5</v>
      </c>
      <c r="Z17" s="65">
        <f t="shared" si="4"/>
        <v>21662</v>
      </c>
      <c r="AA17" s="65">
        <f t="shared" si="4"/>
        <v>0</v>
      </c>
      <c r="AB17" s="65">
        <f t="shared" si="4"/>
        <v>21662</v>
      </c>
      <c r="AC17" s="65">
        <f t="shared" si="4"/>
        <v>0</v>
      </c>
      <c r="AD17" s="62">
        <f>SUM(AD3:AD16)</f>
        <v>1890766.8</v>
      </c>
      <c r="AE17" s="63"/>
    </row>
    <row r="18" spans="1:31" x14ac:dyDescent="0.3">
      <c r="AD18" s="64">
        <f>SUM(F17:AC17)</f>
        <v>1890766.8</v>
      </c>
    </row>
  </sheetData>
  <mergeCells count="18">
    <mergeCell ref="N1:O1"/>
    <mergeCell ref="P1:Q1"/>
    <mergeCell ref="C1:C2"/>
    <mergeCell ref="A1:A2"/>
    <mergeCell ref="AD1:AD2"/>
    <mergeCell ref="B1:B2"/>
    <mergeCell ref="E1:E2"/>
    <mergeCell ref="D1:D2"/>
    <mergeCell ref="Z1:AA1"/>
    <mergeCell ref="AB1:AC1"/>
    <mergeCell ref="X1:Y1"/>
    <mergeCell ref="R1:S1"/>
    <mergeCell ref="T1:U1"/>
    <mergeCell ref="V1:W1"/>
    <mergeCell ref="F1:G1"/>
    <mergeCell ref="H1:I1"/>
    <mergeCell ref="J1:K1"/>
    <mergeCell ref="L1:M1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</dc:creator>
  <cp:lastModifiedBy>Алексей</cp:lastModifiedBy>
  <dcterms:created xsi:type="dcterms:W3CDTF">2014-03-03T15:15:04Z</dcterms:created>
  <dcterms:modified xsi:type="dcterms:W3CDTF">2026-01-12T10:17:13Z</dcterms:modified>
</cp:coreProperties>
</file>