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D:\2\"/>
    </mc:Choice>
  </mc:AlternateContent>
  <xr:revisionPtr revIDLastSave="0" documentId="13_ncr:1_{F00D4BFA-FEBB-486C-8FB1-6DAC5315D8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6" r:id="rId1"/>
  </sheets>
  <definedNames>
    <definedName name="_xlnm._FilterDatabase" localSheetId="0" hidden="1">'2025'!$A$1:$O$140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0" i="6" l="1"/>
  <c r="E64" i="6"/>
  <c r="E137" i="6"/>
  <c r="F137" i="6" s="1"/>
  <c r="F135" i="6"/>
  <c r="F134" i="6"/>
  <c r="F136" i="6"/>
  <c r="F124" i="6"/>
  <c r="F133" i="6"/>
  <c r="F132" i="6"/>
  <c r="F131" i="6" l="1"/>
  <c r="F121" i="6"/>
  <c r="E117" i="6"/>
  <c r="F117" i="6" s="1"/>
  <c r="F106" i="6"/>
  <c r="E93" i="6"/>
  <c r="D93" i="6"/>
  <c r="O3" i="6"/>
  <c r="O140" i="6" s="1"/>
  <c r="E4" i="6"/>
  <c r="E97" i="6"/>
  <c r="F97" i="6" s="1"/>
  <c r="E101" i="6"/>
  <c r="D101" i="6"/>
  <c r="E99" i="6"/>
  <c r="F99" i="6" s="1"/>
  <c r="F114" i="6"/>
  <c r="F113" i="6"/>
  <c r="F112" i="6"/>
  <c r="F111" i="6"/>
  <c r="F110" i="6"/>
  <c r="F109" i="6"/>
  <c r="F108" i="6"/>
  <c r="F107" i="6"/>
  <c r="F105" i="6"/>
  <c r="E91" i="6"/>
  <c r="F91" i="6" s="1"/>
  <c r="E85" i="6"/>
  <c r="F85" i="6" s="1"/>
  <c r="F90" i="6"/>
  <c r="F81" i="6"/>
  <c r="F80" i="6"/>
  <c r="F92" i="6"/>
  <c r="F94" i="6"/>
  <c r="F95" i="6"/>
  <c r="F98" i="6"/>
  <c r="F100" i="6"/>
  <c r="F102" i="6"/>
  <c r="F103" i="6"/>
  <c r="F104" i="6"/>
  <c r="F115" i="6"/>
  <c r="F116" i="6"/>
  <c r="F118" i="6"/>
  <c r="F119" i="6"/>
  <c r="F120" i="6"/>
  <c r="F122" i="6"/>
  <c r="F123" i="6"/>
  <c r="F125" i="6"/>
  <c r="F126" i="6"/>
  <c r="F127" i="6"/>
  <c r="F128" i="6"/>
  <c r="F129" i="6"/>
  <c r="F130" i="6"/>
  <c r="F138" i="6"/>
  <c r="F78" i="6"/>
  <c r="F79" i="6"/>
  <c r="F82" i="6"/>
  <c r="F83" i="6"/>
  <c r="F84" i="6"/>
  <c r="F88" i="6"/>
  <c r="F76" i="6"/>
  <c r="F89" i="6"/>
  <c r="E41" i="6"/>
  <c r="F93" i="6" l="1"/>
  <c r="F101" i="6"/>
  <c r="F96" i="6"/>
  <c r="E70" i="6"/>
  <c r="F70" i="6" s="1"/>
  <c r="F75" i="6"/>
  <c r="F77" i="6"/>
  <c r="F69" i="6"/>
  <c r="F56" i="6"/>
  <c r="F4" i="6"/>
  <c r="F29" i="6"/>
  <c r="F73" i="6"/>
  <c r="F68" i="6"/>
  <c r="F72" i="6"/>
  <c r="F8" i="6"/>
  <c r="F74" i="6"/>
  <c r="F71" i="6"/>
  <c r="F57" i="6"/>
  <c r="F65" i="6"/>
  <c r="F7" i="6"/>
  <c r="F64" i="6"/>
  <c r="F54" i="6"/>
  <c r="F58" i="6"/>
  <c r="F66" i="6"/>
  <c r="F63" i="6"/>
  <c r="F67" i="6"/>
  <c r="F62" i="6"/>
  <c r="F6" i="6"/>
  <c r="F61" i="6"/>
  <c r="F48" i="6"/>
  <c r="F51" i="6"/>
  <c r="F50" i="6"/>
  <c r="F52" i="6"/>
  <c r="F53" i="6"/>
  <c r="F59" i="6"/>
  <c r="F23" i="6"/>
  <c r="F41" i="6"/>
  <c r="F40" i="6"/>
  <c r="F31" i="6"/>
  <c r="F43" i="6"/>
  <c r="F55" i="6"/>
  <c r="F42" i="6"/>
  <c r="F45" i="6"/>
  <c r="F46" i="6"/>
  <c r="F39" i="6"/>
  <c r="F26" i="6"/>
  <c r="F28" i="6"/>
  <c r="F27" i="6"/>
  <c r="F30" i="6"/>
  <c r="F33" i="6"/>
  <c r="F32" i="6"/>
  <c r="F34" i="6"/>
  <c r="F35" i="6"/>
  <c r="F36" i="6"/>
  <c r="F37" i="6"/>
  <c r="F19" i="6"/>
  <c r="F20" i="6"/>
  <c r="F15" i="6"/>
  <c r="F21" i="6"/>
  <c r="F22" i="6"/>
  <c r="F25" i="6"/>
  <c r="F24" i="6"/>
  <c r="F18" i="6"/>
  <c r="F9" i="6"/>
  <c r="F17" i="6"/>
  <c r="E14" i="6"/>
  <c r="F14" i="6" s="1"/>
  <c r="F16" i="6"/>
  <c r="F13" i="6"/>
  <c r="F12" i="6"/>
  <c r="F11" i="6"/>
  <c r="F10" i="6"/>
  <c r="D87" i="6"/>
  <c r="F87" i="6" s="1"/>
  <c r="D86" i="6"/>
  <c r="F86" i="6" s="1"/>
  <c r="E44" i="6"/>
  <c r="F44" i="6" s="1"/>
  <c r="E38" i="6"/>
  <c r="F38" i="6" s="1"/>
  <c r="E60" i="6" l="1"/>
  <c r="D60" i="6"/>
  <c r="E47" i="6"/>
  <c r="D47" i="6"/>
  <c r="D140" i="6" s="1"/>
  <c r="E49" i="6"/>
  <c r="F49" i="6" s="1"/>
  <c r="E2" i="6"/>
  <c r="F2" i="6" s="1"/>
  <c r="E3" i="6"/>
  <c r="F3" i="6" s="1"/>
  <c r="F47" i="6" l="1"/>
  <c r="F60" i="6"/>
  <c r="E140" i="6" l="1"/>
  <c r="F5" i="6"/>
  <c r="F140" i="6" s="1"/>
</calcChain>
</file>

<file path=xl/sharedStrings.xml><?xml version="1.0" encoding="utf-8"?>
<sst xmlns="http://schemas.openxmlformats.org/spreadsheetml/2006/main" count="740" uniqueCount="263">
  <si>
    <t>Покупатель</t>
  </si>
  <si>
    <t>Дата отгрузки</t>
  </si>
  <si>
    <t>Клиент</t>
  </si>
  <si>
    <t>Тамара Павлова</t>
  </si>
  <si>
    <t>нал</t>
  </si>
  <si>
    <t>безнал</t>
  </si>
  <si>
    <t>Влад Бармин (Вириде)</t>
  </si>
  <si>
    <t>Крис</t>
  </si>
  <si>
    <t>примечание</t>
  </si>
  <si>
    <t>ИТОГО:</t>
  </si>
  <si>
    <t>%% ЛД</t>
  </si>
  <si>
    <t>Денису на карту</t>
  </si>
  <si>
    <t>Милана Колалите</t>
  </si>
  <si>
    <t>отгружено</t>
  </si>
  <si>
    <t>да</t>
  </si>
  <si>
    <t>Даты оплаты</t>
  </si>
  <si>
    <t>Наталья Бендер</t>
  </si>
  <si>
    <t>Объект, СЦ</t>
  </si>
  <si>
    <t>Пенза</t>
  </si>
  <si>
    <t>Ирина Фрик</t>
  </si>
  <si>
    <t>Объект</t>
  </si>
  <si>
    <t>Светлана Цупко</t>
  </si>
  <si>
    <t>Денису наличными</t>
  </si>
  <si>
    <t>Северная Флора</t>
  </si>
  <si>
    <t>Всевсад</t>
  </si>
  <si>
    <t>Заказ№</t>
  </si>
  <si>
    <t>Коновалова Екатерина</t>
  </si>
  <si>
    <t>Наталья Борисова</t>
  </si>
  <si>
    <t>Татьяна Бушкова</t>
  </si>
  <si>
    <t>Форма оплаты</t>
  </si>
  <si>
    <t>Плательщик(и)</t>
  </si>
  <si>
    <t>К оплате</t>
  </si>
  <si>
    <t>№ бух.накл</t>
  </si>
  <si>
    <t>Светлана Сизова</t>
  </si>
  <si>
    <t>Романенко Эдита</t>
  </si>
  <si>
    <t>доставка</t>
  </si>
  <si>
    <t>Мята</t>
  </si>
  <si>
    <t>Александровская</t>
  </si>
  <si>
    <t>Комарово</t>
  </si>
  <si>
    <t>Суходольское</t>
  </si>
  <si>
    <t>Сильвия</t>
  </si>
  <si>
    <t>Залозье</t>
  </si>
  <si>
    <t>дер. Матокса, КП "Изумрудные горки"</t>
  </si>
  <si>
    <t>Договор № 39 от 09.04.25</t>
  </si>
  <si>
    <t xml:space="preserve">ИП Ефремова-Райкова А.Н. </t>
  </si>
  <si>
    <t>Ефремова-Райкова А.Н. (Garden Foresta)</t>
  </si>
  <si>
    <t>Договор № 40 от 11.04.25</t>
  </si>
  <si>
    <t xml:space="preserve">Салакина А.В. </t>
  </si>
  <si>
    <t>Всеволожск, "Озёрное"</t>
  </si>
  <si>
    <t xml:space="preserve">Павел Остапчук </t>
  </si>
  <si>
    <t xml:space="preserve">Наталья Борисова  </t>
  </si>
  <si>
    <t>Новиков С.А.</t>
  </si>
  <si>
    <t>Химки, Моск.обл.</t>
  </si>
  <si>
    <t>КП "Репино Парк"</t>
  </si>
  <si>
    <t>Договор № 37 от 05.03.25</t>
  </si>
  <si>
    <t>«УК «Севкабель Порт» ООО</t>
  </si>
  <si>
    <t>УК «Севкабель Порт»</t>
  </si>
  <si>
    <t>Счёт №П-2 от 17.04.2025</t>
  </si>
  <si>
    <t>Елене в подотчёт</t>
  </si>
  <si>
    <t>Легенчук Наталья Николаевна</t>
  </si>
  <si>
    <t>Легенчук Н.Н.</t>
  </si>
  <si>
    <t>Ланская Анастасия Александровна</t>
  </si>
  <si>
    <t>Ланская А.А.</t>
  </si>
  <si>
    <t>Химки, Моск.обл. (теллима)</t>
  </si>
  <si>
    <t xml:space="preserve">Максим Лещинский </t>
  </si>
  <si>
    <t>Парк Монрепо</t>
  </si>
  <si>
    <t>Анна Лоренс</t>
  </si>
  <si>
    <t>13.02 - 200000 нал, 05.03 - 612100 б/н, 01.05.2025 - 347800 нал</t>
  </si>
  <si>
    <t>нал, безнал</t>
  </si>
  <si>
    <t>счет П-3</t>
  </si>
  <si>
    <t>ООО "ОМЕЛА СТУДИО", Тамара Павлова</t>
  </si>
  <si>
    <t>Пихта</t>
  </si>
  <si>
    <t>ИП Сизова С.Н.</t>
  </si>
  <si>
    <t>Счёт П-17 от 21.05.25</t>
  </si>
  <si>
    <t>Павел Остапчук</t>
  </si>
  <si>
    <t>ООО "Еваника"</t>
  </si>
  <si>
    <t>Мацукова И.В.</t>
  </si>
  <si>
    <t>Счёт №П-20 22.05.2025</t>
  </si>
  <si>
    <t>Головлёва Л.</t>
  </si>
  <si>
    <t>Смит Вл.</t>
  </si>
  <si>
    <t>Дунаева О.</t>
  </si>
  <si>
    <t>22.05 - 225000, 27.05 - 119940</t>
  </si>
  <si>
    <t>ООО "Листва"</t>
  </si>
  <si>
    <t>Счёт П-26 от 27.05.25</t>
  </si>
  <si>
    <t>клиент</t>
  </si>
  <si>
    <t>Заведий Наталья</t>
  </si>
  <si>
    <t>Заведий Н.</t>
  </si>
  <si>
    <t>Реп.усадьба - 4</t>
  </si>
  <si>
    <t>(бадан)</t>
  </si>
  <si>
    <t>(розы)</t>
  </si>
  <si>
    <t>(дёрен)</t>
  </si>
  <si>
    <t>(ландыш)</t>
  </si>
  <si>
    <t>Бармин В.</t>
  </si>
  <si>
    <t>КП "Город на ладони", Лом. р-н</t>
  </si>
  <si>
    <t>Павлова Т.</t>
  </si>
  <si>
    <t>Лоренс А.</t>
  </si>
  <si>
    <t>ООО "Экипцентр"</t>
  </si>
  <si>
    <t>Акопян А.Э.</t>
  </si>
  <si>
    <t>(пионы)</t>
  </si>
  <si>
    <t>(спирея)</t>
  </si>
  <si>
    <t>доплата 8%, Денису на карту</t>
  </si>
  <si>
    <t>Киреева Инна Анатольевна</t>
  </si>
  <si>
    <t>ИП Киреева И.А.</t>
  </si>
  <si>
    <t>Счет П-37 05.06.25</t>
  </si>
  <si>
    <t>РусГарден</t>
  </si>
  <si>
    <t>(волжанка, горт)</t>
  </si>
  <si>
    <t>(спиреи, горт)</t>
  </si>
  <si>
    <t>(роджерсия)</t>
  </si>
  <si>
    <t>По счёту №П-5 от 11.06.25</t>
  </si>
  <si>
    <t>(дербенник)</t>
  </si>
  <si>
    <t>(хосты, папор)</t>
  </si>
  <si>
    <t>Владислав Иванов</t>
  </si>
  <si>
    <t>(смородина альп)</t>
  </si>
  <si>
    <t>Савова Татьяна</t>
  </si>
  <si>
    <t>Гарден Сити</t>
  </si>
  <si>
    <t>17.06 -84410, 18.06 - 11000</t>
  </si>
  <si>
    <t>Савова Т.Е.</t>
  </si>
  <si>
    <t>(горянка)</t>
  </si>
  <si>
    <t>Фрик И.Д.</t>
  </si>
  <si>
    <t>взаиморасчёт с Денисом</t>
  </si>
  <si>
    <t>Ольга Батурина (LBuro)</t>
  </si>
  <si>
    <t xml:space="preserve">Ольга Батурина </t>
  </si>
  <si>
    <t>(анемона, какалия)</t>
  </si>
  <si>
    <t>Левашово</t>
  </si>
  <si>
    <t>ООО "Пространство благоустройства"</t>
  </si>
  <si>
    <t>По счёту №П-54 от 23.06.25</t>
  </si>
  <si>
    <t>ООО "Строительство и Благоустройство"</t>
  </si>
  <si>
    <t>По счёту №П-58 от 24.06.25</t>
  </si>
  <si>
    <t>(клевер)</t>
  </si>
  <si>
    <t>Конькова Е.В.</t>
  </si>
  <si>
    <t>Колалите М.</t>
  </si>
  <si>
    <t>17.06 - 63040, 26.06 - 1520</t>
  </si>
  <si>
    <t>По счётам №П-60, 61 от 27.06.25</t>
  </si>
  <si>
    <t>(мшанка)</t>
  </si>
  <si>
    <t>Александра (Хвоя)</t>
  </si>
  <si>
    <t>662220 изначально</t>
  </si>
  <si>
    <t>(4 розы)</t>
  </si>
  <si>
    <t>ИП Легенчук Н.Н.</t>
  </si>
  <si>
    <t>Сумма заказа, руб.</t>
  </si>
  <si>
    <t>Оплачено, руб.</t>
  </si>
  <si>
    <t>09.05 - 500000, 06.06 - 228620</t>
  </si>
  <si>
    <t>Татьяна Коновалова</t>
  </si>
  <si>
    <t>Москва, яхтклуб</t>
  </si>
  <si>
    <t>ИП Зайцев Ярослав Сергеевич (Хвоя)</t>
  </si>
  <si>
    <t>ИП Зайцев Я.С. (Хвоя)</t>
  </si>
  <si>
    <t>Марина (от Белых)</t>
  </si>
  <si>
    <t>ИП Венедиктова Екатерина Олеговна</t>
  </si>
  <si>
    <t>Венедиктова Е.О.</t>
  </si>
  <si>
    <t>Маслов Ю.</t>
  </si>
  <si>
    <t>Ижукова Т.</t>
  </si>
  <si>
    <t>Бендер Н.</t>
  </si>
  <si>
    <t>10.06 - 32850, 04.07 - 20990</t>
  </si>
  <si>
    <t>Финлянд.дорога</t>
  </si>
  <si>
    <t>Осельки</t>
  </si>
  <si>
    <t>08.07 - 70000, 09.07 - 37400</t>
  </si>
  <si>
    <t>Лещинский М.П.</t>
  </si>
  <si>
    <t>Счёт № 17 от 14.07.25</t>
  </si>
  <si>
    <t>По счёту №П-77 от 16.07.25</t>
  </si>
  <si>
    <t>ООО "Аренда всего"</t>
  </si>
  <si>
    <t>(котовник, Сосново)</t>
  </si>
  <si>
    <t>ООО "Архитектура Сада"</t>
  </si>
  <si>
    <t>По счёту №П-78 от 17.07.25</t>
  </si>
  <si>
    <t>депозит с заказов 4 и 38</t>
  </si>
  <si>
    <t>депозит с заказа 41</t>
  </si>
  <si>
    <t>депозит с заказа 61</t>
  </si>
  <si>
    <t>депозит с заказа 71</t>
  </si>
  <si>
    <t>депозит с заказа 72</t>
  </si>
  <si>
    <t>депозит с заказов 68 и 69</t>
  </si>
  <si>
    <t>депозит с заказа 70</t>
  </si>
  <si>
    <t>Золотова Анастасия</t>
  </si>
  <si>
    <t>Тропченко Виктор</t>
  </si>
  <si>
    <t>Тропченко В.</t>
  </si>
  <si>
    <t>Решетник Анна</t>
  </si>
  <si>
    <t>31.07, 01.08.</t>
  </si>
  <si>
    <t>(фиалка)</t>
  </si>
  <si>
    <t>(кустарники)</t>
  </si>
  <si>
    <t>(гортензия)</t>
  </si>
  <si>
    <t>Пыжикова &amp; К</t>
  </si>
  <si>
    <t>(земляника)</t>
  </si>
  <si>
    <t>объект (куст)</t>
  </si>
  <si>
    <t>объект (многол)</t>
  </si>
  <si>
    <t>По счёту № 27 от 11.08.25</t>
  </si>
  <si>
    <t>По счёту № 26 от 11.08.25</t>
  </si>
  <si>
    <t>(кровохлебка)</t>
  </si>
  <si>
    <t>Короткевич М.С.</t>
  </si>
  <si>
    <t>11.08.2025 - 21260 (-1780)</t>
  </si>
  <si>
    <t>Денису на карту, часть с депозита заказа 75</t>
  </si>
  <si>
    <t>(ирисы, ожика)</t>
  </si>
  <si>
    <t>Шумило Ольга (Эрика)</t>
  </si>
  <si>
    <t>(вишня карлик)</t>
  </si>
  <si>
    <t>Шумило О.</t>
  </si>
  <si>
    <t>Венедиктова Екатерина Олегова</t>
  </si>
  <si>
    <t>(очиток)</t>
  </si>
  <si>
    <t>Ефремов С.С. (Garden Foresta)</t>
  </si>
  <si>
    <t>По счёту № П-95 от 15.08.25</t>
  </si>
  <si>
    <t>ИП Ефремов С.С.</t>
  </si>
  <si>
    <t>По счёту № П-97 от 19.08.25</t>
  </si>
  <si>
    <t>Остапчук П.</t>
  </si>
  <si>
    <t>Коновалова Татьяна</t>
  </si>
  <si>
    <t>Коновалова Т.</t>
  </si>
  <si>
    <t>Решетник А.</t>
  </si>
  <si>
    <t>б/п</t>
  </si>
  <si>
    <t>(хранение заказа)</t>
  </si>
  <si>
    <t>Конькова Елена Валерьевна</t>
  </si>
  <si>
    <t>25.08 - 97100, 01.09 - 14000</t>
  </si>
  <si>
    <t>По счетаму № П-102 от 27.08., № П-106 от 02.09.</t>
  </si>
  <si>
    <t>27.08 - 87467, 02.09 - 13608</t>
  </si>
  <si>
    <t>Счёт № П-1 от 11.04.2025</t>
  </si>
  <si>
    <t>Договор № 36 от 03.03.25 (счета № ?, № 20 от 20.08)</t>
  </si>
  <si>
    <t>По счёту № П-76 от 16.07.25</t>
  </si>
  <si>
    <t>По счёту №П-56 от 23.07.25</t>
  </si>
  <si>
    <t>19.08 -170640, 2.09 - 145414</t>
  </si>
  <si>
    <t>16.03.25 - 1550521, 3.09 -491299,75</t>
  </si>
  <si>
    <t>15.08 - 30600, 4.09 - 34920</t>
  </si>
  <si>
    <t>Самгина В.</t>
  </si>
  <si>
    <t>Михайлова Антонина</t>
  </si>
  <si>
    <t>Михайлова А.</t>
  </si>
  <si>
    <t>Игошина Т.</t>
  </si>
  <si>
    <t>Игошина Таисья</t>
  </si>
  <si>
    <t>Орехова Анастасия</t>
  </si>
  <si>
    <t xml:space="preserve">Самгина Виктория </t>
  </si>
  <si>
    <t xml:space="preserve">Фрик Ирина </t>
  </si>
  <si>
    <t>Ижукова Людмила</t>
  </si>
  <si>
    <t>(сеслерия)</t>
  </si>
  <si>
    <t>Коновалова Е.</t>
  </si>
  <si>
    <t>(ивы)</t>
  </si>
  <si>
    <t>Рив Гош</t>
  </si>
  <si>
    <t>Романенко Э.</t>
  </si>
  <si>
    <t>Самойленко Н.А.</t>
  </si>
  <si>
    <t>По счёту № П-114 от 19.09.25</t>
  </si>
  <si>
    <t>ИП Левина Е.Н.</t>
  </si>
  <si>
    <t>По счёту № П-116 от 22.09.25</t>
  </si>
  <si>
    <t>ИП Павлов С.И.</t>
  </si>
  <si>
    <t>Павлов Святослав Игоревич</t>
  </si>
  <si>
    <t>(тимьян)</t>
  </si>
  <si>
    <t>24, 25.09.25</t>
  </si>
  <si>
    <t xml:space="preserve">Вырица </t>
  </si>
  <si>
    <t>Пушкинский Лес</t>
  </si>
  <si>
    <t>Цупко Светлана</t>
  </si>
  <si>
    <t>Цупко С.</t>
  </si>
  <si>
    <t xml:space="preserve">ООО "Гринборг" </t>
  </si>
  <si>
    <t>По счёту № П-125 от 06.10.25</t>
  </si>
  <si>
    <t>Черепанов К.В.</t>
  </si>
  <si>
    <t>Павлов С.И.</t>
  </si>
  <si>
    <t>"Растеника" / "ХAN"</t>
  </si>
  <si>
    <t>Павел Романович А.</t>
  </si>
  <si>
    <t>По счёту № П-127 от 14.10.25</t>
  </si>
  <si>
    <t>Стрельцово</t>
  </si>
  <si>
    <t>По счёту № П-130 от 15.10.25</t>
  </si>
  <si>
    <t>Водитель</t>
  </si>
  <si>
    <t>По счёту № П-132 от 21.10.25</t>
  </si>
  <si>
    <t>По счёту № 35 от 20.10.25</t>
  </si>
  <si>
    <t>(пузыреплодник)</t>
  </si>
  <si>
    <t>(роза)</t>
  </si>
  <si>
    <t>ООО "ГРАНД ПЕРСПЕКТИВ"</t>
  </si>
  <si>
    <t>По счёту № П-137 от 30.10.25</t>
  </si>
  <si>
    <t>Нат. Владимировна Т.</t>
  </si>
  <si>
    <t>Елене в подотчёт 24000, Денису на курту 17760</t>
  </si>
  <si>
    <t>30.10 - 24000, 3.11 - 17760</t>
  </si>
  <si>
    <t>ООО "МОХ"</t>
  </si>
  <si>
    <t>По счёту № П-138 от 11.11.25</t>
  </si>
  <si>
    <t>зачет</t>
  </si>
  <si>
    <t>2026г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</si>
</sst>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dd/mm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i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  <scheme val="minor"/>
    </font>
    <font>
      <sz val="8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/>
    <xf numFmtId="0" fontId="1" fillId="0" borderId="0"/>
    <xf numFmtId="0" fontId="9" fillId="0" borderId="0"/>
  </cellStyleXfs>
  <cellXfs count="59">
    <xf numFmtId="0" fontId="0" fillId="0" borderId="0" xfId="0"/>
    <xf numFmtId="165" fontId="4" fillId="2" borderId="1" xfId="0" applyNumberFormat="1" applyFont="1" applyFill="1" applyBorder="1" applyAlignment="1">
      <alignment horizontal="center" vertical="center" wrapText="1"/>
    </xf>
    <xf numFmtId="4" fontId="4" fillId="2" borderId="1" xfId="2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vertical="center"/>
    </xf>
    <xf numFmtId="0" fontId="4" fillId="2" borderId="1" xfId="1" applyFont="1" applyFill="1" applyBorder="1" applyAlignment="1">
      <alignment horizontal="left" vertical="center" wrapText="1"/>
    </xf>
    <xf numFmtId="3" fontId="4" fillId="2" borderId="1" xfId="1" applyNumberFormat="1" applyFont="1" applyFill="1" applyBorder="1" applyAlignment="1">
      <alignment horizontal="right" vertical="center"/>
    </xf>
    <xf numFmtId="165" fontId="4" fillId="2" borderId="1" xfId="1" applyNumberFormat="1" applyFont="1" applyFill="1" applyBorder="1" applyAlignment="1">
      <alignment horizontal="center" vertical="center" wrapText="1"/>
    </xf>
    <xf numFmtId="4" fontId="4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4" fontId="6" fillId="2" borderId="1" xfId="1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4" fontId="7" fillId="2" borderId="0" xfId="0" applyNumberFormat="1" applyFont="1" applyFill="1" applyAlignment="1">
      <alignment horizontal="right" vertical="center" wrapText="1"/>
    </xf>
    <xf numFmtId="3" fontId="7" fillId="2" borderId="0" xfId="0" applyNumberFormat="1" applyFont="1" applyFill="1" applyAlignment="1">
      <alignment horizontal="right" vertical="center"/>
    </xf>
    <xf numFmtId="4" fontId="7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3" fontId="4" fillId="2" borderId="0" xfId="0" applyNumberFormat="1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center" vertical="center" wrapText="1"/>
    </xf>
    <xf numFmtId="4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wrapText="1"/>
    </xf>
    <xf numFmtId="3" fontId="4" fillId="2" borderId="1" xfId="1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0" fontId="8" fillId="0" borderId="0" xfId="0" applyFont="1"/>
    <xf numFmtId="3" fontId="8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center" vertical="center" wrapText="1"/>
    </xf>
    <xf numFmtId="165" fontId="7" fillId="2" borderId="0" xfId="1" applyNumberFormat="1" applyFont="1" applyFill="1" applyAlignment="1">
      <alignment horizontal="center" vertical="center" wrapText="1"/>
    </xf>
    <xf numFmtId="4" fontId="7" fillId="2" borderId="0" xfId="2" applyNumberFormat="1" applyFont="1" applyFill="1" applyBorder="1" applyAlignment="1">
      <alignment horizontal="center" vertical="center"/>
    </xf>
    <xf numFmtId="3" fontId="7" fillId="2" borderId="0" xfId="2" applyNumberFormat="1" applyFont="1" applyFill="1" applyBorder="1" applyAlignment="1">
      <alignment horizontal="center" vertical="center"/>
    </xf>
    <xf numFmtId="0" fontId="10" fillId="0" borderId="0" xfId="0" applyFont="1"/>
    <xf numFmtId="0" fontId="8" fillId="2" borderId="0" xfId="0" applyFont="1" applyFill="1"/>
    <xf numFmtId="165" fontId="4" fillId="2" borderId="1" xfId="1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/>
    <xf numFmtId="3" fontId="4" fillId="4" borderId="1" xfId="1" applyNumberFormat="1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165" fontId="4" fillId="2" borderId="1" xfId="0" applyNumberFormat="1" applyFont="1" applyFill="1" applyBorder="1" applyAlignment="1">
      <alignment horizontal="left" vertical="center" wrapText="1"/>
    </xf>
    <xf numFmtId="0" fontId="11" fillId="0" borderId="0" xfId="0" applyFont="1"/>
    <xf numFmtId="3" fontId="4" fillId="5" borderId="1" xfId="1" applyNumberFormat="1" applyFont="1" applyFill="1" applyBorder="1" applyAlignment="1">
      <alignment horizontal="center" vertical="center"/>
    </xf>
    <xf numFmtId="3" fontId="4" fillId="5" borderId="1" xfId="2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</cellXfs>
  <cellStyles count="6">
    <cellStyle name="Обычный" xfId="0" builtinId="0"/>
    <cellStyle name="Обычный 2" xfId="3" xr:uid="{00000000-0005-0000-0000-000001000000}"/>
    <cellStyle name="Обычный 3" xfId="4" xr:uid="{00000000-0005-0000-0000-000002000000}"/>
    <cellStyle name="Обычный 4" xfId="5" xr:uid="{00000000-0005-0000-0000-000003000000}"/>
    <cellStyle name="Обычный_Sheet1" xfId="1" xr:uid="{00000000-0005-0000-0000-000004000000}"/>
    <cellStyle name="Финансовый" xfId="2" builtinId="3"/>
  </cellStyles>
  <dxfs count="9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D9EACE"/>
        </patternFill>
      </fill>
    </dxf>
  </dxfs>
  <tableStyles count="0" defaultTableStyle="TableStyleMedium2" defaultPivotStyle="PivotStyleLight16"/>
  <colors>
    <mruColors>
      <color rgb="FFD9E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6657-5192-4C58-9BF1-586351B7AEB6}">
  <dimension ref="A1:P144"/>
  <sheetViews>
    <sheetView tabSelected="1" zoomScaleNormal="100" workbookViewId="0">
      <pane ySplit="1" topLeftCell="A62" activePane="bottomLeft" state="frozen"/>
      <selection pane="bottomLeft" activeCell="I149" sqref="I149"/>
    </sheetView>
  </sheetViews>
  <sheetFormatPr defaultColWidth="8.90625" defaultRowHeight="14.5" x14ac:dyDescent="0.35"/>
  <cols>
    <col min="1" max="1" width="7" style="37" customWidth="1"/>
    <col min="2" max="2" width="27" style="37" customWidth="1"/>
    <col min="3" max="3" width="17.36328125" style="37" customWidth="1"/>
    <col min="4" max="4" width="13.36328125" style="58" customWidth="1"/>
    <col min="5" max="5" width="13.453125" style="52" customWidth="1"/>
    <col min="6" max="6" width="11.90625" style="47" customWidth="1"/>
    <col min="7" max="7" width="13.36328125" style="37" customWidth="1"/>
    <col min="8" max="8" width="10.08984375" style="37" customWidth="1"/>
    <col min="9" max="9" width="20.90625" style="37" customWidth="1"/>
    <col min="10" max="10" width="7.08984375" style="37" customWidth="1"/>
    <col min="11" max="11" width="8.08984375" style="38" customWidth="1"/>
    <col min="12" max="12" width="9.90625" style="37" customWidth="1"/>
    <col min="13" max="13" width="24.6328125" style="37" customWidth="1"/>
    <col min="14" max="14" width="10.453125" style="37" customWidth="1"/>
    <col min="15" max="15" width="13.36328125" style="49" customWidth="1"/>
    <col min="16" max="16" width="10.36328125" style="37" bestFit="1" customWidth="1"/>
    <col min="17" max="16384" width="8.90625" style="37"/>
  </cols>
  <sheetData>
    <row r="1" spans="1:16" ht="39" x14ac:dyDescent="0.35">
      <c r="A1" s="12" t="s">
        <v>25</v>
      </c>
      <c r="B1" s="13" t="s">
        <v>0</v>
      </c>
      <c r="C1" s="13" t="s">
        <v>17</v>
      </c>
      <c r="D1" s="14" t="s">
        <v>138</v>
      </c>
      <c r="E1" s="14" t="s">
        <v>139</v>
      </c>
      <c r="F1" s="14" t="s">
        <v>31</v>
      </c>
      <c r="G1" s="15" t="s">
        <v>15</v>
      </c>
      <c r="H1" s="15" t="s">
        <v>29</v>
      </c>
      <c r="I1" s="15" t="s">
        <v>30</v>
      </c>
      <c r="J1" s="16" t="s">
        <v>13</v>
      </c>
      <c r="K1" s="14" t="s">
        <v>32</v>
      </c>
      <c r="L1" s="17" t="s">
        <v>1</v>
      </c>
      <c r="M1" s="12" t="s">
        <v>8</v>
      </c>
      <c r="N1" s="12" t="s">
        <v>35</v>
      </c>
      <c r="O1" s="18" t="s">
        <v>10</v>
      </c>
    </row>
    <row r="2" spans="1:16" ht="37.5" x14ac:dyDescent="0.35">
      <c r="A2" s="11">
        <v>1</v>
      </c>
      <c r="B2" s="5" t="s">
        <v>45</v>
      </c>
      <c r="C2" s="10" t="s">
        <v>42</v>
      </c>
      <c r="D2" s="34">
        <v>209886</v>
      </c>
      <c r="E2" s="34">
        <f>54000+155886</f>
        <v>209886</v>
      </c>
      <c r="F2" s="6">
        <f t="shared" ref="F2:F33" si="0">D2-E2+N2+O2</f>
        <v>0</v>
      </c>
      <c r="G2" s="1">
        <v>45757</v>
      </c>
      <c r="H2" s="7" t="s">
        <v>5</v>
      </c>
      <c r="I2" s="5" t="s">
        <v>44</v>
      </c>
      <c r="J2" s="8" t="s">
        <v>14</v>
      </c>
      <c r="K2" s="55">
        <v>11</v>
      </c>
      <c r="L2" s="1">
        <v>45792</v>
      </c>
      <c r="M2" s="9" t="s">
        <v>43</v>
      </c>
      <c r="N2" s="4"/>
      <c r="O2" s="3"/>
    </row>
    <row r="3" spans="1:16" ht="31.5" customHeight="1" x14ac:dyDescent="0.35">
      <c r="A3" s="11">
        <v>2</v>
      </c>
      <c r="B3" s="5" t="s">
        <v>49</v>
      </c>
      <c r="C3" s="10" t="s">
        <v>48</v>
      </c>
      <c r="D3" s="34">
        <v>218078</v>
      </c>
      <c r="E3" s="34">
        <f>195000+85386</f>
        <v>280386</v>
      </c>
      <c r="F3" s="6">
        <f t="shared" si="0"/>
        <v>0</v>
      </c>
      <c r="G3" s="1">
        <v>45759</v>
      </c>
      <c r="H3" s="7" t="s">
        <v>4</v>
      </c>
      <c r="I3" s="48" t="s">
        <v>47</v>
      </c>
      <c r="J3" s="8" t="s">
        <v>14</v>
      </c>
      <c r="K3" s="34"/>
      <c r="L3" s="1">
        <v>45799</v>
      </c>
      <c r="M3" s="9" t="s">
        <v>46</v>
      </c>
      <c r="N3" s="4"/>
      <c r="O3" s="3">
        <f>43000+19308</f>
        <v>62308</v>
      </c>
      <c r="P3" s="50"/>
    </row>
    <row r="4" spans="1:16" ht="61.75" customHeight="1" x14ac:dyDescent="0.35">
      <c r="A4" s="11">
        <v>3</v>
      </c>
      <c r="B4" s="5" t="s">
        <v>50</v>
      </c>
      <c r="C4" s="10" t="s">
        <v>52</v>
      </c>
      <c r="D4" s="34">
        <v>2041820.75</v>
      </c>
      <c r="E4" s="34">
        <f>1550521+601299.75</f>
        <v>2151820.75</v>
      </c>
      <c r="F4" s="6">
        <f t="shared" si="0"/>
        <v>0</v>
      </c>
      <c r="G4" s="1" t="s">
        <v>212</v>
      </c>
      <c r="H4" s="7" t="s">
        <v>5</v>
      </c>
      <c r="I4" s="48" t="s">
        <v>51</v>
      </c>
      <c r="J4" s="8" t="s">
        <v>14</v>
      </c>
      <c r="K4" s="55">
        <v>42</v>
      </c>
      <c r="L4" s="1">
        <v>45894</v>
      </c>
      <c r="M4" s="9" t="s">
        <v>208</v>
      </c>
      <c r="N4" s="4">
        <v>110000</v>
      </c>
      <c r="O4" s="3"/>
    </row>
    <row r="5" spans="1:16" ht="32.4" customHeight="1" x14ac:dyDescent="0.35">
      <c r="A5" s="11">
        <v>3</v>
      </c>
      <c r="B5" s="5" t="s">
        <v>50</v>
      </c>
      <c r="C5" s="10" t="s">
        <v>63</v>
      </c>
      <c r="D5" s="34">
        <v>445265</v>
      </c>
      <c r="E5" s="34">
        <v>445265</v>
      </c>
      <c r="F5" s="6">
        <f t="shared" si="0"/>
        <v>0</v>
      </c>
      <c r="G5" s="1">
        <v>45763</v>
      </c>
      <c r="H5" s="7" t="s">
        <v>5</v>
      </c>
      <c r="I5" s="48" t="s">
        <v>51</v>
      </c>
      <c r="J5" s="8" t="s">
        <v>14</v>
      </c>
      <c r="K5" s="55">
        <v>41</v>
      </c>
      <c r="L5" s="1">
        <v>45894</v>
      </c>
      <c r="M5" s="9" t="s">
        <v>207</v>
      </c>
      <c r="N5" s="4"/>
      <c r="O5" s="3"/>
    </row>
    <row r="6" spans="1:16" s="54" customFormat="1" ht="80.150000000000006" customHeight="1" x14ac:dyDescent="0.35">
      <c r="A6" s="11">
        <v>4</v>
      </c>
      <c r="B6" s="5" t="s">
        <v>3</v>
      </c>
      <c r="C6" s="10" t="s">
        <v>53</v>
      </c>
      <c r="D6" s="34">
        <v>1058540</v>
      </c>
      <c r="E6" s="34">
        <v>1159900</v>
      </c>
      <c r="F6" s="6">
        <f t="shared" si="0"/>
        <v>0</v>
      </c>
      <c r="G6" s="1" t="s">
        <v>67</v>
      </c>
      <c r="H6" s="7" t="s">
        <v>68</v>
      </c>
      <c r="I6" s="48" t="s">
        <v>70</v>
      </c>
      <c r="J6" s="8" t="s">
        <v>14</v>
      </c>
      <c r="K6" s="55">
        <v>27</v>
      </c>
      <c r="L6" s="1">
        <v>45839</v>
      </c>
      <c r="M6" s="9" t="s">
        <v>54</v>
      </c>
      <c r="N6" s="4"/>
      <c r="O6" s="3">
        <v>101360</v>
      </c>
    </row>
    <row r="7" spans="1:16" ht="17.399999999999999" customHeight="1" x14ac:dyDescent="0.35">
      <c r="A7" s="11">
        <v>5</v>
      </c>
      <c r="B7" s="5" t="s">
        <v>21</v>
      </c>
      <c r="C7" s="10" t="s">
        <v>136</v>
      </c>
      <c r="D7" s="34">
        <v>12000</v>
      </c>
      <c r="E7" s="34">
        <v>12000</v>
      </c>
      <c r="F7" s="6">
        <f t="shared" si="0"/>
        <v>0</v>
      </c>
      <c r="G7" s="1">
        <v>45839</v>
      </c>
      <c r="H7" s="7" t="s">
        <v>4</v>
      </c>
      <c r="I7" s="48"/>
      <c r="J7" s="8" t="s">
        <v>14</v>
      </c>
      <c r="K7" s="34"/>
      <c r="L7" s="1">
        <v>45844</v>
      </c>
      <c r="M7" s="9" t="s">
        <v>11</v>
      </c>
      <c r="N7" s="4"/>
      <c r="O7" s="3"/>
    </row>
    <row r="8" spans="1:16" ht="25" x14ac:dyDescent="0.35">
      <c r="A8" s="11">
        <v>6</v>
      </c>
      <c r="B8" s="5" t="s">
        <v>64</v>
      </c>
      <c r="C8" s="10" t="s">
        <v>65</v>
      </c>
      <c r="D8" s="34">
        <v>107400</v>
      </c>
      <c r="E8" s="34">
        <v>107400</v>
      </c>
      <c r="F8" s="6">
        <f t="shared" si="0"/>
        <v>0</v>
      </c>
      <c r="G8" s="1" t="s">
        <v>154</v>
      </c>
      <c r="H8" s="7" t="s">
        <v>4</v>
      </c>
      <c r="I8" s="48" t="s">
        <v>155</v>
      </c>
      <c r="J8" s="8" t="s">
        <v>14</v>
      </c>
      <c r="K8" s="34"/>
      <c r="L8" s="1">
        <v>45849</v>
      </c>
      <c r="M8" s="9" t="s">
        <v>11</v>
      </c>
      <c r="N8" s="4"/>
      <c r="O8" s="3"/>
    </row>
    <row r="9" spans="1:16" ht="25" x14ac:dyDescent="0.35">
      <c r="A9" s="11">
        <v>7</v>
      </c>
      <c r="B9" s="5" t="s">
        <v>40</v>
      </c>
      <c r="C9" s="10" t="s">
        <v>56</v>
      </c>
      <c r="D9" s="34">
        <v>179086</v>
      </c>
      <c r="E9" s="34">
        <v>179086</v>
      </c>
      <c r="F9" s="6">
        <f t="shared" si="0"/>
        <v>0</v>
      </c>
      <c r="G9" s="1">
        <v>45770</v>
      </c>
      <c r="H9" s="1" t="s">
        <v>5</v>
      </c>
      <c r="I9" s="48" t="s">
        <v>55</v>
      </c>
      <c r="J9" s="8" t="s">
        <v>14</v>
      </c>
      <c r="K9" s="55">
        <v>12</v>
      </c>
      <c r="L9" s="1">
        <v>45798</v>
      </c>
      <c r="M9" s="9" t="s">
        <v>57</v>
      </c>
      <c r="N9" s="4"/>
      <c r="O9" s="3"/>
    </row>
    <row r="10" spans="1:16" x14ac:dyDescent="0.35">
      <c r="A10" s="11">
        <v>8</v>
      </c>
      <c r="B10" s="5" t="s">
        <v>3</v>
      </c>
      <c r="C10" s="10" t="s">
        <v>90</v>
      </c>
      <c r="D10" s="34">
        <v>36400</v>
      </c>
      <c r="E10" s="57">
        <v>36400</v>
      </c>
      <c r="F10" s="6">
        <f t="shared" si="0"/>
        <v>0</v>
      </c>
      <c r="G10" s="1">
        <v>45781</v>
      </c>
      <c r="H10" s="7" t="s">
        <v>4</v>
      </c>
      <c r="I10" s="48" t="s">
        <v>94</v>
      </c>
      <c r="J10" s="8" t="s">
        <v>14</v>
      </c>
      <c r="K10" s="34"/>
      <c r="L10" s="1">
        <v>45781</v>
      </c>
      <c r="M10" s="9" t="s">
        <v>11</v>
      </c>
      <c r="N10" s="4"/>
      <c r="O10" s="3"/>
    </row>
    <row r="11" spans="1:16" x14ac:dyDescent="0.35">
      <c r="A11" s="11">
        <v>9</v>
      </c>
      <c r="B11" s="5" t="s">
        <v>6</v>
      </c>
      <c r="C11" s="10" t="s">
        <v>91</v>
      </c>
      <c r="D11" s="34">
        <v>9600</v>
      </c>
      <c r="E11" s="34">
        <v>9600</v>
      </c>
      <c r="F11" s="6">
        <f t="shared" si="0"/>
        <v>0</v>
      </c>
      <c r="G11" s="1">
        <v>45782</v>
      </c>
      <c r="H11" s="7" t="s">
        <v>4</v>
      </c>
      <c r="I11" s="5" t="s">
        <v>92</v>
      </c>
      <c r="J11" s="8" t="s">
        <v>14</v>
      </c>
      <c r="K11" s="34"/>
      <c r="L11" s="1">
        <v>45782</v>
      </c>
      <c r="M11" s="9" t="s">
        <v>58</v>
      </c>
      <c r="N11" s="4"/>
      <c r="O11" s="3"/>
    </row>
    <row r="12" spans="1:16" x14ac:dyDescent="0.35">
      <c r="A12" s="11">
        <v>10</v>
      </c>
      <c r="B12" s="5" t="s">
        <v>66</v>
      </c>
      <c r="C12" s="10" t="s">
        <v>89</v>
      </c>
      <c r="D12" s="34">
        <v>7800</v>
      </c>
      <c r="E12" s="51">
        <v>7800</v>
      </c>
      <c r="F12" s="6">
        <f t="shared" si="0"/>
        <v>0</v>
      </c>
      <c r="G12" s="1">
        <v>45784</v>
      </c>
      <c r="H12" s="7" t="s">
        <v>4</v>
      </c>
      <c r="I12" s="5" t="s">
        <v>95</v>
      </c>
      <c r="J12" s="8" t="s">
        <v>14</v>
      </c>
      <c r="K12" s="34"/>
      <c r="L12" s="1">
        <v>45784</v>
      </c>
      <c r="M12" s="9" t="s">
        <v>11</v>
      </c>
      <c r="N12" s="4"/>
      <c r="O12" s="3"/>
    </row>
    <row r="13" spans="1:16" x14ac:dyDescent="0.35">
      <c r="A13" s="11">
        <v>11</v>
      </c>
      <c r="B13" s="5" t="s">
        <v>59</v>
      </c>
      <c r="C13" s="10" t="s">
        <v>88</v>
      </c>
      <c r="D13" s="34">
        <v>34000</v>
      </c>
      <c r="E13" s="34">
        <v>34000</v>
      </c>
      <c r="F13" s="6">
        <f t="shared" si="0"/>
        <v>0</v>
      </c>
      <c r="G13" s="1">
        <v>45789</v>
      </c>
      <c r="H13" s="7" t="s">
        <v>5</v>
      </c>
      <c r="I13" s="48" t="s">
        <v>137</v>
      </c>
      <c r="J13" s="8" t="s">
        <v>14</v>
      </c>
      <c r="K13" s="55">
        <v>7</v>
      </c>
      <c r="L13" s="1">
        <v>45789</v>
      </c>
      <c r="M13" s="9" t="s">
        <v>69</v>
      </c>
      <c r="N13" s="4"/>
      <c r="O13" s="3"/>
    </row>
    <row r="14" spans="1:16" ht="25" x14ac:dyDescent="0.35">
      <c r="A14" s="11">
        <v>13</v>
      </c>
      <c r="B14" s="5" t="s">
        <v>61</v>
      </c>
      <c r="C14" s="10" t="s">
        <v>93</v>
      </c>
      <c r="D14" s="34">
        <v>42820</v>
      </c>
      <c r="E14" s="34">
        <f>42820+2780+10750</f>
        <v>56350</v>
      </c>
      <c r="F14" s="6">
        <f t="shared" si="0"/>
        <v>0</v>
      </c>
      <c r="G14" s="1">
        <v>45791</v>
      </c>
      <c r="H14" s="7" t="s">
        <v>4</v>
      </c>
      <c r="I14" s="48" t="s">
        <v>62</v>
      </c>
      <c r="J14" s="8" t="s">
        <v>14</v>
      </c>
      <c r="K14" s="34"/>
      <c r="L14" s="1">
        <v>45792</v>
      </c>
      <c r="M14" s="9" t="s">
        <v>58</v>
      </c>
      <c r="N14" s="4">
        <v>2780</v>
      </c>
      <c r="O14" s="3">
        <v>10750</v>
      </c>
    </row>
    <row r="15" spans="1:16" x14ac:dyDescent="0.35">
      <c r="A15" s="11">
        <v>13</v>
      </c>
      <c r="B15" s="5" t="s">
        <v>82</v>
      </c>
      <c r="C15" s="10"/>
      <c r="D15" s="34">
        <v>5800</v>
      </c>
      <c r="E15" s="34">
        <v>5800</v>
      </c>
      <c r="F15" s="6">
        <f t="shared" si="0"/>
        <v>0</v>
      </c>
      <c r="G15" s="1">
        <v>45799</v>
      </c>
      <c r="H15" s="7" t="s">
        <v>4</v>
      </c>
      <c r="I15" s="5" t="s">
        <v>78</v>
      </c>
      <c r="J15" s="8" t="s">
        <v>14</v>
      </c>
      <c r="K15" s="34"/>
      <c r="L15" s="1">
        <v>45799</v>
      </c>
      <c r="M15" s="9" t="s">
        <v>11</v>
      </c>
      <c r="N15" s="4"/>
      <c r="O15" s="3"/>
    </row>
    <row r="16" spans="1:16" x14ac:dyDescent="0.35">
      <c r="A16" s="11">
        <v>14</v>
      </c>
      <c r="B16" s="5" t="s">
        <v>3</v>
      </c>
      <c r="C16" s="10" t="s">
        <v>105</v>
      </c>
      <c r="D16" s="34">
        <v>66400</v>
      </c>
      <c r="E16" s="51">
        <v>66400</v>
      </c>
      <c r="F16" s="6">
        <f t="shared" si="0"/>
        <v>0</v>
      </c>
      <c r="G16" s="1">
        <v>45790</v>
      </c>
      <c r="H16" s="7" t="s">
        <v>4</v>
      </c>
      <c r="I16" s="48" t="s">
        <v>94</v>
      </c>
      <c r="J16" s="8" t="s">
        <v>14</v>
      </c>
      <c r="K16" s="34"/>
      <c r="L16" s="1">
        <v>45789</v>
      </c>
      <c r="M16" s="9" t="s">
        <v>11</v>
      </c>
      <c r="N16" s="4"/>
      <c r="O16" s="3"/>
    </row>
    <row r="17" spans="1:15" ht="13.25" customHeight="1" x14ac:dyDescent="0.35">
      <c r="A17" s="11">
        <v>16</v>
      </c>
      <c r="B17" s="5" t="s">
        <v>71</v>
      </c>
      <c r="C17" s="10"/>
      <c r="D17" s="34">
        <v>13640</v>
      </c>
      <c r="E17" s="34">
        <v>13640</v>
      </c>
      <c r="F17" s="6">
        <f t="shared" si="0"/>
        <v>0</v>
      </c>
      <c r="G17" s="1">
        <v>45796</v>
      </c>
      <c r="H17" s="7" t="s">
        <v>4</v>
      </c>
      <c r="I17" s="48" t="s">
        <v>71</v>
      </c>
      <c r="J17" s="8" t="s">
        <v>14</v>
      </c>
      <c r="K17" s="34"/>
      <c r="L17" s="1">
        <v>45796</v>
      </c>
      <c r="M17" s="9" t="s">
        <v>58</v>
      </c>
      <c r="N17" s="4"/>
      <c r="O17" s="3"/>
    </row>
    <row r="18" spans="1:15" x14ac:dyDescent="0.35">
      <c r="A18" s="11">
        <v>17</v>
      </c>
      <c r="B18" s="5" t="s">
        <v>33</v>
      </c>
      <c r="C18" s="10" t="s">
        <v>87</v>
      </c>
      <c r="D18" s="34">
        <v>64940</v>
      </c>
      <c r="E18" s="34">
        <v>64940</v>
      </c>
      <c r="F18" s="6">
        <f t="shared" si="0"/>
        <v>0</v>
      </c>
      <c r="G18" s="39">
        <v>45798</v>
      </c>
      <c r="H18" s="7" t="s">
        <v>5</v>
      </c>
      <c r="I18" s="48" t="s">
        <v>72</v>
      </c>
      <c r="J18" s="8" t="s">
        <v>14</v>
      </c>
      <c r="K18" s="55">
        <v>13</v>
      </c>
      <c r="L18" s="1">
        <v>45798</v>
      </c>
      <c r="M18" s="9" t="s">
        <v>73</v>
      </c>
      <c r="N18" s="4"/>
      <c r="O18" s="3"/>
    </row>
    <row r="19" spans="1:15" x14ac:dyDescent="0.35">
      <c r="A19" s="11">
        <v>18</v>
      </c>
      <c r="B19" s="5" t="s">
        <v>49</v>
      </c>
      <c r="C19" s="10"/>
      <c r="D19" s="34">
        <v>27800</v>
      </c>
      <c r="E19" s="34">
        <v>27800</v>
      </c>
      <c r="F19" s="6">
        <f t="shared" si="0"/>
        <v>0</v>
      </c>
      <c r="G19" s="1">
        <v>45798</v>
      </c>
      <c r="H19" s="7" t="s">
        <v>4</v>
      </c>
      <c r="I19" s="48" t="s">
        <v>74</v>
      </c>
      <c r="J19" s="8" t="s">
        <v>14</v>
      </c>
      <c r="K19" s="34"/>
      <c r="L19" s="1">
        <v>45798</v>
      </c>
      <c r="M19" s="9" t="s">
        <v>58</v>
      </c>
      <c r="N19" s="4"/>
      <c r="O19" s="3"/>
    </row>
    <row r="20" spans="1:15" ht="18" customHeight="1" x14ac:dyDescent="0.35">
      <c r="A20" s="11">
        <v>19</v>
      </c>
      <c r="B20" s="5" t="s">
        <v>49</v>
      </c>
      <c r="C20" s="10"/>
      <c r="D20" s="34">
        <v>4250</v>
      </c>
      <c r="E20" s="34">
        <v>4250</v>
      </c>
      <c r="F20" s="6">
        <f t="shared" si="0"/>
        <v>0</v>
      </c>
      <c r="G20" s="1">
        <v>45798</v>
      </c>
      <c r="H20" s="7" t="s">
        <v>4</v>
      </c>
      <c r="I20" s="48" t="s">
        <v>74</v>
      </c>
      <c r="J20" s="8" t="s">
        <v>14</v>
      </c>
      <c r="K20" s="34"/>
      <c r="L20" s="1">
        <v>45798</v>
      </c>
      <c r="M20" s="9" t="s">
        <v>58</v>
      </c>
      <c r="N20" s="4"/>
      <c r="O20" s="3"/>
    </row>
    <row r="21" spans="1:15" x14ac:dyDescent="0.35">
      <c r="A21" s="11">
        <v>20</v>
      </c>
      <c r="B21" s="5" t="s">
        <v>75</v>
      </c>
      <c r="C21" s="10"/>
      <c r="D21" s="34">
        <v>187300</v>
      </c>
      <c r="E21" s="34">
        <v>187300</v>
      </c>
      <c r="F21" s="6">
        <f t="shared" si="0"/>
        <v>0</v>
      </c>
      <c r="G21" s="1">
        <v>45799</v>
      </c>
      <c r="H21" s="7" t="s">
        <v>5</v>
      </c>
      <c r="I21" s="48" t="s">
        <v>76</v>
      </c>
      <c r="J21" s="8" t="s">
        <v>14</v>
      </c>
      <c r="K21" s="55">
        <v>14</v>
      </c>
      <c r="L21" s="1">
        <v>45799</v>
      </c>
      <c r="M21" s="9" t="s">
        <v>77</v>
      </c>
      <c r="N21" s="4"/>
      <c r="O21" s="3"/>
    </row>
    <row r="22" spans="1:15" x14ac:dyDescent="0.35">
      <c r="A22" s="11">
        <v>21</v>
      </c>
      <c r="B22" s="5" t="s">
        <v>75</v>
      </c>
      <c r="C22" s="10"/>
      <c r="D22" s="34">
        <v>2790</v>
      </c>
      <c r="E22" s="34">
        <v>2790</v>
      </c>
      <c r="F22" s="6">
        <f t="shared" si="0"/>
        <v>0</v>
      </c>
      <c r="G22" s="1">
        <v>45799</v>
      </c>
      <c r="H22" s="7" t="s">
        <v>4</v>
      </c>
      <c r="I22" s="48" t="s">
        <v>76</v>
      </c>
      <c r="J22" s="8" t="s">
        <v>14</v>
      </c>
      <c r="K22" s="34"/>
      <c r="L22" s="1">
        <v>45799</v>
      </c>
      <c r="M22" s="9" t="s">
        <v>11</v>
      </c>
      <c r="N22" s="4"/>
      <c r="O22" s="3"/>
    </row>
    <row r="23" spans="1:15" x14ac:dyDescent="0.35">
      <c r="A23" s="11">
        <v>22</v>
      </c>
      <c r="B23" s="5" t="s">
        <v>36</v>
      </c>
      <c r="C23" s="10"/>
      <c r="D23" s="34">
        <v>94530</v>
      </c>
      <c r="E23" s="34">
        <v>94530</v>
      </c>
      <c r="F23" s="6">
        <f t="shared" si="0"/>
        <v>0</v>
      </c>
      <c r="G23" s="1">
        <v>45801</v>
      </c>
      <c r="H23" s="7" t="s">
        <v>4</v>
      </c>
      <c r="I23" s="48" t="s">
        <v>80</v>
      </c>
      <c r="J23" s="8" t="s">
        <v>14</v>
      </c>
      <c r="K23" s="34"/>
      <c r="L23" s="1">
        <v>45835</v>
      </c>
      <c r="M23" s="9" t="s">
        <v>11</v>
      </c>
      <c r="N23" s="4"/>
      <c r="O23" s="3"/>
    </row>
    <row r="24" spans="1:15" ht="37.5" x14ac:dyDescent="0.35">
      <c r="A24" s="11">
        <v>24</v>
      </c>
      <c r="B24" s="5" t="s">
        <v>71</v>
      </c>
      <c r="C24" s="10"/>
      <c r="D24" s="34">
        <v>344940</v>
      </c>
      <c r="E24" s="34">
        <v>344940</v>
      </c>
      <c r="F24" s="6">
        <f t="shared" si="0"/>
        <v>0</v>
      </c>
      <c r="G24" s="1" t="s">
        <v>81</v>
      </c>
      <c r="H24" s="7" t="s">
        <v>4</v>
      </c>
      <c r="I24" s="48" t="s">
        <v>79</v>
      </c>
      <c r="J24" s="8" t="s">
        <v>14</v>
      </c>
      <c r="K24" s="34"/>
      <c r="L24" s="1">
        <v>45804</v>
      </c>
      <c r="M24" s="9" t="s">
        <v>58</v>
      </c>
      <c r="N24" s="4"/>
      <c r="O24" s="3"/>
    </row>
    <row r="25" spans="1:15" x14ac:dyDescent="0.35">
      <c r="A25" s="11">
        <v>25</v>
      </c>
      <c r="B25" s="5" t="s">
        <v>75</v>
      </c>
      <c r="C25" s="10"/>
      <c r="D25" s="34">
        <v>22635</v>
      </c>
      <c r="E25" s="34">
        <v>22635</v>
      </c>
      <c r="F25" s="6">
        <f t="shared" si="0"/>
        <v>0</v>
      </c>
      <c r="G25" s="1">
        <v>45800</v>
      </c>
      <c r="H25" s="7" t="s">
        <v>4</v>
      </c>
      <c r="I25" s="48" t="s">
        <v>76</v>
      </c>
      <c r="J25" s="8" t="s">
        <v>14</v>
      </c>
      <c r="K25" s="34"/>
      <c r="L25" s="1">
        <v>45800</v>
      </c>
      <c r="M25" s="9" t="s">
        <v>11</v>
      </c>
      <c r="N25" s="4"/>
      <c r="O25" s="3"/>
    </row>
    <row r="26" spans="1:15" x14ac:dyDescent="0.35">
      <c r="A26" s="11">
        <v>26</v>
      </c>
      <c r="B26" s="5" t="s">
        <v>82</v>
      </c>
      <c r="C26" s="10"/>
      <c r="D26" s="34">
        <v>159649</v>
      </c>
      <c r="E26" s="34">
        <v>159649</v>
      </c>
      <c r="F26" s="6">
        <f t="shared" si="0"/>
        <v>0</v>
      </c>
      <c r="G26" s="1">
        <v>45804</v>
      </c>
      <c r="H26" s="7" t="s">
        <v>5</v>
      </c>
      <c r="I26" s="5" t="s">
        <v>82</v>
      </c>
      <c r="J26" s="8" t="s">
        <v>14</v>
      </c>
      <c r="K26" s="55">
        <v>15</v>
      </c>
      <c r="L26" s="1">
        <v>45804</v>
      </c>
      <c r="M26" s="9" t="s">
        <v>83</v>
      </c>
      <c r="N26" s="4"/>
      <c r="O26" s="3"/>
    </row>
    <row r="27" spans="1:15" ht="25" x14ac:dyDescent="0.35">
      <c r="A27" s="11">
        <v>28</v>
      </c>
      <c r="B27" s="5" t="s">
        <v>61</v>
      </c>
      <c r="C27" s="10"/>
      <c r="D27" s="34">
        <v>16810</v>
      </c>
      <c r="E27" s="34">
        <v>16810</v>
      </c>
      <c r="F27" s="6">
        <f t="shared" si="0"/>
        <v>0</v>
      </c>
      <c r="G27" s="1">
        <v>45807</v>
      </c>
      <c r="H27" s="7" t="s">
        <v>4</v>
      </c>
      <c r="I27" s="48" t="s">
        <v>62</v>
      </c>
      <c r="J27" s="8" t="s">
        <v>14</v>
      </c>
      <c r="K27" s="34"/>
      <c r="L27" s="1">
        <v>45807</v>
      </c>
      <c r="M27" s="9" t="s">
        <v>58</v>
      </c>
      <c r="N27" s="4"/>
      <c r="O27" s="3"/>
    </row>
    <row r="28" spans="1:15" x14ac:dyDescent="0.35">
      <c r="A28" s="11">
        <v>29</v>
      </c>
      <c r="B28" s="5" t="s">
        <v>2</v>
      </c>
      <c r="C28" s="10" t="s">
        <v>99</v>
      </c>
      <c r="D28" s="36">
        <v>2800</v>
      </c>
      <c r="E28" s="34">
        <v>2800</v>
      </c>
      <c r="F28" s="6">
        <f t="shared" si="0"/>
        <v>0</v>
      </c>
      <c r="G28" s="7">
        <v>45805</v>
      </c>
      <c r="H28" s="7" t="s">
        <v>4</v>
      </c>
      <c r="I28" s="48" t="s">
        <v>84</v>
      </c>
      <c r="J28" s="2" t="s">
        <v>14</v>
      </c>
      <c r="K28" s="36"/>
      <c r="L28" s="1">
        <v>45805</v>
      </c>
      <c r="M28" s="9" t="s">
        <v>58</v>
      </c>
      <c r="N28" s="4"/>
      <c r="O28" s="3"/>
    </row>
    <row r="29" spans="1:15" x14ac:dyDescent="0.35">
      <c r="A29" s="11">
        <v>30</v>
      </c>
      <c r="B29" s="5" t="s">
        <v>59</v>
      </c>
      <c r="C29" s="10" t="s">
        <v>187</v>
      </c>
      <c r="D29" s="34">
        <v>73600</v>
      </c>
      <c r="E29" s="34">
        <v>73600</v>
      </c>
      <c r="F29" s="6">
        <f t="shared" si="0"/>
        <v>0</v>
      </c>
      <c r="G29" s="1">
        <v>45882</v>
      </c>
      <c r="H29" s="7" t="s">
        <v>4</v>
      </c>
      <c r="I29" s="48" t="s">
        <v>60</v>
      </c>
      <c r="J29" s="8" t="s">
        <v>14</v>
      </c>
      <c r="K29" s="34"/>
      <c r="L29" s="1">
        <v>45883</v>
      </c>
      <c r="M29" s="9" t="s">
        <v>11</v>
      </c>
      <c r="N29" s="4"/>
      <c r="O29" s="3"/>
    </row>
    <row r="30" spans="1:15" x14ac:dyDescent="0.35">
      <c r="A30" s="11">
        <v>31</v>
      </c>
      <c r="B30" s="5" t="s">
        <v>85</v>
      </c>
      <c r="C30" s="10"/>
      <c r="D30" s="34">
        <v>283040</v>
      </c>
      <c r="E30" s="34">
        <v>283040</v>
      </c>
      <c r="F30" s="6">
        <f t="shared" si="0"/>
        <v>0</v>
      </c>
      <c r="G30" s="1">
        <v>45806</v>
      </c>
      <c r="H30" s="7" t="s">
        <v>4</v>
      </c>
      <c r="I30" s="48" t="s">
        <v>86</v>
      </c>
      <c r="J30" s="8" t="s">
        <v>14</v>
      </c>
      <c r="K30" s="34"/>
      <c r="L30" s="1">
        <v>45807</v>
      </c>
      <c r="M30" s="9" t="s">
        <v>22</v>
      </c>
      <c r="N30" s="4"/>
      <c r="O30" s="3"/>
    </row>
    <row r="31" spans="1:15" x14ac:dyDescent="0.35">
      <c r="A31" s="11">
        <v>32</v>
      </c>
      <c r="B31" s="5" t="s">
        <v>24</v>
      </c>
      <c r="C31" s="10"/>
      <c r="D31" s="34">
        <v>40304</v>
      </c>
      <c r="E31" s="34">
        <v>40304</v>
      </c>
      <c r="F31" s="6">
        <f t="shared" si="0"/>
        <v>0</v>
      </c>
      <c r="G31" s="1">
        <v>45812</v>
      </c>
      <c r="H31" s="7" t="s">
        <v>4</v>
      </c>
      <c r="I31" s="48" t="s">
        <v>97</v>
      </c>
      <c r="J31" s="8" t="s">
        <v>14</v>
      </c>
      <c r="K31" s="34"/>
      <c r="L31" s="1">
        <v>45820</v>
      </c>
      <c r="M31" s="9" t="s">
        <v>11</v>
      </c>
      <c r="N31" s="4"/>
      <c r="O31" s="3"/>
    </row>
    <row r="32" spans="1:15" x14ac:dyDescent="0.35">
      <c r="A32" s="11">
        <v>33</v>
      </c>
      <c r="B32" s="5" t="s">
        <v>20</v>
      </c>
      <c r="C32" s="10" t="s">
        <v>41</v>
      </c>
      <c r="D32" s="34">
        <v>197355</v>
      </c>
      <c r="E32" s="34">
        <v>197355</v>
      </c>
      <c r="F32" s="6">
        <f t="shared" si="0"/>
        <v>0</v>
      </c>
      <c r="G32" s="1">
        <v>45781</v>
      </c>
      <c r="H32" s="7" t="s">
        <v>5</v>
      </c>
      <c r="I32" s="48" t="s">
        <v>96</v>
      </c>
      <c r="J32" s="8" t="s">
        <v>14</v>
      </c>
      <c r="K32" s="55">
        <v>31</v>
      </c>
      <c r="L32" s="1">
        <v>45808</v>
      </c>
      <c r="N32" s="4"/>
      <c r="O32" s="3"/>
    </row>
    <row r="33" spans="1:16" x14ac:dyDescent="0.35">
      <c r="A33" s="11">
        <v>34</v>
      </c>
      <c r="B33" s="5" t="s">
        <v>2</v>
      </c>
      <c r="C33" s="10" t="s">
        <v>98</v>
      </c>
      <c r="D33" s="34">
        <v>11320</v>
      </c>
      <c r="E33" s="34">
        <v>11320</v>
      </c>
      <c r="F33" s="6">
        <f t="shared" si="0"/>
        <v>0</v>
      </c>
      <c r="G33" s="1">
        <v>45807</v>
      </c>
      <c r="H33" s="7" t="s">
        <v>4</v>
      </c>
      <c r="I33" s="48" t="s">
        <v>84</v>
      </c>
      <c r="J33" s="8" t="s">
        <v>14</v>
      </c>
      <c r="K33" s="34"/>
      <c r="L33" s="1">
        <v>45807</v>
      </c>
      <c r="M33" s="9" t="s">
        <v>58</v>
      </c>
      <c r="N33" s="4"/>
      <c r="O33" s="3"/>
    </row>
    <row r="34" spans="1:16" x14ac:dyDescent="0.35">
      <c r="A34" s="11">
        <v>35</v>
      </c>
      <c r="B34" s="5" t="s">
        <v>3</v>
      </c>
      <c r="C34" s="10" t="s">
        <v>39</v>
      </c>
      <c r="D34" s="36">
        <v>452360</v>
      </c>
      <c r="E34" s="34">
        <v>452360</v>
      </c>
      <c r="F34" s="6">
        <f t="shared" ref="F34:F65" si="1">D34-E34+N34+O34</f>
        <v>0</v>
      </c>
      <c r="G34" s="1">
        <v>45781</v>
      </c>
      <c r="H34" s="7" t="s">
        <v>4</v>
      </c>
      <c r="I34" s="48" t="s">
        <v>94</v>
      </c>
      <c r="J34" s="2" t="s">
        <v>14</v>
      </c>
      <c r="K34" s="36"/>
      <c r="L34" s="1">
        <v>45812</v>
      </c>
      <c r="M34" s="9"/>
      <c r="N34" s="4"/>
      <c r="O34" s="3"/>
    </row>
    <row r="35" spans="1:16" x14ac:dyDescent="0.35">
      <c r="A35" s="11">
        <v>36</v>
      </c>
      <c r="B35" s="5" t="s">
        <v>33</v>
      </c>
      <c r="C35" s="10"/>
      <c r="D35" s="34">
        <v>125300</v>
      </c>
      <c r="E35" s="34">
        <v>125300</v>
      </c>
      <c r="F35" s="6">
        <f t="shared" si="1"/>
        <v>0</v>
      </c>
      <c r="G35" s="1">
        <v>45812</v>
      </c>
      <c r="H35" s="7" t="s">
        <v>5</v>
      </c>
      <c r="I35" s="48" t="s">
        <v>72</v>
      </c>
      <c r="J35" s="8" t="s">
        <v>14</v>
      </c>
      <c r="K35" s="55">
        <v>19</v>
      </c>
      <c r="L35" s="1">
        <v>45813</v>
      </c>
      <c r="M35" s="9"/>
      <c r="N35" s="4"/>
      <c r="O35" s="3"/>
    </row>
    <row r="36" spans="1:16" ht="25" x14ac:dyDescent="0.35">
      <c r="A36" s="11">
        <v>36</v>
      </c>
      <c r="B36" s="5" t="s">
        <v>33</v>
      </c>
      <c r="C36" s="10"/>
      <c r="D36" s="34">
        <v>10024</v>
      </c>
      <c r="E36" s="34">
        <v>10024</v>
      </c>
      <c r="F36" s="6">
        <f t="shared" si="1"/>
        <v>0</v>
      </c>
      <c r="G36" s="1">
        <v>45813</v>
      </c>
      <c r="H36" s="7" t="s">
        <v>4</v>
      </c>
      <c r="I36" s="48" t="s">
        <v>72</v>
      </c>
      <c r="J36" s="8" t="s">
        <v>14</v>
      </c>
      <c r="K36" s="34"/>
      <c r="L36" s="1">
        <v>45813</v>
      </c>
      <c r="M36" s="9" t="s">
        <v>100</v>
      </c>
      <c r="N36" s="4"/>
      <c r="O36" s="3"/>
    </row>
    <row r="37" spans="1:16" s="54" customFormat="1" x14ac:dyDescent="0.35">
      <c r="A37" s="11">
        <v>37</v>
      </c>
      <c r="B37" s="5" t="s">
        <v>101</v>
      </c>
      <c r="C37" s="10" t="s">
        <v>104</v>
      </c>
      <c r="D37" s="34">
        <v>159494</v>
      </c>
      <c r="E37" s="34">
        <v>159494</v>
      </c>
      <c r="F37" s="6">
        <f t="shared" si="1"/>
        <v>0</v>
      </c>
      <c r="G37" s="1">
        <v>45813</v>
      </c>
      <c r="H37" s="7" t="s">
        <v>5</v>
      </c>
      <c r="I37" s="5" t="s">
        <v>102</v>
      </c>
      <c r="J37" s="8" t="s">
        <v>14</v>
      </c>
      <c r="K37" s="55">
        <v>20</v>
      </c>
      <c r="L37" s="1">
        <v>45814</v>
      </c>
      <c r="M37" s="9" t="s">
        <v>103</v>
      </c>
      <c r="N37" s="4"/>
      <c r="O37" s="3"/>
      <c r="P37" s="37" t="s">
        <v>135</v>
      </c>
    </row>
    <row r="38" spans="1:16" ht="37.5" x14ac:dyDescent="0.35">
      <c r="A38" s="11">
        <v>38</v>
      </c>
      <c r="B38" s="5" t="s">
        <v>3</v>
      </c>
      <c r="C38" s="10"/>
      <c r="D38" s="34">
        <v>526900</v>
      </c>
      <c r="E38" s="34">
        <f>500000+228620</f>
        <v>728620</v>
      </c>
      <c r="F38" s="6">
        <f t="shared" si="1"/>
        <v>0</v>
      </c>
      <c r="G38" s="1" t="s">
        <v>140</v>
      </c>
      <c r="H38" s="7" t="s">
        <v>4</v>
      </c>
      <c r="I38" s="48" t="s">
        <v>94</v>
      </c>
      <c r="J38" s="8" t="s">
        <v>14</v>
      </c>
      <c r="K38" s="34"/>
      <c r="L38" s="1">
        <v>45814</v>
      </c>
      <c r="M38" s="9" t="s">
        <v>22</v>
      </c>
      <c r="N38" s="4"/>
      <c r="O38" s="3">
        <v>201720</v>
      </c>
    </row>
    <row r="39" spans="1:16" x14ac:dyDescent="0.35">
      <c r="A39" s="11">
        <v>39</v>
      </c>
      <c r="B39" s="5" t="s">
        <v>40</v>
      </c>
      <c r="C39" s="10"/>
      <c r="D39" s="34">
        <v>2900</v>
      </c>
      <c r="E39" s="34">
        <v>2900</v>
      </c>
      <c r="F39" s="6">
        <f t="shared" si="1"/>
        <v>0</v>
      </c>
      <c r="G39" s="1">
        <v>45817</v>
      </c>
      <c r="H39" s="7" t="s">
        <v>4</v>
      </c>
      <c r="I39" s="48" t="s">
        <v>40</v>
      </c>
      <c r="J39" s="8" t="s">
        <v>14</v>
      </c>
      <c r="K39" s="34"/>
      <c r="L39" s="1">
        <v>45817</v>
      </c>
      <c r="M39" s="9" t="s">
        <v>58</v>
      </c>
      <c r="N39" s="4"/>
      <c r="O39" s="3"/>
    </row>
    <row r="40" spans="1:16" s="54" customFormat="1" ht="15.65" customHeight="1" x14ac:dyDescent="0.35">
      <c r="A40" s="11">
        <v>40</v>
      </c>
      <c r="B40" s="5" t="s">
        <v>59</v>
      </c>
      <c r="C40" s="10"/>
      <c r="D40" s="34">
        <v>58430</v>
      </c>
      <c r="E40" s="34">
        <v>58430</v>
      </c>
      <c r="F40" s="6">
        <f t="shared" si="1"/>
        <v>0</v>
      </c>
      <c r="G40" s="1">
        <v>45817</v>
      </c>
      <c r="H40" s="7" t="s">
        <v>4</v>
      </c>
      <c r="I40" s="48" t="s">
        <v>60</v>
      </c>
      <c r="J40" s="8" t="s">
        <v>14</v>
      </c>
      <c r="K40" s="34"/>
      <c r="L40" s="1">
        <v>45817</v>
      </c>
      <c r="M40" s="9" t="s">
        <v>11</v>
      </c>
      <c r="N40" s="4"/>
      <c r="O40" s="3"/>
    </row>
    <row r="41" spans="1:16" x14ac:dyDescent="0.35">
      <c r="A41" s="11">
        <v>41</v>
      </c>
      <c r="B41" s="5" t="s">
        <v>3</v>
      </c>
      <c r="C41" s="10" t="s">
        <v>110</v>
      </c>
      <c r="D41" s="34">
        <v>163450</v>
      </c>
      <c r="E41" s="34">
        <f>101360+201720</f>
        <v>303080</v>
      </c>
      <c r="F41" s="6">
        <f t="shared" si="1"/>
        <v>0</v>
      </c>
      <c r="G41" s="1"/>
      <c r="H41" s="7" t="s">
        <v>261</v>
      </c>
      <c r="I41" s="48"/>
      <c r="J41" s="8" t="s">
        <v>14</v>
      </c>
      <c r="K41" s="34"/>
      <c r="L41" s="1">
        <v>45825</v>
      </c>
      <c r="M41" s="9" t="s">
        <v>162</v>
      </c>
      <c r="N41" s="4"/>
      <c r="O41" s="3">
        <v>139630</v>
      </c>
    </row>
    <row r="42" spans="1:16" x14ac:dyDescent="0.35">
      <c r="A42" s="11">
        <v>42</v>
      </c>
      <c r="B42" s="5" t="s">
        <v>24</v>
      </c>
      <c r="C42" s="10" t="s">
        <v>106</v>
      </c>
      <c r="D42" s="34">
        <v>9600</v>
      </c>
      <c r="E42" s="34">
        <v>9600</v>
      </c>
      <c r="F42" s="6">
        <f t="shared" si="1"/>
        <v>0</v>
      </c>
      <c r="G42" s="1">
        <v>45820</v>
      </c>
      <c r="H42" s="7" t="s">
        <v>4</v>
      </c>
      <c r="I42" s="48" t="s">
        <v>97</v>
      </c>
      <c r="J42" s="8" t="s">
        <v>14</v>
      </c>
      <c r="K42" s="34"/>
      <c r="L42" s="1">
        <v>45822</v>
      </c>
      <c r="M42" s="9" t="s">
        <v>11</v>
      </c>
      <c r="N42" s="4"/>
      <c r="O42" s="3"/>
    </row>
    <row r="43" spans="1:16" ht="15.65" customHeight="1" x14ac:dyDescent="0.35">
      <c r="A43" s="11">
        <v>43</v>
      </c>
      <c r="B43" s="5" t="s">
        <v>82</v>
      </c>
      <c r="C43" s="10" t="s">
        <v>107</v>
      </c>
      <c r="D43" s="34">
        <v>29160</v>
      </c>
      <c r="E43" s="34">
        <v>29160</v>
      </c>
      <c r="F43" s="6">
        <f t="shared" si="1"/>
        <v>0</v>
      </c>
      <c r="G43" s="1">
        <v>45819</v>
      </c>
      <c r="H43" s="7" t="s">
        <v>5</v>
      </c>
      <c r="I43" s="5" t="s">
        <v>82</v>
      </c>
      <c r="J43" s="8" t="s">
        <v>14</v>
      </c>
      <c r="K43" s="55">
        <v>21</v>
      </c>
      <c r="L43" s="1">
        <v>45820</v>
      </c>
      <c r="M43" s="9" t="s">
        <v>108</v>
      </c>
      <c r="N43" s="4"/>
      <c r="O43" s="3"/>
    </row>
    <row r="44" spans="1:16" ht="25" x14ac:dyDescent="0.35">
      <c r="A44" s="11">
        <v>44</v>
      </c>
      <c r="B44" s="5" t="s">
        <v>16</v>
      </c>
      <c r="C44" s="10"/>
      <c r="D44" s="34">
        <v>53840</v>
      </c>
      <c r="E44" s="34">
        <f>32850+20990</f>
        <v>53840</v>
      </c>
      <c r="F44" s="6">
        <f t="shared" si="1"/>
        <v>0</v>
      </c>
      <c r="G44" s="1" t="s">
        <v>151</v>
      </c>
      <c r="H44" s="7" t="s">
        <v>4</v>
      </c>
      <c r="I44" s="48" t="s">
        <v>150</v>
      </c>
      <c r="J44" s="8" t="s">
        <v>14</v>
      </c>
      <c r="K44" s="34"/>
      <c r="L44" s="1">
        <v>45843</v>
      </c>
      <c r="M44" s="9" t="s">
        <v>11</v>
      </c>
      <c r="N44" s="4"/>
      <c r="O44" s="3"/>
    </row>
    <row r="45" spans="1:16" ht="15" customHeight="1" x14ac:dyDescent="0.35">
      <c r="A45" s="11">
        <v>45</v>
      </c>
      <c r="B45" s="5" t="s">
        <v>75</v>
      </c>
      <c r="C45" s="10" t="s">
        <v>109</v>
      </c>
      <c r="D45" s="34">
        <v>8400</v>
      </c>
      <c r="E45" s="34">
        <v>8400</v>
      </c>
      <c r="F45" s="6">
        <f t="shared" si="1"/>
        <v>0</v>
      </c>
      <c r="G45" s="7">
        <v>45824</v>
      </c>
      <c r="H45" s="7" t="s">
        <v>4</v>
      </c>
      <c r="I45" s="5" t="s">
        <v>75</v>
      </c>
      <c r="J45" s="8" t="s">
        <v>14</v>
      </c>
      <c r="K45" s="34"/>
      <c r="L45" s="1">
        <v>45823</v>
      </c>
      <c r="M45" s="9" t="s">
        <v>11</v>
      </c>
      <c r="N45" s="4"/>
      <c r="O45" s="3"/>
    </row>
    <row r="46" spans="1:16" x14ac:dyDescent="0.35">
      <c r="A46" s="11">
        <v>46</v>
      </c>
      <c r="B46" s="5" t="s">
        <v>41</v>
      </c>
      <c r="C46" s="10" t="s">
        <v>41</v>
      </c>
      <c r="D46" s="34">
        <v>279470</v>
      </c>
      <c r="E46" s="34">
        <v>279470</v>
      </c>
      <c r="F46" s="6">
        <f t="shared" si="1"/>
        <v>0</v>
      </c>
      <c r="G46" s="1">
        <v>45852</v>
      </c>
      <c r="H46" s="7" t="s">
        <v>5</v>
      </c>
      <c r="I46" s="48" t="s">
        <v>96</v>
      </c>
      <c r="J46" s="8" t="s">
        <v>14</v>
      </c>
      <c r="K46" s="55">
        <v>22</v>
      </c>
      <c r="L46" s="1">
        <v>45824</v>
      </c>
      <c r="M46" s="9" t="s">
        <v>156</v>
      </c>
      <c r="N46" s="4"/>
      <c r="O46" s="3"/>
    </row>
    <row r="47" spans="1:16" ht="25" x14ac:dyDescent="0.35">
      <c r="A47" s="11">
        <v>47</v>
      </c>
      <c r="B47" s="5" t="s">
        <v>28</v>
      </c>
      <c r="C47" s="10"/>
      <c r="D47" s="34">
        <f>63040+1520</f>
        <v>64560</v>
      </c>
      <c r="E47" s="34">
        <f>63040+1520</f>
        <v>64560</v>
      </c>
      <c r="F47" s="6">
        <f t="shared" si="1"/>
        <v>0</v>
      </c>
      <c r="G47" s="1" t="s">
        <v>131</v>
      </c>
      <c r="H47" s="7" t="s">
        <v>4</v>
      </c>
      <c r="I47" s="5" t="s">
        <v>28</v>
      </c>
      <c r="J47" s="8" t="s">
        <v>14</v>
      </c>
      <c r="K47" s="34"/>
      <c r="L47" s="1">
        <v>45834</v>
      </c>
      <c r="M47" s="9" t="s">
        <v>11</v>
      </c>
      <c r="N47" s="4"/>
      <c r="O47" s="3"/>
    </row>
    <row r="48" spans="1:16" ht="15" customHeight="1" x14ac:dyDescent="0.35">
      <c r="A48" s="11">
        <v>48</v>
      </c>
      <c r="B48" s="5" t="s">
        <v>111</v>
      </c>
      <c r="C48" s="10" t="s">
        <v>112</v>
      </c>
      <c r="D48" s="34">
        <v>5200</v>
      </c>
      <c r="E48" s="34">
        <v>5200</v>
      </c>
      <c r="F48" s="6">
        <f t="shared" si="1"/>
        <v>0</v>
      </c>
      <c r="G48" s="1">
        <v>45827</v>
      </c>
      <c r="H48" s="7" t="s">
        <v>4</v>
      </c>
      <c r="I48" s="5" t="s">
        <v>111</v>
      </c>
      <c r="J48" s="8" t="s">
        <v>14</v>
      </c>
      <c r="K48" s="34"/>
      <c r="L48" s="1">
        <v>45827</v>
      </c>
      <c r="M48" s="9" t="s">
        <v>119</v>
      </c>
      <c r="N48" s="4"/>
      <c r="O48" s="3"/>
    </row>
    <row r="49" spans="1:15" ht="25" x14ac:dyDescent="0.35">
      <c r="A49" s="11">
        <v>49</v>
      </c>
      <c r="B49" s="5" t="s">
        <v>113</v>
      </c>
      <c r="C49" s="10" t="s">
        <v>114</v>
      </c>
      <c r="D49" s="34">
        <v>95410</v>
      </c>
      <c r="E49" s="34">
        <f>84410+11000</f>
        <v>95410</v>
      </c>
      <c r="F49" s="6">
        <f t="shared" si="1"/>
        <v>0</v>
      </c>
      <c r="G49" s="1" t="s">
        <v>115</v>
      </c>
      <c r="H49" s="7" t="s">
        <v>4</v>
      </c>
      <c r="I49" s="5" t="s">
        <v>116</v>
      </c>
      <c r="J49" s="8" t="s">
        <v>14</v>
      </c>
      <c r="K49" s="34"/>
      <c r="L49" s="1">
        <v>45827</v>
      </c>
      <c r="M49" s="9" t="s">
        <v>11</v>
      </c>
      <c r="N49" s="4"/>
      <c r="O49" s="3"/>
    </row>
    <row r="50" spans="1:15" ht="14.4" customHeight="1" x14ac:dyDescent="0.35">
      <c r="A50" s="11">
        <v>50</v>
      </c>
      <c r="B50" s="5" t="s">
        <v>59</v>
      </c>
      <c r="C50" s="10" t="s">
        <v>117</v>
      </c>
      <c r="D50" s="34">
        <v>40500</v>
      </c>
      <c r="E50" s="34">
        <v>40500</v>
      </c>
      <c r="F50" s="6">
        <f t="shared" si="1"/>
        <v>0</v>
      </c>
      <c r="G50" s="1">
        <v>45827</v>
      </c>
      <c r="H50" s="7" t="s">
        <v>4</v>
      </c>
      <c r="I50" s="48" t="s">
        <v>60</v>
      </c>
      <c r="J50" s="8" t="s">
        <v>14</v>
      </c>
      <c r="K50" s="34"/>
      <c r="L50" s="1">
        <v>45828</v>
      </c>
      <c r="M50" s="9" t="s">
        <v>11</v>
      </c>
      <c r="N50" s="4"/>
      <c r="O50" s="3"/>
    </row>
    <row r="51" spans="1:15" x14ac:dyDescent="0.35">
      <c r="A51" s="11">
        <v>51</v>
      </c>
      <c r="B51" s="5" t="s">
        <v>19</v>
      </c>
      <c r="C51" s="10"/>
      <c r="D51" s="34">
        <v>16660</v>
      </c>
      <c r="E51" s="34">
        <v>16660</v>
      </c>
      <c r="F51" s="6">
        <f t="shared" si="1"/>
        <v>0</v>
      </c>
      <c r="H51" s="7" t="s">
        <v>4</v>
      </c>
      <c r="I51" s="53" t="s">
        <v>118</v>
      </c>
      <c r="J51" s="8" t="s">
        <v>14</v>
      </c>
      <c r="K51" s="34"/>
      <c r="L51" s="1">
        <v>45827</v>
      </c>
      <c r="M51" s="9" t="s">
        <v>11</v>
      </c>
      <c r="N51" s="4"/>
      <c r="O51" s="3"/>
    </row>
    <row r="52" spans="1:15" x14ac:dyDescent="0.35">
      <c r="A52" s="11">
        <v>52</v>
      </c>
      <c r="B52" s="5" t="s">
        <v>120</v>
      </c>
      <c r="C52" s="10"/>
      <c r="D52" s="34">
        <v>44370</v>
      </c>
      <c r="E52" s="34">
        <v>44370</v>
      </c>
      <c r="F52" s="6">
        <f t="shared" si="1"/>
        <v>0</v>
      </c>
      <c r="G52" s="1"/>
      <c r="H52" s="7" t="s">
        <v>4</v>
      </c>
      <c r="I52" s="5" t="s">
        <v>121</v>
      </c>
      <c r="J52" s="8" t="s">
        <v>14</v>
      </c>
      <c r="K52" s="34"/>
      <c r="L52" s="1">
        <v>45828</v>
      </c>
      <c r="M52" s="9" t="s">
        <v>58</v>
      </c>
      <c r="N52" s="4"/>
      <c r="O52" s="3"/>
    </row>
    <row r="53" spans="1:15" ht="15.65" customHeight="1" x14ac:dyDescent="0.35">
      <c r="A53" s="11">
        <v>53</v>
      </c>
      <c r="B53" s="5" t="s">
        <v>59</v>
      </c>
      <c r="C53" s="10" t="s">
        <v>122</v>
      </c>
      <c r="D53" s="34">
        <v>42500</v>
      </c>
      <c r="E53" s="34">
        <v>42500</v>
      </c>
      <c r="F53" s="6">
        <f t="shared" si="1"/>
        <v>0</v>
      </c>
      <c r="G53" s="1"/>
      <c r="H53" s="7" t="s">
        <v>4</v>
      </c>
      <c r="I53" s="48" t="s">
        <v>60</v>
      </c>
      <c r="J53" s="8" t="s">
        <v>14</v>
      </c>
      <c r="K53" s="34"/>
      <c r="L53" s="1">
        <v>45828</v>
      </c>
      <c r="M53" s="9" t="s">
        <v>11</v>
      </c>
      <c r="N53" s="4"/>
      <c r="O53" s="3"/>
    </row>
    <row r="54" spans="1:15" ht="25" x14ac:dyDescent="0.35">
      <c r="A54" s="11">
        <v>54</v>
      </c>
      <c r="B54" s="5" t="s">
        <v>120</v>
      </c>
      <c r="C54" s="10" t="s">
        <v>123</v>
      </c>
      <c r="D54" s="34">
        <v>269545</v>
      </c>
      <c r="E54" s="34">
        <v>269545</v>
      </c>
      <c r="F54" s="6">
        <f t="shared" si="1"/>
        <v>0</v>
      </c>
      <c r="G54" s="1">
        <v>45831</v>
      </c>
      <c r="H54" s="7" t="s">
        <v>5</v>
      </c>
      <c r="I54" s="48" t="s">
        <v>124</v>
      </c>
      <c r="J54" s="8" t="s">
        <v>14</v>
      </c>
      <c r="K54" s="55">
        <v>28</v>
      </c>
      <c r="L54" s="1">
        <v>45839</v>
      </c>
      <c r="M54" s="9" t="s">
        <v>125</v>
      </c>
      <c r="N54" s="4"/>
      <c r="O54" s="3"/>
    </row>
    <row r="55" spans="1:15" x14ac:dyDescent="0.35">
      <c r="A55" s="11">
        <v>55</v>
      </c>
      <c r="B55" s="5" t="s">
        <v>203</v>
      </c>
      <c r="C55" s="10"/>
      <c r="D55" s="34">
        <v>2870</v>
      </c>
      <c r="E55" s="34">
        <v>2870</v>
      </c>
      <c r="F55" s="6">
        <f t="shared" si="1"/>
        <v>0</v>
      </c>
      <c r="G55" s="1"/>
      <c r="H55" s="7" t="s">
        <v>4</v>
      </c>
      <c r="I55" s="48" t="s">
        <v>129</v>
      </c>
      <c r="J55" s="8" t="s">
        <v>14</v>
      </c>
      <c r="K55" s="34"/>
      <c r="L55" s="1">
        <v>45821</v>
      </c>
      <c r="M55" s="9" t="s">
        <v>11</v>
      </c>
      <c r="N55" s="4"/>
      <c r="O55" s="3"/>
    </row>
    <row r="56" spans="1:15" ht="29" customHeight="1" x14ac:dyDescent="0.35">
      <c r="A56" s="11">
        <v>56</v>
      </c>
      <c r="B56" s="5" t="s">
        <v>203</v>
      </c>
      <c r="C56" s="10"/>
      <c r="D56" s="34">
        <v>189660</v>
      </c>
      <c r="E56" s="34">
        <v>224060</v>
      </c>
      <c r="F56" s="6">
        <f t="shared" si="1"/>
        <v>0</v>
      </c>
      <c r="G56" s="1">
        <v>45854</v>
      </c>
      <c r="H56" s="7" t="s">
        <v>5</v>
      </c>
      <c r="I56" s="5" t="s">
        <v>158</v>
      </c>
      <c r="J56" s="8"/>
      <c r="K56" s="55">
        <v>43</v>
      </c>
      <c r="L56" s="1">
        <v>45869</v>
      </c>
      <c r="M56" s="9" t="s">
        <v>210</v>
      </c>
      <c r="N56" s="4"/>
      <c r="O56" s="3">
        <v>34400</v>
      </c>
    </row>
    <row r="57" spans="1:15" x14ac:dyDescent="0.35">
      <c r="A57" s="11">
        <v>57</v>
      </c>
      <c r="B57" s="5" t="s">
        <v>27</v>
      </c>
      <c r="C57" s="10" t="s">
        <v>18</v>
      </c>
      <c r="D57" s="34">
        <v>219740</v>
      </c>
      <c r="E57" s="34">
        <v>219740</v>
      </c>
      <c r="F57" s="6">
        <f t="shared" si="1"/>
        <v>0</v>
      </c>
      <c r="G57" s="1"/>
      <c r="H57" s="7" t="s">
        <v>4</v>
      </c>
      <c r="I57" s="48"/>
      <c r="J57" s="8" t="s">
        <v>14</v>
      </c>
      <c r="K57" s="34"/>
      <c r="L57" s="1">
        <v>45847</v>
      </c>
      <c r="M57" s="9"/>
      <c r="N57" s="4"/>
      <c r="O57" s="3"/>
    </row>
    <row r="58" spans="1:15" ht="25" x14ac:dyDescent="0.35">
      <c r="A58" s="11">
        <v>58</v>
      </c>
      <c r="B58" s="5" t="s">
        <v>145</v>
      </c>
      <c r="C58" s="10" t="s">
        <v>128</v>
      </c>
      <c r="D58" s="34">
        <v>21600</v>
      </c>
      <c r="E58" s="34">
        <v>21600</v>
      </c>
      <c r="F58" s="6">
        <f t="shared" si="1"/>
        <v>0</v>
      </c>
      <c r="G58" s="1">
        <v>45833</v>
      </c>
      <c r="H58" s="7" t="s">
        <v>5</v>
      </c>
      <c r="I58" s="48" t="s">
        <v>126</v>
      </c>
      <c r="J58" s="8" t="s">
        <v>14</v>
      </c>
      <c r="K58" s="55">
        <v>29</v>
      </c>
      <c r="L58" s="1">
        <v>45839</v>
      </c>
      <c r="M58" s="9" t="s">
        <v>127</v>
      </c>
      <c r="N58" s="4"/>
      <c r="O58" s="3"/>
    </row>
    <row r="59" spans="1:15" x14ac:dyDescent="0.35">
      <c r="A59" s="11">
        <v>59</v>
      </c>
      <c r="B59" s="5" t="s">
        <v>12</v>
      </c>
      <c r="C59" s="10"/>
      <c r="D59" s="36">
        <v>18000</v>
      </c>
      <c r="E59" s="34">
        <v>18000</v>
      </c>
      <c r="F59" s="6">
        <f t="shared" si="1"/>
        <v>0</v>
      </c>
      <c r="G59" s="7">
        <v>45832</v>
      </c>
      <c r="H59" s="7" t="s">
        <v>4</v>
      </c>
      <c r="I59" s="48" t="s">
        <v>130</v>
      </c>
      <c r="J59" s="2" t="s">
        <v>14</v>
      </c>
      <c r="K59" s="36"/>
      <c r="L59" s="1">
        <v>45832</v>
      </c>
      <c r="M59" s="9" t="s">
        <v>58</v>
      </c>
      <c r="N59" s="4"/>
      <c r="O59" s="3"/>
    </row>
    <row r="60" spans="1:15" ht="25" x14ac:dyDescent="0.35">
      <c r="A60" s="11">
        <v>60</v>
      </c>
      <c r="B60" s="5" t="s">
        <v>101</v>
      </c>
      <c r="C60" s="10" t="s">
        <v>89</v>
      </c>
      <c r="D60" s="36">
        <f>69768+47856</f>
        <v>117624</v>
      </c>
      <c r="E60" s="34">
        <f>69768+47856</f>
        <v>117624</v>
      </c>
      <c r="F60" s="6">
        <f t="shared" si="1"/>
        <v>0</v>
      </c>
      <c r="G60" s="7">
        <v>45835</v>
      </c>
      <c r="H60" s="7" t="s">
        <v>5</v>
      </c>
      <c r="I60" s="48" t="s">
        <v>102</v>
      </c>
      <c r="J60" s="2" t="s">
        <v>14</v>
      </c>
      <c r="K60" s="56">
        <v>26</v>
      </c>
      <c r="L60" s="1">
        <v>45835</v>
      </c>
      <c r="M60" s="9" t="s">
        <v>132</v>
      </c>
      <c r="N60" s="4"/>
      <c r="O60" s="3"/>
    </row>
    <row r="61" spans="1:15" x14ac:dyDescent="0.35">
      <c r="A61" s="11">
        <v>61</v>
      </c>
      <c r="B61" s="5" t="s">
        <v>3</v>
      </c>
      <c r="C61" s="10"/>
      <c r="D61" s="36">
        <v>31250</v>
      </c>
      <c r="E61" s="34">
        <v>139630</v>
      </c>
      <c r="F61" s="6">
        <f t="shared" si="1"/>
        <v>0</v>
      </c>
      <c r="G61" s="7"/>
      <c r="H61" s="7" t="s">
        <v>4</v>
      </c>
      <c r="I61" s="48"/>
      <c r="J61" s="2" t="s">
        <v>14</v>
      </c>
      <c r="K61" s="36"/>
      <c r="L61" s="1">
        <v>45836</v>
      </c>
      <c r="M61" s="9" t="s">
        <v>163</v>
      </c>
      <c r="N61" s="4"/>
      <c r="O61" s="3">
        <v>108380</v>
      </c>
    </row>
    <row r="62" spans="1:15" x14ac:dyDescent="0.35">
      <c r="A62" s="11">
        <v>62</v>
      </c>
      <c r="B62" s="5" t="s">
        <v>134</v>
      </c>
      <c r="C62" s="10" t="s">
        <v>133</v>
      </c>
      <c r="D62" s="36">
        <v>2800</v>
      </c>
      <c r="E62" s="34">
        <v>2800</v>
      </c>
      <c r="F62" s="6">
        <f t="shared" si="1"/>
        <v>0</v>
      </c>
      <c r="G62" s="7"/>
      <c r="H62" s="7" t="s">
        <v>4</v>
      </c>
      <c r="I62" s="5" t="s">
        <v>134</v>
      </c>
      <c r="J62" s="2" t="s">
        <v>14</v>
      </c>
      <c r="K62" s="36"/>
      <c r="L62" s="1">
        <v>45838</v>
      </c>
      <c r="M62" s="9" t="s">
        <v>11</v>
      </c>
      <c r="N62" s="4"/>
      <c r="O62" s="3"/>
    </row>
    <row r="63" spans="1:15" ht="25" x14ac:dyDescent="0.35">
      <c r="A63" s="11">
        <v>63</v>
      </c>
      <c r="B63" s="5" t="s">
        <v>143</v>
      </c>
      <c r="C63" s="10" t="s">
        <v>142</v>
      </c>
      <c r="D63" s="36">
        <v>669240</v>
      </c>
      <c r="E63" s="34">
        <v>669240</v>
      </c>
      <c r="F63" s="6">
        <f t="shared" si="1"/>
        <v>0</v>
      </c>
      <c r="G63" s="7">
        <v>45840</v>
      </c>
      <c r="H63" s="7" t="s">
        <v>4</v>
      </c>
      <c r="I63" s="5" t="s">
        <v>144</v>
      </c>
      <c r="J63" s="2" t="s">
        <v>14</v>
      </c>
      <c r="K63" s="36"/>
      <c r="L63" s="1">
        <v>45840</v>
      </c>
      <c r="M63" s="9" t="s">
        <v>22</v>
      </c>
      <c r="N63" s="4"/>
      <c r="O63" s="3"/>
    </row>
    <row r="64" spans="1:15" x14ac:dyDescent="0.35">
      <c r="A64" s="11">
        <v>64</v>
      </c>
      <c r="B64" s="5" t="s">
        <v>33</v>
      </c>
      <c r="C64" s="10"/>
      <c r="D64" s="36">
        <v>142980</v>
      </c>
      <c r="E64" s="34">
        <f>160820-17840</f>
        <v>142980</v>
      </c>
      <c r="F64" s="6">
        <f t="shared" si="1"/>
        <v>0</v>
      </c>
      <c r="G64" s="7"/>
      <c r="H64" s="7" t="s">
        <v>4</v>
      </c>
      <c r="I64" s="48" t="s">
        <v>148</v>
      </c>
      <c r="J64" s="2" t="s">
        <v>14</v>
      </c>
      <c r="K64" s="36"/>
      <c r="L64" s="1">
        <v>45841</v>
      </c>
      <c r="M64" s="9" t="s">
        <v>11</v>
      </c>
      <c r="N64" s="4"/>
      <c r="O64" s="3"/>
    </row>
    <row r="65" spans="1:15" x14ac:dyDescent="0.35">
      <c r="A65" s="11">
        <v>65</v>
      </c>
      <c r="B65" s="5" t="s">
        <v>141</v>
      </c>
      <c r="C65" s="10"/>
      <c r="D65" s="36">
        <v>20000</v>
      </c>
      <c r="E65" s="34">
        <v>20000</v>
      </c>
      <c r="F65" s="6">
        <f t="shared" si="1"/>
        <v>0</v>
      </c>
      <c r="G65" s="7"/>
      <c r="H65" s="7" t="s">
        <v>4</v>
      </c>
      <c r="I65" s="48"/>
      <c r="J65" s="2" t="s">
        <v>14</v>
      </c>
      <c r="K65" s="36"/>
      <c r="L65" s="1">
        <v>45877</v>
      </c>
      <c r="M65" s="9" t="s">
        <v>58</v>
      </c>
      <c r="N65" s="4"/>
      <c r="O65" s="3"/>
    </row>
    <row r="66" spans="1:15" x14ac:dyDescent="0.35">
      <c r="A66" s="11">
        <v>66</v>
      </c>
      <c r="B66" s="5" t="s">
        <v>222</v>
      </c>
      <c r="C66" s="10"/>
      <c r="D66" s="36">
        <v>58900</v>
      </c>
      <c r="E66" s="34">
        <v>58900</v>
      </c>
      <c r="F66" s="6">
        <f t="shared" ref="F66:F97" si="2">D66-E66+N66+O66</f>
        <v>0</v>
      </c>
      <c r="G66" s="7"/>
      <c r="H66" s="7" t="s">
        <v>4</v>
      </c>
      <c r="I66" s="48" t="s">
        <v>149</v>
      </c>
      <c r="J66" s="2" t="s">
        <v>14</v>
      </c>
      <c r="K66" s="36"/>
      <c r="L66" s="1">
        <v>45839</v>
      </c>
      <c r="M66" s="9" t="s">
        <v>58</v>
      </c>
      <c r="N66" s="4"/>
      <c r="O66" s="3"/>
    </row>
    <row r="67" spans="1:15" ht="27" customHeight="1" x14ac:dyDescent="0.35">
      <c r="A67" s="11">
        <v>67</v>
      </c>
      <c r="B67" s="5" t="s">
        <v>146</v>
      </c>
      <c r="C67" s="10"/>
      <c r="D67" s="36">
        <v>18765</v>
      </c>
      <c r="E67" s="34">
        <v>18765</v>
      </c>
      <c r="F67" s="6">
        <f t="shared" si="2"/>
        <v>0</v>
      </c>
      <c r="G67" s="7">
        <v>45840</v>
      </c>
      <c r="H67" s="7" t="s">
        <v>4</v>
      </c>
      <c r="I67" s="48" t="s">
        <v>147</v>
      </c>
      <c r="J67" s="2" t="s">
        <v>14</v>
      </c>
      <c r="K67" s="36"/>
      <c r="L67" s="1">
        <v>45840</v>
      </c>
      <c r="M67" s="9" t="s">
        <v>11</v>
      </c>
      <c r="N67" s="4"/>
      <c r="O67" s="3"/>
    </row>
    <row r="68" spans="1:15" ht="25" x14ac:dyDescent="0.35">
      <c r="A68" s="11">
        <v>68</v>
      </c>
      <c r="B68" s="5" t="s">
        <v>85</v>
      </c>
      <c r="C68" s="10" t="s">
        <v>159</v>
      </c>
      <c r="D68" s="36">
        <v>40500</v>
      </c>
      <c r="E68" s="34">
        <v>67500</v>
      </c>
      <c r="F68" s="6">
        <f t="shared" si="2"/>
        <v>0</v>
      </c>
      <c r="G68" s="7">
        <v>45847</v>
      </c>
      <c r="H68" s="7" t="s">
        <v>4</v>
      </c>
      <c r="I68" s="48" t="s">
        <v>2</v>
      </c>
      <c r="J68" s="2" t="s">
        <v>14</v>
      </c>
      <c r="K68" s="36"/>
      <c r="L68" s="1">
        <v>45855</v>
      </c>
      <c r="M68" s="9" t="s">
        <v>11</v>
      </c>
      <c r="N68" s="4"/>
      <c r="O68" s="3">
        <v>27000</v>
      </c>
    </row>
    <row r="69" spans="1:15" x14ac:dyDescent="0.35">
      <c r="A69" s="11">
        <v>69</v>
      </c>
      <c r="B69" s="5" t="s">
        <v>85</v>
      </c>
      <c r="C69" s="10"/>
      <c r="D69" s="36">
        <v>66510</v>
      </c>
      <c r="E69" s="34">
        <v>111560</v>
      </c>
      <c r="F69" s="6">
        <f t="shared" si="2"/>
        <v>0</v>
      </c>
      <c r="G69" s="7"/>
      <c r="H69" s="7" t="s">
        <v>4</v>
      </c>
      <c r="I69" s="48"/>
      <c r="J69" s="2" t="s">
        <v>14</v>
      </c>
      <c r="K69" s="36"/>
      <c r="L69" s="1">
        <v>45859</v>
      </c>
      <c r="M69" s="9"/>
      <c r="N69" s="4"/>
      <c r="O69" s="3">
        <v>45050</v>
      </c>
    </row>
    <row r="70" spans="1:15" x14ac:dyDescent="0.35">
      <c r="A70" s="11">
        <v>70</v>
      </c>
      <c r="B70" s="5" t="s">
        <v>85</v>
      </c>
      <c r="C70" s="10"/>
      <c r="D70" s="36">
        <v>66530</v>
      </c>
      <c r="E70" s="34">
        <f>27000+45050</f>
        <v>72050</v>
      </c>
      <c r="F70" s="6">
        <f t="shared" si="2"/>
        <v>0</v>
      </c>
      <c r="G70" s="7"/>
      <c r="H70" s="7" t="s">
        <v>4</v>
      </c>
      <c r="I70" s="48"/>
      <c r="J70" s="2" t="s">
        <v>14</v>
      </c>
      <c r="K70" s="36"/>
      <c r="L70" s="1">
        <v>45855</v>
      </c>
      <c r="M70" s="9" t="s">
        <v>167</v>
      </c>
      <c r="N70" s="4"/>
      <c r="O70" s="3">
        <v>5520</v>
      </c>
    </row>
    <row r="71" spans="1:15" x14ac:dyDescent="0.35">
      <c r="A71" s="11">
        <v>71</v>
      </c>
      <c r="B71" s="5" t="s">
        <v>3</v>
      </c>
      <c r="C71" s="10" t="s">
        <v>38</v>
      </c>
      <c r="D71" s="36">
        <v>17900</v>
      </c>
      <c r="E71" s="34">
        <v>108380</v>
      </c>
      <c r="F71" s="6">
        <f t="shared" si="2"/>
        <v>0</v>
      </c>
      <c r="G71" s="7"/>
      <c r="H71" s="7" t="s">
        <v>261</v>
      </c>
      <c r="I71" s="48"/>
      <c r="J71" s="2" t="s">
        <v>14</v>
      </c>
      <c r="K71" s="36"/>
      <c r="L71" s="1">
        <v>45847</v>
      </c>
      <c r="M71" s="9" t="s">
        <v>164</v>
      </c>
      <c r="N71" s="4"/>
      <c r="O71" s="3">
        <v>90480</v>
      </c>
    </row>
    <row r="72" spans="1:15" x14ac:dyDescent="0.35">
      <c r="A72" s="11">
        <v>72</v>
      </c>
      <c r="B72" s="5" t="s">
        <v>3</v>
      </c>
      <c r="C72" s="10" t="s">
        <v>152</v>
      </c>
      <c r="D72" s="36">
        <v>30050</v>
      </c>
      <c r="E72" s="34">
        <v>90480</v>
      </c>
      <c r="F72" s="6">
        <f t="shared" si="2"/>
        <v>0</v>
      </c>
      <c r="G72" s="7"/>
      <c r="H72" s="7" t="s">
        <v>261</v>
      </c>
      <c r="I72" s="48"/>
      <c r="J72" s="2" t="s">
        <v>14</v>
      </c>
      <c r="K72" s="36"/>
      <c r="L72" s="1">
        <v>45847</v>
      </c>
      <c r="M72" s="9" t="s">
        <v>165</v>
      </c>
      <c r="N72" s="4"/>
      <c r="O72" s="3">
        <v>60430</v>
      </c>
    </row>
    <row r="73" spans="1:15" x14ac:dyDescent="0.35">
      <c r="A73" s="11">
        <v>73</v>
      </c>
      <c r="B73" s="5" t="s">
        <v>3</v>
      </c>
      <c r="C73" s="10" t="s">
        <v>153</v>
      </c>
      <c r="D73" s="36">
        <v>57850</v>
      </c>
      <c r="E73" s="34">
        <v>60430</v>
      </c>
      <c r="F73" s="6">
        <f t="shared" si="2"/>
        <v>-2580</v>
      </c>
      <c r="G73" s="7"/>
      <c r="H73" s="7" t="s">
        <v>261</v>
      </c>
      <c r="I73" s="48"/>
      <c r="J73" s="2" t="s">
        <v>14</v>
      </c>
      <c r="K73" s="36"/>
      <c r="L73" s="1">
        <v>45853</v>
      </c>
      <c r="M73" s="9" t="s">
        <v>166</v>
      </c>
      <c r="N73" s="4"/>
      <c r="O73" s="3"/>
    </row>
    <row r="74" spans="1:15" x14ac:dyDescent="0.35">
      <c r="A74" s="11">
        <v>74</v>
      </c>
      <c r="B74" s="5" t="s">
        <v>221</v>
      </c>
      <c r="C74" s="10"/>
      <c r="D74" s="36">
        <v>38490</v>
      </c>
      <c r="E74" s="34">
        <v>38490</v>
      </c>
      <c r="F74" s="6">
        <f t="shared" si="2"/>
        <v>0</v>
      </c>
      <c r="G74" s="7">
        <v>45852</v>
      </c>
      <c r="H74" s="7" t="s">
        <v>4</v>
      </c>
      <c r="I74" s="48" t="s">
        <v>118</v>
      </c>
      <c r="J74" s="2" t="s">
        <v>14</v>
      </c>
      <c r="K74" s="36"/>
      <c r="L74" s="1">
        <v>45852</v>
      </c>
      <c r="M74" s="9" t="s">
        <v>58</v>
      </c>
      <c r="N74" s="4"/>
      <c r="O74" s="3"/>
    </row>
    <row r="75" spans="1:15" x14ac:dyDescent="0.35">
      <c r="A75" s="11">
        <v>75</v>
      </c>
      <c r="B75" s="5" t="s">
        <v>85</v>
      </c>
      <c r="C75" s="10"/>
      <c r="D75" s="36">
        <v>3740</v>
      </c>
      <c r="E75" s="34">
        <v>5520</v>
      </c>
      <c r="F75" s="6">
        <f t="shared" si="2"/>
        <v>0</v>
      </c>
      <c r="G75" s="7"/>
      <c r="H75" s="7" t="s">
        <v>4</v>
      </c>
      <c r="I75" s="48"/>
      <c r="J75" s="2" t="s">
        <v>14</v>
      </c>
      <c r="K75" s="36"/>
      <c r="L75" s="1">
        <v>45855</v>
      </c>
      <c r="M75" s="9" t="s">
        <v>168</v>
      </c>
      <c r="N75" s="4"/>
      <c r="O75" s="3">
        <v>1780</v>
      </c>
    </row>
    <row r="76" spans="1:15" ht="25" x14ac:dyDescent="0.35">
      <c r="A76" s="11">
        <v>76</v>
      </c>
      <c r="B76" s="5" t="s">
        <v>203</v>
      </c>
      <c r="C76" s="10" t="s">
        <v>175</v>
      </c>
      <c r="D76" s="36">
        <v>55050</v>
      </c>
      <c r="E76" s="34">
        <v>86500</v>
      </c>
      <c r="F76" s="6">
        <f t="shared" si="2"/>
        <v>0</v>
      </c>
      <c r="G76" s="1">
        <v>45875</v>
      </c>
      <c r="H76" s="7" t="s">
        <v>5</v>
      </c>
      <c r="I76" s="5" t="s">
        <v>158</v>
      </c>
      <c r="J76" s="2" t="s">
        <v>14</v>
      </c>
      <c r="K76" s="56">
        <v>44</v>
      </c>
      <c r="L76" s="1">
        <v>45901</v>
      </c>
      <c r="M76" s="9" t="s">
        <v>209</v>
      </c>
      <c r="N76" s="4"/>
      <c r="O76" s="3">
        <v>31450</v>
      </c>
    </row>
    <row r="77" spans="1:15" ht="25" x14ac:dyDescent="0.35">
      <c r="A77" s="11">
        <v>77</v>
      </c>
      <c r="B77" s="5" t="s">
        <v>143</v>
      </c>
      <c r="C77" s="10"/>
      <c r="D77" s="36">
        <v>22605</v>
      </c>
      <c r="E77" s="34">
        <v>22605</v>
      </c>
      <c r="F77" s="6">
        <f t="shared" si="2"/>
        <v>0</v>
      </c>
      <c r="G77" s="7">
        <v>45856</v>
      </c>
      <c r="H77" s="7" t="s">
        <v>5</v>
      </c>
      <c r="I77" s="5" t="s">
        <v>144</v>
      </c>
      <c r="J77" s="2" t="s">
        <v>14</v>
      </c>
      <c r="K77" s="56">
        <v>33</v>
      </c>
      <c r="L77" s="1">
        <v>45856</v>
      </c>
      <c r="M77" s="9" t="s">
        <v>157</v>
      </c>
      <c r="N77" s="4"/>
      <c r="O77" s="3"/>
    </row>
    <row r="78" spans="1:15" ht="25" x14ac:dyDescent="0.35">
      <c r="A78" s="11">
        <v>78</v>
      </c>
      <c r="B78" s="5" t="s">
        <v>160</v>
      </c>
      <c r="C78" s="10"/>
      <c r="D78" s="36">
        <v>62220</v>
      </c>
      <c r="E78" s="34">
        <v>62220</v>
      </c>
      <c r="F78" s="6">
        <f t="shared" si="2"/>
        <v>0</v>
      </c>
      <c r="G78" s="1">
        <v>45855</v>
      </c>
      <c r="H78" s="7" t="s">
        <v>5</v>
      </c>
      <c r="I78" s="5" t="s">
        <v>160</v>
      </c>
      <c r="J78" s="2" t="s">
        <v>14</v>
      </c>
      <c r="K78" s="56">
        <v>32</v>
      </c>
      <c r="L78" s="1">
        <v>45856</v>
      </c>
      <c r="M78" s="9" t="s">
        <v>161</v>
      </c>
      <c r="N78" s="4"/>
      <c r="O78" s="3"/>
    </row>
    <row r="79" spans="1:15" x14ac:dyDescent="0.35">
      <c r="A79" s="11">
        <v>79</v>
      </c>
      <c r="B79" s="5" t="s">
        <v>169</v>
      </c>
      <c r="C79" s="10"/>
      <c r="D79" s="36">
        <v>225350</v>
      </c>
      <c r="E79" s="34">
        <v>278200</v>
      </c>
      <c r="F79" s="6">
        <f t="shared" si="2"/>
        <v>0</v>
      </c>
      <c r="G79" s="1">
        <v>45862</v>
      </c>
      <c r="H79" s="7" t="s">
        <v>4</v>
      </c>
      <c r="I79" s="48" t="s">
        <v>84</v>
      </c>
      <c r="J79" s="2"/>
      <c r="K79" s="36"/>
      <c r="L79" s="1">
        <v>45864</v>
      </c>
      <c r="M79" s="9" t="s">
        <v>11</v>
      </c>
      <c r="N79" s="4"/>
      <c r="O79" s="3">
        <v>52850</v>
      </c>
    </row>
    <row r="80" spans="1:15" x14ac:dyDescent="0.35">
      <c r="A80" s="11">
        <v>80</v>
      </c>
      <c r="B80" s="5" t="s">
        <v>23</v>
      </c>
      <c r="C80" s="10" t="s">
        <v>183</v>
      </c>
      <c r="D80" s="36">
        <v>22500</v>
      </c>
      <c r="E80" s="34">
        <v>22500</v>
      </c>
      <c r="F80" s="6">
        <f t="shared" si="2"/>
        <v>0</v>
      </c>
      <c r="G80" s="7">
        <v>45863</v>
      </c>
      <c r="H80" s="7" t="s">
        <v>4</v>
      </c>
      <c r="I80" s="48" t="s">
        <v>184</v>
      </c>
      <c r="J80" s="2" t="s">
        <v>14</v>
      </c>
      <c r="K80" s="36"/>
      <c r="L80" s="1">
        <v>45894</v>
      </c>
      <c r="M80" s="9" t="s">
        <v>11</v>
      </c>
      <c r="N80" s="4"/>
      <c r="O80" s="3"/>
    </row>
    <row r="81" spans="1:15" x14ac:dyDescent="0.35">
      <c r="A81" s="11">
        <v>81</v>
      </c>
      <c r="B81" s="5" t="s">
        <v>41</v>
      </c>
      <c r="C81" s="10" t="s">
        <v>179</v>
      </c>
      <c r="D81" s="36">
        <v>797400</v>
      </c>
      <c r="E81" s="34">
        <v>797400</v>
      </c>
      <c r="F81" s="6">
        <f t="shared" si="2"/>
        <v>0</v>
      </c>
      <c r="G81" s="1"/>
      <c r="H81" s="7" t="s">
        <v>5</v>
      </c>
      <c r="I81" s="48" t="s">
        <v>96</v>
      </c>
      <c r="J81" s="2" t="s">
        <v>14</v>
      </c>
      <c r="K81" s="55">
        <v>34</v>
      </c>
      <c r="L81" s="1">
        <v>45869</v>
      </c>
      <c r="M81" s="9" t="s">
        <v>182</v>
      </c>
      <c r="N81" s="4"/>
      <c r="O81" s="3"/>
    </row>
    <row r="82" spans="1:15" x14ac:dyDescent="0.35">
      <c r="A82" s="11">
        <v>82</v>
      </c>
      <c r="B82" s="5" t="s">
        <v>177</v>
      </c>
      <c r="C82" s="10"/>
      <c r="D82" s="36">
        <v>2910</v>
      </c>
      <c r="E82" s="34">
        <v>2910</v>
      </c>
      <c r="F82" s="6">
        <f t="shared" si="2"/>
        <v>0</v>
      </c>
      <c r="G82" s="1">
        <v>45867</v>
      </c>
      <c r="H82" s="7" t="s">
        <v>4</v>
      </c>
      <c r="I82" s="48" t="s">
        <v>84</v>
      </c>
      <c r="J82" s="2" t="s">
        <v>14</v>
      </c>
      <c r="K82" s="36"/>
      <c r="L82" s="1">
        <v>45867</v>
      </c>
      <c r="M82" s="9" t="s">
        <v>58</v>
      </c>
      <c r="N82" s="4"/>
      <c r="O82" s="3"/>
    </row>
    <row r="83" spans="1:15" x14ac:dyDescent="0.35">
      <c r="A83" s="11">
        <v>83</v>
      </c>
      <c r="B83" s="5" t="s">
        <v>40</v>
      </c>
      <c r="C83" s="10"/>
      <c r="D83" s="36">
        <v>34690</v>
      </c>
      <c r="E83" s="34">
        <v>34690</v>
      </c>
      <c r="F83" s="6">
        <f t="shared" si="2"/>
        <v>0</v>
      </c>
      <c r="G83" s="1">
        <v>45868</v>
      </c>
      <c r="H83" s="7" t="s">
        <v>4</v>
      </c>
      <c r="I83" s="48" t="s">
        <v>40</v>
      </c>
      <c r="J83" s="2"/>
      <c r="K83" s="36"/>
      <c r="L83" s="1"/>
      <c r="M83" s="9" t="s">
        <v>11</v>
      </c>
      <c r="N83" s="4"/>
      <c r="O83" s="3"/>
    </row>
    <row r="84" spans="1:15" x14ac:dyDescent="0.35">
      <c r="A84" s="11">
        <v>84</v>
      </c>
      <c r="B84" s="5" t="s">
        <v>172</v>
      </c>
      <c r="C84" s="10"/>
      <c r="D84" s="36">
        <v>3800</v>
      </c>
      <c r="E84" s="34">
        <v>3800</v>
      </c>
      <c r="F84" s="6">
        <f t="shared" si="2"/>
        <v>0</v>
      </c>
      <c r="G84" s="1">
        <v>45868</v>
      </c>
      <c r="H84" s="7" t="s">
        <v>4</v>
      </c>
      <c r="I84" s="48" t="s">
        <v>200</v>
      </c>
      <c r="J84" s="2" t="s">
        <v>14</v>
      </c>
      <c r="K84" s="36"/>
      <c r="L84" s="1">
        <v>45868</v>
      </c>
      <c r="M84" s="9" t="s">
        <v>58</v>
      </c>
      <c r="N84" s="4"/>
      <c r="O84" s="3"/>
    </row>
    <row r="85" spans="1:15" x14ac:dyDescent="0.35">
      <c r="A85" s="11">
        <v>85</v>
      </c>
      <c r="B85" s="5" t="s">
        <v>59</v>
      </c>
      <c r="C85" s="10"/>
      <c r="D85" s="36">
        <v>193390</v>
      </c>
      <c r="E85" s="34">
        <f>178240+15150</f>
        <v>193390</v>
      </c>
      <c r="F85" s="6">
        <f t="shared" si="2"/>
        <v>0</v>
      </c>
      <c r="G85" s="1" t="s">
        <v>173</v>
      </c>
      <c r="H85" s="7" t="s">
        <v>4</v>
      </c>
      <c r="I85" s="48" t="s">
        <v>60</v>
      </c>
      <c r="J85" s="2" t="s">
        <v>14</v>
      </c>
      <c r="K85" s="36"/>
      <c r="L85" s="1">
        <v>45870</v>
      </c>
      <c r="M85" s="9" t="s">
        <v>11</v>
      </c>
      <c r="N85" s="4"/>
      <c r="O85" s="3"/>
    </row>
    <row r="86" spans="1:15" ht="17.25" customHeight="1" x14ac:dyDescent="0.35">
      <c r="A86" s="11">
        <v>86</v>
      </c>
      <c r="B86" s="5" t="s">
        <v>170</v>
      </c>
      <c r="C86" s="10"/>
      <c r="D86" s="36">
        <f>2640+3990</f>
        <v>6630</v>
      </c>
      <c r="E86" s="34">
        <v>6630</v>
      </c>
      <c r="F86" s="6">
        <f t="shared" si="2"/>
        <v>0</v>
      </c>
      <c r="G86" s="7">
        <v>45846</v>
      </c>
      <c r="H86" s="7" t="s">
        <v>4</v>
      </c>
      <c r="I86" s="5" t="s">
        <v>171</v>
      </c>
      <c r="J86" s="2" t="s">
        <v>14</v>
      </c>
      <c r="K86" s="36"/>
      <c r="L86" s="1">
        <v>45846</v>
      </c>
      <c r="M86" s="9" t="s">
        <v>22</v>
      </c>
      <c r="N86" s="4"/>
      <c r="O86" s="3"/>
    </row>
    <row r="87" spans="1:15" x14ac:dyDescent="0.35">
      <c r="A87" s="11">
        <v>87</v>
      </c>
      <c r="B87" s="5" t="s">
        <v>7</v>
      </c>
      <c r="C87" s="10"/>
      <c r="D87" s="36">
        <f>50050+8150</f>
        <v>58200</v>
      </c>
      <c r="E87" s="34">
        <v>58200</v>
      </c>
      <c r="F87" s="6">
        <f t="shared" si="2"/>
        <v>0</v>
      </c>
      <c r="G87" s="7">
        <v>45850</v>
      </c>
      <c r="H87" s="7" t="s">
        <v>4</v>
      </c>
      <c r="I87" s="48" t="s">
        <v>7</v>
      </c>
      <c r="J87" s="2" t="s">
        <v>14</v>
      </c>
      <c r="K87" s="36"/>
      <c r="L87" s="1">
        <v>45850</v>
      </c>
      <c r="M87" s="9" t="s">
        <v>22</v>
      </c>
      <c r="N87" s="4"/>
      <c r="O87" s="3"/>
    </row>
    <row r="88" spans="1:15" ht="15.65" customHeight="1" x14ac:dyDescent="0.35">
      <c r="A88" s="11">
        <v>88</v>
      </c>
      <c r="B88" s="5" t="s">
        <v>59</v>
      </c>
      <c r="C88" s="10" t="s">
        <v>174</v>
      </c>
      <c r="D88" s="36">
        <v>40200</v>
      </c>
      <c r="E88" s="34">
        <v>40200</v>
      </c>
      <c r="F88" s="6">
        <f t="shared" si="2"/>
        <v>0</v>
      </c>
      <c r="G88" s="1">
        <v>45873</v>
      </c>
      <c r="H88" s="7" t="s">
        <v>4</v>
      </c>
      <c r="I88" s="48" t="s">
        <v>60</v>
      </c>
      <c r="J88" s="2" t="s">
        <v>14</v>
      </c>
      <c r="K88" s="36"/>
      <c r="L88" s="1">
        <v>45873</v>
      </c>
      <c r="M88" s="9" t="s">
        <v>11</v>
      </c>
      <c r="N88" s="4"/>
      <c r="O88" s="3"/>
    </row>
    <row r="89" spans="1:15" x14ac:dyDescent="0.35">
      <c r="A89" s="11">
        <v>89</v>
      </c>
      <c r="B89" s="5" t="s">
        <v>41</v>
      </c>
      <c r="C89" s="10" t="s">
        <v>180</v>
      </c>
      <c r="D89" s="36">
        <v>741090</v>
      </c>
      <c r="E89" s="34">
        <v>741090</v>
      </c>
      <c r="F89" s="6">
        <f t="shared" si="2"/>
        <v>0</v>
      </c>
      <c r="G89" s="1"/>
      <c r="H89" s="7" t="s">
        <v>5</v>
      </c>
      <c r="I89" s="48" t="s">
        <v>96</v>
      </c>
      <c r="J89" s="2" t="s">
        <v>14</v>
      </c>
      <c r="K89" s="55">
        <v>38</v>
      </c>
      <c r="L89" s="1">
        <v>45877</v>
      </c>
      <c r="M89" s="9" t="s">
        <v>181</v>
      </c>
      <c r="N89" s="4"/>
      <c r="O89" s="3"/>
    </row>
    <row r="90" spans="1:15" x14ac:dyDescent="0.35">
      <c r="A90" s="11">
        <v>90</v>
      </c>
      <c r="B90" s="5" t="s">
        <v>111</v>
      </c>
      <c r="C90" s="10" t="s">
        <v>176</v>
      </c>
      <c r="D90" s="36">
        <v>3800</v>
      </c>
      <c r="E90" s="34">
        <v>3800</v>
      </c>
      <c r="F90" s="6">
        <f t="shared" si="2"/>
        <v>0</v>
      </c>
      <c r="G90" s="1"/>
      <c r="H90" s="7" t="s">
        <v>261</v>
      </c>
      <c r="I90" s="48"/>
      <c r="J90" s="2" t="s">
        <v>14</v>
      </c>
      <c r="K90" s="36"/>
      <c r="L90" s="1">
        <v>45876</v>
      </c>
      <c r="M90" s="9" t="s">
        <v>119</v>
      </c>
      <c r="N90" s="4"/>
      <c r="O90" s="3"/>
    </row>
    <row r="91" spans="1:15" ht="25" x14ac:dyDescent="0.35">
      <c r="A91" s="11">
        <v>91</v>
      </c>
      <c r="B91" s="5" t="s">
        <v>85</v>
      </c>
      <c r="C91" s="10" t="s">
        <v>178</v>
      </c>
      <c r="D91" s="36">
        <v>23040</v>
      </c>
      <c r="E91" s="34">
        <f>21260+1780</f>
        <v>23040</v>
      </c>
      <c r="F91" s="6">
        <f t="shared" si="2"/>
        <v>0</v>
      </c>
      <c r="G91" s="7" t="s">
        <v>185</v>
      </c>
      <c r="H91" s="7" t="s">
        <v>4</v>
      </c>
      <c r="I91" s="48" t="s">
        <v>86</v>
      </c>
      <c r="J91" s="2" t="s">
        <v>14</v>
      </c>
      <c r="K91" s="36"/>
      <c r="L91" s="1">
        <v>45880</v>
      </c>
      <c r="M91" s="9" t="s">
        <v>186</v>
      </c>
      <c r="N91" s="4"/>
      <c r="O91" s="3"/>
    </row>
    <row r="92" spans="1:15" x14ac:dyDescent="0.35">
      <c r="A92" s="11">
        <v>92</v>
      </c>
      <c r="B92" s="5" t="s">
        <v>40</v>
      </c>
      <c r="C92" s="10"/>
      <c r="D92" s="36">
        <v>2590</v>
      </c>
      <c r="E92" s="34">
        <v>2590</v>
      </c>
      <c r="F92" s="6">
        <f t="shared" si="2"/>
        <v>0</v>
      </c>
      <c r="G92" s="7">
        <v>45881</v>
      </c>
      <c r="H92" s="7" t="s">
        <v>4</v>
      </c>
      <c r="I92" s="48" t="s">
        <v>40</v>
      </c>
      <c r="J92" s="2" t="s">
        <v>14</v>
      </c>
      <c r="K92" s="36"/>
      <c r="L92" s="1">
        <v>45881</v>
      </c>
      <c r="M92" s="9" t="s">
        <v>11</v>
      </c>
      <c r="N92" s="4"/>
      <c r="O92" s="3"/>
    </row>
    <row r="93" spans="1:15" ht="30.75" customHeight="1" x14ac:dyDescent="0.35">
      <c r="A93" s="11">
        <v>93</v>
      </c>
      <c r="B93" s="5" t="s">
        <v>188</v>
      </c>
      <c r="C93" s="10" t="s">
        <v>189</v>
      </c>
      <c r="D93" s="36">
        <f>30600+34920</f>
        <v>65520</v>
      </c>
      <c r="E93" s="34">
        <f>30600+34920</f>
        <v>65520</v>
      </c>
      <c r="F93" s="6">
        <f t="shared" si="2"/>
        <v>0</v>
      </c>
      <c r="G93" s="7" t="s">
        <v>213</v>
      </c>
      <c r="H93" s="7" t="s">
        <v>4</v>
      </c>
      <c r="I93" s="48" t="s">
        <v>190</v>
      </c>
      <c r="J93" s="2" t="s">
        <v>14</v>
      </c>
      <c r="K93" s="36"/>
      <c r="L93" s="1">
        <v>45884</v>
      </c>
      <c r="M93" s="9" t="s">
        <v>58</v>
      </c>
      <c r="N93" s="4"/>
      <c r="O93" s="3"/>
    </row>
    <row r="94" spans="1:15" ht="25" x14ac:dyDescent="0.35">
      <c r="A94" s="11">
        <v>94</v>
      </c>
      <c r="B94" s="5" t="s">
        <v>191</v>
      </c>
      <c r="C94" s="10" t="s">
        <v>192</v>
      </c>
      <c r="D94" s="36">
        <v>2880</v>
      </c>
      <c r="E94" s="34">
        <v>2880</v>
      </c>
      <c r="F94" s="6">
        <f t="shared" si="2"/>
        <v>0</v>
      </c>
      <c r="G94" s="7">
        <v>45884</v>
      </c>
      <c r="H94" s="7" t="s">
        <v>4</v>
      </c>
      <c r="I94" s="48" t="s">
        <v>147</v>
      </c>
      <c r="J94" s="2" t="s">
        <v>14</v>
      </c>
      <c r="K94" s="36"/>
      <c r="L94" s="1">
        <v>45884</v>
      </c>
      <c r="M94" s="9" t="s">
        <v>11</v>
      </c>
      <c r="N94" s="4"/>
      <c r="O94" s="3"/>
    </row>
    <row r="95" spans="1:15" ht="25" x14ac:dyDescent="0.35">
      <c r="A95" s="11">
        <v>95</v>
      </c>
      <c r="B95" s="5" t="s">
        <v>193</v>
      </c>
      <c r="C95" s="10"/>
      <c r="D95" s="36">
        <v>264413</v>
      </c>
      <c r="E95" s="34">
        <v>264413</v>
      </c>
      <c r="F95" s="6">
        <f t="shared" si="2"/>
        <v>0</v>
      </c>
      <c r="G95" s="7">
        <v>45887</v>
      </c>
      <c r="H95" s="7" t="s">
        <v>5</v>
      </c>
      <c r="I95" s="48" t="s">
        <v>195</v>
      </c>
      <c r="J95" s="2" t="s">
        <v>14</v>
      </c>
      <c r="K95" s="55">
        <v>40</v>
      </c>
      <c r="L95" s="1">
        <v>45887</v>
      </c>
      <c r="M95" s="9" t="s">
        <v>194</v>
      </c>
      <c r="N95" s="4"/>
      <c r="O95" s="3"/>
    </row>
    <row r="96" spans="1:15" x14ac:dyDescent="0.35">
      <c r="A96" s="11">
        <v>96</v>
      </c>
      <c r="B96" s="5" t="s">
        <v>198</v>
      </c>
      <c r="C96" s="10"/>
      <c r="D96" s="36">
        <v>38540</v>
      </c>
      <c r="E96" s="34">
        <v>38540</v>
      </c>
      <c r="F96" s="6">
        <f t="shared" si="2"/>
        <v>0</v>
      </c>
      <c r="G96" s="7">
        <v>45884</v>
      </c>
      <c r="H96" s="7" t="s">
        <v>4</v>
      </c>
      <c r="I96" s="48" t="s">
        <v>199</v>
      </c>
      <c r="J96" s="2" t="s">
        <v>14</v>
      </c>
      <c r="K96" s="36"/>
      <c r="L96" s="1">
        <v>45884</v>
      </c>
      <c r="M96" s="9" t="s">
        <v>11</v>
      </c>
      <c r="N96" s="4"/>
      <c r="O96" s="3"/>
    </row>
    <row r="97" spans="1:15" ht="25" x14ac:dyDescent="0.35">
      <c r="A97" s="11">
        <v>97</v>
      </c>
      <c r="B97" s="5" t="s">
        <v>193</v>
      </c>
      <c r="C97" s="10"/>
      <c r="D97" s="36">
        <v>316054</v>
      </c>
      <c r="E97" s="34">
        <f>170640+145414</f>
        <v>316054</v>
      </c>
      <c r="F97" s="6">
        <f t="shared" si="2"/>
        <v>0</v>
      </c>
      <c r="G97" s="7" t="s">
        <v>211</v>
      </c>
      <c r="H97" s="7" t="s">
        <v>5</v>
      </c>
      <c r="I97" s="48" t="s">
        <v>195</v>
      </c>
      <c r="J97" s="2" t="s">
        <v>14</v>
      </c>
      <c r="K97" s="55">
        <v>48</v>
      </c>
      <c r="L97" s="1">
        <v>45903</v>
      </c>
      <c r="M97" s="9" t="s">
        <v>196</v>
      </c>
      <c r="N97" s="4"/>
      <c r="O97" s="3"/>
    </row>
    <row r="98" spans="1:15" x14ac:dyDescent="0.35">
      <c r="A98" s="11">
        <v>98</v>
      </c>
      <c r="B98" s="5" t="s">
        <v>40</v>
      </c>
      <c r="C98" s="10"/>
      <c r="D98" s="36">
        <v>2220</v>
      </c>
      <c r="E98" s="34">
        <v>2220</v>
      </c>
      <c r="F98" s="6">
        <f t="shared" ref="F98:F138" si="3">D98-E98+N98+O98</f>
        <v>0</v>
      </c>
      <c r="G98" s="7">
        <v>45888</v>
      </c>
      <c r="H98" s="7" t="s">
        <v>4</v>
      </c>
      <c r="I98" s="48" t="s">
        <v>40</v>
      </c>
      <c r="J98" s="2" t="s">
        <v>14</v>
      </c>
      <c r="K98" s="36"/>
      <c r="L98" s="1">
        <v>45890</v>
      </c>
      <c r="M98" s="9" t="s">
        <v>11</v>
      </c>
      <c r="N98" s="4"/>
      <c r="O98" s="3"/>
    </row>
    <row r="99" spans="1:15" ht="27.65" customHeight="1" x14ac:dyDescent="0.35">
      <c r="A99" s="11">
        <v>99</v>
      </c>
      <c r="B99" s="5" t="s">
        <v>59</v>
      </c>
      <c r="C99" s="10"/>
      <c r="D99" s="36">
        <v>111100</v>
      </c>
      <c r="E99" s="34">
        <f>65500+31600+14000</f>
        <v>111100</v>
      </c>
      <c r="F99" s="6">
        <f t="shared" si="3"/>
        <v>0</v>
      </c>
      <c r="G99" s="7" t="s">
        <v>204</v>
      </c>
      <c r="H99" s="7" t="s">
        <v>4</v>
      </c>
      <c r="I99" s="48" t="s">
        <v>60</v>
      </c>
      <c r="J99" s="2" t="s">
        <v>14</v>
      </c>
      <c r="K99" s="36"/>
      <c r="L99" s="1">
        <v>45894</v>
      </c>
      <c r="M99" s="9" t="s">
        <v>11</v>
      </c>
      <c r="N99" s="4"/>
      <c r="O99" s="3"/>
    </row>
    <row r="100" spans="1:15" x14ac:dyDescent="0.35">
      <c r="A100" s="11">
        <v>100</v>
      </c>
      <c r="B100" s="5" t="s">
        <v>49</v>
      </c>
      <c r="C100" s="10"/>
      <c r="D100" s="36">
        <v>26400</v>
      </c>
      <c r="E100" s="34">
        <v>26400</v>
      </c>
      <c r="F100" s="6">
        <f t="shared" si="3"/>
        <v>0</v>
      </c>
      <c r="G100" s="7"/>
      <c r="H100" s="7" t="s">
        <v>4</v>
      </c>
      <c r="I100" s="48" t="s">
        <v>197</v>
      </c>
      <c r="J100" s="2" t="s">
        <v>14</v>
      </c>
      <c r="K100" s="36"/>
      <c r="L100" s="1">
        <v>45894</v>
      </c>
      <c r="M100" s="9" t="s">
        <v>58</v>
      </c>
      <c r="N100" s="4"/>
      <c r="O100" s="3"/>
    </row>
    <row r="101" spans="1:15" ht="28.5" customHeight="1" x14ac:dyDescent="0.35">
      <c r="A101" s="11">
        <v>102</v>
      </c>
      <c r="B101" s="5" t="s">
        <v>45</v>
      </c>
      <c r="C101" s="10"/>
      <c r="D101" s="36">
        <f>87467+13608</f>
        <v>101075</v>
      </c>
      <c r="E101" s="34">
        <f>87467+13608</f>
        <v>101075</v>
      </c>
      <c r="F101" s="6">
        <f t="shared" si="3"/>
        <v>0</v>
      </c>
      <c r="G101" s="7" t="s">
        <v>206</v>
      </c>
      <c r="H101" s="7" t="s">
        <v>5</v>
      </c>
      <c r="I101" s="48" t="s">
        <v>44</v>
      </c>
      <c r="J101" s="2" t="s">
        <v>14</v>
      </c>
      <c r="K101" s="55">
        <v>47</v>
      </c>
      <c r="L101" s="1">
        <v>45902</v>
      </c>
      <c r="M101" s="9" t="s">
        <v>205</v>
      </c>
      <c r="N101" s="4"/>
      <c r="O101" s="3"/>
    </row>
    <row r="102" spans="1:15" x14ac:dyDescent="0.35">
      <c r="A102" s="11" t="s">
        <v>201</v>
      </c>
      <c r="B102" s="5" t="s">
        <v>203</v>
      </c>
      <c r="C102" s="10" t="s">
        <v>202</v>
      </c>
      <c r="D102" s="36">
        <v>28000</v>
      </c>
      <c r="E102" s="34">
        <v>28000</v>
      </c>
      <c r="F102" s="6">
        <f t="shared" si="3"/>
        <v>0</v>
      </c>
      <c r="G102" s="7">
        <v>45898</v>
      </c>
      <c r="H102" s="7" t="s">
        <v>4</v>
      </c>
      <c r="I102" s="48" t="s">
        <v>84</v>
      </c>
      <c r="J102" s="2" t="s">
        <v>14</v>
      </c>
      <c r="K102" s="2"/>
      <c r="L102" s="1">
        <v>45901</v>
      </c>
      <c r="M102" s="9" t="s">
        <v>11</v>
      </c>
      <c r="N102" s="4"/>
      <c r="O102" s="3"/>
    </row>
    <row r="103" spans="1:15" x14ac:dyDescent="0.35">
      <c r="A103" s="11">
        <v>103</v>
      </c>
      <c r="B103" s="5" t="s">
        <v>220</v>
      </c>
      <c r="C103" s="10"/>
      <c r="D103" s="36">
        <v>34990</v>
      </c>
      <c r="E103" s="34">
        <v>34990</v>
      </c>
      <c r="F103" s="6">
        <f t="shared" si="3"/>
        <v>0</v>
      </c>
      <c r="G103" s="7">
        <v>45904</v>
      </c>
      <c r="H103" s="7" t="s">
        <v>4</v>
      </c>
      <c r="I103" s="48" t="s">
        <v>214</v>
      </c>
      <c r="J103" s="2" t="s">
        <v>14</v>
      </c>
      <c r="K103" s="36"/>
      <c r="L103" s="1">
        <v>45905</v>
      </c>
      <c r="M103" s="9" t="s">
        <v>11</v>
      </c>
      <c r="N103" s="4"/>
      <c r="O103" s="3"/>
    </row>
    <row r="104" spans="1:15" x14ac:dyDescent="0.35">
      <c r="A104" s="11">
        <v>104</v>
      </c>
      <c r="B104" s="5" t="s">
        <v>26</v>
      </c>
      <c r="C104" s="10"/>
      <c r="D104" s="36">
        <v>66440</v>
      </c>
      <c r="E104" s="34">
        <v>66440</v>
      </c>
      <c r="F104" s="6">
        <f t="shared" si="3"/>
        <v>0</v>
      </c>
      <c r="G104" s="7">
        <v>45911</v>
      </c>
      <c r="H104" s="7" t="s">
        <v>4</v>
      </c>
      <c r="I104" s="48" t="s">
        <v>224</v>
      </c>
      <c r="J104" s="2" t="s">
        <v>14</v>
      </c>
      <c r="K104" s="36"/>
      <c r="L104" s="1">
        <v>45911</v>
      </c>
      <c r="M104" s="9" t="s">
        <v>58</v>
      </c>
      <c r="N104" s="4"/>
      <c r="O104" s="3"/>
    </row>
    <row r="105" spans="1:15" x14ac:dyDescent="0.35">
      <c r="A105" s="11">
        <v>105</v>
      </c>
      <c r="B105" s="5" t="s">
        <v>85</v>
      </c>
      <c r="C105" s="10" t="s">
        <v>223</v>
      </c>
      <c r="D105" s="36">
        <v>82800</v>
      </c>
      <c r="E105" s="34">
        <v>82800</v>
      </c>
      <c r="F105" s="6">
        <f t="shared" ref="F105:F114" si="4">D105-E105+N105+O105</f>
        <v>0</v>
      </c>
      <c r="G105" s="7">
        <v>45910</v>
      </c>
      <c r="H105" s="7" t="s">
        <v>4</v>
      </c>
      <c r="I105" s="48" t="s">
        <v>86</v>
      </c>
      <c r="J105" s="2" t="s">
        <v>14</v>
      </c>
      <c r="K105" s="36"/>
      <c r="L105" s="1">
        <v>45910</v>
      </c>
      <c r="M105" s="9" t="s">
        <v>11</v>
      </c>
      <c r="N105" s="4"/>
      <c r="O105" s="3"/>
    </row>
    <row r="106" spans="1:15" x14ac:dyDescent="0.35">
      <c r="A106" s="11">
        <v>106</v>
      </c>
      <c r="B106" s="5" t="s">
        <v>215</v>
      </c>
      <c r="C106" s="10"/>
      <c r="D106" s="36">
        <v>20160</v>
      </c>
      <c r="E106" s="34">
        <v>20160</v>
      </c>
      <c r="F106" s="6">
        <f t="shared" si="4"/>
        <v>0</v>
      </c>
      <c r="G106" s="7"/>
      <c r="H106" s="7" t="s">
        <v>4</v>
      </c>
      <c r="I106" s="48" t="s">
        <v>216</v>
      </c>
      <c r="J106" s="2" t="s">
        <v>14</v>
      </c>
      <c r="K106" s="36"/>
      <c r="L106" s="1">
        <v>45905</v>
      </c>
      <c r="M106" s="9" t="s">
        <v>58</v>
      </c>
      <c r="N106" s="4"/>
      <c r="O106" s="3"/>
    </row>
    <row r="107" spans="1:15" x14ac:dyDescent="0.35">
      <c r="A107" s="11">
        <v>107</v>
      </c>
      <c r="B107" s="5" t="s">
        <v>218</v>
      </c>
      <c r="C107" s="10"/>
      <c r="D107" s="36">
        <v>36480</v>
      </c>
      <c r="E107" s="34">
        <v>36480</v>
      </c>
      <c r="F107" s="6">
        <f t="shared" si="4"/>
        <v>0</v>
      </c>
      <c r="G107" s="7">
        <v>45909</v>
      </c>
      <c r="H107" s="7" t="s">
        <v>4</v>
      </c>
      <c r="I107" s="48" t="s">
        <v>217</v>
      </c>
      <c r="J107" s="2" t="s">
        <v>14</v>
      </c>
      <c r="K107" s="36"/>
      <c r="L107" s="1">
        <v>45910</v>
      </c>
      <c r="M107" s="9" t="s">
        <v>11</v>
      </c>
      <c r="N107" s="4"/>
      <c r="O107" s="3"/>
    </row>
    <row r="108" spans="1:15" x14ac:dyDescent="0.35">
      <c r="A108" s="11">
        <v>108</v>
      </c>
      <c r="B108" s="5" t="s">
        <v>219</v>
      </c>
      <c r="C108" s="10" t="s">
        <v>107</v>
      </c>
      <c r="D108" s="36">
        <v>2500</v>
      </c>
      <c r="E108" s="34">
        <v>2500</v>
      </c>
      <c r="F108" s="6">
        <f t="shared" si="4"/>
        <v>0</v>
      </c>
      <c r="G108" s="7"/>
      <c r="H108" s="7" t="s">
        <v>4</v>
      </c>
      <c r="I108" s="48"/>
      <c r="J108" s="2" t="s">
        <v>14</v>
      </c>
      <c r="K108" s="36"/>
      <c r="L108" s="1">
        <v>45916</v>
      </c>
      <c r="M108" s="9" t="s">
        <v>58</v>
      </c>
      <c r="N108" s="4"/>
      <c r="O108" s="3"/>
    </row>
    <row r="109" spans="1:15" x14ac:dyDescent="0.35">
      <c r="A109" s="11">
        <v>109</v>
      </c>
      <c r="B109" s="5" t="s">
        <v>85</v>
      </c>
      <c r="C109" s="10"/>
      <c r="D109" s="36">
        <v>167900</v>
      </c>
      <c r="E109" s="34">
        <v>167900</v>
      </c>
      <c r="F109" s="6">
        <f t="shared" si="4"/>
        <v>0</v>
      </c>
      <c r="G109" s="7">
        <v>45946</v>
      </c>
      <c r="H109" s="7" t="s">
        <v>4</v>
      </c>
      <c r="I109" s="48" t="s">
        <v>86</v>
      </c>
      <c r="J109" s="2" t="s">
        <v>14</v>
      </c>
      <c r="K109" s="36"/>
      <c r="L109" s="1">
        <v>45945</v>
      </c>
      <c r="M109" s="9" t="s">
        <v>11</v>
      </c>
      <c r="N109" s="4"/>
      <c r="O109" s="3"/>
    </row>
    <row r="110" spans="1:15" x14ac:dyDescent="0.35">
      <c r="A110" s="11">
        <v>110</v>
      </c>
      <c r="B110" s="5" t="s">
        <v>20</v>
      </c>
      <c r="C110" s="10" t="s">
        <v>37</v>
      </c>
      <c r="D110" s="36">
        <v>76200</v>
      </c>
      <c r="E110" s="34">
        <v>76200</v>
      </c>
      <c r="F110" s="6">
        <f t="shared" si="4"/>
        <v>0</v>
      </c>
      <c r="G110" s="7"/>
      <c r="H110" s="7"/>
      <c r="I110" s="48" t="s">
        <v>2</v>
      </c>
      <c r="J110" s="2" t="s">
        <v>14</v>
      </c>
      <c r="K110" s="36"/>
      <c r="L110" s="1">
        <v>45915</v>
      </c>
      <c r="M110" s="9"/>
      <c r="N110" s="4"/>
      <c r="O110" s="3"/>
    </row>
    <row r="111" spans="1:15" x14ac:dyDescent="0.35">
      <c r="A111" s="11">
        <v>111</v>
      </c>
      <c r="B111" s="5" t="s">
        <v>7</v>
      </c>
      <c r="C111" s="10" t="s">
        <v>225</v>
      </c>
      <c r="D111" s="36">
        <v>15000</v>
      </c>
      <c r="E111" s="34"/>
      <c r="F111" s="6">
        <f t="shared" si="4"/>
        <v>15000</v>
      </c>
      <c r="G111" s="7"/>
      <c r="H111" s="7"/>
      <c r="I111" s="48"/>
      <c r="J111" s="2"/>
      <c r="K111" s="36"/>
      <c r="L111" s="1"/>
      <c r="M111" s="9"/>
      <c r="N111" s="4"/>
      <c r="O111" s="3"/>
    </row>
    <row r="112" spans="1:15" x14ac:dyDescent="0.35">
      <c r="A112" s="11">
        <v>112</v>
      </c>
      <c r="B112" s="5" t="s">
        <v>20</v>
      </c>
      <c r="C112" s="10" t="s">
        <v>226</v>
      </c>
      <c r="D112" s="36">
        <v>11600</v>
      </c>
      <c r="E112" s="34">
        <v>11600</v>
      </c>
      <c r="F112" s="6">
        <f t="shared" si="4"/>
        <v>0</v>
      </c>
      <c r="G112" s="7"/>
      <c r="H112" s="7" t="s">
        <v>5</v>
      </c>
      <c r="I112" s="48"/>
      <c r="J112" s="2" t="s">
        <v>14</v>
      </c>
      <c r="K112" s="36" t="s">
        <v>262</v>
      </c>
      <c r="L112" s="1">
        <v>45915</v>
      </c>
      <c r="M112" s="9"/>
      <c r="N112" s="4"/>
      <c r="O112" s="3"/>
    </row>
    <row r="113" spans="1:15" x14ac:dyDescent="0.35">
      <c r="A113" s="11">
        <v>113</v>
      </c>
      <c r="B113" s="5" t="s">
        <v>34</v>
      </c>
      <c r="C113" s="10"/>
      <c r="D113" s="36">
        <v>11400</v>
      </c>
      <c r="E113" s="34">
        <v>11400</v>
      </c>
      <c r="F113" s="6">
        <f t="shared" si="4"/>
        <v>0</v>
      </c>
      <c r="G113" s="7">
        <v>45916</v>
      </c>
      <c r="H113" s="7" t="s">
        <v>4</v>
      </c>
      <c r="I113" s="48" t="s">
        <v>227</v>
      </c>
      <c r="J113" s="2" t="s">
        <v>14</v>
      </c>
      <c r="K113" s="36"/>
      <c r="L113" s="1">
        <v>45916</v>
      </c>
      <c r="M113" s="9" t="s">
        <v>58</v>
      </c>
      <c r="N113" s="4"/>
      <c r="O113" s="3"/>
    </row>
    <row r="114" spans="1:15" ht="25" x14ac:dyDescent="0.35">
      <c r="A114" s="11">
        <v>114</v>
      </c>
      <c r="B114" s="5" t="s">
        <v>228</v>
      </c>
      <c r="C114" s="10"/>
      <c r="D114" s="36">
        <v>60250</v>
      </c>
      <c r="E114" s="34">
        <v>60250</v>
      </c>
      <c r="F114" s="6">
        <f t="shared" si="4"/>
        <v>0</v>
      </c>
      <c r="G114" s="7">
        <v>45922</v>
      </c>
      <c r="H114" s="7" t="s">
        <v>5</v>
      </c>
      <c r="I114" s="5" t="s">
        <v>230</v>
      </c>
      <c r="J114" s="2"/>
      <c r="K114" s="55"/>
      <c r="L114" s="1">
        <v>45943</v>
      </c>
      <c r="M114" s="9" t="s">
        <v>229</v>
      </c>
      <c r="N114" s="4"/>
      <c r="O114" s="3"/>
    </row>
    <row r="115" spans="1:15" x14ac:dyDescent="0.35">
      <c r="A115" s="11">
        <v>115</v>
      </c>
      <c r="B115" s="5" t="s">
        <v>20</v>
      </c>
      <c r="C115" s="10" t="s">
        <v>37</v>
      </c>
      <c r="D115" s="36">
        <v>114410</v>
      </c>
      <c r="E115" s="34">
        <v>114410</v>
      </c>
      <c r="F115" s="6">
        <f t="shared" si="3"/>
        <v>0</v>
      </c>
      <c r="G115" s="7"/>
      <c r="H115" s="7"/>
      <c r="I115" s="48"/>
      <c r="J115" s="2" t="s">
        <v>14</v>
      </c>
      <c r="K115" s="36"/>
      <c r="L115" s="1">
        <v>45920</v>
      </c>
      <c r="M115" s="9"/>
      <c r="N115" s="4"/>
      <c r="O115" s="3"/>
    </row>
    <row r="116" spans="1:15" ht="25" x14ac:dyDescent="0.35">
      <c r="A116" s="11">
        <v>116</v>
      </c>
      <c r="B116" s="5" t="s">
        <v>233</v>
      </c>
      <c r="C116" s="10"/>
      <c r="D116" s="36">
        <v>187670</v>
      </c>
      <c r="E116" s="34">
        <v>187670</v>
      </c>
      <c r="F116" s="6">
        <f t="shared" si="3"/>
        <v>0</v>
      </c>
      <c r="G116" s="7">
        <v>45923</v>
      </c>
      <c r="H116" s="7" t="s">
        <v>5</v>
      </c>
      <c r="I116" s="48" t="s">
        <v>232</v>
      </c>
      <c r="J116" s="2" t="s">
        <v>14</v>
      </c>
      <c r="K116" s="55">
        <v>51</v>
      </c>
      <c r="L116" s="1">
        <v>45923</v>
      </c>
      <c r="M116" s="9" t="s">
        <v>231</v>
      </c>
      <c r="N116" s="4"/>
      <c r="O116" s="3"/>
    </row>
    <row r="117" spans="1:15" ht="15.65" customHeight="1" x14ac:dyDescent="0.35">
      <c r="A117" s="11">
        <v>117</v>
      </c>
      <c r="B117" s="5" t="s">
        <v>59</v>
      </c>
      <c r="C117" s="10" t="s">
        <v>234</v>
      </c>
      <c r="D117" s="36">
        <v>54000</v>
      </c>
      <c r="E117" s="34">
        <f>45000+9000</f>
        <v>54000</v>
      </c>
      <c r="F117" s="6">
        <f t="shared" si="3"/>
        <v>0</v>
      </c>
      <c r="G117" s="7" t="s">
        <v>235</v>
      </c>
      <c r="H117" s="7" t="s">
        <v>4</v>
      </c>
      <c r="I117" s="48" t="s">
        <v>60</v>
      </c>
      <c r="J117" s="2" t="s">
        <v>14</v>
      </c>
      <c r="K117" s="36"/>
      <c r="L117" s="1">
        <v>45924</v>
      </c>
      <c r="M117" s="9" t="s">
        <v>11</v>
      </c>
      <c r="N117" s="4"/>
      <c r="O117" s="3"/>
    </row>
    <row r="118" spans="1:15" x14ac:dyDescent="0.35">
      <c r="A118" s="11">
        <v>118</v>
      </c>
      <c r="B118" s="5" t="s">
        <v>20</v>
      </c>
      <c r="C118" s="10" t="s">
        <v>236</v>
      </c>
      <c r="D118" s="36">
        <v>1014680</v>
      </c>
      <c r="E118" s="34">
        <v>1014680</v>
      </c>
      <c r="F118" s="6">
        <f t="shared" si="3"/>
        <v>0</v>
      </c>
      <c r="G118" s="7"/>
      <c r="H118" s="7" t="s">
        <v>4</v>
      </c>
      <c r="I118" s="48"/>
      <c r="J118" s="2" t="s">
        <v>14</v>
      </c>
      <c r="K118" s="36"/>
      <c r="L118" s="1">
        <v>45924</v>
      </c>
      <c r="M118" s="9"/>
      <c r="N118" s="4"/>
      <c r="O118" s="3"/>
    </row>
    <row r="119" spans="1:15" x14ac:dyDescent="0.35">
      <c r="A119" s="11">
        <v>119</v>
      </c>
      <c r="B119" s="5" t="s">
        <v>222</v>
      </c>
      <c r="C119" s="10" t="s">
        <v>237</v>
      </c>
      <c r="D119" s="36">
        <v>1518390</v>
      </c>
      <c r="E119" s="34">
        <v>1595390</v>
      </c>
      <c r="F119" s="6">
        <f t="shared" si="3"/>
        <v>0</v>
      </c>
      <c r="G119" s="7"/>
      <c r="H119" s="7" t="s">
        <v>261</v>
      </c>
      <c r="I119" s="48"/>
      <c r="J119" s="2" t="s">
        <v>14</v>
      </c>
      <c r="K119" s="36"/>
      <c r="L119" s="1">
        <v>45930</v>
      </c>
      <c r="M119" s="9"/>
      <c r="N119" s="4">
        <v>77000</v>
      </c>
      <c r="O119" s="3"/>
    </row>
    <row r="120" spans="1:15" x14ac:dyDescent="0.35">
      <c r="A120" s="11">
        <v>120</v>
      </c>
      <c r="B120" s="5" t="s">
        <v>222</v>
      </c>
      <c r="C120" s="10" t="s">
        <v>237</v>
      </c>
      <c r="D120" s="36">
        <v>258400</v>
      </c>
      <c r="E120" s="34">
        <v>258400</v>
      </c>
      <c r="F120" s="6">
        <f t="shared" si="3"/>
        <v>0</v>
      </c>
      <c r="G120" s="7"/>
      <c r="H120" s="7" t="s">
        <v>261</v>
      </c>
      <c r="I120" s="48"/>
      <c r="J120" s="2" t="s">
        <v>14</v>
      </c>
      <c r="K120" s="36"/>
      <c r="L120" s="1">
        <v>45930</v>
      </c>
      <c r="M120" s="9"/>
      <c r="N120" s="4"/>
      <c r="O120" s="3"/>
    </row>
    <row r="121" spans="1:15" x14ac:dyDescent="0.35">
      <c r="A121" s="11">
        <v>121</v>
      </c>
      <c r="B121" s="5" t="s">
        <v>238</v>
      </c>
      <c r="C121" s="10"/>
      <c r="D121" s="36">
        <v>7200</v>
      </c>
      <c r="E121" s="34">
        <v>7200</v>
      </c>
      <c r="F121" s="6">
        <f t="shared" si="3"/>
        <v>0</v>
      </c>
      <c r="G121" s="7">
        <v>45927</v>
      </c>
      <c r="H121" s="7" t="s">
        <v>4</v>
      </c>
      <c r="I121" s="48" t="s">
        <v>239</v>
      </c>
      <c r="J121" s="2" t="s">
        <v>14</v>
      </c>
      <c r="K121" s="36"/>
      <c r="L121" s="1">
        <v>45927</v>
      </c>
      <c r="M121" s="9" t="s">
        <v>58</v>
      </c>
      <c r="N121" s="4"/>
      <c r="O121" s="3"/>
    </row>
    <row r="122" spans="1:15" x14ac:dyDescent="0.35">
      <c r="A122" s="11">
        <v>122</v>
      </c>
      <c r="B122" s="5" t="s">
        <v>219</v>
      </c>
      <c r="C122" s="10"/>
      <c r="D122" s="36">
        <v>3500</v>
      </c>
      <c r="E122" s="34">
        <v>3500</v>
      </c>
      <c r="F122" s="6">
        <f t="shared" si="3"/>
        <v>0</v>
      </c>
      <c r="G122" s="7">
        <v>45930</v>
      </c>
      <c r="H122" s="7" t="s">
        <v>4</v>
      </c>
      <c r="I122" s="48"/>
      <c r="J122" s="2" t="s">
        <v>14</v>
      </c>
      <c r="K122" s="36"/>
      <c r="L122" s="1">
        <v>45930</v>
      </c>
      <c r="M122" s="9" t="s">
        <v>58</v>
      </c>
      <c r="N122" s="4"/>
      <c r="O122" s="3"/>
    </row>
    <row r="123" spans="1:15" x14ac:dyDescent="0.35">
      <c r="A123" s="11">
        <v>123</v>
      </c>
      <c r="B123" s="5" t="s">
        <v>6</v>
      </c>
      <c r="C123" s="10"/>
      <c r="D123" s="36">
        <v>68540</v>
      </c>
      <c r="E123" s="34">
        <v>68540</v>
      </c>
      <c r="F123" s="6">
        <f t="shared" si="3"/>
        <v>0</v>
      </c>
      <c r="G123" s="7"/>
      <c r="H123" s="7" t="s">
        <v>261</v>
      </c>
      <c r="I123" s="48"/>
      <c r="J123" s="2" t="s">
        <v>14</v>
      </c>
      <c r="K123" s="36"/>
      <c r="L123" s="1">
        <v>45936</v>
      </c>
      <c r="M123" s="9" t="s">
        <v>119</v>
      </c>
      <c r="N123" s="4"/>
      <c r="O123" s="3"/>
    </row>
    <row r="124" spans="1:15" x14ac:dyDescent="0.35">
      <c r="A124" s="11">
        <v>124</v>
      </c>
      <c r="B124" s="5" t="s">
        <v>20</v>
      </c>
      <c r="C124" s="10" t="s">
        <v>41</v>
      </c>
      <c r="D124" s="36">
        <v>458512.51</v>
      </c>
      <c r="E124" s="34">
        <v>458513</v>
      </c>
      <c r="F124" s="6">
        <f t="shared" si="3"/>
        <v>-0.48999999999068677</v>
      </c>
      <c r="G124" s="7"/>
      <c r="H124" s="7" t="s">
        <v>5</v>
      </c>
      <c r="I124" s="48" t="s">
        <v>96</v>
      </c>
      <c r="J124" s="2" t="s">
        <v>14</v>
      </c>
      <c r="K124" s="55">
        <v>59</v>
      </c>
      <c r="L124" s="1">
        <v>45936</v>
      </c>
      <c r="M124" s="9" t="s">
        <v>251</v>
      </c>
      <c r="N124" s="4"/>
      <c r="O124" s="3"/>
    </row>
    <row r="125" spans="1:15" ht="25" x14ac:dyDescent="0.35">
      <c r="A125" s="11">
        <v>125</v>
      </c>
      <c r="B125" s="5" t="s">
        <v>240</v>
      </c>
      <c r="C125" s="10"/>
      <c r="D125" s="36">
        <v>30080</v>
      </c>
      <c r="E125" s="34">
        <v>30080</v>
      </c>
      <c r="F125" s="6">
        <f t="shared" si="3"/>
        <v>0</v>
      </c>
      <c r="G125" s="7">
        <v>45936</v>
      </c>
      <c r="H125" s="7" t="s">
        <v>5</v>
      </c>
      <c r="I125" s="5" t="s">
        <v>242</v>
      </c>
      <c r="J125" s="2" t="s">
        <v>14</v>
      </c>
      <c r="K125" s="55">
        <v>55</v>
      </c>
      <c r="L125" s="1">
        <v>45936</v>
      </c>
      <c r="M125" s="9" t="s">
        <v>241</v>
      </c>
      <c r="N125" s="4"/>
      <c r="O125" s="3"/>
    </row>
    <row r="126" spans="1:15" x14ac:dyDescent="0.35">
      <c r="A126" s="11">
        <v>126</v>
      </c>
      <c r="B126" s="5" t="s">
        <v>233</v>
      </c>
      <c r="C126" s="10"/>
      <c r="D126" s="36">
        <v>72180</v>
      </c>
      <c r="E126" s="34">
        <v>72180</v>
      </c>
      <c r="F126" s="6">
        <f t="shared" si="3"/>
        <v>0</v>
      </c>
      <c r="G126" s="7">
        <v>45937</v>
      </c>
      <c r="H126" s="7" t="s">
        <v>4</v>
      </c>
      <c r="I126" s="48" t="s">
        <v>243</v>
      </c>
      <c r="J126" s="2" t="s">
        <v>14</v>
      </c>
      <c r="K126" s="36"/>
      <c r="L126" s="1">
        <v>45938</v>
      </c>
      <c r="M126" s="9" t="s">
        <v>58</v>
      </c>
      <c r="N126" s="4"/>
      <c r="O126" s="3"/>
    </row>
    <row r="127" spans="1:15" x14ac:dyDescent="0.35">
      <c r="A127" s="11">
        <v>127</v>
      </c>
      <c r="B127" s="5" t="s">
        <v>244</v>
      </c>
      <c r="C127" s="10"/>
      <c r="D127" s="36">
        <v>4950</v>
      </c>
      <c r="E127" s="34">
        <v>4950</v>
      </c>
      <c r="F127" s="6">
        <f t="shared" si="3"/>
        <v>0</v>
      </c>
      <c r="G127" s="7">
        <v>45940</v>
      </c>
      <c r="H127" s="7" t="s">
        <v>4</v>
      </c>
      <c r="I127" s="48" t="s">
        <v>245</v>
      </c>
      <c r="J127" s="2" t="s">
        <v>14</v>
      </c>
      <c r="K127" s="36"/>
      <c r="L127" s="1">
        <v>45940</v>
      </c>
      <c r="M127" s="9" t="s">
        <v>11</v>
      </c>
      <c r="N127" s="4"/>
      <c r="O127" s="3"/>
    </row>
    <row r="128" spans="1:15" ht="25" x14ac:dyDescent="0.35">
      <c r="A128" s="11">
        <v>128</v>
      </c>
      <c r="B128" s="5" t="s">
        <v>193</v>
      </c>
      <c r="C128" s="10"/>
      <c r="D128" s="36">
        <v>18460</v>
      </c>
      <c r="E128" s="34">
        <v>18460</v>
      </c>
      <c r="F128" s="6">
        <f t="shared" si="3"/>
        <v>0</v>
      </c>
      <c r="G128" s="7">
        <v>45944</v>
      </c>
      <c r="H128" s="7" t="s">
        <v>5</v>
      </c>
      <c r="I128" s="48" t="s">
        <v>195</v>
      </c>
      <c r="J128" s="2" t="s">
        <v>14</v>
      </c>
      <c r="K128" s="55">
        <v>57</v>
      </c>
      <c r="L128" s="1">
        <v>45944</v>
      </c>
      <c r="M128" s="9" t="s">
        <v>246</v>
      </c>
      <c r="N128" s="4"/>
      <c r="O128" s="3"/>
    </row>
    <row r="129" spans="1:15" x14ac:dyDescent="0.35">
      <c r="A129" s="11">
        <v>129</v>
      </c>
      <c r="B129" s="5" t="s">
        <v>20</v>
      </c>
      <c r="C129" s="10" t="s">
        <v>247</v>
      </c>
      <c r="D129" s="36">
        <v>366960</v>
      </c>
      <c r="E129" s="34">
        <v>366960</v>
      </c>
      <c r="F129" s="6">
        <f t="shared" si="3"/>
        <v>0</v>
      </c>
      <c r="G129" s="7"/>
      <c r="H129" s="7" t="s">
        <v>4</v>
      </c>
      <c r="I129" s="48"/>
      <c r="J129" s="2" t="s">
        <v>14</v>
      </c>
      <c r="K129" s="36"/>
      <c r="L129" s="1">
        <v>45945</v>
      </c>
      <c r="M129" s="9"/>
      <c r="N129" s="4"/>
      <c r="O129" s="3"/>
    </row>
    <row r="130" spans="1:15" ht="25" x14ac:dyDescent="0.35">
      <c r="A130" s="11">
        <v>130</v>
      </c>
      <c r="B130" s="5" t="s">
        <v>233</v>
      </c>
      <c r="C130" s="10"/>
      <c r="D130" s="36">
        <v>62740</v>
      </c>
      <c r="E130" s="34">
        <v>62740</v>
      </c>
      <c r="F130" s="6">
        <f t="shared" si="3"/>
        <v>0</v>
      </c>
      <c r="G130" s="7">
        <v>45945</v>
      </c>
      <c r="H130" s="7" t="s">
        <v>5</v>
      </c>
      <c r="I130" s="48" t="s">
        <v>232</v>
      </c>
      <c r="J130" s="2" t="s">
        <v>14</v>
      </c>
      <c r="K130" s="55">
        <v>58</v>
      </c>
      <c r="L130" s="1">
        <v>45945</v>
      </c>
      <c r="M130" s="9" t="s">
        <v>248</v>
      </c>
      <c r="N130" s="4"/>
      <c r="O130" s="3"/>
    </row>
    <row r="131" spans="1:15" x14ac:dyDescent="0.35">
      <c r="A131" s="11">
        <v>131</v>
      </c>
      <c r="B131" s="5" t="s">
        <v>240</v>
      </c>
      <c r="C131" s="10"/>
      <c r="D131" s="36">
        <v>7200</v>
      </c>
      <c r="E131" s="34">
        <v>7200</v>
      </c>
      <c r="F131" s="6">
        <f t="shared" si="3"/>
        <v>0</v>
      </c>
      <c r="G131" s="7">
        <v>45951</v>
      </c>
      <c r="H131" s="7" t="s">
        <v>4</v>
      </c>
      <c r="I131" s="48" t="s">
        <v>249</v>
      </c>
      <c r="J131" s="2" t="s">
        <v>14</v>
      </c>
      <c r="K131" s="36"/>
      <c r="L131" s="1">
        <v>45951</v>
      </c>
      <c r="M131" s="9" t="s">
        <v>58</v>
      </c>
      <c r="N131" s="4"/>
      <c r="O131" s="3"/>
    </row>
    <row r="132" spans="1:15" ht="25" x14ac:dyDescent="0.35">
      <c r="A132" s="11">
        <v>132</v>
      </c>
      <c r="B132" s="5" t="s">
        <v>233</v>
      </c>
      <c r="C132" s="10"/>
      <c r="D132" s="36">
        <v>18220</v>
      </c>
      <c r="E132" s="34">
        <v>18220</v>
      </c>
      <c r="F132" s="6">
        <f t="shared" ref="F132" si="5">D132-E132+N132+O132</f>
        <v>0</v>
      </c>
      <c r="G132" s="7">
        <v>45951</v>
      </c>
      <c r="H132" s="7" t="s">
        <v>5</v>
      </c>
      <c r="I132" s="48" t="s">
        <v>232</v>
      </c>
      <c r="J132" s="2" t="s">
        <v>14</v>
      </c>
      <c r="K132" s="55">
        <v>61</v>
      </c>
      <c r="L132" s="1">
        <v>45951</v>
      </c>
      <c r="M132" s="9" t="s">
        <v>250</v>
      </c>
      <c r="N132" s="4"/>
      <c r="O132" s="3"/>
    </row>
    <row r="133" spans="1:15" x14ac:dyDescent="0.35">
      <c r="A133" s="11">
        <v>133</v>
      </c>
      <c r="B133" s="5" t="s">
        <v>3</v>
      </c>
      <c r="C133" s="10" t="s">
        <v>178</v>
      </c>
      <c r="D133" s="36">
        <v>248400</v>
      </c>
      <c r="E133" s="34">
        <v>248400</v>
      </c>
      <c r="F133" s="6">
        <f>D133-E133+N124+O133</f>
        <v>0</v>
      </c>
      <c r="G133" s="7"/>
      <c r="H133" s="7" t="s">
        <v>4</v>
      </c>
      <c r="I133" s="48"/>
      <c r="J133" s="2" t="s">
        <v>14</v>
      </c>
      <c r="K133" s="36"/>
      <c r="L133" s="1">
        <v>45953</v>
      </c>
      <c r="M133" s="9"/>
      <c r="O133" s="3"/>
    </row>
    <row r="134" spans="1:15" x14ac:dyDescent="0.35">
      <c r="A134" s="11"/>
      <c r="B134" s="5" t="s">
        <v>20</v>
      </c>
      <c r="C134" s="10" t="s">
        <v>253</v>
      </c>
      <c r="D134" s="36">
        <v>8000</v>
      </c>
      <c r="E134" s="34"/>
      <c r="F134" s="6">
        <f t="shared" ref="F134:F135" si="6">D134-E134+N134+O134</f>
        <v>8000</v>
      </c>
      <c r="G134" s="7"/>
      <c r="H134" s="7" t="s">
        <v>5</v>
      </c>
      <c r="I134" s="48" t="s">
        <v>96</v>
      </c>
      <c r="J134" s="2" t="s">
        <v>14</v>
      </c>
      <c r="K134" s="36"/>
      <c r="L134" s="1">
        <v>45959</v>
      </c>
      <c r="M134" s="9"/>
      <c r="N134" s="4"/>
      <c r="O134" s="3"/>
    </row>
    <row r="135" spans="1:15" x14ac:dyDescent="0.35">
      <c r="A135" s="11">
        <v>136</v>
      </c>
      <c r="B135" s="5" t="s">
        <v>238</v>
      </c>
      <c r="C135" s="10"/>
      <c r="D135" s="36">
        <v>28160</v>
      </c>
      <c r="E135" s="34">
        <v>28160</v>
      </c>
      <c r="F135" s="6">
        <f t="shared" si="6"/>
        <v>0</v>
      </c>
      <c r="G135" s="7"/>
      <c r="H135" s="7" t="s">
        <v>4</v>
      </c>
      <c r="I135" s="48" t="s">
        <v>256</v>
      </c>
      <c r="J135" s="2" t="s">
        <v>14</v>
      </c>
      <c r="K135" s="36"/>
      <c r="L135" s="1">
        <v>45960</v>
      </c>
      <c r="M135" s="9" t="s">
        <v>11</v>
      </c>
      <c r="N135" s="4"/>
      <c r="O135" s="3"/>
    </row>
    <row r="136" spans="1:15" ht="25" x14ac:dyDescent="0.35">
      <c r="A136" s="11">
        <v>137</v>
      </c>
      <c r="B136" s="5" t="s">
        <v>238</v>
      </c>
      <c r="C136" s="10" t="s">
        <v>109</v>
      </c>
      <c r="D136" s="36">
        <v>28000</v>
      </c>
      <c r="E136" s="34">
        <v>28000</v>
      </c>
      <c r="F136" s="6">
        <f t="shared" ref="F136:F137" si="7">D136-E136+N136+O136</f>
        <v>0</v>
      </c>
      <c r="G136" s="7">
        <v>45960</v>
      </c>
      <c r="H136" s="7" t="s">
        <v>5</v>
      </c>
      <c r="I136" s="48" t="s">
        <v>254</v>
      </c>
      <c r="J136" s="2" t="s">
        <v>14</v>
      </c>
      <c r="K136" s="55">
        <v>64</v>
      </c>
      <c r="L136" s="1">
        <v>45961</v>
      </c>
      <c r="M136" s="9" t="s">
        <v>255</v>
      </c>
      <c r="N136" s="4"/>
      <c r="O136" s="3"/>
    </row>
    <row r="137" spans="1:15" ht="28.25" customHeight="1" x14ac:dyDescent="0.35">
      <c r="A137" s="11">
        <v>137</v>
      </c>
      <c r="B137" s="5" t="s">
        <v>238</v>
      </c>
      <c r="C137" s="10" t="s">
        <v>109</v>
      </c>
      <c r="D137" s="36">
        <v>41760</v>
      </c>
      <c r="E137" s="34">
        <f>24000+17760</f>
        <v>41760</v>
      </c>
      <c r="F137" s="6">
        <f t="shared" si="7"/>
        <v>0</v>
      </c>
      <c r="G137" s="7" t="s">
        <v>258</v>
      </c>
      <c r="H137" s="7" t="s">
        <v>4</v>
      </c>
      <c r="I137" s="48"/>
      <c r="J137" s="2" t="s">
        <v>14</v>
      </c>
      <c r="K137" s="36"/>
      <c r="L137" s="1">
        <v>45961</v>
      </c>
      <c r="M137" s="9" t="s">
        <v>257</v>
      </c>
      <c r="N137" s="4"/>
      <c r="O137" s="3"/>
    </row>
    <row r="138" spans="1:15" ht="25" x14ac:dyDescent="0.35">
      <c r="A138" s="11">
        <v>138</v>
      </c>
      <c r="B138" s="5" t="s">
        <v>219</v>
      </c>
      <c r="C138" s="10" t="s">
        <v>252</v>
      </c>
      <c r="D138" s="36">
        <v>14000</v>
      </c>
      <c r="E138" s="34">
        <v>14000</v>
      </c>
      <c r="F138" s="6">
        <f t="shared" si="3"/>
        <v>0</v>
      </c>
      <c r="G138" s="7">
        <v>45972</v>
      </c>
      <c r="H138" s="7" t="s">
        <v>5</v>
      </c>
      <c r="I138" s="48" t="s">
        <v>259</v>
      </c>
      <c r="J138" s="2" t="s">
        <v>14</v>
      </c>
      <c r="K138" s="55">
        <v>67</v>
      </c>
      <c r="L138" s="1">
        <v>45974</v>
      </c>
      <c r="M138" s="9" t="s">
        <v>260</v>
      </c>
      <c r="N138" s="4"/>
      <c r="O138" s="3"/>
    </row>
    <row r="139" spans="1:15" x14ac:dyDescent="0.35">
      <c r="A139" s="19"/>
      <c r="B139" s="20"/>
      <c r="C139" s="21"/>
      <c r="D139" s="24"/>
      <c r="E139" s="24"/>
      <c r="F139" s="22"/>
      <c r="G139" s="25"/>
      <c r="H139" s="25"/>
      <c r="I139" s="25"/>
      <c r="J139" s="23"/>
      <c r="K139" s="24"/>
      <c r="L139" s="25"/>
      <c r="M139" s="26"/>
      <c r="N139" s="26"/>
      <c r="O139" s="24"/>
    </row>
    <row r="140" spans="1:15" s="46" customFormat="1" x14ac:dyDescent="0.35">
      <c r="A140" s="40"/>
      <c r="B140" s="41" t="s">
        <v>9</v>
      </c>
      <c r="C140" s="42"/>
      <c r="D140" s="24">
        <f>SUM(D2:D138)</f>
        <v>18787470.260000002</v>
      </c>
      <c r="E140" s="24">
        <f>SUM(E2:E138)</f>
        <v>19929938.75</v>
      </c>
      <c r="F140" s="22">
        <f>SUM(F2:F138)</f>
        <v>20419.510000000009</v>
      </c>
      <c r="G140" s="43"/>
      <c r="H140" s="43"/>
      <c r="I140" s="43"/>
      <c r="J140" s="44"/>
      <c r="K140" s="45"/>
      <c r="L140" s="25"/>
      <c r="M140" s="20"/>
      <c r="N140" s="22">
        <f>SUM(N2:N138)</f>
        <v>189780</v>
      </c>
      <c r="O140" s="24">
        <f>SUM(O2:O138)</f>
        <v>973108</v>
      </c>
    </row>
    <row r="141" spans="1:15" x14ac:dyDescent="0.35">
      <c r="A141" s="19"/>
      <c r="B141" s="27"/>
      <c r="C141" s="28"/>
      <c r="D141" s="35"/>
      <c r="E141" s="35"/>
      <c r="F141" s="29"/>
      <c r="G141" s="30"/>
      <c r="H141" s="30"/>
      <c r="I141" s="30"/>
      <c r="J141" s="31"/>
      <c r="K141" s="35"/>
      <c r="L141" s="32"/>
      <c r="M141" s="33"/>
      <c r="N141" s="33"/>
      <c r="O141" s="35"/>
    </row>
    <row r="142" spans="1:15" x14ac:dyDescent="0.35">
      <c r="A142" s="19"/>
      <c r="B142" s="27"/>
      <c r="C142" s="28"/>
      <c r="D142" s="35"/>
      <c r="E142" s="35"/>
      <c r="F142" s="29"/>
      <c r="G142" s="30"/>
      <c r="H142" s="30"/>
      <c r="I142" s="30"/>
      <c r="J142" s="31"/>
      <c r="K142" s="35"/>
      <c r="L142" s="32"/>
      <c r="M142" s="33"/>
      <c r="N142" s="33"/>
      <c r="O142" s="35"/>
    </row>
    <row r="143" spans="1:15" x14ac:dyDescent="0.35">
      <c r="A143" s="19"/>
      <c r="B143" s="27"/>
      <c r="C143" s="28"/>
      <c r="D143" s="35"/>
      <c r="E143" s="35"/>
      <c r="F143" s="29"/>
      <c r="G143" s="30"/>
      <c r="H143" s="30"/>
      <c r="I143" s="30"/>
      <c r="J143" s="31"/>
      <c r="K143" s="35"/>
      <c r="L143" s="32"/>
      <c r="M143" s="33"/>
      <c r="N143" s="33"/>
      <c r="O143" s="35"/>
    </row>
    <row r="144" spans="1:15" x14ac:dyDescent="0.35">
      <c r="O144" s="24"/>
    </row>
  </sheetData>
  <autoFilter ref="A1:O140" xr:uid="{00000000-0009-0000-0000-000000000000}">
    <sortState xmlns:xlrd2="http://schemas.microsoft.com/office/spreadsheetml/2017/richdata2" ref="A2:O140">
      <sortCondition ref="A1:A140"/>
    </sortState>
  </autoFilter>
  <conditionalFormatting sqref="E2:E138 D6">
    <cfRule type="cellIs" dxfId="8" priority="7" operator="greaterThanOrEqual">
      <formula>C2</formula>
    </cfRule>
  </conditionalFormatting>
  <conditionalFormatting sqref="F1:F1048576">
    <cfRule type="cellIs" dxfId="7" priority="2" operator="lessThan">
      <formula>0</formula>
    </cfRule>
  </conditionalFormatting>
  <conditionalFormatting sqref="F2:F139">
    <cfRule type="cellIs" dxfId="6" priority="3" operator="greaterThan">
      <formula>0</formula>
    </cfRule>
  </conditionalFormatting>
  <conditionalFormatting sqref="G45:G46 G48:G50 G52">
    <cfRule type="expression" dxfId="5" priority="10">
      <formula>E45="да"</formula>
    </cfRule>
  </conditionalFormatting>
  <conditionalFormatting sqref="G54:G58">
    <cfRule type="expression" dxfId="4" priority="8">
      <formula>E54="да"</formula>
    </cfRule>
  </conditionalFormatting>
  <conditionalFormatting sqref="G79:G89">
    <cfRule type="expression" dxfId="3" priority="6">
      <formula>E79="да"</formula>
    </cfRule>
  </conditionalFormatting>
  <conditionalFormatting sqref="I51">
    <cfRule type="expression" dxfId="2" priority="61">
      <formula>E51="да"</formula>
    </cfRule>
  </conditionalFormatting>
  <conditionalFormatting sqref="J1:K1048576">
    <cfRule type="cellIs" dxfId="1" priority="12" operator="equal">
      <formula>"да"</formula>
    </cfRule>
  </conditionalFormatting>
  <conditionalFormatting sqref="L2:L138 G37:G41">
    <cfRule type="expression" dxfId="0" priority="11">
      <formula>E2="да"</formula>
    </cfRule>
  </conditionalFormatting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05219</cp:lastModifiedBy>
  <cp:lastPrinted>2025-10-31T06:39:51Z</cp:lastPrinted>
  <dcterms:created xsi:type="dcterms:W3CDTF">2015-06-05T18:17:20Z</dcterms:created>
  <dcterms:modified xsi:type="dcterms:W3CDTF">2026-02-11T20:12:37Z</dcterms:modified>
</cp:coreProperties>
</file>