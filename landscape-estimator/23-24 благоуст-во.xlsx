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BA8A4F70-9097-447A-A338-885FDA3822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Лист1!$A$39:$N$468</definedName>
    <definedName name="_xlnm.Print_Area" localSheetId="0">Лист1!$A$1:$H$504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0" i="1" l="1"/>
  <c r="G173" i="1"/>
  <c r="G174" i="1"/>
  <c r="F174" i="1"/>
  <c r="G466" i="1"/>
  <c r="G467" i="1" s="1"/>
  <c r="G472" i="1"/>
  <c r="G473" i="1" s="1"/>
  <c r="G484" i="1"/>
  <c r="G485" i="1" s="1"/>
  <c r="G479" i="1"/>
  <c r="D50" i="1"/>
  <c r="D46" i="1"/>
  <c r="G180" i="1"/>
  <c r="G182" i="1"/>
  <c r="G185" i="1"/>
  <c r="G186" i="1"/>
  <c r="G187" i="1"/>
  <c r="B36" i="1"/>
  <c r="F307" i="1"/>
  <c r="F483" i="1"/>
  <c r="F485" i="1" s="1"/>
  <c r="F477" i="1"/>
  <c r="F479" i="1" s="1"/>
  <c r="F471" i="1"/>
  <c r="F473" i="1" s="1"/>
  <c r="F465" i="1"/>
  <c r="F467" i="1" s="1"/>
  <c r="E361" i="1"/>
  <c r="E362" i="1"/>
  <c r="E363" i="1"/>
  <c r="E364" i="1"/>
  <c r="E365" i="1"/>
  <c r="G474" i="1" l="1"/>
  <c r="G31" i="1" s="1"/>
  <c r="B35" i="1"/>
  <c r="B34" i="1"/>
  <c r="B33" i="1"/>
  <c r="G480" i="1"/>
  <c r="G32" i="1" s="1"/>
  <c r="B32" i="1"/>
  <c r="B31" i="1"/>
  <c r="B30" i="1"/>
  <c r="B29" i="1"/>
  <c r="B28" i="1"/>
  <c r="B27" i="1"/>
  <c r="B26" i="1"/>
  <c r="B25" i="1"/>
  <c r="B24" i="1"/>
  <c r="B23" i="1"/>
  <c r="B22" i="1"/>
  <c r="G468" i="1" l="1"/>
  <c r="G30" i="1" s="1"/>
  <c r="G486" i="1"/>
  <c r="G33" i="1" s="1"/>
  <c r="F94" i="1" l="1"/>
  <c r="E366" i="1"/>
  <c r="E358" i="1"/>
  <c r="E367" i="1"/>
  <c r="E359" i="1"/>
  <c r="D214" i="1" l="1"/>
  <c r="F173" i="1"/>
  <c r="G282" i="1" l="1"/>
  <c r="G283" i="1"/>
  <c r="G207" i="1"/>
  <c r="F206" i="1"/>
  <c r="G205" i="1"/>
  <c r="G202" i="1"/>
  <c r="G201" i="1"/>
  <c r="G200" i="1"/>
  <c r="G192" i="1"/>
  <c r="G191" i="1"/>
  <c r="F189" i="1"/>
  <c r="G171" i="1"/>
  <c r="F160" i="1"/>
  <c r="F152" i="1"/>
  <c r="G151" i="1"/>
  <c r="G150" i="1"/>
  <c r="F149" i="1"/>
  <c r="G148" i="1"/>
  <c r="F147" i="1"/>
  <c r="G144" i="1"/>
  <c r="F142" i="1"/>
  <c r="F140" i="1"/>
  <c r="F139" i="1"/>
  <c r="F137" i="1"/>
  <c r="G133" i="1"/>
  <c r="G132" i="1"/>
  <c r="F131" i="1"/>
  <c r="F129" i="1"/>
  <c r="G128" i="1"/>
  <c r="G123" i="1"/>
  <c r="G125" i="1"/>
  <c r="F124" i="1"/>
  <c r="F122" i="1"/>
  <c r="F126" i="1"/>
  <c r="G126" i="1"/>
  <c r="F127" i="1"/>
  <c r="G127" i="1"/>
  <c r="F135" i="1"/>
  <c r="G135" i="1"/>
  <c r="F154" i="1"/>
  <c r="F155" i="1"/>
  <c r="F165" i="1"/>
  <c r="F166" i="1"/>
  <c r="G172" i="1"/>
  <c r="F179" i="1"/>
  <c r="F181" i="1"/>
  <c r="F183" i="1"/>
  <c r="F194" i="1"/>
  <c r="G195" i="1"/>
  <c r="F196" i="1"/>
  <c r="G197" i="1"/>
  <c r="F198" i="1"/>
  <c r="G199" i="1"/>
  <c r="F203" i="1"/>
  <c r="F204" i="1"/>
  <c r="F213" i="1"/>
  <c r="F215" i="1"/>
  <c r="F216" i="1"/>
  <c r="F217" i="1"/>
  <c r="F219" i="1"/>
  <c r="G221" i="1"/>
  <c r="F223" i="1"/>
  <c r="F224" i="1"/>
  <c r="G225" i="1"/>
  <c r="F228" i="1"/>
  <c r="G229" i="1"/>
  <c r="G230" i="1"/>
  <c r="F231" i="1"/>
  <c r="F232" i="1"/>
  <c r="F236" i="1"/>
  <c r="G237" i="1"/>
  <c r="G238" i="1"/>
  <c r="F239" i="1"/>
  <c r="F241" i="1"/>
  <c r="G244" i="1"/>
  <c r="G245" i="1"/>
  <c r="G246" i="1"/>
  <c r="F247" i="1"/>
  <c r="G248" i="1"/>
  <c r="G249" i="1"/>
  <c r="F250" i="1"/>
  <c r="G251" i="1"/>
  <c r="F253" i="1"/>
  <c r="G254" i="1"/>
  <c r="F255" i="1"/>
  <c r="F256" i="1"/>
  <c r="G258" i="1"/>
  <c r="G259" i="1"/>
  <c r="G260" i="1"/>
  <c r="G262" i="1"/>
  <c r="F264" i="1"/>
  <c r="G266" i="1"/>
  <c r="G267" i="1"/>
  <c r="G268" i="1"/>
  <c r="G269" i="1"/>
  <c r="F271" i="1"/>
  <c r="G273" i="1"/>
  <c r="G274" i="1"/>
  <c r="G275" i="1"/>
  <c r="G276" i="1"/>
  <c r="F277" i="1"/>
  <c r="G278" i="1"/>
  <c r="F279" i="1"/>
  <c r="G281" i="1"/>
  <c r="G284" i="1"/>
  <c r="F286" i="1"/>
  <c r="G288" i="1"/>
  <c r="F289" i="1"/>
  <c r="G290" i="1"/>
  <c r="F291" i="1"/>
  <c r="F294" i="1"/>
  <c r="G295" i="1"/>
  <c r="G296" i="1"/>
  <c r="F297" i="1"/>
  <c r="F300" i="1"/>
  <c r="F302" i="1"/>
  <c r="G303" i="1"/>
  <c r="G304" i="1"/>
  <c r="F305" i="1"/>
  <c r="G306" i="1"/>
  <c r="F311" i="1"/>
  <c r="G312" i="1"/>
  <c r="G313" i="1"/>
  <c r="F314" i="1"/>
  <c r="G315" i="1"/>
  <c r="F316" i="1"/>
  <c r="F318" i="1"/>
  <c r="F320" i="1"/>
  <c r="F326" i="1"/>
  <c r="F328" i="1"/>
  <c r="G330" i="1"/>
  <c r="G331" i="1"/>
  <c r="F332" i="1"/>
  <c r="F334" i="1"/>
  <c r="F336" i="1"/>
  <c r="F337" i="1"/>
  <c r="G338" i="1"/>
  <c r="G340" i="1"/>
  <c r="F345" i="1"/>
  <c r="G347" i="1"/>
  <c r="F348" i="1"/>
  <c r="F349" i="1"/>
  <c r="G350" i="1"/>
  <c r="G351" i="1"/>
  <c r="G353" i="1"/>
  <c r="F355" i="1"/>
  <c r="F356" i="1"/>
  <c r="G357" i="1"/>
  <c r="G359" i="1"/>
  <c r="F361" i="1"/>
  <c r="F362" i="1"/>
  <c r="F363" i="1"/>
  <c r="F364" i="1"/>
  <c r="G365" i="1"/>
  <c r="G367" i="1"/>
  <c r="F369" i="1"/>
  <c r="G370" i="1"/>
  <c r="G371" i="1"/>
  <c r="G372" i="1"/>
  <c r="F373" i="1"/>
  <c r="G374" i="1"/>
  <c r="G375" i="1"/>
  <c r="G376" i="1"/>
  <c r="F377" i="1"/>
  <c r="G378" i="1"/>
  <c r="F379" i="1"/>
  <c r="G380" i="1"/>
  <c r="G381" i="1"/>
  <c r="F386" i="1"/>
  <c r="F387" i="1"/>
  <c r="G388" i="1"/>
  <c r="F389" i="1"/>
  <c r="F390" i="1"/>
  <c r="F391" i="1"/>
  <c r="F392" i="1"/>
  <c r="G393" i="1"/>
  <c r="G394" i="1"/>
  <c r="G395" i="1"/>
  <c r="G396" i="1"/>
  <c r="G397" i="1"/>
  <c r="G398" i="1"/>
  <c r="G399" i="1"/>
  <c r="G400" i="1"/>
  <c r="F401" i="1"/>
  <c r="F402" i="1"/>
  <c r="G404" i="1"/>
  <c r="G405" i="1"/>
  <c r="F406" i="1"/>
  <c r="F408" i="1"/>
  <c r="F410" i="1"/>
  <c r="F413" i="1"/>
  <c r="F415" i="1"/>
  <c r="F418" i="1"/>
  <c r="G421" i="1"/>
  <c r="F422" i="1"/>
  <c r="F424" i="1"/>
  <c r="F426" i="1"/>
  <c r="F431" i="1"/>
  <c r="F433" i="1"/>
  <c r="F435" i="1"/>
  <c r="F437" i="1"/>
  <c r="F439" i="1"/>
  <c r="F441" i="1"/>
  <c r="F443" i="1"/>
  <c r="F445" i="1"/>
  <c r="F447" i="1"/>
  <c r="G449" i="1"/>
  <c r="F450" i="1"/>
  <c r="F451" i="1"/>
  <c r="F456" i="1"/>
  <c r="F458" i="1"/>
  <c r="F121" i="1"/>
  <c r="G130" i="1" l="1"/>
  <c r="G158" i="1"/>
  <c r="F208" i="1"/>
  <c r="F170" i="1"/>
  <c r="F157" i="1"/>
  <c r="F163" i="1"/>
  <c r="G161" i="1"/>
  <c r="G164" i="1"/>
  <c r="G156" i="1"/>
  <c r="G153" i="1"/>
  <c r="G111" i="1"/>
  <c r="G107" i="1"/>
  <c r="G108" i="1"/>
  <c r="G110" i="1"/>
  <c r="G114" i="1"/>
  <c r="G116" i="1"/>
  <c r="G118" i="1"/>
  <c r="G119" i="1"/>
  <c r="F109" i="1"/>
  <c r="F112" i="1"/>
  <c r="F113" i="1"/>
  <c r="F115" i="1"/>
  <c r="F117" i="1"/>
  <c r="F104" i="1"/>
  <c r="F106" i="1"/>
  <c r="F99" i="1"/>
  <c r="G87" i="1"/>
  <c r="G81" i="1"/>
  <c r="G141" i="1"/>
  <c r="F145" i="1" l="1"/>
  <c r="F222" i="1"/>
  <c r="G138" i="1"/>
  <c r="G214" i="1"/>
  <c r="G143" i="1"/>
  <c r="G220" i="1"/>
  <c r="F134" i="1"/>
  <c r="F146" i="1"/>
  <c r="D459" i="1" l="1"/>
  <c r="D457" i="1"/>
  <c r="D448" i="1"/>
  <c r="D446" i="1"/>
  <c r="D444" i="1"/>
  <c r="D442" i="1"/>
  <c r="D440" i="1"/>
  <c r="D438" i="1"/>
  <c r="D436" i="1"/>
  <c r="D432" i="1"/>
  <c r="D434" i="1"/>
  <c r="D427" i="1"/>
  <c r="D425" i="1"/>
  <c r="D423" i="1"/>
  <c r="D420" i="1"/>
  <c r="D419" i="1"/>
  <c r="D417" i="1"/>
  <c r="D416" i="1"/>
  <c r="D414" i="1"/>
  <c r="D412" i="1"/>
  <c r="D411" i="1"/>
  <c r="D409" i="1"/>
  <c r="D407" i="1"/>
  <c r="D403" i="1"/>
  <c r="D366" i="1"/>
  <c r="D358" i="1"/>
  <c r="D352" i="1"/>
  <c r="D346" i="1"/>
  <c r="D339" i="1"/>
  <c r="D335" i="1"/>
  <c r="D329" i="1"/>
  <c r="D327" i="1"/>
  <c r="D319" i="1"/>
  <c r="D317" i="1"/>
  <c r="D309" i="1"/>
  <c r="F309" i="1" s="1"/>
  <c r="D308" i="1"/>
  <c r="D298" i="1"/>
  <c r="D292" i="1"/>
  <c r="D287" i="1"/>
  <c r="D280" i="1"/>
  <c r="D272" i="1"/>
  <c r="D265" i="1"/>
  <c r="D261" i="1"/>
  <c r="D257" i="1"/>
  <c r="D243" i="1"/>
  <c r="D242" i="1"/>
  <c r="D240" i="1"/>
  <c r="D233" i="1"/>
  <c r="D234" i="1"/>
  <c r="D226" i="1"/>
  <c r="D218" i="1"/>
  <c r="D190" i="1"/>
  <c r="D184" i="1"/>
  <c r="G184" i="1" s="1"/>
  <c r="D168" i="1"/>
  <c r="D167" i="1"/>
  <c r="G167" i="1" s="1"/>
  <c r="D162" i="1"/>
  <c r="G162" i="1" s="1"/>
  <c r="D235" i="1" l="1"/>
  <c r="F234" i="1"/>
  <c r="F272" i="1"/>
  <c r="G319" i="1"/>
  <c r="G366" i="1"/>
  <c r="G417" i="1"/>
  <c r="G436" i="1"/>
  <c r="G459" i="1"/>
  <c r="G233" i="1"/>
  <c r="F280" i="1"/>
  <c r="G327" i="1"/>
  <c r="G403" i="1"/>
  <c r="G419" i="1"/>
  <c r="G438" i="1"/>
  <c r="G240" i="1"/>
  <c r="G287" i="1"/>
  <c r="F329" i="1"/>
  <c r="G407" i="1"/>
  <c r="G420" i="1"/>
  <c r="G440" i="1"/>
  <c r="D169" i="1"/>
  <c r="G169" i="1" s="1"/>
  <c r="F168" i="1"/>
  <c r="F242" i="1"/>
  <c r="G292" i="1"/>
  <c r="G335" i="1"/>
  <c r="G409" i="1"/>
  <c r="G423" i="1"/>
  <c r="G442" i="1"/>
  <c r="G243" i="1"/>
  <c r="G298" i="1"/>
  <c r="G339" i="1"/>
  <c r="G411" i="1"/>
  <c r="G425" i="1"/>
  <c r="G444" i="1"/>
  <c r="G190" i="1"/>
  <c r="F257" i="1"/>
  <c r="G308" i="1"/>
  <c r="G346" i="1"/>
  <c r="G412" i="1"/>
  <c r="D428" i="1"/>
  <c r="D429" i="1" s="1"/>
  <c r="G427" i="1"/>
  <c r="G446" i="1"/>
  <c r="G218" i="1"/>
  <c r="G261" i="1"/>
  <c r="F352" i="1"/>
  <c r="G414" i="1"/>
  <c r="G434" i="1"/>
  <c r="G448" i="1"/>
  <c r="D227" i="1"/>
  <c r="F226" i="1"/>
  <c r="F265" i="1"/>
  <c r="G317" i="1"/>
  <c r="G358" i="1"/>
  <c r="G416" i="1"/>
  <c r="G432" i="1"/>
  <c r="G457" i="1"/>
  <c r="F103" i="1"/>
  <c r="F102" i="1"/>
  <c r="G101" i="1"/>
  <c r="G98" i="1"/>
  <c r="F97" i="1"/>
  <c r="G95" i="1"/>
  <c r="G88" i="1"/>
  <c r="G85" i="1"/>
  <c r="F86" i="1"/>
  <c r="F84" i="1"/>
  <c r="F83" i="1"/>
  <c r="G82" i="1"/>
  <c r="F80" i="1"/>
  <c r="F79" i="1"/>
  <c r="G77" i="1"/>
  <c r="G76" i="1"/>
  <c r="F75" i="1"/>
  <c r="G73" i="1"/>
  <c r="G72" i="1"/>
  <c r="G71" i="1"/>
  <c r="G69" i="1"/>
  <c r="F68" i="1"/>
  <c r="F67" i="1"/>
  <c r="G66" i="1"/>
  <c r="G65" i="1"/>
  <c r="B21" i="1"/>
  <c r="D56" i="1"/>
  <c r="G56" i="1" s="1"/>
  <c r="F55" i="1"/>
  <c r="F53" i="1"/>
  <c r="F58" i="1"/>
  <c r="F54" i="1"/>
  <c r="F461" i="1" l="1"/>
  <c r="G461" i="1"/>
  <c r="F382" i="1"/>
  <c r="F341" i="1"/>
  <c r="F321" i="1"/>
  <c r="G341" i="1"/>
  <c r="G382" i="1"/>
  <c r="D430" i="1"/>
  <c r="G430" i="1" s="1"/>
  <c r="G208" i="1"/>
  <c r="G209" i="1" s="1"/>
  <c r="G24" i="1" s="1"/>
  <c r="G227" i="1"/>
  <c r="G235" i="1"/>
  <c r="G429" i="1"/>
  <c r="F428" i="1"/>
  <c r="D57" i="1"/>
  <c r="G57" i="1" s="1"/>
  <c r="F51" i="1"/>
  <c r="F49" i="1"/>
  <c r="F48" i="1"/>
  <c r="D44" i="1"/>
  <c r="F43" i="1"/>
  <c r="F41" i="1"/>
  <c r="F42" i="1"/>
  <c r="F40" i="1"/>
  <c r="G462" i="1" l="1"/>
  <c r="G29" i="1" s="1"/>
  <c r="G383" i="1"/>
  <c r="G27" i="1" s="1"/>
  <c r="G342" i="1"/>
  <c r="G26" i="1" s="1"/>
  <c r="F452" i="1"/>
  <c r="G452" i="1"/>
  <c r="G321" i="1"/>
  <c r="G322" i="1" s="1"/>
  <c r="D491" i="1"/>
  <c r="F45" i="1"/>
  <c r="G44" i="1"/>
  <c r="G59" i="1" s="1"/>
  <c r="G25" i="1" l="1"/>
  <c r="F59" i="1"/>
  <c r="G60" i="1" s="1"/>
  <c r="G21" i="1" s="1"/>
  <c r="G453" i="1"/>
  <c r="G28" i="1" s="1"/>
  <c r="D492" i="1"/>
  <c r="G100" i="1" l="1"/>
  <c r="F96" i="1"/>
  <c r="F175" i="1" s="1"/>
  <c r="F78" i="1" l="1"/>
  <c r="G64" i="1"/>
  <c r="F70" i="1"/>
  <c r="F63" i="1"/>
  <c r="F89" i="1" l="1"/>
  <c r="F492" i="1" l="1"/>
  <c r="F491" i="1"/>
  <c r="F493" i="1" l="1"/>
  <c r="G494" i="1" l="1"/>
  <c r="G34" i="1" l="1"/>
  <c r="G105" i="1"/>
  <c r="G74" i="1"/>
  <c r="G89" i="1" s="1"/>
  <c r="G90" i="1" s="1"/>
  <c r="G22" i="1" s="1"/>
  <c r="G175" i="1" l="1"/>
  <c r="G176" i="1" s="1"/>
  <c r="G488" i="1" l="1"/>
  <c r="G498" i="1" s="1"/>
  <c r="G23" i="1"/>
  <c r="G500" i="1" l="1"/>
  <c r="G497" i="1"/>
  <c r="G499" i="1"/>
  <c r="G502" i="1" l="1"/>
  <c r="G504" i="1" s="1"/>
  <c r="G35" i="1" l="1"/>
  <c r="G36" i="1" s="1"/>
</calcChain>
</file>

<file path=xl/sharedStrings.xml><?xml version="1.0" encoding="utf-8"?>
<sst xmlns="http://schemas.openxmlformats.org/spreadsheetml/2006/main" count="993" uniqueCount="372">
  <si>
    <t>шт.</t>
  </si>
  <si>
    <t>м.п.</t>
  </si>
  <si>
    <t>м.кв.</t>
  </si>
  <si>
    <t>Укладка геотекстиля</t>
  </si>
  <si>
    <t>м.куб.</t>
  </si>
  <si>
    <t>Работы</t>
  </si>
  <si>
    <t>Материалы</t>
  </si>
  <si>
    <t>Накладные расходы (расходные материалы, амортизация инструмента и оборудования)</t>
  </si>
  <si>
    <t>Стоимость</t>
  </si>
  <si>
    <t>Кол-во</t>
  </si>
  <si>
    <t>Наименование работ</t>
  </si>
  <si>
    <t>Временные бытовые условия (создание временных бытовых условий, амортизация бытовок, спецодежда, связь)</t>
  </si>
  <si>
    <t>1.</t>
  </si>
  <si>
    <t>Авторское сопровождение</t>
  </si>
  <si>
    <t>Доставки материала (предварительно)</t>
  </si>
  <si>
    <t>Организационные затраты (предварительно)</t>
  </si>
  <si>
    <t xml:space="preserve"> </t>
  </si>
  <si>
    <t>Погрузка мусора в контейнер мех.</t>
  </si>
  <si>
    <t>компл.</t>
  </si>
  <si>
    <t>меш.</t>
  </si>
  <si>
    <t>Транспортные расходы</t>
  </si>
  <si>
    <t>Подготовительные земельные работы</t>
  </si>
  <si>
    <t>Разметка и нивелировка площадей, задание вертикальных уровней и уклона (геодезическая разбивка)</t>
  </si>
  <si>
    <t>Выемка и перемещение грунта и щебня существующего основания для устройства мощения</t>
  </si>
  <si>
    <t>Выемка и перемещение грунта для устройства ливневой и дренажной систем</t>
  </si>
  <si>
    <t>Обратная засыпка песком после устройства ливневой системы</t>
  </si>
  <si>
    <t>Разборка существующего покрытия</t>
  </si>
  <si>
    <t>Нижняя зона участка</t>
  </si>
  <si>
    <t>Снятие верхнего слоя покрова</t>
  </si>
  <si>
    <t>Перемещение сыпучих материалов на расстояние до 50м вручную (склон) с коэффициентом сложности</t>
  </si>
  <si>
    <t>Погрузка грунта и мусора и вывоз</t>
  </si>
  <si>
    <t>Вертикальная планировка</t>
  </si>
  <si>
    <t>Бассейн</t>
  </si>
  <si>
    <t>Выемка и перемещение существующего грунта для устройства бассейна</t>
  </si>
  <si>
    <t>Планировка грунта по склону</t>
  </si>
  <si>
    <t>Обратная засыпка песком после устройства ж/б конструкций</t>
  </si>
  <si>
    <t>Грунт от выемки под автомобильное мощение</t>
  </si>
  <si>
    <t>Монтаж водоприемных колодцев 630мм с выемкой</t>
  </si>
  <si>
    <t>Колодец фильтрационный конический 600мм h=2м с крышкой</t>
  </si>
  <si>
    <t>Устройство врезок в существующий колодец</t>
  </si>
  <si>
    <t>Монтаж колодцев инспекционных 315мм</t>
  </si>
  <si>
    <t>Колодец инспекционный 315мм h=2м с крышкой и дном</t>
  </si>
  <si>
    <t>Устройство дренажной системы с обратной засыпкой (глубина до 700мм)</t>
  </si>
  <si>
    <t>Устройство ливневой системы (монтаж трубы 110мм с уклоном, монтаж соединений, врезка в инспекционные колодцы)</t>
  </si>
  <si>
    <t>Фасонные элементы - тройники, соединения, заглушки</t>
  </si>
  <si>
    <t>Демонтаж дождеприемников</t>
  </si>
  <si>
    <t>Монтаж дождеприемников с переподключением на другой диаметр</t>
  </si>
  <si>
    <t>Дождеприемник с комплектующими и чугунной решеткой, фасонные элементы</t>
  </si>
  <si>
    <t>Дренажная и ливневая системы.</t>
  </si>
  <si>
    <t>Монтаж дождеприемников со встройкой в террасный настил</t>
  </si>
  <si>
    <t>Цемент М400, 50кг</t>
  </si>
  <si>
    <t>Монтаж на раствор лотков дождеприемных с решетками и отводами к ливневой канализации</t>
  </si>
  <si>
    <t>Лотки пластиковые с решетками ячеистыми чугунными</t>
  </si>
  <si>
    <t>Монтаж на раствор пескоуловителей</t>
  </si>
  <si>
    <t>Пескоуловители пластиковые с решетками ячеистыми чугунными</t>
  </si>
  <si>
    <t>Монолитные железобетонные конструкции</t>
  </si>
  <si>
    <t>Плита основания - 75м2</t>
  </si>
  <si>
    <t>Устройство выравнивающих оснований из песка с трамбованием вручную</t>
  </si>
  <si>
    <t>Аренда виброплиты 250кг</t>
  </si>
  <si>
    <t>смена</t>
  </si>
  <si>
    <t>Геотекстиль плотность 200г/м2</t>
  </si>
  <si>
    <t>Устройство оснований из щебня с расклинцовкой вручную</t>
  </si>
  <si>
    <t>Щебень гранитный (фракция 5-20мм) для расклинцовки</t>
  </si>
  <si>
    <t>Устройство гидроизоляции подкладочной</t>
  </si>
  <si>
    <t>Рубероид РКП-350 ГОСТ</t>
  </si>
  <si>
    <t>Сборка щитов опалубки, выставление опалубки, снятие опалубки</t>
  </si>
  <si>
    <t>Доска обрезная 40*150*6000м ест.вл. Сорт 1-2, хв.</t>
  </si>
  <si>
    <t>Прочие материалы (крепеж, метизы, диски пильные, эмульсия)</t>
  </si>
  <si>
    <t>Устройство ж/б фундаментной плиты 250мм (армирование, заливка бетона с вибрированием)</t>
  </si>
  <si>
    <t>Аренда бетононасоса</t>
  </si>
  <si>
    <t>маш./см.</t>
  </si>
  <si>
    <t>Аренда шлангов 30м</t>
  </si>
  <si>
    <t>Уход за бетоном</t>
  </si>
  <si>
    <t>Прочие материалы (бруски, метизы,  вязальная проволока, фиксаторы для арматуры, диски алмазные, отрезные)</t>
  </si>
  <si>
    <t>Пленка техническая полиэтиленовая 200мк</t>
  </si>
  <si>
    <t>Гидроизоляция ж/б конструкций обмазочная</t>
  </si>
  <si>
    <t>Праймер битумный Bitumast 18кг/21,5л</t>
  </si>
  <si>
    <t>Мастика гидроизоляционная Bitumast 18кг/21,5л</t>
  </si>
  <si>
    <t>Стены подпорные, стены бассейна</t>
  </si>
  <si>
    <t>Аренда стеновой опалубки в комплекте (щиты линейные, угловые, подкосы, стойки, замки)</t>
  </si>
  <si>
    <t>Устройство ж/б стен 200-250мм (армирование, заливка бетона)</t>
  </si>
  <si>
    <t>Плита перекрытия (частично на основании) 76м.кв., верхняя площадка 23,5м.кв. (на основании)</t>
  </si>
  <si>
    <t>Фанера ламинированная 18мм, комплект опалубки перекрытий</t>
  </si>
  <si>
    <t>Устройство ж/б фундаментной плиты, плиты перекрытия 200мм (армирование, заливка бетона с вибрированием)</t>
  </si>
  <si>
    <t>Лестницы - бассейн, к бассейну, на террасу, подпорная верхняя стенка</t>
  </si>
  <si>
    <t>Фанера ламинированная 18мм,  доски</t>
  </si>
  <si>
    <t>Устройство ж/б лестниц (армирование, заливка бетона)</t>
  </si>
  <si>
    <t>Гидроизоляционный материал Акваблокер Bostik, 14кг</t>
  </si>
  <si>
    <t>т</t>
  </si>
  <si>
    <t>ИТОГО:</t>
  </si>
  <si>
    <t>ВСЕГО ПО РАЗДЕЛУ:</t>
  </si>
  <si>
    <t>3.</t>
  </si>
  <si>
    <t>2.</t>
  </si>
  <si>
    <t>4.</t>
  </si>
  <si>
    <t>Устройство выравнивающего слоя под облицовку парапета гранитными плитами</t>
  </si>
  <si>
    <t>Грунт, ЦПС М300</t>
  </si>
  <si>
    <t>Герметизация примыканий полиуретановым герметиком - примыкание плит перепета по периметру</t>
  </si>
  <si>
    <t>Герметик полиуретановый, 600мл</t>
  </si>
  <si>
    <t>Облицовка гранитными плитами парапета</t>
  </si>
  <si>
    <t>Плиты гранитные 1000*350*80мм (термообработанные верх, торцы, фаска, капельник)</t>
  </si>
  <si>
    <t>Диски алмазные</t>
  </si>
  <si>
    <t>Клей для плитки, керамогранита, мозаики и камня Weber Vetonit Ultra fix серый (класс С2), 25кг</t>
  </si>
  <si>
    <t>Затирка Литокол Старлайк 2,5кг</t>
  </si>
  <si>
    <t>кол-во раз</t>
  </si>
  <si>
    <t>Облицовка гранитными плитами ступеней</t>
  </si>
  <si>
    <t>Обеспыливание, грунтование бетонного основания</t>
  </si>
  <si>
    <t>Грунт Ceresit CT17 pro, 5л</t>
  </si>
  <si>
    <t>Крепление сетки на вертикальную поверхность</t>
  </si>
  <si>
    <t>Сетка кладочная 50*50мм d=3,5-3,8мм 0,38*2м</t>
  </si>
  <si>
    <t>Облицовка стен рельефным шунгитом</t>
  </si>
  <si>
    <t>Полосы из шунгита 20-30мм - мелкий, средний формат</t>
  </si>
  <si>
    <t>Запил камня под 45 градусов</t>
  </si>
  <si>
    <t>Нанесение спец.составов (пропитка и кислота)</t>
  </si>
  <si>
    <t>Пропитка для камня, кислота для камня</t>
  </si>
  <si>
    <t>Герметизация примыканий полиуретановым герметиком - примыкание облицовки к покрытию из керамогранита</t>
  </si>
  <si>
    <t>Покрытия.</t>
  </si>
  <si>
    <t>Тип А1. Автомобильное покрытие из брусчатки</t>
  </si>
  <si>
    <t>Аренда мини-экскаватора</t>
  </si>
  <si>
    <t>маш./смена</t>
  </si>
  <si>
    <t>Устройство теплоизоляционного слоя из пеноплекса</t>
  </si>
  <si>
    <t>Экструдированный пенополистирол Пеноплэкс Фундамент 50*585*1185мм</t>
  </si>
  <si>
    <t>лист</t>
  </si>
  <si>
    <t>Настил пленки</t>
  </si>
  <si>
    <t>Устройство ж/б плиты 120мм по радиусу (выставление опалубки, армирование, заливка бетона, снятие опалубки)</t>
  </si>
  <si>
    <t>Бетон товарный М300 W8 F150 П4</t>
  </si>
  <si>
    <t>Опалубка (доски, бруски, крепеж)</t>
  </si>
  <si>
    <t>Комплекс работ по устройству деформационных швов</t>
  </si>
  <si>
    <t>Шнур круглый, праймер, мастика</t>
  </si>
  <si>
    <t>Мощение гранитной брусчаткой автомобильное по радиусу с разуклонкой</t>
  </si>
  <si>
    <t>Затирка швов плит спецсоставом</t>
  </si>
  <si>
    <t>Флайформ МС80 WP монтажный подстилающий раствор водонепроницаемый Основит</t>
  </si>
  <si>
    <t>Тонкослойный клей Основит Флайформ АС6 LQ</t>
  </si>
  <si>
    <t>Флайформ XC50 WP раствор для заполнения швов клинкерной, гранитной брусчатки, нат.камня водонепроницаемый Основит - графит</t>
  </si>
  <si>
    <t>Укрепление крайнего ряда мощения армированным раствором</t>
  </si>
  <si>
    <t>Арматура 8мм рифленая, 6м</t>
  </si>
  <si>
    <t>Устройство скрытых люков в мощении</t>
  </si>
  <si>
    <t>Люк 700*700*114 усиленный 5тн оцинкованный под тротуарную плитку на петлях с пластинами</t>
  </si>
  <si>
    <t>Тип П3. Пешеходное покрытие из керамогранита, гранита</t>
  </si>
  <si>
    <t>Облицовка керамогранитом</t>
  </si>
  <si>
    <t>Облицовка гранитом Габбро</t>
  </si>
  <si>
    <t>Гранитные плиты Габбро 600*600*20мм полнопиленая</t>
  </si>
  <si>
    <t>Бортик бассейна</t>
  </si>
  <si>
    <t>Облицовка керамогранитом по периметру бассейна</t>
  </si>
  <si>
    <t>Торец бетонной плиты</t>
  </si>
  <si>
    <t>Облицовка керамогранитом по периметру бетонной плиты</t>
  </si>
  <si>
    <t>Обеспыливание, грунтование бетонного основания - торец плиты с запилом капельника</t>
  </si>
  <si>
    <t>Облицовка керамогранитом с залипом капельника - высота 230мм</t>
  </si>
  <si>
    <t>Зона очага</t>
  </si>
  <si>
    <t>Укладка керамогранита на регулируемые опоры (зона очага)</t>
  </si>
  <si>
    <t>Опоры регулируемые с крепежом под плитку</t>
  </si>
  <si>
    <t>Устройство покрытия из гальки - зона очага</t>
  </si>
  <si>
    <t>Галька декоративная</t>
  </si>
  <si>
    <t>кг</t>
  </si>
  <si>
    <t>Устройство бордюра декоративного</t>
  </si>
  <si>
    <t>Бордюр Г-образный из нержавеющей стали с комплектующими</t>
  </si>
  <si>
    <t>Устройство основания под мощение пошаговое</t>
  </si>
  <si>
    <t>Геотекстиль Мегаизол, рулон 50м2</t>
  </si>
  <si>
    <t>рул.</t>
  </si>
  <si>
    <t>Мощение плитами пешеходное пошаговое</t>
  </si>
  <si>
    <t>Перемещение материалов для покрытия на расстояние до 100м вручную (с верхней в нижнюю часть)</t>
  </si>
  <si>
    <t>Устройство основания под покрытие из отсева</t>
  </si>
  <si>
    <t>Устройство покрытия из отсева толщ. 50мм</t>
  </si>
  <si>
    <t>Отсев декоративный, 50кг</t>
  </si>
  <si>
    <t>Комплекс работ по устройству спортивного покрытия</t>
  </si>
  <si>
    <t>Спортивное покрытие (однослойное ударопоглащающее на однокомпонентном полиуретановом связующем толщиной 30мм Rubber Mulch)</t>
  </si>
  <si>
    <t>6.</t>
  </si>
  <si>
    <t>Лестница в нижнюю часть участка</t>
  </si>
  <si>
    <t>Ступени гранитные</t>
  </si>
  <si>
    <t>Устройство фундаментов из свай для гранитных плит</t>
  </si>
  <si>
    <t>Изготовление металлокаркаса для укладки гранитных плит</t>
  </si>
  <si>
    <t>Установка металлокаркаса для укладки гранитных плит</t>
  </si>
  <si>
    <t>Металлические конструкции каркаса из уголка равнополочного 50*50*4мм, трубы профильной 80*60*4мм, трубы профильной 60*30*4мм, трубы профильной 40*20*2,5мм</t>
  </si>
  <si>
    <t>Грунт ГФ-021 серый, диски, электроды</t>
  </si>
  <si>
    <t>Установка гранитных плит (термообработанные 5 сторон толщ. 80мм Габбро) на металлокаркас</t>
  </si>
  <si>
    <t>Настил из ДПК</t>
  </si>
  <si>
    <t>Устройство фундаментов из свай для настилов из ДПК</t>
  </si>
  <si>
    <t>Комплекс работ по устройству настилов из палубной доски - ДПК (монтаж одинарного каркаса, монтаж террасной доски)</t>
  </si>
  <si>
    <t>Комплекс работ по зашивке торцов из палубной доски - ДПК (монтаж одинарного каркаса, монтаж террасной доски)</t>
  </si>
  <si>
    <t>Комплекс работ по зашивке торцов из палубной доски - ДПК (монтаж одинарного каркаса, монтаж террасной доски) глубина до 150мм</t>
  </si>
  <si>
    <t>Сопутствующие материалы, крепеж, антисептик, унифлекс</t>
  </si>
  <si>
    <t>Доска Bruggan Multicolor Cedar (140*19*3000мм) ДПК</t>
  </si>
  <si>
    <t>Доска 145*45мм сухая строганая импрегнированная</t>
  </si>
  <si>
    <t>7.</t>
  </si>
  <si>
    <t>Террасные настилы.</t>
  </si>
  <si>
    <t>Устройство щебеночного покрытия 50мм</t>
  </si>
  <si>
    <t>Разборка существующего деревянного каркаса и настила с переносом в зону погрузки</t>
  </si>
  <si>
    <t>Устройство фундаментов из свай под террасу дл. 3-4м</t>
  </si>
  <si>
    <t>Наращивание свай дл.2м до 4м с грунтованием и окрашиванием</t>
  </si>
  <si>
    <t>Труба стальная электросварная черная 76*3мм 3м, электроды, грунт, краска</t>
  </si>
  <si>
    <t>Настил - зона удома и зона крыльца</t>
  </si>
  <si>
    <t>Настил - лаунж зона</t>
  </si>
  <si>
    <t>Комплекс работ по устройству ступеней из палубной доски - ДПК (монтаж одинарного каркаса, монтаж террасной доски)</t>
  </si>
  <si>
    <t>Кашпо у лаунж зоны</t>
  </si>
  <si>
    <t>Комплекс работ по устройству настилов из палубной доски - ДПК (монтаж одинарного каркаса, монтаж террасной доски) - сиденье</t>
  </si>
  <si>
    <t>Комплекс работ по зашивке торцов из палубной доски - ДПК (монтаж одинарного каркаса, монтаж террасной доски) глубина до 300мм - спинка</t>
  </si>
  <si>
    <t>Комплекс работ по устройству грядок (монтаж каркаса)</t>
  </si>
  <si>
    <t>Сухой брусок строганый 45*45мм импрегнированный</t>
  </si>
  <si>
    <t>Установка кромочной доски - зашивка по верху</t>
  </si>
  <si>
    <t>Облицовка внутренней поверхности плоским шифером</t>
  </si>
  <si>
    <t>Плоский шифер 1500*3000*10мм непресованный, крепеж</t>
  </si>
  <si>
    <t>Устройство гидроизоляции обмазочной</t>
  </si>
  <si>
    <t>8.</t>
  </si>
  <si>
    <t>Освещение.</t>
  </si>
  <si>
    <t>Устройство траншеи 0,7м с песчаным основанием для кабеля - нижняя зона</t>
  </si>
  <si>
    <t>Устройство траншеи 0,7м с песчаным основанием для кабеля</t>
  </si>
  <si>
    <t>Укладка кабеля в траншею с сигнальной лентой</t>
  </si>
  <si>
    <t>Укладка силового бронированного кабеля</t>
  </si>
  <si>
    <t>Укладка кабеля с креплением - под настилом, для освещения подпорных стенок, в стойках ограждения</t>
  </si>
  <si>
    <t>Кабель ВВГнг-LS 3*2,5 (бухта 100м)</t>
  </si>
  <si>
    <t>Кабель ВВГнг-LS 3*1,5 (бухта 100м)</t>
  </si>
  <si>
    <t>Кабель силовой ВБШв нг(А)LS 5*4,0 0,66кВ броня</t>
  </si>
  <si>
    <t>Кабель Lapp</t>
  </si>
  <si>
    <t>Сигнальная лента 100м</t>
  </si>
  <si>
    <t>Обратная засыпка траншеи после прокладки кабеля</t>
  </si>
  <si>
    <t>Перемещение материалов для покрытия на расстояние до 100м вручную в стесненных условиях</t>
  </si>
  <si>
    <t>Монтаж и расключение коробок распределительных с заливкой компаундом</t>
  </si>
  <si>
    <t>Коробка распределительная IP68 (для грунта)</t>
  </si>
  <si>
    <t>Клеммники WAGO 2,3,5 входа</t>
  </si>
  <si>
    <t>Устройство закладных под мощением</t>
  </si>
  <si>
    <t>Труба двустенная гофрированная d=110мм SN4</t>
  </si>
  <si>
    <t>Устройство фундаментов боллардов</t>
  </si>
  <si>
    <t>Свая буронабивная d=160мм</t>
  </si>
  <si>
    <t>Монтаж боллардов</t>
  </si>
  <si>
    <t>Светильник POST S4 800 BC</t>
  </si>
  <si>
    <t>Закладное основание для установки светильников в бетон ANCHOR BASE</t>
  </si>
  <si>
    <t>Монтаж светильников накладных на столбы ограждения лестницы в нижнюю зону</t>
  </si>
  <si>
    <t>Светильник PRISMA ONE 0422 BC</t>
  </si>
  <si>
    <t>Монтаж грунтовых светильников</t>
  </si>
  <si>
    <t>Пика установочная</t>
  </si>
  <si>
    <t>Светильник MOPS O 0827 38гр. BC с антибликовым экраном</t>
  </si>
  <si>
    <t>Коробка распаячная WAGO BOX IP68</t>
  </si>
  <si>
    <t>Светильник LOCUS O 26 SPIKE 48V 0222 12гр. BC</t>
  </si>
  <si>
    <t>Источник питания POWER SPL 250-48</t>
  </si>
  <si>
    <t>Монтаж встроенных в настил светильников с устройством отверстий в облицовке</t>
  </si>
  <si>
    <t>Светильник настенный STEP LIGHT SLIT R0627 BC</t>
  </si>
  <si>
    <t>Светильник настенный STEP S</t>
  </si>
  <si>
    <t>Устройство фундаментов розеток</t>
  </si>
  <si>
    <t>Монтаж уличных розеток-столбиков</t>
  </si>
  <si>
    <t>Розетка уличная влагозащищенная POST ELECTRO 450 BC</t>
  </si>
  <si>
    <t>Монтаж уличных розеток накладных (подпорная стенка)</t>
  </si>
  <si>
    <t>Розетка уличная влагозащищенная SIMON</t>
  </si>
  <si>
    <t>Монтаж уличных розеток, встроенных в настил</t>
  </si>
  <si>
    <t>Розетка уличная влагозащищенная MUREVA IP65</t>
  </si>
  <si>
    <t>Устройство фундаментов под прожектор</t>
  </si>
  <si>
    <t>Фундамент под мачтовый светильник</t>
  </si>
  <si>
    <t>Устройство мачтовых прожекторов</t>
  </si>
  <si>
    <t>Светильник-прожектор мачтовый PROJECTOR 5027 50гр. BC DALI</t>
  </si>
  <si>
    <t>Монтаж выключателя прожектора</t>
  </si>
  <si>
    <t>Устройство фундаментов под выключатель прожектора</t>
  </si>
  <si>
    <t>Столбик окрашеный, выключатель уличный</t>
  </si>
  <si>
    <t>Монтаж диодной ленты подсветки</t>
  </si>
  <si>
    <t>Лента диодная влагозащищенная, профиль</t>
  </si>
  <si>
    <t>Монтаж блоков питания</t>
  </si>
  <si>
    <t>Блок питания 200Вт</t>
  </si>
  <si>
    <t>Монтаж и сборка щитов</t>
  </si>
  <si>
    <t>Щит управления ландшафтным освещением (щит DKC 500*600*200 IP65, кол-во модулей 72 элементы на базе ИЕК, 3 фазы 32А, 4 управляемых канала через WI-FI + ручное, 25 выходов под защитой УЗО, огнетушитель)</t>
  </si>
  <si>
    <t>Короб метал. Для подвода кабеля к щиту 100*100 оцинк., неперфорированный, h=1,5м</t>
  </si>
  <si>
    <t>Покраска щита и коробов в цвет дома</t>
  </si>
  <si>
    <t>Работы по проверке цепей, параметированию и настройке оборудования</t>
  </si>
  <si>
    <t>Газон.</t>
  </si>
  <si>
    <t>Укладка плодородного грунта с уплотнением до слоя 15-20см вручную под газоны</t>
  </si>
  <si>
    <t>Грунт плодородный</t>
  </si>
  <si>
    <t>Газон рулонный</t>
  </si>
  <si>
    <t>Ограждение стеклянное</t>
  </si>
  <si>
    <t>Автополив</t>
  </si>
  <si>
    <t>Комплекс работ по устройству автополива</t>
  </si>
  <si>
    <t>Антиобледенение</t>
  </si>
  <si>
    <t xml:space="preserve">Ландшафтная студия БОТАНИК
Бухарестская ул., д. 110, к. 1
Санкт-Петербург, 192288
8 812 715 0 716
info@botanik-spb.ru
botanik-spb.ru
</t>
  </si>
  <si>
    <t>Исполнитель: Ландшафтная студия БОТАНИК</t>
  </si>
  <si>
    <t>Сроки проведения работ:</t>
  </si>
  <si>
    <t>начало</t>
  </si>
  <si>
    <t>окончание</t>
  </si>
  <si>
    <t>Работы по благоустройству.</t>
  </si>
  <si>
    <t>https://www.afonya-spb.ru/Drenazhnyy-Kolodets-Plast-Plus-Filtratsionnyy-Konicheskiy-s-Perforatsiey-Vysota-2-0-Metra/?hchain=0ffce1aca7f4d9e3e86c80a4d8a277d4</t>
  </si>
  <si>
    <t>https://www.mikspb.ru/catalog/product/4594/</t>
  </si>
  <si>
    <t>https://psp-spb.ru/katalog-kompanii-psp/inzhenernyie-sistemyi/drenazhnyie-smotrovyie-kolodczyi/kolodecz-315x2000mm-dren-smotr-s-2-mya-otvod-110mm.html</t>
  </si>
  <si>
    <t>https://psp-spb.ru/katalog-kompanii-psp/inzhenernyie-sistemyi/trubyi-drenazhnyie-odnostennyie/truba-pe-drenazhgofrir-d110-v-filtre-50m-buxta.html?utm_source=yandex&amp;utm_medium=cpc&amp;utm_campaign=труба-дренаж&amp;utm_content=13907053045&amp;utm_term=дренажные+трубы+спб.desktop.Санкт-Петербург.44240248640.none&amp;block=premium.1&amp;roistat=direct3_search_13907053045_дренажные+трубы+спб&amp;roistat_referrer=none&amp;roistat_pos=premium_1&amp;yclid=18238629829100437503</t>
  </si>
  <si>
    <t>бухта</t>
  </si>
  <si>
    <t>https://ingplast.ru/element/truba-korsis-dn-od-0110/?utm_source=banneryandex&amp;yclid=1936570726546145279</t>
  </si>
  <si>
    <t>https://www.tophouse.ru/price/20348/</t>
  </si>
  <si>
    <t>https://psp-spb.ru/katalog-kompanii-psp/czement-suxie-smesi/czement/czement-m-400-d20-czem-ii-a-sh-325-50-kg-evroczement.html</t>
  </si>
  <si>
    <t>https://www.tophouse.ru/price/20350/</t>
  </si>
  <si>
    <t>https://petrovich.ru/product/102322/</t>
  </si>
  <si>
    <t>https://petrovich.ru/catalog/1527/988037/</t>
  </si>
  <si>
    <t>Бетон товарный В25 W8 F150</t>
  </si>
  <si>
    <t>https://petrovich.ru/catalog/9576111/104714/</t>
  </si>
  <si>
    <t>https://petrovich.ru/catalog/9576111/106496/</t>
  </si>
  <si>
    <t>https://petrovich.ru/catalog/9576109/105945/</t>
  </si>
  <si>
    <t>https://www.triumfkomplekt.ru/goods/96603950-mastika_polimernaya_bostik_ms_aqua_blocker_liquid_14_kg</t>
  </si>
  <si>
    <t>https://petrovich.ru/catalog/135516988/759386/</t>
  </si>
  <si>
    <t>https://petrovich.ru/catalog/12116/664924/</t>
  </si>
  <si>
    <t>https://petrovich.ru/catalog/1452/101563/</t>
  </si>
  <si>
    <t>https://petrovich.ru/catalog/1565/107522/</t>
  </si>
  <si>
    <t>https://www.tophouse.ru/price/13961/?utm_source=yandex.direct&amp;utm_medium=cpc&amp;utm_campaign=cid_53796691&amp;utm_content=search_gid_4857120431_aid_11882161572_2258142_2258142&amp;utm_term=&amp;yclid=23121833842966527</t>
  </si>
  <si>
    <t>https://famaprofi.ru/catalog/spetsialnye_produkty_biofa/dlya_kamnya/2141_propitka_dlya_kamnya/3065/?r1=yandext&amp;r2=&amp;utm_source=yandex&amp;utm_medium=cpc&amp;utm_campaign=yandex_poisk_tovar_galery&amp;utm_term=&amp;utm_content=id%7C3702630_3702630%7Ccid%7C84463448%7Cgid%7C5150704182%7Caid%7C13671664108_13671664108%7Cadp%7Cno%7Cpos%7Cpremium1%7Csrc%7Csearch_none%7Cdvc%7Cdesktop%7Cgeo%7CСанкт-Петербург_2%7Csny%7C_&amp;roistat=direct3_search_13671664108_&amp;roistat_referrer=none&amp;roistat_pos=premium_1&amp;yclid=15644068591248343039</t>
  </si>
  <si>
    <t>https://www.mikspb.ru/catalog/product/4766/</t>
  </si>
  <si>
    <t>Устройство оснований из щебня с трамбованием, расклинцовкой вручную</t>
  </si>
  <si>
    <t>https://petrovich.ru/catalog/133600757/170045/</t>
  </si>
  <si>
    <t>https://beton178.ru/?utm_source=yandex&amp;utm_medium=cpc&amp;utm_campaign=76867399&amp;utm_content=12505265892&amp;utm_term=Бетон%20Товарный&amp;mango=%7Cc%3A76867399%7Cg%3A4984886494%7Cb%3A12505265892%7Ck%3A40293869423%7Cst%3Asearch%7Ca%3Ano%7Cs%3Anone%7Ct%3Apremium%7Cp%3A2%7Cr%3A40293869423%7Creg%3A2%7Cnet%3A%7Byad%7D&amp;yclid=3757177897935962111</t>
  </si>
  <si>
    <t>https://maxmir-spb.ru/2180/?utm_referrer=https%3A%2F%2Fyandex.ru%2Fproducts%2Fsearch%3Ftext%3D%25D0%25A4%25D0%25BB%25D0%25B0%25D0%25B9%25D1%2584%25D0%25BE%25D1%2580%25D0%25BC%2520%25D0%259C%25D0%25A180%2520WP%2520%25D0%25BC%25D0%25BE%25D0%25BD%25D1%2582%25D0%25B0%25D0%25B6%25D0%25BD%25D1%258B%25D0%25B9%2520%25D0%25BF%25D0%25BE%25D0%25B4%25D1%2581%25D1%2582%25D0%25B8%25D0%25BB%25D0%25B0%25D1%258E%25D1%2589%25D0%25B8%25D0%25B9%2520%25D1%2580%25D0%25B0%25D1%2581%25D1%2582%25D0%25B2%25D0%25BE%25D1%2580%2520%25D0%25B2%25D0%25BE%25D0%25B4%25D0%25BE%25D0%25BD%25D0%25B5%25D0%25BF%25D1%2580%25D0%25BE%25D0%25BD%25D0%25B8%25D1%2586%25D0%25B0%25D0%25B5%25D0%25BC%25D1%258B%25D0%25B9%2520%25D0%259E%25D1%2581%25D0%25BD%25D0%25BE%25D0%25B2%25D0%25B8%25D1%2582</t>
  </si>
  <si>
    <t>https://slavdom.ru/catalog/p/62577-rastvor-dlya-zapolneniya-shvov-vodonepronitsaemyy-osnovit-flayform-xc50-wp-grafit-25-kg/</t>
  </si>
  <si>
    <t>https://spb.cedrus.market/catalog/kleevye-rastvory/osnovit-flayform-ac6-lq-25-kg/</t>
  </si>
  <si>
    <t>https://metall-parnas.ru/catalog/sortovoy-prokat/armatura/armatura-a3-riflenaya/armatura-a3-prutki/armatura-a3-8-0l6-0m/</t>
  </si>
  <si>
    <t>https://metall-parnas.ru/catalog/sortovoy-prokat/armatura/armatura-a3-riflenaya/armatura-a3-prutki/armatura-a3-12-l6-0m/</t>
  </si>
  <si>
    <t>https://borskieluki.ru/katalog/300-lyuk-pod-bruschatku-700x700-114-5tn-iz-chernovoy-stali-na-petlyah.html?utm_referrer=https%3A%2F%2Fyandex.ru%2Fproducts%2Fsearch%3Ftext%3D%25D0%259B%25D1%258E%25D0%25BA%2520700%252A700%252A114%2520%25D1%2583%25D1%2581%25D0%25B8%25D0%25BB%25D0%25B5%25D0%25BD%25D0%25BD%25D1%258B%25D0%25B9%25205%25D1%2582%25D0%25BD%2520%25D0%25BE%25D1%2586%25D0%25B8%25D0%25BD%25D0%25BA%25D0%25BE%25D0%25B2%25D0%25B0%25D0%25BD%25D0%25BD%25D1%258B%25D0%25B9%2520%25D0%25BD%25D0%25B0%2520%25D0%25BF%25D0%25B5%25D1%2582%25D0%25BB%25D1%258F%25D1%2585%2520%25D1%2581%2520%25D0%25BF%25D0%25BB%25D0%25B0%25D1%2581%25D1%2582%25D0%25B8%25D0%25BD%25D0%25B0%25D0%25BC%25D0%25B8</t>
  </si>
  <si>
    <t>https://fortresstrade-kafel.ru/product/243560/Keramogranit_Italon_Millennium_Silver__600h600_?yclid=15865530395118534655</t>
  </si>
  <si>
    <t>https://nkamin.ru/catalog/tovary-dlya-montazha/otdelochnye-materialy/plitka-naturalnaya-granit-gabbro-diabaz-600kh600kh20-mm</t>
  </si>
  <si>
    <t>https://plitkazakaz.ru/shop/keramogranit/keramogranit-italon-climb-x2-rossiya/dekor-keramogranit-italon-climb-x2-rok-bortik-30x60-s-vyemkojzakruglennyj-pravyj-naturalnyj-rossiya/</t>
  </si>
  <si>
    <t>https://plitkazakaz.ru/shop/keramogranit/keramogranit-italon-climb-x2-rossiya/dekor-keramogranit-italon-climb-x2-rok-bortik-30x60-s-vyemkoj-zakruglennyj-levyj-naturalnyj-rossiya/</t>
  </si>
  <si>
    <t>https://plitka-sdvk.ru/Plitka/Italon/Climb-X2/keramogranit-stupen-rok-33x60-frontalnaya-naturalnaya-600x330/</t>
  </si>
  <si>
    <t>https://plitka-sdvk.ru/Plitka/Italon/Climb-X2/keramogranit-stupen-rok-33x60-uglovaya-pravaya-naturalnaya-600x330/</t>
  </si>
  <si>
    <t>https://o-kamen.com/catalog/peschaniki/sero-zelenyj/</t>
  </si>
  <si>
    <t>Песчаник 40-50мм с отбором</t>
  </si>
  <si>
    <t>https://petrovich.ru/product/638364/</t>
  </si>
  <si>
    <t>https://petrovich.ru/product/109349/</t>
  </si>
  <si>
    <t>https://petrovich.ru/catalog/1396/108514/?utm_source=yandex&amp;utm_medium=cpc&amp;utm_campaign=SPB%7CDSA%7CCatalog%7C76581343&amp;utm_content=cid%7C76581343%7Cgid%7C4976580274%7Caid%7C12461976874%7Ckid%7C3915628%7Cpos%7Cpremium2%7Csrc%7Csearch_none%7Cdvc%7Cdesktop%7Cgoalid%7C0&amp;utm_term=3915628%7C%7Creg%7CСанкт-Петербург&amp;yclid=10518820122367623167</t>
  </si>
  <si>
    <t>https://petrovich.ru/product/108513/</t>
  </si>
  <si>
    <t>Труба дренажная 110мм перфорир. в фильтре (бухта 50м)</t>
  </si>
  <si>
    <t>Песок намывной (самосвал 20м3)</t>
  </si>
  <si>
    <t>Щебень гранитный фр.20-40мм (самосвал 20м3)</t>
  </si>
  <si>
    <t>Арматура 12мм рифленая, 6м</t>
  </si>
  <si>
    <t>Гранитная брусчатка термообработанная 100*100*80мм полнопиленая</t>
  </si>
  <si>
    <t>Труба гофрированная ПНД d=20мм тяжелая с зондом (бухта 100м)</t>
  </si>
  <si>
    <t>Труба гофрированная ПНД d=16мм тяжелая с зондом (бухта 100м)</t>
  </si>
  <si>
    <t>10м3 - 1650р/м3</t>
  </si>
  <si>
    <t>10м3 - 2270р/м3</t>
  </si>
  <si>
    <t>https://combiwood.ru/terrasnaya-doska/kollektsiya-multicolor/terrasnaya-doska-bruggan-multicolor-cedr/</t>
  </si>
  <si>
    <t>https://www.redwoodspb.ru/goods/226268118-impregnirovannaya_stroganaya_doska_45_145_6000_zavaltsovannaya</t>
  </si>
  <si>
    <t>https://www.redwoodspb.ru/goods/226269778-brusok_45_45_6000_strogany_impregnirovanny</t>
  </si>
  <si>
    <t>https://www.etm.ru/cat/nn/9729229</t>
  </si>
  <si>
    <t>https://www.etm.ru/cat/nn/9729228</t>
  </si>
  <si>
    <t>Кабель силовой ВБШв нг(А)LS 3*4,0 0,66кВ броня</t>
  </si>
  <si>
    <t>https://www.etm.ru/cat/nn/5033426</t>
  </si>
  <si>
    <t>https://www.etm.ru/cat/nn/7811180</t>
  </si>
  <si>
    <t>https://www.etm.ru/cat/nn/3086696</t>
  </si>
  <si>
    <t>Подпорные стенки, ступени - верхняя зона</t>
  </si>
  <si>
    <t>%</t>
  </si>
  <si>
    <t>Цена</t>
  </si>
  <si>
    <t>Заказчик: ____________________________________________________________</t>
  </si>
  <si>
    <t>Сваи d=76мм h=2м, оголовник усиленный, прочие материалы для монтажа</t>
  </si>
  <si>
    <t>Сваи d=76мм h=3м, оголовник усиленный, прочие материалы для монтажа</t>
  </si>
  <si>
    <t>Доставка плит манипулятором (учтено в разделе "Орг.затраты")</t>
  </si>
  <si>
    <t>ВСЕГО работы по благоустройству</t>
  </si>
  <si>
    <t>ВСЕГО по смете:</t>
  </si>
  <si>
    <t xml:space="preserve">Адрес проведения работ: </t>
  </si>
  <si>
    <t>Коммерческое предложение №__________.</t>
  </si>
  <si>
    <t>Расчет цен произведен __.___.202__г. (цены действительны в течение 7 календарных дней)</t>
  </si>
  <si>
    <t>Вывоз грунта (по факту)</t>
  </si>
  <si>
    <t>Вывоз грунта (самосвалом)</t>
  </si>
  <si>
    <t>Примечание</t>
  </si>
  <si>
    <t>Тип С. Спортивное покрытие</t>
  </si>
  <si>
    <t>Тип П2. Пешеходное покрытие плитами</t>
  </si>
  <si>
    <t>Тип П4. Пешеходное покрытие из отсева</t>
  </si>
  <si>
    <t>Ед. изм.</t>
  </si>
  <si>
    <t>Устройство рулонного газона (чистовая планировка и уплотнение плодородного грунта 15-20см вручную; укладка газона)</t>
  </si>
  <si>
    <t>Автоматика и пленка</t>
  </si>
  <si>
    <t xml:space="preserve">Комплекс работ по устройству бассейна </t>
  </si>
  <si>
    <t xml:space="preserve">Материалы для системы антиобледенения </t>
  </si>
  <si>
    <t>Материалы для автополива</t>
  </si>
  <si>
    <t xml:space="preserve">Комплекс работ по устройству сдвижного остекленения B50 </t>
  </si>
  <si>
    <t>Стекло 6+6мм триплекс, анкерные крепления, закладные</t>
  </si>
  <si>
    <t>Устройство системы антиобледенения автомобильного мощения</t>
  </si>
  <si>
    <t>Ж/б сваи забивные, фанера щиты</t>
  </si>
  <si>
    <t>Крепление стенок котлована при устройстве ж/б конструкций</t>
  </si>
  <si>
    <t>Обрезка края газона</t>
  </si>
  <si>
    <t>Геотекстиль плотность 300г/м2</t>
  </si>
  <si>
    <t>Italon керамический гранит Керамогранит X2 Millenium Silver 60*60*2 структурированный ректифицированный</t>
  </si>
  <si>
    <t>Italon керамический гранит Керамогранит X2 бортик с выемкой закругленный фронтальный 30*60 натуральный ректифицированный</t>
  </si>
  <si>
    <t>Italon керамический гранит Керамогранит X2 бортик с выемкой закругленный правый, левый 30*60 натуральный ректифицированный</t>
  </si>
  <si>
    <t>Italon керамический гранит Керамогранит X2 ступень фронтальная 33*60 натуральный ректифицированный</t>
  </si>
  <si>
    <t>Italon керамический гранит Керамогранит X2 ступень угловая правая 33*60 натуральный ректифицированный</t>
  </si>
  <si>
    <t>Термостойкий заливочный двухкомпонентный силиконовый компаунд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</si>
</sst>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.00\ [$₽-419]_-;\-* #,##0.00\ [$₽-419]_-;_-* &quot;-&quot;??\ [$₽-419]_-;_-@_-"/>
    <numFmt numFmtId="166" formatCode="_-* #,##0\ [$₽-419]_-;\-* #,##0\ [$₽-419]_-;_-* &quot;-&quot;??\ [$₽-419]_-;_-@_-"/>
    <numFmt numFmtId="167" formatCode="#,##0.0"/>
    <numFmt numFmtId="168" formatCode="_-* #,##0&quot;р.&quot;_-;\-* #,##0&quot;р.&quot;_-;_-* &quot;-&quot;??&quot;р.&quot;_-;_-@_-"/>
    <numFmt numFmtId="169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0"/>
      <name val="Helv"/>
      <family val="2"/>
      <charset val="204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12"/>
      <color rgb="FF0070C0"/>
      <name val="Calibri"/>
      <family val="2"/>
      <scheme val="minor"/>
    </font>
    <font>
      <u val="singleAccounting"/>
      <sz val="10"/>
      <color rgb="FF0070C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i/>
      <u val="singleAccounting"/>
      <sz val="10"/>
      <color rgb="FF0070C0"/>
      <name val="Calibri"/>
      <family val="2"/>
      <scheme val="minor"/>
    </font>
    <font>
      <b/>
      <u val="singleAccounting"/>
      <sz val="10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 val="singleAccounting"/>
      <sz val="11"/>
      <color rgb="FF0070C0"/>
      <name val="Calibri"/>
      <family val="2"/>
      <scheme val="minor"/>
    </font>
    <font>
      <b/>
      <u val="singleAccounting"/>
      <sz val="12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165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7" fillId="0" borderId="0"/>
  </cellStyleXfs>
  <cellXfs count="188">
    <xf numFmtId="165" fontId="0" fillId="0" borderId="0" xfId="0"/>
    <xf numFmtId="165" fontId="10" fillId="0" borderId="0" xfId="0" applyFont="1"/>
    <xf numFmtId="165" fontId="10" fillId="2" borderId="0" xfId="0" applyFont="1" applyFill="1" applyAlignment="1">
      <alignment wrapText="1"/>
    </xf>
    <xf numFmtId="165" fontId="11" fillId="2" borderId="0" xfId="0" applyFont="1" applyFill="1" applyAlignment="1">
      <alignment horizontal="left" wrapText="1"/>
    </xf>
    <xf numFmtId="166" fontId="12" fillId="2" borderId="0" xfId="0" applyNumberFormat="1" applyFont="1" applyFill="1" applyAlignment="1">
      <alignment horizontal="center" wrapText="1"/>
    </xf>
    <xf numFmtId="3" fontId="10" fillId="0" borderId="0" xfId="0" applyNumberFormat="1" applyFont="1"/>
    <xf numFmtId="3" fontId="13" fillId="0" borderId="0" xfId="0" applyNumberFormat="1" applyFont="1" applyAlignment="1">
      <alignment wrapText="1"/>
    </xf>
    <xf numFmtId="165" fontId="14" fillId="2" borderId="0" xfId="0" applyFont="1" applyFill="1" applyAlignment="1">
      <alignment horizontal="left"/>
    </xf>
    <xf numFmtId="49" fontId="10" fillId="2" borderId="0" xfId="5" applyNumberFormat="1" applyFont="1" applyFill="1" applyAlignment="1">
      <alignment horizontal="center" wrapText="1"/>
    </xf>
    <xf numFmtId="166" fontId="10" fillId="2" borderId="0" xfId="0" applyNumberFormat="1" applyFont="1" applyFill="1" applyAlignment="1">
      <alignment wrapText="1"/>
    </xf>
    <xf numFmtId="166" fontId="10" fillId="2" borderId="0" xfId="6" applyNumberFormat="1" applyFont="1" applyFill="1" applyAlignment="1">
      <alignment vertical="center" wrapText="1"/>
    </xf>
    <xf numFmtId="166" fontId="10" fillId="2" borderId="0" xfId="6" applyNumberFormat="1" applyFont="1" applyFill="1" applyAlignment="1">
      <alignment horizontal="left" wrapText="1"/>
    </xf>
    <xf numFmtId="0" fontId="12" fillId="0" borderId="0" xfId="7" applyFont="1" applyAlignment="1">
      <alignment horizontal="right" vertical="center"/>
    </xf>
    <xf numFmtId="0" fontId="10" fillId="0" borderId="0" xfId="6" applyFont="1" applyAlignment="1">
      <alignment horizontal="left"/>
    </xf>
    <xf numFmtId="0" fontId="10" fillId="0" borderId="0" xfId="6" applyFont="1" applyAlignment="1">
      <alignment horizontal="right"/>
    </xf>
    <xf numFmtId="168" fontId="10" fillId="0" borderId="0" xfId="6" applyNumberFormat="1" applyFont="1" applyAlignment="1">
      <alignment horizontal="right"/>
    </xf>
    <xf numFmtId="0" fontId="13" fillId="0" borderId="0" xfId="6" applyFont="1" applyAlignment="1">
      <alignment wrapText="1"/>
    </xf>
    <xf numFmtId="165" fontId="10" fillId="0" borderId="0" xfId="0" applyFont="1" applyAlignment="1">
      <alignment horizontal="left"/>
    </xf>
    <xf numFmtId="166" fontId="10" fillId="2" borderId="0" xfId="0" applyNumberFormat="1" applyFont="1" applyFill="1" applyAlignment="1">
      <alignment horizontal="center" wrapText="1"/>
    </xf>
    <xf numFmtId="169" fontId="10" fillId="2" borderId="0" xfId="0" applyNumberFormat="1" applyFont="1" applyFill="1" applyAlignment="1">
      <alignment wrapText="1"/>
    </xf>
    <xf numFmtId="165" fontId="13" fillId="0" borderId="0" xfId="0" applyFont="1" applyAlignment="1">
      <alignment wrapText="1"/>
    </xf>
    <xf numFmtId="165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165" fontId="10" fillId="0" borderId="0" xfId="0" applyFont="1" applyAlignment="1">
      <alignment horizontal="left" vertical="center" wrapText="1"/>
    </xf>
    <xf numFmtId="165" fontId="10" fillId="0" borderId="0" xfId="0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/>
    </xf>
    <xf numFmtId="165" fontId="12" fillId="3" borderId="1" xfId="0" applyFont="1" applyFill="1" applyBorder="1" applyAlignment="1">
      <alignment vertical="center" wrapText="1"/>
    </xf>
    <xf numFmtId="165" fontId="10" fillId="3" borderId="1" xfId="0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165" fontId="10" fillId="3" borderId="1" xfId="0" applyFont="1" applyFill="1" applyBorder="1" applyAlignment="1">
      <alignment vertical="center"/>
    </xf>
    <xf numFmtId="165" fontId="16" fillId="2" borderId="0" xfId="0" applyFont="1" applyFill="1" applyAlignment="1">
      <alignment vertical="center" wrapText="1"/>
    </xf>
    <xf numFmtId="165" fontId="10" fillId="0" borderId="0" xfId="0" applyFont="1" applyAlignment="1">
      <alignment vertical="center"/>
    </xf>
    <xf numFmtId="165" fontId="10" fillId="0" borderId="1" xfId="0" applyFont="1" applyBorder="1" applyAlignment="1">
      <alignment vertical="center"/>
    </xf>
    <xf numFmtId="167" fontId="10" fillId="0" borderId="1" xfId="0" applyNumberFormat="1" applyFont="1" applyBorder="1" applyAlignment="1">
      <alignment horizontal="center" vertical="center"/>
    </xf>
    <xf numFmtId="165" fontId="10" fillId="0" borderId="1" xfId="0" applyFont="1" applyBorder="1" applyAlignment="1">
      <alignment horizontal="left" vertical="center"/>
    </xf>
    <xf numFmtId="165" fontId="10" fillId="0" borderId="0" xfId="0" applyFont="1" applyAlignment="1">
      <alignment wrapText="1"/>
    </xf>
    <xf numFmtId="166" fontId="10" fillId="2" borderId="0" xfId="0" applyNumberFormat="1" applyFont="1" applyFill="1" applyAlignment="1">
      <alignment vertical="top" wrapText="1"/>
    </xf>
    <xf numFmtId="0" fontId="10" fillId="2" borderId="0" xfId="6" applyFont="1" applyFill="1" applyAlignment="1">
      <alignment vertical="center"/>
    </xf>
    <xf numFmtId="0" fontId="10" fillId="2" borderId="0" xfId="6" applyFont="1" applyFill="1" applyAlignment="1">
      <alignment horizontal="left"/>
    </xf>
    <xf numFmtId="0" fontId="10" fillId="2" borderId="0" xfId="6" applyFont="1" applyFill="1"/>
    <xf numFmtId="165" fontId="20" fillId="0" borderId="0" xfId="0" applyFont="1"/>
    <xf numFmtId="0" fontId="17" fillId="2" borderId="0" xfId="6" applyFont="1" applyFill="1"/>
    <xf numFmtId="166" fontId="20" fillId="2" borderId="0" xfId="0" applyNumberFormat="1" applyFont="1" applyFill="1" applyAlignment="1">
      <alignment horizontal="center" wrapText="1"/>
    </xf>
    <xf numFmtId="3" fontId="20" fillId="0" borderId="0" xfId="0" applyNumberFormat="1" applyFont="1"/>
    <xf numFmtId="3" fontId="20" fillId="0" borderId="0" xfId="0" applyNumberFormat="1" applyFont="1" applyAlignment="1">
      <alignment wrapText="1"/>
    </xf>
    <xf numFmtId="3" fontId="21" fillId="0" borderId="0" xfId="0" applyNumberFormat="1" applyFont="1" applyAlignment="1">
      <alignment horizontal="left"/>
    </xf>
    <xf numFmtId="165" fontId="21" fillId="0" borderId="0" xfId="0" applyFont="1" applyAlignment="1">
      <alignment horizontal="left"/>
    </xf>
    <xf numFmtId="3" fontId="22" fillId="0" borderId="0" xfId="0" applyNumberFormat="1" applyFont="1" applyAlignment="1">
      <alignment horizontal="left"/>
    </xf>
    <xf numFmtId="165" fontId="24" fillId="0" borderId="0" xfId="0" applyFont="1" applyAlignment="1">
      <alignment horizontal="left"/>
    </xf>
    <xf numFmtId="165" fontId="24" fillId="0" borderId="0" xfId="0" applyFont="1" applyAlignment="1">
      <alignment horizontal="left" vertical="center"/>
    </xf>
    <xf numFmtId="165" fontId="10" fillId="0" borderId="1" xfId="0" applyFont="1" applyBorder="1" applyAlignment="1">
      <alignment vertical="center" wrapText="1"/>
    </xf>
    <xf numFmtId="165" fontId="10" fillId="0" borderId="1" xfId="0" applyFont="1" applyBorder="1" applyAlignment="1">
      <alignment horizontal="left" vertical="center" wrapText="1"/>
    </xf>
    <xf numFmtId="168" fontId="10" fillId="0" borderId="0" xfId="0" applyNumberFormat="1" applyFont="1"/>
    <xf numFmtId="168" fontId="10" fillId="0" borderId="0" xfId="6" applyNumberFormat="1" applyFont="1" applyAlignment="1">
      <alignment horizontal="left"/>
    </xf>
    <xf numFmtId="168" fontId="20" fillId="0" borderId="0" xfId="0" applyNumberFormat="1" applyFont="1"/>
    <xf numFmtId="168" fontId="12" fillId="3" borderId="1" xfId="0" applyNumberFormat="1" applyFont="1" applyFill="1" applyBorder="1" applyAlignment="1">
      <alignment horizontal="center" vertical="center"/>
    </xf>
    <xf numFmtId="168" fontId="10" fillId="0" borderId="0" xfId="2" applyNumberFormat="1" applyFont="1" applyBorder="1" applyAlignment="1">
      <alignment vertical="center"/>
    </xf>
    <xf numFmtId="168" fontId="10" fillId="0" borderId="1" xfId="2" applyNumberFormat="1" applyFont="1" applyBorder="1" applyAlignment="1">
      <alignment vertical="center"/>
    </xf>
    <xf numFmtId="165" fontId="10" fillId="0" borderId="1" xfId="0" applyFont="1" applyBorder="1" applyAlignment="1">
      <alignment horizontal="center" vertical="center"/>
    </xf>
    <xf numFmtId="165" fontId="10" fillId="0" borderId="0" xfId="0" applyFont="1" applyAlignment="1">
      <alignment vertical="center" wrapText="1"/>
    </xf>
    <xf numFmtId="168" fontId="12" fillId="3" borderId="1" xfId="0" applyNumberFormat="1" applyFont="1" applyFill="1" applyBorder="1" applyAlignment="1">
      <alignment vertical="center"/>
    </xf>
    <xf numFmtId="0" fontId="10" fillId="0" borderId="1" xfId="1" applyNumberFormat="1" applyFont="1" applyFill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center" vertical="center"/>
    </xf>
    <xf numFmtId="165" fontId="10" fillId="0" borderId="0" xfId="0" applyFont="1" applyAlignment="1">
      <alignment horizontal="center" vertical="center"/>
    </xf>
    <xf numFmtId="0" fontId="10" fillId="2" borderId="1" xfId="0" applyNumberFormat="1" applyFont="1" applyFill="1" applyBorder="1" applyAlignment="1">
      <alignment vertical="center" wrapText="1"/>
    </xf>
    <xf numFmtId="165" fontId="18" fillId="4" borderId="1" xfId="0" applyFont="1" applyFill="1" applyBorder="1" applyAlignment="1">
      <alignment vertical="center" wrapText="1"/>
    </xf>
    <xf numFmtId="165" fontId="15" fillId="0" borderId="0" xfId="0" applyFont="1" applyAlignment="1">
      <alignment horizontal="center" vertical="center"/>
    </xf>
    <xf numFmtId="165" fontId="11" fillId="0" borderId="0" xfId="0" applyFont="1" applyAlignment="1">
      <alignment vertical="center" wrapText="1"/>
    </xf>
    <xf numFmtId="167" fontId="15" fillId="0" borderId="0" xfId="0" applyNumberFormat="1" applyFont="1" applyAlignment="1">
      <alignment horizontal="center" vertical="center"/>
    </xf>
    <xf numFmtId="165" fontId="15" fillId="0" borderId="0" xfId="0" applyFont="1" applyAlignment="1">
      <alignment vertical="center"/>
    </xf>
    <xf numFmtId="168" fontId="15" fillId="0" borderId="0" xfId="0" applyNumberFormat="1" applyFont="1" applyAlignment="1">
      <alignment vertical="center"/>
    </xf>
    <xf numFmtId="165" fontId="15" fillId="0" borderId="0" xfId="0" applyFont="1" applyAlignment="1">
      <alignment vertical="center" wrapText="1"/>
    </xf>
    <xf numFmtId="165" fontId="23" fillId="0" borderId="0" xfId="0" applyFont="1" applyAlignment="1">
      <alignment horizontal="left" vertical="center"/>
    </xf>
    <xf numFmtId="165" fontId="12" fillId="3" borderId="2" xfId="0" applyFont="1" applyFill="1" applyBorder="1" applyAlignment="1">
      <alignment vertical="center"/>
    </xf>
    <xf numFmtId="165" fontId="12" fillId="3" borderId="1" xfId="0" applyFont="1" applyFill="1" applyBorder="1" applyAlignment="1">
      <alignment vertical="center"/>
    </xf>
    <xf numFmtId="167" fontId="12" fillId="3" borderId="3" xfId="0" applyNumberFormat="1" applyFont="1" applyFill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165" fontId="10" fillId="0" borderId="2" xfId="0" applyFont="1" applyBorder="1" applyAlignment="1">
      <alignment vertical="center"/>
    </xf>
    <xf numFmtId="168" fontId="10" fillId="0" borderId="1" xfId="0" applyNumberFormat="1" applyFont="1" applyBorder="1" applyAlignment="1">
      <alignment vertical="center"/>
    </xf>
    <xf numFmtId="165" fontId="13" fillId="0" borderId="0" xfId="0" applyFont="1" applyAlignment="1">
      <alignment vertical="center" wrapText="1"/>
    </xf>
    <xf numFmtId="165" fontId="10" fillId="0" borderId="2" xfId="0" applyFont="1" applyBorder="1" applyAlignment="1">
      <alignment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167" fontId="10" fillId="0" borderId="3" xfId="0" applyNumberFormat="1" applyFont="1" applyBorder="1" applyAlignment="1">
      <alignment horizontal="center" vertical="center"/>
    </xf>
    <xf numFmtId="165" fontId="31" fillId="0" borderId="0" xfId="0" applyFont="1" applyAlignment="1">
      <alignment vertical="center" wrapText="1"/>
    </xf>
    <xf numFmtId="165" fontId="10" fillId="0" borderId="2" xfId="0" applyFont="1" applyBorder="1" applyAlignment="1">
      <alignment horizontal="left" vertical="center"/>
    </xf>
    <xf numFmtId="168" fontId="15" fillId="0" borderId="0" xfId="0" applyNumberFormat="1" applyFont="1" applyAlignment="1">
      <alignment horizontal="center" vertical="center"/>
    </xf>
    <xf numFmtId="168" fontId="11" fillId="0" borderId="1" xfId="0" applyNumberFormat="1" applyFont="1" applyBorder="1" applyAlignment="1">
      <alignment vertical="center"/>
    </xf>
    <xf numFmtId="165" fontId="32" fillId="0" borderId="0" xfId="0" applyFont="1" applyAlignment="1">
      <alignment vertical="center" wrapText="1"/>
    </xf>
    <xf numFmtId="167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0" fontId="10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165" fontId="16" fillId="0" borderId="0" xfId="0" applyFont="1" applyAlignment="1">
      <alignment vertical="center" wrapText="1"/>
    </xf>
    <xf numFmtId="168" fontId="10" fillId="3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vertical="center"/>
    </xf>
    <xf numFmtId="165" fontId="25" fillId="0" borderId="0" xfId="3" applyFont="1" applyFill="1" applyAlignment="1">
      <alignment horizontal="left" vertical="center"/>
    </xf>
    <xf numFmtId="0" fontId="18" fillId="4" borderId="1" xfId="1" applyNumberFormat="1" applyFont="1" applyFill="1" applyBorder="1" applyAlignment="1">
      <alignment horizontal="center" vertical="center" wrapText="1"/>
    </xf>
    <xf numFmtId="165" fontId="18" fillId="4" borderId="1" xfId="0" applyFont="1" applyFill="1" applyBorder="1" applyAlignment="1">
      <alignment horizontal="center" vertical="center"/>
    </xf>
    <xf numFmtId="167" fontId="18" fillId="4" borderId="1" xfId="0" applyNumberFormat="1" applyFont="1" applyFill="1" applyBorder="1" applyAlignment="1">
      <alignment horizontal="center" vertical="center"/>
    </xf>
    <xf numFmtId="165" fontId="18" fillId="4" borderId="1" xfId="0" applyFont="1" applyFill="1" applyBorder="1" applyAlignment="1">
      <alignment vertical="center"/>
    </xf>
    <xf numFmtId="168" fontId="18" fillId="4" borderId="1" xfId="0" applyNumberFormat="1" applyFont="1" applyFill="1" applyBorder="1" applyAlignment="1">
      <alignment vertical="center"/>
    </xf>
    <xf numFmtId="165" fontId="26" fillId="0" borderId="0" xfId="0" applyFont="1" applyAlignment="1">
      <alignment horizontal="left" vertical="center"/>
    </xf>
    <xf numFmtId="165" fontId="18" fillId="0" borderId="0" xfId="0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18" fillId="0" borderId="1" xfId="0" applyNumberFormat="1" applyFont="1" applyBorder="1" applyAlignment="1">
      <alignment horizontal="center" vertical="center"/>
    </xf>
    <xf numFmtId="165" fontId="18" fillId="0" borderId="1" xfId="0" applyFont="1" applyBorder="1" applyAlignment="1">
      <alignment vertical="center" wrapText="1"/>
    </xf>
    <xf numFmtId="165" fontId="18" fillId="0" borderId="1" xfId="0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65" fontId="18" fillId="0" borderId="1" xfId="0" applyFont="1" applyBorder="1" applyAlignment="1">
      <alignment vertical="center"/>
    </xf>
    <xf numFmtId="168" fontId="18" fillId="0" borderId="1" xfId="0" applyNumberFormat="1" applyFont="1" applyBorder="1" applyAlignment="1">
      <alignment vertical="center"/>
    </xf>
    <xf numFmtId="0" fontId="12" fillId="0" borderId="1" xfId="0" applyNumberFormat="1" applyFont="1" applyBorder="1" applyAlignment="1">
      <alignment horizontal="center" vertical="center"/>
    </xf>
    <xf numFmtId="165" fontId="12" fillId="0" borderId="1" xfId="0" applyFont="1" applyBorder="1" applyAlignment="1">
      <alignment vertical="center" wrapText="1"/>
    </xf>
    <xf numFmtId="165" fontId="12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5" fontId="12" fillId="0" borderId="1" xfId="0" applyFont="1" applyBorder="1" applyAlignment="1">
      <alignment vertical="center"/>
    </xf>
    <xf numFmtId="168" fontId="12" fillId="0" borderId="1" xfId="0" applyNumberFormat="1" applyFont="1" applyBorder="1" applyAlignment="1">
      <alignment vertical="center"/>
    </xf>
    <xf numFmtId="165" fontId="27" fillId="0" borderId="0" xfId="0" applyFont="1" applyAlignment="1">
      <alignment horizontal="left" vertical="center"/>
    </xf>
    <xf numFmtId="165" fontId="12" fillId="0" borderId="0" xfId="0" applyFont="1" applyAlignment="1">
      <alignment vertical="center"/>
    </xf>
    <xf numFmtId="165" fontId="28" fillId="0" borderId="0" xfId="3" applyFont="1" applyAlignment="1">
      <alignment horizontal="left" vertical="center"/>
    </xf>
    <xf numFmtId="165" fontId="12" fillId="3" borderId="1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165" fontId="10" fillId="2" borderId="1" xfId="0" applyFont="1" applyFill="1" applyBorder="1" applyAlignment="1">
      <alignment vertical="center"/>
    </xf>
    <xf numFmtId="0" fontId="10" fillId="2" borderId="1" xfId="0" applyNumberFormat="1" applyFont="1" applyFill="1" applyBorder="1" applyAlignment="1">
      <alignment horizontal="center" vertical="center"/>
    </xf>
    <xf numFmtId="165" fontId="10" fillId="2" borderId="1" xfId="0" applyFont="1" applyFill="1" applyBorder="1" applyAlignment="1">
      <alignment vertical="center" wrapText="1"/>
    </xf>
    <xf numFmtId="165" fontId="10" fillId="2" borderId="1" xfId="0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/>
    </xf>
    <xf numFmtId="168" fontId="10" fillId="2" borderId="1" xfId="0" applyNumberFormat="1" applyFont="1" applyFill="1" applyBorder="1" applyAlignment="1">
      <alignment vertical="center"/>
    </xf>
    <xf numFmtId="165" fontId="24" fillId="2" borderId="0" xfId="0" applyFont="1" applyFill="1" applyAlignment="1">
      <alignment horizontal="left" vertical="center"/>
    </xf>
    <xf numFmtId="165" fontId="10" fillId="2" borderId="0" xfId="0" applyFont="1" applyFill="1" applyAlignment="1">
      <alignment vertical="center"/>
    </xf>
    <xf numFmtId="0" fontId="10" fillId="4" borderId="1" xfId="0" applyNumberFormat="1" applyFont="1" applyFill="1" applyBorder="1" applyAlignment="1">
      <alignment horizontal="center" vertical="center"/>
    </xf>
    <xf numFmtId="165" fontId="10" fillId="4" borderId="1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vertical="center"/>
    </xf>
    <xf numFmtId="165" fontId="27" fillId="2" borderId="0" xfId="0" applyFont="1" applyFill="1" applyAlignment="1">
      <alignment horizontal="left" vertical="center"/>
    </xf>
    <xf numFmtId="165" fontId="12" fillId="2" borderId="0" xfId="0" applyFont="1" applyFill="1" applyAlignment="1">
      <alignment vertical="center"/>
    </xf>
    <xf numFmtId="4" fontId="10" fillId="2" borderId="1" xfId="0" applyNumberFormat="1" applyFont="1" applyFill="1" applyBorder="1" applyAlignment="1">
      <alignment horizontal="center" vertical="center"/>
    </xf>
    <xf numFmtId="165" fontId="26" fillId="2" borderId="0" xfId="0" applyFont="1" applyFill="1" applyAlignment="1">
      <alignment horizontal="left" vertical="center"/>
    </xf>
    <xf numFmtId="165" fontId="18" fillId="2" borderId="0" xfId="0" applyFont="1" applyFill="1" applyAlignment="1">
      <alignment vertical="center"/>
    </xf>
    <xf numFmtId="165" fontId="10" fillId="4" borderId="1" xfId="0" applyFont="1" applyFill="1" applyBorder="1" applyAlignment="1">
      <alignment vertical="center" wrapText="1"/>
    </xf>
    <xf numFmtId="165" fontId="10" fillId="4" borderId="1" xfId="0" applyFont="1" applyFill="1" applyBorder="1" applyAlignment="1">
      <alignment vertical="center"/>
    </xf>
    <xf numFmtId="165" fontId="21" fillId="0" borderId="0" xfId="0" applyFont="1" applyAlignment="1">
      <alignment vertical="center"/>
    </xf>
    <xf numFmtId="165" fontId="28" fillId="2" borderId="0" xfId="3" applyFont="1" applyFill="1" applyAlignment="1">
      <alignment horizontal="left" vertical="center"/>
    </xf>
    <xf numFmtId="165" fontId="12" fillId="0" borderId="0" xfId="0" applyFont="1" applyAlignment="1">
      <alignment vertical="center" wrapText="1"/>
    </xf>
    <xf numFmtId="0" fontId="8" fillId="3" borderId="1" xfId="0" applyNumberFormat="1" applyFont="1" applyFill="1" applyBorder="1" applyAlignment="1">
      <alignment horizontal="center" vertical="center"/>
    </xf>
    <xf numFmtId="165" fontId="8" fillId="3" borderId="1" xfId="0" applyFont="1" applyFill="1" applyBorder="1" applyAlignment="1">
      <alignment vertical="center" wrapText="1"/>
    </xf>
    <xf numFmtId="3" fontId="10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20" fillId="2" borderId="0" xfId="0" applyNumberFormat="1" applyFont="1" applyFill="1" applyAlignment="1">
      <alignment horizontal="center" vertical="center"/>
    </xf>
    <xf numFmtId="165" fontId="20" fillId="2" borderId="0" xfId="0" applyFont="1" applyFill="1" applyAlignment="1">
      <alignment vertical="center" wrapText="1"/>
    </xf>
    <xf numFmtId="165" fontId="20" fillId="2" borderId="0" xfId="0" applyFont="1" applyFill="1" applyAlignment="1">
      <alignment horizontal="center" vertical="center"/>
    </xf>
    <xf numFmtId="167" fontId="20" fillId="2" borderId="0" xfId="0" applyNumberFormat="1" applyFont="1" applyFill="1" applyAlignment="1">
      <alignment horizontal="center" vertical="center"/>
    </xf>
    <xf numFmtId="165" fontId="20" fillId="2" borderId="0" xfId="0" applyFont="1" applyFill="1" applyAlignment="1">
      <alignment vertical="center"/>
    </xf>
    <xf numFmtId="168" fontId="17" fillId="2" borderId="0" xfId="0" applyNumberFormat="1" applyFont="1" applyFill="1" applyAlignment="1">
      <alignment horizontal="right" vertical="center"/>
    </xf>
    <xf numFmtId="168" fontId="17" fillId="2" borderId="0" xfId="0" applyNumberFormat="1" applyFont="1" applyFill="1" applyAlignment="1">
      <alignment vertical="center"/>
    </xf>
    <xf numFmtId="165" fontId="17" fillId="2" borderId="0" xfId="0" applyFont="1" applyFill="1" applyAlignment="1">
      <alignment vertical="center" wrapText="1"/>
    </xf>
    <xf numFmtId="165" fontId="29" fillId="2" borderId="0" xfId="0" applyFont="1" applyFill="1" applyAlignment="1">
      <alignment horizontal="left" vertical="center"/>
    </xf>
    <xf numFmtId="0" fontId="18" fillId="2" borderId="1" xfId="0" applyNumberFormat="1" applyFont="1" applyFill="1" applyBorder="1" applyAlignment="1">
      <alignment horizontal="center" vertical="center"/>
    </xf>
    <xf numFmtId="165" fontId="18" fillId="2" borderId="1" xfId="0" applyFont="1" applyFill="1" applyBorder="1" applyAlignment="1">
      <alignment horizontal="center" vertical="center"/>
    </xf>
    <xf numFmtId="167" fontId="18" fillId="2" borderId="1" xfId="0" applyNumberFormat="1" applyFont="1" applyFill="1" applyBorder="1" applyAlignment="1">
      <alignment horizontal="center" vertical="center"/>
    </xf>
    <xf numFmtId="165" fontId="18" fillId="2" borderId="1" xfId="0" applyFont="1" applyFill="1" applyBorder="1" applyAlignment="1">
      <alignment vertical="center"/>
    </xf>
    <xf numFmtId="168" fontId="18" fillId="2" borderId="1" xfId="0" applyNumberFormat="1" applyFont="1" applyFill="1" applyBorder="1" applyAlignment="1">
      <alignment vertical="center"/>
    </xf>
    <xf numFmtId="168" fontId="17" fillId="2" borderId="4" xfId="0" applyNumberFormat="1" applyFont="1" applyFill="1" applyBorder="1" applyAlignment="1">
      <alignment horizontal="right" vertical="center"/>
    </xf>
    <xf numFmtId="168" fontId="17" fillId="2" borderId="1" xfId="0" applyNumberFormat="1" applyFont="1" applyFill="1" applyBorder="1" applyAlignment="1">
      <alignment vertical="center"/>
    </xf>
    <xf numFmtId="0" fontId="10" fillId="2" borderId="0" xfId="0" applyNumberFormat="1" applyFont="1" applyFill="1" applyAlignment="1">
      <alignment horizontal="center" vertical="center"/>
    </xf>
    <xf numFmtId="165" fontId="10" fillId="2" borderId="0" xfId="0" applyFont="1" applyFill="1" applyAlignment="1">
      <alignment vertical="center" wrapText="1"/>
    </xf>
    <xf numFmtId="165" fontId="10" fillId="2" borderId="0" xfId="0" applyFont="1" applyFill="1" applyAlignment="1">
      <alignment horizontal="center" vertical="center"/>
    </xf>
    <xf numFmtId="167" fontId="10" fillId="2" borderId="0" xfId="0" applyNumberFormat="1" applyFont="1" applyFill="1" applyAlignment="1">
      <alignment horizontal="center" vertical="center"/>
    </xf>
    <xf numFmtId="168" fontId="12" fillId="2" borderId="0" xfId="0" applyNumberFormat="1" applyFont="1" applyFill="1" applyAlignment="1">
      <alignment horizontal="right" vertical="center"/>
    </xf>
    <xf numFmtId="168" fontId="12" fillId="2" borderId="0" xfId="0" applyNumberFormat="1" applyFont="1" applyFill="1" applyAlignment="1">
      <alignment vertical="center"/>
    </xf>
    <xf numFmtId="9" fontId="9" fillId="0" borderId="1" xfId="2" applyFont="1" applyFill="1" applyBorder="1" applyAlignment="1">
      <alignment horizontal="center" vertical="center" wrapText="1"/>
    </xf>
    <xf numFmtId="9" fontId="9" fillId="0" borderId="1" xfId="2" applyFont="1" applyBorder="1" applyAlignment="1">
      <alignment horizontal="center" vertical="center" wrapText="1"/>
    </xf>
    <xf numFmtId="168" fontId="17" fillId="2" borderId="5" xfId="0" applyNumberFormat="1" applyFont="1" applyFill="1" applyBorder="1" applyAlignment="1">
      <alignment horizontal="right" vertical="center"/>
    </xf>
    <xf numFmtId="165" fontId="11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5" fontId="11" fillId="0" borderId="0" xfId="0" applyFont="1" applyAlignment="1">
      <alignment vertical="center"/>
    </xf>
    <xf numFmtId="168" fontId="11" fillId="0" borderId="0" xfId="0" applyNumberFormat="1" applyFont="1" applyAlignment="1">
      <alignment vertical="center"/>
    </xf>
    <xf numFmtId="165" fontId="30" fillId="0" borderId="0" xfId="0" applyFont="1" applyAlignment="1">
      <alignment horizontal="left" vertical="center"/>
    </xf>
    <xf numFmtId="165" fontId="13" fillId="0" borderId="1" xfId="0" applyFont="1" applyBorder="1" applyAlignment="1">
      <alignment vertical="center" wrapText="1"/>
    </xf>
    <xf numFmtId="165" fontId="19" fillId="4" borderId="1" xfId="0" applyFont="1" applyFill="1" applyBorder="1" applyAlignment="1">
      <alignment vertical="center" wrapText="1"/>
    </xf>
    <xf numFmtId="165" fontId="19" fillId="0" borderId="1" xfId="0" applyFont="1" applyBorder="1" applyAlignment="1">
      <alignment vertical="center" wrapText="1"/>
    </xf>
    <xf numFmtId="165" fontId="16" fillId="0" borderId="1" xfId="0" applyFont="1" applyBorder="1" applyAlignment="1">
      <alignment vertical="center" wrapText="1"/>
    </xf>
    <xf numFmtId="165" fontId="13" fillId="4" borderId="1" xfId="0" applyFont="1" applyFill="1" applyBorder="1" applyAlignment="1">
      <alignment vertical="center" wrapText="1"/>
    </xf>
    <xf numFmtId="0" fontId="10" fillId="2" borderId="0" xfId="4" applyFont="1" applyFill="1" applyAlignment="1">
      <alignment horizontal="center" wrapText="1"/>
    </xf>
    <xf numFmtId="166" fontId="10" fillId="2" borderId="0" xfId="0" applyNumberFormat="1" applyFont="1" applyFill="1" applyAlignment="1">
      <alignment horizontal="right" vertical="top" wrapText="1"/>
    </xf>
  </cellXfs>
  <cellStyles count="8">
    <cellStyle name="Гиперссылка" xfId="3" builtinId="8"/>
    <cellStyle name="Обычный" xfId="0" builtinId="0"/>
    <cellStyle name="Обычный_коммерческое предложение" xfId="5" xr:uid="{12B5A3C2-392F-46E8-817C-C47BD3504878}"/>
    <cellStyle name="Обычный_Коммерческое предложение Янино" xfId="7" xr:uid="{39F84E75-DB48-4F40-8DDB-A195CE545FB4}"/>
    <cellStyle name="Обычный_Коммерческое предложение Янино 2" xfId="4" xr:uid="{5FB6584D-5759-4B8A-8385-175C4EFE8C6E}"/>
    <cellStyle name="Обычный_Смета от 12,09,06 2" xfId="6" xr:uid="{AFF42BB7-4346-4579-85D3-725AA81F638A}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0</xdr:row>
      <xdr:rowOff>53340</xdr:rowOff>
    </xdr:from>
    <xdr:to>
      <xdr:col>1</xdr:col>
      <xdr:colOff>3070860</xdr:colOff>
      <xdr:row>4</xdr:row>
      <xdr:rowOff>45720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F64928B-1A79-4E5B-9C0D-EE318827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53340"/>
          <a:ext cx="28651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kamin.ru/catalog/tovary-dlya-montazha/otdelochnye-materialy/plitka-naturalnaya-granit-gabbro-diabaz-600kh600kh20-mm" TargetMode="External"/><Relationship Id="rId2" Type="http://schemas.openxmlformats.org/officeDocument/2006/relationships/hyperlink" Target="https://psp-spb.ru/katalog-kompanii-psp/inzhenernyie-sistemyi/trubyi-drenazhnyie-odnostennyie/truba-pe-drenazhgofrir-d110-v-filtre-50m-buxta.html?utm_source=yandex&amp;utm_medium=cpc&amp;utm_campaign=&#1090;&#1088;&#1091;&#1073;&#1072;-&#1076;&#1088;&#1077;&#1085;&#1072;&#1078;&amp;utm_content=13907053045&amp;utm_term=&#1076;&#1088;&#1077;&#1085;&#1072;&#1078;&#1085;&#1099;&#1077;+&#1090;&#1088;&#1091;&#1073;&#1099;+&#1089;&#1087;&#1073;.desktop.&#1057;&#1072;&#1085;&#1082;&#1090;-&#1055;&#1077;&#1090;&#1077;&#1088;&#1073;&#1091;&#1088;&#1075;.44240248640.none&amp;block=premium.1&amp;roistat=direct3_search_13907053045_&#1076;&#1088;&#1077;&#1085;&#1072;&#1078;&#1085;&#1099;&#1077;+&#1090;&#1088;&#1091;&#1073;&#1099;+&#1089;&#1087;&#1073;&amp;roistat_referrer=none&amp;roistat_pos=premium_1&amp;yclid=18238629829100437503" TargetMode="External"/><Relationship Id="rId1" Type="http://schemas.openxmlformats.org/officeDocument/2006/relationships/hyperlink" Target="https://fortresstrade-kafel.ru/product/243560/Keramogranit_Italon_Millennium_Silver__600h600_?yclid=15865530395118534655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tm.ru/cat/nn/7811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4"/>
  <sheetViews>
    <sheetView tabSelected="1" topLeftCell="A393" zoomScaleNormal="100" workbookViewId="0">
      <selection activeCell="B406" sqref="B406"/>
    </sheetView>
  </sheetViews>
  <sheetFormatPr defaultColWidth="9.109375" defaultRowHeight="15.6" x14ac:dyDescent="0.45"/>
  <cols>
    <col min="1" max="1" width="5.109375" style="21" customWidth="1"/>
    <col min="2" max="2" width="55.77734375" style="36" customWidth="1"/>
    <col min="3" max="3" width="13.6640625" style="21" bestFit="1" customWidth="1"/>
    <col min="4" max="4" width="8.6640625" style="22" customWidth="1"/>
    <col min="5" max="5" width="10.44140625" style="1" customWidth="1"/>
    <col min="6" max="7" width="13.88671875" style="53" customWidth="1"/>
    <col min="8" max="8" width="16.21875" style="20" customWidth="1"/>
    <col min="9" max="9" width="42.88671875" style="49" hidden="1" customWidth="1"/>
    <col min="10" max="10" width="15.77734375" style="1" customWidth="1"/>
    <col min="11" max="11" width="11.5546875" style="1" customWidth="1"/>
    <col min="12" max="12" width="15.77734375" style="1" customWidth="1"/>
    <col min="13" max="14" width="9.109375" style="1" customWidth="1"/>
    <col min="15" max="16384" width="9.109375" style="1"/>
  </cols>
  <sheetData>
    <row r="1" spans="1:9" ht="14.4" customHeight="1" x14ac:dyDescent="0.3">
      <c r="A1" s="1"/>
      <c r="B1" s="186"/>
      <c r="C1" s="187" t="s">
        <v>267</v>
      </c>
      <c r="D1" s="187"/>
      <c r="E1" s="187"/>
      <c r="F1" s="187"/>
      <c r="G1" s="187"/>
      <c r="H1" s="37"/>
      <c r="I1" s="46"/>
    </row>
    <row r="2" spans="1:9" ht="13.8" x14ac:dyDescent="0.3">
      <c r="A2" s="1"/>
      <c r="B2" s="186"/>
      <c r="C2" s="187"/>
      <c r="D2" s="187"/>
      <c r="E2" s="187"/>
      <c r="F2" s="187"/>
      <c r="G2" s="187"/>
      <c r="H2" s="37"/>
      <c r="I2" s="46"/>
    </row>
    <row r="3" spans="1:9" ht="13.8" x14ac:dyDescent="0.3">
      <c r="A3" s="1"/>
      <c r="B3" s="186"/>
      <c r="C3" s="187"/>
      <c r="D3" s="187"/>
      <c r="E3" s="187"/>
      <c r="F3" s="187"/>
      <c r="G3" s="187"/>
      <c r="H3" s="37"/>
      <c r="I3" s="46"/>
    </row>
    <row r="4" spans="1:9" ht="13.8" x14ac:dyDescent="0.3">
      <c r="A4" s="1"/>
      <c r="B4" s="186"/>
      <c r="C4" s="187"/>
      <c r="D4" s="187"/>
      <c r="E4" s="187"/>
      <c r="F4" s="187"/>
      <c r="G4" s="187"/>
      <c r="H4" s="37"/>
      <c r="I4" s="46"/>
    </row>
    <row r="5" spans="1:9" ht="13.8" x14ac:dyDescent="0.3">
      <c r="A5" s="1"/>
      <c r="B5" s="186"/>
      <c r="C5" s="187"/>
      <c r="D5" s="187"/>
      <c r="E5" s="187"/>
      <c r="F5" s="187"/>
      <c r="G5" s="187"/>
      <c r="H5" s="37"/>
      <c r="I5" s="46"/>
    </row>
    <row r="6" spans="1:9" ht="13.8" x14ac:dyDescent="0.3">
      <c r="A6" s="1"/>
      <c r="B6" s="186"/>
      <c r="C6" s="187"/>
      <c r="D6" s="187"/>
      <c r="E6" s="187"/>
      <c r="F6" s="187"/>
      <c r="G6" s="187"/>
      <c r="H6" s="37"/>
      <c r="I6" s="46"/>
    </row>
    <row r="7" spans="1:9" ht="30.6" customHeight="1" x14ac:dyDescent="0.3">
      <c r="A7" s="1"/>
      <c r="B7" s="2"/>
      <c r="C7" s="187"/>
      <c r="D7" s="187"/>
      <c r="E7" s="187"/>
      <c r="F7" s="187"/>
      <c r="G7" s="187"/>
      <c r="H7" s="37"/>
      <c r="I7" s="46"/>
    </row>
    <row r="8" spans="1:9" x14ac:dyDescent="0.3">
      <c r="A8" s="1"/>
      <c r="B8" s="3" t="s">
        <v>345</v>
      </c>
      <c r="C8" s="4"/>
      <c r="D8" s="4"/>
      <c r="E8" s="5"/>
      <c r="H8" s="6"/>
      <c r="I8" s="46"/>
    </row>
    <row r="9" spans="1:9" ht="13.8" x14ac:dyDescent="0.3">
      <c r="A9" s="1"/>
      <c r="B9" s="7" t="s">
        <v>346</v>
      </c>
      <c r="C9" s="4"/>
      <c r="D9" s="4"/>
      <c r="E9" s="5"/>
      <c r="H9" s="6"/>
      <c r="I9" s="46"/>
    </row>
    <row r="10" spans="1:9" ht="13.8" x14ac:dyDescent="0.3">
      <c r="A10" s="1"/>
      <c r="B10" s="8"/>
      <c r="C10" s="9"/>
      <c r="D10" s="9"/>
      <c r="E10" s="5"/>
      <c r="H10" s="6"/>
      <c r="I10" s="46"/>
    </row>
    <row r="11" spans="1:9" ht="13.8" x14ac:dyDescent="0.3">
      <c r="A11" s="1"/>
      <c r="B11" s="38" t="s">
        <v>338</v>
      </c>
      <c r="C11" s="10"/>
      <c r="D11" s="10"/>
      <c r="E11" s="5"/>
      <c r="H11" s="6"/>
      <c r="I11" s="46"/>
    </row>
    <row r="12" spans="1:9" ht="13.8" x14ac:dyDescent="0.3">
      <c r="A12" s="1"/>
      <c r="B12" s="39" t="s">
        <v>268</v>
      </c>
      <c r="C12" s="11"/>
      <c r="D12" s="11"/>
      <c r="E12" s="5"/>
      <c r="H12" s="6"/>
      <c r="I12" s="46"/>
    </row>
    <row r="13" spans="1:9" ht="13.8" x14ac:dyDescent="0.3">
      <c r="A13" s="12"/>
      <c r="B13" s="13" t="s">
        <v>344</v>
      </c>
      <c r="C13" s="13"/>
      <c r="D13" s="13"/>
      <c r="E13" s="14"/>
      <c r="F13" s="15"/>
      <c r="G13" s="54"/>
      <c r="H13" s="16"/>
      <c r="I13" s="47"/>
    </row>
    <row r="14" spans="1:9" ht="13.8" x14ac:dyDescent="0.3">
      <c r="A14" s="1"/>
      <c r="B14" s="40"/>
      <c r="C14" s="18"/>
      <c r="D14" s="18"/>
      <c r="E14" s="5"/>
      <c r="H14" s="6"/>
      <c r="I14" s="46"/>
    </row>
    <row r="15" spans="1:9" s="41" customFormat="1" ht="14.4" x14ac:dyDescent="0.3">
      <c r="B15" s="42" t="s">
        <v>269</v>
      </c>
      <c r="C15" s="43"/>
      <c r="D15" s="43"/>
      <c r="E15" s="44"/>
      <c r="F15" s="55"/>
      <c r="G15" s="55"/>
      <c r="H15" s="45"/>
      <c r="I15" s="48"/>
    </row>
    <row r="16" spans="1:9" ht="13.8" x14ac:dyDescent="0.3">
      <c r="A16" s="1"/>
      <c r="B16" s="40" t="s">
        <v>270</v>
      </c>
      <c r="C16" s="19"/>
      <c r="D16" s="17"/>
      <c r="E16" s="5"/>
      <c r="I16" s="47"/>
    </row>
    <row r="17" spans="1:9" ht="13.8" x14ac:dyDescent="0.3">
      <c r="A17" s="1"/>
      <c r="B17" s="40" t="s">
        <v>271</v>
      </c>
      <c r="C17" s="19"/>
      <c r="D17" s="17"/>
      <c r="E17" s="5"/>
      <c r="I17" s="47"/>
    </row>
    <row r="18" spans="1:9" ht="13.8" x14ac:dyDescent="0.3">
      <c r="A18" s="1"/>
      <c r="B18" s="1"/>
      <c r="C18" s="1"/>
      <c r="D18" s="1"/>
      <c r="E18" s="5"/>
      <c r="H18" s="6"/>
      <c r="I18" s="46"/>
    </row>
    <row r="19" spans="1:9" s="70" customFormat="1" ht="17.399999999999999" x14ac:dyDescent="0.3">
      <c r="A19" s="67"/>
      <c r="B19" s="68" t="s">
        <v>272</v>
      </c>
      <c r="C19" s="67"/>
      <c r="D19" s="69"/>
      <c r="F19" s="71"/>
      <c r="G19" s="71"/>
      <c r="H19" s="72"/>
      <c r="I19" s="73"/>
    </row>
    <row r="20" spans="1:9" s="32" customFormat="1" x14ac:dyDescent="0.3">
      <c r="A20" s="28"/>
      <c r="B20" s="74" t="s">
        <v>10</v>
      </c>
      <c r="C20" s="75"/>
      <c r="D20" s="76"/>
      <c r="E20" s="75"/>
      <c r="F20" s="61"/>
      <c r="G20" s="56" t="s">
        <v>8</v>
      </c>
      <c r="H20" s="31"/>
      <c r="I20" s="50"/>
    </row>
    <row r="21" spans="1:9" s="32" customFormat="1" ht="14.4" customHeight="1" x14ac:dyDescent="0.3">
      <c r="A21" s="77">
        <v>1</v>
      </c>
      <c r="B21" s="78" t="str">
        <f>B39</f>
        <v>Подготовительные земельные работы</v>
      </c>
      <c r="C21" s="33"/>
      <c r="D21" s="34"/>
      <c r="E21" s="77"/>
      <c r="F21" s="63"/>
      <c r="G21" s="79">
        <f>G60</f>
        <v>434913.19632233639</v>
      </c>
      <c r="H21" s="80"/>
      <c r="I21" s="50"/>
    </row>
    <row r="22" spans="1:9" s="32" customFormat="1" ht="14.4" customHeight="1" x14ac:dyDescent="0.3">
      <c r="A22" s="77">
        <v>2</v>
      </c>
      <c r="B22" s="78" t="str">
        <f>B62</f>
        <v>Дренажная и ливневая системы.</v>
      </c>
      <c r="C22" s="33"/>
      <c r="D22" s="34"/>
      <c r="E22" s="77"/>
      <c r="F22" s="63"/>
      <c r="G22" s="79">
        <f>G90</f>
        <v>32960</v>
      </c>
      <c r="H22" s="80"/>
      <c r="I22" s="50"/>
    </row>
    <row r="23" spans="1:9" s="32" customFormat="1" ht="14.4" customHeight="1" x14ac:dyDescent="0.3">
      <c r="A23" s="77">
        <v>3</v>
      </c>
      <c r="B23" s="78" t="str">
        <f>B92</f>
        <v>Монолитные железобетонные конструкции</v>
      </c>
      <c r="C23" s="33"/>
      <c r="D23" s="34"/>
      <c r="E23" s="77"/>
      <c r="F23" s="63"/>
      <c r="G23" s="79">
        <f>G176</f>
        <v>300676</v>
      </c>
      <c r="H23" s="80"/>
      <c r="I23" s="50"/>
    </row>
    <row r="24" spans="1:9" s="32" customFormat="1" ht="14.4" customHeight="1" x14ac:dyDescent="0.3">
      <c r="A24" s="77">
        <v>4</v>
      </c>
      <c r="B24" s="78" t="str">
        <f>B178</f>
        <v>Подпорные стенки, ступени - верхняя зона</v>
      </c>
      <c r="C24" s="33"/>
      <c r="D24" s="34"/>
      <c r="E24" s="33"/>
      <c r="F24" s="63"/>
      <c r="G24" s="79">
        <f>G209</f>
        <v>60400</v>
      </c>
      <c r="H24" s="80"/>
      <c r="I24" s="50"/>
    </row>
    <row r="25" spans="1:9" s="32" customFormat="1" ht="14.4" customHeight="1" x14ac:dyDescent="0.3">
      <c r="A25" s="77">
        <v>5</v>
      </c>
      <c r="B25" s="78" t="str">
        <f>B211</f>
        <v>Покрытия.</v>
      </c>
      <c r="C25" s="33"/>
      <c r="D25" s="34"/>
      <c r="E25" s="77"/>
      <c r="F25" s="63"/>
      <c r="G25" s="79">
        <f>G322</f>
        <v>798515.47</v>
      </c>
      <c r="H25" s="80"/>
      <c r="I25" s="50"/>
    </row>
    <row r="26" spans="1:9" s="32" customFormat="1" ht="14.4" customHeight="1" x14ac:dyDescent="0.3">
      <c r="A26" s="77">
        <v>6</v>
      </c>
      <c r="B26" s="78" t="str">
        <f>B324</f>
        <v>Лестница в нижнюю часть участка</v>
      </c>
      <c r="C26" s="33"/>
      <c r="D26" s="34"/>
      <c r="E26" s="77"/>
      <c r="F26" s="63"/>
      <c r="G26" s="79">
        <f>G342</f>
        <v>26346.5</v>
      </c>
      <c r="H26" s="80"/>
      <c r="I26" s="50"/>
    </row>
    <row r="27" spans="1:9" s="32" customFormat="1" ht="14.4" customHeight="1" x14ac:dyDescent="0.3">
      <c r="A27" s="77">
        <v>7</v>
      </c>
      <c r="B27" s="81" t="str">
        <f>B344</f>
        <v>Террасные настилы.</v>
      </c>
      <c r="C27" s="51"/>
      <c r="D27" s="82"/>
      <c r="E27" s="77"/>
      <c r="F27" s="63"/>
      <c r="G27" s="79">
        <f>G383</f>
        <v>103186</v>
      </c>
      <c r="H27" s="80"/>
      <c r="I27" s="50"/>
    </row>
    <row r="28" spans="1:9" s="32" customFormat="1" ht="14.4" customHeight="1" x14ac:dyDescent="0.3">
      <c r="A28" s="77">
        <v>8</v>
      </c>
      <c r="B28" s="78" t="str">
        <f>B385</f>
        <v>Освещение.</v>
      </c>
      <c r="C28" s="33"/>
      <c r="D28" s="83"/>
      <c r="E28" s="77"/>
      <c r="F28" s="63"/>
      <c r="G28" s="79">
        <f>G453</f>
        <v>589500</v>
      </c>
      <c r="H28" s="84"/>
      <c r="I28" s="50"/>
    </row>
    <row r="29" spans="1:9" s="32" customFormat="1" ht="14.4" customHeight="1" x14ac:dyDescent="0.3">
      <c r="A29" s="77">
        <v>9</v>
      </c>
      <c r="B29" s="85" t="str">
        <f>B455</f>
        <v>Газон.</v>
      </c>
      <c r="C29" s="35"/>
      <c r="D29" s="83"/>
      <c r="E29" s="77"/>
      <c r="F29" s="63"/>
      <c r="G29" s="79">
        <f>G462</f>
        <v>57143.953488372092</v>
      </c>
      <c r="H29" s="84"/>
      <c r="I29" s="50"/>
    </row>
    <row r="30" spans="1:9" s="32" customFormat="1" ht="14.4" customHeight="1" x14ac:dyDescent="0.3">
      <c r="A30" s="77">
        <v>10</v>
      </c>
      <c r="B30" s="85" t="str">
        <f>B464</f>
        <v>Ограждение стеклянное</v>
      </c>
      <c r="C30" s="35"/>
      <c r="D30" s="83"/>
      <c r="E30" s="77"/>
      <c r="F30" s="63"/>
      <c r="G30" s="79">
        <f>G468</f>
        <v>9260</v>
      </c>
      <c r="H30" s="84"/>
      <c r="I30" s="50"/>
    </row>
    <row r="31" spans="1:9" s="32" customFormat="1" ht="14.4" customHeight="1" x14ac:dyDescent="0.3">
      <c r="A31" s="77">
        <v>11</v>
      </c>
      <c r="B31" s="85" t="str">
        <f>B470</f>
        <v>Автополив</v>
      </c>
      <c r="C31" s="35"/>
      <c r="D31" s="83"/>
      <c r="E31" s="77"/>
      <c r="F31" s="63"/>
      <c r="G31" s="79">
        <f>G474</f>
        <v>200</v>
      </c>
      <c r="H31" s="84"/>
      <c r="I31" s="50"/>
    </row>
    <row r="32" spans="1:9" s="32" customFormat="1" ht="14.4" customHeight="1" x14ac:dyDescent="0.3">
      <c r="A32" s="77">
        <v>12</v>
      </c>
      <c r="B32" s="85" t="str">
        <f>B476</f>
        <v>Бассейн</v>
      </c>
      <c r="C32" s="35"/>
      <c r="D32" s="83"/>
      <c r="E32" s="77"/>
      <c r="F32" s="63"/>
      <c r="G32" s="79">
        <f>G480</f>
        <v>200</v>
      </c>
      <c r="H32" s="84"/>
      <c r="I32" s="50"/>
    </row>
    <row r="33" spans="1:14" s="32" customFormat="1" ht="14.4" customHeight="1" x14ac:dyDescent="0.3">
      <c r="A33" s="77">
        <v>13</v>
      </c>
      <c r="B33" s="78" t="str">
        <f>B482</f>
        <v>Антиобледенение</v>
      </c>
      <c r="C33" s="33"/>
      <c r="D33" s="34"/>
      <c r="E33" s="77"/>
      <c r="F33" s="63"/>
      <c r="G33" s="79">
        <f>G486</f>
        <v>200</v>
      </c>
      <c r="H33" s="84"/>
      <c r="I33" s="50"/>
    </row>
    <row r="34" spans="1:14" s="32" customFormat="1" ht="14.4" customHeight="1" x14ac:dyDescent="0.3">
      <c r="A34" s="77">
        <v>14</v>
      </c>
      <c r="B34" s="78" t="str">
        <f>B490</f>
        <v>Вывоз грунта (по факту)</v>
      </c>
      <c r="C34" s="33"/>
      <c r="D34" s="34"/>
      <c r="E34" s="77"/>
      <c r="F34" s="63"/>
      <c r="G34" s="79">
        <f>G494</f>
        <v>42600</v>
      </c>
      <c r="H34" s="84"/>
      <c r="I34" s="50"/>
    </row>
    <row r="35" spans="1:14" s="32" customFormat="1" ht="14.4" customHeight="1" x14ac:dyDescent="0.3">
      <c r="A35" s="77">
        <v>15</v>
      </c>
      <c r="B35" s="85" t="str">
        <f>B496</f>
        <v>Организационные затраты (предварительно)</v>
      </c>
      <c r="C35" s="35"/>
      <c r="D35" s="83"/>
      <c r="E35" s="77"/>
      <c r="F35" s="63"/>
      <c r="G35" s="79">
        <f>G502</f>
        <v>555205.25755646289</v>
      </c>
      <c r="H35" s="84"/>
      <c r="I35" s="50"/>
    </row>
    <row r="36" spans="1:14" s="70" customFormat="1" ht="17.399999999999999" x14ac:dyDescent="0.3">
      <c r="A36" s="67"/>
      <c r="B36" s="68" t="str">
        <f>B504</f>
        <v>ВСЕГО по смете:</v>
      </c>
      <c r="C36" s="67"/>
      <c r="D36" s="69"/>
      <c r="E36" s="67"/>
      <c r="F36" s="86"/>
      <c r="G36" s="87">
        <f>SUM(G21:G35)</f>
        <v>3011306.3773671715</v>
      </c>
      <c r="H36" s="88"/>
      <c r="I36" s="73"/>
    </row>
    <row r="37" spans="1:14" s="32" customFormat="1" x14ac:dyDescent="0.3">
      <c r="A37" s="64"/>
      <c r="B37" s="60"/>
      <c r="C37" s="64"/>
      <c r="D37" s="89"/>
      <c r="F37" s="90"/>
      <c r="G37" s="90"/>
      <c r="H37" s="80"/>
      <c r="I37" s="50"/>
    </row>
    <row r="38" spans="1:14" s="32" customFormat="1" ht="12.75" customHeight="1" x14ac:dyDescent="0.3">
      <c r="A38" s="91"/>
      <c r="B38" s="23"/>
      <c r="C38" s="24"/>
      <c r="D38" s="25"/>
      <c r="E38" s="23"/>
      <c r="F38" s="57"/>
      <c r="G38" s="92"/>
      <c r="H38" s="93"/>
      <c r="I38" s="50"/>
    </row>
    <row r="39" spans="1:14" s="32" customFormat="1" x14ac:dyDescent="0.3">
      <c r="A39" s="26" t="s">
        <v>12</v>
      </c>
      <c r="B39" s="27" t="s">
        <v>21</v>
      </c>
      <c r="C39" s="28" t="s">
        <v>353</v>
      </c>
      <c r="D39" s="29" t="s">
        <v>9</v>
      </c>
      <c r="E39" s="28" t="s">
        <v>337</v>
      </c>
      <c r="F39" s="94" t="s">
        <v>5</v>
      </c>
      <c r="G39" s="94" t="s">
        <v>6</v>
      </c>
      <c r="H39" s="94" t="s">
        <v>349</v>
      </c>
      <c r="I39" s="50"/>
      <c r="L39" s="95"/>
      <c r="M39" s="95"/>
      <c r="N39" s="95"/>
    </row>
    <row r="40" spans="1:14" s="32" customFormat="1" ht="27.6" x14ac:dyDescent="0.3">
      <c r="A40" s="62">
        <v>1</v>
      </c>
      <c r="B40" s="51" t="s">
        <v>22</v>
      </c>
      <c r="C40" s="59" t="s">
        <v>2</v>
      </c>
      <c r="D40" s="34">
        <v>2540</v>
      </c>
      <c r="E40" s="33">
        <v>100</v>
      </c>
      <c r="F40" s="79">
        <f>D40*E40</f>
        <v>254000</v>
      </c>
      <c r="G40" s="79"/>
      <c r="H40" s="181"/>
      <c r="I40" s="50"/>
      <c r="L40" s="95"/>
      <c r="M40" s="95"/>
      <c r="N40" s="95"/>
    </row>
    <row r="41" spans="1:14" s="32" customFormat="1" ht="27.6" x14ac:dyDescent="0.3">
      <c r="A41" s="62">
        <v>2</v>
      </c>
      <c r="B41" s="65" t="s">
        <v>23</v>
      </c>
      <c r="C41" s="59" t="s">
        <v>4</v>
      </c>
      <c r="D41" s="34">
        <v>110</v>
      </c>
      <c r="E41" s="33">
        <v>100</v>
      </c>
      <c r="F41" s="79">
        <f t="shared" ref="F41:F45" si="0">D41*E41</f>
        <v>11000</v>
      </c>
      <c r="G41" s="79"/>
      <c r="H41" s="181"/>
      <c r="I41" s="96"/>
    </row>
    <row r="42" spans="1:14" s="32" customFormat="1" ht="27.6" x14ac:dyDescent="0.3">
      <c r="A42" s="62">
        <v>3</v>
      </c>
      <c r="B42" s="65" t="s">
        <v>24</v>
      </c>
      <c r="C42" s="59" t="s">
        <v>4</v>
      </c>
      <c r="D42" s="34">
        <v>21</v>
      </c>
      <c r="E42" s="33">
        <v>100</v>
      </c>
      <c r="F42" s="79">
        <f t="shared" si="0"/>
        <v>2100</v>
      </c>
      <c r="G42" s="79"/>
      <c r="H42" s="181"/>
      <c r="I42" s="50"/>
    </row>
    <row r="43" spans="1:14" s="32" customFormat="1" ht="15.6" customHeight="1" x14ac:dyDescent="0.3">
      <c r="A43" s="62">
        <v>4</v>
      </c>
      <c r="B43" s="65" t="s">
        <v>25</v>
      </c>
      <c r="C43" s="59" t="s">
        <v>4</v>
      </c>
      <c r="D43" s="34">
        <v>12</v>
      </c>
      <c r="E43" s="33">
        <v>100</v>
      </c>
      <c r="F43" s="79">
        <f t="shared" ref="F43" si="1">D43*E43</f>
        <v>1200</v>
      </c>
      <c r="G43" s="79"/>
      <c r="H43" s="181"/>
      <c r="I43" s="50"/>
    </row>
    <row r="44" spans="1:14" s="32" customFormat="1" ht="15.6" customHeight="1" x14ac:dyDescent="0.3">
      <c r="A44" s="62"/>
      <c r="B44" s="51" t="s">
        <v>318</v>
      </c>
      <c r="C44" s="59" t="s">
        <v>4</v>
      </c>
      <c r="D44" s="34">
        <f>D43/0.86</f>
        <v>13.953488372093023</v>
      </c>
      <c r="E44" s="33">
        <v>100</v>
      </c>
      <c r="F44" s="79"/>
      <c r="G44" s="79">
        <f>D44*E44</f>
        <v>1395.3488372093022</v>
      </c>
      <c r="H44" s="181" t="s">
        <v>324</v>
      </c>
      <c r="I44" s="50"/>
    </row>
    <row r="45" spans="1:14" s="32" customFormat="1" ht="15.6" customHeight="1" x14ac:dyDescent="0.3">
      <c r="A45" s="62">
        <v>5</v>
      </c>
      <c r="B45" s="51" t="s">
        <v>26</v>
      </c>
      <c r="C45" s="59" t="s">
        <v>2</v>
      </c>
      <c r="D45" s="34">
        <v>250</v>
      </c>
      <c r="E45" s="33">
        <v>100</v>
      </c>
      <c r="F45" s="79">
        <f t="shared" si="0"/>
        <v>25000</v>
      </c>
      <c r="G45" s="79"/>
      <c r="H45" s="181"/>
      <c r="I45" s="50"/>
    </row>
    <row r="46" spans="1:14" s="32" customFormat="1" ht="15.6" customHeight="1" x14ac:dyDescent="0.3">
      <c r="A46" s="62">
        <v>6</v>
      </c>
      <c r="B46" s="65" t="s">
        <v>30</v>
      </c>
      <c r="C46" s="59" t="s">
        <v>4</v>
      </c>
      <c r="D46" s="34">
        <f>D41+D42</f>
        <v>131</v>
      </c>
      <c r="E46" s="33"/>
      <c r="F46" s="79"/>
      <c r="G46" s="79"/>
      <c r="H46" s="181"/>
      <c r="I46" s="50"/>
    </row>
    <row r="47" spans="1:14" s="103" customFormat="1" ht="15.6" customHeight="1" x14ac:dyDescent="0.3">
      <c r="A47" s="97"/>
      <c r="B47" s="66" t="s">
        <v>27</v>
      </c>
      <c r="C47" s="98"/>
      <c r="D47" s="99"/>
      <c r="E47" s="100"/>
      <c r="F47" s="101"/>
      <c r="G47" s="101"/>
      <c r="H47" s="182"/>
      <c r="I47" s="102"/>
      <c r="L47" s="104"/>
      <c r="M47" s="104"/>
      <c r="N47" s="104"/>
    </row>
    <row r="48" spans="1:14" s="32" customFormat="1" ht="15" customHeight="1" x14ac:dyDescent="0.3">
      <c r="A48" s="62">
        <v>7</v>
      </c>
      <c r="B48" s="65" t="s">
        <v>28</v>
      </c>
      <c r="C48" s="59" t="s">
        <v>2</v>
      </c>
      <c r="D48" s="34">
        <v>820</v>
      </c>
      <c r="E48" s="33">
        <v>100</v>
      </c>
      <c r="F48" s="79">
        <f t="shared" ref="F48:F51" si="2">D48*E48</f>
        <v>82000</v>
      </c>
      <c r="G48" s="79"/>
      <c r="H48" s="181"/>
      <c r="I48" s="96"/>
    </row>
    <row r="49" spans="1:14" s="32" customFormat="1" ht="28.8" customHeight="1" x14ac:dyDescent="0.3">
      <c r="A49" s="62">
        <v>8</v>
      </c>
      <c r="B49" s="65" t="s">
        <v>29</v>
      </c>
      <c r="C49" s="59" t="s">
        <v>4</v>
      </c>
      <c r="D49" s="34">
        <v>25</v>
      </c>
      <c r="E49" s="33">
        <v>100</v>
      </c>
      <c r="F49" s="79">
        <f t="shared" si="2"/>
        <v>2500</v>
      </c>
      <c r="G49" s="79"/>
      <c r="H49" s="181"/>
      <c r="I49" s="50"/>
    </row>
    <row r="50" spans="1:14" s="32" customFormat="1" ht="15.6" customHeight="1" x14ac:dyDescent="0.3">
      <c r="A50" s="62">
        <v>9</v>
      </c>
      <c r="B50" s="65" t="s">
        <v>30</v>
      </c>
      <c r="C50" s="59" t="s">
        <v>4</v>
      </c>
      <c r="D50" s="34">
        <f>D48*0.1</f>
        <v>82</v>
      </c>
      <c r="E50" s="33"/>
      <c r="F50" s="79"/>
      <c r="G50" s="79"/>
      <c r="H50" s="181"/>
      <c r="I50" s="50"/>
    </row>
    <row r="51" spans="1:14" s="32" customFormat="1" ht="15.6" customHeight="1" x14ac:dyDescent="0.3">
      <c r="A51" s="62">
        <v>10</v>
      </c>
      <c r="B51" s="65" t="s">
        <v>31</v>
      </c>
      <c r="C51" s="59" t="s">
        <v>4</v>
      </c>
      <c r="D51" s="34">
        <v>70</v>
      </c>
      <c r="E51" s="33">
        <v>100</v>
      </c>
      <c r="F51" s="79">
        <f t="shared" si="2"/>
        <v>7000</v>
      </c>
      <c r="G51" s="79"/>
      <c r="H51" s="181"/>
      <c r="I51" s="50"/>
    </row>
    <row r="52" spans="1:14" s="103" customFormat="1" ht="15.6" customHeight="1" x14ac:dyDescent="0.3">
      <c r="A52" s="97"/>
      <c r="B52" s="66" t="s">
        <v>32</v>
      </c>
      <c r="C52" s="98"/>
      <c r="D52" s="99"/>
      <c r="E52" s="100"/>
      <c r="F52" s="101"/>
      <c r="G52" s="101"/>
      <c r="H52" s="182"/>
      <c r="I52" s="102"/>
      <c r="L52" s="104"/>
      <c r="M52" s="104"/>
      <c r="N52" s="104"/>
    </row>
    <row r="53" spans="1:14" s="32" customFormat="1" ht="27.6" x14ac:dyDescent="0.3">
      <c r="A53" s="62">
        <v>11</v>
      </c>
      <c r="B53" s="65" t="s">
        <v>33</v>
      </c>
      <c r="C53" s="59" t="s">
        <v>4</v>
      </c>
      <c r="D53" s="34">
        <v>210</v>
      </c>
      <c r="E53" s="33">
        <v>100</v>
      </c>
      <c r="F53" s="79">
        <f t="shared" ref="F53" si="3">D53*E53</f>
        <v>21000</v>
      </c>
      <c r="G53" s="79"/>
      <c r="H53" s="181"/>
      <c r="I53" s="96"/>
    </row>
    <row r="54" spans="1:14" s="32" customFormat="1" ht="15.6" customHeight="1" x14ac:dyDescent="0.3">
      <c r="A54" s="62">
        <v>12</v>
      </c>
      <c r="B54" s="65" t="s">
        <v>34</v>
      </c>
      <c r="C54" s="59" t="s">
        <v>4</v>
      </c>
      <c r="D54" s="34">
        <v>210</v>
      </c>
      <c r="E54" s="33">
        <v>100</v>
      </c>
      <c r="F54" s="79">
        <f t="shared" ref="F54:F58" si="4">D54*E54</f>
        <v>21000</v>
      </c>
      <c r="G54" s="79"/>
      <c r="H54" s="181"/>
      <c r="I54" s="96"/>
    </row>
    <row r="55" spans="1:14" s="32" customFormat="1" ht="15.6" customHeight="1" x14ac:dyDescent="0.3">
      <c r="A55" s="62">
        <v>13</v>
      </c>
      <c r="B55" s="65" t="s">
        <v>35</v>
      </c>
      <c r="C55" s="59" t="s">
        <v>4</v>
      </c>
      <c r="D55" s="34">
        <v>12</v>
      </c>
      <c r="E55" s="33">
        <v>100</v>
      </c>
      <c r="F55" s="79">
        <f t="shared" si="4"/>
        <v>1200</v>
      </c>
      <c r="G55" s="79"/>
      <c r="H55" s="181"/>
      <c r="I55" s="50"/>
    </row>
    <row r="56" spans="1:14" s="32" customFormat="1" ht="15.6" customHeight="1" x14ac:dyDescent="0.3">
      <c r="A56" s="62"/>
      <c r="B56" s="51" t="s">
        <v>318</v>
      </c>
      <c r="C56" s="59" t="s">
        <v>4</v>
      </c>
      <c r="D56" s="34">
        <f>D55/0.86</f>
        <v>13.953488372093023</v>
      </c>
      <c r="E56" s="33">
        <v>100</v>
      </c>
      <c r="F56" s="79"/>
      <c r="G56" s="79">
        <f>D56*E56</f>
        <v>1395.3488372093022</v>
      </c>
      <c r="H56" s="181" t="s">
        <v>324</v>
      </c>
      <c r="I56" s="50"/>
    </row>
    <row r="57" spans="1:14" s="32" customFormat="1" ht="15.6" customHeight="1" x14ac:dyDescent="0.3">
      <c r="A57" s="62"/>
      <c r="B57" s="51" t="s">
        <v>36</v>
      </c>
      <c r="C57" s="59" t="s">
        <v>4</v>
      </c>
      <c r="D57" s="34">
        <f>D56/0.86</f>
        <v>16.224986479177936</v>
      </c>
      <c r="E57" s="33">
        <v>100</v>
      </c>
      <c r="F57" s="79"/>
      <c r="G57" s="79">
        <f>D57*E57</f>
        <v>1622.4986479177935</v>
      </c>
      <c r="H57" s="181"/>
      <c r="I57" s="50"/>
    </row>
    <row r="58" spans="1:14" s="32" customFormat="1" ht="28.8" customHeight="1" x14ac:dyDescent="0.3">
      <c r="A58" s="62">
        <v>14</v>
      </c>
      <c r="B58" s="65" t="s">
        <v>29</v>
      </c>
      <c r="C58" s="59" t="s">
        <v>4</v>
      </c>
      <c r="D58" s="34">
        <v>25</v>
      </c>
      <c r="E58" s="33">
        <v>100</v>
      </c>
      <c r="F58" s="79">
        <f t="shared" si="4"/>
        <v>2500</v>
      </c>
      <c r="G58" s="79"/>
      <c r="H58" s="181"/>
      <c r="I58" s="50"/>
    </row>
    <row r="59" spans="1:14" s="103" customFormat="1" ht="17.399999999999999" customHeight="1" x14ac:dyDescent="0.3">
      <c r="A59" s="105"/>
      <c r="B59" s="106" t="s">
        <v>90</v>
      </c>
      <c r="C59" s="107"/>
      <c r="D59" s="108"/>
      <c r="E59" s="109"/>
      <c r="F59" s="110">
        <f>SUM(F40:F58)</f>
        <v>430500</v>
      </c>
      <c r="G59" s="110">
        <f>SUM(G40:G58)</f>
        <v>4413.1963223363982</v>
      </c>
      <c r="H59" s="183"/>
      <c r="I59" s="102"/>
    </row>
    <row r="60" spans="1:14" s="118" customFormat="1" x14ac:dyDescent="0.3">
      <c r="A60" s="111"/>
      <c r="B60" s="112" t="s">
        <v>89</v>
      </c>
      <c r="C60" s="113"/>
      <c r="D60" s="114"/>
      <c r="E60" s="115"/>
      <c r="F60" s="116"/>
      <c r="G60" s="116">
        <f>F59+G59</f>
        <v>434913.19632233639</v>
      </c>
      <c r="H60" s="184"/>
      <c r="I60" s="117"/>
    </row>
    <row r="61" spans="1:14" s="32" customFormat="1" x14ac:dyDescent="0.3">
      <c r="A61" s="64"/>
      <c r="B61" s="60"/>
      <c r="C61" s="64"/>
      <c r="D61" s="89"/>
      <c r="F61" s="90"/>
      <c r="G61" s="90"/>
      <c r="H61" s="80"/>
      <c r="I61" s="50"/>
    </row>
    <row r="62" spans="1:14" s="32" customFormat="1" x14ac:dyDescent="0.3">
      <c r="A62" s="26" t="s">
        <v>92</v>
      </c>
      <c r="B62" s="27" t="s">
        <v>48</v>
      </c>
      <c r="C62" s="28" t="s">
        <v>353</v>
      </c>
      <c r="D62" s="29" t="s">
        <v>9</v>
      </c>
      <c r="E62" s="28" t="s">
        <v>337</v>
      </c>
      <c r="F62" s="94" t="s">
        <v>5</v>
      </c>
      <c r="G62" s="94" t="s">
        <v>6</v>
      </c>
      <c r="H62" s="94" t="s">
        <v>349</v>
      </c>
      <c r="I62" s="50"/>
      <c r="L62" s="95"/>
      <c r="M62" s="95"/>
      <c r="N62" s="95"/>
    </row>
    <row r="63" spans="1:14" s="32" customFormat="1" ht="15.6" customHeight="1" x14ac:dyDescent="0.3">
      <c r="A63" s="62">
        <v>15</v>
      </c>
      <c r="B63" s="51" t="s">
        <v>37</v>
      </c>
      <c r="C63" s="59" t="s">
        <v>0</v>
      </c>
      <c r="D63" s="34">
        <v>1</v>
      </c>
      <c r="E63" s="33">
        <v>100</v>
      </c>
      <c r="F63" s="79">
        <f>D63*E63</f>
        <v>100</v>
      </c>
      <c r="G63" s="79"/>
      <c r="H63" s="181"/>
      <c r="I63" s="50"/>
      <c r="L63" s="95"/>
      <c r="M63" s="95"/>
      <c r="N63" s="95"/>
    </row>
    <row r="64" spans="1:14" s="32" customFormat="1" ht="15.6" customHeight="1" x14ac:dyDescent="0.3">
      <c r="A64" s="62"/>
      <c r="B64" s="65" t="s">
        <v>38</v>
      </c>
      <c r="C64" s="59" t="s">
        <v>0</v>
      </c>
      <c r="D64" s="34">
        <v>1</v>
      </c>
      <c r="E64" s="33">
        <v>100</v>
      </c>
      <c r="F64" s="79"/>
      <c r="G64" s="79">
        <f>D64*E64</f>
        <v>100</v>
      </c>
      <c r="H64" s="181"/>
      <c r="I64" s="96" t="s">
        <v>273</v>
      </c>
    </row>
    <row r="65" spans="1:14" s="32" customFormat="1" ht="15.6" customHeight="1" x14ac:dyDescent="0.3">
      <c r="A65" s="77"/>
      <c r="B65" s="51" t="s">
        <v>319</v>
      </c>
      <c r="C65" s="59" t="s">
        <v>4</v>
      </c>
      <c r="D65" s="34">
        <v>0.5</v>
      </c>
      <c r="E65" s="33">
        <v>100</v>
      </c>
      <c r="F65" s="79"/>
      <c r="G65" s="79">
        <f>D65*E65</f>
        <v>50</v>
      </c>
      <c r="H65" s="181"/>
      <c r="I65" s="50"/>
    </row>
    <row r="66" spans="1:14" s="32" customFormat="1" ht="15.6" customHeight="1" x14ac:dyDescent="0.3">
      <c r="A66" s="77"/>
      <c r="B66" s="51" t="s">
        <v>60</v>
      </c>
      <c r="C66" s="59" t="s">
        <v>2</v>
      </c>
      <c r="D66" s="34">
        <v>25</v>
      </c>
      <c r="E66" s="33">
        <v>100</v>
      </c>
      <c r="F66" s="79"/>
      <c r="G66" s="79">
        <f>D66*E66</f>
        <v>2500</v>
      </c>
      <c r="H66" s="181"/>
      <c r="I66" s="50" t="s">
        <v>274</v>
      </c>
    </row>
    <row r="67" spans="1:14" s="32" customFormat="1" ht="15.6" customHeight="1" x14ac:dyDescent="0.3">
      <c r="A67" s="62">
        <v>16</v>
      </c>
      <c r="B67" s="51" t="s">
        <v>39</v>
      </c>
      <c r="C67" s="59" t="s">
        <v>0</v>
      </c>
      <c r="D67" s="34">
        <v>3</v>
      </c>
      <c r="E67" s="33">
        <v>100</v>
      </c>
      <c r="F67" s="79">
        <f>D67*E67</f>
        <v>300</v>
      </c>
      <c r="G67" s="79"/>
      <c r="H67" s="181"/>
      <c r="I67" s="50"/>
    </row>
    <row r="68" spans="1:14" s="32" customFormat="1" ht="15.6" customHeight="1" x14ac:dyDescent="0.3">
      <c r="A68" s="62">
        <v>17</v>
      </c>
      <c r="B68" s="51" t="s">
        <v>40</v>
      </c>
      <c r="C68" s="59" t="s">
        <v>0</v>
      </c>
      <c r="D68" s="34">
        <v>1</v>
      </c>
      <c r="E68" s="33">
        <v>100</v>
      </c>
      <c r="F68" s="79">
        <f>D68*E68</f>
        <v>100</v>
      </c>
      <c r="G68" s="79"/>
      <c r="H68" s="181"/>
      <c r="I68" s="50"/>
      <c r="L68" s="95"/>
      <c r="M68" s="95"/>
      <c r="N68" s="95"/>
    </row>
    <row r="69" spans="1:14" s="32" customFormat="1" ht="15.6" customHeight="1" x14ac:dyDescent="0.3">
      <c r="A69" s="62"/>
      <c r="B69" s="65" t="s">
        <v>41</v>
      </c>
      <c r="C69" s="59" t="s">
        <v>0</v>
      </c>
      <c r="D69" s="34">
        <v>1</v>
      </c>
      <c r="E69" s="33">
        <v>100</v>
      </c>
      <c r="F69" s="79"/>
      <c r="G69" s="79">
        <f>D69*E69</f>
        <v>100</v>
      </c>
      <c r="H69" s="181"/>
      <c r="I69" s="96" t="s">
        <v>275</v>
      </c>
    </row>
    <row r="70" spans="1:14" s="32" customFormat="1" ht="27.6" x14ac:dyDescent="0.3">
      <c r="A70" s="62">
        <v>18</v>
      </c>
      <c r="B70" s="51" t="s">
        <v>42</v>
      </c>
      <c r="C70" s="77" t="s">
        <v>1</v>
      </c>
      <c r="D70" s="34">
        <v>42.3</v>
      </c>
      <c r="E70" s="33">
        <v>100</v>
      </c>
      <c r="F70" s="79">
        <f>D70*E70</f>
        <v>4230</v>
      </c>
      <c r="G70" s="79"/>
      <c r="H70" s="181"/>
      <c r="I70" s="50"/>
    </row>
    <row r="71" spans="1:14" s="32" customFormat="1" ht="15" customHeight="1" x14ac:dyDescent="0.3">
      <c r="A71" s="77"/>
      <c r="B71" s="51" t="s">
        <v>60</v>
      </c>
      <c r="C71" s="59" t="s">
        <v>2</v>
      </c>
      <c r="D71" s="34">
        <v>25</v>
      </c>
      <c r="E71" s="33">
        <v>100</v>
      </c>
      <c r="F71" s="79"/>
      <c r="G71" s="79">
        <f>D71*E71</f>
        <v>2500</v>
      </c>
      <c r="H71" s="181"/>
      <c r="I71" s="50"/>
    </row>
    <row r="72" spans="1:14" s="32" customFormat="1" ht="15" customHeight="1" x14ac:dyDescent="0.3">
      <c r="A72" s="77"/>
      <c r="B72" s="51" t="s">
        <v>317</v>
      </c>
      <c r="C72" s="77" t="s">
        <v>277</v>
      </c>
      <c r="D72" s="34">
        <v>4</v>
      </c>
      <c r="E72" s="33">
        <v>100</v>
      </c>
      <c r="F72" s="79"/>
      <c r="G72" s="79">
        <f>D72*E72</f>
        <v>400</v>
      </c>
      <c r="H72" s="181"/>
      <c r="I72" s="119" t="s">
        <v>276</v>
      </c>
    </row>
    <row r="73" spans="1:14" s="32" customFormat="1" ht="15" customHeight="1" x14ac:dyDescent="0.3">
      <c r="A73" s="77"/>
      <c r="B73" s="51" t="s">
        <v>319</v>
      </c>
      <c r="C73" s="59" t="s">
        <v>4</v>
      </c>
      <c r="D73" s="34">
        <v>7</v>
      </c>
      <c r="E73" s="33">
        <v>100</v>
      </c>
      <c r="F73" s="79"/>
      <c r="G73" s="79">
        <f>D73*E73</f>
        <v>700</v>
      </c>
      <c r="H73" s="181"/>
      <c r="I73" s="50"/>
    </row>
    <row r="74" spans="1:14" s="32" customFormat="1" ht="15" customHeight="1" x14ac:dyDescent="0.3">
      <c r="A74" s="62"/>
      <c r="B74" s="51" t="s">
        <v>318</v>
      </c>
      <c r="C74" s="59" t="s">
        <v>4</v>
      </c>
      <c r="D74" s="34">
        <v>7</v>
      </c>
      <c r="E74" s="33">
        <v>100</v>
      </c>
      <c r="F74" s="79"/>
      <c r="G74" s="79">
        <f>D74*E74</f>
        <v>700</v>
      </c>
      <c r="H74" s="181"/>
      <c r="I74" s="50"/>
    </row>
    <row r="75" spans="1:14" s="32" customFormat="1" ht="31.2" customHeight="1" x14ac:dyDescent="0.3">
      <c r="A75" s="62">
        <v>19</v>
      </c>
      <c r="B75" s="51" t="s">
        <v>43</v>
      </c>
      <c r="C75" s="77" t="s">
        <v>1</v>
      </c>
      <c r="D75" s="34">
        <v>36.5</v>
      </c>
      <c r="E75" s="33">
        <v>100</v>
      </c>
      <c r="F75" s="79">
        <f>D75*E75</f>
        <v>3650</v>
      </c>
      <c r="G75" s="79"/>
      <c r="H75" s="181"/>
      <c r="I75" s="50"/>
    </row>
    <row r="76" spans="1:14" s="32" customFormat="1" x14ac:dyDescent="0.3">
      <c r="A76" s="77"/>
      <c r="B76" s="51" t="s">
        <v>219</v>
      </c>
      <c r="C76" s="77" t="s">
        <v>1</v>
      </c>
      <c r="D76" s="34">
        <v>40.15</v>
      </c>
      <c r="E76" s="33">
        <v>100</v>
      </c>
      <c r="F76" s="79"/>
      <c r="G76" s="79">
        <f>D76*E76</f>
        <v>4015</v>
      </c>
      <c r="H76" s="181"/>
      <c r="I76" s="50" t="s">
        <v>278</v>
      </c>
    </row>
    <row r="77" spans="1:14" s="32" customFormat="1" x14ac:dyDescent="0.3">
      <c r="A77" s="77"/>
      <c r="B77" s="51" t="s">
        <v>44</v>
      </c>
      <c r="C77" s="77" t="s">
        <v>1</v>
      </c>
      <c r="D77" s="34">
        <v>40.15</v>
      </c>
      <c r="E77" s="33">
        <v>100</v>
      </c>
      <c r="F77" s="79"/>
      <c r="G77" s="79">
        <f>D77*E77</f>
        <v>4015</v>
      </c>
      <c r="H77" s="181"/>
      <c r="I77" s="50"/>
    </row>
    <row r="78" spans="1:14" s="32" customFormat="1" x14ac:dyDescent="0.3">
      <c r="A78" s="62">
        <v>20</v>
      </c>
      <c r="B78" s="51" t="s">
        <v>45</v>
      </c>
      <c r="C78" s="59" t="s">
        <v>0</v>
      </c>
      <c r="D78" s="34">
        <v>13</v>
      </c>
      <c r="E78" s="33">
        <v>100</v>
      </c>
      <c r="F78" s="79">
        <f>D78*E78</f>
        <v>1300</v>
      </c>
      <c r="G78" s="79"/>
      <c r="H78" s="181"/>
      <c r="I78" s="50"/>
    </row>
    <row r="79" spans="1:14" s="32" customFormat="1" ht="16.2" customHeight="1" x14ac:dyDescent="0.3">
      <c r="A79" s="62">
        <v>21</v>
      </c>
      <c r="B79" s="51" t="s">
        <v>49</v>
      </c>
      <c r="C79" s="59" t="s">
        <v>0</v>
      </c>
      <c r="D79" s="34">
        <v>3</v>
      </c>
      <c r="E79" s="33">
        <v>100</v>
      </c>
      <c r="F79" s="79">
        <f>D79*E79</f>
        <v>300</v>
      </c>
      <c r="G79" s="79"/>
      <c r="H79" s="181"/>
      <c r="I79" s="50"/>
    </row>
    <row r="80" spans="1:14" s="32" customFormat="1" ht="30.6" customHeight="1" x14ac:dyDescent="0.3">
      <c r="A80" s="62">
        <v>22</v>
      </c>
      <c r="B80" s="51" t="s">
        <v>46</v>
      </c>
      <c r="C80" s="59" t="s">
        <v>0</v>
      </c>
      <c r="D80" s="34">
        <v>10</v>
      </c>
      <c r="E80" s="33">
        <v>100</v>
      </c>
      <c r="F80" s="79">
        <f>D80*E80</f>
        <v>1000</v>
      </c>
      <c r="G80" s="79"/>
      <c r="H80" s="181"/>
      <c r="I80" s="50"/>
    </row>
    <row r="81" spans="1:14" s="32" customFormat="1" ht="30" customHeight="1" x14ac:dyDescent="0.3">
      <c r="A81" s="62"/>
      <c r="B81" s="51" t="s">
        <v>47</v>
      </c>
      <c r="C81" s="59" t="s">
        <v>0</v>
      </c>
      <c r="D81" s="34">
        <v>13</v>
      </c>
      <c r="E81" s="33">
        <v>100</v>
      </c>
      <c r="F81" s="79"/>
      <c r="G81" s="79">
        <f>D81*E81</f>
        <v>1300</v>
      </c>
      <c r="H81" s="181"/>
      <c r="I81" s="50" t="s">
        <v>279</v>
      </c>
    </row>
    <row r="82" spans="1:14" s="32" customFormat="1" x14ac:dyDescent="0.3">
      <c r="A82" s="62"/>
      <c r="B82" s="51" t="s">
        <v>50</v>
      </c>
      <c r="C82" s="59" t="s">
        <v>19</v>
      </c>
      <c r="D82" s="34">
        <v>4</v>
      </c>
      <c r="E82" s="33">
        <v>100</v>
      </c>
      <c r="F82" s="79"/>
      <c r="G82" s="79">
        <f>D82*E82</f>
        <v>400</v>
      </c>
      <c r="H82" s="181"/>
      <c r="I82" s="50" t="s">
        <v>280</v>
      </c>
    </row>
    <row r="83" spans="1:14" s="32" customFormat="1" ht="28.2" customHeight="1" x14ac:dyDescent="0.3">
      <c r="A83" s="62">
        <v>23</v>
      </c>
      <c r="B83" s="51" t="s">
        <v>51</v>
      </c>
      <c r="C83" s="59" t="s">
        <v>1</v>
      </c>
      <c r="D83" s="34">
        <v>15</v>
      </c>
      <c r="E83" s="33">
        <v>100</v>
      </c>
      <c r="F83" s="79">
        <f>D83*E83</f>
        <v>1500</v>
      </c>
      <c r="G83" s="79"/>
      <c r="H83" s="181"/>
      <c r="I83" s="50"/>
    </row>
    <row r="84" spans="1:14" s="32" customFormat="1" x14ac:dyDescent="0.3">
      <c r="A84" s="62"/>
      <c r="B84" s="51" t="s">
        <v>52</v>
      </c>
      <c r="C84" s="59" t="s">
        <v>1</v>
      </c>
      <c r="D84" s="34">
        <v>15</v>
      </c>
      <c r="E84" s="33">
        <v>100</v>
      </c>
      <c r="F84" s="79">
        <f>D84*E84</f>
        <v>1500</v>
      </c>
      <c r="G84" s="79"/>
      <c r="H84" s="181"/>
      <c r="I84" s="50" t="s">
        <v>281</v>
      </c>
    </row>
    <row r="85" spans="1:14" s="32" customFormat="1" x14ac:dyDescent="0.3">
      <c r="A85" s="62"/>
      <c r="B85" s="51" t="s">
        <v>50</v>
      </c>
      <c r="C85" s="59" t="s">
        <v>19</v>
      </c>
      <c r="D85" s="34">
        <v>4</v>
      </c>
      <c r="E85" s="33">
        <v>100</v>
      </c>
      <c r="F85" s="79"/>
      <c r="G85" s="79">
        <f>D85*E85</f>
        <v>400</v>
      </c>
      <c r="H85" s="181"/>
      <c r="I85" s="50"/>
    </row>
    <row r="86" spans="1:14" s="32" customFormat="1" ht="16.2" customHeight="1" x14ac:dyDescent="0.3">
      <c r="A86" s="62">
        <v>24</v>
      </c>
      <c r="B86" s="51" t="s">
        <v>53</v>
      </c>
      <c r="C86" s="59" t="s">
        <v>0</v>
      </c>
      <c r="D86" s="34">
        <v>2</v>
      </c>
      <c r="E86" s="33">
        <v>100</v>
      </c>
      <c r="F86" s="79">
        <f>D86*E86</f>
        <v>200</v>
      </c>
      <c r="G86" s="79"/>
      <c r="H86" s="181"/>
      <c r="I86" s="50"/>
    </row>
    <row r="87" spans="1:14" s="32" customFormat="1" ht="18" customHeight="1" x14ac:dyDescent="0.3">
      <c r="A87" s="62"/>
      <c r="B87" s="51" t="s">
        <v>54</v>
      </c>
      <c r="C87" s="59" t="s">
        <v>0</v>
      </c>
      <c r="D87" s="34">
        <v>15</v>
      </c>
      <c r="E87" s="33">
        <v>100</v>
      </c>
      <c r="F87" s="79"/>
      <c r="G87" s="79">
        <f>D87*E87</f>
        <v>1500</v>
      </c>
      <c r="H87" s="181"/>
      <c r="I87" s="50"/>
    </row>
    <row r="88" spans="1:14" s="32" customFormat="1" x14ac:dyDescent="0.3">
      <c r="A88" s="62"/>
      <c r="B88" s="51" t="s">
        <v>50</v>
      </c>
      <c r="C88" s="59" t="s">
        <v>19</v>
      </c>
      <c r="D88" s="34">
        <v>1</v>
      </c>
      <c r="E88" s="33">
        <v>100</v>
      </c>
      <c r="F88" s="79"/>
      <c r="G88" s="79">
        <f>D88*E88</f>
        <v>100</v>
      </c>
      <c r="H88" s="181"/>
      <c r="I88" s="50"/>
    </row>
    <row r="89" spans="1:14" s="103" customFormat="1" x14ac:dyDescent="0.3">
      <c r="A89" s="105"/>
      <c r="B89" s="106" t="s">
        <v>90</v>
      </c>
      <c r="C89" s="107"/>
      <c r="D89" s="108"/>
      <c r="E89" s="109"/>
      <c r="F89" s="110">
        <f>SUM(F63:F88)</f>
        <v>14180</v>
      </c>
      <c r="G89" s="110">
        <f>SUM(G63:G88)</f>
        <v>18780</v>
      </c>
      <c r="H89" s="181"/>
      <c r="I89" s="102"/>
    </row>
    <row r="90" spans="1:14" s="118" customFormat="1" x14ac:dyDescent="0.3">
      <c r="A90" s="111"/>
      <c r="B90" s="112" t="s">
        <v>89</v>
      </c>
      <c r="C90" s="113"/>
      <c r="D90" s="114"/>
      <c r="E90" s="115"/>
      <c r="F90" s="116"/>
      <c r="G90" s="116">
        <f>F89+G89</f>
        <v>32960</v>
      </c>
      <c r="H90" s="181"/>
      <c r="I90" s="117"/>
    </row>
    <row r="91" spans="1:14" s="32" customFormat="1" x14ac:dyDescent="0.3">
      <c r="A91" s="64"/>
      <c r="B91" s="60"/>
      <c r="C91" s="64"/>
      <c r="D91" s="89"/>
      <c r="F91" s="90"/>
      <c r="G91" s="90"/>
      <c r="H91" s="80"/>
      <c r="I91" s="50"/>
    </row>
    <row r="92" spans="1:14" s="32" customFormat="1" x14ac:dyDescent="0.3">
      <c r="A92" s="120" t="s">
        <v>91</v>
      </c>
      <c r="B92" s="27" t="s">
        <v>55</v>
      </c>
      <c r="C92" s="28" t="s">
        <v>353</v>
      </c>
      <c r="D92" s="29" t="s">
        <v>9</v>
      </c>
      <c r="E92" s="28" t="s">
        <v>337</v>
      </c>
      <c r="F92" s="94" t="s">
        <v>5</v>
      </c>
      <c r="G92" s="94" t="s">
        <v>6</v>
      </c>
      <c r="H92" s="94" t="s">
        <v>349</v>
      </c>
      <c r="I92" s="50"/>
      <c r="L92" s="95"/>
      <c r="M92" s="95"/>
      <c r="N92" s="95"/>
    </row>
    <row r="93" spans="1:14" s="103" customFormat="1" x14ac:dyDescent="0.3">
      <c r="A93" s="121"/>
      <c r="B93" s="66" t="s">
        <v>56</v>
      </c>
      <c r="C93" s="98"/>
      <c r="D93" s="99"/>
      <c r="E93" s="100"/>
      <c r="F93" s="101"/>
      <c r="G93" s="101"/>
      <c r="H93" s="182"/>
      <c r="I93" s="102"/>
    </row>
    <row r="94" spans="1:14" s="32" customFormat="1" ht="27.6" x14ac:dyDescent="0.3">
      <c r="A94" s="77">
        <v>25</v>
      </c>
      <c r="B94" s="51" t="s">
        <v>57</v>
      </c>
      <c r="C94" s="59" t="s">
        <v>4</v>
      </c>
      <c r="D94" s="34">
        <v>9</v>
      </c>
      <c r="E94" s="122">
        <v>100</v>
      </c>
      <c r="F94" s="79">
        <f t="shared" ref="F94" si="5">D94*E94</f>
        <v>900</v>
      </c>
      <c r="G94" s="79"/>
      <c r="H94" s="79"/>
      <c r="I94" s="50"/>
    </row>
    <row r="95" spans="1:14" s="32" customFormat="1" x14ac:dyDescent="0.3">
      <c r="A95" s="62"/>
      <c r="B95" s="51" t="s">
        <v>318</v>
      </c>
      <c r="C95" s="59" t="s">
        <v>4</v>
      </c>
      <c r="D95" s="34">
        <v>11.7</v>
      </c>
      <c r="E95" s="122">
        <v>100</v>
      </c>
      <c r="F95" s="79"/>
      <c r="G95" s="79">
        <f>D95*E95</f>
        <v>1170</v>
      </c>
      <c r="H95" s="79"/>
      <c r="I95" s="50"/>
    </row>
    <row r="96" spans="1:14" s="32" customFormat="1" x14ac:dyDescent="0.3">
      <c r="A96" s="77">
        <v>26</v>
      </c>
      <c r="B96" s="51" t="s">
        <v>58</v>
      </c>
      <c r="C96" s="59" t="s">
        <v>59</v>
      </c>
      <c r="D96" s="34">
        <v>1</v>
      </c>
      <c r="E96" s="122">
        <v>100</v>
      </c>
      <c r="F96" s="79">
        <f>D96*E96</f>
        <v>100</v>
      </c>
      <c r="G96" s="79"/>
      <c r="H96" s="79"/>
      <c r="I96" s="50"/>
    </row>
    <row r="97" spans="1:9" s="32" customFormat="1" x14ac:dyDescent="0.3">
      <c r="A97" s="77">
        <v>27</v>
      </c>
      <c r="B97" s="51" t="s">
        <v>3</v>
      </c>
      <c r="C97" s="77" t="s">
        <v>2</v>
      </c>
      <c r="D97" s="34">
        <v>90</v>
      </c>
      <c r="E97" s="122">
        <v>100</v>
      </c>
      <c r="F97" s="79">
        <f>D97*E97</f>
        <v>9000</v>
      </c>
      <c r="G97" s="79"/>
      <c r="H97" s="79"/>
      <c r="I97" s="50"/>
    </row>
    <row r="98" spans="1:9" s="32" customFormat="1" x14ac:dyDescent="0.3">
      <c r="A98" s="77"/>
      <c r="B98" s="51" t="s">
        <v>60</v>
      </c>
      <c r="C98" s="59" t="s">
        <v>2</v>
      </c>
      <c r="D98" s="34">
        <v>108</v>
      </c>
      <c r="E98" s="122">
        <v>100</v>
      </c>
      <c r="F98" s="79"/>
      <c r="G98" s="79">
        <f>D98*E98</f>
        <v>10800</v>
      </c>
      <c r="H98" s="79"/>
      <c r="I98" s="50"/>
    </row>
    <row r="99" spans="1:9" s="32" customFormat="1" ht="27.6" x14ac:dyDescent="0.3">
      <c r="A99" s="77">
        <v>28</v>
      </c>
      <c r="B99" s="51" t="s">
        <v>296</v>
      </c>
      <c r="C99" s="59" t="s">
        <v>4</v>
      </c>
      <c r="D99" s="34">
        <v>13.5</v>
      </c>
      <c r="E99" s="122">
        <v>100</v>
      </c>
      <c r="F99" s="79">
        <f t="shared" ref="F99" si="6">D99*E99</f>
        <v>1350</v>
      </c>
      <c r="G99" s="79"/>
      <c r="H99" s="79"/>
      <c r="I99" s="50"/>
    </row>
    <row r="100" spans="1:9" s="32" customFormat="1" x14ac:dyDescent="0.3">
      <c r="A100" s="77"/>
      <c r="B100" s="51" t="s">
        <v>319</v>
      </c>
      <c r="C100" s="59" t="s">
        <v>4</v>
      </c>
      <c r="D100" s="34">
        <v>18.2</v>
      </c>
      <c r="E100" s="122">
        <v>100</v>
      </c>
      <c r="F100" s="79"/>
      <c r="G100" s="79">
        <f>D100*E100</f>
        <v>1820</v>
      </c>
      <c r="H100" s="79"/>
      <c r="I100" s="50"/>
    </row>
    <row r="101" spans="1:9" s="32" customFormat="1" x14ac:dyDescent="0.3">
      <c r="A101" s="77"/>
      <c r="B101" s="51" t="s">
        <v>62</v>
      </c>
      <c r="C101" s="59" t="s">
        <v>4</v>
      </c>
      <c r="D101" s="34">
        <v>3.6</v>
      </c>
      <c r="E101" s="122">
        <v>100</v>
      </c>
      <c r="F101" s="79"/>
      <c r="G101" s="79">
        <f>D101*E101</f>
        <v>360</v>
      </c>
      <c r="H101" s="79"/>
      <c r="I101" s="50"/>
    </row>
    <row r="102" spans="1:9" s="32" customFormat="1" x14ac:dyDescent="0.3">
      <c r="A102" s="77">
        <v>29</v>
      </c>
      <c r="B102" s="51" t="s">
        <v>58</v>
      </c>
      <c r="C102" s="59" t="s">
        <v>59</v>
      </c>
      <c r="D102" s="34">
        <v>1</v>
      </c>
      <c r="E102" s="122">
        <v>100</v>
      </c>
      <c r="F102" s="79">
        <f>D102*E102</f>
        <v>100</v>
      </c>
      <c r="G102" s="79"/>
      <c r="H102" s="79"/>
      <c r="I102" s="50"/>
    </row>
    <row r="103" spans="1:9" s="32" customFormat="1" ht="28.8" customHeight="1" x14ac:dyDescent="0.3">
      <c r="A103" s="62">
        <v>30</v>
      </c>
      <c r="B103" s="65" t="s">
        <v>29</v>
      </c>
      <c r="C103" s="59" t="s">
        <v>4</v>
      </c>
      <c r="D103" s="34">
        <v>33.5</v>
      </c>
      <c r="E103" s="122">
        <v>100</v>
      </c>
      <c r="F103" s="79">
        <f t="shared" ref="F103:F117" si="7">D103*E103</f>
        <v>3350</v>
      </c>
      <c r="G103" s="79"/>
      <c r="H103" s="79"/>
      <c r="I103" s="50"/>
    </row>
    <row r="104" spans="1:9" s="32" customFormat="1" x14ac:dyDescent="0.3">
      <c r="A104" s="77">
        <v>31</v>
      </c>
      <c r="B104" s="51" t="s">
        <v>63</v>
      </c>
      <c r="C104" s="59" t="s">
        <v>2</v>
      </c>
      <c r="D104" s="34">
        <v>90</v>
      </c>
      <c r="E104" s="122">
        <v>100</v>
      </c>
      <c r="F104" s="79">
        <f t="shared" si="7"/>
        <v>9000</v>
      </c>
      <c r="G104" s="79"/>
      <c r="H104" s="79"/>
      <c r="I104" s="50"/>
    </row>
    <row r="105" spans="1:9" s="32" customFormat="1" x14ac:dyDescent="0.3">
      <c r="A105" s="77"/>
      <c r="B105" s="51" t="s">
        <v>64</v>
      </c>
      <c r="C105" s="59" t="s">
        <v>2</v>
      </c>
      <c r="D105" s="34">
        <v>112.5</v>
      </c>
      <c r="E105" s="122">
        <v>100</v>
      </c>
      <c r="F105" s="79"/>
      <c r="G105" s="79">
        <f>D105*E105</f>
        <v>11250</v>
      </c>
      <c r="H105" s="79"/>
      <c r="I105" s="50" t="s">
        <v>283</v>
      </c>
    </row>
    <row r="106" spans="1:9" s="32" customFormat="1" ht="16.2" customHeight="1" x14ac:dyDescent="0.3">
      <c r="A106" s="77">
        <v>32</v>
      </c>
      <c r="B106" s="51" t="s">
        <v>65</v>
      </c>
      <c r="C106" s="59" t="s">
        <v>1</v>
      </c>
      <c r="D106" s="34">
        <v>99</v>
      </c>
      <c r="E106" s="122">
        <v>100</v>
      </c>
      <c r="F106" s="79">
        <f t="shared" si="7"/>
        <v>9900</v>
      </c>
      <c r="G106" s="79"/>
      <c r="H106" s="79"/>
      <c r="I106" s="50"/>
    </row>
    <row r="107" spans="1:9" s="32" customFormat="1" x14ac:dyDescent="0.3">
      <c r="A107" s="77"/>
      <c r="B107" s="51" t="s">
        <v>66</v>
      </c>
      <c r="C107" s="59" t="s">
        <v>0</v>
      </c>
      <c r="D107" s="34">
        <v>40</v>
      </c>
      <c r="E107" s="122">
        <v>100</v>
      </c>
      <c r="F107" s="79"/>
      <c r="G107" s="79">
        <f t="shared" ref="G107:G119" si="8">D107*E107</f>
        <v>4000</v>
      </c>
      <c r="H107" s="79"/>
      <c r="I107" s="50" t="s">
        <v>282</v>
      </c>
    </row>
    <row r="108" spans="1:9" s="32" customFormat="1" x14ac:dyDescent="0.3">
      <c r="A108" s="77"/>
      <c r="B108" s="51" t="s">
        <v>67</v>
      </c>
      <c r="C108" s="59" t="s">
        <v>2</v>
      </c>
      <c r="D108" s="34">
        <v>75</v>
      </c>
      <c r="E108" s="122">
        <v>100</v>
      </c>
      <c r="F108" s="79"/>
      <c r="G108" s="79">
        <f t="shared" si="8"/>
        <v>7500</v>
      </c>
      <c r="H108" s="79"/>
      <c r="I108" s="50"/>
    </row>
    <row r="109" spans="1:9" s="32" customFormat="1" ht="27.6" x14ac:dyDescent="0.3">
      <c r="A109" s="77">
        <v>33</v>
      </c>
      <c r="B109" s="51" t="s">
        <v>68</v>
      </c>
      <c r="C109" s="59" t="s">
        <v>4</v>
      </c>
      <c r="D109" s="34">
        <v>18.899999999999999</v>
      </c>
      <c r="E109" s="122">
        <v>100</v>
      </c>
      <c r="F109" s="79">
        <f t="shared" si="7"/>
        <v>1889.9999999999998</v>
      </c>
      <c r="G109" s="79"/>
      <c r="H109" s="79"/>
      <c r="I109" s="50"/>
    </row>
    <row r="110" spans="1:9" s="32" customFormat="1" x14ac:dyDescent="0.3">
      <c r="A110" s="77"/>
      <c r="B110" s="51" t="s">
        <v>67</v>
      </c>
      <c r="C110" s="59" t="s">
        <v>2</v>
      </c>
      <c r="D110" s="34">
        <v>75</v>
      </c>
      <c r="E110" s="122">
        <v>100</v>
      </c>
      <c r="F110" s="79"/>
      <c r="G110" s="79">
        <f t="shared" si="8"/>
        <v>7500</v>
      </c>
      <c r="H110" s="79"/>
      <c r="I110" s="50"/>
    </row>
    <row r="111" spans="1:9" s="32" customFormat="1" x14ac:dyDescent="0.3">
      <c r="A111" s="77"/>
      <c r="B111" s="51" t="s">
        <v>284</v>
      </c>
      <c r="C111" s="59" t="s">
        <v>4</v>
      </c>
      <c r="D111" s="34">
        <v>21</v>
      </c>
      <c r="E111" s="122">
        <v>100</v>
      </c>
      <c r="F111" s="79"/>
      <c r="G111" s="79">
        <f t="shared" si="8"/>
        <v>2100</v>
      </c>
      <c r="H111" s="79"/>
      <c r="I111" s="50"/>
    </row>
    <row r="112" spans="1:9" s="129" customFormat="1" x14ac:dyDescent="0.3">
      <c r="A112" s="123">
        <v>34</v>
      </c>
      <c r="B112" s="124" t="s">
        <v>69</v>
      </c>
      <c r="C112" s="125" t="s">
        <v>70</v>
      </c>
      <c r="D112" s="126">
        <v>1</v>
      </c>
      <c r="E112" s="122">
        <v>100</v>
      </c>
      <c r="F112" s="127">
        <f t="shared" si="7"/>
        <v>100</v>
      </c>
      <c r="G112" s="127"/>
      <c r="H112" s="79"/>
      <c r="I112" s="128"/>
    </row>
    <row r="113" spans="1:9" s="129" customFormat="1" x14ac:dyDescent="0.3">
      <c r="A113" s="123">
        <v>35</v>
      </c>
      <c r="B113" s="124" t="s">
        <v>71</v>
      </c>
      <c r="C113" s="125" t="s">
        <v>70</v>
      </c>
      <c r="D113" s="126">
        <v>1</v>
      </c>
      <c r="E113" s="122">
        <v>100</v>
      </c>
      <c r="F113" s="127">
        <f t="shared" si="7"/>
        <v>100</v>
      </c>
      <c r="G113" s="127"/>
      <c r="H113" s="79"/>
      <c r="I113" s="128"/>
    </row>
    <row r="114" spans="1:9" s="32" customFormat="1" ht="27.6" x14ac:dyDescent="0.3">
      <c r="A114" s="77"/>
      <c r="B114" s="51" t="s">
        <v>73</v>
      </c>
      <c r="C114" s="59" t="s">
        <v>2</v>
      </c>
      <c r="D114" s="34">
        <v>18.899999999999999</v>
      </c>
      <c r="E114" s="122">
        <v>100</v>
      </c>
      <c r="F114" s="79"/>
      <c r="G114" s="79">
        <f t="shared" si="8"/>
        <v>1889.9999999999998</v>
      </c>
      <c r="H114" s="79"/>
      <c r="I114" s="50"/>
    </row>
    <row r="115" spans="1:9" s="32" customFormat="1" x14ac:dyDescent="0.3">
      <c r="A115" s="77">
        <v>36</v>
      </c>
      <c r="B115" s="51" t="s">
        <v>72</v>
      </c>
      <c r="C115" s="59" t="s">
        <v>2</v>
      </c>
      <c r="D115" s="34">
        <v>74</v>
      </c>
      <c r="E115" s="122">
        <v>100</v>
      </c>
      <c r="F115" s="79">
        <f t="shared" si="7"/>
        <v>7400</v>
      </c>
      <c r="G115" s="79"/>
      <c r="H115" s="79"/>
      <c r="I115" s="50"/>
    </row>
    <row r="116" spans="1:9" s="32" customFormat="1" x14ac:dyDescent="0.3">
      <c r="A116" s="77"/>
      <c r="B116" s="51" t="s">
        <v>74</v>
      </c>
      <c r="C116" s="59" t="s">
        <v>2</v>
      </c>
      <c r="D116" s="34">
        <v>90</v>
      </c>
      <c r="E116" s="122">
        <v>100</v>
      </c>
      <c r="F116" s="79"/>
      <c r="G116" s="79">
        <f t="shared" si="8"/>
        <v>9000</v>
      </c>
      <c r="H116" s="79"/>
      <c r="I116" s="50" t="s">
        <v>287</v>
      </c>
    </row>
    <row r="117" spans="1:9" s="32" customFormat="1" x14ac:dyDescent="0.3">
      <c r="A117" s="77">
        <v>37</v>
      </c>
      <c r="B117" s="51" t="s">
        <v>75</v>
      </c>
      <c r="C117" s="59" t="s">
        <v>2</v>
      </c>
      <c r="D117" s="34">
        <v>73</v>
      </c>
      <c r="E117" s="122">
        <v>100</v>
      </c>
      <c r="F117" s="79">
        <f t="shared" si="7"/>
        <v>7300</v>
      </c>
      <c r="G117" s="79"/>
      <c r="H117" s="79"/>
      <c r="I117" s="50"/>
    </row>
    <row r="118" spans="1:9" s="32" customFormat="1" x14ac:dyDescent="0.3">
      <c r="A118" s="77"/>
      <c r="B118" s="51" t="s">
        <v>76</v>
      </c>
      <c r="C118" s="59" t="s">
        <v>0</v>
      </c>
      <c r="D118" s="34">
        <v>3</v>
      </c>
      <c r="E118" s="122">
        <v>100</v>
      </c>
      <c r="F118" s="79"/>
      <c r="G118" s="79">
        <f t="shared" si="8"/>
        <v>300</v>
      </c>
      <c r="H118" s="79"/>
      <c r="I118" s="50" t="s">
        <v>286</v>
      </c>
    </row>
    <row r="119" spans="1:9" s="32" customFormat="1" x14ac:dyDescent="0.3">
      <c r="A119" s="77"/>
      <c r="B119" s="51" t="s">
        <v>77</v>
      </c>
      <c r="C119" s="59" t="s">
        <v>0</v>
      </c>
      <c r="D119" s="34">
        <v>4</v>
      </c>
      <c r="E119" s="122">
        <v>100</v>
      </c>
      <c r="F119" s="79"/>
      <c r="G119" s="79">
        <f t="shared" si="8"/>
        <v>400</v>
      </c>
      <c r="H119" s="79"/>
      <c r="I119" s="50" t="s">
        <v>285</v>
      </c>
    </row>
    <row r="120" spans="1:9" s="103" customFormat="1" x14ac:dyDescent="0.3">
      <c r="A120" s="121"/>
      <c r="B120" s="66" t="s">
        <v>78</v>
      </c>
      <c r="C120" s="98"/>
      <c r="D120" s="99"/>
      <c r="E120" s="140"/>
      <c r="F120" s="101"/>
      <c r="G120" s="101"/>
      <c r="H120" s="101"/>
      <c r="I120" s="102"/>
    </row>
    <row r="121" spans="1:9" s="32" customFormat="1" ht="18" customHeight="1" x14ac:dyDescent="0.3">
      <c r="A121" s="77">
        <v>38</v>
      </c>
      <c r="B121" s="51" t="s">
        <v>65</v>
      </c>
      <c r="C121" s="59" t="s">
        <v>2</v>
      </c>
      <c r="D121" s="34">
        <v>206</v>
      </c>
      <c r="E121" s="122">
        <v>100</v>
      </c>
      <c r="F121" s="79">
        <f>D121*E121</f>
        <v>20600</v>
      </c>
      <c r="G121" s="79"/>
      <c r="H121" s="79"/>
      <c r="I121" s="50"/>
    </row>
    <row r="122" spans="1:9" s="32" customFormat="1" ht="27.6" x14ac:dyDescent="0.3">
      <c r="A122" s="77">
        <v>39</v>
      </c>
      <c r="B122" s="51" t="s">
        <v>79</v>
      </c>
      <c r="C122" s="59" t="s">
        <v>18</v>
      </c>
      <c r="D122" s="34">
        <v>1</v>
      </c>
      <c r="E122" s="122">
        <v>100</v>
      </c>
      <c r="F122" s="79">
        <f t="shared" ref="F122:F183" si="9">D122*E122</f>
        <v>100</v>
      </c>
      <c r="G122" s="79"/>
      <c r="H122" s="79"/>
      <c r="I122" s="50"/>
    </row>
    <row r="123" spans="1:9" s="32" customFormat="1" x14ac:dyDescent="0.3">
      <c r="A123" s="77"/>
      <c r="B123" s="51" t="s">
        <v>67</v>
      </c>
      <c r="C123" s="59" t="s">
        <v>2</v>
      </c>
      <c r="D123" s="34">
        <v>75</v>
      </c>
      <c r="E123" s="122">
        <v>100</v>
      </c>
      <c r="F123" s="79"/>
      <c r="G123" s="79">
        <f t="shared" ref="G123:G186" si="10">D123*E123</f>
        <v>7500</v>
      </c>
      <c r="H123" s="79"/>
      <c r="I123" s="50"/>
    </row>
    <row r="124" spans="1:9" s="32" customFormat="1" x14ac:dyDescent="0.3">
      <c r="A124" s="77">
        <v>40</v>
      </c>
      <c r="B124" s="51" t="s">
        <v>80</v>
      </c>
      <c r="C124" s="59" t="s">
        <v>4</v>
      </c>
      <c r="D124" s="34">
        <v>22</v>
      </c>
      <c r="E124" s="122">
        <v>100</v>
      </c>
      <c r="F124" s="79">
        <f t="shared" si="9"/>
        <v>2200</v>
      </c>
      <c r="G124" s="79"/>
      <c r="H124" s="79"/>
      <c r="I124" s="50"/>
    </row>
    <row r="125" spans="1:9" s="32" customFormat="1" x14ac:dyDescent="0.3">
      <c r="A125" s="77"/>
      <c r="B125" s="51" t="s">
        <v>284</v>
      </c>
      <c r="C125" s="59" t="s">
        <v>4</v>
      </c>
      <c r="D125" s="34">
        <v>24.2</v>
      </c>
      <c r="E125" s="122">
        <v>100</v>
      </c>
      <c r="F125" s="79"/>
      <c r="G125" s="79">
        <f t="shared" si="10"/>
        <v>2420</v>
      </c>
      <c r="H125" s="79"/>
      <c r="I125" s="50"/>
    </row>
    <row r="126" spans="1:9" s="129" customFormat="1" x14ac:dyDescent="0.3">
      <c r="A126" s="123">
        <v>41</v>
      </c>
      <c r="B126" s="124" t="s">
        <v>69</v>
      </c>
      <c r="C126" s="125" t="s">
        <v>70</v>
      </c>
      <c r="D126" s="126">
        <v>1</v>
      </c>
      <c r="E126" s="122">
        <v>100</v>
      </c>
      <c r="F126" s="127">
        <f t="shared" si="9"/>
        <v>100</v>
      </c>
      <c r="G126" s="127">
        <f t="shared" si="10"/>
        <v>100</v>
      </c>
      <c r="H126" s="79"/>
      <c r="I126" s="128"/>
    </row>
    <row r="127" spans="1:9" s="129" customFormat="1" x14ac:dyDescent="0.3">
      <c r="A127" s="123">
        <v>42</v>
      </c>
      <c r="B127" s="124" t="s">
        <v>71</v>
      </c>
      <c r="C127" s="125" t="s">
        <v>70</v>
      </c>
      <c r="D127" s="126">
        <v>1</v>
      </c>
      <c r="E127" s="122">
        <v>100</v>
      </c>
      <c r="F127" s="127">
        <f t="shared" si="9"/>
        <v>100</v>
      </c>
      <c r="G127" s="127">
        <f t="shared" si="10"/>
        <v>100</v>
      </c>
      <c r="H127" s="79"/>
      <c r="I127" s="128"/>
    </row>
    <row r="128" spans="1:9" s="32" customFormat="1" ht="27.6" x14ac:dyDescent="0.3">
      <c r="A128" s="77"/>
      <c r="B128" s="51" t="s">
        <v>73</v>
      </c>
      <c r="C128" s="59" t="s">
        <v>2</v>
      </c>
      <c r="D128" s="34">
        <v>206</v>
      </c>
      <c r="E128" s="122">
        <v>100</v>
      </c>
      <c r="F128" s="79"/>
      <c r="G128" s="79">
        <f t="shared" si="10"/>
        <v>20600</v>
      </c>
      <c r="H128" s="79"/>
      <c r="I128" s="50"/>
    </row>
    <row r="129" spans="1:9" s="32" customFormat="1" x14ac:dyDescent="0.3">
      <c r="A129" s="77">
        <v>43</v>
      </c>
      <c r="B129" s="51" t="s">
        <v>72</v>
      </c>
      <c r="C129" s="59" t="s">
        <v>2</v>
      </c>
      <c r="D129" s="34">
        <v>74</v>
      </c>
      <c r="E129" s="122">
        <v>100</v>
      </c>
      <c r="F129" s="79">
        <f t="shared" si="9"/>
        <v>7400</v>
      </c>
      <c r="G129" s="79"/>
      <c r="H129" s="79"/>
      <c r="I129" s="50"/>
    </row>
    <row r="130" spans="1:9" s="32" customFormat="1" x14ac:dyDescent="0.3">
      <c r="A130" s="77"/>
      <c r="B130" s="51" t="s">
        <v>74</v>
      </c>
      <c r="C130" s="59" t="s">
        <v>2</v>
      </c>
      <c r="D130" s="34">
        <v>90</v>
      </c>
      <c r="E130" s="122">
        <v>100</v>
      </c>
      <c r="F130" s="79"/>
      <c r="G130" s="79">
        <f t="shared" si="10"/>
        <v>9000</v>
      </c>
      <c r="H130" s="79"/>
      <c r="I130" s="50"/>
    </row>
    <row r="131" spans="1:9" s="32" customFormat="1" x14ac:dyDescent="0.3">
      <c r="A131" s="77">
        <v>44</v>
      </c>
      <c r="B131" s="51" t="s">
        <v>75</v>
      </c>
      <c r="C131" s="59" t="s">
        <v>2</v>
      </c>
      <c r="D131" s="34">
        <v>73</v>
      </c>
      <c r="E131" s="122">
        <v>100</v>
      </c>
      <c r="F131" s="79">
        <f t="shared" si="9"/>
        <v>7300</v>
      </c>
      <c r="G131" s="79"/>
      <c r="H131" s="79"/>
      <c r="I131" s="50"/>
    </row>
    <row r="132" spans="1:9" s="32" customFormat="1" x14ac:dyDescent="0.3">
      <c r="A132" s="77"/>
      <c r="B132" s="51" t="s">
        <v>76</v>
      </c>
      <c r="C132" s="59" t="s">
        <v>0</v>
      </c>
      <c r="D132" s="34">
        <v>3</v>
      </c>
      <c r="E132" s="122">
        <v>100</v>
      </c>
      <c r="F132" s="79"/>
      <c r="G132" s="79">
        <f t="shared" si="10"/>
        <v>300</v>
      </c>
      <c r="H132" s="79"/>
      <c r="I132" s="50"/>
    </row>
    <row r="133" spans="1:9" s="32" customFormat="1" x14ac:dyDescent="0.3">
      <c r="A133" s="77"/>
      <c r="B133" s="51" t="s">
        <v>77</v>
      </c>
      <c r="C133" s="59" t="s">
        <v>0</v>
      </c>
      <c r="D133" s="34">
        <v>4</v>
      </c>
      <c r="E133" s="122">
        <v>100</v>
      </c>
      <c r="F133" s="79"/>
      <c r="G133" s="79">
        <f t="shared" si="10"/>
        <v>400</v>
      </c>
      <c r="H133" s="79"/>
      <c r="I133" s="50"/>
    </row>
    <row r="134" spans="1:9" s="32" customFormat="1" x14ac:dyDescent="0.3">
      <c r="A134" s="77">
        <v>45</v>
      </c>
      <c r="B134" s="51" t="s">
        <v>75</v>
      </c>
      <c r="C134" s="59" t="s">
        <v>2</v>
      </c>
      <c r="D134" s="34">
        <v>30.9</v>
      </c>
      <c r="E134" s="122">
        <v>100</v>
      </c>
      <c r="F134" s="79">
        <f t="shared" si="9"/>
        <v>3090</v>
      </c>
      <c r="G134" s="79"/>
      <c r="H134" s="79"/>
      <c r="I134" s="50"/>
    </row>
    <row r="135" spans="1:9" s="32" customFormat="1" x14ac:dyDescent="0.3">
      <c r="A135" s="77"/>
      <c r="B135" s="51" t="s">
        <v>87</v>
      </c>
      <c r="C135" s="59" t="s">
        <v>0</v>
      </c>
      <c r="D135" s="34">
        <v>3.5</v>
      </c>
      <c r="E135" s="122">
        <v>100</v>
      </c>
      <c r="F135" s="79">
        <f t="shared" si="9"/>
        <v>350</v>
      </c>
      <c r="G135" s="79">
        <f t="shared" si="10"/>
        <v>350</v>
      </c>
      <c r="H135" s="79"/>
      <c r="I135" s="50" t="s">
        <v>288</v>
      </c>
    </row>
    <row r="136" spans="1:9" s="32" customFormat="1" x14ac:dyDescent="0.3">
      <c r="A136" s="130"/>
      <c r="B136" s="100" t="s">
        <v>81</v>
      </c>
      <c r="C136" s="131"/>
      <c r="D136" s="132"/>
      <c r="E136" s="140"/>
      <c r="F136" s="133"/>
      <c r="G136" s="133"/>
      <c r="H136" s="133"/>
      <c r="I136" s="50"/>
    </row>
    <row r="137" spans="1:9" s="32" customFormat="1" ht="27.6" x14ac:dyDescent="0.3">
      <c r="A137" s="77">
        <v>46</v>
      </c>
      <c r="B137" s="51" t="s">
        <v>57</v>
      </c>
      <c r="C137" s="59" t="s">
        <v>4</v>
      </c>
      <c r="D137" s="34">
        <v>8.4</v>
      </c>
      <c r="E137" s="122">
        <v>100</v>
      </c>
      <c r="F137" s="79">
        <f t="shared" si="9"/>
        <v>840</v>
      </c>
      <c r="G137" s="79"/>
      <c r="H137" s="79"/>
      <c r="I137" s="50"/>
    </row>
    <row r="138" spans="1:9" s="32" customFormat="1" x14ac:dyDescent="0.3">
      <c r="A138" s="62"/>
      <c r="B138" s="51" t="s">
        <v>318</v>
      </c>
      <c r="C138" s="59" t="s">
        <v>4</v>
      </c>
      <c r="D138" s="34">
        <v>11</v>
      </c>
      <c r="E138" s="122">
        <v>100</v>
      </c>
      <c r="F138" s="79"/>
      <c r="G138" s="79">
        <f t="shared" si="10"/>
        <v>1100</v>
      </c>
      <c r="H138" s="79"/>
      <c r="I138" s="50"/>
    </row>
    <row r="139" spans="1:9" s="32" customFormat="1" x14ac:dyDescent="0.3">
      <c r="A139" s="77">
        <v>47</v>
      </c>
      <c r="B139" s="51" t="s">
        <v>58</v>
      </c>
      <c r="C139" s="59" t="s">
        <v>59</v>
      </c>
      <c r="D139" s="34">
        <v>0.3</v>
      </c>
      <c r="E139" s="122">
        <v>100</v>
      </c>
      <c r="F139" s="79">
        <f t="shared" si="9"/>
        <v>30</v>
      </c>
      <c r="G139" s="79"/>
      <c r="H139" s="79"/>
      <c r="I139" s="50"/>
    </row>
    <row r="140" spans="1:9" s="32" customFormat="1" x14ac:dyDescent="0.3">
      <c r="A140" s="77">
        <v>48</v>
      </c>
      <c r="B140" s="51" t="s">
        <v>3</v>
      </c>
      <c r="C140" s="77" t="s">
        <v>2</v>
      </c>
      <c r="D140" s="34">
        <v>84.4</v>
      </c>
      <c r="E140" s="122">
        <v>100</v>
      </c>
      <c r="F140" s="79">
        <f t="shared" si="9"/>
        <v>8440</v>
      </c>
      <c r="G140" s="79"/>
      <c r="H140" s="79"/>
      <c r="I140" s="50"/>
    </row>
    <row r="141" spans="1:9" s="32" customFormat="1" x14ac:dyDescent="0.3">
      <c r="A141" s="77"/>
      <c r="B141" s="51" t="s">
        <v>60</v>
      </c>
      <c r="C141" s="59" t="s">
        <v>2</v>
      </c>
      <c r="D141" s="34">
        <v>101.2</v>
      </c>
      <c r="E141" s="122">
        <v>100</v>
      </c>
      <c r="F141" s="79"/>
      <c r="G141" s="79">
        <f t="shared" si="10"/>
        <v>10120</v>
      </c>
      <c r="H141" s="79"/>
      <c r="I141" s="50"/>
    </row>
    <row r="142" spans="1:9" s="32" customFormat="1" x14ac:dyDescent="0.3">
      <c r="A142" s="77">
        <v>49</v>
      </c>
      <c r="B142" s="51" t="s">
        <v>61</v>
      </c>
      <c r="C142" s="59" t="s">
        <v>4</v>
      </c>
      <c r="D142" s="34">
        <v>12.7</v>
      </c>
      <c r="E142" s="122">
        <v>100</v>
      </c>
      <c r="F142" s="79">
        <f t="shared" si="9"/>
        <v>1270</v>
      </c>
      <c r="G142" s="79"/>
      <c r="H142" s="79"/>
      <c r="I142" s="50"/>
    </row>
    <row r="143" spans="1:9" s="32" customFormat="1" x14ac:dyDescent="0.3">
      <c r="A143" s="77"/>
      <c r="B143" s="51" t="s">
        <v>319</v>
      </c>
      <c r="C143" s="59" t="s">
        <v>4</v>
      </c>
      <c r="D143" s="34">
        <v>17.100000000000001</v>
      </c>
      <c r="E143" s="122">
        <v>100</v>
      </c>
      <c r="F143" s="79"/>
      <c r="G143" s="79">
        <f t="shared" si="10"/>
        <v>1710.0000000000002</v>
      </c>
      <c r="H143" s="79"/>
      <c r="I143" s="50"/>
    </row>
    <row r="144" spans="1:9" s="32" customFormat="1" x14ac:dyDescent="0.3">
      <c r="A144" s="77"/>
      <c r="B144" s="51" t="s">
        <v>62</v>
      </c>
      <c r="C144" s="59" t="s">
        <v>4</v>
      </c>
      <c r="D144" s="34">
        <v>3.4</v>
      </c>
      <c r="E144" s="122">
        <v>100</v>
      </c>
      <c r="F144" s="79"/>
      <c r="G144" s="79">
        <f t="shared" si="10"/>
        <v>340</v>
      </c>
      <c r="H144" s="79"/>
      <c r="I144" s="50"/>
    </row>
    <row r="145" spans="1:9" s="32" customFormat="1" x14ac:dyDescent="0.3">
      <c r="A145" s="77">
        <v>50</v>
      </c>
      <c r="B145" s="51" t="s">
        <v>58</v>
      </c>
      <c r="C145" s="59" t="s">
        <v>59</v>
      </c>
      <c r="D145" s="34">
        <v>1</v>
      </c>
      <c r="E145" s="122">
        <v>100</v>
      </c>
      <c r="F145" s="79">
        <f t="shared" si="9"/>
        <v>100</v>
      </c>
      <c r="G145" s="79"/>
      <c r="H145" s="79"/>
      <c r="I145" s="50"/>
    </row>
    <row r="146" spans="1:9" s="32" customFormat="1" ht="28.8" customHeight="1" x14ac:dyDescent="0.3">
      <c r="A146" s="62">
        <v>51</v>
      </c>
      <c r="B146" s="65" t="s">
        <v>29</v>
      </c>
      <c r="C146" s="59" t="s">
        <v>4</v>
      </c>
      <c r="D146" s="34">
        <v>31.4</v>
      </c>
      <c r="E146" s="122">
        <v>100</v>
      </c>
      <c r="F146" s="79">
        <f t="shared" si="9"/>
        <v>3140</v>
      </c>
      <c r="G146" s="79"/>
      <c r="H146" s="79"/>
      <c r="I146" s="50"/>
    </row>
    <row r="147" spans="1:9" s="32" customFormat="1" x14ac:dyDescent="0.3">
      <c r="A147" s="77">
        <v>52</v>
      </c>
      <c r="B147" s="51" t="s">
        <v>63</v>
      </c>
      <c r="C147" s="59" t="s">
        <v>2</v>
      </c>
      <c r="D147" s="34">
        <v>84.4</v>
      </c>
      <c r="E147" s="122">
        <v>100</v>
      </c>
      <c r="F147" s="79">
        <f t="shared" si="9"/>
        <v>8440</v>
      </c>
      <c r="G147" s="79"/>
      <c r="H147" s="79"/>
      <c r="I147" s="50"/>
    </row>
    <row r="148" spans="1:9" s="32" customFormat="1" x14ac:dyDescent="0.3">
      <c r="A148" s="77"/>
      <c r="B148" s="51" t="s">
        <v>64</v>
      </c>
      <c r="C148" s="59" t="s">
        <v>2</v>
      </c>
      <c r="D148" s="34">
        <v>105.5</v>
      </c>
      <c r="E148" s="122">
        <v>100</v>
      </c>
      <c r="F148" s="79"/>
      <c r="G148" s="79">
        <f t="shared" si="10"/>
        <v>10550</v>
      </c>
      <c r="H148" s="79"/>
      <c r="I148" s="50"/>
    </row>
    <row r="149" spans="1:9" s="32" customFormat="1" ht="18" customHeight="1" x14ac:dyDescent="0.3">
      <c r="A149" s="77">
        <v>53</v>
      </c>
      <c r="B149" s="51" t="s">
        <v>65</v>
      </c>
      <c r="C149" s="59" t="s">
        <v>2</v>
      </c>
      <c r="D149" s="34">
        <v>22.8</v>
      </c>
      <c r="E149" s="122">
        <v>100</v>
      </c>
      <c r="F149" s="79">
        <f t="shared" si="9"/>
        <v>2280</v>
      </c>
      <c r="G149" s="79"/>
      <c r="H149" s="79"/>
      <c r="I149" s="50"/>
    </row>
    <row r="150" spans="1:9" s="32" customFormat="1" x14ac:dyDescent="0.3">
      <c r="A150" s="77"/>
      <c r="B150" s="51" t="s">
        <v>82</v>
      </c>
      <c r="C150" s="59" t="s">
        <v>2</v>
      </c>
      <c r="D150" s="34">
        <v>22.8</v>
      </c>
      <c r="E150" s="122">
        <v>100</v>
      </c>
      <c r="F150" s="79"/>
      <c r="G150" s="79">
        <f t="shared" si="10"/>
        <v>2280</v>
      </c>
      <c r="H150" s="79"/>
      <c r="I150" s="50" t="s">
        <v>289</v>
      </c>
    </row>
    <row r="151" spans="1:9" s="32" customFormat="1" x14ac:dyDescent="0.3">
      <c r="A151" s="77"/>
      <c r="B151" s="51" t="s">
        <v>67</v>
      </c>
      <c r="C151" s="59" t="s">
        <v>2</v>
      </c>
      <c r="D151" s="34">
        <v>22.8</v>
      </c>
      <c r="E151" s="122">
        <v>100</v>
      </c>
      <c r="F151" s="79"/>
      <c r="G151" s="79">
        <f t="shared" si="10"/>
        <v>2280</v>
      </c>
      <c r="H151" s="79"/>
      <c r="I151" s="50"/>
    </row>
    <row r="152" spans="1:9" s="32" customFormat="1" ht="27.6" x14ac:dyDescent="0.3">
      <c r="A152" s="77">
        <v>54</v>
      </c>
      <c r="B152" s="51" t="s">
        <v>83</v>
      </c>
      <c r="C152" s="59" t="s">
        <v>4</v>
      </c>
      <c r="D152" s="34">
        <v>19.899999999999999</v>
      </c>
      <c r="E152" s="122">
        <v>100</v>
      </c>
      <c r="F152" s="79">
        <f t="shared" si="9"/>
        <v>1989.9999999999998</v>
      </c>
      <c r="G152" s="79"/>
      <c r="H152" s="79"/>
      <c r="I152" s="50"/>
    </row>
    <row r="153" spans="1:9" s="32" customFormat="1" x14ac:dyDescent="0.3">
      <c r="A153" s="77"/>
      <c r="B153" s="51" t="s">
        <v>284</v>
      </c>
      <c r="C153" s="59" t="s">
        <v>4</v>
      </c>
      <c r="D153" s="34">
        <v>21.9</v>
      </c>
      <c r="E153" s="122">
        <v>100</v>
      </c>
      <c r="F153" s="79"/>
      <c r="G153" s="79">
        <f t="shared" si="10"/>
        <v>2190</v>
      </c>
      <c r="H153" s="79"/>
      <c r="I153" s="50"/>
    </row>
    <row r="154" spans="1:9" s="129" customFormat="1" x14ac:dyDescent="0.3">
      <c r="A154" s="123">
        <v>55</v>
      </c>
      <c r="B154" s="124" t="s">
        <v>69</v>
      </c>
      <c r="C154" s="125" t="s">
        <v>70</v>
      </c>
      <c r="D154" s="126">
        <v>2</v>
      </c>
      <c r="E154" s="122">
        <v>100</v>
      </c>
      <c r="F154" s="127">
        <f t="shared" si="9"/>
        <v>200</v>
      </c>
      <c r="G154" s="127"/>
      <c r="H154" s="79"/>
      <c r="I154" s="128"/>
    </row>
    <row r="155" spans="1:9" s="129" customFormat="1" x14ac:dyDescent="0.3">
      <c r="A155" s="123">
        <v>56</v>
      </c>
      <c r="B155" s="124" t="s">
        <v>71</v>
      </c>
      <c r="C155" s="125" t="s">
        <v>70</v>
      </c>
      <c r="D155" s="126">
        <v>2</v>
      </c>
      <c r="E155" s="122">
        <v>100</v>
      </c>
      <c r="F155" s="127">
        <f t="shared" si="9"/>
        <v>200</v>
      </c>
      <c r="G155" s="127"/>
      <c r="H155" s="79"/>
      <c r="I155" s="128"/>
    </row>
    <row r="156" spans="1:9" s="32" customFormat="1" ht="27.6" x14ac:dyDescent="0.3">
      <c r="A156" s="77"/>
      <c r="B156" s="51" t="s">
        <v>73</v>
      </c>
      <c r="C156" s="59" t="s">
        <v>2</v>
      </c>
      <c r="D156" s="34">
        <v>19.899999999999999</v>
      </c>
      <c r="E156" s="122">
        <v>100</v>
      </c>
      <c r="F156" s="79"/>
      <c r="G156" s="79">
        <f t="shared" si="10"/>
        <v>1989.9999999999998</v>
      </c>
      <c r="H156" s="79"/>
      <c r="I156" s="50"/>
    </row>
    <row r="157" spans="1:9" s="32" customFormat="1" x14ac:dyDescent="0.3">
      <c r="A157" s="77">
        <v>57</v>
      </c>
      <c r="B157" s="51" t="s">
        <v>72</v>
      </c>
      <c r="C157" s="59" t="s">
        <v>2</v>
      </c>
      <c r="D157" s="34">
        <v>99.5</v>
      </c>
      <c r="E157" s="122">
        <v>100</v>
      </c>
      <c r="F157" s="79">
        <f t="shared" si="9"/>
        <v>9950</v>
      </c>
      <c r="G157" s="79"/>
      <c r="H157" s="79"/>
      <c r="I157" s="50"/>
    </row>
    <row r="158" spans="1:9" s="32" customFormat="1" x14ac:dyDescent="0.3">
      <c r="A158" s="77"/>
      <c r="B158" s="51" t="s">
        <v>74</v>
      </c>
      <c r="C158" s="59" t="s">
        <v>2</v>
      </c>
      <c r="D158" s="34">
        <v>119.4</v>
      </c>
      <c r="E158" s="122">
        <v>100</v>
      </c>
      <c r="F158" s="79"/>
      <c r="G158" s="79">
        <f t="shared" si="10"/>
        <v>11940</v>
      </c>
      <c r="H158" s="79"/>
      <c r="I158" s="50"/>
    </row>
    <row r="159" spans="1:9" s="32" customFormat="1" x14ac:dyDescent="0.3">
      <c r="A159" s="121"/>
      <c r="B159" s="100" t="s">
        <v>84</v>
      </c>
      <c r="C159" s="98"/>
      <c r="D159" s="99"/>
      <c r="E159" s="100"/>
      <c r="F159" s="101"/>
      <c r="G159" s="101"/>
      <c r="H159" s="101"/>
      <c r="I159" s="50"/>
    </row>
    <row r="160" spans="1:9" s="32" customFormat="1" ht="19.8" customHeight="1" x14ac:dyDescent="0.3">
      <c r="A160" s="77">
        <v>58</v>
      </c>
      <c r="B160" s="51" t="s">
        <v>65</v>
      </c>
      <c r="C160" s="59" t="s">
        <v>2</v>
      </c>
      <c r="D160" s="34">
        <v>24.8</v>
      </c>
      <c r="E160" s="33">
        <v>100</v>
      </c>
      <c r="F160" s="79">
        <f t="shared" si="9"/>
        <v>2480</v>
      </c>
      <c r="G160" s="79"/>
      <c r="H160" s="79"/>
      <c r="I160" s="50"/>
    </row>
    <row r="161" spans="1:9" s="32" customFormat="1" x14ac:dyDescent="0.3">
      <c r="A161" s="77"/>
      <c r="B161" s="51" t="s">
        <v>85</v>
      </c>
      <c r="C161" s="59" t="s">
        <v>2</v>
      </c>
      <c r="D161" s="34">
        <v>24.8</v>
      </c>
      <c r="E161" s="33">
        <v>100</v>
      </c>
      <c r="F161" s="79"/>
      <c r="G161" s="79">
        <f t="shared" si="10"/>
        <v>2480</v>
      </c>
      <c r="H161" s="79"/>
      <c r="I161" s="50"/>
    </row>
    <row r="162" spans="1:9" s="32" customFormat="1" x14ac:dyDescent="0.3">
      <c r="A162" s="77"/>
      <c r="B162" s="51" t="s">
        <v>67</v>
      </c>
      <c r="C162" s="59" t="s">
        <v>2</v>
      </c>
      <c r="D162" s="34">
        <f>D160</f>
        <v>24.8</v>
      </c>
      <c r="E162" s="33">
        <v>100</v>
      </c>
      <c r="F162" s="79"/>
      <c r="G162" s="79">
        <f t="shared" si="10"/>
        <v>2480</v>
      </c>
      <c r="H162" s="79"/>
      <c r="I162" s="50"/>
    </row>
    <row r="163" spans="1:9" s="32" customFormat="1" x14ac:dyDescent="0.3">
      <c r="A163" s="77">
        <v>59</v>
      </c>
      <c r="B163" s="51" t="s">
        <v>86</v>
      </c>
      <c r="C163" s="59" t="s">
        <v>4</v>
      </c>
      <c r="D163" s="34">
        <v>7.4</v>
      </c>
      <c r="E163" s="33">
        <v>100</v>
      </c>
      <c r="F163" s="79">
        <f t="shared" si="9"/>
        <v>740</v>
      </c>
      <c r="G163" s="79"/>
      <c r="H163" s="79"/>
      <c r="I163" s="50"/>
    </row>
    <row r="164" spans="1:9" s="32" customFormat="1" x14ac:dyDescent="0.3">
      <c r="A164" s="77"/>
      <c r="B164" s="51" t="s">
        <v>284</v>
      </c>
      <c r="C164" s="59" t="s">
        <v>4</v>
      </c>
      <c r="D164" s="34">
        <v>8.1</v>
      </c>
      <c r="E164" s="33">
        <v>100</v>
      </c>
      <c r="F164" s="79"/>
      <c r="G164" s="79">
        <f t="shared" si="10"/>
        <v>810</v>
      </c>
      <c r="H164" s="79"/>
      <c r="I164" s="50"/>
    </row>
    <row r="165" spans="1:9" s="129" customFormat="1" x14ac:dyDescent="0.3">
      <c r="A165" s="123">
        <v>60</v>
      </c>
      <c r="B165" s="124" t="s">
        <v>69</v>
      </c>
      <c r="C165" s="125" t="s">
        <v>70</v>
      </c>
      <c r="D165" s="126">
        <v>2</v>
      </c>
      <c r="E165" s="33">
        <v>100</v>
      </c>
      <c r="F165" s="127">
        <f t="shared" si="9"/>
        <v>200</v>
      </c>
      <c r="G165" s="127"/>
      <c r="H165" s="79"/>
      <c r="I165" s="128"/>
    </row>
    <row r="166" spans="1:9" s="129" customFormat="1" x14ac:dyDescent="0.3">
      <c r="A166" s="123">
        <v>61</v>
      </c>
      <c r="B166" s="124" t="s">
        <v>71</v>
      </c>
      <c r="C166" s="125" t="s">
        <v>70</v>
      </c>
      <c r="D166" s="126">
        <v>2</v>
      </c>
      <c r="E166" s="33">
        <v>100</v>
      </c>
      <c r="F166" s="127">
        <f t="shared" si="9"/>
        <v>200</v>
      </c>
      <c r="G166" s="127"/>
      <c r="H166" s="79"/>
      <c r="I166" s="128"/>
    </row>
    <row r="167" spans="1:9" s="32" customFormat="1" ht="27.6" x14ac:dyDescent="0.3">
      <c r="A167" s="77"/>
      <c r="B167" s="51" t="s">
        <v>73</v>
      </c>
      <c r="C167" s="59" t="s">
        <v>2</v>
      </c>
      <c r="D167" s="34">
        <f>D160</f>
        <v>24.8</v>
      </c>
      <c r="E167" s="33">
        <v>100</v>
      </c>
      <c r="F167" s="79"/>
      <c r="G167" s="79">
        <f t="shared" si="10"/>
        <v>2480</v>
      </c>
      <c r="H167" s="79"/>
      <c r="I167" s="50"/>
    </row>
    <row r="168" spans="1:9" s="32" customFormat="1" x14ac:dyDescent="0.3">
      <c r="A168" s="77">
        <v>63</v>
      </c>
      <c r="B168" s="51" t="s">
        <v>72</v>
      </c>
      <c r="C168" s="59" t="s">
        <v>2</v>
      </c>
      <c r="D168" s="34">
        <f>D160</f>
        <v>24.8</v>
      </c>
      <c r="E168" s="33">
        <v>100</v>
      </c>
      <c r="F168" s="79">
        <f t="shared" si="9"/>
        <v>2480</v>
      </c>
      <c r="G168" s="79"/>
      <c r="H168" s="79"/>
      <c r="I168" s="50"/>
    </row>
    <row r="169" spans="1:9" s="32" customFormat="1" x14ac:dyDescent="0.3">
      <c r="A169" s="77"/>
      <c r="B169" s="51" t="s">
        <v>74</v>
      </c>
      <c r="C169" s="59" t="s">
        <v>2</v>
      </c>
      <c r="D169" s="34">
        <f>D168*1.2</f>
        <v>29.759999999999998</v>
      </c>
      <c r="E169" s="33">
        <v>100</v>
      </c>
      <c r="F169" s="79"/>
      <c r="G169" s="79">
        <f t="shared" si="10"/>
        <v>2976</v>
      </c>
      <c r="H169" s="79"/>
      <c r="I169" s="50"/>
    </row>
    <row r="170" spans="1:9" s="32" customFormat="1" x14ac:dyDescent="0.3">
      <c r="A170" s="77">
        <v>64</v>
      </c>
      <c r="B170" s="51" t="s">
        <v>75</v>
      </c>
      <c r="C170" s="59" t="s">
        <v>2</v>
      </c>
      <c r="D170" s="34">
        <v>5</v>
      </c>
      <c r="E170" s="33">
        <v>100</v>
      </c>
      <c r="F170" s="79">
        <f t="shared" si="9"/>
        <v>500</v>
      </c>
      <c r="G170" s="79"/>
      <c r="H170" s="79"/>
      <c r="I170" s="50"/>
    </row>
    <row r="171" spans="1:9" s="32" customFormat="1" x14ac:dyDescent="0.3">
      <c r="A171" s="77"/>
      <c r="B171" s="51" t="s">
        <v>87</v>
      </c>
      <c r="C171" s="59" t="s">
        <v>0</v>
      </c>
      <c r="D171" s="34">
        <v>0.5</v>
      </c>
      <c r="E171" s="33">
        <v>100</v>
      </c>
      <c r="F171" s="79"/>
      <c r="G171" s="79">
        <f t="shared" si="10"/>
        <v>50</v>
      </c>
      <c r="H171" s="79"/>
      <c r="I171" s="50"/>
    </row>
    <row r="172" spans="1:9" s="129" customFormat="1" x14ac:dyDescent="0.3">
      <c r="A172" s="123"/>
      <c r="B172" s="124" t="s">
        <v>320</v>
      </c>
      <c r="C172" s="125" t="s">
        <v>88</v>
      </c>
      <c r="D172" s="126">
        <v>8.3000000000000007</v>
      </c>
      <c r="E172" s="33">
        <v>100</v>
      </c>
      <c r="F172" s="127"/>
      <c r="G172" s="127">
        <f t="shared" si="10"/>
        <v>830.00000000000011</v>
      </c>
      <c r="H172" s="79"/>
      <c r="I172" s="128" t="s">
        <v>303</v>
      </c>
    </row>
    <row r="173" spans="1:9" s="129" customFormat="1" ht="14.4" customHeight="1" x14ac:dyDescent="0.3">
      <c r="A173" s="123">
        <v>65</v>
      </c>
      <c r="B173" s="124" t="s">
        <v>363</v>
      </c>
      <c r="C173" s="125" t="s">
        <v>1</v>
      </c>
      <c r="D173" s="126">
        <v>25</v>
      </c>
      <c r="E173" s="33">
        <v>100</v>
      </c>
      <c r="F173" s="127">
        <f t="shared" si="9"/>
        <v>2500</v>
      </c>
      <c r="G173" s="127">
        <f t="shared" si="10"/>
        <v>2500</v>
      </c>
      <c r="H173" s="79"/>
      <c r="I173" s="128"/>
    </row>
    <row r="174" spans="1:9" s="129" customFormat="1" ht="14.4" customHeight="1" x14ac:dyDescent="0.3">
      <c r="A174" s="123"/>
      <c r="B174" s="124" t="s">
        <v>362</v>
      </c>
      <c r="C174" s="125" t="s">
        <v>1</v>
      </c>
      <c r="D174" s="126">
        <v>25</v>
      </c>
      <c r="E174" s="33">
        <v>100</v>
      </c>
      <c r="F174" s="127">
        <f t="shared" ref="F174" si="11">D174*E174</f>
        <v>2500</v>
      </c>
      <c r="G174" s="127">
        <f t="shared" si="10"/>
        <v>2500</v>
      </c>
      <c r="H174" s="79"/>
      <c r="I174" s="128"/>
    </row>
    <row r="175" spans="1:9" s="103" customFormat="1" ht="16.2" customHeight="1" x14ac:dyDescent="0.3">
      <c r="A175" s="105"/>
      <c r="B175" s="106" t="s">
        <v>90</v>
      </c>
      <c r="C175" s="107"/>
      <c r="D175" s="108"/>
      <c r="E175" s="33">
        <v>100</v>
      </c>
      <c r="F175" s="110">
        <f>SUM(F93:F174)</f>
        <v>140210</v>
      </c>
      <c r="G175" s="110">
        <f>SUM(G93:G174)</f>
        <v>160466</v>
      </c>
      <c r="H175" s="79"/>
      <c r="I175" s="102"/>
    </row>
    <row r="176" spans="1:9" s="118" customFormat="1" ht="16.2" customHeight="1" x14ac:dyDescent="0.3">
      <c r="A176" s="111"/>
      <c r="B176" s="112" t="s">
        <v>89</v>
      </c>
      <c r="C176" s="113"/>
      <c r="D176" s="114"/>
      <c r="E176" s="33"/>
      <c r="F176" s="116"/>
      <c r="G176" s="116">
        <f>F175+G175</f>
        <v>300676</v>
      </c>
      <c r="H176" s="79"/>
      <c r="I176" s="117"/>
    </row>
    <row r="177" spans="1:14" s="32" customFormat="1" x14ac:dyDescent="0.3">
      <c r="A177" s="64"/>
      <c r="B177" s="60"/>
      <c r="C177" s="64"/>
      <c r="D177" s="89"/>
      <c r="F177" s="90"/>
      <c r="G177" s="90"/>
      <c r="H177" s="80"/>
      <c r="I177" s="50"/>
    </row>
    <row r="178" spans="1:14" s="32" customFormat="1" x14ac:dyDescent="0.3">
      <c r="A178" s="120" t="s">
        <v>93</v>
      </c>
      <c r="B178" s="27" t="s">
        <v>335</v>
      </c>
      <c r="C178" s="28" t="s">
        <v>353</v>
      </c>
      <c r="D178" s="29" t="s">
        <v>9</v>
      </c>
      <c r="E178" s="28" t="s">
        <v>337</v>
      </c>
      <c r="F178" s="94" t="s">
        <v>5</v>
      </c>
      <c r="G178" s="94" t="s">
        <v>6</v>
      </c>
      <c r="H178" s="94" t="s">
        <v>349</v>
      </c>
      <c r="I178" s="50"/>
      <c r="L178" s="95"/>
      <c r="M178" s="95"/>
      <c r="N178" s="95"/>
    </row>
    <row r="179" spans="1:14" s="32" customFormat="1" ht="27.6" x14ac:dyDescent="0.3">
      <c r="A179" s="77">
        <v>66</v>
      </c>
      <c r="B179" s="51" t="s">
        <v>94</v>
      </c>
      <c r="C179" s="59" t="s">
        <v>1</v>
      </c>
      <c r="D179" s="34">
        <v>36</v>
      </c>
      <c r="E179" s="122">
        <v>100</v>
      </c>
      <c r="F179" s="79">
        <f t="shared" si="9"/>
        <v>3600</v>
      </c>
      <c r="G179" s="79"/>
      <c r="H179" s="79"/>
      <c r="I179" s="50"/>
    </row>
    <row r="180" spans="1:14" s="32" customFormat="1" x14ac:dyDescent="0.3">
      <c r="A180" s="77"/>
      <c r="B180" s="51" t="s">
        <v>95</v>
      </c>
      <c r="C180" s="59" t="s">
        <v>18</v>
      </c>
      <c r="D180" s="34">
        <v>1</v>
      </c>
      <c r="E180" s="122">
        <v>100</v>
      </c>
      <c r="F180" s="79"/>
      <c r="G180" s="79">
        <f t="shared" si="10"/>
        <v>100</v>
      </c>
      <c r="H180" s="79"/>
      <c r="I180" s="50"/>
    </row>
    <row r="181" spans="1:14" s="32" customFormat="1" ht="27.6" x14ac:dyDescent="0.3">
      <c r="A181" s="77">
        <v>67</v>
      </c>
      <c r="B181" s="51" t="s">
        <v>96</v>
      </c>
      <c r="C181" s="59" t="s">
        <v>1</v>
      </c>
      <c r="D181" s="34">
        <v>65</v>
      </c>
      <c r="E181" s="122">
        <v>100</v>
      </c>
      <c r="F181" s="79">
        <f t="shared" si="9"/>
        <v>6500</v>
      </c>
      <c r="G181" s="79"/>
      <c r="H181" s="79"/>
      <c r="I181" s="50"/>
    </row>
    <row r="182" spans="1:14" s="32" customFormat="1" x14ac:dyDescent="0.3">
      <c r="A182" s="77"/>
      <c r="B182" s="51" t="s">
        <v>97</v>
      </c>
      <c r="C182" s="59" t="s">
        <v>0</v>
      </c>
      <c r="D182" s="34">
        <v>14</v>
      </c>
      <c r="E182" s="122">
        <v>100</v>
      </c>
      <c r="F182" s="79"/>
      <c r="G182" s="79">
        <f t="shared" si="10"/>
        <v>1400</v>
      </c>
      <c r="H182" s="79"/>
      <c r="I182" s="50"/>
    </row>
    <row r="183" spans="1:14" s="32" customFormat="1" x14ac:dyDescent="0.3">
      <c r="A183" s="77">
        <v>68</v>
      </c>
      <c r="B183" s="51" t="s">
        <v>98</v>
      </c>
      <c r="C183" s="59" t="s">
        <v>1</v>
      </c>
      <c r="D183" s="34">
        <v>36</v>
      </c>
      <c r="E183" s="122">
        <v>100</v>
      </c>
      <c r="F183" s="79">
        <f t="shared" si="9"/>
        <v>3600</v>
      </c>
      <c r="G183" s="79"/>
      <c r="H183" s="79"/>
      <c r="I183" s="50"/>
    </row>
    <row r="184" spans="1:14" s="32" customFormat="1" ht="27.6" x14ac:dyDescent="0.3">
      <c r="A184" s="77"/>
      <c r="B184" s="51" t="s">
        <v>99</v>
      </c>
      <c r="C184" s="59" t="s">
        <v>1</v>
      </c>
      <c r="D184" s="34">
        <f>D183</f>
        <v>36</v>
      </c>
      <c r="E184" s="122">
        <v>100</v>
      </c>
      <c r="F184" s="79"/>
      <c r="G184" s="79">
        <f t="shared" si="10"/>
        <v>3600</v>
      </c>
      <c r="H184" s="79"/>
      <c r="I184" s="50"/>
    </row>
    <row r="185" spans="1:14" s="32" customFormat="1" x14ac:dyDescent="0.3">
      <c r="A185" s="77"/>
      <c r="B185" s="51" t="s">
        <v>100</v>
      </c>
      <c r="C185" s="59" t="s">
        <v>0</v>
      </c>
      <c r="D185" s="34">
        <v>1</v>
      </c>
      <c r="E185" s="122">
        <v>100</v>
      </c>
      <c r="F185" s="79"/>
      <c r="G185" s="79">
        <f t="shared" si="10"/>
        <v>100</v>
      </c>
      <c r="H185" s="79"/>
      <c r="I185" s="50"/>
    </row>
    <row r="186" spans="1:14" s="32" customFormat="1" ht="27.6" x14ac:dyDescent="0.3">
      <c r="A186" s="77"/>
      <c r="B186" s="51" t="s">
        <v>101</v>
      </c>
      <c r="C186" s="59" t="s">
        <v>19</v>
      </c>
      <c r="D186" s="34">
        <v>10</v>
      </c>
      <c r="E186" s="122">
        <v>100</v>
      </c>
      <c r="F186" s="79"/>
      <c r="G186" s="79">
        <f t="shared" si="10"/>
        <v>1000</v>
      </c>
      <c r="H186" s="79"/>
      <c r="I186" s="50" t="s">
        <v>291</v>
      </c>
    </row>
    <row r="187" spans="1:14" s="32" customFormat="1" x14ac:dyDescent="0.3">
      <c r="A187" s="77"/>
      <c r="B187" s="51" t="s">
        <v>102</v>
      </c>
      <c r="C187" s="59" t="s">
        <v>0</v>
      </c>
      <c r="D187" s="34">
        <v>2</v>
      </c>
      <c r="E187" s="122">
        <v>100</v>
      </c>
      <c r="F187" s="79"/>
      <c r="G187" s="79">
        <f t="shared" ref="G187:G251" si="12">D187*E187</f>
        <v>200</v>
      </c>
      <c r="H187" s="79"/>
      <c r="I187" s="50" t="s">
        <v>290</v>
      </c>
    </row>
    <row r="188" spans="1:14" s="32" customFormat="1" x14ac:dyDescent="0.3">
      <c r="A188" s="77"/>
      <c r="B188" s="51" t="s">
        <v>341</v>
      </c>
      <c r="C188" s="59" t="s">
        <v>103</v>
      </c>
      <c r="D188" s="34">
        <v>1</v>
      </c>
      <c r="E188" s="122"/>
      <c r="F188" s="79"/>
      <c r="G188" s="79"/>
      <c r="H188" s="79"/>
      <c r="I188" s="50"/>
    </row>
    <row r="189" spans="1:14" s="32" customFormat="1" x14ac:dyDescent="0.3">
      <c r="A189" s="77">
        <v>69</v>
      </c>
      <c r="B189" s="51" t="s">
        <v>104</v>
      </c>
      <c r="C189" s="59" t="s">
        <v>1</v>
      </c>
      <c r="D189" s="34">
        <v>21</v>
      </c>
      <c r="E189" s="122">
        <v>100</v>
      </c>
      <c r="F189" s="79">
        <f t="shared" ref="F189:F250" si="13">D189*E189</f>
        <v>2100</v>
      </c>
      <c r="G189" s="79"/>
      <c r="H189" s="79"/>
      <c r="I189" s="50"/>
    </row>
    <row r="190" spans="1:14" s="32" customFormat="1" ht="27.6" x14ac:dyDescent="0.3">
      <c r="A190" s="77"/>
      <c r="B190" s="51" t="s">
        <v>99</v>
      </c>
      <c r="C190" s="59" t="s">
        <v>1</v>
      </c>
      <c r="D190" s="34">
        <f>D189</f>
        <v>21</v>
      </c>
      <c r="E190" s="122">
        <v>100</v>
      </c>
      <c r="F190" s="79"/>
      <c r="G190" s="79">
        <f t="shared" si="12"/>
        <v>2100</v>
      </c>
      <c r="H190" s="79"/>
      <c r="I190" s="50"/>
    </row>
    <row r="191" spans="1:14" s="32" customFormat="1" ht="27.6" x14ac:dyDescent="0.3">
      <c r="A191" s="77"/>
      <c r="B191" s="51" t="s">
        <v>101</v>
      </c>
      <c r="C191" s="59" t="s">
        <v>19</v>
      </c>
      <c r="D191" s="34">
        <v>20</v>
      </c>
      <c r="E191" s="122">
        <v>100</v>
      </c>
      <c r="F191" s="79"/>
      <c r="G191" s="79">
        <f t="shared" si="12"/>
        <v>2000</v>
      </c>
      <c r="H191" s="79"/>
      <c r="I191" s="50"/>
    </row>
    <row r="192" spans="1:14" s="32" customFormat="1" x14ac:dyDescent="0.3">
      <c r="A192" s="77"/>
      <c r="B192" s="51" t="s">
        <v>102</v>
      </c>
      <c r="C192" s="59" t="s">
        <v>0</v>
      </c>
      <c r="D192" s="34">
        <v>4</v>
      </c>
      <c r="E192" s="122">
        <v>100</v>
      </c>
      <c r="F192" s="79"/>
      <c r="G192" s="79">
        <f t="shared" si="12"/>
        <v>400</v>
      </c>
      <c r="H192" s="79"/>
      <c r="I192" s="50"/>
    </row>
    <row r="193" spans="1:9" s="32" customFormat="1" x14ac:dyDescent="0.3">
      <c r="A193" s="77"/>
      <c r="B193" s="51" t="s">
        <v>341</v>
      </c>
      <c r="C193" s="59" t="s">
        <v>103</v>
      </c>
      <c r="D193" s="34">
        <v>1</v>
      </c>
      <c r="E193" s="122"/>
      <c r="F193" s="79"/>
      <c r="G193" s="79"/>
      <c r="H193" s="79"/>
      <c r="I193" s="50"/>
    </row>
    <row r="194" spans="1:9" s="32" customFormat="1" x14ac:dyDescent="0.3">
      <c r="A194" s="77">
        <v>70</v>
      </c>
      <c r="B194" s="51" t="s">
        <v>105</v>
      </c>
      <c r="C194" s="59" t="s">
        <v>2</v>
      </c>
      <c r="D194" s="34">
        <v>25</v>
      </c>
      <c r="E194" s="122">
        <v>100</v>
      </c>
      <c r="F194" s="79">
        <f t="shared" si="13"/>
        <v>2500</v>
      </c>
      <c r="G194" s="79"/>
      <c r="H194" s="79"/>
      <c r="I194" s="50"/>
    </row>
    <row r="195" spans="1:9" s="32" customFormat="1" x14ac:dyDescent="0.3">
      <c r="A195" s="77"/>
      <c r="B195" s="51" t="s">
        <v>106</v>
      </c>
      <c r="C195" s="59" t="s">
        <v>0</v>
      </c>
      <c r="D195" s="34">
        <v>1</v>
      </c>
      <c r="E195" s="122">
        <v>100</v>
      </c>
      <c r="F195" s="79"/>
      <c r="G195" s="79">
        <f t="shared" si="12"/>
        <v>100</v>
      </c>
      <c r="H195" s="79"/>
      <c r="I195" s="50"/>
    </row>
    <row r="196" spans="1:9" s="32" customFormat="1" x14ac:dyDescent="0.3">
      <c r="A196" s="77">
        <v>71</v>
      </c>
      <c r="B196" s="51" t="s">
        <v>107</v>
      </c>
      <c r="C196" s="59" t="s">
        <v>1</v>
      </c>
      <c r="D196" s="34">
        <v>33</v>
      </c>
      <c r="E196" s="122">
        <v>100</v>
      </c>
      <c r="F196" s="79">
        <f t="shared" si="13"/>
        <v>3300</v>
      </c>
      <c r="G196" s="79"/>
      <c r="H196" s="79"/>
      <c r="I196" s="50"/>
    </row>
    <row r="197" spans="1:9" s="32" customFormat="1" x14ac:dyDescent="0.3">
      <c r="A197" s="77"/>
      <c r="B197" s="51" t="s">
        <v>108</v>
      </c>
      <c r="C197" s="59" t="s">
        <v>0</v>
      </c>
      <c r="D197" s="34">
        <v>75</v>
      </c>
      <c r="E197" s="122">
        <v>100</v>
      </c>
      <c r="F197" s="79"/>
      <c r="G197" s="79">
        <f t="shared" si="12"/>
        <v>7500</v>
      </c>
      <c r="H197" s="79"/>
      <c r="I197" s="50" t="s">
        <v>292</v>
      </c>
    </row>
    <row r="198" spans="1:9" s="32" customFormat="1" x14ac:dyDescent="0.3">
      <c r="A198" s="77">
        <v>72</v>
      </c>
      <c r="B198" s="51" t="s">
        <v>109</v>
      </c>
      <c r="C198" s="59" t="s">
        <v>1</v>
      </c>
      <c r="D198" s="34">
        <v>33</v>
      </c>
      <c r="E198" s="122">
        <v>100</v>
      </c>
      <c r="F198" s="79">
        <f t="shared" si="13"/>
        <v>3300</v>
      </c>
      <c r="G198" s="79"/>
      <c r="H198" s="79"/>
      <c r="I198" s="50"/>
    </row>
    <row r="199" spans="1:9" s="32" customFormat="1" x14ac:dyDescent="0.3">
      <c r="A199" s="77"/>
      <c r="B199" s="51" t="s">
        <v>110</v>
      </c>
      <c r="C199" s="59" t="s">
        <v>2</v>
      </c>
      <c r="D199" s="34">
        <v>28</v>
      </c>
      <c r="E199" s="122">
        <v>100</v>
      </c>
      <c r="F199" s="79"/>
      <c r="G199" s="79">
        <f t="shared" si="12"/>
        <v>2800</v>
      </c>
      <c r="H199" s="79"/>
      <c r="I199" s="50" t="s">
        <v>293</v>
      </c>
    </row>
    <row r="200" spans="1:9" s="32" customFormat="1" ht="27.6" x14ac:dyDescent="0.3">
      <c r="A200" s="77"/>
      <c r="B200" s="51" t="s">
        <v>101</v>
      </c>
      <c r="C200" s="59" t="s">
        <v>19</v>
      </c>
      <c r="D200" s="34">
        <v>25</v>
      </c>
      <c r="E200" s="122">
        <v>100</v>
      </c>
      <c r="F200" s="79"/>
      <c r="G200" s="79">
        <f t="shared" si="12"/>
        <v>2500</v>
      </c>
      <c r="H200" s="79"/>
      <c r="I200" s="50"/>
    </row>
    <row r="201" spans="1:9" s="32" customFormat="1" x14ac:dyDescent="0.3">
      <c r="A201" s="77"/>
      <c r="B201" s="51" t="s">
        <v>102</v>
      </c>
      <c r="C201" s="59" t="s">
        <v>0</v>
      </c>
      <c r="D201" s="34">
        <v>4</v>
      </c>
      <c r="E201" s="122">
        <v>100</v>
      </c>
      <c r="F201" s="79"/>
      <c r="G201" s="79">
        <f t="shared" si="12"/>
        <v>400</v>
      </c>
      <c r="H201" s="79"/>
      <c r="I201" s="50"/>
    </row>
    <row r="202" spans="1:9" s="32" customFormat="1" x14ac:dyDescent="0.3">
      <c r="A202" s="77"/>
      <c r="B202" s="51" t="s">
        <v>100</v>
      </c>
      <c r="C202" s="59" t="s">
        <v>0</v>
      </c>
      <c r="D202" s="34">
        <v>2</v>
      </c>
      <c r="E202" s="122">
        <v>100</v>
      </c>
      <c r="F202" s="79"/>
      <c r="G202" s="79">
        <f t="shared" si="12"/>
        <v>200</v>
      </c>
      <c r="H202" s="79"/>
      <c r="I202" s="50"/>
    </row>
    <row r="203" spans="1:9" s="32" customFormat="1" x14ac:dyDescent="0.3">
      <c r="A203" s="77">
        <v>73</v>
      </c>
      <c r="B203" s="51" t="s">
        <v>111</v>
      </c>
      <c r="C203" s="59" t="s">
        <v>1</v>
      </c>
      <c r="D203" s="34">
        <v>12</v>
      </c>
      <c r="E203" s="122">
        <v>100</v>
      </c>
      <c r="F203" s="79">
        <f t="shared" si="13"/>
        <v>1200</v>
      </c>
      <c r="G203" s="79"/>
      <c r="H203" s="79"/>
      <c r="I203" s="50"/>
    </row>
    <row r="204" spans="1:9" s="32" customFormat="1" x14ac:dyDescent="0.3">
      <c r="A204" s="77">
        <v>74</v>
      </c>
      <c r="B204" s="51" t="s">
        <v>112</v>
      </c>
      <c r="C204" s="59" t="s">
        <v>1</v>
      </c>
      <c r="D204" s="34">
        <v>33</v>
      </c>
      <c r="E204" s="122">
        <v>100</v>
      </c>
      <c r="F204" s="79">
        <f t="shared" si="13"/>
        <v>3300</v>
      </c>
      <c r="G204" s="79"/>
      <c r="H204" s="79"/>
      <c r="I204" s="50"/>
    </row>
    <row r="205" spans="1:9" s="32" customFormat="1" x14ac:dyDescent="0.3">
      <c r="A205" s="77"/>
      <c r="B205" s="51" t="s">
        <v>113</v>
      </c>
      <c r="C205" s="59" t="s">
        <v>2</v>
      </c>
      <c r="D205" s="34">
        <v>25</v>
      </c>
      <c r="E205" s="122">
        <v>100</v>
      </c>
      <c r="F205" s="79"/>
      <c r="G205" s="79">
        <f t="shared" si="12"/>
        <v>2500</v>
      </c>
      <c r="H205" s="79"/>
      <c r="I205" s="50" t="s">
        <v>294</v>
      </c>
    </row>
    <row r="206" spans="1:9" s="32" customFormat="1" ht="27.6" x14ac:dyDescent="0.3">
      <c r="A206" s="77">
        <v>75</v>
      </c>
      <c r="B206" s="51" t="s">
        <v>114</v>
      </c>
      <c r="C206" s="59" t="s">
        <v>1</v>
      </c>
      <c r="D206" s="34">
        <v>33</v>
      </c>
      <c r="E206" s="122">
        <v>100</v>
      </c>
      <c r="F206" s="79">
        <f t="shared" si="13"/>
        <v>3300</v>
      </c>
      <c r="G206" s="79"/>
      <c r="H206" s="79"/>
      <c r="I206" s="50"/>
    </row>
    <row r="207" spans="1:9" s="32" customFormat="1" x14ac:dyDescent="0.3">
      <c r="A207" s="77"/>
      <c r="B207" s="51" t="s">
        <v>97</v>
      </c>
      <c r="C207" s="59" t="s">
        <v>0</v>
      </c>
      <c r="D207" s="34">
        <v>8</v>
      </c>
      <c r="E207" s="122">
        <v>100</v>
      </c>
      <c r="F207" s="79"/>
      <c r="G207" s="79">
        <f t="shared" si="12"/>
        <v>800</v>
      </c>
      <c r="H207" s="79"/>
      <c r="I207" s="50"/>
    </row>
    <row r="208" spans="1:9" s="103" customFormat="1" ht="14.4" customHeight="1" x14ac:dyDescent="0.3">
      <c r="A208" s="105"/>
      <c r="B208" s="106" t="s">
        <v>90</v>
      </c>
      <c r="C208" s="107"/>
      <c r="D208" s="108"/>
      <c r="E208" s="109"/>
      <c r="F208" s="110">
        <f>SUM(F179:F207)</f>
        <v>32700</v>
      </c>
      <c r="G208" s="110">
        <f>SUM(G179:G207)</f>
        <v>27700</v>
      </c>
      <c r="H208" s="79"/>
      <c r="I208" s="102"/>
    </row>
    <row r="209" spans="1:9" s="118" customFormat="1" ht="14.4" customHeight="1" x14ac:dyDescent="0.3">
      <c r="A209" s="111"/>
      <c r="B209" s="112" t="s">
        <v>89</v>
      </c>
      <c r="C209" s="113"/>
      <c r="D209" s="114"/>
      <c r="E209" s="115"/>
      <c r="F209" s="116"/>
      <c r="G209" s="116">
        <f>F208+G208</f>
        <v>60400</v>
      </c>
      <c r="H209" s="79"/>
      <c r="I209" s="117"/>
    </row>
    <row r="210" spans="1:9" s="32" customFormat="1" x14ac:dyDescent="0.3">
      <c r="A210" s="64"/>
      <c r="B210" s="60"/>
      <c r="C210" s="64"/>
      <c r="D210" s="89"/>
      <c r="F210" s="90"/>
      <c r="G210" s="90"/>
      <c r="H210" s="80"/>
      <c r="I210" s="50"/>
    </row>
    <row r="211" spans="1:9" s="135" customFormat="1" x14ac:dyDescent="0.3">
      <c r="A211" s="26">
        <v>5</v>
      </c>
      <c r="B211" s="27" t="s">
        <v>115</v>
      </c>
      <c r="C211" s="28" t="s">
        <v>353</v>
      </c>
      <c r="D211" s="29" t="s">
        <v>9</v>
      </c>
      <c r="E211" s="28" t="s">
        <v>337</v>
      </c>
      <c r="F211" s="94" t="s">
        <v>5</v>
      </c>
      <c r="G211" s="94" t="s">
        <v>6</v>
      </c>
      <c r="H211" s="94" t="s">
        <v>349</v>
      </c>
      <c r="I211" s="134"/>
    </row>
    <row r="212" spans="1:9" s="129" customFormat="1" x14ac:dyDescent="0.3">
      <c r="A212" s="121"/>
      <c r="B212" s="66" t="s">
        <v>116</v>
      </c>
      <c r="C212" s="98"/>
      <c r="D212" s="99"/>
      <c r="E212" s="100"/>
      <c r="F212" s="101"/>
      <c r="G212" s="101"/>
      <c r="H212" s="182"/>
      <c r="I212" s="128"/>
    </row>
    <row r="213" spans="1:9" s="129" customFormat="1" ht="34.799999999999997" customHeight="1" x14ac:dyDescent="0.3">
      <c r="A213" s="123">
        <v>76</v>
      </c>
      <c r="B213" s="51" t="s">
        <v>57</v>
      </c>
      <c r="C213" s="125" t="s">
        <v>4</v>
      </c>
      <c r="D213" s="126">
        <v>29</v>
      </c>
      <c r="E213" s="122">
        <v>100</v>
      </c>
      <c r="F213" s="79">
        <f t="shared" si="13"/>
        <v>2900</v>
      </c>
      <c r="G213" s="79"/>
      <c r="H213" s="79"/>
      <c r="I213" s="128"/>
    </row>
    <row r="214" spans="1:9" s="32" customFormat="1" x14ac:dyDescent="0.3">
      <c r="A214" s="77"/>
      <c r="B214" s="51" t="s">
        <v>318</v>
      </c>
      <c r="C214" s="59" t="s">
        <v>4</v>
      </c>
      <c r="D214" s="34">
        <f>D213*1.2</f>
        <v>34.799999999999997</v>
      </c>
      <c r="E214" s="122">
        <v>100</v>
      </c>
      <c r="F214" s="79"/>
      <c r="G214" s="79">
        <f t="shared" si="12"/>
        <v>3479.9999999999995</v>
      </c>
      <c r="H214" s="79"/>
      <c r="I214" s="50"/>
    </row>
    <row r="215" spans="1:9" s="129" customFormat="1" x14ac:dyDescent="0.3">
      <c r="A215" s="123">
        <v>77</v>
      </c>
      <c r="B215" s="124" t="s">
        <v>58</v>
      </c>
      <c r="C215" s="125" t="s">
        <v>118</v>
      </c>
      <c r="D215" s="126">
        <v>2</v>
      </c>
      <c r="E215" s="122">
        <v>100</v>
      </c>
      <c r="F215" s="79">
        <f t="shared" si="13"/>
        <v>200</v>
      </c>
      <c r="G215" s="79"/>
      <c r="H215" s="79"/>
      <c r="I215" s="128"/>
    </row>
    <row r="216" spans="1:9" s="129" customFormat="1" x14ac:dyDescent="0.3">
      <c r="A216" s="123">
        <v>78</v>
      </c>
      <c r="B216" s="124" t="s">
        <v>117</v>
      </c>
      <c r="C216" s="125" t="s">
        <v>118</v>
      </c>
      <c r="D216" s="126">
        <v>2</v>
      </c>
      <c r="E216" s="122">
        <v>100</v>
      </c>
      <c r="F216" s="79">
        <f t="shared" si="13"/>
        <v>200</v>
      </c>
      <c r="G216" s="79"/>
      <c r="H216" s="79"/>
      <c r="I216" s="128"/>
    </row>
    <row r="217" spans="1:9" s="32" customFormat="1" x14ac:dyDescent="0.3">
      <c r="A217" s="77">
        <v>79</v>
      </c>
      <c r="B217" s="51" t="s">
        <v>3</v>
      </c>
      <c r="C217" s="59" t="s">
        <v>2</v>
      </c>
      <c r="D217" s="34">
        <v>290</v>
      </c>
      <c r="E217" s="122">
        <v>100</v>
      </c>
      <c r="F217" s="79">
        <f t="shared" si="13"/>
        <v>29000</v>
      </c>
      <c r="G217" s="79"/>
      <c r="H217" s="79"/>
      <c r="I217" s="50"/>
    </row>
    <row r="218" spans="1:9" s="32" customFormat="1" x14ac:dyDescent="0.3">
      <c r="A218" s="77"/>
      <c r="B218" s="51" t="s">
        <v>365</v>
      </c>
      <c r="C218" s="59" t="s">
        <v>2</v>
      </c>
      <c r="D218" s="34">
        <f>D217*1.3</f>
        <v>377</v>
      </c>
      <c r="E218" s="122">
        <v>100</v>
      </c>
      <c r="F218" s="79"/>
      <c r="G218" s="79">
        <f t="shared" si="12"/>
        <v>37700</v>
      </c>
      <c r="H218" s="79"/>
      <c r="I218" s="50" t="s">
        <v>295</v>
      </c>
    </row>
    <row r="219" spans="1:9" s="32" customFormat="1" ht="27.6" x14ac:dyDescent="0.3">
      <c r="A219" s="77">
        <v>80</v>
      </c>
      <c r="B219" s="51" t="s">
        <v>296</v>
      </c>
      <c r="C219" s="59" t="s">
        <v>4</v>
      </c>
      <c r="D219" s="34">
        <v>72.5</v>
      </c>
      <c r="E219" s="122">
        <v>100</v>
      </c>
      <c r="F219" s="79">
        <f t="shared" si="13"/>
        <v>7250</v>
      </c>
      <c r="G219" s="79"/>
      <c r="H219" s="79"/>
      <c r="I219" s="50"/>
    </row>
    <row r="220" spans="1:9" s="32" customFormat="1" x14ac:dyDescent="0.3">
      <c r="A220" s="77"/>
      <c r="B220" s="51" t="s">
        <v>319</v>
      </c>
      <c r="C220" s="59" t="s">
        <v>4</v>
      </c>
      <c r="D220" s="34">
        <v>95</v>
      </c>
      <c r="E220" s="122">
        <v>100</v>
      </c>
      <c r="F220" s="79"/>
      <c r="G220" s="79">
        <f t="shared" si="12"/>
        <v>9500</v>
      </c>
      <c r="H220" s="79"/>
      <c r="I220" s="50"/>
    </row>
    <row r="221" spans="1:9" s="32" customFormat="1" x14ac:dyDescent="0.3">
      <c r="A221" s="77"/>
      <c r="B221" s="51" t="s">
        <v>62</v>
      </c>
      <c r="C221" s="59" t="s">
        <v>4</v>
      </c>
      <c r="D221" s="34">
        <v>12</v>
      </c>
      <c r="E221" s="122">
        <v>100</v>
      </c>
      <c r="F221" s="79"/>
      <c r="G221" s="79">
        <f t="shared" si="12"/>
        <v>1200</v>
      </c>
      <c r="H221" s="79"/>
      <c r="I221" s="50"/>
    </row>
    <row r="222" spans="1:9" s="129" customFormat="1" x14ac:dyDescent="0.3">
      <c r="A222" s="123">
        <v>81</v>
      </c>
      <c r="B222" s="124" t="s">
        <v>58</v>
      </c>
      <c r="C222" s="125" t="s">
        <v>118</v>
      </c>
      <c r="D222" s="126">
        <v>3</v>
      </c>
      <c r="E222" s="122">
        <v>100</v>
      </c>
      <c r="F222" s="79">
        <f t="shared" si="13"/>
        <v>300</v>
      </c>
      <c r="G222" s="79"/>
      <c r="H222" s="79"/>
      <c r="I222" s="128"/>
    </row>
    <row r="223" spans="1:9" s="129" customFormat="1" x14ac:dyDescent="0.3">
      <c r="A223" s="123">
        <v>82</v>
      </c>
      <c r="B223" s="124" t="s">
        <v>117</v>
      </c>
      <c r="C223" s="125" t="s">
        <v>118</v>
      </c>
      <c r="D223" s="126">
        <v>3</v>
      </c>
      <c r="E223" s="122">
        <v>100</v>
      </c>
      <c r="F223" s="79">
        <f t="shared" si="13"/>
        <v>300</v>
      </c>
      <c r="G223" s="79"/>
      <c r="H223" s="79"/>
      <c r="I223" s="128"/>
    </row>
    <row r="224" spans="1:9" s="32" customFormat="1" x14ac:dyDescent="0.3">
      <c r="A224" s="77">
        <v>83</v>
      </c>
      <c r="B224" s="51" t="s">
        <v>119</v>
      </c>
      <c r="C224" s="59" t="s">
        <v>2</v>
      </c>
      <c r="D224" s="34">
        <v>274.10000000000002</v>
      </c>
      <c r="E224" s="122">
        <v>100</v>
      </c>
      <c r="F224" s="79">
        <f t="shared" si="13"/>
        <v>27410.000000000004</v>
      </c>
      <c r="G224" s="79"/>
      <c r="H224" s="79"/>
      <c r="I224" s="50"/>
    </row>
    <row r="225" spans="1:9" s="32" customFormat="1" ht="27.6" x14ac:dyDescent="0.3">
      <c r="A225" s="77"/>
      <c r="B225" s="51" t="s">
        <v>120</v>
      </c>
      <c r="C225" s="59" t="s">
        <v>121</v>
      </c>
      <c r="D225" s="34">
        <v>420</v>
      </c>
      <c r="E225" s="122">
        <v>100</v>
      </c>
      <c r="F225" s="79"/>
      <c r="G225" s="79">
        <f t="shared" si="12"/>
        <v>42000</v>
      </c>
      <c r="H225" s="79"/>
      <c r="I225" s="50" t="s">
        <v>297</v>
      </c>
    </row>
    <row r="226" spans="1:9" s="32" customFormat="1" x14ac:dyDescent="0.3">
      <c r="A226" s="77">
        <v>84</v>
      </c>
      <c r="B226" s="51" t="s">
        <v>122</v>
      </c>
      <c r="C226" s="59" t="s">
        <v>2</v>
      </c>
      <c r="D226" s="34">
        <f>D224</f>
        <v>274.10000000000002</v>
      </c>
      <c r="E226" s="122">
        <v>100</v>
      </c>
      <c r="F226" s="79">
        <f t="shared" si="13"/>
        <v>27410.000000000004</v>
      </c>
      <c r="G226" s="79"/>
      <c r="H226" s="79"/>
      <c r="I226" s="50"/>
    </row>
    <row r="227" spans="1:9" s="32" customFormat="1" x14ac:dyDescent="0.3">
      <c r="A227" s="77"/>
      <c r="B227" s="51" t="s">
        <v>74</v>
      </c>
      <c r="C227" s="59" t="s">
        <v>2</v>
      </c>
      <c r="D227" s="34">
        <f>D226*1.25</f>
        <v>342.625</v>
      </c>
      <c r="E227" s="122">
        <v>100</v>
      </c>
      <c r="F227" s="79"/>
      <c r="G227" s="79">
        <f t="shared" si="12"/>
        <v>34262.5</v>
      </c>
      <c r="H227" s="79"/>
      <c r="I227" s="50"/>
    </row>
    <row r="228" spans="1:9" s="32" customFormat="1" ht="27.6" x14ac:dyDescent="0.3">
      <c r="A228" s="77">
        <v>85</v>
      </c>
      <c r="B228" s="51" t="s">
        <v>123</v>
      </c>
      <c r="C228" s="59" t="s">
        <v>2</v>
      </c>
      <c r="D228" s="34">
        <v>274.10000000000002</v>
      </c>
      <c r="E228" s="122">
        <v>100</v>
      </c>
      <c r="F228" s="79">
        <f t="shared" si="13"/>
        <v>27410.000000000004</v>
      </c>
      <c r="G228" s="79"/>
      <c r="H228" s="79"/>
      <c r="I228" s="50"/>
    </row>
    <row r="229" spans="1:9" s="129" customFormat="1" x14ac:dyDescent="0.3">
      <c r="A229" s="123"/>
      <c r="B229" s="124" t="s">
        <v>320</v>
      </c>
      <c r="C229" s="125" t="s">
        <v>88</v>
      </c>
      <c r="D229" s="126">
        <v>4.5</v>
      </c>
      <c r="E229" s="122">
        <v>100</v>
      </c>
      <c r="F229" s="79"/>
      <c r="G229" s="79">
        <f t="shared" si="12"/>
        <v>450</v>
      </c>
      <c r="H229" s="79"/>
      <c r="I229" s="128"/>
    </row>
    <row r="230" spans="1:9" s="32" customFormat="1" x14ac:dyDescent="0.3">
      <c r="A230" s="77"/>
      <c r="B230" s="51" t="s">
        <v>124</v>
      </c>
      <c r="C230" s="59" t="s">
        <v>4</v>
      </c>
      <c r="D230" s="34">
        <v>24.2</v>
      </c>
      <c r="E230" s="122">
        <v>100</v>
      </c>
      <c r="F230" s="79"/>
      <c r="G230" s="79">
        <f t="shared" si="12"/>
        <v>2420</v>
      </c>
      <c r="H230" s="79"/>
      <c r="I230" s="50" t="s">
        <v>298</v>
      </c>
    </row>
    <row r="231" spans="1:9" s="32" customFormat="1" x14ac:dyDescent="0.3">
      <c r="A231" s="77">
        <v>86</v>
      </c>
      <c r="B231" s="51" t="s">
        <v>69</v>
      </c>
      <c r="C231" s="59" t="s">
        <v>70</v>
      </c>
      <c r="D231" s="34">
        <v>2</v>
      </c>
      <c r="E231" s="122">
        <v>100</v>
      </c>
      <c r="F231" s="79">
        <f t="shared" si="13"/>
        <v>200</v>
      </c>
      <c r="G231" s="79"/>
      <c r="H231" s="79"/>
      <c r="I231" s="50"/>
    </row>
    <row r="232" spans="1:9" s="32" customFormat="1" x14ac:dyDescent="0.3">
      <c r="A232" s="77">
        <v>87</v>
      </c>
      <c r="B232" s="51" t="s">
        <v>71</v>
      </c>
      <c r="C232" s="59" t="s">
        <v>70</v>
      </c>
      <c r="D232" s="34">
        <v>2</v>
      </c>
      <c r="E232" s="122">
        <v>100</v>
      </c>
      <c r="F232" s="79">
        <f t="shared" si="13"/>
        <v>200</v>
      </c>
      <c r="G232" s="79"/>
      <c r="H232" s="79"/>
      <c r="I232" s="50"/>
    </row>
    <row r="233" spans="1:9" s="32" customFormat="1" x14ac:dyDescent="0.3">
      <c r="A233" s="77"/>
      <c r="B233" s="51" t="s">
        <v>125</v>
      </c>
      <c r="C233" s="59" t="s">
        <v>2</v>
      </c>
      <c r="D233" s="34">
        <f>D228</f>
        <v>274.10000000000002</v>
      </c>
      <c r="E233" s="122">
        <v>100</v>
      </c>
      <c r="F233" s="79"/>
      <c r="G233" s="79">
        <f t="shared" si="12"/>
        <v>27410.000000000004</v>
      </c>
      <c r="H233" s="79"/>
      <c r="I233" s="50"/>
    </row>
    <row r="234" spans="1:9" s="32" customFormat="1" x14ac:dyDescent="0.3">
      <c r="A234" s="77">
        <v>88</v>
      </c>
      <c r="B234" s="51" t="s">
        <v>72</v>
      </c>
      <c r="C234" s="59" t="s">
        <v>2</v>
      </c>
      <c r="D234" s="34">
        <f>D228</f>
        <v>274.10000000000002</v>
      </c>
      <c r="E234" s="122">
        <v>100</v>
      </c>
      <c r="F234" s="79">
        <f t="shared" si="13"/>
        <v>27410.000000000004</v>
      </c>
      <c r="G234" s="79"/>
      <c r="H234" s="79"/>
      <c r="I234" s="50"/>
    </row>
    <row r="235" spans="1:9" s="32" customFormat="1" x14ac:dyDescent="0.3">
      <c r="A235" s="77"/>
      <c r="B235" s="51" t="s">
        <v>74</v>
      </c>
      <c r="C235" s="59" t="s">
        <v>2</v>
      </c>
      <c r="D235" s="34">
        <f>D234</f>
        <v>274.10000000000002</v>
      </c>
      <c r="E235" s="122">
        <v>100</v>
      </c>
      <c r="F235" s="79"/>
      <c r="G235" s="79">
        <f t="shared" si="12"/>
        <v>27410.000000000004</v>
      </c>
      <c r="H235" s="79"/>
      <c r="I235" s="50"/>
    </row>
    <row r="236" spans="1:9" s="32" customFormat="1" x14ac:dyDescent="0.3">
      <c r="A236" s="77">
        <v>89</v>
      </c>
      <c r="B236" s="51" t="s">
        <v>75</v>
      </c>
      <c r="C236" s="59" t="s">
        <v>2</v>
      </c>
      <c r="D236" s="34">
        <v>12</v>
      </c>
      <c r="E236" s="122">
        <v>100</v>
      </c>
      <c r="F236" s="79">
        <f t="shared" si="13"/>
        <v>1200</v>
      </c>
      <c r="G236" s="79"/>
      <c r="H236" s="79"/>
      <c r="I236" s="50"/>
    </row>
    <row r="237" spans="1:9" s="32" customFormat="1" x14ac:dyDescent="0.3">
      <c r="A237" s="77"/>
      <c r="B237" s="51" t="s">
        <v>76</v>
      </c>
      <c r="C237" s="59" t="s">
        <v>0</v>
      </c>
      <c r="D237" s="34">
        <v>0.5</v>
      </c>
      <c r="E237" s="122">
        <v>100</v>
      </c>
      <c r="F237" s="79"/>
      <c r="G237" s="79">
        <f t="shared" si="12"/>
        <v>50</v>
      </c>
      <c r="H237" s="79"/>
      <c r="I237" s="50"/>
    </row>
    <row r="238" spans="1:9" s="32" customFormat="1" x14ac:dyDescent="0.3">
      <c r="A238" s="77"/>
      <c r="B238" s="51" t="s">
        <v>77</v>
      </c>
      <c r="C238" s="59" t="s">
        <v>0</v>
      </c>
      <c r="D238" s="34">
        <v>0.5</v>
      </c>
      <c r="E238" s="122">
        <v>100</v>
      </c>
      <c r="F238" s="79"/>
      <c r="G238" s="79">
        <f t="shared" si="12"/>
        <v>50</v>
      </c>
      <c r="H238" s="79"/>
      <c r="I238" s="50"/>
    </row>
    <row r="239" spans="1:9" s="32" customFormat="1" x14ac:dyDescent="0.3">
      <c r="A239" s="77">
        <v>90</v>
      </c>
      <c r="B239" s="51" t="s">
        <v>126</v>
      </c>
      <c r="C239" s="59" t="s">
        <v>1</v>
      </c>
      <c r="D239" s="34">
        <v>14.6</v>
      </c>
      <c r="E239" s="122">
        <v>100</v>
      </c>
      <c r="F239" s="79">
        <f t="shared" si="13"/>
        <v>1460</v>
      </c>
      <c r="G239" s="79"/>
      <c r="H239" s="79"/>
      <c r="I239" s="50"/>
    </row>
    <row r="240" spans="1:9" s="32" customFormat="1" x14ac:dyDescent="0.3">
      <c r="A240" s="77"/>
      <c r="B240" s="51" t="s">
        <v>127</v>
      </c>
      <c r="C240" s="59" t="s">
        <v>1</v>
      </c>
      <c r="D240" s="34">
        <f>D239*1.05</f>
        <v>15.33</v>
      </c>
      <c r="E240" s="122">
        <v>100</v>
      </c>
      <c r="F240" s="79"/>
      <c r="G240" s="79">
        <f t="shared" si="12"/>
        <v>1533</v>
      </c>
      <c r="H240" s="79"/>
      <c r="I240" s="50"/>
    </row>
    <row r="241" spans="1:9" s="32" customFormat="1" ht="27.6" x14ac:dyDescent="0.3">
      <c r="A241" s="77">
        <v>91</v>
      </c>
      <c r="B241" s="51" t="s">
        <v>128</v>
      </c>
      <c r="C241" s="59" t="s">
        <v>2</v>
      </c>
      <c r="D241" s="34">
        <v>261.3</v>
      </c>
      <c r="E241" s="122">
        <v>100</v>
      </c>
      <c r="F241" s="79">
        <f t="shared" si="13"/>
        <v>26130</v>
      </c>
      <c r="G241" s="79"/>
      <c r="H241" s="79"/>
      <c r="I241" s="50"/>
    </row>
    <row r="242" spans="1:9" s="32" customFormat="1" x14ac:dyDescent="0.3">
      <c r="A242" s="77">
        <v>92</v>
      </c>
      <c r="B242" s="51" t="s">
        <v>129</v>
      </c>
      <c r="C242" s="59" t="s">
        <v>2</v>
      </c>
      <c r="D242" s="34">
        <f>D241</f>
        <v>261.3</v>
      </c>
      <c r="E242" s="122">
        <v>100</v>
      </c>
      <c r="F242" s="79">
        <f t="shared" si="13"/>
        <v>26130</v>
      </c>
      <c r="G242" s="79"/>
      <c r="H242" s="79"/>
      <c r="I242" s="50"/>
    </row>
    <row r="243" spans="1:9" s="32" customFormat="1" ht="27.6" x14ac:dyDescent="0.3">
      <c r="A243" s="77"/>
      <c r="B243" s="51" t="s">
        <v>321</v>
      </c>
      <c r="C243" s="59" t="s">
        <v>2</v>
      </c>
      <c r="D243" s="34">
        <f>D241*1.05</f>
        <v>274.36500000000001</v>
      </c>
      <c r="E243" s="122">
        <v>100</v>
      </c>
      <c r="F243" s="79"/>
      <c r="G243" s="79">
        <f t="shared" si="12"/>
        <v>27436.5</v>
      </c>
      <c r="H243" s="79"/>
      <c r="I243" s="50"/>
    </row>
    <row r="244" spans="1:9" s="32" customFormat="1" ht="27.6" x14ac:dyDescent="0.3">
      <c r="A244" s="77"/>
      <c r="B244" s="51" t="s">
        <v>130</v>
      </c>
      <c r="C244" s="59" t="s">
        <v>19</v>
      </c>
      <c r="D244" s="34">
        <v>1150</v>
      </c>
      <c r="E244" s="122">
        <v>100</v>
      </c>
      <c r="F244" s="79"/>
      <c r="G244" s="79">
        <f t="shared" si="12"/>
        <v>115000</v>
      </c>
      <c r="H244" s="79"/>
      <c r="I244" s="50" t="s">
        <v>299</v>
      </c>
    </row>
    <row r="245" spans="1:9" s="32" customFormat="1" x14ac:dyDescent="0.3">
      <c r="A245" s="77"/>
      <c r="B245" s="51" t="s">
        <v>131</v>
      </c>
      <c r="C245" s="59" t="s">
        <v>19</v>
      </c>
      <c r="D245" s="34">
        <v>22</v>
      </c>
      <c r="E245" s="122">
        <v>100</v>
      </c>
      <c r="F245" s="79"/>
      <c r="G245" s="79">
        <f t="shared" si="12"/>
        <v>2200</v>
      </c>
      <c r="H245" s="79"/>
      <c r="I245" s="50" t="s">
        <v>301</v>
      </c>
    </row>
    <row r="246" spans="1:9" s="32" customFormat="1" ht="41.4" x14ac:dyDescent="0.3">
      <c r="A246" s="77"/>
      <c r="B246" s="51" t="s">
        <v>132</v>
      </c>
      <c r="C246" s="59" t="s">
        <v>19</v>
      </c>
      <c r="D246" s="34">
        <v>211</v>
      </c>
      <c r="E246" s="122">
        <v>100</v>
      </c>
      <c r="F246" s="79"/>
      <c r="G246" s="79">
        <f t="shared" si="12"/>
        <v>21100</v>
      </c>
      <c r="H246" s="79"/>
      <c r="I246" s="50" t="s">
        <v>300</v>
      </c>
    </row>
    <row r="247" spans="1:9" s="32" customFormat="1" x14ac:dyDescent="0.3">
      <c r="A247" s="77">
        <v>93</v>
      </c>
      <c r="B247" s="51" t="s">
        <v>133</v>
      </c>
      <c r="C247" s="59" t="s">
        <v>1</v>
      </c>
      <c r="D247" s="34">
        <v>99.3</v>
      </c>
      <c r="E247" s="122">
        <v>100</v>
      </c>
      <c r="F247" s="79">
        <f t="shared" si="13"/>
        <v>9930</v>
      </c>
      <c r="G247" s="79"/>
      <c r="H247" s="79"/>
      <c r="I247" s="50"/>
    </row>
    <row r="248" spans="1:9" s="32" customFormat="1" ht="27.6" x14ac:dyDescent="0.3">
      <c r="A248" s="77"/>
      <c r="B248" s="51" t="s">
        <v>130</v>
      </c>
      <c r="C248" s="59" t="s">
        <v>19</v>
      </c>
      <c r="D248" s="34">
        <v>56</v>
      </c>
      <c r="E248" s="122">
        <v>100</v>
      </c>
      <c r="F248" s="79"/>
      <c r="G248" s="79">
        <f t="shared" si="12"/>
        <v>5600</v>
      </c>
      <c r="H248" s="79"/>
      <c r="I248" s="50"/>
    </row>
    <row r="249" spans="1:9" s="129" customFormat="1" x14ac:dyDescent="0.3">
      <c r="A249" s="123"/>
      <c r="B249" s="124" t="s">
        <v>134</v>
      </c>
      <c r="C249" s="125" t="s">
        <v>88</v>
      </c>
      <c r="D249" s="136">
        <v>0.18</v>
      </c>
      <c r="E249" s="122">
        <v>100</v>
      </c>
      <c r="F249" s="79"/>
      <c r="G249" s="79">
        <f t="shared" si="12"/>
        <v>18</v>
      </c>
      <c r="H249" s="79"/>
      <c r="I249" s="128" t="s">
        <v>302</v>
      </c>
    </row>
    <row r="250" spans="1:9" s="32" customFormat="1" x14ac:dyDescent="0.3">
      <c r="A250" s="77">
        <v>94</v>
      </c>
      <c r="B250" s="51" t="s">
        <v>135</v>
      </c>
      <c r="C250" s="59" t="s">
        <v>0</v>
      </c>
      <c r="D250" s="34">
        <v>2</v>
      </c>
      <c r="E250" s="122">
        <v>100</v>
      </c>
      <c r="F250" s="79">
        <f t="shared" si="13"/>
        <v>200</v>
      </c>
      <c r="G250" s="79"/>
      <c r="H250" s="79"/>
      <c r="I250" s="50"/>
    </row>
    <row r="251" spans="1:9" s="32" customFormat="1" ht="27.6" x14ac:dyDescent="0.3">
      <c r="A251" s="77"/>
      <c r="B251" s="51" t="s">
        <v>136</v>
      </c>
      <c r="C251" s="59" t="s">
        <v>0</v>
      </c>
      <c r="D251" s="34">
        <v>2</v>
      </c>
      <c r="E251" s="122">
        <v>100</v>
      </c>
      <c r="F251" s="79"/>
      <c r="G251" s="79">
        <f t="shared" si="12"/>
        <v>200</v>
      </c>
      <c r="H251" s="79"/>
      <c r="I251" s="50" t="s">
        <v>304</v>
      </c>
    </row>
    <row r="252" spans="1:9" s="138" customFormat="1" x14ac:dyDescent="0.3">
      <c r="A252" s="121"/>
      <c r="B252" s="66" t="s">
        <v>137</v>
      </c>
      <c r="C252" s="98"/>
      <c r="D252" s="99"/>
      <c r="E252" s="100"/>
      <c r="F252" s="101"/>
      <c r="G252" s="101"/>
      <c r="H252" s="101"/>
      <c r="I252" s="137"/>
    </row>
    <row r="253" spans="1:9" s="32" customFormat="1" x14ac:dyDescent="0.3">
      <c r="A253" s="77">
        <v>95</v>
      </c>
      <c r="B253" s="51" t="s">
        <v>105</v>
      </c>
      <c r="C253" s="59" t="s">
        <v>2</v>
      </c>
      <c r="D253" s="34">
        <v>84.4</v>
      </c>
      <c r="E253" s="33">
        <v>100</v>
      </c>
      <c r="F253" s="79">
        <f t="shared" ref="F253:F314" si="14">D253*E253</f>
        <v>8440</v>
      </c>
      <c r="G253" s="79"/>
      <c r="H253" s="79"/>
      <c r="I253" s="50"/>
    </row>
    <row r="254" spans="1:9" s="32" customFormat="1" x14ac:dyDescent="0.3">
      <c r="A254" s="77"/>
      <c r="B254" s="51" t="s">
        <v>106</v>
      </c>
      <c r="C254" s="59" t="s">
        <v>0</v>
      </c>
      <c r="D254" s="34">
        <v>4</v>
      </c>
      <c r="E254" s="33">
        <v>100</v>
      </c>
      <c r="F254" s="79"/>
      <c r="G254" s="79">
        <f t="shared" ref="G254:G315" si="15">D254*E254</f>
        <v>400</v>
      </c>
      <c r="H254" s="79"/>
      <c r="I254" s="50"/>
    </row>
    <row r="255" spans="1:9" s="32" customFormat="1" x14ac:dyDescent="0.3">
      <c r="A255" s="77">
        <v>96</v>
      </c>
      <c r="B255" s="51" t="s">
        <v>138</v>
      </c>
      <c r="C255" s="59" t="s">
        <v>2</v>
      </c>
      <c r="D255" s="34">
        <v>80.099999999999994</v>
      </c>
      <c r="E255" s="33">
        <v>100</v>
      </c>
      <c r="F255" s="79">
        <f t="shared" si="14"/>
        <v>8009.9999999999991</v>
      </c>
      <c r="G255" s="79"/>
      <c r="H255" s="79"/>
      <c r="I255" s="50"/>
    </row>
    <row r="256" spans="1:9" s="32" customFormat="1" x14ac:dyDescent="0.3">
      <c r="A256" s="77">
        <v>97</v>
      </c>
      <c r="B256" s="51" t="s">
        <v>139</v>
      </c>
      <c r="C256" s="59" t="s">
        <v>2</v>
      </c>
      <c r="D256" s="34">
        <v>4.3</v>
      </c>
      <c r="E256" s="33">
        <v>100</v>
      </c>
      <c r="F256" s="79">
        <f t="shared" si="14"/>
        <v>430</v>
      </c>
      <c r="G256" s="79"/>
      <c r="H256" s="79"/>
      <c r="I256" s="50"/>
    </row>
    <row r="257" spans="1:9" s="32" customFormat="1" x14ac:dyDescent="0.3">
      <c r="A257" s="77">
        <v>98</v>
      </c>
      <c r="B257" s="51" t="s">
        <v>129</v>
      </c>
      <c r="C257" s="59" t="s">
        <v>2</v>
      </c>
      <c r="D257" s="34">
        <f>D255+D256</f>
        <v>84.399999999999991</v>
      </c>
      <c r="E257" s="33">
        <v>100</v>
      </c>
      <c r="F257" s="79">
        <f t="shared" si="14"/>
        <v>8440</v>
      </c>
      <c r="G257" s="79"/>
      <c r="H257" s="79"/>
      <c r="I257" s="50"/>
    </row>
    <row r="258" spans="1:9" s="32" customFormat="1" x14ac:dyDescent="0.3">
      <c r="A258" s="77"/>
      <c r="B258" s="51" t="s">
        <v>100</v>
      </c>
      <c r="C258" s="59" t="s">
        <v>0</v>
      </c>
      <c r="D258" s="34">
        <v>2</v>
      </c>
      <c r="E258" s="33">
        <v>100</v>
      </c>
      <c r="F258" s="79"/>
      <c r="G258" s="79">
        <f t="shared" si="15"/>
        <v>200</v>
      </c>
      <c r="H258" s="79"/>
      <c r="I258" s="50"/>
    </row>
    <row r="259" spans="1:9" s="32" customFormat="1" ht="27.6" x14ac:dyDescent="0.3">
      <c r="A259" s="77"/>
      <c r="B259" s="51" t="s">
        <v>101</v>
      </c>
      <c r="C259" s="59" t="s">
        <v>19</v>
      </c>
      <c r="D259" s="34">
        <v>66</v>
      </c>
      <c r="E259" s="33">
        <v>100</v>
      </c>
      <c r="F259" s="79"/>
      <c r="G259" s="79">
        <f t="shared" si="15"/>
        <v>6600</v>
      </c>
      <c r="H259" s="79"/>
      <c r="I259" s="50"/>
    </row>
    <row r="260" spans="1:9" s="32" customFormat="1" x14ac:dyDescent="0.3">
      <c r="A260" s="77"/>
      <c r="B260" s="51" t="s">
        <v>102</v>
      </c>
      <c r="C260" s="59" t="s">
        <v>0</v>
      </c>
      <c r="D260" s="34">
        <v>12</v>
      </c>
      <c r="E260" s="33">
        <v>100</v>
      </c>
      <c r="F260" s="79"/>
      <c r="G260" s="79">
        <f t="shared" si="15"/>
        <v>1200</v>
      </c>
      <c r="H260" s="79"/>
      <c r="I260" s="50"/>
    </row>
    <row r="261" spans="1:9" s="32" customFormat="1" ht="27.6" x14ac:dyDescent="0.3">
      <c r="A261" s="77"/>
      <c r="B261" s="51" t="s">
        <v>366</v>
      </c>
      <c r="C261" s="59" t="s">
        <v>2</v>
      </c>
      <c r="D261" s="34">
        <f>D253*1.05</f>
        <v>88.62</v>
      </c>
      <c r="E261" s="33">
        <v>100</v>
      </c>
      <c r="F261" s="79"/>
      <c r="G261" s="79">
        <f t="shared" si="15"/>
        <v>8862</v>
      </c>
      <c r="H261" s="79"/>
      <c r="I261" s="119" t="s">
        <v>305</v>
      </c>
    </row>
    <row r="262" spans="1:9" s="32" customFormat="1" ht="14.4" x14ac:dyDescent="0.3">
      <c r="A262" s="77"/>
      <c r="B262" s="51" t="s">
        <v>140</v>
      </c>
      <c r="C262" s="59" t="s">
        <v>2</v>
      </c>
      <c r="D262" s="34">
        <v>4.3</v>
      </c>
      <c r="E262" s="33">
        <v>100</v>
      </c>
      <c r="F262" s="79"/>
      <c r="G262" s="79">
        <f t="shared" si="15"/>
        <v>430</v>
      </c>
      <c r="H262" s="79"/>
      <c r="I262" s="119" t="s">
        <v>306</v>
      </c>
    </row>
    <row r="263" spans="1:9" s="129" customFormat="1" x14ac:dyDescent="0.3">
      <c r="A263" s="121"/>
      <c r="B263" s="66" t="s">
        <v>141</v>
      </c>
      <c r="C263" s="98"/>
      <c r="D263" s="99"/>
      <c r="E263" s="100"/>
      <c r="F263" s="101"/>
      <c r="G263" s="101"/>
      <c r="H263" s="101"/>
      <c r="I263" s="128"/>
    </row>
    <row r="264" spans="1:9" s="32" customFormat="1" x14ac:dyDescent="0.3">
      <c r="A264" s="77">
        <v>99</v>
      </c>
      <c r="B264" s="51" t="s">
        <v>142</v>
      </c>
      <c r="C264" s="59" t="s">
        <v>2</v>
      </c>
      <c r="D264" s="34">
        <v>18</v>
      </c>
      <c r="E264" s="33">
        <v>100</v>
      </c>
      <c r="F264" s="79">
        <f t="shared" si="14"/>
        <v>1800</v>
      </c>
      <c r="G264" s="79"/>
      <c r="H264" s="79"/>
      <c r="I264" s="50"/>
    </row>
    <row r="265" spans="1:9" s="32" customFormat="1" x14ac:dyDescent="0.3">
      <c r="A265" s="77">
        <v>100</v>
      </c>
      <c r="B265" s="51" t="s">
        <v>129</v>
      </c>
      <c r="C265" s="59" t="s">
        <v>2</v>
      </c>
      <c r="D265" s="34">
        <f>D264</f>
        <v>18</v>
      </c>
      <c r="E265" s="33">
        <v>100</v>
      </c>
      <c r="F265" s="79">
        <f t="shared" si="14"/>
        <v>1800</v>
      </c>
      <c r="G265" s="79"/>
      <c r="H265" s="79"/>
      <c r="I265" s="50"/>
    </row>
    <row r="266" spans="1:9" s="32" customFormat="1" ht="27.6" x14ac:dyDescent="0.3">
      <c r="A266" s="77"/>
      <c r="B266" s="51" t="s">
        <v>101</v>
      </c>
      <c r="C266" s="59" t="s">
        <v>19</v>
      </c>
      <c r="D266" s="34">
        <v>5</v>
      </c>
      <c r="E266" s="33">
        <v>100</v>
      </c>
      <c r="F266" s="79"/>
      <c r="G266" s="79">
        <f t="shared" si="15"/>
        <v>500</v>
      </c>
      <c r="H266" s="79"/>
      <c r="I266" s="50"/>
    </row>
    <row r="267" spans="1:9" s="32" customFormat="1" x14ac:dyDescent="0.3">
      <c r="A267" s="77"/>
      <c r="B267" s="51" t="s">
        <v>102</v>
      </c>
      <c r="C267" s="59" t="s">
        <v>0</v>
      </c>
      <c r="D267" s="34">
        <v>1</v>
      </c>
      <c r="E267" s="33">
        <v>100</v>
      </c>
      <c r="F267" s="79"/>
      <c r="G267" s="79">
        <f t="shared" si="15"/>
        <v>100</v>
      </c>
      <c r="H267" s="79"/>
      <c r="I267" s="50"/>
    </row>
    <row r="268" spans="1:9" s="32" customFormat="1" ht="45" customHeight="1" x14ac:dyDescent="0.3">
      <c r="A268" s="77"/>
      <c r="B268" s="51" t="s">
        <v>367</v>
      </c>
      <c r="C268" s="59" t="s">
        <v>0</v>
      </c>
      <c r="D268" s="34">
        <v>26</v>
      </c>
      <c r="E268" s="33">
        <v>100</v>
      </c>
      <c r="F268" s="79"/>
      <c r="G268" s="79">
        <f t="shared" si="15"/>
        <v>2600</v>
      </c>
      <c r="H268" s="79"/>
      <c r="I268" s="50" t="s">
        <v>307</v>
      </c>
    </row>
    <row r="269" spans="1:9" s="32" customFormat="1" ht="45" customHeight="1" x14ac:dyDescent="0.3">
      <c r="A269" s="77"/>
      <c r="B269" s="51" t="s">
        <v>368</v>
      </c>
      <c r="C269" s="59" t="s">
        <v>0</v>
      </c>
      <c r="D269" s="34">
        <v>4</v>
      </c>
      <c r="E269" s="33">
        <v>100</v>
      </c>
      <c r="F269" s="79"/>
      <c r="G269" s="79">
        <f t="shared" si="15"/>
        <v>400</v>
      </c>
      <c r="H269" s="79"/>
      <c r="I269" s="50" t="s">
        <v>308</v>
      </c>
    </row>
    <row r="270" spans="1:9" s="129" customFormat="1" x14ac:dyDescent="0.3">
      <c r="A270" s="121"/>
      <c r="B270" s="66" t="s">
        <v>143</v>
      </c>
      <c r="C270" s="98"/>
      <c r="D270" s="99"/>
      <c r="E270" s="100"/>
      <c r="F270" s="101"/>
      <c r="G270" s="101"/>
      <c r="H270" s="101"/>
      <c r="I270" s="128"/>
    </row>
    <row r="271" spans="1:9" s="32" customFormat="1" x14ac:dyDescent="0.3">
      <c r="A271" s="77">
        <v>101</v>
      </c>
      <c r="B271" s="51" t="s">
        <v>144</v>
      </c>
      <c r="C271" s="59" t="s">
        <v>2</v>
      </c>
      <c r="D271" s="34">
        <v>18</v>
      </c>
      <c r="E271" s="33">
        <v>100</v>
      </c>
      <c r="F271" s="79">
        <f t="shared" si="14"/>
        <v>1800</v>
      </c>
      <c r="G271" s="79"/>
      <c r="H271" s="79"/>
      <c r="I271" s="50"/>
    </row>
    <row r="272" spans="1:9" s="32" customFormat="1" x14ac:dyDescent="0.3">
      <c r="A272" s="77">
        <v>102</v>
      </c>
      <c r="B272" s="51" t="s">
        <v>129</v>
      </c>
      <c r="C272" s="59" t="s">
        <v>2</v>
      </c>
      <c r="D272" s="34">
        <f>D271</f>
        <v>18</v>
      </c>
      <c r="E272" s="33">
        <v>100</v>
      </c>
      <c r="F272" s="79">
        <f t="shared" si="14"/>
        <v>1800</v>
      </c>
      <c r="G272" s="79"/>
      <c r="H272" s="79"/>
      <c r="I272" s="50"/>
    </row>
    <row r="273" spans="1:9" s="32" customFormat="1" ht="27.6" x14ac:dyDescent="0.3">
      <c r="A273" s="77"/>
      <c r="B273" s="51" t="s">
        <v>101</v>
      </c>
      <c r="C273" s="59" t="s">
        <v>19</v>
      </c>
      <c r="D273" s="34">
        <v>5</v>
      </c>
      <c r="E273" s="33">
        <v>100</v>
      </c>
      <c r="F273" s="79"/>
      <c r="G273" s="79">
        <f t="shared" si="15"/>
        <v>500</v>
      </c>
      <c r="H273" s="79"/>
      <c r="I273" s="50"/>
    </row>
    <row r="274" spans="1:9" s="32" customFormat="1" x14ac:dyDescent="0.3">
      <c r="A274" s="77"/>
      <c r="B274" s="51" t="s">
        <v>102</v>
      </c>
      <c r="C274" s="59" t="s">
        <v>0</v>
      </c>
      <c r="D274" s="34">
        <v>1</v>
      </c>
      <c r="E274" s="33">
        <v>100</v>
      </c>
      <c r="F274" s="79"/>
      <c r="G274" s="79">
        <f t="shared" si="15"/>
        <v>100</v>
      </c>
      <c r="H274" s="79"/>
      <c r="I274" s="50"/>
    </row>
    <row r="275" spans="1:9" s="32" customFormat="1" ht="29.4" customHeight="1" x14ac:dyDescent="0.3">
      <c r="A275" s="77"/>
      <c r="B275" s="51" t="s">
        <v>369</v>
      </c>
      <c r="C275" s="59" t="s">
        <v>0</v>
      </c>
      <c r="D275" s="34">
        <v>29</v>
      </c>
      <c r="E275" s="33">
        <v>100</v>
      </c>
      <c r="F275" s="79"/>
      <c r="G275" s="79">
        <f t="shared" si="15"/>
        <v>2900</v>
      </c>
      <c r="H275" s="79"/>
      <c r="I275" s="50" t="s">
        <v>309</v>
      </c>
    </row>
    <row r="276" spans="1:9" s="32" customFormat="1" ht="29.4" customHeight="1" x14ac:dyDescent="0.3">
      <c r="A276" s="77"/>
      <c r="B276" s="51" t="s">
        <v>370</v>
      </c>
      <c r="C276" s="59" t="s">
        <v>0</v>
      </c>
      <c r="D276" s="34">
        <v>1</v>
      </c>
      <c r="E276" s="33">
        <v>100</v>
      </c>
      <c r="F276" s="79"/>
      <c r="G276" s="79">
        <f t="shared" si="15"/>
        <v>100</v>
      </c>
      <c r="H276" s="79"/>
      <c r="I276" s="50" t="s">
        <v>310</v>
      </c>
    </row>
    <row r="277" spans="1:9" s="32" customFormat="1" ht="27.6" x14ac:dyDescent="0.3">
      <c r="A277" s="77">
        <v>103</v>
      </c>
      <c r="B277" s="51" t="s">
        <v>145</v>
      </c>
      <c r="C277" s="59" t="s">
        <v>1</v>
      </c>
      <c r="D277" s="34">
        <v>22.3</v>
      </c>
      <c r="E277" s="33">
        <v>100</v>
      </c>
      <c r="F277" s="79">
        <f t="shared" si="14"/>
        <v>2230</v>
      </c>
      <c r="G277" s="79"/>
      <c r="H277" s="79"/>
      <c r="I277" s="50"/>
    </row>
    <row r="278" spans="1:9" s="32" customFormat="1" x14ac:dyDescent="0.3">
      <c r="A278" s="77"/>
      <c r="B278" s="51" t="s">
        <v>106</v>
      </c>
      <c r="C278" s="59" t="s">
        <v>0</v>
      </c>
      <c r="D278" s="34">
        <v>1</v>
      </c>
      <c r="E278" s="33">
        <v>100</v>
      </c>
      <c r="F278" s="79"/>
      <c r="G278" s="79">
        <f t="shared" si="15"/>
        <v>100</v>
      </c>
      <c r="H278" s="79"/>
      <c r="I278" s="50"/>
    </row>
    <row r="279" spans="1:9" s="32" customFormat="1" ht="16.8" customHeight="1" x14ac:dyDescent="0.3">
      <c r="A279" s="77">
        <v>104</v>
      </c>
      <c r="B279" s="51" t="s">
        <v>146</v>
      </c>
      <c r="C279" s="59" t="s">
        <v>1</v>
      </c>
      <c r="D279" s="34">
        <v>22.3</v>
      </c>
      <c r="E279" s="33">
        <v>100</v>
      </c>
      <c r="F279" s="79">
        <f t="shared" si="14"/>
        <v>2230</v>
      </c>
      <c r="G279" s="79"/>
      <c r="H279" s="79"/>
      <c r="I279" s="50"/>
    </row>
    <row r="280" spans="1:9" s="32" customFormat="1" x14ac:dyDescent="0.3">
      <c r="A280" s="77">
        <v>105</v>
      </c>
      <c r="B280" s="51" t="s">
        <v>129</v>
      </c>
      <c r="C280" s="59" t="s">
        <v>1</v>
      </c>
      <c r="D280" s="34">
        <f>D277</f>
        <v>22.3</v>
      </c>
      <c r="E280" s="33">
        <v>100</v>
      </c>
      <c r="F280" s="79">
        <f t="shared" si="14"/>
        <v>2230</v>
      </c>
      <c r="G280" s="79"/>
      <c r="H280" s="79"/>
      <c r="I280" s="50"/>
    </row>
    <row r="281" spans="1:9" s="32" customFormat="1" x14ac:dyDescent="0.3">
      <c r="A281" s="77"/>
      <c r="B281" s="51" t="s">
        <v>100</v>
      </c>
      <c r="C281" s="59" t="s">
        <v>0</v>
      </c>
      <c r="D281" s="34">
        <v>2</v>
      </c>
      <c r="E281" s="33">
        <v>100</v>
      </c>
      <c r="F281" s="79"/>
      <c r="G281" s="79">
        <f t="shared" si="15"/>
        <v>200</v>
      </c>
      <c r="H281" s="79"/>
      <c r="I281" s="50"/>
    </row>
    <row r="282" spans="1:9" s="32" customFormat="1" ht="27.6" x14ac:dyDescent="0.3">
      <c r="A282" s="77"/>
      <c r="B282" s="51" t="s">
        <v>101</v>
      </c>
      <c r="C282" s="59" t="s">
        <v>19</v>
      </c>
      <c r="D282" s="34">
        <v>4</v>
      </c>
      <c r="E282" s="33">
        <v>100</v>
      </c>
      <c r="F282" s="79"/>
      <c r="G282" s="79">
        <f t="shared" si="15"/>
        <v>400</v>
      </c>
      <c r="H282" s="79"/>
      <c r="I282" s="50"/>
    </row>
    <row r="283" spans="1:9" s="32" customFormat="1" x14ac:dyDescent="0.3">
      <c r="A283" s="77"/>
      <c r="B283" s="51" t="s">
        <v>102</v>
      </c>
      <c r="C283" s="59" t="s">
        <v>0</v>
      </c>
      <c r="D283" s="34">
        <v>1</v>
      </c>
      <c r="E283" s="33">
        <v>100</v>
      </c>
      <c r="F283" s="79"/>
      <c r="G283" s="79">
        <f t="shared" si="15"/>
        <v>100</v>
      </c>
      <c r="H283" s="79"/>
      <c r="I283" s="50"/>
    </row>
    <row r="284" spans="1:9" s="32" customFormat="1" ht="27.6" x14ac:dyDescent="0.3">
      <c r="A284" s="77"/>
      <c r="B284" s="51" t="s">
        <v>366</v>
      </c>
      <c r="C284" s="59" t="s">
        <v>2</v>
      </c>
      <c r="D284" s="34">
        <v>5.6</v>
      </c>
      <c r="E284" s="33">
        <v>100</v>
      </c>
      <c r="F284" s="79"/>
      <c r="G284" s="79">
        <f t="shared" si="15"/>
        <v>560</v>
      </c>
      <c r="H284" s="79"/>
      <c r="I284" s="50"/>
    </row>
    <row r="285" spans="1:9" s="129" customFormat="1" x14ac:dyDescent="0.3">
      <c r="A285" s="121"/>
      <c r="B285" s="66" t="s">
        <v>147</v>
      </c>
      <c r="C285" s="98"/>
      <c r="D285" s="99"/>
      <c r="E285" s="100"/>
      <c r="F285" s="101"/>
      <c r="G285" s="101"/>
      <c r="H285" s="101"/>
      <c r="I285" s="128"/>
    </row>
    <row r="286" spans="1:9" s="32" customFormat="1" x14ac:dyDescent="0.3">
      <c r="A286" s="77">
        <v>106</v>
      </c>
      <c r="B286" s="51" t="s">
        <v>148</v>
      </c>
      <c r="C286" s="59" t="s">
        <v>2</v>
      </c>
      <c r="D286" s="34">
        <v>8.4</v>
      </c>
      <c r="E286" s="33">
        <v>100</v>
      </c>
      <c r="F286" s="79">
        <f t="shared" si="14"/>
        <v>840</v>
      </c>
      <c r="G286" s="79"/>
      <c r="H286" s="79"/>
      <c r="I286" s="50"/>
    </row>
    <row r="287" spans="1:9" s="32" customFormat="1" ht="27.6" x14ac:dyDescent="0.3">
      <c r="A287" s="77"/>
      <c r="B287" s="51" t="s">
        <v>366</v>
      </c>
      <c r="C287" s="59" t="s">
        <v>2</v>
      </c>
      <c r="D287" s="34">
        <f>D286*1.42</f>
        <v>11.927999999999999</v>
      </c>
      <c r="E287" s="33">
        <v>100</v>
      </c>
      <c r="F287" s="79"/>
      <c r="G287" s="79">
        <f t="shared" si="15"/>
        <v>1192.8</v>
      </c>
      <c r="H287" s="79"/>
      <c r="I287" s="50"/>
    </row>
    <row r="288" spans="1:9" s="32" customFormat="1" x14ac:dyDescent="0.3">
      <c r="A288" s="77"/>
      <c r="B288" s="51" t="s">
        <v>149</v>
      </c>
      <c r="C288" s="59" t="s">
        <v>0</v>
      </c>
      <c r="D288" s="34">
        <v>52</v>
      </c>
      <c r="E288" s="33">
        <v>100</v>
      </c>
      <c r="F288" s="79"/>
      <c r="G288" s="79">
        <f t="shared" si="15"/>
        <v>5200</v>
      </c>
      <c r="H288" s="79"/>
      <c r="I288" s="50"/>
    </row>
    <row r="289" spans="1:9" s="32" customFormat="1" x14ac:dyDescent="0.3">
      <c r="A289" s="77">
        <v>107</v>
      </c>
      <c r="B289" s="51" t="s">
        <v>150</v>
      </c>
      <c r="C289" s="59" t="s">
        <v>2</v>
      </c>
      <c r="D289" s="34">
        <v>1.5</v>
      </c>
      <c r="E289" s="33">
        <v>100</v>
      </c>
      <c r="F289" s="79">
        <f t="shared" si="14"/>
        <v>150</v>
      </c>
      <c r="G289" s="79"/>
      <c r="H289" s="79"/>
      <c r="I289" s="50"/>
    </row>
    <row r="290" spans="1:9" s="32" customFormat="1" x14ac:dyDescent="0.3">
      <c r="A290" s="77"/>
      <c r="B290" s="51" t="s">
        <v>151</v>
      </c>
      <c r="C290" s="59" t="s">
        <v>152</v>
      </c>
      <c r="D290" s="34">
        <v>150</v>
      </c>
      <c r="E290" s="33">
        <v>100</v>
      </c>
      <c r="F290" s="79"/>
      <c r="G290" s="79">
        <f t="shared" si="15"/>
        <v>15000</v>
      </c>
      <c r="H290" s="79"/>
      <c r="I290" s="50"/>
    </row>
    <row r="291" spans="1:9" s="32" customFormat="1" x14ac:dyDescent="0.3">
      <c r="A291" s="77">
        <v>108</v>
      </c>
      <c r="B291" s="51" t="s">
        <v>153</v>
      </c>
      <c r="C291" s="59" t="s">
        <v>1</v>
      </c>
      <c r="D291" s="34">
        <v>5</v>
      </c>
      <c r="E291" s="33">
        <v>100</v>
      </c>
      <c r="F291" s="79">
        <f t="shared" si="14"/>
        <v>500</v>
      </c>
      <c r="G291" s="79"/>
      <c r="H291" s="79"/>
      <c r="I291" s="50"/>
    </row>
    <row r="292" spans="1:9" s="32" customFormat="1" x14ac:dyDescent="0.3">
      <c r="A292" s="77"/>
      <c r="B292" s="51" t="s">
        <v>154</v>
      </c>
      <c r="C292" s="59" t="s">
        <v>1</v>
      </c>
      <c r="D292" s="34">
        <f>D291*1.1</f>
        <v>5.5</v>
      </c>
      <c r="E292" s="33">
        <v>100</v>
      </c>
      <c r="F292" s="79"/>
      <c r="G292" s="79">
        <f t="shared" si="15"/>
        <v>550</v>
      </c>
      <c r="H292" s="79"/>
      <c r="I292" s="50"/>
    </row>
    <row r="293" spans="1:9" s="32" customFormat="1" x14ac:dyDescent="0.3">
      <c r="A293" s="121"/>
      <c r="B293" s="66" t="s">
        <v>351</v>
      </c>
      <c r="C293" s="98"/>
      <c r="D293" s="99"/>
      <c r="E293" s="100"/>
      <c r="F293" s="101"/>
      <c r="G293" s="101"/>
      <c r="H293" s="101"/>
      <c r="I293" s="50"/>
    </row>
    <row r="294" spans="1:9" s="129" customFormat="1" x14ac:dyDescent="0.3">
      <c r="A294" s="123">
        <v>109</v>
      </c>
      <c r="B294" s="124" t="s">
        <v>155</v>
      </c>
      <c r="C294" s="125" t="s">
        <v>2</v>
      </c>
      <c r="D294" s="126">
        <v>72</v>
      </c>
      <c r="E294" s="122">
        <v>100</v>
      </c>
      <c r="F294" s="79">
        <f t="shared" si="14"/>
        <v>7200</v>
      </c>
      <c r="G294" s="79"/>
      <c r="H294" s="79"/>
      <c r="I294" s="128"/>
    </row>
    <row r="295" spans="1:9" s="129" customFormat="1" x14ac:dyDescent="0.3">
      <c r="A295" s="123"/>
      <c r="B295" s="124" t="s">
        <v>156</v>
      </c>
      <c r="C295" s="125" t="s">
        <v>157</v>
      </c>
      <c r="D295" s="126">
        <v>2</v>
      </c>
      <c r="E295" s="122">
        <v>100</v>
      </c>
      <c r="F295" s="79"/>
      <c r="G295" s="79">
        <f t="shared" si="15"/>
        <v>200</v>
      </c>
      <c r="H295" s="79"/>
      <c r="I295" s="128"/>
    </row>
    <row r="296" spans="1:9" s="129" customFormat="1" x14ac:dyDescent="0.3">
      <c r="A296" s="123"/>
      <c r="B296" s="51" t="s">
        <v>318</v>
      </c>
      <c r="C296" s="125" t="s">
        <v>4</v>
      </c>
      <c r="D296" s="126">
        <v>20</v>
      </c>
      <c r="E296" s="122">
        <v>100</v>
      </c>
      <c r="F296" s="79"/>
      <c r="G296" s="79">
        <f t="shared" si="15"/>
        <v>2000</v>
      </c>
      <c r="H296" s="79"/>
      <c r="I296" s="128"/>
    </row>
    <row r="297" spans="1:9" s="129" customFormat="1" x14ac:dyDescent="0.3">
      <c r="A297" s="123">
        <v>110</v>
      </c>
      <c r="B297" s="124" t="s">
        <v>158</v>
      </c>
      <c r="C297" s="125" t="s">
        <v>2</v>
      </c>
      <c r="D297" s="126">
        <v>35</v>
      </c>
      <c r="E297" s="122">
        <v>100</v>
      </c>
      <c r="F297" s="79">
        <f t="shared" si="14"/>
        <v>3500</v>
      </c>
      <c r="G297" s="79"/>
      <c r="H297" s="79"/>
      <c r="I297" s="128"/>
    </row>
    <row r="298" spans="1:9" s="129" customFormat="1" x14ac:dyDescent="0.3">
      <c r="A298" s="123"/>
      <c r="B298" s="124" t="s">
        <v>312</v>
      </c>
      <c r="C298" s="125" t="s">
        <v>2</v>
      </c>
      <c r="D298" s="126">
        <f>D297</f>
        <v>35</v>
      </c>
      <c r="E298" s="122">
        <v>100</v>
      </c>
      <c r="F298" s="79"/>
      <c r="G298" s="79">
        <f t="shared" si="15"/>
        <v>3500</v>
      </c>
      <c r="H298" s="79"/>
      <c r="I298" s="128" t="s">
        <v>311</v>
      </c>
    </row>
    <row r="299" spans="1:9" s="129" customFormat="1" x14ac:dyDescent="0.3">
      <c r="A299" s="123"/>
      <c r="B299" s="51" t="s">
        <v>341</v>
      </c>
      <c r="C299" s="125" t="s">
        <v>103</v>
      </c>
      <c r="D299" s="126">
        <v>1</v>
      </c>
      <c r="E299" s="122"/>
      <c r="F299" s="79"/>
      <c r="G299" s="79"/>
      <c r="H299" s="79"/>
      <c r="I299" s="128"/>
    </row>
    <row r="300" spans="1:9" s="129" customFormat="1" ht="27.6" x14ac:dyDescent="0.3">
      <c r="A300" s="123">
        <v>111</v>
      </c>
      <c r="B300" s="124" t="s">
        <v>159</v>
      </c>
      <c r="C300" s="125" t="s">
        <v>4</v>
      </c>
      <c r="D300" s="126">
        <v>2.1</v>
      </c>
      <c r="E300" s="122">
        <v>100</v>
      </c>
      <c r="F300" s="79">
        <f t="shared" si="14"/>
        <v>210</v>
      </c>
      <c r="G300" s="79"/>
      <c r="H300" s="79"/>
      <c r="I300" s="128"/>
    </row>
    <row r="301" spans="1:9" s="32" customFormat="1" x14ac:dyDescent="0.3">
      <c r="A301" s="121"/>
      <c r="B301" s="66" t="s">
        <v>352</v>
      </c>
      <c r="C301" s="98"/>
      <c r="D301" s="99"/>
      <c r="E301" s="100"/>
      <c r="F301" s="101"/>
      <c r="G301" s="101"/>
      <c r="H301" s="101"/>
      <c r="I301" s="50"/>
    </row>
    <row r="302" spans="1:9" s="129" customFormat="1" x14ac:dyDescent="0.3">
      <c r="A302" s="123">
        <v>112</v>
      </c>
      <c r="B302" s="124" t="s">
        <v>160</v>
      </c>
      <c r="C302" s="125" t="s">
        <v>2</v>
      </c>
      <c r="D302" s="126">
        <v>115.94</v>
      </c>
      <c r="E302" s="122">
        <v>100</v>
      </c>
      <c r="F302" s="79">
        <f t="shared" si="14"/>
        <v>11594</v>
      </c>
      <c r="G302" s="79"/>
      <c r="H302" s="79"/>
      <c r="I302" s="128"/>
    </row>
    <row r="303" spans="1:9" s="129" customFormat="1" x14ac:dyDescent="0.3">
      <c r="A303" s="123"/>
      <c r="B303" s="124" t="s">
        <v>156</v>
      </c>
      <c r="C303" s="125" t="s">
        <v>157</v>
      </c>
      <c r="D303" s="126">
        <v>3</v>
      </c>
      <c r="E303" s="122">
        <v>100</v>
      </c>
      <c r="F303" s="79"/>
      <c r="G303" s="79">
        <f t="shared" si="15"/>
        <v>300</v>
      </c>
      <c r="H303" s="79"/>
      <c r="I303" s="128"/>
    </row>
    <row r="304" spans="1:9" s="129" customFormat="1" x14ac:dyDescent="0.3">
      <c r="A304" s="123"/>
      <c r="B304" s="51" t="s">
        <v>318</v>
      </c>
      <c r="C304" s="125" t="s">
        <v>4</v>
      </c>
      <c r="D304" s="126">
        <v>15</v>
      </c>
      <c r="E304" s="122">
        <v>100</v>
      </c>
      <c r="F304" s="79"/>
      <c r="G304" s="79">
        <f t="shared" si="15"/>
        <v>1500</v>
      </c>
      <c r="H304" s="79"/>
      <c r="I304" s="128"/>
    </row>
    <row r="305" spans="1:9" s="129" customFormat="1" x14ac:dyDescent="0.3">
      <c r="A305" s="123">
        <v>113</v>
      </c>
      <c r="B305" s="124" t="s">
        <v>161</v>
      </c>
      <c r="C305" s="125" t="s">
        <v>2</v>
      </c>
      <c r="D305" s="126">
        <v>105.4</v>
      </c>
      <c r="E305" s="122">
        <v>100</v>
      </c>
      <c r="F305" s="79">
        <f t="shared" si="14"/>
        <v>10540</v>
      </c>
      <c r="G305" s="79"/>
      <c r="H305" s="79"/>
      <c r="I305" s="128"/>
    </row>
    <row r="306" spans="1:9" s="129" customFormat="1" x14ac:dyDescent="0.3">
      <c r="A306" s="123"/>
      <c r="B306" s="124" t="s">
        <v>162</v>
      </c>
      <c r="C306" s="125" t="s">
        <v>19</v>
      </c>
      <c r="D306" s="126">
        <v>192</v>
      </c>
      <c r="E306" s="122">
        <v>100</v>
      </c>
      <c r="F306" s="79"/>
      <c r="G306" s="79">
        <f t="shared" si="15"/>
        <v>19200</v>
      </c>
      <c r="H306" s="79"/>
      <c r="I306" s="128"/>
    </row>
    <row r="307" spans="1:9" s="32" customFormat="1" x14ac:dyDescent="0.3">
      <c r="A307" s="77">
        <v>114</v>
      </c>
      <c r="B307" s="51" t="s">
        <v>153</v>
      </c>
      <c r="C307" s="59" t="s">
        <v>1</v>
      </c>
      <c r="D307" s="34">
        <v>250.6</v>
      </c>
      <c r="E307" s="122">
        <v>100</v>
      </c>
      <c r="F307" s="79">
        <f t="shared" si="14"/>
        <v>25060</v>
      </c>
      <c r="G307" s="79"/>
      <c r="H307" s="79"/>
      <c r="I307" s="50"/>
    </row>
    <row r="308" spans="1:9" s="32" customFormat="1" x14ac:dyDescent="0.3">
      <c r="A308" s="77"/>
      <c r="B308" s="51" t="s">
        <v>154</v>
      </c>
      <c r="C308" s="59" t="s">
        <v>1</v>
      </c>
      <c r="D308" s="34">
        <f>D307*1.1</f>
        <v>275.66000000000003</v>
      </c>
      <c r="E308" s="122">
        <v>100</v>
      </c>
      <c r="F308" s="79"/>
      <c r="G308" s="79">
        <f t="shared" si="15"/>
        <v>27566.000000000004</v>
      </c>
      <c r="H308" s="79"/>
      <c r="I308" s="50"/>
    </row>
    <row r="309" spans="1:9" s="129" customFormat="1" ht="27.6" x14ac:dyDescent="0.3">
      <c r="A309" s="123">
        <v>115</v>
      </c>
      <c r="B309" s="124" t="s">
        <v>159</v>
      </c>
      <c r="C309" s="125" t="s">
        <v>4</v>
      </c>
      <c r="D309" s="126">
        <f>D302*0.055</f>
        <v>6.3766999999999996</v>
      </c>
      <c r="E309" s="122">
        <v>100</v>
      </c>
      <c r="F309" s="79">
        <f t="shared" si="14"/>
        <v>637.66999999999996</v>
      </c>
      <c r="G309" s="79"/>
      <c r="H309" s="79"/>
      <c r="I309" s="128"/>
    </row>
    <row r="310" spans="1:9" s="32" customFormat="1" x14ac:dyDescent="0.3">
      <c r="A310" s="121"/>
      <c r="B310" s="66" t="s">
        <v>350</v>
      </c>
      <c r="C310" s="98"/>
      <c r="D310" s="99"/>
      <c r="E310" s="100"/>
      <c r="F310" s="101"/>
      <c r="G310" s="101"/>
      <c r="H310" s="101"/>
      <c r="I310" s="50"/>
    </row>
    <row r="311" spans="1:9" s="129" customFormat="1" x14ac:dyDescent="0.3">
      <c r="A311" s="123">
        <v>116</v>
      </c>
      <c r="B311" s="124" t="s">
        <v>160</v>
      </c>
      <c r="C311" s="125" t="s">
        <v>2</v>
      </c>
      <c r="D311" s="126">
        <v>32</v>
      </c>
      <c r="E311" s="122">
        <v>100</v>
      </c>
      <c r="F311" s="79">
        <f t="shared" si="14"/>
        <v>3200</v>
      </c>
      <c r="G311" s="79"/>
      <c r="H311" s="79"/>
      <c r="I311" s="128"/>
    </row>
    <row r="312" spans="1:9" s="129" customFormat="1" x14ac:dyDescent="0.3">
      <c r="A312" s="123"/>
      <c r="B312" s="124" t="s">
        <v>156</v>
      </c>
      <c r="C312" s="125" t="s">
        <v>157</v>
      </c>
      <c r="D312" s="126">
        <v>1</v>
      </c>
      <c r="E312" s="122">
        <v>100</v>
      </c>
      <c r="F312" s="79"/>
      <c r="G312" s="79">
        <f t="shared" si="15"/>
        <v>100</v>
      </c>
      <c r="H312" s="79"/>
      <c r="I312" s="128"/>
    </row>
    <row r="313" spans="1:9" s="129" customFormat="1" x14ac:dyDescent="0.3">
      <c r="A313" s="123"/>
      <c r="B313" s="51" t="s">
        <v>318</v>
      </c>
      <c r="C313" s="125" t="s">
        <v>4</v>
      </c>
      <c r="D313" s="126">
        <v>4</v>
      </c>
      <c r="E313" s="122">
        <v>100</v>
      </c>
      <c r="F313" s="79"/>
      <c r="G313" s="79">
        <f t="shared" si="15"/>
        <v>400</v>
      </c>
      <c r="H313" s="79"/>
      <c r="I313" s="128"/>
    </row>
    <row r="314" spans="1:9" s="129" customFormat="1" x14ac:dyDescent="0.3">
      <c r="A314" s="123">
        <v>117</v>
      </c>
      <c r="B314" s="124" t="s">
        <v>161</v>
      </c>
      <c r="C314" s="125" t="s">
        <v>2</v>
      </c>
      <c r="D314" s="126">
        <v>30</v>
      </c>
      <c r="E314" s="122">
        <v>100</v>
      </c>
      <c r="F314" s="79">
        <f t="shared" si="14"/>
        <v>3000</v>
      </c>
      <c r="G314" s="79"/>
      <c r="H314" s="79"/>
      <c r="I314" s="128"/>
    </row>
    <row r="315" spans="1:9" s="129" customFormat="1" x14ac:dyDescent="0.3">
      <c r="A315" s="123"/>
      <c r="B315" s="124" t="s">
        <v>162</v>
      </c>
      <c r="C315" s="125" t="s">
        <v>19</v>
      </c>
      <c r="D315" s="126">
        <v>55</v>
      </c>
      <c r="E315" s="122">
        <v>100</v>
      </c>
      <c r="F315" s="79"/>
      <c r="G315" s="79">
        <f t="shared" si="15"/>
        <v>5500</v>
      </c>
      <c r="H315" s="79"/>
      <c r="I315" s="128"/>
    </row>
    <row r="316" spans="1:9" s="32" customFormat="1" x14ac:dyDescent="0.3">
      <c r="A316" s="77">
        <v>118</v>
      </c>
      <c r="B316" s="51" t="s">
        <v>153</v>
      </c>
      <c r="C316" s="59" t="s">
        <v>1</v>
      </c>
      <c r="D316" s="34">
        <v>19.8</v>
      </c>
      <c r="E316" s="122">
        <v>100</v>
      </c>
      <c r="F316" s="79">
        <f t="shared" ref="F316:F379" si="16">D316*E316</f>
        <v>1980</v>
      </c>
      <c r="G316" s="79"/>
      <c r="H316" s="79"/>
      <c r="I316" s="50"/>
    </row>
    <row r="317" spans="1:9" s="32" customFormat="1" x14ac:dyDescent="0.3">
      <c r="A317" s="77"/>
      <c r="B317" s="51" t="s">
        <v>154</v>
      </c>
      <c r="C317" s="59" t="s">
        <v>1</v>
      </c>
      <c r="D317" s="34">
        <f>D316*1.1</f>
        <v>21.78</v>
      </c>
      <c r="E317" s="122">
        <v>100</v>
      </c>
      <c r="F317" s="79"/>
      <c r="G317" s="79">
        <f t="shared" ref="G317:G381" si="17">D317*E317</f>
        <v>2178</v>
      </c>
      <c r="H317" s="79"/>
      <c r="I317" s="50"/>
    </row>
    <row r="318" spans="1:9" s="32" customFormat="1" x14ac:dyDescent="0.3">
      <c r="A318" s="77">
        <v>119</v>
      </c>
      <c r="B318" s="51" t="s">
        <v>163</v>
      </c>
      <c r="C318" s="59" t="s">
        <v>2</v>
      </c>
      <c r="D318" s="34">
        <v>29</v>
      </c>
      <c r="E318" s="122">
        <v>100</v>
      </c>
      <c r="F318" s="79">
        <f t="shared" si="16"/>
        <v>2900</v>
      </c>
      <c r="G318" s="79"/>
      <c r="H318" s="79"/>
      <c r="I318" s="50"/>
    </row>
    <row r="319" spans="1:9" s="32" customFormat="1" ht="41.4" x14ac:dyDescent="0.3">
      <c r="A319" s="77"/>
      <c r="B319" s="51" t="s">
        <v>164</v>
      </c>
      <c r="C319" s="59" t="s">
        <v>2</v>
      </c>
      <c r="D319" s="34">
        <f>D318</f>
        <v>29</v>
      </c>
      <c r="E319" s="122">
        <v>100</v>
      </c>
      <c r="F319" s="79"/>
      <c r="G319" s="79">
        <f t="shared" si="17"/>
        <v>2900</v>
      </c>
      <c r="H319" s="79"/>
      <c r="I319" s="50"/>
    </row>
    <row r="320" spans="1:9" s="129" customFormat="1" ht="27.6" x14ac:dyDescent="0.3">
      <c r="A320" s="123">
        <v>120</v>
      </c>
      <c r="B320" s="124" t="s">
        <v>159</v>
      </c>
      <c r="C320" s="125" t="s">
        <v>4</v>
      </c>
      <c r="D320" s="126">
        <v>1.95</v>
      </c>
      <c r="E320" s="122">
        <v>100</v>
      </c>
      <c r="F320" s="79">
        <f t="shared" si="16"/>
        <v>195</v>
      </c>
      <c r="G320" s="79"/>
      <c r="H320" s="79"/>
      <c r="I320" s="128"/>
    </row>
    <row r="321" spans="1:9" s="103" customFormat="1" ht="15" customHeight="1" x14ac:dyDescent="0.3">
      <c r="A321" s="105"/>
      <c r="B321" s="106" t="s">
        <v>90</v>
      </c>
      <c r="C321" s="107"/>
      <c r="D321" s="108"/>
      <c r="E321" s="109"/>
      <c r="F321" s="110">
        <f>SUM(F212:F320)</f>
        <v>325956.67</v>
      </c>
      <c r="G321" s="110">
        <f>SUM(G212:G320)</f>
        <v>472558.8</v>
      </c>
      <c r="H321" s="79"/>
      <c r="I321" s="102"/>
    </row>
    <row r="322" spans="1:9" s="118" customFormat="1" ht="15" customHeight="1" x14ac:dyDescent="0.3">
      <c r="A322" s="111"/>
      <c r="B322" s="112" t="s">
        <v>89</v>
      </c>
      <c r="C322" s="113"/>
      <c r="D322" s="114"/>
      <c r="E322" s="115"/>
      <c r="F322" s="116"/>
      <c r="G322" s="116">
        <f>F321+G321</f>
        <v>798515.47</v>
      </c>
      <c r="H322" s="79"/>
      <c r="I322" s="117"/>
    </row>
    <row r="323" spans="1:9" s="32" customFormat="1" x14ac:dyDescent="0.3">
      <c r="A323" s="64"/>
      <c r="B323" s="60"/>
      <c r="C323" s="64"/>
      <c r="D323" s="89"/>
      <c r="F323" s="90"/>
      <c r="G323" s="90"/>
      <c r="H323" s="80"/>
      <c r="I323" s="50"/>
    </row>
    <row r="324" spans="1:9" s="135" customFormat="1" x14ac:dyDescent="0.3">
      <c r="A324" s="26" t="s">
        <v>165</v>
      </c>
      <c r="B324" s="27" t="s">
        <v>166</v>
      </c>
      <c r="C324" s="28" t="s">
        <v>353</v>
      </c>
      <c r="D324" s="29" t="s">
        <v>9</v>
      </c>
      <c r="E324" s="28" t="s">
        <v>337</v>
      </c>
      <c r="F324" s="94" t="s">
        <v>5</v>
      </c>
      <c r="G324" s="94" t="s">
        <v>6</v>
      </c>
      <c r="H324" s="94" t="s">
        <v>349</v>
      </c>
      <c r="I324" s="134"/>
    </row>
    <row r="325" spans="1:9" s="32" customFormat="1" x14ac:dyDescent="0.3">
      <c r="A325" s="130"/>
      <c r="B325" s="139" t="s">
        <v>167</v>
      </c>
      <c r="C325" s="131"/>
      <c r="D325" s="132"/>
      <c r="E325" s="140"/>
      <c r="F325" s="133"/>
      <c r="G325" s="133"/>
      <c r="H325" s="185"/>
      <c r="I325" s="50"/>
    </row>
    <row r="326" spans="1:9" s="32" customFormat="1" x14ac:dyDescent="0.3">
      <c r="A326" s="77">
        <v>121</v>
      </c>
      <c r="B326" s="51" t="s">
        <v>168</v>
      </c>
      <c r="C326" s="59" t="s">
        <v>0</v>
      </c>
      <c r="D326" s="34">
        <v>24</v>
      </c>
      <c r="E326" s="122">
        <v>100</v>
      </c>
      <c r="F326" s="79">
        <f t="shared" si="16"/>
        <v>2400</v>
      </c>
      <c r="G326" s="79"/>
      <c r="H326" s="181"/>
      <c r="I326" s="50"/>
    </row>
    <row r="327" spans="1:9" s="32" customFormat="1" ht="27.6" x14ac:dyDescent="0.3">
      <c r="A327" s="77"/>
      <c r="B327" s="51" t="s">
        <v>339</v>
      </c>
      <c r="C327" s="59" t="s">
        <v>0</v>
      </c>
      <c r="D327" s="34">
        <f>D326</f>
        <v>24</v>
      </c>
      <c r="E327" s="122">
        <v>100</v>
      </c>
      <c r="F327" s="79"/>
      <c r="G327" s="79">
        <f t="shared" si="17"/>
        <v>2400</v>
      </c>
      <c r="H327" s="181"/>
      <c r="I327" s="50"/>
    </row>
    <row r="328" spans="1:9" s="32" customFormat="1" x14ac:dyDescent="0.3">
      <c r="A328" s="77">
        <v>122</v>
      </c>
      <c r="B328" s="51" t="s">
        <v>169</v>
      </c>
      <c r="C328" s="59" t="s">
        <v>88</v>
      </c>
      <c r="D328" s="34">
        <v>1.95</v>
      </c>
      <c r="E328" s="122">
        <v>100</v>
      </c>
      <c r="F328" s="79">
        <f t="shared" si="16"/>
        <v>195</v>
      </c>
      <c r="G328" s="79"/>
      <c r="H328" s="181"/>
      <c r="I328" s="50"/>
    </row>
    <row r="329" spans="1:9" s="32" customFormat="1" x14ac:dyDescent="0.3">
      <c r="A329" s="77">
        <v>123</v>
      </c>
      <c r="B329" s="51" t="s">
        <v>170</v>
      </c>
      <c r="C329" s="59" t="s">
        <v>88</v>
      </c>
      <c r="D329" s="34">
        <f>D328</f>
        <v>1.95</v>
      </c>
      <c r="E329" s="122">
        <v>100</v>
      </c>
      <c r="F329" s="79">
        <f t="shared" si="16"/>
        <v>195</v>
      </c>
      <c r="G329" s="79"/>
      <c r="H329" s="181"/>
      <c r="I329" s="50"/>
    </row>
    <row r="330" spans="1:9" s="32" customFormat="1" ht="41.4" x14ac:dyDescent="0.3">
      <c r="A330" s="77"/>
      <c r="B330" s="51" t="s">
        <v>171</v>
      </c>
      <c r="C330" s="59" t="s">
        <v>88</v>
      </c>
      <c r="D330" s="34">
        <v>2.145</v>
      </c>
      <c r="E330" s="122">
        <v>100</v>
      </c>
      <c r="F330" s="79"/>
      <c r="G330" s="79">
        <f t="shared" si="17"/>
        <v>214.5</v>
      </c>
      <c r="H330" s="181"/>
      <c r="I330" s="50"/>
    </row>
    <row r="331" spans="1:9" s="32" customFormat="1" x14ac:dyDescent="0.3">
      <c r="A331" s="77"/>
      <c r="B331" s="51" t="s">
        <v>172</v>
      </c>
      <c r="C331" s="59" t="s">
        <v>18</v>
      </c>
      <c r="D331" s="34">
        <v>1</v>
      </c>
      <c r="E331" s="122">
        <v>100</v>
      </c>
      <c r="F331" s="79"/>
      <c r="G331" s="79">
        <f t="shared" si="17"/>
        <v>100</v>
      </c>
      <c r="H331" s="181"/>
      <c r="I331" s="50"/>
    </row>
    <row r="332" spans="1:9" s="32" customFormat="1" ht="27.6" x14ac:dyDescent="0.3">
      <c r="A332" s="77">
        <v>124</v>
      </c>
      <c r="B332" s="51" t="s">
        <v>173</v>
      </c>
      <c r="C332" s="59" t="s">
        <v>0</v>
      </c>
      <c r="D332" s="34">
        <v>50</v>
      </c>
      <c r="E332" s="122">
        <v>100</v>
      </c>
      <c r="F332" s="79">
        <f t="shared" si="16"/>
        <v>5000</v>
      </c>
      <c r="G332" s="79"/>
      <c r="H332" s="181"/>
      <c r="I332" s="50"/>
    </row>
    <row r="333" spans="1:9" s="32" customFormat="1" x14ac:dyDescent="0.3">
      <c r="A333" s="121"/>
      <c r="B333" s="66" t="s">
        <v>174</v>
      </c>
      <c r="C333" s="98"/>
      <c r="D333" s="99"/>
      <c r="E333" s="100"/>
      <c r="F333" s="101"/>
      <c r="G333" s="101"/>
      <c r="H333" s="182"/>
      <c r="I333" s="50"/>
    </row>
    <row r="334" spans="1:9" s="32" customFormat="1" x14ac:dyDescent="0.3">
      <c r="A334" s="77">
        <v>125</v>
      </c>
      <c r="B334" s="51" t="s">
        <v>175</v>
      </c>
      <c r="C334" s="59" t="s">
        <v>0</v>
      </c>
      <c r="D334" s="34">
        <v>33</v>
      </c>
      <c r="E334" s="122">
        <v>100</v>
      </c>
      <c r="F334" s="79">
        <f t="shared" si="16"/>
        <v>3300</v>
      </c>
      <c r="G334" s="79"/>
      <c r="H334" s="181"/>
      <c r="I334" s="50"/>
    </row>
    <row r="335" spans="1:9" s="32" customFormat="1" ht="27.6" x14ac:dyDescent="0.3">
      <c r="A335" s="77"/>
      <c r="B335" s="51" t="s">
        <v>339</v>
      </c>
      <c r="C335" s="59" t="s">
        <v>0</v>
      </c>
      <c r="D335" s="34">
        <f>D334</f>
        <v>33</v>
      </c>
      <c r="E335" s="122">
        <v>100</v>
      </c>
      <c r="F335" s="79"/>
      <c r="G335" s="79">
        <f t="shared" si="17"/>
        <v>3300</v>
      </c>
      <c r="H335" s="181"/>
      <c r="I335" s="50"/>
    </row>
    <row r="336" spans="1:9" s="32" customFormat="1" ht="27.6" x14ac:dyDescent="0.3">
      <c r="A336" s="77">
        <v>126</v>
      </c>
      <c r="B336" s="51" t="s">
        <v>176</v>
      </c>
      <c r="C336" s="59" t="s">
        <v>2</v>
      </c>
      <c r="D336" s="34">
        <v>16.600000000000001</v>
      </c>
      <c r="E336" s="122">
        <v>100</v>
      </c>
      <c r="F336" s="79">
        <f t="shared" si="16"/>
        <v>1660.0000000000002</v>
      </c>
      <c r="G336" s="79"/>
      <c r="H336" s="181"/>
      <c r="I336" s="50"/>
    </row>
    <row r="337" spans="1:9" s="32" customFormat="1" ht="41.4" x14ac:dyDescent="0.3">
      <c r="A337" s="77">
        <v>127</v>
      </c>
      <c r="B337" s="51" t="s">
        <v>178</v>
      </c>
      <c r="C337" s="59" t="s">
        <v>2</v>
      </c>
      <c r="D337" s="34">
        <v>28.9</v>
      </c>
      <c r="E337" s="122">
        <v>100</v>
      </c>
      <c r="F337" s="79">
        <f t="shared" si="16"/>
        <v>2890</v>
      </c>
      <c r="G337" s="79"/>
      <c r="H337" s="181"/>
      <c r="I337" s="50"/>
    </row>
    <row r="338" spans="1:9" s="32" customFormat="1" x14ac:dyDescent="0.3">
      <c r="A338" s="77"/>
      <c r="B338" s="51" t="s">
        <v>179</v>
      </c>
      <c r="C338" s="59" t="s">
        <v>2</v>
      </c>
      <c r="D338" s="34">
        <v>22.71</v>
      </c>
      <c r="E338" s="122">
        <v>100</v>
      </c>
      <c r="F338" s="79"/>
      <c r="G338" s="79">
        <f t="shared" si="17"/>
        <v>2271</v>
      </c>
      <c r="H338" s="181"/>
      <c r="I338" s="50"/>
    </row>
    <row r="339" spans="1:9" s="32" customFormat="1" x14ac:dyDescent="0.3">
      <c r="A339" s="77"/>
      <c r="B339" s="51" t="s">
        <v>180</v>
      </c>
      <c r="C339" s="59" t="s">
        <v>2</v>
      </c>
      <c r="D339" s="34">
        <f>D338</f>
        <v>22.71</v>
      </c>
      <c r="E339" s="122">
        <v>100</v>
      </c>
      <c r="F339" s="79"/>
      <c r="G339" s="79">
        <f t="shared" si="17"/>
        <v>2271</v>
      </c>
      <c r="H339" s="181"/>
      <c r="I339" s="50" t="s">
        <v>326</v>
      </c>
    </row>
    <row r="340" spans="1:9" s="32" customFormat="1" x14ac:dyDescent="0.3">
      <c r="A340" s="77"/>
      <c r="B340" s="51" t="s">
        <v>181</v>
      </c>
      <c r="C340" s="59" t="s">
        <v>4</v>
      </c>
      <c r="D340" s="34">
        <v>1.5</v>
      </c>
      <c r="E340" s="122">
        <v>100</v>
      </c>
      <c r="F340" s="79"/>
      <c r="G340" s="79">
        <f t="shared" si="17"/>
        <v>150</v>
      </c>
      <c r="H340" s="181"/>
      <c r="I340" s="50" t="s">
        <v>327</v>
      </c>
    </row>
    <row r="341" spans="1:9" s="103" customFormat="1" ht="13.8" customHeight="1" x14ac:dyDescent="0.3">
      <c r="A341" s="105"/>
      <c r="B341" s="106" t="s">
        <v>90</v>
      </c>
      <c r="C341" s="107"/>
      <c r="D341" s="108"/>
      <c r="E341" s="109"/>
      <c r="F341" s="110">
        <f>SUM(F325:F340)</f>
        <v>15640</v>
      </c>
      <c r="G341" s="110">
        <f>SUM(G325:G340)</f>
        <v>10706.5</v>
      </c>
      <c r="H341" s="181"/>
      <c r="I341" s="102"/>
    </row>
    <row r="342" spans="1:9" s="118" customFormat="1" ht="13.8" customHeight="1" x14ac:dyDescent="0.3">
      <c r="A342" s="111"/>
      <c r="B342" s="112" t="s">
        <v>89</v>
      </c>
      <c r="C342" s="113"/>
      <c r="D342" s="114"/>
      <c r="E342" s="115"/>
      <c r="F342" s="116"/>
      <c r="G342" s="116">
        <f>F341+G341</f>
        <v>26346.5</v>
      </c>
      <c r="H342" s="181"/>
      <c r="I342" s="117"/>
    </row>
    <row r="343" spans="1:9" s="32" customFormat="1" x14ac:dyDescent="0.3">
      <c r="A343" s="64"/>
      <c r="B343" s="60"/>
      <c r="C343" s="64"/>
      <c r="D343" s="89"/>
      <c r="F343" s="90"/>
      <c r="G343" s="90"/>
      <c r="H343" s="80"/>
      <c r="I343" s="50"/>
    </row>
    <row r="344" spans="1:9" s="32" customFormat="1" x14ac:dyDescent="0.3">
      <c r="A344" s="26" t="s">
        <v>182</v>
      </c>
      <c r="B344" s="27" t="s">
        <v>183</v>
      </c>
      <c r="C344" s="28" t="s">
        <v>353</v>
      </c>
      <c r="D344" s="29" t="s">
        <v>9</v>
      </c>
      <c r="E344" s="28" t="s">
        <v>8</v>
      </c>
      <c r="F344" s="94" t="s">
        <v>5</v>
      </c>
      <c r="G344" s="94" t="s">
        <v>6</v>
      </c>
      <c r="H344" s="94" t="s">
        <v>349</v>
      </c>
      <c r="I344" s="50"/>
    </row>
    <row r="345" spans="1:9" s="129" customFormat="1" x14ac:dyDescent="0.3">
      <c r="A345" s="123">
        <v>128</v>
      </c>
      <c r="B345" s="124" t="s">
        <v>184</v>
      </c>
      <c r="C345" s="125" t="s">
        <v>2</v>
      </c>
      <c r="D345" s="126">
        <v>57</v>
      </c>
      <c r="E345" s="122">
        <v>100</v>
      </c>
      <c r="F345" s="79">
        <f t="shared" si="16"/>
        <v>5700</v>
      </c>
      <c r="G345" s="79"/>
      <c r="H345" s="181"/>
      <c r="I345" s="128"/>
    </row>
    <row r="346" spans="1:9" s="32" customFormat="1" x14ac:dyDescent="0.3">
      <c r="A346" s="77"/>
      <c r="B346" s="51" t="s">
        <v>319</v>
      </c>
      <c r="C346" s="59" t="s">
        <v>4</v>
      </c>
      <c r="D346" s="34">
        <f>D345*0.05*1.2</f>
        <v>3.42</v>
      </c>
      <c r="E346" s="122">
        <v>100</v>
      </c>
      <c r="F346" s="79"/>
      <c r="G346" s="79">
        <f t="shared" si="17"/>
        <v>342</v>
      </c>
      <c r="H346" s="181" t="s">
        <v>325</v>
      </c>
      <c r="I346" s="50"/>
    </row>
    <row r="347" spans="1:9" s="129" customFormat="1" x14ac:dyDescent="0.3">
      <c r="A347" s="123"/>
      <c r="B347" s="124" t="s">
        <v>156</v>
      </c>
      <c r="C347" s="125" t="s">
        <v>157</v>
      </c>
      <c r="D347" s="126">
        <v>5</v>
      </c>
      <c r="E347" s="122">
        <v>100</v>
      </c>
      <c r="F347" s="79"/>
      <c r="G347" s="79">
        <f t="shared" si="17"/>
        <v>500</v>
      </c>
      <c r="H347" s="181"/>
      <c r="I347" s="128"/>
    </row>
    <row r="348" spans="1:9" s="32" customFormat="1" ht="27.6" x14ac:dyDescent="0.3">
      <c r="A348" s="77">
        <v>129</v>
      </c>
      <c r="B348" s="51" t="s">
        <v>185</v>
      </c>
      <c r="C348" s="59" t="s">
        <v>2</v>
      </c>
      <c r="D348" s="34">
        <v>28.4</v>
      </c>
      <c r="E348" s="122">
        <v>100</v>
      </c>
      <c r="F348" s="79">
        <f t="shared" si="16"/>
        <v>2840</v>
      </c>
      <c r="G348" s="79"/>
      <c r="H348" s="181"/>
      <c r="I348" s="50"/>
    </row>
    <row r="349" spans="1:9" s="32" customFormat="1" x14ac:dyDescent="0.3">
      <c r="A349" s="77">
        <v>130</v>
      </c>
      <c r="B349" s="51" t="s">
        <v>186</v>
      </c>
      <c r="C349" s="59" t="s">
        <v>0</v>
      </c>
      <c r="D349" s="34">
        <v>71</v>
      </c>
      <c r="E349" s="122">
        <v>100</v>
      </c>
      <c r="F349" s="79">
        <f t="shared" si="16"/>
        <v>7100</v>
      </c>
      <c r="G349" s="79"/>
      <c r="H349" s="181"/>
      <c r="I349" s="50"/>
    </row>
    <row r="350" spans="1:9" s="32" customFormat="1" ht="27.6" x14ac:dyDescent="0.3">
      <c r="A350" s="77"/>
      <c r="B350" s="51" t="s">
        <v>339</v>
      </c>
      <c r="C350" s="59" t="s">
        <v>0</v>
      </c>
      <c r="D350" s="34">
        <v>36</v>
      </c>
      <c r="E350" s="122">
        <v>100</v>
      </c>
      <c r="F350" s="79"/>
      <c r="G350" s="79">
        <f t="shared" si="17"/>
        <v>3600</v>
      </c>
      <c r="H350" s="181"/>
      <c r="I350" s="50"/>
    </row>
    <row r="351" spans="1:9" s="32" customFormat="1" ht="27.6" x14ac:dyDescent="0.3">
      <c r="A351" s="77"/>
      <c r="B351" s="51" t="s">
        <v>340</v>
      </c>
      <c r="C351" s="59" t="s">
        <v>0</v>
      </c>
      <c r="D351" s="34">
        <v>35</v>
      </c>
      <c r="E351" s="122">
        <v>100</v>
      </c>
      <c r="F351" s="79"/>
      <c r="G351" s="79">
        <f t="shared" si="17"/>
        <v>3500</v>
      </c>
      <c r="H351" s="181"/>
      <c r="I351" s="50"/>
    </row>
    <row r="352" spans="1:9" s="32" customFormat="1" ht="17.399999999999999" customHeight="1" x14ac:dyDescent="0.3">
      <c r="A352" s="77">
        <v>131</v>
      </c>
      <c r="B352" s="51" t="s">
        <v>187</v>
      </c>
      <c r="C352" s="59" t="s">
        <v>0</v>
      </c>
      <c r="D352" s="34">
        <f>D350</f>
        <v>36</v>
      </c>
      <c r="E352" s="122">
        <v>100</v>
      </c>
      <c r="F352" s="79">
        <f t="shared" si="16"/>
        <v>3600</v>
      </c>
      <c r="G352" s="79"/>
      <c r="H352" s="181"/>
      <c r="I352" s="50"/>
    </row>
    <row r="353" spans="1:9" s="32" customFormat="1" ht="27.6" x14ac:dyDescent="0.3">
      <c r="A353" s="77"/>
      <c r="B353" s="51" t="s">
        <v>188</v>
      </c>
      <c r="C353" s="59" t="s">
        <v>0</v>
      </c>
      <c r="D353" s="34">
        <v>5</v>
      </c>
      <c r="E353" s="122">
        <v>100</v>
      </c>
      <c r="F353" s="79"/>
      <c r="G353" s="79">
        <f t="shared" si="17"/>
        <v>500</v>
      </c>
      <c r="H353" s="181"/>
      <c r="I353" s="50" t="s">
        <v>313</v>
      </c>
    </row>
    <row r="354" spans="1:9" s="32" customFormat="1" x14ac:dyDescent="0.3">
      <c r="A354" s="121"/>
      <c r="B354" s="66" t="s">
        <v>189</v>
      </c>
      <c r="C354" s="98"/>
      <c r="D354" s="99"/>
      <c r="E354" s="100"/>
      <c r="F354" s="101"/>
      <c r="G354" s="101"/>
      <c r="H354" s="182"/>
      <c r="I354" s="50"/>
    </row>
    <row r="355" spans="1:9" s="32" customFormat="1" ht="27.6" x14ac:dyDescent="0.3">
      <c r="A355" s="77">
        <v>132</v>
      </c>
      <c r="B355" s="51" t="s">
        <v>176</v>
      </c>
      <c r="C355" s="59" t="s">
        <v>2</v>
      </c>
      <c r="D355" s="34">
        <v>94.5</v>
      </c>
      <c r="E355" s="122">
        <v>100</v>
      </c>
      <c r="F355" s="79">
        <f t="shared" si="16"/>
        <v>9450</v>
      </c>
      <c r="G355" s="79"/>
      <c r="H355" s="181"/>
      <c r="I355" s="50"/>
    </row>
    <row r="356" spans="1:9" s="32" customFormat="1" ht="27.6" x14ac:dyDescent="0.3">
      <c r="A356" s="77">
        <v>133</v>
      </c>
      <c r="B356" s="51" t="s">
        <v>177</v>
      </c>
      <c r="C356" s="59" t="s">
        <v>1</v>
      </c>
      <c r="D356" s="34">
        <v>43.1</v>
      </c>
      <c r="E356" s="122">
        <v>100</v>
      </c>
      <c r="F356" s="79">
        <f t="shared" si="16"/>
        <v>4310</v>
      </c>
      <c r="G356" s="79"/>
      <c r="H356" s="181"/>
      <c r="I356" s="50"/>
    </row>
    <row r="357" spans="1:9" s="32" customFormat="1" x14ac:dyDescent="0.3">
      <c r="A357" s="77"/>
      <c r="B357" s="51" t="s">
        <v>179</v>
      </c>
      <c r="C357" s="59" t="s">
        <v>2</v>
      </c>
      <c r="D357" s="34">
        <v>123.88</v>
      </c>
      <c r="E357" s="122">
        <v>100</v>
      </c>
      <c r="F357" s="79"/>
      <c r="G357" s="79">
        <f t="shared" si="17"/>
        <v>12388</v>
      </c>
      <c r="H357" s="181"/>
      <c r="I357" s="50"/>
    </row>
    <row r="358" spans="1:9" s="32" customFormat="1" x14ac:dyDescent="0.3">
      <c r="A358" s="77"/>
      <c r="B358" s="51" t="s">
        <v>180</v>
      </c>
      <c r="C358" s="59" t="s">
        <v>2</v>
      </c>
      <c r="D358" s="34">
        <f>D357</f>
        <v>123.88</v>
      </c>
      <c r="E358" s="122">
        <f>E339</f>
        <v>100</v>
      </c>
      <c r="F358" s="79"/>
      <c r="G358" s="79">
        <f t="shared" si="17"/>
        <v>12388</v>
      </c>
      <c r="H358" s="181"/>
      <c r="I358" s="50"/>
    </row>
    <row r="359" spans="1:9" s="32" customFormat="1" x14ac:dyDescent="0.3">
      <c r="A359" s="77"/>
      <c r="B359" s="51" t="s">
        <v>181</v>
      </c>
      <c r="C359" s="59" t="s">
        <v>4</v>
      </c>
      <c r="D359" s="34">
        <v>4.2</v>
      </c>
      <c r="E359" s="122">
        <f>E340</f>
        <v>100</v>
      </c>
      <c r="F359" s="79"/>
      <c r="G359" s="79">
        <f t="shared" si="17"/>
        <v>420</v>
      </c>
      <c r="H359" s="181"/>
      <c r="I359" s="50"/>
    </row>
    <row r="360" spans="1:9" s="32" customFormat="1" x14ac:dyDescent="0.3">
      <c r="A360" s="121"/>
      <c r="B360" s="66" t="s">
        <v>190</v>
      </c>
      <c r="C360" s="98"/>
      <c r="D360" s="99"/>
      <c r="E360" s="100"/>
      <c r="F360" s="101"/>
      <c r="G360" s="101"/>
      <c r="H360" s="182"/>
      <c r="I360" s="50"/>
    </row>
    <row r="361" spans="1:9" s="32" customFormat="1" ht="30" customHeight="1" x14ac:dyDescent="0.3">
      <c r="A361" s="77">
        <v>134</v>
      </c>
      <c r="B361" s="51" t="s">
        <v>176</v>
      </c>
      <c r="C361" s="59" t="s">
        <v>2</v>
      </c>
      <c r="D361" s="34">
        <v>23.4</v>
      </c>
      <c r="E361" s="122">
        <f t="shared" ref="E361:E365" si="18">E334</f>
        <v>100</v>
      </c>
      <c r="F361" s="79">
        <f t="shared" si="16"/>
        <v>2340</v>
      </c>
      <c r="G361" s="79"/>
      <c r="H361" s="181"/>
      <c r="I361" s="50"/>
    </row>
    <row r="362" spans="1:9" s="32" customFormat="1" ht="30" customHeight="1" x14ac:dyDescent="0.3">
      <c r="A362" s="77">
        <v>135</v>
      </c>
      <c r="B362" s="51" t="s">
        <v>193</v>
      </c>
      <c r="C362" s="59" t="s">
        <v>1</v>
      </c>
      <c r="D362" s="34">
        <v>16</v>
      </c>
      <c r="E362" s="122">
        <f t="shared" si="18"/>
        <v>100</v>
      </c>
      <c r="F362" s="79">
        <f t="shared" si="16"/>
        <v>1600</v>
      </c>
      <c r="G362" s="79"/>
      <c r="H362" s="181"/>
      <c r="I362" s="50"/>
    </row>
    <row r="363" spans="1:9" s="32" customFormat="1" ht="41.4" x14ac:dyDescent="0.3">
      <c r="A363" s="77">
        <v>136</v>
      </c>
      <c r="B363" s="51" t="s">
        <v>194</v>
      </c>
      <c r="C363" s="59" t="s">
        <v>1</v>
      </c>
      <c r="D363" s="34">
        <v>17.100000000000001</v>
      </c>
      <c r="E363" s="122">
        <f t="shared" si="18"/>
        <v>100</v>
      </c>
      <c r="F363" s="79">
        <f t="shared" si="16"/>
        <v>1710.0000000000002</v>
      </c>
      <c r="G363" s="79"/>
      <c r="H363" s="181"/>
      <c r="I363" s="50"/>
    </row>
    <row r="364" spans="1:9" s="32" customFormat="1" ht="27.6" x14ac:dyDescent="0.3">
      <c r="A364" s="77">
        <v>137</v>
      </c>
      <c r="B364" s="51" t="s">
        <v>191</v>
      </c>
      <c r="C364" s="59" t="s">
        <v>1</v>
      </c>
      <c r="D364" s="34">
        <v>0.9</v>
      </c>
      <c r="E364" s="122">
        <f t="shared" si="18"/>
        <v>100</v>
      </c>
      <c r="F364" s="79">
        <f t="shared" si="16"/>
        <v>90</v>
      </c>
      <c r="G364" s="79"/>
      <c r="H364" s="181"/>
      <c r="I364" s="50"/>
    </row>
    <row r="365" spans="1:9" s="32" customFormat="1" x14ac:dyDescent="0.3">
      <c r="A365" s="77"/>
      <c r="B365" s="51" t="s">
        <v>179</v>
      </c>
      <c r="C365" s="59" t="s">
        <v>2</v>
      </c>
      <c r="D365" s="34">
        <v>49.94</v>
      </c>
      <c r="E365" s="122">
        <f t="shared" si="18"/>
        <v>100</v>
      </c>
      <c r="F365" s="79"/>
      <c r="G365" s="79">
        <f t="shared" si="17"/>
        <v>4994</v>
      </c>
      <c r="H365" s="181"/>
      <c r="I365" s="50"/>
    </row>
    <row r="366" spans="1:9" s="32" customFormat="1" x14ac:dyDescent="0.3">
      <c r="A366" s="77"/>
      <c r="B366" s="51" t="s">
        <v>180</v>
      </c>
      <c r="C366" s="59" t="s">
        <v>2</v>
      </c>
      <c r="D366" s="34">
        <f>D365</f>
        <v>49.94</v>
      </c>
      <c r="E366" s="122">
        <f>E339</f>
        <v>100</v>
      </c>
      <c r="F366" s="79"/>
      <c r="G366" s="79">
        <f t="shared" si="17"/>
        <v>4994</v>
      </c>
      <c r="H366" s="181"/>
      <c r="I366" s="50"/>
    </row>
    <row r="367" spans="1:9" s="32" customFormat="1" x14ac:dyDescent="0.3">
      <c r="A367" s="77"/>
      <c r="B367" s="51" t="s">
        <v>181</v>
      </c>
      <c r="C367" s="59" t="s">
        <v>4</v>
      </c>
      <c r="D367" s="34">
        <v>2.5</v>
      </c>
      <c r="E367" s="122">
        <f>E340</f>
        <v>100</v>
      </c>
      <c r="F367" s="79"/>
      <c r="G367" s="79">
        <f t="shared" si="17"/>
        <v>250</v>
      </c>
      <c r="H367" s="181"/>
      <c r="I367" s="50"/>
    </row>
    <row r="368" spans="1:9" s="32" customFormat="1" x14ac:dyDescent="0.3">
      <c r="A368" s="121"/>
      <c r="B368" s="66" t="s">
        <v>192</v>
      </c>
      <c r="C368" s="98"/>
      <c r="D368" s="99"/>
      <c r="E368" s="100"/>
      <c r="F368" s="101"/>
      <c r="G368" s="101"/>
      <c r="H368" s="101"/>
      <c r="I368" s="50"/>
    </row>
    <row r="369" spans="1:9" s="32" customFormat="1" x14ac:dyDescent="0.3">
      <c r="A369" s="77">
        <v>138</v>
      </c>
      <c r="B369" s="51" t="s">
        <v>195</v>
      </c>
      <c r="C369" s="59" t="s">
        <v>1</v>
      </c>
      <c r="D369" s="34">
        <v>15</v>
      </c>
      <c r="E369" s="122">
        <v>100</v>
      </c>
      <c r="F369" s="79">
        <f t="shared" si="16"/>
        <v>1500</v>
      </c>
      <c r="G369" s="79"/>
      <c r="H369" s="181"/>
      <c r="I369" s="50"/>
    </row>
    <row r="370" spans="1:9" s="32" customFormat="1" x14ac:dyDescent="0.3">
      <c r="A370" s="77"/>
      <c r="B370" s="51" t="s">
        <v>196</v>
      </c>
      <c r="C370" s="59" t="s">
        <v>1</v>
      </c>
      <c r="D370" s="34">
        <v>57</v>
      </c>
      <c r="E370" s="122">
        <v>100</v>
      </c>
      <c r="F370" s="79"/>
      <c r="G370" s="79">
        <f t="shared" si="17"/>
        <v>5700</v>
      </c>
      <c r="H370" s="181"/>
      <c r="I370" s="50" t="s">
        <v>328</v>
      </c>
    </row>
    <row r="371" spans="1:9" s="32" customFormat="1" x14ac:dyDescent="0.3">
      <c r="A371" s="77"/>
      <c r="B371" s="51" t="s">
        <v>181</v>
      </c>
      <c r="C371" s="59" t="s">
        <v>4</v>
      </c>
      <c r="D371" s="34">
        <v>0.2</v>
      </c>
      <c r="E371" s="122">
        <v>100</v>
      </c>
      <c r="F371" s="79"/>
      <c r="G371" s="79">
        <f t="shared" si="17"/>
        <v>20</v>
      </c>
      <c r="H371" s="181"/>
      <c r="I371" s="50"/>
    </row>
    <row r="372" spans="1:9" s="32" customFormat="1" x14ac:dyDescent="0.3">
      <c r="A372" s="77"/>
      <c r="B372" s="51" t="s">
        <v>179</v>
      </c>
      <c r="C372" s="59" t="s">
        <v>2</v>
      </c>
      <c r="D372" s="34">
        <v>7.5</v>
      </c>
      <c r="E372" s="122">
        <v>100</v>
      </c>
      <c r="F372" s="79"/>
      <c r="G372" s="79">
        <f t="shared" si="17"/>
        <v>750</v>
      </c>
      <c r="H372" s="181"/>
      <c r="I372" s="50"/>
    </row>
    <row r="373" spans="1:9" s="32" customFormat="1" x14ac:dyDescent="0.3">
      <c r="A373" s="77">
        <v>139</v>
      </c>
      <c r="B373" s="51" t="s">
        <v>197</v>
      </c>
      <c r="C373" s="59" t="s">
        <v>1</v>
      </c>
      <c r="D373" s="34">
        <v>15</v>
      </c>
      <c r="E373" s="122">
        <v>100</v>
      </c>
      <c r="F373" s="79">
        <f t="shared" si="16"/>
        <v>1500</v>
      </c>
      <c r="G373" s="79"/>
      <c r="H373" s="181"/>
      <c r="I373" s="50"/>
    </row>
    <row r="374" spans="1:9" s="32" customFormat="1" ht="13.8" x14ac:dyDescent="0.3">
      <c r="A374" s="77"/>
      <c r="B374" s="51" t="s">
        <v>196</v>
      </c>
      <c r="C374" s="59" t="s">
        <v>1</v>
      </c>
      <c r="D374" s="34">
        <v>57</v>
      </c>
      <c r="E374" s="122">
        <v>100</v>
      </c>
      <c r="F374" s="79"/>
      <c r="G374" s="79">
        <f t="shared" si="17"/>
        <v>5700</v>
      </c>
      <c r="H374" s="181"/>
      <c r="I374" s="141"/>
    </row>
    <row r="375" spans="1:9" s="32" customFormat="1" x14ac:dyDescent="0.3">
      <c r="A375" s="77"/>
      <c r="B375" s="51" t="s">
        <v>180</v>
      </c>
      <c r="C375" s="59" t="s">
        <v>2</v>
      </c>
      <c r="D375" s="34">
        <v>1</v>
      </c>
      <c r="E375" s="122">
        <v>100</v>
      </c>
      <c r="F375" s="79"/>
      <c r="G375" s="79">
        <f t="shared" si="17"/>
        <v>100</v>
      </c>
      <c r="H375" s="181"/>
      <c r="I375" s="50"/>
    </row>
    <row r="376" spans="1:9" s="32" customFormat="1" x14ac:dyDescent="0.3">
      <c r="A376" s="77"/>
      <c r="B376" s="51" t="s">
        <v>179</v>
      </c>
      <c r="C376" s="59" t="s">
        <v>1</v>
      </c>
      <c r="D376" s="34">
        <v>15</v>
      </c>
      <c r="E376" s="122">
        <v>100</v>
      </c>
      <c r="F376" s="79"/>
      <c r="G376" s="79">
        <f t="shared" si="17"/>
        <v>1500</v>
      </c>
      <c r="H376" s="181"/>
      <c r="I376" s="50"/>
    </row>
    <row r="377" spans="1:9" s="32" customFormat="1" x14ac:dyDescent="0.3">
      <c r="A377" s="77">
        <v>140</v>
      </c>
      <c r="B377" s="51" t="s">
        <v>198</v>
      </c>
      <c r="C377" s="59" t="s">
        <v>1</v>
      </c>
      <c r="D377" s="34">
        <v>15</v>
      </c>
      <c r="E377" s="122">
        <v>100</v>
      </c>
      <c r="F377" s="79">
        <f t="shared" si="16"/>
        <v>1500</v>
      </c>
      <c r="G377" s="79"/>
      <c r="H377" s="181"/>
      <c r="I377" s="50"/>
    </row>
    <row r="378" spans="1:9" s="32" customFormat="1" x14ac:dyDescent="0.3">
      <c r="A378" s="77"/>
      <c r="B378" s="51" t="s">
        <v>199</v>
      </c>
      <c r="C378" s="59" t="s">
        <v>0</v>
      </c>
      <c r="D378" s="34">
        <v>6</v>
      </c>
      <c r="E378" s="122">
        <v>100</v>
      </c>
      <c r="F378" s="79"/>
      <c r="G378" s="79">
        <f t="shared" si="17"/>
        <v>600</v>
      </c>
      <c r="H378" s="181"/>
      <c r="I378" s="50" t="s">
        <v>314</v>
      </c>
    </row>
    <row r="379" spans="1:9" s="32" customFormat="1" x14ac:dyDescent="0.3">
      <c r="A379" s="77">
        <v>141</v>
      </c>
      <c r="B379" s="51" t="s">
        <v>200</v>
      </c>
      <c r="C379" s="59" t="s">
        <v>1</v>
      </c>
      <c r="D379" s="34">
        <v>15</v>
      </c>
      <c r="E379" s="122">
        <v>100</v>
      </c>
      <c r="F379" s="79">
        <f t="shared" si="16"/>
        <v>1500</v>
      </c>
      <c r="G379" s="79"/>
      <c r="H379" s="181"/>
      <c r="I379" s="50"/>
    </row>
    <row r="380" spans="1:9" s="32" customFormat="1" x14ac:dyDescent="0.3">
      <c r="A380" s="77"/>
      <c r="B380" s="51" t="s">
        <v>76</v>
      </c>
      <c r="C380" s="59" t="s">
        <v>0</v>
      </c>
      <c r="D380" s="34">
        <v>1</v>
      </c>
      <c r="E380" s="122">
        <v>100</v>
      </c>
      <c r="F380" s="79"/>
      <c r="G380" s="79">
        <f t="shared" si="17"/>
        <v>100</v>
      </c>
      <c r="H380" s="181"/>
      <c r="I380" s="50"/>
    </row>
    <row r="381" spans="1:9" s="32" customFormat="1" x14ac:dyDescent="0.3">
      <c r="A381" s="77"/>
      <c r="B381" s="51" t="s">
        <v>77</v>
      </c>
      <c r="C381" s="59" t="s">
        <v>0</v>
      </c>
      <c r="D381" s="34">
        <v>1</v>
      </c>
      <c r="E381" s="122">
        <v>100</v>
      </c>
      <c r="F381" s="79"/>
      <c r="G381" s="79">
        <f t="shared" si="17"/>
        <v>100</v>
      </c>
      <c r="H381" s="181"/>
      <c r="I381" s="50"/>
    </row>
    <row r="382" spans="1:9" s="103" customFormat="1" ht="15.6" customHeight="1" x14ac:dyDescent="0.3">
      <c r="A382" s="105"/>
      <c r="B382" s="106" t="s">
        <v>90</v>
      </c>
      <c r="C382" s="107"/>
      <c r="D382" s="108"/>
      <c r="E382" s="109"/>
      <c r="F382" s="110">
        <f>SUM(F345:F381)</f>
        <v>44740</v>
      </c>
      <c r="G382" s="110">
        <f>SUM(G345:G381)</f>
        <v>58446</v>
      </c>
      <c r="H382" s="181"/>
      <c r="I382" s="102"/>
    </row>
    <row r="383" spans="1:9" s="118" customFormat="1" ht="15.6" customHeight="1" x14ac:dyDescent="0.3">
      <c r="A383" s="111"/>
      <c r="B383" s="112" t="s">
        <v>89</v>
      </c>
      <c r="C383" s="113"/>
      <c r="D383" s="114"/>
      <c r="E383" s="115"/>
      <c r="F383" s="116"/>
      <c r="G383" s="116">
        <f>F382+G382</f>
        <v>103186</v>
      </c>
      <c r="H383" s="181"/>
      <c r="I383" s="117"/>
    </row>
    <row r="384" spans="1:9" s="32" customFormat="1" x14ac:dyDescent="0.3">
      <c r="A384" s="64"/>
      <c r="B384" s="60"/>
      <c r="C384" s="64"/>
      <c r="D384" s="89"/>
      <c r="F384" s="90"/>
      <c r="G384" s="90"/>
      <c r="H384" s="80"/>
      <c r="I384" s="50"/>
    </row>
    <row r="385" spans="1:9" s="32" customFormat="1" x14ac:dyDescent="0.3">
      <c r="A385" s="26" t="s">
        <v>201</v>
      </c>
      <c r="B385" s="27" t="s">
        <v>202</v>
      </c>
      <c r="C385" s="28" t="s">
        <v>353</v>
      </c>
      <c r="D385" s="29" t="s">
        <v>9</v>
      </c>
      <c r="E385" s="28" t="s">
        <v>337</v>
      </c>
      <c r="F385" s="94" t="s">
        <v>5</v>
      </c>
      <c r="G385" s="94" t="s">
        <v>6</v>
      </c>
      <c r="H385" s="94" t="s">
        <v>349</v>
      </c>
      <c r="I385" s="50"/>
    </row>
    <row r="386" spans="1:9" s="32" customFormat="1" ht="27.6" x14ac:dyDescent="0.3">
      <c r="A386" s="77">
        <v>142</v>
      </c>
      <c r="B386" s="51" t="s">
        <v>203</v>
      </c>
      <c r="C386" s="59" t="s">
        <v>1</v>
      </c>
      <c r="D386" s="34">
        <v>110</v>
      </c>
      <c r="E386" s="33">
        <v>100</v>
      </c>
      <c r="F386" s="79">
        <f t="shared" ref="F386:F445" si="19">D386*E386</f>
        <v>11000</v>
      </c>
      <c r="G386" s="79"/>
      <c r="H386" s="79"/>
      <c r="I386" s="50"/>
    </row>
    <row r="387" spans="1:9" s="32" customFormat="1" x14ac:dyDescent="0.3">
      <c r="A387" s="77">
        <v>143</v>
      </c>
      <c r="B387" s="51" t="s">
        <v>204</v>
      </c>
      <c r="C387" s="59" t="s">
        <v>1</v>
      </c>
      <c r="D387" s="34">
        <v>440</v>
      </c>
      <c r="E387" s="33">
        <v>100</v>
      </c>
      <c r="F387" s="79">
        <f t="shared" si="19"/>
        <v>44000</v>
      </c>
      <c r="G387" s="79"/>
      <c r="H387" s="79"/>
      <c r="I387" s="50"/>
    </row>
    <row r="388" spans="1:9" s="129" customFormat="1" x14ac:dyDescent="0.3">
      <c r="A388" s="123"/>
      <c r="B388" s="51" t="s">
        <v>318</v>
      </c>
      <c r="C388" s="125" t="s">
        <v>4</v>
      </c>
      <c r="D388" s="126">
        <v>35</v>
      </c>
      <c r="E388" s="33">
        <v>100</v>
      </c>
      <c r="F388" s="79"/>
      <c r="G388" s="79">
        <f t="shared" ref="G388:G446" si="20">D388*E388</f>
        <v>3500</v>
      </c>
      <c r="H388" s="79"/>
      <c r="I388" s="128"/>
    </row>
    <row r="389" spans="1:9" s="129" customFormat="1" ht="27.6" x14ac:dyDescent="0.3">
      <c r="A389" s="123">
        <v>144</v>
      </c>
      <c r="B389" s="124" t="s">
        <v>214</v>
      </c>
      <c r="C389" s="125" t="s">
        <v>4</v>
      </c>
      <c r="D389" s="126">
        <v>35</v>
      </c>
      <c r="E389" s="33">
        <v>100</v>
      </c>
      <c r="F389" s="79">
        <f t="shared" si="19"/>
        <v>3500</v>
      </c>
      <c r="G389" s="79"/>
      <c r="H389" s="79"/>
      <c r="I389" s="128"/>
    </row>
    <row r="390" spans="1:9" s="129" customFormat="1" x14ac:dyDescent="0.3">
      <c r="A390" s="123">
        <v>145</v>
      </c>
      <c r="B390" s="124" t="s">
        <v>205</v>
      </c>
      <c r="C390" s="125" t="s">
        <v>1</v>
      </c>
      <c r="D390" s="126">
        <v>2150</v>
      </c>
      <c r="E390" s="33">
        <v>100</v>
      </c>
      <c r="F390" s="79">
        <f t="shared" si="19"/>
        <v>215000</v>
      </c>
      <c r="G390" s="79"/>
      <c r="H390" s="79"/>
      <c r="I390" s="128"/>
    </row>
    <row r="391" spans="1:9" s="129" customFormat="1" x14ac:dyDescent="0.3">
      <c r="A391" s="123">
        <v>146</v>
      </c>
      <c r="B391" s="124" t="s">
        <v>206</v>
      </c>
      <c r="C391" s="125" t="s">
        <v>1</v>
      </c>
      <c r="D391" s="126">
        <v>220</v>
      </c>
      <c r="E391" s="33">
        <v>100</v>
      </c>
      <c r="F391" s="79">
        <f t="shared" si="19"/>
        <v>22000</v>
      </c>
      <c r="G391" s="79"/>
      <c r="H391" s="79"/>
      <c r="I391" s="128"/>
    </row>
    <row r="392" spans="1:9" s="129" customFormat="1" ht="27.6" x14ac:dyDescent="0.3">
      <c r="A392" s="123">
        <v>147</v>
      </c>
      <c r="B392" s="124" t="s">
        <v>207</v>
      </c>
      <c r="C392" s="125" t="s">
        <v>1</v>
      </c>
      <c r="D392" s="126">
        <v>260</v>
      </c>
      <c r="E392" s="33">
        <v>100</v>
      </c>
      <c r="F392" s="79">
        <f t="shared" si="19"/>
        <v>26000</v>
      </c>
      <c r="G392" s="79"/>
      <c r="H392" s="79"/>
      <c r="I392" s="128"/>
    </row>
    <row r="393" spans="1:9" s="129" customFormat="1" x14ac:dyDescent="0.3">
      <c r="A393" s="123"/>
      <c r="B393" s="124" t="s">
        <v>208</v>
      </c>
      <c r="C393" s="125" t="s">
        <v>0</v>
      </c>
      <c r="D393" s="126">
        <v>8</v>
      </c>
      <c r="E393" s="33">
        <v>100</v>
      </c>
      <c r="F393" s="79"/>
      <c r="G393" s="79">
        <f t="shared" si="20"/>
        <v>800</v>
      </c>
      <c r="H393" s="79"/>
      <c r="I393" s="128" t="s">
        <v>329</v>
      </c>
    </row>
    <row r="394" spans="1:9" s="129" customFormat="1" x14ac:dyDescent="0.3">
      <c r="A394" s="123"/>
      <c r="B394" s="124" t="s">
        <v>209</v>
      </c>
      <c r="C394" s="125" t="s">
        <v>0</v>
      </c>
      <c r="D394" s="126">
        <v>16</v>
      </c>
      <c r="E394" s="33">
        <v>100</v>
      </c>
      <c r="F394" s="79"/>
      <c r="G394" s="79">
        <f t="shared" si="20"/>
        <v>1600</v>
      </c>
      <c r="H394" s="79"/>
      <c r="I394" s="128" t="s">
        <v>330</v>
      </c>
    </row>
    <row r="395" spans="1:9" s="129" customFormat="1" x14ac:dyDescent="0.3">
      <c r="A395" s="123"/>
      <c r="B395" s="124" t="s">
        <v>210</v>
      </c>
      <c r="C395" s="125" t="s">
        <v>1</v>
      </c>
      <c r="D395" s="126">
        <v>75</v>
      </c>
      <c r="E395" s="33">
        <v>100</v>
      </c>
      <c r="F395" s="79"/>
      <c r="G395" s="79">
        <f t="shared" si="20"/>
        <v>7500</v>
      </c>
      <c r="H395" s="79"/>
      <c r="I395" s="128" t="s">
        <v>332</v>
      </c>
    </row>
    <row r="396" spans="1:9" s="129" customFormat="1" ht="14.4" x14ac:dyDescent="0.3">
      <c r="A396" s="123"/>
      <c r="B396" s="124" t="s">
        <v>331</v>
      </c>
      <c r="C396" s="125" t="s">
        <v>1</v>
      </c>
      <c r="D396" s="126">
        <v>140</v>
      </c>
      <c r="E396" s="33">
        <v>100</v>
      </c>
      <c r="F396" s="79"/>
      <c r="G396" s="79">
        <f t="shared" si="20"/>
        <v>14000</v>
      </c>
      <c r="H396" s="79"/>
      <c r="I396" s="142" t="s">
        <v>333</v>
      </c>
    </row>
    <row r="397" spans="1:9" s="129" customFormat="1" x14ac:dyDescent="0.3">
      <c r="A397" s="123"/>
      <c r="B397" s="124" t="s">
        <v>211</v>
      </c>
      <c r="C397" s="125" t="s">
        <v>1</v>
      </c>
      <c r="D397" s="126">
        <v>35</v>
      </c>
      <c r="E397" s="33">
        <v>100</v>
      </c>
      <c r="F397" s="79"/>
      <c r="G397" s="79">
        <f t="shared" si="20"/>
        <v>3500</v>
      </c>
      <c r="H397" s="79"/>
      <c r="I397" s="128" t="s">
        <v>334</v>
      </c>
    </row>
    <row r="398" spans="1:9" s="129" customFormat="1" ht="16.2" customHeight="1" x14ac:dyDescent="0.3">
      <c r="A398" s="123"/>
      <c r="B398" s="124" t="s">
        <v>322</v>
      </c>
      <c r="C398" s="125" t="s">
        <v>0</v>
      </c>
      <c r="D398" s="126">
        <v>16</v>
      </c>
      <c r="E398" s="33">
        <v>100</v>
      </c>
      <c r="F398" s="79"/>
      <c r="G398" s="79">
        <f t="shared" si="20"/>
        <v>1600</v>
      </c>
      <c r="H398" s="79"/>
      <c r="I398" s="128" t="s">
        <v>315</v>
      </c>
    </row>
    <row r="399" spans="1:9" s="129" customFormat="1" ht="16.2" customHeight="1" x14ac:dyDescent="0.3">
      <c r="A399" s="123"/>
      <c r="B399" s="124" t="s">
        <v>323</v>
      </c>
      <c r="C399" s="125" t="s">
        <v>0</v>
      </c>
      <c r="D399" s="126">
        <v>8</v>
      </c>
      <c r="E399" s="33">
        <v>100</v>
      </c>
      <c r="F399" s="79"/>
      <c r="G399" s="79">
        <f t="shared" si="20"/>
        <v>800</v>
      </c>
      <c r="H399" s="79"/>
      <c r="I399" s="128" t="s">
        <v>316</v>
      </c>
    </row>
    <row r="400" spans="1:9" s="129" customFormat="1" x14ac:dyDescent="0.3">
      <c r="A400" s="123"/>
      <c r="B400" s="124" t="s">
        <v>212</v>
      </c>
      <c r="C400" s="125" t="s">
        <v>157</v>
      </c>
      <c r="D400" s="126">
        <v>6</v>
      </c>
      <c r="E400" s="33">
        <v>100</v>
      </c>
      <c r="F400" s="79"/>
      <c r="G400" s="79">
        <f t="shared" si="20"/>
        <v>600</v>
      </c>
      <c r="H400" s="79"/>
      <c r="I400" s="128"/>
    </row>
    <row r="401" spans="1:9" s="129" customFormat="1" x14ac:dyDescent="0.3">
      <c r="A401" s="123">
        <v>148</v>
      </c>
      <c r="B401" s="124" t="s">
        <v>213</v>
      </c>
      <c r="C401" s="125" t="s">
        <v>1</v>
      </c>
      <c r="D401" s="126">
        <v>550</v>
      </c>
      <c r="E401" s="33">
        <v>100</v>
      </c>
      <c r="F401" s="79">
        <f t="shared" si="19"/>
        <v>55000</v>
      </c>
      <c r="G401" s="79"/>
      <c r="H401" s="79"/>
      <c r="I401" s="128"/>
    </row>
    <row r="402" spans="1:9" s="129" customFormat="1" ht="27.6" x14ac:dyDescent="0.3">
      <c r="A402" s="123">
        <v>149</v>
      </c>
      <c r="B402" s="124" t="s">
        <v>215</v>
      </c>
      <c r="C402" s="125" t="s">
        <v>0</v>
      </c>
      <c r="D402" s="126">
        <v>179</v>
      </c>
      <c r="E402" s="33">
        <v>100</v>
      </c>
      <c r="F402" s="79">
        <f t="shared" si="19"/>
        <v>17900</v>
      </c>
      <c r="G402" s="79"/>
      <c r="H402" s="79"/>
      <c r="I402" s="128"/>
    </row>
    <row r="403" spans="1:9" s="129" customFormat="1" x14ac:dyDescent="0.3">
      <c r="A403" s="123"/>
      <c r="B403" s="124" t="s">
        <v>216</v>
      </c>
      <c r="C403" s="125" t="s">
        <v>0</v>
      </c>
      <c r="D403" s="126">
        <f>D402</f>
        <v>179</v>
      </c>
      <c r="E403" s="33">
        <v>100</v>
      </c>
      <c r="F403" s="79"/>
      <c r="G403" s="79">
        <f t="shared" si="20"/>
        <v>17900</v>
      </c>
      <c r="H403" s="79"/>
      <c r="I403" s="128"/>
    </row>
    <row r="404" spans="1:9" s="129" customFormat="1" x14ac:dyDescent="0.3">
      <c r="A404" s="123"/>
      <c r="B404" s="124" t="s">
        <v>217</v>
      </c>
      <c r="C404" s="125" t="s">
        <v>0</v>
      </c>
      <c r="D404" s="126">
        <v>522</v>
      </c>
      <c r="E404" s="33">
        <v>100</v>
      </c>
      <c r="F404" s="79"/>
      <c r="G404" s="79">
        <f t="shared" si="20"/>
        <v>52200</v>
      </c>
      <c r="H404" s="79"/>
      <c r="I404" s="128"/>
    </row>
    <row r="405" spans="1:9" s="129" customFormat="1" ht="27.6" x14ac:dyDescent="0.3">
      <c r="A405" s="123"/>
      <c r="B405" s="124" t="s">
        <v>371</v>
      </c>
      <c r="C405" s="125" t="s">
        <v>0</v>
      </c>
      <c r="D405" s="126">
        <v>179</v>
      </c>
      <c r="E405" s="33">
        <v>100</v>
      </c>
      <c r="F405" s="79"/>
      <c r="G405" s="79">
        <f t="shared" si="20"/>
        <v>17900</v>
      </c>
      <c r="H405" s="79"/>
      <c r="I405" s="128"/>
    </row>
    <row r="406" spans="1:9" s="129" customFormat="1" x14ac:dyDescent="0.3">
      <c r="A406" s="123">
        <v>150</v>
      </c>
      <c r="B406" s="124" t="s">
        <v>218</v>
      </c>
      <c r="C406" s="125" t="s">
        <v>1</v>
      </c>
      <c r="D406" s="126">
        <v>35</v>
      </c>
      <c r="E406" s="33">
        <v>100</v>
      </c>
      <c r="F406" s="79">
        <f t="shared" si="19"/>
        <v>3500</v>
      </c>
      <c r="G406" s="79"/>
      <c r="H406" s="79"/>
      <c r="I406" s="128"/>
    </row>
    <row r="407" spans="1:9" s="129" customFormat="1" x14ac:dyDescent="0.3">
      <c r="A407" s="123"/>
      <c r="B407" s="124" t="s">
        <v>219</v>
      </c>
      <c r="C407" s="125" t="s">
        <v>1</v>
      </c>
      <c r="D407" s="126">
        <f>D406</f>
        <v>35</v>
      </c>
      <c r="E407" s="33">
        <v>100</v>
      </c>
      <c r="F407" s="79"/>
      <c r="G407" s="79">
        <f t="shared" si="20"/>
        <v>3500</v>
      </c>
      <c r="H407" s="79"/>
      <c r="I407" s="128"/>
    </row>
    <row r="408" spans="1:9" s="129" customFormat="1" x14ac:dyDescent="0.3">
      <c r="A408" s="123">
        <v>151</v>
      </c>
      <c r="B408" s="124" t="s">
        <v>220</v>
      </c>
      <c r="C408" s="125" t="s">
        <v>0</v>
      </c>
      <c r="D408" s="126">
        <v>51</v>
      </c>
      <c r="E408" s="33">
        <v>100</v>
      </c>
      <c r="F408" s="79">
        <f t="shared" si="19"/>
        <v>5100</v>
      </c>
      <c r="G408" s="79"/>
      <c r="H408" s="79"/>
      <c r="I408" s="128"/>
    </row>
    <row r="409" spans="1:9" s="129" customFormat="1" x14ac:dyDescent="0.3">
      <c r="A409" s="123"/>
      <c r="B409" s="124" t="s">
        <v>221</v>
      </c>
      <c r="C409" s="125" t="s">
        <v>0</v>
      </c>
      <c r="D409" s="126">
        <f>D408</f>
        <v>51</v>
      </c>
      <c r="E409" s="33">
        <v>100</v>
      </c>
      <c r="F409" s="79"/>
      <c r="G409" s="79">
        <f t="shared" si="20"/>
        <v>5100</v>
      </c>
      <c r="H409" s="79"/>
      <c r="I409" s="128"/>
    </row>
    <row r="410" spans="1:9" s="129" customFormat="1" x14ac:dyDescent="0.3">
      <c r="A410" s="123">
        <v>152</v>
      </c>
      <c r="B410" s="124" t="s">
        <v>222</v>
      </c>
      <c r="C410" s="125" t="s">
        <v>0</v>
      </c>
      <c r="D410" s="126">
        <v>27</v>
      </c>
      <c r="E410" s="33">
        <v>100</v>
      </c>
      <c r="F410" s="79">
        <f t="shared" si="19"/>
        <v>2700</v>
      </c>
      <c r="G410" s="79"/>
      <c r="H410" s="79"/>
      <c r="I410" s="128"/>
    </row>
    <row r="411" spans="1:9" s="129" customFormat="1" x14ac:dyDescent="0.3">
      <c r="A411" s="123"/>
      <c r="B411" s="124" t="s">
        <v>223</v>
      </c>
      <c r="C411" s="125" t="s">
        <v>0</v>
      </c>
      <c r="D411" s="126">
        <f>D410</f>
        <v>27</v>
      </c>
      <c r="E411" s="33">
        <v>100</v>
      </c>
      <c r="F411" s="79"/>
      <c r="G411" s="79">
        <f t="shared" si="20"/>
        <v>2700</v>
      </c>
      <c r="H411" s="79"/>
      <c r="I411" s="128"/>
    </row>
    <row r="412" spans="1:9" s="129" customFormat="1" ht="27.6" x14ac:dyDescent="0.3">
      <c r="A412" s="123"/>
      <c r="B412" s="124" t="s">
        <v>224</v>
      </c>
      <c r="C412" s="125" t="s">
        <v>0</v>
      </c>
      <c r="D412" s="126">
        <f>D410</f>
        <v>27</v>
      </c>
      <c r="E412" s="33">
        <v>100</v>
      </c>
      <c r="F412" s="79"/>
      <c r="G412" s="79">
        <f t="shared" si="20"/>
        <v>2700</v>
      </c>
      <c r="H412" s="79"/>
      <c r="I412" s="128"/>
    </row>
    <row r="413" spans="1:9" s="129" customFormat="1" ht="27.6" x14ac:dyDescent="0.3">
      <c r="A413" s="123">
        <v>153</v>
      </c>
      <c r="B413" s="124" t="s">
        <v>225</v>
      </c>
      <c r="C413" s="125" t="s">
        <v>0</v>
      </c>
      <c r="D413" s="126">
        <v>20</v>
      </c>
      <c r="E413" s="33">
        <v>100</v>
      </c>
      <c r="F413" s="79">
        <f t="shared" si="19"/>
        <v>2000</v>
      </c>
      <c r="G413" s="79"/>
      <c r="H413" s="79"/>
      <c r="I413" s="128"/>
    </row>
    <row r="414" spans="1:9" s="129" customFormat="1" x14ac:dyDescent="0.3">
      <c r="A414" s="123"/>
      <c r="B414" s="124" t="s">
        <v>226</v>
      </c>
      <c r="C414" s="125" t="s">
        <v>0</v>
      </c>
      <c r="D414" s="126">
        <f>D413</f>
        <v>20</v>
      </c>
      <c r="E414" s="33">
        <v>100</v>
      </c>
      <c r="F414" s="79"/>
      <c r="G414" s="79">
        <f t="shared" si="20"/>
        <v>2000</v>
      </c>
      <c r="H414" s="79"/>
      <c r="I414" s="128"/>
    </row>
    <row r="415" spans="1:9" s="129" customFormat="1" x14ac:dyDescent="0.3">
      <c r="A415" s="123">
        <v>154</v>
      </c>
      <c r="B415" s="124" t="s">
        <v>227</v>
      </c>
      <c r="C415" s="125" t="s">
        <v>0</v>
      </c>
      <c r="D415" s="126">
        <v>49</v>
      </c>
      <c r="E415" s="33">
        <v>100</v>
      </c>
      <c r="F415" s="79">
        <f t="shared" si="19"/>
        <v>4900</v>
      </c>
      <c r="G415" s="79"/>
      <c r="H415" s="79"/>
      <c r="I415" s="128"/>
    </row>
    <row r="416" spans="1:9" s="129" customFormat="1" x14ac:dyDescent="0.3">
      <c r="A416" s="123"/>
      <c r="B416" s="124" t="s">
        <v>228</v>
      </c>
      <c r="C416" s="125" t="s">
        <v>0</v>
      </c>
      <c r="D416" s="126">
        <f>D415</f>
        <v>49</v>
      </c>
      <c r="E416" s="33">
        <v>100</v>
      </c>
      <c r="F416" s="79"/>
      <c r="G416" s="79">
        <f t="shared" si="20"/>
        <v>4900</v>
      </c>
      <c r="H416" s="79"/>
      <c r="I416" s="128"/>
    </row>
    <row r="417" spans="1:9" s="129" customFormat="1" x14ac:dyDescent="0.3">
      <c r="A417" s="123"/>
      <c r="B417" s="124" t="s">
        <v>229</v>
      </c>
      <c r="C417" s="125" t="s">
        <v>0</v>
      </c>
      <c r="D417" s="126">
        <f>D415</f>
        <v>49</v>
      </c>
      <c r="E417" s="33">
        <v>100</v>
      </c>
      <c r="F417" s="79"/>
      <c r="G417" s="79">
        <f t="shared" si="20"/>
        <v>4900</v>
      </c>
      <c r="H417" s="79"/>
      <c r="I417" s="128"/>
    </row>
    <row r="418" spans="1:9" s="129" customFormat="1" x14ac:dyDescent="0.3">
      <c r="A418" s="123">
        <v>155</v>
      </c>
      <c r="B418" s="124" t="s">
        <v>227</v>
      </c>
      <c r="C418" s="125" t="s">
        <v>0</v>
      </c>
      <c r="D418" s="126">
        <v>27</v>
      </c>
      <c r="E418" s="33">
        <v>100</v>
      </c>
      <c r="F418" s="79">
        <f t="shared" si="19"/>
        <v>2700</v>
      </c>
      <c r="G418" s="79"/>
      <c r="H418" s="79"/>
      <c r="I418" s="128"/>
    </row>
    <row r="419" spans="1:9" s="129" customFormat="1" x14ac:dyDescent="0.3">
      <c r="A419" s="123"/>
      <c r="B419" s="124" t="s">
        <v>230</v>
      </c>
      <c r="C419" s="125" t="s">
        <v>0</v>
      </c>
      <c r="D419" s="126">
        <f>D418</f>
        <v>27</v>
      </c>
      <c r="E419" s="33">
        <v>100</v>
      </c>
      <c r="F419" s="79"/>
      <c r="G419" s="79">
        <f t="shared" si="20"/>
        <v>2700</v>
      </c>
      <c r="H419" s="79"/>
      <c r="I419" s="128"/>
    </row>
    <row r="420" spans="1:9" s="129" customFormat="1" x14ac:dyDescent="0.3">
      <c r="A420" s="123"/>
      <c r="B420" s="124" t="s">
        <v>231</v>
      </c>
      <c r="C420" s="125" t="s">
        <v>0</v>
      </c>
      <c r="D420" s="126">
        <f>D418</f>
        <v>27</v>
      </c>
      <c r="E420" s="33">
        <v>100</v>
      </c>
      <c r="F420" s="79"/>
      <c r="G420" s="79">
        <f t="shared" si="20"/>
        <v>2700</v>
      </c>
      <c r="H420" s="79"/>
      <c r="I420" s="128"/>
    </row>
    <row r="421" spans="1:9" s="129" customFormat="1" x14ac:dyDescent="0.3">
      <c r="A421" s="123"/>
      <c r="B421" s="124" t="s">
        <v>232</v>
      </c>
      <c r="C421" s="125" t="s">
        <v>0</v>
      </c>
      <c r="D421" s="126">
        <v>1</v>
      </c>
      <c r="E421" s="33">
        <v>100</v>
      </c>
      <c r="F421" s="79"/>
      <c r="G421" s="79">
        <f t="shared" si="20"/>
        <v>100</v>
      </c>
      <c r="H421" s="79"/>
      <c r="I421" s="128"/>
    </row>
    <row r="422" spans="1:9" s="129" customFormat="1" ht="27.6" x14ac:dyDescent="0.3">
      <c r="A422" s="123">
        <v>156</v>
      </c>
      <c r="B422" s="124" t="s">
        <v>233</v>
      </c>
      <c r="C422" s="125" t="s">
        <v>0</v>
      </c>
      <c r="D422" s="126">
        <v>13</v>
      </c>
      <c r="E422" s="33">
        <v>100</v>
      </c>
      <c r="F422" s="79">
        <f t="shared" si="19"/>
        <v>1300</v>
      </c>
      <c r="G422" s="79"/>
      <c r="H422" s="79"/>
      <c r="I422" s="128"/>
    </row>
    <row r="423" spans="1:9" s="129" customFormat="1" x14ac:dyDescent="0.3">
      <c r="A423" s="123"/>
      <c r="B423" s="124" t="s">
        <v>234</v>
      </c>
      <c r="C423" s="125" t="s">
        <v>0</v>
      </c>
      <c r="D423" s="126">
        <f>D422</f>
        <v>13</v>
      </c>
      <c r="E423" s="33">
        <v>100</v>
      </c>
      <c r="F423" s="79"/>
      <c r="G423" s="79">
        <f t="shared" si="20"/>
        <v>1300</v>
      </c>
      <c r="H423" s="79"/>
      <c r="I423" s="128"/>
    </row>
    <row r="424" spans="1:9" s="129" customFormat="1" ht="27.6" x14ac:dyDescent="0.3">
      <c r="A424" s="123">
        <v>157</v>
      </c>
      <c r="B424" s="124" t="s">
        <v>233</v>
      </c>
      <c r="C424" s="125" t="s">
        <v>0</v>
      </c>
      <c r="D424" s="126">
        <v>8</v>
      </c>
      <c r="E424" s="33">
        <v>100</v>
      </c>
      <c r="F424" s="79">
        <f t="shared" si="19"/>
        <v>800</v>
      </c>
      <c r="G424" s="79"/>
      <c r="H424" s="79"/>
      <c r="I424" s="128"/>
    </row>
    <row r="425" spans="1:9" s="129" customFormat="1" x14ac:dyDescent="0.3">
      <c r="A425" s="123"/>
      <c r="B425" s="124" t="s">
        <v>235</v>
      </c>
      <c r="C425" s="125" t="s">
        <v>0</v>
      </c>
      <c r="D425" s="126">
        <f>D424</f>
        <v>8</v>
      </c>
      <c r="E425" s="33">
        <v>100</v>
      </c>
      <c r="F425" s="79"/>
      <c r="G425" s="79">
        <f t="shared" si="20"/>
        <v>800</v>
      </c>
      <c r="H425" s="79"/>
      <c r="I425" s="128"/>
    </row>
    <row r="426" spans="1:9" s="129" customFormat="1" x14ac:dyDescent="0.3">
      <c r="A426" s="123">
        <v>158</v>
      </c>
      <c r="B426" s="124" t="s">
        <v>236</v>
      </c>
      <c r="C426" s="125" t="s">
        <v>0</v>
      </c>
      <c r="D426" s="126">
        <v>3</v>
      </c>
      <c r="E426" s="33">
        <v>100</v>
      </c>
      <c r="F426" s="79">
        <f t="shared" si="19"/>
        <v>300</v>
      </c>
      <c r="G426" s="79"/>
      <c r="H426" s="79"/>
      <c r="I426" s="128"/>
    </row>
    <row r="427" spans="1:9" s="129" customFormat="1" x14ac:dyDescent="0.3">
      <c r="A427" s="123"/>
      <c r="B427" s="124" t="s">
        <v>221</v>
      </c>
      <c r="C427" s="125" t="s">
        <v>0</v>
      </c>
      <c r="D427" s="126">
        <f>D426</f>
        <v>3</v>
      </c>
      <c r="E427" s="33">
        <v>100</v>
      </c>
      <c r="F427" s="79"/>
      <c r="G427" s="79">
        <f t="shared" si="20"/>
        <v>300</v>
      </c>
      <c r="H427" s="79"/>
      <c r="I427" s="128"/>
    </row>
    <row r="428" spans="1:9" s="129" customFormat="1" x14ac:dyDescent="0.3">
      <c r="A428" s="123">
        <v>159</v>
      </c>
      <c r="B428" s="124" t="s">
        <v>237</v>
      </c>
      <c r="C428" s="125" t="s">
        <v>0</v>
      </c>
      <c r="D428" s="126">
        <f>D427</f>
        <v>3</v>
      </c>
      <c r="E428" s="33">
        <v>100</v>
      </c>
      <c r="F428" s="79">
        <f t="shared" si="19"/>
        <v>300</v>
      </c>
      <c r="G428" s="79"/>
      <c r="H428" s="79"/>
      <c r="I428" s="128"/>
    </row>
    <row r="429" spans="1:9" s="129" customFormat="1" x14ac:dyDescent="0.3">
      <c r="A429" s="123"/>
      <c r="B429" s="124" t="s">
        <v>238</v>
      </c>
      <c r="C429" s="125" t="s">
        <v>0</v>
      </c>
      <c r="D429" s="126">
        <f>D428</f>
        <v>3</v>
      </c>
      <c r="E429" s="33">
        <v>100</v>
      </c>
      <c r="F429" s="79"/>
      <c r="G429" s="79">
        <f t="shared" si="20"/>
        <v>300</v>
      </c>
      <c r="H429" s="79"/>
      <c r="I429" s="128"/>
    </row>
    <row r="430" spans="1:9" s="129" customFormat="1" ht="27.6" x14ac:dyDescent="0.3">
      <c r="A430" s="123"/>
      <c r="B430" s="124" t="s">
        <v>224</v>
      </c>
      <c r="C430" s="125" t="s">
        <v>0</v>
      </c>
      <c r="D430" s="126">
        <f>D428</f>
        <v>3</v>
      </c>
      <c r="E430" s="33">
        <v>100</v>
      </c>
      <c r="F430" s="79"/>
      <c r="G430" s="79">
        <f t="shared" si="20"/>
        <v>300</v>
      </c>
      <c r="H430" s="79"/>
      <c r="I430" s="128"/>
    </row>
    <row r="431" spans="1:9" s="129" customFormat="1" x14ac:dyDescent="0.3">
      <c r="A431" s="123">
        <v>160</v>
      </c>
      <c r="B431" s="124" t="s">
        <v>241</v>
      </c>
      <c r="C431" s="125" t="s">
        <v>0</v>
      </c>
      <c r="D431" s="126">
        <v>2</v>
      </c>
      <c r="E431" s="33">
        <v>100</v>
      </c>
      <c r="F431" s="79">
        <f t="shared" si="19"/>
        <v>200</v>
      </c>
      <c r="G431" s="79"/>
      <c r="H431" s="79"/>
      <c r="I431" s="128"/>
    </row>
    <row r="432" spans="1:9" s="129" customFormat="1" x14ac:dyDescent="0.3">
      <c r="A432" s="123"/>
      <c r="B432" s="124" t="s">
        <v>240</v>
      </c>
      <c r="C432" s="125" t="s">
        <v>0</v>
      </c>
      <c r="D432" s="126">
        <f>D431</f>
        <v>2</v>
      </c>
      <c r="E432" s="33">
        <v>100</v>
      </c>
      <c r="F432" s="79"/>
      <c r="G432" s="79">
        <f t="shared" si="20"/>
        <v>200</v>
      </c>
      <c r="H432" s="79"/>
      <c r="I432" s="128"/>
    </row>
    <row r="433" spans="1:9" s="129" customFormat="1" x14ac:dyDescent="0.3">
      <c r="A433" s="123">
        <v>161</v>
      </c>
      <c r="B433" s="124" t="s">
        <v>239</v>
      </c>
      <c r="C433" s="125" t="s">
        <v>0</v>
      </c>
      <c r="D433" s="126">
        <v>6</v>
      </c>
      <c r="E433" s="33">
        <v>100</v>
      </c>
      <c r="F433" s="79">
        <f t="shared" si="19"/>
        <v>600</v>
      </c>
      <c r="G433" s="79"/>
      <c r="H433" s="79"/>
      <c r="I433" s="128"/>
    </row>
    <row r="434" spans="1:9" s="129" customFormat="1" x14ac:dyDescent="0.3">
      <c r="A434" s="123"/>
      <c r="B434" s="124" t="s">
        <v>242</v>
      </c>
      <c r="C434" s="125" t="s">
        <v>0</v>
      </c>
      <c r="D434" s="126">
        <f>D433</f>
        <v>6</v>
      </c>
      <c r="E434" s="33">
        <v>100</v>
      </c>
      <c r="F434" s="79"/>
      <c r="G434" s="79">
        <f t="shared" si="20"/>
        <v>600</v>
      </c>
      <c r="H434" s="79"/>
      <c r="I434" s="128"/>
    </row>
    <row r="435" spans="1:9" s="129" customFormat="1" x14ac:dyDescent="0.3">
      <c r="A435" s="123">
        <v>162</v>
      </c>
      <c r="B435" s="124" t="s">
        <v>243</v>
      </c>
      <c r="C435" s="125" t="s">
        <v>0</v>
      </c>
      <c r="D435" s="126">
        <v>1</v>
      </c>
      <c r="E435" s="33">
        <v>100</v>
      </c>
      <c r="F435" s="79">
        <f t="shared" si="19"/>
        <v>100</v>
      </c>
      <c r="G435" s="79"/>
      <c r="H435" s="79"/>
      <c r="I435" s="128"/>
    </row>
    <row r="436" spans="1:9" s="129" customFormat="1" x14ac:dyDescent="0.3">
      <c r="A436" s="123"/>
      <c r="B436" s="124" t="s">
        <v>244</v>
      </c>
      <c r="C436" s="125" t="s">
        <v>0</v>
      </c>
      <c r="D436" s="126">
        <f>D435</f>
        <v>1</v>
      </c>
      <c r="E436" s="33">
        <v>100</v>
      </c>
      <c r="F436" s="79"/>
      <c r="G436" s="79">
        <f t="shared" si="20"/>
        <v>100</v>
      </c>
      <c r="H436" s="79"/>
      <c r="I436" s="128"/>
    </row>
    <row r="437" spans="1:9" s="129" customFormat="1" x14ac:dyDescent="0.3">
      <c r="A437" s="123">
        <v>163</v>
      </c>
      <c r="B437" s="124" t="s">
        <v>245</v>
      </c>
      <c r="C437" s="125" t="s">
        <v>0</v>
      </c>
      <c r="D437" s="126">
        <v>1</v>
      </c>
      <c r="E437" s="33">
        <v>100</v>
      </c>
      <c r="F437" s="79">
        <f t="shared" si="19"/>
        <v>100</v>
      </c>
      <c r="G437" s="79"/>
      <c r="H437" s="79"/>
      <c r="I437" s="128"/>
    </row>
    <row r="438" spans="1:9" s="129" customFormat="1" x14ac:dyDescent="0.3">
      <c r="A438" s="123"/>
      <c r="B438" s="124" t="s">
        <v>246</v>
      </c>
      <c r="C438" s="125" t="s">
        <v>0</v>
      </c>
      <c r="D438" s="126">
        <f>D437</f>
        <v>1</v>
      </c>
      <c r="E438" s="33">
        <v>100</v>
      </c>
      <c r="F438" s="79"/>
      <c r="G438" s="79">
        <f t="shared" si="20"/>
        <v>100</v>
      </c>
      <c r="H438" s="79"/>
      <c r="I438" s="128"/>
    </row>
    <row r="439" spans="1:9" s="129" customFormat="1" x14ac:dyDescent="0.3">
      <c r="A439" s="123">
        <v>164</v>
      </c>
      <c r="B439" s="124" t="s">
        <v>248</v>
      </c>
      <c r="C439" s="125" t="s">
        <v>0</v>
      </c>
      <c r="D439" s="126">
        <v>1</v>
      </c>
      <c r="E439" s="33">
        <v>100</v>
      </c>
      <c r="F439" s="79">
        <f t="shared" si="19"/>
        <v>100</v>
      </c>
      <c r="G439" s="79"/>
      <c r="H439" s="79"/>
      <c r="I439" s="128"/>
    </row>
    <row r="440" spans="1:9" s="129" customFormat="1" x14ac:dyDescent="0.3">
      <c r="A440" s="123"/>
      <c r="B440" s="124" t="s">
        <v>221</v>
      </c>
      <c r="C440" s="125" t="s">
        <v>0</v>
      </c>
      <c r="D440" s="126">
        <f>D439</f>
        <v>1</v>
      </c>
      <c r="E440" s="33">
        <v>100</v>
      </c>
      <c r="F440" s="79"/>
      <c r="G440" s="79">
        <f t="shared" si="20"/>
        <v>100</v>
      </c>
      <c r="H440" s="79"/>
      <c r="I440" s="128"/>
    </row>
    <row r="441" spans="1:9" s="129" customFormat="1" x14ac:dyDescent="0.3">
      <c r="A441" s="123">
        <v>165</v>
      </c>
      <c r="B441" s="124" t="s">
        <v>247</v>
      </c>
      <c r="C441" s="125" t="s">
        <v>0</v>
      </c>
      <c r="D441" s="126">
        <v>1</v>
      </c>
      <c r="E441" s="33">
        <v>100</v>
      </c>
      <c r="F441" s="79">
        <f t="shared" si="19"/>
        <v>100</v>
      </c>
      <c r="G441" s="79"/>
      <c r="H441" s="79"/>
      <c r="I441" s="128"/>
    </row>
    <row r="442" spans="1:9" s="129" customFormat="1" x14ac:dyDescent="0.3">
      <c r="A442" s="123"/>
      <c r="B442" s="124" t="s">
        <v>249</v>
      </c>
      <c r="C442" s="125" t="s">
        <v>0</v>
      </c>
      <c r="D442" s="126">
        <f>D441</f>
        <v>1</v>
      </c>
      <c r="E442" s="33">
        <v>100</v>
      </c>
      <c r="F442" s="79"/>
      <c r="G442" s="79">
        <f t="shared" si="20"/>
        <v>100</v>
      </c>
      <c r="H442" s="79"/>
      <c r="I442" s="128"/>
    </row>
    <row r="443" spans="1:9" s="129" customFormat="1" x14ac:dyDescent="0.3">
      <c r="A443" s="123">
        <v>166</v>
      </c>
      <c r="B443" s="124" t="s">
        <v>250</v>
      </c>
      <c r="C443" s="125" t="s">
        <v>1</v>
      </c>
      <c r="D443" s="126">
        <v>60</v>
      </c>
      <c r="E443" s="33">
        <v>100</v>
      </c>
      <c r="F443" s="79">
        <f t="shared" si="19"/>
        <v>6000</v>
      </c>
      <c r="G443" s="79"/>
      <c r="H443" s="79"/>
      <c r="I443" s="128"/>
    </row>
    <row r="444" spans="1:9" s="129" customFormat="1" x14ac:dyDescent="0.3">
      <c r="A444" s="123"/>
      <c r="B444" s="124" t="s">
        <v>251</v>
      </c>
      <c r="C444" s="125" t="s">
        <v>1</v>
      </c>
      <c r="D444" s="126">
        <f>D443</f>
        <v>60</v>
      </c>
      <c r="E444" s="33">
        <v>100</v>
      </c>
      <c r="F444" s="79"/>
      <c r="G444" s="79">
        <f t="shared" si="20"/>
        <v>6000</v>
      </c>
      <c r="H444" s="79"/>
      <c r="I444" s="128"/>
    </row>
    <row r="445" spans="1:9" s="129" customFormat="1" x14ac:dyDescent="0.3">
      <c r="A445" s="123">
        <v>167</v>
      </c>
      <c r="B445" s="124" t="s">
        <v>252</v>
      </c>
      <c r="C445" s="125" t="s">
        <v>0</v>
      </c>
      <c r="D445" s="126">
        <v>2</v>
      </c>
      <c r="E445" s="33">
        <v>100</v>
      </c>
      <c r="F445" s="79">
        <f t="shared" si="19"/>
        <v>200</v>
      </c>
      <c r="G445" s="79"/>
      <c r="H445" s="79"/>
      <c r="I445" s="128"/>
    </row>
    <row r="446" spans="1:9" s="129" customFormat="1" x14ac:dyDescent="0.3">
      <c r="A446" s="123"/>
      <c r="B446" s="124" t="s">
        <v>253</v>
      </c>
      <c r="C446" s="125" t="s">
        <v>0</v>
      </c>
      <c r="D446" s="126">
        <f>D445</f>
        <v>2</v>
      </c>
      <c r="E446" s="33">
        <v>100</v>
      </c>
      <c r="F446" s="79"/>
      <c r="G446" s="79">
        <f t="shared" si="20"/>
        <v>200</v>
      </c>
      <c r="H446" s="79"/>
      <c r="I446" s="128"/>
    </row>
    <row r="447" spans="1:9" s="129" customFormat="1" x14ac:dyDescent="0.3">
      <c r="A447" s="123">
        <v>168</v>
      </c>
      <c r="B447" s="124" t="s">
        <v>254</v>
      </c>
      <c r="C447" s="125" t="s">
        <v>0</v>
      </c>
      <c r="D447" s="126">
        <v>1</v>
      </c>
      <c r="E447" s="33">
        <v>100</v>
      </c>
      <c r="F447" s="79">
        <f t="shared" ref="F447:F458" si="21">D447*E447</f>
        <v>100</v>
      </c>
      <c r="G447" s="79"/>
      <c r="H447" s="79"/>
      <c r="I447" s="128"/>
    </row>
    <row r="448" spans="1:9" s="129" customFormat="1" ht="55.2" x14ac:dyDescent="0.3">
      <c r="A448" s="123"/>
      <c r="B448" s="124" t="s">
        <v>255</v>
      </c>
      <c r="C448" s="125" t="s">
        <v>0</v>
      </c>
      <c r="D448" s="126">
        <f>D447</f>
        <v>1</v>
      </c>
      <c r="E448" s="33">
        <v>100</v>
      </c>
      <c r="F448" s="79"/>
      <c r="G448" s="79">
        <f t="shared" ref="G448:G459" si="22">D448*E448</f>
        <v>100</v>
      </c>
      <c r="H448" s="79"/>
      <c r="I448" s="128"/>
    </row>
    <row r="449" spans="1:9" s="129" customFormat="1" ht="27.6" x14ac:dyDescent="0.3">
      <c r="A449" s="123"/>
      <c r="B449" s="124" t="s">
        <v>256</v>
      </c>
      <c r="C449" s="125" t="s">
        <v>18</v>
      </c>
      <c r="D449" s="126">
        <v>1</v>
      </c>
      <c r="E449" s="33">
        <v>100</v>
      </c>
      <c r="F449" s="79"/>
      <c r="G449" s="79">
        <f t="shared" si="22"/>
        <v>100</v>
      </c>
      <c r="H449" s="79"/>
      <c r="I449" s="128"/>
    </row>
    <row r="450" spans="1:9" s="129" customFormat="1" x14ac:dyDescent="0.3">
      <c r="A450" s="123">
        <v>169</v>
      </c>
      <c r="B450" s="124" t="s">
        <v>257</v>
      </c>
      <c r="C450" s="125" t="s">
        <v>18</v>
      </c>
      <c r="D450" s="126">
        <v>1</v>
      </c>
      <c r="E450" s="33">
        <v>100</v>
      </c>
      <c r="F450" s="79">
        <f t="shared" si="21"/>
        <v>100</v>
      </c>
      <c r="G450" s="79"/>
      <c r="H450" s="79"/>
      <c r="I450" s="128"/>
    </row>
    <row r="451" spans="1:9" s="129" customFormat="1" ht="27.6" x14ac:dyDescent="0.3">
      <c r="A451" s="123">
        <v>170</v>
      </c>
      <c r="B451" s="124" t="s">
        <v>258</v>
      </c>
      <c r="C451" s="125" t="s">
        <v>18</v>
      </c>
      <c r="D451" s="126">
        <v>1</v>
      </c>
      <c r="E451" s="33">
        <v>100</v>
      </c>
      <c r="F451" s="79">
        <f t="shared" si="21"/>
        <v>100</v>
      </c>
      <c r="G451" s="79"/>
      <c r="H451" s="79"/>
      <c r="I451" s="128"/>
    </row>
    <row r="452" spans="1:9" s="103" customFormat="1" ht="15" customHeight="1" x14ac:dyDescent="0.3">
      <c r="A452" s="105"/>
      <c r="B452" s="106" t="s">
        <v>90</v>
      </c>
      <c r="C452" s="107"/>
      <c r="D452" s="108"/>
      <c r="E452" s="109"/>
      <c r="F452" s="110">
        <f>SUM(F386:F451)</f>
        <v>425700</v>
      </c>
      <c r="G452" s="110">
        <f>SUM(G386:G451)</f>
        <v>163800</v>
      </c>
      <c r="H452" s="79"/>
      <c r="I452" s="102"/>
    </row>
    <row r="453" spans="1:9" s="118" customFormat="1" ht="15" customHeight="1" x14ac:dyDescent="0.3">
      <c r="A453" s="111"/>
      <c r="B453" s="112" t="s">
        <v>89</v>
      </c>
      <c r="C453" s="113"/>
      <c r="D453" s="114"/>
      <c r="E453" s="115"/>
      <c r="F453" s="116"/>
      <c r="G453" s="116">
        <f>F452+G452</f>
        <v>589500</v>
      </c>
      <c r="H453" s="79"/>
      <c r="I453" s="117"/>
    </row>
    <row r="454" spans="1:9" s="32" customFormat="1" x14ac:dyDescent="0.3">
      <c r="A454" s="64"/>
      <c r="B454" s="60"/>
      <c r="C454" s="64"/>
      <c r="D454" s="89"/>
      <c r="F454" s="90"/>
      <c r="G454" s="90"/>
      <c r="H454" s="80"/>
      <c r="I454" s="50"/>
    </row>
    <row r="455" spans="1:9" s="129" customFormat="1" x14ac:dyDescent="0.3">
      <c r="A455" s="26">
        <v>9</v>
      </c>
      <c r="B455" s="27" t="s">
        <v>259</v>
      </c>
      <c r="C455" s="28" t="s">
        <v>353</v>
      </c>
      <c r="D455" s="29" t="s">
        <v>9</v>
      </c>
      <c r="E455" s="28" t="s">
        <v>337</v>
      </c>
      <c r="F455" s="94" t="s">
        <v>5</v>
      </c>
      <c r="G455" s="94" t="s">
        <v>6</v>
      </c>
      <c r="H455" s="94" t="s">
        <v>349</v>
      </c>
      <c r="I455" s="128"/>
    </row>
    <row r="456" spans="1:9" s="129" customFormat="1" ht="27.6" x14ac:dyDescent="0.3">
      <c r="A456" s="123">
        <v>171</v>
      </c>
      <c r="B456" s="124" t="s">
        <v>260</v>
      </c>
      <c r="C456" s="125" t="s">
        <v>4</v>
      </c>
      <c r="D456" s="126">
        <v>50</v>
      </c>
      <c r="E456" s="122">
        <v>100</v>
      </c>
      <c r="F456" s="79">
        <f t="shared" si="21"/>
        <v>5000</v>
      </c>
      <c r="G456" s="79"/>
      <c r="H456" s="181"/>
      <c r="I456" s="128"/>
    </row>
    <row r="457" spans="1:9" s="129" customFormat="1" x14ac:dyDescent="0.3">
      <c r="A457" s="123"/>
      <c r="B457" s="124" t="s">
        <v>261</v>
      </c>
      <c r="C457" s="125" t="s">
        <v>4</v>
      </c>
      <c r="D457" s="126">
        <f>D456/0.86</f>
        <v>58.139534883720934</v>
      </c>
      <c r="E457" s="122">
        <v>100</v>
      </c>
      <c r="F457" s="79"/>
      <c r="G457" s="79">
        <f t="shared" si="22"/>
        <v>5813.9534883720935</v>
      </c>
      <c r="H457" s="181"/>
      <c r="I457" s="128"/>
    </row>
    <row r="458" spans="1:9" s="129" customFormat="1" ht="31.2" customHeight="1" x14ac:dyDescent="0.3">
      <c r="A458" s="123">
        <v>172</v>
      </c>
      <c r="B458" s="124" t="s">
        <v>354</v>
      </c>
      <c r="C458" s="125" t="s">
        <v>2</v>
      </c>
      <c r="D458" s="126">
        <v>226</v>
      </c>
      <c r="E458" s="122">
        <v>100</v>
      </c>
      <c r="F458" s="79">
        <f t="shared" si="21"/>
        <v>22600</v>
      </c>
      <c r="G458" s="79"/>
      <c r="H458" s="181"/>
      <c r="I458" s="128"/>
    </row>
    <row r="459" spans="1:9" s="32" customFormat="1" x14ac:dyDescent="0.3">
      <c r="A459" s="77"/>
      <c r="B459" s="51" t="s">
        <v>262</v>
      </c>
      <c r="C459" s="125" t="s">
        <v>2</v>
      </c>
      <c r="D459" s="34">
        <f>D458*1.05</f>
        <v>237.3</v>
      </c>
      <c r="E459" s="122">
        <v>100</v>
      </c>
      <c r="F459" s="79"/>
      <c r="G459" s="79">
        <f t="shared" si="22"/>
        <v>23730</v>
      </c>
      <c r="H459" s="181"/>
      <c r="I459" s="50"/>
    </row>
    <row r="460" spans="1:9" s="129" customFormat="1" ht="15.6" customHeight="1" x14ac:dyDescent="0.3">
      <c r="A460" s="123">
        <v>173</v>
      </c>
      <c r="B460" s="124" t="s">
        <v>364</v>
      </c>
      <c r="C460" s="125" t="s">
        <v>1</v>
      </c>
      <c r="D460" s="126">
        <v>226</v>
      </c>
      <c r="E460" s="122">
        <v>100</v>
      </c>
      <c r="F460" s="79">
        <f t="shared" ref="F460" si="23">D460*E460</f>
        <v>22600</v>
      </c>
      <c r="G460" s="79"/>
      <c r="H460" s="181"/>
      <c r="I460" s="128"/>
    </row>
    <row r="461" spans="1:9" s="103" customFormat="1" ht="16.2" customHeight="1" x14ac:dyDescent="0.3">
      <c r="A461" s="105"/>
      <c r="B461" s="106" t="s">
        <v>90</v>
      </c>
      <c r="C461" s="107"/>
      <c r="D461" s="108"/>
      <c r="E461" s="109"/>
      <c r="F461" s="110">
        <f>SUM(F456:F459)</f>
        <v>27600</v>
      </c>
      <c r="G461" s="110">
        <f>SUM(G456:G459)</f>
        <v>29543.953488372092</v>
      </c>
      <c r="H461" s="181"/>
      <c r="I461" s="102"/>
    </row>
    <row r="462" spans="1:9" s="118" customFormat="1" ht="16.2" customHeight="1" x14ac:dyDescent="0.3">
      <c r="A462" s="111"/>
      <c r="B462" s="112" t="s">
        <v>89</v>
      </c>
      <c r="C462" s="113"/>
      <c r="D462" s="114"/>
      <c r="E462" s="115"/>
      <c r="F462" s="116"/>
      <c r="G462" s="116">
        <f>F461+G461</f>
        <v>57143.953488372092</v>
      </c>
      <c r="H462" s="181"/>
      <c r="I462" s="117"/>
    </row>
    <row r="463" spans="1:9" s="32" customFormat="1" x14ac:dyDescent="0.3">
      <c r="A463" s="64"/>
      <c r="B463" s="60"/>
      <c r="C463" s="64"/>
      <c r="D463" s="89"/>
      <c r="F463" s="90"/>
      <c r="G463" s="90"/>
      <c r="H463" s="80"/>
      <c r="I463" s="50"/>
    </row>
    <row r="464" spans="1:9" s="129" customFormat="1" x14ac:dyDescent="0.3">
      <c r="A464" s="26">
        <v>10</v>
      </c>
      <c r="B464" s="27" t="s">
        <v>263</v>
      </c>
      <c r="C464" s="28" t="s">
        <v>353</v>
      </c>
      <c r="D464" s="29" t="s">
        <v>9</v>
      </c>
      <c r="E464" s="28" t="s">
        <v>337</v>
      </c>
      <c r="F464" s="94" t="s">
        <v>5</v>
      </c>
      <c r="G464" s="94" t="s">
        <v>6</v>
      </c>
      <c r="H464" s="94" t="s">
        <v>349</v>
      </c>
      <c r="I464" s="128"/>
    </row>
    <row r="465" spans="1:9" s="32" customFormat="1" x14ac:dyDescent="0.3">
      <c r="A465" s="77">
        <v>174</v>
      </c>
      <c r="B465" s="51" t="s">
        <v>359</v>
      </c>
      <c r="C465" s="59" t="s">
        <v>1</v>
      </c>
      <c r="D465" s="34">
        <v>46.3</v>
      </c>
      <c r="E465" s="33">
        <v>100</v>
      </c>
      <c r="F465" s="79">
        <f>D465*E465</f>
        <v>4630</v>
      </c>
      <c r="G465" s="79"/>
      <c r="H465" s="181"/>
      <c r="I465" s="50"/>
    </row>
    <row r="466" spans="1:9" s="32" customFormat="1" x14ac:dyDescent="0.3">
      <c r="A466" s="77"/>
      <c r="B466" s="51" t="s">
        <v>360</v>
      </c>
      <c r="C466" s="59" t="s">
        <v>1</v>
      </c>
      <c r="D466" s="34">
        <v>46.3</v>
      </c>
      <c r="E466" s="33">
        <v>100</v>
      </c>
      <c r="F466" s="79"/>
      <c r="G466" s="79">
        <f>E466*D466</f>
        <v>4630</v>
      </c>
      <c r="H466" s="181"/>
      <c r="I466" s="50"/>
    </row>
    <row r="467" spans="1:9" s="103" customFormat="1" ht="15.6" customHeight="1" x14ac:dyDescent="0.3">
      <c r="A467" s="105"/>
      <c r="B467" s="106" t="s">
        <v>90</v>
      </c>
      <c r="C467" s="107"/>
      <c r="D467" s="108"/>
      <c r="E467" s="109"/>
      <c r="F467" s="110">
        <f>SUM(F465:F466)</f>
        <v>4630</v>
      </c>
      <c r="G467" s="110">
        <f>SUM(G465:G466)</f>
        <v>4630</v>
      </c>
      <c r="H467" s="181"/>
      <c r="I467" s="102"/>
    </row>
    <row r="468" spans="1:9" s="118" customFormat="1" ht="15.6" customHeight="1" x14ac:dyDescent="0.3">
      <c r="A468" s="111"/>
      <c r="B468" s="112" t="s">
        <v>89</v>
      </c>
      <c r="C468" s="113"/>
      <c r="D468" s="114"/>
      <c r="E468" s="115"/>
      <c r="F468" s="116"/>
      <c r="G468" s="116">
        <f>F467+G467</f>
        <v>9260</v>
      </c>
      <c r="H468" s="181"/>
      <c r="I468" s="117"/>
    </row>
    <row r="469" spans="1:9" s="32" customFormat="1" x14ac:dyDescent="0.3">
      <c r="A469" s="64"/>
      <c r="B469" s="143"/>
      <c r="C469" s="64"/>
      <c r="D469" s="89"/>
      <c r="F469" s="90"/>
      <c r="G469" s="92"/>
      <c r="H469" s="93"/>
      <c r="I469" s="50"/>
    </row>
    <row r="470" spans="1:9" s="129" customFormat="1" x14ac:dyDescent="0.3">
      <c r="A470" s="144">
        <v>11</v>
      </c>
      <c r="B470" s="145" t="s">
        <v>264</v>
      </c>
      <c r="C470" s="28" t="s">
        <v>353</v>
      </c>
      <c r="D470" s="29" t="s">
        <v>9</v>
      </c>
      <c r="E470" s="28" t="s">
        <v>337</v>
      </c>
      <c r="F470" s="94" t="s">
        <v>5</v>
      </c>
      <c r="G470" s="94" t="s">
        <v>6</v>
      </c>
      <c r="H470" s="94" t="s">
        <v>349</v>
      </c>
      <c r="I470" s="128"/>
    </row>
    <row r="471" spans="1:9" s="32" customFormat="1" x14ac:dyDescent="0.3">
      <c r="A471" s="77">
        <v>175</v>
      </c>
      <c r="B471" s="51" t="s">
        <v>265</v>
      </c>
      <c r="C471" s="59" t="s">
        <v>18</v>
      </c>
      <c r="D471" s="146">
        <v>1</v>
      </c>
      <c r="E471" s="33">
        <v>100</v>
      </c>
      <c r="F471" s="79">
        <f>D471*E471</f>
        <v>100</v>
      </c>
      <c r="G471" s="79"/>
      <c r="H471" s="181"/>
      <c r="I471" s="50"/>
    </row>
    <row r="472" spans="1:9" s="32" customFormat="1" x14ac:dyDescent="0.3">
      <c r="A472" s="77"/>
      <c r="B472" s="51" t="s">
        <v>358</v>
      </c>
      <c r="C472" s="59" t="s">
        <v>18</v>
      </c>
      <c r="D472" s="146">
        <v>1</v>
      </c>
      <c r="E472" s="33">
        <v>100</v>
      </c>
      <c r="F472" s="79"/>
      <c r="G472" s="79">
        <f>D472*E472</f>
        <v>100</v>
      </c>
      <c r="H472" s="181"/>
      <c r="I472" s="50"/>
    </row>
    <row r="473" spans="1:9" s="103" customFormat="1" x14ac:dyDescent="0.3">
      <c r="A473" s="105"/>
      <c r="B473" s="106" t="s">
        <v>90</v>
      </c>
      <c r="C473" s="107"/>
      <c r="D473" s="147"/>
      <c r="E473" s="109"/>
      <c r="F473" s="110">
        <f>SUM(F471:F472)</f>
        <v>100</v>
      </c>
      <c r="G473" s="110">
        <f>SUM(G471:G472)</f>
        <v>100</v>
      </c>
      <c r="H473" s="181"/>
      <c r="I473" s="102"/>
    </row>
    <row r="474" spans="1:9" s="118" customFormat="1" ht="18" customHeight="1" x14ac:dyDescent="0.3">
      <c r="A474" s="111"/>
      <c r="B474" s="112" t="s">
        <v>89</v>
      </c>
      <c r="C474" s="113"/>
      <c r="D474" s="148"/>
      <c r="E474" s="115"/>
      <c r="F474" s="116"/>
      <c r="G474" s="116">
        <f>F473+G473</f>
        <v>200</v>
      </c>
      <c r="H474" s="181"/>
      <c r="I474" s="117"/>
    </row>
    <row r="475" spans="1:9" s="32" customFormat="1" x14ac:dyDescent="0.3">
      <c r="A475" s="64"/>
      <c r="B475" s="143"/>
      <c r="C475" s="64"/>
      <c r="D475" s="89"/>
      <c r="F475" s="90"/>
      <c r="G475" s="92"/>
      <c r="H475" s="93"/>
      <c r="I475" s="50"/>
    </row>
    <row r="476" spans="1:9" s="129" customFormat="1" x14ac:dyDescent="0.3">
      <c r="A476" s="144">
        <v>12</v>
      </c>
      <c r="B476" s="145" t="s">
        <v>32</v>
      </c>
      <c r="C476" s="28" t="s">
        <v>353</v>
      </c>
      <c r="D476" s="149" t="s">
        <v>9</v>
      </c>
      <c r="E476" s="28" t="s">
        <v>337</v>
      </c>
      <c r="F476" s="94" t="s">
        <v>5</v>
      </c>
      <c r="G476" s="94" t="s">
        <v>6</v>
      </c>
      <c r="H476" s="94" t="s">
        <v>349</v>
      </c>
      <c r="I476" s="128"/>
    </row>
    <row r="477" spans="1:9" s="32" customFormat="1" x14ac:dyDescent="0.3">
      <c r="A477" s="77">
        <v>176</v>
      </c>
      <c r="B477" s="51" t="s">
        <v>356</v>
      </c>
      <c r="C477" s="59" t="s">
        <v>18</v>
      </c>
      <c r="D477" s="146">
        <v>1</v>
      </c>
      <c r="E477" s="33">
        <v>100</v>
      </c>
      <c r="F477" s="79">
        <f>D477*E477</f>
        <v>100</v>
      </c>
      <c r="G477" s="79"/>
      <c r="H477" s="181"/>
      <c r="I477" s="50"/>
    </row>
    <row r="478" spans="1:9" s="32" customFormat="1" x14ac:dyDescent="0.3">
      <c r="A478" s="77"/>
      <c r="B478" s="51" t="s">
        <v>355</v>
      </c>
      <c r="C478" s="59" t="s">
        <v>18</v>
      </c>
      <c r="D478" s="146">
        <v>1</v>
      </c>
      <c r="E478" s="33">
        <v>100</v>
      </c>
      <c r="F478" s="79"/>
      <c r="G478" s="79">
        <v>100</v>
      </c>
      <c r="H478" s="181"/>
      <c r="I478" s="50"/>
    </row>
    <row r="479" spans="1:9" s="103" customFormat="1" x14ac:dyDescent="0.3">
      <c r="A479" s="105"/>
      <c r="B479" s="106" t="s">
        <v>90</v>
      </c>
      <c r="C479" s="107"/>
      <c r="D479" s="147"/>
      <c r="E479" s="109"/>
      <c r="F479" s="110">
        <f>SUM(F477:F478)</f>
        <v>100</v>
      </c>
      <c r="G479" s="110">
        <f>SUM(G477:G478)</f>
        <v>100</v>
      </c>
      <c r="H479" s="181"/>
      <c r="I479" s="102"/>
    </row>
    <row r="480" spans="1:9" s="118" customFormat="1" ht="18" customHeight="1" x14ac:dyDescent="0.3">
      <c r="A480" s="111"/>
      <c r="B480" s="112" t="s">
        <v>89</v>
      </c>
      <c r="C480" s="113"/>
      <c r="D480" s="148"/>
      <c r="E480" s="115"/>
      <c r="F480" s="116"/>
      <c r="G480" s="116">
        <f>F479+G479</f>
        <v>200</v>
      </c>
      <c r="H480" s="181"/>
      <c r="I480" s="117"/>
    </row>
    <row r="481" spans="1:9" s="32" customFormat="1" x14ac:dyDescent="0.3">
      <c r="A481" s="64"/>
      <c r="B481" s="143"/>
      <c r="C481" s="64"/>
      <c r="D481" s="150"/>
      <c r="F481" s="90"/>
      <c r="G481" s="92"/>
      <c r="H481" s="93"/>
      <c r="I481" s="50"/>
    </row>
    <row r="482" spans="1:9" s="129" customFormat="1" x14ac:dyDescent="0.3">
      <c r="A482" s="144">
        <v>13</v>
      </c>
      <c r="B482" s="145" t="s">
        <v>266</v>
      </c>
      <c r="C482" s="28" t="s">
        <v>353</v>
      </c>
      <c r="D482" s="149" t="s">
        <v>9</v>
      </c>
      <c r="E482" s="28" t="s">
        <v>337</v>
      </c>
      <c r="F482" s="94" t="s">
        <v>5</v>
      </c>
      <c r="G482" s="94" t="s">
        <v>6</v>
      </c>
      <c r="H482" s="94" t="s">
        <v>349</v>
      </c>
      <c r="I482" s="128"/>
    </row>
    <row r="483" spans="1:9" s="32" customFormat="1" ht="15" customHeight="1" x14ac:dyDescent="0.3">
      <c r="A483" s="77">
        <v>177</v>
      </c>
      <c r="B483" s="51" t="s">
        <v>361</v>
      </c>
      <c r="C483" s="59" t="s">
        <v>18</v>
      </c>
      <c r="D483" s="146">
        <v>1</v>
      </c>
      <c r="E483" s="33">
        <v>100</v>
      </c>
      <c r="F483" s="79">
        <f>D483*E483</f>
        <v>100</v>
      </c>
      <c r="G483" s="79"/>
      <c r="H483" s="181"/>
      <c r="I483" s="50"/>
    </row>
    <row r="484" spans="1:9" s="32" customFormat="1" ht="15" customHeight="1" x14ac:dyDescent="0.3">
      <c r="A484" s="77"/>
      <c r="B484" s="51" t="s">
        <v>357</v>
      </c>
      <c r="C484" s="59" t="s">
        <v>18</v>
      </c>
      <c r="D484" s="146">
        <v>1</v>
      </c>
      <c r="E484" s="33">
        <v>100</v>
      </c>
      <c r="F484" s="79"/>
      <c r="G484" s="79">
        <f>D484*E484</f>
        <v>100</v>
      </c>
      <c r="H484" s="181"/>
      <c r="I484" s="50"/>
    </row>
    <row r="485" spans="1:9" s="103" customFormat="1" ht="15" customHeight="1" x14ac:dyDescent="0.3">
      <c r="A485" s="105"/>
      <c r="B485" s="106" t="s">
        <v>90</v>
      </c>
      <c r="C485" s="107"/>
      <c r="D485" s="147"/>
      <c r="E485" s="109"/>
      <c r="F485" s="110">
        <f>SUM(F483:F484)</f>
        <v>100</v>
      </c>
      <c r="G485" s="110">
        <f>SUM(G483:G484)</f>
        <v>100</v>
      </c>
      <c r="H485" s="181"/>
      <c r="I485" s="102"/>
    </row>
    <row r="486" spans="1:9" s="118" customFormat="1" ht="15" customHeight="1" x14ac:dyDescent="0.3">
      <c r="A486" s="111"/>
      <c r="B486" s="112" t="s">
        <v>89</v>
      </c>
      <c r="C486" s="113"/>
      <c r="D486" s="114"/>
      <c r="E486" s="115"/>
      <c r="F486" s="116"/>
      <c r="G486" s="116">
        <f>F485+G485</f>
        <v>200</v>
      </c>
      <c r="H486" s="181"/>
      <c r="I486" s="117"/>
    </row>
    <row r="487" spans="1:9" s="155" customFormat="1" ht="7.2" customHeight="1" x14ac:dyDescent="0.3">
      <c r="A487" s="151"/>
      <c r="B487" s="152"/>
      <c r="C487" s="153"/>
      <c r="D487" s="154"/>
      <c r="F487" s="156"/>
      <c r="G487" s="157"/>
      <c r="H487" s="158"/>
      <c r="I487" s="159"/>
    </row>
    <row r="488" spans="1:9" s="155" customFormat="1" ht="16.8" customHeight="1" x14ac:dyDescent="0.3">
      <c r="A488" s="151"/>
      <c r="B488" s="158" t="s">
        <v>342</v>
      </c>
      <c r="C488" s="153"/>
      <c r="D488" s="154"/>
      <c r="F488" s="156"/>
      <c r="G488" s="157">
        <f>G486+G480+G474+G468+G462+G453+G383+G342+G322+G209+G176+G90+G60</f>
        <v>2413501.1198107083</v>
      </c>
      <c r="H488" s="158"/>
      <c r="I488" s="159"/>
    </row>
    <row r="489" spans="1:9" s="32" customFormat="1" x14ac:dyDescent="0.3">
      <c r="A489" s="64"/>
      <c r="B489" s="143"/>
      <c r="C489" s="64"/>
      <c r="D489" s="89"/>
      <c r="F489" s="90"/>
      <c r="G489" s="92"/>
      <c r="H489" s="93"/>
      <c r="I489" s="50"/>
    </row>
    <row r="490" spans="1:9" s="129" customFormat="1" x14ac:dyDescent="0.3">
      <c r="A490" s="26">
        <v>14</v>
      </c>
      <c r="B490" s="27" t="s">
        <v>347</v>
      </c>
      <c r="C490" s="28" t="s">
        <v>353</v>
      </c>
      <c r="D490" s="29" t="s">
        <v>9</v>
      </c>
      <c r="E490" s="28" t="s">
        <v>337</v>
      </c>
      <c r="F490" s="94" t="s">
        <v>5</v>
      </c>
      <c r="G490" s="94" t="s">
        <v>6</v>
      </c>
      <c r="H490" s="94" t="s">
        <v>349</v>
      </c>
      <c r="I490" s="128"/>
    </row>
    <row r="491" spans="1:9" s="129" customFormat="1" ht="14.4" customHeight="1" x14ac:dyDescent="0.3">
      <c r="A491" s="123">
        <v>178</v>
      </c>
      <c r="B491" s="124" t="s">
        <v>348</v>
      </c>
      <c r="C491" s="125" t="s">
        <v>4</v>
      </c>
      <c r="D491" s="126">
        <f>D46+D50</f>
        <v>213</v>
      </c>
      <c r="E491" s="122">
        <v>100</v>
      </c>
      <c r="F491" s="127">
        <f>D491*E491</f>
        <v>21300</v>
      </c>
      <c r="G491" s="127"/>
      <c r="H491" s="181"/>
      <c r="I491" s="128"/>
    </row>
    <row r="492" spans="1:9" s="129" customFormat="1" ht="14.4" customHeight="1" x14ac:dyDescent="0.3">
      <c r="A492" s="123">
        <v>179</v>
      </c>
      <c r="B492" s="124" t="s">
        <v>17</v>
      </c>
      <c r="C492" s="125" t="s">
        <v>4</v>
      </c>
      <c r="D492" s="126">
        <f>D491</f>
        <v>213</v>
      </c>
      <c r="E492" s="122">
        <v>100</v>
      </c>
      <c r="F492" s="127">
        <f>D492*E492</f>
        <v>21300</v>
      </c>
      <c r="G492" s="127"/>
      <c r="H492" s="181"/>
      <c r="I492" s="128"/>
    </row>
    <row r="493" spans="1:9" s="138" customFormat="1" ht="14.4" customHeight="1" x14ac:dyDescent="0.3">
      <c r="A493" s="160"/>
      <c r="B493" s="106" t="s">
        <v>90</v>
      </c>
      <c r="C493" s="161"/>
      <c r="D493" s="162"/>
      <c r="E493" s="163"/>
      <c r="F493" s="164">
        <f>SUM(F491:F492)</f>
        <v>42600</v>
      </c>
      <c r="G493" s="164"/>
      <c r="H493" s="181"/>
      <c r="I493" s="137"/>
    </row>
    <row r="494" spans="1:9" s="155" customFormat="1" ht="14.4" customHeight="1" x14ac:dyDescent="0.3">
      <c r="A494" s="151"/>
      <c r="B494" s="152"/>
      <c r="C494" s="153"/>
      <c r="D494" s="154"/>
      <c r="F494" s="165" t="s">
        <v>89</v>
      </c>
      <c r="G494" s="166">
        <f>F493+G493</f>
        <v>42600</v>
      </c>
      <c r="H494" s="158"/>
      <c r="I494" s="159"/>
    </row>
    <row r="495" spans="1:9" s="129" customFormat="1" x14ac:dyDescent="0.3">
      <c r="A495" s="167"/>
      <c r="B495" s="168"/>
      <c r="C495" s="169"/>
      <c r="D495" s="170"/>
      <c r="F495" s="171"/>
      <c r="G495" s="172"/>
      <c r="H495" s="31"/>
      <c r="I495" s="128"/>
    </row>
    <row r="496" spans="1:9" s="32" customFormat="1" x14ac:dyDescent="0.3">
      <c r="A496" s="26">
        <v>15</v>
      </c>
      <c r="B496" s="27" t="s">
        <v>15</v>
      </c>
      <c r="C496" s="28" t="s">
        <v>353</v>
      </c>
      <c r="D496" s="29" t="s">
        <v>9</v>
      </c>
      <c r="E496" s="30"/>
      <c r="F496" s="56"/>
      <c r="G496" s="56" t="s">
        <v>8</v>
      </c>
      <c r="H496" s="94" t="s">
        <v>349</v>
      </c>
      <c r="I496" s="50"/>
    </row>
    <row r="497" spans="1:10" s="32" customFormat="1" ht="29.4" customHeight="1" x14ac:dyDescent="0.3">
      <c r="A497" s="77">
        <v>1</v>
      </c>
      <c r="B497" s="51" t="s">
        <v>11</v>
      </c>
      <c r="C497" s="59" t="s">
        <v>336</v>
      </c>
      <c r="D497" s="34">
        <v>6</v>
      </c>
      <c r="E497" s="33"/>
      <c r="F497" s="173"/>
      <c r="G497" s="79">
        <f>D497*$G$488/100</f>
        <v>144810.06718864251</v>
      </c>
      <c r="H497" s="181"/>
      <c r="I497" s="50"/>
    </row>
    <row r="498" spans="1:10" s="32" customFormat="1" ht="14.4" customHeight="1" x14ac:dyDescent="0.3">
      <c r="A498" s="77">
        <v>2</v>
      </c>
      <c r="B498" s="52" t="s">
        <v>14</v>
      </c>
      <c r="C498" s="59" t="s">
        <v>336</v>
      </c>
      <c r="D498" s="34">
        <v>2</v>
      </c>
      <c r="E498" s="35"/>
      <c r="F498" s="174"/>
      <c r="G498" s="79">
        <f t="shared" ref="G498:G500" si="24">D498*$G$488/100</f>
        <v>48270.022396214168</v>
      </c>
      <c r="H498" s="181"/>
      <c r="I498" s="50"/>
    </row>
    <row r="499" spans="1:10" s="32" customFormat="1" ht="27.6" customHeight="1" x14ac:dyDescent="0.3">
      <c r="A499" s="77">
        <v>3</v>
      </c>
      <c r="B499" s="52" t="s">
        <v>7</v>
      </c>
      <c r="C499" s="59" t="s">
        <v>336</v>
      </c>
      <c r="D499" s="34">
        <v>10</v>
      </c>
      <c r="E499" s="35"/>
      <c r="F499" s="174"/>
      <c r="G499" s="79">
        <f t="shared" si="24"/>
        <v>241350.11198107083</v>
      </c>
      <c r="H499" s="181"/>
      <c r="I499" s="50"/>
    </row>
    <row r="500" spans="1:10" s="32" customFormat="1" ht="14.4" customHeight="1" x14ac:dyDescent="0.3">
      <c r="A500" s="77">
        <v>4</v>
      </c>
      <c r="B500" s="52" t="s">
        <v>20</v>
      </c>
      <c r="C500" s="59" t="s">
        <v>336</v>
      </c>
      <c r="D500" s="34">
        <v>5</v>
      </c>
      <c r="E500" s="35"/>
      <c r="F500" s="174"/>
      <c r="G500" s="79">
        <f t="shared" si="24"/>
        <v>120675.05599053542</v>
      </c>
      <c r="H500" s="181"/>
      <c r="I500" s="50"/>
    </row>
    <row r="501" spans="1:10" s="32" customFormat="1" ht="14.4" customHeight="1" x14ac:dyDescent="0.3">
      <c r="A501" s="77">
        <v>5</v>
      </c>
      <c r="B501" s="52" t="s">
        <v>13</v>
      </c>
      <c r="C501" s="35"/>
      <c r="D501" s="34"/>
      <c r="E501" s="35"/>
      <c r="F501" s="58"/>
      <c r="G501" s="79">
        <v>100</v>
      </c>
      <c r="H501" s="181"/>
      <c r="I501" s="50"/>
    </row>
    <row r="502" spans="1:10" s="155" customFormat="1" ht="16.2" x14ac:dyDescent="0.3">
      <c r="A502" s="151"/>
      <c r="B502" s="152"/>
      <c r="C502" s="153"/>
      <c r="D502" s="154"/>
      <c r="F502" s="175" t="s">
        <v>89</v>
      </c>
      <c r="G502" s="166">
        <f>SUM(G497:G501)</f>
        <v>555205.25755646289</v>
      </c>
      <c r="H502" s="158"/>
      <c r="I502" s="159"/>
    </row>
    <row r="503" spans="1:10" s="32" customFormat="1" ht="12.75" customHeight="1" x14ac:dyDescent="0.3">
      <c r="A503" s="91"/>
      <c r="B503" s="23"/>
      <c r="C503" s="24"/>
      <c r="D503" s="25"/>
      <c r="E503" s="23"/>
      <c r="F503" s="57"/>
      <c r="G503" s="90"/>
      <c r="H503" s="93"/>
      <c r="I503" s="50"/>
      <c r="J503" s="32" t="s">
        <v>16</v>
      </c>
    </row>
    <row r="504" spans="1:10" s="178" customFormat="1" ht="17.399999999999999" x14ac:dyDescent="0.3">
      <c r="A504" s="176"/>
      <c r="B504" s="68" t="s">
        <v>343</v>
      </c>
      <c r="C504" s="176"/>
      <c r="D504" s="177"/>
      <c r="F504" s="179"/>
      <c r="G504" s="87">
        <f>G488+G502+G494</f>
        <v>3011306.3773671715</v>
      </c>
      <c r="H504" s="68"/>
      <c r="I504" s="180"/>
    </row>
  </sheetData>
  <autoFilter ref="A39:N468" xr:uid="{072B1252-3772-49F9-B8DB-817C5B8F3636}"/>
  <mergeCells count="2">
    <mergeCell ref="B1:B6"/>
    <mergeCell ref="C1:G7"/>
  </mergeCells>
  <phoneticPr fontId="3" type="noConversion"/>
  <hyperlinks>
    <hyperlink ref="I261" r:id="rId1" xr:uid="{8CC9F708-0BEB-4D7D-A9B1-9451528B0ADD}"/>
    <hyperlink ref="I72" r:id="rId2" display="https://psp-spb.ru/katalog-kompanii-psp/inzhenernyie-sistemyi/trubyi-drenazhnyie-odnostennyie/truba-pe-drenazhgofrir-d110-v-filtre-50m-buxta.html?utm_source=yandex&amp;utm_medium=cpc&amp;utm_campaign=труба-дренаж&amp;utm_content=13907053045&amp;utm_term=дренажные+трубы+спб.desktop.Санкт-Петербург.44240248640.none&amp;block=premium.1&amp;roistat=direct3_search_13907053045_дренажные+трубы+спб&amp;roistat_referrer=none&amp;roistat_pos=premium_1&amp;yclid=18238629829100437503" xr:uid="{46A162DA-43EC-49CB-9A2F-CEF701E812E1}"/>
    <hyperlink ref="I262" r:id="rId3" xr:uid="{E51364DE-5109-4035-BB75-9FF53C1A9F3B}"/>
    <hyperlink ref="I396" r:id="rId4" xr:uid="{85F4CBE9-EB32-4422-B8FC-8C22CF69760A}"/>
  </hyperlinks>
  <printOptions horizontalCentered="1"/>
  <pageMargins left="0.43307086614173229" right="0.31496062992125984" top="0.74803149606299213" bottom="0.74803149606299213" header="0.31496062992125984" footer="0.31496062992125984"/>
  <pageSetup paperSize="8" fitToHeight="10" orientation="portrait" horizontalDpi="360" verticalDpi="36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2021-05-06T16:48:54Z</cp:lastPrinted>
  <dcterms:created xsi:type="dcterms:W3CDTF">2015-06-05T18:19:34Z</dcterms:created>
  <dcterms:modified xsi:type="dcterms:W3CDTF">2026-03-25T15:48:23Z</dcterms:modified>
</cp:coreProperties>
</file>