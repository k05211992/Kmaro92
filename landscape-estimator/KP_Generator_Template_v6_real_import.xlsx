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CRITIQUE_AND_GAPS" sheetId="2" state="visible" r:id="rId2"/>
    <sheet xmlns:r="http://schemas.openxmlformats.org/officeDocument/2006/relationships" name="CALC_PRECEDENCE" sheetId="3" state="visible" r:id="rId3"/>
    <sheet xmlns:r="http://schemas.openxmlformats.org/officeDocument/2006/relationships" name="DICTIONARIES" sheetId="4" state="visible" r:id="rId4"/>
    <sheet xmlns:r="http://schemas.openxmlformats.org/officeDocument/2006/relationships" name="WORK_MASTER" sheetId="5" state="visible" r:id="rId5"/>
    <sheet xmlns:r="http://schemas.openxmlformats.org/officeDocument/2006/relationships" name="WORK_VARIANTS" sheetId="6" state="visible" r:id="rId6"/>
    <sheet xmlns:r="http://schemas.openxmlformats.org/officeDocument/2006/relationships" name="MATERIAL_MASTER" sheetId="7" state="visible" r:id="rId7"/>
    <sheet xmlns:r="http://schemas.openxmlformats.org/officeDocument/2006/relationships" name="MATERIAL_VARIANTS" sheetId="8" state="visible" r:id="rId8"/>
    <sheet xmlns:r="http://schemas.openxmlformats.org/officeDocument/2006/relationships" name="RAW_MAPPING" sheetId="9" state="visible" r:id="rId9"/>
    <sheet xmlns:r="http://schemas.openxmlformats.org/officeDocument/2006/relationships" name="VALIDATION_RULES" sheetId="10" state="visible" r:id="rId10"/>
    <sheet xmlns:r="http://schemas.openxmlformats.org/officeDocument/2006/relationships" name="VALIDATION_EXAMPLE" sheetId="11" state="visible" r:id="rId11"/>
    <sheet xmlns:r="http://schemas.openxmlformats.org/officeDocument/2006/relationships" name="OBJECT_CONDITIONS" sheetId="12" state="visible" r:id="rId12"/>
    <sheet xmlns:r="http://schemas.openxmlformats.org/officeDocument/2006/relationships" name="SITE_COEFFS" sheetId="13" state="visible" r:id="rId13"/>
    <sheet xmlns:r="http://schemas.openxmlformats.org/officeDocument/2006/relationships" name="OPERATING_COEFFS" sheetId="14" state="visible" r:id="rId14"/>
    <sheet xmlns:r="http://schemas.openxmlformats.org/officeDocument/2006/relationships" name="TAX_MODES" sheetId="15" state="visible" r:id="rId15"/>
    <sheet xmlns:r="http://schemas.openxmlformats.org/officeDocument/2006/relationships" name="WORK_FACTOR_APPLICABILITY" sheetId="16" state="visible" r:id="rId16"/>
    <sheet xmlns:r="http://schemas.openxmlformats.org/officeDocument/2006/relationships" name="CONDITION_RULES" sheetId="17" state="visible" r:id="rId17"/>
    <sheet xmlns:r="http://schemas.openxmlformats.org/officeDocument/2006/relationships" name="DEPENDENCY_RULES" sheetId="18" state="visible" r:id="rId18"/>
    <sheet xmlns:r="http://schemas.openxmlformats.org/officeDocument/2006/relationships" name="MATERIAL_ALLOWANCES" sheetId="19" state="visible" r:id="rId19"/>
    <sheet xmlns:r="http://schemas.openxmlformats.org/officeDocument/2006/relationships" name="PROCUREMENT_RULES" sheetId="20" state="visible" r:id="rId20"/>
    <sheet xmlns:r="http://schemas.openxmlformats.org/officeDocument/2006/relationships" name="MATERIAL_FACTOR_APPLICABILITY" sheetId="21" state="visible" r:id="rId21"/>
    <sheet xmlns:r="http://schemas.openxmlformats.org/officeDocument/2006/relationships" name="MATERIAL_QUANTITY_EXAMPLE" sheetId="22" state="visible" r:id="rId22"/>
    <sheet xmlns:r="http://schemas.openxmlformats.org/officeDocument/2006/relationships" name="TARIFF_PROFILES" sheetId="23" state="visible" r:id="rId23"/>
    <sheet xmlns:r="http://schemas.openxmlformats.org/officeDocument/2006/relationships" name="COMMERCIAL_POLICY" sheetId="24" state="visible" r:id="rId24"/>
    <sheet xmlns:r="http://schemas.openxmlformats.org/officeDocument/2006/relationships" name="WORK_TARIFF_RULES" sheetId="25" state="visible" r:id="rId25"/>
    <sheet xmlns:r="http://schemas.openxmlformats.org/officeDocument/2006/relationships" name="MATERIAL_TARIFF_RULES" sheetId="26" state="visible" r:id="rId26"/>
    <sheet xmlns:r="http://schemas.openxmlformats.org/officeDocument/2006/relationships" name="TARIFF_COMPOSITION_RULES" sheetId="27" state="visible" r:id="rId27"/>
    <sheet xmlns:r="http://schemas.openxmlformats.org/officeDocument/2006/relationships" name="OUTPUT_RULES" sheetId="28" state="visible" r:id="rId28"/>
    <sheet xmlns:r="http://schemas.openxmlformats.org/officeDocument/2006/relationships" name="EXCLUSIONS_LIBRARY" sheetId="29" state="visible" r:id="rId29"/>
    <sheet xmlns:r="http://schemas.openxmlformats.org/officeDocument/2006/relationships" name="TARIFF_KP_EXAMPLE" sheetId="30" state="visible" r:id="rId30"/>
    <sheet xmlns:r="http://schemas.openxmlformats.org/officeDocument/2006/relationships" name="KP_ENGINE_V5_EXAMPLE" sheetId="31" state="visible" r:id="rId31"/>
    <sheet xmlns:r="http://schemas.openxmlformats.org/officeDocument/2006/relationships" name="IMPORT_SUMMARY" sheetId="32" state="visible" r:id="rId32"/>
    <sheet xmlns:r="http://schemas.openxmlformats.org/officeDocument/2006/relationships" name="PRICE_MASTER_REAL" sheetId="33" state="visible" r:id="rId33"/>
    <sheet xmlns:r="http://schemas.openxmlformats.org/officeDocument/2006/relationships" name="WORK_MASTER_REAL" sheetId="34" state="visible" r:id="rId34"/>
    <sheet xmlns:r="http://schemas.openxmlformats.org/officeDocument/2006/relationships" name="WORK_VARIANTS_REAL" sheetId="35" state="visible" r:id="rId35"/>
    <sheet xmlns:r="http://schemas.openxmlformats.org/officeDocument/2006/relationships" name="MATERIAL_MASTER_REAL" sheetId="36" state="visible" r:id="rId36"/>
    <sheet xmlns:r="http://schemas.openxmlformats.org/officeDocument/2006/relationships" name="MATERIAL_VARIANTS_REAL" sheetId="37" state="visible" r:id="rId37"/>
    <sheet xmlns:r="http://schemas.openxmlformats.org/officeDocument/2006/relationships" name="RAW_MAPPING_REAL" sheetId="38" state="visible" r:id="rId38"/>
    <sheet xmlns:r="http://schemas.openxmlformats.org/officeDocument/2006/relationships" name="REAL_TARIFF_DEFAULTS_WORK" sheetId="39" state="visible" r:id="rId39"/>
    <sheet xmlns:r="http://schemas.openxmlformats.org/officeDocument/2006/relationships" name="REAL_TARIFF_DEFAULTS_MATERIAL" sheetId="40" state="visible" r:id="rId40"/>
    <sheet xmlns:r="http://schemas.openxmlformats.org/officeDocument/2006/relationships" name="REAL_NORMALIZATION_REVIEW" sheetId="41" state="visible" r:id="rId41"/>
    <sheet xmlns:r="http://schemas.openxmlformats.org/officeDocument/2006/relationships" name="REAL_GAPS" sheetId="42" state="visible" r:id="rId42"/>
  </sheets>
  <definedNames>
    <definedName name="_xlnm._FilterDatabase" localSheetId="1" hidden="1">'CRITIQUE_AND_GAPS'!$A$1:$F$13</definedName>
    <definedName name="_xlnm._FilterDatabase" localSheetId="2" hidden="1">'CALC_PRECEDENCE'!$A$1:$I$11</definedName>
    <definedName name="_xlnm._FilterDatabase" localSheetId="4" hidden="1">'WORK_MASTER'!$A$1:$V$1000</definedName>
    <definedName name="_xlnm._FilterDatabase" localSheetId="7" hidden="1">'MATERIAL_VARIANTS'!$A$1:$Y$150</definedName>
    <definedName name="_xlnm._FilterDatabase" localSheetId="9" hidden="1">'VALIDATION_RULES'!$A$1:$I$8</definedName>
    <definedName name="_xlnm._FilterDatabase" localSheetId="10" hidden="1">'VALIDATION_EXAMPLE'!$A$1:$I$5</definedName>
    <definedName name="_xlnm._FilterDatabase" localSheetId="11" hidden="1">'OBJECT_CONDITIONS'!$A$1:$AP$1000</definedName>
    <definedName name="_xlnm._FilterDatabase" localSheetId="13" hidden="1">'OPERATING_COEFFS'!$A$1:$F$12</definedName>
    <definedName name="_xlnm._FilterDatabase" localSheetId="14" hidden="1">'TAX_MODES'!$A$1:$D$4</definedName>
    <definedName name="_xlnm._FilterDatabase" localSheetId="17" hidden="1">'DEPENDENCY_RULES'!$A$1:$L$6</definedName>
    <definedName name="_xlnm._FilterDatabase" localSheetId="19" hidden="1">'PROCUREMENT_RULES'!$A$1:$N$6</definedName>
    <definedName name="_xlnm._FilterDatabase" localSheetId="22" hidden="1">'TARIFF_PROFILES'!$A$1:$K$150</definedName>
    <definedName name="_xlnm._FilterDatabase" localSheetId="23" hidden="1">'COMMERCIAL_POLICY'!$A$1:$L$4</definedName>
    <definedName name="_xlnm._FilterDatabase" localSheetId="24" hidden="1">'WORK_TARIFF_RULES'!$A$1:$J$150</definedName>
    <definedName name="_xlnm._FilterDatabase" localSheetId="25" hidden="1">'MATERIAL_TARIFF_RULES'!$A$1:$J$150</definedName>
    <definedName name="_xlnm._FilterDatabase" localSheetId="26" hidden="1">'TARIFF_COMPOSITION_RULES'!$A$1:$H$150</definedName>
    <definedName name="_xlnm._FilterDatabase" localSheetId="27" hidden="1">'OUTPUT_RULES'!$A$1:$L$7</definedName>
    <definedName name="_xlnm._FilterDatabase" localSheetId="28" hidden="1">'EXCLUSIONS_LIBRARY'!$A$1:$G$6</definedName>
    <definedName name="_xlnm._FilterDatabase" localSheetId="29" hidden="1">'TARIFF_KP_EXAMPLE'!$A$1:$O$150</definedName>
    <definedName name="_xlnm._FilterDatabase" localSheetId="30" hidden="1">'KP_ENGINE_V5_EXAMPLE'!$A$1:$U$60</definedName>
    <definedName name="_xlnm._FilterDatabase" localSheetId="31" hidden="1">'IMPORT_SUMMARY'!$A$1:$C$9</definedName>
    <definedName name="_xlnm._FilterDatabase" localSheetId="32" hidden="1">'PRICE_MASTER_REAL'!$A$1:$S$280</definedName>
    <definedName name="_xlnm._FilterDatabase" localSheetId="33" hidden="1">'WORK_MASTER_REAL'!$A$1:$T$158</definedName>
    <definedName name="_xlnm._FilterDatabase" localSheetId="34" hidden="1">'WORK_VARIANTS_REAL'!$A$1:$K$158</definedName>
    <definedName name="_xlnm._FilterDatabase" localSheetId="35" hidden="1">'MATERIAL_MASTER_REAL'!$A$1:$R$122</definedName>
    <definedName name="_xlnm._FilterDatabase" localSheetId="36" hidden="1">'MATERIAL_VARIANTS_REAL'!$A$1:$AA$122</definedName>
    <definedName name="_xlnm._FilterDatabase" localSheetId="37" hidden="1">'RAW_MAPPING_REAL'!$A$1:$L$280</definedName>
    <definedName name="_xlnm._FilterDatabase" localSheetId="38" hidden="1">'REAL_TARIFF_DEFAULTS_WORK'!$A$1:$J$472</definedName>
    <definedName name="_xlnm._FilterDatabase" localSheetId="39" hidden="1">'REAL_TARIFF_DEFAULTS_MATERIAL'!$A$1:$J$364</definedName>
    <definedName name="_xlnm._FilterDatabase" localSheetId="40" hidden="1">'REAL_NORMALIZATION_REVIEW'!$A$1:$G$23</definedName>
    <definedName name="_xlnm._FilterDatabase" localSheetId="41" hidden="1">'REAL_GAPS'!$A$1:$H$18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dd.mm.yyyy"/>
    <numFmt numFmtId="167" formatCode="0.0%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  <font>
      <color rgb="00000000"/>
    </font>
    <font>
      <b val="1"/>
      <sz val="12"/>
    </font>
    <font>
      <color rgb="00666666"/>
    </font>
    <font>
      <color rgb="00008000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7FBFF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thin">
        <color rgb="00D9E1F2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4" fontId="3" fillId="3" borderId="0" applyAlignment="1" pivotButton="0" quotePrefix="0" xfId="0">
      <alignment horizontal="left" vertical="top" wrapText="1"/>
    </xf>
    <xf numFmtId="4" fontId="0" fillId="0" borderId="0" applyAlignment="1" pivotButton="0" quotePrefix="0" xfId="0">
      <alignment horizontal="left" vertical="top" wrapText="1"/>
    </xf>
    <xf numFmtId="2" fontId="3" fillId="3" borderId="0" applyAlignment="1" pivotButton="0" quotePrefix="0" xfId="0">
      <alignment horizontal="left" vertical="top" wrapText="1"/>
    </xf>
    <xf numFmtId="4" fontId="4" fillId="3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1" fontId="3" fillId="3" borderId="0" applyAlignment="1" pivotButton="0" quotePrefix="0" xfId="0">
      <alignment horizontal="left" vertical="top" wrapText="1"/>
    </xf>
    <xf numFmtId="1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2" fontId="0" fillId="3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5" fontId="3" fillId="3" borderId="0" applyAlignment="1" pivotButton="0" quotePrefix="0" xfId="0">
      <alignment horizontal="left" vertical="top" wrapText="1"/>
    </xf>
    <xf numFmtId="165" fontId="0" fillId="3" borderId="0" applyAlignment="1" pivotButton="0" quotePrefix="0" xfId="0">
      <alignment vertical="center" wrapText="1"/>
    </xf>
    <xf numFmtId="165" fontId="0" fillId="3" borderId="0" applyAlignment="1" pivotButton="0" quotePrefix="0" xfId="0">
      <alignment horizontal="left" vertical="top" wrapText="1"/>
    </xf>
    <xf numFmtId="0" fontId="5" fillId="0" borderId="0" pivotButton="0" quotePrefix="0" xfId="0"/>
    <xf numFmtId="0" fontId="3" fillId="3" borderId="0" applyAlignment="1" pivotButton="0" quotePrefix="0" xfId="0">
      <alignment vertical="top" wrapText="1"/>
    </xf>
    <xf numFmtId="4" fontId="3" fillId="3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" fontId="3" fillId="3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4" fontId="3" fillId="4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4" fontId="3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4" fontId="3" fillId="5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2" fontId="3" fillId="4" borderId="2" applyAlignment="1" pivotButton="0" quotePrefix="0" xfId="0">
      <alignment vertical="top" wrapText="1"/>
    </xf>
    <xf numFmtId="4" fontId="0" fillId="4" borderId="2" applyAlignment="1" pivotButton="0" quotePrefix="0" xfId="0">
      <alignment vertical="top" wrapText="1"/>
    </xf>
    <xf numFmtId="2" fontId="3" fillId="0" borderId="2" applyAlignment="1" pivotButton="0" quotePrefix="0" xfId="0">
      <alignment vertical="top" wrapText="1"/>
    </xf>
    <xf numFmtId="4" fontId="0" fillId="0" borderId="2" applyAlignment="1" pivotButton="0" quotePrefix="0" xfId="0">
      <alignment vertical="top" wrapText="1"/>
    </xf>
    <xf numFmtId="1" fontId="0" fillId="4" borderId="2" applyAlignment="1" pivotButton="0" quotePrefix="0" xfId="0">
      <alignment vertical="top" wrapText="1"/>
    </xf>
    <xf numFmtId="1" fontId="0" fillId="0" borderId="2" applyAlignment="1" pivotButton="0" quotePrefix="0" xfId="0">
      <alignment vertical="top" wrapText="1"/>
    </xf>
    <xf numFmtId="2" fontId="0" fillId="4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Уникальный ID канонической работы. Не зависит от старого RowNumber.</t>
      </text>
    </comment>
    <comment ref="B1" authorId="0" shapeId="0">
      <text>
        <t>Единая нормализованная сущность. Например: «Выборка ложа».</t>
      </text>
    </comment>
    <comment ref="C1" authorId="0" shapeId="0">
      <text>
        <t>Название, которое клиент увидит в КП.</t>
      </text>
    </comment>
    <comment ref="D1" authorId="0" shapeId="0">
      <text>
        <t>Главный раздел КП.</t>
      </text>
    </comment>
    <comment ref="F1" authorId="0" shapeId="0">
      <text>
        <t>Для этого листа обычно = Работа, но поле оставлено явным.</t>
      </text>
    </comment>
    <comment ref="I1" authorId="0" shapeId="0">
      <text>
        <t>Базовая цена за единицу. Если метод расчета вариативный — можно оставить 0 и считать по вариантам.</t>
      </text>
    </comment>
    <comment ref="J1" authorId="0" shapeId="0">
      <text>
        <t>Базовый способ выполнения, от которого считаются коэффициенты.</t>
      </text>
    </comment>
    <comment ref="M1" authorId="0" shapeId="0">
      <text>
        <t>Можно ли включать позицию в шаблонные наборы/комплекты.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E1" authorId="0" shapeId="0">
      <text>
        <t>Коэффициент способа выполнения. Не считать его фактом — это рабочая гипотеза до калибровки.</t>
      </text>
    </comment>
    <comment ref="F1" authorId="0" shapeId="0">
      <text>
        <t>Коэффициент условий объекта: стесненность, уклон, малый объем и т.д.</t>
      </text>
    </comment>
    <comment ref="G1" authorId="0" shapeId="0">
      <text>
        <t>Если заполняется — имеет приоритет над расчетом через коэффициенты.</t>
      </text>
    </comment>
    <comment ref="H1" authorId="0" shapeId="0">
      <text>
        <t>Опционально: итоговая цена за единицу, если хочешь хранить ее прямо в варианте.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B1" authorId="0" shapeId="0">
      <text>
        <t>Семейство материала: например «Брусчатка бетонная».</t>
      </text>
    </comment>
    <comment ref="C1" authorId="0" shapeId="0">
      <text>
        <t>Каноническая сущность. Не плодить по одной строке на каждую толщину.</t>
      </text>
    </comment>
    <comment ref="D1" authorId="0" shapeId="0">
      <text>
        <t>Базовое имя для клиента; точная версия может собираться из варианта.</t>
      </text>
    </comment>
    <comment ref="K1" authorId="0" shapeId="0">
      <text>
        <t>Категория материала для фильтрации и правил.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C1" authorId="0" shapeId="0">
      <text>
        <t>Толщина — полноценный вариант материала, если влияет на цену и применимость.</t>
      </text>
    </comment>
    <comment ref="G1" authorId="0" shapeId="0">
      <text>
        <t>Полезно для правил подбора: дорожка / въезд / повышенная нагрузка.</t>
      </text>
    </comment>
    <comment ref="I1" authorId="0" shapeId="0">
      <text>
        <t>Цена за единицу материала именно для этого варианта.</t>
      </text>
    </comment>
    <comment ref="J1" authorId="0" shapeId="0">
      <text>
        <t>Как вариант будет показан клиенту в КП.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B1" authorId="0" shapeId="0">
      <text>
        <t>Оригинальная строка из старого прайса/файла. Ее не нужно нормализовать вручную.</t>
      </text>
    </comment>
    <comment ref="D1" authorId="0" shapeId="0">
      <text>
        <t>Старый RowNumber или иной идентификатор источника. Не ключ новой сущности.</t>
      </text>
    </comment>
    <comment ref="G1" authorId="0" shapeId="0">
      <text>
        <t>WorkID или MaterialID в зависимости от EntityType.</t>
      </text>
    </comment>
    <comment ref="H1" authorId="0" shapeId="0">
      <text>
        <t>Заполняется, если исходная строка относится к конкретному варианту.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showGridLines="1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8" t="inlineStr">
        <is>
          <t>README / START</t>
        </is>
      </c>
    </row>
    <row r="2">
      <c r="A2" s="38" t="inlineStr">
        <is>
          <t>Добавлены реальные импортированные позиции из PRICE_MASTER</t>
        </is>
      </c>
    </row>
    <row r="3">
      <c r="A3" s="39" t="inlineStr">
        <is>
          <t>Смотри листы: IMPORT_SUMMARY, PRICE_MASTER_REAL, WORK_MASTER_REAL, MATERIAL_MASTER_REAL, MATERIAL_VARIANTS_REAL, RAW_MAPPING_REAL</t>
        </is>
      </c>
    </row>
    <row r="4">
      <c r="A4" s="39" t="inlineStr">
        <is>
          <t>Листы REAL_TARIFF_DEFAULTS_* содержат только безопасные стартовые правила 1:1 и требуют ручной настройки.</t>
        </is>
      </c>
    </row>
    <row r="5">
      <c r="A5" s="39" t="inlineStr">
        <is>
          <t>Листы REAL_NORMALIZATION_REVIEW и REAL_GAPS показывают, где ещё нужна ручная доработка.</t>
        </is>
      </c>
    </row>
    <row r="6">
      <c r="A6" s="19" t="inlineStr">
        <is>
          <t>3) MATERIAL_MASTER — канонические материалы/семейства.</t>
        </is>
      </c>
    </row>
    <row r="7">
      <c r="A7" s="19" t="inlineStr">
        <is>
          <t>4) MATERIAL_VARIANTS — варианты материала (толщина, цвет, фаска, класс нагрузки, цена).</t>
        </is>
      </c>
    </row>
    <row r="8">
      <c r="A8" s="19" t="inlineStr">
        <is>
          <t>5) RAW_MAPPING — связь сырых строк из старых прайсов с каноническими сущностями и вариантами.</t>
        </is>
      </c>
    </row>
    <row r="9">
      <c r="A9" s="19" t="inlineStr"/>
    </row>
    <row r="10">
      <c r="A10" s="19" t="inlineStr">
        <is>
          <t>Базовые правила:</t>
        </is>
      </c>
    </row>
    <row r="11">
      <c r="A11" s="19" t="inlineStr">
        <is>
          <t>• RawName хранить как пришло из исходника; не делать его универсальным.</t>
        </is>
      </c>
    </row>
    <row r="12">
      <c r="A12" s="19" t="inlineStr">
        <is>
          <t>• CanonicalWork / CanonicalMaterial — единая нормализованная сущность.</t>
        </is>
      </c>
    </row>
    <row r="13">
      <c r="A13" s="19" t="inlineStr">
        <is>
          <t>• RowNumber использовать только как след старой структуры, а не как ключ новой базы.</t>
        </is>
      </c>
    </row>
    <row r="14">
      <c r="A14" s="19" t="inlineStr">
        <is>
          <t>• Ручной / механизированный способ — это вариант работы, а не новая сущность.</t>
        </is>
      </c>
    </row>
    <row r="15">
      <c r="A15" s="19" t="inlineStr">
        <is>
          <t>• Толщина, цвет, фаска и т.п. у материалов — это вариант материала.</t>
        </is>
      </c>
    </row>
    <row r="16">
      <c r="A16" s="19" t="inlineStr"/>
    </row>
    <row r="17">
      <c r="A17" s="19" t="inlineStr">
        <is>
          <t>Как добавлять новые позиции:</t>
        </is>
      </c>
    </row>
    <row r="18">
      <c r="A18" s="19" t="inlineStr">
        <is>
          <t>1) Сначала ищи дубль по каноническому названию и синонимам.</t>
        </is>
      </c>
    </row>
    <row r="19">
      <c r="A19" s="19" t="inlineStr">
        <is>
          <t>2) Если смысл тот же, добавляй вариант, а не новую сущность.</t>
        </is>
      </c>
    </row>
    <row r="20">
      <c r="A20" s="19" t="inlineStr">
        <is>
          <t>3) Если смысл другой — создавай новый WorkID / MaterialID.</t>
        </is>
      </c>
    </row>
    <row r="21">
      <c r="A21" s="19" t="inlineStr">
        <is>
          <t>4) Не добавляй составные позиции вроде «дренаж под ключ» как одну строку.</t>
        </is>
      </c>
    </row>
    <row r="22">
      <c r="A22" s="19" t="inlineStr"/>
    </row>
    <row r="23">
      <c r="A23" s="19" t="inlineStr">
        <is>
          <t>Важно:</t>
        </is>
      </c>
    </row>
    <row r="24">
      <c r="A24" s="19" t="inlineStr">
        <is>
          <t>• Значения коэффициентов и цен в примерах условные — это только демонстрация структуры.</t>
        </is>
      </c>
    </row>
    <row r="25">
      <c r="A25" s="19" t="inlineStr">
        <is>
          <t>• Перед реальным запуском откалибруй коэффициенты на закрытых сметах.</t>
        </is>
      </c>
    </row>
    <row r="26">
      <c r="A26" s="20" t="inlineStr">
        <is>
          <t>Новые листы для учёта условий объекта:</t>
        </is>
      </c>
    </row>
    <row r="27">
      <c r="A27" s="21" t="inlineStr">
        <is>
          <t>6) OBJECT_CONDITIONS — карточка объекта: грунт, влажность, уклон, доступ, близость построек. Коэффициенты подтягиваются автоматически из SITE_COEFFS.</t>
        </is>
      </c>
    </row>
    <row r="28">
      <c r="A28" s="21" t="inlineStr">
        <is>
          <t>7) WORK_FACTOR_APPLICABILITY — веса чувствительности каждой работы к условиям объекта. Формула SiteCoeffExample считает пример итогового коэффициента по выбранному ObjectID.</t>
        </is>
      </c>
    </row>
    <row r="29">
      <c r="A29" s="21" t="inlineStr">
        <is>
          <t>8) SITE_COEFFS — справочник стартовых коэффициентов по грунту, влажности, уклону, стеснённости и механизации. Это гипотезы для калибровки на закрытых сметах.</t>
        </is>
      </c>
    </row>
    <row r="30">
      <c r="A30" s="21" t="inlineStr">
        <is>
          <t>9) CONDITION_RULES — правила для генератора: принудительный выбор метода, предпочтительный метод, заметки и будущие автодобавления строк.</t>
        </is>
      </c>
    </row>
    <row r="31">
      <c r="A31" s="21" t="inlineStr">
        <is>
          <t>Логика расчёта:</t>
        </is>
      </c>
    </row>
    <row r="32">
      <c r="A32" s="21" t="inlineStr">
        <is>
          <t>• Сначала задаётся карточка объекта в OBJECT_CONDITIONS.</t>
        </is>
      </c>
    </row>
    <row r="33">
      <c r="A33" s="21" t="inlineStr">
        <is>
          <t>• Затем для каждой работы в WORK_FACTOR_APPLICABILITY указываются веса влияния факторов от 0.0 до 1.0.</t>
        </is>
      </c>
    </row>
    <row r="34">
      <c r="A34" s="21" t="inlineStr">
        <is>
          <t>• Итоговый SiteCoeff считается по взвешенной добавочной формуле, а не простым перемножением всех коэффициентов.</t>
        </is>
      </c>
    </row>
    <row r="35">
      <c r="A35" s="21" t="inlineStr">
        <is>
          <t>• CONDITION_RULES нужны там, где условия меняют не только цену, но и состав решения.</t>
        </is>
      </c>
    </row>
    <row r="36" ht="20" customHeight="1">
      <c r="A36" s="19" t="inlineStr">
        <is>
          <t>10) MATERIAL_ALLOWANCES — библиотека коэффициентов запаса по материалам: разрыхление, нахлест, подрезка, торцовка, техзапас.</t>
        </is>
      </c>
    </row>
    <row r="37" ht="20" customHeight="1">
      <c r="A37" s="19" t="inlineStr">
        <is>
          <t>11) MATERIAL_FACTOR_APPLICABILITY — веса влияния геометрии, уклона, неровностей и доступа на перерасход материалов.</t>
        </is>
      </c>
    </row>
    <row r="38" ht="20" customHeight="1">
      <c r="A38" s="19" t="inlineStr">
        <is>
          <t>12) MATERIAL_QUANTITY_EXAMPLE — пример расчёта итогового количества материала: чистый объем/площадь → запас → закупка.</t>
        </is>
      </c>
    </row>
    <row r="39" ht="20" customHeight="1">
      <c r="A39" s="19" t="inlineStr">
        <is>
          <t>Логика по материалам:</t>
        </is>
      </c>
    </row>
    <row r="40" ht="20" customHeight="1">
      <c r="A40" s="19" t="inlineStr">
        <is>
          <t>• Не смешивай коэффициент разрыхления с коэффициентом подрезки: это разные механики.</t>
        </is>
      </c>
    </row>
    <row r="41" ht="20" customHeight="1">
      <c r="A41" s="19" t="inlineStr">
        <is>
          <t>• Для сыпучих материалов база часто считается от проектного уплотненного объема к закупке.</t>
        </is>
      </c>
    </row>
    <row r="42" ht="20" customHeight="1">
      <c r="A42" s="19" t="inlineStr">
        <is>
          <t>• Для рулонных и листовых материалов запас складывается из нахлеста, подрезки и геометрии участка.</t>
        </is>
      </c>
    </row>
    <row r="43" ht="20" customHeight="1">
      <c r="A43" s="19" t="inlineStr">
        <is>
          <t>• Для досок и погонажа нужен отдельный запас на раскрой/торцовку.</t>
        </is>
      </c>
    </row>
    <row r="44">
      <c r="A44" s="19" t="n"/>
    </row>
    <row r="45">
      <c r="A45" s="19" t="n"/>
    </row>
    <row r="46">
      <c r="A46" s="19" t="n"/>
    </row>
    <row r="47">
      <c r="A47" s="19" t="n"/>
    </row>
    <row r="48">
      <c r="A48" s="19" t="n"/>
    </row>
    <row r="49">
      <c r="A49" s="19" t="n"/>
    </row>
    <row r="51">
      <c r="A51" s="18" t="inlineStr">
        <is>
          <t>Новый слой: тарифы сметы</t>
        </is>
      </c>
    </row>
    <row r="52">
      <c r="A52" s="19" t="inlineStr">
        <is>
          <t>1) Тариф = не просто наценка. Он влияет на коэффициенты продаж, предпочтительные варианты материалов и режим показа строк.</t>
        </is>
      </c>
    </row>
    <row r="53">
      <c r="A53" s="19" t="inlineStr">
        <is>
          <t>2) Используй лист TARIFF_PROFILES для профилей Эконом / Стандарт / Премиум.</t>
        </is>
      </c>
    </row>
    <row r="54">
      <c r="A54" s="19" t="inlineStr">
        <is>
          <t>3) WORK_TARIFF_RULES задает предпочтительный способ выполнения и переименование работ по тарифу.</t>
        </is>
      </c>
    </row>
    <row r="55">
      <c r="A55" s="19" t="inlineStr">
        <is>
          <t>4) MATERIAL_TARIFF_RULES задает предпочтительный вариант материала, поправку к цене и поправку к запасу по тарифу.</t>
        </is>
      </c>
    </row>
    <row r="56">
      <c r="A56" s="19" t="inlineStr">
        <is>
          <t>5) TARIFF_COMPOSITION_RULES хранит замены и укрупнение/детализацию состава под тариф.</t>
        </is>
      </c>
    </row>
    <row r="57">
      <c r="A57" s="19" t="inlineStr">
        <is>
          <t>6) TARIFF_KP_EXAMPLE показывает, как тариф влияет на работу и материал в расчете.</t>
        </is>
      </c>
    </row>
    <row r="59">
      <c r="A59" s="25" t="inlineStr">
        <is>
          <t>V5 — критическая пересборка архитектуры</t>
        </is>
      </c>
    </row>
    <row r="60">
      <c r="A60" t="inlineStr">
        <is>
          <t>Что было слабым: не хватало порядка применения правил, коммерческих floors, округления закупки, distance/season/urgency, tax/VAT, validation и libraries inclusions/exclusions.</t>
        </is>
      </c>
    </row>
    <row r="61">
      <c r="A61" t="inlineStr">
        <is>
          <t>Что добавлено: CRITIQUE_AND_GAPS, CALC_PRECEDENCE, OPERATING_COEFFS, TAX_MODES, COMMERCIAL_POLICY, PROCUREMENT_RULES, DEPENDENCY_RULES, OUTPUT_RULES, VALIDATION_RULES, VALIDATION_EXAMPLE, EXCLUSIONS_LIBRARY, KP_ENGINE_V5_EXAMPLE.</t>
        </is>
      </c>
    </row>
    <row r="62">
      <c r="A62" t="inlineStr">
        <is>
          <t>Смысл: шаблон перестроен из «набора примеров» в более полный каркас движка генератора КП.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8" customWidth="1" min="3" max="3"/>
    <col width="42" customWidth="1" min="4" max="4"/>
    <col width="10" customWidth="1" min="5" max="5"/>
    <col width="10" customWidth="1" min="6" max="6"/>
  </cols>
  <sheetData>
    <row r="1">
      <c r="A1" s="4" t="inlineStr">
        <is>
          <t>Layer</t>
        </is>
      </c>
      <c r="B1" s="4" t="inlineStr">
        <is>
          <t>CurrentWeakness</t>
        </is>
      </c>
      <c r="C1" s="4" t="inlineStr">
        <is>
          <t>WhyItBreaksTheGenerator</t>
        </is>
      </c>
      <c r="D1" s="4" t="inlineStr">
        <is>
          <t>WhatWasAddedInV5</t>
        </is>
      </c>
      <c r="E1" s="4" t="inlineStr">
        <is>
          <t>Priority</t>
        </is>
      </c>
      <c r="F1" s="4" t="inlineStr">
        <is>
          <t>Status</t>
        </is>
      </c>
    </row>
    <row r="2">
      <c r="A2" s="19" t="inlineStr">
        <is>
          <t>1. Архитектура расчета</t>
        </is>
      </c>
      <c r="B2" s="19" t="inlineStr">
        <is>
          <t>Не была явно зафиксирована очередность применения правил и коэффициентов</t>
        </is>
      </c>
      <c r="C2" s="19" t="inlineStr">
        <is>
          <t>Без порядка приоритета модель начинает по-разному считать одну и ту же строку</t>
        </is>
      </c>
      <c r="D2" s="19" t="inlineStr">
        <is>
          <t>Добавлен лист CALC_PRECEDENCE с порядком применения: override → variant → site → tariff → reserve → rounding → min charges → VAT</t>
        </is>
      </c>
      <c r="E2" s="21" t="inlineStr">
        <is>
          <t>Critical</t>
        </is>
      </c>
      <c r="F2" s="19" t="inlineStr">
        <is>
          <t>Added</t>
        </is>
      </c>
    </row>
    <row r="3">
      <c r="A3" s="19" t="inlineStr">
        <is>
          <t>2. Условия объекта</t>
        </is>
      </c>
      <c r="B3" s="19" t="inlineStr">
        <is>
          <t>Были грунт/рельеф, но не было расстояния, сезона, срочности и налогового режима</t>
        </is>
      </c>
      <c r="C3" s="19" t="inlineStr">
        <is>
          <t>Коммерческая цена и логистика поедут даже при верных работах и материалах</t>
        </is>
      </c>
      <c r="D3" s="19" t="inlineStr">
        <is>
          <t>OBJECT_CONDITIONS расширен: distance, season, urgency, tax, VAT</t>
        </is>
      </c>
      <c r="E3" s="21" t="inlineStr">
        <is>
          <t>Critical</t>
        </is>
      </c>
      <c r="F3" s="19" t="inlineStr">
        <is>
          <t>Added</t>
        </is>
      </c>
    </row>
    <row r="4">
      <c r="A4" s="19" t="inlineStr">
        <is>
          <t>3. Логистика и операционные коэффициенты</t>
        </is>
      </c>
      <c r="B4" s="19" t="inlineStr">
        <is>
          <t>Отсутствовали distance/season/urgency коэффициенты</t>
        </is>
      </c>
      <c r="C4" s="19" t="inlineStr">
        <is>
          <t>Занижение маленьких, дальних и срочных объектов</t>
        </is>
      </c>
      <c r="D4" s="19" t="inlineStr">
        <is>
          <t>Добавлен OPERATING_COEFFS</t>
        </is>
      </c>
      <c r="E4" s="21" t="inlineStr">
        <is>
          <t>High</t>
        </is>
      </c>
      <c r="F4" s="19" t="inlineStr">
        <is>
          <t>Added</t>
        </is>
      </c>
    </row>
    <row r="5">
      <c r="A5" s="19" t="inlineStr">
        <is>
          <t>4. Закупка материалов</t>
        </is>
      </c>
      <c r="B5" s="19" t="inlineStr">
        <is>
          <t>Был запас, но не было правил округления закупки, MOQ и шагов заказа</t>
        </is>
      </c>
      <c r="C5" s="19" t="inlineStr">
        <is>
          <t>Генератор может посчитать правильный расход и все равно неверно заказать</t>
        </is>
      </c>
      <c r="D5" s="19" t="inlineStr">
        <is>
          <t>Добавлен PROCUREMENT_RULES</t>
        </is>
      </c>
      <c r="E5" s="21" t="inlineStr">
        <is>
          <t>Critical</t>
        </is>
      </c>
      <c r="F5" s="19" t="inlineStr">
        <is>
          <t>Added</t>
        </is>
      </c>
    </row>
    <row r="6">
      <c r="A6" s="19" t="inlineStr">
        <is>
          <t>5. Минимальные коммерческие пороги</t>
        </is>
      </c>
      <c r="B6" s="19" t="inlineStr">
        <is>
          <t>Не было minimum charge, mobilization, visit charge, floor для маленьких объектов</t>
        </is>
      </c>
      <c r="C6" s="19" t="inlineStr">
        <is>
          <t>Мелкие заказы будут системно недооценены</t>
        </is>
      </c>
      <c r="D6" s="19" t="inlineStr">
        <is>
          <t>Добавлен COMMERCIAL_POLICY</t>
        </is>
      </c>
      <c r="E6" s="21" t="inlineStr">
        <is>
          <t>Critical</t>
        </is>
      </c>
      <c r="F6" s="19" t="inlineStr">
        <is>
          <t>Added</t>
        </is>
      </c>
    </row>
    <row r="7">
      <c r="A7" s="19" t="inlineStr">
        <is>
          <t>6. Совместимость и автодобавления</t>
        </is>
      </c>
      <c r="B7" s="19" t="inlineStr">
        <is>
          <t>Не было явного слоя dependency/compatibility</t>
        </is>
      </c>
      <c r="C7" s="19" t="inlineStr">
        <is>
          <t>Смета может собрать невозможную комбинацию</t>
        </is>
      </c>
      <c r="D7" s="19" t="inlineStr">
        <is>
          <t>Добавлен DEPENDENCY_RULES</t>
        </is>
      </c>
      <c r="E7" s="21" t="inlineStr">
        <is>
          <t>High</t>
        </is>
      </c>
      <c r="F7" s="19" t="inlineStr">
        <is>
          <t>Added</t>
        </is>
      </c>
    </row>
    <row r="8">
      <c r="A8" s="19" t="inlineStr">
        <is>
          <t>7. Вывод клиенту</t>
        </is>
      </c>
      <c r="B8" s="19" t="inlineStr">
        <is>
          <t>Не было отдельной политики вывода по разделам и типам строк</t>
        </is>
      </c>
      <c r="C8" s="19" t="inlineStr">
        <is>
          <t>КП может быть либо перегружено, либо слишком пусто</t>
        </is>
      </c>
      <c r="D8" s="19" t="inlineStr">
        <is>
          <t>Добавлен OUTPUT_RULES</t>
        </is>
      </c>
      <c r="E8" s="21" t="inlineStr">
        <is>
          <t>Medium</t>
        </is>
      </c>
      <c r="F8" s="19" t="inlineStr">
        <is>
          <t>Added</t>
        </is>
      </c>
    </row>
    <row r="9">
      <c r="A9" s="19" t="inlineStr">
        <is>
          <t>8. Контроль качества данных</t>
        </is>
      </c>
      <c r="B9" s="19" t="inlineStr">
        <is>
          <t>Не было валидации обязательных полей и конфликтов</t>
        </is>
      </c>
      <c r="C9" s="19" t="inlineStr">
        <is>
          <t>Ошибки останутся тихими до момента отправки КП</t>
        </is>
      </c>
      <c r="D9" s="19" t="inlineStr">
        <is>
          <t>Добавлены VALIDATION_RULES и VALIDATION_EXAMPLE</t>
        </is>
      </c>
      <c r="E9" s="21" t="inlineStr">
        <is>
          <t>Critical</t>
        </is>
      </c>
      <c r="F9" s="19" t="inlineStr">
        <is>
          <t>Added</t>
        </is>
      </c>
    </row>
    <row r="10">
      <c r="A10" s="19" t="inlineStr">
        <is>
          <t>9. Юридические и коммерческие оговорки</t>
        </is>
      </c>
      <c r="B10" s="19" t="inlineStr">
        <is>
          <t>Не было библиотеки стандартных inclusion/exclusion/assumption</t>
        </is>
      </c>
      <c r="C10" s="19" t="inlineStr">
        <is>
          <t>Даже верная цифра без условий порождает спор с клиентом</t>
        </is>
      </c>
      <c r="D10" s="19" t="inlineStr">
        <is>
          <t>Добавлен EXCLUSIONS_LIBRARY</t>
        </is>
      </c>
      <c r="E10" s="21" t="inlineStr">
        <is>
          <t>High</t>
        </is>
      </c>
      <c r="F10" s="19" t="inlineStr">
        <is>
          <t>Added</t>
        </is>
      </c>
    </row>
    <row r="11">
      <c r="A11" s="19" t="inlineStr">
        <is>
          <t>10. Управление ценами</t>
        </is>
      </c>
      <c r="B11" s="19" t="inlineStr">
        <is>
          <t>В каталогах не хватало price source/validity/tax/lead time</t>
        </is>
      </c>
      <c r="C11" s="19" t="inlineStr">
        <is>
          <t>Нельзя контролировать устаревшие цены и происхождение цифры</t>
        </is>
      </c>
      <c r="D11" s="19" t="inlineStr">
        <is>
          <t>Расширены WORK_MASTER и MATERIAL_VARIANTS</t>
        </is>
      </c>
      <c r="E11" s="21" t="inlineStr">
        <is>
          <t>High</t>
        </is>
      </c>
      <c r="F11" s="19" t="inlineStr">
        <is>
          <t>Added</t>
        </is>
      </c>
    </row>
    <row r="12">
      <c r="A12" s="19" t="inlineStr">
        <is>
          <t>11. Внутренний и клиентский контур</t>
        </is>
      </c>
      <c r="B12" s="19" t="inlineStr">
        <is>
          <t>Не были разделены коммерческие коэффициенты и налоговый режим</t>
        </is>
      </c>
      <c r="C12" s="19" t="inlineStr">
        <is>
          <t>Смешивание sell-logic и tax приводит к двойному/нулевому НДС</t>
        </is>
      </c>
      <c r="D12" s="19" t="inlineStr">
        <is>
          <t>Добавлены TAX_MODES и логика VAT в примерах</t>
        </is>
      </c>
      <c r="E12" s="21" t="inlineStr">
        <is>
          <t>High</t>
        </is>
      </c>
      <c r="F12" s="19" t="inlineStr">
        <is>
          <t>Added</t>
        </is>
      </c>
    </row>
    <row r="13">
      <c r="A13" s="19" t="inlineStr">
        <is>
          <t>12. Итоговый пример расчета</t>
        </is>
      </c>
      <c r="B13" s="19" t="inlineStr">
        <is>
          <t>Пример был полезным, но не отражал полный расчетный стек</t>
        </is>
      </c>
      <c r="C13" s="19" t="inlineStr">
        <is>
          <t>Пользователь не видит, как сходятся все правила вместе</t>
        </is>
      </c>
      <c r="D13" s="19" t="inlineStr">
        <is>
          <t>Добавлен KP_ENGINE_V5_EXAMPLE</t>
        </is>
      </c>
      <c r="E13" s="21" t="inlineStr">
        <is>
          <t>Critical</t>
        </is>
      </c>
      <c r="F13" s="19" t="inlineStr">
        <is>
          <t>Added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4" customWidth="1" min="3" max="3"/>
    <col width="28" customWidth="1" min="4" max="4"/>
    <col width="18" customWidth="1" min="5" max="5"/>
    <col width="22" customWidth="1" min="6" max="6"/>
    <col width="28" customWidth="1" min="7" max="7"/>
    <col width="24" customWidth="1" min="8" max="8"/>
    <col width="20" customWidth="1" min="9" max="9"/>
  </cols>
  <sheetData>
    <row r="1">
      <c r="A1" s="4" t="inlineStr">
        <is>
          <t>StepNo</t>
        </is>
      </c>
      <c r="B1" s="4" t="inlineStr">
        <is>
          <t>Layer</t>
        </is>
      </c>
      <c r="C1" s="4" t="inlineStr">
        <is>
          <t>AppliedWhen</t>
        </is>
      </c>
      <c r="D1" s="4" t="inlineStr">
        <is>
          <t>RuleSource</t>
        </is>
      </c>
      <c r="E1" s="4" t="inlineStr">
        <is>
          <t>OutputField</t>
        </is>
      </c>
      <c r="F1" s="4" t="inlineStr">
        <is>
          <t>PriorityLogic</t>
        </is>
      </c>
      <c r="G1" s="4" t="inlineStr">
        <is>
          <t>FormulaSkeleton</t>
        </is>
      </c>
      <c r="H1" s="4" t="inlineStr">
        <is>
          <t>WhyNeeded</t>
        </is>
      </c>
      <c r="I1" s="4" t="inlineStr">
        <is>
          <t>Notes</t>
        </is>
      </c>
    </row>
    <row r="2">
      <c r="A2" s="19" t="n">
        <v>1</v>
      </c>
      <c r="B2" s="19" t="inlineStr">
        <is>
          <t>Direct override</t>
        </is>
      </c>
      <c r="C2" s="19" t="inlineStr">
        <is>
          <t>Если задан ManualOverridePrice или explicit PreferredVariantID</t>
        </is>
      </c>
      <c r="D2" s="19" t="inlineStr">
        <is>
          <t>WORK_VARIANTS / ручной ввод</t>
        </is>
      </c>
      <c r="E2" s="19" t="inlineStr">
        <is>
          <t>BaseUnitPrice / Variant</t>
        </is>
      </c>
      <c r="F2" s="19" t="inlineStr">
        <is>
          <t>Override всегда бьет базу</t>
        </is>
      </c>
      <c r="G2" s="19" t="inlineStr">
        <is>
          <t>Price = ManualOverridePrice</t>
        </is>
      </c>
      <c r="H2" s="19" t="inlineStr">
        <is>
          <t>Позволяет не ломать модель там, где коэффициентами не описать</t>
        </is>
      </c>
      <c r="I2" s="19" t="inlineStr">
        <is>
          <t>Для rare cases</t>
        </is>
      </c>
    </row>
    <row r="3">
      <c r="A3" s="19" t="n">
        <v>2</v>
      </c>
      <c r="B3" s="19" t="inlineStr">
        <is>
          <t>Variant resolution</t>
        </is>
      </c>
      <c r="C3" s="19" t="inlineStr">
        <is>
          <t>Когда есть Method/Variant/Tariff rules</t>
        </is>
      </c>
      <c r="D3" s="19" t="inlineStr">
        <is>
          <t>WORK_VARIANTS / MATERIAL_VARIANTS / *_TARIFF_RULES</t>
        </is>
      </c>
      <c r="E3" s="19" t="inlineStr">
        <is>
          <t>ResolvedVariantID / MethodCoeff</t>
        </is>
      </c>
      <c r="F3" s="19" t="inlineStr">
        <is>
          <t>Выбрать прямую цену варианта до общих коэффициентов</t>
        </is>
      </c>
      <c r="G3" s="19" t="inlineStr">
        <is>
          <t>Base = VariantPrice or MasterBasePrice</t>
        </is>
      </c>
      <c r="H3" s="19" t="inlineStr">
        <is>
          <t>Иначе база и вариант конфликтуют</t>
        </is>
      </c>
      <c r="I3" s="19" t="inlineStr"/>
    </row>
    <row r="4">
      <c r="A4" s="19" t="n">
        <v>3</v>
      </c>
      <c r="B4" s="19" t="inlineStr">
        <is>
          <t>Site factors</t>
        </is>
      </c>
      <c r="C4" s="19" t="inlineStr">
        <is>
          <t>Когда строка чувствительна к условиям участка</t>
        </is>
      </c>
      <c r="D4" s="19" t="inlineStr">
        <is>
          <t>WORK_FACTOR_APPLICABILITY / MATERIAL_FACTOR_APPLICABILITY / OBJECT_CONDITIONS</t>
        </is>
      </c>
      <c r="E4" s="19" t="inlineStr">
        <is>
          <t>SiteCoeff</t>
        </is>
      </c>
      <c r="F4" s="19" t="inlineStr">
        <is>
          <t>Только для чувствительных позиций</t>
        </is>
      </c>
      <c r="G4" s="19" t="inlineStr">
        <is>
          <t>Adj = 1 + Σ(weight*(coeff-1))</t>
        </is>
      </c>
      <c r="H4" s="19" t="inlineStr">
        <is>
          <t>Иначе будет двойной учет</t>
        </is>
      </c>
      <c r="I4" s="19" t="inlineStr"/>
    </row>
    <row r="5">
      <c r="A5" s="19" t="n">
        <v>4</v>
      </c>
      <c r="B5" s="19" t="inlineStr">
        <is>
          <t>Operating factors</t>
        </is>
      </c>
      <c r="C5" s="19" t="inlineStr">
        <is>
          <t>Дальность, сезон, срочность</t>
        </is>
      </c>
      <c r="D5" s="19" t="inlineStr">
        <is>
          <t>OPERATING_COEFFS / OBJECT_CONDITIONS</t>
        </is>
      </c>
      <c r="E5" s="19" t="inlineStr">
        <is>
          <t>OperatingCoeff</t>
        </is>
      </c>
      <c r="F5" s="19" t="inlineStr">
        <is>
          <t>Применять только к work/logistics и частично к material delivery</t>
        </is>
      </c>
      <c r="G5" s="19" t="inlineStr">
        <is>
          <t>Adj = Distance*Season*Urgency</t>
        </is>
      </c>
      <c r="H5" s="19" t="inlineStr">
        <is>
          <t>Учитывает эксплуатационную реальность</t>
        </is>
      </c>
      <c r="I5" s="19" t="inlineStr"/>
    </row>
    <row r="6">
      <c r="A6" s="19" t="n">
        <v>5</v>
      </c>
      <c r="B6" s="19" t="inlineStr">
        <is>
          <t>Tariff rules</t>
        </is>
      </c>
      <c r="C6" s="19" t="inlineStr">
        <is>
          <t>Всегда при выбранном тарифе</t>
        </is>
      </c>
      <c r="D6" s="19" t="inlineStr">
        <is>
          <t>TARIFF_PROFILES / *_TARIFF_RULES</t>
        </is>
      </c>
      <c r="E6" s="19" t="inlineStr">
        <is>
          <t>TariffCoeff / display</t>
        </is>
      </c>
      <c r="F6" s="19" t="inlineStr">
        <is>
          <t>Override строки сильнее профиля тарифа</t>
        </is>
      </c>
      <c r="G6" s="19" t="inlineStr">
        <is>
          <t>Adj = TariffOverride or TariffProfile</t>
        </is>
      </c>
      <c r="H6" s="19" t="inlineStr">
        <is>
          <t>Тариф меняет не только цену, но и вывод</t>
        </is>
      </c>
      <c r="I6" s="19" t="inlineStr"/>
    </row>
    <row r="7">
      <c r="A7" s="19" t="n">
        <v>6</v>
      </c>
      <c r="B7" s="19" t="inlineStr">
        <is>
          <t>Reserve / waste</t>
        </is>
      </c>
      <c r="C7" s="19" t="inlineStr">
        <is>
          <t>Только для материалов</t>
        </is>
      </c>
      <c r="D7" s="19" t="inlineStr">
        <is>
          <t>MATERIAL_ALLOWANCES + тариф bias</t>
        </is>
      </c>
      <c r="E7" s="19" t="inlineStr">
        <is>
          <t>ReserveCoeff</t>
        </is>
      </c>
      <c r="F7" s="19" t="inlineStr">
        <is>
          <t>Сначала физический расход, затем bias тарифа</t>
        </is>
      </c>
      <c r="G7" s="19" t="inlineStr">
        <is>
          <t>PurchaseNet = NetQty * ReserveCoeff</t>
        </is>
      </c>
      <c r="H7" s="19" t="inlineStr">
        <is>
          <t>Разных причин потерь нельзя смешивать</t>
        </is>
      </c>
      <c r="I7" s="19" t="inlineStr"/>
    </row>
    <row r="8">
      <c r="A8" s="19" t="n">
        <v>7</v>
      </c>
      <c r="B8" s="19" t="inlineStr">
        <is>
          <t>Procurement rounding</t>
        </is>
      </c>
      <c r="C8" s="19" t="inlineStr">
        <is>
          <t>Только для материалов/логистики</t>
        </is>
      </c>
      <c r="D8" s="19" t="inlineStr">
        <is>
          <t>PROCUREMENT_RULES</t>
        </is>
      </c>
      <c r="E8" s="19" t="inlineStr">
        <is>
          <t>PurchaseQty</t>
        </is>
      </c>
      <c r="F8" s="19" t="inlineStr">
        <is>
          <t>Округление после запаса</t>
        </is>
      </c>
      <c r="G8" s="19" t="inlineStr">
        <is>
          <t>PurchaseQty = ROUNDUP(...)</t>
        </is>
      </c>
      <c r="H8" s="19" t="inlineStr">
        <is>
          <t>Иначе расход верный, закупка неверная</t>
        </is>
      </c>
      <c r="I8" s="19" t="inlineStr"/>
    </row>
    <row r="9">
      <c r="A9" s="19" t="n">
        <v>8</v>
      </c>
      <c r="B9" s="19" t="inlineStr">
        <is>
          <t>Commercial floors</t>
        </is>
      </c>
      <c r="C9" s="19" t="inlineStr">
        <is>
          <t>Малые объекты, выезды, мобилизация</t>
        </is>
      </c>
      <c r="D9" s="19" t="inlineStr">
        <is>
          <t>COMMERCIAL_POLICY</t>
        </is>
      </c>
      <c r="E9" s="19" t="inlineStr">
        <is>
          <t>MinCharge / Mobilization</t>
        </is>
      </c>
      <c r="F9" s="19" t="inlineStr">
        <is>
          <t>После построчного расчета и до НДС</t>
        </is>
      </c>
      <c r="G9" s="19" t="inlineStr">
        <is>
          <t>Subtotal = MAX(sum, MinQuoteValue)+charges</t>
        </is>
      </c>
      <c r="H9" s="19" t="inlineStr">
        <is>
          <t>Иначе маленькие объекты убыточны</t>
        </is>
      </c>
      <c r="I9" s="19" t="inlineStr"/>
    </row>
    <row r="10">
      <c r="A10" s="19" t="n">
        <v>9</v>
      </c>
      <c r="B10" s="19" t="inlineStr">
        <is>
          <t>VAT / tax</t>
        </is>
      </c>
      <c r="C10" s="19" t="inlineStr">
        <is>
          <t>В конце</t>
        </is>
      </c>
      <c r="D10" s="19" t="inlineStr">
        <is>
          <t>TAX_MODES / OBJECT_CONDITIONS</t>
        </is>
      </c>
      <c r="E10" s="19" t="inlineStr">
        <is>
          <t>PriceIncVAT</t>
        </is>
      </c>
      <c r="F10" s="19" t="inlineStr">
        <is>
          <t>НДС последним слоем поверх ex VAT</t>
        </is>
      </c>
      <c r="G10" s="19" t="inlineStr">
        <is>
          <t>IncVAT = ExVAT*(1+VATRate)</t>
        </is>
      </c>
      <c r="H10" s="19" t="inlineStr">
        <is>
          <t>Иначе высокий риск двойного учета</t>
        </is>
      </c>
      <c r="I10" s="19" t="inlineStr"/>
    </row>
    <row r="11">
      <c r="A11" s="19" t="n">
        <v>10</v>
      </c>
      <c r="B11" s="19" t="inlineStr">
        <is>
          <t>Output assembly</t>
        </is>
      </c>
      <c r="C11" s="19" t="inlineStr">
        <is>
          <t>После расчета</t>
        </is>
      </c>
      <c r="D11" s="19" t="inlineStr">
        <is>
          <t>OUTPUT_RULES / EXCLUSIONS_LIBRARY</t>
        </is>
      </c>
      <c r="E11" s="19" t="inlineStr">
        <is>
          <t>Client lines and notes</t>
        </is>
      </c>
      <c r="F11" s="19" t="inlineStr">
        <is>
          <t>Не меняет математику, меняет упаковку</t>
        </is>
      </c>
      <c r="G11" s="19" t="inlineStr">
        <is>
          <t>Bundle, hide, reorder, append notes</t>
        </is>
      </c>
      <c r="H11" s="19" t="inlineStr">
        <is>
          <t>Иначе хороший расчет плохо продается</t>
        </is>
      </c>
      <c r="I11" s="19" t="inlineStr"/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2" customWidth="1" min="28" max="28"/>
    <col width="18" customWidth="1" min="29" max="29"/>
    <col width="18" customWidth="1" min="30" max="30"/>
    <col width="19" customWidth="1" min="31" max="31"/>
    <col width="20" customWidth="1" min="32" max="32"/>
    <col width="18" customWidth="1" min="33" max="33"/>
    <col width="19" customWidth="1" min="34" max="34"/>
    <col width="25" customWidth="1" min="35" max="35"/>
    <col width="18" customWidth="1" min="36" max="36"/>
    <col width="18" customWidth="1" min="37" max="37"/>
    <col width="18" customWidth="1" min="38" max="38"/>
  </cols>
  <sheetData>
    <row r="1">
      <c r="A1" s="3" t="inlineStr">
        <is>
          <t>Sections</t>
        </is>
      </c>
      <c r="B1" s="3" t="inlineStr">
        <is>
          <t>PositionTypes</t>
        </is>
      </c>
      <c r="C1" s="3" t="inlineStr">
        <is>
          <t>Units</t>
        </is>
      </c>
      <c r="D1" s="3" t="inlineStr">
        <is>
          <t>DisplayModes</t>
        </is>
      </c>
      <c r="E1" s="3" t="inlineStr">
        <is>
          <t>ExecutionMethods</t>
        </is>
      </c>
      <c r="F1" s="3" t="inlineStr">
        <is>
          <t>PricingModels</t>
        </is>
      </c>
      <c r="G1" s="3" t="inlineStr">
        <is>
          <t>YesNo</t>
        </is>
      </c>
      <c r="H1" s="3" t="inlineStr">
        <is>
          <t>EntityTypes</t>
        </is>
      </c>
      <c r="I1" s="3" t="inlineStr">
        <is>
          <t>MappingConfidence</t>
        </is>
      </c>
      <c r="J1" s="3" t="inlineStr">
        <is>
          <t>MappingStatus</t>
        </is>
      </c>
      <c r="K1" s="3" t="inlineStr">
        <is>
          <t>LoadClass</t>
        </is>
      </c>
      <c r="L1" s="3" t="inlineStr">
        <is>
          <t>Surface</t>
        </is>
      </c>
      <c r="M1" s="3" t="inlineStr">
        <is>
          <t>EdgeType</t>
        </is>
      </c>
      <c r="N1" s="3" t="inlineStr">
        <is>
          <t>Colors</t>
        </is>
      </c>
      <c r="O1" s="3" t="inlineStr">
        <is>
          <t>MaterialTypes</t>
        </is>
      </c>
      <c r="P1" s="4" t="inlineStr">
        <is>
          <t>SoilWorkability</t>
        </is>
      </c>
      <c r="Q1" s="4" t="inlineStr">
        <is>
          <t>SoilMoisture</t>
        </is>
      </c>
      <c r="R1" s="4" t="inlineStr">
        <is>
          <t>DebrisLevel</t>
        </is>
      </c>
      <c r="S1" s="4" t="inlineStr">
        <is>
          <t>SlopeClass</t>
        </is>
      </c>
      <c r="T1" s="4" t="inlineStr">
        <is>
          <t>UnevennessClass</t>
        </is>
      </c>
      <c r="U1" s="4" t="inlineStr">
        <is>
          <t>AccessClass</t>
        </is>
      </c>
      <c r="V1" s="4" t="inlineStr">
        <is>
          <t>TurnSpace</t>
        </is>
      </c>
      <c r="W1" s="4" t="inlineStr">
        <is>
          <t>ProximityClass</t>
        </is>
      </c>
      <c r="X1" s="4" t="inlineStr">
        <is>
          <t>MachineryAllowed</t>
        </is>
      </c>
      <c r="Y1" s="4" t="inlineStr">
        <is>
          <t>RuleAction</t>
        </is>
      </c>
      <c r="Z1" s="4" t="inlineStr">
        <is>
          <t>RuleScope</t>
        </is>
      </c>
      <c r="AB1" s="4" t="inlineStr">
        <is>
          <t>ConditionFields</t>
        </is>
      </c>
      <c r="AC1" s="3" t="inlineStr">
        <is>
          <t>AllowanceGroups</t>
        </is>
      </c>
      <c r="AD1" s="3" t="inlineStr">
        <is>
          <t>AllowanceTypes</t>
        </is>
      </c>
      <c r="AE1" s="3" t="inlineStr">
        <is>
          <t>MaterialCalcModes</t>
        </is>
      </c>
      <c r="AF1" s="3" t="inlineStr">
        <is>
          <t>GeometryComplexity</t>
        </is>
      </c>
      <c r="AG1" s="3" t="inlineStr">
        <is>
          <t>PurchaseUnits</t>
        </is>
      </c>
      <c r="AH1" s="3" t="inlineStr">
        <is>
          <t>MaterialScopeType</t>
        </is>
      </c>
      <c r="AI1" s="3" t="inlineStr">
        <is>
          <t>MaterialConditionFields</t>
        </is>
      </c>
      <c r="AJ1" s="3" t="inlineStr">
        <is>
          <t>Tariffs</t>
        </is>
      </c>
      <c r="AK1" s="3" t="inlineStr">
        <is>
          <t>TariffScope</t>
        </is>
      </c>
      <c r="AL1" s="3" t="inlineStr">
        <is>
          <t>TariffDisplayMode</t>
        </is>
      </c>
      <c r="AM1" t="inlineStr">
        <is>
          <t>SeasonClass</t>
        </is>
      </c>
      <c r="AN1" t="inlineStr">
        <is>
          <t>UrgencyClass</t>
        </is>
      </c>
      <c r="AO1" t="inlineStr">
        <is>
          <t>DistanceClass</t>
        </is>
      </c>
      <c r="AP1" t="inlineStr">
        <is>
          <t>TaxModes</t>
        </is>
      </c>
      <c r="AQ1" t="inlineStr">
        <is>
          <t>RoundingModes</t>
        </is>
      </c>
      <c r="AR1" t="inlineStr">
        <is>
          <t>PurchaseRoundBasis</t>
        </is>
      </c>
      <c r="AS1" t="inlineStr">
        <is>
          <t>Severity</t>
        </is>
      </c>
      <c r="AT1" t="inlineStr">
        <is>
          <t>ValidationRuleType</t>
        </is>
      </c>
      <c r="AU1" t="inlineStr">
        <is>
          <t>KPLineTypes</t>
        </is>
      </c>
      <c r="AV1" t="inlineStr">
        <is>
          <t>BundleModes</t>
        </is>
      </c>
      <c r="AW1" t="inlineStr">
        <is>
          <t>InclusionType</t>
        </is>
      </c>
      <c r="AX1" t="inlineStr">
        <is>
          <t>ApprovalLevel</t>
        </is>
      </c>
      <c r="AY1" t="inlineStr">
        <is>
          <t>PriceSourceType</t>
        </is>
      </c>
      <c r="AZ1" t="inlineStr">
        <is>
          <t>SortProfile</t>
        </is>
      </c>
    </row>
    <row r="2">
      <c r="A2" t="inlineStr">
        <is>
          <t>Мощение</t>
        </is>
      </c>
      <c r="B2" t="inlineStr">
        <is>
          <t>Работа</t>
        </is>
      </c>
      <c r="C2" t="inlineStr">
        <is>
          <t>м2</t>
        </is>
      </c>
      <c r="D2" t="inlineStr">
        <is>
          <t>Показать строкой</t>
        </is>
      </c>
      <c r="E2" t="inlineStr">
        <is>
          <t>Стандарт</t>
        </is>
      </c>
      <c r="F2" t="inlineStr">
        <is>
          <t>за м2</t>
        </is>
      </c>
      <c r="G2" t="inlineStr">
        <is>
          <t>Да</t>
        </is>
      </c>
      <c r="H2" t="inlineStr">
        <is>
          <t>Work</t>
        </is>
      </c>
      <c r="I2" t="inlineStr">
        <is>
          <t>High</t>
        </is>
      </c>
      <c r="J2" t="inlineStr">
        <is>
          <t>Approved</t>
        </is>
      </c>
      <c r="K2" t="inlineStr">
        <is>
          <t>Пешеходная</t>
        </is>
      </c>
      <c r="L2" t="inlineStr">
        <is>
          <t>Гладкая</t>
        </is>
      </c>
      <c r="M2" t="inlineStr">
        <is>
          <t>Без фаски</t>
        </is>
      </c>
      <c r="N2" t="inlineStr">
        <is>
          <t>Серый</t>
        </is>
      </c>
      <c r="O2" t="inlineStr">
        <is>
          <t>Покрытие</t>
        </is>
      </c>
      <c r="P2" s="5" t="inlineStr">
        <is>
          <t>Лёгкая</t>
        </is>
      </c>
      <c r="Q2" s="5" t="inlineStr">
        <is>
          <t>Сухая</t>
        </is>
      </c>
      <c r="R2" s="5" t="inlineStr">
        <is>
          <t>Нет</t>
        </is>
      </c>
      <c r="S2" s="5" t="inlineStr">
        <is>
          <t>0-3%</t>
        </is>
      </c>
      <c r="T2" s="5" t="inlineStr">
        <is>
          <t>Низкая</t>
        </is>
      </c>
      <c r="U2" s="5" t="inlineStr">
        <is>
          <t>Свободный</t>
        </is>
      </c>
      <c r="V2" s="5" t="inlineStr">
        <is>
          <t>Достаточно</t>
        </is>
      </c>
      <c r="W2" s="5" t="inlineStr">
        <is>
          <t>Нет влияния</t>
        </is>
      </c>
      <c r="X2" s="5" t="inlineStr">
        <is>
          <t>Да</t>
        </is>
      </c>
      <c r="Y2" s="5" t="inlineStr">
        <is>
          <t>ForceMethod</t>
        </is>
      </c>
      <c r="Z2" s="5" t="inlineStr">
        <is>
          <t>Work</t>
        </is>
      </c>
      <c r="AB2" s="5" t="inlineStr">
        <is>
          <t>SoilWorkability</t>
        </is>
      </c>
      <c r="AC2" t="inlineStr">
        <is>
          <t>Сыпучие с уплотнением</t>
        </is>
      </c>
      <c r="AD2" t="inlineStr">
        <is>
          <t>Разрыхление/уплотнение</t>
        </is>
      </c>
      <c r="AE2" t="inlineStr">
        <is>
          <t>NetQty x BaseReserveCoeff</t>
        </is>
      </c>
      <c r="AF2" t="inlineStr">
        <is>
          <t>Простая</t>
        </is>
      </c>
      <c r="AG2" t="inlineStr">
        <is>
          <t>м2</t>
        </is>
      </c>
      <c r="AH2" t="inlineStr">
        <is>
          <t>MaterialType</t>
        </is>
      </c>
      <c r="AI2" t="inlineStr">
        <is>
          <t>GeometryComplexity</t>
        </is>
      </c>
      <c r="AJ2" t="inlineStr">
        <is>
          <t>Эконом</t>
        </is>
      </c>
      <c r="AK2" t="inlineStr">
        <is>
          <t>Work</t>
        </is>
      </c>
      <c r="AL2" t="inlineStr">
        <is>
          <t>Свернуть в раздел</t>
        </is>
      </c>
      <c r="AM2" t="inlineStr">
        <is>
          <t>Низкий сезон</t>
        </is>
      </c>
      <c r="AN2" t="inlineStr">
        <is>
          <t>Планово</t>
        </is>
      </c>
      <c r="AO2" t="inlineStr">
        <is>
          <t>До 10 км</t>
        </is>
      </c>
      <c r="AP2" t="inlineStr">
        <is>
          <t>Без НДС</t>
        </is>
      </c>
      <c r="AQ2" t="inlineStr">
        <is>
          <t>UP</t>
        </is>
      </c>
      <c r="AR2" t="inlineStr">
        <is>
          <t>По упаковке</t>
        </is>
      </c>
      <c r="AS2" t="inlineStr">
        <is>
          <t>Info</t>
        </is>
      </c>
      <c r="AT2" t="inlineStr">
        <is>
          <t>Required</t>
        </is>
      </c>
      <c r="AU2" t="inlineStr">
        <is>
          <t>Work</t>
        </is>
      </c>
      <c r="AV2" t="inlineStr">
        <is>
          <t>Минимум</t>
        </is>
      </c>
      <c r="AW2" t="inlineStr">
        <is>
          <t>Inclusion</t>
        </is>
      </c>
      <c r="AX2" t="inlineStr">
        <is>
          <t>Менеджер</t>
        </is>
      </c>
      <c r="AY2" t="inlineStr">
        <is>
          <t>Прайс поставщика</t>
        </is>
      </c>
      <c r="AZ2" t="inlineStr">
        <is>
          <t>Эконом</t>
        </is>
      </c>
    </row>
    <row r="3">
      <c r="A3" t="inlineStr">
        <is>
          <t>Газон</t>
        </is>
      </c>
      <c r="B3" t="inlineStr">
        <is>
          <t>Материал</t>
        </is>
      </c>
      <c r="C3" t="inlineStr">
        <is>
          <t>м.п.</t>
        </is>
      </c>
      <c r="D3" t="inlineStr">
        <is>
          <t>Свернуть в раздел</t>
        </is>
      </c>
      <c r="E3" t="inlineStr">
        <is>
          <t>Ручной</t>
        </is>
      </c>
      <c r="F3" t="inlineStr">
        <is>
          <t>за м.п.</t>
        </is>
      </c>
      <c r="G3" t="inlineStr">
        <is>
          <t>Нет</t>
        </is>
      </c>
      <c r="H3" t="inlineStr">
        <is>
          <t>Material</t>
        </is>
      </c>
      <c r="I3" t="inlineStr">
        <is>
          <t>Medium</t>
        </is>
      </c>
      <c r="J3" t="inlineStr">
        <is>
          <t>Review</t>
        </is>
      </c>
      <c r="K3" t="inlineStr">
        <is>
          <t>Легковой транспорт</t>
        </is>
      </c>
      <c r="L3" t="inlineStr">
        <is>
          <t>Фактурная</t>
        </is>
      </c>
      <c r="M3" t="inlineStr">
        <is>
          <t>С фаской</t>
        </is>
      </c>
      <c r="N3" t="inlineStr">
        <is>
          <t>Красный</t>
        </is>
      </c>
      <c r="O3" t="inlineStr">
        <is>
          <t>Сыпучий материал</t>
        </is>
      </c>
      <c r="P3" s="5" t="inlineStr">
        <is>
          <t>Средняя</t>
        </is>
      </c>
      <c r="Q3" s="5" t="inlineStr">
        <is>
          <t>Нормальная</t>
        </is>
      </c>
      <c r="R3" s="5" t="inlineStr">
        <is>
          <t>Умеренно</t>
        </is>
      </c>
      <c r="S3" s="5" t="inlineStr">
        <is>
          <t>3-8%</t>
        </is>
      </c>
      <c r="T3" s="5" t="inlineStr">
        <is>
          <t>Средняя</t>
        </is>
      </c>
      <c r="U3" s="5" t="inlineStr">
        <is>
          <t>Ограниченный</t>
        </is>
      </c>
      <c r="V3" s="5" t="inlineStr">
        <is>
          <t>Ограниченно</t>
        </is>
      </c>
      <c r="W3" s="5" t="inlineStr">
        <is>
          <t>Близко</t>
        </is>
      </c>
      <c r="X3" s="5" t="inlineStr">
        <is>
          <t>Частично</t>
        </is>
      </c>
      <c r="Y3" s="5" t="inlineStr">
        <is>
          <t>PreferMethod</t>
        </is>
      </c>
      <c r="Z3" s="5" t="inlineStr">
        <is>
          <t>Section</t>
        </is>
      </c>
      <c r="AB3" s="5" t="inlineStr">
        <is>
          <t>SoilMoisture</t>
        </is>
      </c>
      <c r="AC3" t="inlineStr">
        <is>
          <t>Сыпучие без уплотнения</t>
        </is>
      </c>
      <c r="AD3" t="inlineStr">
        <is>
          <t>Запас на подрезку</t>
        </is>
      </c>
      <c r="AE3" t="inlineStr">
        <is>
          <t>NetQty x BaseReserveCoeff x SiteReserveCoeff</t>
        </is>
      </c>
      <c r="AF3" t="inlineStr">
        <is>
          <t>Средняя</t>
        </is>
      </c>
      <c r="AG3" t="inlineStr">
        <is>
          <t>шт</t>
        </is>
      </c>
      <c r="AH3" t="inlineStr">
        <is>
          <t>MaterialFamily</t>
        </is>
      </c>
      <c r="AI3" t="inlineStr">
        <is>
          <t>SlopeClass</t>
        </is>
      </c>
      <c r="AJ3" t="inlineStr">
        <is>
          <t>Стандарт</t>
        </is>
      </c>
      <c r="AK3" t="inlineStr">
        <is>
          <t>Material</t>
        </is>
      </c>
      <c r="AL3" t="inlineStr">
        <is>
          <t>Показать строкой</t>
        </is>
      </c>
      <c r="AM3" t="inlineStr">
        <is>
          <t>Базовый сезон</t>
        </is>
      </c>
      <c r="AN3" t="inlineStr">
        <is>
          <t>Ускоренно</t>
        </is>
      </c>
      <c r="AO3" t="inlineStr">
        <is>
          <t>10-30 км</t>
        </is>
      </c>
      <c r="AP3" t="inlineStr">
        <is>
          <t>С НДС 20%</t>
        </is>
      </c>
      <c r="AQ3" t="inlineStr">
        <is>
          <t>NEAREST</t>
        </is>
      </c>
      <c r="AR3" t="inlineStr">
        <is>
          <t>По паллете</t>
        </is>
      </c>
      <c r="AS3" t="inlineStr">
        <is>
          <t>Warn</t>
        </is>
      </c>
      <c r="AT3" t="inlineStr">
        <is>
          <t>AllowedList</t>
        </is>
      </c>
      <c r="AU3" t="inlineStr">
        <is>
          <t>Material</t>
        </is>
      </c>
      <c r="AV3" t="inlineStr">
        <is>
          <t>База</t>
        </is>
      </c>
      <c r="AW3" t="inlineStr">
        <is>
          <t>Exclusion</t>
        </is>
      </c>
      <c r="AX3" t="inlineStr">
        <is>
          <t>Прораб</t>
        </is>
      </c>
      <c r="AY3" t="inlineStr">
        <is>
          <t>Историческая цена</t>
        </is>
      </c>
      <c r="AZ3" t="inlineStr">
        <is>
          <t>Стандарт</t>
        </is>
      </c>
    </row>
    <row r="4">
      <c r="A4" t="inlineStr">
        <is>
          <t>Дренаж</t>
        </is>
      </c>
      <c r="B4" t="inlineStr">
        <is>
          <t>Техника</t>
        </is>
      </c>
      <c r="C4" t="inlineStr">
        <is>
          <t>шт</t>
        </is>
      </c>
      <c r="D4" t="inlineStr">
        <is>
          <t>Скрыть из клиентской версии</t>
        </is>
      </c>
      <c r="E4" t="inlineStr">
        <is>
          <t>Механизированный</t>
        </is>
      </c>
      <c r="F4" t="inlineStr">
        <is>
          <t>за шт</t>
        </is>
      </c>
      <c r="I4" t="inlineStr">
        <is>
          <t>Low</t>
        </is>
      </c>
      <c r="J4" t="inlineStr">
        <is>
          <t>Draft</t>
        </is>
      </c>
      <c r="K4" t="inlineStr">
        <is>
          <t>Повышенная нагрузка</t>
        </is>
      </c>
      <c r="L4" t="inlineStr">
        <is>
          <t>Не задано</t>
        </is>
      </c>
      <c r="M4" t="inlineStr">
        <is>
          <t>Не задано</t>
        </is>
      </c>
      <c r="N4" t="inlineStr">
        <is>
          <t>Коричневый</t>
        </is>
      </c>
      <c r="O4" t="inlineStr">
        <is>
          <t>Бортовой элемент</t>
        </is>
      </c>
      <c r="P4" s="5" t="inlineStr">
        <is>
          <t>Тяжёлая</t>
        </is>
      </c>
      <c r="Q4" s="5" t="inlineStr">
        <is>
          <t>Влажная</t>
        </is>
      </c>
      <c r="R4" s="5" t="inlineStr">
        <is>
          <t>Высоко</t>
        </is>
      </c>
      <c r="S4" s="5" t="inlineStr">
        <is>
          <t>8-15%</t>
        </is>
      </c>
      <c r="T4" s="5" t="inlineStr">
        <is>
          <t>Высокая</t>
        </is>
      </c>
      <c r="U4" s="5" t="inlineStr">
        <is>
          <t>Очень стеснённый</t>
        </is>
      </c>
      <c r="V4" s="5" t="inlineStr">
        <is>
          <t>Нет</t>
        </is>
      </c>
      <c r="W4" s="5" t="inlineStr">
        <is>
          <t>Очень близко</t>
        </is>
      </c>
      <c r="X4" s="5" t="inlineStr">
        <is>
          <t>Нет</t>
        </is>
      </c>
      <c r="Y4" s="5" t="inlineStr">
        <is>
          <t>AddNote</t>
        </is>
      </c>
      <c r="Z4" s="5" t="inlineStr">
        <is>
          <t>Material</t>
        </is>
      </c>
      <c r="AB4" s="5" t="inlineStr">
        <is>
          <t>DebrisLevel</t>
        </is>
      </c>
      <c r="AC4" t="inlineStr">
        <is>
          <t>Штучное покрытие</t>
        </is>
      </c>
      <c r="AD4" t="inlineStr">
        <is>
          <t>Запас на нахлест</t>
        </is>
      </c>
      <c r="AE4" t="inlineStr">
        <is>
          <t>DesignCompactedVolume x BaseReserveCoeff</t>
        </is>
      </c>
      <c r="AF4" t="inlineStr">
        <is>
          <t>Сложная</t>
        </is>
      </c>
      <c r="AG4" t="inlineStr">
        <is>
          <t>рулон</t>
        </is>
      </c>
      <c r="AH4" t="inlineStr">
        <is>
          <t>MaterialID</t>
        </is>
      </c>
      <c r="AI4" t="inlineStr">
        <is>
          <t>SurfaceUnevenness</t>
        </is>
      </c>
      <c r="AJ4" t="inlineStr">
        <is>
          <t>Премиум</t>
        </is>
      </c>
      <c r="AK4" t="inlineStr">
        <is>
          <t>Section</t>
        </is>
      </c>
      <c r="AL4" t="inlineStr">
        <is>
          <t>Показать строкой</t>
        </is>
      </c>
      <c r="AM4" t="inlineStr">
        <is>
          <t>Высокий сезон</t>
        </is>
      </c>
      <c r="AN4" t="inlineStr">
        <is>
          <t>Срочно</t>
        </is>
      </c>
      <c r="AO4" t="inlineStr">
        <is>
          <t>30-60 км</t>
        </is>
      </c>
      <c r="AP4" t="inlineStr">
        <is>
          <t>С НДС 10%</t>
        </is>
      </c>
      <c r="AQ4" t="inlineStr">
        <is>
          <t>DOWN</t>
        </is>
      </c>
      <c r="AR4" t="inlineStr">
        <is>
          <t>По рулону/листу</t>
        </is>
      </c>
      <c r="AS4" t="inlineStr">
        <is>
          <t>Block</t>
        </is>
      </c>
      <c r="AT4" t="inlineStr">
        <is>
          <t>NonNegative</t>
        </is>
      </c>
      <c r="AU4" t="inlineStr">
        <is>
          <t>Logistics</t>
        </is>
      </c>
      <c r="AV4" t="inlineStr">
        <is>
          <t>Детально</t>
        </is>
      </c>
      <c r="AW4" t="inlineStr">
        <is>
          <t>Assumption</t>
        </is>
      </c>
      <c r="AX4" t="inlineStr">
        <is>
          <t>Финдир</t>
        </is>
      </c>
      <c r="AY4" t="inlineStr">
        <is>
          <t>Ручной ввод</t>
        </is>
      </c>
      <c r="AZ4" t="inlineStr">
        <is>
          <t>Премиум</t>
        </is>
      </c>
    </row>
    <row r="5">
      <c r="A5" t="inlineStr">
        <is>
          <t>Ливневая канализация</t>
        </is>
      </c>
      <c r="B5" t="inlineStr">
        <is>
          <t>Логистика</t>
        </is>
      </c>
      <c r="C5" t="inlineStr">
        <is>
          <t>м3</t>
        </is>
      </c>
      <c r="E5" t="inlineStr">
        <is>
          <t>Смешанный</t>
        </is>
      </c>
      <c r="F5" t="inlineStr">
        <is>
          <t>за м3</t>
        </is>
      </c>
      <c r="K5" t="inlineStr">
        <is>
          <t>Не задан</t>
        </is>
      </c>
      <c r="N5" t="inlineStr">
        <is>
          <t>Черный</t>
        </is>
      </c>
      <c r="O5" t="inlineStr">
        <is>
          <t>Сетка / текстиль</t>
        </is>
      </c>
      <c r="P5" s="5" t="inlineStr">
        <is>
          <t>Очень тяжёлая</t>
        </is>
      </c>
      <c r="Q5" s="5" t="inlineStr">
        <is>
          <t>Переувлажнённая</t>
        </is>
      </c>
      <c r="S5" s="5" t="inlineStr">
        <is>
          <t>&gt;15%</t>
        </is>
      </c>
      <c r="Y5" s="5" t="inlineStr">
        <is>
          <t>AddWork</t>
        </is>
      </c>
      <c r="AB5" s="5" t="inlineStr">
        <is>
          <t>SlopeClass</t>
        </is>
      </c>
      <c r="AC5" t="inlineStr">
        <is>
          <t>Рулонный текстиль</t>
        </is>
      </c>
      <c r="AD5" t="inlineStr">
        <is>
          <t>Запас на стыковку/подгонку</t>
        </is>
      </c>
      <c r="AE5" t="inlineStr">
        <is>
          <t>DesignCompactedVolume x BaseReserveCoeff x SiteReserveCoeff</t>
        </is>
      </c>
      <c r="AF5" t="inlineStr">
        <is>
          <t>Очень сложная</t>
        </is>
      </c>
      <c r="AG5" t="inlineStr">
        <is>
          <t>лист</t>
        </is>
      </c>
      <c r="AH5" t="inlineStr">
        <is>
          <t>AllowanceGroup</t>
        </is>
      </c>
      <c r="AI5" t="inlineStr">
        <is>
          <t>AccessClass</t>
        </is>
      </c>
      <c r="AM5" t="inlineStr">
        <is>
          <t>Зимние условия</t>
        </is>
      </c>
      <c r="AO5" t="inlineStr">
        <is>
          <t>60+ км</t>
        </is>
      </c>
      <c r="AR5" t="inlineStr">
        <is>
          <t>По рейсу</t>
        </is>
      </c>
      <c r="AT5" t="inlineStr">
        <is>
          <t>Compatibility</t>
        </is>
      </c>
      <c r="AU5" t="inlineStr">
        <is>
          <t>Overhead</t>
        </is>
      </c>
      <c r="AX5" t="inlineStr">
        <is>
          <t>Руководитель</t>
        </is>
      </c>
      <c r="AY5" t="inlineStr">
        <is>
          <t>Расчетная</t>
        </is>
      </c>
      <c r="AZ5" t="inlineStr">
        <is>
          <t>Внутренний</t>
        </is>
      </c>
    </row>
    <row r="6">
      <c r="A6" t="inlineStr">
        <is>
          <t>Освещение</t>
        </is>
      </c>
      <c r="B6" t="inlineStr">
        <is>
          <t>Накладные</t>
        </is>
      </c>
      <c r="C6" t="inlineStr">
        <is>
          <t>компл</t>
        </is>
      </c>
      <c r="F6" t="inlineStr">
        <is>
          <t>фикс</t>
        </is>
      </c>
      <c r="N6" t="inlineStr">
        <is>
          <t>Не задано</t>
        </is>
      </c>
      <c r="O6" t="inlineStr">
        <is>
          <t>Прочее</t>
        </is>
      </c>
      <c r="Y6" s="5" t="inlineStr">
        <is>
          <t>AddMaterial</t>
        </is>
      </c>
      <c r="AB6" s="5" t="inlineStr">
        <is>
          <t>SurfaceUnevenness</t>
        </is>
      </c>
      <c r="AC6" t="inlineStr">
        <is>
          <t>Рулонный газон / турф</t>
        </is>
      </c>
      <c r="AD6" t="inlineStr">
        <is>
          <t>Бой/технологический запас</t>
        </is>
      </c>
      <c r="AG6" t="inlineStr">
        <is>
          <t>пачка</t>
        </is>
      </c>
      <c r="AI6" t="inlineStr">
        <is>
          <t>ProximityToBuildings</t>
        </is>
      </c>
      <c r="AR6" t="inlineStr">
        <is>
          <t>Без округления</t>
        </is>
      </c>
      <c r="AT6" t="inlineStr">
        <is>
          <t>Flag</t>
        </is>
      </c>
      <c r="AU6" t="inlineStr">
        <is>
          <t>Service</t>
        </is>
      </c>
    </row>
    <row r="7">
      <c r="A7" t="inlineStr">
        <is>
          <t>Земляные и планировочные работы</t>
        </is>
      </c>
      <c r="B7" t="inlineStr">
        <is>
          <t>Услуга</t>
        </is>
      </c>
      <c r="C7" t="inlineStr">
        <is>
          <t>смена</t>
        </is>
      </c>
      <c r="F7" t="inlineStr">
        <is>
          <t>%</t>
        </is>
      </c>
      <c r="O7" t="inlineStr">
        <is>
          <t>Пленка / мембрана</t>
        </is>
      </c>
      <c r="AB7" s="5" t="inlineStr">
        <is>
          <t>AccessClass</t>
        </is>
      </c>
      <c r="AC7" t="inlineStr">
        <is>
          <t>Пленка / мембрана</t>
        </is>
      </c>
      <c r="AD7" t="inlineStr">
        <is>
          <t>Торцовка/раскрой</t>
        </is>
      </c>
      <c r="AG7" t="inlineStr">
        <is>
          <t>м3</t>
        </is>
      </c>
    </row>
    <row r="8">
      <c r="A8" t="inlineStr">
        <is>
          <t>Ступени / пандусы / бетонные элементы</t>
        </is>
      </c>
      <c r="C8" t="inlineStr">
        <is>
          <t>%</t>
        </is>
      </c>
      <c r="F8" t="inlineStr">
        <is>
          <t>по запросу</t>
        </is>
      </c>
      <c r="O8" t="inlineStr">
        <is>
          <t>Погонаж / доска</t>
        </is>
      </c>
      <c r="AB8" s="5" t="inlineStr">
        <is>
          <t>TurnSpace</t>
        </is>
      </c>
      <c r="AC8" t="inlineStr">
        <is>
          <t>Погонаж / доска</t>
        </is>
      </c>
      <c r="AD8" t="inlineStr">
        <is>
          <t>Технологический запас</t>
        </is>
      </c>
      <c r="AG8" t="inlineStr">
        <is>
          <t>м.п.</t>
        </is>
      </c>
    </row>
    <row r="9">
      <c r="A9" t="inlineStr">
        <is>
          <t>Закладные / коммуникации</t>
        </is>
      </c>
      <c r="C9" t="inlineStr">
        <is>
          <t>усл.</t>
        </is>
      </c>
      <c r="O9" t="inlineStr">
        <is>
          <t>Рулонный газон</t>
        </is>
      </c>
      <c r="AB9" s="5" t="inlineStr">
        <is>
          <t>ProximityToBuildings</t>
        </is>
      </c>
      <c r="AC9" t="inlineStr">
        <is>
          <t>Линейный / штучный без существенной подрезки</t>
        </is>
      </c>
    </row>
    <row r="10">
      <c r="A10" t="inlineStr">
        <is>
          <t>Демонтаж и расчистка</t>
        </is>
      </c>
      <c r="C10" t="inlineStr">
        <is>
          <t>м</t>
        </is>
      </c>
      <c r="AB10" s="5" t="inlineStr">
        <is>
          <t>MachineryAllowed</t>
        </is>
      </c>
    </row>
    <row r="11">
      <c r="A11" t="inlineStr">
        <is>
          <t>Посадки и уход</t>
        </is>
      </c>
      <c r="C11" t="inlineStr">
        <is>
          <t>т</t>
        </is>
      </c>
    </row>
    <row r="12">
      <c r="A12" t="inlineStr">
        <is>
          <t>Полив</t>
        </is>
      </c>
      <c r="C12" t="inlineStr">
        <is>
          <t>кг</t>
        </is>
      </c>
    </row>
    <row r="13">
      <c r="A13" t="inlineStr">
        <is>
          <t>Вывоз и утилизация</t>
        </is>
      </c>
      <c r="C13" t="inlineStr">
        <is>
          <t>рулон</t>
        </is>
      </c>
    </row>
    <row r="14">
      <c r="A14" t="inlineStr">
        <is>
          <t>Временные сооружения и обеспечение</t>
        </is>
      </c>
      <c r="C14" t="inlineStr">
        <is>
          <t>лист</t>
        </is>
      </c>
    </row>
    <row r="15">
      <c r="A15" t="inlineStr">
        <is>
          <t>Логистика и снабжение</t>
        </is>
      </c>
      <c r="C15" t="inlineStr">
        <is>
          <t>пачка</t>
        </is>
      </c>
    </row>
    <row r="16">
      <c r="A16" t="inlineStr">
        <is>
          <t>Накладные / коэффициенты</t>
        </is>
      </c>
    </row>
    <row r="17">
      <c r="A17" t="inlineStr">
        <is>
          <t>Сопровождение проекта / услуги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0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28" customWidth="1" min="4" max="4"/>
    <col width="24" customWidth="1" min="5" max="5"/>
    <col width="16" customWidth="1" min="6" max="6"/>
    <col width="10" customWidth="1" min="7" max="7"/>
    <col width="14" customWidth="1" min="8" max="8"/>
    <col width="12" customWidth="1" min="9" max="9"/>
    <col width="16" customWidth="1" min="10" max="10"/>
    <col width="24" customWidth="1" min="11" max="11"/>
    <col width="28" customWidth="1" min="12" max="12"/>
    <col width="16" customWidth="1" min="13" max="13"/>
    <col width="10" customWidth="1" min="14" max="14"/>
    <col width="30" customWidth="1" min="15" max="15"/>
    <col width="14" customWidth="1" min="16" max="16"/>
    <col width="16" customWidth="1" min="17" max="17"/>
    <col width="14" customWidth="1" min="18" max="18"/>
    <col width="14" customWidth="1" min="19" max="19"/>
    <col width="12" customWidth="1" min="20" max="20"/>
    <col width="14" customWidth="1" min="21" max="21"/>
    <col width="12" customWidth="1" min="22" max="22"/>
  </cols>
  <sheetData>
    <row r="1">
      <c r="A1" s="4" t="inlineStr">
        <is>
          <t>WorkID</t>
        </is>
      </c>
      <c r="B1" s="4" t="inlineStr">
        <is>
          <t>CanonicalWork</t>
        </is>
      </c>
      <c r="C1" s="4" t="inlineStr">
        <is>
          <t>CommercialName</t>
        </is>
      </c>
      <c r="D1" s="4" t="inlineStr">
        <is>
          <t>Section</t>
        </is>
      </c>
      <c r="E1" s="4" t="inlineStr">
        <is>
          <t>Subsection</t>
        </is>
      </c>
      <c r="F1" s="4" t="inlineStr">
        <is>
          <t>PositionType</t>
        </is>
      </c>
      <c r="G1" s="4" t="inlineStr">
        <is>
          <t>Unit</t>
        </is>
      </c>
      <c r="H1" s="4" t="inlineStr">
        <is>
          <t>PricingModel</t>
        </is>
      </c>
      <c r="I1" s="4" t="inlineStr">
        <is>
          <t>BasePrice</t>
        </is>
      </c>
      <c r="J1" s="4" t="inlineStr">
        <is>
          <t>BaseMethod</t>
        </is>
      </c>
      <c r="K1" s="4" t="inlineStr">
        <is>
          <t>ClientDisplayMode</t>
        </is>
      </c>
      <c r="L1" s="4" t="inlineStr">
        <is>
          <t>Keywords</t>
        </is>
      </c>
      <c r="M1" s="4" t="inlineStr">
        <is>
          <t>BundleEligible</t>
        </is>
      </c>
      <c r="N1" s="4" t="inlineStr">
        <is>
          <t>IsActive</t>
        </is>
      </c>
      <c r="O1" s="4" t="inlineStr">
        <is>
          <t>Notes</t>
        </is>
      </c>
      <c r="P1" s="4" t="inlineStr">
        <is>
          <t>TariffSensitive</t>
        </is>
      </c>
      <c r="Q1" s="4" t="inlineStr">
        <is>
          <t>PriceSource</t>
        </is>
      </c>
      <c r="R1" s="4" t="inlineStr">
        <is>
          <t>PriceValidFrom</t>
        </is>
      </c>
      <c r="S1" s="4" t="inlineStr">
        <is>
          <t>PriceValidTo</t>
        </is>
      </c>
      <c r="T1" s="4" t="inlineStr">
        <is>
          <t>TaxMode</t>
        </is>
      </c>
      <c r="U1" s="4" t="inlineStr">
        <is>
          <t>CrewType</t>
        </is>
      </c>
      <c r="V1" s="4" t="inlineStr">
        <is>
          <t>MinCrewDays</t>
        </is>
      </c>
    </row>
    <row r="2">
      <c r="A2" s="21" t="inlineStr">
        <is>
          <t>WORK-0001</t>
        </is>
      </c>
      <c r="B2" s="26" t="inlineStr">
        <is>
          <t>Выборка ложа</t>
        </is>
      </c>
      <c r="C2" s="26" t="inlineStr">
        <is>
          <t>Подготовка ложа</t>
        </is>
      </c>
      <c r="D2" s="26" t="inlineStr">
        <is>
          <t>Мощение</t>
        </is>
      </c>
      <c r="E2" s="26" t="inlineStr">
        <is>
          <t>Подготовка основания</t>
        </is>
      </c>
      <c r="F2" s="26" t="inlineStr">
        <is>
          <t>Работа</t>
        </is>
      </c>
      <c r="G2" s="26" t="inlineStr">
        <is>
          <t>м2</t>
        </is>
      </c>
      <c r="H2" s="26" t="inlineStr">
        <is>
          <t>за м2</t>
        </is>
      </c>
      <c r="I2" s="27" t="n">
        <v>350</v>
      </c>
      <c r="J2" s="26" t="inlineStr">
        <is>
          <t>Стандарт</t>
        </is>
      </c>
      <c r="K2" s="26" t="inlineStr">
        <is>
          <t>Показать строкой</t>
        </is>
      </c>
      <c r="L2" s="26" t="inlineStr">
        <is>
          <t>выборка, ложе, основание</t>
        </is>
      </c>
      <c r="M2" s="26" t="inlineStr">
        <is>
          <t>Да</t>
        </is>
      </c>
      <c r="N2" s="26" t="inlineStr">
        <is>
          <t>Да</t>
        </is>
      </c>
      <c r="O2" s="26" t="inlineStr">
        <is>
          <t>Пример канонической работы</t>
        </is>
      </c>
      <c r="P2" s="21" t="inlineStr">
        <is>
          <t>Да</t>
        </is>
      </c>
      <c r="Q2" s="19" t="inlineStr">
        <is>
          <t>Историческая цена</t>
        </is>
      </c>
      <c r="R2" s="36" t="n">
        <v>46023</v>
      </c>
      <c r="S2" s="36" t="n">
        <v>46387</v>
      </c>
      <c r="T2" s="19" t="inlineStr">
        <is>
          <t>Без НДС</t>
        </is>
      </c>
      <c r="U2" s="19" t="inlineStr">
        <is>
          <t>Бригада мощения</t>
        </is>
      </c>
      <c r="V2" s="19" t="n">
        <v>1</v>
      </c>
    </row>
    <row r="3">
      <c r="A3" s="21" t="inlineStr">
        <is>
          <t>WORK-0002</t>
        </is>
      </c>
      <c r="B3" s="26" t="inlineStr">
        <is>
          <t>Устройство газонного ложа</t>
        </is>
      </c>
      <c r="C3" s="26" t="inlineStr">
        <is>
          <t>Устройство газонного основания</t>
        </is>
      </c>
      <c r="D3" s="26" t="inlineStr">
        <is>
          <t>Газон</t>
        </is>
      </c>
      <c r="E3" s="26" t="inlineStr">
        <is>
          <t>Подготовка основания</t>
        </is>
      </c>
      <c r="F3" s="26" t="inlineStr">
        <is>
          <t>Работа</t>
        </is>
      </c>
      <c r="G3" s="26" t="inlineStr">
        <is>
          <t>м2</t>
        </is>
      </c>
      <c r="H3" s="26" t="inlineStr">
        <is>
          <t>за м2</t>
        </is>
      </c>
      <c r="I3" s="27" t="n">
        <v>320</v>
      </c>
      <c r="J3" s="26" t="inlineStr">
        <is>
          <t>Стандарт</t>
        </is>
      </c>
      <c r="K3" s="26" t="inlineStr">
        <is>
          <t>Показать строкой</t>
        </is>
      </c>
      <c r="L3" s="26" t="inlineStr">
        <is>
          <t>газонное ложе, основание газона</t>
        </is>
      </c>
      <c r="M3" s="26" t="inlineStr">
        <is>
          <t>Да</t>
        </is>
      </c>
      <c r="N3" s="26" t="inlineStr">
        <is>
          <t>Да</t>
        </is>
      </c>
      <c r="O3" s="26" t="inlineStr">
        <is>
          <t>Пример для работы с вариантами метода</t>
        </is>
      </c>
      <c r="P3" s="21" t="inlineStr">
        <is>
          <t>Да</t>
        </is>
      </c>
      <c r="Q3" s="19" t="n"/>
      <c r="R3" s="36" t="n"/>
      <c r="S3" s="36" t="n"/>
      <c r="T3" s="19" t="n"/>
      <c r="U3" s="19" t="n"/>
      <c r="V3" s="19" t="n"/>
    </row>
    <row r="4">
      <c r="A4" s="21" t="inlineStr">
        <is>
          <t>WORK-0003</t>
        </is>
      </c>
      <c r="B4" s="26" t="inlineStr">
        <is>
          <t>Копка траншеи</t>
        </is>
      </c>
      <c r="C4" s="26" t="inlineStr">
        <is>
          <t>Разработка траншеи</t>
        </is>
      </c>
      <c r="D4" s="26" t="inlineStr">
        <is>
          <t>Закладные / коммуникации</t>
        </is>
      </c>
      <c r="E4" s="26" t="inlineStr">
        <is>
          <t>Траншеи</t>
        </is>
      </c>
      <c r="F4" s="26" t="inlineStr">
        <is>
          <t>Работа</t>
        </is>
      </c>
      <c r="G4" s="26" t="inlineStr">
        <is>
          <t>м.п.</t>
        </is>
      </c>
      <c r="H4" s="26" t="inlineStr">
        <is>
          <t>за м.п.</t>
        </is>
      </c>
      <c r="I4" s="27" t="n">
        <v>0</v>
      </c>
      <c r="J4" s="26" t="inlineStr">
        <is>
          <t>Стандарт</t>
        </is>
      </c>
      <c r="K4" s="26" t="inlineStr">
        <is>
          <t>Показать строкой</t>
        </is>
      </c>
      <c r="L4" s="26" t="inlineStr">
        <is>
          <t>траншея, кабель, копка</t>
        </is>
      </c>
      <c r="M4" s="26" t="inlineStr">
        <is>
          <t>Да</t>
        </is>
      </c>
      <c r="N4" s="26" t="inlineStr">
        <is>
          <t>Да</t>
        </is>
      </c>
      <c r="O4" s="26" t="inlineStr">
        <is>
          <t>Базовую цену заполнить</t>
        </is>
      </c>
      <c r="P4" s="21" t="inlineStr">
        <is>
          <t>Да</t>
        </is>
      </c>
      <c r="Q4" s="19" t="n"/>
      <c r="R4" s="36" t="n"/>
      <c r="S4" s="36" t="n"/>
      <c r="T4" s="19" t="n"/>
      <c r="U4" s="19" t="n"/>
      <c r="V4" s="19" t="n"/>
    </row>
    <row r="5">
      <c r="A5" s="21" t="inlineStr">
        <is>
          <t>WORK-0004</t>
        </is>
      </c>
      <c r="B5" s="26" t="inlineStr">
        <is>
          <t>Монтаж бордюра бетонного</t>
        </is>
      </c>
      <c r="C5" s="26" t="inlineStr">
        <is>
          <t>Монтаж бордюра</t>
        </is>
      </c>
      <c r="D5" s="26" t="inlineStr">
        <is>
          <t>Мощение</t>
        </is>
      </c>
      <c r="E5" s="26" t="inlineStr">
        <is>
          <t>Бордюры</t>
        </is>
      </c>
      <c r="F5" s="26" t="inlineStr">
        <is>
          <t>Работа</t>
        </is>
      </c>
      <c r="G5" s="26" t="inlineStr">
        <is>
          <t>м.п.</t>
        </is>
      </c>
      <c r="H5" s="26" t="inlineStr">
        <is>
          <t>за м.п.</t>
        </is>
      </c>
      <c r="I5" s="27" t="n">
        <v>0</v>
      </c>
      <c r="J5" s="26" t="inlineStr">
        <is>
          <t>Стандарт</t>
        </is>
      </c>
      <c r="K5" s="26" t="inlineStr">
        <is>
          <t>Показать строкой</t>
        </is>
      </c>
      <c r="L5" s="26" t="inlineStr">
        <is>
          <t>бордюр, монтаж</t>
        </is>
      </c>
      <c r="M5" s="26" t="inlineStr">
        <is>
          <t>Да</t>
        </is>
      </c>
      <c r="N5" s="26" t="inlineStr">
        <is>
          <t>Да</t>
        </is>
      </c>
      <c r="O5" s="26" t="inlineStr"/>
      <c r="P5" s="21" t="inlineStr">
        <is>
          <t>Да</t>
        </is>
      </c>
      <c r="Q5" s="19" t="n"/>
      <c r="R5" s="36" t="n"/>
      <c r="S5" s="36" t="n"/>
      <c r="T5" s="19" t="n"/>
      <c r="U5" s="19" t="n"/>
      <c r="V5" s="19" t="n"/>
    </row>
    <row r="6">
      <c r="A6" s="19" t="n"/>
      <c r="B6" s="19" t="n"/>
      <c r="C6" s="19" t="n"/>
      <c r="D6" s="19" t="n"/>
      <c r="E6" s="19" t="n"/>
      <c r="F6" s="19" t="n"/>
      <c r="G6" s="19" t="n"/>
      <c r="H6" s="19" t="n"/>
      <c r="I6" s="29" t="n"/>
      <c r="J6" s="19" t="n"/>
      <c r="K6" s="19" t="n"/>
      <c r="L6" s="19" t="n"/>
      <c r="M6" s="19" t="n"/>
      <c r="N6" s="19" t="n"/>
      <c r="O6" s="19" t="n"/>
      <c r="P6" s="21" t="n"/>
      <c r="Q6" s="19" t="n"/>
      <c r="R6" s="36" t="n"/>
      <c r="S6" s="36" t="n"/>
      <c r="T6" s="19" t="n"/>
      <c r="U6" s="19" t="n"/>
      <c r="V6" s="19" t="n"/>
    </row>
    <row r="7">
      <c r="A7" s="19" t="n"/>
      <c r="B7" s="19" t="n"/>
      <c r="C7" s="19" t="n"/>
      <c r="D7" s="19" t="n"/>
      <c r="E7" s="19" t="n"/>
      <c r="F7" s="19" t="n"/>
      <c r="G7" s="19" t="n"/>
      <c r="H7" s="19" t="n"/>
      <c r="I7" s="29" t="n"/>
      <c r="J7" s="19" t="n"/>
      <c r="K7" s="19" t="n"/>
      <c r="L7" s="19" t="n"/>
      <c r="M7" s="19" t="n"/>
      <c r="N7" s="19" t="n"/>
      <c r="O7" s="19" t="n"/>
      <c r="P7" s="21" t="n"/>
      <c r="Q7" s="19" t="n"/>
      <c r="R7" s="36" t="n"/>
      <c r="S7" s="36" t="n"/>
      <c r="T7" s="19" t="n"/>
      <c r="U7" s="19" t="n"/>
      <c r="V7" s="19" t="n"/>
    </row>
    <row r="8">
      <c r="A8" s="19" t="n"/>
      <c r="B8" s="19" t="n"/>
      <c r="C8" s="19" t="n"/>
      <c r="D8" s="19" t="n"/>
      <c r="E8" s="19" t="n"/>
      <c r="F8" s="19" t="n"/>
      <c r="G8" s="19" t="n"/>
      <c r="H8" s="19" t="n"/>
      <c r="I8" s="29" t="n"/>
      <c r="J8" s="19" t="n"/>
      <c r="K8" s="19" t="n"/>
      <c r="L8" s="19" t="n"/>
      <c r="M8" s="19" t="n"/>
      <c r="N8" s="19" t="n"/>
      <c r="O8" s="19" t="n"/>
      <c r="P8" s="21" t="n"/>
      <c r="Q8" s="19" t="n"/>
      <c r="R8" s="36" t="n"/>
      <c r="S8" s="36" t="n"/>
      <c r="T8" s="19" t="n"/>
      <c r="U8" s="19" t="n"/>
      <c r="V8" s="19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29" t="n"/>
      <c r="J9" s="19" t="n"/>
      <c r="K9" s="19" t="n"/>
      <c r="L9" s="19" t="n"/>
      <c r="M9" s="19" t="n"/>
      <c r="N9" s="19" t="n"/>
      <c r="O9" s="19" t="n"/>
      <c r="P9" s="21" t="n"/>
      <c r="Q9" s="19" t="n"/>
      <c r="R9" s="36" t="n"/>
      <c r="S9" s="36" t="n"/>
      <c r="T9" s="19" t="n"/>
      <c r="U9" s="19" t="n"/>
      <c r="V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29" t="n"/>
      <c r="J10" s="19" t="n"/>
      <c r="K10" s="19" t="n"/>
      <c r="L10" s="19" t="n"/>
      <c r="M10" s="19" t="n"/>
      <c r="N10" s="19" t="n"/>
      <c r="O10" s="19" t="n"/>
      <c r="P10" s="21" t="n"/>
      <c r="Q10" s="19" t="n"/>
      <c r="R10" s="19" t="n"/>
      <c r="S10" s="19" t="n"/>
      <c r="T10" s="19" t="n"/>
      <c r="U10" s="19" t="n"/>
      <c r="V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29" t="n"/>
      <c r="J11" s="19" t="n"/>
      <c r="K11" s="19" t="n"/>
      <c r="L11" s="19" t="n"/>
      <c r="M11" s="19" t="n"/>
      <c r="N11" s="19" t="n"/>
      <c r="O11" s="19" t="n"/>
      <c r="P11" s="21" t="n"/>
      <c r="Q11" s="19" t="n"/>
      <c r="R11" s="19" t="n"/>
      <c r="S11" s="19" t="n"/>
      <c r="T11" s="19" t="n"/>
      <c r="U11" s="19" t="n"/>
      <c r="V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29" t="n"/>
      <c r="J12" s="19" t="n"/>
      <c r="K12" s="19" t="n"/>
      <c r="L12" s="19" t="n"/>
      <c r="M12" s="19" t="n"/>
      <c r="N12" s="19" t="n"/>
      <c r="O12" s="19" t="n"/>
      <c r="P12" s="21" t="n"/>
      <c r="Q12" s="19" t="n"/>
      <c r="R12" s="19" t="n"/>
      <c r="S12" s="19" t="n"/>
      <c r="T12" s="19" t="n"/>
      <c r="U12" s="19" t="n"/>
      <c r="V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29" t="n"/>
      <c r="J13" s="19" t="n"/>
      <c r="K13" s="19" t="n"/>
      <c r="L13" s="19" t="n"/>
      <c r="M13" s="19" t="n"/>
      <c r="N13" s="19" t="n"/>
      <c r="O13" s="19" t="n"/>
      <c r="P13" s="21" t="n"/>
      <c r="Q13" s="19" t="n"/>
      <c r="R13" s="19" t="n"/>
      <c r="S13" s="19" t="n"/>
      <c r="T13" s="19" t="n"/>
      <c r="U13" s="19" t="n"/>
      <c r="V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29" t="n"/>
      <c r="J14" s="19" t="n"/>
      <c r="K14" s="19" t="n"/>
      <c r="L14" s="19" t="n"/>
      <c r="M14" s="19" t="n"/>
      <c r="N14" s="19" t="n"/>
      <c r="O14" s="19" t="n"/>
      <c r="P14" s="21" t="n"/>
      <c r="Q14" s="19" t="n"/>
      <c r="R14" s="19" t="n"/>
      <c r="S14" s="19" t="n"/>
      <c r="T14" s="19" t="n"/>
      <c r="U14" s="19" t="n"/>
      <c r="V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29" t="n"/>
      <c r="J15" s="19" t="n"/>
      <c r="K15" s="19" t="n"/>
      <c r="L15" s="19" t="n"/>
      <c r="M15" s="19" t="n"/>
      <c r="N15" s="19" t="n"/>
      <c r="O15" s="19" t="n"/>
      <c r="P15" s="21" t="n"/>
      <c r="Q15" s="19" t="n"/>
      <c r="R15" s="19" t="n"/>
      <c r="S15" s="19" t="n"/>
      <c r="T15" s="19" t="n"/>
      <c r="U15" s="19" t="n"/>
      <c r="V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29" t="n"/>
      <c r="J16" s="19" t="n"/>
      <c r="K16" s="19" t="n"/>
      <c r="L16" s="19" t="n"/>
      <c r="M16" s="19" t="n"/>
      <c r="N16" s="19" t="n"/>
      <c r="O16" s="19" t="n"/>
      <c r="P16" s="21" t="n"/>
      <c r="Q16" s="19" t="n"/>
      <c r="R16" s="19" t="n"/>
      <c r="S16" s="19" t="n"/>
      <c r="T16" s="19" t="n"/>
      <c r="U16" s="19" t="n"/>
      <c r="V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29" t="n"/>
      <c r="J17" s="19" t="n"/>
      <c r="K17" s="19" t="n"/>
      <c r="L17" s="19" t="n"/>
      <c r="M17" s="19" t="n"/>
      <c r="N17" s="19" t="n"/>
      <c r="O17" s="19" t="n"/>
      <c r="P17" s="21" t="n"/>
      <c r="Q17" s="19" t="n"/>
      <c r="R17" s="19" t="n"/>
      <c r="S17" s="19" t="n"/>
      <c r="T17" s="19" t="n"/>
      <c r="U17" s="19" t="n"/>
      <c r="V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29" t="n"/>
      <c r="J18" s="19" t="n"/>
      <c r="K18" s="19" t="n"/>
      <c r="L18" s="19" t="n"/>
      <c r="M18" s="19" t="n"/>
      <c r="N18" s="19" t="n"/>
      <c r="O18" s="19" t="n"/>
      <c r="P18" s="21" t="n"/>
      <c r="Q18" s="19" t="n"/>
      <c r="R18" s="19" t="n"/>
      <c r="S18" s="19" t="n"/>
      <c r="T18" s="19" t="n"/>
      <c r="U18" s="19" t="n"/>
      <c r="V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29" t="n"/>
      <c r="J19" s="19" t="n"/>
      <c r="K19" s="19" t="n"/>
      <c r="L19" s="19" t="n"/>
      <c r="M19" s="19" t="n"/>
      <c r="N19" s="19" t="n"/>
      <c r="O19" s="19" t="n"/>
      <c r="P19" s="21" t="n"/>
      <c r="Q19" s="19" t="n"/>
      <c r="R19" s="19" t="n"/>
      <c r="S19" s="19" t="n"/>
      <c r="T19" s="19" t="n"/>
      <c r="U19" s="19" t="n"/>
      <c r="V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29" t="n"/>
      <c r="J20" s="19" t="n"/>
      <c r="K20" s="19" t="n"/>
      <c r="L20" s="19" t="n"/>
      <c r="M20" s="19" t="n"/>
      <c r="N20" s="19" t="n"/>
      <c r="O20" s="19" t="n"/>
      <c r="P20" s="21" t="n"/>
      <c r="Q20" s="19" t="n"/>
      <c r="R20" s="19" t="n"/>
      <c r="S20" s="19" t="n"/>
      <c r="T20" s="19" t="n"/>
      <c r="U20" s="19" t="n"/>
      <c r="V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29" t="n"/>
      <c r="J21" s="19" t="n"/>
      <c r="K21" s="19" t="n"/>
      <c r="L21" s="19" t="n"/>
      <c r="M21" s="19" t="n"/>
      <c r="N21" s="19" t="n"/>
      <c r="O21" s="19" t="n"/>
      <c r="P21" s="21" t="n"/>
      <c r="Q21" s="19" t="n"/>
      <c r="R21" s="19" t="n"/>
      <c r="S21" s="19" t="n"/>
      <c r="T21" s="19" t="n"/>
      <c r="U21" s="19" t="n"/>
      <c r="V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29" t="n"/>
      <c r="J22" s="19" t="n"/>
      <c r="K22" s="19" t="n"/>
      <c r="L22" s="19" t="n"/>
      <c r="M22" s="19" t="n"/>
      <c r="N22" s="19" t="n"/>
      <c r="O22" s="19" t="n"/>
      <c r="P22" s="21" t="n"/>
      <c r="Q22" s="19" t="n"/>
      <c r="R22" s="19" t="n"/>
      <c r="S22" s="19" t="n"/>
      <c r="T22" s="19" t="n"/>
      <c r="U22" s="19" t="n"/>
      <c r="V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29" t="n"/>
      <c r="J23" s="19" t="n"/>
      <c r="K23" s="19" t="n"/>
      <c r="L23" s="19" t="n"/>
      <c r="M23" s="19" t="n"/>
      <c r="N23" s="19" t="n"/>
      <c r="O23" s="19" t="n"/>
      <c r="P23" s="21" t="n"/>
      <c r="Q23" s="19" t="n"/>
      <c r="R23" s="19" t="n"/>
      <c r="S23" s="19" t="n"/>
      <c r="T23" s="19" t="n"/>
      <c r="U23" s="19" t="n"/>
      <c r="V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29" t="n"/>
      <c r="J24" s="19" t="n"/>
      <c r="K24" s="19" t="n"/>
      <c r="L24" s="19" t="n"/>
      <c r="M24" s="19" t="n"/>
      <c r="N24" s="19" t="n"/>
      <c r="O24" s="19" t="n"/>
      <c r="P24" s="21" t="n"/>
      <c r="Q24" s="19" t="n"/>
      <c r="R24" s="19" t="n"/>
      <c r="S24" s="19" t="n"/>
      <c r="T24" s="19" t="n"/>
      <c r="U24" s="19" t="n"/>
      <c r="V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29" t="n"/>
      <c r="J25" s="19" t="n"/>
      <c r="K25" s="19" t="n"/>
      <c r="L25" s="19" t="n"/>
      <c r="M25" s="19" t="n"/>
      <c r="N25" s="19" t="n"/>
      <c r="O25" s="19" t="n"/>
      <c r="P25" s="21" t="n"/>
      <c r="Q25" s="19" t="n"/>
      <c r="R25" s="19" t="n"/>
      <c r="S25" s="19" t="n"/>
      <c r="T25" s="19" t="n"/>
      <c r="U25" s="19" t="n"/>
      <c r="V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29" t="n"/>
      <c r="J26" s="19" t="n"/>
      <c r="K26" s="19" t="n"/>
      <c r="L26" s="19" t="n"/>
      <c r="M26" s="19" t="n"/>
      <c r="N26" s="19" t="n"/>
      <c r="O26" s="19" t="n"/>
      <c r="P26" s="21" t="n"/>
      <c r="Q26" s="19" t="n"/>
      <c r="R26" s="19" t="n"/>
      <c r="S26" s="19" t="n"/>
      <c r="T26" s="19" t="n"/>
      <c r="U26" s="19" t="n"/>
      <c r="V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29" t="n"/>
      <c r="J27" s="19" t="n"/>
      <c r="K27" s="19" t="n"/>
      <c r="L27" s="19" t="n"/>
      <c r="M27" s="19" t="n"/>
      <c r="N27" s="19" t="n"/>
      <c r="O27" s="19" t="n"/>
      <c r="P27" s="21" t="n"/>
      <c r="Q27" s="19" t="n"/>
      <c r="R27" s="19" t="n"/>
      <c r="S27" s="19" t="n"/>
      <c r="T27" s="19" t="n"/>
      <c r="U27" s="19" t="n"/>
      <c r="V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29" t="n"/>
      <c r="J28" s="19" t="n"/>
      <c r="K28" s="19" t="n"/>
      <c r="L28" s="19" t="n"/>
      <c r="M28" s="19" t="n"/>
      <c r="N28" s="19" t="n"/>
      <c r="O28" s="19" t="n"/>
      <c r="P28" s="21" t="n"/>
      <c r="Q28" s="19" t="n"/>
      <c r="R28" s="19" t="n"/>
      <c r="S28" s="19" t="n"/>
      <c r="T28" s="19" t="n"/>
      <c r="U28" s="19" t="n"/>
      <c r="V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29" t="n"/>
      <c r="J29" s="19" t="n"/>
      <c r="K29" s="19" t="n"/>
      <c r="L29" s="19" t="n"/>
      <c r="M29" s="19" t="n"/>
      <c r="N29" s="19" t="n"/>
      <c r="O29" s="19" t="n"/>
      <c r="P29" s="21" t="n"/>
      <c r="Q29" s="19" t="n"/>
      <c r="R29" s="19" t="n"/>
      <c r="S29" s="19" t="n"/>
      <c r="T29" s="19" t="n"/>
      <c r="U29" s="19" t="n"/>
      <c r="V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29" t="n"/>
      <c r="J30" s="19" t="n"/>
      <c r="K30" s="19" t="n"/>
      <c r="L30" s="19" t="n"/>
      <c r="M30" s="19" t="n"/>
      <c r="N30" s="19" t="n"/>
      <c r="O30" s="19" t="n"/>
      <c r="P30" s="21" t="n"/>
      <c r="Q30" s="19" t="n"/>
      <c r="R30" s="19" t="n"/>
      <c r="S30" s="19" t="n"/>
      <c r="T30" s="19" t="n"/>
      <c r="U30" s="19" t="n"/>
      <c r="V30" s="19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29" t="n"/>
      <c r="J31" s="19" t="n"/>
      <c r="K31" s="19" t="n"/>
      <c r="L31" s="19" t="n"/>
      <c r="M31" s="19" t="n"/>
      <c r="N31" s="19" t="n"/>
      <c r="O31" s="19" t="n"/>
      <c r="P31" s="21" t="n"/>
      <c r="Q31" s="19" t="n"/>
      <c r="R31" s="19" t="n"/>
      <c r="S31" s="19" t="n"/>
      <c r="T31" s="19" t="n"/>
      <c r="U31" s="19" t="n"/>
      <c r="V31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29" t="n"/>
      <c r="J32" s="19" t="n"/>
      <c r="K32" s="19" t="n"/>
      <c r="L32" s="19" t="n"/>
      <c r="M32" s="19" t="n"/>
      <c r="N32" s="19" t="n"/>
      <c r="O32" s="19" t="n"/>
      <c r="P32" s="21" t="n"/>
      <c r="Q32" s="19" t="n"/>
      <c r="R32" s="19" t="n"/>
      <c r="S32" s="19" t="n"/>
      <c r="T32" s="19" t="n"/>
      <c r="U32" s="19" t="n"/>
      <c r="V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29" t="n"/>
      <c r="J33" s="19" t="n"/>
      <c r="K33" s="19" t="n"/>
      <c r="L33" s="19" t="n"/>
      <c r="M33" s="19" t="n"/>
      <c r="N33" s="19" t="n"/>
      <c r="O33" s="19" t="n"/>
      <c r="P33" s="21" t="n"/>
      <c r="Q33" s="19" t="n"/>
      <c r="R33" s="19" t="n"/>
      <c r="S33" s="19" t="n"/>
      <c r="T33" s="19" t="n"/>
      <c r="U33" s="19" t="n"/>
      <c r="V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29" t="n"/>
      <c r="J34" s="19" t="n"/>
      <c r="K34" s="19" t="n"/>
      <c r="L34" s="19" t="n"/>
      <c r="M34" s="19" t="n"/>
      <c r="N34" s="19" t="n"/>
      <c r="O34" s="19" t="n"/>
      <c r="P34" s="21" t="n"/>
      <c r="Q34" s="19" t="n"/>
      <c r="R34" s="19" t="n"/>
      <c r="S34" s="19" t="n"/>
      <c r="T34" s="19" t="n"/>
      <c r="U34" s="19" t="n"/>
      <c r="V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29" t="n"/>
      <c r="J35" s="19" t="n"/>
      <c r="K35" s="19" t="n"/>
      <c r="L35" s="19" t="n"/>
      <c r="M35" s="19" t="n"/>
      <c r="N35" s="19" t="n"/>
      <c r="O35" s="19" t="n"/>
      <c r="P35" s="21" t="n"/>
      <c r="Q35" s="19" t="n"/>
      <c r="R35" s="19" t="n"/>
      <c r="S35" s="19" t="n"/>
      <c r="T35" s="19" t="n"/>
      <c r="U35" s="19" t="n"/>
      <c r="V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29" t="n"/>
      <c r="J36" s="19" t="n"/>
      <c r="K36" s="19" t="n"/>
      <c r="L36" s="19" t="n"/>
      <c r="M36" s="19" t="n"/>
      <c r="N36" s="19" t="n"/>
      <c r="O36" s="19" t="n"/>
      <c r="P36" s="21" t="n"/>
      <c r="Q36" s="19" t="n"/>
      <c r="R36" s="19" t="n"/>
      <c r="S36" s="19" t="n"/>
      <c r="T36" s="19" t="n"/>
      <c r="U36" s="19" t="n"/>
      <c r="V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29" t="n"/>
      <c r="J37" s="19" t="n"/>
      <c r="K37" s="19" t="n"/>
      <c r="L37" s="19" t="n"/>
      <c r="M37" s="19" t="n"/>
      <c r="N37" s="19" t="n"/>
      <c r="O37" s="19" t="n"/>
      <c r="P37" s="21" t="n"/>
      <c r="Q37" s="19" t="n"/>
      <c r="R37" s="19" t="n"/>
      <c r="S37" s="19" t="n"/>
      <c r="T37" s="19" t="n"/>
      <c r="U37" s="19" t="n"/>
      <c r="V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29" t="n"/>
      <c r="J38" s="19" t="n"/>
      <c r="K38" s="19" t="n"/>
      <c r="L38" s="19" t="n"/>
      <c r="M38" s="19" t="n"/>
      <c r="N38" s="19" t="n"/>
      <c r="O38" s="19" t="n"/>
      <c r="P38" s="21" t="n"/>
      <c r="Q38" s="19" t="n"/>
      <c r="R38" s="19" t="n"/>
      <c r="S38" s="19" t="n"/>
      <c r="T38" s="19" t="n"/>
      <c r="U38" s="19" t="n"/>
      <c r="V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29" t="n"/>
      <c r="J39" s="19" t="n"/>
      <c r="K39" s="19" t="n"/>
      <c r="L39" s="19" t="n"/>
      <c r="M39" s="19" t="n"/>
      <c r="N39" s="19" t="n"/>
      <c r="O39" s="19" t="n"/>
      <c r="P39" s="21" t="n"/>
      <c r="Q39" s="19" t="n"/>
      <c r="R39" s="19" t="n"/>
      <c r="S39" s="19" t="n"/>
      <c r="T39" s="19" t="n"/>
      <c r="U39" s="19" t="n"/>
      <c r="V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29" t="n"/>
      <c r="J40" s="19" t="n"/>
      <c r="K40" s="19" t="n"/>
      <c r="L40" s="19" t="n"/>
      <c r="M40" s="19" t="n"/>
      <c r="N40" s="19" t="n"/>
      <c r="O40" s="19" t="n"/>
      <c r="P40" s="21" t="n"/>
      <c r="Q40" s="19" t="n"/>
      <c r="R40" s="19" t="n"/>
      <c r="S40" s="19" t="n"/>
      <c r="T40" s="19" t="n"/>
      <c r="U40" s="19" t="n"/>
      <c r="V40" s="19" t="n"/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9" t="n"/>
      <c r="J41" s="19" t="n"/>
      <c r="K41" s="19" t="n"/>
      <c r="L41" s="19" t="n"/>
      <c r="M41" s="19" t="n"/>
      <c r="N41" s="19" t="n"/>
      <c r="O41" s="19" t="n"/>
      <c r="P41" s="21" t="n"/>
      <c r="Q41" s="19" t="n"/>
      <c r="R41" s="19" t="n"/>
      <c r="S41" s="19" t="n"/>
      <c r="T41" s="19" t="n"/>
      <c r="U41" s="19" t="n"/>
      <c r="V41" s="19" t="n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29" t="n"/>
      <c r="J42" s="19" t="n"/>
      <c r="K42" s="19" t="n"/>
      <c r="L42" s="19" t="n"/>
      <c r="M42" s="19" t="n"/>
      <c r="N42" s="19" t="n"/>
      <c r="O42" s="19" t="n"/>
      <c r="P42" s="21" t="n"/>
      <c r="Q42" s="19" t="n"/>
      <c r="R42" s="19" t="n"/>
      <c r="S42" s="19" t="n"/>
      <c r="T42" s="19" t="n"/>
      <c r="U42" s="19" t="n"/>
      <c r="V42" s="19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9" t="n"/>
      <c r="J43" s="19" t="n"/>
      <c r="K43" s="19" t="n"/>
      <c r="L43" s="19" t="n"/>
      <c r="M43" s="19" t="n"/>
      <c r="N43" s="19" t="n"/>
      <c r="O43" s="19" t="n"/>
      <c r="P43" s="21" t="n"/>
      <c r="Q43" s="19" t="n"/>
      <c r="R43" s="19" t="n"/>
      <c r="S43" s="19" t="n"/>
      <c r="T43" s="19" t="n"/>
      <c r="U43" s="19" t="n"/>
      <c r="V43" s="19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29" t="n"/>
      <c r="J44" s="19" t="n"/>
      <c r="K44" s="19" t="n"/>
      <c r="L44" s="19" t="n"/>
      <c r="M44" s="19" t="n"/>
      <c r="N44" s="19" t="n"/>
      <c r="O44" s="19" t="n"/>
      <c r="P44" s="21" t="n"/>
      <c r="Q44" s="19" t="n"/>
      <c r="R44" s="19" t="n"/>
      <c r="S44" s="19" t="n"/>
      <c r="T44" s="19" t="n"/>
      <c r="U44" s="19" t="n"/>
      <c r="V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9" t="n"/>
      <c r="J45" s="19" t="n"/>
      <c r="K45" s="19" t="n"/>
      <c r="L45" s="19" t="n"/>
      <c r="M45" s="19" t="n"/>
      <c r="N45" s="19" t="n"/>
      <c r="O45" s="19" t="n"/>
      <c r="P45" s="21" t="n"/>
      <c r="Q45" s="19" t="n"/>
      <c r="R45" s="19" t="n"/>
      <c r="S45" s="19" t="n"/>
      <c r="T45" s="19" t="n"/>
      <c r="U45" s="19" t="n"/>
      <c r="V45" s="19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29" t="n"/>
      <c r="J46" s="19" t="n"/>
      <c r="K46" s="19" t="n"/>
      <c r="L46" s="19" t="n"/>
      <c r="M46" s="19" t="n"/>
      <c r="N46" s="19" t="n"/>
      <c r="O46" s="19" t="n"/>
      <c r="P46" s="21" t="n"/>
      <c r="Q46" s="19" t="n"/>
      <c r="R46" s="19" t="n"/>
      <c r="S46" s="19" t="n"/>
      <c r="T46" s="19" t="n"/>
      <c r="U46" s="19" t="n"/>
      <c r="V46" s="19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9" t="n"/>
      <c r="J47" s="19" t="n"/>
      <c r="K47" s="19" t="n"/>
      <c r="L47" s="19" t="n"/>
      <c r="M47" s="19" t="n"/>
      <c r="N47" s="19" t="n"/>
      <c r="O47" s="19" t="n"/>
      <c r="P47" s="21" t="n"/>
      <c r="Q47" s="19" t="n"/>
      <c r="R47" s="19" t="n"/>
      <c r="S47" s="19" t="n"/>
      <c r="T47" s="19" t="n"/>
      <c r="U47" s="19" t="n"/>
      <c r="V47" s="19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29" t="n"/>
      <c r="J48" s="19" t="n"/>
      <c r="K48" s="19" t="n"/>
      <c r="L48" s="19" t="n"/>
      <c r="M48" s="19" t="n"/>
      <c r="N48" s="19" t="n"/>
      <c r="O48" s="19" t="n"/>
      <c r="P48" s="21" t="n"/>
      <c r="Q48" s="19" t="n"/>
      <c r="R48" s="19" t="n"/>
      <c r="S48" s="19" t="n"/>
      <c r="T48" s="19" t="n"/>
      <c r="U48" s="19" t="n"/>
      <c r="V48" s="19" t="n"/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9" t="n"/>
      <c r="J49" s="19" t="n"/>
      <c r="K49" s="19" t="n"/>
      <c r="L49" s="19" t="n"/>
      <c r="M49" s="19" t="n"/>
      <c r="N49" s="19" t="n"/>
      <c r="O49" s="19" t="n"/>
      <c r="P49" s="21" t="n"/>
      <c r="Q49" s="19" t="n"/>
      <c r="R49" s="19" t="n"/>
      <c r="S49" s="19" t="n"/>
      <c r="T49" s="19" t="n"/>
      <c r="U49" s="19" t="n"/>
      <c r="V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  <c r="I50" s="29" t="n"/>
      <c r="J50" s="19" t="n"/>
      <c r="K50" s="19" t="n"/>
      <c r="L50" s="19" t="n"/>
      <c r="M50" s="19" t="n"/>
      <c r="N50" s="19" t="n"/>
      <c r="O50" s="19" t="n"/>
      <c r="P50" s="21" t="n"/>
      <c r="Q50" s="19" t="n"/>
      <c r="R50" s="19" t="n"/>
      <c r="S50" s="19" t="n"/>
      <c r="T50" s="19" t="n"/>
      <c r="U50" s="19" t="n"/>
      <c r="V50" s="19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29" t="n"/>
      <c r="J51" s="19" t="n"/>
      <c r="K51" s="19" t="n"/>
      <c r="L51" s="19" t="n"/>
      <c r="M51" s="19" t="n"/>
      <c r="N51" s="19" t="n"/>
      <c r="O51" s="19" t="n"/>
      <c r="P51" s="21" t="n"/>
      <c r="Q51" s="19" t="n"/>
      <c r="R51" s="19" t="n"/>
      <c r="S51" s="19" t="n"/>
      <c r="T51" s="19" t="n"/>
      <c r="U51" s="19" t="n"/>
      <c r="V51" s="19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29" t="n"/>
      <c r="J52" s="19" t="n"/>
      <c r="K52" s="19" t="n"/>
      <c r="L52" s="19" t="n"/>
      <c r="M52" s="19" t="n"/>
      <c r="N52" s="19" t="n"/>
      <c r="O52" s="19" t="n"/>
      <c r="P52" s="21" t="n"/>
      <c r="Q52" s="19" t="n"/>
      <c r="R52" s="19" t="n"/>
      <c r="S52" s="19" t="n"/>
      <c r="T52" s="19" t="n"/>
      <c r="U52" s="19" t="n"/>
      <c r="V52" s="19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  <c r="I53" s="29" t="n"/>
      <c r="J53" s="19" t="n"/>
      <c r="K53" s="19" t="n"/>
      <c r="L53" s="19" t="n"/>
      <c r="M53" s="19" t="n"/>
      <c r="N53" s="19" t="n"/>
      <c r="O53" s="19" t="n"/>
      <c r="P53" s="21" t="n"/>
      <c r="Q53" s="19" t="n"/>
      <c r="R53" s="19" t="n"/>
      <c r="S53" s="19" t="n"/>
      <c r="T53" s="19" t="n"/>
      <c r="U53" s="19" t="n"/>
      <c r="V53" s="19" t="n"/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  <c r="I54" s="29" t="n"/>
      <c r="J54" s="19" t="n"/>
      <c r="K54" s="19" t="n"/>
      <c r="L54" s="19" t="n"/>
      <c r="M54" s="19" t="n"/>
      <c r="N54" s="19" t="n"/>
      <c r="O54" s="19" t="n"/>
      <c r="P54" s="21" t="n"/>
      <c r="Q54" s="19" t="n"/>
      <c r="R54" s="19" t="n"/>
      <c r="S54" s="19" t="n"/>
      <c r="T54" s="19" t="n"/>
      <c r="U54" s="19" t="n"/>
      <c r="V54" s="19" t="n"/>
    </row>
    <row r="55">
      <c r="A55" s="19" t="n"/>
      <c r="B55" s="19" t="n"/>
      <c r="C55" s="19" t="n"/>
      <c r="D55" s="19" t="n"/>
      <c r="E55" s="19" t="n"/>
      <c r="F55" s="19" t="n"/>
      <c r="G55" s="19" t="n"/>
      <c r="H55" s="19" t="n"/>
      <c r="I55" s="29" t="n"/>
      <c r="J55" s="19" t="n"/>
      <c r="K55" s="19" t="n"/>
      <c r="L55" s="19" t="n"/>
      <c r="M55" s="19" t="n"/>
      <c r="N55" s="19" t="n"/>
      <c r="O55" s="19" t="n"/>
      <c r="P55" s="21" t="n"/>
      <c r="Q55" s="19" t="n"/>
      <c r="R55" s="19" t="n"/>
      <c r="S55" s="19" t="n"/>
      <c r="T55" s="19" t="n"/>
      <c r="U55" s="19" t="n"/>
      <c r="V55" s="19" t="n"/>
    </row>
    <row r="56">
      <c r="A56" s="19" t="n"/>
      <c r="B56" s="19" t="n"/>
      <c r="C56" s="19" t="n"/>
      <c r="D56" s="19" t="n"/>
      <c r="E56" s="19" t="n"/>
      <c r="F56" s="19" t="n"/>
      <c r="G56" s="19" t="n"/>
      <c r="H56" s="19" t="n"/>
      <c r="I56" s="29" t="n"/>
      <c r="J56" s="19" t="n"/>
      <c r="K56" s="19" t="n"/>
      <c r="L56" s="19" t="n"/>
      <c r="M56" s="19" t="n"/>
      <c r="N56" s="19" t="n"/>
      <c r="O56" s="19" t="n"/>
      <c r="P56" s="21" t="n"/>
      <c r="Q56" s="19" t="n"/>
      <c r="R56" s="19" t="n"/>
      <c r="S56" s="19" t="n"/>
      <c r="T56" s="19" t="n"/>
      <c r="U56" s="19" t="n"/>
      <c r="V56" s="19" t="n"/>
    </row>
    <row r="57">
      <c r="A57" s="19" t="n"/>
      <c r="B57" s="19" t="n"/>
      <c r="C57" s="19" t="n"/>
      <c r="D57" s="19" t="n"/>
      <c r="E57" s="19" t="n"/>
      <c r="F57" s="19" t="n"/>
      <c r="G57" s="19" t="n"/>
      <c r="H57" s="19" t="n"/>
      <c r="I57" s="29" t="n"/>
      <c r="J57" s="19" t="n"/>
      <c r="K57" s="19" t="n"/>
      <c r="L57" s="19" t="n"/>
      <c r="M57" s="19" t="n"/>
      <c r="N57" s="19" t="n"/>
      <c r="O57" s="19" t="n"/>
      <c r="P57" s="21" t="n"/>
      <c r="Q57" s="19" t="n"/>
      <c r="R57" s="19" t="n"/>
      <c r="S57" s="19" t="n"/>
      <c r="T57" s="19" t="n"/>
      <c r="U57" s="19" t="n"/>
      <c r="V57" s="19" t="n"/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9" t="n"/>
      <c r="J58" s="19" t="n"/>
      <c r="K58" s="19" t="n"/>
      <c r="L58" s="19" t="n"/>
      <c r="M58" s="19" t="n"/>
      <c r="N58" s="19" t="n"/>
      <c r="O58" s="19" t="n"/>
      <c r="P58" s="21" t="n"/>
      <c r="Q58" s="19" t="n"/>
      <c r="R58" s="19" t="n"/>
      <c r="S58" s="19" t="n"/>
      <c r="T58" s="19" t="n"/>
      <c r="U58" s="19" t="n"/>
      <c r="V58" s="19" t="n"/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29" t="n"/>
      <c r="J59" s="19" t="n"/>
      <c r="K59" s="19" t="n"/>
      <c r="L59" s="19" t="n"/>
      <c r="M59" s="19" t="n"/>
      <c r="N59" s="19" t="n"/>
      <c r="O59" s="19" t="n"/>
      <c r="P59" s="21" t="n"/>
      <c r="Q59" s="19" t="n"/>
      <c r="R59" s="19" t="n"/>
      <c r="S59" s="19" t="n"/>
      <c r="T59" s="19" t="n"/>
      <c r="U59" s="19" t="n"/>
      <c r="V59" s="19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  <c r="I60" s="29" t="n"/>
      <c r="J60" s="19" t="n"/>
      <c r="K60" s="19" t="n"/>
      <c r="L60" s="19" t="n"/>
      <c r="M60" s="19" t="n"/>
      <c r="N60" s="19" t="n"/>
      <c r="O60" s="19" t="n"/>
      <c r="P60" s="21" t="n"/>
      <c r="Q60" s="19" t="n"/>
      <c r="R60" s="19" t="n"/>
      <c r="S60" s="19" t="n"/>
      <c r="T60" s="19" t="n"/>
      <c r="U60" s="19" t="n"/>
      <c r="V60" s="19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8" t="n"/>
      <c r="J61" s="2" t="n"/>
      <c r="K61" s="2" t="n"/>
      <c r="L61" s="2" t="n"/>
      <c r="M61" s="2" t="n"/>
      <c r="N61" s="2" t="n"/>
      <c r="O61" s="2" t="n"/>
      <c r="P61" s="5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8" t="n"/>
      <c r="J62" s="2" t="n"/>
      <c r="K62" s="2" t="n"/>
      <c r="L62" s="2" t="n"/>
      <c r="M62" s="2" t="n"/>
      <c r="N62" s="2" t="n"/>
      <c r="O62" s="2" t="n"/>
      <c r="P62" s="5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8" t="n"/>
      <c r="J63" s="2" t="n"/>
      <c r="K63" s="2" t="n"/>
      <c r="L63" s="2" t="n"/>
      <c r="M63" s="2" t="n"/>
      <c r="N63" s="2" t="n"/>
      <c r="O63" s="2" t="n"/>
      <c r="P63" s="5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8" t="n"/>
      <c r="J64" s="2" t="n"/>
      <c r="K64" s="2" t="n"/>
      <c r="L64" s="2" t="n"/>
      <c r="M64" s="2" t="n"/>
      <c r="N64" s="2" t="n"/>
      <c r="O64" s="2" t="n"/>
      <c r="P64" s="5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8" t="n"/>
      <c r="J65" s="2" t="n"/>
      <c r="K65" s="2" t="n"/>
      <c r="L65" s="2" t="n"/>
      <c r="M65" s="2" t="n"/>
      <c r="N65" s="2" t="n"/>
      <c r="O65" s="2" t="n"/>
      <c r="P65" s="5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8" t="n"/>
      <c r="J66" s="2" t="n"/>
      <c r="K66" s="2" t="n"/>
      <c r="L66" s="2" t="n"/>
      <c r="M66" s="2" t="n"/>
      <c r="N66" s="2" t="n"/>
      <c r="O66" s="2" t="n"/>
      <c r="P66" s="5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8" t="n"/>
      <c r="J67" s="2" t="n"/>
      <c r="K67" s="2" t="n"/>
      <c r="L67" s="2" t="n"/>
      <c r="M67" s="2" t="n"/>
      <c r="N67" s="2" t="n"/>
      <c r="O67" s="2" t="n"/>
      <c r="P67" s="5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8" t="n"/>
      <c r="J68" s="2" t="n"/>
      <c r="K68" s="2" t="n"/>
      <c r="L68" s="2" t="n"/>
      <c r="M68" s="2" t="n"/>
      <c r="N68" s="2" t="n"/>
      <c r="O68" s="2" t="n"/>
      <c r="P68" s="5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8" t="n"/>
      <c r="J69" s="2" t="n"/>
      <c r="K69" s="2" t="n"/>
      <c r="L69" s="2" t="n"/>
      <c r="M69" s="2" t="n"/>
      <c r="N69" s="2" t="n"/>
      <c r="O69" s="2" t="n"/>
      <c r="P69" s="5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8" t="n"/>
      <c r="J70" s="2" t="n"/>
      <c r="K70" s="2" t="n"/>
      <c r="L70" s="2" t="n"/>
      <c r="M70" s="2" t="n"/>
      <c r="N70" s="2" t="n"/>
      <c r="O70" s="2" t="n"/>
      <c r="P70" s="5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8" t="n"/>
      <c r="J71" s="2" t="n"/>
      <c r="K71" s="2" t="n"/>
      <c r="L71" s="2" t="n"/>
      <c r="M71" s="2" t="n"/>
      <c r="N71" s="2" t="n"/>
      <c r="O71" s="2" t="n"/>
      <c r="P71" s="5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8" t="n"/>
      <c r="J72" s="2" t="n"/>
      <c r="K72" s="2" t="n"/>
      <c r="L72" s="2" t="n"/>
      <c r="M72" s="2" t="n"/>
      <c r="N72" s="2" t="n"/>
      <c r="O72" s="2" t="n"/>
      <c r="P72" s="5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8" t="n"/>
      <c r="J73" s="2" t="n"/>
      <c r="K73" s="2" t="n"/>
      <c r="L73" s="2" t="n"/>
      <c r="M73" s="2" t="n"/>
      <c r="N73" s="2" t="n"/>
      <c r="O73" s="2" t="n"/>
      <c r="P73" s="5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8" t="n"/>
      <c r="J74" s="2" t="n"/>
      <c r="K74" s="2" t="n"/>
      <c r="L74" s="2" t="n"/>
      <c r="M74" s="2" t="n"/>
      <c r="N74" s="2" t="n"/>
      <c r="O74" s="2" t="n"/>
      <c r="P74" s="5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8" t="n"/>
      <c r="J75" s="2" t="n"/>
      <c r="K75" s="2" t="n"/>
      <c r="L75" s="2" t="n"/>
      <c r="M75" s="2" t="n"/>
      <c r="N75" s="2" t="n"/>
      <c r="O75" s="2" t="n"/>
      <c r="P75" s="5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8" t="n"/>
      <c r="J76" s="2" t="n"/>
      <c r="K76" s="2" t="n"/>
      <c r="L76" s="2" t="n"/>
      <c r="M76" s="2" t="n"/>
      <c r="N76" s="2" t="n"/>
      <c r="O76" s="2" t="n"/>
      <c r="P76" s="5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8" t="n"/>
      <c r="J77" s="2" t="n"/>
      <c r="K77" s="2" t="n"/>
      <c r="L77" s="2" t="n"/>
      <c r="M77" s="2" t="n"/>
      <c r="N77" s="2" t="n"/>
      <c r="O77" s="2" t="n"/>
      <c r="P77" s="5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8" t="n"/>
      <c r="J78" s="2" t="n"/>
      <c r="K78" s="2" t="n"/>
      <c r="L78" s="2" t="n"/>
      <c r="M78" s="2" t="n"/>
      <c r="N78" s="2" t="n"/>
      <c r="O78" s="2" t="n"/>
      <c r="P78" s="5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8" t="n"/>
      <c r="J79" s="2" t="n"/>
      <c r="K79" s="2" t="n"/>
      <c r="L79" s="2" t="n"/>
      <c r="M79" s="2" t="n"/>
      <c r="N79" s="2" t="n"/>
      <c r="O79" s="2" t="n"/>
      <c r="P79" s="5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8" t="n"/>
      <c r="J80" s="2" t="n"/>
      <c r="K80" s="2" t="n"/>
      <c r="L80" s="2" t="n"/>
      <c r="M80" s="2" t="n"/>
      <c r="N80" s="2" t="n"/>
      <c r="O80" s="2" t="n"/>
      <c r="P80" s="5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8" t="n"/>
      <c r="J81" s="2" t="n"/>
      <c r="K81" s="2" t="n"/>
      <c r="L81" s="2" t="n"/>
      <c r="M81" s="2" t="n"/>
      <c r="N81" s="2" t="n"/>
      <c r="O81" s="2" t="n"/>
      <c r="P81" s="5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8" t="n"/>
      <c r="J82" s="2" t="n"/>
      <c r="K82" s="2" t="n"/>
      <c r="L82" s="2" t="n"/>
      <c r="M82" s="2" t="n"/>
      <c r="N82" s="2" t="n"/>
      <c r="O82" s="2" t="n"/>
      <c r="P82" s="5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8" t="n"/>
      <c r="J83" s="2" t="n"/>
      <c r="K83" s="2" t="n"/>
      <c r="L83" s="2" t="n"/>
      <c r="M83" s="2" t="n"/>
      <c r="N83" s="2" t="n"/>
      <c r="O83" s="2" t="n"/>
      <c r="P83" s="5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8" t="n"/>
      <c r="J84" s="2" t="n"/>
      <c r="K84" s="2" t="n"/>
      <c r="L84" s="2" t="n"/>
      <c r="M84" s="2" t="n"/>
      <c r="N84" s="2" t="n"/>
      <c r="O84" s="2" t="n"/>
      <c r="P84" s="5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8" t="n"/>
      <c r="J85" s="2" t="n"/>
      <c r="K85" s="2" t="n"/>
      <c r="L85" s="2" t="n"/>
      <c r="M85" s="2" t="n"/>
      <c r="N85" s="2" t="n"/>
      <c r="O85" s="2" t="n"/>
      <c r="P85" s="5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8" t="n"/>
      <c r="J86" s="2" t="n"/>
      <c r="K86" s="2" t="n"/>
      <c r="L86" s="2" t="n"/>
      <c r="M86" s="2" t="n"/>
      <c r="N86" s="2" t="n"/>
      <c r="O86" s="2" t="n"/>
      <c r="P86" s="5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8" t="n"/>
      <c r="J87" s="2" t="n"/>
      <c r="K87" s="2" t="n"/>
      <c r="L87" s="2" t="n"/>
      <c r="M87" s="2" t="n"/>
      <c r="N87" s="2" t="n"/>
      <c r="O87" s="2" t="n"/>
      <c r="P87" s="5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8" t="n"/>
      <c r="J88" s="2" t="n"/>
      <c r="K88" s="2" t="n"/>
      <c r="L88" s="2" t="n"/>
      <c r="M88" s="2" t="n"/>
      <c r="N88" s="2" t="n"/>
      <c r="O88" s="2" t="n"/>
      <c r="P88" s="5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8" t="n"/>
      <c r="J89" s="2" t="n"/>
      <c r="K89" s="2" t="n"/>
      <c r="L89" s="2" t="n"/>
      <c r="M89" s="2" t="n"/>
      <c r="N89" s="2" t="n"/>
      <c r="O89" s="2" t="n"/>
      <c r="P89" s="5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8" t="n"/>
      <c r="J90" s="2" t="n"/>
      <c r="K90" s="2" t="n"/>
      <c r="L90" s="2" t="n"/>
      <c r="M90" s="2" t="n"/>
      <c r="N90" s="2" t="n"/>
      <c r="O90" s="2" t="n"/>
      <c r="P90" s="5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8" t="n"/>
      <c r="J91" s="2" t="n"/>
      <c r="K91" s="2" t="n"/>
      <c r="L91" s="2" t="n"/>
      <c r="M91" s="2" t="n"/>
      <c r="N91" s="2" t="n"/>
      <c r="O91" s="2" t="n"/>
      <c r="P91" s="5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8" t="n"/>
      <c r="J92" s="2" t="n"/>
      <c r="K92" s="2" t="n"/>
      <c r="L92" s="2" t="n"/>
      <c r="M92" s="2" t="n"/>
      <c r="N92" s="2" t="n"/>
      <c r="O92" s="2" t="n"/>
      <c r="P92" s="5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8" t="n"/>
      <c r="J93" s="2" t="n"/>
      <c r="K93" s="2" t="n"/>
      <c r="L93" s="2" t="n"/>
      <c r="M93" s="2" t="n"/>
      <c r="N93" s="2" t="n"/>
      <c r="O93" s="2" t="n"/>
      <c r="P93" s="5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8" t="n"/>
      <c r="J94" s="2" t="n"/>
      <c r="K94" s="2" t="n"/>
      <c r="L94" s="2" t="n"/>
      <c r="M94" s="2" t="n"/>
      <c r="N94" s="2" t="n"/>
      <c r="O94" s="2" t="n"/>
      <c r="P94" s="5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8" t="n"/>
      <c r="J95" s="2" t="n"/>
      <c r="K95" s="2" t="n"/>
      <c r="L95" s="2" t="n"/>
      <c r="M95" s="2" t="n"/>
      <c r="N95" s="2" t="n"/>
      <c r="O95" s="2" t="n"/>
      <c r="P95" s="5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8" t="n"/>
      <c r="J96" s="2" t="n"/>
      <c r="K96" s="2" t="n"/>
      <c r="L96" s="2" t="n"/>
      <c r="M96" s="2" t="n"/>
      <c r="N96" s="2" t="n"/>
      <c r="O96" s="2" t="n"/>
      <c r="P96" s="5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8" t="n"/>
      <c r="J97" s="2" t="n"/>
      <c r="K97" s="2" t="n"/>
      <c r="L97" s="2" t="n"/>
      <c r="M97" s="2" t="n"/>
      <c r="N97" s="2" t="n"/>
      <c r="O97" s="2" t="n"/>
      <c r="P97" s="5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8" t="n"/>
      <c r="J98" s="2" t="n"/>
      <c r="K98" s="2" t="n"/>
      <c r="L98" s="2" t="n"/>
      <c r="M98" s="2" t="n"/>
      <c r="N98" s="2" t="n"/>
      <c r="O98" s="2" t="n"/>
      <c r="P98" s="5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8" t="n"/>
      <c r="J99" s="2" t="n"/>
      <c r="K99" s="2" t="n"/>
      <c r="L99" s="2" t="n"/>
      <c r="M99" s="2" t="n"/>
      <c r="N99" s="2" t="n"/>
      <c r="O99" s="2" t="n"/>
      <c r="P99" s="5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8" t="n"/>
      <c r="J100" s="2" t="n"/>
      <c r="K100" s="2" t="n"/>
      <c r="L100" s="2" t="n"/>
      <c r="M100" s="2" t="n"/>
      <c r="N100" s="2" t="n"/>
      <c r="O100" s="2" t="n"/>
      <c r="P100" s="5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8" t="n"/>
      <c r="J101" s="2" t="n"/>
      <c r="K101" s="2" t="n"/>
      <c r="L101" s="2" t="n"/>
      <c r="M101" s="2" t="n"/>
      <c r="N101" s="2" t="n"/>
      <c r="O101" s="2" t="n"/>
      <c r="P101" s="5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8" t="n"/>
      <c r="J102" s="2" t="n"/>
      <c r="K102" s="2" t="n"/>
      <c r="L102" s="2" t="n"/>
      <c r="M102" s="2" t="n"/>
      <c r="N102" s="2" t="n"/>
      <c r="O102" s="2" t="n"/>
      <c r="P102" s="5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8" t="n"/>
      <c r="J103" s="2" t="n"/>
      <c r="K103" s="2" t="n"/>
      <c r="L103" s="2" t="n"/>
      <c r="M103" s="2" t="n"/>
      <c r="N103" s="2" t="n"/>
      <c r="O103" s="2" t="n"/>
      <c r="P103" s="5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8" t="n"/>
      <c r="J104" s="2" t="n"/>
      <c r="K104" s="2" t="n"/>
      <c r="L104" s="2" t="n"/>
      <c r="M104" s="2" t="n"/>
      <c r="N104" s="2" t="n"/>
      <c r="O104" s="2" t="n"/>
      <c r="P104" s="5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8" t="n"/>
      <c r="J105" s="2" t="n"/>
      <c r="K105" s="2" t="n"/>
      <c r="L105" s="2" t="n"/>
      <c r="M105" s="2" t="n"/>
      <c r="N105" s="2" t="n"/>
      <c r="O105" s="2" t="n"/>
      <c r="P105" s="5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8" t="n"/>
      <c r="J106" s="2" t="n"/>
      <c r="K106" s="2" t="n"/>
      <c r="L106" s="2" t="n"/>
      <c r="M106" s="2" t="n"/>
      <c r="N106" s="2" t="n"/>
      <c r="O106" s="2" t="n"/>
      <c r="P106" s="5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8" t="n"/>
      <c r="J107" s="2" t="n"/>
      <c r="K107" s="2" t="n"/>
      <c r="L107" s="2" t="n"/>
      <c r="M107" s="2" t="n"/>
      <c r="N107" s="2" t="n"/>
      <c r="O107" s="2" t="n"/>
      <c r="P107" s="5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8" t="n"/>
      <c r="J108" s="2" t="n"/>
      <c r="K108" s="2" t="n"/>
      <c r="L108" s="2" t="n"/>
      <c r="M108" s="2" t="n"/>
      <c r="N108" s="2" t="n"/>
      <c r="O108" s="2" t="n"/>
      <c r="P108" s="5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8" t="n"/>
      <c r="J109" s="2" t="n"/>
      <c r="K109" s="2" t="n"/>
      <c r="L109" s="2" t="n"/>
      <c r="M109" s="2" t="n"/>
      <c r="N109" s="2" t="n"/>
      <c r="O109" s="2" t="n"/>
      <c r="P109" s="5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8" t="n"/>
      <c r="J110" s="2" t="n"/>
      <c r="K110" s="2" t="n"/>
      <c r="L110" s="2" t="n"/>
      <c r="M110" s="2" t="n"/>
      <c r="N110" s="2" t="n"/>
      <c r="O110" s="2" t="n"/>
      <c r="P110" s="5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8" t="n"/>
      <c r="J111" s="2" t="n"/>
      <c r="K111" s="2" t="n"/>
      <c r="L111" s="2" t="n"/>
      <c r="M111" s="2" t="n"/>
      <c r="N111" s="2" t="n"/>
      <c r="O111" s="2" t="n"/>
      <c r="P111" s="5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8" t="n"/>
      <c r="J112" s="2" t="n"/>
      <c r="K112" s="2" t="n"/>
      <c r="L112" s="2" t="n"/>
      <c r="M112" s="2" t="n"/>
      <c r="N112" s="2" t="n"/>
      <c r="O112" s="2" t="n"/>
      <c r="P112" s="5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8" t="n"/>
      <c r="J113" s="2" t="n"/>
      <c r="K113" s="2" t="n"/>
      <c r="L113" s="2" t="n"/>
      <c r="M113" s="2" t="n"/>
      <c r="N113" s="2" t="n"/>
      <c r="O113" s="2" t="n"/>
      <c r="P113" s="5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8" t="n"/>
      <c r="J114" s="2" t="n"/>
      <c r="K114" s="2" t="n"/>
      <c r="L114" s="2" t="n"/>
      <c r="M114" s="2" t="n"/>
      <c r="N114" s="2" t="n"/>
      <c r="O114" s="2" t="n"/>
      <c r="P114" s="5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8" t="n"/>
      <c r="J115" s="2" t="n"/>
      <c r="K115" s="2" t="n"/>
      <c r="L115" s="2" t="n"/>
      <c r="M115" s="2" t="n"/>
      <c r="N115" s="2" t="n"/>
      <c r="O115" s="2" t="n"/>
      <c r="P115" s="5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8" t="n"/>
      <c r="J116" s="2" t="n"/>
      <c r="K116" s="2" t="n"/>
      <c r="L116" s="2" t="n"/>
      <c r="M116" s="2" t="n"/>
      <c r="N116" s="2" t="n"/>
      <c r="O116" s="2" t="n"/>
      <c r="P116" s="5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8" t="n"/>
      <c r="J117" s="2" t="n"/>
      <c r="K117" s="2" t="n"/>
      <c r="L117" s="2" t="n"/>
      <c r="M117" s="2" t="n"/>
      <c r="N117" s="2" t="n"/>
      <c r="O117" s="2" t="n"/>
      <c r="P117" s="5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8" t="n"/>
      <c r="J118" s="2" t="n"/>
      <c r="K118" s="2" t="n"/>
      <c r="L118" s="2" t="n"/>
      <c r="M118" s="2" t="n"/>
      <c r="N118" s="2" t="n"/>
      <c r="O118" s="2" t="n"/>
      <c r="P118" s="5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8" t="n"/>
      <c r="J119" s="2" t="n"/>
      <c r="K119" s="2" t="n"/>
      <c r="L119" s="2" t="n"/>
      <c r="M119" s="2" t="n"/>
      <c r="N119" s="2" t="n"/>
      <c r="O119" s="2" t="n"/>
      <c r="P119" s="5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8" t="n"/>
      <c r="J120" s="2" t="n"/>
      <c r="K120" s="2" t="n"/>
      <c r="L120" s="2" t="n"/>
      <c r="M120" s="2" t="n"/>
      <c r="N120" s="2" t="n"/>
      <c r="O120" s="2" t="n"/>
      <c r="P120" s="5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8" t="n"/>
      <c r="J121" s="2" t="n"/>
      <c r="K121" s="2" t="n"/>
      <c r="L121" s="2" t="n"/>
      <c r="M121" s="2" t="n"/>
      <c r="N121" s="2" t="n"/>
      <c r="O121" s="2" t="n"/>
      <c r="P121" s="5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8" t="n"/>
      <c r="J122" s="2" t="n"/>
      <c r="K122" s="2" t="n"/>
      <c r="L122" s="2" t="n"/>
      <c r="M122" s="2" t="n"/>
      <c r="N122" s="2" t="n"/>
      <c r="O122" s="2" t="n"/>
      <c r="P122" s="5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8" t="n"/>
      <c r="J123" s="2" t="n"/>
      <c r="K123" s="2" t="n"/>
      <c r="L123" s="2" t="n"/>
      <c r="M123" s="2" t="n"/>
      <c r="N123" s="2" t="n"/>
      <c r="O123" s="2" t="n"/>
      <c r="P123" s="5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8" t="n"/>
      <c r="J124" s="2" t="n"/>
      <c r="K124" s="2" t="n"/>
      <c r="L124" s="2" t="n"/>
      <c r="M124" s="2" t="n"/>
      <c r="N124" s="2" t="n"/>
      <c r="O124" s="2" t="n"/>
      <c r="P124" s="5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8" t="n"/>
      <c r="J125" s="2" t="n"/>
      <c r="K125" s="2" t="n"/>
      <c r="L125" s="2" t="n"/>
      <c r="M125" s="2" t="n"/>
      <c r="N125" s="2" t="n"/>
      <c r="O125" s="2" t="n"/>
      <c r="P125" s="5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8" t="n"/>
      <c r="J126" s="2" t="n"/>
      <c r="K126" s="2" t="n"/>
      <c r="L126" s="2" t="n"/>
      <c r="M126" s="2" t="n"/>
      <c r="N126" s="2" t="n"/>
      <c r="O126" s="2" t="n"/>
      <c r="P126" s="5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8" t="n"/>
      <c r="J127" s="2" t="n"/>
      <c r="K127" s="2" t="n"/>
      <c r="L127" s="2" t="n"/>
      <c r="M127" s="2" t="n"/>
      <c r="N127" s="2" t="n"/>
      <c r="O127" s="2" t="n"/>
      <c r="P127" s="5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8" t="n"/>
      <c r="J128" s="2" t="n"/>
      <c r="K128" s="2" t="n"/>
      <c r="L128" s="2" t="n"/>
      <c r="M128" s="2" t="n"/>
      <c r="N128" s="2" t="n"/>
      <c r="O128" s="2" t="n"/>
      <c r="P128" s="5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8" t="n"/>
      <c r="J129" s="2" t="n"/>
      <c r="K129" s="2" t="n"/>
      <c r="L129" s="2" t="n"/>
      <c r="M129" s="2" t="n"/>
      <c r="N129" s="2" t="n"/>
      <c r="O129" s="2" t="n"/>
      <c r="P129" s="5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8" t="n"/>
      <c r="J130" s="2" t="n"/>
      <c r="K130" s="2" t="n"/>
      <c r="L130" s="2" t="n"/>
      <c r="M130" s="2" t="n"/>
      <c r="N130" s="2" t="n"/>
      <c r="O130" s="2" t="n"/>
      <c r="P130" s="5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8" t="n"/>
      <c r="J131" s="2" t="n"/>
      <c r="K131" s="2" t="n"/>
      <c r="L131" s="2" t="n"/>
      <c r="M131" s="2" t="n"/>
      <c r="N131" s="2" t="n"/>
      <c r="O131" s="2" t="n"/>
      <c r="P131" s="5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8" t="n"/>
      <c r="J132" s="2" t="n"/>
      <c r="K132" s="2" t="n"/>
      <c r="L132" s="2" t="n"/>
      <c r="M132" s="2" t="n"/>
      <c r="N132" s="2" t="n"/>
      <c r="O132" s="2" t="n"/>
      <c r="P132" s="5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8" t="n"/>
      <c r="J133" s="2" t="n"/>
      <c r="K133" s="2" t="n"/>
      <c r="L133" s="2" t="n"/>
      <c r="M133" s="2" t="n"/>
      <c r="N133" s="2" t="n"/>
      <c r="O133" s="2" t="n"/>
      <c r="P133" s="5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8" t="n"/>
      <c r="J134" s="2" t="n"/>
      <c r="K134" s="2" t="n"/>
      <c r="L134" s="2" t="n"/>
      <c r="M134" s="2" t="n"/>
      <c r="N134" s="2" t="n"/>
      <c r="O134" s="2" t="n"/>
      <c r="P134" s="5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8" t="n"/>
      <c r="J135" s="2" t="n"/>
      <c r="K135" s="2" t="n"/>
      <c r="L135" s="2" t="n"/>
      <c r="M135" s="2" t="n"/>
      <c r="N135" s="2" t="n"/>
      <c r="O135" s="2" t="n"/>
      <c r="P135" s="5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8" t="n"/>
      <c r="J136" s="2" t="n"/>
      <c r="K136" s="2" t="n"/>
      <c r="L136" s="2" t="n"/>
      <c r="M136" s="2" t="n"/>
      <c r="N136" s="2" t="n"/>
      <c r="O136" s="2" t="n"/>
      <c r="P136" s="5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8" t="n"/>
      <c r="J137" s="2" t="n"/>
      <c r="K137" s="2" t="n"/>
      <c r="L137" s="2" t="n"/>
      <c r="M137" s="2" t="n"/>
      <c r="N137" s="2" t="n"/>
      <c r="O137" s="2" t="n"/>
      <c r="P137" s="5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8" t="n"/>
      <c r="J138" s="2" t="n"/>
      <c r="K138" s="2" t="n"/>
      <c r="L138" s="2" t="n"/>
      <c r="M138" s="2" t="n"/>
      <c r="N138" s="2" t="n"/>
      <c r="O138" s="2" t="n"/>
      <c r="P138" s="5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8" t="n"/>
      <c r="J139" s="2" t="n"/>
      <c r="K139" s="2" t="n"/>
      <c r="L139" s="2" t="n"/>
      <c r="M139" s="2" t="n"/>
      <c r="N139" s="2" t="n"/>
      <c r="O139" s="2" t="n"/>
      <c r="P139" s="5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8" t="n"/>
      <c r="J140" s="2" t="n"/>
      <c r="K140" s="2" t="n"/>
      <c r="L140" s="2" t="n"/>
      <c r="M140" s="2" t="n"/>
      <c r="N140" s="2" t="n"/>
      <c r="O140" s="2" t="n"/>
      <c r="P140" s="5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8" t="n"/>
      <c r="J141" s="2" t="n"/>
      <c r="K141" s="2" t="n"/>
      <c r="L141" s="2" t="n"/>
      <c r="M141" s="2" t="n"/>
      <c r="N141" s="2" t="n"/>
      <c r="O141" s="2" t="n"/>
      <c r="P141" s="5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8" t="n"/>
      <c r="J142" s="2" t="n"/>
      <c r="K142" s="2" t="n"/>
      <c r="L142" s="2" t="n"/>
      <c r="M142" s="2" t="n"/>
      <c r="N142" s="2" t="n"/>
      <c r="O142" s="2" t="n"/>
      <c r="P142" s="5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8" t="n"/>
      <c r="J143" s="2" t="n"/>
      <c r="K143" s="2" t="n"/>
      <c r="L143" s="2" t="n"/>
      <c r="M143" s="2" t="n"/>
      <c r="N143" s="2" t="n"/>
      <c r="O143" s="2" t="n"/>
      <c r="P143" s="5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8" t="n"/>
      <c r="J144" s="2" t="n"/>
      <c r="K144" s="2" t="n"/>
      <c r="L144" s="2" t="n"/>
      <c r="M144" s="2" t="n"/>
      <c r="N144" s="2" t="n"/>
      <c r="O144" s="2" t="n"/>
      <c r="P144" s="5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8" t="n"/>
      <c r="J145" s="2" t="n"/>
      <c r="K145" s="2" t="n"/>
      <c r="L145" s="2" t="n"/>
      <c r="M145" s="2" t="n"/>
      <c r="N145" s="2" t="n"/>
      <c r="O145" s="2" t="n"/>
      <c r="P145" s="5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8" t="n"/>
      <c r="J146" s="2" t="n"/>
      <c r="K146" s="2" t="n"/>
      <c r="L146" s="2" t="n"/>
      <c r="M146" s="2" t="n"/>
      <c r="N146" s="2" t="n"/>
      <c r="O146" s="2" t="n"/>
      <c r="P146" s="5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8" t="n"/>
      <c r="J147" s="2" t="n"/>
      <c r="K147" s="2" t="n"/>
      <c r="L147" s="2" t="n"/>
      <c r="M147" s="2" t="n"/>
      <c r="N147" s="2" t="n"/>
      <c r="O147" s="2" t="n"/>
      <c r="P147" s="5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8" t="n"/>
      <c r="J148" s="2" t="n"/>
      <c r="K148" s="2" t="n"/>
      <c r="L148" s="2" t="n"/>
      <c r="M148" s="2" t="n"/>
      <c r="N148" s="2" t="n"/>
      <c r="O148" s="2" t="n"/>
      <c r="P148" s="5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8" t="n"/>
      <c r="J149" s="2" t="n"/>
      <c r="K149" s="2" t="n"/>
      <c r="L149" s="2" t="n"/>
      <c r="M149" s="2" t="n"/>
      <c r="N149" s="2" t="n"/>
      <c r="O149" s="2" t="n"/>
      <c r="P149" s="5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8" t="n"/>
      <c r="J150" s="2" t="n"/>
      <c r="K150" s="2" t="n"/>
      <c r="L150" s="2" t="n"/>
      <c r="M150" s="2" t="n"/>
      <c r="N150" s="2" t="n"/>
      <c r="O150" s="2" t="n"/>
      <c r="P150" s="5" t="n"/>
    </row>
    <row r="151">
      <c r="P151" s="5" t="n"/>
    </row>
    <row r="152">
      <c r="P152" s="5" t="n"/>
    </row>
    <row r="153">
      <c r="P153" s="5" t="n"/>
    </row>
    <row r="154">
      <c r="P154" s="5" t="n"/>
    </row>
    <row r="155">
      <c r="P155" s="5" t="n"/>
    </row>
    <row r="156">
      <c r="P156" s="5" t="n"/>
    </row>
    <row r="157">
      <c r="P157" s="5" t="n"/>
    </row>
    <row r="158">
      <c r="P158" s="5" t="n"/>
    </row>
    <row r="159">
      <c r="P159" s="5" t="n"/>
    </row>
    <row r="160">
      <c r="P160" s="5" t="n"/>
    </row>
    <row r="161">
      <c r="P161" s="5" t="n"/>
    </row>
    <row r="162">
      <c r="P162" s="5" t="n"/>
    </row>
    <row r="163">
      <c r="P163" s="5" t="n"/>
    </row>
    <row r="164">
      <c r="P164" s="5" t="n"/>
    </row>
    <row r="165">
      <c r="P165" s="5" t="n"/>
    </row>
    <row r="166">
      <c r="P166" s="5" t="n"/>
    </row>
    <row r="167">
      <c r="P167" s="5" t="n"/>
    </row>
    <row r="168">
      <c r="P168" s="5" t="n"/>
    </row>
    <row r="169">
      <c r="P169" s="5" t="n"/>
    </row>
    <row r="170">
      <c r="P170" s="5" t="n"/>
    </row>
    <row r="171">
      <c r="P171" s="5" t="n"/>
    </row>
    <row r="172">
      <c r="P172" s="5" t="n"/>
    </row>
    <row r="173">
      <c r="P173" s="5" t="n"/>
    </row>
    <row r="174">
      <c r="P174" s="5" t="n"/>
    </row>
    <row r="175">
      <c r="P175" s="5" t="n"/>
    </row>
    <row r="176">
      <c r="P176" s="5" t="n"/>
    </row>
    <row r="177">
      <c r="P177" s="5" t="n"/>
    </row>
    <row r="178">
      <c r="P178" s="5" t="n"/>
    </row>
    <row r="179">
      <c r="P179" s="5" t="n"/>
    </row>
    <row r="180">
      <c r="P180" s="5" t="n"/>
    </row>
    <row r="181">
      <c r="P181" s="5" t="n"/>
    </row>
    <row r="182">
      <c r="P182" s="5" t="n"/>
    </row>
    <row r="183">
      <c r="P183" s="5" t="n"/>
    </row>
    <row r="184">
      <c r="P184" s="5" t="n"/>
    </row>
    <row r="185">
      <c r="P185" s="5" t="n"/>
    </row>
    <row r="186">
      <c r="P186" s="5" t="n"/>
    </row>
    <row r="187">
      <c r="P187" s="5" t="n"/>
    </row>
    <row r="188">
      <c r="P188" s="5" t="n"/>
    </row>
    <row r="189">
      <c r="P189" s="5" t="n"/>
    </row>
    <row r="190">
      <c r="P190" s="5" t="n"/>
    </row>
    <row r="191">
      <c r="P191" s="5" t="n"/>
    </row>
    <row r="192">
      <c r="P192" s="5" t="n"/>
    </row>
    <row r="193">
      <c r="P193" s="5" t="n"/>
    </row>
    <row r="194">
      <c r="P194" s="5" t="n"/>
    </row>
    <row r="195">
      <c r="P195" s="5" t="n"/>
    </row>
    <row r="196">
      <c r="P196" s="5" t="n"/>
    </row>
    <row r="197">
      <c r="P197" s="5" t="n"/>
    </row>
    <row r="198">
      <c r="P198" s="5" t="n"/>
    </row>
    <row r="199">
      <c r="P199" s="5" t="n"/>
    </row>
    <row r="200">
      <c r="P200" s="5" t="n"/>
    </row>
    <row r="201">
      <c r="P201" s="5" t="n"/>
    </row>
    <row r="202">
      <c r="P202" s="5" t="n"/>
    </row>
    <row r="203">
      <c r="P203" s="5" t="n"/>
    </row>
    <row r="204">
      <c r="P204" s="5" t="n"/>
    </row>
    <row r="205">
      <c r="P205" s="5" t="n"/>
    </row>
    <row r="206">
      <c r="P206" s="5" t="n"/>
    </row>
    <row r="207">
      <c r="P207" s="5" t="n"/>
    </row>
    <row r="208">
      <c r="P208" s="5" t="n"/>
    </row>
    <row r="209">
      <c r="P209" s="5" t="n"/>
    </row>
    <row r="210">
      <c r="P210" s="5" t="n"/>
    </row>
    <row r="211">
      <c r="P211" s="5" t="n"/>
    </row>
    <row r="212">
      <c r="P212" s="5" t="n"/>
    </row>
    <row r="213">
      <c r="P213" s="5" t="n"/>
    </row>
    <row r="214">
      <c r="P214" s="5" t="n"/>
    </row>
    <row r="215">
      <c r="P215" s="5" t="n"/>
    </row>
    <row r="216">
      <c r="P216" s="5" t="n"/>
    </row>
    <row r="217">
      <c r="P217" s="5" t="n"/>
    </row>
    <row r="218">
      <c r="P218" s="5" t="n"/>
    </row>
    <row r="219">
      <c r="P219" s="5" t="n"/>
    </row>
    <row r="220">
      <c r="P220" s="5" t="n"/>
    </row>
    <row r="221">
      <c r="P221" s="5" t="n"/>
    </row>
    <row r="222">
      <c r="P222" s="5" t="n"/>
    </row>
    <row r="223">
      <c r="P223" s="5" t="n"/>
    </row>
    <row r="224">
      <c r="P224" s="5" t="n"/>
    </row>
    <row r="225">
      <c r="P225" s="5" t="n"/>
    </row>
    <row r="226">
      <c r="P226" s="5" t="n"/>
    </row>
    <row r="227">
      <c r="P227" s="5" t="n"/>
    </row>
    <row r="228">
      <c r="P228" s="5" t="n"/>
    </row>
    <row r="229">
      <c r="P229" s="5" t="n"/>
    </row>
    <row r="230">
      <c r="P230" s="5" t="n"/>
    </row>
    <row r="231">
      <c r="P231" s="5" t="n"/>
    </row>
    <row r="232">
      <c r="P232" s="5" t="n"/>
    </row>
    <row r="233">
      <c r="P233" s="5" t="n"/>
    </row>
    <row r="234">
      <c r="P234" s="5" t="n"/>
    </row>
    <row r="235">
      <c r="P235" s="5" t="n"/>
    </row>
    <row r="236">
      <c r="P236" s="5" t="n"/>
    </row>
    <row r="237">
      <c r="P237" s="5" t="n"/>
    </row>
    <row r="238">
      <c r="P238" s="5" t="n"/>
    </row>
    <row r="239">
      <c r="P239" s="5" t="n"/>
    </row>
    <row r="240">
      <c r="P240" s="5" t="n"/>
    </row>
    <row r="241">
      <c r="P241" s="5" t="n"/>
    </row>
    <row r="242">
      <c r="P242" s="5" t="n"/>
    </row>
    <row r="243">
      <c r="P243" s="5" t="n"/>
    </row>
    <row r="244">
      <c r="P244" s="5" t="n"/>
    </row>
    <row r="245">
      <c r="P245" s="5" t="n"/>
    </row>
    <row r="246">
      <c r="P246" s="5" t="n"/>
    </row>
    <row r="247">
      <c r="P247" s="5" t="n"/>
    </row>
    <row r="248">
      <c r="P248" s="5" t="n"/>
    </row>
    <row r="249">
      <c r="P249" s="5" t="n"/>
    </row>
    <row r="250">
      <c r="P250" s="5" t="n"/>
    </row>
    <row r="251">
      <c r="P251" s="5" t="n"/>
    </row>
    <row r="252">
      <c r="P252" s="5" t="n"/>
    </row>
    <row r="253">
      <c r="P253" s="5" t="n"/>
    </row>
    <row r="254">
      <c r="P254" s="5" t="n"/>
    </row>
    <row r="255">
      <c r="P255" s="5" t="n"/>
    </row>
    <row r="256">
      <c r="P256" s="5" t="n"/>
    </row>
    <row r="257">
      <c r="P257" s="5" t="n"/>
    </row>
    <row r="258">
      <c r="P258" s="5" t="n"/>
    </row>
    <row r="259">
      <c r="P259" s="5" t="n"/>
    </row>
    <row r="260">
      <c r="P260" s="5" t="n"/>
    </row>
    <row r="261">
      <c r="P261" s="5" t="n"/>
    </row>
    <row r="262">
      <c r="P262" s="5" t="n"/>
    </row>
    <row r="263">
      <c r="P263" s="5" t="n"/>
    </row>
    <row r="264">
      <c r="P264" s="5" t="n"/>
    </row>
    <row r="265">
      <c r="P265" s="5" t="n"/>
    </row>
    <row r="266">
      <c r="P266" s="5" t="n"/>
    </row>
    <row r="267">
      <c r="P267" s="5" t="n"/>
    </row>
    <row r="268">
      <c r="P268" s="5" t="n"/>
    </row>
    <row r="269">
      <c r="P269" s="5" t="n"/>
    </row>
    <row r="270">
      <c r="P270" s="5" t="n"/>
    </row>
    <row r="271">
      <c r="P271" s="5" t="n"/>
    </row>
    <row r="272">
      <c r="P272" s="5" t="n"/>
    </row>
    <row r="273">
      <c r="P273" s="5" t="n"/>
    </row>
    <row r="274">
      <c r="P274" s="5" t="n"/>
    </row>
    <row r="275">
      <c r="P275" s="5" t="n"/>
    </row>
    <row r="276">
      <c r="P276" s="5" t="n"/>
    </row>
    <row r="277">
      <c r="P277" s="5" t="n"/>
    </row>
    <row r="278">
      <c r="P278" s="5" t="n"/>
    </row>
    <row r="279">
      <c r="P279" s="5" t="n"/>
    </row>
    <row r="280">
      <c r="P280" s="5" t="n"/>
    </row>
    <row r="281">
      <c r="P281" s="5" t="n"/>
    </row>
    <row r="282">
      <c r="P282" s="5" t="n"/>
    </row>
    <row r="283">
      <c r="P283" s="5" t="n"/>
    </row>
    <row r="284">
      <c r="P284" s="5" t="n"/>
    </row>
    <row r="285">
      <c r="P285" s="5" t="n"/>
    </row>
    <row r="286">
      <c r="P286" s="5" t="n"/>
    </row>
    <row r="287">
      <c r="P287" s="5" t="n"/>
    </row>
    <row r="288">
      <c r="P288" s="5" t="n"/>
    </row>
    <row r="289">
      <c r="P289" s="5" t="n"/>
    </row>
    <row r="290">
      <c r="P290" s="5" t="n"/>
    </row>
    <row r="291">
      <c r="P291" s="5" t="n"/>
    </row>
    <row r="292">
      <c r="P292" s="5" t="n"/>
    </row>
    <row r="293">
      <c r="P293" s="5" t="n"/>
    </row>
    <row r="294">
      <c r="P294" s="5" t="n"/>
    </row>
    <row r="295">
      <c r="P295" s="5" t="n"/>
    </row>
    <row r="296">
      <c r="P296" s="5" t="n"/>
    </row>
    <row r="297">
      <c r="P297" s="5" t="n"/>
    </row>
    <row r="298">
      <c r="P298" s="5" t="n"/>
    </row>
    <row r="299">
      <c r="P299" s="5" t="n"/>
    </row>
    <row r="300">
      <c r="P300" s="5" t="n"/>
    </row>
    <row r="301">
      <c r="P301" s="5" t="n"/>
    </row>
    <row r="302">
      <c r="P302" s="5" t="n"/>
    </row>
    <row r="303">
      <c r="P303" s="5" t="n"/>
    </row>
    <row r="304">
      <c r="P304" s="5" t="n"/>
    </row>
    <row r="305">
      <c r="P305" s="5" t="n"/>
    </row>
    <row r="306">
      <c r="P306" s="5" t="n"/>
    </row>
    <row r="307">
      <c r="P307" s="5" t="n"/>
    </row>
    <row r="308">
      <c r="P308" s="5" t="n"/>
    </row>
    <row r="309">
      <c r="P309" s="5" t="n"/>
    </row>
    <row r="310">
      <c r="P310" s="5" t="n"/>
    </row>
    <row r="311">
      <c r="P311" s="5" t="n"/>
    </row>
    <row r="312">
      <c r="P312" s="5" t="n"/>
    </row>
    <row r="313">
      <c r="P313" s="5" t="n"/>
    </row>
    <row r="314">
      <c r="P314" s="5" t="n"/>
    </row>
    <row r="315">
      <c r="P315" s="5" t="n"/>
    </row>
    <row r="316">
      <c r="P316" s="5" t="n"/>
    </row>
    <row r="317">
      <c r="P317" s="5" t="n"/>
    </row>
    <row r="318">
      <c r="P318" s="5" t="n"/>
    </row>
    <row r="319">
      <c r="P319" s="5" t="n"/>
    </row>
    <row r="320">
      <c r="P320" s="5" t="n"/>
    </row>
    <row r="321">
      <c r="P321" s="5" t="n"/>
    </row>
    <row r="322">
      <c r="P322" s="5" t="n"/>
    </row>
    <row r="323">
      <c r="P323" s="5" t="n"/>
    </row>
    <row r="324">
      <c r="P324" s="5" t="n"/>
    </row>
    <row r="325">
      <c r="P325" s="5" t="n"/>
    </row>
    <row r="326">
      <c r="P326" s="5" t="n"/>
    </row>
    <row r="327">
      <c r="P327" s="5" t="n"/>
    </row>
    <row r="328">
      <c r="P328" s="5" t="n"/>
    </row>
    <row r="329">
      <c r="P329" s="5" t="n"/>
    </row>
    <row r="330">
      <c r="P330" s="5" t="n"/>
    </row>
    <row r="331">
      <c r="P331" s="5" t="n"/>
    </row>
    <row r="332">
      <c r="P332" s="5" t="n"/>
    </row>
    <row r="333">
      <c r="P333" s="5" t="n"/>
    </row>
    <row r="334">
      <c r="P334" s="5" t="n"/>
    </row>
    <row r="335">
      <c r="P335" s="5" t="n"/>
    </row>
    <row r="336">
      <c r="P336" s="5" t="n"/>
    </row>
    <row r="337">
      <c r="P337" s="5" t="n"/>
    </row>
    <row r="338">
      <c r="P338" s="5" t="n"/>
    </row>
    <row r="339">
      <c r="P339" s="5" t="n"/>
    </row>
    <row r="340">
      <c r="P340" s="5" t="n"/>
    </row>
    <row r="341">
      <c r="P341" s="5" t="n"/>
    </row>
    <row r="342">
      <c r="P342" s="5" t="n"/>
    </row>
    <row r="343">
      <c r="P343" s="5" t="n"/>
    </row>
    <row r="344">
      <c r="P344" s="5" t="n"/>
    </row>
    <row r="345">
      <c r="P345" s="5" t="n"/>
    </row>
    <row r="346">
      <c r="P346" s="5" t="n"/>
    </row>
    <row r="347">
      <c r="P347" s="5" t="n"/>
    </row>
    <row r="348">
      <c r="P348" s="5" t="n"/>
    </row>
    <row r="349">
      <c r="P349" s="5" t="n"/>
    </row>
    <row r="350">
      <c r="P350" s="5" t="n"/>
    </row>
    <row r="351">
      <c r="P351" s="5" t="n"/>
    </row>
    <row r="352">
      <c r="P352" s="5" t="n"/>
    </row>
    <row r="353">
      <c r="P353" s="5" t="n"/>
    </row>
    <row r="354">
      <c r="P354" s="5" t="n"/>
    </row>
    <row r="355">
      <c r="P355" s="5" t="n"/>
    </row>
    <row r="356">
      <c r="P356" s="5" t="n"/>
    </row>
    <row r="357">
      <c r="P357" s="5" t="n"/>
    </row>
    <row r="358">
      <c r="P358" s="5" t="n"/>
    </row>
    <row r="359">
      <c r="P359" s="5" t="n"/>
    </row>
    <row r="360">
      <c r="P360" s="5" t="n"/>
    </row>
    <row r="361">
      <c r="P361" s="5" t="n"/>
    </row>
    <row r="362">
      <c r="P362" s="5" t="n"/>
    </row>
    <row r="363">
      <c r="P363" s="5" t="n"/>
    </row>
    <row r="364">
      <c r="P364" s="5" t="n"/>
    </row>
    <row r="365">
      <c r="P365" s="5" t="n"/>
    </row>
    <row r="366">
      <c r="P366" s="5" t="n"/>
    </row>
    <row r="367">
      <c r="P367" s="5" t="n"/>
    </row>
    <row r="368">
      <c r="P368" s="5" t="n"/>
    </row>
    <row r="369">
      <c r="P369" s="5" t="n"/>
    </row>
    <row r="370">
      <c r="P370" s="5" t="n"/>
    </row>
    <row r="371">
      <c r="P371" s="5" t="n"/>
    </row>
    <row r="372">
      <c r="P372" s="5" t="n"/>
    </row>
    <row r="373">
      <c r="P373" s="5" t="n"/>
    </row>
    <row r="374">
      <c r="P374" s="5" t="n"/>
    </row>
    <row r="375">
      <c r="P375" s="5" t="n"/>
    </row>
    <row r="376">
      <c r="P376" s="5" t="n"/>
    </row>
    <row r="377">
      <c r="P377" s="5" t="n"/>
    </row>
    <row r="378">
      <c r="P378" s="5" t="n"/>
    </row>
    <row r="379">
      <c r="P379" s="5" t="n"/>
    </row>
    <row r="380">
      <c r="P380" s="5" t="n"/>
    </row>
    <row r="381">
      <c r="P381" s="5" t="n"/>
    </row>
    <row r="382">
      <c r="P382" s="5" t="n"/>
    </row>
    <row r="383">
      <c r="P383" s="5" t="n"/>
    </row>
    <row r="384">
      <c r="P384" s="5" t="n"/>
    </row>
    <row r="385">
      <c r="P385" s="5" t="n"/>
    </row>
    <row r="386">
      <c r="P386" s="5" t="n"/>
    </row>
    <row r="387">
      <c r="P387" s="5" t="n"/>
    </row>
    <row r="388">
      <c r="P388" s="5" t="n"/>
    </row>
    <row r="389">
      <c r="P389" s="5" t="n"/>
    </row>
    <row r="390">
      <c r="P390" s="5" t="n"/>
    </row>
    <row r="391">
      <c r="P391" s="5" t="n"/>
    </row>
    <row r="392">
      <c r="P392" s="5" t="n"/>
    </row>
    <row r="393">
      <c r="P393" s="5" t="n"/>
    </row>
    <row r="394">
      <c r="P394" s="5" t="n"/>
    </row>
    <row r="395">
      <c r="P395" s="5" t="n"/>
    </row>
    <row r="396">
      <c r="P396" s="5" t="n"/>
    </row>
    <row r="397">
      <c r="P397" s="5" t="n"/>
    </row>
    <row r="398">
      <c r="P398" s="5" t="n"/>
    </row>
    <row r="399">
      <c r="P399" s="5" t="n"/>
    </row>
    <row r="400">
      <c r="P400" s="5" t="n"/>
    </row>
    <row r="401">
      <c r="P401" s="5" t="n"/>
    </row>
    <row r="402">
      <c r="P402" s="5" t="n"/>
    </row>
    <row r="403">
      <c r="P403" s="5" t="n"/>
    </row>
    <row r="404">
      <c r="P404" s="5" t="n"/>
    </row>
    <row r="405">
      <c r="P405" s="5" t="n"/>
    </row>
    <row r="406">
      <c r="P406" s="5" t="n"/>
    </row>
    <row r="407">
      <c r="P407" s="5" t="n"/>
    </row>
    <row r="408">
      <c r="P408" s="5" t="n"/>
    </row>
    <row r="409">
      <c r="P409" s="5" t="n"/>
    </row>
    <row r="410">
      <c r="P410" s="5" t="n"/>
    </row>
    <row r="411">
      <c r="P411" s="5" t="n"/>
    </row>
    <row r="412">
      <c r="P412" s="5" t="n"/>
    </row>
    <row r="413">
      <c r="P413" s="5" t="n"/>
    </row>
    <row r="414">
      <c r="P414" s="5" t="n"/>
    </row>
    <row r="415">
      <c r="P415" s="5" t="n"/>
    </row>
    <row r="416">
      <c r="P416" s="5" t="n"/>
    </row>
    <row r="417">
      <c r="P417" s="5" t="n"/>
    </row>
    <row r="418">
      <c r="P418" s="5" t="n"/>
    </row>
    <row r="419">
      <c r="P419" s="5" t="n"/>
    </row>
    <row r="420">
      <c r="P420" s="5" t="n"/>
    </row>
    <row r="421">
      <c r="P421" s="5" t="n"/>
    </row>
    <row r="422">
      <c r="P422" s="5" t="n"/>
    </row>
    <row r="423">
      <c r="P423" s="5" t="n"/>
    </row>
    <row r="424">
      <c r="P424" s="5" t="n"/>
    </row>
    <row r="425">
      <c r="P425" s="5" t="n"/>
    </row>
    <row r="426">
      <c r="P426" s="5" t="n"/>
    </row>
    <row r="427">
      <c r="P427" s="5" t="n"/>
    </row>
    <row r="428">
      <c r="P428" s="5" t="n"/>
    </row>
    <row r="429">
      <c r="P429" s="5" t="n"/>
    </row>
    <row r="430">
      <c r="P430" s="5" t="n"/>
    </row>
    <row r="431">
      <c r="P431" s="5" t="n"/>
    </row>
    <row r="432">
      <c r="P432" s="5" t="n"/>
    </row>
    <row r="433">
      <c r="P433" s="5" t="n"/>
    </row>
    <row r="434">
      <c r="P434" s="5" t="n"/>
    </row>
    <row r="435">
      <c r="P435" s="5" t="n"/>
    </row>
    <row r="436">
      <c r="P436" s="5" t="n"/>
    </row>
    <row r="437">
      <c r="P437" s="5" t="n"/>
    </row>
    <row r="438">
      <c r="P438" s="5" t="n"/>
    </row>
    <row r="439">
      <c r="P439" s="5" t="n"/>
    </row>
    <row r="440">
      <c r="P440" s="5" t="n"/>
    </row>
    <row r="441">
      <c r="P441" s="5" t="n"/>
    </row>
    <row r="442">
      <c r="P442" s="5" t="n"/>
    </row>
    <row r="443">
      <c r="P443" s="5" t="n"/>
    </row>
    <row r="444">
      <c r="P444" s="5" t="n"/>
    </row>
    <row r="445">
      <c r="P445" s="5" t="n"/>
    </row>
    <row r="446">
      <c r="P446" s="5" t="n"/>
    </row>
    <row r="447">
      <c r="P447" s="5" t="n"/>
    </row>
    <row r="448">
      <c r="P448" s="5" t="n"/>
    </row>
    <row r="449">
      <c r="P449" s="5" t="n"/>
    </row>
    <row r="450">
      <c r="P450" s="5" t="n"/>
    </row>
    <row r="451">
      <c r="P451" s="5" t="n"/>
    </row>
    <row r="452">
      <c r="P452" s="5" t="n"/>
    </row>
    <row r="453">
      <c r="P453" s="5" t="n"/>
    </row>
    <row r="454">
      <c r="P454" s="5" t="n"/>
    </row>
    <row r="455">
      <c r="P455" s="5" t="n"/>
    </row>
    <row r="456">
      <c r="P456" s="5" t="n"/>
    </row>
    <row r="457">
      <c r="P457" s="5" t="n"/>
    </row>
    <row r="458">
      <c r="P458" s="5" t="n"/>
    </row>
    <row r="459">
      <c r="P459" s="5" t="n"/>
    </row>
    <row r="460">
      <c r="P460" s="5" t="n"/>
    </row>
    <row r="461">
      <c r="P461" s="5" t="n"/>
    </row>
    <row r="462">
      <c r="P462" s="5" t="n"/>
    </row>
    <row r="463">
      <c r="P463" s="5" t="n"/>
    </row>
    <row r="464">
      <c r="P464" s="5" t="n"/>
    </row>
    <row r="465">
      <c r="P465" s="5" t="n"/>
    </row>
    <row r="466">
      <c r="P466" s="5" t="n"/>
    </row>
    <row r="467">
      <c r="P467" s="5" t="n"/>
    </row>
    <row r="468">
      <c r="P468" s="5" t="n"/>
    </row>
    <row r="469">
      <c r="P469" s="5" t="n"/>
    </row>
    <row r="470">
      <c r="P470" s="5" t="n"/>
    </row>
    <row r="471">
      <c r="P471" s="5" t="n"/>
    </row>
    <row r="472">
      <c r="P472" s="5" t="n"/>
    </row>
    <row r="473">
      <c r="P473" s="5" t="n"/>
    </row>
    <row r="474">
      <c r="P474" s="5" t="n"/>
    </row>
    <row r="475">
      <c r="P475" s="5" t="n"/>
    </row>
    <row r="476">
      <c r="P476" s="5" t="n"/>
    </row>
    <row r="477">
      <c r="P477" s="5" t="n"/>
    </row>
    <row r="478">
      <c r="P478" s="5" t="n"/>
    </row>
    <row r="479">
      <c r="P479" s="5" t="n"/>
    </row>
    <row r="480">
      <c r="P480" s="5" t="n"/>
    </row>
    <row r="481">
      <c r="P481" s="5" t="n"/>
    </row>
    <row r="482">
      <c r="P482" s="5" t="n"/>
    </row>
    <row r="483">
      <c r="P483" s="5" t="n"/>
    </row>
    <row r="484">
      <c r="P484" s="5" t="n"/>
    </row>
    <row r="485">
      <c r="P485" s="5" t="n"/>
    </row>
    <row r="486">
      <c r="P486" s="5" t="n"/>
    </row>
    <row r="487">
      <c r="P487" s="5" t="n"/>
    </row>
    <row r="488">
      <c r="P488" s="5" t="n"/>
    </row>
    <row r="489">
      <c r="P489" s="5" t="n"/>
    </row>
    <row r="490">
      <c r="P490" s="5" t="n"/>
    </row>
    <row r="491">
      <c r="P491" s="5" t="n"/>
    </row>
    <row r="492">
      <c r="P492" s="5" t="n"/>
    </row>
    <row r="493">
      <c r="P493" s="5" t="n"/>
    </row>
    <row r="494">
      <c r="P494" s="5" t="n"/>
    </row>
    <row r="495">
      <c r="P495" s="5" t="n"/>
    </row>
    <row r="496">
      <c r="P496" s="5" t="n"/>
    </row>
    <row r="497">
      <c r="P497" s="5" t="n"/>
    </row>
    <row r="498">
      <c r="P498" s="5" t="n"/>
    </row>
    <row r="499">
      <c r="P499" s="5" t="n"/>
    </row>
    <row r="500">
      <c r="P500" s="5" t="n"/>
    </row>
    <row r="501">
      <c r="P501" s="5" t="n"/>
    </row>
    <row r="502">
      <c r="P502" s="5" t="n"/>
    </row>
    <row r="503">
      <c r="P503" s="5" t="n"/>
    </row>
    <row r="504">
      <c r="P504" s="5" t="n"/>
    </row>
    <row r="505">
      <c r="P505" s="5" t="n"/>
    </row>
    <row r="506">
      <c r="P506" s="5" t="n"/>
    </row>
    <row r="507">
      <c r="P507" s="5" t="n"/>
    </row>
    <row r="508">
      <c r="P508" s="5" t="n"/>
    </row>
    <row r="509">
      <c r="P509" s="5" t="n"/>
    </row>
    <row r="510">
      <c r="P510" s="5" t="n"/>
    </row>
    <row r="511">
      <c r="P511" s="5" t="n"/>
    </row>
    <row r="512">
      <c r="P512" s="5" t="n"/>
    </row>
    <row r="513">
      <c r="P513" s="5" t="n"/>
    </row>
    <row r="514">
      <c r="P514" s="5" t="n"/>
    </row>
    <row r="515">
      <c r="P515" s="5" t="n"/>
    </row>
    <row r="516">
      <c r="P516" s="5" t="n"/>
    </row>
    <row r="517">
      <c r="P517" s="5" t="n"/>
    </row>
    <row r="518">
      <c r="P518" s="5" t="n"/>
    </row>
    <row r="519">
      <c r="P519" s="5" t="n"/>
    </row>
    <row r="520">
      <c r="P520" s="5" t="n"/>
    </row>
    <row r="521">
      <c r="P521" s="5" t="n"/>
    </row>
    <row r="522">
      <c r="P522" s="5" t="n"/>
    </row>
    <row r="523">
      <c r="P523" s="5" t="n"/>
    </row>
    <row r="524">
      <c r="P524" s="5" t="n"/>
    </row>
    <row r="525">
      <c r="P525" s="5" t="n"/>
    </row>
    <row r="526">
      <c r="P526" s="5" t="n"/>
    </row>
    <row r="527">
      <c r="P527" s="5" t="n"/>
    </row>
    <row r="528">
      <c r="P528" s="5" t="n"/>
    </row>
    <row r="529">
      <c r="P529" s="5" t="n"/>
    </row>
    <row r="530">
      <c r="P530" s="5" t="n"/>
    </row>
    <row r="531">
      <c r="P531" s="5" t="n"/>
    </row>
    <row r="532">
      <c r="P532" s="5" t="n"/>
    </row>
    <row r="533">
      <c r="P533" s="5" t="n"/>
    </row>
    <row r="534">
      <c r="P534" s="5" t="n"/>
    </row>
    <row r="535">
      <c r="P535" s="5" t="n"/>
    </row>
    <row r="536">
      <c r="P536" s="5" t="n"/>
    </row>
    <row r="537">
      <c r="P537" s="5" t="n"/>
    </row>
    <row r="538">
      <c r="P538" s="5" t="n"/>
    </row>
    <row r="539">
      <c r="P539" s="5" t="n"/>
    </row>
    <row r="540">
      <c r="P540" s="5" t="n"/>
    </row>
    <row r="541">
      <c r="P541" s="5" t="n"/>
    </row>
    <row r="542">
      <c r="P542" s="5" t="n"/>
    </row>
    <row r="543">
      <c r="P543" s="5" t="n"/>
    </row>
    <row r="544">
      <c r="P544" s="5" t="n"/>
    </row>
    <row r="545">
      <c r="P545" s="5" t="n"/>
    </row>
    <row r="546">
      <c r="P546" s="5" t="n"/>
    </row>
    <row r="547">
      <c r="P547" s="5" t="n"/>
    </row>
    <row r="548">
      <c r="P548" s="5" t="n"/>
    </row>
    <row r="549">
      <c r="P549" s="5" t="n"/>
    </row>
    <row r="550">
      <c r="P550" s="5" t="n"/>
    </row>
    <row r="551">
      <c r="P551" s="5" t="n"/>
    </row>
    <row r="552">
      <c r="P552" s="5" t="n"/>
    </row>
    <row r="553">
      <c r="P553" s="5" t="n"/>
    </row>
    <row r="554">
      <c r="P554" s="5" t="n"/>
    </row>
    <row r="555">
      <c r="P555" s="5" t="n"/>
    </row>
    <row r="556">
      <c r="P556" s="5" t="n"/>
    </row>
    <row r="557">
      <c r="P557" s="5" t="n"/>
    </row>
    <row r="558">
      <c r="P558" s="5" t="n"/>
    </row>
    <row r="559">
      <c r="P559" s="5" t="n"/>
    </row>
    <row r="560">
      <c r="P560" s="5" t="n"/>
    </row>
    <row r="561">
      <c r="P561" s="5" t="n"/>
    </row>
    <row r="562">
      <c r="P562" s="5" t="n"/>
    </row>
    <row r="563">
      <c r="P563" s="5" t="n"/>
    </row>
    <row r="564">
      <c r="P564" s="5" t="n"/>
    </row>
    <row r="565">
      <c r="P565" s="5" t="n"/>
    </row>
    <row r="566">
      <c r="P566" s="5" t="n"/>
    </row>
    <row r="567">
      <c r="P567" s="5" t="n"/>
    </row>
    <row r="568">
      <c r="P568" s="5" t="n"/>
    </row>
    <row r="569">
      <c r="P569" s="5" t="n"/>
    </row>
    <row r="570">
      <c r="P570" s="5" t="n"/>
    </row>
    <row r="571">
      <c r="P571" s="5" t="n"/>
    </row>
    <row r="572">
      <c r="P572" s="5" t="n"/>
    </row>
    <row r="573">
      <c r="P573" s="5" t="n"/>
    </row>
    <row r="574">
      <c r="P574" s="5" t="n"/>
    </row>
    <row r="575">
      <c r="P575" s="5" t="n"/>
    </row>
    <row r="576">
      <c r="P576" s="5" t="n"/>
    </row>
    <row r="577">
      <c r="P577" s="5" t="n"/>
    </row>
    <row r="578">
      <c r="P578" s="5" t="n"/>
    </row>
    <row r="579">
      <c r="P579" s="5" t="n"/>
    </row>
    <row r="580">
      <c r="P580" s="5" t="n"/>
    </row>
    <row r="581">
      <c r="P581" s="5" t="n"/>
    </row>
    <row r="582">
      <c r="P582" s="5" t="n"/>
    </row>
    <row r="583">
      <c r="P583" s="5" t="n"/>
    </row>
    <row r="584">
      <c r="P584" s="5" t="n"/>
    </row>
    <row r="585">
      <c r="P585" s="5" t="n"/>
    </row>
    <row r="586">
      <c r="P586" s="5" t="n"/>
    </row>
    <row r="587">
      <c r="P587" s="5" t="n"/>
    </row>
    <row r="588">
      <c r="P588" s="5" t="n"/>
    </row>
    <row r="589">
      <c r="P589" s="5" t="n"/>
    </row>
    <row r="590">
      <c r="P590" s="5" t="n"/>
    </row>
    <row r="591">
      <c r="P591" s="5" t="n"/>
    </row>
    <row r="592">
      <c r="P592" s="5" t="n"/>
    </row>
    <row r="593">
      <c r="P593" s="5" t="n"/>
    </row>
    <row r="594">
      <c r="P594" s="5" t="n"/>
    </row>
    <row r="595">
      <c r="P595" s="5" t="n"/>
    </row>
    <row r="596">
      <c r="P596" s="5" t="n"/>
    </row>
    <row r="597">
      <c r="P597" s="5" t="n"/>
    </row>
    <row r="598">
      <c r="P598" s="5" t="n"/>
    </row>
    <row r="599">
      <c r="P599" s="5" t="n"/>
    </row>
    <row r="600">
      <c r="P600" s="5" t="n"/>
    </row>
    <row r="601">
      <c r="P601" s="5" t="n"/>
    </row>
    <row r="602">
      <c r="P602" s="5" t="n"/>
    </row>
    <row r="603">
      <c r="P603" s="5" t="n"/>
    </row>
    <row r="604">
      <c r="P604" s="5" t="n"/>
    </row>
    <row r="605">
      <c r="P605" s="5" t="n"/>
    </row>
    <row r="606">
      <c r="P606" s="5" t="n"/>
    </row>
    <row r="607">
      <c r="P607" s="5" t="n"/>
    </row>
    <row r="608">
      <c r="P608" s="5" t="n"/>
    </row>
    <row r="609">
      <c r="P609" s="5" t="n"/>
    </row>
    <row r="610">
      <c r="P610" s="5" t="n"/>
    </row>
    <row r="611">
      <c r="P611" s="5" t="n"/>
    </row>
    <row r="612">
      <c r="P612" s="5" t="n"/>
    </row>
    <row r="613">
      <c r="P613" s="5" t="n"/>
    </row>
    <row r="614">
      <c r="P614" s="5" t="n"/>
    </row>
    <row r="615">
      <c r="P615" s="5" t="n"/>
    </row>
    <row r="616">
      <c r="P616" s="5" t="n"/>
    </row>
    <row r="617">
      <c r="P617" s="5" t="n"/>
    </row>
    <row r="618">
      <c r="P618" s="5" t="n"/>
    </row>
    <row r="619">
      <c r="P619" s="5" t="n"/>
    </row>
    <row r="620">
      <c r="P620" s="5" t="n"/>
    </row>
    <row r="621">
      <c r="P621" s="5" t="n"/>
    </row>
    <row r="622">
      <c r="P622" s="5" t="n"/>
    </row>
    <row r="623">
      <c r="P623" s="5" t="n"/>
    </row>
    <row r="624">
      <c r="P624" s="5" t="n"/>
    </row>
    <row r="625">
      <c r="P625" s="5" t="n"/>
    </row>
    <row r="626">
      <c r="P626" s="5" t="n"/>
    </row>
    <row r="627">
      <c r="P627" s="5" t="n"/>
    </row>
    <row r="628">
      <c r="P628" s="5" t="n"/>
    </row>
    <row r="629">
      <c r="P629" s="5" t="n"/>
    </row>
    <row r="630">
      <c r="P630" s="5" t="n"/>
    </row>
    <row r="631">
      <c r="P631" s="5" t="n"/>
    </row>
    <row r="632">
      <c r="P632" s="5" t="n"/>
    </row>
    <row r="633">
      <c r="P633" s="5" t="n"/>
    </row>
    <row r="634">
      <c r="P634" s="5" t="n"/>
    </row>
    <row r="635">
      <c r="P635" s="5" t="n"/>
    </row>
    <row r="636">
      <c r="P636" s="5" t="n"/>
    </row>
    <row r="637">
      <c r="P637" s="5" t="n"/>
    </row>
    <row r="638">
      <c r="P638" s="5" t="n"/>
    </row>
    <row r="639">
      <c r="P639" s="5" t="n"/>
    </row>
    <row r="640">
      <c r="P640" s="5" t="n"/>
    </row>
    <row r="641">
      <c r="P641" s="5" t="n"/>
    </row>
    <row r="642">
      <c r="P642" s="5" t="n"/>
    </row>
    <row r="643">
      <c r="P643" s="5" t="n"/>
    </row>
    <row r="644">
      <c r="P644" s="5" t="n"/>
    </row>
    <row r="645">
      <c r="P645" s="5" t="n"/>
    </row>
    <row r="646">
      <c r="P646" s="5" t="n"/>
    </row>
    <row r="647">
      <c r="P647" s="5" t="n"/>
    </row>
    <row r="648">
      <c r="P648" s="5" t="n"/>
    </row>
    <row r="649">
      <c r="P649" s="5" t="n"/>
    </row>
    <row r="650">
      <c r="P650" s="5" t="n"/>
    </row>
    <row r="651">
      <c r="P651" s="5" t="n"/>
    </row>
    <row r="652">
      <c r="P652" s="5" t="n"/>
    </row>
    <row r="653">
      <c r="P653" s="5" t="n"/>
    </row>
    <row r="654">
      <c r="P654" s="5" t="n"/>
    </row>
    <row r="655">
      <c r="P655" s="5" t="n"/>
    </row>
    <row r="656">
      <c r="P656" s="5" t="n"/>
    </row>
    <row r="657">
      <c r="P657" s="5" t="n"/>
    </row>
    <row r="658">
      <c r="P658" s="5" t="n"/>
    </row>
    <row r="659">
      <c r="P659" s="5" t="n"/>
    </row>
    <row r="660">
      <c r="P660" s="5" t="n"/>
    </row>
    <row r="661">
      <c r="P661" s="5" t="n"/>
    </row>
    <row r="662">
      <c r="P662" s="5" t="n"/>
    </row>
    <row r="663">
      <c r="P663" s="5" t="n"/>
    </row>
    <row r="664">
      <c r="P664" s="5" t="n"/>
    </row>
    <row r="665">
      <c r="P665" s="5" t="n"/>
    </row>
    <row r="666">
      <c r="P666" s="5" t="n"/>
    </row>
    <row r="667">
      <c r="P667" s="5" t="n"/>
    </row>
    <row r="668">
      <c r="P668" s="5" t="n"/>
    </row>
    <row r="669">
      <c r="P669" s="5" t="n"/>
    </row>
    <row r="670">
      <c r="P670" s="5" t="n"/>
    </row>
    <row r="671">
      <c r="P671" s="5" t="n"/>
    </row>
    <row r="672">
      <c r="P672" s="5" t="n"/>
    </row>
    <row r="673">
      <c r="P673" s="5" t="n"/>
    </row>
    <row r="674">
      <c r="P674" s="5" t="n"/>
    </row>
    <row r="675">
      <c r="P675" s="5" t="n"/>
    </row>
    <row r="676">
      <c r="P676" s="5" t="n"/>
    </row>
    <row r="677">
      <c r="P677" s="5" t="n"/>
    </row>
    <row r="678">
      <c r="P678" s="5" t="n"/>
    </row>
    <row r="679">
      <c r="P679" s="5" t="n"/>
    </row>
    <row r="680">
      <c r="P680" s="5" t="n"/>
    </row>
    <row r="681">
      <c r="P681" s="5" t="n"/>
    </row>
    <row r="682">
      <c r="P682" s="5" t="n"/>
    </row>
    <row r="683">
      <c r="P683" s="5" t="n"/>
    </row>
    <row r="684">
      <c r="P684" s="5" t="n"/>
    </row>
    <row r="685">
      <c r="P685" s="5" t="n"/>
    </row>
    <row r="686">
      <c r="P686" s="5" t="n"/>
    </row>
    <row r="687">
      <c r="P687" s="5" t="n"/>
    </row>
    <row r="688">
      <c r="P688" s="5" t="n"/>
    </row>
    <row r="689">
      <c r="P689" s="5" t="n"/>
    </row>
    <row r="690">
      <c r="P690" s="5" t="n"/>
    </row>
    <row r="691">
      <c r="P691" s="5" t="n"/>
    </row>
    <row r="692">
      <c r="P692" s="5" t="n"/>
    </row>
    <row r="693">
      <c r="P693" s="5" t="n"/>
    </row>
    <row r="694">
      <c r="P694" s="5" t="n"/>
    </row>
    <row r="695">
      <c r="P695" s="5" t="n"/>
    </row>
    <row r="696">
      <c r="P696" s="5" t="n"/>
    </row>
    <row r="697">
      <c r="P697" s="5" t="n"/>
    </row>
    <row r="698">
      <c r="P698" s="5" t="n"/>
    </row>
    <row r="699">
      <c r="P699" s="5" t="n"/>
    </row>
    <row r="700">
      <c r="P700" s="5" t="n"/>
    </row>
    <row r="701">
      <c r="P701" s="5" t="n"/>
    </row>
    <row r="702">
      <c r="P702" s="5" t="n"/>
    </row>
    <row r="703">
      <c r="P703" s="5" t="n"/>
    </row>
    <row r="704">
      <c r="P704" s="5" t="n"/>
    </row>
    <row r="705">
      <c r="P705" s="5" t="n"/>
    </row>
    <row r="706">
      <c r="P706" s="5" t="n"/>
    </row>
    <row r="707">
      <c r="P707" s="5" t="n"/>
    </row>
    <row r="708">
      <c r="P708" s="5" t="n"/>
    </row>
    <row r="709">
      <c r="P709" s="5" t="n"/>
    </row>
    <row r="710">
      <c r="P710" s="5" t="n"/>
    </row>
    <row r="711">
      <c r="P711" s="5" t="n"/>
    </row>
    <row r="712">
      <c r="P712" s="5" t="n"/>
    </row>
    <row r="713">
      <c r="P713" s="5" t="n"/>
    </row>
    <row r="714">
      <c r="P714" s="5" t="n"/>
    </row>
    <row r="715">
      <c r="P715" s="5" t="n"/>
    </row>
    <row r="716">
      <c r="P716" s="5" t="n"/>
    </row>
    <row r="717">
      <c r="P717" s="5" t="n"/>
    </row>
    <row r="718">
      <c r="P718" s="5" t="n"/>
    </row>
    <row r="719">
      <c r="P719" s="5" t="n"/>
    </row>
    <row r="720">
      <c r="P720" s="5" t="n"/>
    </row>
    <row r="721">
      <c r="P721" s="5" t="n"/>
    </row>
    <row r="722">
      <c r="P722" s="5" t="n"/>
    </row>
    <row r="723">
      <c r="P723" s="5" t="n"/>
    </row>
    <row r="724">
      <c r="P724" s="5" t="n"/>
    </row>
    <row r="725">
      <c r="P725" s="5" t="n"/>
    </row>
    <row r="726">
      <c r="P726" s="5" t="n"/>
    </row>
    <row r="727">
      <c r="P727" s="5" t="n"/>
    </row>
    <row r="728">
      <c r="P728" s="5" t="n"/>
    </row>
    <row r="729">
      <c r="P729" s="5" t="n"/>
    </row>
    <row r="730">
      <c r="P730" s="5" t="n"/>
    </row>
    <row r="731">
      <c r="P731" s="5" t="n"/>
    </row>
    <row r="732">
      <c r="P732" s="5" t="n"/>
    </row>
    <row r="733">
      <c r="P733" s="5" t="n"/>
    </row>
    <row r="734">
      <c r="P734" s="5" t="n"/>
    </row>
    <row r="735">
      <c r="P735" s="5" t="n"/>
    </row>
    <row r="736">
      <c r="P736" s="5" t="n"/>
    </row>
    <row r="737">
      <c r="P737" s="5" t="n"/>
    </row>
    <row r="738">
      <c r="P738" s="5" t="n"/>
    </row>
    <row r="739">
      <c r="P739" s="5" t="n"/>
    </row>
    <row r="740">
      <c r="P740" s="5" t="n"/>
    </row>
    <row r="741">
      <c r="P741" s="5" t="n"/>
    </row>
    <row r="742">
      <c r="P742" s="5" t="n"/>
    </row>
    <row r="743">
      <c r="P743" s="5" t="n"/>
    </row>
    <row r="744">
      <c r="P744" s="5" t="n"/>
    </row>
    <row r="745">
      <c r="P745" s="5" t="n"/>
    </row>
    <row r="746">
      <c r="P746" s="5" t="n"/>
    </row>
    <row r="747">
      <c r="P747" s="5" t="n"/>
    </row>
    <row r="748">
      <c r="P748" s="5" t="n"/>
    </row>
    <row r="749">
      <c r="P749" s="5" t="n"/>
    </row>
    <row r="750">
      <c r="P750" s="5" t="n"/>
    </row>
    <row r="751">
      <c r="P751" s="5" t="n"/>
    </row>
    <row r="752">
      <c r="P752" s="5" t="n"/>
    </row>
    <row r="753">
      <c r="P753" s="5" t="n"/>
    </row>
    <row r="754">
      <c r="P754" s="5" t="n"/>
    </row>
    <row r="755">
      <c r="P755" s="5" t="n"/>
    </row>
    <row r="756">
      <c r="P756" s="5" t="n"/>
    </row>
    <row r="757">
      <c r="P757" s="5" t="n"/>
    </row>
    <row r="758">
      <c r="P758" s="5" t="n"/>
    </row>
    <row r="759">
      <c r="P759" s="5" t="n"/>
    </row>
    <row r="760">
      <c r="P760" s="5" t="n"/>
    </row>
    <row r="761">
      <c r="P761" s="5" t="n"/>
    </row>
    <row r="762">
      <c r="P762" s="5" t="n"/>
    </row>
    <row r="763">
      <c r="P763" s="5" t="n"/>
    </row>
    <row r="764">
      <c r="P764" s="5" t="n"/>
    </row>
    <row r="765">
      <c r="P765" s="5" t="n"/>
    </row>
    <row r="766">
      <c r="P766" s="5" t="n"/>
    </row>
    <row r="767">
      <c r="P767" s="5" t="n"/>
    </row>
    <row r="768">
      <c r="P768" s="5" t="n"/>
    </row>
    <row r="769">
      <c r="P769" s="5" t="n"/>
    </row>
    <row r="770">
      <c r="P770" s="5" t="n"/>
    </row>
    <row r="771">
      <c r="P771" s="5" t="n"/>
    </row>
    <row r="772">
      <c r="P772" s="5" t="n"/>
    </row>
    <row r="773">
      <c r="P773" s="5" t="n"/>
    </row>
    <row r="774">
      <c r="P774" s="5" t="n"/>
    </row>
    <row r="775">
      <c r="P775" s="5" t="n"/>
    </row>
    <row r="776">
      <c r="P776" s="5" t="n"/>
    </row>
    <row r="777">
      <c r="P777" s="5" t="n"/>
    </row>
    <row r="778">
      <c r="P778" s="5" t="n"/>
    </row>
    <row r="779">
      <c r="P779" s="5" t="n"/>
    </row>
    <row r="780">
      <c r="P780" s="5" t="n"/>
    </row>
    <row r="781">
      <c r="P781" s="5" t="n"/>
    </row>
    <row r="782">
      <c r="P782" s="5" t="n"/>
    </row>
    <row r="783">
      <c r="P783" s="5" t="n"/>
    </row>
    <row r="784">
      <c r="P784" s="5" t="n"/>
    </row>
    <row r="785">
      <c r="P785" s="5" t="n"/>
    </row>
    <row r="786">
      <c r="P786" s="5" t="n"/>
    </row>
    <row r="787">
      <c r="P787" s="5" t="n"/>
    </row>
    <row r="788">
      <c r="P788" s="5" t="n"/>
    </row>
    <row r="789">
      <c r="P789" s="5" t="n"/>
    </row>
    <row r="790">
      <c r="P790" s="5" t="n"/>
    </row>
    <row r="791">
      <c r="P791" s="5" t="n"/>
    </row>
    <row r="792">
      <c r="P792" s="5" t="n"/>
    </row>
    <row r="793">
      <c r="P793" s="5" t="n"/>
    </row>
    <row r="794">
      <c r="P794" s="5" t="n"/>
    </row>
    <row r="795">
      <c r="P795" s="5" t="n"/>
    </row>
    <row r="796">
      <c r="P796" s="5" t="n"/>
    </row>
    <row r="797">
      <c r="P797" s="5" t="n"/>
    </row>
    <row r="798">
      <c r="P798" s="5" t="n"/>
    </row>
    <row r="799">
      <c r="P799" s="5" t="n"/>
    </row>
    <row r="800">
      <c r="P800" s="5" t="n"/>
    </row>
    <row r="801">
      <c r="P801" s="5" t="n"/>
    </row>
    <row r="802">
      <c r="P802" s="5" t="n"/>
    </row>
    <row r="803">
      <c r="P803" s="5" t="n"/>
    </row>
    <row r="804">
      <c r="P804" s="5" t="n"/>
    </row>
    <row r="805">
      <c r="P805" s="5" t="n"/>
    </row>
    <row r="806">
      <c r="P806" s="5" t="n"/>
    </row>
    <row r="807">
      <c r="P807" s="5" t="n"/>
    </row>
    <row r="808">
      <c r="P808" s="5" t="n"/>
    </row>
    <row r="809">
      <c r="P809" s="5" t="n"/>
    </row>
    <row r="810">
      <c r="P810" s="5" t="n"/>
    </row>
    <row r="811">
      <c r="P811" s="5" t="n"/>
    </row>
    <row r="812">
      <c r="P812" s="5" t="n"/>
    </row>
    <row r="813">
      <c r="P813" s="5" t="n"/>
    </row>
    <row r="814">
      <c r="P814" s="5" t="n"/>
    </row>
    <row r="815">
      <c r="P815" s="5" t="n"/>
    </row>
    <row r="816">
      <c r="P816" s="5" t="n"/>
    </row>
    <row r="817">
      <c r="P817" s="5" t="n"/>
    </row>
    <row r="818">
      <c r="P818" s="5" t="n"/>
    </row>
    <row r="819">
      <c r="P819" s="5" t="n"/>
    </row>
    <row r="820">
      <c r="P820" s="5" t="n"/>
    </row>
    <row r="821">
      <c r="P821" s="5" t="n"/>
    </row>
    <row r="822">
      <c r="P822" s="5" t="n"/>
    </row>
    <row r="823">
      <c r="P823" s="5" t="n"/>
    </row>
    <row r="824">
      <c r="P824" s="5" t="n"/>
    </row>
    <row r="825">
      <c r="P825" s="5" t="n"/>
    </row>
    <row r="826">
      <c r="P826" s="5" t="n"/>
    </row>
    <row r="827">
      <c r="P827" s="5" t="n"/>
    </row>
    <row r="828">
      <c r="P828" s="5" t="n"/>
    </row>
    <row r="829">
      <c r="P829" s="5" t="n"/>
    </row>
    <row r="830">
      <c r="P830" s="5" t="n"/>
    </row>
    <row r="831">
      <c r="P831" s="5" t="n"/>
    </row>
    <row r="832">
      <c r="P832" s="5" t="n"/>
    </row>
    <row r="833">
      <c r="P833" s="5" t="n"/>
    </row>
    <row r="834">
      <c r="P834" s="5" t="n"/>
    </row>
    <row r="835">
      <c r="P835" s="5" t="n"/>
    </row>
    <row r="836">
      <c r="P836" s="5" t="n"/>
    </row>
    <row r="837">
      <c r="P837" s="5" t="n"/>
    </row>
    <row r="838">
      <c r="P838" s="5" t="n"/>
    </row>
    <row r="839">
      <c r="P839" s="5" t="n"/>
    </row>
    <row r="840">
      <c r="P840" s="5" t="n"/>
    </row>
    <row r="841">
      <c r="P841" s="5" t="n"/>
    </row>
    <row r="842">
      <c r="P842" s="5" t="n"/>
    </row>
    <row r="843">
      <c r="P843" s="5" t="n"/>
    </row>
    <row r="844">
      <c r="P844" s="5" t="n"/>
    </row>
    <row r="845">
      <c r="P845" s="5" t="n"/>
    </row>
    <row r="846">
      <c r="P846" s="5" t="n"/>
    </row>
    <row r="847">
      <c r="P847" s="5" t="n"/>
    </row>
    <row r="848">
      <c r="P848" s="5" t="n"/>
    </row>
    <row r="849">
      <c r="P849" s="5" t="n"/>
    </row>
    <row r="850">
      <c r="P850" s="5" t="n"/>
    </row>
    <row r="851">
      <c r="P851" s="5" t="n"/>
    </row>
    <row r="852">
      <c r="P852" s="5" t="n"/>
    </row>
    <row r="853">
      <c r="P853" s="5" t="n"/>
    </row>
    <row r="854">
      <c r="P854" s="5" t="n"/>
    </row>
    <row r="855">
      <c r="P855" s="5" t="n"/>
    </row>
    <row r="856">
      <c r="P856" s="5" t="n"/>
    </row>
    <row r="857">
      <c r="P857" s="5" t="n"/>
    </row>
    <row r="858">
      <c r="P858" s="5" t="n"/>
    </row>
    <row r="859">
      <c r="P859" s="5" t="n"/>
    </row>
    <row r="860">
      <c r="P860" s="5" t="n"/>
    </row>
    <row r="861">
      <c r="P861" s="5" t="n"/>
    </row>
    <row r="862">
      <c r="P862" s="5" t="n"/>
    </row>
    <row r="863">
      <c r="P863" s="5" t="n"/>
    </row>
    <row r="864">
      <c r="P864" s="5" t="n"/>
    </row>
    <row r="865">
      <c r="P865" s="5" t="n"/>
    </row>
    <row r="866">
      <c r="P866" s="5" t="n"/>
    </row>
    <row r="867">
      <c r="P867" s="5" t="n"/>
    </row>
    <row r="868">
      <c r="P868" s="5" t="n"/>
    </row>
    <row r="869">
      <c r="P869" s="5" t="n"/>
    </row>
    <row r="870">
      <c r="P870" s="5" t="n"/>
    </row>
    <row r="871">
      <c r="P871" s="5" t="n"/>
    </row>
    <row r="872">
      <c r="P872" s="5" t="n"/>
    </row>
    <row r="873">
      <c r="P873" s="5" t="n"/>
    </row>
    <row r="874">
      <c r="P874" s="5" t="n"/>
    </row>
    <row r="875">
      <c r="P875" s="5" t="n"/>
    </row>
    <row r="876">
      <c r="P876" s="5" t="n"/>
    </row>
    <row r="877">
      <c r="P877" s="5" t="n"/>
    </row>
    <row r="878">
      <c r="P878" s="5" t="n"/>
    </row>
    <row r="879">
      <c r="P879" s="5" t="n"/>
    </row>
    <row r="880">
      <c r="P880" s="5" t="n"/>
    </row>
    <row r="881">
      <c r="P881" s="5" t="n"/>
    </row>
    <row r="882">
      <c r="P882" s="5" t="n"/>
    </row>
    <row r="883">
      <c r="P883" s="5" t="n"/>
    </row>
    <row r="884">
      <c r="P884" s="5" t="n"/>
    </row>
    <row r="885">
      <c r="P885" s="5" t="n"/>
    </row>
    <row r="886">
      <c r="P886" s="5" t="n"/>
    </row>
    <row r="887">
      <c r="P887" s="5" t="n"/>
    </row>
    <row r="888">
      <c r="P888" s="5" t="n"/>
    </row>
    <row r="889">
      <c r="P889" s="5" t="n"/>
    </row>
    <row r="890">
      <c r="P890" s="5" t="n"/>
    </row>
    <row r="891">
      <c r="P891" s="5" t="n"/>
    </row>
    <row r="892">
      <c r="P892" s="5" t="n"/>
    </row>
    <row r="893">
      <c r="P893" s="5" t="n"/>
    </row>
    <row r="894">
      <c r="P894" s="5" t="n"/>
    </row>
    <row r="895">
      <c r="P895" s="5" t="n"/>
    </row>
    <row r="896">
      <c r="P896" s="5" t="n"/>
    </row>
    <row r="897">
      <c r="P897" s="5" t="n"/>
    </row>
    <row r="898">
      <c r="P898" s="5" t="n"/>
    </row>
    <row r="899">
      <c r="P899" s="5" t="n"/>
    </row>
    <row r="900">
      <c r="P900" s="5" t="n"/>
    </row>
    <row r="901">
      <c r="P901" s="5" t="n"/>
    </row>
    <row r="902">
      <c r="P902" s="5" t="n"/>
    </row>
    <row r="903">
      <c r="P903" s="5" t="n"/>
    </row>
    <row r="904">
      <c r="P904" s="5" t="n"/>
    </row>
    <row r="905">
      <c r="P905" s="5" t="n"/>
    </row>
    <row r="906">
      <c r="P906" s="5" t="n"/>
    </row>
    <row r="907">
      <c r="P907" s="5" t="n"/>
    </row>
    <row r="908">
      <c r="P908" s="5" t="n"/>
    </row>
    <row r="909">
      <c r="P909" s="5" t="n"/>
    </row>
    <row r="910">
      <c r="P910" s="5" t="n"/>
    </row>
    <row r="911">
      <c r="P911" s="5" t="n"/>
    </row>
    <row r="912">
      <c r="P912" s="5" t="n"/>
    </row>
    <row r="913">
      <c r="P913" s="5" t="n"/>
    </row>
    <row r="914">
      <c r="P914" s="5" t="n"/>
    </row>
    <row r="915">
      <c r="P915" s="5" t="n"/>
    </row>
    <row r="916">
      <c r="P916" s="5" t="n"/>
    </row>
    <row r="917">
      <c r="P917" s="5" t="n"/>
    </row>
    <row r="918">
      <c r="P918" s="5" t="n"/>
    </row>
    <row r="919">
      <c r="P919" s="5" t="n"/>
    </row>
    <row r="920">
      <c r="P920" s="5" t="n"/>
    </row>
    <row r="921">
      <c r="P921" s="5" t="n"/>
    </row>
    <row r="922">
      <c r="P922" s="5" t="n"/>
    </row>
    <row r="923">
      <c r="P923" s="5" t="n"/>
    </row>
    <row r="924">
      <c r="P924" s="5" t="n"/>
    </row>
    <row r="925">
      <c r="P925" s="5" t="n"/>
    </row>
    <row r="926">
      <c r="P926" s="5" t="n"/>
    </row>
    <row r="927">
      <c r="P927" s="5" t="n"/>
    </row>
    <row r="928">
      <c r="P928" s="5" t="n"/>
    </row>
    <row r="929">
      <c r="P929" s="5" t="n"/>
    </row>
    <row r="930">
      <c r="P930" s="5" t="n"/>
    </row>
    <row r="931">
      <c r="P931" s="5" t="n"/>
    </row>
    <row r="932">
      <c r="P932" s="5" t="n"/>
    </row>
    <row r="933">
      <c r="P933" s="5" t="n"/>
    </row>
    <row r="934">
      <c r="P934" s="5" t="n"/>
    </row>
    <row r="935">
      <c r="P935" s="5" t="n"/>
    </row>
    <row r="936">
      <c r="P936" s="5" t="n"/>
    </row>
    <row r="937">
      <c r="P937" s="5" t="n"/>
    </row>
    <row r="938">
      <c r="P938" s="5" t="n"/>
    </row>
    <row r="939">
      <c r="P939" s="5" t="n"/>
    </row>
    <row r="940">
      <c r="P940" s="5" t="n"/>
    </row>
    <row r="941">
      <c r="P941" s="5" t="n"/>
    </row>
    <row r="942">
      <c r="P942" s="5" t="n"/>
    </row>
    <row r="943">
      <c r="P943" s="5" t="n"/>
    </row>
    <row r="944">
      <c r="P944" s="5" t="n"/>
    </row>
    <row r="945">
      <c r="P945" s="5" t="n"/>
    </row>
    <row r="946">
      <c r="P946" s="5" t="n"/>
    </row>
    <row r="947">
      <c r="P947" s="5" t="n"/>
    </row>
    <row r="948">
      <c r="P948" s="5" t="n"/>
    </row>
    <row r="949">
      <c r="P949" s="5" t="n"/>
    </row>
    <row r="950">
      <c r="P950" s="5" t="n"/>
    </row>
    <row r="951">
      <c r="P951" s="5" t="n"/>
    </row>
    <row r="952">
      <c r="P952" s="5" t="n"/>
    </row>
    <row r="953">
      <c r="P953" s="5" t="n"/>
    </row>
    <row r="954">
      <c r="P954" s="5" t="n"/>
    </row>
    <row r="955">
      <c r="P955" s="5" t="n"/>
    </row>
    <row r="956">
      <c r="P956" s="5" t="n"/>
    </row>
    <row r="957">
      <c r="P957" s="5" t="n"/>
    </row>
    <row r="958">
      <c r="P958" s="5" t="n"/>
    </row>
    <row r="959">
      <c r="P959" s="5" t="n"/>
    </row>
    <row r="960">
      <c r="P960" s="5" t="n"/>
    </row>
    <row r="961">
      <c r="P961" s="5" t="n"/>
    </row>
    <row r="962">
      <c r="P962" s="5" t="n"/>
    </row>
    <row r="963">
      <c r="P963" s="5" t="n"/>
    </row>
    <row r="964">
      <c r="P964" s="5" t="n"/>
    </row>
    <row r="965">
      <c r="P965" s="5" t="n"/>
    </row>
    <row r="966">
      <c r="P966" s="5" t="n"/>
    </row>
    <row r="967">
      <c r="P967" s="5" t="n"/>
    </row>
    <row r="968">
      <c r="P968" s="5" t="n"/>
    </row>
    <row r="969">
      <c r="P969" s="5" t="n"/>
    </row>
    <row r="970">
      <c r="P970" s="5" t="n"/>
    </row>
    <row r="971">
      <c r="P971" s="5" t="n"/>
    </row>
    <row r="972">
      <c r="P972" s="5" t="n"/>
    </row>
    <row r="973">
      <c r="P973" s="5" t="n"/>
    </row>
    <row r="974">
      <c r="P974" s="5" t="n"/>
    </row>
    <row r="975">
      <c r="P975" s="5" t="n"/>
    </row>
    <row r="976">
      <c r="P976" s="5" t="n"/>
    </row>
    <row r="977">
      <c r="P977" s="5" t="n"/>
    </row>
    <row r="978">
      <c r="P978" s="5" t="n"/>
    </row>
    <row r="979">
      <c r="P979" s="5" t="n"/>
    </row>
    <row r="980">
      <c r="P980" s="5" t="n"/>
    </row>
    <row r="981">
      <c r="P981" s="5" t="n"/>
    </row>
    <row r="982">
      <c r="P982" s="5" t="n"/>
    </row>
    <row r="983">
      <c r="P983" s="5" t="n"/>
    </row>
    <row r="984">
      <c r="P984" s="5" t="n"/>
    </row>
    <row r="985">
      <c r="P985" s="5" t="n"/>
    </row>
    <row r="986">
      <c r="P986" s="5" t="n"/>
    </row>
    <row r="987">
      <c r="P987" s="5" t="n"/>
    </row>
    <row r="988">
      <c r="P988" s="5" t="n"/>
    </row>
    <row r="989">
      <c r="P989" s="5" t="n"/>
    </row>
    <row r="990">
      <c r="P990" s="5" t="n"/>
    </row>
    <row r="991">
      <c r="P991" s="5" t="n"/>
    </row>
    <row r="992">
      <c r="P992" s="5" t="n"/>
    </row>
    <row r="993">
      <c r="P993" s="5" t="n"/>
    </row>
    <row r="994">
      <c r="P994" s="5" t="n"/>
    </row>
    <row r="995">
      <c r="P995" s="5" t="n"/>
    </row>
    <row r="996">
      <c r="P996" s="5" t="n"/>
    </row>
    <row r="997">
      <c r="P997" s="5" t="n"/>
    </row>
    <row r="998">
      <c r="P998" s="5" t="n"/>
    </row>
    <row r="999">
      <c r="P999" s="5" t="n"/>
    </row>
    <row r="1000">
      <c r="P1000" s="5" t="n"/>
    </row>
  </sheetData>
  <autoFilter ref="A1:V1000"/>
  <dataValidations count="11">
    <dataValidation sqref="D2:D1000" showDropDown="0" showInputMessage="0" showErrorMessage="0" allowBlank="1" error="Используйте значение из выпадающего списка" prompt="Выберите значение из списка" type="list">
      <formula1>='DICTIONARIES'!$A$2:$A$17</formula1>
    </dataValidation>
    <dataValidation sqref="F2:F1000" showDropDown="0" showInputMessage="0" showErrorMessage="0" allowBlank="1" error="Используйте значение из выпадающего списка" prompt="Выберите значение из списка" type="list">
      <formula1>='DICTIONARIES'!$B$2:$B$7</formula1>
    </dataValidation>
    <dataValidation sqref="G2:G1000" showDropDown="0" showInputMessage="0" showErrorMessage="0" allowBlank="1" error="Используйте значение из выпадающего списка" prompt="Выберите значение из списка" type="list">
      <formula1>='DICTIONARIES'!$C$2:$C$15</formula1>
    </dataValidation>
    <dataValidation sqref="H2:H1000" showDropDown="0" showInputMessage="0" showErrorMessage="0" allowBlank="1" error="Используйте значение из выпадающего списка" prompt="Выберите значение из списка" type="list">
      <formula1>='DICTIONARIES'!$F$2:$F$8</formula1>
    </dataValidation>
    <dataValidation sqref="J2:J1000" showDropDown="0" showInputMessage="0" showErrorMessage="0" allowBlank="1" error="Используйте значение из выпадающего списка" prompt="Выберите значение из списка" type="list">
      <formula1>='DICTIONARIES'!$E$2:$E$5</formula1>
    </dataValidation>
    <dataValidation sqref="K2:K1000" showDropDown="0" showInputMessage="0" showErrorMessage="0" allowBlank="1" error="Используйте значение из выпадающего списка" prompt="Выберите значение из списка" type="list">
      <formula1>='DICTIONARIES'!$D$2:$D$4</formula1>
    </dataValidation>
    <dataValidation sqref="M2:M1000" showDropDown="0" showInputMessage="0" showErrorMessage="0" allowBlank="1" error="Используйте значение из выпадающего списка" prompt="Выберите значение из списка" type="list">
      <formula1>='DICTIONARIES'!$G$2:$G$3</formula1>
    </dataValidation>
    <dataValidation sqref="N2:N1000" showDropDown="0" showInputMessage="0" showErrorMessage="0" allowBlank="1" error="Используйте значение из выпадающего списка" prompt="Выберите значение из списка" type="list">
      <formula1>='DICTIONARIES'!$G$2:$G$3</formula1>
    </dataValidation>
    <dataValidation sqref="P2:P1000" showDropDown="0" showInputMessage="0" showErrorMessage="0" allowBlank="1" type="list">
      <formula1>='DICTIONARIES'!$G$2:$G$3</formula1>
    </dataValidation>
    <dataValidation sqref="Q2:Q1000" showDropDown="0" showInputMessage="0" showErrorMessage="0" allowBlank="1" type="list">
      <formula1>=DICTIONARIES!$AY$2:$AY$5</formula1>
    </dataValidation>
    <dataValidation sqref="T2:T1000" showDropDown="0" showInputMessage="0" showErrorMessage="0" allowBlank="1" type="list">
      <formula1>=DICTIONARIES!$AP$2:$AP$4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0" customWidth="1" min="4" max="4"/>
    <col width="12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36" customWidth="1" min="11" max="11"/>
  </cols>
  <sheetData>
    <row r="1">
      <c r="A1" s="4" t="inlineStr">
        <is>
          <t>VariantID</t>
        </is>
      </c>
      <c r="B1" s="4" t="inlineStr">
        <is>
          <t>WorkID</t>
        </is>
      </c>
      <c r="C1" s="4" t="inlineStr">
        <is>
          <t>ExecutionMethod</t>
        </is>
      </c>
      <c r="D1" s="4" t="inlineStr">
        <is>
          <t>ConditionTag</t>
        </is>
      </c>
      <c r="E1" s="4" t="inlineStr">
        <is>
          <t>MethodCoeff</t>
        </is>
      </c>
      <c r="F1" s="4" t="inlineStr">
        <is>
          <t>ConditionCoeff</t>
        </is>
      </c>
      <c r="G1" s="4" t="inlineStr">
        <is>
          <t>ManualOverridePrice</t>
        </is>
      </c>
      <c r="H1" s="4" t="inlineStr">
        <is>
          <t>EffectiveUnitPrice</t>
        </is>
      </c>
      <c r="I1" s="4" t="inlineStr">
        <is>
          <t>IsDefault</t>
        </is>
      </c>
      <c r="J1" s="4" t="inlineStr">
        <is>
          <t>IsActive</t>
        </is>
      </c>
      <c r="K1" s="4" t="inlineStr">
        <is>
          <t>Notes</t>
        </is>
      </c>
    </row>
    <row r="2">
      <c r="A2" s="6" t="inlineStr">
        <is>
          <t>WV-0001</t>
        </is>
      </c>
      <c r="B2" s="6" t="inlineStr">
        <is>
          <t>WORK-0001</t>
        </is>
      </c>
      <c r="C2" s="6" t="inlineStr">
        <is>
          <t>Ручной</t>
        </is>
      </c>
      <c r="D2" s="6" t="inlineStr">
        <is>
          <t>Стандарт</t>
        </is>
      </c>
      <c r="E2" s="9" t="n">
        <v>1.2</v>
      </c>
      <c r="F2" s="9" t="n">
        <v>1</v>
      </c>
      <c r="G2" s="7" t="inlineStr"/>
      <c r="H2" s="10" t="inlineStr"/>
      <c r="I2" s="6" t="inlineStr">
        <is>
          <t>Нет</t>
        </is>
      </c>
      <c r="J2" s="6" t="inlineStr">
        <is>
          <t>Да</t>
        </is>
      </c>
      <c r="K2" s="6" t="inlineStr">
        <is>
          <t>Пример: коэффициент только для демонстрации</t>
        </is>
      </c>
    </row>
    <row r="3">
      <c r="A3" s="6" t="inlineStr">
        <is>
          <t>WV-0002</t>
        </is>
      </c>
      <c r="B3" s="6" t="inlineStr">
        <is>
          <t>WORK-0001</t>
        </is>
      </c>
      <c r="C3" s="6" t="inlineStr">
        <is>
          <t>Механизированный</t>
        </is>
      </c>
      <c r="D3" s="6" t="inlineStr">
        <is>
          <t>Стандарт</t>
        </is>
      </c>
      <c r="E3" s="9" t="n">
        <v>0.9</v>
      </c>
      <c r="F3" s="9" t="n">
        <v>1</v>
      </c>
      <c r="G3" s="7" t="inlineStr"/>
      <c r="H3" s="10" t="inlineStr"/>
      <c r="I3" s="6" t="inlineStr">
        <is>
          <t>Нет</t>
        </is>
      </c>
      <c r="J3" s="6" t="inlineStr">
        <is>
          <t>Да</t>
        </is>
      </c>
      <c r="K3" s="6" t="inlineStr"/>
    </row>
    <row r="4">
      <c r="A4" s="6" t="inlineStr">
        <is>
          <t>WV-0003</t>
        </is>
      </c>
      <c r="B4" s="6" t="inlineStr">
        <is>
          <t>WORK-0002</t>
        </is>
      </c>
      <c r="C4" s="6" t="inlineStr">
        <is>
          <t>Стандарт</t>
        </is>
      </c>
      <c r="D4" s="6" t="inlineStr">
        <is>
          <t>Стандарт</t>
        </is>
      </c>
      <c r="E4" s="9" t="n">
        <v>1</v>
      </c>
      <c r="F4" s="9" t="n">
        <v>1</v>
      </c>
      <c r="G4" s="7" t="inlineStr"/>
      <c r="H4" s="10" t="inlineStr"/>
      <c r="I4" s="6" t="inlineStr">
        <is>
          <t>Да</t>
        </is>
      </c>
      <c r="J4" s="6" t="inlineStr">
        <is>
          <t>Да</t>
        </is>
      </c>
      <c r="K4" s="6" t="inlineStr">
        <is>
          <t>База</t>
        </is>
      </c>
    </row>
    <row r="5">
      <c r="A5" s="6" t="inlineStr">
        <is>
          <t>WV-0004</t>
        </is>
      </c>
      <c r="B5" s="6" t="inlineStr">
        <is>
          <t>WORK-0002</t>
        </is>
      </c>
      <c r="C5" s="6" t="inlineStr">
        <is>
          <t>Ручной</t>
        </is>
      </c>
      <c r="D5" s="6" t="inlineStr">
        <is>
          <t>Стандарт</t>
        </is>
      </c>
      <c r="E5" s="9" t="n">
        <v>1.25</v>
      </c>
      <c r="F5" s="9" t="n">
        <v>1</v>
      </c>
      <c r="G5" s="7" t="inlineStr"/>
      <c r="H5" s="10" t="inlineStr"/>
      <c r="I5" s="6" t="inlineStr">
        <is>
          <t>Нет</t>
        </is>
      </c>
      <c r="J5" s="6" t="inlineStr">
        <is>
          <t>Да</t>
        </is>
      </c>
      <c r="K5" s="6" t="inlineStr">
        <is>
          <t>Пример, который нужно калибровать</t>
        </is>
      </c>
    </row>
    <row r="6">
      <c r="A6" s="6" t="inlineStr">
        <is>
          <t>WV-0005</t>
        </is>
      </c>
      <c r="B6" s="6" t="inlineStr">
        <is>
          <t>WORK-0002</t>
        </is>
      </c>
      <c r="C6" s="6" t="inlineStr">
        <is>
          <t>Механизированный</t>
        </is>
      </c>
      <c r="D6" s="6" t="inlineStr">
        <is>
          <t>Стандарт</t>
        </is>
      </c>
      <c r="E6" s="9" t="n">
        <v>0.85</v>
      </c>
      <c r="F6" s="9" t="n">
        <v>1</v>
      </c>
      <c r="G6" s="7" t="inlineStr"/>
      <c r="H6" s="10" t="inlineStr"/>
      <c r="I6" s="6" t="inlineStr">
        <is>
          <t>Нет</t>
        </is>
      </c>
      <c r="J6" s="6" t="inlineStr">
        <is>
          <t>Да</t>
        </is>
      </c>
      <c r="K6" s="6" t="inlineStr">
        <is>
          <t>Пример, который нужно калибровать</t>
        </is>
      </c>
    </row>
    <row r="7">
      <c r="A7" s="6" t="inlineStr">
        <is>
          <t>WV-0006</t>
        </is>
      </c>
      <c r="B7" s="6" t="inlineStr">
        <is>
          <t>WORK-0002</t>
        </is>
      </c>
      <c r="C7" s="6" t="inlineStr">
        <is>
          <t>Ручной</t>
        </is>
      </c>
      <c r="D7" s="6" t="inlineStr">
        <is>
          <t>Стесненные условия</t>
        </is>
      </c>
      <c r="E7" s="9" t="n">
        <v>1.25</v>
      </c>
      <c r="F7" s="9" t="n">
        <v>1.15</v>
      </c>
      <c r="G7" s="7" t="inlineStr"/>
      <c r="H7" s="10" t="inlineStr"/>
      <c r="I7" s="6" t="inlineStr">
        <is>
          <t>Нет</t>
        </is>
      </c>
      <c r="J7" s="6" t="inlineStr">
        <is>
          <t>Да</t>
        </is>
      </c>
      <c r="K7" s="6" t="inlineStr">
        <is>
          <t>Пример 2-го слоя коэффициентов</t>
        </is>
      </c>
    </row>
    <row r="8">
      <c r="A8" s="2" t="n"/>
      <c r="B8" s="2" t="n"/>
      <c r="C8" s="2" t="n"/>
      <c r="D8" s="2" t="n"/>
      <c r="E8" s="11" t="n"/>
      <c r="F8" s="11" t="n"/>
      <c r="G8" s="8" t="n"/>
      <c r="H8" s="8" t="n"/>
      <c r="I8" s="2" t="n"/>
      <c r="J8" s="2" t="n"/>
      <c r="K8" s="2" t="n"/>
    </row>
    <row r="9">
      <c r="A9" s="2" t="n"/>
      <c r="B9" s="2" t="n"/>
      <c r="C9" s="2" t="n"/>
      <c r="D9" s="2" t="n"/>
      <c r="E9" s="11" t="n"/>
      <c r="F9" s="11" t="n"/>
      <c r="G9" s="8" t="n"/>
      <c r="H9" s="8" t="n"/>
      <c r="I9" s="2" t="n"/>
      <c r="J9" s="2" t="n"/>
      <c r="K9" s="2" t="n"/>
    </row>
    <row r="10">
      <c r="A10" s="2" t="n"/>
      <c r="B10" s="2" t="n"/>
      <c r="C10" s="2" t="n"/>
      <c r="D10" s="2" t="n"/>
      <c r="E10" s="11" t="n"/>
      <c r="F10" s="11" t="n"/>
      <c r="G10" s="8" t="n"/>
      <c r="H10" s="8" t="n"/>
      <c r="I10" s="2" t="n"/>
      <c r="J10" s="2" t="n"/>
      <c r="K10" s="2" t="n"/>
    </row>
    <row r="11">
      <c r="A11" s="2" t="n"/>
      <c r="B11" s="2" t="n"/>
      <c r="C11" s="2" t="n"/>
      <c r="D11" s="2" t="n"/>
      <c r="E11" s="11" t="n"/>
      <c r="F11" s="11" t="n"/>
      <c r="G11" s="8" t="n"/>
      <c r="H11" s="8" t="n"/>
      <c r="I11" s="2" t="n"/>
      <c r="J11" s="2" t="n"/>
      <c r="K11" s="2" t="n"/>
    </row>
    <row r="12">
      <c r="A12" s="2" t="n"/>
      <c r="B12" s="2" t="n"/>
      <c r="C12" s="2" t="n"/>
      <c r="D12" s="2" t="n"/>
      <c r="E12" s="11" t="n"/>
      <c r="F12" s="11" t="n"/>
      <c r="G12" s="8" t="n"/>
      <c r="H12" s="8" t="n"/>
      <c r="I12" s="2" t="n"/>
      <c r="J12" s="2" t="n"/>
      <c r="K12" s="2" t="n"/>
    </row>
    <row r="13">
      <c r="A13" s="2" t="n"/>
      <c r="B13" s="2" t="n"/>
      <c r="C13" s="2" t="n"/>
      <c r="D13" s="2" t="n"/>
      <c r="E13" s="11" t="n"/>
      <c r="F13" s="11" t="n"/>
      <c r="G13" s="8" t="n"/>
      <c r="H13" s="8" t="n"/>
      <c r="I13" s="2" t="n"/>
      <c r="J13" s="2" t="n"/>
      <c r="K13" s="2" t="n"/>
    </row>
    <row r="14">
      <c r="A14" s="2" t="n"/>
      <c r="B14" s="2" t="n"/>
      <c r="C14" s="2" t="n"/>
      <c r="D14" s="2" t="n"/>
      <c r="E14" s="11" t="n"/>
      <c r="F14" s="11" t="n"/>
      <c r="G14" s="8" t="n"/>
      <c r="H14" s="8" t="n"/>
      <c r="I14" s="2" t="n"/>
      <c r="J14" s="2" t="n"/>
      <c r="K14" s="2" t="n"/>
    </row>
    <row r="15">
      <c r="A15" s="2" t="n"/>
      <c r="B15" s="2" t="n"/>
      <c r="C15" s="2" t="n"/>
      <c r="D15" s="2" t="n"/>
      <c r="E15" s="11" t="n"/>
      <c r="F15" s="11" t="n"/>
      <c r="G15" s="8" t="n"/>
      <c r="H15" s="8" t="n"/>
      <c r="I15" s="2" t="n"/>
      <c r="J15" s="2" t="n"/>
      <c r="K15" s="2" t="n"/>
    </row>
    <row r="16">
      <c r="A16" s="2" t="n"/>
      <c r="B16" s="2" t="n"/>
      <c r="C16" s="2" t="n"/>
      <c r="D16" s="2" t="n"/>
      <c r="E16" s="11" t="n"/>
      <c r="F16" s="11" t="n"/>
      <c r="G16" s="8" t="n"/>
      <c r="H16" s="8" t="n"/>
      <c r="I16" s="2" t="n"/>
      <c r="J16" s="2" t="n"/>
      <c r="K16" s="2" t="n"/>
    </row>
    <row r="17">
      <c r="A17" s="2" t="n"/>
      <c r="B17" s="2" t="n"/>
      <c r="C17" s="2" t="n"/>
      <c r="D17" s="2" t="n"/>
      <c r="E17" s="11" t="n"/>
      <c r="F17" s="11" t="n"/>
      <c r="G17" s="8" t="n"/>
      <c r="H17" s="8" t="n"/>
      <c r="I17" s="2" t="n"/>
      <c r="J17" s="2" t="n"/>
      <c r="K17" s="2" t="n"/>
    </row>
    <row r="18">
      <c r="A18" s="2" t="n"/>
      <c r="B18" s="2" t="n"/>
      <c r="C18" s="2" t="n"/>
      <c r="D18" s="2" t="n"/>
      <c r="E18" s="11" t="n"/>
      <c r="F18" s="11" t="n"/>
      <c r="G18" s="8" t="n"/>
      <c r="H18" s="8" t="n"/>
      <c r="I18" s="2" t="n"/>
      <c r="J18" s="2" t="n"/>
      <c r="K18" s="2" t="n"/>
    </row>
    <row r="19">
      <c r="A19" s="2" t="n"/>
      <c r="B19" s="2" t="n"/>
      <c r="C19" s="2" t="n"/>
      <c r="D19" s="2" t="n"/>
      <c r="E19" s="11" t="n"/>
      <c r="F19" s="11" t="n"/>
      <c r="G19" s="8" t="n"/>
      <c r="H19" s="8" t="n"/>
      <c r="I19" s="2" t="n"/>
      <c r="J19" s="2" t="n"/>
      <c r="K19" s="2" t="n"/>
    </row>
    <row r="20">
      <c r="A20" s="2" t="n"/>
      <c r="B20" s="2" t="n"/>
      <c r="C20" s="2" t="n"/>
      <c r="D20" s="2" t="n"/>
      <c r="E20" s="11" t="n"/>
      <c r="F20" s="11" t="n"/>
      <c r="G20" s="8" t="n"/>
      <c r="H20" s="8" t="n"/>
      <c r="I20" s="2" t="n"/>
      <c r="J20" s="2" t="n"/>
      <c r="K20" s="2" t="n"/>
    </row>
    <row r="21">
      <c r="A21" s="2" t="n"/>
      <c r="B21" s="2" t="n"/>
      <c r="C21" s="2" t="n"/>
      <c r="D21" s="2" t="n"/>
      <c r="E21" s="11" t="n"/>
      <c r="F21" s="11" t="n"/>
      <c r="G21" s="8" t="n"/>
      <c r="H21" s="8" t="n"/>
      <c r="I21" s="2" t="n"/>
      <c r="J21" s="2" t="n"/>
      <c r="K21" s="2" t="n"/>
    </row>
    <row r="22">
      <c r="A22" s="2" t="n"/>
      <c r="B22" s="2" t="n"/>
      <c r="C22" s="2" t="n"/>
      <c r="D22" s="2" t="n"/>
      <c r="E22" s="11" t="n"/>
      <c r="F22" s="11" t="n"/>
      <c r="G22" s="8" t="n"/>
      <c r="H22" s="8" t="n"/>
      <c r="I22" s="2" t="n"/>
      <c r="J22" s="2" t="n"/>
      <c r="K22" s="2" t="n"/>
    </row>
    <row r="23">
      <c r="A23" s="2" t="n"/>
      <c r="B23" s="2" t="n"/>
      <c r="C23" s="2" t="n"/>
      <c r="D23" s="2" t="n"/>
      <c r="E23" s="11" t="n"/>
      <c r="F23" s="11" t="n"/>
      <c r="G23" s="8" t="n"/>
      <c r="H23" s="8" t="n"/>
      <c r="I23" s="2" t="n"/>
      <c r="J23" s="2" t="n"/>
      <c r="K23" s="2" t="n"/>
    </row>
    <row r="24">
      <c r="A24" s="2" t="n"/>
      <c r="B24" s="2" t="n"/>
      <c r="C24" s="2" t="n"/>
      <c r="D24" s="2" t="n"/>
      <c r="E24" s="11" t="n"/>
      <c r="F24" s="11" t="n"/>
      <c r="G24" s="8" t="n"/>
      <c r="H24" s="8" t="n"/>
      <c r="I24" s="2" t="n"/>
      <c r="J24" s="2" t="n"/>
      <c r="K24" s="2" t="n"/>
    </row>
    <row r="25">
      <c r="A25" s="2" t="n"/>
      <c r="B25" s="2" t="n"/>
      <c r="C25" s="2" t="n"/>
      <c r="D25" s="2" t="n"/>
      <c r="E25" s="11" t="n"/>
      <c r="F25" s="11" t="n"/>
      <c r="G25" s="8" t="n"/>
      <c r="H25" s="8" t="n"/>
      <c r="I25" s="2" t="n"/>
      <c r="J25" s="2" t="n"/>
      <c r="K25" s="2" t="n"/>
    </row>
    <row r="26">
      <c r="A26" s="2" t="n"/>
      <c r="B26" s="2" t="n"/>
      <c r="C26" s="2" t="n"/>
      <c r="D26" s="2" t="n"/>
      <c r="E26" s="11" t="n"/>
      <c r="F26" s="11" t="n"/>
      <c r="G26" s="8" t="n"/>
      <c r="H26" s="8" t="n"/>
      <c r="I26" s="2" t="n"/>
      <c r="J26" s="2" t="n"/>
      <c r="K26" s="2" t="n"/>
    </row>
    <row r="27">
      <c r="A27" s="2" t="n"/>
      <c r="B27" s="2" t="n"/>
      <c r="C27" s="2" t="n"/>
      <c r="D27" s="2" t="n"/>
      <c r="E27" s="11" t="n"/>
      <c r="F27" s="11" t="n"/>
      <c r="G27" s="8" t="n"/>
      <c r="H27" s="8" t="n"/>
      <c r="I27" s="2" t="n"/>
      <c r="J27" s="2" t="n"/>
      <c r="K27" s="2" t="n"/>
    </row>
    <row r="28">
      <c r="A28" s="2" t="n"/>
      <c r="B28" s="2" t="n"/>
      <c r="C28" s="2" t="n"/>
      <c r="D28" s="2" t="n"/>
      <c r="E28" s="11" t="n"/>
      <c r="F28" s="11" t="n"/>
      <c r="G28" s="8" t="n"/>
      <c r="H28" s="8" t="n"/>
      <c r="I28" s="2" t="n"/>
      <c r="J28" s="2" t="n"/>
      <c r="K28" s="2" t="n"/>
    </row>
    <row r="29">
      <c r="A29" s="2" t="n"/>
      <c r="B29" s="2" t="n"/>
      <c r="C29" s="2" t="n"/>
      <c r="D29" s="2" t="n"/>
      <c r="E29" s="11" t="n"/>
      <c r="F29" s="11" t="n"/>
      <c r="G29" s="8" t="n"/>
      <c r="H29" s="8" t="n"/>
      <c r="I29" s="2" t="n"/>
      <c r="J29" s="2" t="n"/>
      <c r="K29" s="2" t="n"/>
    </row>
    <row r="30">
      <c r="A30" s="2" t="n"/>
      <c r="B30" s="2" t="n"/>
      <c r="C30" s="2" t="n"/>
      <c r="D30" s="2" t="n"/>
      <c r="E30" s="11" t="n"/>
      <c r="F30" s="11" t="n"/>
      <c r="G30" s="8" t="n"/>
      <c r="H30" s="8" t="n"/>
      <c r="I30" s="2" t="n"/>
      <c r="J30" s="2" t="n"/>
      <c r="K30" s="2" t="n"/>
    </row>
    <row r="31">
      <c r="A31" s="2" t="n"/>
      <c r="B31" s="2" t="n"/>
      <c r="C31" s="2" t="n"/>
      <c r="D31" s="2" t="n"/>
      <c r="E31" s="11" t="n"/>
      <c r="F31" s="11" t="n"/>
      <c r="G31" s="8" t="n"/>
      <c r="H31" s="8" t="n"/>
      <c r="I31" s="2" t="n"/>
      <c r="J31" s="2" t="n"/>
      <c r="K31" s="2" t="n"/>
    </row>
    <row r="32">
      <c r="A32" s="2" t="n"/>
      <c r="B32" s="2" t="n"/>
      <c r="C32" s="2" t="n"/>
      <c r="D32" s="2" t="n"/>
      <c r="E32" s="11" t="n"/>
      <c r="F32" s="11" t="n"/>
      <c r="G32" s="8" t="n"/>
      <c r="H32" s="8" t="n"/>
      <c r="I32" s="2" t="n"/>
      <c r="J32" s="2" t="n"/>
      <c r="K32" s="2" t="n"/>
    </row>
    <row r="33">
      <c r="A33" s="2" t="n"/>
      <c r="B33" s="2" t="n"/>
      <c r="C33" s="2" t="n"/>
      <c r="D33" s="2" t="n"/>
      <c r="E33" s="11" t="n"/>
      <c r="F33" s="11" t="n"/>
      <c r="G33" s="8" t="n"/>
      <c r="H33" s="8" t="n"/>
      <c r="I33" s="2" t="n"/>
      <c r="J33" s="2" t="n"/>
      <c r="K33" s="2" t="n"/>
    </row>
    <row r="34">
      <c r="A34" s="2" t="n"/>
      <c r="B34" s="2" t="n"/>
      <c r="C34" s="2" t="n"/>
      <c r="D34" s="2" t="n"/>
      <c r="E34" s="11" t="n"/>
      <c r="F34" s="11" t="n"/>
      <c r="G34" s="8" t="n"/>
      <c r="H34" s="8" t="n"/>
      <c r="I34" s="2" t="n"/>
      <c r="J34" s="2" t="n"/>
      <c r="K34" s="2" t="n"/>
    </row>
    <row r="35">
      <c r="A35" s="2" t="n"/>
      <c r="B35" s="2" t="n"/>
      <c r="C35" s="2" t="n"/>
      <c r="D35" s="2" t="n"/>
      <c r="E35" s="11" t="n"/>
      <c r="F35" s="11" t="n"/>
      <c r="G35" s="8" t="n"/>
      <c r="H35" s="8" t="n"/>
      <c r="I35" s="2" t="n"/>
      <c r="J35" s="2" t="n"/>
      <c r="K35" s="2" t="n"/>
    </row>
    <row r="36">
      <c r="A36" s="2" t="n"/>
      <c r="B36" s="2" t="n"/>
      <c r="C36" s="2" t="n"/>
      <c r="D36" s="2" t="n"/>
      <c r="E36" s="11" t="n"/>
      <c r="F36" s="11" t="n"/>
      <c r="G36" s="8" t="n"/>
      <c r="H36" s="8" t="n"/>
      <c r="I36" s="2" t="n"/>
      <c r="J36" s="2" t="n"/>
      <c r="K36" s="2" t="n"/>
    </row>
    <row r="37">
      <c r="A37" s="2" t="n"/>
      <c r="B37" s="2" t="n"/>
      <c r="C37" s="2" t="n"/>
      <c r="D37" s="2" t="n"/>
      <c r="E37" s="11" t="n"/>
      <c r="F37" s="11" t="n"/>
      <c r="G37" s="8" t="n"/>
      <c r="H37" s="8" t="n"/>
      <c r="I37" s="2" t="n"/>
      <c r="J37" s="2" t="n"/>
      <c r="K37" s="2" t="n"/>
    </row>
    <row r="38">
      <c r="A38" s="2" t="n"/>
      <c r="B38" s="2" t="n"/>
      <c r="C38" s="2" t="n"/>
      <c r="D38" s="2" t="n"/>
      <c r="E38" s="11" t="n"/>
      <c r="F38" s="11" t="n"/>
      <c r="G38" s="8" t="n"/>
      <c r="H38" s="8" t="n"/>
      <c r="I38" s="2" t="n"/>
      <c r="J38" s="2" t="n"/>
      <c r="K38" s="2" t="n"/>
    </row>
    <row r="39">
      <c r="A39" s="2" t="n"/>
      <c r="B39" s="2" t="n"/>
      <c r="C39" s="2" t="n"/>
      <c r="D39" s="2" t="n"/>
      <c r="E39" s="11" t="n"/>
      <c r="F39" s="11" t="n"/>
      <c r="G39" s="8" t="n"/>
      <c r="H39" s="8" t="n"/>
      <c r="I39" s="2" t="n"/>
      <c r="J39" s="2" t="n"/>
      <c r="K39" s="2" t="n"/>
    </row>
    <row r="40">
      <c r="A40" s="2" t="n"/>
      <c r="B40" s="2" t="n"/>
      <c r="C40" s="2" t="n"/>
      <c r="D40" s="2" t="n"/>
      <c r="E40" s="11" t="n"/>
      <c r="F40" s="11" t="n"/>
      <c r="G40" s="8" t="n"/>
      <c r="H40" s="8" t="n"/>
      <c r="I40" s="2" t="n"/>
      <c r="J40" s="2" t="n"/>
      <c r="K40" s="2" t="n"/>
    </row>
    <row r="41">
      <c r="A41" s="2" t="n"/>
      <c r="B41" s="2" t="n"/>
      <c r="C41" s="2" t="n"/>
      <c r="D41" s="2" t="n"/>
      <c r="E41" s="11" t="n"/>
      <c r="F41" s="11" t="n"/>
      <c r="G41" s="8" t="n"/>
      <c r="H41" s="8" t="n"/>
      <c r="I41" s="2" t="n"/>
      <c r="J41" s="2" t="n"/>
      <c r="K41" s="2" t="n"/>
    </row>
    <row r="42">
      <c r="A42" s="2" t="n"/>
      <c r="B42" s="2" t="n"/>
      <c r="C42" s="2" t="n"/>
      <c r="D42" s="2" t="n"/>
      <c r="E42" s="11" t="n"/>
      <c r="F42" s="11" t="n"/>
      <c r="G42" s="8" t="n"/>
      <c r="H42" s="8" t="n"/>
      <c r="I42" s="2" t="n"/>
      <c r="J42" s="2" t="n"/>
      <c r="K42" s="2" t="n"/>
    </row>
    <row r="43">
      <c r="A43" s="2" t="n"/>
      <c r="B43" s="2" t="n"/>
      <c r="C43" s="2" t="n"/>
      <c r="D43" s="2" t="n"/>
      <c r="E43" s="11" t="n"/>
      <c r="F43" s="11" t="n"/>
      <c r="G43" s="8" t="n"/>
      <c r="H43" s="8" t="n"/>
      <c r="I43" s="2" t="n"/>
      <c r="J43" s="2" t="n"/>
      <c r="K43" s="2" t="n"/>
    </row>
    <row r="44">
      <c r="A44" s="2" t="n"/>
      <c r="B44" s="2" t="n"/>
      <c r="C44" s="2" t="n"/>
      <c r="D44" s="2" t="n"/>
      <c r="E44" s="11" t="n"/>
      <c r="F44" s="11" t="n"/>
      <c r="G44" s="8" t="n"/>
      <c r="H44" s="8" t="n"/>
      <c r="I44" s="2" t="n"/>
      <c r="J44" s="2" t="n"/>
      <c r="K44" s="2" t="n"/>
    </row>
    <row r="45">
      <c r="A45" s="2" t="n"/>
      <c r="B45" s="2" t="n"/>
      <c r="C45" s="2" t="n"/>
      <c r="D45" s="2" t="n"/>
      <c r="E45" s="11" t="n"/>
      <c r="F45" s="11" t="n"/>
      <c r="G45" s="8" t="n"/>
      <c r="H45" s="8" t="n"/>
      <c r="I45" s="2" t="n"/>
      <c r="J45" s="2" t="n"/>
      <c r="K45" s="2" t="n"/>
    </row>
    <row r="46">
      <c r="A46" s="2" t="n"/>
      <c r="B46" s="2" t="n"/>
      <c r="C46" s="2" t="n"/>
      <c r="D46" s="2" t="n"/>
      <c r="E46" s="11" t="n"/>
      <c r="F46" s="11" t="n"/>
      <c r="G46" s="8" t="n"/>
      <c r="H46" s="8" t="n"/>
      <c r="I46" s="2" t="n"/>
      <c r="J46" s="2" t="n"/>
      <c r="K46" s="2" t="n"/>
    </row>
    <row r="47">
      <c r="A47" s="2" t="n"/>
      <c r="B47" s="2" t="n"/>
      <c r="C47" s="2" t="n"/>
      <c r="D47" s="2" t="n"/>
      <c r="E47" s="11" t="n"/>
      <c r="F47" s="11" t="n"/>
      <c r="G47" s="8" t="n"/>
      <c r="H47" s="8" t="n"/>
      <c r="I47" s="2" t="n"/>
      <c r="J47" s="2" t="n"/>
      <c r="K47" s="2" t="n"/>
    </row>
    <row r="48">
      <c r="A48" s="2" t="n"/>
      <c r="B48" s="2" t="n"/>
      <c r="C48" s="2" t="n"/>
      <c r="D48" s="2" t="n"/>
      <c r="E48" s="11" t="n"/>
      <c r="F48" s="11" t="n"/>
      <c r="G48" s="8" t="n"/>
      <c r="H48" s="8" t="n"/>
      <c r="I48" s="2" t="n"/>
      <c r="J48" s="2" t="n"/>
      <c r="K48" s="2" t="n"/>
    </row>
    <row r="49">
      <c r="A49" s="2" t="n"/>
      <c r="B49" s="2" t="n"/>
      <c r="C49" s="2" t="n"/>
      <c r="D49" s="2" t="n"/>
      <c r="E49" s="11" t="n"/>
      <c r="F49" s="11" t="n"/>
      <c r="G49" s="8" t="n"/>
      <c r="H49" s="8" t="n"/>
      <c r="I49" s="2" t="n"/>
      <c r="J49" s="2" t="n"/>
      <c r="K49" s="2" t="n"/>
    </row>
    <row r="50">
      <c r="A50" s="2" t="n"/>
      <c r="B50" s="2" t="n"/>
      <c r="C50" s="2" t="n"/>
      <c r="D50" s="2" t="n"/>
      <c r="E50" s="11" t="n"/>
      <c r="F50" s="11" t="n"/>
      <c r="G50" s="8" t="n"/>
      <c r="H50" s="8" t="n"/>
      <c r="I50" s="2" t="n"/>
      <c r="J50" s="2" t="n"/>
      <c r="K50" s="2" t="n"/>
    </row>
    <row r="51">
      <c r="A51" s="2" t="n"/>
      <c r="B51" s="2" t="n"/>
      <c r="C51" s="2" t="n"/>
      <c r="D51" s="2" t="n"/>
      <c r="E51" s="11" t="n"/>
      <c r="F51" s="11" t="n"/>
      <c r="G51" s="8" t="n"/>
      <c r="H51" s="8" t="n"/>
      <c r="I51" s="2" t="n"/>
      <c r="J51" s="2" t="n"/>
      <c r="K51" s="2" t="n"/>
    </row>
    <row r="52">
      <c r="A52" s="2" t="n"/>
      <c r="B52" s="2" t="n"/>
      <c r="C52" s="2" t="n"/>
      <c r="D52" s="2" t="n"/>
      <c r="E52" s="11" t="n"/>
      <c r="F52" s="11" t="n"/>
      <c r="G52" s="8" t="n"/>
      <c r="H52" s="8" t="n"/>
      <c r="I52" s="2" t="n"/>
      <c r="J52" s="2" t="n"/>
      <c r="K52" s="2" t="n"/>
    </row>
    <row r="53">
      <c r="A53" s="2" t="n"/>
      <c r="B53" s="2" t="n"/>
      <c r="C53" s="2" t="n"/>
      <c r="D53" s="2" t="n"/>
      <c r="E53" s="11" t="n"/>
      <c r="F53" s="11" t="n"/>
      <c r="G53" s="8" t="n"/>
      <c r="H53" s="8" t="n"/>
      <c r="I53" s="2" t="n"/>
      <c r="J53" s="2" t="n"/>
      <c r="K53" s="2" t="n"/>
    </row>
    <row r="54">
      <c r="A54" s="2" t="n"/>
      <c r="B54" s="2" t="n"/>
      <c r="C54" s="2" t="n"/>
      <c r="D54" s="2" t="n"/>
      <c r="E54" s="11" t="n"/>
      <c r="F54" s="11" t="n"/>
      <c r="G54" s="8" t="n"/>
      <c r="H54" s="8" t="n"/>
      <c r="I54" s="2" t="n"/>
      <c r="J54" s="2" t="n"/>
      <c r="K54" s="2" t="n"/>
    </row>
    <row r="55">
      <c r="A55" s="2" t="n"/>
      <c r="B55" s="2" t="n"/>
      <c r="C55" s="2" t="n"/>
      <c r="D55" s="2" t="n"/>
      <c r="E55" s="11" t="n"/>
      <c r="F55" s="11" t="n"/>
      <c r="G55" s="8" t="n"/>
      <c r="H55" s="8" t="n"/>
      <c r="I55" s="2" t="n"/>
      <c r="J55" s="2" t="n"/>
      <c r="K55" s="2" t="n"/>
    </row>
    <row r="56">
      <c r="A56" s="2" t="n"/>
      <c r="B56" s="2" t="n"/>
      <c r="C56" s="2" t="n"/>
      <c r="D56" s="2" t="n"/>
      <c r="E56" s="11" t="n"/>
      <c r="F56" s="11" t="n"/>
      <c r="G56" s="8" t="n"/>
      <c r="H56" s="8" t="n"/>
      <c r="I56" s="2" t="n"/>
      <c r="J56" s="2" t="n"/>
      <c r="K56" s="2" t="n"/>
    </row>
    <row r="57">
      <c r="A57" s="2" t="n"/>
      <c r="B57" s="2" t="n"/>
      <c r="C57" s="2" t="n"/>
      <c r="D57" s="2" t="n"/>
      <c r="E57" s="11" t="n"/>
      <c r="F57" s="11" t="n"/>
      <c r="G57" s="8" t="n"/>
      <c r="H57" s="8" t="n"/>
      <c r="I57" s="2" t="n"/>
      <c r="J57" s="2" t="n"/>
      <c r="K57" s="2" t="n"/>
    </row>
    <row r="58">
      <c r="A58" s="2" t="n"/>
      <c r="B58" s="2" t="n"/>
      <c r="C58" s="2" t="n"/>
      <c r="D58" s="2" t="n"/>
      <c r="E58" s="11" t="n"/>
      <c r="F58" s="11" t="n"/>
      <c r="G58" s="8" t="n"/>
      <c r="H58" s="8" t="n"/>
      <c r="I58" s="2" t="n"/>
      <c r="J58" s="2" t="n"/>
      <c r="K58" s="2" t="n"/>
    </row>
    <row r="59">
      <c r="A59" s="2" t="n"/>
      <c r="B59" s="2" t="n"/>
      <c r="C59" s="2" t="n"/>
      <c r="D59" s="2" t="n"/>
      <c r="E59" s="11" t="n"/>
      <c r="F59" s="11" t="n"/>
      <c r="G59" s="8" t="n"/>
      <c r="H59" s="8" t="n"/>
      <c r="I59" s="2" t="n"/>
      <c r="J59" s="2" t="n"/>
      <c r="K59" s="2" t="n"/>
    </row>
    <row r="60">
      <c r="A60" s="2" t="n"/>
      <c r="B60" s="2" t="n"/>
      <c r="C60" s="2" t="n"/>
      <c r="D60" s="2" t="n"/>
      <c r="E60" s="11" t="n"/>
      <c r="F60" s="11" t="n"/>
      <c r="G60" s="8" t="n"/>
      <c r="H60" s="8" t="n"/>
      <c r="I60" s="2" t="n"/>
      <c r="J60" s="2" t="n"/>
      <c r="K60" s="2" t="n"/>
    </row>
    <row r="61">
      <c r="A61" s="2" t="n"/>
      <c r="B61" s="2" t="n"/>
      <c r="C61" s="2" t="n"/>
      <c r="D61" s="2" t="n"/>
      <c r="E61" s="11" t="n"/>
      <c r="F61" s="11" t="n"/>
      <c r="G61" s="8" t="n"/>
      <c r="H61" s="8" t="n"/>
      <c r="I61" s="2" t="n"/>
      <c r="J61" s="2" t="n"/>
      <c r="K61" s="2" t="n"/>
    </row>
    <row r="62">
      <c r="A62" s="2" t="n"/>
      <c r="B62" s="2" t="n"/>
      <c r="C62" s="2" t="n"/>
      <c r="D62" s="2" t="n"/>
      <c r="E62" s="11" t="n"/>
      <c r="F62" s="11" t="n"/>
      <c r="G62" s="8" t="n"/>
      <c r="H62" s="8" t="n"/>
      <c r="I62" s="2" t="n"/>
      <c r="J62" s="2" t="n"/>
      <c r="K62" s="2" t="n"/>
    </row>
    <row r="63">
      <c r="A63" s="2" t="n"/>
      <c r="B63" s="2" t="n"/>
      <c r="C63" s="2" t="n"/>
      <c r="D63" s="2" t="n"/>
      <c r="E63" s="11" t="n"/>
      <c r="F63" s="11" t="n"/>
      <c r="G63" s="8" t="n"/>
      <c r="H63" s="8" t="n"/>
      <c r="I63" s="2" t="n"/>
      <c r="J63" s="2" t="n"/>
      <c r="K63" s="2" t="n"/>
    </row>
    <row r="64">
      <c r="A64" s="2" t="n"/>
      <c r="B64" s="2" t="n"/>
      <c r="C64" s="2" t="n"/>
      <c r="D64" s="2" t="n"/>
      <c r="E64" s="11" t="n"/>
      <c r="F64" s="11" t="n"/>
      <c r="G64" s="8" t="n"/>
      <c r="H64" s="8" t="n"/>
      <c r="I64" s="2" t="n"/>
      <c r="J64" s="2" t="n"/>
      <c r="K64" s="2" t="n"/>
    </row>
    <row r="65">
      <c r="A65" s="2" t="n"/>
      <c r="B65" s="2" t="n"/>
      <c r="C65" s="2" t="n"/>
      <c r="D65" s="2" t="n"/>
      <c r="E65" s="11" t="n"/>
      <c r="F65" s="11" t="n"/>
      <c r="G65" s="8" t="n"/>
      <c r="H65" s="8" t="n"/>
      <c r="I65" s="2" t="n"/>
      <c r="J65" s="2" t="n"/>
      <c r="K65" s="2" t="n"/>
    </row>
    <row r="66">
      <c r="A66" s="2" t="n"/>
      <c r="B66" s="2" t="n"/>
      <c r="C66" s="2" t="n"/>
      <c r="D66" s="2" t="n"/>
      <c r="E66" s="11" t="n"/>
      <c r="F66" s="11" t="n"/>
      <c r="G66" s="8" t="n"/>
      <c r="H66" s="8" t="n"/>
      <c r="I66" s="2" t="n"/>
      <c r="J66" s="2" t="n"/>
      <c r="K66" s="2" t="n"/>
    </row>
    <row r="67">
      <c r="A67" s="2" t="n"/>
      <c r="B67" s="2" t="n"/>
      <c r="C67" s="2" t="n"/>
      <c r="D67" s="2" t="n"/>
      <c r="E67" s="11" t="n"/>
      <c r="F67" s="11" t="n"/>
      <c r="G67" s="8" t="n"/>
      <c r="H67" s="8" t="n"/>
      <c r="I67" s="2" t="n"/>
      <c r="J67" s="2" t="n"/>
      <c r="K67" s="2" t="n"/>
    </row>
    <row r="68">
      <c r="A68" s="2" t="n"/>
      <c r="B68" s="2" t="n"/>
      <c r="C68" s="2" t="n"/>
      <c r="D68" s="2" t="n"/>
      <c r="E68" s="11" t="n"/>
      <c r="F68" s="11" t="n"/>
      <c r="G68" s="8" t="n"/>
      <c r="H68" s="8" t="n"/>
      <c r="I68" s="2" t="n"/>
      <c r="J68" s="2" t="n"/>
      <c r="K68" s="2" t="n"/>
    </row>
    <row r="69">
      <c r="A69" s="2" t="n"/>
      <c r="B69" s="2" t="n"/>
      <c r="C69" s="2" t="n"/>
      <c r="D69" s="2" t="n"/>
      <c r="E69" s="11" t="n"/>
      <c r="F69" s="11" t="n"/>
      <c r="G69" s="8" t="n"/>
      <c r="H69" s="8" t="n"/>
      <c r="I69" s="2" t="n"/>
      <c r="J69" s="2" t="n"/>
      <c r="K69" s="2" t="n"/>
    </row>
    <row r="70">
      <c r="A70" s="2" t="n"/>
      <c r="B70" s="2" t="n"/>
      <c r="C70" s="2" t="n"/>
      <c r="D70" s="2" t="n"/>
      <c r="E70" s="11" t="n"/>
      <c r="F70" s="11" t="n"/>
      <c r="G70" s="8" t="n"/>
      <c r="H70" s="8" t="n"/>
      <c r="I70" s="2" t="n"/>
      <c r="J70" s="2" t="n"/>
      <c r="K70" s="2" t="n"/>
    </row>
    <row r="71">
      <c r="A71" s="2" t="n"/>
      <c r="B71" s="2" t="n"/>
      <c r="C71" s="2" t="n"/>
      <c r="D71" s="2" t="n"/>
      <c r="E71" s="11" t="n"/>
      <c r="F71" s="11" t="n"/>
      <c r="G71" s="8" t="n"/>
      <c r="H71" s="8" t="n"/>
      <c r="I71" s="2" t="n"/>
      <c r="J71" s="2" t="n"/>
      <c r="K71" s="2" t="n"/>
    </row>
    <row r="72">
      <c r="A72" s="2" t="n"/>
      <c r="B72" s="2" t="n"/>
      <c r="C72" s="2" t="n"/>
      <c r="D72" s="2" t="n"/>
      <c r="E72" s="11" t="n"/>
      <c r="F72" s="11" t="n"/>
      <c r="G72" s="8" t="n"/>
      <c r="H72" s="8" t="n"/>
      <c r="I72" s="2" t="n"/>
      <c r="J72" s="2" t="n"/>
      <c r="K72" s="2" t="n"/>
    </row>
    <row r="73">
      <c r="A73" s="2" t="n"/>
      <c r="B73" s="2" t="n"/>
      <c r="C73" s="2" t="n"/>
      <c r="D73" s="2" t="n"/>
      <c r="E73" s="11" t="n"/>
      <c r="F73" s="11" t="n"/>
      <c r="G73" s="8" t="n"/>
      <c r="H73" s="8" t="n"/>
      <c r="I73" s="2" t="n"/>
      <c r="J73" s="2" t="n"/>
      <c r="K73" s="2" t="n"/>
    </row>
    <row r="74">
      <c r="A74" s="2" t="n"/>
      <c r="B74" s="2" t="n"/>
      <c r="C74" s="2" t="n"/>
      <c r="D74" s="2" t="n"/>
      <c r="E74" s="11" t="n"/>
      <c r="F74" s="11" t="n"/>
      <c r="G74" s="8" t="n"/>
      <c r="H74" s="8" t="n"/>
      <c r="I74" s="2" t="n"/>
      <c r="J74" s="2" t="n"/>
      <c r="K74" s="2" t="n"/>
    </row>
    <row r="75">
      <c r="A75" s="2" t="n"/>
      <c r="B75" s="2" t="n"/>
      <c r="C75" s="2" t="n"/>
      <c r="D75" s="2" t="n"/>
      <c r="E75" s="11" t="n"/>
      <c r="F75" s="11" t="n"/>
      <c r="G75" s="8" t="n"/>
      <c r="H75" s="8" t="n"/>
      <c r="I75" s="2" t="n"/>
      <c r="J75" s="2" t="n"/>
      <c r="K75" s="2" t="n"/>
    </row>
    <row r="76">
      <c r="A76" s="2" t="n"/>
      <c r="B76" s="2" t="n"/>
      <c r="C76" s="2" t="n"/>
      <c r="D76" s="2" t="n"/>
      <c r="E76" s="11" t="n"/>
      <c r="F76" s="11" t="n"/>
      <c r="G76" s="8" t="n"/>
      <c r="H76" s="8" t="n"/>
      <c r="I76" s="2" t="n"/>
      <c r="J76" s="2" t="n"/>
      <c r="K76" s="2" t="n"/>
    </row>
    <row r="77">
      <c r="A77" s="2" t="n"/>
      <c r="B77" s="2" t="n"/>
      <c r="C77" s="2" t="n"/>
      <c r="D77" s="2" t="n"/>
      <c r="E77" s="11" t="n"/>
      <c r="F77" s="11" t="n"/>
      <c r="G77" s="8" t="n"/>
      <c r="H77" s="8" t="n"/>
      <c r="I77" s="2" t="n"/>
      <c r="J77" s="2" t="n"/>
      <c r="K77" s="2" t="n"/>
    </row>
    <row r="78">
      <c r="A78" s="2" t="n"/>
      <c r="B78" s="2" t="n"/>
      <c r="C78" s="2" t="n"/>
      <c r="D78" s="2" t="n"/>
      <c r="E78" s="11" t="n"/>
      <c r="F78" s="11" t="n"/>
      <c r="G78" s="8" t="n"/>
      <c r="H78" s="8" t="n"/>
      <c r="I78" s="2" t="n"/>
      <c r="J78" s="2" t="n"/>
      <c r="K78" s="2" t="n"/>
    </row>
    <row r="79">
      <c r="A79" s="2" t="n"/>
      <c r="B79" s="2" t="n"/>
      <c r="C79" s="2" t="n"/>
      <c r="D79" s="2" t="n"/>
      <c r="E79" s="11" t="n"/>
      <c r="F79" s="11" t="n"/>
      <c r="G79" s="8" t="n"/>
      <c r="H79" s="8" t="n"/>
      <c r="I79" s="2" t="n"/>
      <c r="J79" s="2" t="n"/>
      <c r="K79" s="2" t="n"/>
    </row>
    <row r="80">
      <c r="A80" s="2" t="n"/>
      <c r="B80" s="2" t="n"/>
      <c r="C80" s="2" t="n"/>
      <c r="D80" s="2" t="n"/>
      <c r="E80" s="11" t="n"/>
      <c r="F80" s="11" t="n"/>
      <c r="G80" s="8" t="n"/>
      <c r="H80" s="8" t="n"/>
      <c r="I80" s="2" t="n"/>
      <c r="J80" s="2" t="n"/>
      <c r="K80" s="2" t="n"/>
    </row>
    <row r="81">
      <c r="A81" s="2" t="n"/>
      <c r="B81" s="2" t="n"/>
      <c r="C81" s="2" t="n"/>
      <c r="D81" s="2" t="n"/>
      <c r="E81" s="11" t="n"/>
      <c r="F81" s="11" t="n"/>
      <c r="G81" s="8" t="n"/>
      <c r="H81" s="8" t="n"/>
      <c r="I81" s="2" t="n"/>
      <c r="J81" s="2" t="n"/>
      <c r="K81" s="2" t="n"/>
    </row>
    <row r="82">
      <c r="A82" s="2" t="n"/>
      <c r="B82" s="2" t="n"/>
      <c r="C82" s="2" t="n"/>
      <c r="D82" s="2" t="n"/>
      <c r="E82" s="11" t="n"/>
      <c r="F82" s="11" t="n"/>
      <c r="G82" s="8" t="n"/>
      <c r="H82" s="8" t="n"/>
      <c r="I82" s="2" t="n"/>
      <c r="J82" s="2" t="n"/>
      <c r="K82" s="2" t="n"/>
    </row>
    <row r="83">
      <c r="A83" s="2" t="n"/>
      <c r="B83" s="2" t="n"/>
      <c r="C83" s="2" t="n"/>
      <c r="D83" s="2" t="n"/>
      <c r="E83" s="11" t="n"/>
      <c r="F83" s="11" t="n"/>
      <c r="G83" s="8" t="n"/>
      <c r="H83" s="8" t="n"/>
      <c r="I83" s="2" t="n"/>
      <c r="J83" s="2" t="n"/>
      <c r="K83" s="2" t="n"/>
    </row>
    <row r="84">
      <c r="A84" s="2" t="n"/>
      <c r="B84" s="2" t="n"/>
      <c r="C84" s="2" t="n"/>
      <c r="D84" s="2" t="n"/>
      <c r="E84" s="11" t="n"/>
      <c r="F84" s="11" t="n"/>
      <c r="G84" s="8" t="n"/>
      <c r="H84" s="8" t="n"/>
      <c r="I84" s="2" t="n"/>
      <c r="J84" s="2" t="n"/>
      <c r="K84" s="2" t="n"/>
    </row>
    <row r="85">
      <c r="A85" s="2" t="n"/>
      <c r="B85" s="2" t="n"/>
      <c r="C85" s="2" t="n"/>
      <c r="D85" s="2" t="n"/>
      <c r="E85" s="11" t="n"/>
      <c r="F85" s="11" t="n"/>
      <c r="G85" s="8" t="n"/>
      <c r="H85" s="8" t="n"/>
      <c r="I85" s="2" t="n"/>
      <c r="J85" s="2" t="n"/>
      <c r="K85" s="2" t="n"/>
    </row>
    <row r="86">
      <c r="A86" s="2" t="n"/>
      <c r="B86" s="2" t="n"/>
      <c r="C86" s="2" t="n"/>
      <c r="D86" s="2" t="n"/>
      <c r="E86" s="11" t="n"/>
      <c r="F86" s="11" t="n"/>
      <c r="G86" s="8" t="n"/>
      <c r="H86" s="8" t="n"/>
      <c r="I86" s="2" t="n"/>
      <c r="J86" s="2" t="n"/>
      <c r="K86" s="2" t="n"/>
    </row>
    <row r="87">
      <c r="A87" s="2" t="n"/>
      <c r="B87" s="2" t="n"/>
      <c r="C87" s="2" t="n"/>
      <c r="D87" s="2" t="n"/>
      <c r="E87" s="11" t="n"/>
      <c r="F87" s="11" t="n"/>
      <c r="G87" s="8" t="n"/>
      <c r="H87" s="8" t="n"/>
      <c r="I87" s="2" t="n"/>
      <c r="J87" s="2" t="n"/>
      <c r="K87" s="2" t="n"/>
    </row>
    <row r="88">
      <c r="A88" s="2" t="n"/>
      <c r="B88" s="2" t="n"/>
      <c r="C88" s="2" t="n"/>
      <c r="D88" s="2" t="n"/>
      <c r="E88" s="11" t="n"/>
      <c r="F88" s="11" t="n"/>
      <c r="G88" s="8" t="n"/>
      <c r="H88" s="8" t="n"/>
      <c r="I88" s="2" t="n"/>
      <c r="J88" s="2" t="n"/>
      <c r="K88" s="2" t="n"/>
    </row>
    <row r="89">
      <c r="A89" s="2" t="n"/>
      <c r="B89" s="2" t="n"/>
      <c r="C89" s="2" t="n"/>
      <c r="D89" s="2" t="n"/>
      <c r="E89" s="11" t="n"/>
      <c r="F89" s="11" t="n"/>
      <c r="G89" s="8" t="n"/>
      <c r="H89" s="8" t="n"/>
      <c r="I89" s="2" t="n"/>
      <c r="J89" s="2" t="n"/>
      <c r="K89" s="2" t="n"/>
    </row>
    <row r="90">
      <c r="A90" s="2" t="n"/>
      <c r="B90" s="2" t="n"/>
      <c r="C90" s="2" t="n"/>
      <c r="D90" s="2" t="n"/>
      <c r="E90" s="11" t="n"/>
      <c r="F90" s="11" t="n"/>
      <c r="G90" s="8" t="n"/>
      <c r="H90" s="8" t="n"/>
      <c r="I90" s="2" t="n"/>
      <c r="J90" s="2" t="n"/>
      <c r="K90" s="2" t="n"/>
    </row>
    <row r="91">
      <c r="A91" s="2" t="n"/>
      <c r="B91" s="2" t="n"/>
      <c r="C91" s="2" t="n"/>
      <c r="D91" s="2" t="n"/>
      <c r="E91" s="11" t="n"/>
      <c r="F91" s="11" t="n"/>
      <c r="G91" s="8" t="n"/>
      <c r="H91" s="8" t="n"/>
      <c r="I91" s="2" t="n"/>
      <c r="J91" s="2" t="n"/>
      <c r="K91" s="2" t="n"/>
    </row>
    <row r="92">
      <c r="A92" s="2" t="n"/>
      <c r="B92" s="2" t="n"/>
      <c r="C92" s="2" t="n"/>
      <c r="D92" s="2" t="n"/>
      <c r="E92" s="11" t="n"/>
      <c r="F92" s="11" t="n"/>
      <c r="G92" s="8" t="n"/>
      <c r="H92" s="8" t="n"/>
      <c r="I92" s="2" t="n"/>
      <c r="J92" s="2" t="n"/>
      <c r="K92" s="2" t="n"/>
    </row>
    <row r="93">
      <c r="A93" s="2" t="n"/>
      <c r="B93" s="2" t="n"/>
      <c r="C93" s="2" t="n"/>
      <c r="D93" s="2" t="n"/>
      <c r="E93" s="11" t="n"/>
      <c r="F93" s="11" t="n"/>
      <c r="G93" s="8" t="n"/>
      <c r="H93" s="8" t="n"/>
      <c r="I93" s="2" t="n"/>
      <c r="J93" s="2" t="n"/>
      <c r="K93" s="2" t="n"/>
    </row>
    <row r="94">
      <c r="A94" s="2" t="n"/>
      <c r="B94" s="2" t="n"/>
      <c r="C94" s="2" t="n"/>
      <c r="D94" s="2" t="n"/>
      <c r="E94" s="11" t="n"/>
      <c r="F94" s="11" t="n"/>
      <c r="G94" s="8" t="n"/>
      <c r="H94" s="8" t="n"/>
      <c r="I94" s="2" t="n"/>
      <c r="J94" s="2" t="n"/>
      <c r="K94" s="2" t="n"/>
    </row>
    <row r="95">
      <c r="A95" s="2" t="n"/>
      <c r="B95" s="2" t="n"/>
      <c r="C95" s="2" t="n"/>
      <c r="D95" s="2" t="n"/>
      <c r="E95" s="11" t="n"/>
      <c r="F95" s="11" t="n"/>
      <c r="G95" s="8" t="n"/>
      <c r="H95" s="8" t="n"/>
      <c r="I95" s="2" t="n"/>
      <c r="J95" s="2" t="n"/>
      <c r="K95" s="2" t="n"/>
    </row>
    <row r="96">
      <c r="A96" s="2" t="n"/>
      <c r="B96" s="2" t="n"/>
      <c r="C96" s="2" t="n"/>
      <c r="D96" s="2" t="n"/>
      <c r="E96" s="11" t="n"/>
      <c r="F96" s="11" t="n"/>
      <c r="G96" s="8" t="n"/>
      <c r="H96" s="8" t="n"/>
      <c r="I96" s="2" t="n"/>
      <c r="J96" s="2" t="n"/>
      <c r="K96" s="2" t="n"/>
    </row>
    <row r="97">
      <c r="A97" s="2" t="n"/>
      <c r="B97" s="2" t="n"/>
      <c r="C97" s="2" t="n"/>
      <c r="D97" s="2" t="n"/>
      <c r="E97" s="11" t="n"/>
      <c r="F97" s="11" t="n"/>
      <c r="G97" s="8" t="n"/>
      <c r="H97" s="8" t="n"/>
      <c r="I97" s="2" t="n"/>
      <c r="J97" s="2" t="n"/>
      <c r="K97" s="2" t="n"/>
    </row>
    <row r="98">
      <c r="A98" s="2" t="n"/>
      <c r="B98" s="2" t="n"/>
      <c r="C98" s="2" t="n"/>
      <c r="D98" s="2" t="n"/>
      <c r="E98" s="11" t="n"/>
      <c r="F98" s="11" t="n"/>
      <c r="G98" s="8" t="n"/>
      <c r="H98" s="8" t="n"/>
      <c r="I98" s="2" t="n"/>
      <c r="J98" s="2" t="n"/>
      <c r="K98" s="2" t="n"/>
    </row>
    <row r="99">
      <c r="A99" s="2" t="n"/>
      <c r="B99" s="2" t="n"/>
      <c r="C99" s="2" t="n"/>
      <c r="D99" s="2" t="n"/>
      <c r="E99" s="11" t="n"/>
      <c r="F99" s="11" t="n"/>
      <c r="G99" s="8" t="n"/>
      <c r="H99" s="8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11" t="n"/>
      <c r="F100" s="11" t="n"/>
      <c r="G100" s="8" t="n"/>
      <c r="H100" s="8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11" t="n"/>
      <c r="F101" s="11" t="n"/>
      <c r="G101" s="8" t="n"/>
      <c r="H101" s="8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11" t="n"/>
      <c r="F102" s="11" t="n"/>
      <c r="G102" s="8" t="n"/>
      <c r="H102" s="8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11" t="n"/>
      <c r="F103" s="11" t="n"/>
      <c r="G103" s="8" t="n"/>
      <c r="H103" s="8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11" t="n"/>
      <c r="F104" s="11" t="n"/>
      <c r="G104" s="8" t="n"/>
      <c r="H104" s="8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11" t="n"/>
      <c r="F105" s="11" t="n"/>
      <c r="G105" s="8" t="n"/>
      <c r="H105" s="8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11" t="n"/>
      <c r="F106" s="11" t="n"/>
      <c r="G106" s="8" t="n"/>
      <c r="H106" s="8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11" t="n"/>
      <c r="F107" s="11" t="n"/>
      <c r="G107" s="8" t="n"/>
      <c r="H107" s="8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11" t="n"/>
      <c r="F108" s="11" t="n"/>
      <c r="G108" s="8" t="n"/>
      <c r="H108" s="8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11" t="n"/>
      <c r="F109" s="11" t="n"/>
      <c r="G109" s="8" t="n"/>
      <c r="H109" s="8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11" t="n"/>
      <c r="F110" s="11" t="n"/>
      <c r="G110" s="8" t="n"/>
      <c r="H110" s="8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11" t="n"/>
      <c r="F111" s="11" t="n"/>
      <c r="G111" s="8" t="n"/>
      <c r="H111" s="8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11" t="n"/>
      <c r="F112" s="11" t="n"/>
      <c r="G112" s="8" t="n"/>
      <c r="H112" s="8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11" t="n"/>
      <c r="F113" s="11" t="n"/>
      <c r="G113" s="8" t="n"/>
      <c r="H113" s="8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11" t="n"/>
      <c r="F114" s="11" t="n"/>
      <c r="G114" s="8" t="n"/>
      <c r="H114" s="8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11" t="n"/>
      <c r="F115" s="11" t="n"/>
      <c r="G115" s="8" t="n"/>
      <c r="H115" s="8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11" t="n"/>
      <c r="F116" s="11" t="n"/>
      <c r="G116" s="8" t="n"/>
      <c r="H116" s="8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11" t="n"/>
      <c r="F117" s="11" t="n"/>
      <c r="G117" s="8" t="n"/>
      <c r="H117" s="8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11" t="n"/>
      <c r="F118" s="11" t="n"/>
      <c r="G118" s="8" t="n"/>
      <c r="H118" s="8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11" t="n"/>
      <c r="F119" s="11" t="n"/>
      <c r="G119" s="8" t="n"/>
      <c r="H119" s="8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11" t="n"/>
      <c r="F120" s="11" t="n"/>
      <c r="G120" s="8" t="n"/>
      <c r="H120" s="8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11" t="n"/>
      <c r="F121" s="11" t="n"/>
      <c r="G121" s="8" t="n"/>
      <c r="H121" s="8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11" t="n"/>
      <c r="F122" s="11" t="n"/>
      <c r="G122" s="8" t="n"/>
      <c r="H122" s="8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11" t="n"/>
      <c r="F123" s="11" t="n"/>
      <c r="G123" s="8" t="n"/>
      <c r="H123" s="8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11" t="n"/>
      <c r="F124" s="11" t="n"/>
      <c r="G124" s="8" t="n"/>
      <c r="H124" s="8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11" t="n"/>
      <c r="F125" s="11" t="n"/>
      <c r="G125" s="8" t="n"/>
      <c r="H125" s="8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11" t="n"/>
      <c r="F126" s="11" t="n"/>
      <c r="G126" s="8" t="n"/>
      <c r="H126" s="8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11" t="n"/>
      <c r="F127" s="11" t="n"/>
      <c r="G127" s="8" t="n"/>
      <c r="H127" s="8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11" t="n"/>
      <c r="F128" s="11" t="n"/>
      <c r="G128" s="8" t="n"/>
      <c r="H128" s="8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11" t="n"/>
      <c r="F129" s="11" t="n"/>
      <c r="G129" s="8" t="n"/>
      <c r="H129" s="8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11" t="n"/>
      <c r="F130" s="11" t="n"/>
      <c r="G130" s="8" t="n"/>
      <c r="H130" s="8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11" t="n"/>
      <c r="F131" s="11" t="n"/>
      <c r="G131" s="8" t="n"/>
      <c r="H131" s="8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11" t="n"/>
      <c r="F132" s="11" t="n"/>
      <c r="G132" s="8" t="n"/>
      <c r="H132" s="8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11" t="n"/>
      <c r="F133" s="11" t="n"/>
      <c r="G133" s="8" t="n"/>
      <c r="H133" s="8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11" t="n"/>
      <c r="F134" s="11" t="n"/>
      <c r="G134" s="8" t="n"/>
      <c r="H134" s="8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11" t="n"/>
      <c r="F135" s="11" t="n"/>
      <c r="G135" s="8" t="n"/>
      <c r="H135" s="8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11" t="n"/>
      <c r="F136" s="11" t="n"/>
      <c r="G136" s="8" t="n"/>
      <c r="H136" s="8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11" t="n"/>
      <c r="F137" s="11" t="n"/>
      <c r="G137" s="8" t="n"/>
      <c r="H137" s="8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11" t="n"/>
      <c r="F138" s="11" t="n"/>
      <c r="G138" s="8" t="n"/>
      <c r="H138" s="8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11" t="n"/>
      <c r="F139" s="11" t="n"/>
      <c r="G139" s="8" t="n"/>
      <c r="H139" s="8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11" t="n"/>
      <c r="F140" s="11" t="n"/>
      <c r="G140" s="8" t="n"/>
      <c r="H140" s="8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11" t="n"/>
      <c r="F141" s="11" t="n"/>
      <c r="G141" s="8" t="n"/>
      <c r="H141" s="8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11" t="n"/>
      <c r="F142" s="11" t="n"/>
      <c r="G142" s="8" t="n"/>
      <c r="H142" s="8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11" t="n"/>
      <c r="F143" s="11" t="n"/>
      <c r="G143" s="8" t="n"/>
      <c r="H143" s="8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11" t="n"/>
      <c r="F144" s="11" t="n"/>
      <c r="G144" s="8" t="n"/>
      <c r="H144" s="8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11" t="n"/>
      <c r="F145" s="11" t="n"/>
      <c r="G145" s="8" t="n"/>
      <c r="H145" s="8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11" t="n"/>
      <c r="F146" s="11" t="n"/>
      <c r="G146" s="8" t="n"/>
      <c r="H146" s="8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11" t="n"/>
      <c r="F147" s="11" t="n"/>
      <c r="G147" s="8" t="n"/>
      <c r="H147" s="8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11" t="n"/>
      <c r="F148" s="11" t="n"/>
      <c r="G148" s="8" t="n"/>
      <c r="H148" s="8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11" t="n"/>
      <c r="F149" s="11" t="n"/>
      <c r="G149" s="8" t="n"/>
      <c r="H149" s="8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11" t="n"/>
      <c r="F150" s="11" t="n"/>
      <c r="G150" s="8" t="n"/>
      <c r="H150" s="8" t="n"/>
      <c r="I150" s="2" t="n"/>
      <c r="J150" s="2" t="n"/>
      <c r="K150" s="2" t="n"/>
    </row>
  </sheetData>
  <dataValidations count="3">
    <dataValidation sqref="C2:C1000" showDropDown="0" showInputMessage="0" showErrorMessage="0" allowBlank="1" error="Используйте значение из выпадающего списка" prompt="Выберите значение из списка" type="list">
      <formula1>='DICTIONARIES'!$E$2:$E$5</formula1>
    </dataValidation>
    <dataValidation sqref="I2:I1000" showDropDown="0" showInputMessage="0" showErrorMessage="0" allowBlank="1" error="Используйте значение из выпадающего списка" prompt="Выберите значение из списка" type="list">
      <formula1>='DICTIONARIES'!$G$2:$G$3</formula1>
    </dataValidation>
    <dataValidation sqref="J2:J1000" showDropDown="0" showInputMessage="0" showErrorMessage="0" allowBlank="1" error="Используйте значение из выпадающего списка" prompt="Выберите значение из списка" type="list">
      <formula1>='DICTIONARIES'!$G$2:$G$3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0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28" customWidth="1" min="4" max="4"/>
    <col width="28" customWidth="1" min="5" max="5"/>
    <col width="22" customWidth="1" min="6" max="6"/>
    <col width="14" customWidth="1" min="7" max="7"/>
    <col width="10" customWidth="1" min="8" max="8"/>
    <col width="10" customWidth="1" min="9" max="9"/>
    <col width="10" customWidth="1" min="10" max="10"/>
    <col width="18" customWidth="1" min="11" max="11"/>
    <col width="26" customWidth="1" min="12" max="12"/>
    <col width="10" customWidth="1" min="13" max="13"/>
    <col width="30" customWidth="1" min="14" max="14"/>
    <col width="28" customWidth="1" min="15" max="15"/>
    <col width="16" customWidth="1" min="16" max="16"/>
    <col width="40" customWidth="1" min="17" max="17"/>
    <col width="14" customWidth="1" min="18" max="18"/>
  </cols>
  <sheetData>
    <row r="1">
      <c r="A1" s="4" t="inlineStr">
        <is>
          <t>MaterialID</t>
        </is>
      </c>
      <c r="B1" s="4" t="inlineStr">
        <is>
          <t>MaterialFamily</t>
        </is>
      </c>
      <c r="C1" s="4" t="inlineStr">
        <is>
          <t>CanonicalMaterial</t>
        </is>
      </c>
      <c r="D1" s="4" t="inlineStr">
        <is>
          <t>CommercialBaseName</t>
        </is>
      </c>
      <c r="E1" s="4" t="inlineStr">
        <is>
          <t>Section</t>
        </is>
      </c>
      <c r="F1" s="4" t="inlineStr">
        <is>
          <t>Subsection</t>
        </is>
      </c>
      <c r="G1" s="4" t="inlineStr">
        <is>
          <t>PositionType</t>
        </is>
      </c>
      <c r="H1" s="4" t="inlineStr">
        <is>
          <t>BaseUnit</t>
        </is>
      </c>
      <c r="I1" s="4" t="inlineStr">
        <is>
          <t>LengthMM</t>
        </is>
      </c>
      <c r="J1" s="4" t="inlineStr">
        <is>
          <t>WidthMM</t>
        </is>
      </c>
      <c r="K1" s="4" t="inlineStr">
        <is>
          <t>MaterialType</t>
        </is>
      </c>
      <c r="L1" s="4" t="inlineStr">
        <is>
          <t>DefaultClientDisplayMode</t>
        </is>
      </c>
      <c r="M1" s="4" t="inlineStr">
        <is>
          <t>IsActive</t>
        </is>
      </c>
      <c r="N1" s="4" t="inlineStr">
        <is>
          <t>Notes</t>
        </is>
      </c>
      <c r="O1" s="4" t="inlineStr">
        <is>
          <t>AllowanceGroup</t>
        </is>
      </c>
      <c r="P1" s="4" t="inlineStr">
        <is>
          <t>BaseReserveCoeff</t>
        </is>
      </c>
      <c r="Q1" s="4" t="inlineStr">
        <is>
          <t>AllowanceCalcMode</t>
        </is>
      </c>
      <c r="R1" s="4" t="inlineStr">
        <is>
          <t>TariffSensitive</t>
        </is>
      </c>
    </row>
    <row r="2">
      <c r="A2" s="6" t="inlineStr">
        <is>
          <t>MAT-0001</t>
        </is>
      </c>
      <c r="B2" s="6" t="inlineStr">
        <is>
          <t>Брусчатка бетонная</t>
        </is>
      </c>
      <c r="C2" s="6" t="inlineStr">
        <is>
          <t>Брусчатка бетонная 200x100</t>
        </is>
      </c>
      <c r="D2" s="6" t="inlineStr">
        <is>
          <t>Брусчатка бетонная</t>
        </is>
      </c>
      <c r="E2" s="6" t="inlineStr">
        <is>
          <t>Мощение</t>
        </is>
      </c>
      <c r="F2" s="6" t="inlineStr">
        <is>
          <t>Покрытие</t>
        </is>
      </c>
      <c r="G2" s="6" t="inlineStr">
        <is>
          <t>Материал</t>
        </is>
      </c>
      <c r="H2" s="6" t="inlineStr">
        <is>
          <t>м2</t>
        </is>
      </c>
      <c r="I2" s="12" t="n">
        <v>200</v>
      </c>
      <c r="J2" s="12" t="n">
        <v>100</v>
      </c>
      <c r="K2" s="6" t="inlineStr">
        <is>
          <t>Покрытие</t>
        </is>
      </c>
      <c r="L2" s="6" t="inlineStr">
        <is>
          <t>Показать строкой</t>
        </is>
      </c>
      <c r="M2" s="6" t="inlineStr">
        <is>
          <t>Да</t>
        </is>
      </c>
      <c r="N2" s="6" t="inlineStr">
        <is>
          <t>Одна сущность, а толщина/цвет/фаска идут в варианты</t>
        </is>
      </c>
      <c r="O2" s="6" t="inlineStr">
        <is>
          <t>Штучное покрытие</t>
        </is>
      </c>
      <c r="P2" s="22" t="n">
        <v>1.05</v>
      </c>
      <c r="Q2" s="6" t="inlineStr">
        <is>
          <t>NetQty x BaseReserveCoeff x SiteReserveCoeff</t>
        </is>
      </c>
      <c r="R2" s="6" t="inlineStr">
        <is>
          <t>Да</t>
        </is>
      </c>
    </row>
    <row r="3">
      <c r="A3" s="6" t="inlineStr">
        <is>
          <t>MAT-0002</t>
        </is>
      </c>
      <c r="B3" s="6" t="inlineStr">
        <is>
          <t>Бордюр бетонный</t>
        </is>
      </c>
      <c r="C3" s="6" t="inlineStr">
        <is>
          <t>Бордюр бетонный 1000x200x80</t>
        </is>
      </c>
      <c r="D3" s="6" t="inlineStr">
        <is>
          <t>Бордюр бетонный</t>
        </is>
      </c>
      <c r="E3" s="6" t="inlineStr">
        <is>
          <t>Мощение</t>
        </is>
      </c>
      <c r="F3" s="6" t="inlineStr">
        <is>
          <t>Бордюры</t>
        </is>
      </c>
      <c r="G3" s="6" t="inlineStr">
        <is>
          <t>Материал</t>
        </is>
      </c>
      <c r="H3" s="6" t="inlineStr">
        <is>
          <t>шт</t>
        </is>
      </c>
      <c r="I3" s="12" t="n">
        <v>1000</v>
      </c>
      <c r="J3" s="12" t="n">
        <v>200</v>
      </c>
      <c r="K3" s="6" t="inlineStr">
        <is>
          <t>Бортовой элемент</t>
        </is>
      </c>
      <c r="L3" s="6" t="inlineStr">
        <is>
          <t>Показать строкой</t>
        </is>
      </c>
      <c r="M3" s="6" t="inlineStr">
        <is>
          <t>Да</t>
        </is>
      </c>
      <c r="N3" s="6" t="inlineStr">
        <is>
          <t>Размеры можно хранить по бизнес-логике</t>
        </is>
      </c>
      <c r="O3" s="6" t="inlineStr">
        <is>
          <t>Линейный / штучный без существенной подрезки</t>
        </is>
      </c>
      <c r="P3" s="22" t="n">
        <v>1.02</v>
      </c>
      <c r="Q3" s="6" t="inlineStr">
        <is>
          <t>NetQty x BaseReserveCoeff</t>
        </is>
      </c>
      <c r="R3" s="6" t="inlineStr">
        <is>
          <t>Да</t>
        </is>
      </c>
    </row>
    <row r="4">
      <c r="A4" s="2" t="inlineStr">
        <is>
          <t>MAT-0003</t>
        </is>
      </c>
      <c r="B4" s="2" t="inlineStr">
        <is>
          <t>Геотекстиль</t>
        </is>
      </c>
      <c r="C4" s="2" t="inlineStr">
        <is>
          <t>Геотекстиль 200 г/м2</t>
        </is>
      </c>
      <c r="D4" s="2" t="inlineStr">
        <is>
          <t>Геотекстиль</t>
        </is>
      </c>
      <c r="E4" s="2" t="inlineStr">
        <is>
          <t>Дренаж</t>
        </is>
      </c>
      <c r="F4" s="2" t="inlineStr">
        <is>
          <t>Разделительный слой</t>
        </is>
      </c>
      <c r="G4" s="2" t="inlineStr">
        <is>
          <t>Материал</t>
        </is>
      </c>
      <c r="H4" s="2" t="inlineStr">
        <is>
          <t>м2</t>
        </is>
      </c>
      <c r="I4" s="13" t="n"/>
      <c r="J4" s="13" t="n"/>
      <c r="K4" s="2" t="inlineStr">
        <is>
          <t>Сетка / текстиль</t>
        </is>
      </c>
      <c r="L4" s="2" t="inlineStr">
        <is>
          <t>Свернуть в раздел</t>
        </is>
      </c>
      <c r="M4" s="2" t="inlineStr">
        <is>
          <t>Да</t>
        </is>
      </c>
      <c r="N4" s="2" t="inlineStr">
        <is>
          <t>Базовый пример рулонного материала с нахлестом и подрезкой</t>
        </is>
      </c>
      <c r="O4" s="6" t="inlineStr">
        <is>
          <t>Рулонный текстиль</t>
        </is>
      </c>
      <c r="P4" s="22" t="n">
        <v>1.133</v>
      </c>
      <c r="Q4" s="6" t="inlineStr">
        <is>
          <t>NetQty x BaseReserveCoeff x SiteReserveCoeff</t>
        </is>
      </c>
      <c r="R4" s="6" t="inlineStr">
        <is>
          <t>Да</t>
        </is>
      </c>
    </row>
    <row r="5">
      <c r="A5" s="2" t="inlineStr">
        <is>
          <t>MAT-0004</t>
        </is>
      </c>
      <c r="B5" s="2" t="inlineStr">
        <is>
          <t>Газон рулонный</t>
        </is>
      </c>
      <c r="C5" s="2" t="inlineStr">
        <is>
          <t>Газон рулонный стандарт</t>
        </is>
      </c>
      <c r="D5" s="2" t="inlineStr">
        <is>
          <t>Газон рулонный</t>
        </is>
      </c>
      <c r="E5" s="2" t="inlineStr">
        <is>
          <t>Газон</t>
        </is>
      </c>
      <c r="F5" s="2" t="inlineStr">
        <is>
          <t>Покрытие</t>
        </is>
      </c>
      <c r="G5" s="2" t="inlineStr">
        <is>
          <t>Материал</t>
        </is>
      </c>
      <c r="H5" s="2" t="inlineStr">
        <is>
          <t>м2</t>
        </is>
      </c>
      <c r="I5" s="13" t="n"/>
      <c r="J5" s="13" t="n"/>
      <c r="K5" s="2" t="inlineStr">
        <is>
          <t>Рулонный газон</t>
        </is>
      </c>
      <c r="L5" s="2" t="inlineStr">
        <is>
          <t>Показать строкой</t>
        </is>
      </c>
      <c r="M5" s="2" t="inlineStr">
        <is>
          <t>Да</t>
        </is>
      </c>
      <c r="N5" s="2" t="inlineStr">
        <is>
          <t>Запас нужен на подрезку и подгонку по геометрии</t>
        </is>
      </c>
      <c r="O5" s="6" t="inlineStr">
        <is>
          <t>Рулонный газон / турф</t>
        </is>
      </c>
      <c r="P5" s="22" t="n">
        <v>1.05</v>
      </c>
      <c r="Q5" s="6" t="inlineStr">
        <is>
          <t>NetQty x BaseReserveCoeff x SiteReserveCoeff</t>
        </is>
      </c>
      <c r="R5" s="6" t="inlineStr">
        <is>
          <t>Да</t>
        </is>
      </c>
    </row>
    <row r="6">
      <c r="A6" s="2" t="inlineStr">
        <is>
          <t>MAT-0005</t>
        </is>
      </c>
      <c r="B6" s="2" t="inlineStr">
        <is>
          <t>Пленка / мембрана</t>
        </is>
      </c>
      <c r="C6" s="2" t="inlineStr">
        <is>
          <t>Пленка / мембрана защитная</t>
        </is>
      </c>
      <c r="D6" s="2" t="inlineStr">
        <is>
          <t>Пленка / мембрана</t>
        </is>
      </c>
      <c r="E6" s="2" t="inlineStr">
        <is>
          <t>Дренаж</t>
        </is>
      </c>
      <c r="F6" s="2" t="inlineStr">
        <is>
          <t>Изоляция</t>
        </is>
      </c>
      <c r="G6" s="2" t="inlineStr">
        <is>
          <t>Материал</t>
        </is>
      </c>
      <c r="H6" s="2" t="inlineStr">
        <is>
          <t>м2</t>
        </is>
      </c>
      <c r="I6" s="13" t="n"/>
      <c r="J6" s="13" t="n"/>
      <c r="K6" s="2" t="inlineStr">
        <is>
          <t>Пленка / мембрана</t>
        </is>
      </c>
      <c r="L6" s="2" t="inlineStr">
        <is>
          <t>Свернуть в раздел</t>
        </is>
      </c>
      <c r="M6" s="2" t="inlineStr">
        <is>
          <t>Да</t>
        </is>
      </c>
      <c r="N6" s="2" t="inlineStr">
        <is>
          <t>Обычно есть нахлест и подрезка</t>
        </is>
      </c>
      <c r="O6" s="6" t="inlineStr">
        <is>
          <t>Пленка / мембрана</t>
        </is>
      </c>
      <c r="P6" s="22" t="n">
        <v>1.154</v>
      </c>
      <c r="Q6" s="6" t="inlineStr">
        <is>
          <t>NetQty x BaseReserveCoeff x SiteReserveCoeff</t>
        </is>
      </c>
      <c r="R6" s="6" t="inlineStr">
        <is>
          <t>Да</t>
        </is>
      </c>
    </row>
    <row r="7">
      <c r="A7" s="2" t="inlineStr">
        <is>
          <t>MAT-0006</t>
        </is>
      </c>
      <c r="B7" s="2" t="inlineStr">
        <is>
          <t>Террасная доска</t>
        </is>
      </c>
      <c r="C7" s="2" t="inlineStr">
        <is>
          <t>Террасная доска стандарт</t>
        </is>
      </c>
      <c r="D7" s="2" t="inlineStr">
        <is>
          <t>Террасная доска</t>
        </is>
      </c>
      <c r="E7" s="2" t="inlineStr">
        <is>
          <t>Мощение</t>
        </is>
      </c>
      <c r="F7" s="2" t="inlineStr">
        <is>
          <t>Деревянные покрытия</t>
        </is>
      </c>
      <c r="G7" s="2" t="inlineStr">
        <is>
          <t>Материал</t>
        </is>
      </c>
      <c r="H7" s="2" t="inlineStr">
        <is>
          <t>м2</t>
        </is>
      </c>
      <c r="I7" s="13" t="n"/>
      <c r="J7" s="13" t="n"/>
      <c r="K7" s="2" t="inlineStr">
        <is>
          <t>Погонаж / доска</t>
        </is>
      </c>
      <c r="L7" s="2" t="inlineStr">
        <is>
          <t>Показать строкой</t>
        </is>
      </c>
      <c r="M7" s="2" t="inlineStr">
        <is>
          <t>Да</t>
        </is>
      </c>
      <c r="N7" s="2" t="inlineStr">
        <is>
          <t>Нужен запас на торцовку и раскрой</t>
        </is>
      </c>
      <c r="O7" s="6" t="inlineStr">
        <is>
          <t>Погонаж / доска</t>
        </is>
      </c>
      <c r="P7" s="22" t="n">
        <v>1.1</v>
      </c>
      <c r="Q7" s="6" t="inlineStr">
        <is>
          <t>NetQty x BaseReserveCoeff x SiteReserveCoeff</t>
        </is>
      </c>
      <c r="R7" s="6" t="inlineStr">
        <is>
          <t>Да</t>
        </is>
      </c>
    </row>
    <row r="8">
      <c r="A8" s="2" t="inlineStr">
        <is>
          <t>MAT-0007</t>
        </is>
      </c>
      <c r="B8" s="2" t="inlineStr">
        <is>
          <t>Щебень фр. 20-40</t>
        </is>
      </c>
      <c r="C8" s="2" t="inlineStr">
        <is>
          <t>Щебень фр. 20-40</t>
        </is>
      </c>
      <c r="D8" s="2" t="inlineStr">
        <is>
          <t>Щебень</t>
        </is>
      </c>
      <c r="E8" s="2" t="inlineStr">
        <is>
          <t>Мощение</t>
        </is>
      </c>
      <c r="F8" s="2" t="inlineStr">
        <is>
          <t>Основание</t>
        </is>
      </c>
      <c r="G8" s="2" t="inlineStr">
        <is>
          <t>Материал</t>
        </is>
      </c>
      <c r="H8" s="2" t="inlineStr">
        <is>
          <t>м3</t>
        </is>
      </c>
      <c r="I8" s="13" t="n"/>
      <c r="J8" s="13" t="n"/>
      <c r="K8" s="2" t="inlineStr">
        <is>
          <t>Сыпучий материал</t>
        </is>
      </c>
      <c r="L8" s="2" t="inlineStr">
        <is>
          <t>Свернуть в раздел</t>
        </is>
      </c>
      <c r="M8" s="2" t="inlineStr">
        <is>
          <t>Да</t>
        </is>
      </c>
      <c r="N8" s="2" t="inlineStr">
        <is>
          <t>От проектного уплотненного объема к закупке через коэффициент</t>
        </is>
      </c>
      <c r="O8" s="6" t="inlineStr">
        <is>
          <t>Сыпучие с уплотнением</t>
        </is>
      </c>
      <c r="P8" s="22" t="n">
        <v>1.18</v>
      </c>
      <c r="Q8" s="6" t="inlineStr">
        <is>
          <t>DesignCompactedVolume x BaseReserveCoeff x SiteReserveCoeff</t>
        </is>
      </c>
      <c r="R8" s="6" t="inlineStr">
        <is>
          <t>Да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13" t="n"/>
      <c r="J9" s="13" t="n"/>
      <c r="K9" s="2" t="n"/>
      <c r="L9" s="2" t="n"/>
      <c r="M9" s="2" t="n"/>
      <c r="N9" s="2" t="n"/>
      <c r="O9" s="6" t="n"/>
      <c r="P9" s="22" t="n"/>
      <c r="Q9" s="6" t="n"/>
      <c r="R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13" t="n"/>
      <c r="J10" s="13" t="n"/>
      <c r="K10" s="2" t="n"/>
      <c r="L10" s="2" t="n"/>
      <c r="M10" s="2" t="n"/>
      <c r="N10" s="2" t="n"/>
      <c r="O10" s="6" t="n"/>
      <c r="P10" s="22" t="n"/>
      <c r="Q10" s="6" t="n"/>
      <c r="R10" s="6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13" t="n"/>
      <c r="J11" s="13" t="n"/>
      <c r="K11" s="2" t="n"/>
      <c r="L11" s="2" t="n"/>
      <c r="M11" s="2" t="n"/>
      <c r="N11" s="2" t="n"/>
      <c r="O11" s="6" t="n"/>
      <c r="P11" s="22" t="n"/>
      <c r="Q11" s="6" t="n"/>
      <c r="R11" s="6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13" t="n"/>
      <c r="J12" s="13" t="n"/>
      <c r="K12" s="2" t="n"/>
      <c r="L12" s="2" t="n"/>
      <c r="M12" s="2" t="n"/>
      <c r="N12" s="2" t="n"/>
      <c r="O12" s="6" t="n"/>
      <c r="P12" s="22" t="n"/>
      <c r="Q12" s="6" t="n"/>
      <c r="R12" s="6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13" t="n"/>
      <c r="J13" s="13" t="n"/>
      <c r="K13" s="2" t="n"/>
      <c r="L13" s="2" t="n"/>
      <c r="M13" s="2" t="n"/>
      <c r="N13" s="2" t="n"/>
      <c r="O13" s="6" t="n"/>
      <c r="P13" s="22" t="n"/>
      <c r="Q13" s="6" t="n"/>
      <c r="R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13" t="n"/>
      <c r="J14" s="13" t="n"/>
      <c r="K14" s="2" t="n"/>
      <c r="L14" s="2" t="n"/>
      <c r="M14" s="2" t="n"/>
      <c r="N14" s="2" t="n"/>
      <c r="O14" s="6" t="n"/>
      <c r="P14" s="22" t="n"/>
      <c r="Q14" s="6" t="n"/>
      <c r="R14" s="6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13" t="n"/>
      <c r="J15" s="13" t="n"/>
      <c r="K15" s="2" t="n"/>
      <c r="L15" s="2" t="n"/>
      <c r="M15" s="2" t="n"/>
      <c r="N15" s="2" t="n"/>
      <c r="O15" s="6" t="n"/>
      <c r="P15" s="22" t="n"/>
      <c r="Q15" s="6" t="n"/>
      <c r="R15" s="6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13" t="n"/>
      <c r="J16" s="13" t="n"/>
      <c r="K16" s="2" t="n"/>
      <c r="L16" s="2" t="n"/>
      <c r="M16" s="2" t="n"/>
      <c r="N16" s="2" t="n"/>
      <c r="O16" s="6" t="n"/>
      <c r="P16" s="22" t="n"/>
      <c r="Q16" s="6" t="n"/>
      <c r="R16" s="6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13" t="n"/>
      <c r="J17" s="13" t="n"/>
      <c r="K17" s="2" t="n"/>
      <c r="L17" s="2" t="n"/>
      <c r="M17" s="2" t="n"/>
      <c r="N17" s="2" t="n"/>
      <c r="O17" s="6" t="n"/>
      <c r="P17" s="22" t="n"/>
      <c r="Q17" s="6" t="n"/>
      <c r="R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13" t="n"/>
      <c r="J18" s="13" t="n"/>
      <c r="K18" s="2" t="n"/>
      <c r="L18" s="2" t="n"/>
      <c r="M18" s="2" t="n"/>
      <c r="N18" s="2" t="n"/>
      <c r="O18" s="6" t="n"/>
      <c r="P18" s="22" t="n"/>
      <c r="Q18" s="6" t="n"/>
      <c r="R18" s="6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13" t="n"/>
      <c r="J19" s="13" t="n"/>
      <c r="K19" s="2" t="n"/>
      <c r="L19" s="2" t="n"/>
      <c r="M19" s="2" t="n"/>
      <c r="N19" s="2" t="n"/>
      <c r="O19" s="6" t="n"/>
      <c r="P19" s="22" t="n"/>
      <c r="Q19" s="6" t="n"/>
      <c r="R19" s="6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13" t="n"/>
      <c r="J20" s="13" t="n"/>
      <c r="K20" s="2" t="n"/>
      <c r="L20" s="2" t="n"/>
      <c r="M20" s="2" t="n"/>
      <c r="N20" s="2" t="n"/>
      <c r="O20" s="6" t="n"/>
      <c r="P20" s="22" t="n"/>
      <c r="Q20" s="6" t="n"/>
      <c r="R20" s="6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13" t="n"/>
      <c r="J21" s="13" t="n"/>
      <c r="K21" s="2" t="n"/>
      <c r="L21" s="2" t="n"/>
      <c r="M21" s="2" t="n"/>
      <c r="N21" s="2" t="n"/>
      <c r="O21" s="6" t="n"/>
      <c r="P21" s="22" t="n"/>
      <c r="Q21" s="6" t="n"/>
      <c r="R21" s="6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13" t="n"/>
      <c r="J22" s="13" t="n"/>
      <c r="K22" s="2" t="n"/>
      <c r="L22" s="2" t="n"/>
      <c r="M22" s="2" t="n"/>
      <c r="N22" s="2" t="n"/>
      <c r="O22" s="6" t="n"/>
      <c r="P22" s="22" t="n"/>
      <c r="Q22" s="6" t="n"/>
      <c r="R22" s="6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13" t="n"/>
      <c r="J23" s="13" t="n"/>
      <c r="K23" s="2" t="n"/>
      <c r="L23" s="2" t="n"/>
      <c r="M23" s="2" t="n"/>
      <c r="N23" s="2" t="n"/>
      <c r="O23" s="6" t="n"/>
      <c r="P23" s="22" t="n"/>
      <c r="Q23" s="6" t="n"/>
      <c r="R23" s="6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13" t="n"/>
      <c r="J24" s="13" t="n"/>
      <c r="K24" s="2" t="n"/>
      <c r="L24" s="2" t="n"/>
      <c r="M24" s="2" t="n"/>
      <c r="N24" s="2" t="n"/>
      <c r="O24" s="6" t="n"/>
      <c r="P24" s="22" t="n"/>
      <c r="Q24" s="6" t="n"/>
      <c r="R24" s="6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13" t="n"/>
      <c r="J25" s="13" t="n"/>
      <c r="K25" s="2" t="n"/>
      <c r="L25" s="2" t="n"/>
      <c r="M25" s="2" t="n"/>
      <c r="N25" s="2" t="n"/>
      <c r="O25" s="6" t="n"/>
      <c r="P25" s="22" t="n"/>
      <c r="Q25" s="6" t="n"/>
      <c r="R25" s="6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13" t="n"/>
      <c r="J26" s="13" t="n"/>
      <c r="K26" s="2" t="n"/>
      <c r="L26" s="2" t="n"/>
      <c r="M26" s="2" t="n"/>
      <c r="N26" s="2" t="n"/>
      <c r="O26" s="6" t="n"/>
      <c r="P26" s="22" t="n"/>
      <c r="Q26" s="6" t="n"/>
      <c r="R26" s="6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13" t="n"/>
      <c r="J27" s="13" t="n"/>
      <c r="K27" s="2" t="n"/>
      <c r="L27" s="2" t="n"/>
      <c r="M27" s="2" t="n"/>
      <c r="N27" s="2" t="n"/>
      <c r="O27" s="6" t="n"/>
      <c r="P27" s="22" t="n"/>
      <c r="Q27" s="6" t="n"/>
      <c r="R27" s="6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13" t="n"/>
      <c r="J28" s="13" t="n"/>
      <c r="K28" s="2" t="n"/>
      <c r="L28" s="2" t="n"/>
      <c r="M28" s="2" t="n"/>
      <c r="N28" s="2" t="n"/>
      <c r="O28" s="6" t="n"/>
      <c r="P28" s="22" t="n"/>
      <c r="Q28" s="6" t="n"/>
      <c r="R28" s="6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13" t="n"/>
      <c r="J29" s="13" t="n"/>
      <c r="K29" s="2" t="n"/>
      <c r="L29" s="2" t="n"/>
      <c r="M29" s="2" t="n"/>
      <c r="N29" s="2" t="n"/>
      <c r="O29" s="6" t="n"/>
      <c r="P29" s="22" t="n"/>
      <c r="Q29" s="6" t="n"/>
      <c r="R29" s="6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13" t="n"/>
      <c r="J30" s="13" t="n"/>
      <c r="K30" s="2" t="n"/>
      <c r="L30" s="2" t="n"/>
      <c r="M30" s="2" t="n"/>
      <c r="N30" s="2" t="n"/>
      <c r="O30" s="6" t="n"/>
      <c r="P30" s="22" t="n"/>
      <c r="Q30" s="6" t="n"/>
      <c r="R30" s="6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13" t="n"/>
      <c r="J31" s="13" t="n"/>
      <c r="K31" s="2" t="n"/>
      <c r="L31" s="2" t="n"/>
      <c r="M31" s="2" t="n"/>
      <c r="N31" s="2" t="n"/>
      <c r="O31" s="6" t="n"/>
      <c r="P31" s="22" t="n"/>
      <c r="Q31" s="6" t="n"/>
      <c r="R31" s="6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13" t="n"/>
      <c r="J32" s="13" t="n"/>
      <c r="K32" s="2" t="n"/>
      <c r="L32" s="2" t="n"/>
      <c r="M32" s="2" t="n"/>
      <c r="N32" s="2" t="n"/>
      <c r="O32" s="6" t="n"/>
      <c r="P32" s="22" t="n"/>
      <c r="Q32" s="6" t="n"/>
      <c r="R32" s="6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13" t="n"/>
      <c r="J33" s="13" t="n"/>
      <c r="K33" s="2" t="n"/>
      <c r="L33" s="2" t="n"/>
      <c r="M33" s="2" t="n"/>
      <c r="N33" s="2" t="n"/>
      <c r="O33" s="6" t="n"/>
      <c r="P33" s="22" t="n"/>
      <c r="Q33" s="6" t="n"/>
      <c r="R33" s="6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13" t="n"/>
      <c r="J34" s="13" t="n"/>
      <c r="K34" s="2" t="n"/>
      <c r="L34" s="2" t="n"/>
      <c r="M34" s="2" t="n"/>
      <c r="N34" s="2" t="n"/>
      <c r="O34" s="6" t="n"/>
      <c r="P34" s="22" t="n"/>
      <c r="Q34" s="6" t="n"/>
      <c r="R34" s="6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13" t="n"/>
      <c r="J35" s="13" t="n"/>
      <c r="K35" s="2" t="n"/>
      <c r="L35" s="2" t="n"/>
      <c r="M35" s="2" t="n"/>
      <c r="N35" s="2" t="n"/>
      <c r="O35" s="6" t="n"/>
      <c r="P35" s="22" t="n"/>
      <c r="Q35" s="6" t="n"/>
      <c r="R35" s="6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13" t="n"/>
      <c r="J36" s="13" t="n"/>
      <c r="K36" s="2" t="n"/>
      <c r="L36" s="2" t="n"/>
      <c r="M36" s="2" t="n"/>
      <c r="N36" s="2" t="n"/>
      <c r="O36" s="6" t="n"/>
      <c r="P36" s="22" t="n"/>
      <c r="Q36" s="6" t="n"/>
      <c r="R36" s="6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13" t="n"/>
      <c r="J37" s="13" t="n"/>
      <c r="K37" s="2" t="n"/>
      <c r="L37" s="2" t="n"/>
      <c r="M37" s="2" t="n"/>
      <c r="N37" s="2" t="n"/>
      <c r="O37" s="6" t="n"/>
      <c r="P37" s="22" t="n"/>
      <c r="Q37" s="6" t="n"/>
      <c r="R37" s="6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13" t="n"/>
      <c r="J38" s="13" t="n"/>
      <c r="K38" s="2" t="n"/>
      <c r="L38" s="2" t="n"/>
      <c r="M38" s="2" t="n"/>
      <c r="N38" s="2" t="n"/>
      <c r="O38" s="6" t="n"/>
      <c r="P38" s="22" t="n"/>
      <c r="Q38" s="6" t="n"/>
      <c r="R38" s="6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13" t="n"/>
      <c r="J39" s="13" t="n"/>
      <c r="K39" s="2" t="n"/>
      <c r="L39" s="2" t="n"/>
      <c r="M39" s="2" t="n"/>
      <c r="N39" s="2" t="n"/>
      <c r="O39" s="6" t="n"/>
      <c r="P39" s="22" t="n"/>
      <c r="Q39" s="6" t="n"/>
      <c r="R39" s="6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13" t="n"/>
      <c r="J40" s="13" t="n"/>
      <c r="K40" s="2" t="n"/>
      <c r="L40" s="2" t="n"/>
      <c r="M40" s="2" t="n"/>
      <c r="N40" s="2" t="n"/>
      <c r="O40" s="6" t="n"/>
      <c r="P40" s="22" t="n"/>
      <c r="Q40" s="6" t="n"/>
      <c r="R40" s="6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13" t="n"/>
      <c r="J41" s="13" t="n"/>
      <c r="K41" s="2" t="n"/>
      <c r="L41" s="2" t="n"/>
      <c r="M41" s="2" t="n"/>
      <c r="N41" s="2" t="n"/>
      <c r="O41" s="6" t="n"/>
      <c r="P41" s="22" t="n"/>
      <c r="Q41" s="6" t="n"/>
      <c r="R41" s="6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13" t="n"/>
      <c r="J42" s="13" t="n"/>
      <c r="K42" s="2" t="n"/>
      <c r="L42" s="2" t="n"/>
      <c r="M42" s="2" t="n"/>
      <c r="N42" s="2" t="n"/>
      <c r="O42" s="6" t="n"/>
      <c r="P42" s="22" t="n"/>
      <c r="Q42" s="6" t="n"/>
      <c r="R42" s="6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13" t="n"/>
      <c r="J43" s="13" t="n"/>
      <c r="K43" s="2" t="n"/>
      <c r="L43" s="2" t="n"/>
      <c r="M43" s="2" t="n"/>
      <c r="N43" s="2" t="n"/>
      <c r="O43" s="6" t="n"/>
      <c r="P43" s="22" t="n"/>
      <c r="Q43" s="6" t="n"/>
      <c r="R43" s="6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13" t="n"/>
      <c r="J44" s="13" t="n"/>
      <c r="K44" s="2" t="n"/>
      <c r="L44" s="2" t="n"/>
      <c r="M44" s="2" t="n"/>
      <c r="N44" s="2" t="n"/>
      <c r="O44" s="6" t="n"/>
      <c r="P44" s="22" t="n"/>
      <c r="Q44" s="6" t="n"/>
      <c r="R44" s="6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13" t="n"/>
      <c r="J45" s="13" t="n"/>
      <c r="K45" s="2" t="n"/>
      <c r="L45" s="2" t="n"/>
      <c r="M45" s="2" t="n"/>
      <c r="N45" s="2" t="n"/>
      <c r="O45" s="6" t="n"/>
      <c r="P45" s="22" t="n"/>
      <c r="Q45" s="6" t="n"/>
      <c r="R45" s="6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13" t="n"/>
      <c r="J46" s="13" t="n"/>
      <c r="K46" s="2" t="n"/>
      <c r="L46" s="2" t="n"/>
      <c r="M46" s="2" t="n"/>
      <c r="N46" s="2" t="n"/>
      <c r="O46" s="6" t="n"/>
      <c r="P46" s="22" t="n"/>
      <c r="Q46" s="6" t="n"/>
      <c r="R46" s="6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13" t="n"/>
      <c r="J47" s="13" t="n"/>
      <c r="K47" s="2" t="n"/>
      <c r="L47" s="2" t="n"/>
      <c r="M47" s="2" t="n"/>
      <c r="N47" s="2" t="n"/>
      <c r="O47" s="6" t="n"/>
      <c r="P47" s="22" t="n"/>
      <c r="Q47" s="6" t="n"/>
      <c r="R47" s="6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13" t="n"/>
      <c r="J48" s="13" t="n"/>
      <c r="K48" s="2" t="n"/>
      <c r="L48" s="2" t="n"/>
      <c r="M48" s="2" t="n"/>
      <c r="N48" s="2" t="n"/>
      <c r="O48" s="6" t="n"/>
      <c r="P48" s="22" t="n"/>
      <c r="Q48" s="6" t="n"/>
      <c r="R48" s="6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13" t="n"/>
      <c r="J49" s="13" t="n"/>
      <c r="K49" s="2" t="n"/>
      <c r="L49" s="2" t="n"/>
      <c r="M49" s="2" t="n"/>
      <c r="N49" s="2" t="n"/>
      <c r="O49" s="6" t="n"/>
      <c r="P49" s="22" t="n"/>
      <c r="Q49" s="6" t="n"/>
      <c r="R49" s="6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13" t="n"/>
      <c r="J50" s="13" t="n"/>
      <c r="K50" s="2" t="n"/>
      <c r="L50" s="2" t="n"/>
      <c r="M50" s="2" t="n"/>
      <c r="N50" s="2" t="n"/>
      <c r="O50" s="6" t="n"/>
      <c r="P50" s="22" t="n"/>
      <c r="Q50" s="6" t="n"/>
      <c r="R50" s="6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13" t="n"/>
      <c r="J51" s="13" t="n"/>
      <c r="K51" s="2" t="n"/>
      <c r="L51" s="2" t="n"/>
      <c r="M51" s="2" t="n"/>
      <c r="N51" s="2" t="n"/>
      <c r="O51" s="6" t="n"/>
      <c r="P51" s="22" t="n"/>
      <c r="Q51" s="6" t="n"/>
      <c r="R51" s="6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13" t="n"/>
      <c r="J52" s="13" t="n"/>
      <c r="K52" s="2" t="n"/>
      <c r="L52" s="2" t="n"/>
      <c r="M52" s="2" t="n"/>
      <c r="N52" s="2" t="n"/>
      <c r="O52" s="6" t="n"/>
      <c r="P52" s="22" t="n"/>
      <c r="Q52" s="6" t="n"/>
      <c r="R52" s="6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13" t="n"/>
      <c r="J53" s="13" t="n"/>
      <c r="K53" s="2" t="n"/>
      <c r="L53" s="2" t="n"/>
      <c r="M53" s="2" t="n"/>
      <c r="N53" s="2" t="n"/>
      <c r="O53" s="6" t="n"/>
      <c r="P53" s="22" t="n"/>
      <c r="Q53" s="6" t="n"/>
      <c r="R53" s="6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13" t="n"/>
      <c r="J54" s="13" t="n"/>
      <c r="K54" s="2" t="n"/>
      <c r="L54" s="2" t="n"/>
      <c r="M54" s="2" t="n"/>
      <c r="N54" s="2" t="n"/>
      <c r="O54" s="6" t="n"/>
      <c r="P54" s="22" t="n"/>
      <c r="Q54" s="6" t="n"/>
      <c r="R54" s="6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13" t="n"/>
      <c r="J55" s="13" t="n"/>
      <c r="K55" s="2" t="n"/>
      <c r="L55" s="2" t="n"/>
      <c r="M55" s="2" t="n"/>
      <c r="N55" s="2" t="n"/>
      <c r="O55" s="6" t="n"/>
      <c r="P55" s="22" t="n"/>
      <c r="Q55" s="6" t="n"/>
      <c r="R55" s="6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13" t="n"/>
      <c r="J56" s="13" t="n"/>
      <c r="K56" s="2" t="n"/>
      <c r="L56" s="2" t="n"/>
      <c r="M56" s="2" t="n"/>
      <c r="N56" s="2" t="n"/>
      <c r="O56" s="6" t="n"/>
      <c r="P56" s="22" t="n"/>
      <c r="Q56" s="6" t="n"/>
      <c r="R56" s="6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13" t="n"/>
      <c r="J57" s="13" t="n"/>
      <c r="K57" s="2" t="n"/>
      <c r="L57" s="2" t="n"/>
      <c r="M57" s="2" t="n"/>
      <c r="N57" s="2" t="n"/>
      <c r="O57" s="6" t="n"/>
      <c r="P57" s="22" t="n"/>
      <c r="Q57" s="6" t="n"/>
      <c r="R57" s="6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13" t="n"/>
      <c r="J58" s="13" t="n"/>
      <c r="K58" s="2" t="n"/>
      <c r="L58" s="2" t="n"/>
      <c r="M58" s="2" t="n"/>
      <c r="N58" s="2" t="n"/>
      <c r="O58" s="6" t="n"/>
      <c r="P58" s="22" t="n"/>
      <c r="Q58" s="6" t="n"/>
      <c r="R58" s="6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13" t="n"/>
      <c r="J59" s="13" t="n"/>
      <c r="K59" s="2" t="n"/>
      <c r="L59" s="2" t="n"/>
      <c r="M59" s="2" t="n"/>
      <c r="N59" s="2" t="n"/>
      <c r="O59" s="6" t="n"/>
      <c r="P59" s="22" t="n"/>
      <c r="Q59" s="6" t="n"/>
      <c r="R59" s="6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13" t="n"/>
      <c r="J60" s="13" t="n"/>
      <c r="K60" s="2" t="n"/>
      <c r="L60" s="2" t="n"/>
      <c r="M60" s="2" t="n"/>
      <c r="N60" s="2" t="n"/>
      <c r="O60" s="6" t="n"/>
      <c r="P60" s="22" t="n"/>
      <c r="Q60" s="6" t="n"/>
      <c r="R60" s="6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13" t="n"/>
      <c r="J61" s="13" t="n"/>
      <c r="K61" s="2" t="n"/>
      <c r="L61" s="2" t="n"/>
      <c r="M61" s="2" t="n"/>
      <c r="N61" s="2" t="n"/>
      <c r="O61" s="6" t="n"/>
      <c r="P61" s="22" t="n"/>
      <c r="Q61" s="6" t="n"/>
      <c r="R61" s="6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13" t="n"/>
      <c r="J62" s="13" t="n"/>
      <c r="K62" s="2" t="n"/>
      <c r="L62" s="2" t="n"/>
      <c r="M62" s="2" t="n"/>
      <c r="N62" s="2" t="n"/>
      <c r="O62" s="6" t="n"/>
      <c r="P62" s="22" t="n"/>
      <c r="Q62" s="6" t="n"/>
      <c r="R62" s="6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13" t="n"/>
      <c r="J63" s="13" t="n"/>
      <c r="K63" s="2" t="n"/>
      <c r="L63" s="2" t="n"/>
      <c r="M63" s="2" t="n"/>
      <c r="N63" s="2" t="n"/>
      <c r="O63" s="6" t="n"/>
      <c r="P63" s="22" t="n"/>
      <c r="Q63" s="6" t="n"/>
      <c r="R63" s="6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13" t="n"/>
      <c r="J64" s="13" t="n"/>
      <c r="K64" s="2" t="n"/>
      <c r="L64" s="2" t="n"/>
      <c r="M64" s="2" t="n"/>
      <c r="N64" s="2" t="n"/>
      <c r="O64" s="6" t="n"/>
      <c r="P64" s="22" t="n"/>
      <c r="Q64" s="6" t="n"/>
      <c r="R64" s="6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13" t="n"/>
      <c r="J65" s="13" t="n"/>
      <c r="K65" s="2" t="n"/>
      <c r="L65" s="2" t="n"/>
      <c r="M65" s="2" t="n"/>
      <c r="N65" s="2" t="n"/>
      <c r="O65" s="6" t="n"/>
      <c r="P65" s="22" t="n"/>
      <c r="Q65" s="6" t="n"/>
      <c r="R65" s="6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13" t="n"/>
      <c r="J66" s="13" t="n"/>
      <c r="K66" s="2" t="n"/>
      <c r="L66" s="2" t="n"/>
      <c r="M66" s="2" t="n"/>
      <c r="N66" s="2" t="n"/>
      <c r="O66" s="6" t="n"/>
      <c r="P66" s="22" t="n"/>
      <c r="Q66" s="6" t="n"/>
      <c r="R66" s="6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13" t="n"/>
      <c r="J67" s="13" t="n"/>
      <c r="K67" s="2" t="n"/>
      <c r="L67" s="2" t="n"/>
      <c r="M67" s="2" t="n"/>
      <c r="N67" s="2" t="n"/>
      <c r="O67" s="6" t="n"/>
      <c r="P67" s="22" t="n"/>
      <c r="Q67" s="6" t="n"/>
      <c r="R67" s="6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13" t="n"/>
      <c r="J68" s="13" t="n"/>
      <c r="K68" s="2" t="n"/>
      <c r="L68" s="2" t="n"/>
      <c r="M68" s="2" t="n"/>
      <c r="N68" s="2" t="n"/>
      <c r="O68" s="6" t="n"/>
      <c r="P68" s="22" t="n"/>
      <c r="Q68" s="6" t="n"/>
      <c r="R68" s="6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13" t="n"/>
      <c r="J69" s="13" t="n"/>
      <c r="K69" s="2" t="n"/>
      <c r="L69" s="2" t="n"/>
      <c r="M69" s="2" t="n"/>
      <c r="N69" s="2" t="n"/>
      <c r="O69" s="6" t="n"/>
      <c r="P69" s="22" t="n"/>
      <c r="Q69" s="6" t="n"/>
      <c r="R69" s="6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13" t="n"/>
      <c r="J70" s="13" t="n"/>
      <c r="K70" s="2" t="n"/>
      <c r="L70" s="2" t="n"/>
      <c r="M70" s="2" t="n"/>
      <c r="N70" s="2" t="n"/>
      <c r="O70" s="6" t="n"/>
      <c r="P70" s="22" t="n"/>
      <c r="Q70" s="6" t="n"/>
      <c r="R70" s="6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13" t="n"/>
      <c r="J71" s="13" t="n"/>
      <c r="K71" s="2" t="n"/>
      <c r="L71" s="2" t="n"/>
      <c r="M71" s="2" t="n"/>
      <c r="N71" s="2" t="n"/>
      <c r="O71" s="6" t="n"/>
      <c r="P71" s="22" t="n"/>
      <c r="Q71" s="6" t="n"/>
      <c r="R71" s="6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13" t="n"/>
      <c r="J72" s="13" t="n"/>
      <c r="K72" s="2" t="n"/>
      <c r="L72" s="2" t="n"/>
      <c r="M72" s="2" t="n"/>
      <c r="N72" s="2" t="n"/>
      <c r="O72" s="6" t="n"/>
      <c r="P72" s="22" t="n"/>
      <c r="Q72" s="6" t="n"/>
      <c r="R72" s="6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13" t="n"/>
      <c r="J73" s="13" t="n"/>
      <c r="K73" s="2" t="n"/>
      <c r="L73" s="2" t="n"/>
      <c r="M73" s="2" t="n"/>
      <c r="N73" s="2" t="n"/>
      <c r="O73" s="6" t="n"/>
      <c r="P73" s="22" t="n"/>
      <c r="Q73" s="6" t="n"/>
      <c r="R73" s="6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13" t="n"/>
      <c r="J74" s="13" t="n"/>
      <c r="K74" s="2" t="n"/>
      <c r="L74" s="2" t="n"/>
      <c r="M74" s="2" t="n"/>
      <c r="N74" s="2" t="n"/>
      <c r="O74" s="6" t="n"/>
      <c r="P74" s="22" t="n"/>
      <c r="Q74" s="6" t="n"/>
      <c r="R74" s="6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13" t="n"/>
      <c r="J75" s="13" t="n"/>
      <c r="K75" s="2" t="n"/>
      <c r="L75" s="2" t="n"/>
      <c r="M75" s="2" t="n"/>
      <c r="N75" s="2" t="n"/>
      <c r="O75" s="6" t="n"/>
      <c r="P75" s="22" t="n"/>
      <c r="Q75" s="6" t="n"/>
      <c r="R75" s="6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13" t="n"/>
      <c r="J76" s="13" t="n"/>
      <c r="K76" s="2" t="n"/>
      <c r="L76" s="2" t="n"/>
      <c r="M76" s="2" t="n"/>
      <c r="N76" s="2" t="n"/>
      <c r="O76" s="6" t="n"/>
      <c r="P76" s="22" t="n"/>
      <c r="Q76" s="6" t="n"/>
      <c r="R76" s="6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13" t="n"/>
      <c r="J77" s="13" t="n"/>
      <c r="K77" s="2" t="n"/>
      <c r="L77" s="2" t="n"/>
      <c r="M77" s="2" t="n"/>
      <c r="N77" s="2" t="n"/>
      <c r="O77" s="6" t="n"/>
      <c r="P77" s="22" t="n"/>
      <c r="Q77" s="6" t="n"/>
      <c r="R77" s="6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13" t="n"/>
      <c r="J78" s="13" t="n"/>
      <c r="K78" s="2" t="n"/>
      <c r="L78" s="2" t="n"/>
      <c r="M78" s="2" t="n"/>
      <c r="N78" s="2" t="n"/>
      <c r="O78" s="6" t="n"/>
      <c r="P78" s="22" t="n"/>
      <c r="Q78" s="6" t="n"/>
      <c r="R78" s="6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13" t="n"/>
      <c r="J79" s="13" t="n"/>
      <c r="K79" s="2" t="n"/>
      <c r="L79" s="2" t="n"/>
      <c r="M79" s="2" t="n"/>
      <c r="N79" s="2" t="n"/>
      <c r="O79" s="6" t="n"/>
      <c r="P79" s="22" t="n"/>
      <c r="Q79" s="6" t="n"/>
      <c r="R79" s="6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13" t="n"/>
      <c r="J80" s="13" t="n"/>
      <c r="K80" s="2" t="n"/>
      <c r="L80" s="2" t="n"/>
      <c r="M80" s="2" t="n"/>
      <c r="N80" s="2" t="n"/>
      <c r="O80" s="6" t="n"/>
      <c r="P80" s="22" t="n"/>
      <c r="Q80" s="6" t="n"/>
      <c r="R80" s="6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13" t="n"/>
      <c r="J81" s="13" t="n"/>
      <c r="K81" s="2" t="n"/>
      <c r="L81" s="2" t="n"/>
      <c r="M81" s="2" t="n"/>
      <c r="N81" s="2" t="n"/>
      <c r="O81" s="6" t="n"/>
      <c r="P81" s="22" t="n"/>
      <c r="Q81" s="6" t="n"/>
      <c r="R81" s="6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13" t="n"/>
      <c r="J82" s="13" t="n"/>
      <c r="K82" s="2" t="n"/>
      <c r="L82" s="2" t="n"/>
      <c r="M82" s="2" t="n"/>
      <c r="N82" s="2" t="n"/>
      <c r="O82" s="6" t="n"/>
      <c r="P82" s="22" t="n"/>
      <c r="Q82" s="6" t="n"/>
      <c r="R82" s="6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13" t="n"/>
      <c r="J83" s="13" t="n"/>
      <c r="K83" s="2" t="n"/>
      <c r="L83" s="2" t="n"/>
      <c r="M83" s="2" t="n"/>
      <c r="N83" s="2" t="n"/>
      <c r="O83" s="6" t="n"/>
      <c r="P83" s="22" t="n"/>
      <c r="Q83" s="6" t="n"/>
      <c r="R83" s="6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13" t="n"/>
      <c r="J84" s="13" t="n"/>
      <c r="K84" s="2" t="n"/>
      <c r="L84" s="2" t="n"/>
      <c r="M84" s="2" t="n"/>
      <c r="N84" s="2" t="n"/>
      <c r="O84" s="6" t="n"/>
      <c r="P84" s="22" t="n"/>
      <c r="Q84" s="6" t="n"/>
      <c r="R84" s="6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13" t="n"/>
      <c r="J85" s="13" t="n"/>
      <c r="K85" s="2" t="n"/>
      <c r="L85" s="2" t="n"/>
      <c r="M85" s="2" t="n"/>
      <c r="N85" s="2" t="n"/>
      <c r="O85" s="6" t="n"/>
      <c r="P85" s="22" t="n"/>
      <c r="Q85" s="6" t="n"/>
      <c r="R85" s="6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13" t="n"/>
      <c r="J86" s="13" t="n"/>
      <c r="K86" s="2" t="n"/>
      <c r="L86" s="2" t="n"/>
      <c r="M86" s="2" t="n"/>
      <c r="N86" s="2" t="n"/>
      <c r="O86" s="6" t="n"/>
      <c r="P86" s="22" t="n"/>
      <c r="Q86" s="6" t="n"/>
      <c r="R86" s="6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13" t="n"/>
      <c r="J87" s="13" t="n"/>
      <c r="K87" s="2" t="n"/>
      <c r="L87" s="2" t="n"/>
      <c r="M87" s="2" t="n"/>
      <c r="N87" s="2" t="n"/>
      <c r="O87" s="6" t="n"/>
      <c r="P87" s="22" t="n"/>
      <c r="Q87" s="6" t="n"/>
      <c r="R87" s="6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13" t="n"/>
      <c r="J88" s="13" t="n"/>
      <c r="K88" s="2" t="n"/>
      <c r="L88" s="2" t="n"/>
      <c r="M88" s="2" t="n"/>
      <c r="N88" s="2" t="n"/>
      <c r="O88" s="6" t="n"/>
      <c r="P88" s="22" t="n"/>
      <c r="Q88" s="6" t="n"/>
      <c r="R88" s="6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13" t="n"/>
      <c r="J89" s="13" t="n"/>
      <c r="K89" s="2" t="n"/>
      <c r="L89" s="2" t="n"/>
      <c r="M89" s="2" t="n"/>
      <c r="N89" s="2" t="n"/>
      <c r="O89" s="6" t="n"/>
      <c r="P89" s="22" t="n"/>
      <c r="Q89" s="6" t="n"/>
      <c r="R89" s="6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13" t="n"/>
      <c r="J90" s="13" t="n"/>
      <c r="K90" s="2" t="n"/>
      <c r="L90" s="2" t="n"/>
      <c r="M90" s="2" t="n"/>
      <c r="N90" s="2" t="n"/>
      <c r="O90" s="6" t="n"/>
      <c r="P90" s="22" t="n"/>
      <c r="Q90" s="6" t="n"/>
      <c r="R90" s="6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13" t="n"/>
      <c r="J91" s="13" t="n"/>
      <c r="K91" s="2" t="n"/>
      <c r="L91" s="2" t="n"/>
      <c r="M91" s="2" t="n"/>
      <c r="N91" s="2" t="n"/>
      <c r="O91" s="6" t="n"/>
      <c r="P91" s="22" t="n"/>
      <c r="Q91" s="6" t="n"/>
      <c r="R91" s="6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13" t="n"/>
      <c r="J92" s="13" t="n"/>
      <c r="K92" s="2" t="n"/>
      <c r="L92" s="2" t="n"/>
      <c r="M92" s="2" t="n"/>
      <c r="N92" s="2" t="n"/>
      <c r="O92" s="6" t="n"/>
      <c r="P92" s="22" t="n"/>
      <c r="Q92" s="6" t="n"/>
      <c r="R92" s="6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13" t="n"/>
      <c r="J93" s="13" t="n"/>
      <c r="K93" s="2" t="n"/>
      <c r="L93" s="2" t="n"/>
      <c r="M93" s="2" t="n"/>
      <c r="N93" s="2" t="n"/>
      <c r="O93" s="6" t="n"/>
      <c r="P93" s="22" t="n"/>
      <c r="Q93" s="6" t="n"/>
      <c r="R93" s="6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13" t="n"/>
      <c r="J94" s="13" t="n"/>
      <c r="K94" s="2" t="n"/>
      <c r="L94" s="2" t="n"/>
      <c r="M94" s="2" t="n"/>
      <c r="N94" s="2" t="n"/>
      <c r="O94" s="6" t="n"/>
      <c r="P94" s="22" t="n"/>
      <c r="Q94" s="6" t="n"/>
      <c r="R94" s="6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13" t="n"/>
      <c r="J95" s="13" t="n"/>
      <c r="K95" s="2" t="n"/>
      <c r="L95" s="2" t="n"/>
      <c r="M95" s="2" t="n"/>
      <c r="N95" s="2" t="n"/>
      <c r="O95" s="6" t="n"/>
      <c r="P95" s="22" t="n"/>
      <c r="Q95" s="6" t="n"/>
      <c r="R95" s="6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13" t="n"/>
      <c r="J96" s="13" t="n"/>
      <c r="K96" s="2" t="n"/>
      <c r="L96" s="2" t="n"/>
      <c r="M96" s="2" t="n"/>
      <c r="N96" s="2" t="n"/>
      <c r="O96" s="6" t="n"/>
      <c r="P96" s="22" t="n"/>
      <c r="Q96" s="6" t="n"/>
      <c r="R96" s="6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13" t="n"/>
      <c r="J97" s="13" t="n"/>
      <c r="K97" s="2" t="n"/>
      <c r="L97" s="2" t="n"/>
      <c r="M97" s="2" t="n"/>
      <c r="N97" s="2" t="n"/>
      <c r="O97" s="6" t="n"/>
      <c r="P97" s="22" t="n"/>
      <c r="Q97" s="6" t="n"/>
      <c r="R97" s="6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13" t="n"/>
      <c r="J98" s="13" t="n"/>
      <c r="K98" s="2" t="n"/>
      <c r="L98" s="2" t="n"/>
      <c r="M98" s="2" t="n"/>
      <c r="N98" s="2" t="n"/>
      <c r="O98" s="6" t="n"/>
      <c r="P98" s="22" t="n"/>
      <c r="Q98" s="6" t="n"/>
      <c r="R98" s="6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13" t="n"/>
      <c r="J99" s="13" t="n"/>
      <c r="K99" s="2" t="n"/>
      <c r="L99" s="2" t="n"/>
      <c r="M99" s="2" t="n"/>
      <c r="N99" s="2" t="n"/>
      <c r="O99" s="6" t="n"/>
      <c r="P99" s="22" t="n"/>
      <c r="Q99" s="6" t="n"/>
      <c r="R99" s="6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13" t="n"/>
      <c r="J100" s="13" t="n"/>
      <c r="K100" s="2" t="n"/>
      <c r="L100" s="2" t="n"/>
      <c r="M100" s="2" t="n"/>
      <c r="N100" s="2" t="n"/>
      <c r="O100" s="6" t="n"/>
      <c r="P100" s="22" t="n"/>
      <c r="Q100" s="6" t="n"/>
      <c r="R100" s="6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13" t="n"/>
      <c r="J101" s="13" t="n"/>
      <c r="K101" s="2" t="n"/>
      <c r="L101" s="2" t="n"/>
      <c r="M101" s="2" t="n"/>
      <c r="N101" s="2" t="n"/>
      <c r="O101" s="6" t="n"/>
      <c r="P101" s="22" t="n"/>
      <c r="Q101" s="6" t="n"/>
      <c r="R101" s="6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13" t="n"/>
      <c r="J102" s="13" t="n"/>
      <c r="K102" s="2" t="n"/>
      <c r="L102" s="2" t="n"/>
      <c r="M102" s="2" t="n"/>
      <c r="N102" s="2" t="n"/>
      <c r="O102" s="6" t="n"/>
      <c r="P102" s="22" t="n"/>
      <c r="Q102" s="6" t="n"/>
      <c r="R102" s="6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13" t="n"/>
      <c r="J103" s="13" t="n"/>
      <c r="K103" s="2" t="n"/>
      <c r="L103" s="2" t="n"/>
      <c r="M103" s="2" t="n"/>
      <c r="N103" s="2" t="n"/>
      <c r="O103" s="6" t="n"/>
      <c r="P103" s="22" t="n"/>
      <c r="Q103" s="6" t="n"/>
      <c r="R103" s="6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13" t="n"/>
      <c r="J104" s="13" t="n"/>
      <c r="K104" s="2" t="n"/>
      <c r="L104" s="2" t="n"/>
      <c r="M104" s="2" t="n"/>
      <c r="N104" s="2" t="n"/>
      <c r="O104" s="6" t="n"/>
      <c r="P104" s="22" t="n"/>
      <c r="Q104" s="6" t="n"/>
      <c r="R104" s="6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13" t="n"/>
      <c r="J105" s="13" t="n"/>
      <c r="K105" s="2" t="n"/>
      <c r="L105" s="2" t="n"/>
      <c r="M105" s="2" t="n"/>
      <c r="N105" s="2" t="n"/>
      <c r="O105" s="6" t="n"/>
      <c r="P105" s="22" t="n"/>
      <c r="Q105" s="6" t="n"/>
      <c r="R105" s="6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13" t="n"/>
      <c r="J106" s="13" t="n"/>
      <c r="K106" s="2" t="n"/>
      <c r="L106" s="2" t="n"/>
      <c r="M106" s="2" t="n"/>
      <c r="N106" s="2" t="n"/>
      <c r="O106" s="6" t="n"/>
      <c r="P106" s="22" t="n"/>
      <c r="Q106" s="6" t="n"/>
      <c r="R106" s="6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13" t="n"/>
      <c r="J107" s="13" t="n"/>
      <c r="K107" s="2" t="n"/>
      <c r="L107" s="2" t="n"/>
      <c r="M107" s="2" t="n"/>
      <c r="N107" s="2" t="n"/>
      <c r="O107" s="6" t="n"/>
      <c r="P107" s="22" t="n"/>
      <c r="Q107" s="6" t="n"/>
      <c r="R107" s="6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13" t="n"/>
      <c r="J108" s="13" t="n"/>
      <c r="K108" s="2" t="n"/>
      <c r="L108" s="2" t="n"/>
      <c r="M108" s="2" t="n"/>
      <c r="N108" s="2" t="n"/>
      <c r="O108" s="6" t="n"/>
      <c r="P108" s="22" t="n"/>
      <c r="Q108" s="6" t="n"/>
      <c r="R108" s="6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13" t="n"/>
      <c r="J109" s="13" t="n"/>
      <c r="K109" s="2" t="n"/>
      <c r="L109" s="2" t="n"/>
      <c r="M109" s="2" t="n"/>
      <c r="N109" s="2" t="n"/>
      <c r="O109" s="6" t="n"/>
      <c r="P109" s="22" t="n"/>
      <c r="Q109" s="6" t="n"/>
      <c r="R109" s="6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13" t="n"/>
      <c r="J110" s="13" t="n"/>
      <c r="K110" s="2" t="n"/>
      <c r="L110" s="2" t="n"/>
      <c r="M110" s="2" t="n"/>
      <c r="N110" s="2" t="n"/>
      <c r="O110" s="6" t="n"/>
      <c r="P110" s="22" t="n"/>
      <c r="Q110" s="6" t="n"/>
      <c r="R110" s="6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13" t="n"/>
      <c r="J111" s="13" t="n"/>
      <c r="K111" s="2" t="n"/>
      <c r="L111" s="2" t="n"/>
      <c r="M111" s="2" t="n"/>
      <c r="N111" s="2" t="n"/>
      <c r="O111" s="6" t="n"/>
      <c r="P111" s="22" t="n"/>
      <c r="Q111" s="6" t="n"/>
      <c r="R111" s="6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13" t="n"/>
      <c r="J112" s="13" t="n"/>
      <c r="K112" s="2" t="n"/>
      <c r="L112" s="2" t="n"/>
      <c r="M112" s="2" t="n"/>
      <c r="N112" s="2" t="n"/>
      <c r="O112" s="6" t="n"/>
      <c r="P112" s="22" t="n"/>
      <c r="Q112" s="6" t="n"/>
      <c r="R112" s="6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13" t="n"/>
      <c r="J113" s="13" t="n"/>
      <c r="K113" s="2" t="n"/>
      <c r="L113" s="2" t="n"/>
      <c r="M113" s="2" t="n"/>
      <c r="N113" s="2" t="n"/>
      <c r="O113" s="6" t="n"/>
      <c r="P113" s="22" t="n"/>
      <c r="Q113" s="6" t="n"/>
      <c r="R113" s="6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13" t="n"/>
      <c r="J114" s="13" t="n"/>
      <c r="K114" s="2" t="n"/>
      <c r="L114" s="2" t="n"/>
      <c r="M114" s="2" t="n"/>
      <c r="N114" s="2" t="n"/>
      <c r="O114" s="6" t="n"/>
      <c r="P114" s="22" t="n"/>
      <c r="Q114" s="6" t="n"/>
      <c r="R114" s="6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13" t="n"/>
      <c r="J115" s="13" t="n"/>
      <c r="K115" s="2" t="n"/>
      <c r="L115" s="2" t="n"/>
      <c r="M115" s="2" t="n"/>
      <c r="N115" s="2" t="n"/>
      <c r="O115" s="6" t="n"/>
      <c r="P115" s="22" t="n"/>
      <c r="Q115" s="6" t="n"/>
      <c r="R115" s="6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13" t="n"/>
      <c r="J116" s="13" t="n"/>
      <c r="K116" s="2" t="n"/>
      <c r="L116" s="2" t="n"/>
      <c r="M116" s="2" t="n"/>
      <c r="N116" s="2" t="n"/>
      <c r="O116" s="6" t="n"/>
      <c r="P116" s="22" t="n"/>
      <c r="Q116" s="6" t="n"/>
      <c r="R116" s="6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13" t="n"/>
      <c r="J117" s="13" t="n"/>
      <c r="K117" s="2" t="n"/>
      <c r="L117" s="2" t="n"/>
      <c r="M117" s="2" t="n"/>
      <c r="N117" s="2" t="n"/>
      <c r="O117" s="6" t="n"/>
      <c r="P117" s="22" t="n"/>
      <c r="Q117" s="6" t="n"/>
      <c r="R117" s="6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13" t="n"/>
      <c r="J118" s="13" t="n"/>
      <c r="K118" s="2" t="n"/>
      <c r="L118" s="2" t="n"/>
      <c r="M118" s="2" t="n"/>
      <c r="N118" s="2" t="n"/>
      <c r="O118" s="6" t="n"/>
      <c r="P118" s="22" t="n"/>
      <c r="Q118" s="6" t="n"/>
      <c r="R118" s="6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13" t="n"/>
      <c r="J119" s="13" t="n"/>
      <c r="K119" s="2" t="n"/>
      <c r="L119" s="2" t="n"/>
      <c r="M119" s="2" t="n"/>
      <c r="N119" s="2" t="n"/>
      <c r="O119" s="6" t="n"/>
      <c r="P119" s="22" t="n"/>
      <c r="Q119" s="6" t="n"/>
      <c r="R119" s="6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13" t="n"/>
      <c r="J120" s="13" t="n"/>
      <c r="K120" s="2" t="n"/>
      <c r="L120" s="2" t="n"/>
      <c r="M120" s="2" t="n"/>
      <c r="N120" s="2" t="n"/>
      <c r="O120" s="6" t="n"/>
      <c r="P120" s="22" t="n"/>
      <c r="Q120" s="6" t="n"/>
      <c r="R120" s="6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13" t="n"/>
      <c r="J121" s="13" t="n"/>
      <c r="K121" s="2" t="n"/>
      <c r="L121" s="2" t="n"/>
      <c r="M121" s="2" t="n"/>
      <c r="N121" s="2" t="n"/>
      <c r="O121" s="6" t="n"/>
      <c r="P121" s="22" t="n"/>
      <c r="Q121" s="6" t="n"/>
      <c r="R121" s="6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13" t="n"/>
      <c r="J122" s="13" t="n"/>
      <c r="K122" s="2" t="n"/>
      <c r="L122" s="2" t="n"/>
      <c r="M122" s="2" t="n"/>
      <c r="N122" s="2" t="n"/>
      <c r="O122" s="6" t="n"/>
      <c r="P122" s="22" t="n"/>
      <c r="Q122" s="6" t="n"/>
      <c r="R122" s="6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13" t="n"/>
      <c r="J123" s="13" t="n"/>
      <c r="K123" s="2" t="n"/>
      <c r="L123" s="2" t="n"/>
      <c r="M123" s="2" t="n"/>
      <c r="N123" s="2" t="n"/>
      <c r="O123" s="6" t="n"/>
      <c r="P123" s="22" t="n"/>
      <c r="Q123" s="6" t="n"/>
      <c r="R123" s="6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13" t="n"/>
      <c r="J124" s="13" t="n"/>
      <c r="K124" s="2" t="n"/>
      <c r="L124" s="2" t="n"/>
      <c r="M124" s="2" t="n"/>
      <c r="N124" s="2" t="n"/>
      <c r="O124" s="6" t="n"/>
      <c r="P124" s="22" t="n"/>
      <c r="Q124" s="6" t="n"/>
      <c r="R124" s="6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13" t="n"/>
      <c r="J125" s="13" t="n"/>
      <c r="K125" s="2" t="n"/>
      <c r="L125" s="2" t="n"/>
      <c r="M125" s="2" t="n"/>
      <c r="N125" s="2" t="n"/>
      <c r="O125" s="6" t="n"/>
      <c r="P125" s="22" t="n"/>
      <c r="Q125" s="6" t="n"/>
      <c r="R125" s="6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13" t="n"/>
      <c r="J126" s="13" t="n"/>
      <c r="K126" s="2" t="n"/>
      <c r="L126" s="2" t="n"/>
      <c r="M126" s="2" t="n"/>
      <c r="N126" s="2" t="n"/>
      <c r="O126" s="6" t="n"/>
      <c r="P126" s="22" t="n"/>
      <c r="Q126" s="6" t="n"/>
      <c r="R126" s="6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13" t="n"/>
      <c r="J127" s="13" t="n"/>
      <c r="K127" s="2" t="n"/>
      <c r="L127" s="2" t="n"/>
      <c r="M127" s="2" t="n"/>
      <c r="N127" s="2" t="n"/>
      <c r="O127" s="6" t="n"/>
      <c r="P127" s="22" t="n"/>
      <c r="Q127" s="6" t="n"/>
      <c r="R127" s="6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13" t="n"/>
      <c r="J128" s="13" t="n"/>
      <c r="K128" s="2" t="n"/>
      <c r="L128" s="2" t="n"/>
      <c r="M128" s="2" t="n"/>
      <c r="N128" s="2" t="n"/>
      <c r="O128" s="6" t="n"/>
      <c r="P128" s="22" t="n"/>
      <c r="Q128" s="6" t="n"/>
      <c r="R128" s="6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13" t="n"/>
      <c r="J129" s="13" t="n"/>
      <c r="K129" s="2" t="n"/>
      <c r="L129" s="2" t="n"/>
      <c r="M129" s="2" t="n"/>
      <c r="N129" s="2" t="n"/>
      <c r="O129" s="6" t="n"/>
      <c r="P129" s="22" t="n"/>
      <c r="Q129" s="6" t="n"/>
      <c r="R129" s="6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13" t="n"/>
      <c r="J130" s="13" t="n"/>
      <c r="K130" s="2" t="n"/>
      <c r="L130" s="2" t="n"/>
      <c r="M130" s="2" t="n"/>
      <c r="N130" s="2" t="n"/>
      <c r="O130" s="6" t="n"/>
      <c r="P130" s="22" t="n"/>
      <c r="Q130" s="6" t="n"/>
      <c r="R130" s="6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13" t="n"/>
      <c r="J131" s="13" t="n"/>
      <c r="K131" s="2" t="n"/>
      <c r="L131" s="2" t="n"/>
      <c r="M131" s="2" t="n"/>
      <c r="N131" s="2" t="n"/>
      <c r="O131" s="6" t="n"/>
      <c r="P131" s="22" t="n"/>
      <c r="Q131" s="6" t="n"/>
      <c r="R131" s="6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13" t="n"/>
      <c r="J132" s="13" t="n"/>
      <c r="K132" s="2" t="n"/>
      <c r="L132" s="2" t="n"/>
      <c r="M132" s="2" t="n"/>
      <c r="N132" s="2" t="n"/>
      <c r="O132" s="6" t="n"/>
      <c r="P132" s="22" t="n"/>
      <c r="Q132" s="6" t="n"/>
      <c r="R132" s="6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13" t="n"/>
      <c r="J133" s="13" t="n"/>
      <c r="K133" s="2" t="n"/>
      <c r="L133" s="2" t="n"/>
      <c r="M133" s="2" t="n"/>
      <c r="N133" s="2" t="n"/>
      <c r="O133" s="6" t="n"/>
      <c r="P133" s="22" t="n"/>
      <c r="Q133" s="6" t="n"/>
      <c r="R133" s="6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13" t="n"/>
      <c r="J134" s="13" t="n"/>
      <c r="K134" s="2" t="n"/>
      <c r="L134" s="2" t="n"/>
      <c r="M134" s="2" t="n"/>
      <c r="N134" s="2" t="n"/>
      <c r="O134" s="6" t="n"/>
      <c r="P134" s="22" t="n"/>
      <c r="Q134" s="6" t="n"/>
      <c r="R134" s="6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13" t="n"/>
      <c r="J135" s="13" t="n"/>
      <c r="K135" s="2" t="n"/>
      <c r="L135" s="2" t="n"/>
      <c r="M135" s="2" t="n"/>
      <c r="N135" s="2" t="n"/>
      <c r="O135" s="6" t="n"/>
      <c r="P135" s="22" t="n"/>
      <c r="Q135" s="6" t="n"/>
      <c r="R135" s="6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13" t="n"/>
      <c r="J136" s="13" t="n"/>
      <c r="K136" s="2" t="n"/>
      <c r="L136" s="2" t="n"/>
      <c r="M136" s="2" t="n"/>
      <c r="N136" s="2" t="n"/>
      <c r="O136" s="6" t="n"/>
      <c r="P136" s="22" t="n"/>
      <c r="Q136" s="6" t="n"/>
      <c r="R136" s="6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13" t="n"/>
      <c r="J137" s="13" t="n"/>
      <c r="K137" s="2" t="n"/>
      <c r="L137" s="2" t="n"/>
      <c r="M137" s="2" t="n"/>
      <c r="N137" s="2" t="n"/>
      <c r="O137" s="6" t="n"/>
      <c r="P137" s="22" t="n"/>
      <c r="Q137" s="6" t="n"/>
      <c r="R137" s="6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13" t="n"/>
      <c r="J138" s="13" t="n"/>
      <c r="K138" s="2" t="n"/>
      <c r="L138" s="2" t="n"/>
      <c r="M138" s="2" t="n"/>
      <c r="N138" s="2" t="n"/>
      <c r="O138" s="6" t="n"/>
      <c r="P138" s="22" t="n"/>
      <c r="Q138" s="6" t="n"/>
      <c r="R138" s="6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13" t="n"/>
      <c r="J139" s="13" t="n"/>
      <c r="K139" s="2" t="n"/>
      <c r="L139" s="2" t="n"/>
      <c r="M139" s="2" t="n"/>
      <c r="N139" s="2" t="n"/>
      <c r="O139" s="6" t="n"/>
      <c r="P139" s="22" t="n"/>
      <c r="Q139" s="6" t="n"/>
      <c r="R139" s="6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13" t="n"/>
      <c r="J140" s="13" t="n"/>
      <c r="K140" s="2" t="n"/>
      <c r="L140" s="2" t="n"/>
      <c r="M140" s="2" t="n"/>
      <c r="N140" s="2" t="n"/>
      <c r="O140" s="6" t="n"/>
      <c r="P140" s="22" t="n"/>
      <c r="Q140" s="6" t="n"/>
      <c r="R140" s="6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13" t="n"/>
      <c r="J141" s="13" t="n"/>
      <c r="K141" s="2" t="n"/>
      <c r="L141" s="2" t="n"/>
      <c r="M141" s="2" t="n"/>
      <c r="N141" s="2" t="n"/>
      <c r="O141" s="6" t="n"/>
      <c r="P141" s="22" t="n"/>
      <c r="Q141" s="6" t="n"/>
      <c r="R141" s="6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13" t="n"/>
      <c r="J142" s="13" t="n"/>
      <c r="K142" s="2" t="n"/>
      <c r="L142" s="2" t="n"/>
      <c r="M142" s="2" t="n"/>
      <c r="N142" s="2" t="n"/>
      <c r="O142" s="6" t="n"/>
      <c r="P142" s="22" t="n"/>
      <c r="Q142" s="6" t="n"/>
      <c r="R142" s="6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13" t="n"/>
      <c r="J143" s="13" t="n"/>
      <c r="K143" s="2" t="n"/>
      <c r="L143" s="2" t="n"/>
      <c r="M143" s="2" t="n"/>
      <c r="N143" s="2" t="n"/>
      <c r="O143" s="6" t="n"/>
      <c r="P143" s="22" t="n"/>
      <c r="Q143" s="6" t="n"/>
      <c r="R143" s="6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13" t="n"/>
      <c r="J144" s="13" t="n"/>
      <c r="K144" s="2" t="n"/>
      <c r="L144" s="2" t="n"/>
      <c r="M144" s="2" t="n"/>
      <c r="N144" s="2" t="n"/>
      <c r="O144" s="6" t="n"/>
      <c r="P144" s="22" t="n"/>
      <c r="Q144" s="6" t="n"/>
      <c r="R144" s="6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13" t="n"/>
      <c r="J145" s="13" t="n"/>
      <c r="K145" s="2" t="n"/>
      <c r="L145" s="2" t="n"/>
      <c r="M145" s="2" t="n"/>
      <c r="N145" s="2" t="n"/>
      <c r="O145" s="6" t="n"/>
      <c r="P145" s="22" t="n"/>
      <c r="Q145" s="6" t="n"/>
      <c r="R145" s="6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13" t="n"/>
      <c r="J146" s="13" t="n"/>
      <c r="K146" s="2" t="n"/>
      <c r="L146" s="2" t="n"/>
      <c r="M146" s="2" t="n"/>
      <c r="N146" s="2" t="n"/>
      <c r="O146" s="6" t="n"/>
      <c r="P146" s="22" t="n"/>
      <c r="Q146" s="6" t="n"/>
      <c r="R146" s="6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13" t="n"/>
      <c r="J147" s="13" t="n"/>
      <c r="K147" s="2" t="n"/>
      <c r="L147" s="2" t="n"/>
      <c r="M147" s="2" t="n"/>
      <c r="N147" s="2" t="n"/>
      <c r="O147" s="6" t="n"/>
      <c r="P147" s="22" t="n"/>
      <c r="Q147" s="6" t="n"/>
      <c r="R147" s="6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13" t="n"/>
      <c r="J148" s="13" t="n"/>
      <c r="K148" s="2" t="n"/>
      <c r="L148" s="2" t="n"/>
      <c r="M148" s="2" t="n"/>
      <c r="N148" s="2" t="n"/>
      <c r="O148" s="6" t="n"/>
      <c r="P148" s="22" t="n"/>
      <c r="Q148" s="6" t="n"/>
      <c r="R148" s="6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13" t="n"/>
      <c r="J149" s="13" t="n"/>
      <c r="K149" s="2" t="n"/>
      <c r="L149" s="2" t="n"/>
      <c r="M149" s="2" t="n"/>
      <c r="N149" s="2" t="n"/>
      <c r="O149" s="6" t="n"/>
      <c r="P149" s="22" t="n"/>
      <c r="Q149" s="6" t="n"/>
      <c r="R149" s="6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13" t="n"/>
      <c r="J150" s="13" t="n"/>
      <c r="K150" s="2" t="n"/>
      <c r="L150" s="2" t="n"/>
      <c r="M150" s="2" t="n"/>
      <c r="N150" s="2" t="n"/>
      <c r="O150" s="6" t="n"/>
      <c r="P150" s="22" t="n"/>
      <c r="Q150" s="6" t="n"/>
      <c r="R150" s="6" t="n"/>
    </row>
    <row r="151">
      <c r="R151" s="6" t="n"/>
    </row>
    <row r="152">
      <c r="R152" s="6" t="n"/>
    </row>
    <row r="153">
      <c r="R153" s="6" t="n"/>
    </row>
    <row r="154">
      <c r="R154" s="6" t="n"/>
    </row>
    <row r="155">
      <c r="R155" s="6" t="n"/>
    </row>
    <row r="156">
      <c r="R156" s="6" t="n"/>
    </row>
    <row r="157">
      <c r="R157" s="6" t="n"/>
    </row>
    <row r="158">
      <c r="R158" s="6" t="n"/>
    </row>
    <row r="159">
      <c r="R159" s="6" t="n"/>
    </row>
    <row r="160">
      <c r="R160" s="6" t="n"/>
    </row>
    <row r="161">
      <c r="R161" s="6" t="n"/>
    </row>
    <row r="162">
      <c r="R162" s="6" t="n"/>
    </row>
    <row r="163">
      <c r="R163" s="6" t="n"/>
    </row>
    <row r="164">
      <c r="R164" s="6" t="n"/>
    </row>
    <row r="165">
      <c r="R165" s="6" t="n"/>
    </row>
    <row r="166">
      <c r="R166" s="6" t="n"/>
    </row>
    <row r="167">
      <c r="R167" s="6" t="n"/>
    </row>
    <row r="168">
      <c r="R168" s="6" t="n"/>
    </row>
    <row r="169">
      <c r="R169" s="6" t="n"/>
    </row>
    <row r="170">
      <c r="R170" s="6" t="n"/>
    </row>
    <row r="171">
      <c r="R171" s="6" t="n"/>
    </row>
    <row r="172">
      <c r="R172" s="6" t="n"/>
    </row>
    <row r="173">
      <c r="R173" s="6" t="n"/>
    </row>
    <row r="174">
      <c r="R174" s="6" t="n"/>
    </row>
    <row r="175">
      <c r="R175" s="6" t="n"/>
    </row>
    <row r="176">
      <c r="R176" s="6" t="n"/>
    </row>
    <row r="177">
      <c r="R177" s="6" t="n"/>
    </row>
    <row r="178">
      <c r="R178" s="6" t="n"/>
    </row>
    <row r="179">
      <c r="R179" s="6" t="n"/>
    </row>
    <row r="180">
      <c r="R180" s="6" t="n"/>
    </row>
    <row r="181">
      <c r="R181" s="6" t="n"/>
    </row>
    <row r="182">
      <c r="R182" s="6" t="n"/>
    </row>
    <row r="183">
      <c r="R183" s="6" t="n"/>
    </row>
    <row r="184">
      <c r="R184" s="6" t="n"/>
    </row>
    <row r="185">
      <c r="R185" s="6" t="n"/>
    </row>
    <row r="186">
      <c r="R186" s="6" t="n"/>
    </row>
    <row r="187">
      <c r="R187" s="6" t="n"/>
    </row>
    <row r="188">
      <c r="R188" s="6" t="n"/>
    </row>
    <row r="189">
      <c r="R189" s="6" t="n"/>
    </row>
    <row r="190">
      <c r="R190" s="6" t="n"/>
    </row>
    <row r="191">
      <c r="R191" s="6" t="n"/>
    </row>
    <row r="192">
      <c r="R192" s="6" t="n"/>
    </row>
    <row r="193">
      <c r="R193" s="6" t="n"/>
    </row>
    <row r="194">
      <c r="R194" s="6" t="n"/>
    </row>
    <row r="195">
      <c r="R195" s="6" t="n"/>
    </row>
    <row r="196">
      <c r="R196" s="6" t="n"/>
    </row>
    <row r="197">
      <c r="R197" s="6" t="n"/>
    </row>
    <row r="198">
      <c r="R198" s="6" t="n"/>
    </row>
    <row r="199">
      <c r="R199" s="6" t="n"/>
    </row>
    <row r="200">
      <c r="R200" s="6" t="n"/>
    </row>
    <row r="201">
      <c r="R201" s="6" t="n"/>
    </row>
    <row r="202">
      <c r="R202" s="6" t="n"/>
    </row>
    <row r="203">
      <c r="R203" s="6" t="n"/>
    </row>
    <row r="204">
      <c r="R204" s="6" t="n"/>
    </row>
    <row r="205">
      <c r="R205" s="6" t="n"/>
    </row>
    <row r="206">
      <c r="R206" s="6" t="n"/>
    </row>
    <row r="207">
      <c r="R207" s="6" t="n"/>
    </row>
    <row r="208">
      <c r="R208" s="6" t="n"/>
    </row>
    <row r="209">
      <c r="R209" s="6" t="n"/>
    </row>
    <row r="210">
      <c r="R210" s="6" t="n"/>
    </row>
    <row r="211">
      <c r="R211" s="6" t="n"/>
    </row>
    <row r="212">
      <c r="R212" s="6" t="n"/>
    </row>
    <row r="213">
      <c r="R213" s="6" t="n"/>
    </row>
    <row r="214">
      <c r="R214" s="6" t="n"/>
    </row>
    <row r="215">
      <c r="R215" s="6" t="n"/>
    </row>
    <row r="216">
      <c r="R216" s="6" t="n"/>
    </row>
    <row r="217">
      <c r="R217" s="6" t="n"/>
    </row>
    <row r="218">
      <c r="R218" s="6" t="n"/>
    </row>
    <row r="219">
      <c r="R219" s="6" t="n"/>
    </row>
    <row r="220">
      <c r="R220" s="6" t="n"/>
    </row>
    <row r="221">
      <c r="R221" s="6" t="n"/>
    </row>
    <row r="222">
      <c r="R222" s="6" t="n"/>
    </row>
    <row r="223">
      <c r="R223" s="6" t="n"/>
    </row>
    <row r="224">
      <c r="R224" s="6" t="n"/>
    </row>
    <row r="225">
      <c r="R225" s="6" t="n"/>
    </row>
    <row r="226">
      <c r="R226" s="6" t="n"/>
    </row>
    <row r="227">
      <c r="R227" s="6" t="n"/>
    </row>
    <row r="228">
      <c r="R228" s="6" t="n"/>
    </row>
    <row r="229">
      <c r="R229" s="6" t="n"/>
    </row>
    <row r="230">
      <c r="R230" s="6" t="n"/>
    </row>
    <row r="231">
      <c r="R231" s="6" t="n"/>
    </row>
    <row r="232">
      <c r="R232" s="6" t="n"/>
    </row>
    <row r="233">
      <c r="R233" s="6" t="n"/>
    </row>
    <row r="234">
      <c r="R234" s="6" t="n"/>
    </row>
    <row r="235">
      <c r="R235" s="6" t="n"/>
    </row>
    <row r="236">
      <c r="R236" s="6" t="n"/>
    </row>
    <row r="237">
      <c r="R237" s="6" t="n"/>
    </row>
    <row r="238">
      <c r="R238" s="6" t="n"/>
    </row>
    <row r="239">
      <c r="R239" s="6" t="n"/>
    </row>
    <row r="240">
      <c r="R240" s="6" t="n"/>
    </row>
    <row r="241">
      <c r="R241" s="6" t="n"/>
    </row>
    <row r="242">
      <c r="R242" s="6" t="n"/>
    </row>
    <row r="243">
      <c r="R243" s="6" t="n"/>
    </row>
    <row r="244">
      <c r="R244" s="6" t="n"/>
    </row>
    <row r="245">
      <c r="R245" s="6" t="n"/>
    </row>
    <row r="246">
      <c r="R246" s="6" t="n"/>
    </row>
    <row r="247">
      <c r="R247" s="6" t="n"/>
    </row>
    <row r="248">
      <c r="R248" s="6" t="n"/>
    </row>
    <row r="249">
      <c r="R249" s="6" t="n"/>
    </row>
    <row r="250">
      <c r="R250" s="6" t="n"/>
    </row>
    <row r="251">
      <c r="R251" s="6" t="n"/>
    </row>
    <row r="252">
      <c r="R252" s="6" t="n"/>
    </row>
    <row r="253">
      <c r="R253" s="6" t="n"/>
    </row>
    <row r="254">
      <c r="R254" s="6" t="n"/>
    </row>
    <row r="255">
      <c r="R255" s="6" t="n"/>
    </row>
    <row r="256">
      <c r="R256" s="6" t="n"/>
    </row>
    <row r="257">
      <c r="R257" s="6" t="n"/>
    </row>
    <row r="258">
      <c r="R258" s="6" t="n"/>
    </row>
    <row r="259">
      <c r="R259" s="6" t="n"/>
    </row>
    <row r="260">
      <c r="R260" s="6" t="n"/>
    </row>
    <row r="261">
      <c r="R261" s="6" t="n"/>
    </row>
    <row r="262">
      <c r="R262" s="6" t="n"/>
    </row>
    <row r="263">
      <c r="R263" s="6" t="n"/>
    </row>
    <row r="264">
      <c r="R264" s="6" t="n"/>
    </row>
    <row r="265">
      <c r="R265" s="6" t="n"/>
    </row>
    <row r="266">
      <c r="R266" s="6" t="n"/>
    </row>
    <row r="267">
      <c r="R267" s="6" t="n"/>
    </row>
    <row r="268">
      <c r="R268" s="6" t="n"/>
    </row>
    <row r="269">
      <c r="R269" s="6" t="n"/>
    </row>
    <row r="270">
      <c r="R270" s="6" t="n"/>
    </row>
    <row r="271">
      <c r="R271" s="6" t="n"/>
    </row>
    <row r="272">
      <c r="R272" s="6" t="n"/>
    </row>
    <row r="273">
      <c r="R273" s="6" t="n"/>
    </row>
    <row r="274">
      <c r="R274" s="6" t="n"/>
    </row>
    <row r="275">
      <c r="R275" s="6" t="n"/>
    </row>
    <row r="276">
      <c r="R276" s="6" t="n"/>
    </row>
    <row r="277">
      <c r="R277" s="6" t="n"/>
    </row>
    <row r="278">
      <c r="R278" s="6" t="n"/>
    </row>
    <row r="279">
      <c r="R279" s="6" t="n"/>
    </row>
    <row r="280">
      <c r="R280" s="6" t="n"/>
    </row>
    <row r="281">
      <c r="R281" s="6" t="n"/>
    </row>
    <row r="282">
      <c r="R282" s="6" t="n"/>
    </row>
    <row r="283">
      <c r="R283" s="6" t="n"/>
    </row>
    <row r="284">
      <c r="R284" s="6" t="n"/>
    </row>
    <row r="285">
      <c r="R285" s="6" t="n"/>
    </row>
    <row r="286">
      <c r="R286" s="6" t="n"/>
    </row>
    <row r="287">
      <c r="R287" s="6" t="n"/>
    </row>
    <row r="288">
      <c r="R288" s="6" t="n"/>
    </row>
    <row r="289">
      <c r="R289" s="6" t="n"/>
    </row>
    <row r="290">
      <c r="R290" s="6" t="n"/>
    </row>
    <row r="291">
      <c r="R291" s="6" t="n"/>
    </row>
    <row r="292">
      <c r="R292" s="6" t="n"/>
    </row>
    <row r="293">
      <c r="R293" s="6" t="n"/>
    </row>
    <row r="294">
      <c r="R294" s="6" t="n"/>
    </row>
    <row r="295">
      <c r="R295" s="6" t="n"/>
    </row>
    <row r="296">
      <c r="R296" s="6" t="n"/>
    </row>
    <row r="297">
      <c r="R297" s="6" t="n"/>
    </row>
    <row r="298">
      <c r="R298" s="6" t="n"/>
    </row>
    <row r="299">
      <c r="R299" s="6" t="n"/>
    </row>
    <row r="300">
      <c r="R300" s="6" t="n"/>
    </row>
    <row r="301">
      <c r="R301" s="6" t="n"/>
    </row>
    <row r="302">
      <c r="R302" s="6" t="n"/>
    </row>
    <row r="303">
      <c r="R303" s="6" t="n"/>
    </row>
    <row r="304">
      <c r="R304" s="6" t="n"/>
    </row>
    <row r="305">
      <c r="R305" s="6" t="n"/>
    </row>
    <row r="306">
      <c r="R306" s="6" t="n"/>
    </row>
    <row r="307">
      <c r="R307" s="6" t="n"/>
    </row>
    <row r="308">
      <c r="R308" s="6" t="n"/>
    </row>
    <row r="309">
      <c r="R309" s="6" t="n"/>
    </row>
    <row r="310">
      <c r="R310" s="6" t="n"/>
    </row>
    <row r="311">
      <c r="R311" s="6" t="n"/>
    </row>
    <row r="312">
      <c r="R312" s="6" t="n"/>
    </row>
    <row r="313">
      <c r="R313" s="6" t="n"/>
    </row>
    <row r="314">
      <c r="R314" s="6" t="n"/>
    </row>
    <row r="315">
      <c r="R315" s="6" t="n"/>
    </row>
    <row r="316">
      <c r="R316" s="6" t="n"/>
    </row>
    <row r="317">
      <c r="R317" s="6" t="n"/>
    </row>
    <row r="318">
      <c r="R318" s="6" t="n"/>
    </row>
    <row r="319">
      <c r="R319" s="6" t="n"/>
    </row>
    <row r="320">
      <c r="R320" s="6" t="n"/>
    </row>
    <row r="321">
      <c r="R321" s="6" t="n"/>
    </row>
    <row r="322">
      <c r="R322" s="6" t="n"/>
    </row>
    <row r="323">
      <c r="R323" s="6" t="n"/>
    </row>
    <row r="324">
      <c r="R324" s="6" t="n"/>
    </row>
    <row r="325">
      <c r="R325" s="6" t="n"/>
    </row>
    <row r="326">
      <c r="R326" s="6" t="n"/>
    </row>
    <row r="327">
      <c r="R327" s="6" t="n"/>
    </row>
    <row r="328">
      <c r="R328" s="6" t="n"/>
    </row>
    <row r="329">
      <c r="R329" s="6" t="n"/>
    </row>
    <row r="330">
      <c r="R330" s="6" t="n"/>
    </row>
    <row r="331">
      <c r="R331" s="6" t="n"/>
    </row>
    <row r="332">
      <c r="R332" s="6" t="n"/>
    </row>
    <row r="333">
      <c r="R333" s="6" t="n"/>
    </row>
    <row r="334">
      <c r="R334" s="6" t="n"/>
    </row>
    <row r="335">
      <c r="R335" s="6" t="n"/>
    </row>
    <row r="336">
      <c r="R336" s="6" t="n"/>
    </row>
    <row r="337">
      <c r="R337" s="6" t="n"/>
    </row>
    <row r="338">
      <c r="R338" s="6" t="n"/>
    </row>
    <row r="339">
      <c r="R339" s="6" t="n"/>
    </row>
    <row r="340">
      <c r="R340" s="6" t="n"/>
    </row>
    <row r="341">
      <c r="R341" s="6" t="n"/>
    </row>
    <row r="342">
      <c r="R342" s="6" t="n"/>
    </row>
    <row r="343">
      <c r="R343" s="6" t="n"/>
    </row>
    <row r="344">
      <c r="R344" s="6" t="n"/>
    </row>
    <row r="345">
      <c r="R345" s="6" t="n"/>
    </row>
    <row r="346">
      <c r="R346" s="6" t="n"/>
    </row>
    <row r="347">
      <c r="R347" s="6" t="n"/>
    </row>
    <row r="348">
      <c r="R348" s="6" t="n"/>
    </row>
    <row r="349">
      <c r="R349" s="6" t="n"/>
    </row>
    <row r="350">
      <c r="R350" s="6" t="n"/>
    </row>
    <row r="351">
      <c r="R351" s="6" t="n"/>
    </row>
    <row r="352">
      <c r="R352" s="6" t="n"/>
    </row>
    <row r="353">
      <c r="R353" s="6" t="n"/>
    </row>
    <row r="354">
      <c r="R354" s="6" t="n"/>
    </row>
    <row r="355">
      <c r="R355" s="6" t="n"/>
    </row>
    <row r="356">
      <c r="R356" s="6" t="n"/>
    </row>
    <row r="357">
      <c r="R357" s="6" t="n"/>
    </row>
    <row r="358">
      <c r="R358" s="6" t="n"/>
    </row>
    <row r="359">
      <c r="R359" s="6" t="n"/>
    </row>
    <row r="360">
      <c r="R360" s="6" t="n"/>
    </row>
    <row r="361">
      <c r="R361" s="6" t="n"/>
    </row>
    <row r="362">
      <c r="R362" s="6" t="n"/>
    </row>
    <row r="363">
      <c r="R363" s="6" t="n"/>
    </row>
    <row r="364">
      <c r="R364" s="6" t="n"/>
    </row>
    <row r="365">
      <c r="R365" s="6" t="n"/>
    </row>
    <row r="366">
      <c r="R366" s="6" t="n"/>
    </row>
    <row r="367">
      <c r="R367" s="6" t="n"/>
    </row>
    <row r="368">
      <c r="R368" s="6" t="n"/>
    </row>
    <row r="369">
      <c r="R369" s="6" t="n"/>
    </row>
    <row r="370">
      <c r="R370" s="6" t="n"/>
    </row>
    <row r="371">
      <c r="R371" s="6" t="n"/>
    </row>
    <row r="372">
      <c r="R372" s="6" t="n"/>
    </row>
    <row r="373">
      <c r="R373" s="6" t="n"/>
    </row>
    <row r="374">
      <c r="R374" s="6" t="n"/>
    </row>
    <row r="375">
      <c r="R375" s="6" t="n"/>
    </row>
    <row r="376">
      <c r="R376" s="6" t="n"/>
    </row>
    <row r="377">
      <c r="R377" s="6" t="n"/>
    </row>
    <row r="378">
      <c r="R378" s="6" t="n"/>
    </row>
    <row r="379">
      <c r="R379" s="6" t="n"/>
    </row>
    <row r="380">
      <c r="R380" s="6" t="n"/>
    </row>
    <row r="381">
      <c r="R381" s="6" t="n"/>
    </row>
    <row r="382">
      <c r="R382" s="6" t="n"/>
    </row>
    <row r="383">
      <c r="R383" s="6" t="n"/>
    </row>
    <row r="384">
      <c r="R384" s="6" t="n"/>
    </row>
    <row r="385">
      <c r="R385" s="6" t="n"/>
    </row>
    <row r="386">
      <c r="R386" s="6" t="n"/>
    </row>
    <row r="387">
      <c r="R387" s="6" t="n"/>
    </row>
    <row r="388">
      <c r="R388" s="6" t="n"/>
    </row>
    <row r="389">
      <c r="R389" s="6" t="n"/>
    </row>
    <row r="390">
      <c r="R390" s="6" t="n"/>
    </row>
    <row r="391">
      <c r="R391" s="6" t="n"/>
    </row>
    <row r="392">
      <c r="R392" s="6" t="n"/>
    </row>
    <row r="393">
      <c r="R393" s="6" t="n"/>
    </row>
    <row r="394">
      <c r="R394" s="6" t="n"/>
    </row>
    <row r="395">
      <c r="R395" s="6" t="n"/>
    </row>
    <row r="396">
      <c r="R396" s="6" t="n"/>
    </row>
    <row r="397">
      <c r="R397" s="6" t="n"/>
    </row>
    <row r="398">
      <c r="R398" s="6" t="n"/>
    </row>
    <row r="399">
      <c r="R399" s="6" t="n"/>
    </row>
    <row r="400">
      <c r="R400" s="6" t="n"/>
    </row>
    <row r="401">
      <c r="R401" s="6" t="n"/>
    </row>
    <row r="402">
      <c r="R402" s="6" t="n"/>
    </row>
    <row r="403">
      <c r="R403" s="6" t="n"/>
    </row>
    <row r="404">
      <c r="R404" s="6" t="n"/>
    </row>
    <row r="405">
      <c r="R405" s="6" t="n"/>
    </row>
    <row r="406">
      <c r="R406" s="6" t="n"/>
    </row>
    <row r="407">
      <c r="R407" s="6" t="n"/>
    </row>
    <row r="408">
      <c r="R408" s="6" t="n"/>
    </row>
    <row r="409">
      <c r="R409" s="6" t="n"/>
    </row>
    <row r="410">
      <c r="R410" s="6" t="n"/>
    </row>
    <row r="411">
      <c r="R411" s="6" t="n"/>
    </row>
    <row r="412">
      <c r="R412" s="6" t="n"/>
    </row>
    <row r="413">
      <c r="R413" s="6" t="n"/>
    </row>
    <row r="414">
      <c r="R414" s="6" t="n"/>
    </row>
    <row r="415">
      <c r="R415" s="6" t="n"/>
    </row>
    <row r="416">
      <c r="R416" s="6" t="n"/>
    </row>
    <row r="417">
      <c r="R417" s="6" t="n"/>
    </row>
    <row r="418">
      <c r="R418" s="6" t="n"/>
    </row>
    <row r="419">
      <c r="R419" s="6" t="n"/>
    </row>
    <row r="420">
      <c r="R420" s="6" t="n"/>
    </row>
    <row r="421">
      <c r="R421" s="6" t="n"/>
    </row>
    <row r="422">
      <c r="R422" s="6" t="n"/>
    </row>
    <row r="423">
      <c r="R423" s="6" t="n"/>
    </row>
    <row r="424">
      <c r="R424" s="6" t="n"/>
    </row>
    <row r="425">
      <c r="R425" s="6" t="n"/>
    </row>
    <row r="426">
      <c r="R426" s="6" t="n"/>
    </row>
    <row r="427">
      <c r="R427" s="6" t="n"/>
    </row>
    <row r="428">
      <c r="R428" s="6" t="n"/>
    </row>
    <row r="429">
      <c r="R429" s="6" t="n"/>
    </row>
    <row r="430">
      <c r="R430" s="6" t="n"/>
    </row>
    <row r="431">
      <c r="R431" s="6" t="n"/>
    </row>
    <row r="432">
      <c r="R432" s="6" t="n"/>
    </row>
    <row r="433">
      <c r="R433" s="6" t="n"/>
    </row>
    <row r="434">
      <c r="R434" s="6" t="n"/>
    </row>
    <row r="435">
      <c r="R435" s="6" t="n"/>
    </row>
    <row r="436">
      <c r="R436" s="6" t="n"/>
    </row>
    <row r="437">
      <c r="R437" s="6" t="n"/>
    </row>
    <row r="438">
      <c r="R438" s="6" t="n"/>
    </row>
    <row r="439">
      <c r="R439" s="6" t="n"/>
    </row>
    <row r="440">
      <c r="R440" s="6" t="n"/>
    </row>
    <row r="441">
      <c r="R441" s="6" t="n"/>
    </row>
    <row r="442">
      <c r="R442" s="6" t="n"/>
    </row>
    <row r="443">
      <c r="R443" s="6" t="n"/>
    </row>
    <row r="444">
      <c r="R444" s="6" t="n"/>
    </row>
    <row r="445">
      <c r="R445" s="6" t="n"/>
    </row>
    <row r="446">
      <c r="R446" s="6" t="n"/>
    </row>
    <row r="447">
      <c r="R447" s="6" t="n"/>
    </row>
    <row r="448">
      <c r="R448" s="6" t="n"/>
    </row>
    <row r="449">
      <c r="R449" s="6" t="n"/>
    </row>
    <row r="450">
      <c r="R450" s="6" t="n"/>
    </row>
    <row r="451">
      <c r="R451" s="6" t="n"/>
    </row>
    <row r="452">
      <c r="R452" s="6" t="n"/>
    </row>
    <row r="453">
      <c r="R453" s="6" t="n"/>
    </row>
    <row r="454">
      <c r="R454" s="6" t="n"/>
    </row>
    <row r="455">
      <c r="R455" s="6" t="n"/>
    </row>
    <row r="456">
      <c r="R456" s="6" t="n"/>
    </row>
    <row r="457">
      <c r="R457" s="6" t="n"/>
    </row>
    <row r="458">
      <c r="R458" s="6" t="n"/>
    </row>
    <row r="459">
      <c r="R459" s="6" t="n"/>
    </row>
    <row r="460">
      <c r="R460" s="6" t="n"/>
    </row>
    <row r="461">
      <c r="R461" s="6" t="n"/>
    </row>
    <row r="462">
      <c r="R462" s="6" t="n"/>
    </row>
    <row r="463">
      <c r="R463" s="6" t="n"/>
    </row>
    <row r="464">
      <c r="R464" s="6" t="n"/>
    </row>
    <row r="465">
      <c r="R465" s="6" t="n"/>
    </row>
    <row r="466">
      <c r="R466" s="6" t="n"/>
    </row>
    <row r="467">
      <c r="R467" s="6" t="n"/>
    </row>
    <row r="468">
      <c r="R468" s="6" t="n"/>
    </row>
    <row r="469">
      <c r="R469" s="6" t="n"/>
    </row>
    <row r="470">
      <c r="R470" s="6" t="n"/>
    </row>
    <row r="471">
      <c r="R471" s="6" t="n"/>
    </row>
    <row r="472">
      <c r="R472" s="6" t="n"/>
    </row>
    <row r="473">
      <c r="R473" s="6" t="n"/>
    </row>
    <row r="474">
      <c r="R474" s="6" t="n"/>
    </row>
    <row r="475">
      <c r="R475" s="6" t="n"/>
    </row>
    <row r="476">
      <c r="R476" s="6" t="n"/>
    </row>
    <row r="477">
      <c r="R477" s="6" t="n"/>
    </row>
    <row r="478">
      <c r="R478" s="6" t="n"/>
    </row>
    <row r="479">
      <c r="R479" s="6" t="n"/>
    </row>
    <row r="480">
      <c r="R480" s="6" t="n"/>
    </row>
    <row r="481">
      <c r="R481" s="6" t="n"/>
    </row>
    <row r="482">
      <c r="R482" s="6" t="n"/>
    </row>
    <row r="483">
      <c r="R483" s="6" t="n"/>
    </row>
    <row r="484">
      <c r="R484" s="6" t="n"/>
    </row>
    <row r="485">
      <c r="R485" s="6" t="n"/>
    </row>
    <row r="486">
      <c r="R486" s="6" t="n"/>
    </row>
    <row r="487">
      <c r="R487" s="6" t="n"/>
    </row>
    <row r="488">
      <c r="R488" s="6" t="n"/>
    </row>
    <row r="489">
      <c r="R489" s="6" t="n"/>
    </row>
    <row r="490">
      <c r="R490" s="6" t="n"/>
    </row>
    <row r="491">
      <c r="R491" s="6" t="n"/>
    </row>
    <row r="492">
      <c r="R492" s="6" t="n"/>
    </row>
    <row r="493">
      <c r="R493" s="6" t="n"/>
    </row>
    <row r="494">
      <c r="R494" s="6" t="n"/>
    </row>
    <row r="495">
      <c r="R495" s="6" t="n"/>
    </row>
    <row r="496">
      <c r="R496" s="6" t="n"/>
    </row>
    <row r="497">
      <c r="R497" s="6" t="n"/>
    </row>
    <row r="498">
      <c r="R498" s="6" t="n"/>
    </row>
    <row r="499">
      <c r="R499" s="6" t="n"/>
    </row>
    <row r="500">
      <c r="R500" s="6" t="n"/>
    </row>
    <row r="501">
      <c r="R501" s="6" t="n"/>
    </row>
    <row r="502">
      <c r="R502" s="6" t="n"/>
    </row>
    <row r="503">
      <c r="R503" s="6" t="n"/>
    </row>
    <row r="504">
      <c r="R504" s="6" t="n"/>
    </row>
    <row r="505">
      <c r="R505" s="6" t="n"/>
    </row>
    <row r="506">
      <c r="R506" s="6" t="n"/>
    </row>
    <row r="507">
      <c r="R507" s="6" t="n"/>
    </row>
    <row r="508">
      <c r="R508" s="6" t="n"/>
    </row>
    <row r="509">
      <c r="R509" s="6" t="n"/>
    </row>
    <row r="510">
      <c r="R510" s="6" t="n"/>
    </row>
    <row r="511">
      <c r="R511" s="6" t="n"/>
    </row>
    <row r="512">
      <c r="R512" s="6" t="n"/>
    </row>
    <row r="513">
      <c r="R513" s="6" t="n"/>
    </row>
    <row r="514">
      <c r="R514" s="6" t="n"/>
    </row>
    <row r="515">
      <c r="R515" s="6" t="n"/>
    </row>
    <row r="516">
      <c r="R516" s="6" t="n"/>
    </row>
    <row r="517">
      <c r="R517" s="6" t="n"/>
    </row>
    <row r="518">
      <c r="R518" s="6" t="n"/>
    </row>
    <row r="519">
      <c r="R519" s="6" t="n"/>
    </row>
    <row r="520">
      <c r="R520" s="6" t="n"/>
    </row>
    <row r="521">
      <c r="R521" s="6" t="n"/>
    </row>
    <row r="522">
      <c r="R522" s="6" t="n"/>
    </row>
    <row r="523">
      <c r="R523" s="6" t="n"/>
    </row>
    <row r="524">
      <c r="R524" s="6" t="n"/>
    </row>
    <row r="525">
      <c r="R525" s="6" t="n"/>
    </row>
    <row r="526">
      <c r="R526" s="6" t="n"/>
    </row>
    <row r="527">
      <c r="R527" s="6" t="n"/>
    </row>
    <row r="528">
      <c r="R528" s="6" t="n"/>
    </row>
    <row r="529">
      <c r="R529" s="6" t="n"/>
    </row>
    <row r="530">
      <c r="R530" s="6" t="n"/>
    </row>
    <row r="531">
      <c r="R531" s="6" t="n"/>
    </row>
    <row r="532">
      <c r="R532" s="6" t="n"/>
    </row>
    <row r="533">
      <c r="R533" s="6" t="n"/>
    </row>
    <row r="534">
      <c r="R534" s="6" t="n"/>
    </row>
    <row r="535">
      <c r="R535" s="6" t="n"/>
    </row>
    <row r="536">
      <c r="R536" s="6" t="n"/>
    </row>
    <row r="537">
      <c r="R537" s="6" t="n"/>
    </row>
    <row r="538">
      <c r="R538" s="6" t="n"/>
    </row>
    <row r="539">
      <c r="R539" s="6" t="n"/>
    </row>
    <row r="540">
      <c r="R540" s="6" t="n"/>
    </row>
    <row r="541">
      <c r="R541" s="6" t="n"/>
    </row>
    <row r="542">
      <c r="R542" s="6" t="n"/>
    </row>
    <row r="543">
      <c r="R543" s="6" t="n"/>
    </row>
    <row r="544">
      <c r="R544" s="6" t="n"/>
    </row>
    <row r="545">
      <c r="R545" s="6" t="n"/>
    </row>
    <row r="546">
      <c r="R546" s="6" t="n"/>
    </row>
    <row r="547">
      <c r="R547" s="6" t="n"/>
    </row>
    <row r="548">
      <c r="R548" s="6" t="n"/>
    </row>
    <row r="549">
      <c r="R549" s="6" t="n"/>
    </row>
    <row r="550">
      <c r="R550" s="6" t="n"/>
    </row>
    <row r="551">
      <c r="R551" s="6" t="n"/>
    </row>
    <row r="552">
      <c r="R552" s="6" t="n"/>
    </row>
    <row r="553">
      <c r="R553" s="6" t="n"/>
    </row>
    <row r="554">
      <c r="R554" s="6" t="n"/>
    </row>
    <row r="555">
      <c r="R555" s="6" t="n"/>
    </row>
    <row r="556">
      <c r="R556" s="6" t="n"/>
    </row>
    <row r="557">
      <c r="R557" s="6" t="n"/>
    </row>
    <row r="558">
      <c r="R558" s="6" t="n"/>
    </row>
    <row r="559">
      <c r="R559" s="6" t="n"/>
    </row>
    <row r="560">
      <c r="R560" s="6" t="n"/>
    </row>
    <row r="561">
      <c r="R561" s="6" t="n"/>
    </row>
    <row r="562">
      <c r="R562" s="6" t="n"/>
    </row>
    <row r="563">
      <c r="R563" s="6" t="n"/>
    </row>
    <row r="564">
      <c r="R564" s="6" t="n"/>
    </row>
    <row r="565">
      <c r="R565" s="6" t="n"/>
    </row>
    <row r="566">
      <c r="R566" s="6" t="n"/>
    </row>
    <row r="567">
      <c r="R567" s="6" t="n"/>
    </row>
    <row r="568">
      <c r="R568" s="6" t="n"/>
    </row>
    <row r="569">
      <c r="R569" s="6" t="n"/>
    </row>
    <row r="570">
      <c r="R570" s="6" t="n"/>
    </row>
    <row r="571">
      <c r="R571" s="6" t="n"/>
    </row>
    <row r="572">
      <c r="R572" s="6" t="n"/>
    </row>
    <row r="573">
      <c r="R573" s="6" t="n"/>
    </row>
    <row r="574">
      <c r="R574" s="6" t="n"/>
    </row>
    <row r="575">
      <c r="R575" s="6" t="n"/>
    </row>
    <row r="576">
      <c r="R576" s="6" t="n"/>
    </row>
    <row r="577">
      <c r="R577" s="6" t="n"/>
    </row>
    <row r="578">
      <c r="R578" s="6" t="n"/>
    </row>
    <row r="579">
      <c r="R579" s="6" t="n"/>
    </row>
    <row r="580">
      <c r="R580" s="6" t="n"/>
    </row>
    <row r="581">
      <c r="R581" s="6" t="n"/>
    </row>
    <row r="582">
      <c r="R582" s="6" t="n"/>
    </row>
    <row r="583">
      <c r="R583" s="6" t="n"/>
    </row>
    <row r="584">
      <c r="R584" s="6" t="n"/>
    </row>
    <row r="585">
      <c r="R585" s="6" t="n"/>
    </row>
    <row r="586">
      <c r="R586" s="6" t="n"/>
    </row>
    <row r="587">
      <c r="R587" s="6" t="n"/>
    </row>
    <row r="588">
      <c r="R588" s="6" t="n"/>
    </row>
    <row r="589">
      <c r="R589" s="6" t="n"/>
    </row>
    <row r="590">
      <c r="R590" s="6" t="n"/>
    </row>
    <row r="591">
      <c r="R591" s="6" t="n"/>
    </row>
    <row r="592">
      <c r="R592" s="6" t="n"/>
    </row>
    <row r="593">
      <c r="R593" s="6" t="n"/>
    </row>
    <row r="594">
      <c r="R594" s="6" t="n"/>
    </row>
    <row r="595">
      <c r="R595" s="6" t="n"/>
    </row>
    <row r="596">
      <c r="R596" s="6" t="n"/>
    </row>
    <row r="597">
      <c r="R597" s="6" t="n"/>
    </row>
    <row r="598">
      <c r="R598" s="6" t="n"/>
    </row>
    <row r="599">
      <c r="R599" s="6" t="n"/>
    </row>
    <row r="600">
      <c r="R600" s="6" t="n"/>
    </row>
    <row r="601">
      <c r="R601" s="6" t="n"/>
    </row>
    <row r="602">
      <c r="R602" s="6" t="n"/>
    </row>
    <row r="603">
      <c r="R603" s="6" t="n"/>
    </row>
    <row r="604">
      <c r="R604" s="6" t="n"/>
    </row>
    <row r="605">
      <c r="R605" s="6" t="n"/>
    </row>
    <row r="606">
      <c r="R606" s="6" t="n"/>
    </row>
    <row r="607">
      <c r="R607" s="6" t="n"/>
    </row>
    <row r="608">
      <c r="R608" s="6" t="n"/>
    </row>
    <row r="609">
      <c r="R609" s="6" t="n"/>
    </row>
    <row r="610">
      <c r="R610" s="6" t="n"/>
    </row>
    <row r="611">
      <c r="R611" s="6" t="n"/>
    </row>
    <row r="612">
      <c r="R612" s="6" t="n"/>
    </row>
    <row r="613">
      <c r="R613" s="6" t="n"/>
    </row>
    <row r="614">
      <c r="R614" s="6" t="n"/>
    </row>
    <row r="615">
      <c r="R615" s="6" t="n"/>
    </row>
    <row r="616">
      <c r="R616" s="6" t="n"/>
    </row>
    <row r="617">
      <c r="R617" s="6" t="n"/>
    </row>
    <row r="618">
      <c r="R618" s="6" t="n"/>
    </row>
    <row r="619">
      <c r="R619" s="6" t="n"/>
    </row>
    <row r="620">
      <c r="R620" s="6" t="n"/>
    </row>
    <row r="621">
      <c r="R621" s="6" t="n"/>
    </row>
    <row r="622">
      <c r="R622" s="6" t="n"/>
    </row>
    <row r="623">
      <c r="R623" s="6" t="n"/>
    </row>
    <row r="624">
      <c r="R624" s="6" t="n"/>
    </row>
    <row r="625">
      <c r="R625" s="6" t="n"/>
    </row>
    <row r="626">
      <c r="R626" s="6" t="n"/>
    </row>
    <row r="627">
      <c r="R627" s="6" t="n"/>
    </row>
    <row r="628">
      <c r="R628" s="6" t="n"/>
    </row>
    <row r="629">
      <c r="R629" s="6" t="n"/>
    </row>
    <row r="630">
      <c r="R630" s="6" t="n"/>
    </row>
    <row r="631">
      <c r="R631" s="6" t="n"/>
    </row>
    <row r="632">
      <c r="R632" s="6" t="n"/>
    </row>
    <row r="633">
      <c r="R633" s="6" t="n"/>
    </row>
    <row r="634">
      <c r="R634" s="6" t="n"/>
    </row>
    <row r="635">
      <c r="R635" s="6" t="n"/>
    </row>
    <row r="636">
      <c r="R636" s="6" t="n"/>
    </row>
    <row r="637">
      <c r="R637" s="6" t="n"/>
    </row>
    <row r="638">
      <c r="R638" s="6" t="n"/>
    </row>
    <row r="639">
      <c r="R639" s="6" t="n"/>
    </row>
    <row r="640">
      <c r="R640" s="6" t="n"/>
    </row>
    <row r="641">
      <c r="R641" s="6" t="n"/>
    </row>
    <row r="642">
      <c r="R642" s="6" t="n"/>
    </row>
    <row r="643">
      <c r="R643" s="6" t="n"/>
    </row>
    <row r="644">
      <c r="R644" s="6" t="n"/>
    </row>
    <row r="645">
      <c r="R645" s="6" t="n"/>
    </row>
    <row r="646">
      <c r="R646" s="6" t="n"/>
    </row>
    <row r="647">
      <c r="R647" s="6" t="n"/>
    </row>
    <row r="648">
      <c r="R648" s="6" t="n"/>
    </row>
    <row r="649">
      <c r="R649" s="6" t="n"/>
    </row>
    <row r="650">
      <c r="R650" s="6" t="n"/>
    </row>
    <row r="651">
      <c r="R651" s="6" t="n"/>
    </row>
    <row r="652">
      <c r="R652" s="6" t="n"/>
    </row>
    <row r="653">
      <c r="R653" s="6" t="n"/>
    </row>
    <row r="654">
      <c r="R654" s="6" t="n"/>
    </row>
    <row r="655">
      <c r="R655" s="6" t="n"/>
    </row>
    <row r="656">
      <c r="R656" s="6" t="n"/>
    </row>
    <row r="657">
      <c r="R657" s="6" t="n"/>
    </row>
    <row r="658">
      <c r="R658" s="6" t="n"/>
    </row>
    <row r="659">
      <c r="R659" s="6" t="n"/>
    </row>
    <row r="660">
      <c r="R660" s="6" t="n"/>
    </row>
    <row r="661">
      <c r="R661" s="6" t="n"/>
    </row>
    <row r="662">
      <c r="R662" s="6" t="n"/>
    </row>
    <row r="663">
      <c r="R663" s="6" t="n"/>
    </row>
    <row r="664">
      <c r="R664" s="6" t="n"/>
    </row>
    <row r="665">
      <c r="R665" s="6" t="n"/>
    </row>
    <row r="666">
      <c r="R666" s="6" t="n"/>
    </row>
    <row r="667">
      <c r="R667" s="6" t="n"/>
    </row>
    <row r="668">
      <c r="R668" s="6" t="n"/>
    </row>
    <row r="669">
      <c r="R669" s="6" t="n"/>
    </row>
    <row r="670">
      <c r="R670" s="6" t="n"/>
    </row>
    <row r="671">
      <c r="R671" s="6" t="n"/>
    </row>
    <row r="672">
      <c r="R672" s="6" t="n"/>
    </row>
    <row r="673">
      <c r="R673" s="6" t="n"/>
    </row>
    <row r="674">
      <c r="R674" s="6" t="n"/>
    </row>
    <row r="675">
      <c r="R675" s="6" t="n"/>
    </row>
    <row r="676">
      <c r="R676" s="6" t="n"/>
    </row>
    <row r="677">
      <c r="R677" s="6" t="n"/>
    </row>
    <row r="678">
      <c r="R678" s="6" t="n"/>
    </row>
    <row r="679">
      <c r="R679" s="6" t="n"/>
    </row>
    <row r="680">
      <c r="R680" s="6" t="n"/>
    </row>
    <row r="681">
      <c r="R681" s="6" t="n"/>
    </row>
    <row r="682">
      <c r="R682" s="6" t="n"/>
    </row>
    <row r="683">
      <c r="R683" s="6" t="n"/>
    </row>
    <row r="684">
      <c r="R684" s="6" t="n"/>
    </row>
    <row r="685">
      <c r="R685" s="6" t="n"/>
    </row>
    <row r="686">
      <c r="R686" s="6" t="n"/>
    </row>
    <row r="687">
      <c r="R687" s="6" t="n"/>
    </row>
    <row r="688">
      <c r="R688" s="6" t="n"/>
    </row>
    <row r="689">
      <c r="R689" s="6" t="n"/>
    </row>
    <row r="690">
      <c r="R690" s="6" t="n"/>
    </row>
    <row r="691">
      <c r="R691" s="6" t="n"/>
    </row>
    <row r="692">
      <c r="R692" s="6" t="n"/>
    </row>
    <row r="693">
      <c r="R693" s="6" t="n"/>
    </row>
    <row r="694">
      <c r="R694" s="6" t="n"/>
    </row>
    <row r="695">
      <c r="R695" s="6" t="n"/>
    </row>
    <row r="696">
      <c r="R696" s="6" t="n"/>
    </row>
    <row r="697">
      <c r="R697" s="6" t="n"/>
    </row>
    <row r="698">
      <c r="R698" s="6" t="n"/>
    </row>
    <row r="699">
      <c r="R699" s="6" t="n"/>
    </row>
    <row r="700">
      <c r="R700" s="6" t="n"/>
    </row>
    <row r="701">
      <c r="R701" s="6" t="n"/>
    </row>
    <row r="702">
      <c r="R702" s="6" t="n"/>
    </row>
    <row r="703">
      <c r="R703" s="6" t="n"/>
    </row>
    <row r="704">
      <c r="R704" s="6" t="n"/>
    </row>
    <row r="705">
      <c r="R705" s="6" t="n"/>
    </row>
    <row r="706">
      <c r="R706" s="6" t="n"/>
    </row>
    <row r="707">
      <c r="R707" s="6" t="n"/>
    </row>
    <row r="708">
      <c r="R708" s="6" t="n"/>
    </row>
    <row r="709">
      <c r="R709" s="6" t="n"/>
    </row>
    <row r="710">
      <c r="R710" s="6" t="n"/>
    </row>
    <row r="711">
      <c r="R711" s="6" t="n"/>
    </row>
    <row r="712">
      <c r="R712" s="6" t="n"/>
    </row>
    <row r="713">
      <c r="R713" s="6" t="n"/>
    </row>
    <row r="714">
      <c r="R714" s="6" t="n"/>
    </row>
    <row r="715">
      <c r="R715" s="6" t="n"/>
    </row>
    <row r="716">
      <c r="R716" s="6" t="n"/>
    </row>
    <row r="717">
      <c r="R717" s="6" t="n"/>
    </row>
    <row r="718">
      <c r="R718" s="6" t="n"/>
    </row>
    <row r="719">
      <c r="R719" s="6" t="n"/>
    </row>
    <row r="720">
      <c r="R720" s="6" t="n"/>
    </row>
    <row r="721">
      <c r="R721" s="6" t="n"/>
    </row>
    <row r="722">
      <c r="R722" s="6" t="n"/>
    </row>
    <row r="723">
      <c r="R723" s="6" t="n"/>
    </row>
    <row r="724">
      <c r="R724" s="6" t="n"/>
    </row>
    <row r="725">
      <c r="R725" s="6" t="n"/>
    </row>
    <row r="726">
      <c r="R726" s="6" t="n"/>
    </row>
    <row r="727">
      <c r="R727" s="6" t="n"/>
    </row>
    <row r="728">
      <c r="R728" s="6" t="n"/>
    </row>
    <row r="729">
      <c r="R729" s="6" t="n"/>
    </row>
    <row r="730">
      <c r="R730" s="6" t="n"/>
    </row>
    <row r="731">
      <c r="R731" s="6" t="n"/>
    </row>
    <row r="732">
      <c r="R732" s="6" t="n"/>
    </row>
    <row r="733">
      <c r="R733" s="6" t="n"/>
    </row>
    <row r="734">
      <c r="R734" s="6" t="n"/>
    </row>
    <row r="735">
      <c r="R735" s="6" t="n"/>
    </row>
    <row r="736">
      <c r="R736" s="6" t="n"/>
    </row>
    <row r="737">
      <c r="R737" s="6" t="n"/>
    </row>
    <row r="738">
      <c r="R738" s="6" t="n"/>
    </row>
    <row r="739">
      <c r="R739" s="6" t="n"/>
    </row>
    <row r="740">
      <c r="R740" s="6" t="n"/>
    </row>
    <row r="741">
      <c r="R741" s="6" t="n"/>
    </row>
    <row r="742">
      <c r="R742" s="6" t="n"/>
    </row>
    <row r="743">
      <c r="R743" s="6" t="n"/>
    </row>
    <row r="744">
      <c r="R744" s="6" t="n"/>
    </row>
    <row r="745">
      <c r="R745" s="6" t="n"/>
    </row>
    <row r="746">
      <c r="R746" s="6" t="n"/>
    </row>
    <row r="747">
      <c r="R747" s="6" t="n"/>
    </row>
    <row r="748">
      <c r="R748" s="6" t="n"/>
    </row>
    <row r="749">
      <c r="R749" s="6" t="n"/>
    </row>
    <row r="750">
      <c r="R750" s="6" t="n"/>
    </row>
    <row r="751">
      <c r="R751" s="6" t="n"/>
    </row>
    <row r="752">
      <c r="R752" s="6" t="n"/>
    </row>
    <row r="753">
      <c r="R753" s="6" t="n"/>
    </row>
    <row r="754">
      <c r="R754" s="6" t="n"/>
    </row>
    <row r="755">
      <c r="R755" s="6" t="n"/>
    </row>
    <row r="756">
      <c r="R756" s="6" t="n"/>
    </row>
    <row r="757">
      <c r="R757" s="6" t="n"/>
    </row>
    <row r="758">
      <c r="R758" s="6" t="n"/>
    </row>
    <row r="759">
      <c r="R759" s="6" t="n"/>
    </row>
    <row r="760">
      <c r="R760" s="6" t="n"/>
    </row>
    <row r="761">
      <c r="R761" s="6" t="n"/>
    </row>
    <row r="762">
      <c r="R762" s="6" t="n"/>
    </row>
    <row r="763">
      <c r="R763" s="6" t="n"/>
    </row>
    <row r="764">
      <c r="R764" s="6" t="n"/>
    </row>
    <row r="765">
      <c r="R765" s="6" t="n"/>
    </row>
    <row r="766">
      <c r="R766" s="6" t="n"/>
    </row>
    <row r="767">
      <c r="R767" s="6" t="n"/>
    </row>
    <row r="768">
      <c r="R768" s="6" t="n"/>
    </row>
    <row r="769">
      <c r="R769" s="6" t="n"/>
    </row>
    <row r="770">
      <c r="R770" s="6" t="n"/>
    </row>
    <row r="771">
      <c r="R771" s="6" t="n"/>
    </row>
    <row r="772">
      <c r="R772" s="6" t="n"/>
    </row>
    <row r="773">
      <c r="R773" s="6" t="n"/>
    </row>
    <row r="774">
      <c r="R774" s="6" t="n"/>
    </row>
    <row r="775">
      <c r="R775" s="6" t="n"/>
    </row>
    <row r="776">
      <c r="R776" s="6" t="n"/>
    </row>
    <row r="777">
      <c r="R777" s="6" t="n"/>
    </row>
    <row r="778">
      <c r="R778" s="6" t="n"/>
    </row>
    <row r="779">
      <c r="R779" s="6" t="n"/>
    </row>
    <row r="780">
      <c r="R780" s="6" t="n"/>
    </row>
    <row r="781">
      <c r="R781" s="6" t="n"/>
    </row>
    <row r="782">
      <c r="R782" s="6" t="n"/>
    </row>
    <row r="783">
      <c r="R783" s="6" t="n"/>
    </row>
    <row r="784">
      <c r="R784" s="6" t="n"/>
    </row>
    <row r="785">
      <c r="R785" s="6" t="n"/>
    </row>
    <row r="786">
      <c r="R786" s="6" t="n"/>
    </row>
    <row r="787">
      <c r="R787" s="6" t="n"/>
    </row>
    <row r="788">
      <c r="R788" s="6" t="n"/>
    </row>
    <row r="789">
      <c r="R789" s="6" t="n"/>
    </row>
    <row r="790">
      <c r="R790" s="6" t="n"/>
    </row>
    <row r="791">
      <c r="R791" s="6" t="n"/>
    </row>
    <row r="792">
      <c r="R792" s="6" t="n"/>
    </row>
    <row r="793">
      <c r="R793" s="6" t="n"/>
    </row>
    <row r="794">
      <c r="R794" s="6" t="n"/>
    </row>
    <row r="795">
      <c r="R795" s="6" t="n"/>
    </row>
    <row r="796">
      <c r="R796" s="6" t="n"/>
    </row>
    <row r="797">
      <c r="R797" s="6" t="n"/>
    </row>
    <row r="798">
      <c r="R798" s="6" t="n"/>
    </row>
    <row r="799">
      <c r="R799" s="6" t="n"/>
    </row>
    <row r="800">
      <c r="R800" s="6" t="n"/>
    </row>
    <row r="801">
      <c r="R801" s="6" t="n"/>
    </row>
    <row r="802">
      <c r="R802" s="6" t="n"/>
    </row>
    <row r="803">
      <c r="R803" s="6" t="n"/>
    </row>
    <row r="804">
      <c r="R804" s="6" t="n"/>
    </row>
    <row r="805">
      <c r="R805" s="6" t="n"/>
    </row>
    <row r="806">
      <c r="R806" s="6" t="n"/>
    </row>
    <row r="807">
      <c r="R807" s="6" t="n"/>
    </row>
    <row r="808">
      <c r="R808" s="6" t="n"/>
    </row>
    <row r="809">
      <c r="R809" s="6" t="n"/>
    </row>
    <row r="810">
      <c r="R810" s="6" t="n"/>
    </row>
    <row r="811">
      <c r="R811" s="6" t="n"/>
    </row>
    <row r="812">
      <c r="R812" s="6" t="n"/>
    </row>
    <row r="813">
      <c r="R813" s="6" t="n"/>
    </row>
    <row r="814">
      <c r="R814" s="6" t="n"/>
    </row>
    <row r="815">
      <c r="R815" s="6" t="n"/>
    </row>
    <row r="816">
      <c r="R816" s="6" t="n"/>
    </row>
    <row r="817">
      <c r="R817" s="6" t="n"/>
    </row>
    <row r="818">
      <c r="R818" s="6" t="n"/>
    </row>
    <row r="819">
      <c r="R819" s="6" t="n"/>
    </row>
    <row r="820">
      <c r="R820" s="6" t="n"/>
    </row>
    <row r="821">
      <c r="R821" s="6" t="n"/>
    </row>
    <row r="822">
      <c r="R822" s="6" t="n"/>
    </row>
    <row r="823">
      <c r="R823" s="6" t="n"/>
    </row>
    <row r="824">
      <c r="R824" s="6" t="n"/>
    </row>
    <row r="825">
      <c r="R825" s="6" t="n"/>
    </row>
    <row r="826">
      <c r="R826" s="6" t="n"/>
    </row>
    <row r="827">
      <c r="R827" s="6" t="n"/>
    </row>
    <row r="828">
      <c r="R828" s="6" t="n"/>
    </row>
    <row r="829">
      <c r="R829" s="6" t="n"/>
    </row>
    <row r="830">
      <c r="R830" s="6" t="n"/>
    </row>
    <row r="831">
      <c r="R831" s="6" t="n"/>
    </row>
    <row r="832">
      <c r="R832" s="6" t="n"/>
    </row>
    <row r="833">
      <c r="R833" s="6" t="n"/>
    </row>
    <row r="834">
      <c r="R834" s="6" t="n"/>
    </row>
    <row r="835">
      <c r="R835" s="6" t="n"/>
    </row>
    <row r="836">
      <c r="R836" s="6" t="n"/>
    </row>
    <row r="837">
      <c r="R837" s="6" t="n"/>
    </row>
    <row r="838">
      <c r="R838" s="6" t="n"/>
    </row>
    <row r="839">
      <c r="R839" s="6" t="n"/>
    </row>
    <row r="840">
      <c r="R840" s="6" t="n"/>
    </row>
    <row r="841">
      <c r="R841" s="6" t="n"/>
    </row>
    <row r="842">
      <c r="R842" s="6" t="n"/>
    </row>
    <row r="843">
      <c r="R843" s="6" t="n"/>
    </row>
    <row r="844">
      <c r="R844" s="6" t="n"/>
    </row>
    <row r="845">
      <c r="R845" s="6" t="n"/>
    </row>
    <row r="846">
      <c r="R846" s="6" t="n"/>
    </row>
    <row r="847">
      <c r="R847" s="6" t="n"/>
    </row>
    <row r="848">
      <c r="R848" s="6" t="n"/>
    </row>
    <row r="849">
      <c r="R849" s="6" t="n"/>
    </row>
    <row r="850">
      <c r="R850" s="6" t="n"/>
    </row>
    <row r="851">
      <c r="R851" s="6" t="n"/>
    </row>
    <row r="852">
      <c r="R852" s="6" t="n"/>
    </row>
    <row r="853">
      <c r="R853" s="6" t="n"/>
    </row>
    <row r="854">
      <c r="R854" s="6" t="n"/>
    </row>
    <row r="855">
      <c r="R855" s="6" t="n"/>
    </row>
    <row r="856">
      <c r="R856" s="6" t="n"/>
    </row>
    <row r="857">
      <c r="R857" s="6" t="n"/>
    </row>
    <row r="858">
      <c r="R858" s="6" t="n"/>
    </row>
    <row r="859">
      <c r="R859" s="6" t="n"/>
    </row>
    <row r="860">
      <c r="R860" s="6" t="n"/>
    </row>
    <row r="861">
      <c r="R861" s="6" t="n"/>
    </row>
    <row r="862">
      <c r="R862" s="6" t="n"/>
    </row>
    <row r="863">
      <c r="R863" s="6" t="n"/>
    </row>
    <row r="864">
      <c r="R864" s="6" t="n"/>
    </row>
    <row r="865">
      <c r="R865" s="6" t="n"/>
    </row>
    <row r="866">
      <c r="R866" s="6" t="n"/>
    </row>
    <row r="867">
      <c r="R867" s="6" t="n"/>
    </row>
    <row r="868">
      <c r="R868" s="6" t="n"/>
    </row>
    <row r="869">
      <c r="R869" s="6" t="n"/>
    </row>
    <row r="870">
      <c r="R870" s="6" t="n"/>
    </row>
    <row r="871">
      <c r="R871" s="6" t="n"/>
    </row>
    <row r="872">
      <c r="R872" s="6" t="n"/>
    </row>
    <row r="873">
      <c r="R873" s="6" t="n"/>
    </row>
    <row r="874">
      <c r="R874" s="6" t="n"/>
    </row>
    <row r="875">
      <c r="R875" s="6" t="n"/>
    </row>
    <row r="876">
      <c r="R876" s="6" t="n"/>
    </row>
    <row r="877">
      <c r="R877" s="6" t="n"/>
    </row>
    <row r="878">
      <c r="R878" s="6" t="n"/>
    </row>
    <row r="879">
      <c r="R879" s="6" t="n"/>
    </row>
    <row r="880">
      <c r="R880" s="6" t="n"/>
    </row>
    <row r="881">
      <c r="R881" s="6" t="n"/>
    </row>
    <row r="882">
      <c r="R882" s="6" t="n"/>
    </row>
    <row r="883">
      <c r="R883" s="6" t="n"/>
    </row>
    <row r="884">
      <c r="R884" s="6" t="n"/>
    </row>
    <row r="885">
      <c r="R885" s="6" t="n"/>
    </row>
    <row r="886">
      <c r="R886" s="6" t="n"/>
    </row>
    <row r="887">
      <c r="R887" s="6" t="n"/>
    </row>
    <row r="888">
      <c r="R888" s="6" t="n"/>
    </row>
    <row r="889">
      <c r="R889" s="6" t="n"/>
    </row>
    <row r="890">
      <c r="R890" s="6" t="n"/>
    </row>
    <row r="891">
      <c r="R891" s="6" t="n"/>
    </row>
    <row r="892">
      <c r="R892" s="6" t="n"/>
    </row>
    <row r="893">
      <c r="R893" s="6" t="n"/>
    </row>
    <row r="894">
      <c r="R894" s="6" t="n"/>
    </row>
    <row r="895">
      <c r="R895" s="6" t="n"/>
    </row>
    <row r="896">
      <c r="R896" s="6" t="n"/>
    </row>
    <row r="897">
      <c r="R897" s="6" t="n"/>
    </row>
    <row r="898">
      <c r="R898" s="6" t="n"/>
    </row>
    <row r="899">
      <c r="R899" s="6" t="n"/>
    </row>
    <row r="900">
      <c r="R900" s="6" t="n"/>
    </row>
    <row r="901">
      <c r="R901" s="6" t="n"/>
    </row>
    <row r="902">
      <c r="R902" s="6" t="n"/>
    </row>
    <row r="903">
      <c r="R903" s="6" t="n"/>
    </row>
    <row r="904">
      <c r="R904" s="6" t="n"/>
    </row>
    <row r="905">
      <c r="R905" s="6" t="n"/>
    </row>
    <row r="906">
      <c r="R906" s="6" t="n"/>
    </row>
    <row r="907">
      <c r="R907" s="6" t="n"/>
    </row>
    <row r="908">
      <c r="R908" s="6" t="n"/>
    </row>
    <row r="909">
      <c r="R909" s="6" t="n"/>
    </row>
    <row r="910">
      <c r="R910" s="6" t="n"/>
    </row>
    <row r="911">
      <c r="R911" s="6" t="n"/>
    </row>
    <row r="912">
      <c r="R912" s="6" t="n"/>
    </row>
    <row r="913">
      <c r="R913" s="6" t="n"/>
    </row>
    <row r="914">
      <c r="R914" s="6" t="n"/>
    </row>
    <row r="915">
      <c r="R915" s="6" t="n"/>
    </row>
    <row r="916">
      <c r="R916" s="6" t="n"/>
    </row>
    <row r="917">
      <c r="R917" s="6" t="n"/>
    </row>
    <row r="918">
      <c r="R918" s="6" t="n"/>
    </row>
    <row r="919">
      <c r="R919" s="6" t="n"/>
    </row>
    <row r="920">
      <c r="R920" s="6" t="n"/>
    </row>
    <row r="921">
      <c r="R921" s="6" t="n"/>
    </row>
    <row r="922">
      <c r="R922" s="6" t="n"/>
    </row>
    <row r="923">
      <c r="R923" s="6" t="n"/>
    </row>
    <row r="924">
      <c r="R924" s="6" t="n"/>
    </row>
    <row r="925">
      <c r="R925" s="6" t="n"/>
    </row>
    <row r="926">
      <c r="R926" s="6" t="n"/>
    </row>
    <row r="927">
      <c r="R927" s="6" t="n"/>
    </row>
    <row r="928">
      <c r="R928" s="6" t="n"/>
    </row>
    <row r="929">
      <c r="R929" s="6" t="n"/>
    </row>
    <row r="930">
      <c r="R930" s="6" t="n"/>
    </row>
    <row r="931">
      <c r="R931" s="6" t="n"/>
    </row>
    <row r="932">
      <c r="R932" s="6" t="n"/>
    </row>
    <row r="933">
      <c r="R933" s="6" t="n"/>
    </row>
    <row r="934">
      <c r="R934" s="6" t="n"/>
    </row>
    <row r="935">
      <c r="R935" s="6" t="n"/>
    </row>
    <row r="936">
      <c r="R936" s="6" t="n"/>
    </row>
    <row r="937">
      <c r="R937" s="6" t="n"/>
    </row>
    <row r="938">
      <c r="R938" s="6" t="n"/>
    </row>
    <row r="939">
      <c r="R939" s="6" t="n"/>
    </row>
    <row r="940">
      <c r="R940" s="6" t="n"/>
    </row>
    <row r="941">
      <c r="R941" s="6" t="n"/>
    </row>
    <row r="942">
      <c r="R942" s="6" t="n"/>
    </row>
    <row r="943">
      <c r="R943" s="6" t="n"/>
    </row>
    <row r="944">
      <c r="R944" s="6" t="n"/>
    </row>
    <row r="945">
      <c r="R945" s="6" t="n"/>
    </row>
    <row r="946">
      <c r="R946" s="6" t="n"/>
    </row>
    <row r="947">
      <c r="R947" s="6" t="n"/>
    </row>
    <row r="948">
      <c r="R948" s="6" t="n"/>
    </row>
    <row r="949">
      <c r="R949" s="6" t="n"/>
    </row>
    <row r="950">
      <c r="R950" s="6" t="n"/>
    </row>
    <row r="951">
      <c r="R951" s="6" t="n"/>
    </row>
    <row r="952">
      <c r="R952" s="6" t="n"/>
    </row>
    <row r="953">
      <c r="R953" s="6" t="n"/>
    </row>
    <row r="954">
      <c r="R954" s="6" t="n"/>
    </row>
    <row r="955">
      <c r="R955" s="6" t="n"/>
    </row>
    <row r="956">
      <c r="R956" s="6" t="n"/>
    </row>
    <row r="957">
      <c r="R957" s="6" t="n"/>
    </row>
    <row r="958">
      <c r="R958" s="6" t="n"/>
    </row>
    <row r="959">
      <c r="R959" s="6" t="n"/>
    </row>
    <row r="960">
      <c r="R960" s="6" t="n"/>
    </row>
    <row r="961">
      <c r="R961" s="6" t="n"/>
    </row>
    <row r="962">
      <c r="R962" s="6" t="n"/>
    </row>
    <row r="963">
      <c r="R963" s="6" t="n"/>
    </row>
    <row r="964">
      <c r="R964" s="6" t="n"/>
    </row>
    <row r="965">
      <c r="R965" s="6" t="n"/>
    </row>
    <row r="966">
      <c r="R966" s="6" t="n"/>
    </row>
    <row r="967">
      <c r="R967" s="6" t="n"/>
    </row>
    <row r="968">
      <c r="R968" s="6" t="n"/>
    </row>
    <row r="969">
      <c r="R969" s="6" t="n"/>
    </row>
    <row r="970">
      <c r="R970" s="6" t="n"/>
    </row>
    <row r="971">
      <c r="R971" s="6" t="n"/>
    </row>
    <row r="972">
      <c r="R972" s="6" t="n"/>
    </row>
    <row r="973">
      <c r="R973" s="6" t="n"/>
    </row>
    <row r="974">
      <c r="R974" s="6" t="n"/>
    </row>
    <row r="975">
      <c r="R975" s="6" t="n"/>
    </row>
    <row r="976">
      <c r="R976" s="6" t="n"/>
    </row>
    <row r="977">
      <c r="R977" s="6" t="n"/>
    </row>
    <row r="978">
      <c r="R978" s="6" t="n"/>
    </row>
    <row r="979">
      <c r="R979" s="6" t="n"/>
    </row>
    <row r="980">
      <c r="R980" s="6" t="n"/>
    </row>
    <row r="981">
      <c r="R981" s="6" t="n"/>
    </row>
    <row r="982">
      <c r="R982" s="6" t="n"/>
    </row>
    <row r="983">
      <c r="R983" s="6" t="n"/>
    </row>
    <row r="984">
      <c r="R984" s="6" t="n"/>
    </row>
    <row r="985">
      <c r="R985" s="6" t="n"/>
    </row>
    <row r="986">
      <c r="R986" s="6" t="n"/>
    </row>
    <row r="987">
      <c r="R987" s="6" t="n"/>
    </row>
    <row r="988">
      <c r="R988" s="6" t="n"/>
    </row>
    <row r="989">
      <c r="R989" s="6" t="n"/>
    </row>
    <row r="990">
      <c r="R990" s="6" t="n"/>
    </row>
    <row r="991">
      <c r="R991" s="6" t="n"/>
    </row>
    <row r="992">
      <c r="R992" s="6" t="n"/>
    </row>
    <row r="993">
      <c r="R993" s="6" t="n"/>
    </row>
    <row r="994">
      <c r="R994" s="6" t="n"/>
    </row>
    <row r="995">
      <c r="R995" s="6" t="n"/>
    </row>
    <row r="996">
      <c r="R996" s="6" t="n"/>
    </row>
    <row r="997">
      <c r="R997" s="6" t="n"/>
    </row>
    <row r="998">
      <c r="R998" s="6" t="n"/>
    </row>
    <row r="999">
      <c r="R999" s="6" t="n"/>
    </row>
    <row r="1000">
      <c r="R1000" s="6" t="n"/>
    </row>
  </sheetData>
  <dataValidations count="9">
    <dataValidation sqref="E2:E1000" showDropDown="0" showInputMessage="0" showErrorMessage="0" allowBlank="1" error="Используйте значение из выпадающего списка" prompt="Выберите значение из списка" type="list">
      <formula1>='DICTIONARIES'!$A$2:$A$17</formula1>
    </dataValidation>
    <dataValidation sqref="G2:G1000" showDropDown="0" showInputMessage="0" showErrorMessage="0" allowBlank="1" error="Используйте значение из выпадающего списка" prompt="Выберите значение из списка" type="list">
      <formula1>='DICTIONARIES'!$B$2:$B$7</formula1>
    </dataValidation>
    <dataValidation sqref="H2:H1000" showDropDown="0" showInputMessage="0" showErrorMessage="0" allowBlank="1" error="Используйте значение из выпадающего списка" prompt="Выберите значение из списка" type="list">
      <formula1>='DICTIONARIES'!$C$2:$C$15</formula1>
    </dataValidation>
    <dataValidation sqref="K2:K1000" showDropDown="0" showInputMessage="0" showErrorMessage="0" allowBlank="1" error="Используйте значение из выпадающего списка" prompt="Выберите значение из списка" type="list">
      <formula1>='DICTIONARIES'!$O$2:$O$9</formula1>
    </dataValidation>
    <dataValidation sqref="L2:L1000" showDropDown="0" showInputMessage="0" showErrorMessage="0" allowBlank="1" error="Используйте значение из выпадающего списка" prompt="Выберите значение из списка" type="list">
      <formula1>='DICTIONARIES'!$D$2:$D$4</formula1>
    </dataValidation>
    <dataValidation sqref="M2:M1000" showDropDown="0" showInputMessage="0" showErrorMessage="0" allowBlank="1" error="Используйте значение из выпадающего списка" prompt="Выберите значение из списка" type="list">
      <formula1>='DICTIONARIES'!$G$2:$G$3</formula1>
    </dataValidation>
    <dataValidation sqref="O2:O1000" showDropDown="0" showInputMessage="0" showErrorMessage="0" allowBlank="1" type="list">
      <formula1>='DICTIONARIES'!$AC$2:$AC$9</formula1>
    </dataValidation>
    <dataValidation sqref="Q2:Q1000" showDropDown="0" showInputMessage="0" showErrorMessage="0" allowBlank="1" type="list">
      <formula1>='DICTIONARIES'!$AE$2:$AE$5</formula1>
    </dataValidation>
    <dataValidation sqref="R2:R1000" showDropDown="0" showInputMessage="0" showErrorMessage="0" allowBlank="1" type="list">
      <formula1>='DICTIONARIES'!$G$2:$G$3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5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4" customWidth="1" min="5" max="5"/>
    <col width="14" customWidth="1" min="6" max="6"/>
    <col width="20" customWidth="1" min="7" max="7"/>
    <col width="18" customWidth="1" min="8" max="8"/>
    <col width="14" customWidth="1" min="9" max="9"/>
    <col width="30" customWidth="1" min="10" max="10"/>
    <col width="24" customWidth="1" min="11" max="11"/>
    <col width="10" customWidth="1" min="12" max="12"/>
    <col width="10" customWidth="1" min="13" max="13"/>
    <col width="32" customWidth="1" min="14" max="14"/>
    <col width="14" customWidth="1" min="15" max="15"/>
    <col width="22" customWidth="1" min="16" max="16"/>
    <col width="12" customWidth="1" min="17" max="17"/>
    <col width="18" customWidth="1" min="18" max="18"/>
    <col width="12" customWidth="1" min="19" max="19"/>
    <col width="16" customWidth="1" min="20" max="20"/>
    <col width="14" customWidth="1" min="21" max="21"/>
    <col width="14" customWidth="1" min="22" max="22"/>
    <col width="12" customWidth="1" min="23" max="23"/>
    <col width="10" customWidth="1" min="24" max="24"/>
    <col width="12" customWidth="1" min="25" max="25"/>
  </cols>
  <sheetData>
    <row r="1">
      <c r="A1" s="4" t="inlineStr">
        <is>
          <t>VariantID</t>
        </is>
      </c>
      <c r="B1" s="4" t="inlineStr">
        <is>
          <t>MaterialID</t>
        </is>
      </c>
      <c r="C1" s="4" t="inlineStr">
        <is>
          <t>ThicknessMM</t>
        </is>
      </c>
      <c r="D1" s="4" t="inlineStr">
        <is>
          <t>Color</t>
        </is>
      </c>
      <c r="E1" s="4" t="inlineStr">
        <is>
          <t>Surface</t>
        </is>
      </c>
      <c r="F1" s="4" t="inlineStr">
        <is>
          <t>EdgeType</t>
        </is>
      </c>
      <c r="G1" s="4" t="inlineStr">
        <is>
          <t>LoadClass</t>
        </is>
      </c>
      <c r="H1" s="4" t="inlineStr">
        <is>
          <t>Manufacturer</t>
        </is>
      </c>
      <c r="I1" s="4" t="inlineStr">
        <is>
          <t>PricePerUnit</t>
        </is>
      </c>
      <c r="J1" s="4" t="inlineStr">
        <is>
          <t>ClientName</t>
        </is>
      </c>
      <c r="K1" s="4" t="inlineStr">
        <is>
          <t>ClientDisplayMode</t>
        </is>
      </c>
      <c r="L1" s="4" t="inlineStr">
        <is>
          <t>IsDefault</t>
        </is>
      </c>
      <c r="M1" s="4" t="inlineStr">
        <is>
          <t>IsActive</t>
        </is>
      </c>
      <c r="N1" s="4" t="inlineStr">
        <is>
          <t>Notes</t>
        </is>
      </c>
      <c r="O1" s="4" t="inlineStr">
        <is>
          <t>PurchaseUnit</t>
        </is>
      </c>
      <c r="P1" s="4" t="inlineStr">
        <is>
          <t>CoveragePerPurchaseUnit</t>
        </is>
      </c>
      <c r="Q1" s="4" t="inlineStr">
        <is>
          <t>CoverageUnit</t>
        </is>
      </c>
      <c r="R1" s="4" t="inlineStr">
        <is>
          <t>Supplier</t>
        </is>
      </c>
      <c r="S1" s="4" t="inlineStr">
        <is>
          <t>LeadTimeDays</t>
        </is>
      </c>
      <c r="T1" s="4" t="inlineStr">
        <is>
          <t>PriceSource</t>
        </is>
      </c>
      <c r="U1" s="4" t="inlineStr">
        <is>
          <t>PriceValidFrom</t>
        </is>
      </c>
      <c r="V1" s="4" t="inlineStr">
        <is>
          <t>PriceValidTo</t>
        </is>
      </c>
      <c r="W1" s="4" t="inlineStr">
        <is>
          <t>TaxMode</t>
        </is>
      </c>
      <c r="X1" s="4" t="inlineStr">
        <is>
          <t>MOQ</t>
        </is>
      </c>
      <c r="Y1" s="4" t="inlineStr">
        <is>
          <t>OrderStepQty</t>
        </is>
      </c>
    </row>
    <row r="2">
      <c r="A2" s="26" t="inlineStr">
        <is>
          <t>MV-0001</t>
        </is>
      </c>
      <c r="B2" s="26" t="inlineStr">
        <is>
          <t>MAT-0001</t>
        </is>
      </c>
      <c r="C2" s="30" t="n">
        <v>40</v>
      </c>
      <c r="D2" s="26" t="inlineStr">
        <is>
          <t>Серый</t>
        </is>
      </c>
      <c r="E2" s="26" t="inlineStr">
        <is>
          <t>Гладкая</t>
        </is>
      </c>
      <c r="F2" s="26" t="inlineStr">
        <is>
          <t>Без фаски</t>
        </is>
      </c>
      <c r="G2" s="26" t="inlineStr">
        <is>
          <t>Пешеходная</t>
        </is>
      </c>
      <c r="H2" s="26" t="inlineStr"/>
      <c r="I2" s="27" t="n">
        <v>0</v>
      </c>
      <c r="J2" s="26" t="inlineStr">
        <is>
          <t>Брусчатка бетонная 200x100x40 мм</t>
        </is>
      </c>
      <c r="K2" s="26" t="inlineStr">
        <is>
          <t>Показать строкой</t>
        </is>
      </c>
      <c r="L2" s="26" t="inlineStr">
        <is>
          <t>Нет</t>
        </is>
      </c>
      <c r="M2" s="26" t="inlineStr">
        <is>
          <t>Да</t>
        </is>
      </c>
      <c r="N2" s="26" t="inlineStr">
        <is>
          <t>Пример варианта; цену заполнить</t>
        </is>
      </c>
      <c r="O2" s="26" t="inlineStr">
        <is>
          <t>м2</t>
        </is>
      </c>
      <c r="P2" s="26" t="n">
        <v>1</v>
      </c>
      <c r="Q2" s="26" t="inlineStr">
        <is>
          <t>м2</t>
        </is>
      </c>
      <c r="R2" s="19" t="inlineStr">
        <is>
          <t>Поставщик A</t>
        </is>
      </c>
      <c r="S2" s="19" t="n">
        <v>5</v>
      </c>
      <c r="T2" s="19" t="inlineStr">
        <is>
          <t>Прайс поставщика</t>
        </is>
      </c>
      <c r="U2" s="36" t="n">
        <v>46082</v>
      </c>
      <c r="V2" s="36" t="n">
        <v>46112</v>
      </c>
      <c r="W2" s="19" t="inlineStr">
        <is>
          <t>С НДС 20%</t>
        </is>
      </c>
      <c r="X2" s="19" t="n">
        <v>10</v>
      </c>
      <c r="Y2" s="19" t="n">
        <v>10</v>
      </c>
    </row>
    <row r="3">
      <c r="A3" s="26" t="inlineStr">
        <is>
          <t>MV-0002</t>
        </is>
      </c>
      <c r="B3" s="26" t="inlineStr">
        <is>
          <t>MAT-0001</t>
        </is>
      </c>
      <c r="C3" s="30" t="n">
        <v>60</v>
      </c>
      <c r="D3" s="26" t="inlineStr">
        <is>
          <t>Серый</t>
        </is>
      </c>
      <c r="E3" s="26" t="inlineStr">
        <is>
          <t>Гладкая</t>
        </is>
      </c>
      <c r="F3" s="26" t="inlineStr">
        <is>
          <t>Без фаски</t>
        </is>
      </c>
      <c r="G3" s="26" t="inlineStr">
        <is>
          <t>Легковой транспорт</t>
        </is>
      </c>
      <c r="H3" s="26" t="inlineStr"/>
      <c r="I3" s="27" t="n">
        <v>0</v>
      </c>
      <c r="J3" s="26" t="inlineStr">
        <is>
          <t>Брусчатка бетонная 200x100x60 мм</t>
        </is>
      </c>
      <c r="K3" s="26" t="inlineStr">
        <is>
          <t>Показать строкой</t>
        </is>
      </c>
      <c r="L3" s="26" t="inlineStr">
        <is>
          <t>Да</t>
        </is>
      </c>
      <c r="M3" s="26" t="inlineStr">
        <is>
          <t>Да</t>
        </is>
      </c>
      <c r="N3" s="26" t="inlineStr">
        <is>
          <t>Базовый вариант для частного участка</t>
        </is>
      </c>
      <c r="O3" s="26" t="inlineStr">
        <is>
          <t>м2</t>
        </is>
      </c>
      <c r="P3" s="26" t="n">
        <v>1</v>
      </c>
      <c r="Q3" s="26" t="inlineStr">
        <is>
          <t>м2</t>
        </is>
      </c>
      <c r="R3" s="19" t="n"/>
      <c r="S3" s="19" t="n"/>
      <c r="T3" s="19" t="n"/>
      <c r="U3" s="36" t="n"/>
      <c r="V3" s="36" t="n"/>
      <c r="W3" s="19" t="n"/>
      <c r="X3" s="19" t="n"/>
      <c r="Y3" s="19" t="n"/>
    </row>
    <row r="4">
      <c r="A4" s="26" t="inlineStr">
        <is>
          <t>MV-0003</t>
        </is>
      </c>
      <c r="B4" s="26" t="inlineStr">
        <is>
          <t>MAT-0001</t>
        </is>
      </c>
      <c r="C4" s="30" t="n">
        <v>80</v>
      </c>
      <c r="D4" s="26" t="inlineStr">
        <is>
          <t>Серый</t>
        </is>
      </c>
      <c r="E4" s="26" t="inlineStr">
        <is>
          <t>Гладкая</t>
        </is>
      </c>
      <c r="F4" s="26" t="inlineStr">
        <is>
          <t>Без фаски</t>
        </is>
      </c>
      <c r="G4" s="26" t="inlineStr">
        <is>
          <t>Повышенная нагрузка</t>
        </is>
      </c>
      <c r="H4" s="26" t="inlineStr"/>
      <c r="I4" s="27" t="n">
        <v>0</v>
      </c>
      <c r="J4" s="26" t="inlineStr">
        <is>
          <t>Брусчатка бетонная 200x100x80 мм</t>
        </is>
      </c>
      <c r="K4" s="26" t="inlineStr">
        <is>
          <t>Показать строкой</t>
        </is>
      </c>
      <c r="L4" s="26" t="inlineStr">
        <is>
          <t>Нет</t>
        </is>
      </c>
      <c r="M4" s="26" t="inlineStr">
        <is>
          <t>Да</t>
        </is>
      </c>
      <c r="N4" s="26" t="inlineStr"/>
      <c r="O4" s="26" t="inlineStr">
        <is>
          <t>м2</t>
        </is>
      </c>
      <c r="P4" s="26" t="n">
        <v>1</v>
      </c>
      <c r="Q4" s="26" t="inlineStr">
        <is>
          <t>м2</t>
        </is>
      </c>
      <c r="R4" s="19" t="n"/>
      <c r="S4" s="19" t="n"/>
      <c r="T4" s="19" t="n"/>
      <c r="U4" s="36" t="n"/>
      <c r="V4" s="36" t="n"/>
      <c r="W4" s="19" t="n"/>
      <c r="X4" s="19" t="n"/>
      <c r="Y4" s="19" t="n"/>
    </row>
    <row r="5">
      <c r="A5" s="19" t="inlineStr">
        <is>
          <t>MV-0004</t>
        </is>
      </c>
      <c r="B5" s="19" t="inlineStr">
        <is>
          <t>MAT-0003</t>
        </is>
      </c>
      <c r="C5" s="31" t="n"/>
      <c r="D5" s="19" t="inlineStr"/>
      <c r="E5" s="19" t="inlineStr"/>
      <c r="F5" s="19" t="inlineStr"/>
      <c r="G5" s="19" t="inlineStr"/>
      <c r="H5" s="19" t="inlineStr"/>
      <c r="I5" s="29" t="n">
        <v>0</v>
      </c>
      <c r="J5" s="19" t="inlineStr">
        <is>
          <t>Геотекстиль 200 г/м2</t>
        </is>
      </c>
      <c r="K5" s="19" t="inlineStr">
        <is>
          <t>Свернуть в раздел</t>
        </is>
      </c>
      <c r="L5" s="19" t="inlineStr">
        <is>
          <t>Да</t>
        </is>
      </c>
      <c r="M5" s="19" t="inlineStr">
        <is>
          <t>Да</t>
        </is>
      </c>
      <c r="N5" s="19" t="inlineStr">
        <is>
          <t>Площадь рулона заполни по поставщику</t>
        </is>
      </c>
      <c r="O5" s="26" t="inlineStr">
        <is>
          <t>рулон</t>
        </is>
      </c>
      <c r="P5" s="26" t="n">
        <v>0</v>
      </c>
      <c r="Q5" s="26" t="inlineStr">
        <is>
          <t>м2</t>
        </is>
      </c>
      <c r="R5" s="19" t="n"/>
      <c r="S5" s="19" t="n"/>
      <c r="T5" s="19" t="n"/>
      <c r="U5" s="36" t="n"/>
      <c r="V5" s="36" t="n"/>
      <c r="W5" s="19" t="n"/>
      <c r="X5" s="19" t="n"/>
      <c r="Y5" s="19" t="n"/>
    </row>
    <row r="6">
      <c r="A6" s="19" t="inlineStr">
        <is>
          <t>MV-0005</t>
        </is>
      </c>
      <c r="B6" s="19" t="inlineStr">
        <is>
          <t>MAT-0004</t>
        </is>
      </c>
      <c r="C6" s="31" t="n"/>
      <c r="D6" s="19" t="inlineStr"/>
      <c r="E6" s="19" t="inlineStr"/>
      <c r="F6" s="19" t="inlineStr"/>
      <c r="G6" s="19" t="inlineStr"/>
      <c r="H6" s="19" t="inlineStr"/>
      <c r="I6" s="29" t="n">
        <v>0</v>
      </c>
      <c r="J6" s="19" t="inlineStr">
        <is>
          <t>Газон рулонный стандарт</t>
        </is>
      </c>
      <c r="K6" s="19" t="inlineStr">
        <is>
          <t>Показать строкой</t>
        </is>
      </c>
      <c r="L6" s="19" t="inlineStr">
        <is>
          <t>Да</t>
        </is>
      </c>
      <c r="M6" s="19" t="inlineStr">
        <is>
          <t>Да</t>
        </is>
      </c>
      <c r="N6" s="19" t="inlineStr">
        <is>
          <t>Размер рулона заполни по поставщику</t>
        </is>
      </c>
      <c r="O6" s="26" t="inlineStr">
        <is>
          <t>рулон</t>
        </is>
      </c>
      <c r="P6" s="26" t="n">
        <v>0</v>
      </c>
      <c r="Q6" s="26" t="inlineStr">
        <is>
          <t>м2</t>
        </is>
      </c>
      <c r="R6" s="19" t="n"/>
      <c r="S6" s="19" t="n"/>
      <c r="T6" s="19" t="n"/>
      <c r="U6" s="36" t="n"/>
      <c r="V6" s="36" t="n"/>
      <c r="W6" s="19" t="n"/>
      <c r="X6" s="19" t="n"/>
      <c r="Y6" s="19" t="n"/>
    </row>
    <row r="7">
      <c r="A7" s="19" t="inlineStr">
        <is>
          <t>MV-0006</t>
        </is>
      </c>
      <c r="B7" s="19" t="inlineStr">
        <is>
          <t>MAT-0005</t>
        </is>
      </c>
      <c r="C7" s="31" t="n"/>
      <c r="D7" s="19" t="inlineStr"/>
      <c r="E7" s="19" t="inlineStr"/>
      <c r="F7" s="19" t="inlineStr"/>
      <c r="G7" s="19" t="inlineStr"/>
      <c r="H7" s="19" t="inlineStr"/>
      <c r="I7" s="29" t="n">
        <v>0</v>
      </c>
      <c r="J7" s="19" t="inlineStr">
        <is>
          <t>Пленка / мембрана защитная</t>
        </is>
      </c>
      <c r="K7" s="19" t="inlineStr">
        <is>
          <t>Свернуть в раздел</t>
        </is>
      </c>
      <c r="L7" s="19" t="inlineStr">
        <is>
          <t>Да</t>
        </is>
      </c>
      <c r="M7" s="19" t="inlineStr">
        <is>
          <t>Да</t>
        </is>
      </c>
      <c r="N7" s="19" t="inlineStr">
        <is>
          <t>Ширину рулона и покрытие укажи по поставщику</t>
        </is>
      </c>
      <c r="O7" s="26" t="inlineStr">
        <is>
          <t>рулон</t>
        </is>
      </c>
      <c r="P7" s="26" t="n">
        <v>0</v>
      </c>
      <c r="Q7" s="26" t="inlineStr">
        <is>
          <t>м2</t>
        </is>
      </c>
      <c r="R7" s="19" t="n"/>
      <c r="S7" s="19" t="n"/>
      <c r="T7" s="19" t="n"/>
      <c r="U7" s="36" t="n"/>
      <c r="V7" s="36" t="n"/>
      <c r="W7" s="19" t="n"/>
      <c r="X7" s="19" t="n"/>
      <c r="Y7" s="19" t="n"/>
    </row>
    <row r="8">
      <c r="A8" s="19" t="inlineStr">
        <is>
          <t>MV-0007</t>
        </is>
      </c>
      <c r="B8" s="19" t="inlineStr">
        <is>
          <t>MAT-0006</t>
        </is>
      </c>
      <c r="C8" s="31" t="n"/>
      <c r="D8" s="19" t="inlineStr"/>
      <c r="E8" s="19" t="inlineStr"/>
      <c r="F8" s="19" t="inlineStr"/>
      <c r="G8" s="19" t="inlineStr"/>
      <c r="H8" s="19" t="inlineStr"/>
      <c r="I8" s="29" t="n">
        <v>0</v>
      </c>
      <c r="J8" s="19" t="inlineStr">
        <is>
          <t>Террасная доска стандарт</t>
        </is>
      </c>
      <c r="K8" s="19" t="inlineStr">
        <is>
          <t>Показать строкой</t>
        </is>
      </c>
      <c r="L8" s="19" t="inlineStr">
        <is>
          <t>Да</t>
        </is>
      </c>
      <c r="M8" s="19" t="inlineStr">
        <is>
          <t>Да</t>
        </is>
      </c>
      <c r="N8" s="19" t="inlineStr">
        <is>
          <t>Укажи покрытие одной пачки или одной доски</t>
        </is>
      </c>
      <c r="O8" s="26" t="inlineStr">
        <is>
          <t>пачка</t>
        </is>
      </c>
      <c r="P8" s="26" t="n">
        <v>0</v>
      </c>
      <c r="Q8" s="26" t="inlineStr">
        <is>
          <t>м2</t>
        </is>
      </c>
      <c r="R8" s="19" t="n"/>
      <c r="S8" s="19" t="n"/>
      <c r="T8" s="19" t="n"/>
      <c r="U8" s="36" t="n"/>
      <c r="V8" s="36" t="n"/>
      <c r="W8" s="19" t="n"/>
      <c r="X8" s="19" t="n"/>
      <c r="Y8" s="19" t="n"/>
    </row>
    <row r="9">
      <c r="A9" s="19" t="inlineStr">
        <is>
          <t>MV-0008</t>
        </is>
      </c>
      <c r="B9" s="19" t="inlineStr">
        <is>
          <t>MAT-0007</t>
        </is>
      </c>
      <c r="C9" s="31" t="n"/>
      <c r="D9" s="19" t="inlineStr"/>
      <c r="E9" s="19" t="inlineStr"/>
      <c r="F9" s="19" t="inlineStr"/>
      <c r="G9" s="19" t="inlineStr"/>
      <c r="H9" s="19" t="inlineStr"/>
      <c r="I9" s="29" t="n">
        <v>0</v>
      </c>
      <c r="J9" s="19" t="inlineStr">
        <is>
          <t>Щебень фр. 20-40</t>
        </is>
      </c>
      <c r="K9" s="19" t="inlineStr">
        <is>
          <t>Свернуть в раздел</t>
        </is>
      </c>
      <c r="L9" s="19" t="inlineStr">
        <is>
          <t>Да</t>
        </is>
      </c>
      <c r="M9" s="19" t="inlineStr">
        <is>
          <t>Да</t>
        </is>
      </c>
      <c r="N9" s="19" t="inlineStr">
        <is>
          <t>Закупка обычно в м3 или т; приведи к своей схеме</t>
        </is>
      </c>
      <c r="O9" s="26" t="inlineStr">
        <is>
          <t>м3</t>
        </is>
      </c>
      <c r="P9" s="26" t="n">
        <v>1</v>
      </c>
      <c r="Q9" s="26" t="inlineStr">
        <is>
          <t>м3</t>
        </is>
      </c>
      <c r="R9" s="19" t="n"/>
      <c r="S9" s="19" t="n"/>
      <c r="T9" s="19" t="n"/>
      <c r="U9" s="36" t="n"/>
      <c r="V9" s="36" t="n"/>
      <c r="W9" s="19" t="n"/>
      <c r="X9" s="19" t="n"/>
      <c r="Y9" s="19" t="n"/>
    </row>
    <row r="10">
      <c r="A10" s="19" t="n"/>
      <c r="B10" s="19" t="n"/>
      <c r="C10" s="31" t="n"/>
      <c r="D10" s="19" t="n"/>
      <c r="E10" s="19" t="n"/>
      <c r="F10" s="19" t="n"/>
      <c r="G10" s="19" t="n"/>
      <c r="H10" s="19" t="n"/>
      <c r="I10" s="29" t="n"/>
      <c r="J10" s="19" t="n"/>
      <c r="K10" s="19" t="n"/>
      <c r="L10" s="19" t="n"/>
      <c r="M10" s="19" t="n"/>
      <c r="N10" s="19" t="n"/>
      <c r="O10" s="26" t="n"/>
      <c r="P10" s="26" t="n"/>
      <c r="Q10" s="26" t="n"/>
      <c r="R10" s="19" t="n"/>
      <c r="S10" s="19" t="n"/>
      <c r="T10" s="19" t="n"/>
      <c r="U10" s="19" t="n"/>
      <c r="V10" s="19" t="n"/>
      <c r="W10" s="19" t="n"/>
      <c r="X10" s="19" t="n"/>
      <c r="Y10" s="19" t="n"/>
    </row>
    <row r="11">
      <c r="A11" s="19" t="n"/>
      <c r="B11" s="19" t="n"/>
      <c r="C11" s="31" t="n"/>
      <c r="D11" s="19" t="n"/>
      <c r="E11" s="19" t="n"/>
      <c r="F11" s="19" t="n"/>
      <c r="G11" s="19" t="n"/>
      <c r="H11" s="19" t="n"/>
      <c r="I11" s="29" t="n"/>
      <c r="J11" s="19" t="n"/>
      <c r="K11" s="19" t="n"/>
      <c r="L11" s="19" t="n"/>
      <c r="M11" s="19" t="n"/>
      <c r="N11" s="19" t="n"/>
      <c r="O11" s="26" t="n"/>
      <c r="P11" s="26" t="n"/>
      <c r="Q11" s="26" t="n"/>
      <c r="R11" s="19" t="n"/>
      <c r="S11" s="19" t="n"/>
      <c r="T11" s="19" t="n"/>
      <c r="U11" s="19" t="n"/>
      <c r="V11" s="19" t="n"/>
      <c r="W11" s="19" t="n"/>
      <c r="X11" s="19" t="n"/>
      <c r="Y11" s="19" t="n"/>
    </row>
    <row r="12">
      <c r="A12" s="19" t="n"/>
      <c r="B12" s="19" t="n"/>
      <c r="C12" s="31" t="n"/>
      <c r="D12" s="19" t="n"/>
      <c r="E12" s="19" t="n"/>
      <c r="F12" s="19" t="n"/>
      <c r="G12" s="19" t="n"/>
      <c r="H12" s="19" t="n"/>
      <c r="I12" s="29" t="n"/>
      <c r="J12" s="19" t="n"/>
      <c r="K12" s="19" t="n"/>
      <c r="L12" s="19" t="n"/>
      <c r="M12" s="19" t="n"/>
      <c r="N12" s="19" t="n"/>
      <c r="O12" s="26" t="n"/>
      <c r="P12" s="26" t="n"/>
      <c r="Q12" s="26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>
      <c r="A13" s="19" t="n"/>
      <c r="B13" s="19" t="n"/>
      <c r="C13" s="31" t="n"/>
      <c r="D13" s="19" t="n"/>
      <c r="E13" s="19" t="n"/>
      <c r="F13" s="19" t="n"/>
      <c r="G13" s="19" t="n"/>
      <c r="H13" s="19" t="n"/>
      <c r="I13" s="29" t="n"/>
      <c r="J13" s="19" t="n"/>
      <c r="K13" s="19" t="n"/>
      <c r="L13" s="19" t="n"/>
      <c r="M13" s="19" t="n"/>
      <c r="N13" s="19" t="n"/>
      <c r="O13" s="26" t="n"/>
      <c r="P13" s="26" t="n"/>
      <c r="Q13" s="26" t="n"/>
      <c r="R13" s="19" t="n"/>
      <c r="S13" s="19" t="n"/>
      <c r="T13" s="19" t="n"/>
      <c r="U13" s="19" t="n"/>
      <c r="V13" s="19" t="n"/>
      <c r="W13" s="19" t="n"/>
      <c r="X13" s="19" t="n"/>
      <c r="Y13" s="19" t="n"/>
    </row>
    <row r="14">
      <c r="A14" s="19" t="n"/>
      <c r="B14" s="19" t="n"/>
      <c r="C14" s="31" t="n"/>
      <c r="D14" s="19" t="n"/>
      <c r="E14" s="19" t="n"/>
      <c r="F14" s="19" t="n"/>
      <c r="G14" s="19" t="n"/>
      <c r="H14" s="19" t="n"/>
      <c r="I14" s="29" t="n"/>
      <c r="J14" s="19" t="n"/>
      <c r="K14" s="19" t="n"/>
      <c r="L14" s="19" t="n"/>
      <c r="M14" s="19" t="n"/>
      <c r="N14" s="19" t="n"/>
      <c r="O14" s="26" t="n"/>
      <c r="P14" s="26" t="n"/>
      <c r="Q14" s="26" t="n"/>
      <c r="R14" s="19" t="n"/>
      <c r="S14" s="19" t="n"/>
      <c r="T14" s="19" t="n"/>
      <c r="U14" s="19" t="n"/>
      <c r="V14" s="19" t="n"/>
      <c r="W14" s="19" t="n"/>
      <c r="X14" s="19" t="n"/>
      <c r="Y14" s="19" t="n"/>
    </row>
    <row r="15">
      <c r="A15" s="19" t="n"/>
      <c r="B15" s="19" t="n"/>
      <c r="C15" s="31" t="n"/>
      <c r="D15" s="19" t="n"/>
      <c r="E15" s="19" t="n"/>
      <c r="F15" s="19" t="n"/>
      <c r="G15" s="19" t="n"/>
      <c r="H15" s="19" t="n"/>
      <c r="I15" s="29" t="n"/>
      <c r="J15" s="19" t="n"/>
      <c r="K15" s="19" t="n"/>
      <c r="L15" s="19" t="n"/>
      <c r="M15" s="19" t="n"/>
      <c r="N15" s="19" t="n"/>
      <c r="O15" s="26" t="n"/>
      <c r="P15" s="26" t="n"/>
      <c r="Q15" s="26" t="n"/>
      <c r="R15" s="19" t="n"/>
      <c r="S15" s="19" t="n"/>
      <c r="T15" s="19" t="n"/>
      <c r="U15" s="19" t="n"/>
      <c r="V15" s="19" t="n"/>
      <c r="W15" s="19" t="n"/>
      <c r="X15" s="19" t="n"/>
      <c r="Y15" s="19" t="n"/>
    </row>
    <row r="16">
      <c r="A16" s="19" t="n"/>
      <c r="B16" s="19" t="n"/>
      <c r="C16" s="31" t="n"/>
      <c r="D16" s="19" t="n"/>
      <c r="E16" s="19" t="n"/>
      <c r="F16" s="19" t="n"/>
      <c r="G16" s="19" t="n"/>
      <c r="H16" s="19" t="n"/>
      <c r="I16" s="29" t="n"/>
      <c r="J16" s="19" t="n"/>
      <c r="K16" s="19" t="n"/>
      <c r="L16" s="19" t="n"/>
      <c r="M16" s="19" t="n"/>
      <c r="N16" s="19" t="n"/>
      <c r="O16" s="26" t="n"/>
      <c r="P16" s="26" t="n"/>
      <c r="Q16" s="26" t="n"/>
      <c r="R16" s="19" t="n"/>
      <c r="S16" s="19" t="n"/>
      <c r="T16" s="19" t="n"/>
      <c r="U16" s="19" t="n"/>
      <c r="V16" s="19" t="n"/>
      <c r="W16" s="19" t="n"/>
      <c r="X16" s="19" t="n"/>
      <c r="Y16" s="19" t="n"/>
    </row>
    <row r="17">
      <c r="A17" s="19" t="n"/>
      <c r="B17" s="19" t="n"/>
      <c r="C17" s="31" t="n"/>
      <c r="D17" s="19" t="n"/>
      <c r="E17" s="19" t="n"/>
      <c r="F17" s="19" t="n"/>
      <c r="G17" s="19" t="n"/>
      <c r="H17" s="19" t="n"/>
      <c r="I17" s="29" t="n"/>
      <c r="J17" s="19" t="n"/>
      <c r="K17" s="19" t="n"/>
      <c r="L17" s="19" t="n"/>
      <c r="M17" s="19" t="n"/>
      <c r="N17" s="19" t="n"/>
      <c r="O17" s="26" t="n"/>
      <c r="P17" s="26" t="n"/>
      <c r="Q17" s="26" t="n"/>
      <c r="R17" s="19" t="n"/>
      <c r="S17" s="19" t="n"/>
      <c r="T17" s="19" t="n"/>
      <c r="U17" s="19" t="n"/>
      <c r="V17" s="19" t="n"/>
      <c r="W17" s="19" t="n"/>
      <c r="X17" s="19" t="n"/>
      <c r="Y17" s="19" t="n"/>
    </row>
    <row r="18">
      <c r="A18" s="19" t="n"/>
      <c r="B18" s="19" t="n"/>
      <c r="C18" s="31" t="n"/>
      <c r="D18" s="19" t="n"/>
      <c r="E18" s="19" t="n"/>
      <c r="F18" s="19" t="n"/>
      <c r="G18" s="19" t="n"/>
      <c r="H18" s="19" t="n"/>
      <c r="I18" s="29" t="n"/>
      <c r="J18" s="19" t="n"/>
      <c r="K18" s="19" t="n"/>
      <c r="L18" s="19" t="n"/>
      <c r="M18" s="19" t="n"/>
      <c r="N18" s="19" t="n"/>
      <c r="O18" s="26" t="n"/>
      <c r="P18" s="26" t="n"/>
      <c r="Q18" s="26" t="n"/>
      <c r="R18" s="19" t="n"/>
      <c r="S18" s="19" t="n"/>
      <c r="T18" s="19" t="n"/>
      <c r="U18" s="19" t="n"/>
      <c r="V18" s="19" t="n"/>
      <c r="W18" s="19" t="n"/>
      <c r="X18" s="19" t="n"/>
      <c r="Y18" s="19" t="n"/>
    </row>
    <row r="19">
      <c r="A19" s="19" t="n"/>
      <c r="B19" s="19" t="n"/>
      <c r="C19" s="31" t="n"/>
      <c r="D19" s="19" t="n"/>
      <c r="E19" s="19" t="n"/>
      <c r="F19" s="19" t="n"/>
      <c r="G19" s="19" t="n"/>
      <c r="H19" s="19" t="n"/>
      <c r="I19" s="29" t="n"/>
      <c r="J19" s="19" t="n"/>
      <c r="K19" s="19" t="n"/>
      <c r="L19" s="19" t="n"/>
      <c r="M19" s="19" t="n"/>
      <c r="N19" s="19" t="n"/>
      <c r="O19" s="26" t="n"/>
      <c r="P19" s="26" t="n"/>
      <c r="Q19" s="26" t="n"/>
      <c r="R19" s="19" t="n"/>
      <c r="S19" s="19" t="n"/>
      <c r="T19" s="19" t="n"/>
      <c r="U19" s="19" t="n"/>
      <c r="V19" s="19" t="n"/>
      <c r="W19" s="19" t="n"/>
      <c r="X19" s="19" t="n"/>
      <c r="Y19" s="19" t="n"/>
    </row>
    <row r="20">
      <c r="A20" s="19" t="n"/>
      <c r="B20" s="19" t="n"/>
      <c r="C20" s="31" t="n"/>
      <c r="D20" s="19" t="n"/>
      <c r="E20" s="19" t="n"/>
      <c r="F20" s="19" t="n"/>
      <c r="G20" s="19" t="n"/>
      <c r="H20" s="19" t="n"/>
      <c r="I20" s="29" t="n"/>
      <c r="J20" s="19" t="n"/>
      <c r="K20" s="19" t="n"/>
      <c r="L20" s="19" t="n"/>
      <c r="M20" s="19" t="n"/>
      <c r="N20" s="19" t="n"/>
      <c r="O20" s="26" t="n"/>
      <c r="P20" s="26" t="n"/>
      <c r="Q20" s="26" t="n"/>
      <c r="R20" s="19" t="n"/>
      <c r="S20" s="19" t="n"/>
      <c r="T20" s="19" t="n"/>
      <c r="U20" s="19" t="n"/>
      <c r="V20" s="19" t="n"/>
      <c r="W20" s="19" t="n"/>
      <c r="X20" s="19" t="n"/>
      <c r="Y20" s="19" t="n"/>
    </row>
    <row r="21">
      <c r="A21" s="19" t="n"/>
      <c r="B21" s="19" t="n"/>
      <c r="C21" s="31" t="n"/>
      <c r="D21" s="19" t="n"/>
      <c r="E21" s="19" t="n"/>
      <c r="F21" s="19" t="n"/>
      <c r="G21" s="19" t="n"/>
      <c r="H21" s="19" t="n"/>
      <c r="I21" s="29" t="n"/>
      <c r="J21" s="19" t="n"/>
      <c r="K21" s="19" t="n"/>
      <c r="L21" s="19" t="n"/>
      <c r="M21" s="19" t="n"/>
      <c r="N21" s="19" t="n"/>
      <c r="O21" s="26" t="n"/>
      <c r="P21" s="26" t="n"/>
      <c r="Q21" s="26" t="n"/>
      <c r="R21" s="19" t="n"/>
      <c r="S21" s="19" t="n"/>
      <c r="T21" s="19" t="n"/>
      <c r="U21" s="19" t="n"/>
      <c r="V21" s="19" t="n"/>
      <c r="W21" s="19" t="n"/>
      <c r="X21" s="19" t="n"/>
      <c r="Y21" s="19" t="n"/>
    </row>
    <row r="22">
      <c r="A22" s="19" t="n"/>
      <c r="B22" s="19" t="n"/>
      <c r="C22" s="31" t="n"/>
      <c r="D22" s="19" t="n"/>
      <c r="E22" s="19" t="n"/>
      <c r="F22" s="19" t="n"/>
      <c r="G22" s="19" t="n"/>
      <c r="H22" s="19" t="n"/>
      <c r="I22" s="29" t="n"/>
      <c r="J22" s="19" t="n"/>
      <c r="K22" s="19" t="n"/>
      <c r="L22" s="19" t="n"/>
      <c r="M22" s="19" t="n"/>
      <c r="N22" s="19" t="n"/>
      <c r="O22" s="26" t="n"/>
      <c r="P22" s="26" t="n"/>
      <c r="Q22" s="26" t="n"/>
      <c r="R22" s="19" t="n"/>
      <c r="S22" s="19" t="n"/>
      <c r="T22" s="19" t="n"/>
      <c r="U22" s="19" t="n"/>
      <c r="V22" s="19" t="n"/>
      <c r="W22" s="19" t="n"/>
      <c r="X22" s="19" t="n"/>
      <c r="Y22" s="19" t="n"/>
    </row>
    <row r="23">
      <c r="A23" s="19" t="n"/>
      <c r="B23" s="19" t="n"/>
      <c r="C23" s="31" t="n"/>
      <c r="D23" s="19" t="n"/>
      <c r="E23" s="19" t="n"/>
      <c r="F23" s="19" t="n"/>
      <c r="G23" s="19" t="n"/>
      <c r="H23" s="19" t="n"/>
      <c r="I23" s="29" t="n"/>
      <c r="J23" s="19" t="n"/>
      <c r="K23" s="19" t="n"/>
      <c r="L23" s="19" t="n"/>
      <c r="M23" s="19" t="n"/>
      <c r="N23" s="19" t="n"/>
      <c r="O23" s="26" t="n"/>
      <c r="P23" s="26" t="n"/>
      <c r="Q23" s="26" t="n"/>
      <c r="R23" s="19" t="n"/>
      <c r="S23" s="19" t="n"/>
      <c r="T23" s="19" t="n"/>
      <c r="U23" s="19" t="n"/>
      <c r="V23" s="19" t="n"/>
      <c r="W23" s="19" t="n"/>
      <c r="X23" s="19" t="n"/>
      <c r="Y23" s="19" t="n"/>
    </row>
    <row r="24">
      <c r="A24" s="19" t="n"/>
      <c r="B24" s="19" t="n"/>
      <c r="C24" s="31" t="n"/>
      <c r="D24" s="19" t="n"/>
      <c r="E24" s="19" t="n"/>
      <c r="F24" s="19" t="n"/>
      <c r="G24" s="19" t="n"/>
      <c r="H24" s="19" t="n"/>
      <c r="I24" s="29" t="n"/>
      <c r="J24" s="19" t="n"/>
      <c r="K24" s="19" t="n"/>
      <c r="L24" s="19" t="n"/>
      <c r="M24" s="19" t="n"/>
      <c r="N24" s="19" t="n"/>
      <c r="O24" s="26" t="n"/>
      <c r="P24" s="26" t="n"/>
      <c r="Q24" s="26" t="n"/>
      <c r="R24" s="19" t="n"/>
      <c r="S24" s="19" t="n"/>
      <c r="T24" s="19" t="n"/>
      <c r="U24" s="19" t="n"/>
      <c r="V24" s="19" t="n"/>
      <c r="W24" s="19" t="n"/>
      <c r="X24" s="19" t="n"/>
      <c r="Y24" s="19" t="n"/>
    </row>
    <row r="25">
      <c r="A25" s="19" t="n"/>
      <c r="B25" s="19" t="n"/>
      <c r="C25" s="31" t="n"/>
      <c r="D25" s="19" t="n"/>
      <c r="E25" s="19" t="n"/>
      <c r="F25" s="19" t="n"/>
      <c r="G25" s="19" t="n"/>
      <c r="H25" s="19" t="n"/>
      <c r="I25" s="29" t="n"/>
      <c r="J25" s="19" t="n"/>
      <c r="K25" s="19" t="n"/>
      <c r="L25" s="19" t="n"/>
      <c r="M25" s="19" t="n"/>
      <c r="N25" s="19" t="n"/>
      <c r="O25" s="26" t="n"/>
      <c r="P25" s="26" t="n"/>
      <c r="Q25" s="26" t="n"/>
      <c r="R25" s="19" t="n"/>
      <c r="S25" s="19" t="n"/>
      <c r="T25" s="19" t="n"/>
      <c r="U25" s="19" t="n"/>
      <c r="V25" s="19" t="n"/>
      <c r="W25" s="19" t="n"/>
      <c r="X25" s="19" t="n"/>
      <c r="Y25" s="19" t="n"/>
    </row>
    <row r="26">
      <c r="A26" s="19" t="n"/>
      <c r="B26" s="19" t="n"/>
      <c r="C26" s="31" t="n"/>
      <c r="D26" s="19" t="n"/>
      <c r="E26" s="19" t="n"/>
      <c r="F26" s="19" t="n"/>
      <c r="G26" s="19" t="n"/>
      <c r="H26" s="19" t="n"/>
      <c r="I26" s="29" t="n"/>
      <c r="J26" s="19" t="n"/>
      <c r="K26" s="19" t="n"/>
      <c r="L26" s="19" t="n"/>
      <c r="M26" s="19" t="n"/>
      <c r="N26" s="19" t="n"/>
      <c r="O26" s="26" t="n"/>
      <c r="P26" s="26" t="n"/>
      <c r="Q26" s="26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>
      <c r="A27" s="19" t="n"/>
      <c r="B27" s="19" t="n"/>
      <c r="C27" s="31" t="n"/>
      <c r="D27" s="19" t="n"/>
      <c r="E27" s="19" t="n"/>
      <c r="F27" s="19" t="n"/>
      <c r="G27" s="19" t="n"/>
      <c r="H27" s="19" t="n"/>
      <c r="I27" s="29" t="n"/>
      <c r="J27" s="19" t="n"/>
      <c r="K27" s="19" t="n"/>
      <c r="L27" s="19" t="n"/>
      <c r="M27" s="19" t="n"/>
      <c r="N27" s="19" t="n"/>
      <c r="O27" s="26" t="n"/>
      <c r="P27" s="26" t="n"/>
      <c r="Q27" s="26" t="n"/>
      <c r="R27" s="19" t="n"/>
      <c r="S27" s="19" t="n"/>
      <c r="T27" s="19" t="n"/>
      <c r="U27" s="19" t="n"/>
      <c r="V27" s="19" t="n"/>
      <c r="W27" s="19" t="n"/>
      <c r="X27" s="19" t="n"/>
      <c r="Y27" s="19" t="n"/>
    </row>
    <row r="28">
      <c r="A28" s="19" t="n"/>
      <c r="B28" s="19" t="n"/>
      <c r="C28" s="31" t="n"/>
      <c r="D28" s="19" t="n"/>
      <c r="E28" s="19" t="n"/>
      <c r="F28" s="19" t="n"/>
      <c r="G28" s="19" t="n"/>
      <c r="H28" s="19" t="n"/>
      <c r="I28" s="29" t="n"/>
      <c r="J28" s="19" t="n"/>
      <c r="K28" s="19" t="n"/>
      <c r="L28" s="19" t="n"/>
      <c r="M28" s="19" t="n"/>
      <c r="N28" s="19" t="n"/>
      <c r="O28" s="26" t="n"/>
      <c r="P28" s="26" t="n"/>
      <c r="Q28" s="26" t="n"/>
      <c r="R28" s="19" t="n"/>
      <c r="S28" s="19" t="n"/>
      <c r="T28" s="19" t="n"/>
      <c r="U28" s="19" t="n"/>
      <c r="V28" s="19" t="n"/>
      <c r="W28" s="19" t="n"/>
      <c r="X28" s="19" t="n"/>
      <c r="Y28" s="19" t="n"/>
    </row>
    <row r="29">
      <c r="A29" s="19" t="n"/>
      <c r="B29" s="19" t="n"/>
      <c r="C29" s="31" t="n"/>
      <c r="D29" s="19" t="n"/>
      <c r="E29" s="19" t="n"/>
      <c r="F29" s="19" t="n"/>
      <c r="G29" s="19" t="n"/>
      <c r="H29" s="19" t="n"/>
      <c r="I29" s="29" t="n"/>
      <c r="J29" s="19" t="n"/>
      <c r="K29" s="19" t="n"/>
      <c r="L29" s="19" t="n"/>
      <c r="M29" s="19" t="n"/>
      <c r="N29" s="19" t="n"/>
      <c r="O29" s="26" t="n"/>
      <c r="P29" s="26" t="n"/>
      <c r="Q29" s="26" t="n"/>
      <c r="R29" s="19" t="n"/>
      <c r="S29" s="19" t="n"/>
      <c r="T29" s="19" t="n"/>
      <c r="U29" s="19" t="n"/>
      <c r="V29" s="19" t="n"/>
      <c r="W29" s="19" t="n"/>
      <c r="X29" s="19" t="n"/>
      <c r="Y29" s="19" t="n"/>
    </row>
    <row r="30">
      <c r="A30" s="19" t="n"/>
      <c r="B30" s="19" t="n"/>
      <c r="C30" s="31" t="n"/>
      <c r="D30" s="19" t="n"/>
      <c r="E30" s="19" t="n"/>
      <c r="F30" s="19" t="n"/>
      <c r="G30" s="19" t="n"/>
      <c r="H30" s="19" t="n"/>
      <c r="I30" s="29" t="n"/>
      <c r="J30" s="19" t="n"/>
      <c r="K30" s="19" t="n"/>
      <c r="L30" s="19" t="n"/>
      <c r="M30" s="19" t="n"/>
      <c r="N30" s="19" t="n"/>
      <c r="O30" s="26" t="n"/>
      <c r="P30" s="26" t="n"/>
      <c r="Q30" s="26" t="n"/>
      <c r="R30" s="19" t="n"/>
      <c r="S30" s="19" t="n"/>
      <c r="T30" s="19" t="n"/>
      <c r="U30" s="19" t="n"/>
      <c r="V30" s="19" t="n"/>
      <c r="W30" s="19" t="n"/>
      <c r="X30" s="19" t="n"/>
      <c r="Y30" s="19" t="n"/>
    </row>
    <row r="31">
      <c r="A31" s="19" t="n"/>
      <c r="B31" s="19" t="n"/>
      <c r="C31" s="31" t="n"/>
      <c r="D31" s="19" t="n"/>
      <c r="E31" s="19" t="n"/>
      <c r="F31" s="19" t="n"/>
      <c r="G31" s="19" t="n"/>
      <c r="H31" s="19" t="n"/>
      <c r="I31" s="29" t="n"/>
      <c r="J31" s="19" t="n"/>
      <c r="K31" s="19" t="n"/>
      <c r="L31" s="19" t="n"/>
      <c r="M31" s="19" t="n"/>
      <c r="N31" s="19" t="n"/>
      <c r="O31" s="26" t="n"/>
      <c r="P31" s="26" t="n"/>
      <c r="Q31" s="26" t="n"/>
      <c r="R31" s="19" t="n"/>
      <c r="S31" s="19" t="n"/>
      <c r="T31" s="19" t="n"/>
      <c r="U31" s="19" t="n"/>
      <c r="V31" s="19" t="n"/>
      <c r="W31" s="19" t="n"/>
      <c r="X31" s="19" t="n"/>
      <c r="Y31" s="19" t="n"/>
    </row>
    <row r="32">
      <c r="A32" s="19" t="n"/>
      <c r="B32" s="19" t="n"/>
      <c r="C32" s="31" t="n"/>
      <c r="D32" s="19" t="n"/>
      <c r="E32" s="19" t="n"/>
      <c r="F32" s="19" t="n"/>
      <c r="G32" s="19" t="n"/>
      <c r="H32" s="19" t="n"/>
      <c r="I32" s="29" t="n"/>
      <c r="J32" s="19" t="n"/>
      <c r="K32" s="19" t="n"/>
      <c r="L32" s="19" t="n"/>
      <c r="M32" s="19" t="n"/>
      <c r="N32" s="19" t="n"/>
      <c r="O32" s="26" t="n"/>
      <c r="P32" s="26" t="n"/>
      <c r="Q32" s="26" t="n"/>
      <c r="R32" s="19" t="n"/>
      <c r="S32" s="19" t="n"/>
      <c r="T32" s="19" t="n"/>
      <c r="U32" s="19" t="n"/>
      <c r="V32" s="19" t="n"/>
      <c r="W32" s="19" t="n"/>
      <c r="X32" s="19" t="n"/>
      <c r="Y32" s="19" t="n"/>
    </row>
    <row r="33">
      <c r="A33" s="19" t="n"/>
      <c r="B33" s="19" t="n"/>
      <c r="C33" s="31" t="n"/>
      <c r="D33" s="19" t="n"/>
      <c r="E33" s="19" t="n"/>
      <c r="F33" s="19" t="n"/>
      <c r="G33" s="19" t="n"/>
      <c r="H33" s="19" t="n"/>
      <c r="I33" s="29" t="n"/>
      <c r="J33" s="19" t="n"/>
      <c r="K33" s="19" t="n"/>
      <c r="L33" s="19" t="n"/>
      <c r="M33" s="19" t="n"/>
      <c r="N33" s="19" t="n"/>
      <c r="O33" s="26" t="n"/>
      <c r="P33" s="26" t="n"/>
      <c r="Q33" s="26" t="n"/>
      <c r="R33" s="19" t="n"/>
      <c r="S33" s="19" t="n"/>
      <c r="T33" s="19" t="n"/>
      <c r="U33" s="19" t="n"/>
      <c r="V33" s="19" t="n"/>
      <c r="W33" s="19" t="n"/>
      <c r="X33" s="19" t="n"/>
      <c r="Y33" s="19" t="n"/>
    </row>
    <row r="34">
      <c r="A34" s="19" t="n"/>
      <c r="B34" s="19" t="n"/>
      <c r="C34" s="31" t="n"/>
      <c r="D34" s="19" t="n"/>
      <c r="E34" s="19" t="n"/>
      <c r="F34" s="19" t="n"/>
      <c r="G34" s="19" t="n"/>
      <c r="H34" s="19" t="n"/>
      <c r="I34" s="29" t="n"/>
      <c r="J34" s="19" t="n"/>
      <c r="K34" s="19" t="n"/>
      <c r="L34" s="19" t="n"/>
      <c r="M34" s="19" t="n"/>
      <c r="N34" s="19" t="n"/>
      <c r="O34" s="26" t="n"/>
      <c r="P34" s="26" t="n"/>
      <c r="Q34" s="26" t="n"/>
      <c r="R34" s="19" t="n"/>
      <c r="S34" s="19" t="n"/>
      <c r="T34" s="19" t="n"/>
      <c r="U34" s="19" t="n"/>
      <c r="V34" s="19" t="n"/>
      <c r="W34" s="19" t="n"/>
      <c r="X34" s="19" t="n"/>
      <c r="Y34" s="19" t="n"/>
    </row>
    <row r="35">
      <c r="A35" s="19" t="n"/>
      <c r="B35" s="19" t="n"/>
      <c r="C35" s="31" t="n"/>
      <c r="D35" s="19" t="n"/>
      <c r="E35" s="19" t="n"/>
      <c r="F35" s="19" t="n"/>
      <c r="G35" s="19" t="n"/>
      <c r="H35" s="19" t="n"/>
      <c r="I35" s="29" t="n"/>
      <c r="J35" s="19" t="n"/>
      <c r="K35" s="19" t="n"/>
      <c r="L35" s="19" t="n"/>
      <c r="M35" s="19" t="n"/>
      <c r="N35" s="19" t="n"/>
      <c r="O35" s="26" t="n"/>
      <c r="P35" s="26" t="n"/>
      <c r="Q35" s="26" t="n"/>
      <c r="R35" s="19" t="n"/>
      <c r="S35" s="19" t="n"/>
      <c r="T35" s="19" t="n"/>
      <c r="U35" s="19" t="n"/>
      <c r="V35" s="19" t="n"/>
      <c r="W35" s="19" t="n"/>
      <c r="X35" s="19" t="n"/>
      <c r="Y35" s="19" t="n"/>
    </row>
    <row r="36">
      <c r="A36" s="19" t="n"/>
      <c r="B36" s="19" t="n"/>
      <c r="C36" s="31" t="n"/>
      <c r="D36" s="19" t="n"/>
      <c r="E36" s="19" t="n"/>
      <c r="F36" s="19" t="n"/>
      <c r="G36" s="19" t="n"/>
      <c r="H36" s="19" t="n"/>
      <c r="I36" s="29" t="n"/>
      <c r="J36" s="19" t="n"/>
      <c r="K36" s="19" t="n"/>
      <c r="L36" s="19" t="n"/>
      <c r="M36" s="19" t="n"/>
      <c r="N36" s="19" t="n"/>
      <c r="O36" s="26" t="n"/>
      <c r="P36" s="26" t="n"/>
      <c r="Q36" s="26" t="n"/>
      <c r="R36" s="19" t="n"/>
      <c r="S36" s="19" t="n"/>
      <c r="T36" s="19" t="n"/>
      <c r="U36" s="19" t="n"/>
      <c r="V36" s="19" t="n"/>
      <c r="W36" s="19" t="n"/>
      <c r="X36" s="19" t="n"/>
      <c r="Y36" s="19" t="n"/>
    </row>
    <row r="37">
      <c r="A37" s="19" t="n"/>
      <c r="B37" s="19" t="n"/>
      <c r="C37" s="31" t="n"/>
      <c r="D37" s="19" t="n"/>
      <c r="E37" s="19" t="n"/>
      <c r="F37" s="19" t="n"/>
      <c r="G37" s="19" t="n"/>
      <c r="H37" s="19" t="n"/>
      <c r="I37" s="29" t="n"/>
      <c r="J37" s="19" t="n"/>
      <c r="K37" s="19" t="n"/>
      <c r="L37" s="19" t="n"/>
      <c r="M37" s="19" t="n"/>
      <c r="N37" s="19" t="n"/>
      <c r="O37" s="26" t="n"/>
      <c r="P37" s="26" t="n"/>
      <c r="Q37" s="26" t="n"/>
      <c r="R37" s="19" t="n"/>
      <c r="S37" s="19" t="n"/>
      <c r="T37" s="19" t="n"/>
      <c r="U37" s="19" t="n"/>
      <c r="V37" s="19" t="n"/>
      <c r="W37" s="19" t="n"/>
      <c r="X37" s="19" t="n"/>
      <c r="Y37" s="19" t="n"/>
    </row>
    <row r="38">
      <c r="A38" s="19" t="n"/>
      <c r="B38" s="19" t="n"/>
      <c r="C38" s="31" t="n"/>
      <c r="D38" s="19" t="n"/>
      <c r="E38" s="19" t="n"/>
      <c r="F38" s="19" t="n"/>
      <c r="G38" s="19" t="n"/>
      <c r="H38" s="19" t="n"/>
      <c r="I38" s="29" t="n"/>
      <c r="J38" s="19" t="n"/>
      <c r="K38" s="19" t="n"/>
      <c r="L38" s="19" t="n"/>
      <c r="M38" s="19" t="n"/>
      <c r="N38" s="19" t="n"/>
      <c r="O38" s="26" t="n"/>
      <c r="P38" s="26" t="n"/>
      <c r="Q38" s="26" t="n"/>
      <c r="R38" s="19" t="n"/>
      <c r="S38" s="19" t="n"/>
      <c r="T38" s="19" t="n"/>
      <c r="U38" s="19" t="n"/>
      <c r="V38" s="19" t="n"/>
      <c r="W38" s="19" t="n"/>
      <c r="X38" s="19" t="n"/>
      <c r="Y38" s="19" t="n"/>
    </row>
    <row r="39">
      <c r="A39" s="19" t="n"/>
      <c r="B39" s="19" t="n"/>
      <c r="C39" s="31" t="n"/>
      <c r="D39" s="19" t="n"/>
      <c r="E39" s="19" t="n"/>
      <c r="F39" s="19" t="n"/>
      <c r="G39" s="19" t="n"/>
      <c r="H39" s="19" t="n"/>
      <c r="I39" s="29" t="n"/>
      <c r="J39" s="19" t="n"/>
      <c r="K39" s="19" t="n"/>
      <c r="L39" s="19" t="n"/>
      <c r="M39" s="19" t="n"/>
      <c r="N39" s="19" t="n"/>
      <c r="O39" s="26" t="n"/>
      <c r="P39" s="26" t="n"/>
      <c r="Q39" s="26" t="n"/>
      <c r="R39" s="19" t="n"/>
      <c r="S39" s="19" t="n"/>
      <c r="T39" s="19" t="n"/>
      <c r="U39" s="19" t="n"/>
      <c r="V39" s="19" t="n"/>
      <c r="W39" s="19" t="n"/>
      <c r="X39" s="19" t="n"/>
      <c r="Y39" s="19" t="n"/>
    </row>
    <row r="40">
      <c r="A40" s="19" t="n"/>
      <c r="B40" s="19" t="n"/>
      <c r="C40" s="31" t="n"/>
      <c r="D40" s="19" t="n"/>
      <c r="E40" s="19" t="n"/>
      <c r="F40" s="19" t="n"/>
      <c r="G40" s="19" t="n"/>
      <c r="H40" s="19" t="n"/>
      <c r="I40" s="29" t="n"/>
      <c r="J40" s="19" t="n"/>
      <c r="K40" s="19" t="n"/>
      <c r="L40" s="19" t="n"/>
      <c r="M40" s="19" t="n"/>
      <c r="N40" s="19" t="n"/>
      <c r="O40" s="26" t="n"/>
      <c r="P40" s="26" t="n"/>
      <c r="Q40" s="26" t="n"/>
      <c r="R40" s="19" t="n"/>
      <c r="S40" s="19" t="n"/>
      <c r="T40" s="19" t="n"/>
      <c r="U40" s="19" t="n"/>
      <c r="V40" s="19" t="n"/>
      <c r="W40" s="19" t="n"/>
      <c r="X40" s="19" t="n"/>
      <c r="Y40" s="19" t="n"/>
    </row>
    <row r="41">
      <c r="A41" s="19" t="n"/>
      <c r="B41" s="19" t="n"/>
      <c r="C41" s="31" t="n"/>
      <c r="D41" s="19" t="n"/>
      <c r="E41" s="19" t="n"/>
      <c r="F41" s="19" t="n"/>
      <c r="G41" s="19" t="n"/>
      <c r="H41" s="19" t="n"/>
      <c r="I41" s="29" t="n"/>
      <c r="J41" s="19" t="n"/>
      <c r="K41" s="19" t="n"/>
      <c r="L41" s="19" t="n"/>
      <c r="M41" s="19" t="n"/>
      <c r="N41" s="19" t="n"/>
      <c r="O41" s="26" t="n"/>
      <c r="P41" s="26" t="n"/>
      <c r="Q41" s="26" t="n"/>
      <c r="R41" s="19" t="n"/>
      <c r="S41" s="19" t="n"/>
      <c r="T41" s="19" t="n"/>
      <c r="U41" s="19" t="n"/>
      <c r="V41" s="19" t="n"/>
      <c r="W41" s="19" t="n"/>
      <c r="X41" s="19" t="n"/>
      <c r="Y41" s="19" t="n"/>
    </row>
    <row r="42">
      <c r="A42" s="19" t="n"/>
      <c r="B42" s="19" t="n"/>
      <c r="C42" s="31" t="n"/>
      <c r="D42" s="19" t="n"/>
      <c r="E42" s="19" t="n"/>
      <c r="F42" s="19" t="n"/>
      <c r="G42" s="19" t="n"/>
      <c r="H42" s="19" t="n"/>
      <c r="I42" s="29" t="n"/>
      <c r="J42" s="19" t="n"/>
      <c r="K42" s="19" t="n"/>
      <c r="L42" s="19" t="n"/>
      <c r="M42" s="19" t="n"/>
      <c r="N42" s="19" t="n"/>
      <c r="O42" s="26" t="n"/>
      <c r="P42" s="26" t="n"/>
      <c r="Q42" s="26" t="n"/>
      <c r="R42" s="19" t="n"/>
      <c r="S42" s="19" t="n"/>
      <c r="T42" s="19" t="n"/>
      <c r="U42" s="19" t="n"/>
      <c r="V42" s="19" t="n"/>
      <c r="W42" s="19" t="n"/>
      <c r="X42" s="19" t="n"/>
      <c r="Y42" s="19" t="n"/>
    </row>
    <row r="43">
      <c r="A43" s="19" t="n"/>
      <c r="B43" s="19" t="n"/>
      <c r="C43" s="31" t="n"/>
      <c r="D43" s="19" t="n"/>
      <c r="E43" s="19" t="n"/>
      <c r="F43" s="19" t="n"/>
      <c r="G43" s="19" t="n"/>
      <c r="H43" s="19" t="n"/>
      <c r="I43" s="29" t="n"/>
      <c r="J43" s="19" t="n"/>
      <c r="K43" s="19" t="n"/>
      <c r="L43" s="19" t="n"/>
      <c r="M43" s="19" t="n"/>
      <c r="N43" s="19" t="n"/>
      <c r="O43" s="26" t="n"/>
      <c r="P43" s="26" t="n"/>
      <c r="Q43" s="26" t="n"/>
      <c r="R43" s="19" t="n"/>
      <c r="S43" s="19" t="n"/>
      <c r="T43" s="19" t="n"/>
      <c r="U43" s="19" t="n"/>
      <c r="V43" s="19" t="n"/>
      <c r="W43" s="19" t="n"/>
      <c r="X43" s="19" t="n"/>
      <c r="Y43" s="19" t="n"/>
    </row>
    <row r="44">
      <c r="A44" s="19" t="n"/>
      <c r="B44" s="19" t="n"/>
      <c r="C44" s="31" t="n"/>
      <c r="D44" s="19" t="n"/>
      <c r="E44" s="19" t="n"/>
      <c r="F44" s="19" t="n"/>
      <c r="G44" s="19" t="n"/>
      <c r="H44" s="19" t="n"/>
      <c r="I44" s="29" t="n"/>
      <c r="J44" s="19" t="n"/>
      <c r="K44" s="19" t="n"/>
      <c r="L44" s="19" t="n"/>
      <c r="M44" s="19" t="n"/>
      <c r="N44" s="19" t="n"/>
      <c r="O44" s="26" t="n"/>
      <c r="P44" s="26" t="n"/>
      <c r="Q44" s="26" t="n"/>
      <c r="R44" s="19" t="n"/>
      <c r="S44" s="19" t="n"/>
      <c r="T44" s="19" t="n"/>
      <c r="U44" s="19" t="n"/>
      <c r="V44" s="19" t="n"/>
      <c r="W44" s="19" t="n"/>
      <c r="X44" s="19" t="n"/>
      <c r="Y44" s="19" t="n"/>
    </row>
    <row r="45">
      <c r="A45" s="19" t="n"/>
      <c r="B45" s="19" t="n"/>
      <c r="C45" s="31" t="n"/>
      <c r="D45" s="19" t="n"/>
      <c r="E45" s="19" t="n"/>
      <c r="F45" s="19" t="n"/>
      <c r="G45" s="19" t="n"/>
      <c r="H45" s="19" t="n"/>
      <c r="I45" s="29" t="n"/>
      <c r="J45" s="19" t="n"/>
      <c r="K45" s="19" t="n"/>
      <c r="L45" s="19" t="n"/>
      <c r="M45" s="19" t="n"/>
      <c r="N45" s="19" t="n"/>
      <c r="O45" s="26" t="n"/>
      <c r="P45" s="26" t="n"/>
      <c r="Q45" s="26" t="n"/>
      <c r="R45" s="19" t="n"/>
      <c r="S45" s="19" t="n"/>
      <c r="T45" s="19" t="n"/>
      <c r="U45" s="19" t="n"/>
      <c r="V45" s="19" t="n"/>
      <c r="W45" s="19" t="n"/>
      <c r="X45" s="19" t="n"/>
      <c r="Y45" s="19" t="n"/>
    </row>
    <row r="46">
      <c r="A46" s="19" t="n"/>
      <c r="B46" s="19" t="n"/>
      <c r="C46" s="31" t="n"/>
      <c r="D46" s="19" t="n"/>
      <c r="E46" s="19" t="n"/>
      <c r="F46" s="19" t="n"/>
      <c r="G46" s="19" t="n"/>
      <c r="H46" s="19" t="n"/>
      <c r="I46" s="29" t="n"/>
      <c r="J46" s="19" t="n"/>
      <c r="K46" s="19" t="n"/>
      <c r="L46" s="19" t="n"/>
      <c r="M46" s="19" t="n"/>
      <c r="N46" s="19" t="n"/>
      <c r="O46" s="26" t="n"/>
      <c r="P46" s="26" t="n"/>
      <c r="Q46" s="26" t="n"/>
      <c r="R46" s="19" t="n"/>
      <c r="S46" s="19" t="n"/>
      <c r="T46" s="19" t="n"/>
      <c r="U46" s="19" t="n"/>
      <c r="V46" s="19" t="n"/>
      <c r="W46" s="19" t="n"/>
      <c r="X46" s="19" t="n"/>
      <c r="Y46" s="19" t="n"/>
    </row>
    <row r="47">
      <c r="A47" s="19" t="n"/>
      <c r="B47" s="19" t="n"/>
      <c r="C47" s="31" t="n"/>
      <c r="D47" s="19" t="n"/>
      <c r="E47" s="19" t="n"/>
      <c r="F47" s="19" t="n"/>
      <c r="G47" s="19" t="n"/>
      <c r="H47" s="19" t="n"/>
      <c r="I47" s="29" t="n"/>
      <c r="J47" s="19" t="n"/>
      <c r="K47" s="19" t="n"/>
      <c r="L47" s="19" t="n"/>
      <c r="M47" s="19" t="n"/>
      <c r="N47" s="19" t="n"/>
      <c r="O47" s="26" t="n"/>
      <c r="P47" s="26" t="n"/>
      <c r="Q47" s="26" t="n"/>
      <c r="R47" s="19" t="n"/>
      <c r="S47" s="19" t="n"/>
      <c r="T47" s="19" t="n"/>
      <c r="U47" s="19" t="n"/>
      <c r="V47" s="19" t="n"/>
      <c r="W47" s="19" t="n"/>
      <c r="X47" s="19" t="n"/>
      <c r="Y47" s="19" t="n"/>
    </row>
    <row r="48">
      <c r="A48" s="19" t="n"/>
      <c r="B48" s="19" t="n"/>
      <c r="C48" s="31" t="n"/>
      <c r="D48" s="19" t="n"/>
      <c r="E48" s="19" t="n"/>
      <c r="F48" s="19" t="n"/>
      <c r="G48" s="19" t="n"/>
      <c r="H48" s="19" t="n"/>
      <c r="I48" s="29" t="n"/>
      <c r="J48" s="19" t="n"/>
      <c r="K48" s="19" t="n"/>
      <c r="L48" s="19" t="n"/>
      <c r="M48" s="19" t="n"/>
      <c r="N48" s="19" t="n"/>
      <c r="O48" s="26" t="n"/>
      <c r="P48" s="26" t="n"/>
      <c r="Q48" s="26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>
      <c r="A49" s="19" t="n"/>
      <c r="B49" s="19" t="n"/>
      <c r="C49" s="31" t="n"/>
      <c r="D49" s="19" t="n"/>
      <c r="E49" s="19" t="n"/>
      <c r="F49" s="19" t="n"/>
      <c r="G49" s="19" t="n"/>
      <c r="H49" s="19" t="n"/>
      <c r="I49" s="29" t="n"/>
      <c r="J49" s="19" t="n"/>
      <c r="K49" s="19" t="n"/>
      <c r="L49" s="19" t="n"/>
      <c r="M49" s="19" t="n"/>
      <c r="N49" s="19" t="n"/>
      <c r="O49" s="26" t="n"/>
      <c r="P49" s="26" t="n"/>
      <c r="Q49" s="26" t="n"/>
      <c r="R49" s="19" t="n"/>
      <c r="S49" s="19" t="n"/>
      <c r="T49" s="19" t="n"/>
      <c r="U49" s="19" t="n"/>
      <c r="V49" s="19" t="n"/>
      <c r="W49" s="19" t="n"/>
      <c r="X49" s="19" t="n"/>
      <c r="Y49" s="19" t="n"/>
    </row>
    <row r="50">
      <c r="A50" s="19" t="n"/>
      <c r="B50" s="19" t="n"/>
      <c r="C50" s="31" t="n"/>
      <c r="D50" s="19" t="n"/>
      <c r="E50" s="19" t="n"/>
      <c r="F50" s="19" t="n"/>
      <c r="G50" s="19" t="n"/>
      <c r="H50" s="19" t="n"/>
      <c r="I50" s="29" t="n"/>
      <c r="J50" s="19" t="n"/>
      <c r="K50" s="19" t="n"/>
      <c r="L50" s="19" t="n"/>
      <c r="M50" s="19" t="n"/>
      <c r="N50" s="19" t="n"/>
      <c r="O50" s="26" t="n"/>
      <c r="P50" s="26" t="n"/>
      <c r="Q50" s="26" t="n"/>
      <c r="R50" s="19" t="n"/>
      <c r="S50" s="19" t="n"/>
      <c r="T50" s="19" t="n"/>
      <c r="U50" s="19" t="n"/>
      <c r="V50" s="19" t="n"/>
      <c r="W50" s="19" t="n"/>
      <c r="X50" s="19" t="n"/>
      <c r="Y50" s="19" t="n"/>
    </row>
    <row r="51">
      <c r="A51" s="19" t="n"/>
      <c r="B51" s="19" t="n"/>
      <c r="C51" s="31" t="n"/>
      <c r="D51" s="19" t="n"/>
      <c r="E51" s="19" t="n"/>
      <c r="F51" s="19" t="n"/>
      <c r="G51" s="19" t="n"/>
      <c r="H51" s="19" t="n"/>
      <c r="I51" s="29" t="n"/>
      <c r="J51" s="19" t="n"/>
      <c r="K51" s="19" t="n"/>
      <c r="L51" s="19" t="n"/>
      <c r="M51" s="19" t="n"/>
      <c r="N51" s="19" t="n"/>
      <c r="O51" s="26" t="n"/>
      <c r="P51" s="26" t="n"/>
      <c r="Q51" s="26" t="n"/>
      <c r="R51" s="19" t="n"/>
      <c r="S51" s="19" t="n"/>
      <c r="T51" s="19" t="n"/>
      <c r="U51" s="19" t="n"/>
      <c r="V51" s="19" t="n"/>
      <c r="W51" s="19" t="n"/>
      <c r="X51" s="19" t="n"/>
      <c r="Y51" s="19" t="n"/>
    </row>
    <row r="52">
      <c r="A52" s="19" t="n"/>
      <c r="B52" s="19" t="n"/>
      <c r="C52" s="31" t="n"/>
      <c r="D52" s="19" t="n"/>
      <c r="E52" s="19" t="n"/>
      <c r="F52" s="19" t="n"/>
      <c r="G52" s="19" t="n"/>
      <c r="H52" s="19" t="n"/>
      <c r="I52" s="29" t="n"/>
      <c r="J52" s="19" t="n"/>
      <c r="K52" s="19" t="n"/>
      <c r="L52" s="19" t="n"/>
      <c r="M52" s="19" t="n"/>
      <c r="N52" s="19" t="n"/>
      <c r="O52" s="26" t="n"/>
      <c r="P52" s="26" t="n"/>
      <c r="Q52" s="26" t="n"/>
      <c r="R52" s="19" t="n"/>
      <c r="S52" s="19" t="n"/>
      <c r="T52" s="19" t="n"/>
      <c r="U52" s="19" t="n"/>
      <c r="V52" s="19" t="n"/>
      <c r="W52" s="19" t="n"/>
      <c r="X52" s="19" t="n"/>
      <c r="Y52" s="19" t="n"/>
    </row>
    <row r="53">
      <c r="A53" s="19" t="n"/>
      <c r="B53" s="19" t="n"/>
      <c r="C53" s="31" t="n"/>
      <c r="D53" s="19" t="n"/>
      <c r="E53" s="19" t="n"/>
      <c r="F53" s="19" t="n"/>
      <c r="G53" s="19" t="n"/>
      <c r="H53" s="19" t="n"/>
      <c r="I53" s="29" t="n"/>
      <c r="J53" s="19" t="n"/>
      <c r="K53" s="19" t="n"/>
      <c r="L53" s="19" t="n"/>
      <c r="M53" s="19" t="n"/>
      <c r="N53" s="19" t="n"/>
      <c r="O53" s="26" t="n"/>
      <c r="P53" s="26" t="n"/>
      <c r="Q53" s="26" t="n"/>
      <c r="R53" s="19" t="n"/>
      <c r="S53" s="19" t="n"/>
      <c r="T53" s="19" t="n"/>
      <c r="U53" s="19" t="n"/>
      <c r="V53" s="19" t="n"/>
      <c r="W53" s="19" t="n"/>
      <c r="X53" s="19" t="n"/>
      <c r="Y53" s="19" t="n"/>
    </row>
    <row r="54">
      <c r="A54" s="19" t="n"/>
      <c r="B54" s="19" t="n"/>
      <c r="C54" s="31" t="n"/>
      <c r="D54" s="19" t="n"/>
      <c r="E54" s="19" t="n"/>
      <c r="F54" s="19" t="n"/>
      <c r="G54" s="19" t="n"/>
      <c r="H54" s="19" t="n"/>
      <c r="I54" s="29" t="n"/>
      <c r="J54" s="19" t="n"/>
      <c r="K54" s="19" t="n"/>
      <c r="L54" s="19" t="n"/>
      <c r="M54" s="19" t="n"/>
      <c r="N54" s="19" t="n"/>
      <c r="O54" s="26" t="n"/>
      <c r="P54" s="26" t="n"/>
      <c r="Q54" s="26" t="n"/>
      <c r="R54" s="19" t="n"/>
      <c r="S54" s="19" t="n"/>
      <c r="T54" s="19" t="n"/>
      <c r="U54" s="19" t="n"/>
      <c r="V54" s="19" t="n"/>
      <c r="W54" s="19" t="n"/>
      <c r="X54" s="19" t="n"/>
      <c r="Y54" s="19" t="n"/>
    </row>
    <row r="55">
      <c r="A55" s="19" t="n"/>
      <c r="B55" s="19" t="n"/>
      <c r="C55" s="31" t="n"/>
      <c r="D55" s="19" t="n"/>
      <c r="E55" s="19" t="n"/>
      <c r="F55" s="19" t="n"/>
      <c r="G55" s="19" t="n"/>
      <c r="H55" s="19" t="n"/>
      <c r="I55" s="29" t="n"/>
      <c r="J55" s="19" t="n"/>
      <c r="K55" s="19" t="n"/>
      <c r="L55" s="19" t="n"/>
      <c r="M55" s="19" t="n"/>
      <c r="N55" s="19" t="n"/>
      <c r="O55" s="26" t="n"/>
      <c r="P55" s="26" t="n"/>
      <c r="Q55" s="26" t="n"/>
      <c r="R55" s="19" t="n"/>
      <c r="S55" s="19" t="n"/>
      <c r="T55" s="19" t="n"/>
      <c r="U55" s="19" t="n"/>
      <c r="V55" s="19" t="n"/>
      <c r="W55" s="19" t="n"/>
      <c r="X55" s="19" t="n"/>
      <c r="Y55" s="19" t="n"/>
    </row>
    <row r="56">
      <c r="A56" s="19" t="n"/>
      <c r="B56" s="19" t="n"/>
      <c r="C56" s="31" t="n"/>
      <c r="D56" s="19" t="n"/>
      <c r="E56" s="19" t="n"/>
      <c r="F56" s="19" t="n"/>
      <c r="G56" s="19" t="n"/>
      <c r="H56" s="19" t="n"/>
      <c r="I56" s="29" t="n"/>
      <c r="J56" s="19" t="n"/>
      <c r="K56" s="19" t="n"/>
      <c r="L56" s="19" t="n"/>
      <c r="M56" s="19" t="n"/>
      <c r="N56" s="19" t="n"/>
      <c r="O56" s="26" t="n"/>
      <c r="P56" s="26" t="n"/>
      <c r="Q56" s="26" t="n"/>
      <c r="R56" s="19" t="n"/>
      <c r="S56" s="19" t="n"/>
      <c r="T56" s="19" t="n"/>
      <c r="U56" s="19" t="n"/>
      <c r="V56" s="19" t="n"/>
      <c r="W56" s="19" t="n"/>
      <c r="X56" s="19" t="n"/>
      <c r="Y56" s="19" t="n"/>
    </row>
    <row r="57">
      <c r="A57" s="19" t="n"/>
      <c r="B57" s="19" t="n"/>
      <c r="C57" s="31" t="n"/>
      <c r="D57" s="19" t="n"/>
      <c r="E57" s="19" t="n"/>
      <c r="F57" s="19" t="n"/>
      <c r="G57" s="19" t="n"/>
      <c r="H57" s="19" t="n"/>
      <c r="I57" s="29" t="n"/>
      <c r="J57" s="19" t="n"/>
      <c r="K57" s="19" t="n"/>
      <c r="L57" s="19" t="n"/>
      <c r="M57" s="19" t="n"/>
      <c r="N57" s="19" t="n"/>
      <c r="O57" s="26" t="n"/>
      <c r="P57" s="26" t="n"/>
      <c r="Q57" s="26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58">
      <c r="A58" s="19" t="n"/>
      <c r="B58" s="19" t="n"/>
      <c r="C58" s="31" t="n"/>
      <c r="D58" s="19" t="n"/>
      <c r="E58" s="19" t="n"/>
      <c r="F58" s="19" t="n"/>
      <c r="G58" s="19" t="n"/>
      <c r="H58" s="19" t="n"/>
      <c r="I58" s="29" t="n"/>
      <c r="J58" s="19" t="n"/>
      <c r="K58" s="19" t="n"/>
      <c r="L58" s="19" t="n"/>
      <c r="M58" s="19" t="n"/>
      <c r="N58" s="19" t="n"/>
      <c r="O58" s="26" t="n"/>
      <c r="P58" s="26" t="n"/>
      <c r="Q58" s="26" t="n"/>
      <c r="R58" s="19" t="n"/>
      <c r="S58" s="19" t="n"/>
      <c r="T58" s="19" t="n"/>
      <c r="U58" s="19" t="n"/>
      <c r="V58" s="19" t="n"/>
      <c r="W58" s="19" t="n"/>
      <c r="X58" s="19" t="n"/>
      <c r="Y58" s="19" t="n"/>
    </row>
    <row r="59">
      <c r="A59" s="19" t="n"/>
      <c r="B59" s="19" t="n"/>
      <c r="C59" s="31" t="n"/>
      <c r="D59" s="19" t="n"/>
      <c r="E59" s="19" t="n"/>
      <c r="F59" s="19" t="n"/>
      <c r="G59" s="19" t="n"/>
      <c r="H59" s="19" t="n"/>
      <c r="I59" s="29" t="n"/>
      <c r="J59" s="19" t="n"/>
      <c r="K59" s="19" t="n"/>
      <c r="L59" s="19" t="n"/>
      <c r="M59" s="19" t="n"/>
      <c r="N59" s="19" t="n"/>
      <c r="O59" s="26" t="n"/>
      <c r="P59" s="26" t="n"/>
      <c r="Q59" s="26" t="n"/>
      <c r="R59" s="19" t="n"/>
      <c r="S59" s="19" t="n"/>
      <c r="T59" s="19" t="n"/>
      <c r="U59" s="19" t="n"/>
      <c r="V59" s="19" t="n"/>
      <c r="W59" s="19" t="n"/>
      <c r="X59" s="19" t="n"/>
      <c r="Y59" s="19" t="n"/>
    </row>
    <row r="60">
      <c r="A60" s="19" t="n"/>
      <c r="B60" s="19" t="n"/>
      <c r="C60" s="31" t="n"/>
      <c r="D60" s="19" t="n"/>
      <c r="E60" s="19" t="n"/>
      <c r="F60" s="19" t="n"/>
      <c r="G60" s="19" t="n"/>
      <c r="H60" s="19" t="n"/>
      <c r="I60" s="29" t="n"/>
      <c r="J60" s="19" t="n"/>
      <c r="K60" s="19" t="n"/>
      <c r="L60" s="19" t="n"/>
      <c r="M60" s="19" t="n"/>
      <c r="N60" s="19" t="n"/>
      <c r="O60" s="26" t="n"/>
      <c r="P60" s="26" t="n"/>
      <c r="Q60" s="26" t="n"/>
      <c r="R60" s="19" t="n"/>
      <c r="S60" s="19" t="n"/>
      <c r="T60" s="19" t="n"/>
      <c r="U60" s="19" t="n"/>
      <c r="V60" s="19" t="n"/>
      <c r="W60" s="19" t="n"/>
      <c r="X60" s="19" t="n"/>
      <c r="Y60" s="19" t="n"/>
    </row>
    <row r="61">
      <c r="A61" s="2" t="n"/>
      <c r="B61" s="2" t="n"/>
      <c r="C61" s="13" t="n"/>
      <c r="D61" s="2" t="n"/>
      <c r="E61" s="2" t="n"/>
      <c r="F61" s="2" t="n"/>
      <c r="G61" s="2" t="n"/>
      <c r="H61" s="2" t="n"/>
      <c r="I61" s="8" t="n"/>
      <c r="J61" s="2" t="n"/>
      <c r="K61" s="2" t="n"/>
      <c r="L61" s="2" t="n"/>
      <c r="M61" s="2" t="n"/>
      <c r="N61" s="2" t="n"/>
      <c r="O61" s="6" t="n"/>
      <c r="P61" s="6" t="n"/>
      <c r="Q61" s="6" t="n"/>
    </row>
    <row r="62">
      <c r="A62" s="2" t="n"/>
      <c r="B62" s="2" t="n"/>
      <c r="C62" s="13" t="n"/>
      <c r="D62" s="2" t="n"/>
      <c r="E62" s="2" t="n"/>
      <c r="F62" s="2" t="n"/>
      <c r="G62" s="2" t="n"/>
      <c r="H62" s="2" t="n"/>
      <c r="I62" s="8" t="n"/>
      <c r="J62" s="2" t="n"/>
      <c r="K62" s="2" t="n"/>
      <c r="L62" s="2" t="n"/>
      <c r="M62" s="2" t="n"/>
      <c r="N62" s="2" t="n"/>
      <c r="O62" s="6" t="n"/>
      <c r="P62" s="6" t="n"/>
      <c r="Q62" s="6" t="n"/>
    </row>
    <row r="63">
      <c r="A63" s="2" t="n"/>
      <c r="B63" s="2" t="n"/>
      <c r="C63" s="13" t="n"/>
      <c r="D63" s="2" t="n"/>
      <c r="E63" s="2" t="n"/>
      <c r="F63" s="2" t="n"/>
      <c r="G63" s="2" t="n"/>
      <c r="H63" s="2" t="n"/>
      <c r="I63" s="8" t="n"/>
      <c r="J63" s="2" t="n"/>
      <c r="K63" s="2" t="n"/>
      <c r="L63" s="2" t="n"/>
      <c r="M63" s="2" t="n"/>
      <c r="N63" s="2" t="n"/>
      <c r="O63" s="6" t="n"/>
      <c r="P63" s="6" t="n"/>
      <c r="Q63" s="6" t="n"/>
    </row>
    <row r="64">
      <c r="A64" s="2" t="n"/>
      <c r="B64" s="2" t="n"/>
      <c r="C64" s="13" t="n"/>
      <c r="D64" s="2" t="n"/>
      <c r="E64" s="2" t="n"/>
      <c r="F64" s="2" t="n"/>
      <c r="G64" s="2" t="n"/>
      <c r="H64" s="2" t="n"/>
      <c r="I64" s="8" t="n"/>
      <c r="J64" s="2" t="n"/>
      <c r="K64" s="2" t="n"/>
      <c r="L64" s="2" t="n"/>
      <c r="M64" s="2" t="n"/>
      <c r="N64" s="2" t="n"/>
      <c r="O64" s="6" t="n"/>
      <c r="P64" s="6" t="n"/>
      <c r="Q64" s="6" t="n"/>
    </row>
    <row r="65">
      <c r="A65" s="2" t="n"/>
      <c r="B65" s="2" t="n"/>
      <c r="C65" s="13" t="n"/>
      <c r="D65" s="2" t="n"/>
      <c r="E65" s="2" t="n"/>
      <c r="F65" s="2" t="n"/>
      <c r="G65" s="2" t="n"/>
      <c r="H65" s="2" t="n"/>
      <c r="I65" s="8" t="n"/>
      <c r="J65" s="2" t="n"/>
      <c r="K65" s="2" t="n"/>
      <c r="L65" s="2" t="n"/>
      <c r="M65" s="2" t="n"/>
      <c r="N65" s="2" t="n"/>
      <c r="O65" s="6" t="n"/>
      <c r="P65" s="6" t="n"/>
      <c r="Q65" s="6" t="n"/>
    </row>
    <row r="66">
      <c r="A66" s="2" t="n"/>
      <c r="B66" s="2" t="n"/>
      <c r="C66" s="13" t="n"/>
      <c r="D66" s="2" t="n"/>
      <c r="E66" s="2" t="n"/>
      <c r="F66" s="2" t="n"/>
      <c r="G66" s="2" t="n"/>
      <c r="H66" s="2" t="n"/>
      <c r="I66" s="8" t="n"/>
      <c r="J66" s="2" t="n"/>
      <c r="K66" s="2" t="n"/>
      <c r="L66" s="2" t="n"/>
      <c r="M66" s="2" t="n"/>
      <c r="N66" s="2" t="n"/>
      <c r="O66" s="6" t="n"/>
      <c r="P66" s="6" t="n"/>
      <c r="Q66" s="6" t="n"/>
    </row>
    <row r="67">
      <c r="A67" s="2" t="n"/>
      <c r="B67" s="2" t="n"/>
      <c r="C67" s="13" t="n"/>
      <c r="D67" s="2" t="n"/>
      <c r="E67" s="2" t="n"/>
      <c r="F67" s="2" t="n"/>
      <c r="G67" s="2" t="n"/>
      <c r="H67" s="2" t="n"/>
      <c r="I67" s="8" t="n"/>
      <c r="J67" s="2" t="n"/>
      <c r="K67" s="2" t="n"/>
      <c r="L67" s="2" t="n"/>
      <c r="M67" s="2" t="n"/>
      <c r="N67" s="2" t="n"/>
      <c r="O67" s="6" t="n"/>
      <c r="P67" s="6" t="n"/>
      <c r="Q67" s="6" t="n"/>
    </row>
    <row r="68">
      <c r="A68" s="2" t="n"/>
      <c r="B68" s="2" t="n"/>
      <c r="C68" s="13" t="n"/>
      <c r="D68" s="2" t="n"/>
      <c r="E68" s="2" t="n"/>
      <c r="F68" s="2" t="n"/>
      <c r="G68" s="2" t="n"/>
      <c r="H68" s="2" t="n"/>
      <c r="I68" s="8" t="n"/>
      <c r="J68" s="2" t="n"/>
      <c r="K68" s="2" t="n"/>
      <c r="L68" s="2" t="n"/>
      <c r="M68" s="2" t="n"/>
      <c r="N68" s="2" t="n"/>
      <c r="O68" s="6" t="n"/>
      <c r="P68" s="6" t="n"/>
      <c r="Q68" s="6" t="n"/>
    </row>
    <row r="69">
      <c r="A69" s="2" t="n"/>
      <c r="B69" s="2" t="n"/>
      <c r="C69" s="13" t="n"/>
      <c r="D69" s="2" t="n"/>
      <c r="E69" s="2" t="n"/>
      <c r="F69" s="2" t="n"/>
      <c r="G69" s="2" t="n"/>
      <c r="H69" s="2" t="n"/>
      <c r="I69" s="8" t="n"/>
      <c r="J69" s="2" t="n"/>
      <c r="K69" s="2" t="n"/>
      <c r="L69" s="2" t="n"/>
      <c r="M69" s="2" t="n"/>
      <c r="N69" s="2" t="n"/>
      <c r="O69" s="6" t="n"/>
      <c r="P69" s="6" t="n"/>
      <c r="Q69" s="6" t="n"/>
    </row>
    <row r="70">
      <c r="A70" s="2" t="n"/>
      <c r="B70" s="2" t="n"/>
      <c r="C70" s="13" t="n"/>
      <c r="D70" s="2" t="n"/>
      <c r="E70" s="2" t="n"/>
      <c r="F70" s="2" t="n"/>
      <c r="G70" s="2" t="n"/>
      <c r="H70" s="2" t="n"/>
      <c r="I70" s="8" t="n"/>
      <c r="J70" s="2" t="n"/>
      <c r="K70" s="2" t="n"/>
      <c r="L70" s="2" t="n"/>
      <c r="M70" s="2" t="n"/>
      <c r="N70" s="2" t="n"/>
      <c r="O70" s="6" t="n"/>
      <c r="P70" s="6" t="n"/>
      <c r="Q70" s="6" t="n"/>
    </row>
    <row r="71">
      <c r="A71" s="2" t="n"/>
      <c r="B71" s="2" t="n"/>
      <c r="C71" s="13" t="n"/>
      <c r="D71" s="2" t="n"/>
      <c r="E71" s="2" t="n"/>
      <c r="F71" s="2" t="n"/>
      <c r="G71" s="2" t="n"/>
      <c r="H71" s="2" t="n"/>
      <c r="I71" s="8" t="n"/>
      <c r="J71" s="2" t="n"/>
      <c r="K71" s="2" t="n"/>
      <c r="L71" s="2" t="n"/>
      <c r="M71" s="2" t="n"/>
      <c r="N71" s="2" t="n"/>
      <c r="O71" s="6" t="n"/>
      <c r="P71" s="6" t="n"/>
      <c r="Q71" s="6" t="n"/>
    </row>
    <row r="72">
      <c r="A72" s="2" t="n"/>
      <c r="B72" s="2" t="n"/>
      <c r="C72" s="13" t="n"/>
      <c r="D72" s="2" t="n"/>
      <c r="E72" s="2" t="n"/>
      <c r="F72" s="2" t="n"/>
      <c r="G72" s="2" t="n"/>
      <c r="H72" s="2" t="n"/>
      <c r="I72" s="8" t="n"/>
      <c r="J72" s="2" t="n"/>
      <c r="K72" s="2" t="n"/>
      <c r="L72" s="2" t="n"/>
      <c r="M72" s="2" t="n"/>
      <c r="N72" s="2" t="n"/>
      <c r="O72" s="6" t="n"/>
      <c r="P72" s="6" t="n"/>
      <c r="Q72" s="6" t="n"/>
    </row>
    <row r="73">
      <c r="A73" s="2" t="n"/>
      <c r="B73" s="2" t="n"/>
      <c r="C73" s="13" t="n"/>
      <c r="D73" s="2" t="n"/>
      <c r="E73" s="2" t="n"/>
      <c r="F73" s="2" t="n"/>
      <c r="G73" s="2" t="n"/>
      <c r="H73" s="2" t="n"/>
      <c r="I73" s="8" t="n"/>
      <c r="J73" s="2" t="n"/>
      <c r="K73" s="2" t="n"/>
      <c r="L73" s="2" t="n"/>
      <c r="M73" s="2" t="n"/>
      <c r="N73" s="2" t="n"/>
      <c r="O73" s="6" t="n"/>
      <c r="P73" s="6" t="n"/>
      <c r="Q73" s="6" t="n"/>
    </row>
    <row r="74">
      <c r="A74" s="2" t="n"/>
      <c r="B74" s="2" t="n"/>
      <c r="C74" s="13" t="n"/>
      <c r="D74" s="2" t="n"/>
      <c r="E74" s="2" t="n"/>
      <c r="F74" s="2" t="n"/>
      <c r="G74" s="2" t="n"/>
      <c r="H74" s="2" t="n"/>
      <c r="I74" s="8" t="n"/>
      <c r="J74" s="2" t="n"/>
      <c r="K74" s="2" t="n"/>
      <c r="L74" s="2" t="n"/>
      <c r="M74" s="2" t="n"/>
      <c r="N74" s="2" t="n"/>
      <c r="O74" s="6" t="n"/>
      <c r="P74" s="6" t="n"/>
      <c r="Q74" s="6" t="n"/>
    </row>
    <row r="75">
      <c r="A75" s="2" t="n"/>
      <c r="B75" s="2" t="n"/>
      <c r="C75" s="13" t="n"/>
      <c r="D75" s="2" t="n"/>
      <c r="E75" s="2" t="n"/>
      <c r="F75" s="2" t="n"/>
      <c r="G75" s="2" t="n"/>
      <c r="H75" s="2" t="n"/>
      <c r="I75" s="8" t="n"/>
      <c r="J75" s="2" t="n"/>
      <c r="K75" s="2" t="n"/>
      <c r="L75" s="2" t="n"/>
      <c r="M75" s="2" t="n"/>
      <c r="N75" s="2" t="n"/>
      <c r="O75" s="6" t="n"/>
      <c r="P75" s="6" t="n"/>
      <c r="Q75" s="6" t="n"/>
    </row>
    <row r="76">
      <c r="A76" s="2" t="n"/>
      <c r="B76" s="2" t="n"/>
      <c r="C76" s="13" t="n"/>
      <c r="D76" s="2" t="n"/>
      <c r="E76" s="2" t="n"/>
      <c r="F76" s="2" t="n"/>
      <c r="G76" s="2" t="n"/>
      <c r="H76" s="2" t="n"/>
      <c r="I76" s="8" t="n"/>
      <c r="J76" s="2" t="n"/>
      <c r="K76" s="2" t="n"/>
      <c r="L76" s="2" t="n"/>
      <c r="M76" s="2" t="n"/>
      <c r="N76" s="2" t="n"/>
      <c r="O76" s="6" t="n"/>
      <c r="P76" s="6" t="n"/>
      <c r="Q76" s="6" t="n"/>
    </row>
    <row r="77">
      <c r="A77" s="2" t="n"/>
      <c r="B77" s="2" t="n"/>
      <c r="C77" s="13" t="n"/>
      <c r="D77" s="2" t="n"/>
      <c r="E77" s="2" t="n"/>
      <c r="F77" s="2" t="n"/>
      <c r="G77" s="2" t="n"/>
      <c r="H77" s="2" t="n"/>
      <c r="I77" s="8" t="n"/>
      <c r="J77" s="2" t="n"/>
      <c r="K77" s="2" t="n"/>
      <c r="L77" s="2" t="n"/>
      <c r="M77" s="2" t="n"/>
      <c r="N77" s="2" t="n"/>
      <c r="O77" s="6" t="n"/>
      <c r="P77" s="6" t="n"/>
      <c r="Q77" s="6" t="n"/>
    </row>
    <row r="78">
      <c r="A78" s="2" t="n"/>
      <c r="B78" s="2" t="n"/>
      <c r="C78" s="13" t="n"/>
      <c r="D78" s="2" t="n"/>
      <c r="E78" s="2" t="n"/>
      <c r="F78" s="2" t="n"/>
      <c r="G78" s="2" t="n"/>
      <c r="H78" s="2" t="n"/>
      <c r="I78" s="8" t="n"/>
      <c r="J78" s="2" t="n"/>
      <c r="K78" s="2" t="n"/>
      <c r="L78" s="2" t="n"/>
      <c r="M78" s="2" t="n"/>
      <c r="N78" s="2" t="n"/>
      <c r="O78" s="6" t="n"/>
      <c r="P78" s="6" t="n"/>
      <c r="Q78" s="6" t="n"/>
    </row>
    <row r="79">
      <c r="A79" s="2" t="n"/>
      <c r="B79" s="2" t="n"/>
      <c r="C79" s="13" t="n"/>
      <c r="D79" s="2" t="n"/>
      <c r="E79" s="2" t="n"/>
      <c r="F79" s="2" t="n"/>
      <c r="G79" s="2" t="n"/>
      <c r="H79" s="2" t="n"/>
      <c r="I79" s="8" t="n"/>
      <c r="J79" s="2" t="n"/>
      <c r="K79" s="2" t="n"/>
      <c r="L79" s="2" t="n"/>
      <c r="M79" s="2" t="n"/>
      <c r="N79" s="2" t="n"/>
      <c r="O79" s="6" t="n"/>
      <c r="P79" s="6" t="n"/>
      <c r="Q79" s="6" t="n"/>
    </row>
    <row r="80">
      <c r="A80" s="2" t="n"/>
      <c r="B80" s="2" t="n"/>
      <c r="C80" s="13" t="n"/>
      <c r="D80" s="2" t="n"/>
      <c r="E80" s="2" t="n"/>
      <c r="F80" s="2" t="n"/>
      <c r="G80" s="2" t="n"/>
      <c r="H80" s="2" t="n"/>
      <c r="I80" s="8" t="n"/>
      <c r="J80" s="2" t="n"/>
      <c r="K80" s="2" t="n"/>
      <c r="L80" s="2" t="n"/>
      <c r="M80" s="2" t="n"/>
      <c r="N80" s="2" t="n"/>
      <c r="O80" s="6" t="n"/>
      <c r="P80" s="6" t="n"/>
      <c r="Q80" s="6" t="n"/>
    </row>
    <row r="81">
      <c r="A81" s="2" t="n"/>
      <c r="B81" s="2" t="n"/>
      <c r="C81" s="13" t="n"/>
      <c r="D81" s="2" t="n"/>
      <c r="E81" s="2" t="n"/>
      <c r="F81" s="2" t="n"/>
      <c r="G81" s="2" t="n"/>
      <c r="H81" s="2" t="n"/>
      <c r="I81" s="8" t="n"/>
      <c r="J81" s="2" t="n"/>
      <c r="K81" s="2" t="n"/>
      <c r="L81" s="2" t="n"/>
      <c r="M81" s="2" t="n"/>
      <c r="N81" s="2" t="n"/>
      <c r="O81" s="6" t="n"/>
      <c r="P81" s="6" t="n"/>
      <c r="Q81" s="6" t="n"/>
    </row>
    <row r="82">
      <c r="A82" s="2" t="n"/>
      <c r="B82" s="2" t="n"/>
      <c r="C82" s="13" t="n"/>
      <c r="D82" s="2" t="n"/>
      <c r="E82" s="2" t="n"/>
      <c r="F82" s="2" t="n"/>
      <c r="G82" s="2" t="n"/>
      <c r="H82" s="2" t="n"/>
      <c r="I82" s="8" t="n"/>
      <c r="J82" s="2" t="n"/>
      <c r="K82" s="2" t="n"/>
      <c r="L82" s="2" t="n"/>
      <c r="M82" s="2" t="n"/>
      <c r="N82" s="2" t="n"/>
      <c r="O82" s="6" t="n"/>
      <c r="P82" s="6" t="n"/>
      <c r="Q82" s="6" t="n"/>
    </row>
    <row r="83">
      <c r="A83" s="2" t="n"/>
      <c r="B83" s="2" t="n"/>
      <c r="C83" s="13" t="n"/>
      <c r="D83" s="2" t="n"/>
      <c r="E83" s="2" t="n"/>
      <c r="F83" s="2" t="n"/>
      <c r="G83" s="2" t="n"/>
      <c r="H83" s="2" t="n"/>
      <c r="I83" s="8" t="n"/>
      <c r="J83" s="2" t="n"/>
      <c r="K83" s="2" t="n"/>
      <c r="L83" s="2" t="n"/>
      <c r="M83" s="2" t="n"/>
      <c r="N83" s="2" t="n"/>
      <c r="O83" s="6" t="n"/>
      <c r="P83" s="6" t="n"/>
      <c r="Q83" s="6" t="n"/>
    </row>
    <row r="84">
      <c r="A84" s="2" t="n"/>
      <c r="B84" s="2" t="n"/>
      <c r="C84" s="13" t="n"/>
      <c r="D84" s="2" t="n"/>
      <c r="E84" s="2" t="n"/>
      <c r="F84" s="2" t="n"/>
      <c r="G84" s="2" t="n"/>
      <c r="H84" s="2" t="n"/>
      <c r="I84" s="8" t="n"/>
      <c r="J84" s="2" t="n"/>
      <c r="K84" s="2" t="n"/>
      <c r="L84" s="2" t="n"/>
      <c r="M84" s="2" t="n"/>
      <c r="N84" s="2" t="n"/>
      <c r="O84" s="6" t="n"/>
      <c r="P84" s="6" t="n"/>
      <c r="Q84" s="6" t="n"/>
    </row>
    <row r="85">
      <c r="A85" s="2" t="n"/>
      <c r="B85" s="2" t="n"/>
      <c r="C85" s="13" t="n"/>
      <c r="D85" s="2" t="n"/>
      <c r="E85" s="2" t="n"/>
      <c r="F85" s="2" t="n"/>
      <c r="G85" s="2" t="n"/>
      <c r="H85" s="2" t="n"/>
      <c r="I85" s="8" t="n"/>
      <c r="J85" s="2" t="n"/>
      <c r="K85" s="2" t="n"/>
      <c r="L85" s="2" t="n"/>
      <c r="M85" s="2" t="n"/>
      <c r="N85" s="2" t="n"/>
      <c r="O85" s="6" t="n"/>
      <c r="P85" s="6" t="n"/>
      <c r="Q85" s="6" t="n"/>
    </row>
    <row r="86">
      <c r="A86" s="2" t="n"/>
      <c r="B86" s="2" t="n"/>
      <c r="C86" s="13" t="n"/>
      <c r="D86" s="2" t="n"/>
      <c r="E86" s="2" t="n"/>
      <c r="F86" s="2" t="n"/>
      <c r="G86" s="2" t="n"/>
      <c r="H86" s="2" t="n"/>
      <c r="I86" s="8" t="n"/>
      <c r="J86" s="2" t="n"/>
      <c r="K86" s="2" t="n"/>
      <c r="L86" s="2" t="n"/>
      <c r="M86" s="2" t="n"/>
      <c r="N86" s="2" t="n"/>
      <c r="O86" s="6" t="n"/>
      <c r="P86" s="6" t="n"/>
      <c r="Q86" s="6" t="n"/>
    </row>
    <row r="87">
      <c r="A87" s="2" t="n"/>
      <c r="B87" s="2" t="n"/>
      <c r="C87" s="13" t="n"/>
      <c r="D87" s="2" t="n"/>
      <c r="E87" s="2" t="n"/>
      <c r="F87" s="2" t="n"/>
      <c r="G87" s="2" t="n"/>
      <c r="H87" s="2" t="n"/>
      <c r="I87" s="8" t="n"/>
      <c r="J87" s="2" t="n"/>
      <c r="K87" s="2" t="n"/>
      <c r="L87" s="2" t="n"/>
      <c r="M87" s="2" t="n"/>
      <c r="N87" s="2" t="n"/>
      <c r="O87" s="6" t="n"/>
      <c r="P87" s="6" t="n"/>
      <c r="Q87" s="6" t="n"/>
    </row>
    <row r="88">
      <c r="A88" s="2" t="n"/>
      <c r="B88" s="2" t="n"/>
      <c r="C88" s="13" t="n"/>
      <c r="D88" s="2" t="n"/>
      <c r="E88" s="2" t="n"/>
      <c r="F88" s="2" t="n"/>
      <c r="G88" s="2" t="n"/>
      <c r="H88" s="2" t="n"/>
      <c r="I88" s="8" t="n"/>
      <c r="J88" s="2" t="n"/>
      <c r="K88" s="2" t="n"/>
      <c r="L88" s="2" t="n"/>
      <c r="M88" s="2" t="n"/>
      <c r="N88" s="2" t="n"/>
      <c r="O88" s="6" t="n"/>
      <c r="P88" s="6" t="n"/>
      <c r="Q88" s="6" t="n"/>
    </row>
    <row r="89">
      <c r="A89" s="2" t="n"/>
      <c r="B89" s="2" t="n"/>
      <c r="C89" s="13" t="n"/>
      <c r="D89" s="2" t="n"/>
      <c r="E89" s="2" t="n"/>
      <c r="F89" s="2" t="n"/>
      <c r="G89" s="2" t="n"/>
      <c r="H89" s="2" t="n"/>
      <c r="I89" s="8" t="n"/>
      <c r="J89" s="2" t="n"/>
      <c r="K89" s="2" t="n"/>
      <c r="L89" s="2" t="n"/>
      <c r="M89" s="2" t="n"/>
      <c r="N89" s="2" t="n"/>
      <c r="O89" s="6" t="n"/>
      <c r="P89" s="6" t="n"/>
      <c r="Q89" s="6" t="n"/>
    </row>
    <row r="90">
      <c r="A90" s="2" t="n"/>
      <c r="B90" s="2" t="n"/>
      <c r="C90" s="13" t="n"/>
      <c r="D90" s="2" t="n"/>
      <c r="E90" s="2" t="n"/>
      <c r="F90" s="2" t="n"/>
      <c r="G90" s="2" t="n"/>
      <c r="H90" s="2" t="n"/>
      <c r="I90" s="8" t="n"/>
      <c r="J90" s="2" t="n"/>
      <c r="K90" s="2" t="n"/>
      <c r="L90" s="2" t="n"/>
      <c r="M90" s="2" t="n"/>
      <c r="N90" s="2" t="n"/>
      <c r="O90" s="6" t="n"/>
      <c r="P90" s="6" t="n"/>
      <c r="Q90" s="6" t="n"/>
    </row>
    <row r="91">
      <c r="A91" s="2" t="n"/>
      <c r="B91" s="2" t="n"/>
      <c r="C91" s="13" t="n"/>
      <c r="D91" s="2" t="n"/>
      <c r="E91" s="2" t="n"/>
      <c r="F91" s="2" t="n"/>
      <c r="G91" s="2" t="n"/>
      <c r="H91" s="2" t="n"/>
      <c r="I91" s="8" t="n"/>
      <c r="J91" s="2" t="n"/>
      <c r="K91" s="2" t="n"/>
      <c r="L91" s="2" t="n"/>
      <c r="M91" s="2" t="n"/>
      <c r="N91" s="2" t="n"/>
      <c r="O91" s="6" t="n"/>
      <c r="P91" s="6" t="n"/>
      <c r="Q91" s="6" t="n"/>
    </row>
    <row r="92">
      <c r="A92" s="2" t="n"/>
      <c r="B92" s="2" t="n"/>
      <c r="C92" s="13" t="n"/>
      <c r="D92" s="2" t="n"/>
      <c r="E92" s="2" t="n"/>
      <c r="F92" s="2" t="n"/>
      <c r="G92" s="2" t="n"/>
      <c r="H92" s="2" t="n"/>
      <c r="I92" s="8" t="n"/>
      <c r="J92" s="2" t="n"/>
      <c r="K92" s="2" t="n"/>
      <c r="L92" s="2" t="n"/>
      <c r="M92" s="2" t="n"/>
      <c r="N92" s="2" t="n"/>
      <c r="O92" s="6" t="n"/>
      <c r="P92" s="6" t="n"/>
      <c r="Q92" s="6" t="n"/>
    </row>
    <row r="93">
      <c r="A93" s="2" t="n"/>
      <c r="B93" s="2" t="n"/>
      <c r="C93" s="13" t="n"/>
      <c r="D93" s="2" t="n"/>
      <c r="E93" s="2" t="n"/>
      <c r="F93" s="2" t="n"/>
      <c r="G93" s="2" t="n"/>
      <c r="H93" s="2" t="n"/>
      <c r="I93" s="8" t="n"/>
      <c r="J93" s="2" t="n"/>
      <c r="K93" s="2" t="n"/>
      <c r="L93" s="2" t="n"/>
      <c r="M93" s="2" t="n"/>
      <c r="N93" s="2" t="n"/>
      <c r="O93" s="6" t="n"/>
      <c r="P93" s="6" t="n"/>
      <c r="Q93" s="6" t="n"/>
    </row>
    <row r="94">
      <c r="A94" s="2" t="n"/>
      <c r="B94" s="2" t="n"/>
      <c r="C94" s="13" t="n"/>
      <c r="D94" s="2" t="n"/>
      <c r="E94" s="2" t="n"/>
      <c r="F94" s="2" t="n"/>
      <c r="G94" s="2" t="n"/>
      <c r="H94" s="2" t="n"/>
      <c r="I94" s="8" t="n"/>
      <c r="J94" s="2" t="n"/>
      <c r="K94" s="2" t="n"/>
      <c r="L94" s="2" t="n"/>
      <c r="M94" s="2" t="n"/>
      <c r="N94" s="2" t="n"/>
      <c r="O94" s="6" t="n"/>
      <c r="P94" s="6" t="n"/>
      <c r="Q94" s="6" t="n"/>
    </row>
    <row r="95">
      <c r="A95" s="2" t="n"/>
      <c r="B95" s="2" t="n"/>
      <c r="C95" s="13" t="n"/>
      <c r="D95" s="2" t="n"/>
      <c r="E95" s="2" t="n"/>
      <c r="F95" s="2" t="n"/>
      <c r="G95" s="2" t="n"/>
      <c r="H95" s="2" t="n"/>
      <c r="I95" s="8" t="n"/>
      <c r="J95" s="2" t="n"/>
      <c r="K95" s="2" t="n"/>
      <c r="L95" s="2" t="n"/>
      <c r="M95" s="2" t="n"/>
      <c r="N95" s="2" t="n"/>
      <c r="O95" s="6" t="n"/>
      <c r="P95" s="6" t="n"/>
      <c r="Q95" s="6" t="n"/>
    </row>
    <row r="96">
      <c r="A96" s="2" t="n"/>
      <c r="B96" s="2" t="n"/>
      <c r="C96" s="13" t="n"/>
      <c r="D96" s="2" t="n"/>
      <c r="E96" s="2" t="n"/>
      <c r="F96" s="2" t="n"/>
      <c r="G96" s="2" t="n"/>
      <c r="H96" s="2" t="n"/>
      <c r="I96" s="8" t="n"/>
      <c r="J96" s="2" t="n"/>
      <c r="K96" s="2" t="n"/>
      <c r="L96" s="2" t="n"/>
      <c r="M96" s="2" t="n"/>
      <c r="N96" s="2" t="n"/>
      <c r="O96" s="6" t="n"/>
      <c r="P96" s="6" t="n"/>
      <c r="Q96" s="6" t="n"/>
    </row>
    <row r="97">
      <c r="A97" s="2" t="n"/>
      <c r="B97" s="2" t="n"/>
      <c r="C97" s="13" t="n"/>
      <c r="D97" s="2" t="n"/>
      <c r="E97" s="2" t="n"/>
      <c r="F97" s="2" t="n"/>
      <c r="G97" s="2" t="n"/>
      <c r="H97" s="2" t="n"/>
      <c r="I97" s="8" t="n"/>
      <c r="J97" s="2" t="n"/>
      <c r="K97" s="2" t="n"/>
      <c r="L97" s="2" t="n"/>
      <c r="M97" s="2" t="n"/>
      <c r="N97" s="2" t="n"/>
      <c r="O97" s="6" t="n"/>
      <c r="P97" s="6" t="n"/>
      <c r="Q97" s="6" t="n"/>
    </row>
    <row r="98">
      <c r="A98" s="2" t="n"/>
      <c r="B98" s="2" t="n"/>
      <c r="C98" s="13" t="n"/>
      <c r="D98" s="2" t="n"/>
      <c r="E98" s="2" t="n"/>
      <c r="F98" s="2" t="n"/>
      <c r="G98" s="2" t="n"/>
      <c r="H98" s="2" t="n"/>
      <c r="I98" s="8" t="n"/>
      <c r="J98" s="2" t="n"/>
      <c r="K98" s="2" t="n"/>
      <c r="L98" s="2" t="n"/>
      <c r="M98" s="2" t="n"/>
      <c r="N98" s="2" t="n"/>
      <c r="O98" s="6" t="n"/>
      <c r="P98" s="6" t="n"/>
      <c r="Q98" s="6" t="n"/>
    </row>
    <row r="99">
      <c r="A99" s="2" t="n"/>
      <c r="B99" s="2" t="n"/>
      <c r="C99" s="13" t="n"/>
      <c r="D99" s="2" t="n"/>
      <c r="E99" s="2" t="n"/>
      <c r="F99" s="2" t="n"/>
      <c r="G99" s="2" t="n"/>
      <c r="H99" s="2" t="n"/>
      <c r="I99" s="8" t="n"/>
      <c r="J99" s="2" t="n"/>
      <c r="K99" s="2" t="n"/>
      <c r="L99" s="2" t="n"/>
      <c r="M99" s="2" t="n"/>
      <c r="N99" s="2" t="n"/>
      <c r="O99" s="6" t="n"/>
      <c r="P99" s="6" t="n"/>
      <c r="Q99" s="6" t="n"/>
    </row>
    <row r="100">
      <c r="A100" s="2" t="n"/>
      <c r="B100" s="2" t="n"/>
      <c r="C100" s="13" t="n"/>
      <c r="D100" s="2" t="n"/>
      <c r="E100" s="2" t="n"/>
      <c r="F100" s="2" t="n"/>
      <c r="G100" s="2" t="n"/>
      <c r="H100" s="2" t="n"/>
      <c r="I100" s="8" t="n"/>
      <c r="J100" s="2" t="n"/>
      <c r="K100" s="2" t="n"/>
      <c r="L100" s="2" t="n"/>
      <c r="M100" s="2" t="n"/>
      <c r="N100" s="2" t="n"/>
      <c r="O100" s="6" t="n"/>
      <c r="P100" s="6" t="n"/>
      <c r="Q100" s="6" t="n"/>
    </row>
    <row r="101">
      <c r="A101" s="2" t="n"/>
      <c r="B101" s="2" t="n"/>
      <c r="C101" s="13" t="n"/>
      <c r="D101" s="2" t="n"/>
      <c r="E101" s="2" t="n"/>
      <c r="F101" s="2" t="n"/>
      <c r="G101" s="2" t="n"/>
      <c r="H101" s="2" t="n"/>
      <c r="I101" s="8" t="n"/>
      <c r="J101" s="2" t="n"/>
      <c r="K101" s="2" t="n"/>
      <c r="L101" s="2" t="n"/>
      <c r="M101" s="2" t="n"/>
      <c r="N101" s="2" t="n"/>
      <c r="O101" s="6" t="n"/>
      <c r="P101" s="6" t="n"/>
      <c r="Q101" s="6" t="n"/>
    </row>
    <row r="102">
      <c r="A102" s="2" t="n"/>
      <c r="B102" s="2" t="n"/>
      <c r="C102" s="13" t="n"/>
      <c r="D102" s="2" t="n"/>
      <c r="E102" s="2" t="n"/>
      <c r="F102" s="2" t="n"/>
      <c r="G102" s="2" t="n"/>
      <c r="H102" s="2" t="n"/>
      <c r="I102" s="8" t="n"/>
      <c r="J102" s="2" t="n"/>
      <c r="K102" s="2" t="n"/>
      <c r="L102" s="2" t="n"/>
      <c r="M102" s="2" t="n"/>
      <c r="N102" s="2" t="n"/>
      <c r="O102" s="6" t="n"/>
      <c r="P102" s="6" t="n"/>
      <c r="Q102" s="6" t="n"/>
    </row>
    <row r="103">
      <c r="A103" s="2" t="n"/>
      <c r="B103" s="2" t="n"/>
      <c r="C103" s="13" t="n"/>
      <c r="D103" s="2" t="n"/>
      <c r="E103" s="2" t="n"/>
      <c r="F103" s="2" t="n"/>
      <c r="G103" s="2" t="n"/>
      <c r="H103" s="2" t="n"/>
      <c r="I103" s="8" t="n"/>
      <c r="J103" s="2" t="n"/>
      <c r="K103" s="2" t="n"/>
      <c r="L103" s="2" t="n"/>
      <c r="M103" s="2" t="n"/>
      <c r="N103" s="2" t="n"/>
      <c r="O103" s="6" t="n"/>
      <c r="P103" s="6" t="n"/>
      <c r="Q103" s="6" t="n"/>
    </row>
    <row r="104">
      <c r="A104" s="2" t="n"/>
      <c r="B104" s="2" t="n"/>
      <c r="C104" s="13" t="n"/>
      <c r="D104" s="2" t="n"/>
      <c r="E104" s="2" t="n"/>
      <c r="F104" s="2" t="n"/>
      <c r="G104" s="2" t="n"/>
      <c r="H104" s="2" t="n"/>
      <c r="I104" s="8" t="n"/>
      <c r="J104" s="2" t="n"/>
      <c r="K104" s="2" t="n"/>
      <c r="L104" s="2" t="n"/>
      <c r="M104" s="2" t="n"/>
      <c r="N104" s="2" t="n"/>
      <c r="O104" s="6" t="n"/>
      <c r="P104" s="6" t="n"/>
      <c r="Q104" s="6" t="n"/>
    </row>
    <row r="105">
      <c r="A105" s="2" t="n"/>
      <c r="B105" s="2" t="n"/>
      <c r="C105" s="13" t="n"/>
      <c r="D105" s="2" t="n"/>
      <c r="E105" s="2" t="n"/>
      <c r="F105" s="2" t="n"/>
      <c r="G105" s="2" t="n"/>
      <c r="H105" s="2" t="n"/>
      <c r="I105" s="8" t="n"/>
      <c r="J105" s="2" t="n"/>
      <c r="K105" s="2" t="n"/>
      <c r="L105" s="2" t="n"/>
      <c r="M105" s="2" t="n"/>
      <c r="N105" s="2" t="n"/>
      <c r="O105" s="6" t="n"/>
      <c r="P105" s="6" t="n"/>
      <c r="Q105" s="6" t="n"/>
    </row>
    <row r="106">
      <c r="A106" s="2" t="n"/>
      <c r="B106" s="2" t="n"/>
      <c r="C106" s="13" t="n"/>
      <c r="D106" s="2" t="n"/>
      <c r="E106" s="2" t="n"/>
      <c r="F106" s="2" t="n"/>
      <c r="G106" s="2" t="n"/>
      <c r="H106" s="2" t="n"/>
      <c r="I106" s="8" t="n"/>
      <c r="J106" s="2" t="n"/>
      <c r="K106" s="2" t="n"/>
      <c r="L106" s="2" t="n"/>
      <c r="M106" s="2" t="n"/>
      <c r="N106" s="2" t="n"/>
      <c r="O106" s="6" t="n"/>
      <c r="P106" s="6" t="n"/>
      <c r="Q106" s="6" t="n"/>
    </row>
    <row r="107">
      <c r="A107" s="2" t="n"/>
      <c r="B107" s="2" t="n"/>
      <c r="C107" s="13" t="n"/>
      <c r="D107" s="2" t="n"/>
      <c r="E107" s="2" t="n"/>
      <c r="F107" s="2" t="n"/>
      <c r="G107" s="2" t="n"/>
      <c r="H107" s="2" t="n"/>
      <c r="I107" s="8" t="n"/>
      <c r="J107" s="2" t="n"/>
      <c r="K107" s="2" t="n"/>
      <c r="L107" s="2" t="n"/>
      <c r="M107" s="2" t="n"/>
      <c r="N107" s="2" t="n"/>
      <c r="O107" s="6" t="n"/>
      <c r="P107" s="6" t="n"/>
      <c r="Q107" s="6" t="n"/>
    </row>
    <row r="108">
      <c r="A108" s="2" t="n"/>
      <c r="B108" s="2" t="n"/>
      <c r="C108" s="13" t="n"/>
      <c r="D108" s="2" t="n"/>
      <c r="E108" s="2" t="n"/>
      <c r="F108" s="2" t="n"/>
      <c r="G108" s="2" t="n"/>
      <c r="H108" s="2" t="n"/>
      <c r="I108" s="8" t="n"/>
      <c r="J108" s="2" t="n"/>
      <c r="K108" s="2" t="n"/>
      <c r="L108" s="2" t="n"/>
      <c r="M108" s="2" t="n"/>
      <c r="N108" s="2" t="n"/>
      <c r="O108" s="6" t="n"/>
      <c r="P108" s="6" t="n"/>
      <c r="Q108" s="6" t="n"/>
    </row>
    <row r="109">
      <c r="A109" s="2" t="n"/>
      <c r="B109" s="2" t="n"/>
      <c r="C109" s="13" t="n"/>
      <c r="D109" s="2" t="n"/>
      <c r="E109" s="2" t="n"/>
      <c r="F109" s="2" t="n"/>
      <c r="G109" s="2" t="n"/>
      <c r="H109" s="2" t="n"/>
      <c r="I109" s="8" t="n"/>
      <c r="J109" s="2" t="n"/>
      <c r="K109" s="2" t="n"/>
      <c r="L109" s="2" t="n"/>
      <c r="M109" s="2" t="n"/>
      <c r="N109" s="2" t="n"/>
      <c r="O109" s="6" t="n"/>
      <c r="P109" s="6" t="n"/>
      <c r="Q109" s="6" t="n"/>
    </row>
    <row r="110">
      <c r="A110" s="2" t="n"/>
      <c r="B110" s="2" t="n"/>
      <c r="C110" s="13" t="n"/>
      <c r="D110" s="2" t="n"/>
      <c r="E110" s="2" t="n"/>
      <c r="F110" s="2" t="n"/>
      <c r="G110" s="2" t="n"/>
      <c r="H110" s="2" t="n"/>
      <c r="I110" s="8" t="n"/>
      <c r="J110" s="2" t="n"/>
      <c r="K110" s="2" t="n"/>
      <c r="L110" s="2" t="n"/>
      <c r="M110" s="2" t="n"/>
      <c r="N110" s="2" t="n"/>
      <c r="O110" s="6" t="n"/>
      <c r="P110" s="6" t="n"/>
      <c r="Q110" s="6" t="n"/>
    </row>
    <row r="111">
      <c r="A111" s="2" t="n"/>
      <c r="B111" s="2" t="n"/>
      <c r="C111" s="13" t="n"/>
      <c r="D111" s="2" t="n"/>
      <c r="E111" s="2" t="n"/>
      <c r="F111" s="2" t="n"/>
      <c r="G111" s="2" t="n"/>
      <c r="H111" s="2" t="n"/>
      <c r="I111" s="8" t="n"/>
      <c r="J111" s="2" t="n"/>
      <c r="K111" s="2" t="n"/>
      <c r="L111" s="2" t="n"/>
      <c r="M111" s="2" t="n"/>
      <c r="N111" s="2" t="n"/>
      <c r="O111" s="6" t="n"/>
      <c r="P111" s="6" t="n"/>
      <c r="Q111" s="6" t="n"/>
    </row>
    <row r="112">
      <c r="A112" s="2" t="n"/>
      <c r="B112" s="2" t="n"/>
      <c r="C112" s="13" t="n"/>
      <c r="D112" s="2" t="n"/>
      <c r="E112" s="2" t="n"/>
      <c r="F112" s="2" t="n"/>
      <c r="G112" s="2" t="n"/>
      <c r="H112" s="2" t="n"/>
      <c r="I112" s="8" t="n"/>
      <c r="J112" s="2" t="n"/>
      <c r="K112" s="2" t="n"/>
      <c r="L112" s="2" t="n"/>
      <c r="M112" s="2" t="n"/>
      <c r="N112" s="2" t="n"/>
      <c r="O112" s="6" t="n"/>
      <c r="P112" s="6" t="n"/>
      <c r="Q112" s="6" t="n"/>
    </row>
    <row r="113">
      <c r="A113" s="2" t="n"/>
      <c r="B113" s="2" t="n"/>
      <c r="C113" s="13" t="n"/>
      <c r="D113" s="2" t="n"/>
      <c r="E113" s="2" t="n"/>
      <c r="F113" s="2" t="n"/>
      <c r="G113" s="2" t="n"/>
      <c r="H113" s="2" t="n"/>
      <c r="I113" s="8" t="n"/>
      <c r="J113" s="2" t="n"/>
      <c r="K113" s="2" t="n"/>
      <c r="L113" s="2" t="n"/>
      <c r="M113" s="2" t="n"/>
      <c r="N113" s="2" t="n"/>
      <c r="O113" s="6" t="n"/>
      <c r="P113" s="6" t="n"/>
      <c r="Q113" s="6" t="n"/>
    </row>
    <row r="114">
      <c r="A114" s="2" t="n"/>
      <c r="B114" s="2" t="n"/>
      <c r="C114" s="13" t="n"/>
      <c r="D114" s="2" t="n"/>
      <c r="E114" s="2" t="n"/>
      <c r="F114" s="2" t="n"/>
      <c r="G114" s="2" t="n"/>
      <c r="H114" s="2" t="n"/>
      <c r="I114" s="8" t="n"/>
      <c r="J114" s="2" t="n"/>
      <c r="K114" s="2" t="n"/>
      <c r="L114" s="2" t="n"/>
      <c r="M114" s="2" t="n"/>
      <c r="N114" s="2" t="n"/>
      <c r="O114" s="6" t="n"/>
      <c r="P114" s="6" t="n"/>
      <c r="Q114" s="6" t="n"/>
    </row>
    <row r="115">
      <c r="A115" s="2" t="n"/>
      <c r="B115" s="2" t="n"/>
      <c r="C115" s="13" t="n"/>
      <c r="D115" s="2" t="n"/>
      <c r="E115" s="2" t="n"/>
      <c r="F115" s="2" t="n"/>
      <c r="G115" s="2" t="n"/>
      <c r="H115" s="2" t="n"/>
      <c r="I115" s="8" t="n"/>
      <c r="J115" s="2" t="n"/>
      <c r="K115" s="2" t="n"/>
      <c r="L115" s="2" t="n"/>
      <c r="M115" s="2" t="n"/>
      <c r="N115" s="2" t="n"/>
      <c r="O115" s="6" t="n"/>
      <c r="P115" s="6" t="n"/>
      <c r="Q115" s="6" t="n"/>
    </row>
    <row r="116">
      <c r="A116" s="2" t="n"/>
      <c r="B116" s="2" t="n"/>
      <c r="C116" s="13" t="n"/>
      <c r="D116" s="2" t="n"/>
      <c r="E116" s="2" t="n"/>
      <c r="F116" s="2" t="n"/>
      <c r="G116" s="2" t="n"/>
      <c r="H116" s="2" t="n"/>
      <c r="I116" s="8" t="n"/>
      <c r="J116" s="2" t="n"/>
      <c r="K116" s="2" t="n"/>
      <c r="L116" s="2" t="n"/>
      <c r="M116" s="2" t="n"/>
      <c r="N116" s="2" t="n"/>
      <c r="O116" s="6" t="n"/>
      <c r="P116" s="6" t="n"/>
      <c r="Q116" s="6" t="n"/>
    </row>
    <row r="117">
      <c r="A117" s="2" t="n"/>
      <c r="B117" s="2" t="n"/>
      <c r="C117" s="13" t="n"/>
      <c r="D117" s="2" t="n"/>
      <c r="E117" s="2" t="n"/>
      <c r="F117" s="2" t="n"/>
      <c r="G117" s="2" t="n"/>
      <c r="H117" s="2" t="n"/>
      <c r="I117" s="8" t="n"/>
      <c r="J117" s="2" t="n"/>
      <c r="K117" s="2" t="n"/>
      <c r="L117" s="2" t="n"/>
      <c r="M117" s="2" t="n"/>
      <c r="N117" s="2" t="n"/>
      <c r="O117" s="6" t="n"/>
      <c r="P117" s="6" t="n"/>
      <c r="Q117" s="6" t="n"/>
    </row>
    <row r="118">
      <c r="A118" s="2" t="n"/>
      <c r="B118" s="2" t="n"/>
      <c r="C118" s="13" t="n"/>
      <c r="D118" s="2" t="n"/>
      <c r="E118" s="2" t="n"/>
      <c r="F118" s="2" t="n"/>
      <c r="G118" s="2" t="n"/>
      <c r="H118" s="2" t="n"/>
      <c r="I118" s="8" t="n"/>
      <c r="J118" s="2" t="n"/>
      <c r="K118" s="2" t="n"/>
      <c r="L118" s="2" t="n"/>
      <c r="M118" s="2" t="n"/>
      <c r="N118" s="2" t="n"/>
      <c r="O118" s="6" t="n"/>
      <c r="P118" s="6" t="n"/>
      <c r="Q118" s="6" t="n"/>
    </row>
    <row r="119">
      <c r="A119" s="2" t="n"/>
      <c r="B119" s="2" t="n"/>
      <c r="C119" s="13" t="n"/>
      <c r="D119" s="2" t="n"/>
      <c r="E119" s="2" t="n"/>
      <c r="F119" s="2" t="n"/>
      <c r="G119" s="2" t="n"/>
      <c r="H119" s="2" t="n"/>
      <c r="I119" s="8" t="n"/>
      <c r="J119" s="2" t="n"/>
      <c r="K119" s="2" t="n"/>
      <c r="L119" s="2" t="n"/>
      <c r="M119" s="2" t="n"/>
      <c r="N119" s="2" t="n"/>
      <c r="O119" s="6" t="n"/>
      <c r="P119" s="6" t="n"/>
      <c r="Q119" s="6" t="n"/>
    </row>
    <row r="120">
      <c r="A120" s="2" t="n"/>
      <c r="B120" s="2" t="n"/>
      <c r="C120" s="13" t="n"/>
      <c r="D120" s="2" t="n"/>
      <c r="E120" s="2" t="n"/>
      <c r="F120" s="2" t="n"/>
      <c r="G120" s="2" t="n"/>
      <c r="H120" s="2" t="n"/>
      <c r="I120" s="8" t="n"/>
      <c r="J120" s="2" t="n"/>
      <c r="K120" s="2" t="n"/>
      <c r="L120" s="2" t="n"/>
      <c r="M120" s="2" t="n"/>
      <c r="N120" s="2" t="n"/>
      <c r="O120" s="6" t="n"/>
      <c r="P120" s="6" t="n"/>
      <c r="Q120" s="6" t="n"/>
    </row>
    <row r="121">
      <c r="A121" s="2" t="n"/>
      <c r="B121" s="2" t="n"/>
      <c r="C121" s="13" t="n"/>
      <c r="D121" s="2" t="n"/>
      <c r="E121" s="2" t="n"/>
      <c r="F121" s="2" t="n"/>
      <c r="G121" s="2" t="n"/>
      <c r="H121" s="2" t="n"/>
      <c r="I121" s="8" t="n"/>
      <c r="J121" s="2" t="n"/>
      <c r="K121" s="2" t="n"/>
      <c r="L121" s="2" t="n"/>
      <c r="M121" s="2" t="n"/>
      <c r="N121" s="2" t="n"/>
      <c r="O121" s="6" t="n"/>
      <c r="P121" s="6" t="n"/>
      <c r="Q121" s="6" t="n"/>
    </row>
    <row r="122">
      <c r="A122" s="2" t="n"/>
      <c r="B122" s="2" t="n"/>
      <c r="C122" s="13" t="n"/>
      <c r="D122" s="2" t="n"/>
      <c r="E122" s="2" t="n"/>
      <c r="F122" s="2" t="n"/>
      <c r="G122" s="2" t="n"/>
      <c r="H122" s="2" t="n"/>
      <c r="I122" s="8" t="n"/>
      <c r="J122" s="2" t="n"/>
      <c r="K122" s="2" t="n"/>
      <c r="L122" s="2" t="n"/>
      <c r="M122" s="2" t="n"/>
      <c r="N122" s="2" t="n"/>
      <c r="O122" s="6" t="n"/>
      <c r="P122" s="6" t="n"/>
      <c r="Q122" s="6" t="n"/>
    </row>
    <row r="123">
      <c r="A123" s="2" t="n"/>
      <c r="B123" s="2" t="n"/>
      <c r="C123" s="13" t="n"/>
      <c r="D123" s="2" t="n"/>
      <c r="E123" s="2" t="n"/>
      <c r="F123" s="2" t="n"/>
      <c r="G123" s="2" t="n"/>
      <c r="H123" s="2" t="n"/>
      <c r="I123" s="8" t="n"/>
      <c r="J123" s="2" t="n"/>
      <c r="K123" s="2" t="n"/>
      <c r="L123" s="2" t="n"/>
      <c r="M123" s="2" t="n"/>
      <c r="N123" s="2" t="n"/>
      <c r="O123" s="6" t="n"/>
      <c r="P123" s="6" t="n"/>
      <c r="Q123" s="6" t="n"/>
    </row>
    <row r="124">
      <c r="A124" s="2" t="n"/>
      <c r="B124" s="2" t="n"/>
      <c r="C124" s="13" t="n"/>
      <c r="D124" s="2" t="n"/>
      <c r="E124" s="2" t="n"/>
      <c r="F124" s="2" t="n"/>
      <c r="G124" s="2" t="n"/>
      <c r="H124" s="2" t="n"/>
      <c r="I124" s="8" t="n"/>
      <c r="J124" s="2" t="n"/>
      <c r="K124" s="2" t="n"/>
      <c r="L124" s="2" t="n"/>
      <c r="M124" s="2" t="n"/>
      <c r="N124" s="2" t="n"/>
      <c r="O124" s="6" t="n"/>
      <c r="P124" s="6" t="n"/>
      <c r="Q124" s="6" t="n"/>
    </row>
    <row r="125">
      <c r="A125" s="2" t="n"/>
      <c r="B125" s="2" t="n"/>
      <c r="C125" s="13" t="n"/>
      <c r="D125" s="2" t="n"/>
      <c r="E125" s="2" t="n"/>
      <c r="F125" s="2" t="n"/>
      <c r="G125" s="2" t="n"/>
      <c r="H125" s="2" t="n"/>
      <c r="I125" s="8" t="n"/>
      <c r="J125" s="2" t="n"/>
      <c r="K125" s="2" t="n"/>
      <c r="L125" s="2" t="n"/>
      <c r="M125" s="2" t="n"/>
      <c r="N125" s="2" t="n"/>
      <c r="O125" s="6" t="n"/>
      <c r="P125" s="6" t="n"/>
      <c r="Q125" s="6" t="n"/>
    </row>
    <row r="126">
      <c r="A126" s="2" t="n"/>
      <c r="B126" s="2" t="n"/>
      <c r="C126" s="13" t="n"/>
      <c r="D126" s="2" t="n"/>
      <c r="E126" s="2" t="n"/>
      <c r="F126" s="2" t="n"/>
      <c r="G126" s="2" t="n"/>
      <c r="H126" s="2" t="n"/>
      <c r="I126" s="8" t="n"/>
      <c r="J126" s="2" t="n"/>
      <c r="K126" s="2" t="n"/>
      <c r="L126" s="2" t="n"/>
      <c r="M126" s="2" t="n"/>
      <c r="N126" s="2" t="n"/>
      <c r="O126" s="6" t="n"/>
      <c r="P126" s="6" t="n"/>
      <c r="Q126" s="6" t="n"/>
    </row>
    <row r="127">
      <c r="A127" s="2" t="n"/>
      <c r="B127" s="2" t="n"/>
      <c r="C127" s="13" t="n"/>
      <c r="D127" s="2" t="n"/>
      <c r="E127" s="2" t="n"/>
      <c r="F127" s="2" t="n"/>
      <c r="G127" s="2" t="n"/>
      <c r="H127" s="2" t="n"/>
      <c r="I127" s="8" t="n"/>
      <c r="J127" s="2" t="n"/>
      <c r="K127" s="2" t="n"/>
      <c r="L127" s="2" t="n"/>
      <c r="M127" s="2" t="n"/>
      <c r="N127" s="2" t="n"/>
      <c r="O127" s="6" t="n"/>
      <c r="P127" s="6" t="n"/>
      <c r="Q127" s="6" t="n"/>
    </row>
    <row r="128">
      <c r="A128" s="2" t="n"/>
      <c r="B128" s="2" t="n"/>
      <c r="C128" s="13" t="n"/>
      <c r="D128" s="2" t="n"/>
      <c r="E128" s="2" t="n"/>
      <c r="F128" s="2" t="n"/>
      <c r="G128" s="2" t="n"/>
      <c r="H128" s="2" t="n"/>
      <c r="I128" s="8" t="n"/>
      <c r="J128" s="2" t="n"/>
      <c r="K128" s="2" t="n"/>
      <c r="L128" s="2" t="n"/>
      <c r="M128" s="2" t="n"/>
      <c r="N128" s="2" t="n"/>
      <c r="O128" s="6" t="n"/>
      <c r="P128" s="6" t="n"/>
      <c r="Q128" s="6" t="n"/>
    </row>
    <row r="129">
      <c r="A129" s="2" t="n"/>
      <c r="B129" s="2" t="n"/>
      <c r="C129" s="13" t="n"/>
      <c r="D129" s="2" t="n"/>
      <c r="E129" s="2" t="n"/>
      <c r="F129" s="2" t="n"/>
      <c r="G129" s="2" t="n"/>
      <c r="H129" s="2" t="n"/>
      <c r="I129" s="8" t="n"/>
      <c r="J129" s="2" t="n"/>
      <c r="K129" s="2" t="n"/>
      <c r="L129" s="2" t="n"/>
      <c r="M129" s="2" t="n"/>
      <c r="N129" s="2" t="n"/>
      <c r="O129" s="6" t="n"/>
      <c r="P129" s="6" t="n"/>
      <c r="Q129" s="6" t="n"/>
    </row>
    <row r="130">
      <c r="A130" s="2" t="n"/>
      <c r="B130" s="2" t="n"/>
      <c r="C130" s="13" t="n"/>
      <c r="D130" s="2" t="n"/>
      <c r="E130" s="2" t="n"/>
      <c r="F130" s="2" t="n"/>
      <c r="G130" s="2" t="n"/>
      <c r="H130" s="2" t="n"/>
      <c r="I130" s="8" t="n"/>
      <c r="J130" s="2" t="n"/>
      <c r="K130" s="2" t="n"/>
      <c r="L130" s="2" t="n"/>
      <c r="M130" s="2" t="n"/>
      <c r="N130" s="2" t="n"/>
      <c r="O130" s="6" t="n"/>
      <c r="P130" s="6" t="n"/>
      <c r="Q130" s="6" t="n"/>
    </row>
    <row r="131">
      <c r="A131" s="2" t="n"/>
      <c r="B131" s="2" t="n"/>
      <c r="C131" s="13" t="n"/>
      <c r="D131" s="2" t="n"/>
      <c r="E131" s="2" t="n"/>
      <c r="F131" s="2" t="n"/>
      <c r="G131" s="2" t="n"/>
      <c r="H131" s="2" t="n"/>
      <c r="I131" s="8" t="n"/>
      <c r="J131" s="2" t="n"/>
      <c r="K131" s="2" t="n"/>
      <c r="L131" s="2" t="n"/>
      <c r="M131" s="2" t="n"/>
      <c r="N131" s="2" t="n"/>
      <c r="O131" s="6" t="n"/>
      <c r="P131" s="6" t="n"/>
      <c r="Q131" s="6" t="n"/>
    </row>
    <row r="132">
      <c r="A132" s="2" t="n"/>
      <c r="B132" s="2" t="n"/>
      <c r="C132" s="13" t="n"/>
      <c r="D132" s="2" t="n"/>
      <c r="E132" s="2" t="n"/>
      <c r="F132" s="2" t="n"/>
      <c r="G132" s="2" t="n"/>
      <c r="H132" s="2" t="n"/>
      <c r="I132" s="8" t="n"/>
      <c r="J132" s="2" t="n"/>
      <c r="K132" s="2" t="n"/>
      <c r="L132" s="2" t="n"/>
      <c r="M132" s="2" t="n"/>
      <c r="N132" s="2" t="n"/>
      <c r="O132" s="6" t="n"/>
      <c r="P132" s="6" t="n"/>
      <c r="Q132" s="6" t="n"/>
    </row>
    <row r="133">
      <c r="A133" s="2" t="n"/>
      <c r="B133" s="2" t="n"/>
      <c r="C133" s="13" t="n"/>
      <c r="D133" s="2" t="n"/>
      <c r="E133" s="2" t="n"/>
      <c r="F133" s="2" t="n"/>
      <c r="G133" s="2" t="n"/>
      <c r="H133" s="2" t="n"/>
      <c r="I133" s="8" t="n"/>
      <c r="J133" s="2" t="n"/>
      <c r="K133" s="2" t="n"/>
      <c r="L133" s="2" t="n"/>
      <c r="M133" s="2" t="n"/>
      <c r="N133" s="2" t="n"/>
      <c r="O133" s="6" t="n"/>
      <c r="P133" s="6" t="n"/>
      <c r="Q133" s="6" t="n"/>
    </row>
    <row r="134">
      <c r="A134" s="2" t="n"/>
      <c r="B134" s="2" t="n"/>
      <c r="C134" s="13" t="n"/>
      <c r="D134" s="2" t="n"/>
      <c r="E134" s="2" t="n"/>
      <c r="F134" s="2" t="n"/>
      <c r="G134" s="2" t="n"/>
      <c r="H134" s="2" t="n"/>
      <c r="I134" s="8" t="n"/>
      <c r="J134" s="2" t="n"/>
      <c r="K134" s="2" t="n"/>
      <c r="L134" s="2" t="n"/>
      <c r="M134" s="2" t="n"/>
      <c r="N134" s="2" t="n"/>
      <c r="O134" s="6" t="n"/>
      <c r="P134" s="6" t="n"/>
      <c r="Q134" s="6" t="n"/>
    </row>
    <row r="135">
      <c r="A135" s="2" t="n"/>
      <c r="B135" s="2" t="n"/>
      <c r="C135" s="13" t="n"/>
      <c r="D135" s="2" t="n"/>
      <c r="E135" s="2" t="n"/>
      <c r="F135" s="2" t="n"/>
      <c r="G135" s="2" t="n"/>
      <c r="H135" s="2" t="n"/>
      <c r="I135" s="8" t="n"/>
      <c r="J135" s="2" t="n"/>
      <c r="K135" s="2" t="n"/>
      <c r="L135" s="2" t="n"/>
      <c r="M135" s="2" t="n"/>
      <c r="N135" s="2" t="n"/>
      <c r="O135" s="6" t="n"/>
      <c r="P135" s="6" t="n"/>
      <c r="Q135" s="6" t="n"/>
    </row>
    <row r="136">
      <c r="A136" s="2" t="n"/>
      <c r="B136" s="2" t="n"/>
      <c r="C136" s="13" t="n"/>
      <c r="D136" s="2" t="n"/>
      <c r="E136" s="2" t="n"/>
      <c r="F136" s="2" t="n"/>
      <c r="G136" s="2" t="n"/>
      <c r="H136" s="2" t="n"/>
      <c r="I136" s="8" t="n"/>
      <c r="J136" s="2" t="n"/>
      <c r="K136" s="2" t="n"/>
      <c r="L136" s="2" t="n"/>
      <c r="M136" s="2" t="n"/>
      <c r="N136" s="2" t="n"/>
      <c r="O136" s="6" t="n"/>
      <c r="P136" s="6" t="n"/>
      <c r="Q136" s="6" t="n"/>
    </row>
    <row r="137">
      <c r="A137" s="2" t="n"/>
      <c r="B137" s="2" t="n"/>
      <c r="C137" s="13" t="n"/>
      <c r="D137" s="2" t="n"/>
      <c r="E137" s="2" t="n"/>
      <c r="F137" s="2" t="n"/>
      <c r="G137" s="2" t="n"/>
      <c r="H137" s="2" t="n"/>
      <c r="I137" s="8" t="n"/>
      <c r="J137" s="2" t="n"/>
      <c r="K137" s="2" t="n"/>
      <c r="L137" s="2" t="n"/>
      <c r="M137" s="2" t="n"/>
      <c r="N137" s="2" t="n"/>
      <c r="O137" s="6" t="n"/>
      <c r="P137" s="6" t="n"/>
      <c r="Q137" s="6" t="n"/>
    </row>
    <row r="138">
      <c r="A138" s="2" t="n"/>
      <c r="B138" s="2" t="n"/>
      <c r="C138" s="13" t="n"/>
      <c r="D138" s="2" t="n"/>
      <c r="E138" s="2" t="n"/>
      <c r="F138" s="2" t="n"/>
      <c r="G138" s="2" t="n"/>
      <c r="H138" s="2" t="n"/>
      <c r="I138" s="8" t="n"/>
      <c r="J138" s="2" t="n"/>
      <c r="K138" s="2" t="n"/>
      <c r="L138" s="2" t="n"/>
      <c r="M138" s="2" t="n"/>
      <c r="N138" s="2" t="n"/>
      <c r="O138" s="6" t="n"/>
      <c r="P138" s="6" t="n"/>
      <c r="Q138" s="6" t="n"/>
    </row>
    <row r="139">
      <c r="A139" s="2" t="n"/>
      <c r="B139" s="2" t="n"/>
      <c r="C139" s="13" t="n"/>
      <c r="D139" s="2" t="n"/>
      <c r="E139" s="2" t="n"/>
      <c r="F139" s="2" t="n"/>
      <c r="G139" s="2" t="n"/>
      <c r="H139" s="2" t="n"/>
      <c r="I139" s="8" t="n"/>
      <c r="J139" s="2" t="n"/>
      <c r="K139" s="2" t="n"/>
      <c r="L139" s="2" t="n"/>
      <c r="M139" s="2" t="n"/>
      <c r="N139" s="2" t="n"/>
      <c r="O139" s="6" t="n"/>
      <c r="P139" s="6" t="n"/>
      <c r="Q139" s="6" t="n"/>
    </row>
    <row r="140">
      <c r="A140" s="2" t="n"/>
      <c r="B140" s="2" t="n"/>
      <c r="C140" s="13" t="n"/>
      <c r="D140" s="2" t="n"/>
      <c r="E140" s="2" t="n"/>
      <c r="F140" s="2" t="n"/>
      <c r="G140" s="2" t="n"/>
      <c r="H140" s="2" t="n"/>
      <c r="I140" s="8" t="n"/>
      <c r="J140" s="2" t="n"/>
      <c r="K140" s="2" t="n"/>
      <c r="L140" s="2" t="n"/>
      <c r="M140" s="2" t="n"/>
      <c r="N140" s="2" t="n"/>
      <c r="O140" s="6" t="n"/>
      <c r="P140" s="6" t="n"/>
      <c r="Q140" s="6" t="n"/>
    </row>
    <row r="141">
      <c r="A141" s="2" t="n"/>
      <c r="B141" s="2" t="n"/>
      <c r="C141" s="13" t="n"/>
      <c r="D141" s="2" t="n"/>
      <c r="E141" s="2" t="n"/>
      <c r="F141" s="2" t="n"/>
      <c r="G141" s="2" t="n"/>
      <c r="H141" s="2" t="n"/>
      <c r="I141" s="8" t="n"/>
      <c r="J141" s="2" t="n"/>
      <c r="K141" s="2" t="n"/>
      <c r="L141" s="2" t="n"/>
      <c r="M141" s="2" t="n"/>
      <c r="N141" s="2" t="n"/>
      <c r="O141" s="6" t="n"/>
      <c r="P141" s="6" t="n"/>
      <c r="Q141" s="6" t="n"/>
    </row>
    <row r="142">
      <c r="A142" s="2" t="n"/>
      <c r="B142" s="2" t="n"/>
      <c r="C142" s="13" t="n"/>
      <c r="D142" s="2" t="n"/>
      <c r="E142" s="2" t="n"/>
      <c r="F142" s="2" t="n"/>
      <c r="G142" s="2" t="n"/>
      <c r="H142" s="2" t="n"/>
      <c r="I142" s="8" t="n"/>
      <c r="J142" s="2" t="n"/>
      <c r="K142" s="2" t="n"/>
      <c r="L142" s="2" t="n"/>
      <c r="M142" s="2" t="n"/>
      <c r="N142" s="2" t="n"/>
      <c r="O142" s="6" t="n"/>
      <c r="P142" s="6" t="n"/>
      <c r="Q142" s="6" t="n"/>
    </row>
    <row r="143">
      <c r="A143" s="2" t="n"/>
      <c r="B143" s="2" t="n"/>
      <c r="C143" s="13" t="n"/>
      <c r="D143" s="2" t="n"/>
      <c r="E143" s="2" t="n"/>
      <c r="F143" s="2" t="n"/>
      <c r="G143" s="2" t="n"/>
      <c r="H143" s="2" t="n"/>
      <c r="I143" s="8" t="n"/>
      <c r="J143" s="2" t="n"/>
      <c r="K143" s="2" t="n"/>
      <c r="L143" s="2" t="n"/>
      <c r="M143" s="2" t="n"/>
      <c r="N143" s="2" t="n"/>
      <c r="O143" s="6" t="n"/>
      <c r="P143" s="6" t="n"/>
      <c r="Q143" s="6" t="n"/>
    </row>
    <row r="144">
      <c r="A144" s="2" t="n"/>
      <c r="B144" s="2" t="n"/>
      <c r="C144" s="13" t="n"/>
      <c r="D144" s="2" t="n"/>
      <c r="E144" s="2" t="n"/>
      <c r="F144" s="2" t="n"/>
      <c r="G144" s="2" t="n"/>
      <c r="H144" s="2" t="n"/>
      <c r="I144" s="8" t="n"/>
      <c r="J144" s="2" t="n"/>
      <c r="K144" s="2" t="n"/>
      <c r="L144" s="2" t="n"/>
      <c r="M144" s="2" t="n"/>
      <c r="N144" s="2" t="n"/>
      <c r="O144" s="6" t="n"/>
      <c r="P144" s="6" t="n"/>
      <c r="Q144" s="6" t="n"/>
    </row>
    <row r="145">
      <c r="A145" s="2" t="n"/>
      <c r="B145" s="2" t="n"/>
      <c r="C145" s="13" t="n"/>
      <c r="D145" s="2" t="n"/>
      <c r="E145" s="2" t="n"/>
      <c r="F145" s="2" t="n"/>
      <c r="G145" s="2" t="n"/>
      <c r="H145" s="2" t="n"/>
      <c r="I145" s="8" t="n"/>
      <c r="J145" s="2" t="n"/>
      <c r="K145" s="2" t="n"/>
      <c r="L145" s="2" t="n"/>
      <c r="M145" s="2" t="n"/>
      <c r="N145" s="2" t="n"/>
      <c r="O145" s="6" t="n"/>
      <c r="P145" s="6" t="n"/>
      <c r="Q145" s="6" t="n"/>
    </row>
    <row r="146">
      <c r="A146" s="2" t="n"/>
      <c r="B146" s="2" t="n"/>
      <c r="C146" s="13" t="n"/>
      <c r="D146" s="2" t="n"/>
      <c r="E146" s="2" t="n"/>
      <c r="F146" s="2" t="n"/>
      <c r="G146" s="2" t="n"/>
      <c r="H146" s="2" t="n"/>
      <c r="I146" s="8" t="n"/>
      <c r="J146" s="2" t="n"/>
      <c r="K146" s="2" t="n"/>
      <c r="L146" s="2" t="n"/>
      <c r="M146" s="2" t="n"/>
      <c r="N146" s="2" t="n"/>
      <c r="O146" s="6" t="n"/>
      <c r="P146" s="6" t="n"/>
      <c r="Q146" s="6" t="n"/>
    </row>
    <row r="147">
      <c r="A147" s="2" t="n"/>
      <c r="B147" s="2" t="n"/>
      <c r="C147" s="13" t="n"/>
      <c r="D147" s="2" t="n"/>
      <c r="E147" s="2" t="n"/>
      <c r="F147" s="2" t="n"/>
      <c r="G147" s="2" t="n"/>
      <c r="H147" s="2" t="n"/>
      <c r="I147" s="8" t="n"/>
      <c r="J147" s="2" t="n"/>
      <c r="K147" s="2" t="n"/>
      <c r="L147" s="2" t="n"/>
      <c r="M147" s="2" t="n"/>
      <c r="N147" s="2" t="n"/>
      <c r="O147" s="6" t="n"/>
      <c r="P147" s="6" t="n"/>
      <c r="Q147" s="6" t="n"/>
    </row>
    <row r="148">
      <c r="A148" s="2" t="n"/>
      <c r="B148" s="2" t="n"/>
      <c r="C148" s="13" t="n"/>
      <c r="D148" s="2" t="n"/>
      <c r="E148" s="2" t="n"/>
      <c r="F148" s="2" t="n"/>
      <c r="G148" s="2" t="n"/>
      <c r="H148" s="2" t="n"/>
      <c r="I148" s="8" t="n"/>
      <c r="J148" s="2" t="n"/>
      <c r="K148" s="2" t="n"/>
      <c r="L148" s="2" t="n"/>
      <c r="M148" s="2" t="n"/>
      <c r="N148" s="2" t="n"/>
      <c r="O148" s="6" t="n"/>
      <c r="P148" s="6" t="n"/>
      <c r="Q148" s="6" t="n"/>
    </row>
    <row r="149">
      <c r="A149" s="2" t="n"/>
      <c r="B149" s="2" t="n"/>
      <c r="C149" s="13" t="n"/>
      <c r="D149" s="2" t="n"/>
      <c r="E149" s="2" t="n"/>
      <c r="F149" s="2" t="n"/>
      <c r="G149" s="2" t="n"/>
      <c r="H149" s="2" t="n"/>
      <c r="I149" s="8" t="n"/>
      <c r="J149" s="2" t="n"/>
      <c r="K149" s="2" t="n"/>
      <c r="L149" s="2" t="n"/>
      <c r="M149" s="2" t="n"/>
      <c r="N149" s="2" t="n"/>
      <c r="O149" s="6" t="n"/>
      <c r="P149" s="6" t="n"/>
      <c r="Q149" s="6" t="n"/>
    </row>
    <row r="150">
      <c r="A150" s="2" t="n"/>
      <c r="B150" s="2" t="n"/>
      <c r="C150" s="13" t="n"/>
      <c r="D150" s="2" t="n"/>
      <c r="E150" s="2" t="n"/>
      <c r="F150" s="2" t="n"/>
      <c r="G150" s="2" t="n"/>
      <c r="H150" s="2" t="n"/>
      <c r="I150" s="8" t="n"/>
      <c r="J150" s="2" t="n"/>
      <c r="K150" s="2" t="n"/>
      <c r="L150" s="2" t="n"/>
      <c r="M150" s="2" t="n"/>
      <c r="N150" s="2" t="n"/>
      <c r="O150" s="6" t="n"/>
      <c r="P150" s="6" t="n"/>
      <c r="Q150" s="6" t="n"/>
    </row>
  </sheetData>
  <autoFilter ref="A1:Y150"/>
  <dataValidations count="11">
    <dataValidation sqref="D2:D1000" showDropDown="0" showInputMessage="0" showErrorMessage="0" allowBlank="1" error="Используйте значение из выпадающего списка" prompt="Выберите значение из списка" type="list">
      <formula1>='DICTIONARIES'!$N$2:$N$6</formula1>
    </dataValidation>
    <dataValidation sqref="E2:E1000" showDropDown="0" showInputMessage="0" showErrorMessage="0" allowBlank="1" error="Используйте значение из выпадающего списка" prompt="Выберите значение из списка" type="list">
      <formula1>='DICTIONARIES'!$L$2:$L$4</formula1>
    </dataValidation>
    <dataValidation sqref="F2:F1000" showDropDown="0" showInputMessage="0" showErrorMessage="0" allowBlank="1" error="Используйте значение из выпадающего списка" prompt="Выберите значение из списка" type="list">
      <formula1>='DICTIONARIES'!$M$2:$M$4</formula1>
    </dataValidation>
    <dataValidation sqref="G2:G1000" showDropDown="0" showInputMessage="0" showErrorMessage="0" allowBlank="1" error="Используйте значение из выпадающего списка" prompt="Выберите значение из списка" type="list">
      <formula1>='DICTIONARIES'!$K$2:$K$5</formula1>
    </dataValidation>
    <dataValidation sqref="K2:K1000" showDropDown="0" showInputMessage="0" showErrorMessage="0" allowBlank="1" error="Используйте значение из выпадающего списка" prompt="Выберите значение из списка" type="list">
      <formula1>='DICTIONARIES'!$D$2:$D$4</formula1>
    </dataValidation>
    <dataValidation sqref="L2:L1000" showDropDown="0" showInputMessage="0" showErrorMessage="0" allowBlank="1" error="Используйте значение из выпадающего списка" prompt="Выберите значение из списка" type="list">
      <formula1>='DICTIONARIES'!$G$2:$G$3</formula1>
    </dataValidation>
    <dataValidation sqref="M2:M1000" showDropDown="0" showInputMessage="0" showErrorMessage="0" allowBlank="1" error="Используйте значение из выпадающего списка" prompt="Выберите значение из списка" type="list">
      <formula1>='DICTIONARIES'!$G$2:$G$3</formula1>
    </dataValidation>
    <dataValidation sqref="O2:O1000" showDropDown="0" showInputMessage="0" showErrorMessage="0" allowBlank="1" type="list">
      <formula1>='DICTIONARIES'!$AG$2:$AG$8</formula1>
    </dataValidation>
    <dataValidation sqref="Q2:Q1000" showDropDown="0" showInputMessage="0" showErrorMessage="0" allowBlank="1" type="list">
      <formula1>='DICTIONARIES'!$C$2:$C$15</formula1>
    </dataValidation>
    <dataValidation sqref="T2:T1000" showDropDown="0" showInputMessage="0" showErrorMessage="0" allowBlank="1" type="list">
      <formula1>=DICTIONARIES!$AY$2:$AY$5</formula1>
    </dataValidation>
    <dataValidation sqref="W2:W1000" showDropDown="0" showInputMessage="0" showErrorMessage="0" allowBlank="1" type="list">
      <formula1>=DICTIONARIES!$AP$2:$AP$4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6" customWidth="1" min="4" max="4"/>
    <col width="24" customWidth="1" min="5" max="5"/>
    <col width="12" customWidth="1" min="6" max="6"/>
    <col width="16" customWidth="1" min="7" max="7"/>
    <col width="16" customWidth="1" min="8" max="8"/>
    <col width="18" customWidth="1" min="9" max="9"/>
    <col width="14" customWidth="1" min="10" max="10"/>
    <col width="12" customWidth="1" min="11" max="11"/>
    <col width="34" customWidth="1" min="12" max="12"/>
  </cols>
  <sheetData>
    <row r="1">
      <c r="A1" s="4" t="inlineStr">
        <is>
          <t>SourceRowID</t>
        </is>
      </c>
      <c r="B1" s="4" t="inlineStr">
        <is>
          <t>RawName</t>
        </is>
      </c>
      <c r="C1" s="4" t="inlineStr">
        <is>
          <t>SourceSheet</t>
        </is>
      </c>
      <c r="D1" s="4" t="inlineStr">
        <is>
          <t>SourceRowNumber</t>
        </is>
      </c>
      <c r="E1" s="4" t="inlineStr">
        <is>
          <t>SourceSection</t>
        </is>
      </c>
      <c r="F1" s="4" t="inlineStr">
        <is>
          <t>EntityType</t>
        </is>
      </c>
      <c r="G1" s="4" t="inlineStr">
        <is>
          <t>MasterID</t>
        </is>
      </c>
      <c r="H1" s="4" t="inlineStr">
        <is>
          <t>VariantID</t>
        </is>
      </c>
      <c r="I1" s="4" t="inlineStr">
        <is>
          <t>MappingConfidence</t>
        </is>
      </c>
      <c r="J1" s="4" t="inlineStr">
        <is>
          <t>MappingStatus</t>
        </is>
      </c>
      <c r="K1" s="4" t="inlineStr">
        <is>
          <t>NeedsReview</t>
        </is>
      </c>
      <c r="L1" s="4" t="inlineStr">
        <is>
          <t>Notes</t>
        </is>
      </c>
    </row>
    <row r="2">
      <c r="A2" s="6" t="inlineStr">
        <is>
          <t>SRC-0001</t>
        </is>
      </c>
      <c r="B2" s="6" t="inlineStr">
        <is>
          <t>Выборка ложа</t>
        </is>
      </c>
      <c r="C2" s="6" t="inlineStr">
        <is>
          <t>PRICE_MASTER</t>
        </is>
      </c>
      <c r="D2" s="6" t="n">
        <v>101</v>
      </c>
      <c r="E2" s="6" t="inlineStr">
        <is>
          <t>Мощение</t>
        </is>
      </c>
      <c r="F2" s="6" t="inlineStr">
        <is>
          <t>Work</t>
        </is>
      </c>
      <c r="G2" s="6" t="inlineStr">
        <is>
          <t>WORK-0001</t>
        </is>
      </c>
      <c r="H2" s="6" t="inlineStr"/>
      <c r="I2" s="6" t="inlineStr">
        <is>
          <t>High</t>
        </is>
      </c>
      <c r="J2" s="6" t="inlineStr">
        <is>
          <t>Approved</t>
        </is>
      </c>
      <c r="K2" s="6" t="inlineStr">
        <is>
          <t>Нет</t>
        </is>
      </c>
      <c r="L2" s="6" t="inlineStr">
        <is>
          <t>Прямое сопоставление</t>
        </is>
      </c>
    </row>
    <row r="3">
      <c r="A3" s="6" t="inlineStr">
        <is>
          <t>SRC-0002</t>
        </is>
      </c>
      <c r="B3" s="6" t="inlineStr">
        <is>
          <t>Устройство газонного ложа</t>
        </is>
      </c>
      <c r="C3" s="6" t="inlineStr">
        <is>
          <t>PRICE_MASTER</t>
        </is>
      </c>
      <c r="D3" s="6" t="n">
        <v>205</v>
      </c>
      <c r="E3" s="6" t="inlineStr">
        <is>
          <t>Газон</t>
        </is>
      </c>
      <c r="F3" s="6" t="inlineStr">
        <is>
          <t>Work</t>
        </is>
      </c>
      <c r="G3" s="6" t="inlineStr">
        <is>
          <t>WORK-0002</t>
        </is>
      </c>
      <c r="H3" s="6" t="inlineStr"/>
      <c r="I3" s="6" t="inlineStr">
        <is>
          <t>High</t>
        </is>
      </c>
      <c r="J3" s="6" t="inlineStr">
        <is>
          <t>Approved</t>
        </is>
      </c>
      <c r="K3" s="6" t="inlineStr">
        <is>
          <t>Нет</t>
        </is>
      </c>
      <c r="L3" s="6" t="inlineStr">
        <is>
          <t>Прямое сопоставление</t>
        </is>
      </c>
    </row>
    <row r="4">
      <c r="A4" s="6" t="inlineStr">
        <is>
          <t>SRC-0003</t>
        </is>
      </c>
      <c r="B4" s="6" t="inlineStr">
        <is>
          <t>Брусчатка 200*100*60 серая</t>
        </is>
      </c>
      <c r="C4" s="6" t="inlineStr">
        <is>
          <t>PRICE_MASTER</t>
        </is>
      </c>
      <c r="D4" s="6" t="n">
        <v>305</v>
      </c>
      <c r="E4" s="6" t="inlineStr">
        <is>
          <t>Мощение</t>
        </is>
      </c>
      <c r="F4" s="6" t="inlineStr">
        <is>
          <t>Material</t>
        </is>
      </c>
      <c r="G4" s="6" t="inlineStr">
        <is>
          <t>MAT-0001</t>
        </is>
      </c>
      <c r="H4" s="6" t="inlineStr">
        <is>
          <t>MV-0002</t>
        </is>
      </c>
      <c r="I4" s="6" t="inlineStr">
        <is>
          <t>High</t>
        </is>
      </c>
      <c r="J4" s="6" t="inlineStr">
        <is>
          <t>Approved</t>
        </is>
      </c>
      <c r="K4" s="6" t="inlineStr">
        <is>
          <t>Нет</t>
        </is>
      </c>
      <c r="L4" s="6" t="inlineStr">
        <is>
          <t>Материал связан и с Master, и с Variant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</sheetData>
  <dataValidations count="4">
    <dataValidation sqref="F2:F1000" showDropDown="0" showInputMessage="0" showErrorMessage="0" allowBlank="1" error="Используйте значение из выпадающего списка" prompt="Выберите значение из списка" type="list">
      <formula1>='DICTIONARIES'!$H$2:$H$3</formula1>
    </dataValidation>
    <dataValidation sqref="I2:I1000" showDropDown="0" showInputMessage="0" showErrorMessage="0" allowBlank="1" error="Используйте значение из выпадающего списка" prompt="Выберите значение из списка" type="list">
      <formula1>='DICTIONARIES'!$I$2:$I$4</formula1>
    </dataValidation>
    <dataValidation sqref="J2:J1000" showDropDown="0" showInputMessage="0" showErrorMessage="0" allowBlank="1" error="Используйте значение из выпадающего списка" prompt="Выберите значение из списка" type="list">
      <formula1>='DICTIONARIES'!$J$2:$J$4</formula1>
    </dataValidation>
    <dataValidation sqref="K2:K1000" showDropDown="0" showInputMessage="0" showErrorMessage="0" allowBlank="1" error="Используйте значение из выпадающего списка" prompt="Выберите значение из списка" type="list">
      <formula1>='DICTIONARIES'!$G$2:$G$3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2" customWidth="1" min="4" max="4"/>
    <col width="24" customWidth="1" min="5" max="5"/>
    <col width="10" customWidth="1" min="6" max="6"/>
    <col width="28" customWidth="1" min="7" max="7"/>
    <col width="22" customWidth="1" min="8" max="8"/>
    <col width="20" customWidth="1" min="9" max="9"/>
  </cols>
  <sheetData>
    <row r="1">
      <c r="A1" s="4" t="inlineStr">
        <is>
          <t>RuleID</t>
        </is>
      </c>
      <c r="B1" s="4" t="inlineStr">
        <is>
          <t>Scope</t>
        </is>
      </c>
      <c r="C1" s="4" t="inlineStr">
        <is>
          <t>RuleType</t>
        </is>
      </c>
      <c r="D1" s="4" t="inlineStr">
        <is>
          <t>FieldName</t>
        </is>
      </c>
      <c r="E1" s="4" t="inlineStr">
        <is>
          <t>Condition</t>
        </is>
      </c>
      <c r="F1" s="4" t="inlineStr">
        <is>
          <t>Severity</t>
        </is>
      </c>
      <c r="G1" s="4" t="inlineStr">
        <is>
          <t>UserMessage</t>
        </is>
      </c>
      <c r="H1" s="4" t="inlineStr">
        <is>
          <t>SuggestedFix</t>
        </is>
      </c>
      <c r="I1" s="4" t="inlineStr">
        <is>
          <t>Notes</t>
        </is>
      </c>
    </row>
    <row r="2">
      <c r="A2" s="19" t="inlineStr">
        <is>
          <t>VR-0001</t>
        </is>
      </c>
      <c r="B2" s="19" t="inlineStr">
        <is>
          <t>OBJECT</t>
        </is>
      </c>
      <c r="C2" s="19" t="inlineStr">
        <is>
          <t>Required</t>
        </is>
      </c>
      <c r="D2" s="19" t="inlineStr">
        <is>
          <t>SelectedTariff</t>
        </is>
      </c>
      <c r="E2" s="19" t="inlineStr">
        <is>
          <t>Всегда</t>
        </is>
      </c>
      <c r="F2" s="19" t="inlineStr">
        <is>
          <t>Block</t>
        </is>
      </c>
      <c r="G2" s="19" t="inlineStr">
        <is>
          <t>Не выбран тариф объекта</t>
        </is>
      </c>
      <c r="H2" s="19" t="inlineStr">
        <is>
          <t>Заполнить SelectedTariff в OBJECT_CONDITIONS</t>
        </is>
      </c>
      <c r="I2" s="19" t="inlineStr"/>
    </row>
    <row r="3">
      <c r="A3" s="19" t="inlineStr">
        <is>
          <t>VR-0002</t>
        </is>
      </c>
      <c r="B3" s="19" t="inlineStr">
        <is>
          <t>OBJECT</t>
        </is>
      </c>
      <c r="C3" s="19" t="inlineStr">
        <is>
          <t>Required</t>
        </is>
      </c>
      <c r="D3" s="19" t="inlineStr">
        <is>
          <t>TaxMode</t>
        </is>
      </c>
      <c r="E3" s="19" t="inlineStr">
        <is>
          <t>Всегда</t>
        </is>
      </c>
      <c r="F3" s="19" t="inlineStr">
        <is>
          <t>Block</t>
        </is>
      </c>
      <c r="G3" s="19" t="inlineStr">
        <is>
          <t>Не указан налоговый режим</t>
        </is>
      </c>
      <c r="H3" s="19" t="inlineStr">
        <is>
          <t>Выбрать TaxMode</t>
        </is>
      </c>
      <c r="I3" s="19" t="inlineStr"/>
    </row>
    <row r="4">
      <c r="A4" s="19" t="inlineStr">
        <is>
          <t>VR-0003</t>
        </is>
      </c>
      <c r="B4" s="19" t="inlineStr">
        <is>
          <t>OBJECT</t>
        </is>
      </c>
      <c r="C4" s="19" t="inlineStr">
        <is>
          <t>Required</t>
        </is>
      </c>
      <c r="D4" s="19" t="inlineStr">
        <is>
          <t>DistanceClass</t>
        </is>
      </c>
      <c r="E4" s="19" t="inlineStr">
        <is>
          <t>Когда есть логистика/доставка</t>
        </is>
      </c>
      <c r="F4" s="19" t="inlineStr">
        <is>
          <t>Warn</t>
        </is>
      </c>
      <c r="G4" s="19" t="inlineStr">
        <is>
          <t>Не указан класс расстояния</t>
        </is>
      </c>
      <c r="H4" s="19" t="inlineStr">
        <is>
          <t>Заполнить DistanceClass</t>
        </is>
      </c>
      <c r="I4" s="19" t="inlineStr"/>
    </row>
    <row r="5">
      <c r="A5" s="19" t="inlineStr">
        <is>
          <t>VR-0004</t>
        </is>
      </c>
      <c r="B5" s="19" t="inlineStr">
        <is>
          <t>WORK</t>
        </is>
      </c>
      <c r="C5" s="19" t="inlineStr">
        <is>
          <t>NonNegative</t>
        </is>
      </c>
      <c r="D5" s="19" t="inlineStr">
        <is>
          <t>BasePrice</t>
        </is>
      </c>
      <c r="E5" s="19" t="inlineStr">
        <is>
          <t>Всегда</t>
        </is>
      </c>
      <c r="F5" s="19" t="inlineStr">
        <is>
          <t>Block</t>
        </is>
      </c>
      <c r="G5" s="19" t="inlineStr">
        <is>
          <t>У работы отрицательная или пустая базовая цена</t>
        </is>
      </c>
      <c r="H5" s="19" t="inlineStr">
        <is>
          <t>Заполнить BasePrice &gt;= 0</t>
        </is>
      </c>
      <c r="I5" s="19" t="inlineStr"/>
    </row>
    <row r="6">
      <c r="A6" s="19" t="inlineStr">
        <is>
          <t>VR-0005</t>
        </is>
      </c>
      <c r="B6" s="19" t="inlineStr">
        <is>
          <t>MATERIAL</t>
        </is>
      </c>
      <c r="C6" s="19" t="inlineStr">
        <is>
          <t>Compatibility</t>
        </is>
      </c>
      <c r="D6" s="19" t="inlineStr">
        <is>
          <t>PurchaseUnit vs CoveragePerPurchaseUnit</t>
        </is>
      </c>
      <c r="E6" s="19" t="inlineStr">
        <is>
          <t>Если материал активен</t>
        </is>
      </c>
      <c r="F6" s="19" t="inlineStr">
        <is>
          <t>Warn</t>
        </is>
      </c>
      <c r="G6" s="19" t="inlineStr">
        <is>
          <t>Не заполнены единицы закупки/покрытия</t>
        </is>
      </c>
      <c r="H6" s="19" t="inlineStr">
        <is>
          <t>Заполнить PurchaseUnit и CoveragePerPurchaseUnit</t>
        </is>
      </c>
      <c r="I6" s="19" t="inlineStr"/>
    </row>
    <row r="7">
      <c r="A7" s="19" t="inlineStr">
        <is>
          <t>VR-0006</t>
        </is>
      </c>
      <c r="B7" s="19" t="inlineStr">
        <is>
          <t>MATERIAL</t>
        </is>
      </c>
      <c r="C7" s="19" t="inlineStr">
        <is>
          <t>Compatibility</t>
        </is>
      </c>
      <c r="D7" s="19" t="inlineStr">
        <is>
          <t>AllowanceGroup vs ProcurementRule</t>
        </is>
      </c>
      <c r="E7" s="19" t="inlineStr">
        <is>
          <t>Если материал активен</t>
        </is>
      </c>
      <c r="F7" s="19" t="inlineStr">
        <is>
          <t>Warn</t>
        </is>
      </c>
      <c r="G7" s="19" t="inlineStr">
        <is>
          <t>Нет правила закупки для AllowanceGroup</t>
        </is>
      </c>
      <c r="H7" s="19" t="inlineStr">
        <is>
          <t>Добавить PROCUREMENT_RULES</t>
        </is>
      </c>
      <c r="I7" s="19" t="inlineStr"/>
    </row>
    <row r="8">
      <c r="A8" s="19" t="inlineStr">
        <is>
          <t>VR-0007</t>
        </is>
      </c>
      <c r="B8" s="19" t="inlineStr">
        <is>
          <t>QUOTE</t>
        </is>
      </c>
      <c r="C8" s="19" t="inlineStr">
        <is>
          <t>Flag</t>
        </is>
      </c>
      <c r="D8" s="19" t="inlineStr">
        <is>
          <t>MinQuoteValue</t>
        </is>
      </c>
      <c r="E8" s="19" t="inlineStr">
        <is>
          <t>Если итог &lt; порога</t>
        </is>
      </c>
      <c r="F8" s="19" t="inlineStr">
        <is>
          <t>Warn</t>
        </is>
      </c>
      <c r="G8" s="19" t="inlineStr">
        <is>
          <t>Итог ниже минимальной коммерческой планки</t>
        </is>
      </c>
      <c r="H8" s="19" t="inlineStr">
        <is>
          <t>Применить floor/mobilization</t>
        </is>
      </c>
      <c r="I8" s="19" t="inlineStr"/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0" customWidth="1" min="4" max="4"/>
    <col width="12" customWidth="1" min="5" max="5"/>
    <col width="16" customWidth="1" min="6" max="6"/>
    <col width="18" customWidth="1" min="7" max="7"/>
    <col width="28" customWidth="1" min="8" max="8"/>
    <col width="18" customWidth="1" min="9" max="9"/>
  </cols>
  <sheetData>
    <row r="1">
      <c r="A1" s="4" t="inlineStr">
        <is>
          <t>ObjectID</t>
        </is>
      </c>
      <c r="B1" s="4" t="inlineStr">
        <is>
          <t>QuoteTariff</t>
        </is>
      </c>
      <c r="C1" s="4" t="inlineStr">
        <is>
          <t>CheckName</t>
        </is>
      </c>
      <c r="D1" s="4" t="inlineStr">
        <is>
          <t>Severity</t>
        </is>
      </c>
      <c r="E1" s="4" t="inlineStr">
        <is>
          <t>IsTriggered</t>
        </is>
      </c>
      <c r="F1" s="4" t="inlineStr">
        <is>
          <t>CheckValue</t>
        </is>
      </c>
      <c r="G1" s="4" t="inlineStr">
        <is>
          <t>ThresholdOrRule</t>
        </is>
      </c>
      <c r="H1" s="4" t="inlineStr">
        <is>
          <t>UserMessage</t>
        </is>
      </c>
      <c r="I1" s="4" t="inlineStr">
        <is>
          <t>Comment</t>
        </is>
      </c>
    </row>
    <row r="2">
      <c r="A2" s="19" t="inlineStr">
        <is>
          <t>OBJ-0001</t>
        </is>
      </c>
      <c r="B2" s="19">
        <f>IF($A2="","",INDEX(OBJECT_CONDITIONS!$X:$X,MATCH($A2,OBJECT_CONDITIONS!$A:$A,0)))</f>
        <v/>
      </c>
      <c r="C2" s="19" t="inlineStr">
        <is>
          <t>Тариф выбран</t>
        </is>
      </c>
      <c r="D2" s="19" t="inlineStr">
        <is>
          <t>Block</t>
        </is>
      </c>
      <c r="E2" s="19">
        <f>IF($A2="","",IF($B2="","TRIGGER","OK"))</f>
        <v/>
      </c>
      <c r="F2" s="19">
        <f>IF($A2="","",IF($B2="","", $B2))</f>
        <v/>
      </c>
      <c r="G2" s="19" t="inlineStr">
        <is>
          <t>SelectedTariff not blank</t>
        </is>
      </c>
      <c r="H2" s="19" t="inlineStr">
        <is>
          <t>Должен быть выбран тариф объекта</t>
        </is>
      </c>
      <c r="I2" s="19" t="inlineStr"/>
    </row>
    <row r="3">
      <c r="A3" s="19" t="inlineStr">
        <is>
          <t>OBJ-0001</t>
        </is>
      </c>
      <c r="B3" s="19">
        <f>IF($A3="","",INDEX(OBJECT_CONDITIONS!$AM:$AM,MATCH($A3,OBJECT_CONDITIONS!$A:$A,0)))</f>
        <v/>
      </c>
      <c r="C3" s="19" t="inlineStr">
        <is>
          <t>Налоговый режим выбран</t>
        </is>
      </c>
      <c r="D3" s="19" t="inlineStr">
        <is>
          <t>Block</t>
        </is>
      </c>
      <c r="E3" s="19">
        <f>IF($A3="","",IF($B3="","TRIGGER","OK"))</f>
        <v/>
      </c>
      <c r="F3" s="19">
        <f>IF($A3="","",IF($B3="","",$B3))</f>
        <v/>
      </c>
      <c r="G3" s="19" t="inlineStr">
        <is>
          <t>TaxMode not blank</t>
        </is>
      </c>
      <c r="H3" s="19" t="inlineStr">
        <is>
          <t>Должен быть указан налоговый режим</t>
        </is>
      </c>
      <c r="I3" s="19" t="inlineStr"/>
    </row>
    <row r="4">
      <c r="A4" s="19" t="inlineStr">
        <is>
          <t>OBJ-0001</t>
        </is>
      </c>
      <c r="B4" s="19">
        <f>IF($A4="","",INDEX(OBJECT_CONDITIONS!$AG:$AG,MATCH($A4,OBJECT_CONDITIONS!$A:$A,0)))</f>
        <v/>
      </c>
      <c r="C4" s="19" t="inlineStr">
        <is>
          <t>Класс расстояния заполнен</t>
        </is>
      </c>
      <c r="D4" s="19" t="inlineStr">
        <is>
          <t>Warn</t>
        </is>
      </c>
      <c r="E4" s="19">
        <f>IF($A4="","",IF($B4="","TRIGGER","OK"))</f>
        <v/>
      </c>
      <c r="F4" s="19">
        <f>IF($A4="","",IF($B4="","",$B4))</f>
        <v/>
      </c>
      <c r="G4" s="19" t="inlineStr">
        <is>
          <t>DistanceClass not blank</t>
        </is>
      </c>
      <c r="H4" s="19" t="inlineStr">
        <is>
          <t>Для логистики нужен класс расстояния</t>
        </is>
      </c>
      <c r="I4" s="19" t="inlineStr"/>
    </row>
    <row r="5">
      <c r="A5" s="19" t="inlineStr">
        <is>
          <t>OBJ-0001</t>
        </is>
      </c>
      <c r="B5" s="19" t="inlineStr">
        <is>
          <t>Премиум</t>
        </is>
      </c>
      <c r="C5" s="19" t="inlineStr">
        <is>
          <t>Итог КП &gt;= min quote floor</t>
        </is>
      </c>
      <c r="D5" s="19" t="inlineStr">
        <is>
          <t>Warn</t>
        </is>
      </c>
      <c r="E5" s="19">
        <f>IF(SUM(KP_ENGINE_V5_EXAMPLE!$U$2:$U$20)&lt;INDEX(COMMERCIAL_POLICY!$B:$B,MATCH($B5,COMMERCIAL_POLICY!$A:$A,0)),"TRIGGER","OK")</f>
        <v/>
      </c>
      <c r="F5" s="19">
        <f>SUM(KP_ENGINE_V5_EXAMPLE!$U$2:$U$20)</f>
        <v/>
      </c>
      <c r="G5" s="19">
        <f>INDEX(COMMERCIAL_POLICY!$B:$B,MATCH($B5,COMMERCIAL_POLICY!$A:$A,0))</f>
        <v/>
      </c>
      <c r="H5" s="19" t="inlineStr">
        <is>
          <t>Итог ниже минимальной планки</t>
        </is>
      </c>
      <c r="I5" s="19" t="inlineStr"/>
    </row>
  </sheetData>
  <autoFilter ref="A1:I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100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1" customWidth="1" min="4" max="4"/>
    <col width="18" customWidth="1" min="5" max="5"/>
    <col width="12" customWidth="1" min="6" max="6"/>
    <col width="14" customWidth="1" min="7" max="7"/>
    <col width="11" customWidth="1" min="8" max="8"/>
    <col width="14" customWidth="1" min="9" max="9"/>
    <col width="11" customWidth="1" min="10" max="10"/>
    <col width="18" customWidth="1" min="11" max="11"/>
    <col width="13" customWidth="1" min="12" max="12"/>
    <col width="18" customWidth="1" min="13" max="13"/>
    <col width="11" customWidth="1" min="14" max="14"/>
    <col width="14" customWidth="1" min="15" max="15"/>
    <col width="12" customWidth="1" min="16" max="16"/>
    <col width="20" customWidth="1" min="17" max="17"/>
    <col width="13" customWidth="1" min="18" max="18"/>
    <col width="18" customWidth="1" min="19" max="19"/>
    <col width="13" customWidth="1" min="20" max="20"/>
    <col width="36" customWidth="1" min="21" max="21"/>
    <col width="18" customWidth="1" min="22" max="22"/>
    <col width="12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4" customWidth="1" min="32" max="32"/>
    <col width="16" customWidth="1" min="33" max="33"/>
    <col width="12" customWidth="1" min="34" max="34"/>
    <col width="14" customWidth="1" min="35" max="35"/>
    <col width="12" customWidth="1" min="36" max="36"/>
    <col width="14" customWidth="1" min="37" max="37"/>
    <col width="12" customWidth="1" min="38" max="38"/>
    <col width="14" customWidth="1" min="39" max="39"/>
    <col width="10" customWidth="1" min="40" max="40"/>
    <col width="12" customWidth="1" min="41" max="41"/>
    <col width="16" customWidth="1" min="42" max="42"/>
  </cols>
  <sheetData>
    <row r="1">
      <c r="A1" s="4" t="inlineStr">
        <is>
          <t>ObjectID</t>
        </is>
      </c>
      <c r="B1" s="4" t="inlineStr">
        <is>
          <t>ObjectName</t>
        </is>
      </c>
      <c r="C1" s="4" t="inlineStr">
        <is>
          <t>SoilWorkability</t>
        </is>
      </c>
      <c r="D1" s="4" t="inlineStr">
        <is>
          <t>SoilCoeff</t>
        </is>
      </c>
      <c r="E1" s="4" t="inlineStr">
        <is>
          <t>SoilMoisture</t>
        </is>
      </c>
      <c r="F1" s="4" t="inlineStr">
        <is>
          <t>MoistureCoeff</t>
        </is>
      </c>
      <c r="G1" s="4" t="inlineStr">
        <is>
          <t>DebrisLevel</t>
        </is>
      </c>
      <c r="H1" s="4" t="inlineStr">
        <is>
          <t>DebrisCoeff</t>
        </is>
      </c>
      <c r="I1" s="4" t="inlineStr">
        <is>
          <t>SlopeClass</t>
        </is>
      </c>
      <c r="J1" s="4" t="inlineStr">
        <is>
          <t>SlopeCoeff</t>
        </is>
      </c>
      <c r="K1" s="4" t="inlineStr">
        <is>
          <t>SurfaceUnevenness</t>
        </is>
      </c>
      <c r="L1" s="4" t="inlineStr">
        <is>
          <t>UnevennessCoeff</t>
        </is>
      </c>
      <c r="M1" s="4" t="inlineStr">
        <is>
          <t>AccessClass</t>
        </is>
      </c>
      <c r="N1" s="4" t="inlineStr">
        <is>
          <t>AccessCoeff</t>
        </is>
      </c>
      <c r="O1" s="4" t="inlineStr">
        <is>
          <t>TurnSpace</t>
        </is>
      </c>
      <c r="P1" s="4" t="inlineStr">
        <is>
          <t>TurnSpaceCoeff</t>
        </is>
      </c>
      <c r="Q1" s="4" t="inlineStr">
        <is>
          <t>ProximityToBuildings</t>
        </is>
      </c>
      <c r="R1" s="4" t="inlineStr">
        <is>
          <t>ProximityCoeff</t>
        </is>
      </c>
      <c r="S1" s="4" t="inlineStr">
        <is>
          <t>MachineryAllowed</t>
        </is>
      </c>
      <c r="T1" s="4" t="inlineStr">
        <is>
          <t>MachineryCoeff</t>
        </is>
      </c>
      <c r="U1" s="4" t="inlineStr">
        <is>
          <t>Notes</t>
        </is>
      </c>
      <c r="V1" s="4" t="inlineStr">
        <is>
          <t>GeometryComplexity</t>
        </is>
      </c>
      <c r="W1" s="4" t="inlineStr">
        <is>
          <t>GeometryCoeff</t>
        </is>
      </c>
      <c r="X1" s="4" t="inlineStr">
        <is>
          <t>SelectedTariff</t>
        </is>
      </c>
      <c r="Y1" s="4" t="inlineStr">
        <is>
          <t>TariffWorkCoeff</t>
        </is>
      </c>
      <c r="Z1" s="4" t="inlineStr">
        <is>
          <t>TariffMaterialCoeff</t>
        </is>
      </c>
      <c r="AA1" s="4" t="inlineStr">
        <is>
          <t>TariffLogisticsCoeff</t>
        </is>
      </c>
      <c r="AB1" s="4" t="inlineStr">
        <is>
          <t>TariffOverheadCoeff</t>
        </is>
      </c>
      <c r="AC1" s="4" t="inlineStr">
        <is>
          <t>TariffReserveBiasCoeff</t>
        </is>
      </c>
      <c r="AD1" s="4" t="inlineStr">
        <is>
          <t>TariffDisplayMode</t>
        </is>
      </c>
      <c r="AE1" s="4" t="inlineStr">
        <is>
          <t>TariffNotes</t>
        </is>
      </c>
      <c r="AF1" s="4" t="inlineStr">
        <is>
          <t>DistanceFromBaseKM</t>
        </is>
      </c>
      <c r="AG1" s="4" t="inlineStr">
        <is>
          <t>DistanceClass</t>
        </is>
      </c>
      <c r="AH1" s="4" t="inlineStr">
        <is>
          <t>DistanceCoeff</t>
        </is>
      </c>
      <c r="AI1" s="4" t="inlineStr">
        <is>
          <t>SeasonClass</t>
        </is>
      </c>
      <c r="AJ1" s="4" t="inlineStr">
        <is>
          <t>SeasonCoeff</t>
        </is>
      </c>
      <c r="AK1" s="4" t="inlineStr">
        <is>
          <t>UrgencyClass</t>
        </is>
      </c>
      <c r="AL1" s="4" t="inlineStr">
        <is>
          <t>UrgencyCoeff</t>
        </is>
      </c>
      <c r="AM1" s="4" t="inlineStr">
        <is>
          <t>TaxMode</t>
        </is>
      </c>
      <c r="AN1" s="4" t="inlineStr">
        <is>
          <t>VATRate</t>
        </is>
      </c>
      <c r="AO1" s="4" t="inlineStr">
        <is>
          <t>LogisticsTrips</t>
        </is>
      </c>
      <c r="AP1" s="4" t="inlineStr">
        <is>
          <t>DisposalDistanceKM</t>
        </is>
      </c>
    </row>
    <row r="2">
      <c r="A2" s="21" t="inlineStr">
        <is>
          <t>OBJ-0001</t>
        </is>
      </c>
      <c r="B2" s="21" t="inlineStr">
        <is>
          <t>Частный участок — базовый сложный кейс</t>
        </is>
      </c>
      <c r="C2" s="21" t="inlineStr">
        <is>
          <t>Тяжёлая</t>
        </is>
      </c>
      <c r="D2" s="32">
        <f>IF($C2="","",SUMIFS(SITE_COEFFS!$C:$C,SITE_COEFFS!$A:$A,"SoilWorkability",SITE_COEFFS!$B:$B,$C2))</f>
        <v/>
      </c>
      <c r="E2" s="21" t="inlineStr">
        <is>
          <t>Влажная</t>
        </is>
      </c>
      <c r="F2" s="32">
        <f>IF($E2="","",SUMIFS(SITE_COEFFS!$C:$C,SITE_COEFFS!$A:$A,"SoilMoisture",SITE_COEFFS!$B:$B,$E2))</f>
        <v/>
      </c>
      <c r="G2" s="21" t="inlineStr">
        <is>
          <t>Умеренно</t>
        </is>
      </c>
      <c r="H2" s="32">
        <f>IF($G2="","",SUMIFS(SITE_COEFFS!$C:$C,SITE_COEFFS!$A:$A,"DebrisLevel",SITE_COEFFS!$B:$B,$G2))</f>
        <v/>
      </c>
      <c r="I2" s="21" t="inlineStr">
        <is>
          <t>8-15%</t>
        </is>
      </c>
      <c r="J2" s="32">
        <f>IF($I2="","",SUMIFS(SITE_COEFFS!$C:$C,SITE_COEFFS!$A:$A,"SlopeClass",SITE_COEFFS!$B:$B,$I2))</f>
        <v/>
      </c>
      <c r="K2" s="21" t="inlineStr">
        <is>
          <t>Средняя</t>
        </is>
      </c>
      <c r="L2" s="32">
        <f>IF($K2="","",SUMIFS(SITE_COEFFS!$C:$C,SITE_COEFFS!$A:$A,"SurfaceUnevenness",SITE_COEFFS!$B:$B,$K2))</f>
        <v/>
      </c>
      <c r="M2" s="21" t="inlineStr">
        <is>
          <t>Ограниченный</t>
        </is>
      </c>
      <c r="N2" s="32">
        <f>IF($M2="","",SUMIFS(SITE_COEFFS!$C:$C,SITE_COEFFS!$A:$A,"AccessClass",SITE_COEFFS!$B:$B,$M2))</f>
        <v/>
      </c>
      <c r="O2" s="21" t="inlineStr">
        <is>
          <t>Ограниченно</t>
        </is>
      </c>
      <c r="P2" s="32">
        <f>IF($O2="","",SUMIFS(SITE_COEFFS!$C:$C,SITE_COEFFS!$A:$A,"TurnSpace",SITE_COEFFS!$B:$B,$O2))</f>
        <v/>
      </c>
      <c r="Q2" s="21" t="inlineStr">
        <is>
          <t>Близко</t>
        </is>
      </c>
      <c r="R2" s="32">
        <f>IF($Q2="","",SUMIFS(SITE_COEFFS!$C:$C,SITE_COEFFS!$A:$A,"ProximityToBuildings",SITE_COEFFS!$B:$B,$Q2))</f>
        <v/>
      </c>
      <c r="S2" s="21" t="inlineStr">
        <is>
          <t>Частично</t>
        </is>
      </c>
      <c r="T2" s="32">
        <f>IF($S2="","",SUMIFS(SITE_COEFFS!$C:$C,SITE_COEFFS!$A:$A,"MachineryAllowed",SITE_COEFFS!$B:$B,$S2))</f>
        <v/>
      </c>
      <c r="U2" s="21" t="inlineStr">
        <is>
          <t>Пример объекта для проверки формул</t>
        </is>
      </c>
      <c r="V2" s="21" t="inlineStr">
        <is>
          <t>Сложная</t>
        </is>
      </c>
      <c r="W2" s="32">
        <f>IF($V2="","",SUMIFS(SITE_COEFFS!$C:$C,SITE_COEFFS!$A:$A,"GeometryComplexity",SITE_COEFFS!$B:$B,$V2))</f>
        <v/>
      </c>
      <c r="X2" s="21" t="n"/>
      <c r="Y2" s="21">
        <f>IF($X2="","",SUMIFS(TARIFF_PROFILES!$D:$D,TARIFF_PROFILES!$A:$A,$X2))</f>
        <v/>
      </c>
      <c r="Z2" s="21">
        <f>IF($X2="","",SUMIFS(TARIFF_PROFILES!$E:$E,TARIFF_PROFILES!$A:$A,$X2))</f>
        <v/>
      </c>
      <c r="AA2" s="21">
        <f>IF($X2="","",SUMIFS(TARIFF_PROFILES!$F:$F,TARIFF_PROFILES!$A:$A,$X2))</f>
        <v/>
      </c>
      <c r="AB2" s="21">
        <f>IF($X2="","",SUMIFS(TARIFF_PROFILES!$G:$G,TARIFF_PROFILES!$A:$A,$X2))</f>
        <v/>
      </c>
      <c r="AC2" s="21">
        <f>IF($X2="","",SUMIFS(TARIFF_PROFILES!$H:$H,TARIFF_PROFILES!$A:$A,$X2))</f>
        <v/>
      </c>
      <c r="AD2" s="21">
        <f>IF($X2="","",INDEX(TARIFF_PROFILES!$J:$J,MATCH($X2,TARIFF_PROFILES!$A:$A,0)))</f>
        <v/>
      </c>
      <c r="AE2" s="21">
        <f>IF($X2="","",INDEX(TARIFF_PROFILES!$K:$K,MATCH($X2,TARIFF_PROFILES!$A:$A,0)))</f>
        <v/>
      </c>
      <c r="AF2" s="19" t="n">
        <v>35</v>
      </c>
      <c r="AG2" s="19" t="inlineStr">
        <is>
          <t>30-60 км</t>
        </is>
      </c>
      <c r="AH2" s="19">
        <f>IF($AG2="","",SUMIFS(OPERATING_COEFFS!$C:$C,OPERATING_COEFFS!$A:$A,"DistanceClass",OPERATING_COEFFS!$B:$B,$AG2))</f>
        <v/>
      </c>
      <c r="AI2" s="19" t="inlineStr">
        <is>
          <t>Высокий сезон</t>
        </is>
      </c>
      <c r="AJ2" s="19">
        <f>IF($AI2="","",SUMIFS(OPERATING_COEFFS!$C:$C,OPERATING_COEFFS!$A:$A,"SeasonClass",OPERATING_COEFFS!$B:$B,$AI2))</f>
        <v/>
      </c>
      <c r="AK2" s="19" t="inlineStr">
        <is>
          <t>Ускоренно</t>
        </is>
      </c>
      <c r="AL2" s="19">
        <f>IF($AK2="","",SUMIFS(OPERATING_COEFFS!$C:$C,OPERATING_COEFFS!$A:$A,"UrgencyClass",OPERATING_COEFFS!$B:$B,$AK2))</f>
        <v/>
      </c>
      <c r="AM2" s="19" t="inlineStr">
        <is>
          <t>С НДС 20%</t>
        </is>
      </c>
      <c r="AN2" s="19">
        <f>IF($AM2="","",INDEX(TAX_MODES!$B:$B,MATCH($AM2,TAX_MODES!$A:$A,0)))</f>
        <v/>
      </c>
      <c r="AO2" s="19" t="n">
        <v>3</v>
      </c>
      <c r="AP2" s="19" t="n">
        <v>25</v>
      </c>
    </row>
    <row r="3">
      <c r="A3" s="21" t="inlineStr">
        <is>
          <t>OBJ-0002</t>
        </is>
      </c>
      <c r="B3" s="21" t="inlineStr">
        <is>
          <t>Частный участок — лёгкие условия</t>
        </is>
      </c>
      <c r="C3" s="21" t="inlineStr">
        <is>
          <t>Лёгкая</t>
        </is>
      </c>
      <c r="D3" s="32">
        <f>IF($C3="","",SUMIFS(SITE_COEFFS!$C:$C,SITE_COEFFS!$A:$A,"SoilWorkability",SITE_COEFFS!$B:$B,$C3))</f>
        <v/>
      </c>
      <c r="E3" s="21" t="inlineStr">
        <is>
          <t>Нормальная</t>
        </is>
      </c>
      <c r="F3" s="32">
        <f>IF($E3="","",SUMIFS(SITE_COEFFS!$C:$C,SITE_COEFFS!$A:$A,"SoilMoisture",SITE_COEFFS!$B:$B,$E3))</f>
        <v/>
      </c>
      <c r="G3" s="21" t="inlineStr">
        <is>
          <t>Нет</t>
        </is>
      </c>
      <c r="H3" s="32">
        <f>IF($G3="","",SUMIFS(SITE_COEFFS!$C:$C,SITE_COEFFS!$A:$A,"DebrisLevel",SITE_COEFFS!$B:$B,$G3))</f>
        <v/>
      </c>
      <c r="I3" s="21" t="inlineStr">
        <is>
          <t>0-3%</t>
        </is>
      </c>
      <c r="J3" s="32">
        <f>IF($I3="","",SUMIFS(SITE_COEFFS!$C:$C,SITE_COEFFS!$A:$A,"SlopeClass",SITE_COEFFS!$B:$B,$I3))</f>
        <v/>
      </c>
      <c r="K3" s="21" t="inlineStr">
        <is>
          <t>Низкая</t>
        </is>
      </c>
      <c r="L3" s="32">
        <f>IF($K3="","",SUMIFS(SITE_COEFFS!$C:$C,SITE_COEFFS!$A:$A,"SurfaceUnevenness",SITE_COEFFS!$B:$B,$K3))</f>
        <v/>
      </c>
      <c r="M3" s="21" t="inlineStr">
        <is>
          <t>Свободный</t>
        </is>
      </c>
      <c r="N3" s="32">
        <f>IF($M3="","",SUMIFS(SITE_COEFFS!$C:$C,SITE_COEFFS!$A:$A,"AccessClass",SITE_COEFFS!$B:$B,$M3))</f>
        <v/>
      </c>
      <c r="O3" s="21" t="inlineStr">
        <is>
          <t>Достаточно</t>
        </is>
      </c>
      <c r="P3" s="32">
        <f>IF($O3="","",SUMIFS(SITE_COEFFS!$C:$C,SITE_COEFFS!$A:$A,"TurnSpace",SITE_COEFFS!$B:$B,$O3))</f>
        <v/>
      </c>
      <c r="Q3" s="21" t="inlineStr">
        <is>
          <t>Нет влияния</t>
        </is>
      </c>
      <c r="R3" s="32">
        <f>IF($Q3="","",SUMIFS(SITE_COEFFS!$C:$C,SITE_COEFFS!$A:$A,"ProximityToBuildings",SITE_COEFFS!$B:$B,$Q3))</f>
        <v/>
      </c>
      <c r="S3" s="21" t="inlineStr">
        <is>
          <t>Да</t>
        </is>
      </c>
      <c r="T3" s="32">
        <f>IF($S3="","",SUMIFS(SITE_COEFFS!$C:$C,SITE_COEFFS!$A:$A,"MachineryAllowed",SITE_COEFFS!$B:$B,$S3))</f>
        <v/>
      </c>
      <c r="U3" s="21" t="inlineStr">
        <is>
          <t>Ровный участок с нормальным доступом</t>
        </is>
      </c>
      <c r="V3" s="21" t="inlineStr">
        <is>
          <t>Простая</t>
        </is>
      </c>
      <c r="W3" s="32">
        <f>IF($V3="","",SUMIFS(SITE_COEFFS!$C:$C,SITE_COEFFS!$A:$A,"GeometryComplexity",SITE_COEFFS!$B:$B,$V3))</f>
        <v/>
      </c>
      <c r="X3" s="21" t="n"/>
      <c r="Y3" s="21">
        <f>IF($X3="","",SUMIFS(TARIFF_PROFILES!$D:$D,TARIFF_PROFILES!$A:$A,$X3))</f>
        <v/>
      </c>
      <c r="Z3" s="21">
        <f>IF($X3="","",SUMIFS(TARIFF_PROFILES!$E:$E,TARIFF_PROFILES!$A:$A,$X3))</f>
        <v/>
      </c>
      <c r="AA3" s="21">
        <f>IF($X3="","",SUMIFS(TARIFF_PROFILES!$F:$F,TARIFF_PROFILES!$A:$A,$X3))</f>
        <v/>
      </c>
      <c r="AB3" s="21">
        <f>IF($X3="","",SUMIFS(TARIFF_PROFILES!$G:$G,TARIFF_PROFILES!$A:$A,$X3))</f>
        <v/>
      </c>
      <c r="AC3" s="21">
        <f>IF($X3="","",SUMIFS(TARIFF_PROFILES!$H:$H,TARIFF_PROFILES!$A:$A,$X3))</f>
        <v/>
      </c>
      <c r="AD3" s="21">
        <f>IF($X3="","",INDEX(TARIFF_PROFILES!$J:$J,MATCH($X3,TARIFF_PROFILES!$A:$A,0)))</f>
        <v/>
      </c>
      <c r="AE3" s="21">
        <f>IF($X3="","",INDEX(TARIFF_PROFILES!$K:$K,MATCH($X3,TARIFF_PROFILES!$A:$A,0)))</f>
        <v/>
      </c>
      <c r="AF3" s="19" t="n">
        <v>8</v>
      </c>
      <c r="AG3" s="19" t="inlineStr">
        <is>
          <t>До 10 км</t>
        </is>
      </c>
      <c r="AH3" s="19">
        <f>IF($AG3="","",SUMIFS(OPERATING_COEFFS!$C:$C,OPERATING_COEFFS!$A:$A,"DistanceClass",OPERATING_COEFFS!$B:$B,$AG3))</f>
        <v/>
      </c>
      <c r="AI3" s="19" t="inlineStr">
        <is>
          <t>Базовый сезон</t>
        </is>
      </c>
      <c r="AJ3" s="19">
        <f>IF($AI3="","",SUMIFS(OPERATING_COEFFS!$C:$C,OPERATING_COEFFS!$A:$A,"SeasonClass",OPERATING_COEFFS!$B:$B,$AI3))</f>
        <v/>
      </c>
      <c r="AK3" s="19" t="inlineStr">
        <is>
          <t>Планово</t>
        </is>
      </c>
      <c r="AL3" s="19">
        <f>IF($AK3="","",SUMIFS(OPERATING_COEFFS!$C:$C,OPERATING_COEFFS!$A:$A,"UrgencyClass",OPERATING_COEFFS!$B:$B,$AK3))</f>
        <v/>
      </c>
      <c r="AM3" s="19" t="inlineStr">
        <is>
          <t>Без НДС</t>
        </is>
      </c>
      <c r="AN3" s="19">
        <f>IF($AM3="","",INDEX(TAX_MODES!$B:$B,MATCH($AM3,TAX_MODES!$A:$A,0)))</f>
        <v/>
      </c>
      <c r="AO3" s="19" t="n">
        <v>1</v>
      </c>
      <c r="AP3" s="19" t="n">
        <v>5</v>
      </c>
    </row>
    <row r="4">
      <c r="A4" s="21" t="n"/>
      <c r="B4" s="21" t="n"/>
      <c r="C4" s="21" t="n"/>
      <c r="D4" s="32">
        <f>IF($C4="","",SUMIFS(SITE_COEFFS!$C:$C,SITE_COEFFS!$A:$A,"SoilWorkability",SITE_COEFFS!$B:$B,$C4))</f>
        <v/>
      </c>
      <c r="E4" s="21" t="n"/>
      <c r="F4" s="32">
        <f>IF($E4="","",SUMIFS(SITE_COEFFS!$C:$C,SITE_COEFFS!$A:$A,"SoilMoisture",SITE_COEFFS!$B:$B,$E4))</f>
        <v/>
      </c>
      <c r="G4" s="21" t="n"/>
      <c r="H4" s="32">
        <f>IF($G4="","",SUMIFS(SITE_COEFFS!$C:$C,SITE_COEFFS!$A:$A,"DebrisLevel",SITE_COEFFS!$B:$B,$G4))</f>
        <v/>
      </c>
      <c r="I4" s="21" t="n"/>
      <c r="J4" s="32">
        <f>IF($I4="","",SUMIFS(SITE_COEFFS!$C:$C,SITE_COEFFS!$A:$A,"SlopeClass",SITE_COEFFS!$B:$B,$I4))</f>
        <v/>
      </c>
      <c r="K4" s="21" t="n"/>
      <c r="L4" s="32">
        <f>IF($K4="","",SUMIFS(SITE_COEFFS!$C:$C,SITE_COEFFS!$A:$A,"SurfaceUnevenness",SITE_COEFFS!$B:$B,$K4))</f>
        <v/>
      </c>
      <c r="M4" s="21" t="n"/>
      <c r="N4" s="32">
        <f>IF($M4="","",SUMIFS(SITE_COEFFS!$C:$C,SITE_COEFFS!$A:$A,"AccessClass",SITE_COEFFS!$B:$B,$M4))</f>
        <v/>
      </c>
      <c r="O4" s="21" t="n"/>
      <c r="P4" s="32">
        <f>IF($O4="","",SUMIFS(SITE_COEFFS!$C:$C,SITE_COEFFS!$A:$A,"TurnSpace",SITE_COEFFS!$B:$B,$O4))</f>
        <v/>
      </c>
      <c r="Q4" s="21" t="n"/>
      <c r="R4" s="32">
        <f>IF($Q4="","",SUMIFS(SITE_COEFFS!$C:$C,SITE_COEFFS!$A:$A,"ProximityToBuildings",SITE_COEFFS!$B:$B,$Q4))</f>
        <v/>
      </c>
      <c r="S4" s="21" t="n"/>
      <c r="T4" s="32">
        <f>IF($S4="","",SUMIFS(SITE_COEFFS!$C:$C,SITE_COEFFS!$A:$A,"MachineryAllowed",SITE_COEFFS!$B:$B,$S4))</f>
        <v/>
      </c>
      <c r="U4" s="21" t="n"/>
      <c r="V4" s="21" t="n"/>
      <c r="W4" s="32">
        <f>IF($V4="","",SUMIFS(SITE_COEFFS!$C:$C,SITE_COEFFS!$A:$A,"GeometryComplexity",SITE_COEFFS!$B:$B,$V4))</f>
        <v/>
      </c>
      <c r="X4" s="21" t="n"/>
      <c r="Y4" s="21">
        <f>IF($X4="","",SUMIFS(TARIFF_PROFILES!$D:$D,TARIFF_PROFILES!$A:$A,$X4))</f>
        <v/>
      </c>
      <c r="Z4" s="21">
        <f>IF($X4="","",SUMIFS(TARIFF_PROFILES!$E:$E,TARIFF_PROFILES!$A:$A,$X4))</f>
        <v/>
      </c>
      <c r="AA4" s="21">
        <f>IF($X4="","",SUMIFS(TARIFF_PROFILES!$F:$F,TARIFF_PROFILES!$A:$A,$X4))</f>
        <v/>
      </c>
      <c r="AB4" s="21">
        <f>IF($X4="","",SUMIFS(TARIFF_PROFILES!$G:$G,TARIFF_PROFILES!$A:$A,$X4))</f>
        <v/>
      </c>
      <c r="AC4" s="21">
        <f>IF($X4="","",SUMIFS(TARIFF_PROFILES!$H:$H,TARIFF_PROFILES!$A:$A,$X4))</f>
        <v/>
      </c>
      <c r="AD4" s="21">
        <f>IF($X4="","",INDEX(TARIFF_PROFILES!$J:$J,MATCH($X4,TARIFF_PROFILES!$A:$A,0)))</f>
        <v/>
      </c>
      <c r="AE4" s="21">
        <f>IF($X4="","",INDEX(TARIFF_PROFILES!$K:$K,MATCH($X4,TARIFF_PROFILES!$A:$A,0)))</f>
        <v/>
      </c>
      <c r="AF4" s="19" t="n"/>
      <c r="AG4" s="19" t="n"/>
      <c r="AH4" s="19">
        <f>IF($AG4="","",SUMIFS(OPERATING_COEFFS!$C:$C,OPERATING_COEFFS!$A:$A,"DistanceClass",OPERATING_COEFFS!$B:$B,$AG4))</f>
        <v/>
      </c>
      <c r="AI4" s="19" t="n"/>
      <c r="AJ4" s="19">
        <f>IF($AI4="","",SUMIFS(OPERATING_COEFFS!$C:$C,OPERATING_COEFFS!$A:$A,"SeasonClass",OPERATING_COEFFS!$B:$B,$AI4))</f>
        <v/>
      </c>
      <c r="AK4" s="19" t="n"/>
      <c r="AL4" s="19">
        <f>IF($AK4="","",SUMIFS(OPERATING_COEFFS!$C:$C,OPERATING_COEFFS!$A:$A,"UrgencyClass",OPERATING_COEFFS!$B:$B,$AK4))</f>
        <v/>
      </c>
      <c r="AM4" s="19" t="n"/>
      <c r="AN4" s="19">
        <f>IF($AM4="","",INDEX(TAX_MODES!$B:$B,MATCH($AM4,TAX_MODES!$A:$A,0)))</f>
        <v/>
      </c>
      <c r="AO4" s="19" t="n"/>
      <c r="AP4" s="19" t="n"/>
    </row>
    <row r="5">
      <c r="A5" s="21" t="n"/>
      <c r="B5" s="21" t="n"/>
      <c r="C5" s="21" t="n"/>
      <c r="D5" s="32">
        <f>IF($C5="","",SUMIFS(SITE_COEFFS!$C:$C,SITE_COEFFS!$A:$A,"SoilWorkability",SITE_COEFFS!$B:$B,$C5))</f>
        <v/>
      </c>
      <c r="E5" s="21" t="n"/>
      <c r="F5" s="32">
        <f>IF($E5="","",SUMIFS(SITE_COEFFS!$C:$C,SITE_COEFFS!$A:$A,"SoilMoisture",SITE_COEFFS!$B:$B,$E5))</f>
        <v/>
      </c>
      <c r="G5" s="21" t="n"/>
      <c r="H5" s="32">
        <f>IF($G5="","",SUMIFS(SITE_COEFFS!$C:$C,SITE_COEFFS!$A:$A,"DebrisLevel",SITE_COEFFS!$B:$B,$G5))</f>
        <v/>
      </c>
      <c r="I5" s="21" t="n"/>
      <c r="J5" s="32">
        <f>IF($I5="","",SUMIFS(SITE_COEFFS!$C:$C,SITE_COEFFS!$A:$A,"SlopeClass",SITE_COEFFS!$B:$B,$I5))</f>
        <v/>
      </c>
      <c r="K5" s="21" t="n"/>
      <c r="L5" s="32">
        <f>IF($K5="","",SUMIFS(SITE_COEFFS!$C:$C,SITE_COEFFS!$A:$A,"SurfaceUnevenness",SITE_COEFFS!$B:$B,$K5))</f>
        <v/>
      </c>
      <c r="M5" s="21" t="n"/>
      <c r="N5" s="32">
        <f>IF($M5="","",SUMIFS(SITE_COEFFS!$C:$C,SITE_COEFFS!$A:$A,"AccessClass",SITE_COEFFS!$B:$B,$M5))</f>
        <v/>
      </c>
      <c r="O5" s="21" t="n"/>
      <c r="P5" s="32">
        <f>IF($O5="","",SUMIFS(SITE_COEFFS!$C:$C,SITE_COEFFS!$A:$A,"TurnSpace",SITE_COEFFS!$B:$B,$O5))</f>
        <v/>
      </c>
      <c r="Q5" s="21" t="n"/>
      <c r="R5" s="32">
        <f>IF($Q5="","",SUMIFS(SITE_COEFFS!$C:$C,SITE_COEFFS!$A:$A,"ProximityToBuildings",SITE_COEFFS!$B:$B,$Q5))</f>
        <v/>
      </c>
      <c r="S5" s="21" t="n"/>
      <c r="T5" s="32">
        <f>IF($S5="","",SUMIFS(SITE_COEFFS!$C:$C,SITE_COEFFS!$A:$A,"MachineryAllowed",SITE_COEFFS!$B:$B,$S5))</f>
        <v/>
      </c>
      <c r="U5" s="21" t="n"/>
      <c r="V5" s="21" t="n"/>
      <c r="W5" s="32">
        <f>IF($V5="","",SUMIFS(SITE_COEFFS!$C:$C,SITE_COEFFS!$A:$A,"GeometryComplexity",SITE_COEFFS!$B:$B,$V5))</f>
        <v/>
      </c>
      <c r="X5" s="21" t="n"/>
      <c r="Y5" s="21">
        <f>IF($X5="","",SUMIFS(TARIFF_PROFILES!$D:$D,TARIFF_PROFILES!$A:$A,$X5))</f>
        <v/>
      </c>
      <c r="Z5" s="21">
        <f>IF($X5="","",SUMIFS(TARIFF_PROFILES!$E:$E,TARIFF_PROFILES!$A:$A,$X5))</f>
        <v/>
      </c>
      <c r="AA5" s="21">
        <f>IF($X5="","",SUMIFS(TARIFF_PROFILES!$F:$F,TARIFF_PROFILES!$A:$A,$X5))</f>
        <v/>
      </c>
      <c r="AB5" s="21">
        <f>IF($X5="","",SUMIFS(TARIFF_PROFILES!$G:$G,TARIFF_PROFILES!$A:$A,$X5))</f>
        <v/>
      </c>
      <c r="AC5" s="21">
        <f>IF($X5="","",SUMIFS(TARIFF_PROFILES!$H:$H,TARIFF_PROFILES!$A:$A,$X5))</f>
        <v/>
      </c>
      <c r="AD5" s="21">
        <f>IF($X5="","",INDEX(TARIFF_PROFILES!$J:$J,MATCH($X5,TARIFF_PROFILES!$A:$A,0)))</f>
        <v/>
      </c>
      <c r="AE5" s="21">
        <f>IF($X5="","",INDEX(TARIFF_PROFILES!$K:$K,MATCH($X5,TARIFF_PROFILES!$A:$A,0)))</f>
        <v/>
      </c>
      <c r="AF5" s="19" t="n"/>
      <c r="AG5" s="19" t="n"/>
      <c r="AH5" s="19">
        <f>IF($AG5="","",SUMIFS(OPERATING_COEFFS!$C:$C,OPERATING_COEFFS!$A:$A,"DistanceClass",OPERATING_COEFFS!$B:$B,$AG5))</f>
        <v/>
      </c>
      <c r="AI5" s="19" t="n"/>
      <c r="AJ5" s="19">
        <f>IF($AI5="","",SUMIFS(OPERATING_COEFFS!$C:$C,OPERATING_COEFFS!$A:$A,"SeasonClass",OPERATING_COEFFS!$B:$B,$AI5))</f>
        <v/>
      </c>
      <c r="AK5" s="19" t="n"/>
      <c r="AL5" s="19">
        <f>IF($AK5="","",SUMIFS(OPERATING_COEFFS!$C:$C,OPERATING_COEFFS!$A:$A,"UrgencyClass",OPERATING_COEFFS!$B:$B,$AK5))</f>
        <v/>
      </c>
      <c r="AM5" s="19" t="n"/>
      <c r="AN5" s="19">
        <f>IF($AM5="","",INDEX(TAX_MODES!$B:$B,MATCH($AM5,TAX_MODES!$A:$A,0)))</f>
        <v/>
      </c>
      <c r="AO5" s="19" t="n"/>
      <c r="AP5" s="19" t="n"/>
    </row>
    <row r="6">
      <c r="A6" s="21" t="n"/>
      <c r="B6" s="21" t="n"/>
      <c r="C6" s="21" t="n"/>
      <c r="D6" s="32">
        <f>IF($C6="","",SUMIFS(SITE_COEFFS!$C:$C,SITE_COEFFS!$A:$A,"SoilWorkability",SITE_COEFFS!$B:$B,$C6))</f>
        <v/>
      </c>
      <c r="E6" s="21" t="n"/>
      <c r="F6" s="32">
        <f>IF($E6="","",SUMIFS(SITE_COEFFS!$C:$C,SITE_COEFFS!$A:$A,"SoilMoisture",SITE_COEFFS!$B:$B,$E6))</f>
        <v/>
      </c>
      <c r="G6" s="21" t="n"/>
      <c r="H6" s="32">
        <f>IF($G6="","",SUMIFS(SITE_COEFFS!$C:$C,SITE_COEFFS!$A:$A,"DebrisLevel",SITE_COEFFS!$B:$B,$G6))</f>
        <v/>
      </c>
      <c r="I6" s="21" t="n"/>
      <c r="J6" s="32">
        <f>IF($I6="","",SUMIFS(SITE_COEFFS!$C:$C,SITE_COEFFS!$A:$A,"SlopeClass",SITE_COEFFS!$B:$B,$I6))</f>
        <v/>
      </c>
      <c r="K6" s="21" t="n"/>
      <c r="L6" s="32">
        <f>IF($K6="","",SUMIFS(SITE_COEFFS!$C:$C,SITE_COEFFS!$A:$A,"SurfaceUnevenness",SITE_COEFFS!$B:$B,$K6))</f>
        <v/>
      </c>
      <c r="M6" s="21" t="n"/>
      <c r="N6" s="32">
        <f>IF($M6="","",SUMIFS(SITE_COEFFS!$C:$C,SITE_COEFFS!$A:$A,"AccessClass",SITE_COEFFS!$B:$B,$M6))</f>
        <v/>
      </c>
      <c r="O6" s="21" t="n"/>
      <c r="P6" s="32">
        <f>IF($O6="","",SUMIFS(SITE_COEFFS!$C:$C,SITE_COEFFS!$A:$A,"TurnSpace",SITE_COEFFS!$B:$B,$O6))</f>
        <v/>
      </c>
      <c r="Q6" s="21" t="n"/>
      <c r="R6" s="32">
        <f>IF($Q6="","",SUMIFS(SITE_COEFFS!$C:$C,SITE_COEFFS!$A:$A,"ProximityToBuildings",SITE_COEFFS!$B:$B,$Q6))</f>
        <v/>
      </c>
      <c r="S6" s="21" t="n"/>
      <c r="T6" s="32">
        <f>IF($S6="","",SUMIFS(SITE_COEFFS!$C:$C,SITE_COEFFS!$A:$A,"MachineryAllowed",SITE_COEFFS!$B:$B,$S6))</f>
        <v/>
      </c>
      <c r="U6" s="21" t="n"/>
      <c r="V6" s="21" t="n"/>
      <c r="W6" s="32">
        <f>IF($V6="","",SUMIFS(SITE_COEFFS!$C:$C,SITE_COEFFS!$A:$A,"GeometryComplexity",SITE_COEFFS!$B:$B,$V6))</f>
        <v/>
      </c>
      <c r="X6" s="21" t="n"/>
      <c r="Y6" s="21">
        <f>IF($X6="","",SUMIFS(TARIFF_PROFILES!$D:$D,TARIFF_PROFILES!$A:$A,$X6))</f>
        <v/>
      </c>
      <c r="Z6" s="21">
        <f>IF($X6="","",SUMIFS(TARIFF_PROFILES!$E:$E,TARIFF_PROFILES!$A:$A,$X6))</f>
        <v/>
      </c>
      <c r="AA6" s="21">
        <f>IF($X6="","",SUMIFS(TARIFF_PROFILES!$F:$F,TARIFF_PROFILES!$A:$A,$X6))</f>
        <v/>
      </c>
      <c r="AB6" s="21">
        <f>IF($X6="","",SUMIFS(TARIFF_PROFILES!$G:$G,TARIFF_PROFILES!$A:$A,$X6))</f>
        <v/>
      </c>
      <c r="AC6" s="21">
        <f>IF($X6="","",SUMIFS(TARIFF_PROFILES!$H:$H,TARIFF_PROFILES!$A:$A,$X6))</f>
        <v/>
      </c>
      <c r="AD6" s="21">
        <f>IF($X6="","",INDEX(TARIFF_PROFILES!$J:$J,MATCH($X6,TARIFF_PROFILES!$A:$A,0)))</f>
        <v/>
      </c>
      <c r="AE6" s="21">
        <f>IF($X6="","",INDEX(TARIFF_PROFILES!$K:$K,MATCH($X6,TARIFF_PROFILES!$A:$A,0)))</f>
        <v/>
      </c>
      <c r="AF6" s="19" t="n"/>
      <c r="AG6" s="19" t="n"/>
      <c r="AH6" s="19">
        <f>IF($AG6="","",SUMIFS(OPERATING_COEFFS!$C:$C,OPERATING_COEFFS!$A:$A,"DistanceClass",OPERATING_COEFFS!$B:$B,$AG6))</f>
        <v/>
      </c>
      <c r="AI6" s="19" t="n"/>
      <c r="AJ6" s="19">
        <f>IF($AI6="","",SUMIFS(OPERATING_COEFFS!$C:$C,OPERATING_COEFFS!$A:$A,"SeasonClass",OPERATING_COEFFS!$B:$B,$AI6))</f>
        <v/>
      </c>
      <c r="AK6" s="19" t="n"/>
      <c r="AL6" s="19">
        <f>IF($AK6="","",SUMIFS(OPERATING_COEFFS!$C:$C,OPERATING_COEFFS!$A:$A,"UrgencyClass",OPERATING_COEFFS!$B:$B,$AK6))</f>
        <v/>
      </c>
      <c r="AM6" s="19" t="n"/>
      <c r="AN6" s="19">
        <f>IF($AM6="","",INDEX(TAX_MODES!$B:$B,MATCH($AM6,TAX_MODES!$A:$A,0)))</f>
        <v/>
      </c>
      <c r="AO6" s="19" t="n"/>
      <c r="AP6" s="19" t="n"/>
    </row>
    <row r="7">
      <c r="A7" s="21" t="n"/>
      <c r="B7" s="21" t="n"/>
      <c r="C7" s="21" t="n"/>
      <c r="D7" s="32">
        <f>IF($C7="","",SUMIFS(SITE_COEFFS!$C:$C,SITE_COEFFS!$A:$A,"SoilWorkability",SITE_COEFFS!$B:$B,$C7))</f>
        <v/>
      </c>
      <c r="E7" s="21" t="n"/>
      <c r="F7" s="32">
        <f>IF($E7="","",SUMIFS(SITE_COEFFS!$C:$C,SITE_COEFFS!$A:$A,"SoilMoisture",SITE_COEFFS!$B:$B,$E7))</f>
        <v/>
      </c>
      <c r="G7" s="21" t="n"/>
      <c r="H7" s="32">
        <f>IF($G7="","",SUMIFS(SITE_COEFFS!$C:$C,SITE_COEFFS!$A:$A,"DebrisLevel",SITE_COEFFS!$B:$B,$G7))</f>
        <v/>
      </c>
      <c r="I7" s="21" t="n"/>
      <c r="J7" s="32">
        <f>IF($I7="","",SUMIFS(SITE_COEFFS!$C:$C,SITE_COEFFS!$A:$A,"SlopeClass",SITE_COEFFS!$B:$B,$I7))</f>
        <v/>
      </c>
      <c r="K7" s="21" t="n"/>
      <c r="L7" s="32">
        <f>IF($K7="","",SUMIFS(SITE_COEFFS!$C:$C,SITE_COEFFS!$A:$A,"SurfaceUnevenness",SITE_COEFFS!$B:$B,$K7))</f>
        <v/>
      </c>
      <c r="M7" s="21" t="n"/>
      <c r="N7" s="32">
        <f>IF($M7="","",SUMIFS(SITE_COEFFS!$C:$C,SITE_COEFFS!$A:$A,"AccessClass",SITE_COEFFS!$B:$B,$M7))</f>
        <v/>
      </c>
      <c r="O7" s="21" t="n"/>
      <c r="P7" s="32">
        <f>IF($O7="","",SUMIFS(SITE_COEFFS!$C:$C,SITE_COEFFS!$A:$A,"TurnSpace",SITE_COEFFS!$B:$B,$O7))</f>
        <v/>
      </c>
      <c r="Q7" s="21" t="n"/>
      <c r="R7" s="32">
        <f>IF($Q7="","",SUMIFS(SITE_COEFFS!$C:$C,SITE_COEFFS!$A:$A,"ProximityToBuildings",SITE_COEFFS!$B:$B,$Q7))</f>
        <v/>
      </c>
      <c r="S7" s="21" t="n"/>
      <c r="T7" s="32">
        <f>IF($S7="","",SUMIFS(SITE_COEFFS!$C:$C,SITE_COEFFS!$A:$A,"MachineryAllowed",SITE_COEFFS!$B:$B,$S7))</f>
        <v/>
      </c>
      <c r="U7" s="21" t="n"/>
      <c r="V7" s="21" t="n"/>
      <c r="W7" s="32">
        <f>IF($V7="","",SUMIFS(SITE_COEFFS!$C:$C,SITE_COEFFS!$A:$A,"GeometryComplexity",SITE_COEFFS!$B:$B,$V7))</f>
        <v/>
      </c>
      <c r="X7" s="21" t="n"/>
      <c r="Y7" s="21">
        <f>IF($X7="","",SUMIFS(TARIFF_PROFILES!$D:$D,TARIFF_PROFILES!$A:$A,$X7))</f>
        <v/>
      </c>
      <c r="Z7" s="21">
        <f>IF($X7="","",SUMIFS(TARIFF_PROFILES!$E:$E,TARIFF_PROFILES!$A:$A,$X7))</f>
        <v/>
      </c>
      <c r="AA7" s="21">
        <f>IF($X7="","",SUMIFS(TARIFF_PROFILES!$F:$F,TARIFF_PROFILES!$A:$A,$X7))</f>
        <v/>
      </c>
      <c r="AB7" s="21">
        <f>IF($X7="","",SUMIFS(TARIFF_PROFILES!$G:$G,TARIFF_PROFILES!$A:$A,$X7))</f>
        <v/>
      </c>
      <c r="AC7" s="21">
        <f>IF($X7="","",SUMIFS(TARIFF_PROFILES!$H:$H,TARIFF_PROFILES!$A:$A,$X7))</f>
        <v/>
      </c>
      <c r="AD7" s="21">
        <f>IF($X7="","",INDEX(TARIFF_PROFILES!$J:$J,MATCH($X7,TARIFF_PROFILES!$A:$A,0)))</f>
        <v/>
      </c>
      <c r="AE7" s="21">
        <f>IF($X7="","",INDEX(TARIFF_PROFILES!$K:$K,MATCH($X7,TARIFF_PROFILES!$A:$A,0)))</f>
        <v/>
      </c>
      <c r="AF7" s="19" t="n"/>
      <c r="AG7" s="19" t="n"/>
      <c r="AH7" s="19">
        <f>IF($AG7="","",SUMIFS(OPERATING_COEFFS!$C:$C,OPERATING_COEFFS!$A:$A,"DistanceClass",OPERATING_COEFFS!$B:$B,$AG7))</f>
        <v/>
      </c>
      <c r="AI7" s="19" t="n"/>
      <c r="AJ7" s="19">
        <f>IF($AI7="","",SUMIFS(OPERATING_COEFFS!$C:$C,OPERATING_COEFFS!$A:$A,"SeasonClass",OPERATING_COEFFS!$B:$B,$AI7))</f>
        <v/>
      </c>
      <c r="AK7" s="19" t="n"/>
      <c r="AL7" s="19">
        <f>IF($AK7="","",SUMIFS(OPERATING_COEFFS!$C:$C,OPERATING_COEFFS!$A:$A,"UrgencyClass",OPERATING_COEFFS!$B:$B,$AK7))</f>
        <v/>
      </c>
      <c r="AM7" s="19" t="n"/>
      <c r="AN7" s="19">
        <f>IF($AM7="","",INDEX(TAX_MODES!$B:$B,MATCH($AM7,TAX_MODES!$A:$A,0)))</f>
        <v/>
      </c>
      <c r="AO7" s="19" t="n"/>
      <c r="AP7" s="19" t="n"/>
    </row>
    <row r="8">
      <c r="A8" s="21" t="n"/>
      <c r="B8" s="21" t="n"/>
      <c r="C8" s="21" t="n"/>
      <c r="D8" s="32">
        <f>IF($C8="","",SUMIFS(SITE_COEFFS!$C:$C,SITE_COEFFS!$A:$A,"SoilWorkability",SITE_COEFFS!$B:$B,$C8))</f>
        <v/>
      </c>
      <c r="E8" s="21" t="n"/>
      <c r="F8" s="32">
        <f>IF($E8="","",SUMIFS(SITE_COEFFS!$C:$C,SITE_COEFFS!$A:$A,"SoilMoisture",SITE_COEFFS!$B:$B,$E8))</f>
        <v/>
      </c>
      <c r="G8" s="21" t="n"/>
      <c r="H8" s="32">
        <f>IF($G8="","",SUMIFS(SITE_COEFFS!$C:$C,SITE_COEFFS!$A:$A,"DebrisLevel",SITE_COEFFS!$B:$B,$G8))</f>
        <v/>
      </c>
      <c r="I8" s="21" t="n"/>
      <c r="J8" s="32">
        <f>IF($I8="","",SUMIFS(SITE_COEFFS!$C:$C,SITE_COEFFS!$A:$A,"SlopeClass",SITE_COEFFS!$B:$B,$I8))</f>
        <v/>
      </c>
      <c r="K8" s="21" t="n"/>
      <c r="L8" s="32">
        <f>IF($K8="","",SUMIFS(SITE_COEFFS!$C:$C,SITE_COEFFS!$A:$A,"SurfaceUnevenness",SITE_COEFFS!$B:$B,$K8))</f>
        <v/>
      </c>
      <c r="M8" s="21" t="n"/>
      <c r="N8" s="32">
        <f>IF($M8="","",SUMIFS(SITE_COEFFS!$C:$C,SITE_COEFFS!$A:$A,"AccessClass",SITE_COEFFS!$B:$B,$M8))</f>
        <v/>
      </c>
      <c r="O8" s="21" t="n"/>
      <c r="P8" s="32">
        <f>IF($O8="","",SUMIFS(SITE_COEFFS!$C:$C,SITE_COEFFS!$A:$A,"TurnSpace",SITE_COEFFS!$B:$B,$O8))</f>
        <v/>
      </c>
      <c r="Q8" s="21" t="n"/>
      <c r="R8" s="32">
        <f>IF($Q8="","",SUMIFS(SITE_COEFFS!$C:$C,SITE_COEFFS!$A:$A,"ProximityToBuildings",SITE_COEFFS!$B:$B,$Q8))</f>
        <v/>
      </c>
      <c r="S8" s="21" t="n"/>
      <c r="T8" s="32">
        <f>IF($S8="","",SUMIFS(SITE_COEFFS!$C:$C,SITE_COEFFS!$A:$A,"MachineryAllowed",SITE_COEFFS!$B:$B,$S8))</f>
        <v/>
      </c>
      <c r="U8" s="21" t="n"/>
      <c r="V8" s="21" t="n"/>
      <c r="W8" s="32">
        <f>IF($V8="","",SUMIFS(SITE_COEFFS!$C:$C,SITE_COEFFS!$A:$A,"GeometryComplexity",SITE_COEFFS!$B:$B,$V8))</f>
        <v/>
      </c>
      <c r="X8" s="21" t="n"/>
      <c r="Y8" s="21">
        <f>IF($X8="","",SUMIFS(TARIFF_PROFILES!$D:$D,TARIFF_PROFILES!$A:$A,$X8))</f>
        <v/>
      </c>
      <c r="Z8" s="21">
        <f>IF($X8="","",SUMIFS(TARIFF_PROFILES!$E:$E,TARIFF_PROFILES!$A:$A,$X8))</f>
        <v/>
      </c>
      <c r="AA8" s="21">
        <f>IF($X8="","",SUMIFS(TARIFF_PROFILES!$F:$F,TARIFF_PROFILES!$A:$A,$X8))</f>
        <v/>
      </c>
      <c r="AB8" s="21">
        <f>IF($X8="","",SUMIFS(TARIFF_PROFILES!$G:$G,TARIFF_PROFILES!$A:$A,$X8))</f>
        <v/>
      </c>
      <c r="AC8" s="21">
        <f>IF($X8="","",SUMIFS(TARIFF_PROFILES!$H:$H,TARIFF_PROFILES!$A:$A,$X8))</f>
        <v/>
      </c>
      <c r="AD8" s="21">
        <f>IF($X8="","",INDEX(TARIFF_PROFILES!$J:$J,MATCH($X8,TARIFF_PROFILES!$A:$A,0)))</f>
        <v/>
      </c>
      <c r="AE8" s="21">
        <f>IF($X8="","",INDEX(TARIFF_PROFILES!$K:$K,MATCH($X8,TARIFF_PROFILES!$A:$A,0)))</f>
        <v/>
      </c>
      <c r="AF8" s="19" t="n"/>
      <c r="AG8" s="19" t="n"/>
      <c r="AH8" s="19">
        <f>IF($AG8="","",SUMIFS(OPERATING_COEFFS!$C:$C,OPERATING_COEFFS!$A:$A,"DistanceClass",OPERATING_COEFFS!$B:$B,$AG8))</f>
        <v/>
      </c>
      <c r="AI8" s="19" t="n"/>
      <c r="AJ8" s="19">
        <f>IF($AI8="","",SUMIFS(OPERATING_COEFFS!$C:$C,OPERATING_COEFFS!$A:$A,"SeasonClass",OPERATING_COEFFS!$B:$B,$AI8))</f>
        <v/>
      </c>
      <c r="AK8" s="19" t="n"/>
      <c r="AL8" s="19">
        <f>IF($AK8="","",SUMIFS(OPERATING_COEFFS!$C:$C,OPERATING_COEFFS!$A:$A,"UrgencyClass",OPERATING_COEFFS!$B:$B,$AK8))</f>
        <v/>
      </c>
      <c r="AM8" s="19" t="n"/>
      <c r="AN8" s="19">
        <f>IF($AM8="","",INDEX(TAX_MODES!$B:$B,MATCH($AM8,TAX_MODES!$A:$A,0)))</f>
        <v/>
      </c>
      <c r="AO8" s="19" t="n"/>
      <c r="AP8" s="19" t="n"/>
    </row>
    <row r="9">
      <c r="A9" s="21" t="n"/>
      <c r="B9" s="21" t="n"/>
      <c r="C9" s="21" t="n"/>
      <c r="D9" s="32">
        <f>IF($C9="","",SUMIFS(SITE_COEFFS!$C:$C,SITE_COEFFS!$A:$A,"SoilWorkability",SITE_COEFFS!$B:$B,$C9))</f>
        <v/>
      </c>
      <c r="E9" s="21" t="n"/>
      <c r="F9" s="32">
        <f>IF($E9="","",SUMIFS(SITE_COEFFS!$C:$C,SITE_COEFFS!$A:$A,"SoilMoisture",SITE_COEFFS!$B:$B,$E9))</f>
        <v/>
      </c>
      <c r="G9" s="21" t="n"/>
      <c r="H9" s="32">
        <f>IF($G9="","",SUMIFS(SITE_COEFFS!$C:$C,SITE_COEFFS!$A:$A,"DebrisLevel",SITE_COEFFS!$B:$B,$G9))</f>
        <v/>
      </c>
      <c r="I9" s="21" t="n"/>
      <c r="J9" s="32">
        <f>IF($I9="","",SUMIFS(SITE_COEFFS!$C:$C,SITE_COEFFS!$A:$A,"SlopeClass",SITE_COEFFS!$B:$B,$I9))</f>
        <v/>
      </c>
      <c r="K9" s="21" t="n"/>
      <c r="L9" s="32">
        <f>IF($K9="","",SUMIFS(SITE_COEFFS!$C:$C,SITE_COEFFS!$A:$A,"SurfaceUnevenness",SITE_COEFFS!$B:$B,$K9))</f>
        <v/>
      </c>
      <c r="M9" s="21" t="n"/>
      <c r="N9" s="32">
        <f>IF($M9="","",SUMIFS(SITE_COEFFS!$C:$C,SITE_COEFFS!$A:$A,"AccessClass",SITE_COEFFS!$B:$B,$M9))</f>
        <v/>
      </c>
      <c r="O9" s="21" t="n"/>
      <c r="P9" s="32">
        <f>IF($O9="","",SUMIFS(SITE_COEFFS!$C:$C,SITE_COEFFS!$A:$A,"TurnSpace",SITE_COEFFS!$B:$B,$O9))</f>
        <v/>
      </c>
      <c r="Q9" s="21" t="n"/>
      <c r="R9" s="32">
        <f>IF($Q9="","",SUMIFS(SITE_COEFFS!$C:$C,SITE_COEFFS!$A:$A,"ProximityToBuildings",SITE_COEFFS!$B:$B,$Q9))</f>
        <v/>
      </c>
      <c r="S9" s="21" t="n"/>
      <c r="T9" s="32">
        <f>IF($S9="","",SUMIFS(SITE_COEFFS!$C:$C,SITE_COEFFS!$A:$A,"MachineryAllowed",SITE_COEFFS!$B:$B,$S9))</f>
        <v/>
      </c>
      <c r="U9" s="21" t="n"/>
      <c r="V9" s="21" t="n"/>
      <c r="W9" s="32">
        <f>IF($V9="","",SUMIFS(SITE_COEFFS!$C:$C,SITE_COEFFS!$A:$A,"GeometryComplexity",SITE_COEFFS!$B:$B,$V9))</f>
        <v/>
      </c>
      <c r="X9" s="21" t="n"/>
      <c r="Y9" s="21">
        <f>IF($X9="","",SUMIFS(TARIFF_PROFILES!$D:$D,TARIFF_PROFILES!$A:$A,$X9))</f>
        <v/>
      </c>
      <c r="Z9" s="21">
        <f>IF($X9="","",SUMIFS(TARIFF_PROFILES!$E:$E,TARIFF_PROFILES!$A:$A,$X9))</f>
        <v/>
      </c>
      <c r="AA9" s="21">
        <f>IF($X9="","",SUMIFS(TARIFF_PROFILES!$F:$F,TARIFF_PROFILES!$A:$A,$X9))</f>
        <v/>
      </c>
      <c r="AB9" s="21">
        <f>IF($X9="","",SUMIFS(TARIFF_PROFILES!$G:$G,TARIFF_PROFILES!$A:$A,$X9))</f>
        <v/>
      </c>
      <c r="AC9" s="21">
        <f>IF($X9="","",SUMIFS(TARIFF_PROFILES!$H:$H,TARIFF_PROFILES!$A:$A,$X9))</f>
        <v/>
      </c>
      <c r="AD9" s="21">
        <f>IF($X9="","",INDEX(TARIFF_PROFILES!$J:$J,MATCH($X9,TARIFF_PROFILES!$A:$A,0)))</f>
        <v/>
      </c>
      <c r="AE9" s="21">
        <f>IF($X9="","",INDEX(TARIFF_PROFILES!$K:$K,MATCH($X9,TARIFF_PROFILES!$A:$A,0)))</f>
        <v/>
      </c>
      <c r="AF9" s="19" t="n"/>
      <c r="AG9" s="19" t="n"/>
      <c r="AH9" s="19">
        <f>IF($AG9="","",SUMIFS(OPERATING_COEFFS!$C:$C,OPERATING_COEFFS!$A:$A,"DistanceClass",OPERATING_COEFFS!$B:$B,$AG9))</f>
        <v/>
      </c>
      <c r="AI9" s="19" t="n"/>
      <c r="AJ9" s="19">
        <f>IF($AI9="","",SUMIFS(OPERATING_COEFFS!$C:$C,OPERATING_COEFFS!$A:$A,"SeasonClass",OPERATING_COEFFS!$B:$B,$AI9))</f>
        <v/>
      </c>
      <c r="AK9" s="19" t="n"/>
      <c r="AL9" s="19">
        <f>IF($AK9="","",SUMIFS(OPERATING_COEFFS!$C:$C,OPERATING_COEFFS!$A:$A,"UrgencyClass",OPERATING_COEFFS!$B:$B,$AK9))</f>
        <v/>
      </c>
      <c r="AM9" s="19" t="n"/>
      <c r="AN9" s="19">
        <f>IF($AM9="","",INDEX(TAX_MODES!$B:$B,MATCH($AM9,TAX_MODES!$A:$A,0)))</f>
        <v/>
      </c>
      <c r="AO9" s="19" t="n"/>
      <c r="AP9" s="19" t="n"/>
    </row>
    <row r="10">
      <c r="A10" s="21" t="n"/>
      <c r="B10" s="21" t="n"/>
      <c r="C10" s="21" t="n"/>
      <c r="D10" s="32">
        <f>IF($C10="","",SUMIFS(SITE_COEFFS!$C:$C,SITE_COEFFS!$A:$A,"SoilWorkability",SITE_COEFFS!$B:$B,$C10))</f>
        <v/>
      </c>
      <c r="E10" s="21" t="n"/>
      <c r="F10" s="32">
        <f>IF($E10="","",SUMIFS(SITE_COEFFS!$C:$C,SITE_COEFFS!$A:$A,"SoilMoisture",SITE_COEFFS!$B:$B,$E10))</f>
        <v/>
      </c>
      <c r="G10" s="21" t="n"/>
      <c r="H10" s="32">
        <f>IF($G10="","",SUMIFS(SITE_COEFFS!$C:$C,SITE_COEFFS!$A:$A,"DebrisLevel",SITE_COEFFS!$B:$B,$G10))</f>
        <v/>
      </c>
      <c r="I10" s="21" t="n"/>
      <c r="J10" s="32">
        <f>IF($I10="","",SUMIFS(SITE_COEFFS!$C:$C,SITE_COEFFS!$A:$A,"SlopeClass",SITE_COEFFS!$B:$B,$I10))</f>
        <v/>
      </c>
      <c r="K10" s="21" t="n"/>
      <c r="L10" s="32">
        <f>IF($K10="","",SUMIFS(SITE_COEFFS!$C:$C,SITE_COEFFS!$A:$A,"SurfaceUnevenness",SITE_COEFFS!$B:$B,$K10))</f>
        <v/>
      </c>
      <c r="M10" s="21" t="n"/>
      <c r="N10" s="32">
        <f>IF($M10="","",SUMIFS(SITE_COEFFS!$C:$C,SITE_COEFFS!$A:$A,"AccessClass",SITE_COEFFS!$B:$B,$M10))</f>
        <v/>
      </c>
      <c r="O10" s="21" t="n"/>
      <c r="P10" s="32">
        <f>IF($O10="","",SUMIFS(SITE_COEFFS!$C:$C,SITE_COEFFS!$A:$A,"TurnSpace",SITE_COEFFS!$B:$B,$O10))</f>
        <v/>
      </c>
      <c r="Q10" s="21" t="n"/>
      <c r="R10" s="32">
        <f>IF($Q10="","",SUMIFS(SITE_COEFFS!$C:$C,SITE_COEFFS!$A:$A,"ProximityToBuildings",SITE_COEFFS!$B:$B,$Q10))</f>
        <v/>
      </c>
      <c r="S10" s="21" t="n"/>
      <c r="T10" s="32">
        <f>IF($S10="","",SUMIFS(SITE_COEFFS!$C:$C,SITE_COEFFS!$A:$A,"MachineryAllowed",SITE_COEFFS!$B:$B,$S10))</f>
        <v/>
      </c>
      <c r="U10" s="21" t="n"/>
      <c r="V10" s="21" t="n"/>
      <c r="W10" s="32">
        <f>IF($V10="","",SUMIFS(SITE_COEFFS!$C:$C,SITE_COEFFS!$A:$A,"GeometryComplexity",SITE_COEFFS!$B:$B,$V10))</f>
        <v/>
      </c>
      <c r="X10" s="21" t="n"/>
      <c r="Y10" s="21">
        <f>IF($X10="","",SUMIFS(TARIFF_PROFILES!$D:$D,TARIFF_PROFILES!$A:$A,$X10))</f>
        <v/>
      </c>
      <c r="Z10" s="21">
        <f>IF($X10="","",SUMIFS(TARIFF_PROFILES!$E:$E,TARIFF_PROFILES!$A:$A,$X10))</f>
        <v/>
      </c>
      <c r="AA10" s="21">
        <f>IF($X10="","",SUMIFS(TARIFF_PROFILES!$F:$F,TARIFF_PROFILES!$A:$A,$X10))</f>
        <v/>
      </c>
      <c r="AB10" s="21">
        <f>IF($X10="","",SUMIFS(TARIFF_PROFILES!$G:$G,TARIFF_PROFILES!$A:$A,$X10))</f>
        <v/>
      </c>
      <c r="AC10" s="21">
        <f>IF($X10="","",SUMIFS(TARIFF_PROFILES!$H:$H,TARIFF_PROFILES!$A:$A,$X10))</f>
        <v/>
      </c>
      <c r="AD10" s="21">
        <f>IF($X10="","",INDEX(TARIFF_PROFILES!$J:$J,MATCH($X10,TARIFF_PROFILES!$A:$A,0)))</f>
        <v/>
      </c>
      <c r="AE10" s="21">
        <f>IF($X10="","",INDEX(TARIFF_PROFILES!$K:$K,MATCH($X10,TARIFF_PROFILES!$A:$A,0)))</f>
        <v/>
      </c>
      <c r="AF10" s="19" t="n"/>
      <c r="AG10" s="19" t="n"/>
      <c r="AH10" s="19">
        <f>IF($AG10="","",SUMIFS(OPERATING_COEFFS!$C:$C,OPERATING_COEFFS!$A:$A,"DistanceClass",OPERATING_COEFFS!$B:$B,$AG10))</f>
        <v/>
      </c>
      <c r="AI10" s="19" t="n"/>
      <c r="AJ10" s="19">
        <f>IF($AI10="","",SUMIFS(OPERATING_COEFFS!$C:$C,OPERATING_COEFFS!$A:$A,"SeasonClass",OPERATING_COEFFS!$B:$B,$AI10))</f>
        <v/>
      </c>
      <c r="AK10" s="19" t="n"/>
      <c r="AL10" s="19">
        <f>IF($AK10="","",SUMIFS(OPERATING_COEFFS!$C:$C,OPERATING_COEFFS!$A:$A,"UrgencyClass",OPERATING_COEFFS!$B:$B,$AK10))</f>
        <v/>
      </c>
      <c r="AM10" s="19" t="n"/>
      <c r="AN10" s="19">
        <f>IF($AM10="","",INDEX(TAX_MODES!$B:$B,MATCH($AM10,TAX_MODES!$A:$A,0)))</f>
        <v/>
      </c>
      <c r="AO10" s="19" t="n"/>
      <c r="AP10" s="19" t="n"/>
    </row>
    <row r="11">
      <c r="A11" s="21" t="n"/>
      <c r="B11" s="21" t="n"/>
      <c r="C11" s="21" t="n"/>
      <c r="D11" s="32">
        <f>IF($C11="","",SUMIFS(SITE_COEFFS!$C:$C,SITE_COEFFS!$A:$A,"SoilWorkability",SITE_COEFFS!$B:$B,$C11))</f>
        <v/>
      </c>
      <c r="E11" s="21" t="n"/>
      <c r="F11" s="32">
        <f>IF($E11="","",SUMIFS(SITE_COEFFS!$C:$C,SITE_COEFFS!$A:$A,"SoilMoisture",SITE_COEFFS!$B:$B,$E11))</f>
        <v/>
      </c>
      <c r="G11" s="21" t="n"/>
      <c r="H11" s="32">
        <f>IF($G11="","",SUMIFS(SITE_COEFFS!$C:$C,SITE_COEFFS!$A:$A,"DebrisLevel",SITE_COEFFS!$B:$B,$G11))</f>
        <v/>
      </c>
      <c r="I11" s="21" t="n"/>
      <c r="J11" s="32">
        <f>IF($I11="","",SUMIFS(SITE_COEFFS!$C:$C,SITE_COEFFS!$A:$A,"SlopeClass",SITE_COEFFS!$B:$B,$I11))</f>
        <v/>
      </c>
      <c r="K11" s="21" t="n"/>
      <c r="L11" s="32">
        <f>IF($K11="","",SUMIFS(SITE_COEFFS!$C:$C,SITE_COEFFS!$A:$A,"SurfaceUnevenness",SITE_COEFFS!$B:$B,$K11))</f>
        <v/>
      </c>
      <c r="M11" s="21" t="n"/>
      <c r="N11" s="32">
        <f>IF($M11="","",SUMIFS(SITE_COEFFS!$C:$C,SITE_COEFFS!$A:$A,"AccessClass",SITE_COEFFS!$B:$B,$M11))</f>
        <v/>
      </c>
      <c r="O11" s="21" t="n"/>
      <c r="P11" s="32">
        <f>IF($O11="","",SUMIFS(SITE_COEFFS!$C:$C,SITE_COEFFS!$A:$A,"TurnSpace",SITE_COEFFS!$B:$B,$O11))</f>
        <v/>
      </c>
      <c r="Q11" s="21" t="n"/>
      <c r="R11" s="32">
        <f>IF($Q11="","",SUMIFS(SITE_COEFFS!$C:$C,SITE_COEFFS!$A:$A,"ProximityToBuildings",SITE_COEFFS!$B:$B,$Q11))</f>
        <v/>
      </c>
      <c r="S11" s="21" t="n"/>
      <c r="T11" s="32">
        <f>IF($S11="","",SUMIFS(SITE_COEFFS!$C:$C,SITE_COEFFS!$A:$A,"MachineryAllowed",SITE_COEFFS!$B:$B,$S11))</f>
        <v/>
      </c>
      <c r="U11" s="21" t="n"/>
      <c r="V11" s="21" t="n"/>
      <c r="W11" s="32">
        <f>IF($V11="","",SUMIFS(SITE_COEFFS!$C:$C,SITE_COEFFS!$A:$A,"GeometryComplexity",SITE_COEFFS!$B:$B,$V11))</f>
        <v/>
      </c>
      <c r="X11" s="21" t="n"/>
      <c r="Y11" s="21">
        <f>IF($X11="","",SUMIFS(TARIFF_PROFILES!$D:$D,TARIFF_PROFILES!$A:$A,$X11))</f>
        <v/>
      </c>
      <c r="Z11" s="21">
        <f>IF($X11="","",SUMIFS(TARIFF_PROFILES!$E:$E,TARIFF_PROFILES!$A:$A,$X11))</f>
        <v/>
      </c>
      <c r="AA11" s="21">
        <f>IF($X11="","",SUMIFS(TARIFF_PROFILES!$F:$F,TARIFF_PROFILES!$A:$A,$X11))</f>
        <v/>
      </c>
      <c r="AB11" s="21">
        <f>IF($X11="","",SUMIFS(TARIFF_PROFILES!$G:$G,TARIFF_PROFILES!$A:$A,$X11))</f>
        <v/>
      </c>
      <c r="AC11" s="21">
        <f>IF($X11="","",SUMIFS(TARIFF_PROFILES!$H:$H,TARIFF_PROFILES!$A:$A,$X11))</f>
        <v/>
      </c>
      <c r="AD11" s="21">
        <f>IF($X11="","",INDEX(TARIFF_PROFILES!$J:$J,MATCH($X11,TARIFF_PROFILES!$A:$A,0)))</f>
        <v/>
      </c>
      <c r="AE11" s="21">
        <f>IF($X11="","",INDEX(TARIFF_PROFILES!$K:$K,MATCH($X11,TARIFF_PROFILES!$A:$A,0)))</f>
        <v/>
      </c>
      <c r="AF11" s="19" t="n"/>
      <c r="AG11" s="19" t="n"/>
      <c r="AH11" s="19">
        <f>IF($AG11="","",SUMIFS(OPERATING_COEFFS!$C:$C,OPERATING_COEFFS!$A:$A,"DistanceClass",OPERATING_COEFFS!$B:$B,$AG11))</f>
        <v/>
      </c>
      <c r="AI11" s="19" t="n"/>
      <c r="AJ11" s="19">
        <f>IF($AI11="","",SUMIFS(OPERATING_COEFFS!$C:$C,OPERATING_COEFFS!$A:$A,"SeasonClass",OPERATING_COEFFS!$B:$B,$AI11))</f>
        <v/>
      </c>
      <c r="AK11" s="19" t="n"/>
      <c r="AL11" s="19">
        <f>IF($AK11="","",SUMIFS(OPERATING_COEFFS!$C:$C,OPERATING_COEFFS!$A:$A,"UrgencyClass",OPERATING_COEFFS!$B:$B,$AK11))</f>
        <v/>
      </c>
      <c r="AM11" s="19" t="n"/>
      <c r="AN11" s="19">
        <f>IF($AM11="","",INDEX(TAX_MODES!$B:$B,MATCH($AM11,TAX_MODES!$A:$A,0)))</f>
        <v/>
      </c>
      <c r="AO11" s="19" t="n"/>
      <c r="AP11" s="19" t="n"/>
    </row>
    <row r="12">
      <c r="A12" s="21" t="n"/>
      <c r="B12" s="21" t="n"/>
      <c r="C12" s="21" t="n"/>
      <c r="D12" s="32">
        <f>IF($C12="","",SUMIFS(SITE_COEFFS!$C:$C,SITE_COEFFS!$A:$A,"SoilWorkability",SITE_COEFFS!$B:$B,$C12))</f>
        <v/>
      </c>
      <c r="E12" s="21" t="n"/>
      <c r="F12" s="32">
        <f>IF($E12="","",SUMIFS(SITE_COEFFS!$C:$C,SITE_COEFFS!$A:$A,"SoilMoisture",SITE_COEFFS!$B:$B,$E12))</f>
        <v/>
      </c>
      <c r="G12" s="21" t="n"/>
      <c r="H12" s="32">
        <f>IF($G12="","",SUMIFS(SITE_COEFFS!$C:$C,SITE_COEFFS!$A:$A,"DebrisLevel",SITE_COEFFS!$B:$B,$G12))</f>
        <v/>
      </c>
      <c r="I12" s="21" t="n"/>
      <c r="J12" s="32">
        <f>IF($I12="","",SUMIFS(SITE_COEFFS!$C:$C,SITE_COEFFS!$A:$A,"SlopeClass",SITE_COEFFS!$B:$B,$I12))</f>
        <v/>
      </c>
      <c r="K12" s="21" t="n"/>
      <c r="L12" s="32">
        <f>IF($K12="","",SUMIFS(SITE_COEFFS!$C:$C,SITE_COEFFS!$A:$A,"SurfaceUnevenness",SITE_COEFFS!$B:$B,$K12))</f>
        <v/>
      </c>
      <c r="M12" s="21" t="n"/>
      <c r="N12" s="32">
        <f>IF($M12="","",SUMIFS(SITE_COEFFS!$C:$C,SITE_COEFFS!$A:$A,"AccessClass",SITE_COEFFS!$B:$B,$M12))</f>
        <v/>
      </c>
      <c r="O12" s="21" t="n"/>
      <c r="P12" s="32">
        <f>IF($O12="","",SUMIFS(SITE_COEFFS!$C:$C,SITE_COEFFS!$A:$A,"TurnSpace",SITE_COEFFS!$B:$B,$O12))</f>
        <v/>
      </c>
      <c r="Q12" s="21" t="n"/>
      <c r="R12" s="32">
        <f>IF($Q12="","",SUMIFS(SITE_COEFFS!$C:$C,SITE_COEFFS!$A:$A,"ProximityToBuildings",SITE_COEFFS!$B:$B,$Q12))</f>
        <v/>
      </c>
      <c r="S12" s="21" t="n"/>
      <c r="T12" s="32">
        <f>IF($S12="","",SUMIFS(SITE_COEFFS!$C:$C,SITE_COEFFS!$A:$A,"MachineryAllowed",SITE_COEFFS!$B:$B,$S12))</f>
        <v/>
      </c>
      <c r="U12" s="21" t="n"/>
      <c r="V12" s="21" t="n"/>
      <c r="W12" s="32">
        <f>IF($V12="","",SUMIFS(SITE_COEFFS!$C:$C,SITE_COEFFS!$A:$A,"GeometryComplexity",SITE_COEFFS!$B:$B,$V12))</f>
        <v/>
      </c>
      <c r="X12" s="21" t="n"/>
      <c r="Y12" s="21">
        <f>IF($X12="","",SUMIFS(TARIFF_PROFILES!$D:$D,TARIFF_PROFILES!$A:$A,$X12))</f>
        <v/>
      </c>
      <c r="Z12" s="21">
        <f>IF($X12="","",SUMIFS(TARIFF_PROFILES!$E:$E,TARIFF_PROFILES!$A:$A,$X12))</f>
        <v/>
      </c>
      <c r="AA12" s="21">
        <f>IF($X12="","",SUMIFS(TARIFF_PROFILES!$F:$F,TARIFF_PROFILES!$A:$A,$X12))</f>
        <v/>
      </c>
      <c r="AB12" s="21">
        <f>IF($X12="","",SUMIFS(TARIFF_PROFILES!$G:$G,TARIFF_PROFILES!$A:$A,$X12))</f>
        <v/>
      </c>
      <c r="AC12" s="21">
        <f>IF($X12="","",SUMIFS(TARIFF_PROFILES!$H:$H,TARIFF_PROFILES!$A:$A,$X12))</f>
        <v/>
      </c>
      <c r="AD12" s="21">
        <f>IF($X12="","",INDEX(TARIFF_PROFILES!$J:$J,MATCH($X12,TARIFF_PROFILES!$A:$A,0)))</f>
        <v/>
      </c>
      <c r="AE12" s="21">
        <f>IF($X12="","",INDEX(TARIFF_PROFILES!$K:$K,MATCH($X12,TARIFF_PROFILES!$A:$A,0)))</f>
        <v/>
      </c>
      <c r="AF12" s="19" t="n"/>
      <c r="AG12" s="19" t="n"/>
      <c r="AH12" s="19">
        <f>IF($AG12="","",SUMIFS(OPERATING_COEFFS!$C:$C,OPERATING_COEFFS!$A:$A,"DistanceClass",OPERATING_COEFFS!$B:$B,$AG12))</f>
        <v/>
      </c>
      <c r="AI12" s="19" t="n"/>
      <c r="AJ12" s="19">
        <f>IF($AI12="","",SUMIFS(OPERATING_COEFFS!$C:$C,OPERATING_COEFFS!$A:$A,"SeasonClass",OPERATING_COEFFS!$B:$B,$AI12))</f>
        <v/>
      </c>
      <c r="AK12" s="19" t="n"/>
      <c r="AL12" s="19">
        <f>IF($AK12="","",SUMIFS(OPERATING_COEFFS!$C:$C,OPERATING_COEFFS!$A:$A,"UrgencyClass",OPERATING_COEFFS!$B:$B,$AK12))</f>
        <v/>
      </c>
      <c r="AM12" s="19" t="n"/>
      <c r="AN12" s="19">
        <f>IF($AM12="","",INDEX(TAX_MODES!$B:$B,MATCH($AM12,TAX_MODES!$A:$A,0)))</f>
        <v/>
      </c>
      <c r="AO12" s="19" t="n"/>
      <c r="AP12" s="19" t="n"/>
    </row>
    <row r="13">
      <c r="A13" s="21" t="n"/>
      <c r="B13" s="21" t="n"/>
      <c r="C13" s="21" t="n"/>
      <c r="D13" s="32">
        <f>IF($C13="","",SUMIFS(SITE_COEFFS!$C:$C,SITE_COEFFS!$A:$A,"SoilWorkability",SITE_COEFFS!$B:$B,$C13))</f>
        <v/>
      </c>
      <c r="E13" s="21" t="n"/>
      <c r="F13" s="32">
        <f>IF($E13="","",SUMIFS(SITE_COEFFS!$C:$C,SITE_COEFFS!$A:$A,"SoilMoisture",SITE_COEFFS!$B:$B,$E13))</f>
        <v/>
      </c>
      <c r="G13" s="21" t="n"/>
      <c r="H13" s="32">
        <f>IF($G13="","",SUMIFS(SITE_COEFFS!$C:$C,SITE_COEFFS!$A:$A,"DebrisLevel",SITE_COEFFS!$B:$B,$G13))</f>
        <v/>
      </c>
      <c r="I13" s="21" t="n"/>
      <c r="J13" s="32">
        <f>IF($I13="","",SUMIFS(SITE_COEFFS!$C:$C,SITE_COEFFS!$A:$A,"SlopeClass",SITE_COEFFS!$B:$B,$I13))</f>
        <v/>
      </c>
      <c r="K13" s="21" t="n"/>
      <c r="L13" s="32">
        <f>IF($K13="","",SUMIFS(SITE_COEFFS!$C:$C,SITE_COEFFS!$A:$A,"SurfaceUnevenness",SITE_COEFFS!$B:$B,$K13))</f>
        <v/>
      </c>
      <c r="M13" s="21" t="n"/>
      <c r="N13" s="32">
        <f>IF($M13="","",SUMIFS(SITE_COEFFS!$C:$C,SITE_COEFFS!$A:$A,"AccessClass",SITE_COEFFS!$B:$B,$M13))</f>
        <v/>
      </c>
      <c r="O13" s="21" t="n"/>
      <c r="P13" s="32">
        <f>IF($O13="","",SUMIFS(SITE_COEFFS!$C:$C,SITE_COEFFS!$A:$A,"TurnSpace",SITE_COEFFS!$B:$B,$O13))</f>
        <v/>
      </c>
      <c r="Q13" s="21" t="n"/>
      <c r="R13" s="32">
        <f>IF($Q13="","",SUMIFS(SITE_COEFFS!$C:$C,SITE_COEFFS!$A:$A,"ProximityToBuildings",SITE_COEFFS!$B:$B,$Q13))</f>
        <v/>
      </c>
      <c r="S13" s="21" t="n"/>
      <c r="T13" s="32">
        <f>IF($S13="","",SUMIFS(SITE_COEFFS!$C:$C,SITE_COEFFS!$A:$A,"MachineryAllowed",SITE_COEFFS!$B:$B,$S13))</f>
        <v/>
      </c>
      <c r="U13" s="21" t="n"/>
      <c r="V13" s="21" t="n"/>
      <c r="W13" s="32">
        <f>IF($V13="","",SUMIFS(SITE_COEFFS!$C:$C,SITE_COEFFS!$A:$A,"GeometryComplexity",SITE_COEFFS!$B:$B,$V13))</f>
        <v/>
      </c>
      <c r="X13" s="21" t="n"/>
      <c r="Y13" s="21">
        <f>IF($X13="","",SUMIFS(TARIFF_PROFILES!$D:$D,TARIFF_PROFILES!$A:$A,$X13))</f>
        <v/>
      </c>
      <c r="Z13" s="21">
        <f>IF($X13="","",SUMIFS(TARIFF_PROFILES!$E:$E,TARIFF_PROFILES!$A:$A,$X13))</f>
        <v/>
      </c>
      <c r="AA13" s="21">
        <f>IF($X13="","",SUMIFS(TARIFF_PROFILES!$F:$F,TARIFF_PROFILES!$A:$A,$X13))</f>
        <v/>
      </c>
      <c r="AB13" s="21">
        <f>IF($X13="","",SUMIFS(TARIFF_PROFILES!$G:$G,TARIFF_PROFILES!$A:$A,$X13))</f>
        <v/>
      </c>
      <c r="AC13" s="21">
        <f>IF($X13="","",SUMIFS(TARIFF_PROFILES!$H:$H,TARIFF_PROFILES!$A:$A,$X13))</f>
        <v/>
      </c>
      <c r="AD13" s="21">
        <f>IF($X13="","",INDEX(TARIFF_PROFILES!$J:$J,MATCH($X13,TARIFF_PROFILES!$A:$A,0)))</f>
        <v/>
      </c>
      <c r="AE13" s="21">
        <f>IF($X13="","",INDEX(TARIFF_PROFILES!$K:$K,MATCH($X13,TARIFF_PROFILES!$A:$A,0)))</f>
        <v/>
      </c>
      <c r="AF13" s="19" t="n"/>
      <c r="AG13" s="19" t="n"/>
      <c r="AH13" s="19">
        <f>IF($AG13="","",SUMIFS(OPERATING_COEFFS!$C:$C,OPERATING_COEFFS!$A:$A,"DistanceClass",OPERATING_COEFFS!$B:$B,$AG13))</f>
        <v/>
      </c>
      <c r="AI13" s="19" t="n"/>
      <c r="AJ13" s="19">
        <f>IF($AI13="","",SUMIFS(OPERATING_COEFFS!$C:$C,OPERATING_COEFFS!$A:$A,"SeasonClass",OPERATING_COEFFS!$B:$B,$AI13))</f>
        <v/>
      </c>
      <c r="AK13" s="19" t="n"/>
      <c r="AL13" s="19">
        <f>IF($AK13="","",SUMIFS(OPERATING_COEFFS!$C:$C,OPERATING_COEFFS!$A:$A,"UrgencyClass",OPERATING_COEFFS!$B:$B,$AK13))</f>
        <v/>
      </c>
      <c r="AM13" s="19" t="n"/>
      <c r="AN13" s="19">
        <f>IF($AM13="","",INDEX(TAX_MODES!$B:$B,MATCH($AM13,TAX_MODES!$A:$A,0)))</f>
        <v/>
      </c>
      <c r="AO13" s="19" t="n"/>
      <c r="AP13" s="19" t="n"/>
    </row>
    <row r="14">
      <c r="A14" s="21" t="n"/>
      <c r="B14" s="21" t="n"/>
      <c r="C14" s="21" t="n"/>
      <c r="D14" s="32">
        <f>IF($C14="","",SUMIFS(SITE_COEFFS!$C:$C,SITE_COEFFS!$A:$A,"SoilWorkability",SITE_COEFFS!$B:$B,$C14))</f>
        <v/>
      </c>
      <c r="E14" s="21" t="n"/>
      <c r="F14" s="32">
        <f>IF($E14="","",SUMIFS(SITE_COEFFS!$C:$C,SITE_COEFFS!$A:$A,"SoilMoisture",SITE_COEFFS!$B:$B,$E14))</f>
        <v/>
      </c>
      <c r="G14" s="21" t="n"/>
      <c r="H14" s="32">
        <f>IF($G14="","",SUMIFS(SITE_COEFFS!$C:$C,SITE_COEFFS!$A:$A,"DebrisLevel",SITE_COEFFS!$B:$B,$G14))</f>
        <v/>
      </c>
      <c r="I14" s="21" t="n"/>
      <c r="J14" s="32">
        <f>IF($I14="","",SUMIFS(SITE_COEFFS!$C:$C,SITE_COEFFS!$A:$A,"SlopeClass",SITE_COEFFS!$B:$B,$I14))</f>
        <v/>
      </c>
      <c r="K14" s="21" t="n"/>
      <c r="L14" s="32">
        <f>IF($K14="","",SUMIFS(SITE_COEFFS!$C:$C,SITE_COEFFS!$A:$A,"SurfaceUnevenness",SITE_COEFFS!$B:$B,$K14))</f>
        <v/>
      </c>
      <c r="M14" s="21" t="n"/>
      <c r="N14" s="32">
        <f>IF($M14="","",SUMIFS(SITE_COEFFS!$C:$C,SITE_COEFFS!$A:$A,"AccessClass",SITE_COEFFS!$B:$B,$M14))</f>
        <v/>
      </c>
      <c r="O14" s="21" t="n"/>
      <c r="P14" s="32">
        <f>IF($O14="","",SUMIFS(SITE_COEFFS!$C:$C,SITE_COEFFS!$A:$A,"TurnSpace",SITE_COEFFS!$B:$B,$O14))</f>
        <v/>
      </c>
      <c r="Q14" s="21" t="n"/>
      <c r="R14" s="32">
        <f>IF($Q14="","",SUMIFS(SITE_COEFFS!$C:$C,SITE_COEFFS!$A:$A,"ProximityToBuildings",SITE_COEFFS!$B:$B,$Q14))</f>
        <v/>
      </c>
      <c r="S14" s="21" t="n"/>
      <c r="T14" s="32">
        <f>IF($S14="","",SUMIFS(SITE_COEFFS!$C:$C,SITE_COEFFS!$A:$A,"MachineryAllowed",SITE_COEFFS!$B:$B,$S14))</f>
        <v/>
      </c>
      <c r="U14" s="21" t="n"/>
      <c r="V14" s="21" t="n"/>
      <c r="W14" s="32">
        <f>IF($V14="","",SUMIFS(SITE_COEFFS!$C:$C,SITE_COEFFS!$A:$A,"GeometryComplexity",SITE_COEFFS!$B:$B,$V14))</f>
        <v/>
      </c>
      <c r="X14" s="21" t="n"/>
      <c r="Y14" s="21">
        <f>IF($X14="","",SUMIFS(TARIFF_PROFILES!$D:$D,TARIFF_PROFILES!$A:$A,$X14))</f>
        <v/>
      </c>
      <c r="Z14" s="21">
        <f>IF($X14="","",SUMIFS(TARIFF_PROFILES!$E:$E,TARIFF_PROFILES!$A:$A,$X14))</f>
        <v/>
      </c>
      <c r="AA14" s="21">
        <f>IF($X14="","",SUMIFS(TARIFF_PROFILES!$F:$F,TARIFF_PROFILES!$A:$A,$X14))</f>
        <v/>
      </c>
      <c r="AB14" s="21">
        <f>IF($X14="","",SUMIFS(TARIFF_PROFILES!$G:$G,TARIFF_PROFILES!$A:$A,$X14))</f>
        <v/>
      </c>
      <c r="AC14" s="21">
        <f>IF($X14="","",SUMIFS(TARIFF_PROFILES!$H:$H,TARIFF_PROFILES!$A:$A,$X14))</f>
        <v/>
      </c>
      <c r="AD14" s="21">
        <f>IF($X14="","",INDEX(TARIFF_PROFILES!$J:$J,MATCH($X14,TARIFF_PROFILES!$A:$A,0)))</f>
        <v/>
      </c>
      <c r="AE14" s="21">
        <f>IF($X14="","",INDEX(TARIFF_PROFILES!$K:$K,MATCH($X14,TARIFF_PROFILES!$A:$A,0)))</f>
        <v/>
      </c>
      <c r="AF14" s="19" t="n"/>
      <c r="AG14" s="19" t="n"/>
      <c r="AH14" s="19">
        <f>IF($AG14="","",SUMIFS(OPERATING_COEFFS!$C:$C,OPERATING_COEFFS!$A:$A,"DistanceClass",OPERATING_COEFFS!$B:$B,$AG14))</f>
        <v/>
      </c>
      <c r="AI14" s="19" t="n"/>
      <c r="AJ14" s="19">
        <f>IF($AI14="","",SUMIFS(OPERATING_COEFFS!$C:$C,OPERATING_COEFFS!$A:$A,"SeasonClass",OPERATING_COEFFS!$B:$B,$AI14))</f>
        <v/>
      </c>
      <c r="AK14" s="19" t="n"/>
      <c r="AL14" s="19">
        <f>IF($AK14="","",SUMIFS(OPERATING_COEFFS!$C:$C,OPERATING_COEFFS!$A:$A,"UrgencyClass",OPERATING_COEFFS!$B:$B,$AK14))</f>
        <v/>
      </c>
      <c r="AM14" s="19" t="n"/>
      <c r="AN14" s="19">
        <f>IF($AM14="","",INDEX(TAX_MODES!$B:$B,MATCH($AM14,TAX_MODES!$A:$A,0)))</f>
        <v/>
      </c>
      <c r="AO14" s="19" t="n"/>
      <c r="AP14" s="19" t="n"/>
    </row>
    <row r="15">
      <c r="A15" s="21" t="n"/>
      <c r="B15" s="21" t="n"/>
      <c r="C15" s="21" t="n"/>
      <c r="D15" s="32">
        <f>IF($C15="","",SUMIFS(SITE_COEFFS!$C:$C,SITE_COEFFS!$A:$A,"SoilWorkability",SITE_COEFFS!$B:$B,$C15))</f>
        <v/>
      </c>
      <c r="E15" s="21" t="n"/>
      <c r="F15" s="32">
        <f>IF($E15="","",SUMIFS(SITE_COEFFS!$C:$C,SITE_COEFFS!$A:$A,"SoilMoisture",SITE_COEFFS!$B:$B,$E15))</f>
        <v/>
      </c>
      <c r="G15" s="21" t="n"/>
      <c r="H15" s="32">
        <f>IF($G15="","",SUMIFS(SITE_COEFFS!$C:$C,SITE_COEFFS!$A:$A,"DebrisLevel",SITE_COEFFS!$B:$B,$G15))</f>
        <v/>
      </c>
      <c r="I15" s="21" t="n"/>
      <c r="J15" s="32">
        <f>IF($I15="","",SUMIFS(SITE_COEFFS!$C:$C,SITE_COEFFS!$A:$A,"SlopeClass",SITE_COEFFS!$B:$B,$I15))</f>
        <v/>
      </c>
      <c r="K15" s="21" t="n"/>
      <c r="L15" s="32">
        <f>IF($K15="","",SUMIFS(SITE_COEFFS!$C:$C,SITE_COEFFS!$A:$A,"SurfaceUnevenness",SITE_COEFFS!$B:$B,$K15))</f>
        <v/>
      </c>
      <c r="M15" s="21" t="n"/>
      <c r="N15" s="32">
        <f>IF($M15="","",SUMIFS(SITE_COEFFS!$C:$C,SITE_COEFFS!$A:$A,"AccessClass",SITE_COEFFS!$B:$B,$M15))</f>
        <v/>
      </c>
      <c r="O15" s="21" t="n"/>
      <c r="P15" s="32">
        <f>IF($O15="","",SUMIFS(SITE_COEFFS!$C:$C,SITE_COEFFS!$A:$A,"TurnSpace",SITE_COEFFS!$B:$B,$O15))</f>
        <v/>
      </c>
      <c r="Q15" s="21" t="n"/>
      <c r="R15" s="32">
        <f>IF($Q15="","",SUMIFS(SITE_COEFFS!$C:$C,SITE_COEFFS!$A:$A,"ProximityToBuildings",SITE_COEFFS!$B:$B,$Q15))</f>
        <v/>
      </c>
      <c r="S15" s="21" t="n"/>
      <c r="T15" s="32">
        <f>IF($S15="","",SUMIFS(SITE_COEFFS!$C:$C,SITE_COEFFS!$A:$A,"MachineryAllowed",SITE_COEFFS!$B:$B,$S15))</f>
        <v/>
      </c>
      <c r="U15" s="21" t="n"/>
      <c r="V15" s="21" t="n"/>
      <c r="W15" s="32">
        <f>IF($V15="","",SUMIFS(SITE_COEFFS!$C:$C,SITE_COEFFS!$A:$A,"GeometryComplexity",SITE_COEFFS!$B:$B,$V15))</f>
        <v/>
      </c>
      <c r="X15" s="21" t="n"/>
      <c r="Y15" s="21">
        <f>IF($X15="","",SUMIFS(TARIFF_PROFILES!$D:$D,TARIFF_PROFILES!$A:$A,$X15))</f>
        <v/>
      </c>
      <c r="Z15" s="21">
        <f>IF($X15="","",SUMIFS(TARIFF_PROFILES!$E:$E,TARIFF_PROFILES!$A:$A,$X15))</f>
        <v/>
      </c>
      <c r="AA15" s="21">
        <f>IF($X15="","",SUMIFS(TARIFF_PROFILES!$F:$F,TARIFF_PROFILES!$A:$A,$X15))</f>
        <v/>
      </c>
      <c r="AB15" s="21">
        <f>IF($X15="","",SUMIFS(TARIFF_PROFILES!$G:$G,TARIFF_PROFILES!$A:$A,$X15))</f>
        <v/>
      </c>
      <c r="AC15" s="21">
        <f>IF($X15="","",SUMIFS(TARIFF_PROFILES!$H:$H,TARIFF_PROFILES!$A:$A,$X15))</f>
        <v/>
      </c>
      <c r="AD15" s="21">
        <f>IF($X15="","",INDEX(TARIFF_PROFILES!$J:$J,MATCH($X15,TARIFF_PROFILES!$A:$A,0)))</f>
        <v/>
      </c>
      <c r="AE15" s="21">
        <f>IF($X15="","",INDEX(TARIFF_PROFILES!$K:$K,MATCH($X15,TARIFF_PROFILES!$A:$A,0)))</f>
        <v/>
      </c>
      <c r="AF15" s="19" t="n"/>
      <c r="AG15" s="19" t="n"/>
      <c r="AH15" s="19">
        <f>IF($AG15="","",SUMIFS(OPERATING_COEFFS!$C:$C,OPERATING_COEFFS!$A:$A,"DistanceClass",OPERATING_COEFFS!$B:$B,$AG15))</f>
        <v/>
      </c>
      <c r="AI15" s="19" t="n"/>
      <c r="AJ15" s="19">
        <f>IF($AI15="","",SUMIFS(OPERATING_COEFFS!$C:$C,OPERATING_COEFFS!$A:$A,"SeasonClass",OPERATING_COEFFS!$B:$B,$AI15))</f>
        <v/>
      </c>
      <c r="AK15" s="19" t="n"/>
      <c r="AL15" s="19">
        <f>IF($AK15="","",SUMIFS(OPERATING_COEFFS!$C:$C,OPERATING_COEFFS!$A:$A,"UrgencyClass",OPERATING_COEFFS!$B:$B,$AK15))</f>
        <v/>
      </c>
      <c r="AM15" s="19" t="n"/>
      <c r="AN15" s="19">
        <f>IF($AM15="","",INDEX(TAX_MODES!$B:$B,MATCH($AM15,TAX_MODES!$A:$A,0)))</f>
        <v/>
      </c>
      <c r="AO15" s="19" t="n"/>
      <c r="AP15" s="19" t="n"/>
    </row>
    <row r="16">
      <c r="A16" s="21" t="n"/>
      <c r="B16" s="21" t="n"/>
      <c r="C16" s="21" t="n"/>
      <c r="D16" s="32">
        <f>IF($C16="","",SUMIFS(SITE_COEFFS!$C:$C,SITE_COEFFS!$A:$A,"SoilWorkability",SITE_COEFFS!$B:$B,$C16))</f>
        <v/>
      </c>
      <c r="E16" s="21" t="n"/>
      <c r="F16" s="32">
        <f>IF($E16="","",SUMIFS(SITE_COEFFS!$C:$C,SITE_COEFFS!$A:$A,"SoilMoisture",SITE_COEFFS!$B:$B,$E16))</f>
        <v/>
      </c>
      <c r="G16" s="21" t="n"/>
      <c r="H16" s="32">
        <f>IF($G16="","",SUMIFS(SITE_COEFFS!$C:$C,SITE_COEFFS!$A:$A,"DebrisLevel",SITE_COEFFS!$B:$B,$G16))</f>
        <v/>
      </c>
      <c r="I16" s="21" t="n"/>
      <c r="J16" s="32">
        <f>IF($I16="","",SUMIFS(SITE_COEFFS!$C:$C,SITE_COEFFS!$A:$A,"SlopeClass",SITE_COEFFS!$B:$B,$I16))</f>
        <v/>
      </c>
      <c r="K16" s="21" t="n"/>
      <c r="L16" s="32">
        <f>IF($K16="","",SUMIFS(SITE_COEFFS!$C:$C,SITE_COEFFS!$A:$A,"SurfaceUnevenness",SITE_COEFFS!$B:$B,$K16))</f>
        <v/>
      </c>
      <c r="M16" s="21" t="n"/>
      <c r="N16" s="32">
        <f>IF($M16="","",SUMIFS(SITE_COEFFS!$C:$C,SITE_COEFFS!$A:$A,"AccessClass",SITE_COEFFS!$B:$B,$M16))</f>
        <v/>
      </c>
      <c r="O16" s="21" t="n"/>
      <c r="P16" s="32">
        <f>IF($O16="","",SUMIFS(SITE_COEFFS!$C:$C,SITE_COEFFS!$A:$A,"TurnSpace",SITE_COEFFS!$B:$B,$O16))</f>
        <v/>
      </c>
      <c r="Q16" s="21" t="n"/>
      <c r="R16" s="32">
        <f>IF($Q16="","",SUMIFS(SITE_COEFFS!$C:$C,SITE_COEFFS!$A:$A,"ProximityToBuildings",SITE_COEFFS!$B:$B,$Q16))</f>
        <v/>
      </c>
      <c r="S16" s="21" t="n"/>
      <c r="T16" s="32">
        <f>IF($S16="","",SUMIFS(SITE_COEFFS!$C:$C,SITE_COEFFS!$A:$A,"MachineryAllowed",SITE_COEFFS!$B:$B,$S16))</f>
        <v/>
      </c>
      <c r="U16" s="21" t="n"/>
      <c r="V16" s="21" t="n"/>
      <c r="W16" s="32">
        <f>IF($V16="","",SUMIFS(SITE_COEFFS!$C:$C,SITE_COEFFS!$A:$A,"GeometryComplexity",SITE_COEFFS!$B:$B,$V16))</f>
        <v/>
      </c>
      <c r="X16" s="21" t="n"/>
      <c r="Y16" s="21">
        <f>IF($X16="","",SUMIFS(TARIFF_PROFILES!$D:$D,TARIFF_PROFILES!$A:$A,$X16))</f>
        <v/>
      </c>
      <c r="Z16" s="21">
        <f>IF($X16="","",SUMIFS(TARIFF_PROFILES!$E:$E,TARIFF_PROFILES!$A:$A,$X16))</f>
        <v/>
      </c>
      <c r="AA16" s="21">
        <f>IF($X16="","",SUMIFS(TARIFF_PROFILES!$F:$F,TARIFF_PROFILES!$A:$A,$X16))</f>
        <v/>
      </c>
      <c r="AB16" s="21">
        <f>IF($X16="","",SUMIFS(TARIFF_PROFILES!$G:$G,TARIFF_PROFILES!$A:$A,$X16))</f>
        <v/>
      </c>
      <c r="AC16" s="21">
        <f>IF($X16="","",SUMIFS(TARIFF_PROFILES!$H:$H,TARIFF_PROFILES!$A:$A,$X16))</f>
        <v/>
      </c>
      <c r="AD16" s="21">
        <f>IF($X16="","",INDEX(TARIFF_PROFILES!$J:$J,MATCH($X16,TARIFF_PROFILES!$A:$A,0)))</f>
        <v/>
      </c>
      <c r="AE16" s="21">
        <f>IF($X16="","",INDEX(TARIFF_PROFILES!$K:$K,MATCH($X16,TARIFF_PROFILES!$A:$A,0)))</f>
        <v/>
      </c>
      <c r="AF16" s="19" t="n"/>
      <c r="AG16" s="19" t="n"/>
      <c r="AH16" s="19">
        <f>IF($AG16="","",SUMIFS(OPERATING_COEFFS!$C:$C,OPERATING_COEFFS!$A:$A,"DistanceClass",OPERATING_COEFFS!$B:$B,$AG16))</f>
        <v/>
      </c>
      <c r="AI16" s="19" t="n"/>
      <c r="AJ16" s="19">
        <f>IF($AI16="","",SUMIFS(OPERATING_COEFFS!$C:$C,OPERATING_COEFFS!$A:$A,"SeasonClass",OPERATING_COEFFS!$B:$B,$AI16))</f>
        <v/>
      </c>
      <c r="AK16" s="19" t="n"/>
      <c r="AL16" s="19">
        <f>IF($AK16="","",SUMIFS(OPERATING_COEFFS!$C:$C,OPERATING_COEFFS!$A:$A,"UrgencyClass",OPERATING_COEFFS!$B:$B,$AK16))</f>
        <v/>
      </c>
      <c r="AM16" s="19" t="n"/>
      <c r="AN16" s="19">
        <f>IF($AM16="","",INDEX(TAX_MODES!$B:$B,MATCH($AM16,TAX_MODES!$A:$A,0)))</f>
        <v/>
      </c>
      <c r="AO16" s="19" t="n"/>
      <c r="AP16" s="19" t="n"/>
    </row>
    <row r="17">
      <c r="A17" s="21" t="n"/>
      <c r="B17" s="21" t="n"/>
      <c r="C17" s="21" t="n"/>
      <c r="D17" s="32">
        <f>IF($C17="","",SUMIFS(SITE_COEFFS!$C:$C,SITE_COEFFS!$A:$A,"SoilWorkability",SITE_COEFFS!$B:$B,$C17))</f>
        <v/>
      </c>
      <c r="E17" s="21" t="n"/>
      <c r="F17" s="32">
        <f>IF($E17="","",SUMIFS(SITE_COEFFS!$C:$C,SITE_COEFFS!$A:$A,"SoilMoisture",SITE_COEFFS!$B:$B,$E17))</f>
        <v/>
      </c>
      <c r="G17" s="21" t="n"/>
      <c r="H17" s="32">
        <f>IF($G17="","",SUMIFS(SITE_COEFFS!$C:$C,SITE_COEFFS!$A:$A,"DebrisLevel",SITE_COEFFS!$B:$B,$G17))</f>
        <v/>
      </c>
      <c r="I17" s="21" t="n"/>
      <c r="J17" s="32">
        <f>IF($I17="","",SUMIFS(SITE_COEFFS!$C:$C,SITE_COEFFS!$A:$A,"SlopeClass",SITE_COEFFS!$B:$B,$I17))</f>
        <v/>
      </c>
      <c r="K17" s="21" t="n"/>
      <c r="L17" s="32">
        <f>IF($K17="","",SUMIFS(SITE_COEFFS!$C:$C,SITE_COEFFS!$A:$A,"SurfaceUnevenness",SITE_COEFFS!$B:$B,$K17))</f>
        <v/>
      </c>
      <c r="M17" s="21" t="n"/>
      <c r="N17" s="32">
        <f>IF($M17="","",SUMIFS(SITE_COEFFS!$C:$C,SITE_COEFFS!$A:$A,"AccessClass",SITE_COEFFS!$B:$B,$M17))</f>
        <v/>
      </c>
      <c r="O17" s="21" t="n"/>
      <c r="P17" s="32">
        <f>IF($O17="","",SUMIFS(SITE_COEFFS!$C:$C,SITE_COEFFS!$A:$A,"TurnSpace",SITE_COEFFS!$B:$B,$O17))</f>
        <v/>
      </c>
      <c r="Q17" s="21" t="n"/>
      <c r="R17" s="32">
        <f>IF($Q17="","",SUMIFS(SITE_COEFFS!$C:$C,SITE_COEFFS!$A:$A,"ProximityToBuildings",SITE_COEFFS!$B:$B,$Q17))</f>
        <v/>
      </c>
      <c r="S17" s="21" t="n"/>
      <c r="T17" s="32">
        <f>IF($S17="","",SUMIFS(SITE_COEFFS!$C:$C,SITE_COEFFS!$A:$A,"MachineryAllowed",SITE_COEFFS!$B:$B,$S17))</f>
        <v/>
      </c>
      <c r="U17" s="21" t="n"/>
      <c r="V17" s="21" t="n"/>
      <c r="W17" s="32">
        <f>IF($V17="","",SUMIFS(SITE_COEFFS!$C:$C,SITE_COEFFS!$A:$A,"GeometryComplexity",SITE_COEFFS!$B:$B,$V17))</f>
        <v/>
      </c>
      <c r="X17" s="21" t="n"/>
      <c r="Y17" s="21">
        <f>IF($X17="","",SUMIFS(TARIFF_PROFILES!$D:$D,TARIFF_PROFILES!$A:$A,$X17))</f>
        <v/>
      </c>
      <c r="Z17" s="21">
        <f>IF($X17="","",SUMIFS(TARIFF_PROFILES!$E:$E,TARIFF_PROFILES!$A:$A,$X17))</f>
        <v/>
      </c>
      <c r="AA17" s="21">
        <f>IF($X17="","",SUMIFS(TARIFF_PROFILES!$F:$F,TARIFF_PROFILES!$A:$A,$X17))</f>
        <v/>
      </c>
      <c r="AB17" s="21">
        <f>IF($X17="","",SUMIFS(TARIFF_PROFILES!$G:$G,TARIFF_PROFILES!$A:$A,$X17))</f>
        <v/>
      </c>
      <c r="AC17" s="21">
        <f>IF($X17="","",SUMIFS(TARIFF_PROFILES!$H:$H,TARIFF_PROFILES!$A:$A,$X17))</f>
        <v/>
      </c>
      <c r="AD17" s="21">
        <f>IF($X17="","",INDEX(TARIFF_PROFILES!$J:$J,MATCH($X17,TARIFF_PROFILES!$A:$A,0)))</f>
        <v/>
      </c>
      <c r="AE17" s="21">
        <f>IF($X17="","",INDEX(TARIFF_PROFILES!$K:$K,MATCH($X17,TARIFF_PROFILES!$A:$A,0)))</f>
        <v/>
      </c>
      <c r="AF17" s="19" t="n"/>
      <c r="AG17" s="19" t="n"/>
      <c r="AH17" s="19">
        <f>IF($AG17="","",SUMIFS(OPERATING_COEFFS!$C:$C,OPERATING_COEFFS!$A:$A,"DistanceClass",OPERATING_COEFFS!$B:$B,$AG17))</f>
        <v/>
      </c>
      <c r="AI17" s="19" t="n"/>
      <c r="AJ17" s="19">
        <f>IF($AI17="","",SUMIFS(OPERATING_COEFFS!$C:$C,OPERATING_COEFFS!$A:$A,"SeasonClass",OPERATING_COEFFS!$B:$B,$AI17))</f>
        <v/>
      </c>
      <c r="AK17" s="19" t="n"/>
      <c r="AL17" s="19">
        <f>IF($AK17="","",SUMIFS(OPERATING_COEFFS!$C:$C,OPERATING_COEFFS!$A:$A,"UrgencyClass",OPERATING_COEFFS!$B:$B,$AK17))</f>
        <v/>
      </c>
      <c r="AM17" s="19" t="n"/>
      <c r="AN17" s="19">
        <f>IF($AM17="","",INDEX(TAX_MODES!$B:$B,MATCH($AM17,TAX_MODES!$A:$A,0)))</f>
        <v/>
      </c>
      <c r="AO17" s="19" t="n"/>
      <c r="AP17" s="19" t="n"/>
    </row>
    <row r="18">
      <c r="A18" s="21" t="n"/>
      <c r="B18" s="21" t="n"/>
      <c r="C18" s="21" t="n"/>
      <c r="D18" s="32">
        <f>IF($C18="","",SUMIFS(SITE_COEFFS!$C:$C,SITE_COEFFS!$A:$A,"SoilWorkability",SITE_COEFFS!$B:$B,$C18))</f>
        <v/>
      </c>
      <c r="E18" s="21" t="n"/>
      <c r="F18" s="32">
        <f>IF($E18="","",SUMIFS(SITE_COEFFS!$C:$C,SITE_COEFFS!$A:$A,"SoilMoisture",SITE_COEFFS!$B:$B,$E18))</f>
        <v/>
      </c>
      <c r="G18" s="21" t="n"/>
      <c r="H18" s="32">
        <f>IF($G18="","",SUMIFS(SITE_COEFFS!$C:$C,SITE_COEFFS!$A:$A,"DebrisLevel",SITE_COEFFS!$B:$B,$G18))</f>
        <v/>
      </c>
      <c r="I18" s="21" t="n"/>
      <c r="J18" s="32">
        <f>IF($I18="","",SUMIFS(SITE_COEFFS!$C:$C,SITE_COEFFS!$A:$A,"SlopeClass",SITE_COEFFS!$B:$B,$I18))</f>
        <v/>
      </c>
      <c r="K18" s="21" t="n"/>
      <c r="L18" s="32">
        <f>IF($K18="","",SUMIFS(SITE_COEFFS!$C:$C,SITE_COEFFS!$A:$A,"SurfaceUnevenness",SITE_COEFFS!$B:$B,$K18))</f>
        <v/>
      </c>
      <c r="M18" s="21" t="n"/>
      <c r="N18" s="32">
        <f>IF($M18="","",SUMIFS(SITE_COEFFS!$C:$C,SITE_COEFFS!$A:$A,"AccessClass",SITE_COEFFS!$B:$B,$M18))</f>
        <v/>
      </c>
      <c r="O18" s="21" t="n"/>
      <c r="P18" s="32">
        <f>IF($O18="","",SUMIFS(SITE_COEFFS!$C:$C,SITE_COEFFS!$A:$A,"TurnSpace",SITE_COEFFS!$B:$B,$O18))</f>
        <v/>
      </c>
      <c r="Q18" s="21" t="n"/>
      <c r="R18" s="32">
        <f>IF($Q18="","",SUMIFS(SITE_COEFFS!$C:$C,SITE_COEFFS!$A:$A,"ProximityToBuildings",SITE_COEFFS!$B:$B,$Q18))</f>
        <v/>
      </c>
      <c r="S18" s="21" t="n"/>
      <c r="T18" s="32">
        <f>IF($S18="","",SUMIFS(SITE_COEFFS!$C:$C,SITE_COEFFS!$A:$A,"MachineryAllowed",SITE_COEFFS!$B:$B,$S18))</f>
        <v/>
      </c>
      <c r="U18" s="21" t="n"/>
      <c r="V18" s="21" t="n"/>
      <c r="W18" s="32">
        <f>IF($V18="","",SUMIFS(SITE_COEFFS!$C:$C,SITE_COEFFS!$A:$A,"GeometryComplexity",SITE_COEFFS!$B:$B,$V18))</f>
        <v/>
      </c>
      <c r="X18" s="21" t="n"/>
      <c r="Y18" s="21">
        <f>IF($X18="","",SUMIFS(TARIFF_PROFILES!$D:$D,TARIFF_PROFILES!$A:$A,$X18))</f>
        <v/>
      </c>
      <c r="Z18" s="21">
        <f>IF($X18="","",SUMIFS(TARIFF_PROFILES!$E:$E,TARIFF_PROFILES!$A:$A,$X18))</f>
        <v/>
      </c>
      <c r="AA18" s="21">
        <f>IF($X18="","",SUMIFS(TARIFF_PROFILES!$F:$F,TARIFF_PROFILES!$A:$A,$X18))</f>
        <v/>
      </c>
      <c r="AB18" s="21">
        <f>IF($X18="","",SUMIFS(TARIFF_PROFILES!$G:$G,TARIFF_PROFILES!$A:$A,$X18))</f>
        <v/>
      </c>
      <c r="AC18" s="21">
        <f>IF($X18="","",SUMIFS(TARIFF_PROFILES!$H:$H,TARIFF_PROFILES!$A:$A,$X18))</f>
        <v/>
      </c>
      <c r="AD18" s="21">
        <f>IF($X18="","",INDEX(TARIFF_PROFILES!$J:$J,MATCH($X18,TARIFF_PROFILES!$A:$A,0)))</f>
        <v/>
      </c>
      <c r="AE18" s="21">
        <f>IF($X18="","",INDEX(TARIFF_PROFILES!$K:$K,MATCH($X18,TARIFF_PROFILES!$A:$A,0)))</f>
        <v/>
      </c>
      <c r="AF18" s="19" t="n"/>
      <c r="AG18" s="19" t="n"/>
      <c r="AH18" s="19">
        <f>IF($AG18="","",SUMIFS(OPERATING_COEFFS!$C:$C,OPERATING_COEFFS!$A:$A,"DistanceClass",OPERATING_COEFFS!$B:$B,$AG18))</f>
        <v/>
      </c>
      <c r="AI18" s="19" t="n"/>
      <c r="AJ18" s="19">
        <f>IF($AI18="","",SUMIFS(OPERATING_COEFFS!$C:$C,OPERATING_COEFFS!$A:$A,"SeasonClass",OPERATING_COEFFS!$B:$B,$AI18))</f>
        <v/>
      </c>
      <c r="AK18" s="19" t="n"/>
      <c r="AL18" s="19">
        <f>IF($AK18="","",SUMIFS(OPERATING_COEFFS!$C:$C,OPERATING_COEFFS!$A:$A,"UrgencyClass",OPERATING_COEFFS!$B:$B,$AK18))</f>
        <v/>
      </c>
      <c r="AM18" s="19" t="n"/>
      <c r="AN18" s="19">
        <f>IF($AM18="","",INDEX(TAX_MODES!$B:$B,MATCH($AM18,TAX_MODES!$A:$A,0)))</f>
        <v/>
      </c>
      <c r="AO18" s="19" t="n"/>
      <c r="AP18" s="19" t="n"/>
    </row>
    <row r="19">
      <c r="A19" s="21" t="n"/>
      <c r="B19" s="21" t="n"/>
      <c r="C19" s="21" t="n"/>
      <c r="D19" s="32">
        <f>IF($C19="","",SUMIFS(SITE_COEFFS!$C:$C,SITE_COEFFS!$A:$A,"SoilWorkability",SITE_COEFFS!$B:$B,$C19))</f>
        <v/>
      </c>
      <c r="E19" s="21" t="n"/>
      <c r="F19" s="32">
        <f>IF($E19="","",SUMIFS(SITE_COEFFS!$C:$C,SITE_COEFFS!$A:$A,"SoilMoisture",SITE_COEFFS!$B:$B,$E19))</f>
        <v/>
      </c>
      <c r="G19" s="21" t="n"/>
      <c r="H19" s="32">
        <f>IF($G19="","",SUMIFS(SITE_COEFFS!$C:$C,SITE_COEFFS!$A:$A,"DebrisLevel",SITE_COEFFS!$B:$B,$G19))</f>
        <v/>
      </c>
      <c r="I19" s="21" t="n"/>
      <c r="J19" s="32">
        <f>IF($I19="","",SUMIFS(SITE_COEFFS!$C:$C,SITE_COEFFS!$A:$A,"SlopeClass",SITE_COEFFS!$B:$B,$I19))</f>
        <v/>
      </c>
      <c r="K19" s="21" t="n"/>
      <c r="L19" s="32">
        <f>IF($K19="","",SUMIFS(SITE_COEFFS!$C:$C,SITE_COEFFS!$A:$A,"SurfaceUnevenness",SITE_COEFFS!$B:$B,$K19))</f>
        <v/>
      </c>
      <c r="M19" s="21" t="n"/>
      <c r="N19" s="32">
        <f>IF($M19="","",SUMIFS(SITE_COEFFS!$C:$C,SITE_COEFFS!$A:$A,"AccessClass",SITE_COEFFS!$B:$B,$M19))</f>
        <v/>
      </c>
      <c r="O19" s="21" t="n"/>
      <c r="P19" s="32">
        <f>IF($O19="","",SUMIFS(SITE_COEFFS!$C:$C,SITE_COEFFS!$A:$A,"TurnSpace",SITE_COEFFS!$B:$B,$O19))</f>
        <v/>
      </c>
      <c r="Q19" s="21" t="n"/>
      <c r="R19" s="32">
        <f>IF($Q19="","",SUMIFS(SITE_COEFFS!$C:$C,SITE_COEFFS!$A:$A,"ProximityToBuildings",SITE_COEFFS!$B:$B,$Q19))</f>
        <v/>
      </c>
      <c r="S19" s="21" t="n"/>
      <c r="T19" s="32">
        <f>IF($S19="","",SUMIFS(SITE_COEFFS!$C:$C,SITE_COEFFS!$A:$A,"MachineryAllowed",SITE_COEFFS!$B:$B,$S19))</f>
        <v/>
      </c>
      <c r="U19" s="21" t="n"/>
      <c r="V19" s="21" t="n"/>
      <c r="W19" s="32">
        <f>IF($V19="","",SUMIFS(SITE_COEFFS!$C:$C,SITE_COEFFS!$A:$A,"GeometryComplexity",SITE_COEFFS!$B:$B,$V19))</f>
        <v/>
      </c>
      <c r="X19" s="21" t="n"/>
      <c r="Y19" s="21">
        <f>IF($X19="","",SUMIFS(TARIFF_PROFILES!$D:$D,TARIFF_PROFILES!$A:$A,$X19))</f>
        <v/>
      </c>
      <c r="Z19" s="21">
        <f>IF($X19="","",SUMIFS(TARIFF_PROFILES!$E:$E,TARIFF_PROFILES!$A:$A,$X19))</f>
        <v/>
      </c>
      <c r="AA19" s="21">
        <f>IF($X19="","",SUMIFS(TARIFF_PROFILES!$F:$F,TARIFF_PROFILES!$A:$A,$X19))</f>
        <v/>
      </c>
      <c r="AB19" s="21">
        <f>IF($X19="","",SUMIFS(TARIFF_PROFILES!$G:$G,TARIFF_PROFILES!$A:$A,$X19))</f>
        <v/>
      </c>
      <c r="AC19" s="21">
        <f>IF($X19="","",SUMIFS(TARIFF_PROFILES!$H:$H,TARIFF_PROFILES!$A:$A,$X19))</f>
        <v/>
      </c>
      <c r="AD19" s="21">
        <f>IF($X19="","",INDEX(TARIFF_PROFILES!$J:$J,MATCH($X19,TARIFF_PROFILES!$A:$A,0)))</f>
        <v/>
      </c>
      <c r="AE19" s="21">
        <f>IF($X19="","",INDEX(TARIFF_PROFILES!$K:$K,MATCH($X19,TARIFF_PROFILES!$A:$A,0)))</f>
        <v/>
      </c>
      <c r="AF19" s="19" t="n"/>
      <c r="AG19" s="19" t="n"/>
      <c r="AH19" s="19">
        <f>IF($AG19="","",SUMIFS(OPERATING_COEFFS!$C:$C,OPERATING_COEFFS!$A:$A,"DistanceClass",OPERATING_COEFFS!$B:$B,$AG19))</f>
        <v/>
      </c>
      <c r="AI19" s="19" t="n"/>
      <c r="AJ19" s="19">
        <f>IF($AI19="","",SUMIFS(OPERATING_COEFFS!$C:$C,OPERATING_COEFFS!$A:$A,"SeasonClass",OPERATING_COEFFS!$B:$B,$AI19))</f>
        <v/>
      </c>
      <c r="AK19" s="19" t="n"/>
      <c r="AL19" s="19">
        <f>IF($AK19="","",SUMIFS(OPERATING_COEFFS!$C:$C,OPERATING_COEFFS!$A:$A,"UrgencyClass",OPERATING_COEFFS!$B:$B,$AK19))</f>
        <v/>
      </c>
      <c r="AM19" s="19" t="n"/>
      <c r="AN19" s="19">
        <f>IF($AM19="","",INDEX(TAX_MODES!$B:$B,MATCH($AM19,TAX_MODES!$A:$A,0)))</f>
        <v/>
      </c>
      <c r="AO19" s="19" t="n"/>
      <c r="AP19" s="19" t="n"/>
    </row>
    <row r="20">
      <c r="A20" s="21" t="n"/>
      <c r="B20" s="21" t="n"/>
      <c r="C20" s="21" t="n"/>
      <c r="D20" s="32">
        <f>IF($C20="","",SUMIFS(SITE_COEFFS!$C:$C,SITE_COEFFS!$A:$A,"SoilWorkability",SITE_COEFFS!$B:$B,$C20))</f>
        <v/>
      </c>
      <c r="E20" s="21" t="n"/>
      <c r="F20" s="32">
        <f>IF($E20="","",SUMIFS(SITE_COEFFS!$C:$C,SITE_COEFFS!$A:$A,"SoilMoisture",SITE_COEFFS!$B:$B,$E20))</f>
        <v/>
      </c>
      <c r="G20" s="21" t="n"/>
      <c r="H20" s="32">
        <f>IF($G20="","",SUMIFS(SITE_COEFFS!$C:$C,SITE_COEFFS!$A:$A,"DebrisLevel",SITE_COEFFS!$B:$B,$G20))</f>
        <v/>
      </c>
      <c r="I20" s="21" t="n"/>
      <c r="J20" s="32">
        <f>IF($I20="","",SUMIFS(SITE_COEFFS!$C:$C,SITE_COEFFS!$A:$A,"SlopeClass",SITE_COEFFS!$B:$B,$I20))</f>
        <v/>
      </c>
      <c r="K20" s="21" t="n"/>
      <c r="L20" s="32">
        <f>IF($K20="","",SUMIFS(SITE_COEFFS!$C:$C,SITE_COEFFS!$A:$A,"SurfaceUnevenness",SITE_COEFFS!$B:$B,$K20))</f>
        <v/>
      </c>
      <c r="M20" s="21" t="n"/>
      <c r="N20" s="32">
        <f>IF($M20="","",SUMIFS(SITE_COEFFS!$C:$C,SITE_COEFFS!$A:$A,"AccessClass",SITE_COEFFS!$B:$B,$M20))</f>
        <v/>
      </c>
      <c r="O20" s="21" t="n"/>
      <c r="P20" s="32">
        <f>IF($O20="","",SUMIFS(SITE_COEFFS!$C:$C,SITE_COEFFS!$A:$A,"TurnSpace",SITE_COEFFS!$B:$B,$O20))</f>
        <v/>
      </c>
      <c r="Q20" s="21" t="n"/>
      <c r="R20" s="32">
        <f>IF($Q20="","",SUMIFS(SITE_COEFFS!$C:$C,SITE_COEFFS!$A:$A,"ProximityToBuildings",SITE_COEFFS!$B:$B,$Q20))</f>
        <v/>
      </c>
      <c r="S20" s="21" t="n"/>
      <c r="T20" s="32">
        <f>IF($S20="","",SUMIFS(SITE_COEFFS!$C:$C,SITE_COEFFS!$A:$A,"MachineryAllowed",SITE_COEFFS!$B:$B,$S20))</f>
        <v/>
      </c>
      <c r="U20" s="21" t="n"/>
      <c r="V20" s="21" t="n"/>
      <c r="W20" s="32">
        <f>IF($V20="","",SUMIFS(SITE_COEFFS!$C:$C,SITE_COEFFS!$A:$A,"GeometryComplexity",SITE_COEFFS!$B:$B,$V20))</f>
        <v/>
      </c>
      <c r="X20" s="21" t="n"/>
      <c r="Y20" s="21">
        <f>IF($X20="","",SUMIFS(TARIFF_PROFILES!$D:$D,TARIFF_PROFILES!$A:$A,$X20))</f>
        <v/>
      </c>
      <c r="Z20" s="21">
        <f>IF($X20="","",SUMIFS(TARIFF_PROFILES!$E:$E,TARIFF_PROFILES!$A:$A,$X20))</f>
        <v/>
      </c>
      <c r="AA20" s="21">
        <f>IF($X20="","",SUMIFS(TARIFF_PROFILES!$F:$F,TARIFF_PROFILES!$A:$A,$X20))</f>
        <v/>
      </c>
      <c r="AB20" s="21">
        <f>IF($X20="","",SUMIFS(TARIFF_PROFILES!$G:$G,TARIFF_PROFILES!$A:$A,$X20))</f>
        <v/>
      </c>
      <c r="AC20" s="21">
        <f>IF($X20="","",SUMIFS(TARIFF_PROFILES!$H:$H,TARIFF_PROFILES!$A:$A,$X20))</f>
        <v/>
      </c>
      <c r="AD20" s="21">
        <f>IF($X20="","",INDEX(TARIFF_PROFILES!$J:$J,MATCH($X20,TARIFF_PROFILES!$A:$A,0)))</f>
        <v/>
      </c>
      <c r="AE20" s="21">
        <f>IF($X20="","",INDEX(TARIFF_PROFILES!$K:$K,MATCH($X20,TARIFF_PROFILES!$A:$A,0)))</f>
        <v/>
      </c>
      <c r="AF20" s="19" t="n"/>
      <c r="AG20" s="19" t="n"/>
      <c r="AH20" s="19">
        <f>IF($AG20="","",SUMIFS(OPERATING_COEFFS!$C:$C,OPERATING_COEFFS!$A:$A,"DistanceClass",OPERATING_COEFFS!$B:$B,$AG20))</f>
        <v/>
      </c>
      <c r="AI20" s="19" t="n"/>
      <c r="AJ20" s="19">
        <f>IF($AI20="","",SUMIFS(OPERATING_COEFFS!$C:$C,OPERATING_COEFFS!$A:$A,"SeasonClass",OPERATING_COEFFS!$B:$B,$AI20))</f>
        <v/>
      </c>
      <c r="AK20" s="19" t="n"/>
      <c r="AL20" s="19">
        <f>IF($AK20="","",SUMIFS(OPERATING_COEFFS!$C:$C,OPERATING_COEFFS!$A:$A,"UrgencyClass",OPERATING_COEFFS!$B:$B,$AK20))</f>
        <v/>
      </c>
      <c r="AM20" s="19" t="n"/>
      <c r="AN20" s="19">
        <f>IF($AM20="","",INDEX(TAX_MODES!$B:$B,MATCH($AM20,TAX_MODES!$A:$A,0)))</f>
        <v/>
      </c>
      <c r="AO20" s="19" t="n"/>
      <c r="AP20" s="19" t="n"/>
    </row>
    <row r="21">
      <c r="A21" s="21" t="n"/>
      <c r="B21" s="21" t="n"/>
      <c r="C21" s="21" t="n"/>
      <c r="D21" s="32">
        <f>IF($C21="","",SUMIFS(SITE_COEFFS!$C:$C,SITE_COEFFS!$A:$A,"SoilWorkability",SITE_COEFFS!$B:$B,$C21))</f>
        <v/>
      </c>
      <c r="E21" s="21" t="n"/>
      <c r="F21" s="32">
        <f>IF($E21="","",SUMIFS(SITE_COEFFS!$C:$C,SITE_COEFFS!$A:$A,"SoilMoisture",SITE_COEFFS!$B:$B,$E21))</f>
        <v/>
      </c>
      <c r="G21" s="21" t="n"/>
      <c r="H21" s="32">
        <f>IF($G21="","",SUMIFS(SITE_COEFFS!$C:$C,SITE_COEFFS!$A:$A,"DebrisLevel",SITE_COEFFS!$B:$B,$G21))</f>
        <v/>
      </c>
      <c r="I21" s="21" t="n"/>
      <c r="J21" s="32">
        <f>IF($I21="","",SUMIFS(SITE_COEFFS!$C:$C,SITE_COEFFS!$A:$A,"SlopeClass",SITE_COEFFS!$B:$B,$I21))</f>
        <v/>
      </c>
      <c r="K21" s="21" t="n"/>
      <c r="L21" s="32">
        <f>IF($K21="","",SUMIFS(SITE_COEFFS!$C:$C,SITE_COEFFS!$A:$A,"SurfaceUnevenness",SITE_COEFFS!$B:$B,$K21))</f>
        <v/>
      </c>
      <c r="M21" s="21" t="n"/>
      <c r="N21" s="32">
        <f>IF($M21="","",SUMIFS(SITE_COEFFS!$C:$C,SITE_COEFFS!$A:$A,"AccessClass",SITE_COEFFS!$B:$B,$M21))</f>
        <v/>
      </c>
      <c r="O21" s="21" t="n"/>
      <c r="P21" s="32">
        <f>IF($O21="","",SUMIFS(SITE_COEFFS!$C:$C,SITE_COEFFS!$A:$A,"TurnSpace",SITE_COEFFS!$B:$B,$O21))</f>
        <v/>
      </c>
      <c r="Q21" s="21" t="n"/>
      <c r="R21" s="32">
        <f>IF($Q21="","",SUMIFS(SITE_COEFFS!$C:$C,SITE_COEFFS!$A:$A,"ProximityToBuildings",SITE_COEFFS!$B:$B,$Q21))</f>
        <v/>
      </c>
      <c r="S21" s="21" t="n"/>
      <c r="T21" s="32">
        <f>IF($S21="","",SUMIFS(SITE_COEFFS!$C:$C,SITE_COEFFS!$A:$A,"MachineryAllowed",SITE_COEFFS!$B:$B,$S21))</f>
        <v/>
      </c>
      <c r="U21" s="21" t="n"/>
      <c r="V21" s="21" t="n"/>
      <c r="W21" s="32">
        <f>IF($V21="","",SUMIFS(SITE_COEFFS!$C:$C,SITE_COEFFS!$A:$A,"GeometryComplexity",SITE_COEFFS!$B:$B,$V21))</f>
        <v/>
      </c>
      <c r="X21" s="21" t="n"/>
      <c r="Y21" s="21">
        <f>IF($X21="","",SUMIFS(TARIFF_PROFILES!$D:$D,TARIFF_PROFILES!$A:$A,$X21))</f>
        <v/>
      </c>
      <c r="Z21" s="21">
        <f>IF($X21="","",SUMIFS(TARIFF_PROFILES!$E:$E,TARIFF_PROFILES!$A:$A,$X21))</f>
        <v/>
      </c>
      <c r="AA21" s="21">
        <f>IF($X21="","",SUMIFS(TARIFF_PROFILES!$F:$F,TARIFF_PROFILES!$A:$A,$X21))</f>
        <v/>
      </c>
      <c r="AB21" s="21">
        <f>IF($X21="","",SUMIFS(TARIFF_PROFILES!$G:$G,TARIFF_PROFILES!$A:$A,$X21))</f>
        <v/>
      </c>
      <c r="AC21" s="21">
        <f>IF($X21="","",SUMIFS(TARIFF_PROFILES!$H:$H,TARIFF_PROFILES!$A:$A,$X21))</f>
        <v/>
      </c>
      <c r="AD21" s="21">
        <f>IF($X21="","",INDEX(TARIFF_PROFILES!$J:$J,MATCH($X21,TARIFF_PROFILES!$A:$A,0)))</f>
        <v/>
      </c>
      <c r="AE21" s="21">
        <f>IF($X21="","",INDEX(TARIFF_PROFILES!$K:$K,MATCH($X21,TARIFF_PROFILES!$A:$A,0)))</f>
        <v/>
      </c>
      <c r="AF21" s="19" t="n"/>
      <c r="AG21" s="19" t="n"/>
      <c r="AH21" s="19">
        <f>IF($AG21="","",SUMIFS(OPERATING_COEFFS!$C:$C,OPERATING_COEFFS!$A:$A,"DistanceClass",OPERATING_COEFFS!$B:$B,$AG21))</f>
        <v/>
      </c>
      <c r="AI21" s="19" t="n"/>
      <c r="AJ21" s="19">
        <f>IF($AI21="","",SUMIFS(OPERATING_COEFFS!$C:$C,OPERATING_COEFFS!$A:$A,"SeasonClass",OPERATING_COEFFS!$B:$B,$AI21))</f>
        <v/>
      </c>
      <c r="AK21" s="19" t="n"/>
      <c r="AL21" s="19">
        <f>IF($AK21="","",SUMIFS(OPERATING_COEFFS!$C:$C,OPERATING_COEFFS!$A:$A,"UrgencyClass",OPERATING_COEFFS!$B:$B,$AK21))</f>
        <v/>
      </c>
      <c r="AM21" s="19" t="n"/>
      <c r="AN21" s="19">
        <f>IF($AM21="","",INDEX(TAX_MODES!$B:$B,MATCH($AM21,TAX_MODES!$A:$A,0)))</f>
        <v/>
      </c>
      <c r="AO21" s="19" t="n"/>
      <c r="AP21" s="19" t="n"/>
    </row>
    <row r="22">
      <c r="A22" s="21" t="n"/>
      <c r="B22" s="21" t="n"/>
      <c r="C22" s="21" t="n"/>
      <c r="D22" s="32">
        <f>IF($C22="","",SUMIFS(SITE_COEFFS!$C:$C,SITE_COEFFS!$A:$A,"SoilWorkability",SITE_COEFFS!$B:$B,$C22))</f>
        <v/>
      </c>
      <c r="E22" s="21" t="n"/>
      <c r="F22" s="32">
        <f>IF($E22="","",SUMIFS(SITE_COEFFS!$C:$C,SITE_COEFFS!$A:$A,"SoilMoisture",SITE_COEFFS!$B:$B,$E22))</f>
        <v/>
      </c>
      <c r="G22" s="21" t="n"/>
      <c r="H22" s="32">
        <f>IF($G22="","",SUMIFS(SITE_COEFFS!$C:$C,SITE_COEFFS!$A:$A,"DebrisLevel",SITE_COEFFS!$B:$B,$G22))</f>
        <v/>
      </c>
      <c r="I22" s="21" t="n"/>
      <c r="J22" s="32">
        <f>IF($I22="","",SUMIFS(SITE_COEFFS!$C:$C,SITE_COEFFS!$A:$A,"SlopeClass",SITE_COEFFS!$B:$B,$I22))</f>
        <v/>
      </c>
      <c r="K22" s="21" t="n"/>
      <c r="L22" s="32">
        <f>IF($K22="","",SUMIFS(SITE_COEFFS!$C:$C,SITE_COEFFS!$A:$A,"SurfaceUnevenness",SITE_COEFFS!$B:$B,$K22))</f>
        <v/>
      </c>
      <c r="M22" s="21" t="n"/>
      <c r="N22" s="32">
        <f>IF($M22="","",SUMIFS(SITE_COEFFS!$C:$C,SITE_COEFFS!$A:$A,"AccessClass",SITE_COEFFS!$B:$B,$M22))</f>
        <v/>
      </c>
      <c r="O22" s="21" t="n"/>
      <c r="P22" s="32">
        <f>IF($O22="","",SUMIFS(SITE_COEFFS!$C:$C,SITE_COEFFS!$A:$A,"TurnSpace",SITE_COEFFS!$B:$B,$O22))</f>
        <v/>
      </c>
      <c r="Q22" s="21" t="n"/>
      <c r="R22" s="32">
        <f>IF($Q22="","",SUMIFS(SITE_COEFFS!$C:$C,SITE_COEFFS!$A:$A,"ProximityToBuildings",SITE_COEFFS!$B:$B,$Q22))</f>
        <v/>
      </c>
      <c r="S22" s="21" t="n"/>
      <c r="T22" s="32">
        <f>IF($S22="","",SUMIFS(SITE_COEFFS!$C:$C,SITE_COEFFS!$A:$A,"MachineryAllowed",SITE_COEFFS!$B:$B,$S22))</f>
        <v/>
      </c>
      <c r="U22" s="21" t="n"/>
      <c r="V22" s="21" t="n"/>
      <c r="W22" s="32">
        <f>IF($V22="","",SUMIFS(SITE_COEFFS!$C:$C,SITE_COEFFS!$A:$A,"GeometryComplexity",SITE_COEFFS!$B:$B,$V22))</f>
        <v/>
      </c>
      <c r="X22" s="21" t="n"/>
      <c r="Y22" s="21">
        <f>IF($X22="","",SUMIFS(TARIFF_PROFILES!$D:$D,TARIFF_PROFILES!$A:$A,$X22))</f>
        <v/>
      </c>
      <c r="Z22" s="21">
        <f>IF($X22="","",SUMIFS(TARIFF_PROFILES!$E:$E,TARIFF_PROFILES!$A:$A,$X22))</f>
        <v/>
      </c>
      <c r="AA22" s="21">
        <f>IF($X22="","",SUMIFS(TARIFF_PROFILES!$F:$F,TARIFF_PROFILES!$A:$A,$X22))</f>
        <v/>
      </c>
      <c r="AB22" s="21">
        <f>IF($X22="","",SUMIFS(TARIFF_PROFILES!$G:$G,TARIFF_PROFILES!$A:$A,$X22))</f>
        <v/>
      </c>
      <c r="AC22" s="21">
        <f>IF($X22="","",SUMIFS(TARIFF_PROFILES!$H:$H,TARIFF_PROFILES!$A:$A,$X22))</f>
        <v/>
      </c>
      <c r="AD22" s="21">
        <f>IF($X22="","",INDEX(TARIFF_PROFILES!$J:$J,MATCH($X22,TARIFF_PROFILES!$A:$A,0)))</f>
        <v/>
      </c>
      <c r="AE22" s="21">
        <f>IF($X22="","",INDEX(TARIFF_PROFILES!$K:$K,MATCH($X22,TARIFF_PROFILES!$A:$A,0)))</f>
        <v/>
      </c>
      <c r="AF22" s="19" t="n"/>
      <c r="AG22" s="19" t="n"/>
      <c r="AH22" s="19">
        <f>IF($AG22="","",SUMIFS(OPERATING_COEFFS!$C:$C,OPERATING_COEFFS!$A:$A,"DistanceClass",OPERATING_COEFFS!$B:$B,$AG22))</f>
        <v/>
      </c>
      <c r="AI22" s="19" t="n"/>
      <c r="AJ22" s="19">
        <f>IF($AI22="","",SUMIFS(OPERATING_COEFFS!$C:$C,OPERATING_COEFFS!$A:$A,"SeasonClass",OPERATING_COEFFS!$B:$B,$AI22))</f>
        <v/>
      </c>
      <c r="AK22" s="19" t="n"/>
      <c r="AL22" s="19">
        <f>IF($AK22="","",SUMIFS(OPERATING_COEFFS!$C:$C,OPERATING_COEFFS!$A:$A,"UrgencyClass",OPERATING_COEFFS!$B:$B,$AK22))</f>
        <v/>
      </c>
      <c r="AM22" s="19" t="n"/>
      <c r="AN22" s="19">
        <f>IF($AM22="","",INDEX(TAX_MODES!$B:$B,MATCH($AM22,TAX_MODES!$A:$A,0)))</f>
        <v/>
      </c>
      <c r="AO22" s="19" t="n"/>
      <c r="AP22" s="19" t="n"/>
    </row>
    <row r="23">
      <c r="A23" s="21" t="n"/>
      <c r="B23" s="21" t="n"/>
      <c r="C23" s="21" t="n"/>
      <c r="D23" s="32">
        <f>IF($C23="","",SUMIFS(SITE_COEFFS!$C:$C,SITE_COEFFS!$A:$A,"SoilWorkability",SITE_COEFFS!$B:$B,$C23))</f>
        <v/>
      </c>
      <c r="E23" s="21" t="n"/>
      <c r="F23" s="32">
        <f>IF($E23="","",SUMIFS(SITE_COEFFS!$C:$C,SITE_COEFFS!$A:$A,"SoilMoisture",SITE_COEFFS!$B:$B,$E23))</f>
        <v/>
      </c>
      <c r="G23" s="21" t="n"/>
      <c r="H23" s="32">
        <f>IF($G23="","",SUMIFS(SITE_COEFFS!$C:$C,SITE_COEFFS!$A:$A,"DebrisLevel",SITE_COEFFS!$B:$B,$G23))</f>
        <v/>
      </c>
      <c r="I23" s="21" t="n"/>
      <c r="J23" s="32">
        <f>IF($I23="","",SUMIFS(SITE_COEFFS!$C:$C,SITE_COEFFS!$A:$A,"SlopeClass",SITE_COEFFS!$B:$B,$I23))</f>
        <v/>
      </c>
      <c r="K23" s="21" t="n"/>
      <c r="L23" s="32">
        <f>IF($K23="","",SUMIFS(SITE_COEFFS!$C:$C,SITE_COEFFS!$A:$A,"SurfaceUnevenness",SITE_COEFFS!$B:$B,$K23))</f>
        <v/>
      </c>
      <c r="M23" s="21" t="n"/>
      <c r="N23" s="32">
        <f>IF($M23="","",SUMIFS(SITE_COEFFS!$C:$C,SITE_COEFFS!$A:$A,"AccessClass",SITE_COEFFS!$B:$B,$M23))</f>
        <v/>
      </c>
      <c r="O23" s="21" t="n"/>
      <c r="P23" s="32">
        <f>IF($O23="","",SUMIFS(SITE_COEFFS!$C:$C,SITE_COEFFS!$A:$A,"TurnSpace",SITE_COEFFS!$B:$B,$O23))</f>
        <v/>
      </c>
      <c r="Q23" s="21" t="n"/>
      <c r="R23" s="32">
        <f>IF($Q23="","",SUMIFS(SITE_COEFFS!$C:$C,SITE_COEFFS!$A:$A,"ProximityToBuildings",SITE_COEFFS!$B:$B,$Q23))</f>
        <v/>
      </c>
      <c r="S23" s="21" t="n"/>
      <c r="T23" s="32">
        <f>IF($S23="","",SUMIFS(SITE_COEFFS!$C:$C,SITE_COEFFS!$A:$A,"MachineryAllowed",SITE_COEFFS!$B:$B,$S23))</f>
        <v/>
      </c>
      <c r="U23" s="21" t="n"/>
      <c r="V23" s="21" t="n"/>
      <c r="W23" s="32">
        <f>IF($V23="","",SUMIFS(SITE_COEFFS!$C:$C,SITE_COEFFS!$A:$A,"GeometryComplexity",SITE_COEFFS!$B:$B,$V23))</f>
        <v/>
      </c>
      <c r="X23" s="21" t="n"/>
      <c r="Y23" s="21">
        <f>IF($X23="","",SUMIFS(TARIFF_PROFILES!$D:$D,TARIFF_PROFILES!$A:$A,$X23))</f>
        <v/>
      </c>
      <c r="Z23" s="21">
        <f>IF($X23="","",SUMIFS(TARIFF_PROFILES!$E:$E,TARIFF_PROFILES!$A:$A,$X23))</f>
        <v/>
      </c>
      <c r="AA23" s="21">
        <f>IF($X23="","",SUMIFS(TARIFF_PROFILES!$F:$F,TARIFF_PROFILES!$A:$A,$X23))</f>
        <v/>
      </c>
      <c r="AB23" s="21">
        <f>IF($X23="","",SUMIFS(TARIFF_PROFILES!$G:$G,TARIFF_PROFILES!$A:$A,$X23))</f>
        <v/>
      </c>
      <c r="AC23" s="21">
        <f>IF($X23="","",SUMIFS(TARIFF_PROFILES!$H:$H,TARIFF_PROFILES!$A:$A,$X23))</f>
        <v/>
      </c>
      <c r="AD23" s="21">
        <f>IF($X23="","",INDEX(TARIFF_PROFILES!$J:$J,MATCH($X23,TARIFF_PROFILES!$A:$A,0)))</f>
        <v/>
      </c>
      <c r="AE23" s="21">
        <f>IF($X23="","",INDEX(TARIFF_PROFILES!$K:$K,MATCH($X23,TARIFF_PROFILES!$A:$A,0)))</f>
        <v/>
      </c>
      <c r="AF23" s="19" t="n"/>
      <c r="AG23" s="19" t="n"/>
      <c r="AH23" s="19">
        <f>IF($AG23="","",SUMIFS(OPERATING_COEFFS!$C:$C,OPERATING_COEFFS!$A:$A,"DistanceClass",OPERATING_COEFFS!$B:$B,$AG23))</f>
        <v/>
      </c>
      <c r="AI23" s="19" t="n"/>
      <c r="AJ23" s="19">
        <f>IF($AI23="","",SUMIFS(OPERATING_COEFFS!$C:$C,OPERATING_COEFFS!$A:$A,"SeasonClass",OPERATING_COEFFS!$B:$B,$AI23))</f>
        <v/>
      </c>
      <c r="AK23" s="19" t="n"/>
      <c r="AL23" s="19">
        <f>IF($AK23="","",SUMIFS(OPERATING_COEFFS!$C:$C,OPERATING_COEFFS!$A:$A,"UrgencyClass",OPERATING_COEFFS!$B:$B,$AK23))</f>
        <v/>
      </c>
      <c r="AM23" s="19" t="n"/>
      <c r="AN23" s="19">
        <f>IF($AM23="","",INDEX(TAX_MODES!$B:$B,MATCH($AM23,TAX_MODES!$A:$A,0)))</f>
        <v/>
      </c>
      <c r="AO23" s="19" t="n"/>
      <c r="AP23" s="19" t="n"/>
    </row>
    <row r="24">
      <c r="A24" s="21" t="n"/>
      <c r="B24" s="21" t="n"/>
      <c r="C24" s="21" t="n"/>
      <c r="D24" s="32">
        <f>IF($C24="","",SUMIFS(SITE_COEFFS!$C:$C,SITE_COEFFS!$A:$A,"SoilWorkability",SITE_COEFFS!$B:$B,$C24))</f>
        <v/>
      </c>
      <c r="E24" s="21" t="n"/>
      <c r="F24" s="32">
        <f>IF($E24="","",SUMIFS(SITE_COEFFS!$C:$C,SITE_COEFFS!$A:$A,"SoilMoisture",SITE_COEFFS!$B:$B,$E24))</f>
        <v/>
      </c>
      <c r="G24" s="21" t="n"/>
      <c r="H24" s="32">
        <f>IF($G24="","",SUMIFS(SITE_COEFFS!$C:$C,SITE_COEFFS!$A:$A,"DebrisLevel",SITE_COEFFS!$B:$B,$G24))</f>
        <v/>
      </c>
      <c r="I24" s="21" t="n"/>
      <c r="J24" s="32">
        <f>IF($I24="","",SUMIFS(SITE_COEFFS!$C:$C,SITE_COEFFS!$A:$A,"SlopeClass",SITE_COEFFS!$B:$B,$I24))</f>
        <v/>
      </c>
      <c r="K24" s="21" t="n"/>
      <c r="L24" s="32">
        <f>IF($K24="","",SUMIFS(SITE_COEFFS!$C:$C,SITE_COEFFS!$A:$A,"SurfaceUnevenness",SITE_COEFFS!$B:$B,$K24))</f>
        <v/>
      </c>
      <c r="M24" s="21" t="n"/>
      <c r="N24" s="32">
        <f>IF($M24="","",SUMIFS(SITE_COEFFS!$C:$C,SITE_COEFFS!$A:$A,"AccessClass",SITE_COEFFS!$B:$B,$M24))</f>
        <v/>
      </c>
      <c r="O24" s="21" t="n"/>
      <c r="P24" s="32">
        <f>IF($O24="","",SUMIFS(SITE_COEFFS!$C:$C,SITE_COEFFS!$A:$A,"TurnSpace",SITE_COEFFS!$B:$B,$O24))</f>
        <v/>
      </c>
      <c r="Q24" s="21" t="n"/>
      <c r="R24" s="32">
        <f>IF($Q24="","",SUMIFS(SITE_COEFFS!$C:$C,SITE_COEFFS!$A:$A,"ProximityToBuildings",SITE_COEFFS!$B:$B,$Q24))</f>
        <v/>
      </c>
      <c r="S24" s="21" t="n"/>
      <c r="T24" s="32">
        <f>IF($S24="","",SUMIFS(SITE_COEFFS!$C:$C,SITE_COEFFS!$A:$A,"MachineryAllowed",SITE_COEFFS!$B:$B,$S24))</f>
        <v/>
      </c>
      <c r="U24" s="21" t="n"/>
      <c r="V24" s="21" t="n"/>
      <c r="W24" s="32">
        <f>IF($V24="","",SUMIFS(SITE_COEFFS!$C:$C,SITE_COEFFS!$A:$A,"GeometryComplexity",SITE_COEFFS!$B:$B,$V24))</f>
        <v/>
      </c>
      <c r="X24" s="21" t="n"/>
      <c r="Y24" s="21">
        <f>IF($X24="","",SUMIFS(TARIFF_PROFILES!$D:$D,TARIFF_PROFILES!$A:$A,$X24))</f>
        <v/>
      </c>
      <c r="Z24" s="21">
        <f>IF($X24="","",SUMIFS(TARIFF_PROFILES!$E:$E,TARIFF_PROFILES!$A:$A,$X24))</f>
        <v/>
      </c>
      <c r="AA24" s="21">
        <f>IF($X24="","",SUMIFS(TARIFF_PROFILES!$F:$F,TARIFF_PROFILES!$A:$A,$X24))</f>
        <v/>
      </c>
      <c r="AB24" s="21">
        <f>IF($X24="","",SUMIFS(TARIFF_PROFILES!$G:$G,TARIFF_PROFILES!$A:$A,$X24))</f>
        <v/>
      </c>
      <c r="AC24" s="21">
        <f>IF($X24="","",SUMIFS(TARIFF_PROFILES!$H:$H,TARIFF_PROFILES!$A:$A,$X24))</f>
        <v/>
      </c>
      <c r="AD24" s="21">
        <f>IF($X24="","",INDEX(TARIFF_PROFILES!$J:$J,MATCH($X24,TARIFF_PROFILES!$A:$A,0)))</f>
        <v/>
      </c>
      <c r="AE24" s="21">
        <f>IF($X24="","",INDEX(TARIFF_PROFILES!$K:$K,MATCH($X24,TARIFF_PROFILES!$A:$A,0)))</f>
        <v/>
      </c>
      <c r="AF24" s="19" t="n"/>
      <c r="AG24" s="19" t="n"/>
      <c r="AH24" s="19">
        <f>IF($AG24="","",SUMIFS(OPERATING_COEFFS!$C:$C,OPERATING_COEFFS!$A:$A,"DistanceClass",OPERATING_COEFFS!$B:$B,$AG24))</f>
        <v/>
      </c>
      <c r="AI24" s="19" t="n"/>
      <c r="AJ24" s="19">
        <f>IF($AI24="","",SUMIFS(OPERATING_COEFFS!$C:$C,OPERATING_COEFFS!$A:$A,"SeasonClass",OPERATING_COEFFS!$B:$B,$AI24))</f>
        <v/>
      </c>
      <c r="AK24" s="19" t="n"/>
      <c r="AL24" s="19">
        <f>IF($AK24="","",SUMIFS(OPERATING_COEFFS!$C:$C,OPERATING_COEFFS!$A:$A,"UrgencyClass",OPERATING_COEFFS!$B:$B,$AK24))</f>
        <v/>
      </c>
      <c r="AM24" s="19" t="n"/>
      <c r="AN24" s="19">
        <f>IF($AM24="","",INDEX(TAX_MODES!$B:$B,MATCH($AM24,TAX_MODES!$A:$A,0)))</f>
        <v/>
      </c>
      <c r="AO24" s="19" t="n"/>
      <c r="AP24" s="19" t="n"/>
    </row>
    <row r="25">
      <c r="A25" s="21" t="n"/>
      <c r="B25" s="21" t="n"/>
      <c r="C25" s="21" t="n"/>
      <c r="D25" s="32">
        <f>IF($C25="","",SUMIFS(SITE_COEFFS!$C:$C,SITE_COEFFS!$A:$A,"SoilWorkability",SITE_COEFFS!$B:$B,$C25))</f>
        <v/>
      </c>
      <c r="E25" s="21" t="n"/>
      <c r="F25" s="32">
        <f>IF($E25="","",SUMIFS(SITE_COEFFS!$C:$C,SITE_COEFFS!$A:$A,"SoilMoisture",SITE_COEFFS!$B:$B,$E25))</f>
        <v/>
      </c>
      <c r="G25" s="21" t="n"/>
      <c r="H25" s="32">
        <f>IF($G25="","",SUMIFS(SITE_COEFFS!$C:$C,SITE_COEFFS!$A:$A,"DebrisLevel",SITE_COEFFS!$B:$B,$G25))</f>
        <v/>
      </c>
      <c r="I25" s="21" t="n"/>
      <c r="J25" s="32">
        <f>IF($I25="","",SUMIFS(SITE_COEFFS!$C:$C,SITE_COEFFS!$A:$A,"SlopeClass",SITE_COEFFS!$B:$B,$I25))</f>
        <v/>
      </c>
      <c r="K25" s="21" t="n"/>
      <c r="L25" s="32">
        <f>IF($K25="","",SUMIFS(SITE_COEFFS!$C:$C,SITE_COEFFS!$A:$A,"SurfaceUnevenness",SITE_COEFFS!$B:$B,$K25))</f>
        <v/>
      </c>
      <c r="M25" s="21" t="n"/>
      <c r="N25" s="32">
        <f>IF($M25="","",SUMIFS(SITE_COEFFS!$C:$C,SITE_COEFFS!$A:$A,"AccessClass",SITE_COEFFS!$B:$B,$M25))</f>
        <v/>
      </c>
      <c r="O25" s="21" t="n"/>
      <c r="P25" s="32">
        <f>IF($O25="","",SUMIFS(SITE_COEFFS!$C:$C,SITE_COEFFS!$A:$A,"TurnSpace",SITE_COEFFS!$B:$B,$O25))</f>
        <v/>
      </c>
      <c r="Q25" s="21" t="n"/>
      <c r="R25" s="32">
        <f>IF($Q25="","",SUMIFS(SITE_COEFFS!$C:$C,SITE_COEFFS!$A:$A,"ProximityToBuildings",SITE_COEFFS!$B:$B,$Q25))</f>
        <v/>
      </c>
      <c r="S25" s="21" t="n"/>
      <c r="T25" s="32">
        <f>IF($S25="","",SUMIFS(SITE_COEFFS!$C:$C,SITE_COEFFS!$A:$A,"MachineryAllowed",SITE_COEFFS!$B:$B,$S25))</f>
        <v/>
      </c>
      <c r="U25" s="21" t="n"/>
      <c r="V25" s="21" t="n"/>
      <c r="W25" s="32">
        <f>IF($V25="","",SUMIFS(SITE_COEFFS!$C:$C,SITE_COEFFS!$A:$A,"GeometryComplexity",SITE_COEFFS!$B:$B,$V25))</f>
        <v/>
      </c>
      <c r="X25" s="21" t="n"/>
      <c r="Y25" s="21">
        <f>IF($X25="","",SUMIFS(TARIFF_PROFILES!$D:$D,TARIFF_PROFILES!$A:$A,$X25))</f>
        <v/>
      </c>
      <c r="Z25" s="21">
        <f>IF($X25="","",SUMIFS(TARIFF_PROFILES!$E:$E,TARIFF_PROFILES!$A:$A,$X25))</f>
        <v/>
      </c>
      <c r="AA25" s="21">
        <f>IF($X25="","",SUMIFS(TARIFF_PROFILES!$F:$F,TARIFF_PROFILES!$A:$A,$X25))</f>
        <v/>
      </c>
      <c r="AB25" s="21">
        <f>IF($X25="","",SUMIFS(TARIFF_PROFILES!$G:$G,TARIFF_PROFILES!$A:$A,$X25))</f>
        <v/>
      </c>
      <c r="AC25" s="21">
        <f>IF($X25="","",SUMIFS(TARIFF_PROFILES!$H:$H,TARIFF_PROFILES!$A:$A,$X25))</f>
        <v/>
      </c>
      <c r="AD25" s="21">
        <f>IF($X25="","",INDEX(TARIFF_PROFILES!$J:$J,MATCH($X25,TARIFF_PROFILES!$A:$A,0)))</f>
        <v/>
      </c>
      <c r="AE25" s="21">
        <f>IF($X25="","",INDEX(TARIFF_PROFILES!$K:$K,MATCH($X25,TARIFF_PROFILES!$A:$A,0)))</f>
        <v/>
      </c>
      <c r="AF25" s="19" t="n"/>
      <c r="AG25" s="19" t="n"/>
      <c r="AH25" s="19">
        <f>IF($AG25="","",SUMIFS(OPERATING_COEFFS!$C:$C,OPERATING_COEFFS!$A:$A,"DistanceClass",OPERATING_COEFFS!$B:$B,$AG25))</f>
        <v/>
      </c>
      <c r="AI25" s="19" t="n"/>
      <c r="AJ25" s="19">
        <f>IF($AI25="","",SUMIFS(OPERATING_COEFFS!$C:$C,OPERATING_COEFFS!$A:$A,"SeasonClass",OPERATING_COEFFS!$B:$B,$AI25))</f>
        <v/>
      </c>
      <c r="AK25" s="19" t="n"/>
      <c r="AL25" s="19">
        <f>IF($AK25="","",SUMIFS(OPERATING_COEFFS!$C:$C,OPERATING_COEFFS!$A:$A,"UrgencyClass",OPERATING_COEFFS!$B:$B,$AK25))</f>
        <v/>
      </c>
      <c r="AM25" s="19" t="n"/>
      <c r="AN25" s="19">
        <f>IF($AM25="","",INDEX(TAX_MODES!$B:$B,MATCH($AM25,TAX_MODES!$A:$A,0)))</f>
        <v/>
      </c>
      <c r="AO25" s="19" t="n"/>
      <c r="AP25" s="19" t="n"/>
    </row>
    <row r="26">
      <c r="A26" s="21" t="n"/>
      <c r="B26" s="21" t="n"/>
      <c r="C26" s="21" t="n"/>
      <c r="D26" s="32">
        <f>IF($C26="","",SUMIFS(SITE_COEFFS!$C:$C,SITE_COEFFS!$A:$A,"SoilWorkability",SITE_COEFFS!$B:$B,$C26))</f>
        <v/>
      </c>
      <c r="E26" s="21" t="n"/>
      <c r="F26" s="32">
        <f>IF($E26="","",SUMIFS(SITE_COEFFS!$C:$C,SITE_COEFFS!$A:$A,"SoilMoisture",SITE_COEFFS!$B:$B,$E26))</f>
        <v/>
      </c>
      <c r="G26" s="21" t="n"/>
      <c r="H26" s="32">
        <f>IF($G26="","",SUMIFS(SITE_COEFFS!$C:$C,SITE_COEFFS!$A:$A,"DebrisLevel",SITE_COEFFS!$B:$B,$G26))</f>
        <v/>
      </c>
      <c r="I26" s="21" t="n"/>
      <c r="J26" s="32">
        <f>IF($I26="","",SUMIFS(SITE_COEFFS!$C:$C,SITE_COEFFS!$A:$A,"SlopeClass",SITE_COEFFS!$B:$B,$I26))</f>
        <v/>
      </c>
      <c r="K26" s="21" t="n"/>
      <c r="L26" s="32">
        <f>IF($K26="","",SUMIFS(SITE_COEFFS!$C:$C,SITE_COEFFS!$A:$A,"SurfaceUnevenness",SITE_COEFFS!$B:$B,$K26))</f>
        <v/>
      </c>
      <c r="M26" s="21" t="n"/>
      <c r="N26" s="32">
        <f>IF($M26="","",SUMIFS(SITE_COEFFS!$C:$C,SITE_COEFFS!$A:$A,"AccessClass",SITE_COEFFS!$B:$B,$M26))</f>
        <v/>
      </c>
      <c r="O26" s="21" t="n"/>
      <c r="P26" s="32">
        <f>IF($O26="","",SUMIFS(SITE_COEFFS!$C:$C,SITE_COEFFS!$A:$A,"TurnSpace",SITE_COEFFS!$B:$B,$O26))</f>
        <v/>
      </c>
      <c r="Q26" s="21" t="n"/>
      <c r="R26" s="32">
        <f>IF($Q26="","",SUMIFS(SITE_COEFFS!$C:$C,SITE_COEFFS!$A:$A,"ProximityToBuildings",SITE_COEFFS!$B:$B,$Q26))</f>
        <v/>
      </c>
      <c r="S26" s="21" t="n"/>
      <c r="T26" s="32">
        <f>IF($S26="","",SUMIFS(SITE_COEFFS!$C:$C,SITE_COEFFS!$A:$A,"MachineryAllowed",SITE_COEFFS!$B:$B,$S26))</f>
        <v/>
      </c>
      <c r="U26" s="21" t="n"/>
      <c r="V26" s="21" t="n"/>
      <c r="W26" s="32">
        <f>IF($V26="","",SUMIFS(SITE_COEFFS!$C:$C,SITE_COEFFS!$A:$A,"GeometryComplexity",SITE_COEFFS!$B:$B,$V26))</f>
        <v/>
      </c>
      <c r="X26" s="21" t="n"/>
      <c r="Y26" s="21">
        <f>IF($X26="","",SUMIFS(TARIFF_PROFILES!$D:$D,TARIFF_PROFILES!$A:$A,$X26))</f>
        <v/>
      </c>
      <c r="Z26" s="21">
        <f>IF($X26="","",SUMIFS(TARIFF_PROFILES!$E:$E,TARIFF_PROFILES!$A:$A,$X26))</f>
        <v/>
      </c>
      <c r="AA26" s="21">
        <f>IF($X26="","",SUMIFS(TARIFF_PROFILES!$F:$F,TARIFF_PROFILES!$A:$A,$X26))</f>
        <v/>
      </c>
      <c r="AB26" s="21">
        <f>IF($X26="","",SUMIFS(TARIFF_PROFILES!$G:$G,TARIFF_PROFILES!$A:$A,$X26))</f>
        <v/>
      </c>
      <c r="AC26" s="21">
        <f>IF($X26="","",SUMIFS(TARIFF_PROFILES!$H:$H,TARIFF_PROFILES!$A:$A,$X26))</f>
        <v/>
      </c>
      <c r="AD26" s="21">
        <f>IF($X26="","",INDEX(TARIFF_PROFILES!$J:$J,MATCH($X26,TARIFF_PROFILES!$A:$A,0)))</f>
        <v/>
      </c>
      <c r="AE26" s="21">
        <f>IF($X26="","",INDEX(TARIFF_PROFILES!$K:$K,MATCH($X26,TARIFF_PROFILES!$A:$A,0)))</f>
        <v/>
      </c>
      <c r="AF26" s="19" t="n"/>
      <c r="AG26" s="19" t="n"/>
      <c r="AH26" s="19">
        <f>IF($AG26="","",SUMIFS(OPERATING_COEFFS!$C:$C,OPERATING_COEFFS!$A:$A,"DistanceClass",OPERATING_COEFFS!$B:$B,$AG26))</f>
        <v/>
      </c>
      <c r="AI26" s="19" t="n"/>
      <c r="AJ26" s="19">
        <f>IF($AI26="","",SUMIFS(OPERATING_COEFFS!$C:$C,OPERATING_COEFFS!$A:$A,"SeasonClass",OPERATING_COEFFS!$B:$B,$AI26))</f>
        <v/>
      </c>
      <c r="AK26" s="19" t="n"/>
      <c r="AL26" s="19">
        <f>IF($AK26="","",SUMIFS(OPERATING_COEFFS!$C:$C,OPERATING_COEFFS!$A:$A,"UrgencyClass",OPERATING_COEFFS!$B:$B,$AK26))</f>
        <v/>
      </c>
      <c r="AM26" s="19" t="n"/>
      <c r="AN26" s="19">
        <f>IF($AM26="","",INDEX(TAX_MODES!$B:$B,MATCH($AM26,TAX_MODES!$A:$A,0)))</f>
        <v/>
      </c>
      <c r="AO26" s="19" t="n"/>
      <c r="AP26" s="19" t="n"/>
    </row>
    <row r="27">
      <c r="A27" s="21" t="n"/>
      <c r="B27" s="21" t="n"/>
      <c r="C27" s="21" t="n"/>
      <c r="D27" s="32">
        <f>IF($C27="","",SUMIFS(SITE_COEFFS!$C:$C,SITE_COEFFS!$A:$A,"SoilWorkability",SITE_COEFFS!$B:$B,$C27))</f>
        <v/>
      </c>
      <c r="E27" s="21" t="n"/>
      <c r="F27" s="32">
        <f>IF($E27="","",SUMIFS(SITE_COEFFS!$C:$C,SITE_COEFFS!$A:$A,"SoilMoisture",SITE_COEFFS!$B:$B,$E27))</f>
        <v/>
      </c>
      <c r="G27" s="21" t="n"/>
      <c r="H27" s="32">
        <f>IF($G27="","",SUMIFS(SITE_COEFFS!$C:$C,SITE_COEFFS!$A:$A,"DebrisLevel",SITE_COEFFS!$B:$B,$G27))</f>
        <v/>
      </c>
      <c r="I27" s="21" t="n"/>
      <c r="J27" s="32">
        <f>IF($I27="","",SUMIFS(SITE_COEFFS!$C:$C,SITE_COEFFS!$A:$A,"SlopeClass",SITE_COEFFS!$B:$B,$I27))</f>
        <v/>
      </c>
      <c r="K27" s="21" t="n"/>
      <c r="L27" s="32">
        <f>IF($K27="","",SUMIFS(SITE_COEFFS!$C:$C,SITE_COEFFS!$A:$A,"SurfaceUnevenness",SITE_COEFFS!$B:$B,$K27))</f>
        <v/>
      </c>
      <c r="M27" s="21" t="n"/>
      <c r="N27" s="32">
        <f>IF($M27="","",SUMIFS(SITE_COEFFS!$C:$C,SITE_COEFFS!$A:$A,"AccessClass",SITE_COEFFS!$B:$B,$M27))</f>
        <v/>
      </c>
      <c r="O27" s="21" t="n"/>
      <c r="P27" s="32">
        <f>IF($O27="","",SUMIFS(SITE_COEFFS!$C:$C,SITE_COEFFS!$A:$A,"TurnSpace",SITE_COEFFS!$B:$B,$O27))</f>
        <v/>
      </c>
      <c r="Q27" s="21" t="n"/>
      <c r="R27" s="32">
        <f>IF($Q27="","",SUMIFS(SITE_COEFFS!$C:$C,SITE_COEFFS!$A:$A,"ProximityToBuildings",SITE_COEFFS!$B:$B,$Q27))</f>
        <v/>
      </c>
      <c r="S27" s="21" t="n"/>
      <c r="T27" s="32">
        <f>IF($S27="","",SUMIFS(SITE_COEFFS!$C:$C,SITE_COEFFS!$A:$A,"MachineryAllowed",SITE_COEFFS!$B:$B,$S27))</f>
        <v/>
      </c>
      <c r="U27" s="21" t="n"/>
      <c r="V27" s="21" t="n"/>
      <c r="W27" s="32">
        <f>IF($V27="","",SUMIFS(SITE_COEFFS!$C:$C,SITE_COEFFS!$A:$A,"GeometryComplexity",SITE_COEFFS!$B:$B,$V27))</f>
        <v/>
      </c>
      <c r="X27" s="21" t="n"/>
      <c r="Y27" s="21">
        <f>IF($X27="","",SUMIFS(TARIFF_PROFILES!$D:$D,TARIFF_PROFILES!$A:$A,$X27))</f>
        <v/>
      </c>
      <c r="Z27" s="21">
        <f>IF($X27="","",SUMIFS(TARIFF_PROFILES!$E:$E,TARIFF_PROFILES!$A:$A,$X27))</f>
        <v/>
      </c>
      <c r="AA27" s="21">
        <f>IF($X27="","",SUMIFS(TARIFF_PROFILES!$F:$F,TARIFF_PROFILES!$A:$A,$X27))</f>
        <v/>
      </c>
      <c r="AB27" s="21">
        <f>IF($X27="","",SUMIFS(TARIFF_PROFILES!$G:$G,TARIFF_PROFILES!$A:$A,$X27))</f>
        <v/>
      </c>
      <c r="AC27" s="21">
        <f>IF($X27="","",SUMIFS(TARIFF_PROFILES!$H:$H,TARIFF_PROFILES!$A:$A,$X27))</f>
        <v/>
      </c>
      <c r="AD27" s="21">
        <f>IF($X27="","",INDEX(TARIFF_PROFILES!$J:$J,MATCH($X27,TARIFF_PROFILES!$A:$A,0)))</f>
        <v/>
      </c>
      <c r="AE27" s="21">
        <f>IF($X27="","",INDEX(TARIFF_PROFILES!$K:$K,MATCH($X27,TARIFF_PROFILES!$A:$A,0)))</f>
        <v/>
      </c>
      <c r="AF27" s="19" t="n"/>
      <c r="AG27" s="19" t="n"/>
      <c r="AH27" s="19">
        <f>IF($AG27="","",SUMIFS(OPERATING_COEFFS!$C:$C,OPERATING_COEFFS!$A:$A,"DistanceClass",OPERATING_COEFFS!$B:$B,$AG27))</f>
        <v/>
      </c>
      <c r="AI27" s="19" t="n"/>
      <c r="AJ27" s="19">
        <f>IF($AI27="","",SUMIFS(OPERATING_COEFFS!$C:$C,OPERATING_COEFFS!$A:$A,"SeasonClass",OPERATING_COEFFS!$B:$B,$AI27))</f>
        <v/>
      </c>
      <c r="AK27" s="19" t="n"/>
      <c r="AL27" s="19">
        <f>IF($AK27="","",SUMIFS(OPERATING_COEFFS!$C:$C,OPERATING_COEFFS!$A:$A,"UrgencyClass",OPERATING_COEFFS!$B:$B,$AK27))</f>
        <v/>
      </c>
      <c r="AM27" s="19" t="n"/>
      <c r="AN27" s="19">
        <f>IF($AM27="","",INDEX(TAX_MODES!$B:$B,MATCH($AM27,TAX_MODES!$A:$A,0)))</f>
        <v/>
      </c>
      <c r="AO27" s="19" t="n"/>
      <c r="AP27" s="19" t="n"/>
    </row>
    <row r="28">
      <c r="A28" s="21" t="n"/>
      <c r="B28" s="21" t="n"/>
      <c r="C28" s="21" t="n"/>
      <c r="D28" s="32">
        <f>IF($C28="","",SUMIFS(SITE_COEFFS!$C:$C,SITE_COEFFS!$A:$A,"SoilWorkability",SITE_COEFFS!$B:$B,$C28))</f>
        <v/>
      </c>
      <c r="E28" s="21" t="n"/>
      <c r="F28" s="32">
        <f>IF($E28="","",SUMIFS(SITE_COEFFS!$C:$C,SITE_COEFFS!$A:$A,"SoilMoisture",SITE_COEFFS!$B:$B,$E28))</f>
        <v/>
      </c>
      <c r="G28" s="21" t="n"/>
      <c r="H28" s="32">
        <f>IF($G28="","",SUMIFS(SITE_COEFFS!$C:$C,SITE_COEFFS!$A:$A,"DebrisLevel",SITE_COEFFS!$B:$B,$G28))</f>
        <v/>
      </c>
      <c r="I28" s="21" t="n"/>
      <c r="J28" s="32">
        <f>IF($I28="","",SUMIFS(SITE_COEFFS!$C:$C,SITE_COEFFS!$A:$A,"SlopeClass",SITE_COEFFS!$B:$B,$I28))</f>
        <v/>
      </c>
      <c r="K28" s="21" t="n"/>
      <c r="L28" s="32">
        <f>IF($K28="","",SUMIFS(SITE_COEFFS!$C:$C,SITE_COEFFS!$A:$A,"SurfaceUnevenness",SITE_COEFFS!$B:$B,$K28))</f>
        <v/>
      </c>
      <c r="M28" s="21" t="n"/>
      <c r="N28" s="32">
        <f>IF($M28="","",SUMIFS(SITE_COEFFS!$C:$C,SITE_COEFFS!$A:$A,"AccessClass",SITE_COEFFS!$B:$B,$M28))</f>
        <v/>
      </c>
      <c r="O28" s="21" t="n"/>
      <c r="P28" s="32">
        <f>IF($O28="","",SUMIFS(SITE_COEFFS!$C:$C,SITE_COEFFS!$A:$A,"TurnSpace",SITE_COEFFS!$B:$B,$O28))</f>
        <v/>
      </c>
      <c r="Q28" s="21" t="n"/>
      <c r="R28" s="32">
        <f>IF($Q28="","",SUMIFS(SITE_COEFFS!$C:$C,SITE_COEFFS!$A:$A,"ProximityToBuildings",SITE_COEFFS!$B:$B,$Q28))</f>
        <v/>
      </c>
      <c r="S28" s="21" t="n"/>
      <c r="T28" s="32">
        <f>IF($S28="","",SUMIFS(SITE_COEFFS!$C:$C,SITE_COEFFS!$A:$A,"MachineryAllowed",SITE_COEFFS!$B:$B,$S28))</f>
        <v/>
      </c>
      <c r="U28" s="21" t="n"/>
      <c r="V28" s="21" t="n"/>
      <c r="W28" s="32">
        <f>IF($V28="","",SUMIFS(SITE_COEFFS!$C:$C,SITE_COEFFS!$A:$A,"GeometryComplexity",SITE_COEFFS!$B:$B,$V28))</f>
        <v/>
      </c>
      <c r="X28" s="21" t="n"/>
      <c r="Y28" s="21">
        <f>IF($X28="","",SUMIFS(TARIFF_PROFILES!$D:$D,TARIFF_PROFILES!$A:$A,$X28))</f>
        <v/>
      </c>
      <c r="Z28" s="21">
        <f>IF($X28="","",SUMIFS(TARIFF_PROFILES!$E:$E,TARIFF_PROFILES!$A:$A,$X28))</f>
        <v/>
      </c>
      <c r="AA28" s="21">
        <f>IF($X28="","",SUMIFS(TARIFF_PROFILES!$F:$F,TARIFF_PROFILES!$A:$A,$X28))</f>
        <v/>
      </c>
      <c r="AB28" s="21">
        <f>IF($X28="","",SUMIFS(TARIFF_PROFILES!$G:$G,TARIFF_PROFILES!$A:$A,$X28))</f>
        <v/>
      </c>
      <c r="AC28" s="21">
        <f>IF($X28="","",SUMIFS(TARIFF_PROFILES!$H:$H,TARIFF_PROFILES!$A:$A,$X28))</f>
        <v/>
      </c>
      <c r="AD28" s="21">
        <f>IF($X28="","",INDEX(TARIFF_PROFILES!$J:$J,MATCH($X28,TARIFF_PROFILES!$A:$A,0)))</f>
        <v/>
      </c>
      <c r="AE28" s="21">
        <f>IF($X28="","",INDEX(TARIFF_PROFILES!$K:$K,MATCH($X28,TARIFF_PROFILES!$A:$A,0)))</f>
        <v/>
      </c>
      <c r="AF28" s="19" t="n"/>
      <c r="AG28" s="19" t="n"/>
      <c r="AH28" s="19">
        <f>IF($AG28="","",SUMIFS(OPERATING_COEFFS!$C:$C,OPERATING_COEFFS!$A:$A,"DistanceClass",OPERATING_COEFFS!$B:$B,$AG28))</f>
        <v/>
      </c>
      <c r="AI28" s="19" t="n"/>
      <c r="AJ28" s="19">
        <f>IF($AI28="","",SUMIFS(OPERATING_COEFFS!$C:$C,OPERATING_COEFFS!$A:$A,"SeasonClass",OPERATING_COEFFS!$B:$B,$AI28))</f>
        <v/>
      </c>
      <c r="AK28" s="19" t="n"/>
      <c r="AL28" s="19">
        <f>IF($AK28="","",SUMIFS(OPERATING_COEFFS!$C:$C,OPERATING_COEFFS!$A:$A,"UrgencyClass",OPERATING_COEFFS!$B:$B,$AK28))</f>
        <v/>
      </c>
      <c r="AM28" s="19" t="n"/>
      <c r="AN28" s="19">
        <f>IF($AM28="","",INDEX(TAX_MODES!$B:$B,MATCH($AM28,TAX_MODES!$A:$A,0)))</f>
        <v/>
      </c>
      <c r="AO28" s="19" t="n"/>
      <c r="AP28" s="19" t="n"/>
    </row>
    <row r="29">
      <c r="A29" s="21" t="n"/>
      <c r="B29" s="21" t="n"/>
      <c r="C29" s="21" t="n"/>
      <c r="D29" s="32">
        <f>IF($C29="","",SUMIFS(SITE_COEFFS!$C:$C,SITE_COEFFS!$A:$A,"SoilWorkability",SITE_COEFFS!$B:$B,$C29))</f>
        <v/>
      </c>
      <c r="E29" s="21" t="n"/>
      <c r="F29" s="32">
        <f>IF($E29="","",SUMIFS(SITE_COEFFS!$C:$C,SITE_COEFFS!$A:$A,"SoilMoisture",SITE_COEFFS!$B:$B,$E29))</f>
        <v/>
      </c>
      <c r="G29" s="21" t="n"/>
      <c r="H29" s="32">
        <f>IF($G29="","",SUMIFS(SITE_COEFFS!$C:$C,SITE_COEFFS!$A:$A,"DebrisLevel",SITE_COEFFS!$B:$B,$G29))</f>
        <v/>
      </c>
      <c r="I29" s="21" t="n"/>
      <c r="J29" s="32">
        <f>IF($I29="","",SUMIFS(SITE_COEFFS!$C:$C,SITE_COEFFS!$A:$A,"SlopeClass",SITE_COEFFS!$B:$B,$I29))</f>
        <v/>
      </c>
      <c r="K29" s="21" t="n"/>
      <c r="L29" s="32">
        <f>IF($K29="","",SUMIFS(SITE_COEFFS!$C:$C,SITE_COEFFS!$A:$A,"SurfaceUnevenness",SITE_COEFFS!$B:$B,$K29))</f>
        <v/>
      </c>
      <c r="M29" s="21" t="n"/>
      <c r="N29" s="32">
        <f>IF($M29="","",SUMIFS(SITE_COEFFS!$C:$C,SITE_COEFFS!$A:$A,"AccessClass",SITE_COEFFS!$B:$B,$M29))</f>
        <v/>
      </c>
      <c r="O29" s="21" t="n"/>
      <c r="P29" s="32">
        <f>IF($O29="","",SUMIFS(SITE_COEFFS!$C:$C,SITE_COEFFS!$A:$A,"TurnSpace",SITE_COEFFS!$B:$B,$O29))</f>
        <v/>
      </c>
      <c r="Q29" s="21" t="n"/>
      <c r="R29" s="32">
        <f>IF($Q29="","",SUMIFS(SITE_COEFFS!$C:$C,SITE_COEFFS!$A:$A,"ProximityToBuildings",SITE_COEFFS!$B:$B,$Q29))</f>
        <v/>
      </c>
      <c r="S29" s="21" t="n"/>
      <c r="T29" s="32">
        <f>IF($S29="","",SUMIFS(SITE_COEFFS!$C:$C,SITE_COEFFS!$A:$A,"MachineryAllowed",SITE_COEFFS!$B:$B,$S29))</f>
        <v/>
      </c>
      <c r="U29" s="21" t="n"/>
      <c r="V29" s="21" t="n"/>
      <c r="W29" s="32">
        <f>IF($V29="","",SUMIFS(SITE_COEFFS!$C:$C,SITE_COEFFS!$A:$A,"GeometryComplexity",SITE_COEFFS!$B:$B,$V29))</f>
        <v/>
      </c>
      <c r="X29" s="21" t="n"/>
      <c r="Y29" s="21">
        <f>IF($X29="","",SUMIFS(TARIFF_PROFILES!$D:$D,TARIFF_PROFILES!$A:$A,$X29))</f>
        <v/>
      </c>
      <c r="Z29" s="21">
        <f>IF($X29="","",SUMIFS(TARIFF_PROFILES!$E:$E,TARIFF_PROFILES!$A:$A,$X29))</f>
        <v/>
      </c>
      <c r="AA29" s="21">
        <f>IF($X29="","",SUMIFS(TARIFF_PROFILES!$F:$F,TARIFF_PROFILES!$A:$A,$X29))</f>
        <v/>
      </c>
      <c r="AB29" s="21">
        <f>IF($X29="","",SUMIFS(TARIFF_PROFILES!$G:$G,TARIFF_PROFILES!$A:$A,$X29))</f>
        <v/>
      </c>
      <c r="AC29" s="21">
        <f>IF($X29="","",SUMIFS(TARIFF_PROFILES!$H:$H,TARIFF_PROFILES!$A:$A,$X29))</f>
        <v/>
      </c>
      <c r="AD29" s="21">
        <f>IF($X29="","",INDEX(TARIFF_PROFILES!$J:$J,MATCH($X29,TARIFF_PROFILES!$A:$A,0)))</f>
        <v/>
      </c>
      <c r="AE29" s="21">
        <f>IF($X29="","",INDEX(TARIFF_PROFILES!$K:$K,MATCH($X29,TARIFF_PROFILES!$A:$A,0)))</f>
        <v/>
      </c>
      <c r="AF29" s="19" t="n"/>
      <c r="AG29" s="19" t="n"/>
      <c r="AH29" s="19">
        <f>IF($AG29="","",SUMIFS(OPERATING_COEFFS!$C:$C,OPERATING_COEFFS!$A:$A,"DistanceClass",OPERATING_COEFFS!$B:$B,$AG29))</f>
        <v/>
      </c>
      <c r="AI29" s="19" t="n"/>
      <c r="AJ29" s="19">
        <f>IF($AI29="","",SUMIFS(OPERATING_COEFFS!$C:$C,OPERATING_COEFFS!$A:$A,"SeasonClass",OPERATING_COEFFS!$B:$B,$AI29))</f>
        <v/>
      </c>
      <c r="AK29" s="19" t="n"/>
      <c r="AL29" s="19">
        <f>IF($AK29="","",SUMIFS(OPERATING_COEFFS!$C:$C,OPERATING_COEFFS!$A:$A,"UrgencyClass",OPERATING_COEFFS!$B:$B,$AK29))</f>
        <v/>
      </c>
      <c r="AM29" s="19" t="n"/>
      <c r="AN29" s="19">
        <f>IF($AM29="","",INDEX(TAX_MODES!$B:$B,MATCH($AM29,TAX_MODES!$A:$A,0)))</f>
        <v/>
      </c>
      <c r="AO29" s="19" t="n"/>
      <c r="AP29" s="19" t="n"/>
    </row>
    <row r="30">
      <c r="A30" s="21" t="n"/>
      <c r="B30" s="21" t="n"/>
      <c r="C30" s="21" t="n"/>
      <c r="D30" s="32">
        <f>IF($C30="","",SUMIFS(SITE_COEFFS!$C:$C,SITE_COEFFS!$A:$A,"SoilWorkability",SITE_COEFFS!$B:$B,$C30))</f>
        <v/>
      </c>
      <c r="E30" s="21" t="n"/>
      <c r="F30" s="32">
        <f>IF($E30="","",SUMIFS(SITE_COEFFS!$C:$C,SITE_COEFFS!$A:$A,"SoilMoisture",SITE_COEFFS!$B:$B,$E30))</f>
        <v/>
      </c>
      <c r="G30" s="21" t="n"/>
      <c r="H30" s="32">
        <f>IF($G30="","",SUMIFS(SITE_COEFFS!$C:$C,SITE_COEFFS!$A:$A,"DebrisLevel",SITE_COEFFS!$B:$B,$G30))</f>
        <v/>
      </c>
      <c r="I30" s="21" t="n"/>
      <c r="J30" s="32">
        <f>IF($I30="","",SUMIFS(SITE_COEFFS!$C:$C,SITE_COEFFS!$A:$A,"SlopeClass",SITE_COEFFS!$B:$B,$I30))</f>
        <v/>
      </c>
      <c r="K30" s="21" t="n"/>
      <c r="L30" s="32">
        <f>IF($K30="","",SUMIFS(SITE_COEFFS!$C:$C,SITE_COEFFS!$A:$A,"SurfaceUnevenness",SITE_COEFFS!$B:$B,$K30))</f>
        <v/>
      </c>
      <c r="M30" s="21" t="n"/>
      <c r="N30" s="32">
        <f>IF($M30="","",SUMIFS(SITE_COEFFS!$C:$C,SITE_COEFFS!$A:$A,"AccessClass",SITE_COEFFS!$B:$B,$M30))</f>
        <v/>
      </c>
      <c r="O30" s="21" t="n"/>
      <c r="P30" s="32">
        <f>IF($O30="","",SUMIFS(SITE_COEFFS!$C:$C,SITE_COEFFS!$A:$A,"TurnSpace",SITE_COEFFS!$B:$B,$O30))</f>
        <v/>
      </c>
      <c r="Q30" s="21" t="n"/>
      <c r="R30" s="32">
        <f>IF($Q30="","",SUMIFS(SITE_COEFFS!$C:$C,SITE_COEFFS!$A:$A,"ProximityToBuildings",SITE_COEFFS!$B:$B,$Q30))</f>
        <v/>
      </c>
      <c r="S30" s="21" t="n"/>
      <c r="T30" s="32">
        <f>IF($S30="","",SUMIFS(SITE_COEFFS!$C:$C,SITE_COEFFS!$A:$A,"MachineryAllowed",SITE_COEFFS!$B:$B,$S30))</f>
        <v/>
      </c>
      <c r="U30" s="21" t="n"/>
      <c r="V30" s="21" t="n"/>
      <c r="W30" s="32">
        <f>IF($V30="","",SUMIFS(SITE_COEFFS!$C:$C,SITE_COEFFS!$A:$A,"GeometryComplexity",SITE_COEFFS!$B:$B,$V30))</f>
        <v/>
      </c>
      <c r="X30" s="21" t="n"/>
      <c r="Y30" s="21">
        <f>IF($X30="","",SUMIFS(TARIFF_PROFILES!$D:$D,TARIFF_PROFILES!$A:$A,$X30))</f>
        <v/>
      </c>
      <c r="Z30" s="21">
        <f>IF($X30="","",SUMIFS(TARIFF_PROFILES!$E:$E,TARIFF_PROFILES!$A:$A,$X30))</f>
        <v/>
      </c>
      <c r="AA30" s="21">
        <f>IF($X30="","",SUMIFS(TARIFF_PROFILES!$F:$F,TARIFF_PROFILES!$A:$A,$X30))</f>
        <v/>
      </c>
      <c r="AB30" s="21">
        <f>IF($X30="","",SUMIFS(TARIFF_PROFILES!$G:$G,TARIFF_PROFILES!$A:$A,$X30))</f>
        <v/>
      </c>
      <c r="AC30" s="21">
        <f>IF($X30="","",SUMIFS(TARIFF_PROFILES!$H:$H,TARIFF_PROFILES!$A:$A,$X30))</f>
        <v/>
      </c>
      <c r="AD30" s="21">
        <f>IF($X30="","",INDEX(TARIFF_PROFILES!$J:$J,MATCH($X30,TARIFF_PROFILES!$A:$A,0)))</f>
        <v/>
      </c>
      <c r="AE30" s="21">
        <f>IF($X30="","",INDEX(TARIFF_PROFILES!$K:$K,MATCH($X30,TARIFF_PROFILES!$A:$A,0)))</f>
        <v/>
      </c>
      <c r="AF30" s="19" t="n"/>
      <c r="AG30" s="19" t="n"/>
      <c r="AH30" s="19">
        <f>IF($AG30="","",SUMIFS(OPERATING_COEFFS!$C:$C,OPERATING_COEFFS!$A:$A,"DistanceClass",OPERATING_COEFFS!$B:$B,$AG30))</f>
        <v/>
      </c>
      <c r="AI30" s="19" t="n"/>
      <c r="AJ30" s="19">
        <f>IF($AI30="","",SUMIFS(OPERATING_COEFFS!$C:$C,OPERATING_COEFFS!$A:$A,"SeasonClass",OPERATING_COEFFS!$B:$B,$AI30))</f>
        <v/>
      </c>
      <c r="AK30" s="19" t="n"/>
      <c r="AL30" s="19">
        <f>IF($AK30="","",SUMIFS(OPERATING_COEFFS!$C:$C,OPERATING_COEFFS!$A:$A,"UrgencyClass",OPERATING_COEFFS!$B:$B,$AK30))</f>
        <v/>
      </c>
      <c r="AM30" s="19" t="n"/>
      <c r="AN30" s="19">
        <f>IF($AM30="","",INDEX(TAX_MODES!$B:$B,MATCH($AM30,TAX_MODES!$A:$A,0)))</f>
        <v/>
      </c>
      <c r="AO30" s="19" t="n"/>
      <c r="AP30" s="19" t="n"/>
    </row>
    <row r="31">
      <c r="A31" s="21" t="n"/>
      <c r="B31" s="21" t="n"/>
      <c r="C31" s="21" t="n"/>
      <c r="D31" s="32">
        <f>IF($C31="","",SUMIFS(SITE_COEFFS!$C:$C,SITE_COEFFS!$A:$A,"SoilWorkability",SITE_COEFFS!$B:$B,$C31))</f>
        <v/>
      </c>
      <c r="E31" s="21" t="n"/>
      <c r="F31" s="32">
        <f>IF($E31="","",SUMIFS(SITE_COEFFS!$C:$C,SITE_COEFFS!$A:$A,"SoilMoisture",SITE_COEFFS!$B:$B,$E31))</f>
        <v/>
      </c>
      <c r="G31" s="21" t="n"/>
      <c r="H31" s="32">
        <f>IF($G31="","",SUMIFS(SITE_COEFFS!$C:$C,SITE_COEFFS!$A:$A,"DebrisLevel",SITE_COEFFS!$B:$B,$G31))</f>
        <v/>
      </c>
      <c r="I31" s="21" t="n"/>
      <c r="J31" s="32">
        <f>IF($I31="","",SUMIFS(SITE_COEFFS!$C:$C,SITE_COEFFS!$A:$A,"SlopeClass",SITE_COEFFS!$B:$B,$I31))</f>
        <v/>
      </c>
      <c r="K31" s="21" t="n"/>
      <c r="L31" s="32">
        <f>IF($K31="","",SUMIFS(SITE_COEFFS!$C:$C,SITE_COEFFS!$A:$A,"SurfaceUnevenness",SITE_COEFFS!$B:$B,$K31))</f>
        <v/>
      </c>
      <c r="M31" s="21" t="n"/>
      <c r="N31" s="32">
        <f>IF($M31="","",SUMIFS(SITE_COEFFS!$C:$C,SITE_COEFFS!$A:$A,"AccessClass",SITE_COEFFS!$B:$B,$M31))</f>
        <v/>
      </c>
      <c r="O31" s="21" t="n"/>
      <c r="P31" s="32">
        <f>IF($O31="","",SUMIFS(SITE_COEFFS!$C:$C,SITE_COEFFS!$A:$A,"TurnSpace",SITE_COEFFS!$B:$B,$O31))</f>
        <v/>
      </c>
      <c r="Q31" s="21" t="n"/>
      <c r="R31" s="32">
        <f>IF($Q31="","",SUMIFS(SITE_COEFFS!$C:$C,SITE_COEFFS!$A:$A,"ProximityToBuildings",SITE_COEFFS!$B:$B,$Q31))</f>
        <v/>
      </c>
      <c r="S31" s="21" t="n"/>
      <c r="T31" s="32">
        <f>IF($S31="","",SUMIFS(SITE_COEFFS!$C:$C,SITE_COEFFS!$A:$A,"MachineryAllowed",SITE_COEFFS!$B:$B,$S31))</f>
        <v/>
      </c>
      <c r="U31" s="21" t="n"/>
      <c r="V31" s="21" t="n"/>
      <c r="W31" s="32">
        <f>IF($V31="","",SUMIFS(SITE_COEFFS!$C:$C,SITE_COEFFS!$A:$A,"GeometryComplexity",SITE_COEFFS!$B:$B,$V31))</f>
        <v/>
      </c>
      <c r="X31" s="21" t="n"/>
      <c r="Y31" s="21">
        <f>IF($X31="","",SUMIFS(TARIFF_PROFILES!$D:$D,TARIFF_PROFILES!$A:$A,$X31))</f>
        <v/>
      </c>
      <c r="Z31" s="21">
        <f>IF($X31="","",SUMIFS(TARIFF_PROFILES!$E:$E,TARIFF_PROFILES!$A:$A,$X31))</f>
        <v/>
      </c>
      <c r="AA31" s="21">
        <f>IF($X31="","",SUMIFS(TARIFF_PROFILES!$F:$F,TARIFF_PROFILES!$A:$A,$X31))</f>
        <v/>
      </c>
      <c r="AB31" s="21">
        <f>IF($X31="","",SUMIFS(TARIFF_PROFILES!$G:$G,TARIFF_PROFILES!$A:$A,$X31))</f>
        <v/>
      </c>
      <c r="AC31" s="21">
        <f>IF($X31="","",SUMIFS(TARIFF_PROFILES!$H:$H,TARIFF_PROFILES!$A:$A,$X31))</f>
        <v/>
      </c>
      <c r="AD31" s="21">
        <f>IF($X31="","",INDEX(TARIFF_PROFILES!$J:$J,MATCH($X31,TARIFF_PROFILES!$A:$A,0)))</f>
        <v/>
      </c>
      <c r="AE31" s="21">
        <f>IF($X31="","",INDEX(TARIFF_PROFILES!$K:$K,MATCH($X31,TARIFF_PROFILES!$A:$A,0)))</f>
        <v/>
      </c>
      <c r="AF31" s="19" t="n"/>
      <c r="AG31" s="19" t="n"/>
      <c r="AH31" s="19">
        <f>IF($AG31="","",SUMIFS(OPERATING_COEFFS!$C:$C,OPERATING_COEFFS!$A:$A,"DistanceClass",OPERATING_COEFFS!$B:$B,$AG31))</f>
        <v/>
      </c>
      <c r="AI31" s="19" t="n"/>
      <c r="AJ31" s="19">
        <f>IF($AI31="","",SUMIFS(OPERATING_COEFFS!$C:$C,OPERATING_COEFFS!$A:$A,"SeasonClass",OPERATING_COEFFS!$B:$B,$AI31))</f>
        <v/>
      </c>
      <c r="AK31" s="19" t="n"/>
      <c r="AL31" s="19">
        <f>IF($AK31="","",SUMIFS(OPERATING_COEFFS!$C:$C,OPERATING_COEFFS!$A:$A,"UrgencyClass",OPERATING_COEFFS!$B:$B,$AK31))</f>
        <v/>
      </c>
      <c r="AM31" s="19" t="n"/>
      <c r="AN31" s="19">
        <f>IF($AM31="","",INDEX(TAX_MODES!$B:$B,MATCH($AM31,TAX_MODES!$A:$A,0)))</f>
        <v/>
      </c>
      <c r="AO31" s="19" t="n"/>
      <c r="AP31" s="19" t="n"/>
    </row>
    <row r="32">
      <c r="A32" s="21" t="n"/>
      <c r="B32" s="21" t="n"/>
      <c r="C32" s="21" t="n"/>
      <c r="D32" s="32">
        <f>IF($C32="","",SUMIFS(SITE_COEFFS!$C:$C,SITE_COEFFS!$A:$A,"SoilWorkability",SITE_COEFFS!$B:$B,$C32))</f>
        <v/>
      </c>
      <c r="E32" s="21" t="n"/>
      <c r="F32" s="32">
        <f>IF($E32="","",SUMIFS(SITE_COEFFS!$C:$C,SITE_COEFFS!$A:$A,"SoilMoisture",SITE_COEFFS!$B:$B,$E32))</f>
        <v/>
      </c>
      <c r="G32" s="21" t="n"/>
      <c r="H32" s="32">
        <f>IF($G32="","",SUMIFS(SITE_COEFFS!$C:$C,SITE_COEFFS!$A:$A,"DebrisLevel",SITE_COEFFS!$B:$B,$G32))</f>
        <v/>
      </c>
      <c r="I32" s="21" t="n"/>
      <c r="J32" s="32">
        <f>IF($I32="","",SUMIFS(SITE_COEFFS!$C:$C,SITE_COEFFS!$A:$A,"SlopeClass",SITE_COEFFS!$B:$B,$I32))</f>
        <v/>
      </c>
      <c r="K32" s="21" t="n"/>
      <c r="L32" s="32">
        <f>IF($K32="","",SUMIFS(SITE_COEFFS!$C:$C,SITE_COEFFS!$A:$A,"SurfaceUnevenness",SITE_COEFFS!$B:$B,$K32))</f>
        <v/>
      </c>
      <c r="M32" s="21" t="n"/>
      <c r="N32" s="32">
        <f>IF($M32="","",SUMIFS(SITE_COEFFS!$C:$C,SITE_COEFFS!$A:$A,"AccessClass",SITE_COEFFS!$B:$B,$M32))</f>
        <v/>
      </c>
      <c r="O32" s="21" t="n"/>
      <c r="P32" s="32">
        <f>IF($O32="","",SUMIFS(SITE_COEFFS!$C:$C,SITE_COEFFS!$A:$A,"TurnSpace",SITE_COEFFS!$B:$B,$O32))</f>
        <v/>
      </c>
      <c r="Q32" s="21" t="n"/>
      <c r="R32" s="32">
        <f>IF($Q32="","",SUMIFS(SITE_COEFFS!$C:$C,SITE_COEFFS!$A:$A,"ProximityToBuildings",SITE_COEFFS!$B:$B,$Q32))</f>
        <v/>
      </c>
      <c r="S32" s="21" t="n"/>
      <c r="T32" s="32">
        <f>IF($S32="","",SUMIFS(SITE_COEFFS!$C:$C,SITE_COEFFS!$A:$A,"MachineryAllowed",SITE_COEFFS!$B:$B,$S32))</f>
        <v/>
      </c>
      <c r="U32" s="21" t="n"/>
      <c r="V32" s="21" t="n"/>
      <c r="W32" s="32">
        <f>IF($V32="","",SUMIFS(SITE_COEFFS!$C:$C,SITE_COEFFS!$A:$A,"GeometryComplexity",SITE_COEFFS!$B:$B,$V32))</f>
        <v/>
      </c>
      <c r="X32" s="21" t="n"/>
      <c r="Y32" s="21">
        <f>IF($X32="","",SUMIFS(TARIFF_PROFILES!$D:$D,TARIFF_PROFILES!$A:$A,$X32))</f>
        <v/>
      </c>
      <c r="Z32" s="21">
        <f>IF($X32="","",SUMIFS(TARIFF_PROFILES!$E:$E,TARIFF_PROFILES!$A:$A,$X32))</f>
        <v/>
      </c>
      <c r="AA32" s="21">
        <f>IF($X32="","",SUMIFS(TARIFF_PROFILES!$F:$F,TARIFF_PROFILES!$A:$A,$X32))</f>
        <v/>
      </c>
      <c r="AB32" s="21">
        <f>IF($X32="","",SUMIFS(TARIFF_PROFILES!$G:$G,TARIFF_PROFILES!$A:$A,$X32))</f>
        <v/>
      </c>
      <c r="AC32" s="21">
        <f>IF($X32="","",SUMIFS(TARIFF_PROFILES!$H:$H,TARIFF_PROFILES!$A:$A,$X32))</f>
        <v/>
      </c>
      <c r="AD32" s="21">
        <f>IF($X32="","",INDEX(TARIFF_PROFILES!$J:$J,MATCH($X32,TARIFF_PROFILES!$A:$A,0)))</f>
        <v/>
      </c>
      <c r="AE32" s="21">
        <f>IF($X32="","",INDEX(TARIFF_PROFILES!$K:$K,MATCH($X32,TARIFF_PROFILES!$A:$A,0)))</f>
        <v/>
      </c>
      <c r="AF32" s="19" t="n"/>
      <c r="AG32" s="19" t="n"/>
      <c r="AH32" s="19">
        <f>IF($AG32="","",SUMIFS(OPERATING_COEFFS!$C:$C,OPERATING_COEFFS!$A:$A,"DistanceClass",OPERATING_COEFFS!$B:$B,$AG32))</f>
        <v/>
      </c>
      <c r="AI32" s="19" t="n"/>
      <c r="AJ32" s="19">
        <f>IF($AI32="","",SUMIFS(OPERATING_COEFFS!$C:$C,OPERATING_COEFFS!$A:$A,"SeasonClass",OPERATING_COEFFS!$B:$B,$AI32))</f>
        <v/>
      </c>
      <c r="AK32" s="19" t="n"/>
      <c r="AL32" s="19">
        <f>IF($AK32="","",SUMIFS(OPERATING_COEFFS!$C:$C,OPERATING_COEFFS!$A:$A,"UrgencyClass",OPERATING_COEFFS!$B:$B,$AK32))</f>
        <v/>
      </c>
      <c r="AM32" s="19" t="n"/>
      <c r="AN32" s="19">
        <f>IF($AM32="","",INDEX(TAX_MODES!$B:$B,MATCH($AM32,TAX_MODES!$A:$A,0)))</f>
        <v/>
      </c>
      <c r="AO32" s="19" t="n"/>
      <c r="AP32" s="19" t="n"/>
    </row>
    <row r="33">
      <c r="A33" s="21" t="n"/>
      <c r="B33" s="21" t="n"/>
      <c r="C33" s="21" t="n"/>
      <c r="D33" s="32">
        <f>IF($C33="","",SUMIFS(SITE_COEFFS!$C:$C,SITE_COEFFS!$A:$A,"SoilWorkability",SITE_COEFFS!$B:$B,$C33))</f>
        <v/>
      </c>
      <c r="E33" s="21" t="n"/>
      <c r="F33" s="32">
        <f>IF($E33="","",SUMIFS(SITE_COEFFS!$C:$C,SITE_COEFFS!$A:$A,"SoilMoisture",SITE_COEFFS!$B:$B,$E33))</f>
        <v/>
      </c>
      <c r="G33" s="21" t="n"/>
      <c r="H33" s="32">
        <f>IF($G33="","",SUMIFS(SITE_COEFFS!$C:$C,SITE_COEFFS!$A:$A,"DebrisLevel",SITE_COEFFS!$B:$B,$G33))</f>
        <v/>
      </c>
      <c r="I33" s="21" t="n"/>
      <c r="J33" s="32">
        <f>IF($I33="","",SUMIFS(SITE_COEFFS!$C:$C,SITE_COEFFS!$A:$A,"SlopeClass",SITE_COEFFS!$B:$B,$I33))</f>
        <v/>
      </c>
      <c r="K33" s="21" t="n"/>
      <c r="L33" s="32">
        <f>IF($K33="","",SUMIFS(SITE_COEFFS!$C:$C,SITE_COEFFS!$A:$A,"SurfaceUnevenness",SITE_COEFFS!$B:$B,$K33))</f>
        <v/>
      </c>
      <c r="M33" s="21" t="n"/>
      <c r="N33" s="32">
        <f>IF($M33="","",SUMIFS(SITE_COEFFS!$C:$C,SITE_COEFFS!$A:$A,"AccessClass",SITE_COEFFS!$B:$B,$M33))</f>
        <v/>
      </c>
      <c r="O33" s="21" t="n"/>
      <c r="P33" s="32">
        <f>IF($O33="","",SUMIFS(SITE_COEFFS!$C:$C,SITE_COEFFS!$A:$A,"TurnSpace",SITE_COEFFS!$B:$B,$O33))</f>
        <v/>
      </c>
      <c r="Q33" s="21" t="n"/>
      <c r="R33" s="32">
        <f>IF($Q33="","",SUMIFS(SITE_COEFFS!$C:$C,SITE_COEFFS!$A:$A,"ProximityToBuildings",SITE_COEFFS!$B:$B,$Q33))</f>
        <v/>
      </c>
      <c r="S33" s="21" t="n"/>
      <c r="T33" s="32">
        <f>IF($S33="","",SUMIFS(SITE_COEFFS!$C:$C,SITE_COEFFS!$A:$A,"MachineryAllowed",SITE_COEFFS!$B:$B,$S33))</f>
        <v/>
      </c>
      <c r="U33" s="21" t="n"/>
      <c r="V33" s="21" t="n"/>
      <c r="W33" s="32">
        <f>IF($V33="","",SUMIFS(SITE_COEFFS!$C:$C,SITE_COEFFS!$A:$A,"GeometryComplexity",SITE_COEFFS!$B:$B,$V33))</f>
        <v/>
      </c>
      <c r="X33" s="21" t="n"/>
      <c r="Y33" s="21">
        <f>IF($X33="","",SUMIFS(TARIFF_PROFILES!$D:$D,TARIFF_PROFILES!$A:$A,$X33))</f>
        <v/>
      </c>
      <c r="Z33" s="21">
        <f>IF($X33="","",SUMIFS(TARIFF_PROFILES!$E:$E,TARIFF_PROFILES!$A:$A,$X33))</f>
        <v/>
      </c>
      <c r="AA33" s="21">
        <f>IF($X33="","",SUMIFS(TARIFF_PROFILES!$F:$F,TARIFF_PROFILES!$A:$A,$X33))</f>
        <v/>
      </c>
      <c r="AB33" s="21">
        <f>IF($X33="","",SUMIFS(TARIFF_PROFILES!$G:$G,TARIFF_PROFILES!$A:$A,$X33))</f>
        <v/>
      </c>
      <c r="AC33" s="21">
        <f>IF($X33="","",SUMIFS(TARIFF_PROFILES!$H:$H,TARIFF_PROFILES!$A:$A,$X33))</f>
        <v/>
      </c>
      <c r="AD33" s="21">
        <f>IF($X33="","",INDEX(TARIFF_PROFILES!$J:$J,MATCH($X33,TARIFF_PROFILES!$A:$A,0)))</f>
        <v/>
      </c>
      <c r="AE33" s="21">
        <f>IF($X33="","",INDEX(TARIFF_PROFILES!$K:$K,MATCH($X33,TARIFF_PROFILES!$A:$A,0)))</f>
        <v/>
      </c>
      <c r="AF33" s="19" t="n"/>
      <c r="AG33" s="19" t="n"/>
      <c r="AH33" s="19">
        <f>IF($AG33="","",SUMIFS(OPERATING_COEFFS!$C:$C,OPERATING_COEFFS!$A:$A,"DistanceClass",OPERATING_COEFFS!$B:$B,$AG33))</f>
        <v/>
      </c>
      <c r="AI33" s="19" t="n"/>
      <c r="AJ33" s="19">
        <f>IF($AI33="","",SUMIFS(OPERATING_COEFFS!$C:$C,OPERATING_COEFFS!$A:$A,"SeasonClass",OPERATING_COEFFS!$B:$B,$AI33))</f>
        <v/>
      </c>
      <c r="AK33" s="19" t="n"/>
      <c r="AL33" s="19">
        <f>IF($AK33="","",SUMIFS(OPERATING_COEFFS!$C:$C,OPERATING_COEFFS!$A:$A,"UrgencyClass",OPERATING_COEFFS!$B:$B,$AK33))</f>
        <v/>
      </c>
      <c r="AM33" s="19" t="n"/>
      <c r="AN33" s="19">
        <f>IF($AM33="","",INDEX(TAX_MODES!$B:$B,MATCH($AM33,TAX_MODES!$A:$A,0)))</f>
        <v/>
      </c>
      <c r="AO33" s="19" t="n"/>
      <c r="AP33" s="19" t="n"/>
    </row>
    <row r="34">
      <c r="A34" s="21" t="n"/>
      <c r="B34" s="21" t="n"/>
      <c r="C34" s="21" t="n"/>
      <c r="D34" s="32">
        <f>IF($C34="","",SUMIFS(SITE_COEFFS!$C:$C,SITE_COEFFS!$A:$A,"SoilWorkability",SITE_COEFFS!$B:$B,$C34))</f>
        <v/>
      </c>
      <c r="E34" s="21" t="n"/>
      <c r="F34" s="32">
        <f>IF($E34="","",SUMIFS(SITE_COEFFS!$C:$C,SITE_COEFFS!$A:$A,"SoilMoisture",SITE_COEFFS!$B:$B,$E34))</f>
        <v/>
      </c>
      <c r="G34" s="21" t="n"/>
      <c r="H34" s="32">
        <f>IF($G34="","",SUMIFS(SITE_COEFFS!$C:$C,SITE_COEFFS!$A:$A,"DebrisLevel",SITE_COEFFS!$B:$B,$G34))</f>
        <v/>
      </c>
      <c r="I34" s="21" t="n"/>
      <c r="J34" s="32">
        <f>IF($I34="","",SUMIFS(SITE_COEFFS!$C:$C,SITE_COEFFS!$A:$A,"SlopeClass",SITE_COEFFS!$B:$B,$I34))</f>
        <v/>
      </c>
      <c r="K34" s="21" t="n"/>
      <c r="L34" s="32">
        <f>IF($K34="","",SUMIFS(SITE_COEFFS!$C:$C,SITE_COEFFS!$A:$A,"SurfaceUnevenness",SITE_COEFFS!$B:$B,$K34))</f>
        <v/>
      </c>
      <c r="M34" s="21" t="n"/>
      <c r="N34" s="32">
        <f>IF($M34="","",SUMIFS(SITE_COEFFS!$C:$C,SITE_COEFFS!$A:$A,"AccessClass",SITE_COEFFS!$B:$B,$M34))</f>
        <v/>
      </c>
      <c r="O34" s="21" t="n"/>
      <c r="P34" s="32">
        <f>IF($O34="","",SUMIFS(SITE_COEFFS!$C:$C,SITE_COEFFS!$A:$A,"TurnSpace",SITE_COEFFS!$B:$B,$O34))</f>
        <v/>
      </c>
      <c r="Q34" s="21" t="n"/>
      <c r="R34" s="32">
        <f>IF($Q34="","",SUMIFS(SITE_COEFFS!$C:$C,SITE_COEFFS!$A:$A,"ProximityToBuildings",SITE_COEFFS!$B:$B,$Q34))</f>
        <v/>
      </c>
      <c r="S34" s="21" t="n"/>
      <c r="T34" s="32">
        <f>IF($S34="","",SUMIFS(SITE_COEFFS!$C:$C,SITE_COEFFS!$A:$A,"MachineryAllowed",SITE_COEFFS!$B:$B,$S34))</f>
        <v/>
      </c>
      <c r="U34" s="21" t="n"/>
      <c r="V34" s="21" t="n"/>
      <c r="W34" s="32">
        <f>IF($V34="","",SUMIFS(SITE_COEFFS!$C:$C,SITE_COEFFS!$A:$A,"GeometryComplexity",SITE_COEFFS!$B:$B,$V34))</f>
        <v/>
      </c>
      <c r="X34" s="21" t="n"/>
      <c r="Y34" s="21">
        <f>IF($X34="","",SUMIFS(TARIFF_PROFILES!$D:$D,TARIFF_PROFILES!$A:$A,$X34))</f>
        <v/>
      </c>
      <c r="Z34" s="21">
        <f>IF($X34="","",SUMIFS(TARIFF_PROFILES!$E:$E,TARIFF_PROFILES!$A:$A,$X34))</f>
        <v/>
      </c>
      <c r="AA34" s="21">
        <f>IF($X34="","",SUMIFS(TARIFF_PROFILES!$F:$F,TARIFF_PROFILES!$A:$A,$X34))</f>
        <v/>
      </c>
      <c r="AB34" s="21">
        <f>IF($X34="","",SUMIFS(TARIFF_PROFILES!$G:$G,TARIFF_PROFILES!$A:$A,$X34))</f>
        <v/>
      </c>
      <c r="AC34" s="21">
        <f>IF($X34="","",SUMIFS(TARIFF_PROFILES!$H:$H,TARIFF_PROFILES!$A:$A,$X34))</f>
        <v/>
      </c>
      <c r="AD34" s="21">
        <f>IF($X34="","",INDEX(TARIFF_PROFILES!$J:$J,MATCH($X34,TARIFF_PROFILES!$A:$A,0)))</f>
        <v/>
      </c>
      <c r="AE34" s="21">
        <f>IF($X34="","",INDEX(TARIFF_PROFILES!$K:$K,MATCH($X34,TARIFF_PROFILES!$A:$A,0)))</f>
        <v/>
      </c>
      <c r="AF34" s="19" t="n"/>
      <c r="AG34" s="19" t="n"/>
      <c r="AH34" s="19">
        <f>IF($AG34="","",SUMIFS(OPERATING_COEFFS!$C:$C,OPERATING_COEFFS!$A:$A,"DistanceClass",OPERATING_COEFFS!$B:$B,$AG34))</f>
        <v/>
      </c>
      <c r="AI34" s="19" t="n"/>
      <c r="AJ34" s="19">
        <f>IF($AI34="","",SUMIFS(OPERATING_COEFFS!$C:$C,OPERATING_COEFFS!$A:$A,"SeasonClass",OPERATING_COEFFS!$B:$B,$AI34))</f>
        <v/>
      </c>
      <c r="AK34" s="19" t="n"/>
      <c r="AL34" s="19">
        <f>IF($AK34="","",SUMIFS(OPERATING_COEFFS!$C:$C,OPERATING_COEFFS!$A:$A,"UrgencyClass",OPERATING_COEFFS!$B:$B,$AK34))</f>
        <v/>
      </c>
      <c r="AM34" s="19" t="n"/>
      <c r="AN34" s="19">
        <f>IF($AM34="","",INDEX(TAX_MODES!$B:$B,MATCH($AM34,TAX_MODES!$A:$A,0)))</f>
        <v/>
      </c>
      <c r="AO34" s="19" t="n"/>
      <c r="AP34" s="19" t="n"/>
    </row>
    <row r="35">
      <c r="A35" s="21" t="n"/>
      <c r="B35" s="21" t="n"/>
      <c r="C35" s="21" t="n"/>
      <c r="D35" s="32">
        <f>IF($C35="","",SUMIFS(SITE_COEFFS!$C:$C,SITE_COEFFS!$A:$A,"SoilWorkability",SITE_COEFFS!$B:$B,$C35))</f>
        <v/>
      </c>
      <c r="E35" s="21" t="n"/>
      <c r="F35" s="32">
        <f>IF($E35="","",SUMIFS(SITE_COEFFS!$C:$C,SITE_COEFFS!$A:$A,"SoilMoisture",SITE_COEFFS!$B:$B,$E35))</f>
        <v/>
      </c>
      <c r="G35" s="21" t="n"/>
      <c r="H35" s="32">
        <f>IF($G35="","",SUMIFS(SITE_COEFFS!$C:$C,SITE_COEFFS!$A:$A,"DebrisLevel",SITE_COEFFS!$B:$B,$G35))</f>
        <v/>
      </c>
      <c r="I35" s="21" t="n"/>
      <c r="J35" s="32">
        <f>IF($I35="","",SUMIFS(SITE_COEFFS!$C:$C,SITE_COEFFS!$A:$A,"SlopeClass",SITE_COEFFS!$B:$B,$I35))</f>
        <v/>
      </c>
      <c r="K35" s="21" t="n"/>
      <c r="L35" s="32">
        <f>IF($K35="","",SUMIFS(SITE_COEFFS!$C:$C,SITE_COEFFS!$A:$A,"SurfaceUnevenness",SITE_COEFFS!$B:$B,$K35))</f>
        <v/>
      </c>
      <c r="M35" s="21" t="n"/>
      <c r="N35" s="32">
        <f>IF($M35="","",SUMIFS(SITE_COEFFS!$C:$C,SITE_COEFFS!$A:$A,"AccessClass",SITE_COEFFS!$B:$B,$M35))</f>
        <v/>
      </c>
      <c r="O35" s="21" t="n"/>
      <c r="P35" s="32">
        <f>IF($O35="","",SUMIFS(SITE_COEFFS!$C:$C,SITE_COEFFS!$A:$A,"TurnSpace",SITE_COEFFS!$B:$B,$O35))</f>
        <v/>
      </c>
      <c r="Q35" s="21" t="n"/>
      <c r="R35" s="32">
        <f>IF($Q35="","",SUMIFS(SITE_COEFFS!$C:$C,SITE_COEFFS!$A:$A,"ProximityToBuildings",SITE_COEFFS!$B:$B,$Q35))</f>
        <v/>
      </c>
      <c r="S35" s="21" t="n"/>
      <c r="T35" s="32">
        <f>IF($S35="","",SUMIFS(SITE_COEFFS!$C:$C,SITE_COEFFS!$A:$A,"MachineryAllowed",SITE_COEFFS!$B:$B,$S35))</f>
        <v/>
      </c>
      <c r="U35" s="21" t="n"/>
      <c r="V35" s="21" t="n"/>
      <c r="W35" s="32">
        <f>IF($V35="","",SUMIFS(SITE_COEFFS!$C:$C,SITE_COEFFS!$A:$A,"GeometryComplexity",SITE_COEFFS!$B:$B,$V35))</f>
        <v/>
      </c>
      <c r="X35" s="21" t="n"/>
      <c r="Y35" s="21">
        <f>IF($X35="","",SUMIFS(TARIFF_PROFILES!$D:$D,TARIFF_PROFILES!$A:$A,$X35))</f>
        <v/>
      </c>
      <c r="Z35" s="21">
        <f>IF($X35="","",SUMIFS(TARIFF_PROFILES!$E:$E,TARIFF_PROFILES!$A:$A,$X35))</f>
        <v/>
      </c>
      <c r="AA35" s="21">
        <f>IF($X35="","",SUMIFS(TARIFF_PROFILES!$F:$F,TARIFF_PROFILES!$A:$A,$X35))</f>
        <v/>
      </c>
      <c r="AB35" s="21">
        <f>IF($X35="","",SUMIFS(TARIFF_PROFILES!$G:$G,TARIFF_PROFILES!$A:$A,$X35))</f>
        <v/>
      </c>
      <c r="AC35" s="21">
        <f>IF($X35="","",SUMIFS(TARIFF_PROFILES!$H:$H,TARIFF_PROFILES!$A:$A,$X35))</f>
        <v/>
      </c>
      <c r="AD35" s="21">
        <f>IF($X35="","",INDEX(TARIFF_PROFILES!$J:$J,MATCH($X35,TARIFF_PROFILES!$A:$A,0)))</f>
        <v/>
      </c>
      <c r="AE35" s="21">
        <f>IF($X35="","",INDEX(TARIFF_PROFILES!$K:$K,MATCH($X35,TARIFF_PROFILES!$A:$A,0)))</f>
        <v/>
      </c>
      <c r="AF35" s="19" t="n"/>
      <c r="AG35" s="19" t="n"/>
      <c r="AH35" s="19">
        <f>IF($AG35="","",SUMIFS(OPERATING_COEFFS!$C:$C,OPERATING_COEFFS!$A:$A,"DistanceClass",OPERATING_COEFFS!$B:$B,$AG35))</f>
        <v/>
      </c>
      <c r="AI35" s="19" t="n"/>
      <c r="AJ35" s="19">
        <f>IF($AI35="","",SUMIFS(OPERATING_COEFFS!$C:$C,OPERATING_COEFFS!$A:$A,"SeasonClass",OPERATING_COEFFS!$B:$B,$AI35))</f>
        <v/>
      </c>
      <c r="AK35" s="19" t="n"/>
      <c r="AL35" s="19">
        <f>IF($AK35="","",SUMIFS(OPERATING_COEFFS!$C:$C,OPERATING_COEFFS!$A:$A,"UrgencyClass",OPERATING_COEFFS!$B:$B,$AK35))</f>
        <v/>
      </c>
      <c r="AM35" s="19" t="n"/>
      <c r="AN35" s="19">
        <f>IF($AM35="","",INDEX(TAX_MODES!$B:$B,MATCH($AM35,TAX_MODES!$A:$A,0)))</f>
        <v/>
      </c>
      <c r="AO35" s="19" t="n"/>
      <c r="AP35" s="19" t="n"/>
    </row>
    <row r="36">
      <c r="A36" s="21" t="n"/>
      <c r="B36" s="21" t="n"/>
      <c r="C36" s="21" t="n"/>
      <c r="D36" s="32">
        <f>IF($C36="","",SUMIFS(SITE_COEFFS!$C:$C,SITE_COEFFS!$A:$A,"SoilWorkability",SITE_COEFFS!$B:$B,$C36))</f>
        <v/>
      </c>
      <c r="E36" s="21" t="n"/>
      <c r="F36" s="32">
        <f>IF($E36="","",SUMIFS(SITE_COEFFS!$C:$C,SITE_COEFFS!$A:$A,"SoilMoisture",SITE_COEFFS!$B:$B,$E36))</f>
        <v/>
      </c>
      <c r="G36" s="21" t="n"/>
      <c r="H36" s="32">
        <f>IF($G36="","",SUMIFS(SITE_COEFFS!$C:$C,SITE_COEFFS!$A:$A,"DebrisLevel",SITE_COEFFS!$B:$B,$G36))</f>
        <v/>
      </c>
      <c r="I36" s="21" t="n"/>
      <c r="J36" s="32">
        <f>IF($I36="","",SUMIFS(SITE_COEFFS!$C:$C,SITE_COEFFS!$A:$A,"SlopeClass",SITE_COEFFS!$B:$B,$I36))</f>
        <v/>
      </c>
      <c r="K36" s="21" t="n"/>
      <c r="L36" s="32">
        <f>IF($K36="","",SUMIFS(SITE_COEFFS!$C:$C,SITE_COEFFS!$A:$A,"SurfaceUnevenness",SITE_COEFFS!$B:$B,$K36))</f>
        <v/>
      </c>
      <c r="M36" s="21" t="n"/>
      <c r="N36" s="32">
        <f>IF($M36="","",SUMIFS(SITE_COEFFS!$C:$C,SITE_COEFFS!$A:$A,"AccessClass",SITE_COEFFS!$B:$B,$M36))</f>
        <v/>
      </c>
      <c r="O36" s="21" t="n"/>
      <c r="P36" s="32">
        <f>IF($O36="","",SUMIFS(SITE_COEFFS!$C:$C,SITE_COEFFS!$A:$A,"TurnSpace",SITE_COEFFS!$B:$B,$O36))</f>
        <v/>
      </c>
      <c r="Q36" s="21" t="n"/>
      <c r="R36" s="32">
        <f>IF($Q36="","",SUMIFS(SITE_COEFFS!$C:$C,SITE_COEFFS!$A:$A,"ProximityToBuildings",SITE_COEFFS!$B:$B,$Q36))</f>
        <v/>
      </c>
      <c r="S36" s="21" t="n"/>
      <c r="T36" s="32">
        <f>IF($S36="","",SUMIFS(SITE_COEFFS!$C:$C,SITE_COEFFS!$A:$A,"MachineryAllowed",SITE_COEFFS!$B:$B,$S36))</f>
        <v/>
      </c>
      <c r="U36" s="21" t="n"/>
      <c r="V36" s="21" t="n"/>
      <c r="W36" s="32">
        <f>IF($V36="","",SUMIFS(SITE_COEFFS!$C:$C,SITE_COEFFS!$A:$A,"GeometryComplexity",SITE_COEFFS!$B:$B,$V36))</f>
        <v/>
      </c>
      <c r="X36" s="21" t="n"/>
      <c r="Y36" s="21">
        <f>IF($X36="","",SUMIFS(TARIFF_PROFILES!$D:$D,TARIFF_PROFILES!$A:$A,$X36))</f>
        <v/>
      </c>
      <c r="Z36" s="21">
        <f>IF($X36="","",SUMIFS(TARIFF_PROFILES!$E:$E,TARIFF_PROFILES!$A:$A,$X36))</f>
        <v/>
      </c>
      <c r="AA36" s="21">
        <f>IF($X36="","",SUMIFS(TARIFF_PROFILES!$F:$F,TARIFF_PROFILES!$A:$A,$X36))</f>
        <v/>
      </c>
      <c r="AB36" s="21">
        <f>IF($X36="","",SUMIFS(TARIFF_PROFILES!$G:$G,TARIFF_PROFILES!$A:$A,$X36))</f>
        <v/>
      </c>
      <c r="AC36" s="21">
        <f>IF($X36="","",SUMIFS(TARIFF_PROFILES!$H:$H,TARIFF_PROFILES!$A:$A,$X36))</f>
        <v/>
      </c>
      <c r="AD36" s="21">
        <f>IF($X36="","",INDEX(TARIFF_PROFILES!$J:$J,MATCH($X36,TARIFF_PROFILES!$A:$A,0)))</f>
        <v/>
      </c>
      <c r="AE36" s="21">
        <f>IF($X36="","",INDEX(TARIFF_PROFILES!$K:$K,MATCH($X36,TARIFF_PROFILES!$A:$A,0)))</f>
        <v/>
      </c>
      <c r="AF36" s="19" t="n"/>
      <c r="AG36" s="19" t="n"/>
      <c r="AH36" s="19">
        <f>IF($AG36="","",SUMIFS(OPERATING_COEFFS!$C:$C,OPERATING_COEFFS!$A:$A,"DistanceClass",OPERATING_COEFFS!$B:$B,$AG36))</f>
        <v/>
      </c>
      <c r="AI36" s="19" t="n"/>
      <c r="AJ36" s="19">
        <f>IF($AI36="","",SUMIFS(OPERATING_COEFFS!$C:$C,OPERATING_COEFFS!$A:$A,"SeasonClass",OPERATING_COEFFS!$B:$B,$AI36))</f>
        <v/>
      </c>
      <c r="AK36" s="19" t="n"/>
      <c r="AL36" s="19">
        <f>IF($AK36="","",SUMIFS(OPERATING_COEFFS!$C:$C,OPERATING_COEFFS!$A:$A,"UrgencyClass",OPERATING_COEFFS!$B:$B,$AK36))</f>
        <v/>
      </c>
      <c r="AM36" s="19" t="n"/>
      <c r="AN36" s="19">
        <f>IF($AM36="","",INDEX(TAX_MODES!$B:$B,MATCH($AM36,TAX_MODES!$A:$A,0)))</f>
        <v/>
      </c>
      <c r="AO36" s="19" t="n"/>
      <c r="AP36" s="19" t="n"/>
    </row>
    <row r="37">
      <c r="A37" s="21" t="n"/>
      <c r="B37" s="21" t="n"/>
      <c r="C37" s="21" t="n"/>
      <c r="D37" s="32">
        <f>IF($C37="","",SUMIFS(SITE_COEFFS!$C:$C,SITE_COEFFS!$A:$A,"SoilWorkability",SITE_COEFFS!$B:$B,$C37))</f>
        <v/>
      </c>
      <c r="E37" s="21" t="n"/>
      <c r="F37" s="32">
        <f>IF($E37="","",SUMIFS(SITE_COEFFS!$C:$C,SITE_COEFFS!$A:$A,"SoilMoisture",SITE_COEFFS!$B:$B,$E37))</f>
        <v/>
      </c>
      <c r="G37" s="21" t="n"/>
      <c r="H37" s="32">
        <f>IF($G37="","",SUMIFS(SITE_COEFFS!$C:$C,SITE_COEFFS!$A:$A,"DebrisLevel",SITE_COEFFS!$B:$B,$G37))</f>
        <v/>
      </c>
      <c r="I37" s="21" t="n"/>
      <c r="J37" s="32">
        <f>IF($I37="","",SUMIFS(SITE_COEFFS!$C:$C,SITE_COEFFS!$A:$A,"SlopeClass",SITE_COEFFS!$B:$B,$I37))</f>
        <v/>
      </c>
      <c r="K37" s="21" t="n"/>
      <c r="L37" s="32">
        <f>IF($K37="","",SUMIFS(SITE_COEFFS!$C:$C,SITE_COEFFS!$A:$A,"SurfaceUnevenness",SITE_COEFFS!$B:$B,$K37))</f>
        <v/>
      </c>
      <c r="M37" s="21" t="n"/>
      <c r="N37" s="32">
        <f>IF($M37="","",SUMIFS(SITE_COEFFS!$C:$C,SITE_COEFFS!$A:$A,"AccessClass",SITE_COEFFS!$B:$B,$M37))</f>
        <v/>
      </c>
      <c r="O37" s="21" t="n"/>
      <c r="P37" s="32">
        <f>IF($O37="","",SUMIFS(SITE_COEFFS!$C:$C,SITE_COEFFS!$A:$A,"TurnSpace",SITE_COEFFS!$B:$B,$O37))</f>
        <v/>
      </c>
      <c r="Q37" s="21" t="n"/>
      <c r="R37" s="32">
        <f>IF($Q37="","",SUMIFS(SITE_COEFFS!$C:$C,SITE_COEFFS!$A:$A,"ProximityToBuildings",SITE_COEFFS!$B:$B,$Q37))</f>
        <v/>
      </c>
      <c r="S37" s="21" t="n"/>
      <c r="T37" s="32">
        <f>IF($S37="","",SUMIFS(SITE_COEFFS!$C:$C,SITE_COEFFS!$A:$A,"MachineryAllowed",SITE_COEFFS!$B:$B,$S37))</f>
        <v/>
      </c>
      <c r="U37" s="21" t="n"/>
      <c r="V37" s="21" t="n"/>
      <c r="W37" s="32">
        <f>IF($V37="","",SUMIFS(SITE_COEFFS!$C:$C,SITE_COEFFS!$A:$A,"GeometryComplexity",SITE_COEFFS!$B:$B,$V37))</f>
        <v/>
      </c>
      <c r="X37" s="21" t="n"/>
      <c r="Y37" s="21">
        <f>IF($X37="","",SUMIFS(TARIFF_PROFILES!$D:$D,TARIFF_PROFILES!$A:$A,$X37))</f>
        <v/>
      </c>
      <c r="Z37" s="21">
        <f>IF($X37="","",SUMIFS(TARIFF_PROFILES!$E:$E,TARIFF_PROFILES!$A:$A,$X37))</f>
        <v/>
      </c>
      <c r="AA37" s="21">
        <f>IF($X37="","",SUMIFS(TARIFF_PROFILES!$F:$F,TARIFF_PROFILES!$A:$A,$X37))</f>
        <v/>
      </c>
      <c r="AB37" s="21">
        <f>IF($X37="","",SUMIFS(TARIFF_PROFILES!$G:$G,TARIFF_PROFILES!$A:$A,$X37))</f>
        <v/>
      </c>
      <c r="AC37" s="21">
        <f>IF($X37="","",SUMIFS(TARIFF_PROFILES!$H:$H,TARIFF_PROFILES!$A:$A,$X37))</f>
        <v/>
      </c>
      <c r="AD37" s="21">
        <f>IF($X37="","",INDEX(TARIFF_PROFILES!$J:$J,MATCH($X37,TARIFF_PROFILES!$A:$A,0)))</f>
        <v/>
      </c>
      <c r="AE37" s="21">
        <f>IF($X37="","",INDEX(TARIFF_PROFILES!$K:$K,MATCH($X37,TARIFF_PROFILES!$A:$A,0)))</f>
        <v/>
      </c>
      <c r="AF37" s="19" t="n"/>
      <c r="AG37" s="19" t="n"/>
      <c r="AH37" s="19">
        <f>IF($AG37="","",SUMIFS(OPERATING_COEFFS!$C:$C,OPERATING_COEFFS!$A:$A,"DistanceClass",OPERATING_COEFFS!$B:$B,$AG37))</f>
        <v/>
      </c>
      <c r="AI37" s="19" t="n"/>
      <c r="AJ37" s="19">
        <f>IF($AI37="","",SUMIFS(OPERATING_COEFFS!$C:$C,OPERATING_COEFFS!$A:$A,"SeasonClass",OPERATING_COEFFS!$B:$B,$AI37))</f>
        <v/>
      </c>
      <c r="AK37" s="19" t="n"/>
      <c r="AL37" s="19">
        <f>IF($AK37="","",SUMIFS(OPERATING_COEFFS!$C:$C,OPERATING_COEFFS!$A:$A,"UrgencyClass",OPERATING_COEFFS!$B:$B,$AK37))</f>
        <v/>
      </c>
      <c r="AM37" s="19" t="n"/>
      <c r="AN37" s="19">
        <f>IF($AM37="","",INDEX(TAX_MODES!$B:$B,MATCH($AM37,TAX_MODES!$A:$A,0)))</f>
        <v/>
      </c>
      <c r="AO37" s="19" t="n"/>
      <c r="AP37" s="19" t="n"/>
    </row>
    <row r="38">
      <c r="A38" s="21" t="n"/>
      <c r="B38" s="21" t="n"/>
      <c r="C38" s="21" t="n"/>
      <c r="D38" s="32">
        <f>IF($C38="","",SUMIFS(SITE_COEFFS!$C:$C,SITE_COEFFS!$A:$A,"SoilWorkability",SITE_COEFFS!$B:$B,$C38))</f>
        <v/>
      </c>
      <c r="E38" s="21" t="n"/>
      <c r="F38" s="32">
        <f>IF($E38="","",SUMIFS(SITE_COEFFS!$C:$C,SITE_COEFFS!$A:$A,"SoilMoisture",SITE_COEFFS!$B:$B,$E38))</f>
        <v/>
      </c>
      <c r="G38" s="21" t="n"/>
      <c r="H38" s="32">
        <f>IF($G38="","",SUMIFS(SITE_COEFFS!$C:$C,SITE_COEFFS!$A:$A,"DebrisLevel",SITE_COEFFS!$B:$B,$G38))</f>
        <v/>
      </c>
      <c r="I38" s="21" t="n"/>
      <c r="J38" s="32">
        <f>IF($I38="","",SUMIFS(SITE_COEFFS!$C:$C,SITE_COEFFS!$A:$A,"SlopeClass",SITE_COEFFS!$B:$B,$I38))</f>
        <v/>
      </c>
      <c r="K38" s="21" t="n"/>
      <c r="L38" s="32">
        <f>IF($K38="","",SUMIFS(SITE_COEFFS!$C:$C,SITE_COEFFS!$A:$A,"SurfaceUnevenness",SITE_COEFFS!$B:$B,$K38))</f>
        <v/>
      </c>
      <c r="M38" s="21" t="n"/>
      <c r="N38" s="32">
        <f>IF($M38="","",SUMIFS(SITE_COEFFS!$C:$C,SITE_COEFFS!$A:$A,"AccessClass",SITE_COEFFS!$B:$B,$M38))</f>
        <v/>
      </c>
      <c r="O38" s="21" t="n"/>
      <c r="P38" s="32">
        <f>IF($O38="","",SUMIFS(SITE_COEFFS!$C:$C,SITE_COEFFS!$A:$A,"TurnSpace",SITE_COEFFS!$B:$B,$O38))</f>
        <v/>
      </c>
      <c r="Q38" s="21" t="n"/>
      <c r="R38" s="32">
        <f>IF($Q38="","",SUMIFS(SITE_COEFFS!$C:$C,SITE_COEFFS!$A:$A,"ProximityToBuildings",SITE_COEFFS!$B:$B,$Q38))</f>
        <v/>
      </c>
      <c r="S38" s="21" t="n"/>
      <c r="T38" s="32">
        <f>IF($S38="","",SUMIFS(SITE_COEFFS!$C:$C,SITE_COEFFS!$A:$A,"MachineryAllowed",SITE_COEFFS!$B:$B,$S38))</f>
        <v/>
      </c>
      <c r="U38" s="21" t="n"/>
      <c r="V38" s="21" t="n"/>
      <c r="W38" s="32">
        <f>IF($V38="","",SUMIFS(SITE_COEFFS!$C:$C,SITE_COEFFS!$A:$A,"GeometryComplexity",SITE_COEFFS!$B:$B,$V38))</f>
        <v/>
      </c>
      <c r="X38" s="21" t="n"/>
      <c r="Y38" s="21">
        <f>IF($X38="","",SUMIFS(TARIFF_PROFILES!$D:$D,TARIFF_PROFILES!$A:$A,$X38))</f>
        <v/>
      </c>
      <c r="Z38" s="21">
        <f>IF($X38="","",SUMIFS(TARIFF_PROFILES!$E:$E,TARIFF_PROFILES!$A:$A,$X38))</f>
        <v/>
      </c>
      <c r="AA38" s="21">
        <f>IF($X38="","",SUMIFS(TARIFF_PROFILES!$F:$F,TARIFF_PROFILES!$A:$A,$X38))</f>
        <v/>
      </c>
      <c r="AB38" s="21">
        <f>IF($X38="","",SUMIFS(TARIFF_PROFILES!$G:$G,TARIFF_PROFILES!$A:$A,$X38))</f>
        <v/>
      </c>
      <c r="AC38" s="21">
        <f>IF($X38="","",SUMIFS(TARIFF_PROFILES!$H:$H,TARIFF_PROFILES!$A:$A,$X38))</f>
        <v/>
      </c>
      <c r="AD38" s="21">
        <f>IF($X38="","",INDEX(TARIFF_PROFILES!$J:$J,MATCH($X38,TARIFF_PROFILES!$A:$A,0)))</f>
        <v/>
      </c>
      <c r="AE38" s="21">
        <f>IF($X38="","",INDEX(TARIFF_PROFILES!$K:$K,MATCH($X38,TARIFF_PROFILES!$A:$A,0)))</f>
        <v/>
      </c>
      <c r="AF38" s="19" t="n"/>
      <c r="AG38" s="19" t="n"/>
      <c r="AH38" s="19">
        <f>IF($AG38="","",SUMIFS(OPERATING_COEFFS!$C:$C,OPERATING_COEFFS!$A:$A,"DistanceClass",OPERATING_COEFFS!$B:$B,$AG38))</f>
        <v/>
      </c>
      <c r="AI38" s="19" t="n"/>
      <c r="AJ38" s="19">
        <f>IF($AI38="","",SUMIFS(OPERATING_COEFFS!$C:$C,OPERATING_COEFFS!$A:$A,"SeasonClass",OPERATING_COEFFS!$B:$B,$AI38))</f>
        <v/>
      </c>
      <c r="AK38" s="19" t="n"/>
      <c r="AL38" s="19">
        <f>IF($AK38="","",SUMIFS(OPERATING_COEFFS!$C:$C,OPERATING_COEFFS!$A:$A,"UrgencyClass",OPERATING_COEFFS!$B:$B,$AK38))</f>
        <v/>
      </c>
      <c r="AM38" s="19" t="n"/>
      <c r="AN38" s="19">
        <f>IF($AM38="","",INDEX(TAX_MODES!$B:$B,MATCH($AM38,TAX_MODES!$A:$A,0)))</f>
        <v/>
      </c>
      <c r="AO38" s="19" t="n"/>
      <c r="AP38" s="19" t="n"/>
    </row>
    <row r="39">
      <c r="A39" s="21" t="n"/>
      <c r="B39" s="21" t="n"/>
      <c r="C39" s="21" t="n"/>
      <c r="D39" s="32">
        <f>IF($C39="","",SUMIFS(SITE_COEFFS!$C:$C,SITE_COEFFS!$A:$A,"SoilWorkability",SITE_COEFFS!$B:$B,$C39))</f>
        <v/>
      </c>
      <c r="E39" s="21" t="n"/>
      <c r="F39" s="32">
        <f>IF($E39="","",SUMIFS(SITE_COEFFS!$C:$C,SITE_COEFFS!$A:$A,"SoilMoisture",SITE_COEFFS!$B:$B,$E39))</f>
        <v/>
      </c>
      <c r="G39" s="21" t="n"/>
      <c r="H39" s="32">
        <f>IF($G39="","",SUMIFS(SITE_COEFFS!$C:$C,SITE_COEFFS!$A:$A,"DebrisLevel",SITE_COEFFS!$B:$B,$G39))</f>
        <v/>
      </c>
      <c r="I39" s="21" t="n"/>
      <c r="J39" s="32">
        <f>IF($I39="","",SUMIFS(SITE_COEFFS!$C:$C,SITE_COEFFS!$A:$A,"SlopeClass",SITE_COEFFS!$B:$B,$I39))</f>
        <v/>
      </c>
      <c r="K39" s="21" t="n"/>
      <c r="L39" s="32">
        <f>IF($K39="","",SUMIFS(SITE_COEFFS!$C:$C,SITE_COEFFS!$A:$A,"SurfaceUnevenness",SITE_COEFFS!$B:$B,$K39))</f>
        <v/>
      </c>
      <c r="M39" s="21" t="n"/>
      <c r="N39" s="32">
        <f>IF($M39="","",SUMIFS(SITE_COEFFS!$C:$C,SITE_COEFFS!$A:$A,"AccessClass",SITE_COEFFS!$B:$B,$M39))</f>
        <v/>
      </c>
      <c r="O39" s="21" t="n"/>
      <c r="P39" s="32">
        <f>IF($O39="","",SUMIFS(SITE_COEFFS!$C:$C,SITE_COEFFS!$A:$A,"TurnSpace",SITE_COEFFS!$B:$B,$O39))</f>
        <v/>
      </c>
      <c r="Q39" s="21" t="n"/>
      <c r="R39" s="32">
        <f>IF($Q39="","",SUMIFS(SITE_COEFFS!$C:$C,SITE_COEFFS!$A:$A,"ProximityToBuildings",SITE_COEFFS!$B:$B,$Q39))</f>
        <v/>
      </c>
      <c r="S39" s="21" t="n"/>
      <c r="T39" s="32">
        <f>IF($S39="","",SUMIFS(SITE_COEFFS!$C:$C,SITE_COEFFS!$A:$A,"MachineryAllowed",SITE_COEFFS!$B:$B,$S39))</f>
        <v/>
      </c>
      <c r="U39" s="21" t="n"/>
      <c r="V39" s="21" t="n"/>
      <c r="W39" s="32">
        <f>IF($V39="","",SUMIFS(SITE_COEFFS!$C:$C,SITE_COEFFS!$A:$A,"GeometryComplexity",SITE_COEFFS!$B:$B,$V39))</f>
        <v/>
      </c>
      <c r="X39" s="21" t="n"/>
      <c r="Y39" s="21">
        <f>IF($X39="","",SUMIFS(TARIFF_PROFILES!$D:$D,TARIFF_PROFILES!$A:$A,$X39))</f>
        <v/>
      </c>
      <c r="Z39" s="21">
        <f>IF($X39="","",SUMIFS(TARIFF_PROFILES!$E:$E,TARIFF_PROFILES!$A:$A,$X39))</f>
        <v/>
      </c>
      <c r="AA39" s="21">
        <f>IF($X39="","",SUMIFS(TARIFF_PROFILES!$F:$F,TARIFF_PROFILES!$A:$A,$X39))</f>
        <v/>
      </c>
      <c r="AB39" s="21">
        <f>IF($X39="","",SUMIFS(TARIFF_PROFILES!$G:$G,TARIFF_PROFILES!$A:$A,$X39))</f>
        <v/>
      </c>
      <c r="AC39" s="21">
        <f>IF($X39="","",SUMIFS(TARIFF_PROFILES!$H:$H,TARIFF_PROFILES!$A:$A,$X39))</f>
        <v/>
      </c>
      <c r="AD39" s="21">
        <f>IF($X39="","",INDEX(TARIFF_PROFILES!$J:$J,MATCH($X39,TARIFF_PROFILES!$A:$A,0)))</f>
        <v/>
      </c>
      <c r="AE39" s="21">
        <f>IF($X39="","",INDEX(TARIFF_PROFILES!$K:$K,MATCH($X39,TARIFF_PROFILES!$A:$A,0)))</f>
        <v/>
      </c>
      <c r="AF39" s="19" t="n"/>
      <c r="AG39" s="19" t="n"/>
      <c r="AH39" s="19">
        <f>IF($AG39="","",SUMIFS(OPERATING_COEFFS!$C:$C,OPERATING_COEFFS!$A:$A,"DistanceClass",OPERATING_COEFFS!$B:$B,$AG39))</f>
        <v/>
      </c>
      <c r="AI39" s="19" t="n"/>
      <c r="AJ39" s="19">
        <f>IF($AI39="","",SUMIFS(OPERATING_COEFFS!$C:$C,OPERATING_COEFFS!$A:$A,"SeasonClass",OPERATING_COEFFS!$B:$B,$AI39))</f>
        <v/>
      </c>
      <c r="AK39" s="19" t="n"/>
      <c r="AL39" s="19">
        <f>IF($AK39="","",SUMIFS(OPERATING_COEFFS!$C:$C,OPERATING_COEFFS!$A:$A,"UrgencyClass",OPERATING_COEFFS!$B:$B,$AK39))</f>
        <v/>
      </c>
      <c r="AM39" s="19" t="n"/>
      <c r="AN39" s="19">
        <f>IF($AM39="","",INDEX(TAX_MODES!$B:$B,MATCH($AM39,TAX_MODES!$A:$A,0)))</f>
        <v/>
      </c>
      <c r="AO39" s="19" t="n"/>
      <c r="AP39" s="19" t="n"/>
    </row>
    <row r="40">
      <c r="A40" s="21" t="n"/>
      <c r="B40" s="21" t="n"/>
      <c r="C40" s="21" t="n"/>
      <c r="D40" s="32">
        <f>IF($C40="","",SUMIFS(SITE_COEFFS!$C:$C,SITE_COEFFS!$A:$A,"SoilWorkability",SITE_COEFFS!$B:$B,$C40))</f>
        <v/>
      </c>
      <c r="E40" s="21" t="n"/>
      <c r="F40" s="32">
        <f>IF($E40="","",SUMIFS(SITE_COEFFS!$C:$C,SITE_COEFFS!$A:$A,"SoilMoisture",SITE_COEFFS!$B:$B,$E40))</f>
        <v/>
      </c>
      <c r="G40" s="21" t="n"/>
      <c r="H40" s="32">
        <f>IF($G40="","",SUMIFS(SITE_COEFFS!$C:$C,SITE_COEFFS!$A:$A,"DebrisLevel",SITE_COEFFS!$B:$B,$G40))</f>
        <v/>
      </c>
      <c r="I40" s="21" t="n"/>
      <c r="J40" s="32">
        <f>IF($I40="","",SUMIFS(SITE_COEFFS!$C:$C,SITE_COEFFS!$A:$A,"SlopeClass",SITE_COEFFS!$B:$B,$I40))</f>
        <v/>
      </c>
      <c r="K40" s="21" t="n"/>
      <c r="L40" s="32">
        <f>IF($K40="","",SUMIFS(SITE_COEFFS!$C:$C,SITE_COEFFS!$A:$A,"SurfaceUnevenness",SITE_COEFFS!$B:$B,$K40))</f>
        <v/>
      </c>
      <c r="M40" s="21" t="n"/>
      <c r="N40" s="32">
        <f>IF($M40="","",SUMIFS(SITE_COEFFS!$C:$C,SITE_COEFFS!$A:$A,"AccessClass",SITE_COEFFS!$B:$B,$M40))</f>
        <v/>
      </c>
      <c r="O40" s="21" t="n"/>
      <c r="P40" s="32">
        <f>IF($O40="","",SUMIFS(SITE_COEFFS!$C:$C,SITE_COEFFS!$A:$A,"TurnSpace",SITE_COEFFS!$B:$B,$O40))</f>
        <v/>
      </c>
      <c r="Q40" s="21" t="n"/>
      <c r="R40" s="32">
        <f>IF($Q40="","",SUMIFS(SITE_COEFFS!$C:$C,SITE_COEFFS!$A:$A,"ProximityToBuildings",SITE_COEFFS!$B:$B,$Q40))</f>
        <v/>
      </c>
      <c r="S40" s="21" t="n"/>
      <c r="T40" s="32">
        <f>IF($S40="","",SUMIFS(SITE_COEFFS!$C:$C,SITE_COEFFS!$A:$A,"MachineryAllowed",SITE_COEFFS!$B:$B,$S40))</f>
        <v/>
      </c>
      <c r="U40" s="21" t="n"/>
      <c r="V40" s="21" t="n"/>
      <c r="W40" s="32">
        <f>IF($V40="","",SUMIFS(SITE_COEFFS!$C:$C,SITE_COEFFS!$A:$A,"GeometryComplexity",SITE_COEFFS!$B:$B,$V40))</f>
        <v/>
      </c>
      <c r="X40" s="21" t="n"/>
      <c r="Y40" s="21">
        <f>IF($X40="","",SUMIFS(TARIFF_PROFILES!$D:$D,TARIFF_PROFILES!$A:$A,$X40))</f>
        <v/>
      </c>
      <c r="Z40" s="21">
        <f>IF($X40="","",SUMIFS(TARIFF_PROFILES!$E:$E,TARIFF_PROFILES!$A:$A,$X40))</f>
        <v/>
      </c>
      <c r="AA40" s="21">
        <f>IF($X40="","",SUMIFS(TARIFF_PROFILES!$F:$F,TARIFF_PROFILES!$A:$A,$X40))</f>
        <v/>
      </c>
      <c r="AB40" s="21">
        <f>IF($X40="","",SUMIFS(TARIFF_PROFILES!$G:$G,TARIFF_PROFILES!$A:$A,$X40))</f>
        <v/>
      </c>
      <c r="AC40" s="21">
        <f>IF($X40="","",SUMIFS(TARIFF_PROFILES!$H:$H,TARIFF_PROFILES!$A:$A,$X40))</f>
        <v/>
      </c>
      <c r="AD40" s="21">
        <f>IF($X40="","",INDEX(TARIFF_PROFILES!$J:$J,MATCH($X40,TARIFF_PROFILES!$A:$A,0)))</f>
        <v/>
      </c>
      <c r="AE40" s="21">
        <f>IF($X40="","",INDEX(TARIFF_PROFILES!$K:$K,MATCH($X40,TARIFF_PROFILES!$A:$A,0)))</f>
        <v/>
      </c>
      <c r="AF40" s="19" t="n"/>
      <c r="AG40" s="19" t="n"/>
      <c r="AH40" s="19">
        <f>IF($AG40="","",SUMIFS(OPERATING_COEFFS!$C:$C,OPERATING_COEFFS!$A:$A,"DistanceClass",OPERATING_COEFFS!$B:$B,$AG40))</f>
        <v/>
      </c>
      <c r="AI40" s="19" t="n"/>
      <c r="AJ40" s="19">
        <f>IF($AI40="","",SUMIFS(OPERATING_COEFFS!$C:$C,OPERATING_COEFFS!$A:$A,"SeasonClass",OPERATING_COEFFS!$B:$B,$AI40))</f>
        <v/>
      </c>
      <c r="AK40" s="19" t="n"/>
      <c r="AL40" s="19">
        <f>IF($AK40="","",SUMIFS(OPERATING_COEFFS!$C:$C,OPERATING_COEFFS!$A:$A,"UrgencyClass",OPERATING_COEFFS!$B:$B,$AK40))</f>
        <v/>
      </c>
      <c r="AM40" s="19" t="n"/>
      <c r="AN40" s="19">
        <f>IF($AM40="","",INDEX(TAX_MODES!$B:$B,MATCH($AM40,TAX_MODES!$A:$A,0)))</f>
        <v/>
      </c>
      <c r="AO40" s="19" t="n"/>
      <c r="AP40" s="19" t="n"/>
    </row>
    <row r="41">
      <c r="A41" s="21" t="n"/>
      <c r="B41" s="21" t="n"/>
      <c r="C41" s="21" t="n"/>
      <c r="D41" s="32">
        <f>IF($C41="","",SUMIFS(SITE_COEFFS!$C:$C,SITE_COEFFS!$A:$A,"SoilWorkability",SITE_COEFFS!$B:$B,$C41))</f>
        <v/>
      </c>
      <c r="E41" s="21" t="n"/>
      <c r="F41" s="32">
        <f>IF($E41="","",SUMIFS(SITE_COEFFS!$C:$C,SITE_COEFFS!$A:$A,"SoilMoisture",SITE_COEFFS!$B:$B,$E41))</f>
        <v/>
      </c>
      <c r="G41" s="21" t="n"/>
      <c r="H41" s="32">
        <f>IF($G41="","",SUMIFS(SITE_COEFFS!$C:$C,SITE_COEFFS!$A:$A,"DebrisLevel",SITE_COEFFS!$B:$B,$G41))</f>
        <v/>
      </c>
      <c r="I41" s="21" t="n"/>
      <c r="J41" s="32">
        <f>IF($I41="","",SUMIFS(SITE_COEFFS!$C:$C,SITE_COEFFS!$A:$A,"SlopeClass",SITE_COEFFS!$B:$B,$I41))</f>
        <v/>
      </c>
      <c r="K41" s="21" t="n"/>
      <c r="L41" s="32">
        <f>IF($K41="","",SUMIFS(SITE_COEFFS!$C:$C,SITE_COEFFS!$A:$A,"SurfaceUnevenness",SITE_COEFFS!$B:$B,$K41))</f>
        <v/>
      </c>
      <c r="M41" s="21" t="n"/>
      <c r="N41" s="32">
        <f>IF($M41="","",SUMIFS(SITE_COEFFS!$C:$C,SITE_COEFFS!$A:$A,"AccessClass",SITE_COEFFS!$B:$B,$M41))</f>
        <v/>
      </c>
      <c r="O41" s="21" t="n"/>
      <c r="P41" s="32">
        <f>IF($O41="","",SUMIFS(SITE_COEFFS!$C:$C,SITE_COEFFS!$A:$A,"TurnSpace",SITE_COEFFS!$B:$B,$O41))</f>
        <v/>
      </c>
      <c r="Q41" s="21" t="n"/>
      <c r="R41" s="32">
        <f>IF($Q41="","",SUMIFS(SITE_COEFFS!$C:$C,SITE_COEFFS!$A:$A,"ProximityToBuildings",SITE_COEFFS!$B:$B,$Q41))</f>
        <v/>
      </c>
      <c r="S41" s="21" t="n"/>
      <c r="T41" s="32">
        <f>IF($S41="","",SUMIFS(SITE_COEFFS!$C:$C,SITE_COEFFS!$A:$A,"MachineryAllowed",SITE_COEFFS!$B:$B,$S41))</f>
        <v/>
      </c>
      <c r="U41" s="21" t="n"/>
      <c r="V41" s="21" t="n"/>
      <c r="W41" s="32">
        <f>IF($V41="","",SUMIFS(SITE_COEFFS!$C:$C,SITE_COEFFS!$A:$A,"GeometryComplexity",SITE_COEFFS!$B:$B,$V41))</f>
        <v/>
      </c>
      <c r="X41" s="21" t="n"/>
      <c r="Y41" s="21">
        <f>IF($X41="","",SUMIFS(TARIFF_PROFILES!$D:$D,TARIFF_PROFILES!$A:$A,$X41))</f>
        <v/>
      </c>
      <c r="Z41" s="21">
        <f>IF($X41="","",SUMIFS(TARIFF_PROFILES!$E:$E,TARIFF_PROFILES!$A:$A,$X41))</f>
        <v/>
      </c>
      <c r="AA41" s="21">
        <f>IF($X41="","",SUMIFS(TARIFF_PROFILES!$F:$F,TARIFF_PROFILES!$A:$A,$X41))</f>
        <v/>
      </c>
      <c r="AB41" s="21">
        <f>IF($X41="","",SUMIFS(TARIFF_PROFILES!$G:$G,TARIFF_PROFILES!$A:$A,$X41))</f>
        <v/>
      </c>
      <c r="AC41" s="21">
        <f>IF($X41="","",SUMIFS(TARIFF_PROFILES!$H:$H,TARIFF_PROFILES!$A:$A,$X41))</f>
        <v/>
      </c>
      <c r="AD41" s="21">
        <f>IF($X41="","",INDEX(TARIFF_PROFILES!$J:$J,MATCH($X41,TARIFF_PROFILES!$A:$A,0)))</f>
        <v/>
      </c>
      <c r="AE41" s="21">
        <f>IF($X41="","",INDEX(TARIFF_PROFILES!$K:$K,MATCH($X41,TARIFF_PROFILES!$A:$A,0)))</f>
        <v/>
      </c>
      <c r="AF41" s="19" t="n"/>
      <c r="AG41" s="19" t="n"/>
      <c r="AH41" s="19">
        <f>IF($AG41="","",SUMIFS(OPERATING_COEFFS!$C:$C,OPERATING_COEFFS!$A:$A,"DistanceClass",OPERATING_COEFFS!$B:$B,$AG41))</f>
        <v/>
      </c>
      <c r="AI41" s="19" t="n"/>
      <c r="AJ41" s="19">
        <f>IF($AI41="","",SUMIFS(OPERATING_COEFFS!$C:$C,OPERATING_COEFFS!$A:$A,"SeasonClass",OPERATING_COEFFS!$B:$B,$AI41))</f>
        <v/>
      </c>
      <c r="AK41" s="19" t="n"/>
      <c r="AL41" s="19">
        <f>IF($AK41="","",SUMIFS(OPERATING_COEFFS!$C:$C,OPERATING_COEFFS!$A:$A,"UrgencyClass",OPERATING_COEFFS!$B:$B,$AK41))</f>
        <v/>
      </c>
      <c r="AM41" s="19" t="n"/>
      <c r="AN41" s="19">
        <f>IF($AM41="","",INDEX(TAX_MODES!$B:$B,MATCH($AM41,TAX_MODES!$A:$A,0)))</f>
        <v/>
      </c>
      <c r="AO41" s="19" t="n"/>
      <c r="AP41" s="19" t="n"/>
    </row>
    <row r="42">
      <c r="A42" s="21" t="n"/>
      <c r="B42" s="21" t="n"/>
      <c r="C42" s="21" t="n"/>
      <c r="D42" s="32">
        <f>IF($C42="","",SUMIFS(SITE_COEFFS!$C:$C,SITE_COEFFS!$A:$A,"SoilWorkability",SITE_COEFFS!$B:$B,$C42))</f>
        <v/>
      </c>
      <c r="E42" s="21" t="n"/>
      <c r="F42" s="32">
        <f>IF($E42="","",SUMIFS(SITE_COEFFS!$C:$C,SITE_COEFFS!$A:$A,"SoilMoisture",SITE_COEFFS!$B:$B,$E42))</f>
        <v/>
      </c>
      <c r="G42" s="21" t="n"/>
      <c r="H42" s="32">
        <f>IF($G42="","",SUMIFS(SITE_COEFFS!$C:$C,SITE_COEFFS!$A:$A,"DebrisLevel",SITE_COEFFS!$B:$B,$G42))</f>
        <v/>
      </c>
      <c r="I42" s="21" t="n"/>
      <c r="J42" s="32">
        <f>IF($I42="","",SUMIFS(SITE_COEFFS!$C:$C,SITE_COEFFS!$A:$A,"SlopeClass",SITE_COEFFS!$B:$B,$I42))</f>
        <v/>
      </c>
      <c r="K42" s="21" t="n"/>
      <c r="L42" s="32">
        <f>IF($K42="","",SUMIFS(SITE_COEFFS!$C:$C,SITE_COEFFS!$A:$A,"SurfaceUnevenness",SITE_COEFFS!$B:$B,$K42))</f>
        <v/>
      </c>
      <c r="M42" s="21" t="n"/>
      <c r="N42" s="32">
        <f>IF($M42="","",SUMIFS(SITE_COEFFS!$C:$C,SITE_COEFFS!$A:$A,"AccessClass",SITE_COEFFS!$B:$B,$M42))</f>
        <v/>
      </c>
      <c r="O42" s="21" t="n"/>
      <c r="P42" s="32">
        <f>IF($O42="","",SUMIFS(SITE_COEFFS!$C:$C,SITE_COEFFS!$A:$A,"TurnSpace",SITE_COEFFS!$B:$B,$O42))</f>
        <v/>
      </c>
      <c r="Q42" s="21" t="n"/>
      <c r="R42" s="32">
        <f>IF($Q42="","",SUMIFS(SITE_COEFFS!$C:$C,SITE_COEFFS!$A:$A,"ProximityToBuildings",SITE_COEFFS!$B:$B,$Q42))</f>
        <v/>
      </c>
      <c r="S42" s="21" t="n"/>
      <c r="T42" s="32">
        <f>IF($S42="","",SUMIFS(SITE_COEFFS!$C:$C,SITE_COEFFS!$A:$A,"MachineryAllowed",SITE_COEFFS!$B:$B,$S42))</f>
        <v/>
      </c>
      <c r="U42" s="21" t="n"/>
      <c r="V42" s="21" t="n"/>
      <c r="W42" s="32">
        <f>IF($V42="","",SUMIFS(SITE_COEFFS!$C:$C,SITE_COEFFS!$A:$A,"GeometryComplexity",SITE_COEFFS!$B:$B,$V42))</f>
        <v/>
      </c>
      <c r="X42" s="21" t="n"/>
      <c r="Y42" s="21">
        <f>IF($X42="","",SUMIFS(TARIFF_PROFILES!$D:$D,TARIFF_PROFILES!$A:$A,$X42))</f>
        <v/>
      </c>
      <c r="Z42" s="21">
        <f>IF($X42="","",SUMIFS(TARIFF_PROFILES!$E:$E,TARIFF_PROFILES!$A:$A,$X42))</f>
        <v/>
      </c>
      <c r="AA42" s="21">
        <f>IF($X42="","",SUMIFS(TARIFF_PROFILES!$F:$F,TARIFF_PROFILES!$A:$A,$X42))</f>
        <v/>
      </c>
      <c r="AB42" s="21">
        <f>IF($X42="","",SUMIFS(TARIFF_PROFILES!$G:$G,TARIFF_PROFILES!$A:$A,$X42))</f>
        <v/>
      </c>
      <c r="AC42" s="21">
        <f>IF($X42="","",SUMIFS(TARIFF_PROFILES!$H:$H,TARIFF_PROFILES!$A:$A,$X42))</f>
        <v/>
      </c>
      <c r="AD42" s="21">
        <f>IF($X42="","",INDEX(TARIFF_PROFILES!$J:$J,MATCH($X42,TARIFF_PROFILES!$A:$A,0)))</f>
        <v/>
      </c>
      <c r="AE42" s="21">
        <f>IF($X42="","",INDEX(TARIFF_PROFILES!$K:$K,MATCH($X42,TARIFF_PROFILES!$A:$A,0)))</f>
        <v/>
      </c>
      <c r="AF42" s="19" t="n"/>
      <c r="AG42" s="19" t="n"/>
      <c r="AH42" s="19">
        <f>IF($AG42="","",SUMIFS(OPERATING_COEFFS!$C:$C,OPERATING_COEFFS!$A:$A,"DistanceClass",OPERATING_COEFFS!$B:$B,$AG42))</f>
        <v/>
      </c>
      <c r="AI42" s="19" t="n"/>
      <c r="AJ42" s="19">
        <f>IF($AI42="","",SUMIFS(OPERATING_COEFFS!$C:$C,OPERATING_COEFFS!$A:$A,"SeasonClass",OPERATING_COEFFS!$B:$B,$AI42))</f>
        <v/>
      </c>
      <c r="AK42" s="19" t="n"/>
      <c r="AL42" s="19">
        <f>IF($AK42="","",SUMIFS(OPERATING_COEFFS!$C:$C,OPERATING_COEFFS!$A:$A,"UrgencyClass",OPERATING_COEFFS!$B:$B,$AK42))</f>
        <v/>
      </c>
      <c r="AM42" s="19" t="n"/>
      <c r="AN42" s="19">
        <f>IF($AM42="","",INDEX(TAX_MODES!$B:$B,MATCH($AM42,TAX_MODES!$A:$A,0)))</f>
        <v/>
      </c>
      <c r="AO42" s="19" t="n"/>
      <c r="AP42" s="19" t="n"/>
    </row>
    <row r="43">
      <c r="A43" s="21" t="n"/>
      <c r="B43" s="21" t="n"/>
      <c r="C43" s="21" t="n"/>
      <c r="D43" s="32">
        <f>IF($C43="","",SUMIFS(SITE_COEFFS!$C:$C,SITE_COEFFS!$A:$A,"SoilWorkability",SITE_COEFFS!$B:$B,$C43))</f>
        <v/>
      </c>
      <c r="E43" s="21" t="n"/>
      <c r="F43" s="32">
        <f>IF($E43="","",SUMIFS(SITE_COEFFS!$C:$C,SITE_COEFFS!$A:$A,"SoilMoisture",SITE_COEFFS!$B:$B,$E43))</f>
        <v/>
      </c>
      <c r="G43" s="21" t="n"/>
      <c r="H43" s="32">
        <f>IF($G43="","",SUMIFS(SITE_COEFFS!$C:$C,SITE_COEFFS!$A:$A,"DebrisLevel",SITE_COEFFS!$B:$B,$G43))</f>
        <v/>
      </c>
      <c r="I43" s="21" t="n"/>
      <c r="J43" s="32">
        <f>IF($I43="","",SUMIFS(SITE_COEFFS!$C:$C,SITE_COEFFS!$A:$A,"SlopeClass",SITE_COEFFS!$B:$B,$I43))</f>
        <v/>
      </c>
      <c r="K43" s="21" t="n"/>
      <c r="L43" s="32">
        <f>IF($K43="","",SUMIFS(SITE_COEFFS!$C:$C,SITE_COEFFS!$A:$A,"SurfaceUnevenness",SITE_COEFFS!$B:$B,$K43))</f>
        <v/>
      </c>
      <c r="M43" s="21" t="n"/>
      <c r="N43" s="32">
        <f>IF($M43="","",SUMIFS(SITE_COEFFS!$C:$C,SITE_COEFFS!$A:$A,"AccessClass",SITE_COEFFS!$B:$B,$M43))</f>
        <v/>
      </c>
      <c r="O43" s="21" t="n"/>
      <c r="P43" s="32">
        <f>IF($O43="","",SUMIFS(SITE_COEFFS!$C:$C,SITE_COEFFS!$A:$A,"TurnSpace",SITE_COEFFS!$B:$B,$O43))</f>
        <v/>
      </c>
      <c r="Q43" s="21" t="n"/>
      <c r="R43" s="32">
        <f>IF($Q43="","",SUMIFS(SITE_COEFFS!$C:$C,SITE_COEFFS!$A:$A,"ProximityToBuildings",SITE_COEFFS!$B:$B,$Q43))</f>
        <v/>
      </c>
      <c r="S43" s="21" t="n"/>
      <c r="T43" s="32">
        <f>IF($S43="","",SUMIFS(SITE_COEFFS!$C:$C,SITE_COEFFS!$A:$A,"MachineryAllowed",SITE_COEFFS!$B:$B,$S43))</f>
        <v/>
      </c>
      <c r="U43" s="21" t="n"/>
      <c r="V43" s="21" t="n"/>
      <c r="W43" s="32">
        <f>IF($V43="","",SUMIFS(SITE_COEFFS!$C:$C,SITE_COEFFS!$A:$A,"GeometryComplexity",SITE_COEFFS!$B:$B,$V43))</f>
        <v/>
      </c>
      <c r="X43" s="21" t="n"/>
      <c r="Y43" s="21">
        <f>IF($X43="","",SUMIFS(TARIFF_PROFILES!$D:$D,TARIFF_PROFILES!$A:$A,$X43))</f>
        <v/>
      </c>
      <c r="Z43" s="21">
        <f>IF($X43="","",SUMIFS(TARIFF_PROFILES!$E:$E,TARIFF_PROFILES!$A:$A,$X43))</f>
        <v/>
      </c>
      <c r="AA43" s="21">
        <f>IF($X43="","",SUMIFS(TARIFF_PROFILES!$F:$F,TARIFF_PROFILES!$A:$A,$X43))</f>
        <v/>
      </c>
      <c r="AB43" s="21">
        <f>IF($X43="","",SUMIFS(TARIFF_PROFILES!$G:$G,TARIFF_PROFILES!$A:$A,$X43))</f>
        <v/>
      </c>
      <c r="AC43" s="21">
        <f>IF($X43="","",SUMIFS(TARIFF_PROFILES!$H:$H,TARIFF_PROFILES!$A:$A,$X43))</f>
        <v/>
      </c>
      <c r="AD43" s="21">
        <f>IF($X43="","",INDEX(TARIFF_PROFILES!$J:$J,MATCH($X43,TARIFF_PROFILES!$A:$A,0)))</f>
        <v/>
      </c>
      <c r="AE43" s="21">
        <f>IF($X43="","",INDEX(TARIFF_PROFILES!$K:$K,MATCH($X43,TARIFF_PROFILES!$A:$A,0)))</f>
        <v/>
      </c>
      <c r="AF43" s="19" t="n"/>
      <c r="AG43" s="19" t="n"/>
      <c r="AH43" s="19">
        <f>IF($AG43="","",SUMIFS(OPERATING_COEFFS!$C:$C,OPERATING_COEFFS!$A:$A,"DistanceClass",OPERATING_COEFFS!$B:$B,$AG43))</f>
        <v/>
      </c>
      <c r="AI43" s="19" t="n"/>
      <c r="AJ43" s="19">
        <f>IF($AI43="","",SUMIFS(OPERATING_COEFFS!$C:$C,OPERATING_COEFFS!$A:$A,"SeasonClass",OPERATING_COEFFS!$B:$B,$AI43))</f>
        <v/>
      </c>
      <c r="AK43" s="19" t="n"/>
      <c r="AL43" s="19">
        <f>IF($AK43="","",SUMIFS(OPERATING_COEFFS!$C:$C,OPERATING_COEFFS!$A:$A,"UrgencyClass",OPERATING_COEFFS!$B:$B,$AK43))</f>
        <v/>
      </c>
      <c r="AM43" s="19" t="n"/>
      <c r="AN43" s="19">
        <f>IF($AM43="","",INDEX(TAX_MODES!$B:$B,MATCH($AM43,TAX_MODES!$A:$A,0)))</f>
        <v/>
      </c>
      <c r="AO43" s="19" t="n"/>
      <c r="AP43" s="19" t="n"/>
    </row>
    <row r="44">
      <c r="A44" s="21" t="n"/>
      <c r="B44" s="21" t="n"/>
      <c r="C44" s="21" t="n"/>
      <c r="D44" s="32">
        <f>IF($C44="","",SUMIFS(SITE_COEFFS!$C:$C,SITE_COEFFS!$A:$A,"SoilWorkability",SITE_COEFFS!$B:$B,$C44))</f>
        <v/>
      </c>
      <c r="E44" s="21" t="n"/>
      <c r="F44" s="32">
        <f>IF($E44="","",SUMIFS(SITE_COEFFS!$C:$C,SITE_COEFFS!$A:$A,"SoilMoisture",SITE_COEFFS!$B:$B,$E44))</f>
        <v/>
      </c>
      <c r="G44" s="21" t="n"/>
      <c r="H44" s="32">
        <f>IF($G44="","",SUMIFS(SITE_COEFFS!$C:$C,SITE_COEFFS!$A:$A,"DebrisLevel",SITE_COEFFS!$B:$B,$G44))</f>
        <v/>
      </c>
      <c r="I44" s="21" t="n"/>
      <c r="J44" s="32">
        <f>IF($I44="","",SUMIFS(SITE_COEFFS!$C:$C,SITE_COEFFS!$A:$A,"SlopeClass",SITE_COEFFS!$B:$B,$I44))</f>
        <v/>
      </c>
      <c r="K44" s="21" t="n"/>
      <c r="L44" s="32">
        <f>IF($K44="","",SUMIFS(SITE_COEFFS!$C:$C,SITE_COEFFS!$A:$A,"SurfaceUnevenness",SITE_COEFFS!$B:$B,$K44))</f>
        <v/>
      </c>
      <c r="M44" s="21" t="n"/>
      <c r="N44" s="32">
        <f>IF($M44="","",SUMIFS(SITE_COEFFS!$C:$C,SITE_COEFFS!$A:$A,"AccessClass",SITE_COEFFS!$B:$B,$M44))</f>
        <v/>
      </c>
      <c r="O44" s="21" t="n"/>
      <c r="P44" s="32">
        <f>IF($O44="","",SUMIFS(SITE_COEFFS!$C:$C,SITE_COEFFS!$A:$A,"TurnSpace",SITE_COEFFS!$B:$B,$O44))</f>
        <v/>
      </c>
      <c r="Q44" s="21" t="n"/>
      <c r="R44" s="32">
        <f>IF($Q44="","",SUMIFS(SITE_COEFFS!$C:$C,SITE_COEFFS!$A:$A,"ProximityToBuildings",SITE_COEFFS!$B:$B,$Q44))</f>
        <v/>
      </c>
      <c r="S44" s="21" t="n"/>
      <c r="T44" s="32">
        <f>IF($S44="","",SUMIFS(SITE_COEFFS!$C:$C,SITE_COEFFS!$A:$A,"MachineryAllowed",SITE_COEFFS!$B:$B,$S44))</f>
        <v/>
      </c>
      <c r="U44" s="21" t="n"/>
      <c r="V44" s="21" t="n"/>
      <c r="W44" s="32">
        <f>IF($V44="","",SUMIFS(SITE_COEFFS!$C:$C,SITE_COEFFS!$A:$A,"GeometryComplexity",SITE_COEFFS!$B:$B,$V44))</f>
        <v/>
      </c>
      <c r="X44" s="21" t="n"/>
      <c r="Y44" s="21">
        <f>IF($X44="","",SUMIFS(TARIFF_PROFILES!$D:$D,TARIFF_PROFILES!$A:$A,$X44))</f>
        <v/>
      </c>
      <c r="Z44" s="21">
        <f>IF($X44="","",SUMIFS(TARIFF_PROFILES!$E:$E,TARIFF_PROFILES!$A:$A,$X44))</f>
        <v/>
      </c>
      <c r="AA44" s="21">
        <f>IF($X44="","",SUMIFS(TARIFF_PROFILES!$F:$F,TARIFF_PROFILES!$A:$A,$X44))</f>
        <v/>
      </c>
      <c r="AB44" s="21">
        <f>IF($X44="","",SUMIFS(TARIFF_PROFILES!$G:$G,TARIFF_PROFILES!$A:$A,$X44))</f>
        <v/>
      </c>
      <c r="AC44" s="21">
        <f>IF($X44="","",SUMIFS(TARIFF_PROFILES!$H:$H,TARIFF_PROFILES!$A:$A,$X44))</f>
        <v/>
      </c>
      <c r="AD44" s="21">
        <f>IF($X44="","",INDEX(TARIFF_PROFILES!$J:$J,MATCH($X44,TARIFF_PROFILES!$A:$A,0)))</f>
        <v/>
      </c>
      <c r="AE44" s="21">
        <f>IF($X44="","",INDEX(TARIFF_PROFILES!$K:$K,MATCH($X44,TARIFF_PROFILES!$A:$A,0)))</f>
        <v/>
      </c>
      <c r="AF44" s="19" t="n"/>
      <c r="AG44" s="19" t="n"/>
      <c r="AH44" s="19">
        <f>IF($AG44="","",SUMIFS(OPERATING_COEFFS!$C:$C,OPERATING_COEFFS!$A:$A,"DistanceClass",OPERATING_COEFFS!$B:$B,$AG44))</f>
        <v/>
      </c>
      <c r="AI44" s="19" t="n"/>
      <c r="AJ44" s="19">
        <f>IF($AI44="","",SUMIFS(OPERATING_COEFFS!$C:$C,OPERATING_COEFFS!$A:$A,"SeasonClass",OPERATING_COEFFS!$B:$B,$AI44))</f>
        <v/>
      </c>
      <c r="AK44" s="19" t="n"/>
      <c r="AL44" s="19">
        <f>IF($AK44="","",SUMIFS(OPERATING_COEFFS!$C:$C,OPERATING_COEFFS!$A:$A,"UrgencyClass",OPERATING_COEFFS!$B:$B,$AK44))</f>
        <v/>
      </c>
      <c r="AM44" s="19" t="n"/>
      <c r="AN44" s="19">
        <f>IF($AM44="","",INDEX(TAX_MODES!$B:$B,MATCH($AM44,TAX_MODES!$A:$A,0)))</f>
        <v/>
      </c>
      <c r="AO44" s="19" t="n"/>
      <c r="AP44" s="19" t="n"/>
    </row>
    <row r="45">
      <c r="A45" s="21" t="n"/>
      <c r="B45" s="21" t="n"/>
      <c r="C45" s="21" t="n"/>
      <c r="D45" s="32">
        <f>IF($C45="","",SUMIFS(SITE_COEFFS!$C:$C,SITE_COEFFS!$A:$A,"SoilWorkability",SITE_COEFFS!$B:$B,$C45))</f>
        <v/>
      </c>
      <c r="E45" s="21" t="n"/>
      <c r="F45" s="32">
        <f>IF($E45="","",SUMIFS(SITE_COEFFS!$C:$C,SITE_COEFFS!$A:$A,"SoilMoisture",SITE_COEFFS!$B:$B,$E45))</f>
        <v/>
      </c>
      <c r="G45" s="21" t="n"/>
      <c r="H45" s="32">
        <f>IF($G45="","",SUMIFS(SITE_COEFFS!$C:$C,SITE_COEFFS!$A:$A,"DebrisLevel",SITE_COEFFS!$B:$B,$G45))</f>
        <v/>
      </c>
      <c r="I45" s="21" t="n"/>
      <c r="J45" s="32">
        <f>IF($I45="","",SUMIFS(SITE_COEFFS!$C:$C,SITE_COEFFS!$A:$A,"SlopeClass",SITE_COEFFS!$B:$B,$I45))</f>
        <v/>
      </c>
      <c r="K45" s="21" t="n"/>
      <c r="L45" s="32">
        <f>IF($K45="","",SUMIFS(SITE_COEFFS!$C:$C,SITE_COEFFS!$A:$A,"SurfaceUnevenness",SITE_COEFFS!$B:$B,$K45))</f>
        <v/>
      </c>
      <c r="M45" s="21" t="n"/>
      <c r="N45" s="32">
        <f>IF($M45="","",SUMIFS(SITE_COEFFS!$C:$C,SITE_COEFFS!$A:$A,"AccessClass",SITE_COEFFS!$B:$B,$M45))</f>
        <v/>
      </c>
      <c r="O45" s="21" t="n"/>
      <c r="P45" s="32">
        <f>IF($O45="","",SUMIFS(SITE_COEFFS!$C:$C,SITE_COEFFS!$A:$A,"TurnSpace",SITE_COEFFS!$B:$B,$O45))</f>
        <v/>
      </c>
      <c r="Q45" s="21" t="n"/>
      <c r="R45" s="32">
        <f>IF($Q45="","",SUMIFS(SITE_COEFFS!$C:$C,SITE_COEFFS!$A:$A,"ProximityToBuildings",SITE_COEFFS!$B:$B,$Q45))</f>
        <v/>
      </c>
      <c r="S45" s="21" t="n"/>
      <c r="T45" s="32">
        <f>IF($S45="","",SUMIFS(SITE_COEFFS!$C:$C,SITE_COEFFS!$A:$A,"MachineryAllowed",SITE_COEFFS!$B:$B,$S45))</f>
        <v/>
      </c>
      <c r="U45" s="21" t="n"/>
      <c r="V45" s="21" t="n"/>
      <c r="W45" s="32">
        <f>IF($V45="","",SUMIFS(SITE_COEFFS!$C:$C,SITE_COEFFS!$A:$A,"GeometryComplexity",SITE_COEFFS!$B:$B,$V45))</f>
        <v/>
      </c>
      <c r="X45" s="21" t="n"/>
      <c r="Y45" s="21">
        <f>IF($X45="","",SUMIFS(TARIFF_PROFILES!$D:$D,TARIFF_PROFILES!$A:$A,$X45))</f>
        <v/>
      </c>
      <c r="Z45" s="21">
        <f>IF($X45="","",SUMIFS(TARIFF_PROFILES!$E:$E,TARIFF_PROFILES!$A:$A,$X45))</f>
        <v/>
      </c>
      <c r="AA45" s="21">
        <f>IF($X45="","",SUMIFS(TARIFF_PROFILES!$F:$F,TARIFF_PROFILES!$A:$A,$X45))</f>
        <v/>
      </c>
      <c r="AB45" s="21">
        <f>IF($X45="","",SUMIFS(TARIFF_PROFILES!$G:$G,TARIFF_PROFILES!$A:$A,$X45))</f>
        <v/>
      </c>
      <c r="AC45" s="21">
        <f>IF($X45="","",SUMIFS(TARIFF_PROFILES!$H:$H,TARIFF_PROFILES!$A:$A,$X45))</f>
        <v/>
      </c>
      <c r="AD45" s="21">
        <f>IF($X45="","",INDEX(TARIFF_PROFILES!$J:$J,MATCH($X45,TARIFF_PROFILES!$A:$A,0)))</f>
        <v/>
      </c>
      <c r="AE45" s="21">
        <f>IF($X45="","",INDEX(TARIFF_PROFILES!$K:$K,MATCH($X45,TARIFF_PROFILES!$A:$A,0)))</f>
        <v/>
      </c>
      <c r="AF45" s="19" t="n"/>
      <c r="AG45" s="19" t="n"/>
      <c r="AH45" s="19">
        <f>IF($AG45="","",SUMIFS(OPERATING_COEFFS!$C:$C,OPERATING_COEFFS!$A:$A,"DistanceClass",OPERATING_COEFFS!$B:$B,$AG45))</f>
        <v/>
      </c>
      <c r="AI45" s="19" t="n"/>
      <c r="AJ45" s="19">
        <f>IF($AI45="","",SUMIFS(OPERATING_COEFFS!$C:$C,OPERATING_COEFFS!$A:$A,"SeasonClass",OPERATING_COEFFS!$B:$B,$AI45))</f>
        <v/>
      </c>
      <c r="AK45" s="19" t="n"/>
      <c r="AL45" s="19">
        <f>IF($AK45="","",SUMIFS(OPERATING_COEFFS!$C:$C,OPERATING_COEFFS!$A:$A,"UrgencyClass",OPERATING_COEFFS!$B:$B,$AK45))</f>
        <v/>
      </c>
      <c r="AM45" s="19" t="n"/>
      <c r="AN45" s="19">
        <f>IF($AM45="","",INDEX(TAX_MODES!$B:$B,MATCH($AM45,TAX_MODES!$A:$A,0)))</f>
        <v/>
      </c>
      <c r="AO45" s="19" t="n"/>
      <c r="AP45" s="19" t="n"/>
    </row>
    <row r="46">
      <c r="A46" s="21" t="n"/>
      <c r="B46" s="21" t="n"/>
      <c r="C46" s="21" t="n"/>
      <c r="D46" s="32">
        <f>IF($C46="","",SUMIFS(SITE_COEFFS!$C:$C,SITE_COEFFS!$A:$A,"SoilWorkability",SITE_COEFFS!$B:$B,$C46))</f>
        <v/>
      </c>
      <c r="E46" s="21" t="n"/>
      <c r="F46" s="32">
        <f>IF($E46="","",SUMIFS(SITE_COEFFS!$C:$C,SITE_COEFFS!$A:$A,"SoilMoisture",SITE_COEFFS!$B:$B,$E46))</f>
        <v/>
      </c>
      <c r="G46" s="21" t="n"/>
      <c r="H46" s="32">
        <f>IF($G46="","",SUMIFS(SITE_COEFFS!$C:$C,SITE_COEFFS!$A:$A,"DebrisLevel",SITE_COEFFS!$B:$B,$G46))</f>
        <v/>
      </c>
      <c r="I46" s="21" t="n"/>
      <c r="J46" s="32">
        <f>IF($I46="","",SUMIFS(SITE_COEFFS!$C:$C,SITE_COEFFS!$A:$A,"SlopeClass",SITE_COEFFS!$B:$B,$I46))</f>
        <v/>
      </c>
      <c r="K46" s="21" t="n"/>
      <c r="L46" s="32">
        <f>IF($K46="","",SUMIFS(SITE_COEFFS!$C:$C,SITE_COEFFS!$A:$A,"SurfaceUnevenness",SITE_COEFFS!$B:$B,$K46))</f>
        <v/>
      </c>
      <c r="M46" s="21" t="n"/>
      <c r="N46" s="32">
        <f>IF($M46="","",SUMIFS(SITE_COEFFS!$C:$C,SITE_COEFFS!$A:$A,"AccessClass",SITE_COEFFS!$B:$B,$M46))</f>
        <v/>
      </c>
      <c r="O46" s="21" t="n"/>
      <c r="P46" s="32">
        <f>IF($O46="","",SUMIFS(SITE_COEFFS!$C:$C,SITE_COEFFS!$A:$A,"TurnSpace",SITE_COEFFS!$B:$B,$O46))</f>
        <v/>
      </c>
      <c r="Q46" s="21" t="n"/>
      <c r="R46" s="32">
        <f>IF($Q46="","",SUMIFS(SITE_COEFFS!$C:$C,SITE_COEFFS!$A:$A,"ProximityToBuildings",SITE_COEFFS!$B:$B,$Q46))</f>
        <v/>
      </c>
      <c r="S46" s="21" t="n"/>
      <c r="T46" s="32">
        <f>IF($S46="","",SUMIFS(SITE_COEFFS!$C:$C,SITE_COEFFS!$A:$A,"MachineryAllowed",SITE_COEFFS!$B:$B,$S46))</f>
        <v/>
      </c>
      <c r="U46" s="21" t="n"/>
      <c r="V46" s="21" t="n"/>
      <c r="W46" s="32">
        <f>IF($V46="","",SUMIFS(SITE_COEFFS!$C:$C,SITE_COEFFS!$A:$A,"GeometryComplexity",SITE_COEFFS!$B:$B,$V46))</f>
        <v/>
      </c>
      <c r="X46" s="21" t="n"/>
      <c r="Y46" s="21">
        <f>IF($X46="","",SUMIFS(TARIFF_PROFILES!$D:$D,TARIFF_PROFILES!$A:$A,$X46))</f>
        <v/>
      </c>
      <c r="Z46" s="21">
        <f>IF($X46="","",SUMIFS(TARIFF_PROFILES!$E:$E,TARIFF_PROFILES!$A:$A,$X46))</f>
        <v/>
      </c>
      <c r="AA46" s="21">
        <f>IF($X46="","",SUMIFS(TARIFF_PROFILES!$F:$F,TARIFF_PROFILES!$A:$A,$X46))</f>
        <v/>
      </c>
      <c r="AB46" s="21">
        <f>IF($X46="","",SUMIFS(TARIFF_PROFILES!$G:$G,TARIFF_PROFILES!$A:$A,$X46))</f>
        <v/>
      </c>
      <c r="AC46" s="21">
        <f>IF($X46="","",SUMIFS(TARIFF_PROFILES!$H:$H,TARIFF_PROFILES!$A:$A,$X46))</f>
        <v/>
      </c>
      <c r="AD46" s="21">
        <f>IF($X46="","",INDEX(TARIFF_PROFILES!$J:$J,MATCH($X46,TARIFF_PROFILES!$A:$A,0)))</f>
        <v/>
      </c>
      <c r="AE46" s="21">
        <f>IF($X46="","",INDEX(TARIFF_PROFILES!$K:$K,MATCH($X46,TARIFF_PROFILES!$A:$A,0)))</f>
        <v/>
      </c>
      <c r="AF46" s="19" t="n"/>
      <c r="AG46" s="19" t="n"/>
      <c r="AH46" s="19">
        <f>IF($AG46="","",SUMIFS(OPERATING_COEFFS!$C:$C,OPERATING_COEFFS!$A:$A,"DistanceClass",OPERATING_COEFFS!$B:$B,$AG46))</f>
        <v/>
      </c>
      <c r="AI46" s="19" t="n"/>
      <c r="AJ46" s="19">
        <f>IF($AI46="","",SUMIFS(OPERATING_COEFFS!$C:$C,OPERATING_COEFFS!$A:$A,"SeasonClass",OPERATING_COEFFS!$B:$B,$AI46))</f>
        <v/>
      </c>
      <c r="AK46" s="19" t="n"/>
      <c r="AL46" s="19">
        <f>IF($AK46="","",SUMIFS(OPERATING_COEFFS!$C:$C,OPERATING_COEFFS!$A:$A,"UrgencyClass",OPERATING_COEFFS!$B:$B,$AK46))</f>
        <v/>
      </c>
      <c r="AM46" s="19" t="n"/>
      <c r="AN46" s="19">
        <f>IF($AM46="","",INDEX(TAX_MODES!$B:$B,MATCH($AM46,TAX_MODES!$A:$A,0)))</f>
        <v/>
      </c>
      <c r="AO46" s="19" t="n"/>
      <c r="AP46" s="19" t="n"/>
    </row>
    <row r="47">
      <c r="A47" s="21" t="n"/>
      <c r="B47" s="21" t="n"/>
      <c r="C47" s="21" t="n"/>
      <c r="D47" s="32">
        <f>IF($C47="","",SUMIFS(SITE_COEFFS!$C:$C,SITE_COEFFS!$A:$A,"SoilWorkability",SITE_COEFFS!$B:$B,$C47))</f>
        <v/>
      </c>
      <c r="E47" s="21" t="n"/>
      <c r="F47" s="32">
        <f>IF($E47="","",SUMIFS(SITE_COEFFS!$C:$C,SITE_COEFFS!$A:$A,"SoilMoisture",SITE_COEFFS!$B:$B,$E47))</f>
        <v/>
      </c>
      <c r="G47" s="21" t="n"/>
      <c r="H47" s="32">
        <f>IF($G47="","",SUMIFS(SITE_COEFFS!$C:$C,SITE_COEFFS!$A:$A,"DebrisLevel",SITE_COEFFS!$B:$B,$G47))</f>
        <v/>
      </c>
      <c r="I47" s="21" t="n"/>
      <c r="J47" s="32">
        <f>IF($I47="","",SUMIFS(SITE_COEFFS!$C:$C,SITE_COEFFS!$A:$A,"SlopeClass",SITE_COEFFS!$B:$B,$I47))</f>
        <v/>
      </c>
      <c r="K47" s="21" t="n"/>
      <c r="L47" s="32">
        <f>IF($K47="","",SUMIFS(SITE_COEFFS!$C:$C,SITE_COEFFS!$A:$A,"SurfaceUnevenness",SITE_COEFFS!$B:$B,$K47))</f>
        <v/>
      </c>
      <c r="M47" s="21" t="n"/>
      <c r="N47" s="32">
        <f>IF($M47="","",SUMIFS(SITE_COEFFS!$C:$C,SITE_COEFFS!$A:$A,"AccessClass",SITE_COEFFS!$B:$B,$M47))</f>
        <v/>
      </c>
      <c r="O47" s="21" t="n"/>
      <c r="P47" s="32">
        <f>IF($O47="","",SUMIFS(SITE_COEFFS!$C:$C,SITE_COEFFS!$A:$A,"TurnSpace",SITE_COEFFS!$B:$B,$O47))</f>
        <v/>
      </c>
      <c r="Q47" s="21" t="n"/>
      <c r="R47" s="32">
        <f>IF($Q47="","",SUMIFS(SITE_COEFFS!$C:$C,SITE_COEFFS!$A:$A,"ProximityToBuildings",SITE_COEFFS!$B:$B,$Q47))</f>
        <v/>
      </c>
      <c r="S47" s="21" t="n"/>
      <c r="T47" s="32">
        <f>IF($S47="","",SUMIFS(SITE_COEFFS!$C:$C,SITE_COEFFS!$A:$A,"MachineryAllowed",SITE_COEFFS!$B:$B,$S47))</f>
        <v/>
      </c>
      <c r="U47" s="21" t="n"/>
      <c r="V47" s="21" t="n"/>
      <c r="W47" s="32">
        <f>IF($V47="","",SUMIFS(SITE_COEFFS!$C:$C,SITE_COEFFS!$A:$A,"GeometryComplexity",SITE_COEFFS!$B:$B,$V47))</f>
        <v/>
      </c>
      <c r="X47" s="21" t="n"/>
      <c r="Y47" s="21">
        <f>IF($X47="","",SUMIFS(TARIFF_PROFILES!$D:$D,TARIFF_PROFILES!$A:$A,$X47))</f>
        <v/>
      </c>
      <c r="Z47" s="21">
        <f>IF($X47="","",SUMIFS(TARIFF_PROFILES!$E:$E,TARIFF_PROFILES!$A:$A,$X47))</f>
        <v/>
      </c>
      <c r="AA47" s="21">
        <f>IF($X47="","",SUMIFS(TARIFF_PROFILES!$F:$F,TARIFF_PROFILES!$A:$A,$X47))</f>
        <v/>
      </c>
      <c r="AB47" s="21">
        <f>IF($X47="","",SUMIFS(TARIFF_PROFILES!$G:$G,TARIFF_PROFILES!$A:$A,$X47))</f>
        <v/>
      </c>
      <c r="AC47" s="21">
        <f>IF($X47="","",SUMIFS(TARIFF_PROFILES!$H:$H,TARIFF_PROFILES!$A:$A,$X47))</f>
        <v/>
      </c>
      <c r="AD47" s="21">
        <f>IF($X47="","",INDEX(TARIFF_PROFILES!$J:$J,MATCH($X47,TARIFF_PROFILES!$A:$A,0)))</f>
        <v/>
      </c>
      <c r="AE47" s="21">
        <f>IF($X47="","",INDEX(TARIFF_PROFILES!$K:$K,MATCH($X47,TARIFF_PROFILES!$A:$A,0)))</f>
        <v/>
      </c>
      <c r="AF47" s="19" t="n"/>
      <c r="AG47" s="19" t="n"/>
      <c r="AH47" s="19">
        <f>IF($AG47="","",SUMIFS(OPERATING_COEFFS!$C:$C,OPERATING_COEFFS!$A:$A,"DistanceClass",OPERATING_COEFFS!$B:$B,$AG47))</f>
        <v/>
      </c>
      <c r="AI47" s="19" t="n"/>
      <c r="AJ47" s="19">
        <f>IF($AI47="","",SUMIFS(OPERATING_COEFFS!$C:$C,OPERATING_COEFFS!$A:$A,"SeasonClass",OPERATING_COEFFS!$B:$B,$AI47))</f>
        <v/>
      </c>
      <c r="AK47" s="19" t="n"/>
      <c r="AL47" s="19">
        <f>IF($AK47="","",SUMIFS(OPERATING_COEFFS!$C:$C,OPERATING_COEFFS!$A:$A,"UrgencyClass",OPERATING_COEFFS!$B:$B,$AK47))</f>
        <v/>
      </c>
      <c r="AM47" s="19" t="n"/>
      <c r="AN47" s="19">
        <f>IF($AM47="","",INDEX(TAX_MODES!$B:$B,MATCH($AM47,TAX_MODES!$A:$A,0)))</f>
        <v/>
      </c>
      <c r="AO47" s="19" t="n"/>
      <c r="AP47" s="19" t="n"/>
    </row>
    <row r="48">
      <c r="A48" s="21" t="n"/>
      <c r="B48" s="21" t="n"/>
      <c r="C48" s="21" t="n"/>
      <c r="D48" s="32">
        <f>IF($C48="","",SUMIFS(SITE_COEFFS!$C:$C,SITE_COEFFS!$A:$A,"SoilWorkability",SITE_COEFFS!$B:$B,$C48))</f>
        <v/>
      </c>
      <c r="E48" s="21" t="n"/>
      <c r="F48" s="32">
        <f>IF($E48="","",SUMIFS(SITE_COEFFS!$C:$C,SITE_COEFFS!$A:$A,"SoilMoisture",SITE_COEFFS!$B:$B,$E48))</f>
        <v/>
      </c>
      <c r="G48" s="21" t="n"/>
      <c r="H48" s="32">
        <f>IF($G48="","",SUMIFS(SITE_COEFFS!$C:$C,SITE_COEFFS!$A:$A,"DebrisLevel",SITE_COEFFS!$B:$B,$G48))</f>
        <v/>
      </c>
      <c r="I48" s="21" t="n"/>
      <c r="J48" s="32">
        <f>IF($I48="","",SUMIFS(SITE_COEFFS!$C:$C,SITE_COEFFS!$A:$A,"SlopeClass",SITE_COEFFS!$B:$B,$I48))</f>
        <v/>
      </c>
      <c r="K48" s="21" t="n"/>
      <c r="L48" s="32">
        <f>IF($K48="","",SUMIFS(SITE_COEFFS!$C:$C,SITE_COEFFS!$A:$A,"SurfaceUnevenness",SITE_COEFFS!$B:$B,$K48))</f>
        <v/>
      </c>
      <c r="M48" s="21" t="n"/>
      <c r="N48" s="32">
        <f>IF($M48="","",SUMIFS(SITE_COEFFS!$C:$C,SITE_COEFFS!$A:$A,"AccessClass",SITE_COEFFS!$B:$B,$M48))</f>
        <v/>
      </c>
      <c r="O48" s="21" t="n"/>
      <c r="P48" s="32">
        <f>IF($O48="","",SUMIFS(SITE_COEFFS!$C:$C,SITE_COEFFS!$A:$A,"TurnSpace",SITE_COEFFS!$B:$B,$O48))</f>
        <v/>
      </c>
      <c r="Q48" s="21" t="n"/>
      <c r="R48" s="32">
        <f>IF($Q48="","",SUMIFS(SITE_COEFFS!$C:$C,SITE_COEFFS!$A:$A,"ProximityToBuildings",SITE_COEFFS!$B:$B,$Q48))</f>
        <v/>
      </c>
      <c r="S48" s="21" t="n"/>
      <c r="T48" s="32">
        <f>IF($S48="","",SUMIFS(SITE_COEFFS!$C:$C,SITE_COEFFS!$A:$A,"MachineryAllowed",SITE_COEFFS!$B:$B,$S48))</f>
        <v/>
      </c>
      <c r="U48" s="21" t="n"/>
      <c r="V48" s="21" t="n"/>
      <c r="W48" s="32">
        <f>IF($V48="","",SUMIFS(SITE_COEFFS!$C:$C,SITE_COEFFS!$A:$A,"GeometryComplexity",SITE_COEFFS!$B:$B,$V48))</f>
        <v/>
      </c>
      <c r="X48" s="21" t="n"/>
      <c r="Y48" s="21">
        <f>IF($X48="","",SUMIFS(TARIFF_PROFILES!$D:$D,TARIFF_PROFILES!$A:$A,$X48))</f>
        <v/>
      </c>
      <c r="Z48" s="21">
        <f>IF($X48="","",SUMIFS(TARIFF_PROFILES!$E:$E,TARIFF_PROFILES!$A:$A,$X48))</f>
        <v/>
      </c>
      <c r="AA48" s="21">
        <f>IF($X48="","",SUMIFS(TARIFF_PROFILES!$F:$F,TARIFF_PROFILES!$A:$A,$X48))</f>
        <v/>
      </c>
      <c r="AB48" s="21">
        <f>IF($X48="","",SUMIFS(TARIFF_PROFILES!$G:$G,TARIFF_PROFILES!$A:$A,$X48))</f>
        <v/>
      </c>
      <c r="AC48" s="21">
        <f>IF($X48="","",SUMIFS(TARIFF_PROFILES!$H:$H,TARIFF_PROFILES!$A:$A,$X48))</f>
        <v/>
      </c>
      <c r="AD48" s="21">
        <f>IF($X48="","",INDEX(TARIFF_PROFILES!$J:$J,MATCH($X48,TARIFF_PROFILES!$A:$A,0)))</f>
        <v/>
      </c>
      <c r="AE48" s="21">
        <f>IF($X48="","",INDEX(TARIFF_PROFILES!$K:$K,MATCH($X48,TARIFF_PROFILES!$A:$A,0)))</f>
        <v/>
      </c>
      <c r="AF48" s="19" t="n"/>
      <c r="AG48" s="19" t="n"/>
      <c r="AH48" s="19">
        <f>IF($AG48="","",SUMIFS(OPERATING_COEFFS!$C:$C,OPERATING_COEFFS!$A:$A,"DistanceClass",OPERATING_COEFFS!$B:$B,$AG48))</f>
        <v/>
      </c>
      <c r="AI48" s="19" t="n"/>
      <c r="AJ48" s="19">
        <f>IF($AI48="","",SUMIFS(OPERATING_COEFFS!$C:$C,OPERATING_COEFFS!$A:$A,"SeasonClass",OPERATING_COEFFS!$B:$B,$AI48))</f>
        <v/>
      </c>
      <c r="AK48" s="19" t="n"/>
      <c r="AL48" s="19">
        <f>IF($AK48="","",SUMIFS(OPERATING_COEFFS!$C:$C,OPERATING_COEFFS!$A:$A,"UrgencyClass",OPERATING_COEFFS!$B:$B,$AK48))</f>
        <v/>
      </c>
      <c r="AM48" s="19" t="n"/>
      <c r="AN48" s="19">
        <f>IF($AM48="","",INDEX(TAX_MODES!$B:$B,MATCH($AM48,TAX_MODES!$A:$A,0)))</f>
        <v/>
      </c>
      <c r="AO48" s="19" t="n"/>
      <c r="AP48" s="19" t="n"/>
    </row>
    <row r="49">
      <c r="A49" s="21" t="n"/>
      <c r="B49" s="21" t="n"/>
      <c r="C49" s="21" t="n"/>
      <c r="D49" s="32">
        <f>IF($C49="","",SUMIFS(SITE_COEFFS!$C:$C,SITE_COEFFS!$A:$A,"SoilWorkability",SITE_COEFFS!$B:$B,$C49))</f>
        <v/>
      </c>
      <c r="E49" s="21" t="n"/>
      <c r="F49" s="32">
        <f>IF($E49="","",SUMIFS(SITE_COEFFS!$C:$C,SITE_COEFFS!$A:$A,"SoilMoisture",SITE_COEFFS!$B:$B,$E49))</f>
        <v/>
      </c>
      <c r="G49" s="21" t="n"/>
      <c r="H49" s="32">
        <f>IF($G49="","",SUMIFS(SITE_COEFFS!$C:$C,SITE_COEFFS!$A:$A,"DebrisLevel",SITE_COEFFS!$B:$B,$G49))</f>
        <v/>
      </c>
      <c r="I49" s="21" t="n"/>
      <c r="J49" s="32">
        <f>IF($I49="","",SUMIFS(SITE_COEFFS!$C:$C,SITE_COEFFS!$A:$A,"SlopeClass",SITE_COEFFS!$B:$B,$I49))</f>
        <v/>
      </c>
      <c r="K49" s="21" t="n"/>
      <c r="L49" s="32">
        <f>IF($K49="","",SUMIFS(SITE_COEFFS!$C:$C,SITE_COEFFS!$A:$A,"SurfaceUnevenness",SITE_COEFFS!$B:$B,$K49))</f>
        <v/>
      </c>
      <c r="M49" s="21" t="n"/>
      <c r="N49" s="32">
        <f>IF($M49="","",SUMIFS(SITE_COEFFS!$C:$C,SITE_COEFFS!$A:$A,"AccessClass",SITE_COEFFS!$B:$B,$M49))</f>
        <v/>
      </c>
      <c r="O49" s="21" t="n"/>
      <c r="P49" s="32">
        <f>IF($O49="","",SUMIFS(SITE_COEFFS!$C:$C,SITE_COEFFS!$A:$A,"TurnSpace",SITE_COEFFS!$B:$B,$O49))</f>
        <v/>
      </c>
      <c r="Q49" s="21" t="n"/>
      <c r="R49" s="32">
        <f>IF($Q49="","",SUMIFS(SITE_COEFFS!$C:$C,SITE_COEFFS!$A:$A,"ProximityToBuildings",SITE_COEFFS!$B:$B,$Q49))</f>
        <v/>
      </c>
      <c r="S49" s="21" t="n"/>
      <c r="T49" s="32">
        <f>IF($S49="","",SUMIFS(SITE_COEFFS!$C:$C,SITE_COEFFS!$A:$A,"MachineryAllowed",SITE_COEFFS!$B:$B,$S49))</f>
        <v/>
      </c>
      <c r="U49" s="21" t="n"/>
      <c r="V49" s="21" t="n"/>
      <c r="W49" s="32">
        <f>IF($V49="","",SUMIFS(SITE_COEFFS!$C:$C,SITE_COEFFS!$A:$A,"GeometryComplexity",SITE_COEFFS!$B:$B,$V49))</f>
        <v/>
      </c>
      <c r="X49" s="21" t="n"/>
      <c r="Y49" s="21">
        <f>IF($X49="","",SUMIFS(TARIFF_PROFILES!$D:$D,TARIFF_PROFILES!$A:$A,$X49))</f>
        <v/>
      </c>
      <c r="Z49" s="21">
        <f>IF($X49="","",SUMIFS(TARIFF_PROFILES!$E:$E,TARIFF_PROFILES!$A:$A,$X49))</f>
        <v/>
      </c>
      <c r="AA49" s="21">
        <f>IF($X49="","",SUMIFS(TARIFF_PROFILES!$F:$F,TARIFF_PROFILES!$A:$A,$X49))</f>
        <v/>
      </c>
      <c r="AB49" s="21">
        <f>IF($X49="","",SUMIFS(TARIFF_PROFILES!$G:$G,TARIFF_PROFILES!$A:$A,$X49))</f>
        <v/>
      </c>
      <c r="AC49" s="21">
        <f>IF($X49="","",SUMIFS(TARIFF_PROFILES!$H:$H,TARIFF_PROFILES!$A:$A,$X49))</f>
        <v/>
      </c>
      <c r="AD49" s="21">
        <f>IF($X49="","",INDEX(TARIFF_PROFILES!$J:$J,MATCH($X49,TARIFF_PROFILES!$A:$A,0)))</f>
        <v/>
      </c>
      <c r="AE49" s="21">
        <f>IF($X49="","",INDEX(TARIFF_PROFILES!$K:$K,MATCH($X49,TARIFF_PROFILES!$A:$A,0)))</f>
        <v/>
      </c>
      <c r="AF49" s="19" t="n"/>
      <c r="AG49" s="19" t="n"/>
      <c r="AH49" s="19">
        <f>IF($AG49="","",SUMIFS(OPERATING_COEFFS!$C:$C,OPERATING_COEFFS!$A:$A,"DistanceClass",OPERATING_COEFFS!$B:$B,$AG49))</f>
        <v/>
      </c>
      <c r="AI49" s="19" t="n"/>
      <c r="AJ49" s="19">
        <f>IF($AI49="","",SUMIFS(OPERATING_COEFFS!$C:$C,OPERATING_COEFFS!$A:$A,"SeasonClass",OPERATING_COEFFS!$B:$B,$AI49))</f>
        <v/>
      </c>
      <c r="AK49" s="19" t="n"/>
      <c r="AL49" s="19">
        <f>IF($AK49="","",SUMIFS(OPERATING_COEFFS!$C:$C,OPERATING_COEFFS!$A:$A,"UrgencyClass",OPERATING_COEFFS!$B:$B,$AK49))</f>
        <v/>
      </c>
      <c r="AM49" s="19" t="n"/>
      <c r="AN49" s="19">
        <f>IF($AM49="","",INDEX(TAX_MODES!$B:$B,MATCH($AM49,TAX_MODES!$A:$A,0)))</f>
        <v/>
      </c>
      <c r="AO49" s="19" t="n"/>
      <c r="AP49" s="19" t="n"/>
    </row>
    <row r="50">
      <c r="A50" s="21" t="n"/>
      <c r="B50" s="21" t="n"/>
      <c r="C50" s="21" t="n"/>
      <c r="D50" s="32">
        <f>IF($C50="","",SUMIFS(SITE_COEFFS!$C:$C,SITE_COEFFS!$A:$A,"SoilWorkability",SITE_COEFFS!$B:$B,$C50))</f>
        <v/>
      </c>
      <c r="E50" s="21" t="n"/>
      <c r="F50" s="32">
        <f>IF($E50="","",SUMIFS(SITE_COEFFS!$C:$C,SITE_COEFFS!$A:$A,"SoilMoisture",SITE_COEFFS!$B:$B,$E50))</f>
        <v/>
      </c>
      <c r="G50" s="21" t="n"/>
      <c r="H50" s="32">
        <f>IF($G50="","",SUMIFS(SITE_COEFFS!$C:$C,SITE_COEFFS!$A:$A,"DebrisLevel",SITE_COEFFS!$B:$B,$G50))</f>
        <v/>
      </c>
      <c r="I50" s="21" t="n"/>
      <c r="J50" s="32">
        <f>IF($I50="","",SUMIFS(SITE_COEFFS!$C:$C,SITE_COEFFS!$A:$A,"SlopeClass",SITE_COEFFS!$B:$B,$I50))</f>
        <v/>
      </c>
      <c r="K50" s="21" t="n"/>
      <c r="L50" s="32">
        <f>IF($K50="","",SUMIFS(SITE_COEFFS!$C:$C,SITE_COEFFS!$A:$A,"SurfaceUnevenness",SITE_COEFFS!$B:$B,$K50))</f>
        <v/>
      </c>
      <c r="M50" s="21" t="n"/>
      <c r="N50" s="32">
        <f>IF($M50="","",SUMIFS(SITE_COEFFS!$C:$C,SITE_COEFFS!$A:$A,"AccessClass",SITE_COEFFS!$B:$B,$M50))</f>
        <v/>
      </c>
      <c r="O50" s="21" t="n"/>
      <c r="P50" s="32">
        <f>IF($O50="","",SUMIFS(SITE_COEFFS!$C:$C,SITE_COEFFS!$A:$A,"TurnSpace",SITE_COEFFS!$B:$B,$O50))</f>
        <v/>
      </c>
      <c r="Q50" s="21" t="n"/>
      <c r="R50" s="32">
        <f>IF($Q50="","",SUMIFS(SITE_COEFFS!$C:$C,SITE_COEFFS!$A:$A,"ProximityToBuildings",SITE_COEFFS!$B:$B,$Q50))</f>
        <v/>
      </c>
      <c r="S50" s="21" t="n"/>
      <c r="T50" s="32">
        <f>IF($S50="","",SUMIFS(SITE_COEFFS!$C:$C,SITE_COEFFS!$A:$A,"MachineryAllowed",SITE_COEFFS!$B:$B,$S50))</f>
        <v/>
      </c>
      <c r="U50" s="21" t="n"/>
      <c r="V50" s="21" t="n"/>
      <c r="W50" s="32">
        <f>IF($V50="","",SUMIFS(SITE_COEFFS!$C:$C,SITE_COEFFS!$A:$A,"GeometryComplexity",SITE_COEFFS!$B:$B,$V50))</f>
        <v/>
      </c>
      <c r="X50" s="21" t="n"/>
      <c r="Y50" s="21">
        <f>IF($X50="","",SUMIFS(TARIFF_PROFILES!$D:$D,TARIFF_PROFILES!$A:$A,$X50))</f>
        <v/>
      </c>
      <c r="Z50" s="21">
        <f>IF($X50="","",SUMIFS(TARIFF_PROFILES!$E:$E,TARIFF_PROFILES!$A:$A,$X50))</f>
        <v/>
      </c>
      <c r="AA50" s="21">
        <f>IF($X50="","",SUMIFS(TARIFF_PROFILES!$F:$F,TARIFF_PROFILES!$A:$A,$X50))</f>
        <v/>
      </c>
      <c r="AB50" s="21">
        <f>IF($X50="","",SUMIFS(TARIFF_PROFILES!$G:$G,TARIFF_PROFILES!$A:$A,$X50))</f>
        <v/>
      </c>
      <c r="AC50" s="21">
        <f>IF($X50="","",SUMIFS(TARIFF_PROFILES!$H:$H,TARIFF_PROFILES!$A:$A,$X50))</f>
        <v/>
      </c>
      <c r="AD50" s="21">
        <f>IF($X50="","",INDEX(TARIFF_PROFILES!$J:$J,MATCH($X50,TARIFF_PROFILES!$A:$A,0)))</f>
        <v/>
      </c>
      <c r="AE50" s="21">
        <f>IF($X50="","",INDEX(TARIFF_PROFILES!$K:$K,MATCH($X50,TARIFF_PROFILES!$A:$A,0)))</f>
        <v/>
      </c>
      <c r="AF50" s="19" t="n"/>
      <c r="AG50" s="19" t="n"/>
      <c r="AH50" s="19">
        <f>IF($AG50="","",SUMIFS(OPERATING_COEFFS!$C:$C,OPERATING_COEFFS!$A:$A,"DistanceClass",OPERATING_COEFFS!$B:$B,$AG50))</f>
        <v/>
      </c>
      <c r="AI50" s="19" t="n"/>
      <c r="AJ50" s="19">
        <f>IF($AI50="","",SUMIFS(OPERATING_COEFFS!$C:$C,OPERATING_COEFFS!$A:$A,"SeasonClass",OPERATING_COEFFS!$B:$B,$AI50))</f>
        <v/>
      </c>
      <c r="AK50" s="19" t="n"/>
      <c r="AL50" s="19">
        <f>IF($AK50="","",SUMIFS(OPERATING_COEFFS!$C:$C,OPERATING_COEFFS!$A:$A,"UrgencyClass",OPERATING_COEFFS!$B:$B,$AK50))</f>
        <v/>
      </c>
      <c r="AM50" s="19" t="n"/>
      <c r="AN50" s="19">
        <f>IF($AM50="","",INDEX(TAX_MODES!$B:$B,MATCH($AM50,TAX_MODES!$A:$A,0)))</f>
        <v/>
      </c>
      <c r="AO50" s="19" t="n"/>
      <c r="AP50" s="19" t="n"/>
    </row>
    <row r="51">
      <c r="A51" s="21" t="n"/>
      <c r="B51" s="21" t="n"/>
      <c r="C51" s="21" t="n"/>
      <c r="D51" s="32">
        <f>IF($C51="","",SUMIFS(SITE_COEFFS!$C:$C,SITE_COEFFS!$A:$A,"SoilWorkability",SITE_COEFFS!$B:$B,$C51))</f>
        <v/>
      </c>
      <c r="E51" s="21" t="n"/>
      <c r="F51" s="32">
        <f>IF($E51="","",SUMIFS(SITE_COEFFS!$C:$C,SITE_COEFFS!$A:$A,"SoilMoisture",SITE_COEFFS!$B:$B,$E51))</f>
        <v/>
      </c>
      <c r="G51" s="21" t="n"/>
      <c r="H51" s="32">
        <f>IF($G51="","",SUMIFS(SITE_COEFFS!$C:$C,SITE_COEFFS!$A:$A,"DebrisLevel",SITE_COEFFS!$B:$B,$G51))</f>
        <v/>
      </c>
      <c r="I51" s="21" t="n"/>
      <c r="J51" s="32">
        <f>IF($I51="","",SUMIFS(SITE_COEFFS!$C:$C,SITE_COEFFS!$A:$A,"SlopeClass",SITE_COEFFS!$B:$B,$I51))</f>
        <v/>
      </c>
      <c r="K51" s="21" t="n"/>
      <c r="L51" s="32">
        <f>IF($K51="","",SUMIFS(SITE_COEFFS!$C:$C,SITE_COEFFS!$A:$A,"SurfaceUnevenness",SITE_COEFFS!$B:$B,$K51))</f>
        <v/>
      </c>
      <c r="M51" s="21" t="n"/>
      <c r="N51" s="32">
        <f>IF($M51="","",SUMIFS(SITE_COEFFS!$C:$C,SITE_COEFFS!$A:$A,"AccessClass",SITE_COEFFS!$B:$B,$M51))</f>
        <v/>
      </c>
      <c r="O51" s="21" t="n"/>
      <c r="P51" s="32">
        <f>IF($O51="","",SUMIFS(SITE_COEFFS!$C:$C,SITE_COEFFS!$A:$A,"TurnSpace",SITE_COEFFS!$B:$B,$O51))</f>
        <v/>
      </c>
      <c r="Q51" s="21" t="n"/>
      <c r="R51" s="32">
        <f>IF($Q51="","",SUMIFS(SITE_COEFFS!$C:$C,SITE_COEFFS!$A:$A,"ProximityToBuildings",SITE_COEFFS!$B:$B,$Q51))</f>
        <v/>
      </c>
      <c r="S51" s="21" t="n"/>
      <c r="T51" s="32">
        <f>IF($S51="","",SUMIFS(SITE_COEFFS!$C:$C,SITE_COEFFS!$A:$A,"MachineryAllowed",SITE_COEFFS!$B:$B,$S51))</f>
        <v/>
      </c>
      <c r="U51" s="21" t="n"/>
      <c r="V51" s="21" t="n"/>
      <c r="W51" s="32">
        <f>IF($V51="","",SUMIFS(SITE_COEFFS!$C:$C,SITE_COEFFS!$A:$A,"GeometryComplexity",SITE_COEFFS!$B:$B,$V51))</f>
        <v/>
      </c>
      <c r="X51" s="21" t="n"/>
      <c r="Y51" s="21">
        <f>IF($X51="","",SUMIFS(TARIFF_PROFILES!$D:$D,TARIFF_PROFILES!$A:$A,$X51))</f>
        <v/>
      </c>
      <c r="Z51" s="21">
        <f>IF($X51="","",SUMIFS(TARIFF_PROFILES!$E:$E,TARIFF_PROFILES!$A:$A,$X51))</f>
        <v/>
      </c>
      <c r="AA51" s="21">
        <f>IF($X51="","",SUMIFS(TARIFF_PROFILES!$F:$F,TARIFF_PROFILES!$A:$A,$X51))</f>
        <v/>
      </c>
      <c r="AB51" s="21">
        <f>IF($X51="","",SUMIFS(TARIFF_PROFILES!$G:$G,TARIFF_PROFILES!$A:$A,$X51))</f>
        <v/>
      </c>
      <c r="AC51" s="21">
        <f>IF($X51="","",SUMIFS(TARIFF_PROFILES!$H:$H,TARIFF_PROFILES!$A:$A,$X51))</f>
        <v/>
      </c>
      <c r="AD51" s="21">
        <f>IF($X51="","",INDEX(TARIFF_PROFILES!$J:$J,MATCH($X51,TARIFF_PROFILES!$A:$A,0)))</f>
        <v/>
      </c>
      <c r="AE51" s="21">
        <f>IF($X51="","",INDEX(TARIFF_PROFILES!$K:$K,MATCH($X51,TARIFF_PROFILES!$A:$A,0)))</f>
        <v/>
      </c>
      <c r="AF51" s="19" t="n"/>
      <c r="AG51" s="19" t="n"/>
      <c r="AH51" s="19">
        <f>IF($AG51="","",SUMIFS(OPERATING_COEFFS!$C:$C,OPERATING_COEFFS!$A:$A,"DistanceClass",OPERATING_COEFFS!$B:$B,$AG51))</f>
        <v/>
      </c>
      <c r="AI51" s="19" t="n"/>
      <c r="AJ51" s="19">
        <f>IF($AI51="","",SUMIFS(OPERATING_COEFFS!$C:$C,OPERATING_COEFFS!$A:$A,"SeasonClass",OPERATING_COEFFS!$B:$B,$AI51))</f>
        <v/>
      </c>
      <c r="AK51" s="19" t="n"/>
      <c r="AL51" s="19">
        <f>IF($AK51="","",SUMIFS(OPERATING_COEFFS!$C:$C,OPERATING_COEFFS!$A:$A,"UrgencyClass",OPERATING_COEFFS!$B:$B,$AK51))</f>
        <v/>
      </c>
      <c r="AM51" s="19" t="n"/>
      <c r="AN51" s="19">
        <f>IF($AM51="","",INDEX(TAX_MODES!$B:$B,MATCH($AM51,TAX_MODES!$A:$A,0)))</f>
        <v/>
      </c>
      <c r="AO51" s="19" t="n"/>
      <c r="AP51" s="19" t="n"/>
    </row>
    <row r="52">
      <c r="A52" s="21" t="n"/>
      <c r="B52" s="21" t="n"/>
      <c r="C52" s="21" t="n"/>
      <c r="D52" s="32">
        <f>IF($C52="","",SUMIFS(SITE_COEFFS!$C:$C,SITE_COEFFS!$A:$A,"SoilWorkability",SITE_COEFFS!$B:$B,$C52))</f>
        <v/>
      </c>
      <c r="E52" s="21" t="n"/>
      <c r="F52" s="32">
        <f>IF($E52="","",SUMIFS(SITE_COEFFS!$C:$C,SITE_COEFFS!$A:$A,"SoilMoisture",SITE_COEFFS!$B:$B,$E52))</f>
        <v/>
      </c>
      <c r="G52" s="21" t="n"/>
      <c r="H52" s="32">
        <f>IF($G52="","",SUMIFS(SITE_COEFFS!$C:$C,SITE_COEFFS!$A:$A,"DebrisLevel",SITE_COEFFS!$B:$B,$G52))</f>
        <v/>
      </c>
      <c r="I52" s="21" t="n"/>
      <c r="J52" s="32">
        <f>IF($I52="","",SUMIFS(SITE_COEFFS!$C:$C,SITE_COEFFS!$A:$A,"SlopeClass",SITE_COEFFS!$B:$B,$I52))</f>
        <v/>
      </c>
      <c r="K52" s="21" t="n"/>
      <c r="L52" s="32">
        <f>IF($K52="","",SUMIFS(SITE_COEFFS!$C:$C,SITE_COEFFS!$A:$A,"SurfaceUnevenness",SITE_COEFFS!$B:$B,$K52))</f>
        <v/>
      </c>
      <c r="M52" s="21" t="n"/>
      <c r="N52" s="32">
        <f>IF($M52="","",SUMIFS(SITE_COEFFS!$C:$C,SITE_COEFFS!$A:$A,"AccessClass",SITE_COEFFS!$B:$B,$M52))</f>
        <v/>
      </c>
      <c r="O52" s="21" t="n"/>
      <c r="P52" s="32">
        <f>IF($O52="","",SUMIFS(SITE_COEFFS!$C:$C,SITE_COEFFS!$A:$A,"TurnSpace",SITE_COEFFS!$B:$B,$O52))</f>
        <v/>
      </c>
      <c r="Q52" s="21" t="n"/>
      <c r="R52" s="32">
        <f>IF($Q52="","",SUMIFS(SITE_COEFFS!$C:$C,SITE_COEFFS!$A:$A,"ProximityToBuildings",SITE_COEFFS!$B:$B,$Q52))</f>
        <v/>
      </c>
      <c r="S52" s="21" t="n"/>
      <c r="T52" s="32">
        <f>IF($S52="","",SUMIFS(SITE_COEFFS!$C:$C,SITE_COEFFS!$A:$A,"MachineryAllowed",SITE_COEFFS!$B:$B,$S52))</f>
        <v/>
      </c>
      <c r="U52" s="21" t="n"/>
      <c r="V52" s="21" t="n"/>
      <c r="W52" s="32">
        <f>IF($V52="","",SUMIFS(SITE_COEFFS!$C:$C,SITE_COEFFS!$A:$A,"GeometryComplexity",SITE_COEFFS!$B:$B,$V52))</f>
        <v/>
      </c>
      <c r="X52" s="21" t="n"/>
      <c r="Y52" s="21">
        <f>IF($X52="","",SUMIFS(TARIFF_PROFILES!$D:$D,TARIFF_PROFILES!$A:$A,$X52))</f>
        <v/>
      </c>
      <c r="Z52" s="21">
        <f>IF($X52="","",SUMIFS(TARIFF_PROFILES!$E:$E,TARIFF_PROFILES!$A:$A,$X52))</f>
        <v/>
      </c>
      <c r="AA52" s="21">
        <f>IF($X52="","",SUMIFS(TARIFF_PROFILES!$F:$F,TARIFF_PROFILES!$A:$A,$X52))</f>
        <v/>
      </c>
      <c r="AB52" s="21">
        <f>IF($X52="","",SUMIFS(TARIFF_PROFILES!$G:$G,TARIFF_PROFILES!$A:$A,$X52))</f>
        <v/>
      </c>
      <c r="AC52" s="21">
        <f>IF($X52="","",SUMIFS(TARIFF_PROFILES!$H:$H,TARIFF_PROFILES!$A:$A,$X52))</f>
        <v/>
      </c>
      <c r="AD52" s="21">
        <f>IF($X52="","",INDEX(TARIFF_PROFILES!$J:$J,MATCH($X52,TARIFF_PROFILES!$A:$A,0)))</f>
        <v/>
      </c>
      <c r="AE52" s="21">
        <f>IF($X52="","",INDEX(TARIFF_PROFILES!$K:$K,MATCH($X52,TARIFF_PROFILES!$A:$A,0)))</f>
        <v/>
      </c>
      <c r="AF52" s="19" t="n"/>
      <c r="AG52" s="19" t="n"/>
      <c r="AH52" s="19">
        <f>IF($AG52="","",SUMIFS(OPERATING_COEFFS!$C:$C,OPERATING_COEFFS!$A:$A,"DistanceClass",OPERATING_COEFFS!$B:$B,$AG52))</f>
        <v/>
      </c>
      <c r="AI52" s="19" t="n"/>
      <c r="AJ52" s="19">
        <f>IF($AI52="","",SUMIFS(OPERATING_COEFFS!$C:$C,OPERATING_COEFFS!$A:$A,"SeasonClass",OPERATING_COEFFS!$B:$B,$AI52))</f>
        <v/>
      </c>
      <c r="AK52" s="19" t="n"/>
      <c r="AL52" s="19">
        <f>IF($AK52="","",SUMIFS(OPERATING_COEFFS!$C:$C,OPERATING_COEFFS!$A:$A,"UrgencyClass",OPERATING_COEFFS!$B:$B,$AK52))</f>
        <v/>
      </c>
      <c r="AM52" s="19" t="n"/>
      <c r="AN52" s="19">
        <f>IF($AM52="","",INDEX(TAX_MODES!$B:$B,MATCH($AM52,TAX_MODES!$A:$A,0)))</f>
        <v/>
      </c>
      <c r="AO52" s="19" t="n"/>
      <c r="AP52" s="19" t="n"/>
    </row>
    <row r="53">
      <c r="A53" s="21" t="n"/>
      <c r="B53" s="21" t="n"/>
      <c r="C53" s="21" t="n"/>
      <c r="D53" s="32">
        <f>IF($C53="","",SUMIFS(SITE_COEFFS!$C:$C,SITE_COEFFS!$A:$A,"SoilWorkability",SITE_COEFFS!$B:$B,$C53))</f>
        <v/>
      </c>
      <c r="E53" s="21" t="n"/>
      <c r="F53" s="32">
        <f>IF($E53="","",SUMIFS(SITE_COEFFS!$C:$C,SITE_COEFFS!$A:$A,"SoilMoisture",SITE_COEFFS!$B:$B,$E53))</f>
        <v/>
      </c>
      <c r="G53" s="21" t="n"/>
      <c r="H53" s="32">
        <f>IF($G53="","",SUMIFS(SITE_COEFFS!$C:$C,SITE_COEFFS!$A:$A,"DebrisLevel",SITE_COEFFS!$B:$B,$G53))</f>
        <v/>
      </c>
      <c r="I53" s="21" t="n"/>
      <c r="J53" s="32">
        <f>IF($I53="","",SUMIFS(SITE_COEFFS!$C:$C,SITE_COEFFS!$A:$A,"SlopeClass",SITE_COEFFS!$B:$B,$I53))</f>
        <v/>
      </c>
      <c r="K53" s="21" t="n"/>
      <c r="L53" s="32">
        <f>IF($K53="","",SUMIFS(SITE_COEFFS!$C:$C,SITE_COEFFS!$A:$A,"SurfaceUnevenness",SITE_COEFFS!$B:$B,$K53))</f>
        <v/>
      </c>
      <c r="M53" s="21" t="n"/>
      <c r="N53" s="32">
        <f>IF($M53="","",SUMIFS(SITE_COEFFS!$C:$C,SITE_COEFFS!$A:$A,"AccessClass",SITE_COEFFS!$B:$B,$M53))</f>
        <v/>
      </c>
      <c r="O53" s="21" t="n"/>
      <c r="P53" s="32">
        <f>IF($O53="","",SUMIFS(SITE_COEFFS!$C:$C,SITE_COEFFS!$A:$A,"TurnSpace",SITE_COEFFS!$B:$B,$O53))</f>
        <v/>
      </c>
      <c r="Q53" s="21" t="n"/>
      <c r="R53" s="32">
        <f>IF($Q53="","",SUMIFS(SITE_COEFFS!$C:$C,SITE_COEFFS!$A:$A,"ProximityToBuildings",SITE_COEFFS!$B:$B,$Q53))</f>
        <v/>
      </c>
      <c r="S53" s="21" t="n"/>
      <c r="T53" s="32">
        <f>IF($S53="","",SUMIFS(SITE_COEFFS!$C:$C,SITE_COEFFS!$A:$A,"MachineryAllowed",SITE_COEFFS!$B:$B,$S53))</f>
        <v/>
      </c>
      <c r="U53" s="21" t="n"/>
      <c r="V53" s="21" t="n"/>
      <c r="W53" s="32">
        <f>IF($V53="","",SUMIFS(SITE_COEFFS!$C:$C,SITE_COEFFS!$A:$A,"GeometryComplexity",SITE_COEFFS!$B:$B,$V53))</f>
        <v/>
      </c>
      <c r="X53" s="21" t="n"/>
      <c r="Y53" s="21">
        <f>IF($X53="","",SUMIFS(TARIFF_PROFILES!$D:$D,TARIFF_PROFILES!$A:$A,$X53))</f>
        <v/>
      </c>
      <c r="Z53" s="21">
        <f>IF($X53="","",SUMIFS(TARIFF_PROFILES!$E:$E,TARIFF_PROFILES!$A:$A,$X53))</f>
        <v/>
      </c>
      <c r="AA53" s="21">
        <f>IF($X53="","",SUMIFS(TARIFF_PROFILES!$F:$F,TARIFF_PROFILES!$A:$A,$X53))</f>
        <v/>
      </c>
      <c r="AB53" s="21">
        <f>IF($X53="","",SUMIFS(TARIFF_PROFILES!$G:$G,TARIFF_PROFILES!$A:$A,$X53))</f>
        <v/>
      </c>
      <c r="AC53" s="21">
        <f>IF($X53="","",SUMIFS(TARIFF_PROFILES!$H:$H,TARIFF_PROFILES!$A:$A,$X53))</f>
        <v/>
      </c>
      <c r="AD53" s="21">
        <f>IF($X53="","",INDEX(TARIFF_PROFILES!$J:$J,MATCH($X53,TARIFF_PROFILES!$A:$A,0)))</f>
        <v/>
      </c>
      <c r="AE53" s="21">
        <f>IF($X53="","",INDEX(TARIFF_PROFILES!$K:$K,MATCH($X53,TARIFF_PROFILES!$A:$A,0)))</f>
        <v/>
      </c>
      <c r="AF53" s="19" t="n"/>
      <c r="AG53" s="19" t="n"/>
      <c r="AH53" s="19">
        <f>IF($AG53="","",SUMIFS(OPERATING_COEFFS!$C:$C,OPERATING_COEFFS!$A:$A,"DistanceClass",OPERATING_COEFFS!$B:$B,$AG53))</f>
        <v/>
      </c>
      <c r="AI53" s="19" t="n"/>
      <c r="AJ53" s="19">
        <f>IF($AI53="","",SUMIFS(OPERATING_COEFFS!$C:$C,OPERATING_COEFFS!$A:$A,"SeasonClass",OPERATING_COEFFS!$B:$B,$AI53))</f>
        <v/>
      </c>
      <c r="AK53" s="19" t="n"/>
      <c r="AL53" s="19">
        <f>IF($AK53="","",SUMIFS(OPERATING_COEFFS!$C:$C,OPERATING_COEFFS!$A:$A,"UrgencyClass",OPERATING_COEFFS!$B:$B,$AK53))</f>
        <v/>
      </c>
      <c r="AM53" s="19" t="n"/>
      <c r="AN53" s="19">
        <f>IF($AM53="","",INDEX(TAX_MODES!$B:$B,MATCH($AM53,TAX_MODES!$A:$A,0)))</f>
        <v/>
      </c>
      <c r="AO53" s="19" t="n"/>
      <c r="AP53" s="19" t="n"/>
    </row>
    <row r="54">
      <c r="A54" s="21" t="n"/>
      <c r="B54" s="21" t="n"/>
      <c r="C54" s="21" t="n"/>
      <c r="D54" s="32">
        <f>IF($C54="","",SUMIFS(SITE_COEFFS!$C:$C,SITE_COEFFS!$A:$A,"SoilWorkability",SITE_COEFFS!$B:$B,$C54))</f>
        <v/>
      </c>
      <c r="E54" s="21" t="n"/>
      <c r="F54" s="32">
        <f>IF($E54="","",SUMIFS(SITE_COEFFS!$C:$C,SITE_COEFFS!$A:$A,"SoilMoisture",SITE_COEFFS!$B:$B,$E54))</f>
        <v/>
      </c>
      <c r="G54" s="21" t="n"/>
      <c r="H54" s="32">
        <f>IF($G54="","",SUMIFS(SITE_COEFFS!$C:$C,SITE_COEFFS!$A:$A,"DebrisLevel",SITE_COEFFS!$B:$B,$G54))</f>
        <v/>
      </c>
      <c r="I54" s="21" t="n"/>
      <c r="J54" s="32">
        <f>IF($I54="","",SUMIFS(SITE_COEFFS!$C:$C,SITE_COEFFS!$A:$A,"SlopeClass",SITE_COEFFS!$B:$B,$I54))</f>
        <v/>
      </c>
      <c r="K54" s="21" t="n"/>
      <c r="L54" s="32">
        <f>IF($K54="","",SUMIFS(SITE_COEFFS!$C:$C,SITE_COEFFS!$A:$A,"SurfaceUnevenness",SITE_COEFFS!$B:$B,$K54))</f>
        <v/>
      </c>
      <c r="M54" s="21" t="n"/>
      <c r="N54" s="32">
        <f>IF($M54="","",SUMIFS(SITE_COEFFS!$C:$C,SITE_COEFFS!$A:$A,"AccessClass",SITE_COEFFS!$B:$B,$M54))</f>
        <v/>
      </c>
      <c r="O54" s="21" t="n"/>
      <c r="P54" s="32">
        <f>IF($O54="","",SUMIFS(SITE_COEFFS!$C:$C,SITE_COEFFS!$A:$A,"TurnSpace",SITE_COEFFS!$B:$B,$O54))</f>
        <v/>
      </c>
      <c r="Q54" s="21" t="n"/>
      <c r="R54" s="32">
        <f>IF($Q54="","",SUMIFS(SITE_COEFFS!$C:$C,SITE_COEFFS!$A:$A,"ProximityToBuildings",SITE_COEFFS!$B:$B,$Q54))</f>
        <v/>
      </c>
      <c r="S54" s="21" t="n"/>
      <c r="T54" s="32">
        <f>IF($S54="","",SUMIFS(SITE_COEFFS!$C:$C,SITE_COEFFS!$A:$A,"MachineryAllowed",SITE_COEFFS!$B:$B,$S54))</f>
        <v/>
      </c>
      <c r="U54" s="21" t="n"/>
      <c r="V54" s="21" t="n"/>
      <c r="W54" s="32">
        <f>IF($V54="","",SUMIFS(SITE_COEFFS!$C:$C,SITE_COEFFS!$A:$A,"GeometryComplexity",SITE_COEFFS!$B:$B,$V54))</f>
        <v/>
      </c>
      <c r="X54" s="21" t="n"/>
      <c r="Y54" s="21">
        <f>IF($X54="","",SUMIFS(TARIFF_PROFILES!$D:$D,TARIFF_PROFILES!$A:$A,$X54))</f>
        <v/>
      </c>
      <c r="Z54" s="21">
        <f>IF($X54="","",SUMIFS(TARIFF_PROFILES!$E:$E,TARIFF_PROFILES!$A:$A,$X54))</f>
        <v/>
      </c>
      <c r="AA54" s="21">
        <f>IF($X54="","",SUMIFS(TARIFF_PROFILES!$F:$F,TARIFF_PROFILES!$A:$A,$X54))</f>
        <v/>
      </c>
      <c r="AB54" s="21">
        <f>IF($X54="","",SUMIFS(TARIFF_PROFILES!$G:$G,TARIFF_PROFILES!$A:$A,$X54))</f>
        <v/>
      </c>
      <c r="AC54" s="21">
        <f>IF($X54="","",SUMIFS(TARIFF_PROFILES!$H:$H,TARIFF_PROFILES!$A:$A,$X54))</f>
        <v/>
      </c>
      <c r="AD54" s="21">
        <f>IF($X54="","",INDEX(TARIFF_PROFILES!$J:$J,MATCH($X54,TARIFF_PROFILES!$A:$A,0)))</f>
        <v/>
      </c>
      <c r="AE54" s="21">
        <f>IF($X54="","",INDEX(TARIFF_PROFILES!$K:$K,MATCH($X54,TARIFF_PROFILES!$A:$A,0)))</f>
        <v/>
      </c>
      <c r="AF54" s="19" t="n"/>
      <c r="AG54" s="19" t="n"/>
      <c r="AH54" s="19">
        <f>IF($AG54="","",SUMIFS(OPERATING_COEFFS!$C:$C,OPERATING_COEFFS!$A:$A,"DistanceClass",OPERATING_COEFFS!$B:$B,$AG54))</f>
        <v/>
      </c>
      <c r="AI54" s="19" t="n"/>
      <c r="AJ54" s="19">
        <f>IF($AI54="","",SUMIFS(OPERATING_COEFFS!$C:$C,OPERATING_COEFFS!$A:$A,"SeasonClass",OPERATING_COEFFS!$B:$B,$AI54))</f>
        <v/>
      </c>
      <c r="AK54" s="19" t="n"/>
      <c r="AL54" s="19">
        <f>IF($AK54="","",SUMIFS(OPERATING_COEFFS!$C:$C,OPERATING_COEFFS!$A:$A,"UrgencyClass",OPERATING_COEFFS!$B:$B,$AK54))</f>
        <v/>
      </c>
      <c r="AM54" s="19" t="n"/>
      <c r="AN54" s="19">
        <f>IF($AM54="","",INDEX(TAX_MODES!$B:$B,MATCH($AM54,TAX_MODES!$A:$A,0)))</f>
        <v/>
      </c>
      <c r="AO54" s="19" t="n"/>
      <c r="AP54" s="19" t="n"/>
    </row>
    <row r="55">
      <c r="A55" s="21" t="n"/>
      <c r="B55" s="21" t="n"/>
      <c r="C55" s="21" t="n"/>
      <c r="D55" s="32">
        <f>IF($C55="","",SUMIFS(SITE_COEFFS!$C:$C,SITE_COEFFS!$A:$A,"SoilWorkability",SITE_COEFFS!$B:$B,$C55))</f>
        <v/>
      </c>
      <c r="E55" s="21" t="n"/>
      <c r="F55" s="32">
        <f>IF($E55="","",SUMIFS(SITE_COEFFS!$C:$C,SITE_COEFFS!$A:$A,"SoilMoisture",SITE_COEFFS!$B:$B,$E55))</f>
        <v/>
      </c>
      <c r="G55" s="21" t="n"/>
      <c r="H55" s="32">
        <f>IF($G55="","",SUMIFS(SITE_COEFFS!$C:$C,SITE_COEFFS!$A:$A,"DebrisLevel",SITE_COEFFS!$B:$B,$G55))</f>
        <v/>
      </c>
      <c r="I55" s="21" t="n"/>
      <c r="J55" s="32">
        <f>IF($I55="","",SUMIFS(SITE_COEFFS!$C:$C,SITE_COEFFS!$A:$A,"SlopeClass",SITE_COEFFS!$B:$B,$I55))</f>
        <v/>
      </c>
      <c r="K55" s="21" t="n"/>
      <c r="L55" s="32">
        <f>IF($K55="","",SUMIFS(SITE_COEFFS!$C:$C,SITE_COEFFS!$A:$A,"SurfaceUnevenness",SITE_COEFFS!$B:$B,$K55))</f>
        <v/>
      </c>
      <c r="M55" s="21" t="n"/>
      <c r="N55" s="32">
        <f>IF($M55="","",SUMIFS(SITE_COEFFS!$C:$C,SITE_COEFFS!$A:$A,"AccessClass",SITE_COEFFS!$B:$B,$M55))</f>
        <v/>
      </c>
      <c r="O55" s="21" t="n"/>
      <c r="P55" s="32">
        <f>IF($O55="","",SUMIFS(SITE_COEFFS!$C:$C,SITE_COEFFS!$A:$A,"TurnSpace",SITE_COEFFS!$B:$B,$O55))</f>
        <v/>
      </c>
      <c r="Q55" s="21" t="n"/>
      <c r="R55" s="32">
        <f>IF($Q55="","",SUMIFS(SITE_COEFFS!$C:$C,SITE_COEFFS!$A:$A,"ProximityToBuildings",SITE_COEFFS!$B:$B,$Q55))</f>
        <v/>
      </c>
      <c r="S55" s="21" t="n"/>
      <c r="T55" s="32">
        <f>IF($S55="","",SUMIFS(SITE_COEFFS!$C:$C,SITE_COEFFS!$A:$A,"MachineryAllowed",SITE_COEFFS!$B:$B,$S55))</f>
        <v/>
      </c>
      <c r="U55" s="21" t="n"/>
      <c r="V55" s="21" t="n"/>
      <c r="W55" s="32">
        <f>IF($V55="","",SUMIFS(SITE_COEFFS!$C:$C,SITE_COEFFS!$A:$A,"GeometryComplexity",SITE_COEFFS!$B:$B,$V55))</f>
        <v/>
      </c>
      <c r="X55" s="21" t="n"/>
      <c r="Y55" s="21">
        <f>IF($X55="","",SUMIFS(TARIFF_PROFILES!$D:$D,TARIFF_PROFILES!$A:$A,$X55))</f>
        <v/>
      </c>
      <c r="Z55" s="21">
        <f>IF($X55="","",SUMIFS(TARIFF_PROFILES!$E:$E,TARIFF_PROFILES!$A:$A,$X55))</f>
        <v/>
      </c>
      <c r="AA55" s="21">
        <f>IF($X55="","",SUMIFS(TARIFF_PROFILES!$F:$F,TARIFF_PROFILES!$A:$A,$X55))</f>
        <v/>
      </c>
      <c r="AB55" s="21">
        <f>IF($X55="","",SUMIFS(TARIFF_PROFILES!$G:$G,TARIFF_PROFILES!$A:$A,$X55))</f>
        <v/>
      </c>
      <c r="AC55" s="21">
        <f>IF($X55="","",SUMIFS(TARIFF_PROFILES!$H:$H,TARIFF_PROFILES!$A:$A,$X55))</f>
        <v/>
      </c>
      <c r="AD55" s="21">
        <f>IF($X55="","",INDEX(TARIFF_PROFILES!$J:$J,MATCH($X55,TARIFF_PROFILES!$A:$A,0)))</f>
        <v/>
      </c>
      <c r="AE55" s="21">
        <f>IF($X55="","",INDEX(TARIFF_PROFILES!$K:$K,MATCH($X55,TARIFF_PROFILES!$A:$A,0)))</f>
        <v/>
      </c>
      <c r="AF55" s="19" t="n"/>
      <c r="AG55" s="19" t="n"/>
      <c r="AH55" s="19">
        <f>IF($AG55="","",SUMIFS(OPERATING_COEFFS!$C:$C,OPERATING_COEFFS!$A:$A,"DistanceClass",OPERATING_COEFFS!$B:$B,$AG55))</f>
        <v/>
      </c>
      <c r="AI55" s="19" t="n"/>
      <c r="AJ55" s="19">
        <f>IF($AI55="","",SUMIFS(OPERATING_COEFFS!$C:$C,OPERATING_COEFFS!$A:$A,"SeasonClass",OPERATING_COEFFS!$B:$B,$AI55))</f>
        <v/>
      </c>
      <c r="AK55" s="19" t="n"/>
      <c r="AL55" s="19">
        <f>IF($AK55="","",SUMIFS(OPERATING_COEFFS!$C:$C,OPERATING_COEFFS!$A:$A,"UrgencyClass",OPERATING_COEFFS!$B:$B,$AK55))</f>
        <v/>
      </c>
      <c r="AM55" s="19" t="n"/>
      <c r="AN55" s="19">
        <f>IF($AM55="","",INDEX(TAX_MODES!$B:$B,MATCH($AM55,TAX_MODES!$A:$A,0)))</f>
        <v/>
      </c>
      <c r="AO55" s="19" t="n"/>
      <c r="AP55" s="19" t="n"/>
    </row>
    <row r="56">
      <c r="A56" s="21" t="n"/>
      <c r="B56" s="21" t="n"/>
      <c r="C56" s="21" t="n"/>
      <c r="D56" s="32">
        <f>IF($C56="","",SUMIFS(SITE_COEFFS!$C:$C,SITE_COEFFS!$A:$A,"SoilWorkability",SITE_COEFFS!$B:$B,$C56))</f>
        <v/>
      </c>
      <c r="E56" s="21" t="n"/>
      <c r="F56" s="32">
        <f>IF($E56="","",SUMIFS(SITE_COEFFS!$C:$C,SITE_COEFFS!$A:$A,"SoilMoisture",SITE_COEFFS!$B:$B,$E56))</f>
        <v/>
      </c>
      <c r="G56" s="21" t="n"/>
      <c r="H56" s="32">
        <f>IF($G56="","",SUMIFS(SITE_COEFFS!$C:$C,SITE_COEFFS!$A:$A,"DebrisLevel",SITE_COEFFS!$B:$B,$G56))</f>
        <v/>
      </c>
      <c r="I56" s="21" t="n"/>
      <c r="J56" s="32">
        <f>IF($I56="","",SUMIFS(SITE_COEFFS!$C:$C,SITE_COEFFS!$A:$A,"SlopeClass",SITE_COEFFS!$B:$B,$I56))</f>
        <v/>
      </c>
      <c r="K56" s="21" t="n"/>
      <c r="L56" s="32">
        <f>IF($K56="","",SUMIFS(SITE_COEFFS!$C:$C,SITE_COEFFS!$A:$A,"SurfaceUnevenness",SITE_COEFFS!$B:$B,$K56))</f>
        <v/>
      </c>
      <c r="M56" s="21" t="n"/>
      <c r="N56" s="32">
        <f>IF($M56="","",SUMIFS(SITE_COEFFS!$C:$C,SITE_COEFFS!$A:$A,"AccessClass",SITE_COEFFS!$B:$B,$M56))</f>
        <v/>
      </c>
      <c r="O56" s="21" t="n"/>
      <c r="P56" s="32">
        <f>IF($O56="","",SUMIFS(SITE_COEFFS!$C:$C,SITE_COEFFS!$A:$A,"TurnSpace",SITE_COEFFS!$B:$B,$O56))</f>
        <v/>
      </c>
      <c r="Q56" s="21" t="n"/>
      <c r="R56" s="32">
        <f>IF($Q56="","",SUMIFS(SITE_COEFFS!$C:$C,SITE_COEFFS!$A:$A,"ProximityToBuildings",SITE_COEFFS!$B:$B,$Q56))</f>
        <v/>
      </c>
      <c r="S56" s="21" t="n"/>
      <c r="T56" s="32">
        <f>IF($S56="","",SUMIFS(SITE_COEFFS!$C:$C,SITE_COEFFS!$A:$A,"MachineryAllowed",SITE_COEFFS!$B:$B,$S56))</f>
        <v/>
      </c>
      <c r="U56" s="21" t="n"/>
      <c r="V56" s="21" t="n"/>
      <c r="W56" s="32">
        <f>IF($V56="","",SUMIFS(SITE_COEFFS!$C:$C,SITE_COEFFS!$A:$A,"GeometryComplexity",SITE_COEFFS!$B:$B,$V56))</f>
        <v/>
      </c>
      <c r="X56" s="21" t="n"/>
      <c r="Y56" s="21">
        <f>IF($X56="","",SUMIFS(TARIFF_PROFILES!$D:$D,TARIFF_PROFILES!$A:$A,$X56))</f>
        <v/>
      </c>
      <c r="Z56" s="21">
        <f>IF($X56="","",SUMIFS(TARIFF_PROFILES!$E:$E,TARIFF_PROFILES!$A:$A,$X56))</f>
        <v/>
      </c>
      <c r="AA56" s="21">
        <f>IF($X56="","",SUMIFS(TARIFF_PROFILES!$F:$F,TARIFF_PROFILES!$A:$A,$X56))</f>
        <v/>
      </c>
      <c r="AB56" s="21">
        <f>IF($X56="","",SUMIFS(TARIFF_PROFILES!$G:$G,TARIFF_PROFILES!$A:$A,$X56))</f>
        <v/>
      </c>
      <c r="AC56" s="21">
        <f>IF($X56="","",SUMIFS(TARIFF_PROFILES!$H:$H,TARIFF_PROFILES!$A:$A,$X56))</f>
        <v/>
      </c>
      <c r="AD56" s="21">
        <f>IF($X56="","",INDEX(TARIFF_PROFILES!$J:$J,MATCH($X56,TARIFF_PROFILES!$A:$A,0)))</f>
        <v/>
      </c>
      <c r="AE56" s="21">
        <f>IF($X56="","",INDEX(TARIFF_PROFILES!$K:$K,MATCH($X56,TARIFF_PROFILES!$A:$A,0)))</f>
        <v/>
      </c>
      <c r="AF56" s="19" t="n"/>
      <c r="AG56" s="19" t="n"/>
      <c r="AH56" s="19">
        <f>IF($AG56="","",SUMIFS(OPERATING_COEFFS!$C:$C,OPERATING_COEFFS!$A:$A,"DistanceClass",OPERATING_COEFFS!$B:$B,$AG56))</f>
        <v/>
      </c>
      <c r="AI56" s="19" t="n"/>
      <c r="AJ56" s="19">
        <f>IF($AI56="","",SUMIFS(OPERATING_COEFFS!$C:$C,OPERATING_COEFFS!$A:$A,"SeasonClass",OPERATING_COEFFS!$B:$B,$AI56))</f>
        <v/>
      </c>
      <c r="AK56" s="19" t="n"/>
      <c r="AL56" s="19">
        <f>IF($AK56="","",SUMIFS(OPERATING_COEFFS!$C:$C,OPERATING_COEFFS!$A:$A,"UrgencyClass",OPERATING_COEFFS!$B:$B,$AK56))</f>
        <v/>
      </c>
      <c r="AM56" s="19" t="n"/>
      <c r="AN56" s="19">
        <f>IF($AM56="","",INDEX(TAX_MODES!$B:$B,MATCH($AM56,TAX_MODES!$A:$A,0)))</f>
        <v/>
      </c>
      <c r="AO56" s="19" t="n"/>
      <c r="AP56" s="19" t="n"/>
    </row>
    <row r="57">
      <c r="A57" s="21" t="n"/>
      <c r="B57" s="21" t="n"/>
      <c r="C57" s="21" t="n"/>
      <c r="D57" s="32">
        <f>IF($C57="","",SUMIFS(SITE_COEFFS!$C:$C,SITE_COEFFS!$A:$A,"SoilWorkability",SITE_COEFFS!$B:$B,$C57))</f>
        <v/>
      </c>
      <c r="E57" s="21" t="n"/>
      <c r="F57" s="32">
        <f>IF($E57="","",SUMIFS(SITE_COEFFS!$C:$C,SITE_COEFFS!$A:$A,"SoilMoisture",SITE_COEFFS!$B:$B,$E57))</f>
        <v/>
      </c>
      <c r="G57" s="21" t="n"/>
      <c r="H57" s="32">
        <f>IF($G57="","",SUMIFS(SITE_COEFFS!$C:$C,SITE_COEFFS!$A:$A,"DebrisLevel",SITE_COEFFS!$B:$B,$G57))</f>
        <v/>
      </c>
      <c r="I57" s="21" t="n"/>
      <c r="J57" s="32">
        <f>IF($I57="","",SUMIFS(SITE_COEFFS!$C:$C,SITE_COEFFS!$A:$A,"SlopeClass",SITE_COEFFS!$B:$B,$I57))</f>
        <v/>
      </c>
      <c r="K57" s="21" t="n"/>
      <c r="L57" s="32">
        <f>IF($K57="","",SUMIFS(SITE_COEFFS!$C:$C,SITE_COEFFS!$A:$A,"SurfaceUnevenness",SITE_COEFFS!$B:$B,$K57))</f>
        <v/>
      </c>
      <c r="M57" s="21" t="n"/>
      <c r="N57" s="32">
        <f>IF($M57="","",SUMIFS(SITE_COEFFS!$C:$C,SITE_COEFFS!$A:$A,"AccessClass",SITE_COEFFS!$B:$B,$M57))</f>
        <v/>
      </c>
      <c r="O57" s="21" t="n"/>
      <c r="P57" s="32">
        <f>IF($O57="","",SUMIFS(SITE_COEFFS!$C:$C,SITE_COEFFS!$A:$A,"TurnSpace",SITE_COEFFS!$B:$B,$O57))</f>
        <v/>
      </c>
      <c r="Q57" s="21" t="n"/>
      <c r="R57" s="32">
        <f>IF($Q57="","",SUMIFS(SITE_COEFFS!$C:$C,SITE_COEFFS!$A:$A,"ProximityToBuildings",SITE_COEFFS!$B:$B,$Q57))</f>
        <v/>
      </c>
      <c r="S57" s="21" t="n"/>
      <c r="T57" s="32">
        <f>IF($S57="","",SUMIFS(SITE_COEFFS!$C:$C,SITE_COEFFS!$A:$A,"MachineryAllowed",SITE_COEFFS!$B:$B,$S57))</f>
        <v/>
      </c>
      <c r="U57" s="21" t="n"/>
      <c r="V57" s="21" t="n"/>
      <c r="W57" s="32">
        <f>IF($V57="","",SUMIFS(SITE_COEFFS!$C:$C,SITE_COEFFS!$A:$A,"GeometryComplexity",SITE_COEFFS!$B:$B,$V57))</f>
        <v/>
      </c>
      <c r="X57" s="21" t="n"/>
      <c r="Y57" s="21">
        <f>IF($X57="","",SUMIFS(TARIFF_PROFILES!$D:$D,TARIFF_PROFILES!$A:$A,$X57))</f>
        <v/>
      </c>
      <c r="Z57" s="21">
        <f>IF($X57="","",SUMIFS(TARIFF_PROFILES!$E:$E,TARIFF_PROFILES!$A:$A,$X57))</f>
        <v/>
      </c>
      <c r="AA57" s="21">
        <f>IF($X57="","",SUMIFS(TARIFF_PROFILES!$F:$F,TARIFF_PROFILES!$A:$A,$X57))</f>
        <v/>
      </c>
      <c r="AB57" s="21">
        <f>IF($X57="","",SUMIFS(TARIFF_PROFILES!$G:$G,TARIFF_PROFILES!$A:$A,$X57))</f>
        <v/>
      </c>
      <c r="AC57" s="21">
        <f>IF($X57="","",SUMIFS(TARIFF_PROFILES!$H:$H,TARIFF_PROFILES!$A:$A,$X57))</f>
        <v/>
      </c>
      <c r="AD57" s="21">
        <f>IF($X57="","",INDEX(TARIFF_PROFILES!$J:$J,MATCH($X57,TARIFF_PROFILES!$A:$A,0)))</f>
        <v/>
      </c>
      <c r="AE57" s="21">
        <f>IF($X57="","",INDEX(TARIFF_PROFILES!$K:$K,MATCH($X57,TARIFF_PROFILES!$A:$A,0)))</f>
        <v/>
      </c>
      <c r="AF57" s="19" t="n"/>
      <c r="AG57" s="19" t="n"/>
      <c r="AH57" s="19">
        <f>IF($AG57="","",SUMIFS(OPERATING_COEFFS!$C:$C,OPERATING_COEFFS!$A:$A,"DistanceClass",OPERATING_COEFFS!$B:$B,$AG57))</f>
        <v/>
      </c>
      <c r="AI57" s="19" t="n"/>
      <c r="AJ57" s="19">
        <f>IF($AI57="","",SUMIFS(OPERATING_COEFFS!$C:$C,OPERATING_COEFFS!$A:$A,"SeasonClass",OPERATING_COEFFS!$B:$B,$AI57))</f>
        <v/>
      </c>
      <c r="AK57" s="19" t="n"/>
      <c r="AL57" s="19">
        <f>IF($AK57="","",SUMIFS(OPERATING_COEFFS!$C:$C,OPERATING_COEFFS!$A:$A,"UrgencyClass",OPERATING_COEFFS!$B:$B,$AK57))</f>
        <v/>
      </c>
      <c r="AM57" s="19" t="n"/>
      <c r="AN57" s="19">
        <f>IF($AM57="","",INDEX(TAX_MODES!$B:$B,MATCH($AM57,TAX_MODES!$A:$A,0)))</f>
        <v/>
      </c>
      <c r="AO57" s="19" t="n"/>
      <c r="AP57" s="19" t="n"/>
    </row>
    <row r="58">
      <c r="A58" s="21" t="n"/>
      <c r="B58" s="21" t="n"/>
      <c r="C58" s="21" t="n"/>
      <c r="D58" s="32">
        <f>IF($C58="","",SUMIFS(SITE_COEFFS!$C:$C,SITE_COEFFS!$A:$A,"SoilWorkability",SITE_COEFFS!$B:$B,$C58))</f>
        <v/>
      </c>
      <c r="E58" s="21" t="n"/>
      <c r="F58" s="32">
        <f>IF($E58="","",SUMIFS(SITE_COEFFS!$C:$C,SITE_COEFFS!$A:$A,"SoilMoisture",SITE_COEFFS!$B:$B,$E58))</f>
        <v/>
      </c>
      <c r="G58" s="21" t="n"/>
      <c r="H58" s="32">
        <f>IF($G58="","",SUMIFS(SITE_COEFFS!$C:$C,SITE_COEFFS!$A:$A,"DebrisLevel",SITE_COEFFS!$B:$B,$G58))</f>
        <v/>
      </c>
      <c r="I58" s="21" t="n"/>
      <c r="J58" s="32">
        <f>IF($I58="","",SUMIFS(SITE_COEFFS!$C:$C,SITE_COEFFS!$A:$A,"SlopeClass",SITE_COEFFS!$B:$B,$I58))</f>
        <v/>
      </c>
      <c r="K58" s="21" t="n"/>
      <c r="L58" s="32">
        <f>IF($K58="","",SUMIFS(SITE_COEFFS!$C:$C,SITE_COEFFS!$A:$A,"SurfaceUnevenness",SITE_COEFFS!$B:$B,$K58))</f>
        <v/>
      </c>
      <c r="M58" s="21" t="n"/>
      <c r="N58" s="32">
        <f>IF($M58="","",SUMIFS(SITE_COEFFS!$C:$C,SITE_COEFFS!$A:$A,"AccessClass",SITE_COEFFS!$B:$B,$M58))</f>
        <v/>
      </c>
      <c r="O58" s="21" t="n"/>
      <c r="P58" s="32">
        <f>IF($O58="","",SUMIFS(SITE_COEFFS!$C:$C,SITE_COEFFS!$A:$A,"TurnSpace",SITE_COEFFS!$B:$B,$O58))</f>
        <v/>
      </c>
      <c r="Q58" s="21" t="n"/>
      <c r="R58" s="32">
        <f>IF($Q58="","",SUMIFS(SITE_COEFFS!$C:$C,SITE_COEFFS!$A:$A,"ProximityToBuildings",SITE_COEFFS!$B:$B,$Q58))</f>
        <v/>
      </c>
      <c r="S58" s="21" t="n"/>
      <c r="T58" s="32">
        <f>IF($S58="","",SUMIFS(SITE_COEFFS!$C:$C,SITE_COEFFS!$A:$A,"MachineryAllowed",SITE_COEFFS!$B:$B,$S58))</f>
        <v/>
      </c>
      <c r="U58" s="21" t="n"/>
      <c r="V58" s="21" t="n"/>
      <c r="W58" s="32">
        <f>IF($V58="","",SUMIFS(SITE_COEFFS!$C:$C,SITE_COEFFS!$A:$A,"GeometryComplexity",SITE_COEFFS!$B:$B,$V58))</f>
        <v/>
      </c>
      <c r="X58" s="21" t="n"/>
      <c r="Y58" s="21">
        <f>IF($X58="","",SUMIFS(TARIFF_PROFILES!$D:$D,TARIFF_PROFILES!$A:$A,$X58))</f>
        <v/>
      </c>
      <c r="Z58" s="21">
        <f>IF($X58="","",SUMIFS(TARIFF_PROFILES!$E:$E,TARIFF_PROFILES!$A:$A,$X58))</f>
        <v/>
      </c>
      <c r="AA58" s="21">
        <f>IF($X58="","",SUMIFS(TARIFF_PROFILES!$F:$F,TARIFF_PROFILES!$A:$A,$X58))</f>
        <v/>
      </c>
      <c r="AB58" s="21">
        <f>IF($X58="","",SUMIFS(TARIFF_PROFILES!$G:$G,TARIFF_PROFILES!$A:$A,$X58))</f>
        <v/>
      </c>
      <c r="AC58" s="21">
        <f>IF($X58="","",SUMIFS(TARIFF_PROFILES!$H:$H,TARIFF_PROFILES!$A:$A,$X58))</f>
        <v/>
      </c>
      <c r="AD58" s="21">
        <f>IF($X58="","",INDEX(TARIFF_PROFILES!$J:$J,MATCH($X58,TARIFF_PROFILES!$A:$A,0)))</f>
        <v/>
      </c>
      <c r="AE58" s="21">
        <f>IF($X58="","",INDEX(TARIFF_PROFILES!$K:$K,MATCH($X58,TARIFF_PROFILES!$A:$A,0)))</f>
        <v/>
      </c>
      <c r="AF58" s="19" t="n"/>
      <c r="AG58" s="19" t="n"/>
      <c r="AH58" s="19">
        <f>IF($AG58="","",SUMIFS(OPERATING_COEFFS!$C:$C,OPERATING_COEFFS!$A:$A,"DistanceClass",OPERATING_COEFFS!$B:$B,$AG58))</f>
        <v/>
      </c>
      <c r="AI58" s="19" t="n"/>
      <c r="AJ58" s="19">
        <f>IF($AI58="","",SUMIFS(OPERATING_COEFFS!$C:$C,OPERATING_COEFFS!$A:$A,"SeasonClass",OPERATING_COEFFS!$B:$B,$AI58))</f>
        <v/>
      </c>
      <c r="AK58" s="19" t="n"/>
      <c r="AL58" s="19">
        <f>IF($AK58="","",SUMIFS(OPERATING_COEFFS!$C:$C,OPERATING_COEFFS!$A:$A,"UrgencyClass",OPERATING_COEFFS!$B:$B,$AK58))</f>
        <v/>
      </c>
      <c r="AM58" s="19" t="n"/>
      <c r="AN58" s="19">
        <f>IF($AM58="","",INDEX(TAX_MODES!$B:$B,MATCH($AM58,TAX_MODES!$A:$A,0)))</f>
        <v/>
      </c>
      <c r="AO58" s="19" t="n"/>
      <c r="AP58" s="19" t="n"/>
    </row>
    <row r="59">
      <c r="A59" s="21" t="n"/>
      <c r="B59" s="21" t="n"/>
      <c r="C59" s="21" t="n"/>
      <c r="D59" s="32">
        <f>IF($C59="","",SUMIFS(SITE_COEFFS!$C:$C,SITE_COEFFS!$A:$A,"SoilWorkability",SITE_COEFFS!$B:$B,$C59))</f>
        <v/>
      </c>
      <c r="E59" s="21" t="n"/>
      <c r="F59" s="32">
        <f>IF($E59="","",SUMIFS(SITE_COEFFS!$C:$C,SITE_COEFFS!$A:$A,"SoilMoisture",SITE_COEFFS!$B:$B,$E59))</f>
        <v/>
      </c>
      <c r="G59" s="21" t="n"/>
      <c r="H59" s="32">
        <f>IF($G59="","",SUMIFS(SITE_COEFFS!$C:$C,SITE_COEFFS!$A:$A,"DebrisLevel",SITE_COEFFS!$B:$B,$G59))</f>
        <v/>
      </c>
      <c r="I59" s="21" t="n"/>
      <c r="J59" s="32">
        <f>IF($I59="","",SUMIFS(SITE_COEFFS!$C:$C,SITE_COEFFS!$A:$A,"SlopeClass",SITE_COEFFS!$B:$B,$I59))</f>
        <v/>
      </c>
      <c r="K59" s="21" t="n"/>
      <c r="L59" s="32">
        <f>IF($K59="","",SUMIFS(SITE_COEFFS!$C:$C,SITE_COEFFS!$A:$A,"SurfaceUnevenness",SITE_COEFFS!$B:$B,$K59))</f>
        <v/>
      </c>
      <c r="M59" s="21" t="n"/>
      <c r="N59" s="32">
        <f>IF($M59="","",SUMIFS(SITE_COEFFS!$C:$C,SITE_COEFFS!$A:$A,"AccessClass",SITE_COEFFS!$B:$B,$M59))</f>
        <v/>
      </c>
      <c r="O59" s="21" t="n"/>
      <c r="P59" s="32">
        <f>IF($O59="","",SUMIFS(SITE_COEFFS!$C:$C,SITE_COEFFS!$A:$A,"TurnSpace",SITE_COEFFS!$B:$B,$O59))</f>
        <v/>
      </c>
      <c r="Q59" s="21" t="n"/>
      <c r="R59" s="32">
        <f>IF($Q59="","",SUMIFS(SITE_COEFFS!$C:$C,SITE_COEFFS!$A:$A,"ProximityToBuildings",SITE_COEFFS!$B:$B,$Q59))</f>
        <v/>
      </c>
      <c r="S59" s="21" t="n"/>
      <c r="T59" s="32">
        <f>IF($S59="","",SUMIFS(SITE_COEFFS!$C:$C,SITE_COEFFS!$A:$A,"MachineryAllowed",SITE_COEFFS!$B:$B,$S59))</f>
        <v/>
      </c>
      <c r="U59" s="21" t="n"/>
      <c r="V59" s="21" t="n"/>
      <c r="W59" s="32">
        <f>IF($V59="","",SUMIFS(SITE_COEFFS!$C:$C,SITE_COEFFS!$A:$A,"GeometryComplexity",SITE_COEFFS!$B:$B,$V59))</f>
        <v/>
      </c>
      <c r="X59" s="21" t="n"/>
      <c r="Y59" s="21">
        <f>IF($X59="","",SUMIFS(TARIFF_PROFILES!$D:$D,TARIFF_PROFILES!$A:$A,$X59))</f>
        <v/>
      </c>
      <c r="Z59" s="21">
        <f>IF($X59="","",SUMIFS(TARIFF_PROFILES!$E:$E,TARIFF_PROFILES!$A:$A,$X59))</f>
        <v/>
      </c>
      <c r="AA59" s="21">
        <f>IF($X59="","",SUMIFS(TARIFF_PROFILES!$F:$F,TARIFF_PROFILES!$A:$A,$X59))</f>
        <v/>
      </c>
      <c r="AB59" s="21">
        <f>IF($X59="","",SUMIFS(TARIFF_PROFILES!$G:$G,TARIFF_PROFILES!$A:$A,$X59))</f>
        <v/>
      </c>
      <c r="AC59" s="21">
        <f>IF($X59="","",SUMIFS(TARIFF_PROFILES!$H:$H,TARIFF_PROFILES!$A:$A,$X59))</f>
        <v/>
      </c>
      <c r="AD59" s="21">
        <f>IF($X59="","",INDEX(TARIFF_PROFILES!$J:$J,MATCH($X59,TARIFF_PROFILES!$A:$A,0)))</f>
        <v/>
      </c>
      <c r="AE59" s="21">
        <f>IF($X59="","",INDEX(TARIFF_PROFILES!$K:$K,MATCH($X59,TARIFF_PROFILES!$A:$A,0)))</f>
        <v/>
      </c>
      <c r="AF59" s="19" t="n"/>
      <c r="AG59" s="19" t="n"/>
      <c r="AH59" s="19">
        <f>IF($AG59="","",SUMIFS(OPERATING_COEFFS!$C:$C,OPERATING_COEFFS!$A:$A,"DistanceClass",OPERATING_COEFFS!$B:$B,$AG59))</f>
        <v/>
      </c>
      <c r="AI59" s="19" t="n"/>
      <c r="AJ59" s="19">
        <f>IF($AI59="","",SUMIFS(OPERATING_COEFFS!$C:$C,OPERATING_COEFFS!$A:$A,"SeasonClass",OPERATING_COEFFS!$B:$B,$AI59))</f>
        <v/>
      </c>
      <c r="AK59" s="19" t="n"/>
      <c r="AL59" s="19">
        <f>IF($AK59="","",SUMIFS(OPERATING_COEFFS!$C:$C,OPERATING_COEFFS!$A:$A,"UrgencyClass",OPERATING_COEFFS!$B:$B,$AK59))</f>
        <v/>
      </c>
      <c r="AM59" s="19" t="n"/>
      <c r="AN59" s="19">
        <f>IF($AM59="","",INDEX(TAX_MODES!$B:$B,MATCH($AM59,TAX_MODES!$A:$A,0)))</f>
        <v/>
      </c>
      <c r="AO59" s="19" t="n"/>
      <c r="AP59" s="19" t="n"/>
    </row>
    <row r="60">
      <c r="A60" s="21" t="n"/>
      <c r="B60" s="21" t="n"/>
      <c r="C60" s="21" t="n"/>
      <c r="D60" s="32">
        <f>IF($C60="","",SUMIFS(SITE_COEFFS!$C:$C,SITE_COEFFS!$A:$A,"SoilWorkability",SITE_COEFFS!$B:$B,$C60))</f>
        <v/>
      </c>
      <c r="E60" s="21" t="n"/>
      <c r="F60" s="32">
        <f>IF($E60="","",SUMIFS(SITE_COEFFS!$C:$C,SITE_COEFFS!$A:$A,"SoilMoisture",SITE_COEFFS!$B:$B,$E60))</f>
        <v/>
      </c>
      <c r="G60" s="21" t="n"/>
      <c r="H60" s="32">
        <f>IF($G60="","",SUMIFS(SITE_COEFFS!$C:$C,SITE_COEFFS!$A:$A,"DebrisLevel",SITE_COEFFS!$B:$B,$G60))</f>
        <v/>
      </c>
      <c r="I60" s="21" t="n"/>
      <c r="J60" s="32">
        <f>IF($I60="","",SUMIFS(SITE_COEFFS!$C:$C,SITE_COEFFS!$A:$A,"SlopeClass",SITE_COEFFS!$B:$B,$I60))</f>
        <v/>
      </c>
      <c r="K60" s="21" t="n"/>
      <c r="L60" s="32">
        <f>IF($K60="","",SUMIFS(SITE_COEFFS!$C:$C,SITE_COEFFS!$A:$A,"SurfaceUnevenness",SITE_COEFFS!$B:$B,$K60))</f>
        <v/>
      </c>
      <c r="M60" s="21" t="n"/>
      <c r="N60" s="32">
        <f>IF($M60="","",SUMIFS(SITE_COEFFS!$C:$C,SITE_COEFFS!$A:$A,"AccessClass",SITE_COEFFS!$B:$B,$M60))</f>
        <v/>
      </c>
      <c r="O60" s="21" t="n"/>
      <c r="P60" s="32">
        <f>IF($O60="","",SUMIFS(SITE_COEFFS!$C:$C,SITE_COEFFS!$A:$A,"TurnSpace",SITE_COEFFS!$B:$B,$O60))</f>
        <v/>
      </c>
      <c r="Q60" s="21" t="n"/>
      <c r="R60" s="32">
        <f>IF($Q60="","",SUMIFS(SITE_COEFFS!$C:$C,SITE_COEFFS!$A:$A,"ProximityToBuildings",SITE_COEFFS!$B:$B,$Q60))</f>
        <v/>
      </c>
      <c r="S60" s="21" t="n"/>
      <c r="T60" s="32">
        <f>IF($S60="","",SUMIFS(SITE_COEFFS!$C:$C,SITE_COEFFS!$A:$A,"MachineryAllowed",SITE_COEFFS!$B:$B,$S60))</f>
        <v/>
      </c>
      <c r="U60" s="21" t="n"/>
      <c r="V60" s="21" t="n"/>
      <c r="W60" s="32">
        <f>IF($V60="","",SUMIFS(SITE_COEFFS!$C:$C,SITE_COEFFS!$A:$A,"GeometryComplexity",SITE_COEFFS!$B:$B,$V60))</f>
        <v/>
      </c>
      <c r="X60" s="21" t="n"/>
      <c r="Y60" s="21">
        <f>IF($X60="","",SUMIFS(TARIFF_PROFILES!$D:$D,TARIFF_PROFILES!$A:$A,$X60))</f>
        <v/>
      </c>
      <c r="Z60" s="21">
        <f>IF($X60="","",SUMIFS(TARIFF_PROFILES!$E:$E,TARIFF_PROFILES!$A:$A,$X60))</f>
        <v/>
      </c>
      <c r="AA60" s="21">
        <f>IF($X60="","",SUMIFS(TARIFF_PROFILES!$F:$F,TARIFF_PROFILES!$A:$A,$X60))</f>
        <v/>
      </c>
      <c r="AB60" s="21">
        <f>IF($X60="","",SUMIFS(TARIFF_PROFILES!$G:$G,TARIFF_PROFILES!$A:$A,$X60))</f>
        <v/>
      </c>
      <c r="AC60" s="21">
        <f>IF($X60="","",SUMIFS(TARIFF_PROFILES!$H:$H,TARIFF_PROFILES!$A:$A,$X60))</f>
        <v/>
      </c>
      <c r="AD60" s="21">
        <f>IF($X60="","",INDEX(TARIFF_PROFILES!$J:$J,MATCH($X60,TARIFF_PROFILES!$A:$A,0)))</f>
        <v/>
      </c>
      <c r="AE60" s="21">
        <f>IF($X60="","",INDEX(TARIFF_PROFILES!$K:$K,MATCH($X60,TARIFF_PROFILES!$A:$A,0)))</f>
        <v/>
      </c>
      <c r="AF60" s="19" t="n"/>
      <c r="AG60" s="19" t="n"/>
      <c r="AH60" s="19">
        <f>IF($AG60="","",SUMIFS(OPERATING_COEFFS!$C:$C,OPERATING_COEFFS!$A:$A,"DistanceClass",OPERATING_COEFFS!$B:$B,$AG60))</f>
        <v/>
      </c>
      <c r="AI60" s="19" t="n"/>
      <c r="AJ60" s="19">
        <f>IF($AI60="","",SUMIFS(OPERATING_COEFFS!$C:$C,OPERATING_COEFFS!$A:$A,"SeasonClass",OPERATING_COEFFS!$B:$B,$AI60))</f>
        <v/>
      </c>
      <c r="AK60" s="19" t="n"/>
      <c r="AL60" s="19">
        <f>IF($AK60="","",SUMIFS(OPERATING_COEFFS!$C:$C,OPERATING_COEFFS!$A:$A,"UrgencyClass",OPERATING_COEFFS!$B:$B,$AK60))</f>
        <v/>
      </c>
      <c r="AM60" s="19" t="n"/>
      <c r="AN60" s="19">
        <f>IF($AM60="","",INDEX(TAX_MODES!$B:$B,MATCH($AM60,TAX_MODES!$A:$A,0)))</f>
        <v/>
      </c>
      <c r="AO60" s="19" t="n"/>
      <c r="AP60" s="19" t="n"/>
    </row>
    <row r="61">
      <c r="A61" s="15" t="n"/>
      <c r="B61" s="15" t="n"/>
      <c r="C61" s="15" t="n"/>
      <c r="D61" s="23">
        <f>IF($C61="","",SUMIFS(SITE_COEFFS!$C:$C,SITE_COEFFS!$A:$A,"SoilWorkability",SITE_COEFFS!$B:$B,$C61))</f>
        <v/>
      </c>
      <c r="E61" s="15" t="n"/>
      <c r="F61" s="23">
        <f>IF($E61="","",SUMIFS(SITE_COEFFS!$C:$C,SITE_COEFFS!$A:$A,"SoilMoisture",SITE_COEFFS!$B:$B,$E61))</f>
        <v/>
      </c>
      <c r="G61" s="15" t="n"/>
      <c r="H61" s="23">
        <f>IF($G61="","",SUMIFS(SITE_COEFFS!$C:$C,SITE_COEFFS!$A:$A,"DebrisLevel",SITE_COEFFS!$B:$B,$G61))</f>
        <v/>
      </c>
      <c r="I61" s="15" t="n"/>
      <c r="J61" s="23">
        <f>IF($I61="","",SUMIFS(SITE_COEFFS!$C:$C,SITE_COEFFS!$A:$A,"SlopeClass",SITE_COEFFS!$B:$B,$I61))</f>
        <v/>
      </c>
      <c r="K61" s="15" t="n"/>
      <c r="L61" s="23">
        <f>IF($K61="","",SUMIFS(SITE_COEFFS!$C:$C,SITE_COEFFS!$A:$A,"SurfaceUnevenness",SITE_COEFFS!$B:$B,$K61))</f>
        <v/>
      </c>
      <c r="M61" s="15" t="n"/>
      <c r="N61" s="23">
        <f>IF($M61="","",SUMIFS(SITE_COEFFS!$C:$C,SITE_COEFFS!$A:$A,"AccessClass",SITE_COEFFS!$B:$B,$M61))</f>
        <v/>
      </c>
      <c r="O61" s="15" t="n"/>
      <c r="P61" s="23">
        <f>IF($O61="","",SUMIFS(SITE_COEFFS!$C:$C,SITE_COEFFS!$A:$A,"TurnSpace",SITE_COEFFS!$B:$B,$O61))</f>
        <v/>
      </c>
      <c r="Q61" s="15" t="n"/>
      <c r="R61" s="23">
        <f>IF($Q61="","",SUMIFS(SITE_COEFFS!$C:$C,SITE_COEFFS!$A:$A,"ProximityToBuildings",SITE_COEFFS!$B:$B,$Q61))</f>
        <v/>
      </c>
      <c r="S61" s="15" t="n"/>
      <c r="T61" s="23">
        <f>IF($S61="","",SUMIFS(SITE_COEFFS!$C:$C,SITE_COEFFS!$A:$A,"MachineryAllowed",SITE_COEFFS!$B:$B,$S61))</f>
        <v/>
      </c>
      <c r="U61" s="15" t="n"/>
      <c r="V61" s="15" t="n"/>
      <c r="W61" s="23">
        <f>IF($V61="","",SUMIFS(SITE_COEFFS!$C:$C,SITE_COEFFS!$A:$A,"GeometryComplexity",SITE_COEFFS!$B:$B,$V61))</f>
        <v/>
      </c>
      <c r="X61" s="15" t="n"/>
      <c r="Y61" s="15">
        <f>IF($X61="","",SUMIFS(TARIFF_PROFILES!$D:$D,TARIFF_PROFILES!$A:$A,$X61))</f>
        <v/>
      </c>
      <c r="Z61" s="15">
        <f>IF($X61="","",SUMIFS(TARIFF_PROFILES!$E:$E,TARIFF_PROFILES!$A:$A,$X61))</f>
        <v/>
      </c>
      <c r="AA61" s="15">
        <f>IF($X61="","",SUMIFS(TARIFF_PROFILES!$F:$F,TARIFF_PROFILES!$A:$A,$X61))</f>
        <v/>
      </c>
      <c r="AB61" s="15">
        <f>IF($X61="","",SUMIFS(TARIFF_PROFILES!$G:$G,TARIFF_PROFILES!$A:$A,$X61))</f>
        <v/>
      </c>
      <c r="AC61" s="15">
        <f>IF($X61="","",SUMIFS(TARIFF_PROFILES!$H:$H,TARIFF_PROFILES!$A:$A,$X61))</f>
        <v/>
      </c>
      <c r="AD61" s="15">
        <f>IF($X61="","",INDEX(TARIFF_PROFILES!$J:$J,MATCH($X61,TARIFF_PROFILES!$A:$A,0)))</f>
        <v/>
      </c>
      <c r="AE61" s="15">
        <f>IF($X61="","",INDEX(TARIFF_PROFILES!$K:$K,MATCH($X61,TARIFF_PROFILES!$A:$A,0)))</f>
        <v/>
      </c>
      <c r="AH61">
        <f>IF($AG61="","",SUMIFS(OPERATING_COEFFS!$C:$C,OPERATING_COEFFS!$A:$A,"DistanceClass",OPERATING_COEFFS!$B:$B,$AG61))</f>
        <v/>
      </c>
      <c r="AJ61">
        <f>IF($AI61="","",SUMIFS(OPERATING_COEFFS!$C:$C,OPERATING_COEFFS!$A:$A,"SeasonClass",OPERATING_COEFFS!$B:$B,$AI61))</f>
        <v/>
      </c>
      <c r="AL61">
        <f>IF($AK61="","",SUMIFS(OPERATING_COEFFS!$C:$C,OPERATING_COEFFS!$A:$A,"UrgencyClass",OPERATING_COEFFS!$B:$B,$AK61))</f>
        <v/>
      </c>
      <c r="AN61">
        <f>IF($AM61="","",INDEX(TAX_MODES!$B:$B,MATCH($AM61,TAX_MODES!$A:$A,0)))</f>
        <v/>
      </c>
    </row>
    <row r="62">
      <c r="A62" s="15" t="n"/>
      <c r="B62" s="15" t="n"/>
      <c r="C62" s="15" t="n"/>
      <c r="D62" s="23">
        <f>IF($C62="","",SUMIFS(SITE_COEFFS!$C:$C,SITE_COEFFS!$A:$A,"SoilWorkability",SITE_COEFFS!$B:$B,$C62))</f>
        <v/>
      </c>
      <c r="E62" s="15" t="n"/>
      <c r="F62" s="23">
        <f>IF($E62="","",SUMIFS(SITE_COEFFS!$C:$C,SITE_COEFFS!$A:$A,"SoilMoisture",SITE_COEFFS!$B:$B,$E62))</f>
        <v/>
      </c>
      <c r="G62" s="15" t="n"/>
      <c r="H62" s="23">
        <f>IF($G62="","",SUMIFS(SITE_COEFFS!$C:$C,SITE_COEFFS!$A:$A,"DebrisLevel",SITE_COEFFS!$B:$B,$G62))</f>
        <v/>
      </c>
      <c r="I62" s="15" t="n"/>
      <c r="J62" s="23">
        <f>IF($I62="","",SUMIFS(SITE_COEFFS!$C:$C,SITE_COEFFS!$A:$A,"SlopeClass",SITE_COEFFS!$B:$B,$I62))</f>
        <v/>
      </c>
      <c r="K62" s="15" t="n"/>
      <c r="L62" s="23">
        <f>IF($K62="","",SUMIFS(SITE_COEFFS!$C:$C,SITE_COEFFS!$A:$A,"SurfaceUnevenness",SITE_COEFFS!$B:$B,$K62))</f>
        <v/>
      </c>
      <c r="M62" s="15" t="n"/>
      <c r="N62" s="23">
        <f>IF($M62="","",SUMIFS(SITE_COEFFS!$C:$C,SITE_COEFFS!$A:$A,"AccessClass",SITE_COEFFS!$B:$B,$M62))</f>
        <v/>
      </c>
      <c r="O62" s="15" t="n"/>
      <c r="P62" s="23">
        <f>IF($O62="","",SUMIFS(SITE_COEFFS!$C:$C,SITE_COEFFS!$A:$A,"TurnSpace",SITE_COEFFS!$B:$B,$O62))</f>
        <v/>
      </c>
      <c r="Q62" s="15" t="n"/>
      <c r="R62" s="23">
        <f>IF($Q62="","",SUMIFS(SITE_COEFFS!$C:$C,SITE_COEFFS!$A:$A,"ProximityToBuildings",SITE_COEFFS!$B:$B,$Q62))</f>
        <v/>
      </c>
      <c r="S62" s="15" t="n"/>
      <c r="T62" s="23">
        <f>IF($S62="","",SUMIFS(SITE_COEFFS!$C:$C,SITE_COEFFS!$A:$A,"MachineryAllowed",SITE_COEFFS!$B:$B,$S62))</f>
        <v/>
      </c>
      <c r="U62" s="15" t="n"/>
      <c r="V62" s="15" t="n"/>
      <c r="W62" s="23">
        <f>IF($V62="","",SUMIFS(SITE_COEFFS!$C:$C,SITE_COEFFS!$A:$A,"GeometryComplexity",SITE_COEFFS!$B:$B,$V62))</f>
        <v/>
      </c>
      <c r="X62" s="15" t="n"/>
      <c r="Y62" s="15">
        <f>IF($X62="","",SUMIFS(TARIFF_PROFILES!$D:$D,TARIFF_PROFILES!$A:$A,$X62))</f>
        <v/>
      </c>
      <c r="Z62" s="15">
        <f>IF($X62="","",SUMIFS(TARIFF_PROFILES!$E:$E,TARIFF_PROFILES!$A:$A,$X62))</f>
        <v/>
      </c>
      <c r="AA62" s="15">
        <f>IF($X62="","",SUMIFS(TARIFF_PROFILES!$F:$F,TARIFF_PROFILES!$A:$A,$X62))</f>
        <v/>
      </c>
      <c r="AB62" s="15">
        <f>IF($X62="","",SUMIFS(TARIFF_PROFILES!$G:$G,TARIFF_PROFILES!$A:$A,$X62))</f>
        <v/>
      </c>
      <c r="AC62" s="15">
        <f>IF($X62="","",SUMIFS(TARIFF_PROFILES!$H:$H,TARIFF_PROFILES!$A:$A,$X62))</f>
        <v/>
      </c>
      <c r="AD62" s="15">
        <f>IF($X62="","",INDEX(TARIFF_PROFILES!$J:$J,MATCH($X62,TARIFF_PROFILES!$A:$A,0)))</f>
        <v/>
      </c>
      <c r="AE62" s="15">
        <f>IF($X62="","",INDEX(TARIFF_PROFILES!$K:$K,MATCH($X62,TARIFF_PROFILES!$A:$A,0)))</f>
        <v/>
      </c>
      <c r="AH62">
        <f>IF($AG62="","",SUMIFS(OPERATING_COEFFS!$C:$C,OPERATING_COEFFS!$A:$A,"DistanceClass",OPERATING_COEFFS!$B:$B,$AG62))</f>
        <v/>
      </c>
      <c r="AJ62">
        <f>IF($AI62="","",SUMIFS(OPERATING_COEFFS!$C:$C,OPERATING_COEFFS!$A:$A,"SeasonClass",OPERATING_COEFFS!$B:$B,$AI62))</f>
        <v/>
      </c>
      <c r="AL62">
        <f>IF($AK62="","",SUMIFS(OPERATING_COEFFS!$C:$C,OPERATING_COEFFS!$A:$A,"UrgencyClass",OPERATING_COEFFS!$B:$B,$AK62))</f>
        <v/>
      </c>
      <c r="AN62">
        <f>IF($AM62="","",INDEX(TAX_MODES!$B:$B,MATCH($AM62,TAX_MODES!$A:$A,0)))</f>
        <v/>
      </c>
    </row>
    <row r="63">
      <c r="A63" s="15" t="n"/>
      <c r="B63" s="15" t="n"/>
      <c r="C63" s="15" t="n"/>
      <c r="D63" s="23">
        <f>IF($C63="","",SUMIFS(SITE_COEFFS!$C:$C,SITE_COEFFS!$A:$A,"SoilWorkability",SITE_COEFFS!$B:$B,$C63))</f>
        <v/>
      </c>
      <c r="E63" s="15" t="n"/>
      <c r="F63" s="23">
        <f>IF($E63="","",SUMIFS(SITE_COEFFS!$C:$C,SITE_COEFFS!$A:$A,"SoilMoisture",SITE_COEFFS!$B:$B,$E63))</f>
        <v/>
      </c>
      <c r="G63" s="15" t="n"/>
      <c r="H63" s="23">
        <f>IF($G63="","",SUMIFS(SITE_COEFFS!$C:$C,SITE_COEFFS!$A:$A,"DebrisLevel",SITE_COEFFS!$B:$B,$G63))</f>
        <v/>
      </c>
      <c r="I63" s="15" t="n"/>
      <c r="J63" s="23">
        <f>IF($I63="","",SUMIFS(SITE_COEFFS!$C:$C,SITE_COEFFS!$A:$A,"SlopeClass",SITE_COEFFS!$B:$B,$I63))</f>
        <v/>
      </c>
      <c r="K63" s="15" t="n"/>
      <c r="L63" s="23">
        <f>IF($K63="","",SUMIFS(SITE_COEFFS!$C:$C,SITE_COEFFS!$A:$A,"SurfaceUnevenness",SITE_COEFFS!$B:$B,$K63))</f>
        <v/>
      </c>
      <c r="M63" s="15" t="n"/>
      <c r="N63" s="23">
        <f>IF($M63="","",SUMIFS(SITE_COEFFS!$C:$C,SITE_COEFFS!$A:$A,"AccessClass",SITE_COEFFS!$B:$B,$M63))</f>
        <v/>
      </c>
      <c r="O63" s="15" t="n"/>
      <c r="P63" s="23">
        <f>IF($O63="","",SUMIFS(SITE_COEFFS!$C:$C,SITE_COEFFS!$A:$A,"TurnSpace",SITE_COEFFS!$B:$B,$O63))</f>
        <v/>
      </c>
      <c r="Q63" s="15" t="n"/>
      <c r="R63" s="23">
        <f>IF($Q63="","",SUMIFS(SITE_COEFFS!$C:$C,SITE_COEFFS!$A:$A,"ProximityToBuildings",SITE_COEFFS!$B:$B,$Q63))</f>
        <v/>
      </c>
      <c r="S63" s="15" t="n"/>
      <c r="T63" s="23">
        <f>IF($S63="","",SUMIFS(SITE_COEFFS!$C:$C,SITE_COEFFS!$A:$A,"MachineryAllowed",SITE_COEFFS!$B:$B,$S63))</f>
        <v/>
      </c>
      <c r="U63" s="15" t="n"/>
      <c r="V63" s="15" t="n"/>
      <c r="W63" s="23">
        <f>IF($V63="","",SUMIFS(SITE_COEFFS!$C:$C,SITE_COEFFS!$A:$A,"GeometryComplexity",SITE_COEFFS!$B:$B,$V63))</f>
        <v/>
      </c>
      <c r="X63" s="15" t="n"/>
      <c r="Y63" s="15">
        <f>IF($X63="","",SUMIFS(TARIFF_PROFILES!$D:$D,TARIFF_PROFILES!$A:$A,$X63))</f>
        <v/>
      </c>
      <c r="Z63" s="15">
        <f>IF($X63="","",SUMIFS(TARIFF_PROFILES!$E:$E,TARIFF_PROFILES!$A:$A,$X63))</f>
        <v/>
      </c>
      <c r="AA63" s="15">
        <f>IF($X63="","",SUMIFS(TARIFF_PROFILES!$F:$F,TARIFF_PROFILES!$A:$A,$X63))</f>
        <v/>
      </c>
      <c r="AB63" s="15">
        <f>IF($X63="","",SUMIFS(TARIFF_PROFILES!$G:$G,TARIFF_PROFILES!$A:$A,$X63))</f>
        <v/>
      </c>
      <c r="AC63" s="15">
        <f>IF($X63="","",SUMIFS(TARIFF_PROFILES!$H:$H,TARIFF_PROFILES!$A:$A,$X63))</f>
        <v/>
      </c>
      <c r="AD63" s="15">
        <f>IF($X63="","",INDEX(TARIFF_PROFILES!$J:$J,MATCH($X63,TARIFF_PROFILES!$A:$A,0)))</f>
        <v/>
      </c>
      <c r="AE63" s="15">
        <f>IF($X63="","",INDEX(TARIFF_PROFILES!$K:$K,MATCH($X63,TARIFF_PROFILES!$A:$A,0)))</f>
        <v/>
      </c>
      <c r="AH63">
        <f>IF($AG63="","",SUMIFS(OPERATING_COEFFS!$C:$C,OPERATING_COEFFS!$A:$A,"DistanceClass",OPERATING_COEFFS!$B:$B,$AG63))</f>
        <v/>
      </c>
      <c r="AJ63">
        <f>IF($AI63="","",SUMIFS(OPERATING_COEFFS!$C:$C,OPERATING_COEFFS!$A:$A,"SeasonClass",OPERATING_COEFFS!$B:$B,$AI63))</f>
        <v/>
      </c>
      <c r="AL63">
        <f>IF($AK63="","",SUMIFS(OPERATING_COEFFS!$C:$C,OPERATING_COEFFS!$A:$A,"UrgencyClass",OPERATING_COEFFS!$B:$B,$AK63))</f>
        <v/>
      </c>
      <c r="AN63">
        <f>IF($AM63="","",INDEX(TAX_MODES!$B:$B,MATCH($AM63,TAX_MODES!$A:$A,0)))</f>
        <v/>
      </c>
    </row>
    <row r="64">
      <c r="A64" s="15" t="n"/>
      <c r="B64" s="15" t="n"/>
      <c r="C64" s="15" t="n"/>
      <c r="D64" s="23">
        <f>IF($C64="","",SUMIFS(SITE_COEFFS!$C:$C,SITE_COEFFS!$A:$A,"SoilWorkability",SITE_COEFFS!$B:$B,$C64))</f>
        <v/>
      </c>
      <c r="E64" s="15" t="n"/>
      <c r="F64" s="23">
        <f>IF($E64="","",SUMIFS(SITE_COEFFS!$C:$C,SITE_COEFFS!$A:$A,"SoilMoisture",SITE_COEFFS!$B:$B,$E64))</f>
        <v/>
      </c>
      <c r="G64" s="15" t="n"/>
      <c r="H64" s="23">
        <f>IF($G64="","",SUMIFS(SITE_COEFFS!$C:$C,SITE_COEFFS!$A:$A,"DebrisLevel",SITE_COEFFS!$B:$B,$G64))</f>
        <v/>
      </c>
      <c r="I64" s="15" t="n"/>
      <c r="J64" s="23">
        <f>IF($I64="","",SUMIFS(SITE_COEFFS!$C:$C,SITE_COEFFS!$A:$A,"SlopeClass",SITE_COEFFS!$B:$B,$I64))</f>
        <v/>
      </c>
      <c r="K64" s="15" t="n"/>
      <c r="L64" s="23">
        <f>IF($K64="","",SUMIFS(SITE_COEFFS!$C:$C,SITE_COEFFS!$A:$A,"SurfaceUnevenness",SITE_COEFFS!$B:$B,$K64))</f>
        <v/>
      </c>
      <c r="M64" s="15" t="n"/>
      <c r="N64" s="23">
        <f>IF($M64="","",SUMIFS(SITE_COEFFS!$C:$C,SITE_COEFFS!$A:$A,"AccessClass",SITE_COEFFS!$B:$B,$M64))</f>
        <v/>
      </c>
      <c r="O64" s="15" t="n"/>
      <c r="P64" s="23">
        <f>IF($O64="","",SUMIFS(SITE_COEFFS!$C:$C,SITE_COEFFS!$A:$A,"TurnSpace",SITE_COEFFS!$B:$B,$O64))</f>
        <v/>
      </c>
      <c r="Q64" s="15" t="n"/>
      <c r="R64" s="23">
        <f>IF($Q64="","",SUMIFS(SITE_COEFFS!$C:$C,SITE_COEFFS!$A:$A,"ProximityToBuildings",SITE_COEFFS!$B:$B,$Q64))</f>
        <v/>
      </c>
      <c r="S64" s="15" t="n"/>
      <c r="T64" s="23">
        <f>IF($S64="","",SUMIFS(SITE_COEFFS!$C:$C,SITE_COEFFS!$A:$A,"MachineryAllowed",SITE_COEFFS!$B:$B,$S64))</f>
        <v/>
      </c>
      <c r="U64" s="15" t="n"/>
      <c r="V64" s="15" t="n"/>
      <c r="W64" s="23">
        <f>IF($V64="","",SUMIFS(SITE_COEFFS!$C:$C,SITE_COEFFS!$A:$A,"GeometryComplexity",SITE_COEFFS!$B:$B,$V64))</f>
        <v/>
      </c>
      <c r="X64" s="15" t="n"/>
      <c r="Y64" s="15">
        <f>IF($X64="","",SUMIFS(TARIFF_PROFILES!$D:$D,TARIFF_PROFILES!$A:$A,$X64))</f>
        <v/>
      </c>
      <c r="Z64" s="15">
        <f>IF($X64="","",SUMIFS(TARIFF_PROFILES!$E:$E,TARIFF_PROFILES!$A:$A,$X64))</f>
        <v/>
      </c>
      <c r="AA64" s="15">
        <f>IF($X64="","",SUMIFS(TARIFF_PROFILES!$F:$F,TARIFF_PROFILES!$A:$A,$X64))</f>
        <v/>
      </c>
      <c r="AB64" s="15">
        <f>IF($X64="","",SUMIFS(TARIFF_PROFILES!$G:$G,TARIFF_PROFILES!$A:$A,$X64))</f>
        <v/>
      </c>
      <c r="AC64" s="15">
        <f>IF($X64="","",SUMIFS(TARIFF_PROFILES!$H:$H,TARIFF_PROFILES!$A:$A,$X64))</f>
        <v/>
      </c>
      <c r="AD64" s="15">
        <f>IF($X64="","",INDEX(TARIFF_PROFILES!$J:$J,MATCH($X64,TARIFF_PROFILES!$A:$A,0)))</f>
        <v/>
      </c>
      <c r="AE64" s="15">
        <f>IF($X64="","",INDEX(TARIFF_PROFILES!$K:$K,MATCH($X64,TARIFF_PROFILES!$A:$A,0)))</f>
        <v/>
      </c>
      <c r="AH64">
        <f>IF($AG64="","",SUMIFS(OPERATING_COEFFS!$C:$C,OPERATING_COEFFS!$A:$A,"DistanceClass",OPERATING_COEFFS!$B:$B,$AG64))</f>
        <v/>
      </c>
      <c r="AJ64">
        <f>IF($AI64="","",SUMIFS(OPERATING_COEFFS!$C:$C,OPERATING_COEFFS!$A:$A,"SeasonClass",OPERATING_COEFFS!$B:$B,$AI64))</f>
        <v/>
      </c>
      <c r="AL64">
        <f>IF($AK64="","",SUMIFS(OPERATING_COEFFS!$C:$C,OPERATING_COEFFS!$A:$A,"UrgencyClass",OPERATING_COEFFS!$B:$B,$AK64))</f>
        <v/>
      </c>
      <c r="AN64">
        <f>IF($AM64="","",INDEX(TAX_MODES!$B:$B,MATCH($AM64,TAX_MODES!$A:$A,0)))</f>
        <v/>
      </c>
    </row>
    <row r="65">
      <c r="A65" s="15" t="n"/>
      <c r="B65" s="15" t="n"/>
      <c r="C65" s="15" t="n"/>
      <c r="D65" s="23">
        <f>IF($C65="","",SUMIFS(SITE_COEFFS!$C:$C,SITE_COEFFS!$A:$A,"SoilWorkability",SITE_COEFFS!$B:$B,$C65))</f>
        <v/>
      </c>
      <c r="E65" s="15" t="n"/>
      <c r="F65" s="23">
        <f>IF($E65="","",SUMIFS(SITE_COEFFS!$C:$C,SITE_COEFFS!$A:$A,"SoilMoisture",SITE_COEFFS!$B:$B,$E65))</f>
        <v/>
      </c>
      <c r="G65" s="15" t="n"/>
      <c r="H65" s="23">
        <f>IF($G65="","",SUMIFS(SITE_COEFFS!$C:$C,SITE_COEFFS!$A:$A,"DebrisLevel",SITE_COEFFS!$B:$B,$G65))</f>
        <v/>
      </c>
      <c r="I65" s="15" t="n"/>
      <c r="J65" s="23">
        <f>IF($I65="","",SUMIFS(SITE_COEFFS!$C:$C,SITE_COEFFS!$A:$A,"SlopeClass",SITE_COEFFS!$B:$B,$I65))</f>
        <v/>
      </c>
      <c r="K65" s="15" t="n"/>
      <c r="L65" s="23">
        <f>IF($K65="","",SUMIFS(SITE_COEFFS!$C:$C,SITE_COEFFS!$A:$A,"SurfaceUnevenness",SITE_COEFFS!$B:$B,$K65))</f>
        <v/>
      </c>
      <c r="M65" s="15" t="n"/>
      <c r="N65" s="23">
        <f>IF($M65="","",SUMIFS(SITE_COEFFS!$C:$C,SITE_COEFFS!$A:$A,"AccessClass",SITE_COEFFS!$B:$B,$M65))</f>
        <v/>
      </c>
      <c r="O65" s="15" t="n"/>
      <c r="P65" s="23">
        <f>IF($O65="","",SUMIFS(SITE_COEFFS!$C:$C,SITE_COEFFS!$A:$A,"TurnSpace",SITE_COEFFS!$B:$B,$O65))</f>
        <v/>
      </c>
      <c r="Q65" s="15" t="n"/>
      <c r="R65" s="23">
        <f>IF($Q65="","",SUMIFS(SITE_COEFFS!$C:$C,SITE_COEFFS!$A:$A,"ProximityToBuildings",SITE_COEFFS!$B:$B,$Q65))</f>
        <v/>
      </c>
      <c r="S65" s="15" t="n"/>
      <c r="T65" s="23">
        <f>IF($S65="","",SUMIFS(SITE_COEFFS!$C:$C,SITE_COEFFS!$A:$A,"MachineryAllowed",SITE_COEFFS!$B:$B,$S65))</f>
        <v/>
      </c>
      <c r="U65" s="15" t="n"/>
      <c r="V65" s="15" t="n"/>
      <c r="W65" s="23">
        <f>IF($V65="","",SUMIFS(SITE_COEFFS!$C:$C,SITE_COEFFS!$A:$A,"GeometryComplexity",SITE_COEFFS!$B:$B,$V65))</f>
        <v/>
      </c>
      <c r="X65" s="15" t="n"/>
      <c r="Y65" s="15">
        <f>IF($X65="","",SUMIFS(TARIFF_PROFILES!$D:$D,TARIFF_PROFILES!$A:$A,$X65))</f>
        <v/>
      </c>
      <c r="Z65" s="15">
        <f>IF($X65="","",SUMIFS(TARIFF_PROFILES!$E:$E,TARIFF_PROFILES!$A:$A,$X65))</f>
        <v/>
      </c>
      <c r="AA65" s="15">
        <f>IF($X65="","",SUMIFS(TARIFF_PROFILES!$F:$F,TARIFF_PROFILES!$A:$A,$X65))</f>
        <v/>
      </c>
      <c r="AB65" s="15">
        <f>IF($X65="","",SUMIFS(TARIFF_PROFILES!$G:$G,TARIFF_PROFILES!$A:$A,$X65))</f>
        <v/>
      </c>
      <c r="AC65" s="15">
        <f>IF($X65="","",SUMIFS(TARIFF_PROFILES!$H:$H,TARIFF_PROFILES!$A:$A,$X65))</f>
        <v/>
      </c>
      <c r="AD65" s="15">
        <f>IF($X65="","",INDEX(TARIFF_PROFILES!$J:$J,MATCH($X65,TARIFF_PROFILES!$A:$A,0)))</f>
        <v/>
      </c>
      <c r="AE65" s="15">
        <f>IF($X65="","",INDEX(TARIFF_PROFILES!$K:$K,MATCH($X65,TARIFF_PROFILES!$A:$A,0)))</f>
        <v/>
      </c>
      <c r="AH65">
        <f>IF($AG65="","",SUMIFS(OPERATING_COEFFS!$C:$C,OPERATING_COEFFS!$A:$A,"DistanceClass",OPERATING_COEFFS!$B:$B,$AG65))</f>
        <v/>
      </c>
      <c r="AJ65">
        <f>IF($AI65="","",SUMIFS(OPERATING_COEFFS!$C:$C,OPERATING_COEFFS!$A:$A,"SeasonClass",OPERATING_COEFFS!$B:$B,$AI65))</f>
        <v/>
      </c>
      <c r="AL65">
        <f>IF($AK65="","",SUMIFS(OPERATING_COEFFS!$C:$C,OPERATING_COEFFS!$A:$A,"UrgencyClass",OPERATING_COEFFS!$B:$B,$AK65))</f>
        <v/>
      </c>
      <c r="AN65">
        <f>IF($AM65="","",INDEX(TAX_MODES!$B:$B,MATCH($AM65,TAX_MODES!$A:$A,0)))</f>
        <v/>
      </c>
    </row>
    <row r="66">
      <c r="A66" s="15" t="n"/>
      <c r="B66" s="15" t="n"/>
      <c r="C66" s="15" t="n"/>
      <c r="D66" s="23">
        <f>IF($C66="","",SUMIFS(SITE_COEFFS!$C:$C,SITE_COEFFS!$A:$A,"SoilWorkability",SITE_COEFFS!$B:$B,$C66))</f>
        <v/>
      </c>
      <c r="E66" s="15" t="n"/>
      <c r="F66" s="23">
        <f>IF($E66="","",SUMIFS(SITE_COEFFS!$C:$C,SITE_COEFFS!$A:$A,"SoilMoisture",SITE_COEFFS!$B:$B,$E66))</f>
        <v/>
      </c>
      <c r="G66" s="15" t="n"/>
      <c r="H66" s="23">
        <f>IF($G66="","",SUMIFS(SITE_COEFFS!$C:$C,SITE_COEFFS!$A:$A,"DebrisLevel",SITE_COEFFS!$B:$B,$G66))</f>
        <v/>
      </c>
      <c r="I66" s="15" t="n"/>
      <c r="J66" s="23">
        <f>IF($I66="","",SUMIFS(SITE_COEFFS!$C:$C,SITE_COEFFS!$A:$A,"SlopeClass",SITE_COEFFS!$B:$B,$I66))</f>
        <v/>
      </c>
      <c r="K66" s="15" t="n"/>
      <c r="L66" s="23">
        <f>IF($K66="","",SUMIFS(SITE_COEFFS!$C:$C,SITE_COEFFS!$A:$A,"SurfaceUnevenness",SITE_COEFFS!$B:$B,$K66))</f>
        <v/>
      </c>
      <c r="M66" s="15" t="n"/>
      <c r="N66" s="23">
        <f>IF($M66="","",SUMIFS(SITE_COEFFS!$C:$C,SITE_COEFFS!$A:$A,"AccessClass",SITE_COEFFS!$B:$B,$M66))</f>
        <v/>
      </c>
      <c r="O66" s="15" t="n"/>
      <c r="P66" s="23">
        <f>IF($O66="","",SUMIFS(SITE_COEFFS!$C:$C,SITE_COEFFS!$A:$A,"TurnSpace",SITE_COEFFS!$B:$B,$O66))</f>
        <v/>
      </c>
      <c r="Q66" s="15" t="n"/>
      <c r="R66" s="23">
        <f>IF($Q66="","",SUMIFS(SITE_COEFFS!$C:$C,SITE_COEFFS!$A:$A,"ProximityToBuildings",SITE_COEFFS!$B:$B,$Q66))</f>
        <v/>
      </c>
      <c r="S66" s="15" t="n"/>
      <c r="T66" s="23">
        <f>IF($S66="","",SUMIFS(SITE_COEFFS!$C:$C,SITE_COEFFS!$A:$A,"MachineryAllowed",SITE_COEFFS!$B:$B,$S66))</f>
        <v/>
      </c>
      <c r="U66" s="15" t="n"/>
      <c r="V66" s="15" t="n"/>
      <c r="W66" s="23">
        <f>IF($V66="","",SUMIFS(SITE_COEFFS!$C:$C,SITE_COEFFS!$A:$A,"GeometryComplexity",SITE_COEFFS!$B:$B,$V66))</f>
        <v/>
      </c>
      <c r="X66" s="15" t="n"/>
      <c r="Y66" s="15">
        <f>IF($X66="","",SUMIFS(TARIFF_PROFILES!$D:$D,TARIFF_PROFILES!$A:$A,$X66))</f>
        <v/>
      </c>
      <c r="Z66" s="15">
        <f>IF($X66="","",SUMIFS(TARIFF_PROFILES!$E:$E,TARIFF_PROFILES!$A:$A,$X66))</f>
        <v/>
      </c>
      <c r="AA66" s="15">
        <f>IF($X66="","",SUMIFS(TARIFF_PROFILES!$F:$F,TARIFF_PROFILES!$A:$A,$X66))</f>
        <v/>
      </c>
      <c r="AB66" s="15">
        <f>IF($X66="","",SUMIFS(TARIFF_PROFILES!$G:$G,TARIFF_PROFILES!$A:$A,$X66))</f>
        <v/>
      </c>
      <c r="AC66" s="15">
        <f>IF($X66="","",SUMIFS(TARIFF_PROFILES!$H:$H,TARIFF_PROFILES!$A:$A,$X66))</f>
        <v/>
      </c>
      <c r="AD66" s="15">
        <f>IF($X66="","",INDEX(TARIFF_PROFILES!$J:$J,MATCH($X66,TARIFF_PROFILES!$A:$A,0)))</f>
        <v/>
      </c>
      <c r="AE66" s="15">
        <f>IF($X66="","",INDEX(TARIFF_PROFILES!$K:$K,MATCH($X66,TARIFF_PROFILES!$A:$A,0)))</f>
        <v/>
      </c>
      <c r="AH66">
        <f>IF($AG66="","",SUMIFS(OPERATING_COEFFS!$C:$C,OPERATING_COEFFS!$A:$A,"DistanceClass",OPERATING_COEFFS!$B:$B,$AG66))</f>
        <v/>
      </c>
      <c r="AJ66">
        <f>IF($AI66="","",SUMIFS(OPERATING_COEFFS!$C:$C,OPERATING_COEFFS!$A:$A,"SeasonClass",OPERATING_COEFFS!$B:$B,$AI66))</f>
        <v/>
      </c>
      <c r="AL66">
        <f>IF($AK66="","",SUMIFS(OPERATING_COEFFS!$C:$C,OPERATING_COEFFS!$A:$A,"UrgencyClass",OPERATING_COEFFS!$B:$B,$AK66))</f>
        <v/>
      </c>
      <c r="AN66">
        <f>IF($AM66="","",INDEX(TAX_MODES!$B:$B,MATCH($AM66,TAX_MODES!$A:$A,0)))</f>
        <v/>
      </c>
    </row>
    <row r="67">
      <c r="A67" s="15" t="n"/>
      <c r="B67" s="15" t="n"/>
      <c r="C67" s="15" t="n"/>
      <c r="D67" s="23">
        <f>IF($C67="","",SUMIFS(SITE_COEFFS!$C:$C,SITE_COEFFS!$A:$A,"SoilWorkability",SITE_COEFFS!$B:$B,$C67))</f>
        <v/>
      </c>
      <c r="E67" s="15" t="n"/>
      <c r="F67" s="23">
        <f>IF($E67="","",SUMIFS(SITE_COEFFS!$C:$C,SITE_COEFFS!$A:$A,"SoilMoisture",SITE_COEFFS!$B:$B,$E67))</f>
        <v/>
      </c>
      <c r="G67" s="15" t="n"/>
      <c r="H67" s="23">
        <f>IF($G67="","",SUMIFS(SITE_COEFFS!$C:$C,SITE_COEFFS!$A:$A,"DebrisLevel",SITE_COEFFS!$B:$B,$G67))</f>
        <v/>
      </c>
      <c r="I67" s="15" t="n"/>
      <c r="J67" s="23">
        <f>IF($I67="","",SUMIFS(SITE_COEFFS!$C:$C,SITE_COEFFS!$A:$A,"SlopeClass",SITE_COEFFS!$B:$B,$I67))</f>
        <v/>
      </c>
      <c r="K67" s="15" t="n"/>
      <c r="L67" s="23">
        <f>IF($K67="","",SUMIFS(SITE_COEFFS!$C:$C,SITE_COEFFS!$A:$A,"SurfaceUnevenness",SITE_COEFFS!$B:$B,$K67))</f>
        <v/>
      </c>
      <c r="M67" s="15" t="n"/>
      <c r="N67" s="23">
        <f>IF($M67="","",SUMIFS(SITE_COEFFS!$C:$C,SITE_COEFFS!$A:$A,"AccessClass",SITE_COEFFS!$B:$B,$M67))</f>
        <v/>
      </c>
      <c r="O67" s="15" t="n"/>
      <c r="P67" s="23">
        <f>IF($O67="","",SUMIFS(SITE_COEFFS!$C:$C,SITE_COEFFS!$A:$A,"TurnSpace",SITE_COEFFS!$B:$B,$O67))</f>
        <v/>
      </c>
      <c r="Q67" s="15" t="n"/>
      <c r="R67" s="23">
        <f>IF($Q67="","",SUMIFS(SITE_COEFFS!$C:$C,SITE_COEFFS!$A:$A,"ProximityToBuildings",SITE_COEFFS!$B:$B,$Q67))</f>
        <v/>
      </c>
      <c r="S67" s="15" t="n"/>
      <c r="T67" s="23">
        <f>IF($S67="","",SUMIFS(SITE_COEFFS!$C:$C,SITE_COEFFS!$A:$A,"MachineryAllowed",SITE_COEFFS!$B:$B,$S67))</f>
        <v/>
      </c>
      <c r="U67" s="15" t="n"/>
      <c r="V67" s="15" t="n"/>
      <c r="W67" s="23">
        <f>IF($V67="","",SUMIFS(SITE_COEFFS!$C:$C,SITE_COEFFS!$A:$A,"GeometryComplexity",SITE_COEFFS!$B:$B,$V67))</f>
        <v/>
      </c>
      <c r="X67" s="15" t="n"/>
      <c r="Y67" s="15">
        <f>IF($X67="","",SUMIFS(TARIFF_PROFILES!$D:$D,TARIFF_PROFILES!$A:$A,$X67))</f>
        <v/>
      </c>
      <c r="Z67" s="15">
        <f>IF($X67="","",SUMIFS(TARIFF_PROFILES!$E:$E,TARIFF_PROFILES!$A:$A,$X67))</f>
        <v/>
      </c>
      <c r="AA67" s="15">
        <f>IF($X67="","",SUMIFS(TARIFF_PROFILES!$F:$F,TARIFF_PROFILES!$A:$A,$X67))</f>
        <v/>
      </c>
      <c r="AB67" s="15">
        <f>IF($X67="","",SUMIFS(TARIFF_PROFILES!$G:$G,TARIFF_PROFILES!$A:$A,$X67))</f>
        <v/>
      </c>
      <c r="AC67" s="15">
        <f>IF($X67="","",SUMIFS(TARIFF_PROFILES!$H:$H,TARIFF_PROFILES!$A:$A,$X67))</f>
        <v/>
      </c>
      <c r="AD67" s="15">
        <f>IF($X67="","",INDEX(TARIFF_PROFILES!$J:$J,MATCH($X67,TARIFF_PROFILES!$A:$A,0)))</f>
        <v/>
      </c>
      <c r="AE67" s="15">
        <f>IF($X67="","",INDEX(TARIFF_PROFILES!$K:$K,MATCH($X67,TARIFF_PROFILES!$A:$A,0)))</f>
        <v/>
      </c>
      <c r="AH67">
        <f>IF($AG67="","",SUMIFS(OPERATING_COEFFS!$C:$C,OPERATING_COEFFS!$A:$A,"DistanceClass",OPERATING_COEFFS!$B:$B,$AG67))</f>
        <v/>
      </c>
      <c r="AJ67">
        <f>IF($AI67="","",SUMIFS(OPERATING_COEFFS!$C:$C,OPERATING_COEFFS!$A:$A,"SeasonClass",OPERATING_COEFFS!$B:$B,$AI67))</f>
        <v/>
      </c>
      <c r="AL67">
        <f>IF($AK67="","",SUMIFS(OPERATING_COEFFS!$C:$C,OPERATING_COEFFS!$A:$A,"UrgencyClass",OPERATING_COEFFS!$B:$B,$AK67))</f>
        <v/>
      </c>
      <c r="AN67">
        <f>IF($AM67="","",INDEX(TAX_MODES!$B:$B,MATCH($AM67,TAX_MODES!$A:$A,0)))</f>
        <v/>
      </c>
    </row>
    <row r="68">
      <c r="A68" s="15" t="n"/>
      <c r="B68" s="15" t="n"/>
      <c r="C68" s="15" t="n"/>
      <c r="D68" s="23">
        <f>IF($C68="","",SUMIFS(SITE_COEFFS!$C:$C,SITE_COEFFS!$A:$A,"SoilWorkability",SITE_COEFFS!$B:$B,$C68))</f>
        <v/>
      </c>
      <c r="E68" s="15" t="n"/>
      <c r="F68" s="23">
        <f>IF($E68="","",SUMIFS(SITE_COEFFS!$C:$C,SITE_COEFFS!$A:$A,"SoilMoisture",SITE_COEFFS!$B:$B,$E68))</f>
        <v/>
      </c>
      <c r="G68" s="15" t="n"/>
      <c r="H68" s="23">
        <f>IF($G68="","",SUMIFS(SITE_COEFFS!$C:$C,SITE_COEFFS!$A:$A,"DebrisLevel",SITE_COEFFS!$B:$B,$G68))</f>
        <v/>
      </c>
      <c r="I68" s="15" t="n"/>
      <c r="J68" s="23">
        <f>IF($I68="","",SUMIFS(SITE_COEFFS!$C:$C,SITE_COEFFS!$A:$A,"SlopeClass",SITE_COEFFS!$B:$B,$I68))</f>
        <v/>
      </c>
      <c r="K68" s="15" t="n"/>
      <c r="L68" s="23">
        <f>IF($K68="","",SUMIFS(SITE_COEFFS!$C:$C,SITE_COEFFS!$A:$A,"SurfaceUnevenness",SITE_COEFFS!$B:$B,$K68))</f>
        <v/>
      </c>
      <c r="M68" s="15" t="n"/>
      <c r="N68" s="23">
        <f>IF($M68="","",SUMIFS(SITE_COEFFS!$C:$C,SITE_COEFFS!$A:$A,"AccessClass",SITE_COEFFS!$B:$B,$M68))</f>
        <v/>
      </c>
      <c r="O68" s="15" t="n"/>
      <c r="P68" s="23">
        <f>IF($O68="","",SUMIFS(SITE_COEFFS!$C:$C,SITE_COEFFS!$A:$A,"TurnSpace",SITE_COEFFS!$B:$B,$O68))</f>
        <v/>
      </c>
      <c r="Q68" s="15" t="n"/>
      <c r="R68" s="23">
        <f>IF($Q68="","",SUMIFS(SITE_COEFFS!$C:$C,SITE_COEFFS!$A:$A,"ProximityToBuildings",SITE_COEFFS!$B:$B,$Q68))</f>
        <v/>
      </c>
      <c r="S68" s="15" t="n"/>
      <c r="T68" s="23">
        <f>IF($S68="","",SUMIFS(SITE_COEFFS!$C:$C,SITE_COEFFS!$A:$A,"MachineryAllowed",SITE_COEFFS!$B:$B,$S68))</f>
        <v/>
      </c>
      <c r="U68" s="15" t="n"/>
      <c r="V68" s="15" t="n"/>
      <c r="W68" s="23">
        <f>IF($V68="","",SUMIFS(SITE_COEFFS!$C:$C,SITE_COEFFS!$A:$A,"GeometryComplexity",SITE_COEFFS!$B:$B,$V68))</f>
        <v/>
      </c>
      <c r="X68" s="15" t="n"/>
      <c r="Y68" s="15">
        <f>IF($X68="","",SUMIFS(TARIFF_PROFILES!$D:$D,TARIFF_PROFILES!$A:$A,$X68))</f>
        <v/>
      </c>
      <c r="Z68" s="15">
        <f>IF($X68="","",SUMIFS(TARIFF_PROFILES!$E:$E,TARIFF_PROFILES!$A:$A,$X68))</f>
        <v/>
      </c>
      <c r="AA68" s="15">
        <f>IF($X68="","",SUMIFS(TARIFF_PROFILES!$F:$F,TARIFF_PROFILES!$A:$A,$X68))</f>
        <v/>
      </c>
      <c r="AB68" s="15">
        <f>IF($X68="","",SUMIFS(TARIFF_PROFILES!$G:$G,TARIFF_PROFILES!$A:$A,$X68))</f>
        <v/>
      </c>
      <c r="AC68" s="15">
        <f>IF($X68="","",SUMIFS(TARIFF_PROFILES!$H:$H,TARIFF_PROFILES!$A:$A,$X68))</f>
        <v/>
      </c>
      <c r="AD68" s="15">
        <f>IF($X68="","",INDEX(TARIFF_PROFILES!$J:$J,MATCH($X68,TARIFF_PROFILES!$A:$A,0)))</f>
        <v/>
      </c>
      <c r="AE68" s="15">
        <f>IF($X68="","",INDEX(TARIFF_PROFILES!$K:$K,MATCH($X68,TARIFF_PROFILES!$A:$A,0)))</f>
        <v/>
      </c>
      <c r="AH68">
        <f>IF($AG68="","",SUMIFS(OPERATING_COEFFS!$C:$C,OPERATING_COEFFS!$A:$A,"DistanceClass",OPERATING_COEFFS!$B:$B,$AG68))</f>
        <v/>
      </c>
      <c r="AJ68">
        <f>IF($AI68="","",SUMIFS(OPERATING_COEFFS!$C:$C,OPERATING_COEFFS!$A:$A,"SeasonClass",OPERATING_COEFFS!$B:$B,$AI68))</f>
        <v/>
      </c>
      <c r="AL68">
        <f>IF($AK68="","",SUMIFS(OPERATING_COEFFS!$C:$C,OPERATING_COEFFS!$A:$A,"UrgencyClass",OPERATING_COEFFS!$B:$B,$AK68))</f>
        <v/>
      </c>
      <c r="AN68">
        <f>IF($AM68="","",INDEX(TAX_MODES!$B:$B,MATCH($AM68,TAX_MODES!$A:$A,0)))</f>
        <v/>
      </c>
    </row>
    <row r="69">
      <c r="A69" s="15" t="n"/>
      <c r="B69" s="15" t="n"/>
      <c r="C69" s="15" t="n"/>
      <c r="D69" s="23">
        <f>IF($C69="","",SUMIFS(SITE_COEFFS!$C:$C,SITE_COEFFS!$A:$A,"SoilWorkability",SITE_COEFFS!$B:$B,$C69))</f>
        <v/>
      </c>
      <c r="E69" s="15" t="n"/>
      <c r="F69" s="23">
        <f>IF($E69="","",SUMIFS(SITE_COEFFS!$C:$C,SITE_COEFFS!$A:$A,"SoilMoisture",SITE_COEFFS!$B:$B,$E69))</f>
        <v/>
      </c>
      <c r="G69" s="15" t="n"/>
      <c r="H69" s="23">
        <f>IF($G69="","",SUMIFS(SITE_COEFFS!$C:$C,SITE_COEFFS!$A:$A,"DebrisLevel",SITE_COEFFS!$B:$B,$G69))</f>
        <v/>
      </c>
      <c r="I69" s="15" t="n"/>
      <c r="J69" s="23">
        <f>IF($I69="","",SUMIFS(SITE_COEFFS!$C:$C,SITE_COEFFS!$A:$A,"SlopeClass",SITE_COEFFS!$B:$B,$I69))</f>
        <v/>
      </c>
      <c r="K69" s="15" t="n"/>
      <c r="L69" s="23">
        <f>IF($K69="","",SUMIFS(SITE_COEFFS!$C:$C,SITE_COEFFS!$A:$A,"SurfaceUnevenness",SITE_COEFFS!$B:$B,$K69))</f>
        <v/>
      </c>
      <c r="M69" s="15" t="n"/>
      <c r="N69" s="23">
        <f>IF($M69="","",SUMIFS(SITE_COEFFS!$C:$C,SITE_COEFFS!$A:$A,"AccessClass",SITE_COEFFS!$B:$B,$M69))</f>
        <v/>
      </c>
      <c r="O69" s="15" t="n"/>
      <c r="P69" s="23">
        <f>IF($O69="","",SUMIFS(SITE_COEFFS!$C:$C,SITE_COEFFS!$A:$A,"TurnSpace",SITE_COEFFS!$B:$B,$O69))</f>
        <v/>
      </c>
      <c r="Q69" s="15" t="n"/>
      <c r="R69" s="23">
        <f>IF($Q69="","",SUMIFS(SITE_COEFFS!$C:$C,SITE_COEFFS!$A:$A,"ProximityToBuildings",SITE_COEFFS!$B:$B,$Q69))</f>
        <v/>
      </c>
      <c r="S69" s="15" t="n"/>
      <c r="T69" s="23">
        <f>IF($S69="","",SUMIFS(SITE_COEFFS!$C:$C,SITE_COEFFS!$A:$A,"MachineryAllowed",SITE_COEFFS!$B:$B,$S69))</f>
        <v/>
      </c>
      <c r="U69" s="15" t="n"/>
      <c r="V69" s="15" t="n"/>
      <c r="W69" s="23">
        <f>IF($V69="","",SUMIFS(SITE_COEFFS!$C:$C,SITE_COEFFS!$A:$A,"GeometryComplexity",SITE_COEFFS!$B:$B,$V69))</f>
        <v/>
      </c>
      <c r="X69" s="15" t="n"/>
      <c r="Y69" s="15">
        <f>IF($X69="","",SUMIFS(TARIFF_PROFILES!$D:$D,TARIFF_PROFILES!$A:$A,$X69))</f>
        <v/>
      </c>
      <c r="Z69" s="15">
        <f>IF($X69="","",SUMIFS(TARIFF_PROFILES!$E:$E,TARIFF_PROFILES!$A:$A,$X69))</f>
        <v/>
      </c>
      <c r="AA69" s="15">
        <f>IF($X69="","",SUMIFS(TARIFF_PROFILES!$F:$F,TARIFF_PROFILES!$A:$A,$X69))</f>
        <v/>
      </c>
      <c r="AB69" s="15">
        <f>IF($X69="","",SUMIFS(TARIFF_PROFILES!$G:$G,TARIFF_PROFILES!$A:$A,$X69))</f>
        <v/>
      </c>
      <c r="AC69" s="15">
        <f>IF($X69="","",SUMIFS(TARIFF_PROFILES!$H:$H,TARIFF_PROFILES!$A:$A,$X69))</f>
        <v/>
      </c>
      <c r="AD69" s="15">
        <f>IF($X69="","",INDEX(TARIFF_PROFILES!$J:$J,MATCH($X69,TARIFF_PROFILES!$A:$A,0)))</f>
        <v/>
      </c>
      <c r="AE69" s="15">
        <f>IF($X69="","",INDEX(TARIFF_PROFILES!$K:$K,MATCH($X69,TARIFF_PROFILES!$A:$A,0)))</f>
        <v/>
      </c>
      <c r="AH69">
        <f>IF($AG69="","",SUMIFS(OPERATING_COEFFS!$C:$C,OPERATING_COEFFS!$A:$A,"DistanceClass",OPERATING_COEFFS!$B:$B,$AG69))</f>
        <v/>
      </c>
      <c r="AJ69">
        <f>IF($AI69="","",SUMIFS(OPERATING_COEFFS!$C:$C,OPERATING_COEFFS!$A:$A,"SeasonClass",OPERATING_COEFFS!$B:$B,$AI69))</f>
        <v/>
      </c>
      <c r="AL69">
        <f>IF($AK69="","",SUMIFS(OPERATING_COEFFS!$C:$C,OPERATING_COEFFS!$A:$A,"UrgencyClass",OPERATING_COEFFS!$B:$B,$AK69))</f>
        <v/>
      </c>
      <c r="AN69">
        <f>IF($AM69="","",INDEX(TAX_MODES!$B:$B,MATCH($AM69,TAX_MODES!$A:$A,0)))</f>
        <v/>
      </c>
    </row>
    <row r="70">
      <c r="A70" s="15" t="n"/>
      <c r="B70" s="15" t="n"/>
      <c r="C70" s="15" t="n"/>
      <c r="D70" s="23">
        <f>IF($C70="","",SUMIFS(SITE_COEFFS!$C:$C,SITE_COEFFS!$A:$A,"SoilWorkability",SITE_COEFFS!$B:$B,$C70))</f>
        <v/>
      </c>
      <c r="E70" s="15" t="n"/>
      <c r="F70" s="23">
        <f>IF($E70="","",SUMIFS(SITE_COEFFS!$C:$C,SITE_COEFFS!$A:$A,"SoilMoisture",SITE_COEFFS!$B:$B,$E70))</f>
        <v/>
      </c>
      <c r="G70" s="15" t="n"/>
      <c r="H70" s="23">
        <f>IF($G70="","",SUMIFS(SITE_COEFFS!$C:$C,SITE_COEFFS!$A:$A,"DebrisLevel",SITE_COEFFS!$B:$B,$G70))</f>
        <v/>
      </c>
      <c r="I70" s="15" t="n"/>
      <c r="J70" s="23">
        <f>IF($I70="","",SUMIFS(SITE_COEFFS!$C:$C,SITE_COEFFS!$A:$A,"SlopeClass",SITE_COEFFS!$B:$B,$I70))</f>
        <v/>
      </c>
      <c r="K70" s="15" t="n"/>
      <c r="L70" s="23">
        <f>IF($K70="","",SUMIFS(SITE_COEFFS!$C:$C,SITE_COEFFS!$A:$A,"SurfaceUnevenness",SITE_COEFFS!$B:$B,$K70))</f>
        <v/>
      </c>
      <c r="M70" s="15" t="n"/>
      <c r="N70" s="23">
        <f>IF($M70="","",SUMIFS(SITE_COEFFS!$C:$C,SITE_COEFFS!$A:$A,"AccessClass",SITE_COEFFS!$B:$B,$M70))</f>
        <v/>
      </c>
      <c r="O70" s="15" t="n"/>
      <c r="P70" s="23">
        <f>IF($O70="","",SUMIFS(SITE_COEFFS!$C:$C,SITE_COEFFS!$A:$A,"TurnSpace",SITE_COEFFS!$B:$B,$O70))</f>
        <v/>
      </c>
      <c r="Q70" s="15" t="n"/>
      <c r="R70" s="23">
        <f>IF($Q70="","",SUMIFS(SITE_COEFFS!$C:$C,SITE_COEFFS!$A:$A,"ProximityToBuildings",SITE_COEFFS!$B:$B,$Q70))</f>
        <v/>
      </c>
      <c r="S70" s="15" t="n"/>
      <c r="T70" s="23">
        <f>IF($S70="","",SUMIFS(SITE_COEFFS!$C:$C,SITE_COEFFS!$A:$A,"MachineryAllowed",SITE_COEFFS!$B:$B,$S70))</f>
        <v/>
      </c>
      <c r="U70" s="15" t="n"/>
      <c r="V70" s="15" t="n"/>
      <c r="W70" s="23">
        <f>IF($V70="","",SUMIFS(SITE_COEFFS!$C:$C,SITE_COEFFS!$A:$A,"GeometryComplexity",SITE_COEFFS!$B:$B,$V70))</f>
        <v/>
      </c>
      <c r="X70" s="15" t="n"/>
      <c r="Y70" s="15">
        <f>IF($X70="","",SUMIFS(TARIFF_PROFILES!$D:$D,TARIFF_PROFILES!$A:$A,$X70))</f>
        <v/>
      </c>
      <c r="Z70" s="15">
        <f>IF($X70="","",SUMIFS(TARIFF_PROFILES!$E:$E,TARIFF_PROFILES!$A:$A,$X70))</f>
        <v/>
      </c>
      <c r="AA70" s="15">
        <f>IF($X70="","",SUMIFS(TARIFF_PROFILES!$F:$F,TARIFF_PROFILES!$A:$A,$X70))</f>
        <v/>
      </c>
      <c r="AB70" s="15">
        <f>IF($X70="","",SUMIFS(TARIFF_PROFILES!$G:$G,TARIFF_PROFILES!$A:$A,$X70))</f>
        <v/>
      </c>
      <c r="AC70" s="15">
        <f>IF($X70="","",SUMIFS(TARIFF_PROFILES!$H:$H,TARIFF_PROFILES!$A:$A,$X70))</f>
        <v/>
      </c>
      <c r="AD70" s="15">
        <f>IF($X70="","",INDEX(TARIFF_PROFILES!$J:$J,MATCH($X70,TARIFF_PROFILES!$A:$A,0)))</f>
        <v/>
      </c>
      <c r="AE70" s="15">
        <f>IF($X70="","",INDEX(TARIFF_PROFILES!$K:$K,MATCH($X70,TARIFF_PROFILES!$A:$A,0)))</f>
        <v/>
      </c>
      <c r="AH70">
        <f>IF($AG70="","",SUMIFS(OPERATING_COEFFS!$C:$C,OPERATING_COEFFS!$A:$A,"DistanceClass",OPERATING_COEFFS!$B:$B,$AG70))</f>
        <v/>
      </c>
      <c r="AJ70">
        <f>IF($AI70="","",SUMIFS(OPERATING_COEFFS!$C:$C,OPERATING_COEFFS!$A:$A,"SeasonClass",OPERATING_COEFFS!$B:$B,$AI70))</f>
        <v/>
      </c>
      <c r="AL70">
        <f>IF($AK70="","",SUMIFS(OPERATING_COEFFS!$C:$C,OPERATING_COEFFS!$A:$A,"UrgencyClass",OPERATING_COEFFS!$B:$B,$AK70))</f>
        <v/>
      </c>
      <c r="AN70">
        <f>IF($AM70="","",INDEX(TAX_MODES!$B:$B,MATCH($AM70,TAX_MODES!$A:$A,0)))</f>
        <v/>
      </c>
    </row>
    <row r="71">
      <c r="A71" s="15" t="n"/>
      <c r="B71" s="15" t="n"/>
      <c r="C71" s="15" t="n"/>
      <c r="D71" s="23">
        <f>IF($C71="","",SUMIFS(SITE_COEFFS!$C:$C,SITE_COEFFS!$A:$A,"SoilWorkability",SITE_COEFFS!$B:$B,$C71))</f>
        <v/>
      </c>
      <c r="E71" s="15" t="n"/>
      <c r="F71" s="23">
        <f>IF($E71="","",SUMIFS(SITE_COEFFS!$C:$C,SITE_COEFFS!$A:$A,"SoilMoisture",SITE_COEFFS!$B:$B,$E71))</f>
        <v/>
      </c>
      <c r="G71" s="15" t="n"/>
      <c r="H71" s="23">
        <f>IF($G71="","",SUMIFS(SITE_COEFFS!$C:$C,SITE_COEFFS!$A:$A,"DebrisLevel",SITE_COEFFS!$B:$B,$G71))</f>
        <v/>
      </c>
      <c r="I71" s="15" t="n"/>
      <c r="J71" s="23">
        <f>IF($I71="","",SUMIFS(SITE_COEFFS!$C:$C,SITE_COEFFS!$A:$A,"SlopeClass",SITE_COEFFS!$B:$B,$I71))</f>
        <v/>
      </c>
      <c r="K71" s="15" t="n"/>
      <c r="L71" s="23">
        <f>IF($K71="","",SUMIFS(SITE_COEFFS!$C:$C,SITE_COEFFS!$A:$A,"SurfaceUnevenness",SITE_COEFFS!$B:$B,$K71))</f>
        <v/>
      </c>
      <c r="M71" s="15" t="n"/>
      <c r="N71" s="23">
        <f>IF($M71="","",SUMIFS(SITE_COEFFS!$C:$C,SITE_COEFFS!$A:$A,"AccessClass",SITE_COEFFS!$B:$B,$M71))</f>
        <v/>
      </c>
      <c r="O71" s="15" t="n"/>
      <c r="P71" s="23">
        <f>IF($O71="","",SUMIFS(SITE_COEFFS!$C:$C,SITE_COEFFS!$A:$A,"TurnSpace",SITE_COEFFS!$B:$B,$O71))</f>
        <v/>
      </c>
      <c r="Q71" s="15" t="n"/>
      <c r="R71" s="23">
        <f>IF($Q71="","",SUMIFS(SITE_COEFFS!$C:$C,SITE_COEFFS!$A:$A,"ProximityToBuildings",SITE_COEFFS!$B:$B,$Q71))</f>
        <v/>
      </c>
      <c r="S71" s="15" t="n"/>
      <c r="T71" s="23">
        <f>IF($S71="","",SUMIFS(SITE_COEFFS!$C:$C,SITE_COEFFS!$A:$A,"MachineryAllowed",SITE_COEFFS!$B:$B,$S71))</f>
        <v/>
      </c>
      <c r="U71" s="15" t="n"/>
      <c r="V71" s="15" t="n"/>
      <c r="W71" s="23">
        <f>IF($V71="","",SUMIFS(SITE_COEFFS!$C:$C,SITE_COEFFS!$A:$A,"GeometryComplexity",SITE_COEFFS!$B:$B,$V71))</f>
        <v/>
      </c>
      <c r="X71" s="15" t="n"/>
      <c r="Y71" s="15">
        <f>IF($X71="","",SUMIFS(TARIFF_PROFILES!$D:$D,TARIFF_PROFILES!$A:$A,$X71))</f>
        <v/>
      </c>
      <c r="Z71" s="15">
        <f>IF($X71="","",SUMIFS(TARIFF_PROFILES!$E:$E,TARIFF_PROFILES!$A:$A,$X71))</f>
        <v/>
      </c>
      <c r="AA71" s="15">
        <f>IF($X71="","",SUMIFS(TARIFF_PROFILES!$F:$F,TARIFF_PROFILES!$A:$A,$X71))</f>
        <v/>
      </c>
      <c r="AB71" s="15">
        <f>IF($X71="","",SUMIFS(TARIFF_PROFILES!$G:$G,TARIFF_PROFILES!$A:$A,$X71))</f>
        <v/>
      </c>
      <c r="AC71" s="15">
        <f>IF($X71="","",SUMIFS(TARIFF_PROFILES!$H:$H,TARIFF_PROFILES!$A:$A,$X71))</f>
        <v/>
      </c>
      <c r="AD71" s="15">
        <f>IF($X71="","",INDEX(TARIFF_PROFILES!$J:$J,MATCH($X71,TARIFF_PROFILES!$A:$A,0)))</f>
        <v/>
      </c>
      <c r="AE71" s="15">
        <f>IF($X71="","",INDEX(TARIFF_PROFILES!$K:$K,MATCH($X71,TARIFF_PROFILES!$A:$A,0)))</f>
        <v/>
      </c>
      <c r="AH71">
        <f>IF($AG71="","",SUMIFS(OPERATING_COEFFS!$C:$C,OPERATING_COEFFS!$A:$A,"DistanceClass",OPERATING_COEFFS!$B:$B,$AG71))</f>
        <v/>
      </c>
      <c r="AJ71">
        <f>IF($AI71="","",SUMIFS(OPERATING_COEFFS!$C:$C,OPERATING_COEFFS!$A:$A,"SeasonClass",OPERATING_COEFFS!$B:$B,$AI71))</f>
        <v/>
      </c>
      <c r="AL71">
        <f>IF($AK71="","",SUMIFS(OPERATING_COEFFS!$C:$C,OPERATING_COEFFS!$A:$A,"UrgencyClass",OPERATING_COEFFS!$B:$B,$AK71))</f>
        <v/>
      </c>
      <c r="AN71">
        <f>IF($AM71="","",INDEX(TAX_MODES!$B:$B,MATCH($AM71,TAX_MODES!$A:$A,0)))</f>
        <v/>
      </c>
    </row>
    <row r="72">
      <c r="A72" s="15" t="n"/>
      <c r="B72" s="15" t="n"/>
      <c r="C72" s="15" t="n"/>
      <c r="D72" s="23">
        <f>IF($C72="","",SUMIFS(SITE_COEFFS!$C:$C,SITE_COEFFS!$A:$A,"SoilWorkability",SITE_COEFFS!$B:$B,$C72))</f>
        <v/>
      </c>
      <c r="E72" s="15" t="n"/>
      <c r="F72" s="23">
        <f>IF($E72="","",SUMIFS(SITE_COEFFS!$C:$C,SITE_COEFFS!$A:$A,"SoilMoisture",SITE_COEFFS!$B:$B,$E72))</f>
        <v/>
      </c>
      <c r="G72" s="15" t="n"/>
      <c r="H72" s="23">
        <f>IF($G72="","",SUMIFS(SITE_COEFFS!$C:$C,SITE_COEFFS!$A:$A,"DebrisLevel",SITE_COEFFS!$B:$B,$G72))</f>
        <v/>
      </c>
      <c r="I72" s="15" t="n"/>
      <c r="J72" s="23">
        <f>IF($I72="","",SUMIFS(SITE_COEFFS!$C:$C,SITE_COEFFS!$A:$A,"SlopeClass",SITE_COEFFS!$B:$B,$I72))</f>
        <v/>
      </c>
      <c r="K72" s="15" t="n"/>
      <c r="L72" s="23">
        <f>IF($K72="","",SUMIFS(SITE_COEFFS!$C:$C,SITE_COEFFS!$A:$A,"SurfaceUnevenness",SITE_COEFFS!$B:$B,$K72))</f>
        <v/>
      </c>
      <c r="M72" s="15" t="n"/>
      <c r="N72" s="23">
        <f>IF($M72="","",SUMIFS(SITE_COEFFS!$C:$C,SITE_COEFFS!$A:$A,"AccessClass",SITE_COEFFS!$B:$B,$M72))</f>
        <v/>
      </c>
      <c r="O72" s="15" t="n"/>
      <c r="P72" s="23">
        <f>IF($O72="","",SUMIFS(SITE_COEFFS!$C:$C,SITE_COEFFS!$A:$A,"TurnSpace",SITE_COEFFS!$B:$B,$O72))</f>
        <v/>
      </c>
      <c r="Q72" s="15" t="n"/>
      <c r="R72" s="23">
        <f>IF($Q72="","",SUMIFS(SITE_COEFFS!$C:$C,SITE_COEFFS!$A:$A,"ProximityToBuildings",SITE_COEFFS!$B:$B,$Q72))</f>
        <v/>
      </c>
      <c r="S72" s="15" t="n"/>
      <c r="T72" s="23">
        <f>IF($S72="","",SUMIFS(SITE_COEFFS!$C:$C,SITE_COEFFS!$A:$A,"MachineryAllowed",SITE_COEFFS!$B:$B,$S72))</f>
        <v/>
      </c>
      <c r="U72" s="15" t="n"/>
      <c r="V72" s="15" t="n"/>
      <c r="W72" s="23">
        <f>IF($V72="","",SUMIFS(SITE_COEFFS!$C:$C,SITE_COEFFS!$A:$A,"GeometryComplexity",SITE_COEFFS!$B:$B,$V72))</f>
        <v/>
      </c>
      <c r="X72" s="15" t="n"/>
      <c r="Y72" s="15">
        <f>IF($X72="","",SUMIFS(TARIFF_PROFILES!$D:$D,TARIFF_PROFILES!$A:$A,$X72))</f>
        <v/>
      </c>
      <c r="Z72" s="15">
        <f>IF($X72="","",SUMIFS(TARIFF_PROFILES!$E:$E,TARIFF_PROFILES!$A:$A,$X72))</f>
        <v/>
      </c>
      <c r="AA72" s="15">
        <f>IF($X72="","",SUMIFS(TARIFF_PROFILES!$F:$F,TARIFF_PROFILES!$A:$A,$X72))</f>
        <v/>
      </c>
      <c r="AB72" s="15">
        <f>IF($X72="","",SUMIFS(TARIFF_PROFILES!$G:$G,TARIFF_PROFILES!$A:$A,$X72))</f>
        <v/>
      </c>
      <c r="AC72" s="15">
        <f>IF($X72="","",SUMIFS(TARIFF_PROFILES!$H:$H,TARIFF_PROFILES!$A:$A,$X72))</f>
        <v/>
      </c>
      <c r="AD72" s="15">
        <f>IF($X72="","",INDEX(TARIFF_PROFILES!$J:$J,MATCH($X72,TARIFF_PROFILES!$A:$A,0)))</f>
        <v/>
      </c>
      <c r="AE72" s="15">
        <f>IF($X72="","",INDEX(TARIFF_PROFILES!$K:$K,MATCH($X72,TARIFF_PROFILES!$A:$A,0)))</f>
        <v/>
      </c>
      <c r="AH72">
        <f>IF($AG72="","",SUMIFS(OPERATING_COEFFS!$C:$C,OPERATING_COEFFS!$A:$A,"DistanceClass",OPERATING_COEFFS!$B:$B,$AG72))</f>
        <v/>
      </c>
      <c r="AJ72">
        <f>IF($AI72="","",SUMIFS(OPERATING_COEFFS!$C:$C,OPERATING_COEFFS!$A:$A,"SeasonClass",OPERATING_COEFFS!$B:$B,$AI72))</f>
        <v/>
      </c>
      <c r="AL72">
        <f>IF($AK72="","",SUMIFS(OPERATING_COEFFS!$C:$C,OPERATING_COEFFS!$A:$A,"UrgencyClass",OPERATING_COEFFS!$B:$B,$AK72))</f>
        <v/>
      </c>
      <c r="AN72">
        <f>IF($AM72="","",INDEX(TAX_MODES!$B:$B,MATCH($AM72,TAX_MODES!$A:$A,0)))</f>
        <v/>
      </c>
    </row>
    <row r="73">
      <c r="A73" s="15" t="n"/>
      <c r="B73" s="15" t="n"/>
      <c r="C73" s="15" t="n"/>
      <c r="D73" s="23">
        <f>IF($C73="","",SUMIFS(SITE_COEFFS!$C:$C,SITE_COEFFS!$A:$A,"SoilWorkability",SITE_COEFFS!$B:$B,$C73))</f>
        <v/>
      </c>
      <c r="E73" s="15" t="n"/>
      <c r="F73" s="23">
        <f>IF($E73="","",SUMIFS(SITE_COEFFS!$C:$C,SITE_COEFFS!$A:$A,"SoilMoisture",SITE_COEFFS!$B:$B,$E73))</f>
        <v/>
      </c>
      <c r="G73" s="15" t="n"/>
      <c r="H73" s="23">
        <f>IF($G73="","",SUMIFS(SITE_COEFFS!$C:$C,SITE_COEFFS!$A:$A,"DebrisLevel",SITE_COEFFS!$B:$B,$G73))</f>
        <v/>
      </c>
      <c r="I73" s="15" t="n"/>
      <c r="J73" s="23">
        <f>IF($I73="","",SUMIFS(SITE_COEFFS!$C:$C,SITE_COEFFS!$A:$A,"SlopeClass",SITE_COEFFS!$B:$B,$I73))</f>
        <v/>
      </c>
      <c r="K73" s="15" t="n"/>
      <c r="L73" s="23">
        <f>IF($K73="","",SUMIFS(SITE_COEFFS!$C:$C,SITE_COEFFS!$A:$A,"SurfaceUnevenness",SITE_COEFFS!$B:$B,$K73))</f>
        <v/>
      </c>
      <c r="M73" s="15" t="n"/>
      <c r="N73" s="23">
        <f>IF($M73="","",SUMIFS(SITE_COEFFS!$C:$C,SITE_COEFFS!$A:$A,"AccessClass",SITE_COEFFS!$B:$B,$M73))</f>
        <v/>
      </c>
      <c r="O73" s="15" t="n"/>
      <c r="P73" s="23">
        <f>IF($O73="","",SUMIFS(SITE_COEFFS!$C:$C,SITE_COEFFS!$A:$A,"TurnSpace",SITE_COEFFS!$B:$B,$O73))</f>
        <v/>
      </c>
      <c r="Q73" s="15" t="n"/>
      <c r="R73" s="23">
        <f>IF($Q73="","",SUMIFS(SITE_COEFFS!$C:$C,SITE_COEFFS!$A:$A,"ProximityToBuildings",SITE_COEFFS!$B:$B,$Q73))</f>
        <v/>
      </c>
      <c r="S73" s="15" t="n"/>
      <c r="T73" s="23">
        <f>IF($S73="","",SUMIFS(SITE_COEFFS!$C:$C,SITE_COEFFS!$A:$A,"MachineryAllowed",SITE_COEFFS!$B:$B,$S73))</f>
        <v/>
      </c>
      <c r="U73" s="15" t="n"/>
      <c r="V73" s="15" t="n"/>
      <c r="W73" s="23">
        <f>IF($V73="","",SUMIFS(SITE_COEFFS!$C:$C,SITE_COEFFS!$A:$A,"GeometryComplexity",SITE_COEFFS!$B:$B,$V73))</f>
        <v/>
      </c>
      <c r="X73" s="15" t="n"/>
      <c r="Y73" s="15">
        <f>IF($X73="","",SUMIFS(TARIFF_PROFILES!$D:$D,TARIFF_PROFILES!$A:$A,$X73))</f>
        <v/>
      </c>
      <c r="Z73" s="15">
        <f>IF($X73="","",SUMIFS(TARIFF_PROFILES!$E:$E,TARIFF_PROFILES!$A:$A,$X73))</f>
        <v/>
      </c>
      <c r="AA73" s="15">
        <f>IF($X73="","",SUMIFS(TARIFF_PROFILES!$F:$F,TARIFF_PROFILES!$A:$A,$X73))</f>
        <v/>
      </c>
      <c r="AB73" s="15">
        <f>IF($X73="","",SUMIFS(TARIFF_PROFILES!$G:$G,TARIFF_PROFILES!$A:$A,$X73))</f>
        <v/>
      </c>
      <c r="AC73" s="15">
        <f>IF($X73="","",SUMIFS(TARIFF_PROFILES!$H:$H,TARIFF_PROFILES!$A:$A,$X73))</f>
        <v/>
      </c>
      <c r="AD73" s="15">
        <f>IF($X73="","",INDEX(TARIFF_PROFILES!$J:$J,MATCH($X73,TARIFF_PROFILES!$A:$A,0)))</f>
        <v/>
      </c>
      <c r="AE73" s="15">
        <f>IF($X73="","",INDEX(TARIFF_PROFILES!$K:$K,MATCH($X73,TARIFF_PROFILES!$A:$A,0)))</f>
        <v/>
      </c>
      <c r="AH73">
        <f>IF($AG73="","",SUMIFS(OPERATING_COEFFS!$C:$C,OPERATING_COEFFS!$A:$A,"DistanceClass",OPERATING_COEFFS!$B:$B,$AG73))</f>
        <v/>
      </c>
      <c r="AJ73">
        <f>IF($AI73="","",SUMIFS(OPERATING_COEFFS!$C:$C,OPERATING_COEFFS!$A:$A,"SeasonClass",OPERATING_COEFFS!$B:$B,$AI73))</f>
        <v/>
      </c>
      <c r="AL73">
        <f>IF($AK73="","",SUMIFS(OPERATING_COEFFS!$C:$C,OPERATING_COEFFS!$A:$A,"UrgencyClass",OPERATING_COEFFS!$B:$B,$AK73))</f>
        <v/>
      </c>
      <c r="AN73">
        <f>IF($AM73="","",INDEX(TAX_MODES!$B:$B,MATCH($AM73,TAX_MODES!$A:$A,0)))</f>
        <v/>
      </c>
    </row>
    <row r="74">
      <c r="A74" s="15" t="n"/>
      <c r="B74" s="15" t="n"/>
      <c r="C74" s="15" t="n"/>
      <c r="D74" s="23">
        <f>IF($C74="","",SUMIFS(SITE_COEFFS!$C:$C,SITE_COEFFS!$A:$A,"SoilWorkability",SITE_COEFFS!$B:$B,$C74))</f>
        <v/>
      </c>
      <c r="E74" s="15" t="n"/>
      <c r="F74" s="23">
        <f>IF($E74="","",SUMIFS(SITE_COEFFS!$C:$C,SITE_COEFFS!$A:$A,"SoilMoisture",SITE_COEFFS!$B:$B,$E74))</f>
        <v/>
      </c>
      <c r="G74" s="15" t="n"/>
      <c r="H74" s="23">
        <f>IF($G74="","",SUMIFS(SITE_COEFFS!$C:$C,SITE_COEFFS!$A:$A,"DebrisLevel",SITE_COEFFS!$B:$B,$G74))</f>
        <v/>
      </c>
      <c r="I74" s="15" t="n"/>
      <c r="J74" s="23">
        <f>IF($I74="","",SUMIFS(SITE_COEFFS!$C:$C,SITE_COEFFS!$A:$A,"SlopeClass",SITE_COEFFS!$B:$B,$I74))</f>
        <v/>
      </c>
      <c r="K74" s="15" t="n"/>
      <c r="L74" s="23">
        <f>IF($K74="","",SUMIFS(SITE_COEFFS!$C:$C,SITE_COEFFS!$A:$A,"SurfaceUnevenness",SITE_COEFFS!$B:$B,$K74))</f>
        <v/>
      </c>
      <c r="M74" s="15" t="n"/>
      <c r="N74" s="23">
        <f>IF($M74="","",SUMIFS(SITE_COEFFS!$C:$C,SITE_COEFFS!$A:$A,"AccessClass",SITE_COEFFS!$B:$B,$M74))</f>
        <v/>
      </c>
      <c r="O74" s="15" t="n"/>
      <c r="P74" s="23">
        <f>IF($O74="","",SUMIFS(SITE_COEFFS!$C:$C,SITE_COEFFS!$A:$A,"TurnSpace",SITE_COEFFS!$B:$B,$O74))</f>
        <v/>
      </c>
      <c r="Q74" s="15" t="n"/>
      <c r="R74" s="23">
        <f>IF($Q74="","",SUMIFS(SITE_COEFFS!$C:$C,SITE_COEFFS!$A:$A,"ProximityToBuildings",SITE_COEFFS!$B:$B,$Q74))</f>
        <v/>
      </c>
      <c r="S74" s="15" t="n"/>
      <c r="T74" s="23">
        <f>IF($S74="","",SUMIFS(SITE_COEFFS!$C:$C,SITE_COEFFS!$A:$A,"MachineryAllowed",SITE_COEFFS!$B:$B,$S74))</f>
        <v/>
      </c>
      <c r="U74" s="15" t="n"/>
      <c r="V74" s="15" t="n"/>
      <c r="W74" s="23">
        <f>IF($V74="","",SUMIFS(SITE_COEFFS!$C:$C,SITE_COEFFS!$A:$A,"GeometryComplexity",SITE_COEFFS!$B:$B,$V74))</f>
        <v/>
      </c>
      <c r="X74" s="15" t="n"/>
      <c r="Y74" s="15">
        <f>IF($X74="","",SUMIFS(TARIFF_PROFILES!$D:$D,TARIFF_PROFILES!$A:$A,$X74))</f>
        <v/>
      </c>
      <c r="Z74" s="15">
        <f>IF($X74="","",SUMIFS(TARIFF_PROFILES!$E:$E,TARIFF_PROFILES!$A:$A,$X74))</f>
        <v/>
      </c>
      <c r="AA74" s="15">
        <f>IF($X74="","",SUMIFS(TARIFF_PROFILES!$F:$F,TARIFF_PROFILES!$A:$A,$X74))</f>
        <v/>
      </c>
      <c r="AB74" s="15">
        <f>IF($X74="","",SUMIFS(TARIFF_PROFILES!$G:$G,TARIFF_PROFILES!$A:$A,$X74))</f>
        <v/>
      </c>
      <c r="AC74" s="15">
        <f>IF($X74="","",SUMIFS(TARIFF_PROFILES!$H:$H,TARIFF_PROFILES!$A:$A,$X74))</f>
        <v/>
      </c>
      <c r="AD74" s="15">
        <f>IF($X74="","",INDEX(TARIFF_PROFILES!$J:$J,MATCH($X74,TARIFF_PROFILES!$A:$A,0)))</f>
        <v/>
      </c>
      <c r="AE74" s="15">
        <f>IF($X74="","",INDEX(TARIFF_PROFILES!$K:$K,MATCH($X74,TARIFF_PROFILES!$A:$A,0)))</f>
        <v/>
      </c>
      <c r="AH74">
        <f>IF($AG74="","",SUMIFS(OPERATING_COEFFS!$C:$C,OPERATING_COEFFS!$A:$A,"DistanceClass",OPERATING_COEFFS!$B:$B,$AG74))</f>
        <v/>
      </c>
      <c r="AJ74">
        <f>IF($AI74="","",SUMIFS(OPERATING_COEFFS!$C:$C,OPERATING_COEFFS!$A:$A,"SeasonClass",OPERATING_COEFFS!$B:$B,$AI74))</f>
        <v/>
      </c>
      <c r="AL74">
        <f>IF($AK74="","",SUMIFS(OPERATING_COEFFS!$C:$C,OPERATING_COEFFS!$A:$A,"UrgencyClass",OPERATING_COEFFS!$B:$B,$AK74))</f>
        <v/>
      </c>
      <c r="AN74">
        <f>IF($AM74="","",INDEX(TAX_MODES!$B:$B,MATCH($AM74,TAX_MODES!$A:$A,0)))</f>
        <v/>
      </c>
    </row>
    <row r="75">
      <c r="A75" s="15" t="n"/>
      <c r="B75" s="15" t="n"/>
      <c r="C75" s="15" t="n"/>
      <c r="D75" s="23">
        <f>IF($C75="","",SUMIFS(SITE_COEFFS!$C:$C,SITE_COEFFS!$A:$A,"SoilWorkability",SITE_COEFFS!$B:$B,$C75))</f>
        <v/>
      </c>
      <c r="E75" s="15" t="n"/>
      <c r="F75" s="23">
        <f>IF($E75="","",SUMIFS(SITE_COEFFS!$C:$C,SITE_COEFFS!$A:$A,"SoilMoisture",SITE_COEFFS!$B:$B,$E75))</f>
        <v/>
      </c>
      <c r="G75" s="15" t="n"/>
      <c r="H75" s="23">
        <f>IF($G75="","",SUMIFS(SITE_COEFFS!$C:$C,SITE_COEFFS!$A:$A,"DebrisLevel",SITE_COEFFS!$B:$B,$G75))</f>
        <v/>
      </c>
      <c r="I75" s="15" t="n"/>
      <c r="J75" s="23">
        <f>IF($I75="","",SUMIFS(SITE_COEFFS!$C:$C,SITE_COEFFS!$A:$A,"SlopeClass",SITE_COEFFS!$B:$B,$I75))</f>
        <v/>
      </c>
      <c r="K75" s="15" t="n"/>
      <c r="L75" s="23">
        <f>IF($K75="","",SUMIFS(SITE_COEFFS!$C:$C,SITE_COEFFS!$A:$A,"SurfaceUnevenness",SITE_COEFFS!$B:$B,$K75))</f>
        <v/>
      </c>
      <c r="M75" s="15" t="n"/>
      <c r="N75" s="23">
        <f>IF($M75="","",SUMIFS(SITE_COEFFS!$C:$C,SITE_COEFFS!$A:$A,"AccessClass",SITE_COEFFS!$B:$B,$M75))</f>
        <v/>
      </c>
      <c r="O75" s="15" t="n"/>
      <c r="P75" s="23">
        <f>IF($O75="","",SUMIFS(SITE_COEFFS!$C:$C,SITE_COEFFS!$A:$A,"TurnSpace",SITE_COEFFS!$B:$B,$O75))</f>
        <v/>
      </c>
      <c r="Q75" s="15" t="n"/>
      <c r="R75" s="23">
        <f>IF($Q75="","",SUMIFS(SITE_COEFFS!$C:$C,SITE_COEFFS!$A:$A,"ProximityToBuildings",SITE_COEFFS!$B:$B,$Q75))</f>
        <v/>
      </c>
      <c r="S75" s="15" t="n"/>
      <c r="T75" s="23">
        <f>IF($S75="","",SUMIFS(SITE_COEFFS!$C:$C,SITE_COEFFS!$A:$A,"MachineryAllowed",SITE_COEFFS!$B:$B,$S75))</f>
        <v/>
      </c>
      <c r="U75" s="15" t="n"/>
      <c r="V75" s="15" t="n"/>
      <c r="W75" s="23">
        <f>IF($V75="","",SUMIFS(SITE_COEFFS!$C:$C,SITE_COEFFS!$A:$A,"GeometryComplexity",SITE_COEFFS!$B:$B,$V75))</f>
        <v/>
      </c>
      <c r="X75" s="15" t="n"/>
      <c r="Y75" s="15">
        <f>IF($X75="","",SUMIFS(TARIFF_PROFILES!$D:$D,TARIFF_PROFILES!$A:$A,$X75))</f>
        <v/>
      </c>
      <c r="Z75" s="15">
        <f>IF($X75="","",SUMIFS(TARIFF_PROFILES!$E:$E,TARIFF_PROFILES!$A:$A,$X75))</f>
        <v/>
      </c>
      <c r="AA75" s="15">
        <f>IF($X75="","",SUMIFS(TARIFF_PROFILES!$F:$F,TARIFF_PROFILES!$A:$A,$X75))</f>
        <v/>
      </c>
      <c r="AB75" s="15">
        <f>IF($X75="","",SUMIFS(TARIFF_PROFILES!$G:$G,TARIFF_PROFILES!$A:$A,$X75))</f>
        <v/>
      </c>
      <c r="AC75" s="15">
        <f>IF($X75="","",SUMIFS(TARIFF_PROFILES!$H:$H,TARIFF_PROFILES!$A:$A,$X75))</f>
        <v/>
      </c>
      <c r="AD75" s="15">
        <f>IF($X75="","",INDEX(TARIFF_PROFILES!$J:$J,MATCH($X75,TARIFF_PROFILES!$A:$A,0)))</f>
        <v/>
      </c>
      <c r="AE75" s="15">
        <f>IF($X75="","",INDEX(TARIFF_PROFILES!$K:$K,MATCH($X75,TARIFF_PROFILES!$A:$A,0)))</f>
        <v/>
      </c>
      <c r="AH75">
        <f>IF($AG75="","",SUMIFS(OPERATING_COEFFS!$C:$C,OPERATING_COEFFS!$A:$A,"DistanceClass",OPERATING_COEFFS!$B:$B,$AG75))</f>
        <v/>
      </c>
      <c r="AJ75">
        <f>IF($AI75="","",SUMIFS(OPERATING_COEFFS!$C:$C,OPERATING_COEFFS!$A:$A,"SeasonClass",OPERATING_COEFFS!$B:$B,$AI75))</f>
        <v/>
      </c>
      <c r="AL75">
        <f>IF($AK75="","",SUMIFS(OPERATING_COEFFS!$C:$C,OPERATING_COEFFS!$A:$A,"UrgencyClass",OPERATING_COEFFS!$B:$B,$AK75))</f>
        <v/>
      </c>
      <c r="AN75">
        <f>IF($AM75="","",INDEX(TAX_MODES!$B:$B,MATCH($AM75,TAX_MODES!$A:$A,0)))</f>
        <v/>
      </c>
    </row>
    <row r="76">
      <c r="A76" s="15" t="n"/>
      <c r="B76" s="15" t="n"/>
      <c r="C76" s="15" t="n"/>
      <c r="D76" s="23">
        <f>IF($C76="","",SUMIFS(SITE_COEFFS!$C:$C,SITE_COEFFS!$A:$A,"SoilWorkability",SITE_COEFFS!$B:$B,$C76))</f>
        <v/>
      </c>
      <c r="E76" s="15" t="n"/>
      <c r="F76" s="23">
        <f>IF($E76="","",SUMIFS(SITE_COEFFS!$C:$C,SITE_COEFFS!$A:$A,"SoilMoisture",SITE_COEFFS!$B:$B,$E76))</f>
        <v/>
      </c>
      <c r="G76" s="15" t="n"/>
      <c r="H76" s="23">
        <f>IF($G76="","",SUMIFS(SITE_COEFFS!$C:$C,SITE_COEFFS!$A:$A,"DebrisLevel",SITE_COEFFS!$B:$B,$G76))</f>
        <v/>
      </c>
      <c r="I76" s="15" t="n"/>
      <c r="J76" s="23">
        <f>IF($I76="","",SUMIFS(SITE_COEFFS!$C:$C,SITE_COEFFS!$A:$A,"SlopeClass",SITE_COEFFS!$B:$B,$I76))</f>
        <v/>
      </c>
      <c r="K76" s="15" t="n"/>
      <c r="L76" s="23">
        <f>IF($K76="","",SUMIFS(SITE_COEFFS!$C:$C,SITE_COEFFS!$A:$A,"SurfaceUnevenness",SITE_COEFFS!$B:$B,$K76))</f>
        <v/>
      </c>
      <c r="M76" s="15" t="n"/>
      <c r="N76" s="23">
        <f>IF($M76="","",SUMIFS(SITE_COEFFS!$C:$C,SITE_COEFFS!$A:$A,"AccessClass",SITE_COEFFS!$B:$B,$M76))</f>
        <v/>
      </c>
      <c r="O76" s="15" t="n"/>
      <c r="P76" s="23">
        <f>IF($O76="","",SUMIFS(SITE_COEFFS!$C:$C,SITE_COEFFS!$A:$A,"TurnSpace",SITE_COEFFS!$B:$B,$O76))</f>
        <v/>
      </c>
      <c r="Q76" s="15" t="n"/>
      <c r="R76" s="23">
        <f>IF($Q76="","",SUMIFS(SITE_COEFFS!$C:$C,SITE_COEFFS!$A:$A,"ProximityToBuildings",SITE_COEFFS!$B:$B,$Q76))</f>
        <v/>
      </c>
      <c r="S76" s="15" t="n"/>
      <c r="T76" s="23">
        <f>IF($S76="","",SUMIFS(SITE_COEFFS!$C:$C,SITE_COEFFS!$A:$A,"MachineryAllowed",SITE_COEFFS!$B:$B,$S76))</f>
        <v/>
      </c>
      <c r="U76" s="15" t="n"/>
      <c r="V76" s="15" t="n"/>
      <c r="W76" s="23">
        <f>IF($V76="","",SUMIFS(SITE_COEFFS!$C:$C,SITE_COEFFS!$A:$A,"GeometryComplexity",SITE_COEFFS!$B:$B,$V76))</f>
        <v/>
      </c>
      <c r="X76" s="15" t="n"/>
      <c r="Y76" s="15">
        <f>IF($X76="","",SUMIFS(TARIFF_PROFILES!$D:$D,TARIFF_PROFILES!$A:$A,$X76))</f>
        <v/>
      </c>
      <c r="Z76" s="15">
        <f>IF($X76="","",SUMIFS(TARIFF_PROFILES!$E:$E,TARIFF_PROFILES!$A:$A,$X76))</f>
        <v/>
      </c>
      <c r="AA76" s="15">
        <f>IF($X76="","",SUMIFS(TARIFF_PROFILES!$F:$F,TARIFF_PROFILES!$A:$A,$X76))</f>
        <v/>
      </c>
      <c r="AB76" s="15">
        <f>IF($X76="","",SUMIFS(TARIFF_PROFILES!$G:$G,TARIFF_PROFILES!$A:$A,$X76))</f>
        <v/>
      </c>
      <c r="AC76" s="15">
        <f>IF($X76="","",SUMIFS(TARIFF_PROFILES!$H:$H,TARIFF_PROFILES!$A:$A,$X76))</f>
        <v/>
      </c>
      <c r="AD76" s="15">
        <f>IF($X76="","",INDEX(TARIFF_PROFILES!$J:$J,MATCH($X76,TARIFF_PROFILES!$A:$A,0)))</f>
        <v/>
      </c>
      <c r="AE76" s="15">
        <f>IF($X76="","",INDEX(TARIFF_PROFILES!$K:$K,MATCH($X76,TARIFF_PROFILES!$A:$A,0)))</f>
        <v/>
      </c>
      <c r="AH76">
        <f>IF($AG76="","",SUMIFS(OPERATING_COEFFS!$C:$C,OPERATING_COEFFS!$A:$A,"DistanceClass",OPERATING_COEFFS!$B:$B,$AG76))</f>
        <v/>
      </c>
      <c r="AJ76">
        <f>IF($AI76="","",SUMIFS(OPERATING_COEFFS!$C:$C,OPERATING_COEFFS!$A:$A,"SeasonClass",OPERATING_COEFFS!$B:$B,$AI76))</f>
        <v/>
      </c>
      <c r="AL76">
        <f>IF($AK76="","",SUMIFS(OPERATING_COEFFS!$C:$C,OPERATING_COEFFS!$A:$A,"UrgencyClass",OPERATING_COEFFS!$B:$B,$AK76))</f>
        <v/>
      </c>
      <c r="AN76">
        <f>IF($AM76="","",INDEX(TAX_MODES!$B:$B,MATCH($AM76,TAX_MODES!$A:$A,0)))</f>
        <v/>
      </c>
    </row>
    <row r="77">
      <c r="A77" s="15" t="n"/>
      <c r="B77" s="15" t="n"/>
      <c r="C77" s="15" t="n"/>
      <c r="D77" s="23">
        <f>IF($C77="","",SUMIFS(SITE_COEFFS!$C:$C,SITE_COEFFS!$A:$A,"SoilWorkability",SITE_COEFFS!$B:$B,$C77))</f>
        <v/>
      </c>
      <c r="E77" s="15" t="n"/>
      <c r="F77" s="23">
        <f>IF($E77="","",SUMIFS(SITE_COEFFS!$C:$C,SITE_COEFFS!$A:$A,"SoilMoisture",SITE_COEFFS!$B:$B,$E77))</f>
        <v/>
      </c>
      <c r="G77" s="15" t="n"/>
      <c r="H77" s="23">
        <f>IF($G77="","",SUMIFS(SITE_COEFFS!$C:$C,SITE_COEFFS!$A:$A,"DebrisLevel",SITE_COEFFS!$B:$B,$G77))</f>
        <v/>
      </c>
      <c r="I77" s="15" t="n"/>
      <c r="J77" s="23">
        <f>IF($I77="","",SUMIFS(SITE_COEFFS!$C:$C,SITE_COEFFS!$A:$A,"SlopeClass",SITE_COEFFS!$B:$B,$I77))</f>
        <v/>
      </c>
      <c r="K77" s="15" t="n"/>
      <c r="L77" s="23">
        <f>IF($K77="","",SUMIFS(SITE_COEFFS!$C:$C,SITE_COEFFS!$A:$A,"SurfaceUnevenness",SITE_COEFFS!$B:$B,$K77))</f>
        <v/>
      </c>
      <c r="M77" s="15" t="n"/>
      <c r="N77" s="23">
        <f>IF($M77="","",SUMIFS(SITE_COEFFS!$C:$C,SITE_COEFFS!$A:$A,"AccessClass",SITE_COEFFS!$B:$B,$M77))</f>
        <v/>
      </c>
      <c r="O77" s="15" t="n"/>
      <c r="P77" s="23">
        <f>IF($O77="","",SUMIFS(SITE_COEFFS!$C:$C,SITE_COEFFS!$A:$A,"TurnSpace",SITE_COEFFS!$B:$B,$O77))</f>
        <v/>
      </c>
      <c r="Q77" s="15" t="n"/>
      <c r="R77" s="23">
        <f>IF($Q77="","",SUMIFS(SITE_COEFFS!$C:$C,SITE_COEFFS!$A:$A,"ProximityToBuildings",SITE_COEFFS!$B:$B,$Q77))</f>
        <v/>
      </c>
      <c r="S77" s="15" t="n"/>
      <c r="T77" s="23">
        <f>IF($S77="","",SUMIFS(SITE_COEFFS!$C:$C,SITE_COEFFS!$A:$A,"MachineryAllowed",SITE_COEFFS!$B:$B,$S77))</f>
        <v/>
      </c>
      <c r="U77" s="15" t="n"/>
      <c r="V77" s="15" t="n"/>
      <c r="W77" s="23">
        <f>IF($V77="","",SUMIFS(SITE_COEFFS!$C:$C,SITE_COEFFS!$A:$A,"GeometryComplexity",SITE_COEFFS!$B:$B,$V77))</f>
        <v/>
      </c>
      <c r="X77" s="15" t="n"/>
      <c r="Y77" s="15">
        <f>IF($X77="","",SUMIFS(TARIFF_PROFILES!$D:$D,TARIFF_PROFILES!$A:$A,$X77))</f>
        <v/>
      </c>
      <c r="Z77" s="15">
        <f>IF($X77="","",SUMIFS(TARIFF_PROFILES!$E:$E,TARIFF_PROFILES!$A:$A,$X77))</f>
        <v/>
      </c>
      <c r="AA77" s="15">
        <f>IF($X77="","",SUMIFS(TARIFF_PROFILES!$F:$F,TARIFF_PROFILES!$A:$A,$X77))</f>
        <v/>
      </c>
      <c r="AB77" s="15">
        <f>IF($X77="","",SUMIFS(TARIFF_PROFILES!$G:$G,TARIFF_PROFILES!$A:$A,$X77))</f>
        <v/>
      </c>
      <c r="AC77" s="15">
        <f>IF($X77="","",SUMIFS(TARIFF_PROFILES!$H:$H,TARIFF_PROFILES!$A:$A,$X77))</f>
        <v/>
      </c>
      <c r="AD77" s="15">
        <f>IF($X77="","",INDEX(TARIFF_PROFILES!$J:$J,MATCH($X77,TARIFF_PROFILES!$A:$A,0)))</f>
        <v/>
      </c>
      <c r="AE77" s="15">
        <f>IF($X77="","",INDEX(TARIFF_PROFILES!$K:$K,MATCH($X77,TARIFF_PROFILES!$A:$A,0)))</f>
        <v/>
      </c>
      <c r="AH77">
        <f>IF($AG77="","",SUMIFS(OPERATING_COEFFS!$C:$C,OPERATING_COEFFS!$A:$A,"DistanceClass",OPERATING_COEFFS!$B:$B,$AG77))</f>
        <v/>
      </c>
      <c r="AJ77">
        <f>IF($AI77="","",SUMIFS(OPERATING_COEFFS!$C:$C,OPERATING_COEFFS!$A:$A,"SeasonClass",OPERATING_COEFFS!$B:$B,$AI77))</f>
        <v/>
      </c>
      <c r="AL77">
        <f>IF($AK77="","",SUMIFS(OPERATING_COEFFS!$C:$C,OPERATING_COEFFS!$A:$A,"UrgencyClass",OPERATING_COEFFS!$B:$B,$AK77))</f>
        <v/>
      </c>
      <c r="AN77">
        <f>IF($AM77="","",INDEX(TAX_MODES!$B:$B,MATCH($AM77,TAX_MODES!$A:$A,0)))</f>
        <v/>
      </c>
    </row>
    <row r="78">
      <c r="A78" s="15" t="n"/>
      <c r="B78" s="15" t="n"/>
      <c r="C78" s="15" t="n"/>
      <c r="D78" s="23">
        <f>IF($C78="","",SUMIFS(SITE_COEFFS!$C:$C,SITE_COEFFS!$A:$A,"SoilWorkability",SITE_COEFFS!$B:$B,$C78))</f>
        <v/>
      </c>
      <c r="E78" s="15" t="n"/>
      <c r="F78" s="23">
        <f>IF($E78="","",SUMIFS(SITE_COEFFS!$C:$C,SITE_COEFFS!$A:$A,"SoilMoisture",SITE_COEFFS!$B:$B,$E78))</f>
        <v/>
      </c>
      <c r="G78" s="15" t="n"/>
      <c r="H78" s="23">
        <f>IF($G78="","",SUMIFS(SITE_COEFFS!$C:$C,SITE_COEFFS!$A:$A,"DebrisLevel",SITE_COEFFS!$B:$B,$G78))</f>
        <v/>
      </c>
      <c r="I78" s="15" t="n"/>
      <c r="J78" s="23">
        <f>IF($I78="","",SUMIFS(SITE_COEFFS!$C:$C,SITE_COEFFS!$A:$A,"SlopeClass",SITE_COEFFS!$B:$B,$I78))</f>
        <v/>
      </c>
      <c r="K78" s="15" t="n"/>
      <c r="L78" s="23">
        <f>IF($K78="","",SUMIFS(SITE_COEFFS!$C:$C,SITE_COEFFS!$A:$A,"SurfaceUnevenness",SITE_COEFFS!$B:$B,$K78))</f>
        <v/>
      </c>
      <c r="M78" s="15" t="n"/>
      <c r="N78" s="23">
        <f>IF($M78="","",SUMIFS(SITE_COEFFS!$C:$C,SITE_COEFFS!$A:$A,"AccessClass",SITE_COEFFS!$B:$B,$M78))</f>
        <v/>
      </c>
      <c r="O78" s="15" t="n"/>
      <c r="P78" s="23">
        <f>IF($O78="","",SUMIFS(SITE_COEFFS!$C:$C,SITE_COEFFS!$A:$A,"TurnSpace",SITE_COEFFS!$B:$B,$O78))</f>
        <v/>
      </c>
      <c r="Q78" s="15" t="n"/>
      <c r="R78" s="23">
        <f>IF($Q78="","",SUMIFS(SITE_COEFFS!$C:$C,SITE_COEFFS!$A:$A,"ProximityToBuildings",SITE_COEFFS!$B:$B,$Q78))</f>
        <v/>
      </c>
      <c r="S78" s="15" t="n"/>
      <c r="T78" s="23">
        <f>IF($S78="","",SUMIFS(SITE_COEFFS!$C:$C,SITE_COEFFS!$A:$A,"MachineryAllowed",SITE_COEFFS!$B:$B,$S78))</f>
        <v/>
      </c>
      <c r="U78" s="15" t="n"/>
      <c r="V78" s="15" t="n"/>
      <c r="W78" s="23">
        <f>IF($V78="","",SUMIFS(SITE_COEFFS!$C:$C,SITE_COEFFS!$A:$A,"GeometryComplexity",SITE_COEFFS!$B:$B,$V78))</f>
        <v/>
      </c>
      <c r="X78" s="15" t="n"/>
      <c r="Y78" s="15">
        <f>IF($X78="","",SUMIFS(TARIFF_PROFILES!$D:$D,TARIFF_PROFILES!$A:$A,$X78))</f>
        <v/>
      </c>
      <c r="Z78" s="15">
        <f>IF($X78="","",SUMIFS(TARIFF_PROFILES!$E:$E,TARIFF_PROFILES!$A:$A,$X78))</f>
        <v/>
      </c>
      <c r="AA78" s="15">
        <f>IF($X78="","",SUMIFS(TARIFF_PROFILES!$F:$F,TARIFF_PROFILES!$A:$A,$X78))</f>
        <v/>
      </c>
      <c r="AB78" s="15">
        <f>IF($X78="","",SUMIFS(TARIFF_PROFILES!$G:$G,TARIFF_PROFILES!$A:$A,$X78))</f>
        <v/>
      </c>
      <c r="AC78" s="15">
        <f>IF($X78="","",SUMIFS(TARIFF_PROFILES!$H:$H,TARIFF_PROFILES!$A:$A,$X78))</f>
        <v/>
      </c>
      <c r="AD78" s="15">
        <f>IF($X78="","",INDEX(TARIFF_PROFILES!$J:$J,MATCH($X78,TARIFF_PROFILES!$A:$A,0)))</f>
        <v/>
      </c>
      <c r="AE78" s="15">
        <f>IF($X78="","",INDEX(TARIFF_PROFILES!$K:$K,MATCH($X78,TARIFF_PROFILES!$A:$A,0)))</f>
        <v/>
      </c>
      <c r="AH78">
        <f>IF($AG78="","",SUMIFS(OPERATING_COEFFS!$C:$C,OPERATING_COEFFS!$A:$A,"DistanceClass",OPERATING_COEFFS!$B:$B,$AG78))</f>
        <v/>
      </c>
      <c r="AJ78">
        <f>IF($AI78="","",SUMIFS(OPERATING_COEFFS!$C:$C,OPERATING_COEFFS!$A:$A,"SeasonClass",OPERATING_COEFFS!$B:$B,$AI78))</f>
        <v/>
      </c>
      <c r="AL78">
        <f>IF($AK78="","",SUMIFS(OPERATING_COEFFS!$C:$C,OPERATING_COEFFS!$A:$A,"UrgencyClass",OPERATING_COEFFS!$B:$B,$AK78))</f>
        <v/>
      </c>
      <c r="AN78">
        <f>IF($AM78="","",INDEX(TAX_MODES!$B:$B,MATCH($AM78,TAX_MODES!$A:$A,0)))</f>
        <v/>
      </c>
    </row>
    <row r="79">
      <c r="A79" s="15" t="n"/>
      <c r="B79" s="15" t="n"/>
      <c r="C79" s="15" t="n"/>
      <c r="D79" s="23">
        <f>IF($C79="","",SUMIFS(SITE_COEFFS!$C:$C,SITE_COEFFS!$A:$A,"SoilWorkability",SITE_COEFFS!$B:$B,$C79))</f>
        <v/>
      </c>
      <c r="E79" s="15" t="n"/>
      <c r="F79" s="23">
        <f>IF($E79="","",SUMIFS(SITE_COEFFS!$C:$C,SITE_COEFFS!$A:$A,"SoilMoisture",SITE_COEFFS!$B:$B,$E79))</f>
        <v/>
      </c>
      <c r="G79" s="15" t="n"/>
      <c r="H79" s="23">
        <f>IF($G79="","",SUMIFS(SITE_COEFFS!$C:$C,SITE_COEFFS!$A:$A,"DebrisLevel",SITE_COEFFS!$B:$B,$G79))</f>
        <v/>
      </c>
      <c r="I79" s="15" t="n"/>
      <c r="J79" s="23">
        <f>IF($I79="","",SUMIFS(SITE_COEFFS!$C:$C,SITE_COEFFS!$A:$A,"SlopeClass",SITE_COEFFS!$B:$B,$I79))</f>
        <v/>
      </c>
      <c r="K79" s="15" t="n"/>
      <c r="L79" s="23">
        <f>IF($K79="","",SUMIFS(SITE_COEFFS!$C:$C,SITE_COEFFS!$A:$A,"SurfaceUnevenness",SITE_COEFFS!$B:$B,$K79))</f>
        <v/>
      </c>
      <c r="M79" s="15" t="n"/>
      <c r="N79" s="23">
        <f>IF($M79="","",SUMIFS(SITE_COEFFS!$C:$C,SITE_COEFFS!$A:$A,"AccessClass",SITE_COEFFS!$B:$B,$M79))</f>
        <v/>
      </c>
      <c r="O79" s="15" t="n"/>
      <c r="P79" s="23">
        <f>IF($O79="","",SUMIFS(SITE_COEFFS!$C:$C,SITE_COEFFS!$A:$A,"TurnSpace",SITE_COEFFS!$B:$B,$O79))</f>
        <v/>
      </c>
      <c r="Q79" s="15" t="n"/>
      <c r="R79" s="23">
        <f>IF($Q79="","",SUMIFS(SITE_COEFFS!$C:$C,SITE_COEFFS!$A:$A,"ProximityToBuildings",SITE_COEFFS!$B:$B,$Q79))</f>
        <v/>
      </c>
      <c r="S79" s="15" t="n"/>
      <c r="T79" s="23">
        <f>IF($S79="","",SUMIFS(SITE_COEFFS!$C:$C,SITE_COEFFS!$A:$A,"MachineryAllowed",SITE_COEFFS!$B:$B,$S79))</f>
        <v/>
      </c>
      <c r="U79" s="15" t="n"/>
      <c r="V79" s="15" t="n"/>
      <c r="W79" s="23">
        <f>IF($V79="","",SUMIFS(SITE_COEFFS!$C:$C,SITE_COEFFS!$A:$A,"GeometryComplexity",SITE_COEFFS!$B:$B,$V79))</f>
        <v/>
      </c>
      <c r="X79" s="15" t="n"/>
      <c r="Y79" s="15">
        <f>IF($X79="","",SUMIFS(TARIFF_PROFILES!$D:$D,TARIFF_PROFILES!$A:$A,$X79))</f>
        <v/>
      </c>
      <c r="Z79" s="15">
        <f>IF($X79="","",SUMIFS(TARIFF_PROFILES!$E:$E,TARIFF_PROFILES!$A:$A,$X79))</f>
        <v/>
      </c>
      <c r="AA79" s="15">
        <f>IF($X79="","",SUMIFS(TARIFF_PROFILES!$F:$F,TARIFF_PROFILES!$A:$A,$X79))</f>
        <v/>
      </c>
      <c r="AB79" s="15">
        <f>IF($X79="","",SUMIFS(TARIFF_PROFILES!$G:$G,TARIFF_PROFILES!$A:$A,$X79))</f>
        <v/>
      </c>
      <c r="AC79" s="15">
        <f>IF($X79="","",SUMIFS(TARIFF_PROFILES!$H:$H,TARIFF_PROFILES!$A:$A,$X79))</f>
        <v/>
      </c>
      <c r="AD79" s="15">
        <f>IF($X79="","",INDEX(TARIFF_PROFILES!$J:$J,MATCH($X79,TARIFF_PROFILES!$A:$A,0)))</f>
        <v/>
      </c>
      <c r="AE79" s="15">
        <f>IF($X79="","",INDEX(TARIFF_PROFILES!$K:$K,MATCH($X79,TARIFF_PROFILES!$A:$A,0)))</f>
        <v/>
      </c>
      <c r="AH79">
        <f>IF($AG79="","",SUMIFS(OPERATING_COEFFS!$C:$C,OPERATING_COEFFS!$A:$A,"DistanceClass",OPERATING_COEFFS!$B:$B,$AG79))</f>
        <v/>
      </c>
      <c r="AJ79">
        <f>IF($AI79="","",SUMIFS(OPERATING_COEFFS!$C:$C,OPERATING_COEFFS!$A:$A,"SeasonClass",OPERATING_COEFFS!$B:$B,$AI79))</f>
        <v/>
      </c>
      <c r="AL79">
        <f>IF($AK79="","",SUMIFS(OPERATING_COEFFS!$C:$C,OPERATING_COEFFS!$A:$A,"UrgencyClass",OPERATING_COEFFS!$B:$B,$AK79))</f>
        <v/>
      </c>
      <c r="AN79">
        <f>IF($AM79="","",INDEX(TAX_MODES!$B:$B,MATCH($AM79,TAX_MODES!$A:$A,0)))</f>
        <v/>
      </c>
    </row>
    <row r="80">
      <c r="A80" s="15" t="n"/>
      <c r="B80" s="15" t="n"/>
      <c r="C80" s="15" t="n"/>
      <c r="D80" s="23">
        <f>IF($C80="","",SUMIFS(SITE_COEFFS!$C:$C,SITE_COEFFS!$A:$A,"SoilWorkability",SITE_COEFFS!$B:$B,$C80))</f>
        <v/>
      </c>
      <c r="E80" s="15" t="n"/>
      <c r="F80" s="23">
        <f>IF($E80="","",SUMIFS(SITE_COEFFS!$C:$C,SITE_COEFFS!$A:$A,"SoilMoisture",SITE_COEFFS!$B:$B,$E80))</f>
        <v/>
      </c>
      <c r="G80" s="15" t="n"/>
      <c r="H80" s="23">
        <f>IF($G80="","",SUMIFS(SITE_COEFFS!$C:$C,SITE_COEFFS!$A:$A,"DebrisLevel",SITE_COEFFS!$B:$B,$G80))</f>
        <v/>
      </c>
      <c r="I80" s="15" t="n"/>
      <c r="J80" s="23">
        <f>IF($I80="","",SUMIFS(SITE_COEFFS!$C:$C,SITE_COEFFS!$A:$A,"SlopeClass",SITE_COEFFS!$B:$B,$I80))</f>
        <v/>
      </c>
      <c r="K80" s="15" t="n"/>
      <c r="L80" s="23">
        <f>IF($K80="","",SUMIFS(SITE_COEFFS!$C:$C,SITE_COEFFS!$A:$A,"SurfaceUnevenness",SITE_COEFFS!$B:$B,$K80))</f>
        <v/>
      </c>
      <c r="M80" s="15" t="n"/>
      <c r="N80" s="23">
        <f>IF($M80="","",SUMIFS(SITE_COEFFS!$C:$C,SITE_COEFFS!$A:$A,"AccessClass",SITE_COEFFS!$B:$B,$M80))</f>
        <v/>
      </c>
      <c r="O80" s="15" t="n"/>
      <c r="P80" s="23">
        <f>IF($O80="","",SUMIFS(SITE_COEFFS!$C:$C,SITE_COEFFS!$A:$A,"TurnSpace",SITE_COEFFS!$B:$B,$O80))</f>
        <v/>
      </c>
      <c r="Q80" s="15" t="n"/>
      <c r="R80" s="23">
        <f>IF($Q80="","",SUMIFS(SITE_COEFFS!$C:$C,SITE_COEFFS!$A:$A,"ProximityToBuildings",SITE_COEFFS!$B:$B,$Q80))</f>
        <v/>
      </c>
      <c r="S80" s="15" t="n"/>
      <c r="T80" s="23">
        <f>IF($S80="","",SUMIFS(SITE_COEFFS!$C:$C,SITE_COEFFS!$A:$A,"MachineryAllowed",SITE_COEFFS!$B:$B,$S80))</f>
        <v/>
      </c>
      <c r="U80" s="15" t="n"/>
      <c r="V80" s="15" t="n"/>
      <c r="W80" s="23">
        <f>IF($V80="","",SUMIFS(SITE_COEFFS!$C:$C,SITE_COEFFS!$A:$A,"GeometryComplexity",SITE_COEFFS!$B:$B,$V80))</f>
        <v/>
      </c>
      <c r="X80" s="15" t="n"/>
      <c r="Y80" s="15">
        <f>IF($X80="","",SUMIFS(TARIFF_PROFILES!$D:$D,TARIFF_PROFILES!$A:$A,$X80))</f>
        <v/>
      </c>
      <c r="Z80" s="15">
        <f>IF($X80="","",SUMIFS(TARIFF_PROFILES!$E:$E,TARIFF_PROFILES!$A:$A,$X80))</f>
        <v/>
      </c>
      <c r="AA80" s="15">
        <f>IF($X80="","",SUMIFS(TARIFF_PROFILES!$F:$F,TARIFF_PROFILES!$A:$A,$X80))</f>
        <v/>
      </c>
      <c r="AB80" s="15">
        <f>IF($X80="","",SUMIFS(TARIFF_PROFILES!$G:$G,TARIFF_PROFILES!$A:$A,$X80))</f>
        <v/>
      </c>
      <c r="AC80" s="15">
        <f>IF($X80="","",SUMIFS(TARIFF_PROFILES!$H:$H,TARIFF_PROFILES!$A:$A,$X80))</f>
        <v/>
      </c>
      <c r="AD80" s="15">
        <f>IF($X80="","",INDEX(TARIFF_PROFILES!$J:$J,MATCH($X80,TARIFF_PROFILES!$A:$A,0)))</f>
        <v/>
      </c>
      <c r="AE80" s="15">
        <f>IF($X80="","",INDEX(TARIFF_PROFILES!$K:$K,MATCH($X80,TARIFF_PROFILES!$A:$A,0)))</f>
        <v/>
      </c>
      <c r="AH80">
        <f>IF($AG80="","",SUMIFS(OPERATING_COEFFS!$C:$C,OPERATING_COEFFS!$A:$A,"DistanceClass",OPERATING_COEFFS!$B:$B,$AG80))</f>
        <v/>
      </c>
      <c r="AJ80">
        <f>IF($AI80="","",SUMIFS(OPERATING_COEFFS!$C:$C,OPERATING_COEFFS!$A:$A,"SeasonClass",OPERATING_COEFFS!$B:$B,$AI80))</f>
        <v/>
      </c>
      <c r="AL80">
        <f>IF($AK80="","",SUMIFS(OPERATING_COEFFS!$C:$C,OPERATING_COEFFS!$A:$A,"UrgencyClass",OPERATING_COEFFS!$B:$B,$AK80))</f>
        <v/>
      </c>
      <c r="AN80">
        <f>IF($AM80="","",INDEX(TAX_MODES!$B:$B,MATCH($AM80,TAX_MODES!$A:$A,0)))</f>
        <v/>
      </c>
    </row>
    <row r="81">
      <c r="A81" s="15" t="n"/>
      <c r="B81" s="15" t="n"/>
      <c r="C81" s="15" t="n"/>
      <c r="D81" s="23">
        <f>IF($C81="","",SUMIFS(SITE_COEFFS!$C:$C,SITE_COEFFS!$A:$A,"SoilWorkability",SITE_COEFFS!$B:$B,$C81))</f>
        <v/>
      </c>
      <c r="E81" s="15" t="n"/>
      <c r="F81" s="23">
        <f>IF($E81="","",SUMIFS(SITE_COEFFS!$C:$C,SITE_COEFFS!$A:$A,"SoilMoisture",SITE_COEFFS!$B:$B,$E81))</f>
        <v/>
      </c>
      <c r="G81" s="15" t="n"/>
      <c r="H81" s="23">
        <f>IF($G81="","",SUMIFS(SITE_COEFFS!$C:$C,SITE_COEFFS!$A:$A,"DebrisLevel",SITE_COEFFS!$B:$B,$G81))</f>
        <v/>
      </c>
      <c r="I81" s="15" t="n"/>
      <c r="J81" s="23">
        <f>IF($I81="","",SUMIFS(SITE_COEFFS!$C:$C,SITE_COEFFS!$A:$A,"SlopeClass",SITE_COEFFS!$B:$B,$I81))</f>
        <v/>
      </c>
      <c r="K81" s="15" t="n"/>
      <c r="L81" s="23">
        <f>IF($K81="","",SUMIFS(SITE_COEFFS!$C:$C,SITE_COEFFS!$A:$A,"SurfaceUnevenness",SITE_COEFFS!$B:$B,$K81))</f>
        <v/>
      </c>
      <c r="M81" s="15" t="n"/>
      <c r="N81" s="23">
        <f>IF($M81="","",SUMIFS(SITE_COEFFS!$C:$C,SITE_COEFFS!$A:$A,"AccessClass",SITE_COEFFS!$B:$B,$M81))</f>
        <v/>
      </c>
      <c r="O81" s="15" t="n"/>
      <c r="P81" s="23">
        <f>IF($O81="","",SUMIFS(SITE_COEFFS!$C:$C,SITE_COEFFS!$A:$A,"TurnSpace",SITE_COEFFS!$B:$B,$O81))</f>
        <v/>
      </c>
      <c r="Q81" s="15" t="n"/>
      <c r="R81" s="23">
        <f>IF($Q81="","",SUMIFS(SITE_COEFFS!$C:$C,SITE_COEFFS!$A:$A,"ProximityToBuildings",SITE_COEFFS!$B:$B,$Q81))</f>
        <v/>
      </c>
      <c r="S81" s="15" t="n"/>
      <c r="T81" s="23">
        <f>IF($S81="","",SUMIFS(SITE_COEFFS!$C:$C,SITE_COEFFS!$A:$A,"MachineryAllowed",SITE_COEFFS!$B:$B,$S81))</f>
        <v/>
      </c>
      <c r="U81" s="15" t="n"/>
      <c r="V81" s="15" t="n"/>
      <c r="W81" s="23">
        <f>IF($V81="","",SUMIFS(SITE_COEFFS!$C:$C,SITE_COEFFS!$A:$A,"GeometryComplexity",SITE_COEFFS!$B:$B,$V81))</f>
        <v/>
      </c>
      <c r="X81" s="15" t="n"/>
      <c r="Y81" s="15">
        <f>IF($X81="","",SUMIFS(TARIFF_PROFILES!$D:$D,TARIFF_PROFILES!$A:$A,$X81))</f>
        <v/>
      </c>
      <c r="Z81" s="15">
        <f>IF($X81="","",SUMIFS(TARIFF_PROFILES!$E:$E,TARIFF_PROFILES!$A:$A,$X81))</f>
        <v/>
      </c>
      <c r="AA81" s="15">
        <f>IF($X81="","",SUMIFS(TARIFF_PROFILES!$F:$F,TARIFF_PROFILES!$A:$A,$X81))</f>
        <v/>
      </c>
      <c r="AB81" s="15">
        <f>IF($X81="","",SUMIFS(TARIFF_PROFILES!$G:$G,TARIFF_PROFILES!$A:$A,$X81))</f>
        <v/>
      </c>
      <c r="AC81" s="15">
        <f>IF($X81="","",SUMIFS(TARIFF_PROFILES!$H:$H,TARIFF_PROFILES!$A:$A,$X81))</f>
        <v/>
      </c>
      <c r="AD81" s="15">
        <f>IF($X81="","",INDEX(TARIFF_PROFILES!$J:$J,MATCH($X81,TARIFF_PROFILES!$A:$A,0)))</f>
        <v/>
      </c>
      <c r="AE81" s="15">
        <f>IF($X81="","",INDEX(TARIFF_PROFILES!$K:$K,MATCH($X81,TARIFF_PROFILES!$A:$A,0)))</f>
        <v/>
      </c>
      <c r="AH81">
        <f>IF($AG81="","",SUMIFS(OPERATING_COEFFS!$C:$C,OPERATING_COEFFS!$A:$A,"DistanceClass",OPERATING_COEFFS!$B:$B,$AG81))</f>
        <v/>
      </c>
      <c r="AJ81">
        <f>IF($AI81="","",SUMIFS(OPERATING_COEFFS!$C:$C,OPERATING_COEFFS!$A:$A,"SeasonClass",OPERATING_COEFFS!$B:$B,$AI81))</f>
        <v/>
      </c>
      <c r="AL81">
        <f>IF($AK81="","",SUMIFS(OPERATING_COEFFS!$C:$C,OPERATING_COEFFS!$A:$A,"UrgencyClass",OPERATING_COEFFS!$B:$B,$AK81))</f>
        <v/>
      </c>
      <c r="AN81">
        <f>IF($AM81="","",INDEX(TAX_MODES!$B:$B,MATCH($AM81,TAX_MODES!$A:$A,0)))</f>
        <v/>
      </c>
    </row>
    <row r="82">
      <c r="A82" s="15" t="n"/>
      <c r="B82" s="15" t="n"/>
      <c r="C82" s="15" t="n"/>
      <c r="D82" s="23">
        <f>IF($C82="","",SUMIFS(SITE_COEFFS!$C:$C,SITE_COEFFS!$A:$A,"SoilWorkability",SITE_COEFFS!$B:$B,$C82))</f>
        <v/>
      </c>
      <c r="E82" s="15" t="n"/>
      <c r="F82" s="23">
        <f>IF($E82="","",SUMIFS(SITE_COEFFS!$C:$C,SITE_COEFFS!$A:$A,"SoilMoisture",SITE_COEFFS!$B:$B,$E82))</f>
        <v/>
      </c>
      <c r="G82" s="15" t="n"/>
      <c r="H82" s="23">
        <f>IF($G82="","",SUMIFS(SITE_COEFFS!$C:$C,SITE_COEFFS!$A:$A,"DebrisLevel",SITE_COEFFS!$B:$B,$G82))</f>
        <v/>
      </c>
      <c r="I82" s="15" t="n"/>
      <c r="J82" s="23">
        <f>IF($I82="","",SUMIFS(SITE_COEFFS!$C:$C,SITE_COEFFS!$A:$A,"SlopeClass",SITE_COEFFS!$B:$B,$I82))</f>
        <v/>
      </c>
      <c r="K82" s="15" t="n"/>
      <c r="L82" s="23">
        <f>IF($K82="","",SUMIFS(SITE_COEFFS!$C:$C,SITE_COEFFS!$A:$A,"SurfaceUnevenness",SITE_COEFFS!$B:$B,$K82))</f>
        <v/>
      </c>
      <c r="M82" s="15" t="n"/>
      <c r="N82" s="23">
        <f>IF($M82="","",SUMIFS(SITE_COEFFS!$C:$C,SITE_COEFFS!$A:$A,"AccessClass",SITE_COEFFS!$B:$B,$M82))</f>
        <v/>
      </c>
      <c r="O82" s="15" t="n"/>
      <c r="P82" s="23">
        <f>IF($O82="","",SUMIFS(SITE_COEFFS!$C:$C,SITE_COEFFS!$A:$A,"TurnSpace",SITE_COEFFS!$B:$B,$O82))</f>
        <v/>
      </c>
      <c r="Q82" s="15" t="n"/>
      <c r="R82" s="23">
        <f>IF($Q82="","",SUMIFS(SITE_COEFFS!$C:$C,SITE_COEFFS!$A:$A,"ProximityToBuildings",SITE_COEFFS!$B:$B,$Q82))</f>
        <v/>
      </c>
      <c r="S82" s="15" t="n"/>
      <c r="T82" s="23">
        <f>IF($S82="","",SUMIFS(SITE_COEFFS!$C:$C,SITE_COEFFS!$A:$A,"MachineryAllowed",SITE_COEFFS!$B:$B,$S82))</f>
        <v/>
      </c>
      <c r="U82" s="15" t="n"/>
      <c r="V82" s="15" t="n"/>
      <c r="W82" s="23">
        <f>IF($V82="","",SUMIFS(SITE_COEFFS!$C:$C,SITE_COEFFS!$A:$A,"GeometryComplexity",SITE_COEFFS!$B:$B,$V82))</f>
        <v/>
      </c>
      <c r="X82" s="15" t="n"/>
      <c r="Y82" s="15">
        <f>IF($X82="","",SUMIFS(TARIFF_PROFILES!$D:$D,TARIFF_PROFILES!$A:$A,$X82))</f>
        <v/>
      </c>
      <c r="Z82" s="15">
        <f>IF($X82="","",SUMIFS(TARIFF_PROFILES!$E:$E,TARIFF_PROFILES!$A:$A,$X82))</f>
        <v/>
      </c>
      <c r="AA82" s="15">
        <f>IF($X82="","",SUMIFS(TARIFF_PROFILES!$F:$F,TARIFF_PROFILES!$A:$A,$X82))</f>
        <v/>
      </c>
      <c r="AB82" s="15">
        <f>IF($X82="","",SUMIFS(TARIFF_PROFILES!$G:$G,TARIFF_PROFILES!$A:$A,$X82))</f>
        <v/>
      </c>
      <c r="AC82" s="15">
        <f>IF($X82="","",SUMIFS(TARIFF_PROFILES!$H:$H,TARIFF_PROFILES!$A:$A,$X82))</f>
        <v/>
      </c>
      <c r="AD82" s="15">
        <f>IF($X82="","",INDEX(TARIFF_PROFILES!$J:$J,MATCH($X82,TARIFF_PROFILES!$A:$A,0)))</f>
        <v/>
      </c>
      <c r="AE82" s="15">
        <f>IF($X82="","",INDEX(TARIFF_PROFILES!$K:$K,MATCH($X82,TARIFF_PROFILES!$A:$A,0)))</f>
        <v/>
      </c>
      <c r="AH82">
        <f>IF($AG82="","",SUMIFS(OPERATING_COEFFS!$C:$C,OPERATING_COEFFS!$A:$A,"DistanceClass",OPERATING_COEFFS!$B:$B,$AG82))</f>
        <v/>
      </c>
      <c r="AJ82">
        <f>IF($AI82="","",SUMIFS(OPERATING_COEFFS!$C:$C,OPERATING_COEFFS!$A:$A,"SeasonClass",OPERATING_COEFFS!$B:$B,$AI82))</f>
        <v/>
      </c>
      <c r="AL82">
        <f>IF($AK82="","",SUMIFS(OPERATING_COEFFS!$C:$C,OPERATING_COEFFS!$A:$A,"UrgencyClass",OPERATING_COEFFS!$B:$B,$AK82))</f>
        <v/>
      </c>
      <c r="AN82">
        <f>IF($AM82="","",INDEX(TAX_MODES!$B:$B,MATCH($AM82,TAX_MODES!$A:$A,0)))</f>
        <v/>
      </c>
    </row>
    <row r="83">
      <c r="A83" s="15" t="n"/>
      <c r="B83" s="15" t="n"/>
      <c r="C83" s="15" t="n"/>
      <c r="D83" s="23">
        <f>IF($C83="","",SUMIFS(SITE_COEFFS!$C:$C,SITE_COEFFS!$A:$A,"SoilWorkability",SITE_COEFFS!$B:$B,$C83))</f>
        <v/>
      </c>
      <c r="E83" s="15" t="n"/>
      <c r="F83" s="23">
        <f>IF($E83="","",SUMIFS(SITE_COEFFS!$C:$C,SITE_COEFFS!$A:$A,"SoilMoisture",SITE_COEFFS!$B:$B,$E83))</f>
        <v/>
      </c>
      <c r="G83" s="15" t="n"/>
      <c r="H83" s="23">
        <f>IF($G83="","",SUMIFS(SITE_COEFFS!$C:$C,SITE_COEFFS!$A:$A,"DebrisLevel",SITE_COEFFS!$B:$B,$G83))</f>
        <v/>
      </c>
      <c r="I83" s="15" t="n"/>
      <c r="J83" s="23">
        <f>IF($I83="","",SUMIFS(SITE_COEFFS!$C:$C,SITE_COEFFS!$A:$A,"SlopeClass",SITE_COEFFS!$B:$B,$I83))</f>
        <v/>
      </c>
      <c r="K83" s="15" t="n"/>
      <c r="L83" s="23">
        <f>IF($K83="","",SUMIFS(SITE_COEFFS!$C:$C,SITE_COEFFS!$A:$A,"SurfaceUnevenness",SITE_COEFFS!$B:$B,$K83))</f>
        <v/>
      </c>
      <c r="M83" s="15" t="n"/>
      <c r="N83" s="23">
        <f>IF($M83="","",SUMIFS(SITE_COEFFS!$C:$C,SITE_COEFFS!$A:$A,"AccessClass",SITE_COEFFS!$B:$B,$M83))</f>
        <v/>
      </c>
      <c r="O83" s="15" t="n"/>
      <c r="P83" s="23">
        <f>IF($O83="","",SUMIFS(SITE_COEFFS!$C:$C,SITE_COEFFS!$A:$A,"TurnSpace",SITE_COEFFS!$B:$B,$O83))</f>
        <v/>
      </c>
      <c r="Q83" s="15" t="n"/>
      <c r="R83" s="23">
        <f>IF($Q83="","",SUMIFS(SITE_COEFFS!$C:$C,SITE_COEFFS!$A:$A,"ProximityToBuildings",SITE_COEFFS!$B:$B,$Q83))</f>
        <v/>
      </c>
      <c r="S83" s="15" t="n"/>
      <c r="T83" s="23">
        <f>IF($S83="","",SUMIFS(SITE_COEFFS!$C:$C,SITE_COEFFS!$A:$A,"MachineryAllowed",SITE_COEFFS!$B:$B,$S83))</f>
        <v/>
      </c>
      <c r="U83" s="15" t="n"/>
      <c r="V83" s="15" t="n"/>
      <c r="W83" s="23">
        <f>IF($V83="","",SUMIFS(SITE_COEFFS!$C:$C,SITE_COEFFS!$A:$A,"GeometryComplexity",SITE_COEFFS!$B:$B,$V83))</f>
        <v/>
      </c>
      <c r="X83" s="15" t="n"/>
      <c r="Y83" s="15">
        <f>IF($X83="","",SUMIFS(TARIFF_PROFILES!$D:$D,TARIFF_PROFILES!$A:$A,$X83))</f>
        <v/>
      </c>
      <c r="Z83" s="15">
        <f>IF($X83="","",SUMIFS(TARIFF_PROFILES!$E:$E,TARIFF_PROFILES!$A:$A,$X83))</f>
        <v/>
      </c>
      <c r="AA83" s="15">
        <f>IF($X83="","",SUMIFS(TARIFF_PROFILES!$F:$F,TARIFF_PROFILES!$A:$A,$X83))</f>
        <v/>
      </c>
      <c r="AB83" s="15">
        <f>IF($X83="","",SUMIFS(TARIFF_PROFILES!$G:$G,TARIFF_PROFILES!$A:$A,$X83))</f>
        <v/>
      </c>
      <c r="AC83" s="15">
        <f>IF($X83="","",SUMIFS(TARIFF_PROFILES!$H:$H,TARIFF_PROFILES!$A:$A,$X83))</f>
        <v/>
      </c>
      <c r="AD83" s="15">
        <f>IF($X83="","",INDEX(TARIFF_PROFILES!$J:$J,MATCH($X83,TARIFF_PROFILES!$A:$A,0)))</f>
        <v/>
      </c>
      <c r="AE83" s="15">
        <f>IF($X83="","",INDEX(TARIFF_PROFILES!$K:$K,MATCH($X83,TARIFF_PROFILES!$A:$A,0)))</f>
        <v/>
      </c>
      <c r="AH83">
        <f>IF($AG83="","",SUMIFS(OPERATING_COEFFS!$C:$C,OPERATING_COEFFS!$A:$A,"DistanceClass",OPERATING_COEFFS!$B:$B,$AG83))</f>
        <v/>
      </c>
      <c r="AJ83">
        <f>IF($AI83="","",SUMIFS(OPERATING_COEFFS!$C:$C,OPERATING_COEFFS!$A:$A,"SeasonClass",OPERATING_COEFFS!$B:$B,$AI83))</f>
        <v/>
      </c>
      <c r="AL83">
        <f>IF($AK83="","",SUMIFS(OPERATING_COEFFS!$C:$C,OPERATING_COEFFS!$A:$A,"UrgencyClass",OPERATING_COEFFS!$B:$B,$AK83))</f>
        <v/>
      </c>
      <c r="AN83">
        <f>IF($AM83="","",INDEX(TAX_MODES!$B:$B,MATCH($AM83,TAX_MODES!$A:$A,0)))</f>
        <v/>
      </c>
    </row>
    <row r="84">
      <c r="A84" s="15" t="n"/>
      <c r="B84" s="15" t="n"/>
      <c r="C84" s="15" t="n"/>
      <c r="D84" s="23">
        <f>IF($C84="","",SUMIFS(SITE_COEFFS!$C:$C,SITE_COEFFS!$A:$A,"SoilWorkability",SITE_COEFFS!$B:$B,$C84))</f>
        <v/>
      </c>
      <c r="E84" s="15" t="n"/>
      <c r="F84" s="23">
        <f>IF($E84="","",SUMIFS(SITE_COEFFS!$C:$C,SITE_COEFFS!$A:$A,"SoilMoisture",SITE_COEFFS!$B:$B,$E84))</f>
        <v/>
      </c>
      <c r="G84" s="15" t="n"/>
      <c r="H84" s="23">
        <f>IF($G84="","",SUMIFS(SITE_COEFFS!$C:$C,SITE_COEFFS!$A:$A,"DebrisLevel",SITE_COEFFS!$B:$B,$G84))</f>
        <v/>
      </c>
      <c r="I84" s="15" t="n"/>
      <c r="J84" s="23">
        <f>IF($I84="","",SUMIFS(SITE_COEFFS!$C:$C,SITE_COEFFS!$A:$A,"SlopeClass",SITE_COEFFS!$B:$B,$I84))</f>
        <v/>
      </c>
      <c r="K84" s="15" t="n"/>
      <c r="L84" s="23">
        <f>IF($K84="","",SUMIFS(SITE_COEFFS!$C:$C,SITE_COEFFS!$A:$A,"SurfaceUnevenness",SITE_COEFFS!$B:$B,$K84))</f>
        <v/>
      </c>
      <c r="M84" s="15" t="n"/>
      <c r="N84" s="23">
        <f>IF($M84="","",SUMIFS(SITE_COEFFS!$C:$C,SITE_COEFFS!$A:$A,"AccessClass",SITE_COEFFS!$B:$B,$M84))</f>
        <v/>
      </c>
      <c r="O84" s="15" t="n"/>
      <c r="P84" s="23">
        <f>IF($O84="","",SUMIFS(SITE_COEFFS!$C:$C,SITE_COEFFS!$A:$A,"TurnSpace",SITE_COEFFS!$B:$B,$O84))</f>
        <v/>
      </c>
      <c r="Q84" s="15" t="n"/>
      <c r="R84" s="23">
        <f>IF($Q84="","",SUMIFS(SITE_COEFFS!$C:$C,SITE_COEFFS!$A:$A,"ProximityToBuildings",SITE_COEFFS!$B:$B,$Q84))</f>
        <v/>
      </c>
      <c r="S84" s="15" t="n"/>
      <c r="T84" s="23">
        <f>IF($S84="","",SUMIFS(SITE_COEFFS!$C:$C,SITE_COEFFS!$A:$A,"MachineryAllowed",SITE_COEFFS!$B:$B,$S84))</f>
        <v/>
      </c>
      <c r="U84" s="15" t="n"/>
      <c r="V84" s="15" t="n"/>
      <c r="W84" s="23">
        <f>IF($V84="","",SUMIFS(SITE_COEFFS!$C:$C,SITE_COEFFS!$A:$A,"GeometryComplexity",SITE_COEFFS!$B:$B,$V84))</f>
        <v/>
      </c>
      <c r="X84" s="15" t="n"/>
      <c r="Y84" s="15">
        <f>IF($X84="","",SUMIFS(TARIFF_PROFILES!$D:$D,TARIFF_PROFILES!$A:$A,$X84))</f>
        <v/>
      </c>
      <c r="Z84" s="15">
        <f>IF($X84="","",SUMIFS(TARIFF_PROFILES!$E:$E,TARIFF_PROFILES!$A:$A,$X84))</f>
        <v/>
      </c>
      <c r="AA84" s="15">
        <f>IF($X84="","",SUMIFS(TARIFF_PROFILES!$F:$F,TARIFF_PROFILES!$A:$A,$X84))</f>
        <v/>
      </c>
      <c r="AB84" s="15">
        <f>IF($X84="","",SUMIFS(TARIFF_PROFILES!$G:$G,TARIFF_PROFILES!$A:$A,$X84))</f>
        <v/>
      </c>
      <c r="AC84" s="15">
        <f>IF($X84="","",SUMIFS(TARIFF_PROFILES!$H:$H,TARIFF_PROFILES!$A:$A,$X84))</f>
        <v/>
      </c>
      <c r="AD84" s="15">
        <f>IF($X84="","",INDEX(TARIFF_PROFILES!$J:$J,MATCH($X84,TARIFF_PROFILES!$A:$A,0)))</f>
        <v/>
      </c>
      <c r="AE84" s="15">
        <f>IF($X84="","",INDEX(TARIFF_PROFILES!$K:$K,MATCH($X84,TARIFF_PROFILES!$A:$A,0)))</f>
        <v/>
      </c>
      <c r="AH84">
        <f>IF($AG84="","",SUMIFS(OPERATING_COEFFS!$C:$C,OPERATING_COEFFS!$A:$A,"DistanceClass",OPERATING_COEFFS!$B:$B,$AG84))</f>
        <v/>
      </c>
      <c r="AJ84">
        <f>IF($AI84="","",SUMIFS(OPERATING_COEFFS!$C:$C,OPERATING_COEFFS!$A:$A,"SeasonClass",OPERATING_COEFFS!$B:$B,$AI84))</f>
        <v/>
      </c>
      <c r="AL84">
        <f>IF($AK84="","",SUMIFS(OPERATING_COEFFS!$C:$C,OPERATING_COEFFS!$A:$A,"UrgencyClass",OPERATING_COEFFS!$B:$B,$AK84))</f>
        <v/>
      </c>
      <c r="AN84">
        <f>IF($AM84="","",INDEX(TAX_MODES!$B:$B,MATCH($AM84,TAX_MODES!$A:$A,0)))</f>
        <v/>
      </c>
    </row>
    <row r="85">
      <c r="A85" s="15" t="n"/>
      <c r="B85" s="15" t="n"/>
      <c r="C85" s="15" t="n"/>
      <c r="D85" s="23">
        <f>IF($C85="","",SUMIFS(SITE_COEFFS!$C:$C,SITE_COEFFS!$A:$A,"SoilWorkability",SITE_COEFFS!$B:$B,$C85))</f>
        <v/>
      </c>
      <c r="E85" s="15" t="n"/>
      <c r="F85" s="23">
        <f>IF($E85="","",SUMIFS(SITE_COEFFS!$C:$C,SITE_COEFFS!$A:$A,"SoilMoisture",SITE_COEFFS!$B:$B,$E85))</f>
        <v/>
      </c>
      <c r="G85" s="15" t="n"/>
      <c r="H85" s="23">
        <f>IF($G85="","",SUMIFS(SITE_COEFFS!$C:$C,SITE_COEFFS!$A:$A,"DebrisLevel",SITE_COEFFS!$B:$B,$G85))</f>
        <v/>
      </c>
      <c r="I85" s="15" t="n"/>
      <c r="J85" s="23">
        <f>IF($I85="","",SUMIFS(SITE_COEFFS!$C:$C,SITE_COEFFS!$A:$A,"SlopeClass",SITE_COEFFS!$B:$B,$I85))</f>
        <v/>
      </c>
      <c r="K85" s="15" t="n"/>
      <c r="L85" s="23">
        <f>IF($K85="","",SUMIFS(SITE_COEFFS!$C:$C,SITE_COEFFS!$A:$A,"SurfaceUnevenness",SITE_COEFFS!$B:$B,$K85))</f>
        <v/>
      </c>
      <c r="M85" s="15" t="n"/>
      <c r="N85" s="23">
        <f>IF($M85="","",SUMIFS(SITE_COEFFS!$C:$C,SITE_COEFFS!$A:$A,"AccessClass",SITE_COEFFS!$B:$B,$M85))</f>
        <v/>
      </c>
      <c r="O85" s="15" t="n"/>
      <c r="P85" s="23">
        <f>IF($O85="","",SUMIFS(SITE_COEFFS!$C:$C,SITE_COEFFS!$A:$A,"TurnSpace",SITE_COEFFS!$B:$B,$O85))</f>
        <v/>
      </c>
      <c r="Q85" s="15" t="n"/>
      <c r="R85" s="23">
        <f>IF($Q85="","",SUMIFS(SITE_COEFFS!$C:$C,SITE_COEFFS!$A:$A,"ProximityToBuildings",SITE_COEFFS!$B:$B,$Q85))</f>
        <v/>
      </c>
      <c r="S85" s="15" t="n"/>
      <c r="T85" s="23">
        <f>IF($S85="","",SUMIFS(SITE_COEFFS!$C:$C,SITE_COEFFS!$A:$A,"MachineryAllowed",SITE_COEFFS!$B:$B,$S85))</f>
        <v/>
      </c>
      <c r="U85" s="15" t="n"/>
      <c r="V85" s="15" t="n"/>
      <c r="W85" s="23">
        <f>IF($V85="","",SUMIFS(SITE_COEFFS!$C:$C,SITE_COEFFS!$A:$A,"GeometryComplexity",SITE_COEFFS!$B:$B,$V85))</f>
        <v/>
      </c>
      <c r="X85" s="15" t="n"/>
      <c r="Y85" s="15">
        <f>IF($X85="","",SUMIFS(TARIFF_PROFILES!$D:$D,TARIFF_PROFILES!$A:$A,$X85))</f>
        <v/>
      </c>
      <c r="Z85" s="15">
        <f>IF($X85="","",SUMIFS(TARIFF_PROFILES!$E:$E,TARIFF_PROFILES!$A:$A,$X85))</f>
        <v/>
      </c>
      <c r="AA85" s="15">
        <f>IF($X85="","",SUMIFS(TARIFF_PROFILES!$F:$F,TARIFF_PROFILES!$A:$A,$X85))</f>
        <v/>
      </c>
      <c r="AB85" s="15">
        <f>IF($X85="","",SUMIFS(TARIFF_PROFILES!$G:$G,TARIFF_PROFILES!$A:$A,$X85))</f>
        <v/>
      </c>
      <c r="AC85" s="15">
        <f>IF($X85="","",SUMIFS(TARIFF_PROFILES!$H:$H,TARIFF_PROFILES!$A:$A,$X85))</f>
        <v/>
      </c>
      <c r="AD85" s="15">
        <f>IF($X85="","",INDEX(TARIFF_PROFILES!$J:$J,MATCH($X85,TARIFF_PROFILES!$A:$A,0)))</f>
        <v/>
      </c>
      <c r="AE85" s="15">
        <f>IF($X85="","",INDEX(TARIFF_PROFILES!$K:$K,MATCH($X85,TARIFF_PROFILES!$A:$A,0)))</f>
        <v/>
      </c>
      <c r="AH85">
        <f>IF($AG85="","",SUMIFS(OPERATING_COEFFS!$C:$C,OPERATING_COEFFS!$A:$A,"DistanceClass",OPERATING_COEFFS!$B:$B,$AG85))</f>
        <v/>
      </c>
      <c r="AJ85">
        <f>IF($AI85="","",SUMIFS(OPERATING_COEFFS!$C:$C,OPERATING_COEFFS!$A:$A,"SeasonClass",OPERATING_COEFFS!$B:$B,$AI85))</f>
        <v/>
      </c>
      <c r="AL85">
        <f>IF($AK85="","",SUMIFS(OPERATING_COEFFS!$C:$C,OPERATING_COEFFS!$A:$A,"UrgencyClass",OPERATING_COEFFS!$B:$B,$AK85))</f>
        <v/>
      </c>
      <c r="AN85">
        <f>IF($AM85="","",INDEX(TAX_MODES!$B:$B,MATCH($AM85,TAX_MODES!$A:$A,0)))</f>
        <v/>
      </c>
    </row>
    <row r="86">
      <c r="A86" s="15" t="n"/>
      <c r="B86" s="15" t="n"/>
      <c r="C86" s="15" t="n"/>
      <c r="D86" s="23">
        <f>IF($C86="","",SUMIFS(SITE_COEFFS!$C:$C,SITE_COEFFS!$A:$A,"SoilWorkability",SITE_COEFFS!$B:$B,$C86))</f>
        <v/>
      </c>
      <c r="E86" s="15" t="n"/>
      <c r="F86" s="23">
        <f>IF($E86="","",SUMIFS(SITE_COEFFS!$C:$C,SITE_COEFFS!$A:$A,"SoilMoisture",SITE_COEFFS!$B:$B,$E86))</f>
        <v/>
      </c>
      <c r="G86" s="15" t="n"/>
      <c r="H86" s="23">
        <f>IF($G86="","",SUMIFS(SITE_COEFFS!$C:$C,SITE_COEFFS!$A:$A,"DebrisLevel",SITE_COEFFS!$B:$B,$G86))</f>
        <v/>
      </c>
      <c r="I86" s="15" t="n"/>
      <c r="J86" s="23">
        <f>IF($I86="","",SUMIFS(SITE_COEFFS!$C:$C,SITE_COEFFS!$A:$A,"SlopeClass",SITE_COEFFS!$B:$B,$I86))</f>
        <v/>
      </c>
      <c r="K86" s="15" t="n"/>
      <c r="L86" s="23">
        <f>IF($K86="","",SUMIFS(SITE_COEFFS!$C:$C,SITE_COEFFS!$A:$A,"SurfaceUnevenness",SITE_COEFFS!$B:$B,$K86))</f>
        <v/>
      </c>
      <c r="M86" s="15" t="n"/>
      <c r="N86" s="23">
        <f>IF($M86="","",SUMIFS(SITE_COEFFS!$C:$C,SITE_COEFFS!$A:$A,"AccessClass",SITE_COEFFS!$B:$B,$M86))</f>
        <v/>
      </c>
      <c r="O86" s="15" t="n"/>
      <c r="P86" s="23">
        <f>IF($O86="","",SUMIFS(SITE_COEFFS!$C:$C,SITE_COEFFS!$A:$A,"TurnSpace",SITE_COEFFS!$B:$B,$O86))</f>
        <v/>
      </c>
      <c r="Q86" s="15" t="n"/>
      <c r="R86" s="23">
        <f>IF($Q86="","",SUMIFS(SITE_COEFFS!$C:$C,SITE_COEFFS!$A:$A,"ProximityToBuildings",SITE_COEFFS!$B:$B,$Q86))</f>
        <v/>
      </c>
      <c r="S86" s="15" t="n"/>
      <c r="T86" s="23">
        <f>IF($S86="","",SUMIFS(SITE_COEFFS!$C:$C,SITE_COEFFS!$A:$A,"MachineryAllowed",SITE_COEFFS!$B:$B,$S86))</f>
        <v/>
      </c>
      <c r="U86" s="15" t="n"/>
      <c r="V86" s="15" t="n"/>
      <c r="W86" s="23">
        <f>IF($V86="","",SUMIFS(SITE_COEFFS!$C:$C,SITE_COEFFS!$A:$A,"GeometryComplexity",SITE_COEFFS!$B:$B,$V86))</f>
        <v/>
      </c>
      <c r="X86" s="15" t="n"/>
      <c r="Y86" s="15">
        <f>IF($X86="","",SUMIFS(TARIFF_PROFILES!$D:$D,TARIFF_PROFILES!$A:$A,$X86))</f>
        <v/>
      </c>
      <c r="Z86" s="15">
        <f>IF($X86="","",SUMIFS(TARIFF_PROFILES!$E:$E,TARIFF_PROFILES!$A:$A,$X86))</f>
        <v/>
      </c>
      <c r="AA86" s="15">
        <f>IF($X86="","",SUMIFS(TARIFF_PROFILES!$F:$F,TARIFF_PROFILES!$A:$A,$X86))</f>
        <v/>
      </c>
      <c r="AB86" s="15">
        <f>IF($X86="","",SUMIFS(TARIFF_PROFILES!$G:$G,TARIFF_PROFILES!$A:$A,$X86))</f>
        <v/>
      </c>
      <c r="AC86" s="15">
        <f>IF($X86="","",SUMIFS(TARIFF_PROFILES!$H:$H,TARIFF_PROFILES!$A:$A,$X86))</f>
        <v/>
      </c>
      <c r="AD86" s="15">
        <f>IF($X86="","",INDEX(TARIFF_PROFILES!$J:$J,MATCH($X86,TARIFF_PROFILES!$A:$A,0)))</f>
        <v/>
      </c>
      <c r="AE86" s="15">
        <f>IF($X86="","",INDEX(TARIFF_PROFILES!$K:$K,MATCH($X86,TARIFF_PROFILES!$A:$A,0)))</f>
        <v/>
      </c>
      <c r="AH86">
        <f>IF($AG86="","",SUMIFS(OPERATING_COEFFS!$C:$C,OPERATING_COEFFS!$A:$A,"DistanceClass",OPERATING_COEFFS!$B:$B,$AG86))</f>
        <v/>
      </c>
      <c r="AJ86">
        <f>IF($AI86="","",SUMIFS(OPERATING_COEFFS!$C:$C,OPERATING_COEFFS!$A:$A,"SeasonClass",OPERATING_COEFFS!$B:$B,$AI86))</f>
        <v/>
      </c>
      <c r="AL86">
        <f>IF($AK86="","",SUMIFS(OPERATING_COEFFS!$C:$C,OPERATING_COEFFS!$A:$A,"UrgencyClass",OPERATING_COEFFS!$B:$B,$AK86))</f>
        <v/>
      </c>
      <c r="AN86">
        <f>IF($AM86="","",INDEX(TAX_MODES!$B:$B,MATCH($AM86,TAX_MODES!$A:$A,0)))</f>
        <v/>
      </c>
    </row>
    <row r="87">
      <c r="A87" s="15" t="n"/>
      <c r="B87" s="15" t="n"/>
      <c r="C87" s="15" t="n"/>
      <c r="D87" s="23">
        <f>IF($C87="","",SUMIFS(SITE_COEFFS!$C:$C,SITE_COEFFS!$A:$A,"SoilWorkability",SITE_COEFFS!$B:$B,$C87))</f>
        <v/>
      </c>
      <c r="E87" s="15" t="n"/>
      <c r="F87" s="23">
        <f>IF($E87="","",SUMIFS(SITE_COEFFS!$C:$C,SITE_COEFFS!$A:$A,"SoilMoisture",SITE_COEFFS!$B:$B,$E87))</f>
        <v/>
      </c>
      <c r="G87" s="15" t="n"/>
      <c r="H87" s="23">
        <f>IF($G87="","",SUMIFS(SITE_COEFFS!$C:$C,SITE_COEFFS!$A:$A,"DebrisLevel",SITE_COEFFS!$B:$B,$G87))</f>
        <v/>
      </c>
      <c r="I87" s="15" t="n"/>
      <c r="J87" s="23">
        <f>IF($I87="","",SUMIFS(SITE_COEFFS!$C:$C,SITE_COEFFS!$A:$A,"SlopeClass",SITE_COEFFS!$B:$B,$I87))</f>
        <v/>
      </c>
      <c r="K87" s="15" t="n"/>
      <c r="L87" s="23">
        <f>IF($K87="","",SUMIFS(SITE_COEFFS!$C:$C,SITE_COEFFS!$A:$A,"SurfaceUnevenness",SITE_COEFFS!$B:$B,$K87))</f>
        <v/>
      </c>
      <c r="M87" s="15" t="n"/>
      <c r="N87" s="23">
        <f>IF($M87="","",SUMIFS(SITE_COEFFS!$C:$C,SITE_COEFFS!$A:$A,"AccessClass",SITE_COEFFS!$B:$B,$M87))</f>
        <v/>
      </c>
      <c r="O87" s="15" t="n"/>
      <c r="P87" s="23">
        <f>IF($O87="","",SUMIFS(SITE_COEFFS!$C:$C,SITE_COEFFS!$A:$A,"TurnSpace",SITE_COEFFS!$B:$B,$O87))</f>
        <v/>
      </c>
      <c r="Q87" s="15" t="n"/>
      <c r="R87" s="23">
        <f>IF($Q87="","",SUMIFS(SITE_COEFFS!$C:$C,SITE_COEFFS!$A:$A,"ProximityToBuildings",SITE_COEFFS!$B:$B,$Q87))</f>
        <v/>
      </c>
      <c r="S87" s="15" t="n"/>
      <c r="T87" s="23">
        <f>IF($S87="","",SUMIFS(SITE_COEFFS!$C:$C,SITE_COEFFS!$A:$A,"MachineryAllowed",SITE_COEFFS!$B:$B,$S87))</f>
        <v/>
      </c>
      <c r="U87" s="15" t="n"/>
      <c r="V87" s="15" t="n"/>
      <c r="W87" s="23">
        <f>IF($V87="","",SUMIFS(SITE_COEFFS!$C:$C,SITE_COEFFS!$A:$A,"GeometryComplexity",SITE_COEFFS!$B:$B,$V87))</f>
        <v/>
      </c>
      <c r="X87" s="15" t="n"/>
      <c r="Y87" s="15">
        <f>IF($X87="","",SUMIFS(TARIFF_PROFILES!$D:$D,TARIFF_PROFILES!$A:$A,$X87))</f>
        <v/>
      </c>
      <c r="Z87" s="15">
        <f>IF($X87="","",SUMIFS(TARIFF_PROFILES!$E:$E,TARIFF_PROFILES!$A:$A,$X87))</f>
        <v/>
      </c>
      <c r="AA87" s="15">
        <f>IF($X87="","",SUMIFS(TARIFF_PROFILES!$F:$F,TARIFF_PROFILES!$A:$A,$X87))</f>
        <v/>
      </c>
      <c r="AB87" s="15">
        <f>IF($X87="","",SUMIFS(TARIFF_PROFILES!$G:$G,TARIFF_PROFILES!$A:$A,$X87))</f>
        <v/>
      </c>
      <c r="AC87" s="15">
        <f>IF($X87="","",SUMIFS(TARIFF_PROFILES!$H:$H,TARIFF_PROFILES!$A:$A,$X87))</f>
        <v/>
      </c>
      <c r="AD87" s="15">
        <f>IF($X87="","",INDEX(TARIFF_PROFILES!$J:$J,MATCH($X87,TARIFF_PROFILES!$A:$A,0)))</f>
        <v/>
      </c>
      <c r="AE87" s="15">
        <f>IF($X87="","",INDEX(TARIFF_PROFILES!$K:$K,MATCH($X87,TARIFF_PROFILES!$A:$A,0)))</f>
        <v/>
      </c>
      <c r="AH87">
        <f>IF($AG87="","",SUMIFS(OPERATING_COEFFS!$C:$C,OPERATING_COEFFS!$A:$A,"DistanceClass",OPERATING_COEFFS!$B:$B,$AG87))</f>
        <v/>
      </c>
      <c r="AJ87">
        <f>IF($AI87="","",SUMIFS(OPERATING_COEFFS!$C:$C,OPERATING_COEFFS!$A:$A,"SeasonClass",OPERATING_COEFFS!$B:$B,$AI87))</f>
        <v/>
      </c>
      <c r="AL87">
        <f>IF($AK87="","",SUMIFS(OPERATING_COEFFS!$C:$C,OPERATING_COEFFS!$A:$A,"UrgencyClass",OPERATING_COEFFS!$B:$B,$AK87))</f>
        <v/>
      </c>
      <c r="AN87">
        <f>IF($AM87="","",INDEX(TAX_MODES!$B:$B,MATCH($AM87,TAX_MODES!$A:$A,0)))</f>
        <v/>
      </c>
    </row>
    <row r="88">
      <c r="A88" s="15" t="n"/>
      <c r="B88" s="15" t="n"/>
      <c r="C88" s="15" t="n"/>
      <c r="D88" s="23">
        <f>IF($C88="","",SUMIFS(SITE_COEFFS!$C:$C,SITE_COEFFS!$A:$A,"SoilWorkability",SITE_COEFFS!$B:$B,$C88))</f>
        <v/>
      </c>
      <c r="E88" s="15" t="n"/>
      <c r="F88" s="23">
        <f>IF($E88="","",SUMIFS(SITE_COEFFS!$C:$C,SITE_COEFFS!$A:$A,"SoilMoisture",SITE_COEFFS!$B:$B,$E88))</f>
        <v/>
      </c>
      <c r="G88" s="15" t="n"/>
      <c r="H88" s="23">
        <f>IF($G88="","",SUMIFS(SITE_COEFFS!$C:$C,SITE_COEFFS!$A:$A,"DebrisLevel",SITE_COEFFS!$B:$B,$G88))</f>
        <v/>
      </c>
      <c r="I88" s="15" t="n"/>
      <c r="J88" s="23">
        <f>IF($I88="","",SUMIFS(SITE_COEFFS!$C:$C,SITE_COEFFS!$A:$A,"SlopeClass",SITE_COEFFS!$B:$B,$I88))</f>
        <v/>
      </c>
      <c r="K88" s="15" t="n"/>
      <c r="L88" s="23">
        <f>IF($K88="","",SUMIFS(SITE_COEFFS!$C:$C,SITE_COEFFS!$A:$A,"SurfaceUnevenness",SITE_COEFFS!$B:$B,$K88))</f>
        <v/>
      </c>
      <c r="M88" s="15" t="n"/>
      <c r="N88" s="23">
        <f>IF($M88="","",SUMIFS(SITE_COEFFS!$C:$C,SITE_COEFFS!$A:$A,"AccessClass",SITE_COEFFS!$B:$B,$M88))</f>
        <v/>
      </c>
      <c r="O88" s="15" t="n"/>
      <c r="P88" s="23">
        <f>IF($O88="","",SUMIFS(SITE_COEFFS!$C:$C,SITE_COEFFS!$A:$A,"TurnSpace",SITE_COEFFS!$B:$B,$O88))</f>
        <v/>
      </c>
      <c r="Q88" s="15" t="n"/>
      <c r="R88" s="23">
        <f>IF($Q88="","",SUMIFS(SITE_COEFFS!$C:$C,SITE_COEFFS!$A:$A,"ProximityToBuildings",SITE_COEFFS!$B:$B,$Q88))</f>
        <v/>
      </c>
      <c r="S88" s="15" t="n"/>
      <c r="T88" s="23">
        <f>IF($S88="","",SUMIFS(SITE_COEFFS!$C:$C,SITE_COEFFS!$A:$A,"MachineryAllowed",SITE_COEFFS!$B:$B,$S88))</f>
        <v/>
      </c>
      <c r="U88" s="15" t="n"/>
      <c r="V88" s="15" t="n"/>
      <c r="W88" s="23">
        <f>IF($V88="","",SUMIFS(SITE_COEFFS!$C:$C,SITE_COEFFS!$A:$A,"GeometryComplexity",SITE_COEFFS!$B:$B,$V88))</f>
        <v/>
      </c>
      <c r="X88" s="15" t="n"/>
      <c r="Y88" s="15">
        <f>IF($X88="","",SUMIFS(TARIFF_PROFILES!$D:$D,TARIFF_PROFILES!$A:$A,$X88))</f>
        <v/>
      </c>
      <c r="Z88" s="15">
        <f>IF($X88="","",SUMIFS(TARIFF_PROFILES!$E:$E,TARIFF_PROFILES!$A:$A,$X88))</f>
        <v/>
      </c>
      <c r="AA88" s="15">
        <f>IF($X88="","",SUMIFS(TARIFF_PROFILES!$F:$F,TARIFF_PROFILES!$A:$A,$X88))</f>
        <v/>
      </c>
      <c r="AB88" s="15">
        <f>IF($X88="","",SUMIFS(TARIFF_PROFILES!$G:$G,TARIFF_PROFILES!$A:$A,$X88))</f>
        <v/>
      </c>
      <c r="AC88" s="15">
        <f>IF($X88="","",SUMIFS(TARIFF_PROFILES!$H:$H,TARIFF_PROFILES!$A:$A,$X88))</f>
        <v/>
      </c>
      <c r="AD88" s="15">
        <f>IF($X88="","",INDEX(TARIFF_PROFILES!$J:$J,MATCH($X88,TARIFF_PROFILES!$A:$A,0)))</f>
        <v/>
      </c>
      <c r="AE88" s="15">
        <f>IF($X88="","",INDEX(TARIFF_PROFILES!$K:$K,MATCH($X88,TARIFF_PROFILES!$A:$A,0)))</f>
        <v/>
      </c>
      <c r="AH88">
        <f>IF($AG88="","",SUMIFS(OPERATING_COEFFS!$C:$C,OPERATING_COEFFS!$A:$A,"DistanceClass",OPERATING_COEFFS!$B:$B,$AG88))</f>
        <v/>
      </c>
      <c r="AJ88">
        <f>IF($AI88="","",SUMIFS(OPERATING_COEFFS!$C:$C,OPERATING_COEFFS!$A:$A,"SeasonClass",OPERATING_COEFFS!$B:$B,$AI88))</f>
        <v/>
      </c>
      <c r="AL88">
        <f>IF($AK88="","",SUMIFS(OPERATING_COEFFS!$C:$C,OPERATING_COEFFS!$A:$A,"UrgencyClass",OPERATING_COEFFS!$B:$B,$AK88))</f>
        <v/>
      </c>
      <c r="AN88">
        <f>IF($AM88="","",INDEX(TAX_MODES!$B:$B,MATCH($AM88,TAX_MODES!$A:$A,0)))</f>
        <v/>
      </c>
    </row>
    <row r="89">
      <c r="A89" s="15" t="n"/>
      <c r="B89" s="15" t="n"/>
      <c r="C89" s="15" t="n"/>
      <c r="D89" s="23">
        <f>IF($C89="","",SUMIFS(SITE_COEFFS!$C:$C,SITE_COEFFS!$A:$A,"SoilWorkability",SITE_COEFFS!$B:$B,$C89))</f>
        <v/>
      </c>
      <c r="E89" s="15" t="n"/>
      <c r="F89" s="23">
        <f>IF($E89="","",SUMIFS(SITE_COEFFS!$C:$C,SITE_COEFFS!$A:$A,"SoilMoisture",SITE_COEFFS!$B:$B,$E89))</f>
        <v/>
      </c>
      <c r="G89" s="15" t="n"/>
      <c r="H89" s="23">
        <f>IF($G89="","",SUMIFS(SITE_COEFFS!$C:$C,SITE_COEFFS!$A:$A,"DebrisLevel",SITE_COEFFS!$B:$B,$G89))</f>
        <v/>
      </c>
      <c r="I89" s="15" t="n"/>
      <c r="J89" s="23">
        <f>IF($I89="","",SUMIFS(SITE_COEFFS!$C:$C,SITE_COEFFS!$A:$A,"SlopeClass",SITE_COEFFS!$B:$B,$I89))</f>
        <v/>
      </c>
      <c r="K89" s="15" t="n"/>
      <c r="L89" s="23">
        <f>IF($K89="","",SUMIFS(SITE_COEFFS!$C:$C,SITE_COEFFS!$A:$A,"SurfaceUnevenness",SITE_COEFFS!$B:$B,$K89))</f>
        <v/>
      </c>
      <c r="M89" s="15" t="n"/>
      <c r="N89" s="23">
        <f>IF($M89="","",SUMIFS(SITE_COEFFS!$C:$C,SITE_COEFFS!$A:$A,"AccessClass",SITE_COEFFS!$B:$B,$M89))</f>
        <v/>
      </c>
      <c r="O89" s="15" t="n"/>
      <c r="P89" s="23">
        <f>IF($O89="","",SUMIFS(SITE_COEFFS!$C:$C,SITE_COEFFS!$A:$A,"TurnSpace",SITE_COEFFS!$B:$B,$O89))</f>
        <v/>
      </c>
      <c r="Q89" s="15" t="n"/>
      <c r="R89" s="23">
        <f>IF($Q89="","",SUMIFS(SITE_COEFFS!$C:$C,SITE_COEFFS!$A:$A,"ProximityToBuildings",SITE_COEFFS!$B:$B,$Q89))</f>
        <v/>
      </c>
      <c r="S89" s="15" t="n"/>
      <c r="T89" s="23">
        <f>IF($S89="","",SUMIFS(SITE_COEFFS!$C:$C,SITE_COEFFS!$A:$A,"MachineryAllowed",SITE_COEFFS!$B:$B,$S89))</f>
        <v/>
      </c>
      <c r="U89" s="15" t="n"/>
      <c r="V89" s="15" t="n"/>
      <c r="W89" s="23">
        <f>IF($V89="","",SUMIFS(SITE_COEFFS!$C:$C,SITE_COEFFS!$A:$A,"GeometryComplexity",SITE_COEFFS!$B:$B,$V89))</f>
        <v/>
      </c>
      <c r="X89" s="15" t="n"/>
      <c r="Y89" s="15">
        <f>IF($X89="","",SUMIFS(TARIFF_PROFILES!$D:$D,TARIFF_PROFILES!$A:$A,$X89))</f>
        <v/>
      </c>
      <c r="Z89" s="15">
        <f>IF($X89="","",SUMIFS(TARIFF_PROFILES!$E:$E,TARIFF_PROFILES!$A:$A,$X89))</f>
        <v/>
      </c>
      <c r="AA89" s="15">
        <f>IF($X89="","",SUMIFS(TARIFF_PROFILES!$F:$F,TARIFF_PROFILES!$A:$A,$X89))</f>
        <v/>
      </c>
      <c r="AB89" s="15">
        <f>IF($X89="","",SUMIFS(TARIFF_PROFILES!$G:$G,TARIFF_PROFILES!$A:$A,$X89))</f>
        <v/>
      </c>
      <c r="AC89" s="15">
        <f>IF($X89="","",SUMIFS(TARIFF_PROFILES!$H:$H,TARIFF_PROFILES!$A:$A,$X89))</f>
        <v/>
      </c>
      <c r="AD89" s="15">
        <f>IF($X89="","",INDEX(TARIFF_PROFILES!$J:$J,MATCH($X89,TARIFF_PROFILES!$A:$A,0)))</f>
        <v/>
      </c>
      <c r="AE89" s="15">
        <f>IF($X89="","",INDEX(TARIFF_PROFILES!$K:$K,MATCH($X89,TARIFF_PROFILES!$A:$A,0)))</f>
        <v/>
      </c>
      <c r="AH89">
        <f>IF($AG89="","",SUMIFS(OPERATING_COEFFS!$C:$C,OPERATING_COEFFS!$A:$A,"DistanceClass",OPERATING_COEFFS!$B:$B,$AG89))</f>
        <v/>
      </c>
      <c r="AJ89">
        <f>IF($AI89="","",SUMIFS(OPERATING_COEFFS!$C:$C,OPERATING_COEFFS!$A:$A,"SeasonClass",OPERATING_COEFFS!$B:$B,$AI89))</f>
        <v/>
      </c>
      <c r="AL89">
        <f>IF($AK89="","",SUMIFS(OPERATING_COEFFS!$C:$C,OPERATING_COEFFS!$A:$A,"UrgencyClass",OPERATING_COEFFS!$B:$B,$AK89))</f>
        <v/>
      </c>
      <c r="AN89">
        <f>IF($AM89="","",INDEX(TAX_MODES!$B:$B,MATCH($AM89,TAX_MODES!$A:$A,0)))</f>
        <v/>
      </c>
    </row>
    <row r="90">
      <c r="A90" s="15" t="n"/>
      <c r="B90" s="15" t="n"/>
      <c r="C90" s="15" t="n"/>
      <c r="D90" s="23">
        <f>IF($C90="","",SUMIFS(SITE_COEFFS!$C:$C,SITE_COEFFS!$A:$A,"SoilWorkability",SITE_COEFFS!$B:$B,$C90))</f>
        <v/>
      </c>
      <c r="E90" s="15" t="n"/>
      <c r="F90" s="23">
        <f>IF($E90="","",SUMIFS(SITE_COEFFS!$C:$C,SITE_COEFFS!$A:$A,"SoilMoisture",SITE_COEFFS!$B:$B,$E90))</f>
        <v/>
      </c>
      <c r="G90" s="15" t="n"/>
      <c r="H90" s="23">
        <f>IF($G90="","",SUMIFS(SITE_COEFFS!$C:$C,SITE_COEFFS!$A:$A,"DebrisLevel",SITE_COEFFS!$B:$B,$G90))</f>
        <v/>
      </c>
      <c r="I90" s="15" t="n"/>
      <c r="J90" s="23">
        <f>IF($I90="","",SUMIFS(SITE_COEFFS!$C:$C,SITE_COEFFS!$A:$A,"SlopeClass",SITE_COEFFS!$B:$B,$I90))</f>
        <v/>
      </c>
      <c r="K90" s="15" t="n"/>
      <c r="L90" s="23">
        <f>IF($K90="","",SUMIFS(SITE_COEFFS!$C:$C,SITE_COEFFS!$A:$A,"SurfaceUnevenness",SITE_COEFFS!$B:$B,$K90))</f>
        <v/>
      </c>
      <c r="M90" s="15" t="n"/>
      <c r="N90" s="23">
        <f>IF($M90="","",SUMIFS(SITE_COEFFS!$C:$C,SITE_COEFFS!$A:$A,"AccessClass",SITE_COEFFS!$B:$B,$M90))</f>
        <v/>
      </c>
      <c r="O90" s="15" t="n"/>
      <c r="P90" s="23">
        <f>IF($O90="","",SUMIFS(SITE_COEFFS!$C:$C,SITE_COEFFS!$A:$A,"TurnSpace",SITE_COEFFS!$B:$B,$O90))</f>
        <v/>
      </c>
      <c r="Q90" s="15" t="n"/>
      <c r="R90" s="23">
        <f>IF($Q90="","",SUMIFS(SITE_COEFFS!$C:$C,SITE_COEFFS!$A:$A,"ProximityToBuildings",SITE_COEFFS!$B:$B,$Q90))</f>
        <v/>
      </c>
      <c r="S90" s="15" t="n"/>
      <c r="T90" s="23">
        <f>IF($S90="","",SUMIFS(SITE_COEFFS!$C:$C,SITE_COEFFS!$A:$A,"MachineryAllowed",SITE_COEFFS!$B:$B,$S90))</f>
        <v/>
      </c>
      <c r="U90" s="15" t="n"/>
      <c r="V90" s="15" t="n"/>
      <c r="W90" s="23">
        <f>IF($V90="","",SUMIFS(SITE_COEFFS!$C:$C,SITE_COEFFS!$A:$A,"GeometryComplexity",SITE_COEFFS!$B:$B,$V90))</f>
        <v/>
      </c>
      <c r="X90" s="15" t="n"/>
      <c r="Y90" s="15">
        <f>IF($X90="","",SUMIFS(TARIFF_PROFILES!$D:$D,TARIFF_PROFILES!$A:$A,$X90))</f>
        <v/>
      </c>
      <c r="Z90" s="15">
        <f>IF($X90="","",SUMIFS(TARIFF_PROFILES!$E:$E,TARIFF_PROFILES!$A:$A,$X90))</f>
        <v/>
      </c>
      <c r="AA90" s="15">
        <f>IF($X90="","",SUMIFS(TARIFF_PROFILES!$F:$F,TARIFF_PROFILES!$A:$A,$X90))</f>
        <v/>
      </c>
      <c r="AB90" s="15">
        <f>IF($X90="","",SUMIFS(TARIFF_PROFILES!$G:$G,TARIFF_PROFILES!$A:$A,$X90))</f>
        <v/>
      </c>
      <c r="AC90" s="15">
        <f>IF($X90="","",SUMIFS(TARIFF_PROFILES!$H:$H,TARIFF_PROFILES!$A:$A,$X90))</f>
        <v/>
      </c>
      <c r="AD90" s="15">
        <f>IF($X90="","",INDEX(TARIFF_PROFILES!$J:$J,MATCH($X90,TARIFF_PROFILES!$A:$A,0)))</f>
        <v/>
      </c>
      <c r="AE90" s="15">
        <f>IF($X90="","",INDEX(TARIFF_PROFILES!$K:$K,MATCH($X90,TARIFF_PROFILES!$A:$A,0)))</f>
        <v/>
      </c>
      <c r="AH90">
        <f>IF($AG90="","",SUMIFS(OPERATING_COEFFS!$C:$C,OPERATING_COEFFS!$A:$A,"DistanceClass",OPERATING_COEFFS!$B:$B,$AG90))</f>
        <v/>
      </c>
      <c r="AJ90">
        <f>IF($AI90="","",SUMIFS(OPERATING_COEFFS!$C:$C,OPERATING_COEFFS!$A:$A,"SeasonClass",OPERATING_COEFFS!$B:$B,$AI90))</f>
        <v/>
      </c>
      <c r="AL90">
        <f>IF($AK90="","",SUMIFS(OPERATING_COEFFS!$C:$C,OPERATING_COEFFS!$A:$A,"UrgencyClass",OPERATING_COEFFS!$B:$B,$AK90))</f>
        <v/>
      </c>
      <c r="AN90">
        <f>IF($AM90="","",INDEX(TAX_MODES!$B:$B,MATCH($AM90,TAX_MODES!$A:$A,0)))</f>
        <v/>
      </c>
    </row>
    <row r="91">
      <c r="A91" s="15" t="n"/>
      <c r="B91" s="15" t="n"/>
      <c r="C91" s="15" t="n"/>
      <c r="D91" s="23">
        <f>IF($C91="","",SUMIFS(SITE_COEFFS!$C:$C,SITE_COEFFS!$A:$A,"SoilWorkability",SITE_COEFFS!$B:$B,$C91))</f>
        <v/>
      </c>
      <c r="E91" s="15" t="n"/>
      <c r="F91" s="23">
        <f>IF($E91="","",SUMIFS(SITE_COEFFS!$C:$C,SITE_COEFFS!$A:$A,"SoilMoisture",SITE_COEFFS!$B:$B,$E91))</f>
        <v/>
      </c>
      <c r="G91" s="15" t="n"/>
      <c r="H91" s="23">
        <f>IF($G91="","",SUMIFS(SITE_COEFFS!$C:$C,SITE_COEFFS!$A:$A,"DebrisLevel",SITE_COEFFS!$B:$B,$G91))</f>
        <v/>
      </c>
      <c r="I91" s="15" t="n"/>
      <c r="J91" s="23">
        <f>IF($I91="","",SUMIFS(SITE_COEFFS!$C:$C,SITE_COEFFS!$A:$A,"SlopeClass",SITE_COEFFS!$B:$B,$I91))</f>
        <v/>
      </c>
      <c r="K91" s="15" t="n"/>
      <c r="L91" s="23">
        <f>IF($K91="","",SUMIFS(SITE_COEFFS!$C:$C,SITE_COEFFS!$A:$A,"SurfaceUnevenness",SITE_COEFFS!$B:$B,$K91))</f>
        <v/>
      </c>
      <c r="M91" s="15" t="n"/>
      <c r="N91" s="23">
        <f>IF($M91="","",SUMIFS(SITE_COEFFS!$C:$C,SITE_COEFFS!$A:$A,"AccessClass",SITE_COEFFS!$B:$B,$M91))</f>
        <v/>
      </c>
      <c r="O91" s="15" t="n"/>
      <c r="P91" s="23">
        <f>IF($O91="","",SUMIFS(SITE_COEFFS!$C:$C,SITE_COEFFS!$A:$A,"TurnSpace",SITE_COEFFS!$B:$B,$O91))</f>
        <v/>
      </c>
      <c r="Q91" s="15" t="n"/>
      <c r="R91" s="23">
        <f>IF($Q91="","",SUMIFS(SITE_COEFFS!$C:$C,SITE_COEFFS!$A:$A,"ProximityToBuildings",SITE_COEFFS!$B:$B,$Q91))</f>
        <v/>
      </c>
      <c r="S91" s="15" t="n"/>
      <c r="T91" s="23">
        <f>IF($S91="","",SUMIFS(SITE_COEFFS!$C:$C,SITE_COEFFS!$A:$A,"MachineryAllowed",SITE_COEFFS!$B:$B,$S91))</f>
        <v/>
      </c>
      <c r="U91" s="15" t="n"/>
      <c r="V91" s="15" t="n"/>
      <c r="W91" s="23">
        <f>IF($V91="","",SUMIFS(SITE_COEFFS!$C:$C,SITE_COEFFS!$A:$A,"GeometryComplexity",SITE_COEFFS!$B:$B,$V91))</f>
        <v/>
      </c>
      <c r="X91" s="15" t="n"/>
      <c r="Y91" s="15">
        <f>IF($X91="","",SUMIFS(TARIFF_PROFILES!$D:$D,TARIFF_PROFILES!$A:$A,$X91))</f>
        <v/>
      </c>
      <c r="Z91" s="15">
        <f>IF($X91="","",SUMIFS(TARIFF_PROFILES!$E:$E,TARIFF_PROFILES!$A:$A,$X91))</f>
        <v/>
      </c>
      <c r="AA91" s="15">
        <f>IF($X91="","",SUMIFS(TARIFF_PROFILES!$F:$F,TARIFF_PROFILES!$A:$A,$X91))</f>
        <v/>
      </c>
      <c r="AB91" s="15">
        <f>IF($X91="","",SUMIFS(TARIFF_PROFILES!$G:$G,TARIFF_PROFILES!$A:$A,$X91))</f>
        <v/>
      </c>
      <c r="AC91" s="15">
        <f>IF($X91="","",SUMIFS(TARIFF_PROFILES!$H:$H,TARIFF_PROFILES!$A:$A,$X91))</f>
        <v/>
      </c>
      <c r="AD91" s="15">
        <f>IF($X91="","",INDEX(TARIFF_PROFILES!$J:$J,MATCH($X91,TARIFF_PROFILES!$A:$A,0)))</f>
        <v/>
      </c>
      <c r="AE91" s="15">
        <f>IF($X91="","",INDEX(TARIFF_PROFILES!$K:$K,MATCH($X91,TARIFF_PROFILES!$A:$A,0)))</f>
        <v/>
      </c>
      <c r="AH91">
        <f>IF($AG91="","",SUMIFS(OPERATING_COEFFS!$C:$C,OPERATING_COEFFS!$A:$A,"DistanceClass",OPERATING_COEFFS!$B:$B,$AG91))</f>
        <v/>
      </c>
      <c r="AJ91">
        <f>IF($AI91="","",SUMIFS(OPERATING_COEFFS!$C:$C,OPERATING_COEFFS!$A:$A,"SeasonClass",OPERATING_COEFFS!$B:$B,$AI91))</f>
        <v/>
      </c>
      <c r="AL91">
        <f>IF($AK91="","",SUMIFS(OPERATING_COEFFS!$C:$C,OPERATING_COEFFS!$A:$A,"UrgencyClass",OPERATING_COEFFS!$B:$B,$AK91))</f>
        <v/>
      </c>
      <c r="AN91">
        <f>IF($AM91="","",INDEX(TAX_MODES!$B:$B,MATCH($AM91,TAX_MODES!$A:$A,0)))</f>
        <v/>
      </c>
    </row>
    <row r="92">
      <c r="A92" s="15" t="n"/>
      <c r="B92" s="15" t="n"/>
      <c r="C92" s="15" t="n"/>
      <c r="D92" s="23">
        <f>IF($C92="","",SUMIFS(SITE_COEFFS!$C:$C,SITE_COEFFS!$A:$A,"SoilWorkability",SITE_COEFFS!$B:$B,$C92))</f>
        <v/>
      </c>
      <c r="E92" s="15" t="n"/>
      <c r="F92" s="23">
        <f>IF($E92="","",SUMIFS(SITE_COEFFS!$C:$C,SITE_COEFFS!$A:$A,"SoilMoisture",SITE_COEFFS!$B:$B,$E92))</f>
        <v/>
      </c>
      <c r="G92" s="15" t="n"/>
      <c r="H92" s="23">
        <f>IF($G92="","",SUMIFS(SITE_COEFFS!$C:$C,SITE_COEFFS!$A:$A,"DebrisLevel",SITE_COEFFS!$B:$B,$G92))</f>
        <v/>
      </c>
      <c r="I92" s="15" t="n"/>
      <c r="J92" s="23">
        <f>IF($I92="","",SUMIFS(SITE_COEFFS!$C:$C,SITE_COEFFS!$A:$A,"SlopeClass",SITE_COEFFS!$B:$B,$I92))</f>
        <v/>
      </c>
      <c r="K92" s="15" t="n"/>
      <c r="L92" s="23">
        <f>IF($K92="","",SUMIFS(SITE_COEFFS!$C:$C,SITE_COEFFS!$A:$A,"SurfaceUnevenness",SITE_COEFFS!$B:$B,$K92))</f>
        <v/>
      </c>
      <c r="M92" s="15" t="n"/>
      <c r="N92" s="23">
        <f>IF($M92="","",SUMIFS(SITE_COEFFS!$C:$C,SITE_COEFFS!$A:$A,"AccessClass",SITE_COEFFS!$B:$B,$M92))</f>
        <v/>
      </c>
      <c r="O92" s="15" t="n"/>
      <c r="P92" s="23">
        <f>IF($O92="","",SUMIFS(SITE_COEFFS!$C:$C,SITE_COEFFS!$A:$A,"TurnSpace",SITE_COEFFS!$B:$B,$O92))</f>
        <v/>
      </c>
      <c r="Q92" s="15" t="n"/>
      <c r="R92" s="23">
        <f>IF($Q92="","",SUMIFS(SITE_COEFFS!$C:$C,SITE_COEFFS!$A:$A,"ProximityToBuildings",SITE_COEFFS!$B:$B,$Q92))</f>
        <v/>
      </c>
      <c r="S92" s="15" t="n"/>
      <c r="T92" s="23">
        <f>IF($S92="","",SUMIFS(SITE_COEFFS!$C:$C,SITE_COEFFS!$A:$A,"MachineryAllowed",SITE_COEFFS!$B:$B,$S92))</f>
        <v/>
      </c>
      <c r="U92" s="15" t="n"/>
      <c r="V92" s="15" t="n"/>
      <c r="W92" s="23">
        <f>IF($V92="","",SUMIFS(SITE_COEFFS!$C:$C,SITE_COEFFS!$A:$A,"GeometryComplexity",SITE_COEFFS!$B:$B,$V92))</f>
        <v/>
      </c>
      <c r="X92" s="15" t="n"/>
      <c r="Y92" s="15">
        <f>IF($X92="","",SUMIFS(TARIFF_PROFILES!$D:$D,TARIFF_PROFILES!$A:$A,$X92))</f>
        <v/>
      </c>
      <c r="Z92" s="15">
        <f>IF($X92="","",SUMIFS(TARIFF_PROFILES!$E:$E,TARIFF_PROFILES!$A:$A,$X92))</f>
        <v/>
      </c>
      <c r="AA92" s="15">
        <f>IF($X92="","",SUMIFS(TARIFF_PROFILES!$F:$F,TARIFF_PROFILES!$A:$A,$X92))</f>
        <v/>
      </c>
      <c r="AB92" s="15">
        <f>IF($X92="","",SUMIFS(TARIFF_PROFILES!$G:$G,TARIFF_PROFILES!$A:$A,$X92))</f>
        <v/>
      </c>
      <c r="AC92" s="15">
        <f>IF($X92="","",SUMIFS(TARIFF_PROFILES!$H:$H,TARIFF_PROFILES!$A:$A,$X92))</f>
        <v/>
      </c>
      <c r="AD92" s="15">
        <f>IF($X92="","",INDEX(TARIFF_PROFILES!$J:$J,MATCH($X92,TARIFF_PROFILES!$A:$A,0)))</f>
        <v/>
      </c>
      <c r="AE92" s="15">
        <f>IF($X92="","",INDEX(TARIFF_PROFILES!$K:$K,MATCH($X92,TARIFF_PROFILES!$A:$A,0)))</f>
        <v/>
      </c>
      <c r="AH92">
        <f>IF($AG92="","",SUMIFS(OPERATING_COEFFS!$C:$C,OPERATING_COEFFS!$A:$A,"DistanceClass",OPERATING_COEFFS!$B:$B,$AG92))</f>
        <v/>
      </c>
      <c r="AJ92">
        <f>IF($AI92="","",SUMIFS(OPERATING_COEFFS!$C:$C,OPERATING_COEFFS!$A:$A,"SeasonClass",OPERATING_COEFFS!$B:$B,$AI92))</f>
        <v/>
      </c>
      <c r="AL92">
        <f>IF($AK92="","",SUMIFS(OPERATING_COEFFS!$C:$C,OPERATING_COEFFS!$A:$A,"UrgencyClass",OPERATING_COEFFS!$B:$B,$AK92))</f>
        <v/>
      </c>
      <c r="AN92">
        <f>IF($AM92="","",INDEX(TAX_MODES!$B:$B,MATCH($AM92,TAX_MODES!$A:$A,0)))</f>
        <v/>
      </c>
    </row>
    <row r="93">
      <c r="A93" s="15" t="n"/>
      <c r="B93" s="15" t="n"/>
      <c r="C93" s="15" t="n"/>
      <c r="D93" s="23">
        <f>IF($C93="","",SUMIFS(SITE_COEFFS!$C:$C,SITE_COEFFS!$A:$A,"SoilWorkability",SITE_COEFFS!$B:$B,$C93))</f>
        <v/>
      </c>
      <c r="E93" s="15" t="n"/>
      <c r="F93" s="23">
        <f>IF($E93="","",SUMIFS(SITE_COEFFS!$C:$C,SITE_COEFFS!$A:$A,"SoilMoisture",SITE_COEFFS!$B:$B,$E93))</f>
        <v/>
      </c>
      <c r="G93" s="15" t="n"/>
      <c r="H93" s="23">
        <f>IF($G93="","",SUMIFS(SITE_COEFFS!$C:$C,SITE_COEFFS!$A:$A,"DebrisLevel",SITE_COEFFS!$B:$B,$G93))</f>
        <v/>
      </c>
      <c r="I93" s="15" t="n"/>
      <c r="J93" s="23">
        <f>IF($I93="","",SUMIFS(SITE_COEFFS!$C:$C,SITE_COEFFS!$A:$A,"SlopeClass",SITE_COEFFS!$B:$B,$I93))</f>
        <v/>
      </c>
      <c r="K93" s="15" t="n"/>
      <c r="L93" s="23">
        <f>IF($K93="","",SUMIFS(SITE_COEFFS!$C:$C,SITE_COEFFS!$A:$A,"SurfaceUnevenness",SITE_COEFFS!$B:$B,$K93))</f>
        <v/>
      </c>
      <c r="M93" s="15" t="n"/>
      <c r="N93" s="23">
        <f>IF($M93="","",SUMIFS(SITE_COEFFS!$C:$C,SITE_COEFFS!$A:$A,"AccessClass",SITE_COEFFS!$B:$B,$M93))</f>
        <v/>
      </c>
      <c r="O93" s="15" t="n"/>
      <c r="P93" s="23">
        <f>IF($O93="","",SUMIFS(SITE_COEFFS!$C:$C,SITE_COEFFS!$A:$A,"TurnSpace",SITE_COEFFS!$B:$B,$O93))</f>
        <v/>
      </c>
      <c r="Q93" s="15" t="n"/>
      <c r="R93" s="23">
        <f>IF($Q93="","",SUMIFS(SITE_COEFFS!$C:$C,SITE_COEFFS!$A:$A,"ProximityToBuildings",SITE_COEFFS!$B:$B,$Q93))</f>
        <v/>
      </c>
      <c r="S93" s="15" t="n"/>
      <c r="T93" s="23">
        <f>IF($S93="","",SUMIFS(SITE_COEFFS!$C:$C,SITE_COEFFS!$A:$A,"MachineryAllowed",SITE_COEFFS!$B:$B,$S93))</f>
        <v/>
      </c>
      <c r="U93" s="15" t="n"/>
      <c r="V93" s="15" t="n"/>
      <c r="W93" s="23">
        <f>IF($V93="","",SUMIFS(SITE_COEFFS!$C:$C,SITE_COEFFS!$A:$A,"GeometryComplexity",SITE_COEFFS!$B:$B,$V93))</f>
        <v/>
      </c>
      <c r="X93" s="15" t="n"/>
      <c r="Y93" s="15">
        <f>IF($X93="","",SUMIFS(TARIFF_PROFILES!$D:$D,TARIFF_PROFILES!$A:$A,$X93))</f>
        <v/>
      </c>
      <c r="Z93" s="15">
        <f>IF($X93="","",SUMIFS(TARIFF_PROFILES!$E:$E,TARIFF_PROFILES!$A:$A,$X93))</f>
        <v/>
      </c>
      <c r="AA93" s="15">
        <f>IF($X93="","",SUMIFS(TARIFF_PROFILES!$F:$F,TARIFF_PROFILES!$A:$A,$X93))</f>
        <v/>
      </c>
      <c r="AB93" s="15">
        <f>IF($X93="","",SUMIFS(TARIFF_PROFILES!$G:$G,TARIFF_PROFILES!$A:$A,$X93))</f>
        <v/>
      </c>
      <c r="AC93" s="15">
        <f>IF($X93="","",SUMIFS(TARIFF_PROFILES!$H:$H,TARIFF_PROFILES!$A:$A,$X93))</f>
        <v/>
      </c>
      <c r="AD93" s="15">
        <f>IF($X93="","",INDEX(TARIFF_PROFILES!$J:$J,MATCH($X93,TARIFF_PROFILES!$A:$A,0)))</f>
        <v/>
      </c>
      <c r="AE93" s="15">
        <f>IF($X93="","",INDEX(TARIFF_PROFILES!$K:$K,MATCH($X93,TARIFF_PROFILES!$A:$A,0)))</f>
        <v/>
      </c>
      <c r="AH93">
        <f>IF($AG93="","",SUMIFS(OPERATING_COEFFS!$C:$C,OPERATING_COEFFS!$A:$A,"DistanceClass",OPERATING_COEFFS!$B:$B,$AG93))</f>
        <v/>
      </c>
      <c r="AJ93">
        <f>IF($AI93="","",SUMIFS(OPERATING_COEFFS!$C:$C,OPERATING_COEFFS!$A:$A,"SeasonClass",OPERATING_COEFFS!$B:$B,$AI93))</f>
        <v/>
      </c>
      <c r="AL93">
        <f>IF($AK93="","",SUMIFS(OPERATING_COEFFS!$C:$C,OPERATING_COEFFS!$A:$A,"UrgencyClass",OPERATING_COEFFS!$B:$B,$AK93))</f>
        <v/>
      </c>
      <c r="AN93">
        <f>IF($AM93="","",INDEX(TAX_MODES!$B:$B,MATCH($AM93,TAX_MODES!$A:$A,0)))</f>
        <v/>
      </c>
    </row>
    <row r="94">
      <c r="A94" s="15" t="n"/>
      <c r="B94" s="15" t="n"/>
      <c r="C94" s="15" t="n"/>
      <c r="D94" s="23">
        <f>IF($C94="","",SUMIFS(SITE_COEFFS!$C:$C,SITE_COEFFS!$A:$A,"SoilWorkability",SITE_COEFFS!$B:$B,$C94))</f>
        <v/>
      </c>
      <c r="E94" s="15" t="n"/>
      <c r="F94" s="23">
        <f>IF($E94="","",SUMIFS(SITE_COEFFS!$C:$C,SITE_COEFFS!$A:$A,"SoilMoisture",SITE_COEFFS!$B:$B,$E94))</f>
        <v/>
      </c>
      <c r="G94" s="15" t="n"/>
      <c r="H94" s="23">
        <f>IF($G94="","",SUMIFS(SITE_COEFFS!$C:$C,SITE_COEFFS!$A:$A,"DebrisLevel",SITE_COEFFS!$B:$B,$G94))</f>
        <v/>
      </c>
      <c r="I94" s="15" t="n"/>
      <c r="J94" s="23">
        <f>IF($I94="","",SUMIFS(SITE_COEFFS!$C:$C,SITE_COEFFS!$A:$A,"SlopeClass",SITE_COEFFS!$B:$B,$I94))</f>
        <v/>
      </c>
      <c r="K94" s="15" t="n"/>
      <c r="L94" s="23">
        <f>IF($K94="","",SUMIFS(SITE_COEFFS!$C:$C,SITE_COEFFS!$A:$A,"SurfaceUnevenness",SITE_COEFFS!$B:$B,$K94))</f>
        <v/>
      </c>
      <c r="M94" s="15" t="n"/>
      <c r="N94" s="23">
        <f>IF($M94="","",SUMIFS(SITE_COEFFS!$C:$C,SITE_COEFFS!$A:$A,"AccessClass",SITE_COEFFS!$B:$B,$M94))</f>
        <v/>
      </c>
      <c r="O94" s="15" t="n"/>
      <c r="P94" s="23">
        <f>IF($O94="","",SUMIFS(SITE_COEFFS!$C:$C,SITE_COEFFS!$A:$A,"TurnSpace",SITE_COEFFS!$B:$B,$O94))</f>
        <v/>
      </c>
      <c r="Q94" s="15" t="n"/>
      <c r="R94" s="23">
        <f>IF($Q94="","",SUMIFS(SITE_COEFFS!$C:$C,SITE_COEFFS!$A:$A,"ProximityToBuildings",SITE_COEFFS!$B:$B,$Q94))</f>
        <v/>
      </c>
      <c r="S94" s="15" t="n"/>
      <c r="T94" s="23">
        <f>IF($S94="","",SUMIFS(SITE_COEFFS!$C:$C,SITE_COEFFS!$A:$A,"MachineryAllowed",SITE_COEFFS!$B:$B,$S94))</f>
        <v/>
      </c>
      <c r="U94" s="15" t="n"/>
      <c r="V94" s="15" t="n"/>
      <c r="W94" s="23">
        <f>IF($V94="","",SUMIFS(SITE_COEFFS!$C:$C,SITE_COEFFS!$A:$A,"GeometryComplexity",SITE_COEFFS!$B:$B,$V94))</f>
        <v/>
      </c>
      <c r="X94" s="15" t="n"/>
      <c r="Y94" s="15">
        <f>IF($X94="","",SUMIFS(TARIFF_PROFILES!$D:$D,TARIFF_PROFILES!$A:$A,$X94))</f>
        <v/>
      </c>
      <c r="Z94" s="15">
        <f>IF($X94="","",SUMIFS(TARIFF_PROFILES!$E:$E,TARIFF_PROFILES!$A:$A,$X94))</f>
        <v/>
      </c>
      <c r="AA94" s="15">
        <f>IF($X94="","",SUMIFS(TARIFF_PROFILES!$F:$F,TARIFF_PROFILES!$A:$A,$X94))</f>
        <v/>
      </c>
      <c r="AB94" s="15">
        <f>IF($X94="","",SUMIFS(TARIFF_PROFILES!$G:$G,TARIFF_PROFILES!$A:$A,$X94))</f>
        <v/>
      </c>
      <c r="AC94" s="15">
        <f>IF($X94="","",SUMIFS(TARIFF_PROFILES!$H:$H,TARIFF_PROFILES!$A:$A,$X94))</f>
        <v/>
      </c>
      <c r="AD94" s="15">
        <f>IF($X94="","",INDEX(TARIFF_PROFILES!$J:$J,MATCH($X94,TARIFF_PROFILES!$A:$A,0)))</f>
        <v/>
      </c>
      <c r="AE94" s="15">
        <f>IF($X94="","",INDEX(TARIFF_PROFILES!$K:$K,MATCH($X94,TARIFF_PROFILES!$A:$A,0)))</f>
        <v/>
      </c>
      <c r="AH94">
        <f>IF($AG94="","",SUMIFS(OPERATING_COEFFS!$C:$C,OPERATING_COEFFS!$A:$A,"DistanceClass",OPERATING_COEFFS!$B:$B,$AG94))</f>
        <v/>
      </c>
      <c r="AJ94">
        <f>IF($AI94="","",SUMIFS(OPERATING_COEFFS!$C:$C,OPERATING_COEFFS!$A:$A,"SeasonClass",OPERATING_COEFFS!$B:$B,$AI94))</f>
        <v/>
      </c>
      <c r="AL94">
        <f>IF($AK94="","",SUMIFS(OPERATING_COEFFS!$C:$C,OPERATING_COEFFS!$A:$A,"UrgencyClass",OPERATING_COEFFS!$B:$B,$AK94))</f>
        <v/>
      </c>
      <c r="AN94">
        <f>IF($AM94="","",INDEX(TAX_MODES!$B:$B,MATCH($AM94,TAX_MODES!$A:$A,0)))</f>
        <v/>
      </c>
    </row>
    <row r="95">
      <c r="A95" s="15" t="n"/>
      <c r="B95" s="15" t="n"/>
      <c r="C95" s="15" t="n"/>
      <c r="D95" s="23">
        <f>IF($C95="","",SUMIFS(SITE_COEFFS!$C:$C,SITE_COEFFS!$A:$A,"SoilWorkability",SITE_COEFFS!$B:$B,$C95))</f>
        <v/>
      </c>
      <c r="E95" s="15" t="n"/>
      <c r="F95" s="23">
        <f>IF($E95="","",SUMIFS(SITE_COEFFS!$C:$C,SITE_COEFFS!$A:$A,"SoilMoisture",SITE_COEFFS!$B:$B,$E95))</f>
        <v/>
      </c>
      <c r="G95" s="15" t="n"/>
      <c r="H95" s="23">
        <f>IF($G95="","",SUMIFS(SITE_COEFFS!$C:$C,SITE_COEFFS!$A:$A,"DebrisLevel",SITE_COEFFS!$B:$B,$G95))</f>
        <v/>
      </c>
      <c r="I95" s="15" t="n"/>
      <c r="J95" s="23">
        <f>IF($I95="","",SUMIFS(SITE_COEFFS!$C:$C,SITE_COEFFS!$A:$A,"SlopeClass",SITE_COEFFS!$B:$B,$I95))</f>
        <v/>
      </c>
      <c r="K95" s="15" t="n"/>
      <c r="L95" s="23">
        <f>IF($K95="","",SUMIFS(SITE_COEFFS!$C:$C,SITE_COEFFS!$A:$A,"SurfaceUnevenness",SITE_COEFFS!$B:$B,$K95))</f>
        <v/>
      </c>
      <c r="M95" s="15" t="n"/>
      <c r="N95" s="23">
        <f>IF($M95="","",SUMIFS(SITE_COEFFS!$C:$C,SITE_COEFFS!$A:$A,"AccessClass",SITE_COEFFS!$B:$B,$M95))</f>
        <v/>
      </c>
      <c r="O95" s="15" t="n"/>
      <c r="P95" s="23">
        <f>IF($O95="","",SUMIFS(SITE_COEFFS!$C:$C,SITE_COEFFS!$A:$A,"TurnSpace",SITE_COEFFS!$B:$B,$O95))</f>
        <v/>
      </c>
      <c r="Q95" s="15" t="n"/>
      <c r="R95" s="23">
        <f>IF($Q95="","",SUMIFS(SITE_COEFFS!$C:$C,SITE_COEFFS!$A:$A,"ProximityToBuildings",SITE_COEFFS!$B:$B,$Q95))</f>
        <v/>
      </c>
      <c r="S95" s="15" t="n"/>
      <c r="T95" s="23">
        <f>IF($S95="","",SUMIFS(SITE_COEFFS!$C:$C,SITE_COEFFS!$A:$A,"MachineryAllowed",SITE_COEFFS!$B:$B,$S95))</f>
        <v/>
      </c>
      <c r="U95" s="15" t="n"/>
      <c r="V95" s="15" t="n"/>
      <c r="W95" s="23">
        <f>IF($V95="","",SUMIFS(SITE_COEFFS!$C:$C,SITE_COEFFS!$A:$A,"GeometryComplexity",SITE_COEFFS!$B:$B,$V95))</f>
        <v/>
      </c>
      <c r="X95" s="15" t="n"/>
      <c r="Y95" s="15">
        <f>IF($X95="","",SUMIFS(TARIFF_PROFILES!$D:$D,TARIFF_PROFILES!$A:$A,$X95))</f>
        <v/>
      </c>
      <c r="Z95" s="15">
        <f>IF($X95="","",SUMIFS(TARIFF_PROFILES!$E:$E,TARIFF_PROFILES!$A:$A,$X95))</f>
        <v/>
      </c>
      <c r="AA95" s="15">
        <f>IF($X95="","",SUMIFS(TARIFF_PROFILES!$F:$F,TARIFF_PROFILES!$A:$A,$X95))</f>
        <v/>
      </c>
      <c r="AB95" s="15">
        <f>IF($X95="","",SUMIFS(TARIFF_PROFILES!$G:$G,TARIFF_PROFILES!$A:$A,$X95))</f>
        <v/>
      </c>
      <c r="AC95" s="15">
        <f>IF($X95="","",SUMIFS(TARIFF_PROFILES!$H:$H,TARIFF_PROFILES!$A:$A,$X95))</f>
        <v/>
      </c>
      <c r="AD95" s="15">
        <f>IF($X95="","",INDEX(TARIFF_PROFILES!$J:$J,MATCH($X95,TARIFF_PROFILES!$A:$A,0)))</f>
        <v/>
      </c>
      <c r="AE95" s="15">
        <f>IF($X95="","",INDEX(TARIFF_PROFILES!$K:$K,MATCH($X95,TARIFF_PROFILES!$A:$A,0)))</f>
        <v/>
      </c>
      <c r="AH95">
        <f>IF($AG95="","",SUMIFS(OPERATING_COEFFS!$C:$C,OPERATING_COEFFS!$A:$A,"DistanceClass",OPERATING_COEFFS!$B:$B,$AG95))</f>
        <v/>
      </c>
      <c r="AJ95">
        <f>IF($AI95="","",SUMIFS(OPERATING_COEFFS!$C:$C,OPERATING_COEFFS!$A:$A,"SeasonClass",OPERATING_COEFFS!$B:$B,$AI95))</f>
        <v/>
      </c>
      <c r="AL95">
        <f>IF($AK95="","",SUMIFS(OPERATING_COEFFS!$C:$C,OPERATING_COEFFS!$A:$A,"UrgencyClass",OPERATING_COEFFS!$B:$B,$AK95))</f>
        <v/>
      </c>
      <c r="AN95">
        <f>IF($AM95="","",INDEX(TAX_MODES!$B:$B,MATCH($AM95,TAX_MODES!$A:$A,0)))</f>
        <v/>
      </c>
    </row>
    <row r="96">
      <c r="A96" s="15" t="n"/>
      <c r="B96" s="15" t="n"/>
      <c r="C96" s="15" t="n"/>
      <c r="D96" s="23">
        <f>IF($C96="","",SUMIFS(SITE_COEFFS!$C:$C,SITE_COEFFS!$A:$A,"SoilWorkability",SITE_COEFFS!$B:$B,$C96))</f>
        <v/>
      </c>
      <c r="E96" s="15" t="n"/>
      <c r="F96" s="23">
        <f>IF($E96="","",SUMIFS(SITE_COEFFS!$C:$C,SITE_COEFFS!$A:$A,"SoilMoisture",SITE_COEFFS!$B:$B,$E96))</f>
        <v/>
      </c>
      <c r="G96" s="15" t="n"/>
      <c r="H96" s="23">
        <f>IF($G96="","",SUMIFS(SITE_COEFFS!$C:$C,SITE_COEFFS!$A:$A,"DebrisLevel",SITE_COEFFS!$B:$B,$G96))</f>
        <v/>
      </c>
      <c r="I96" s="15" t="n"/>
      <c r="J96" s="23">
        <f>IF($I96="","",SUMIFS(SITE_COEFFS!$C:$C,SITE_COEFFS!$A:$A,"SlopeClass",SITE_COEFFS!$B:$B,$I96))</f>
        <v/>
      </c>
      <c r="K96" s="15" t="n"/>
      <c r="L96" s="23">
        <f>IF($K96="","",SUMIFS(SITE_COEFFS!$C:$C,SITE_COEFFS!$A:$A,"SurfaceUnevenness",SITE_COEFFS!$B:$B,$K96))</f>
        <v/>
      </c>
      <c r="M96" s="15" t="n"/>
      <c r="N96" s="23">
        <f>IF($M96="","",SUMIFS(SITE_COEFFS!$C:$C,SITE_COEFFS!$A:$A,"AccessClass",SITE_COEFFS!$B:$B,$M96))</f>
        <v/>
      </c>
      <c r="O96" s="15" t="n"/>
      <c r="P96" s="23">
        <f>IF($O96="","",SUMIFS(SITE_COEFFS!$C:$C,SITE_COEFFS!$A:$A,"TurnSpace",SITE_COEFFS!$B:$B,$O96))</f>
        <v/>
      </c>
      <c r="Q96" s="15" t="n"/>
      <c r="R96" s="23">
        <f>IF($Q96="","",SUMIFS(SITE_COEFFS!$C:$C,SITE_COEFFS!$A:$A,"ProximityToBuildings",SITE_COEFFS!$B:$B,$Q96))</f>
        <v/>
      </c>
      <c r="S96" s="15" t="n"/>
      <c r="T96" s="23">
        <f>IF($S96="","",SUMIFS(SITE_COEFFS!$C:$C,SITE_COEFFS!$A:$A,"MachineryAllowed",SITE_COEFFS!$B:$B,$S96))</f>
        <v/>
      </c>
      <c r="U96" s="15" t="n"/>
      <c r="V96" s="15" t="n"/>
      <c r="W96" s="23">
        <f>IF($V96="","",SUMIFS(SITE_COEFFS!$C:$C,SITE_COEFFS!$A:$A,"GeometryComplexity",SITE_COEFFS!$B:$B,$V96))</f>
        <v/>
      </c>
      <c r="X96" s="15" t="n"/>
      <c r="Y96" s="15">
        <f>IF($X96="","",SUMIFS(TARIFF_PROFILES!$D:$D,TARIFF_PROFILES!$A:$A,$X96))</f>
        <v/>
      </c>
      <c r="Z96" s="15">
        <f>IF($X96="","",SUMIFS(TARIFF_PROFILES!$E:$E,TARIFF_PROFILES!$A:$A,$X96))</f>
        <v/>
      </c>
      <c r="AA96" s="15">
        <f>IF($X96="","",SUMIFS(TARIFF_PROFILES!$F:$F,TARIFF_PROFILES!$A:$A,$X96))</f>
        <v/>
      </c>
      <c r="AB96" s="15">
        <f>IF($X96="","",SUMIFS(TARIFF_PROFILES!$G:$G,TARIFF_PROFILES!$A:$A,$X96))</f>
        <v/>
      </c>
      <c r="AC96" s="15">
        <f>IF($X96="","",SUMIFS(TARIFF_PROFILES!$H:$H,TARIFF_PROFILES!$A:$A,$X96))</f>
        <v/>
      </c>
      <c r="AD96" s="15">
        <f>IF($X96="","",INDEX(TARIFF_PROFILES!$J:$J,MATCH($X96,TARIFF_PROFILES!$A:$A,0)))</f>
        <v/>
      </c>
      <c r="AE96" s="15">
        <f>IF($X96="","",INDEX(TARIFF_PROFILES!$K:$K,MATCH($X96,TARIFF_PROFILES!$A:$A,0)))</f>
        <v/>
      </c>
      <c r="AH96">
        <f>IF($AG96="","",SUMIFS(OPERATING_COEFFS!$C:$C,OPERATING_COEFFS!$A:$A,"DistanceClass",OPERATING_COEFFS!$B:$B,$AG96))</f>
        <v/>
      </c>
      <c r="AJ96">
        <f>IF($AI96="","",SUMIFS(OPERATING_COEFFS!$C:$C,OPERATING_COEFFS!$A:$A,"SeasonClass",OPERATING_COEFFS!$B:$B,$AI96))</f>
        <v/>
      </c>
      <c r="AL96">
        <f>IF($AK96="","",SUMIFS(OPERATING_COEFFS!$C:$C,OPERATING_COEFFS!$A:$A,"UrgencyClass",OPERATING_COEFFS!$B:$B,$AK96))</f>
        <v/>
      </c>
      <c r="AN96">
        <f>IF($AM96="","",INDEX(TAX_MODES!$B:$B,MATCH($AM96,TAX_MODES!$A:$A,0)))</f>
        <v/>
      </c>
    </row>
    <row r="97">
      <c r="A97" s="15" t="n"/>
      <c r="B97" s="15" t="n"/>
      <c r="C97" s="15" t="n"/>
      <c r="D97" s="23">
        <f>IF($C97="","",SUMIFS(SITE_COEFFS!$C:$C,SITE_COEFFS!$A:$A,"SoilWorkability",SITE_COEFFS!$B:$B,$C97))</f>
        <v/>
      </c>
      <c r="E97" s="15" t="n"/>
      <c r="F97" s="23">
        <f>IF($E97="","",SUMIFS(SITE_COEFFS!$C:$C,SITE_COEFFS!$A:$A,"SoilMoisture",SITE_COEFFS!$B:$B,$E97))</f>
        <v/>
      </c>
      <c r="G97" s="15" t="n"/>
      <c r="H97" s="23">
        <f>IF($G97="","",SUMIFS(SITE_COEFFS!$C:$C,SITE_COEFFS!$A:$A,"DebrisLevel",SITE_COEFFS!$B:$B,$G97))</f>
        <v/>
      </c>
      <c r="I97" s="15" t="n"/>
      <c r="J97" s="23">
        <f>IF($I97="","",SUMIFS(SITE_COEFFS!$C:$C,SITE_COEFFS!$A:$A,"SlopeClass",SITE_COEFFS!$B:$B,$I97))</f>
        <v/>
      </c>
      <c r="K97" s="15" t="n"/>
      <c r="L97" s="23">
        <f>IF($K97="","",SUMIFS(SITE_COEFFS!$C:$C,SITE_COEFFS!$A:$A,"SurfaceUnevenness",SITE_COEFFS!$B:$B,$K97))</f>
        <v/>
      </c>
      <c r="M97" s="15" t="n"/>
      <c r="N97" s="23">
        <f>IF($M97="","",SUMIFS(SITE_COEFFS!$C:$C,SITE_COEFFS!$A:$A,"AccessClass",SITE_COEFFS!$B:$B,$M97))</f>
        <v/>
      </c>
      <c r="O97" s="15" t="n"/>
      <c r="P97" s="23">
        <f>IF($O97="","",SUMIFS(SITE_COEFFS!$C:$C,SITE_COEFFS!$A:$A,"TurnSpace",SITE_COEFFS!$B:$B,$O97))</f>
        <v/>
      </c>
      <c r="Q97" s="15" t="n"/>
      <c r="R97" s="23">
        <f>IF($Q97="","",SUMIFS(SITE_COEFFS!$C:$C,SITE_COEFFS!$A:$A,"ProximityToBuildings",SITE_COEFFS!$B:$B,$Q97))</f>
        <v/>
      </c>
      <c r="S97" s="15" t="n"/>
      <c r="T97" s="23">
        <f>IF($S97="","",SUMIFS(SITE_COEFFS!$C:$C,SITE_COEFFS!$A:$A,"MachineryAllowed",SITE_COEFFS!$B:$B,$S97))</f>
        <v/>
      </c>
      <c r="U97" s="15" t="n"/>
      <c r="V97" s="15" t="n"/>
      <c r="W97" s="23">
        <f>IF($V97="","",SUMIFS(SITE_COEFFS!$C:$C,SITE_COEFFS!$A:$A,"GeometryComplexity",SITE_COEFFS!$B:$B,$V97))</f>
        <v/>
      </c>
      <c r="X97" s="15" t="n"/>
      <c r="Y97" s="15">
        <f>IF($X97="","",SUMIFS(TARIFF_PROFILES!$D:$D,TARIFF_PROFILES!$A:$A,$X97))</f>
        <v/>
      </c>
      <c r="Z97" s="15">
        <f>IF($X97="","",SUMIFS(TARIFF_PROFILES!$E:$E,TARIFF_PROFILES!$A:$A,$X97))</f>
        <v/>
      </c>
      <c r="AA97" s="15">
        <f>IF($X97="","",SUMIFS(TARIFF_PROFILES!$F:$F,TARIFF_PROFILES!$A:$A,$X97))</f>
        <v/>
      </c>
      <c r="AB97" s="15">
        <f>IF($X97="","",SUMIFS(TARIFF_PROFILES!$G:$G,TARIFF_PROFILES!$A:$A,$X97))</f>
        <v/>
      </c>
      <c r="AC97" s="15">
        <f>IF($X97="","",SUMIFS(TARIFF_PROFILES!$H:$H,TARIFF_PROFILES!$A:$A,$X97))</f>
        <v/>
      </c>
      <c r="AD97" s="15">
        <f>IF($X97="","",INDEX(TARIFF_PROFILES!$J:$J,MATCH($X97,TARIFF_PROFILES!$A:$A,0)))</f>
        <v/>
      </c>
      <c r="AE97" s="15">
        <f>IF($X97="","",INDEX(TARIFF_PROFILES!$K:$K,MATCH($X97,TARIFF_PROFILES!$A:$A,0)))</f>
        <v/>
      </c>
      <c r="AH97">
        <f>IF($AG97="","",SUMIFS(OPERATING_COEFFS!$C:$C,OPERATING_COEFFS!$A:$A,"DistanceClass",OPERATING_COEFFS!$B:$B,$AG97))</f>
        <v/>
      </c>
      <c r="AJ97">
        <f>IF($AI97="","",SUMIFS(OPERATING_COEFFS!$C:$C,OPERATING_COEFFS!$A:$A,"SeasonClass",OPERATING_COEFFS!$B:$B,$AI97))</f>
        <v/>
      </c>
      <c r="AL97">
        <f>IF($AK97="","",SUMIFS(OPERATING_COEFFS!$C:$C,OPERATING_COEFFS!$A:$A,"UrgencyClass",OPERATING_COEFFS!$B:$B,$AK97))</f>
        <v/>
      </c>
      <c r="AN97">
        <f>IF($AM97="","",INDEX(TAX_MODES!$B:$B,MATCH($AM97,TAX_MODES!$A:$A,0)))</f>
        <v/>
      </c>
    </row>
    <row r="98">
      <c r="A98" s="15" t="n"/>
      <c r="B98" s="15" t="n"/>
      <c r="C98" s="15" t="n"/>
      <c r="D98" s="23">
        <f>IF($C98="","",SUMIFS(SITE_COEFFS!$C:$C,SITE_COEFFS!$A:$A,"SoilWorkability",SITE_COEFFS!$B:$B,$C98))</f>
        <v/>
      </c>
      <c r="E98" s="15" t="n"/>
      <c r="F98" s="23">
        <f>IF($E98="","",SUMIFS(SITE_COEFFS!$C:$C,SITE_COEFFS!$A:$A,"SoilMoisture",SITE_COEFFS!$B:$B,$E98))</f>
        <v/>
      </c>
      <c r="G98" s="15" t="n"/>
      <c r="H98" s="23">
        <f>IF($G98="","",SUMIFS(SITE_COEFFS!$C:$C,SITE_COEFFS!$A:$A,"DebrisLevel",SITE_COEFFS!$B:$B,$G98))</f>
        <v/>
      </c>
      <c r="I98" s="15" t="n"/>
      <c r="J98" s="23">
        <f>IF($I98="","",SUMIFS(SITE_COEFFS!$C:$C,SITE_COEFFS!$A:$A,"SlopeClass",SITE_COEFFS!$B:$B,$I98))</f>
        <v/>
      </c>
      <c r="K98" s="15" t="n"/>
      <c r="L98" s="23">
        <f>IF($K98="","",SUMIFS(SITE_COEFFS!$C:$C,SITE_COEFFS!$A:$A,"SurfaceUnevenness",SITE_COEFFS!$B:$B,$K98))</f>
        <v/>
      </c>
      <c r="M98" s="15" t="n"/>
      <c r="N98" s="23">
        <f>IF($M98="","",SUMIFS(SITE_COEFFS!$C:$C,SITE_COEFFS!$A:$A,"AccessClass",SITE_COEFFS!$B:$B,$M98))</f>
        <v/>
      </c>
      <c r="O98" s="15" t="n"/>
      <c r="P98" s="23">
        <f>IF($O98="","",SUMIFS(SITE_COEFFS!$C:$C,SITE_COEFFS!$A:$A,"TurnSpace",SITE_COEFFS!$B:$B,$O98))</f>
        <v/>
      </c>
      <c r="Q98" s="15" t="n"/>
      <c r="R98" s="23">
        <f>IF($Q98="","",SUMIFS(SITE_COEFFS!$C:$C,SITE_COEFFS!$A:$A,"ProximityToBuildings",SITE_COEFFS!$B:$B,$Q98))</f>
        <v/>
      </c>
      <c r="S98" s="15" t="n"/>
      <c r="T98" s="23">
        <f>IF($S98="","",SUMIFS(SITE_COEFFS!$C:$C,SITE_COEFFS!$A:$A,"MachineryAllowed",SITE_COEFFS!$B:$B,$S98))</f>
        <v/>
      </c>
      <c r="U98" s="15" t="n"/>
      <c r="V98" s="15" t="n"/>
      <c r="W98" s="23">
        <f>IF($V98="","",SUMIFS(SITE_COEFFS!$C:$C,SITE_COEFFS!$A:$A,"GeometryComplexity",SITE_COEFFS!$B:$B,$V98))</f>
        <v/>
      </c>
      <c r="X98" s="15" t="n"/>
      <c r="Y98" s="15">
        <f>IF($X98="","",SUMIFS(TARIFF_PROFILES!$D:$D,TARIFF_PROFILES!$A:$A,$X98))</f>
        <v/>
      </c>
      <c r="Z98" s="15">
        <f>IF($X98="","",SUMIFS(TARIFF_PROFILES!$E:$E,TARIFF_PROFILES!$A:$A,$X98))</f>
        <v/>
      </c>
      <c r="AA98" s="15">
        <f>IF($X98="","",SUMIFS(TARIFF_PROFILES!$F:$F,TARIFF_PROFILES!$A:$A,$X98))</f>
        <v/>
      </c>
      <c r="AB98" s="15">
        <f>IF($X98="","",SUMIFS(TARIFF_PROFILES!$G:$G,TARIFF_PROFILES!$A:$A,$X98))</f>
        <v/>
      </c>
      <c r="AC98" s="15">
        <f>IF($X98="","",SUMIFS(TARIFF_PROFILES!$H:$H,TARIFF_PROFILES!$A:$A,$X98))</f>
        <v/>
      </c>
      <c r="AD98" s="15">
        <f>IF($X98="","",INDEX(TARIFF_PROFILES!$J:$J,MATCH($X98,TARIFF_PROFILES!$A:$A,0)))</f>
        <v/>
      </c>
      <c r="AE98" s="15">
        <f>IF($X98="","",INDEX(TARIFF_PROFILES!$K:$K,MATCH($X98,TARIFF_PROFILES!$A:$A,0)))</f>
        <v/>
      </c>
      <c r="AH98">
        <f>IF($AG98="","",SUMIFS(OPERATING_COEFFS!$C:$C,OPERATING_COEFFS!$A:$A,"DistanceClass",OPERATING_COEFFS!$B:$B,$AG98))</f>
        <v/>
      </c>
      <c r="AJ98">
        <f>IF($AI98="","",SUMIFS(OPERATING_COEFFS!$C:$C,OPERATING_COEFFS!$A:$A,"SeasonClass",OPERATING_COEFFS!$B:$B,$AI98))</f>
        <v/>
      </c>
      <c r="AL98">
        <f>IF($AK98="","",SUMIFS(OPERATING_COEFFS!$C:$C,OPERATING_COEFFS!$A:$A,"UrgencyClass",OPERATING_COEFFS!$B:$B,$AK98))</f>
        <v/>
      </c>
      <c r="AN98">
        <f>IF($AM98="","",INDEX(TAX_MODES!$B:$B,MATCH($AM98,TAX_MODES!$A:$A,0)))</f>
        <v/>
      </c>
    </row>
    <row r="99">
      <c r="A99" s="15" t="n"/>
      <c r="B99" s="15" t="n"/>
      <c r="C99" s="15" t="n"/>
      <c r="D99" s="23">
        <f>IF($C99="","",SUMIFS(SITE_COEFFS!$C:$C,SITE_COEFFS!$A:$A,"SoilWorkability",SITE_COEFFS!$B:$B,$C99))</f>
        <v/>
      </c>
      <c r="E99" s="15" t="n"/>
      <c r="F99" s="23">
        <f>IF($E99="","",SUMIFS(SITE_COEFFS!$C:$C,SITE_COEFFS!$A:$A,"SoilMoisture",SITE_COEFFS!$B:$B,$E99))</f>
        <v/>
      </c>
      <c r="G99" s="15" t="n"/>
      <c r="H99" s="23">
        <f>IF($G99="","",SUMIFS(SITE_COEFFS!$C:$C,SITE_COEFFS!$A:$A,"DebrisLevel",SITE_COEFFS!$B:$B,$G99))</f>
        <v/>
      </c>
      <c r="I99" s="15" t="n"/>
      <c r="J99" s="23">
        <f>IF($I99="","",SUMIFS(SITE_COEFFS!$C:$C,SITE_COEFFS!$A:$A,"SlopeClass",SITE_COEFFS!$B:$B,$I99))</f>
        <v/>
      </c>
      <c r="K99" s="15" t="n"/>
      <c r="L99" s="23">
        <f>IF($K99="","",SUMIFS(SITE_COEFFS!$C:$C,SITE_COEFFS!$A:$A,"SurfaceUnevenness",SITE_COEFFS!$B:$B,$K99))</f>
        <v/>
      </c>
      <c r="M99" s="15" t="n"/>
      <c r="N99" s="23">
        <f>IF($M99="","",SUMIFS(SITE_COEFFS!$C:$C,SITE_COEFFS!$A:$A,"AccessClass",SITE_COEFFS!$B:$B,$M99))</f>
        <v/>
      </c>
      <c r="O99" s="15" t="n"/>
      <c r="P99" s="23">
        <f>IF($O99="","",SUMIFS(SITE_COEFFS!$C:$C,SITE_COEFFS!$A:$A,"TurnSpace",SITE_COEFFS!$B:$B,$O99))</f>
        <v/>
      </c>
      <c r="Q99" s="15" t="n"/>
      <c r="R99" s="23">
        <f>IF($Q99="","",SUMIFS(SITE_COEFFS!$C:$C,SITE_COEFFS!$A:$A,"ProximityToBuildings",SITE_COEFFS!$B:$B,$Q99))</f>
        <v/>
      </c>
      <c r="S99" s="15" t="n"/>
      <c r="T99" s="23">
        <f>IF($S99="","",SUMIFS(SITE_COEFFS!$C:$C,SITE_COEFFS!$A:$A,"MachineryAllowed",SITE_COEFFS!$B:$B,$S99))</f>
        <v/>
      </c>
      <c r="U99" s="15" t="n"/>
      <c r="V99" s="15" t="n"/>
      <c r="W99" s="23">
        <f>IF($V99="","",SUMIFS(SITE_COEFFS!$C:$C,SITE_COEFFS!$A:$A,"GeometryComplexity",SITE_COEFFS!$B:$B,$V99))</f>
        <v/>
      </c>
      <c r="X99" s="15" t="n"/>
      <c r="Y99" s="15">
        <f>IF($X99="","",SUMIFS(TARIFF_PROFILES!$D:$D,TARIFF_PROFILES!$A:$A,$X99))</f>
        <v/>
      </c>
      <c r="Z99" s="15">
        <f>IF($X99="","",SUMIFS(TARIFF_PROFILES!$E:$E,TARIFF_PROFILES!$A:$A,$X99))</f>
        <v/>
      </c>
      <c r="AA99" s="15">
        <f>IF($X99="","",SUMIFS(TARIFF_PROFILES!$F:$F,TARIFF_PROFILES!$A:$A,$X99))</f>
        <v/>
      </c>
      <c r="AB99" s="15">
        <f>IF($X99="","",SUMIFS(TARIFF_PROFILES!$G:$G,TARIFF_PROFILES!$A:$A,$X99))</f>
        <v/>
      </c>
      <c r="AC99" s="15">
        <f>IF($X99="","",SUMIFS(TARIFF_PROFILES!$H:$H,TARIFF_PROFILES!$A:$A,$X99))</f>
        <v/>
      </c>
      <c r="AD99" s="15">
        <f>IF($X99="","",INDEX(TARIFF_PROFILES!$J:$J,MATCH($X99,TARIFF_PROFILES!$A:$A,0)))</f>
        <v/>
      </c>
      <c r="AE99" s="15">
        <f>IF($X99="","",INDEX(TARIFF_PROFILES!$K:$K,MATCH($X99,TARIFF_PROFILES!$A:$A,0)))</f>
        <v/>
      </c>
      <c r="AH99">
        <f>IF($AG99="","",SUMIFS(OPERATING_COEFFS!$C:$C,OPERATING_COEFFS!$A:$A,"DistanceClass",OPERATING_COEFFS!$B:$B,$AG99))</f>
        <v/>
      </c>
      <c r="AJ99">
        <f>IF($AI99="","",SUMIFS(OPERATING_COEFFS!$C:$C,OPERATING_COEFFS!$A:$A,"SeasonClass",OPERATING_COEFFS!$B:$B,$AI99))</f>
        <v/>
      </c>
      <c r="AL99">
        <f>IF($AK99="","",SUMIFS(OPERATING_COEFFS!$C:$C,OPERATING_COEFFS!$A:$A,"UrgencyClass",OPERATING_COEFFS!$B:$B,$AK99))</f>
        <v/>
      </c>
      <c r="AN99">
        <f>IF($AM99="","",INDEX(TAX_MODES!$B:$B,MATCH($AM99,TAX_MODES!$A:$A,0)))</f>
        <v/>
      </c>
    </row>
    <row r="100">
      <c r="A100" s="15" t="n"/>
      <c r="B100" s="15" t="n"/>
      <c r="C100" s="15" t="n"/>
      <c r="D100" s="23">
        <f>IF($C100="","",SUMIFS(SITE_COEFFS!$C:$C,SITE_COEFFS!$A:$A,"SoilWorkability",SITE_COEFFS!$B:$B,$C100))</f>
        <v/>
      </c>
      <c r="E100" s="15" t="n"/>
      <c r="F100" s="23">
        <f>IF($E100="","",SUMIFS(SITE_COEFFS!$C:$C,SITE_COEFFS!$A:$A,"SoilMoisture",SITE_COEFFS!$B:$B,$E100))</f>
        <v/>
      </c>
      <c r="G100" s="15" t="n"/>
      <c r="H100" s="23">
        <f>IF($G100="","",SUMIFS(SITE_COEFFS!$C:$C,SITE_COEFFS!$A:$A,"DebrisLevel",SITE_COEFFS!$B:$B,$G100))</f>
        <v/>
      </c>
      <c r="I100" s="15" t="n"/>
      <c r="J100" s="23">
        <f>IF($I100="","",SUMIFS(SITE_COEFFS!$C:$C,SITE_COEFFS!$A:$A,"SlopeClass",SITE_COEFFS!$B:$B,$I100))</f>
        <v/>
      </c>
      <c r="K100" s="15" t="n"/>
      <c r="L100" s="23">
        <f>IF($K100="","",SUMIFS(SITE_COEFFS!$C:$C,SITE_COEFFS!$A:$A,"SurfaceUnevenness",SITE_COEFFS!$B:$B,$K100))</f>
        <v/>
      </c>
      <c r="M100" s="15" t="n"/>
      <c r="N100" s="23">
        <f>IF($M100="","",SUMIFS(SITE_COEFFS!$C:$C,SITE_COEFFS!$A:$A,"AccessClass",SITE_COEFFS!$B:$B,$M100))</f>
        <v/>
      </c>
      <c r="O100" s="15" t="n"/>
      <c r="P100" s="23">
        <f>IF($O100="","",SUMIFS(SITE_COEFFS!$C:$C,SITE_COEFFS!$A:$A,"TurnSpace",SITE_COEFFS!$B:$B,$O100))</f>
        <v/>
      </c>
      <c r="Q100" s="15" t="n"/>
      <c r="R100" s="23">
        <f>IF($Q100="","",SUMIFS(SITE_COEFFS!$C:$C,SITE_COEFFS!$A:$A,"ProximityToBuildings",SITE_COEFFS!$B:$B,$Q100))</f>
        <v/>
      </c>
      <c r="S100" s="15" t="n"/>
      <c r="T100" s="23">
        <f>IF($S100="","",SUMIFS(SITE_COEFFS!$C:$C,SITE_COEFFS!$A:$A,"MachineryAllowed",SITE_COEFFS!$B:$B,$S100))</f>
        <v/>
      </c>
      <c r="U100" s="15" t="n"/>
      <c r="V100" s="15" t="n"/>
      <c r="W100" s="23">
        <f>IF($V100="","",SUMIFS(SITE_COEFFS!$C:$C,SITE_COEFFS!$A:$A,"GeometryComplexity",SITE_COEFFS!$B:$B,$V100))</f>
        <v/>
      </c>
      <c r="X100" s="15" t="n"/>
      <c r="Y100" s="15">
        <f>IF($X100="","",SUMIFS(TARIFF_PROFILES!$D:$D,TARIFF_PROFILES!$A:$A,$X100))</f>
        <v/>
      </c>
      <c r="Z100" s="15">
        <f>IF($X100="","",SUMIFS(TARIFF_PROFILES!$E:$E,TARIFF_PROFILES!$A:$A,$X100))</f>
        <v/>
      </c>
      <c r="AA100" s="15">
        <f>IF($X100="","",SUMIFS(TARIFF_PROFILES!$F:$F,TARIFF_PROFILES!$A:$A,$X100))</f>
        <v/>
      </c>
      <c r="AB100" s="15">
        <f>IF($X100="","",SUMIFS(TARIFF_PROFILES!$G:$G,TARIFF_PROFILES!$A:$A,$X100))</f>
        <v/>
      </c>
      <c r="AC100" s="15">
        <f>IF($X100="","",SUMIFS(TARIFF_PROFILES!$H:$H,TARIFF_PROFILES!$A:$A,$X100))</f>
        <v/>
      </c>
      <c r="AD100" s="15">
        <f>IF($X100="","",INDEX(TARIFF_PROFILES!$J:$J,MATCH($X100,TARIFF_PROFILES!$A:$A,0)))</f>
        <v/>
      </c>
      <c r="AE100" s="15">
        <f>IF($X100="","",INDEX(TARIFF_PROFILES!$K:$K,MATCH($X100,TARIFF_PROFILES!$A:$A,0)))</f>
        <v/>
      </c>
      <c r="AH100">
        <f>IF($AG100="","",SUMIFS(OPERATING_COEFFS!$C:$C,OPERATING_COEFFS!$A:$A,"DistanceClass",OPERATING_COEFFS!$B:$B,$AG100))</f>
        <v/>
      </c>
      <c r="AJ100">
        <f>IF($AI100="","",SUMIFS(OPERATING_COEFFS!$C:$C,OPERATING_COEFFS!$A:$A,"SeasonClass",OPERATING_COEFFS!$B:$B,$AI100))</f>
        <v/>
      </c>
      <c r="AL100">
        <f>IF($AK100="","",SUMIFS(OPERATING_COEFFS!$C:$C,OPERATING_COEFFS!$A:$A,"UrgencyClass",OPERATING_COEFFS!$B:$B,$AK100))</f>
        <v/>
      </c>
      <c r="AN100">
        <f>IF($AM100="","",INDEX(TAX_MODES!$B:$B,MATCH($AM100,TAX_MODES!$A:$A,0)))</f>
        <v/>
      </c>
    </row>
    <row r="101">
      <c r="A101" s="15" t="n"/>
      <c r="B101" s="15" t="n"/>
      <c r="C101" s="15" t="n"/>
      <c r="D101" s="23">
        <f>IF($C101="","",SUMIFS(SITE_COEFFS!$C:$C,SITE_COEFFS!$A:$A,"SoilWorkability",SITE_COEFFS!$B:$B,$C101))</f>
        <v/>
      </c>
      <c r="E101" s="15" t="n"/>
      <c r="F101" s="23">
        <f>IF($E101="","",SUMIFS(SITE_COEFFS!$C:$C,SITE_COEFFS!$A:$A,"SoilMoisture",SITE_COEFFS!$B:$B,$E101))</f>
        <v/>
      </c>
      <c r="G101" s="15" t="n"/>
      <c r="H101" s="23">
        <f>IF($G101="","",SUMIFS(SITE_COEFFS!$C:$C,SITE_COEFFS!$A:$A,"DebrisLevel",SITE_COEFFS!$B:$B,$G101))</f>
        <v/>
      </c>
      <c r="I101" s="15" t="n"/>
      <c r="J101" s="23">
        <f>IF($I101="","",SUMIFS(SITE_COEFFS!$C:$C,SITE_COEFFS!$A:$A,"SlopeClass",SITE_COEFFS!$B:$B,$I101))</f>
        <v/>
      </c>
      <c r="K101" s="15" t="n"/>
      <c r="L101" s="23">
        <f>IF($K101="","",SUMIFS(SITE_COEFFS!$C:$C,SITE_COEFFS!$A:$A,"SurfaceUnevenness",SITE_COEFFS!$B:$B,$K101))</f>
        <v/>
      </c>
      <c r="M101" s="15" t="n"/>
      <c r="N101" s="23">
        <f>IF($M101="","",SUMIFS(SITE_COEFFS!$C:$C,SITE_COEFFS!$A:$A,"AccessClass",SITE_COEFFS!$B:$B,$M101))</f>
        <v/>
      </c>
      <c r="O101" s="15" t="n"/>
      <c r="P101" s="23">
        <f>IF($O101="","",SUMIFS(SITE_COEFFS!$C:$C,SITE_COEFFS!$A:$A,"TurnSpace",SITE_COEFFS!$B:$B,$O101))</f>
        <v/>
      </c>
      <c r="Q101" s="15" t="n"/>
      <c r="R101" s="23">
        <f>IF($Q101="","",SUMIFS(SITE_COEFFS!$C:$C,SITE_COEFFS!$A:$A,"ProximityToBuildings",SITE_COEFFS!$B:$B,$Q101))</f>
        <v/>
      </c>
      <c r="S101" s="15" t="n"/>
      <c r="T101" s="23">
        <f>IF($S101="","",SUMIFS(SITE_COEFFS!$C:$C,SITE_COEFFS!$A:$A,"MachineryAllowed",SITE_COEFFS!$B:$B,$S101))</f>
        <v/>
      </c>
      <c r="U101" s="15" t="n"/>
      <c r="V101" s="15" t="n"/>
      <c r="W101" s="23">
        <f>IF($V101="","",SUMIFS(SITE_COEFFS!$C:$C,SITE_COEFFS!$A:$A,"GeometryComplexity",SITE_COEFFS!$B:$B,$V101))</f>
        <v/>
      </c>
      <c r="X101" s="15" t="n"/>
      <c r="Y101" s="15">
        <f>IF($X101="","",SUMIFS(TARIFF_PROFILES!$D:$D,TARIFF_PROFILES!$A:$A,$X101))</f>
        <v/>
      </c>
      <c r="Z101" s="15">
        <f>IF($X101="","",SUMIFS(TARIFF_PROFILES!$E:$E,TARIFF_PROFILES!$A:$A,$X101))</f>
        <v/>
      </c>
      <c r="AA101" s="15">
        <f>IF($X101="","",SUMIFS(TARIFF_PROFILES!$F:$F,TARIFF_PROFILES!$A:$A,$X101))</f>
        <v/>
      </c>
      <c r="AB101" s="15">
        <f>IF($X101="","",SUMIFS(TARIFF_PROFILES!$G:$G,TARIFF_PROFILES!$A:$A,$X101))</f>
        <v/>
      </c>
      <c r="AC101" s="15">
        <f>IF($X101="","",SUMIFS(TARIFF_PROFILES!$H:$H,TARIFF_PROFILES!$A:$A,$X101))</f>
        <v/>
      </c>
      <c r="AD101" s="15">
        <f>IF($X101="","",INDEX(TARIFF_PROFILES!$J:$J,MATCH($X101,TARIFF_PROFILES!$A:$A,0)))</f>
        <v/>
      </c>
      <c r="AE101" s="15">
        <f>IF($X101="","",INDEX(TARIFF_PROFILES!$K:$K,MATCH($X101,TARIFF_PROFILES!$A:$A,0)))</f>
        <v/>
      </c>
      <c r="AH101">
        <f>IF($AG101="","",SUMIFS(OPERATING_COEFFS!$C:$C,OPERATING_COEFFS!$A:$A,"DistanceClass",OPERATING_COEFFS!$B:$B,$AG101))</f>
        <v/>
      </c>
      <c r="AJ101">
        <f>IF($AI101="","",SUMIFS(OPERATING_COEFFS!$C:$C,OPERATING_COEFFS!$A:$A,"SeasonClass",OPERATING_COEFFS!$B:$B,$AI101))</f>
        <v/>
      </c>
      <c r="AL101">
        <f>IF($AK101="","",SUMIFS(OPERATING_COEFFS!$C:$C,OPERATING_COEFFS!$A:$A,"UrgencyClass",OPERATING_COEFFS!$B:$B,$AK101))</f>
        <v/>
      </c>
      <c r="AN101">
        <f>IF($AM101="","",INDEX(TAX_MODES!$B:$B,MATCH($AM101,TAX_MODES!$A:$A,0)))</f>
        <v/>
      </c>
    </row>
    <row r="102">
      <c r="A102" s="15" t="n"/>
      <c r="B102" s="15" t="n"/>
      <c r="C102" s="15" t="n"/>
      <c r="D102" s="23">
        <f>IF($C102="","",SUMIFS(SITE_COEFFS!$C:$C,SITE_COEFFS!$A:$A,"SoilWorkability",SITE_COEFFS!$B:$B,$C102))</f>
        <v/>
      </c>
      <c r="E102" s="15" t="n"/>
      <c r="F102" s="23">
        <f>IF($E102="","",SUMIFS(SITE_COEFFS!$C:$C,SITE_COEFFS!$A:$A,"SoilMoisture",SITE_COEFFS!$B:$B,$E102))</f>
        <v/>
      </c>
      <c r="G102" s="15" t="n"/>
      <c r="H102" s="23">
        <f>IF($G102="","",SUMIFS(SITE_COEFFS!$C:$C,SITE_COEFFS!$A:$A,"DebrisLevel",SITE_COEFFS!$B:$B,$G102))</f>
        <v/>
      </c>
      <c r="I102" s="15" t="n"/>
      <c r="J102" s="23">
        <f>IF($I102="","",SUMIFS(SITE_COEFFS!$C:$C,SITE_COEFFS!$A:$A,"SlopeClass",SITE_COEFFS!$B:$B,$I102))</f>
        <v/>
      </c>
      <c r="K102" s="15" t="n"/>
      <c r="L102" s="23">
        <f>IF($K102="","",SUMIFS(SITE_COEFFS!$C:$C,SITE_COEFFS!$A:$A,"SurfaceUnevenness",SITE_COEFFS!$B:$B,$K102))</f>
        <v/>
      </c>
      <c r="M102" s="15" t="n"/>
      <c r="N102" s="23">
        <f>IF($M102="","",SUMIFS(SITE_COEFFS!$C:$C,SITE_COEFFS!$A:$A,"AccessClass",SITE_COEFFS!$B:$B,$M102))</f>
        <v/>
      </c>
      <c r="O102" s="15" t="n"/>
      <c r="P102" s="23">
        <f>IF($O102="","",SUMIFS(SITE_COEFFS!$C:$C,SITE_COEFFS!$A:$A,"TurnSpace",SITE_COEFFS!$B:$B,$O102))</f>
        <v/>
      </c>
      <c r="Q102" s="15" t="n"/>
      <c r="R102" s="23">
        <f>IF($Q102="","",SUMIFS(SITE_COEFFS!$C:$C,SITE_COEFFS!$A:$A,"ProximityToBuildings",SITE_COEFFS!$B:$B,$Q102))</f>
        <v/>
      </c>
      <c r="S102" s="15" t="n"/>
      <c r="T102" s="23">
        <f>IF($S102="","",SUMIFS(SITE_COEFFS!$C:$C,SITE_COEFFS!$A:$A,"MachineryAllowed",SITE_COEFFS!$B:$B,$S102))</f>
        <v/>
      </c>
      <c r="U102" s="15" t="n"/>
      <c r="V102" s="15" t="n"/>
      <c r="W102" s="23">
        <f>IF($V102="","",SUMIFS(SITE_COEFFS!$C:$C,SITE_COEFFS!$A:$A,"GeometryComplexity",SITE_COEFFS!$B:$B,$V102))</f>
        <v/>
      </c>
      <c r="X102" s="15" t="n"/>
      <c r="Y102" s="15">
        <f>IF($X102="","",SUMIFS(TARIFF_PROFILES!$D:$D,TARIFF_PROFILES!$A:$A,$X102))</f>
        <v/>
      </c>
      <c r="Z102" s="15">
        <f>IF($X102="","",SUMIFS(TARIFF_PROFILES!$E:$E,TARIFF_PROFILES!$A:$A,$X102))</f>
        <v/>
      </c>
      <c r="AA102" s="15">
        <f>IF($X102="","",SUMIFS(TARIFF_PROFILES!$F:$F,TARIFF_PROFILES!$A:$A,$X102))</f>
        <v/>
      </c>
      <c r="AB102" s="15">
        <f>IF($X102="","",SUMIFS(TARIFF_PROFILES!$G:$G,TARIFF_PROFILES!$A:$A,$X102))</f>
        <v/>
      </c>
      <c r="AC102" s="15">
        <f>IF($X102="","",SUMIFS(TARIFF_PROFILES!$H:$H,TARIFF_PROFILES!$A:$A,$X102))</f>
        <v/>
      </c>
      <c r="AD102" s="15">
        <f>IF($X102="","",INDEX(TARIFF_PROFILES!$J:$J,MATCH($X102,TARIFF_PROFILES!$A:$A,0)))</f>
        <v/>
      </c>
      <c r="AE102" s="15">
        <f>IF($X102="","",INDEX(TARIFF_PROFILES!$K:$K,MATCH($X102,TARIFF_PROFILES!$A:$A,0)))</f>
        <v/>
      </c>
      <c r="AH102">
        <f>IF($AG102="","",SUMIFS(OPERATING_COEFFS!$C:$C,OPERATING_COEFFS!$A:$A,"DistanceClass",OPERATING_COEFFS!$B:$B,$AG102))</f>
        <v/>
      </c>
      <c r="AJ102">
        <f>IF($AI102="","",SUMIFS(OPERATING_COEFFS!$C:$C,OPERATING_COEFFS!$A:$A,"SeasonClass",OPERATING_COEFFS!$B:$B,$AI102))</f>
        <v/>
      </c>
      <c r="AL102">
        <f>IF($AK102="","",SUMIFS(OPERATING_COEFFS!$C:$C,OPERATING_COEFFS!$A:$A,"UrgencyClass",OPERATING_COEFFS!$B:$B,$AK102))</f>
        <v/>
      </c>
      <c r="AN102">
        <f>IF($AM102="","",INDEX(TAX_MODES!$B:$B,MATCH($AM102,TAX_MODES!$A:$A,0)))</f>
        <v/>
      </c>
    </row>
    <row r="103">
      <c r="A103" s="15" t="n"/>
      <c r="B103" s="15" t="n"/>
      <c r="C103" s="15" t="n"/>
      <c r="D103" s="23">
        <f>IF($C103="","",SUMIFS(SITE_COEFFS!$C:$C,SITE_COEFFS!$A:$A,"SoilWorkability",SITE_COEFFS!$B:$B,$C103))</f>
        <v/>
      </c>
      <c r="E103" s="15" t="n"/>
      <c r="F103" s="23">
        <f>IF($E103="","",SUMIFS(SITE_COEFFS!$C:$C,SITE_COEFFS!$A:$A,"SoilMoisture",SITE_COEFFS!$B:$B,$E103))</f>
        <v/>
      </c>
      <c r="G103" s="15" t="n"/>
      <c r="H103" s="23">
        <f>IF($G103="","",SUMIFS(SITE_COEFFS!$C:$C,SITE_COEFFS!$A:$A,"DebrisLevel",SITE_COEFFS!$B:$B,$G103))</f>
        <v/>
      </c>
      <c r="I103" s="15" t="n"/>
      <c r="J103" s="23">
        <f>IF($I103="","",SUMIFS(SITE_COEFFS!$C:$C,SITE_COEFFS!$A:$A,"SlopeClass",SITE_COEFFS!$B:$B,$I103))</f>
        <v/>
      </c>
      <c r="K103" s="15" t="n"/>
      <c r="L103" s="23">
        <f>IF($K103="","",SUMIFS(SITE_COEFFS!$C:$C,SITE_COEFFS!$A:$A,"SurfaceUnevenness",SITE_COEFFS!$B:$B,$K103))</f>
        <v/>
      </c>
      <c r="M103" s="15" t="n"/>
      <c r="N103" s="23">
        <f>IF($M103="","",SUMIFS(SITE_COEFFS!$C:$C,SITE_COEFFS!$A:$A,"AccessClass",SITE_COEFFS!$B:$B,$M103))</f>
        <v/>
      </c>
      <c r="O103" s="15" t="n"/>
      <c r="P103" s="23">
        <f>IF($O103="","",SUMIFS(SITE_COEFFS!$C:$C,SITE_COEFFS!$A:$A,"TurnSpace",SITE_COEFFS!$B:$B,$O103))</f>
        <v/>
      </c>
      <c r="Q103" s="15" t="n"/>
      <c r="R103" s="23">
        <f>IF($Q103="","",SUMIFS(SITE_COEFFS!$C:$C,SITE_COEFFS!$A:$A,"ProximityToBuildings",SITE_COEFFS!$B:$B,$Q103))</f>
        <v/>
      </c>
      <c r="S103" s="15" t="n"/>
      <c r="T103" s="23">
        <f>IF($S103="","",SUMIFS(SITE_COEFFS!$C:$C,SITE_COEFFS!$A:$A,"MachineryAllowed",SITE_COEFFS!$B:$B,$S103))</f>
        <v/>
      </c>
      <c r="U103" s="15" t="n"/>
      <c r="V103" s="15" t="n"/>
      <c r="W103" s="23">
        <f>IF($V103="","",SUMIFS(SITE_COEFFS!$C:$C,SITE_COEFFS!$A:$A,"GeometryComplexity",SITE_COEFFS!$B:$B,$V103))</f>
        <v/>
      </c>
      <c r="X103" s="15" t="n"/>
      <c r="Y103" s="15">
        <f>IF($X103="","",SUMIFS(TARIFF_PROFILES!$D:$D,TARIFF_PROFILES!$A:$A,$X103))</f>
        <v/>
      </c>
      <c r="Z103" s="15">
        <f>IF($X103="","",SUMIFS(TARIFF_PROFILES!$E:$E,TARIFF_PROFILES!$A:$A,$X103))</f>
        <v/>
      </c>
      <c r="AA103" s="15">
        <f>IF($X103="","",SUMIFS(TARIFF_PROFILES!$F:$F,TARIFF_PROFILES!$A:$A,$X103))</f>
        <v/>
      </c>
      <c r="AB103" s="15">
        <f>IF($X103="","",SUMIFS(TARIFF_PROFILES!$G:$G,TARIFF_PROFILES!$A:$A,$X103))</f>
        <v/>
      </c>
      <c r="AC103" s="15">
        <f>IF($X103="","",SUMIFS(TARIFF_PROFILES!$H:$H,TARIFF_PROFILES!$A:$A,$X103))</f>
        <v/>
      </c>
      <c r="AD103" s="15">
        <f>IF($X103="","",INDEX(TARIFF_PROFILES!$J:$J,MATCH($X103,TARIFF_PROFILES!$A:$A,0)))</f>
        <v/>
      </c>
      <c r="AE103" s="15">
        <f>IF($X103="","",INDEX(TARIFF_PROFILES!$K:$K,MATCH($X103,TARIFF_PROFILES!$A:$A,0)))</f>
        <v/>
      </c>
      <c r="AH103">
        <f>IF($AG103="","",SUMIFS(OPERATING_COEFFS!$C:$C,OPERATING_COEFFS!$A:$A,"DistanceClass",OPERATING_COEFFS!$B:$B,$AG103))</f>
        <v/>
      </c>
      <c r="AJ103">
        <f>IF($AI103="","",SUMIFS(OPERATING_COEFFS!$C:$C,OPERATING_COEFFS!$A:$A,"SeasonClass",OPERATING_COEFFS!$B:$B,$AI103))</f>
        <v/>
      </c>
      <c r="AL103">
        <f>IF($AK103="","",SUMIFS(OPERATING_COEFFS!$C:$C,OPERATING_COEFFS!$A:$A,"UrgencyClass",OPERATING_COEFFS!$B:$B,$AK103))</f>
        <v/>
      </c>
      <c r="AN103">
        <f>IF($AM103="","",INDEX(TAX_MODES!$B:$B,MATCH($AM103,TAX_MODES!$A:$A,0)))</f>
        <v/>
      </c>
    </row>
    <row r="104">
      <c r="A104" s="15" t="n"/>
      <c r="B104" s="15" t="n"/>
      <c r="C104" s="15" t="n"/>
      <c r="D104" s="23">
        <f>IF($C104="","",SUMIFS(SITE_COEFFS!$C:$C,SITE_COEFFS!$A:$A,"SoilWorkability",SITE_COEFFS!$B:$B,$C104))</f>
        <v/>
      </c>
      <c r="E104" s="15" t="n"/>
      <c r="F104" s="23">
        <f>IF($E104="","",SUMIFS(SITE_COEFFS!$C:$C,SITE_COEFFS!$A:$A,"SoilMoisture",SITE_COEFFS!$B:$B,$E104))</f>
        <v/>
      </c>
      <c r="G104" s="15" t="n"/>
      <c r="H104" s="23">
        <f>IF($G104="","",SUMIFS(SITE_COEFFS!$C:$C,SITE_COEFFS!$A:$A,"DebrisLevel",SITE_COEFFS!$B:$B,$G104))</f>
        <v/>
      </c>
      <c r="I104" s="15" t="n"/>
      <c r="J104" s="23">
        <f>IF($I104="","",SUMIFS(SITE_COEFFS!$C:$C,SITE_COEFFS!$A:$A,"SlopeClass",SITE_COEFFS!$B:$B,$I104))</f>
        <v/>
      </c>
      <c r="K104" s="15" t="n"/>
      <c r="L104" s="23">
        <f>IF($K104="","",SUMIFS(SITE_COEFFS!$C:$C,SITE_COEFFS!$A:$A,"SurfaceUnevenness",SITE_COEFFS!$B:$B,$K104))</f>
        <v/>
      </c>
      <c r="M104" s="15" t="n"/>
      <c r="N104" s="23">
        <f>IF($M104="","",SUMIFS(SITE_COEFFS!$C:$C,SITE_COEFFS!$A:$A,"AccessClass",SITE_COEFFS!$B:$B,$M104))</f>
        <v/>
      </c>
      <c r="O104" s="15" t="n"/>
      <c r="P104" s="23">
        <f>IF($O104="","",SUMIFS(SITE_COEFFS!$C:$C,SITE_COEFFS!$A:$A,"TurnSpace",SITE_COEFFS!$B:$B,$O104))</f>
        <v/>
      </c>
      <c r="Q104" s="15" t="n"/>
      <c r="R104" s="23">
        <f>IF($Q104="","",SUMIFS(SITE_COEFFS!$C:$C,SITE_COEFFS!$A:$A,"ProximityToBuildings",SITE_COEFFS!$B:$B,$Q104))</f>
        <v/>
      </c>
      <c r="S104" s="15" t="n"/>
      <c r="T104" s="23">
        <f>IF($S104="","",SUMIFS(SITE_COEFFS!$C:$C,SITE_COEFFS!$A:$A,"MachineryAllowed",SITE_COEFFS!$B:$B,$S104))</f>
        <v/>
      </c>
      <c r="U104" s="15" t="n"/>
      <c r="V104" s="15" t="n"/>
      <c r="W104" s="23">
        <f>IF($V104="","",SUMIFS(SITE_COEFFS!$C:$C,SITE_COEFFS!$A:$A,"GeometryComplexity",SITE_COEFFS!$B:$B,$V104))</f>
        <v/>
      </c>
      <c r="X104" s="15" t="n"/>
      <c r="Y104" s="15">
        <f>IF($X104="","",SUMIFS(TARIFF_PROFILES!$D:$D,TARIFF_PROFILES!$A:$A,$X104))</f>
        <v/>
      </c>
      <c r="Z104" s="15">
        <f>IF($X104="","",SUMIFS(TARIFF_PROFILES!$E:$E,TARIFF_PROFILES!$A:$A,$X104))</f>
        <v/>
      </c>
      <c r="AA104" s="15">
        <f>IF($X104="","",SUMIFS(TARIFF_PROFILES!$F:$F,TARIFF_PROFILES!$A:$A,$X104))</f>
        <v/>
      </c>
      <c r="AB104" s="15">
        <f>IF($X104="","",SUMIFS(TARIFF_PROFILES!$G:$G,TARIFF_PROFILES!$A:$A,$X104))</f>
        <v/>
      </c>
      <c r="AC104" s="15">
        <f>IF($X104="","",SUMIFS(TARIFF_PROFILES!$H:$H,TARIFF_PROFILES!$A:$A,$X104))</f>
        <v/>
      </c>
      <c r="AD104" s="15">
        <f>IF($X104="","",INDEX(TARIFF_PROFILES!$J:$J,MATCH($X104,TARIFF_PROFILES!$A:$A,0)))</f>
        <v/>
      </c>
      <c r="AE104" s="15">
        <f>IF($X104="","",INDEX(TARIFF_PROFILES!$K:$K,MATCH($X104,TARIFF_PROFILES!$A:$A,0)))</f>
        <v/>
      </c>
      <c r="AH104">
        <f>IF($AG104="","",SUMIFS(OPERATING_COEFFS!$C:$C,OPERATING_COEFFS!$A:$A,"DistanceClass",OPERATING_COEFFS!$B:$B,$AG104))</f>
        <v/>
      </c>
      <c r="AJ104">
        <f>IF($AI104="","",SUMIFS(OPERATING_COEFFS!$C:$C,OPERATING_COEFFS!$A:$A,"SeasonClass",OPERATING_COEFFS!$B:$B,$AI104))</f>
        <v/>
      </c>
      <c r="AL104">
        <f>IF($AK104="","",SUMIFS(OPERATING_COEFFS!$C:$C,OPERATING_COEFFS!$A:$A,"UrgencyClass",OPERATING_COEFFS!$B:$B,$AK104))</f>
        <v/>
      </c>
      <c r="AN104">
        <f>IF($AM104="","",INDEX(TAX_MODES!$B:$B,MATCH($AM104,TAX_MODES!$A:$A,0)))</f>
        <v/>
      </c>
    </row>
    <row r="105">
      <c r="A105" s="15" t="n"/>
      <c r="B105" s="15" t="n"/>
      <c r="C105" s="15" t="n"/>
      <c r="D105" s="23">
        <f>IF($C105="","",SUMIFS(SITE_COEFFS!$C:$C,SITE_COEFFS!$A:$A,"SoilWorkability",SITE_COEFFS!$B:$B,$C105))</f>
        <v/>
      </c>
      <c r="E105" s="15" t="n"/>
      <c r="F105" s="23">
        <f>IF($E105="","",SUMIFS(SITE_COEFFS!$C:$C,SITE_COEFFS!$A:$A,"SoilMoisture",SITE_COEFFS!$B:$B,$E105))</f>
        <v/>
      </c>
      <c r="G105" s="15" t="n"/>
      <c r="H105" s="23">
        <f>IF($G105="","",SUMIFS(SITE_COEFFS!$C:$C,SITE_COEFFS!$A:$A,"DebrisLevel",SITE_COEFFS!$B:$B,$G105))</f>
        <v/>
      </c>
      <c r="I105" s="15" t="n"/>
      <c r="J105" s="23">
        <f>IF($I105="","",SUMIFS(SITE_COEFFS!$C:$C,SITE_COEFFS!$A:$A,"SlopeClass",SITE_COEFFS!$B:$B,$I105))</f>
        <v/>
      </c>
      <c r="K105" s="15" t="n"/>
      <c r="L105" s="23">
        <f>IF($K105="","",SUMIFS(SITE_COEFFS!$C:$C,SITE_COEFFS!$A:$A,"SurfaceUnevenness",SITE_COEFFS!$B:$B,$K105))</f>
        <v/>
      </c>
      <c r="M105" s="15" t="n"/>
      <c r="N105" s="23">
        <f>IF($M105="","",SUMIFS(SITE_COEFFS!$C:$C,SITE_COEFFS!$A:$A,"AccessClass",SITE_COEFFS!$B:$B,$M105))</f>
        <v/>
      </c>
      <c r="O105" s="15" t="n"/>
      <c r="P105" s="23">
        <f>IF($O105="","",SUMIFS(SITE_COEFFS!$C:$C,SITE_COEFFS!$A:$A,"TurnSpace",SITE_COEFFS!$B:$B,$O105))</f>
        <v/>
      </c>
      <c r="Q105" s="15" t="n"/>
      <c r="R105" s="23">
        <f>IF($Q105="","",SUMIFS(SITE_COEFFS!$C:$C,SITE_COEFFS!$A:$A,"ProximityToBuildings",SITE_COEFFS!$B:$B,$Q105))</f>
        <v/>
      </c>
      <c r="S105" s="15" t="n"/>
      <c r="T105" s="23">
        <f>IF($S105="","",SUMIFS(SITE_COEFFS!$C:$C,SITE_COEFFS!$A:$A,"MachineryAllowed",SITE_COEFFS!$B:$B,$S105))</f>
        <v/>
      </c>
      <c r="U105" s="15" t="n"/>
      <c r="V105" s="15" t="n"/>
      <c r="W105" s="23">
        <f>IF($V105="","",SUMIFS(SITE_COEFFS!$C:$C,SITE_COEFFS!$A:$A,"GeometryComplexity",SITE_COEFFS!$B:$B,$V105))</f>
        <v/>
      </c>
      <c r="X105" s="15" t="n"/>
      <c r="Y105" s="15">
        <f>IF($X105="","",SUMIFS(TARIFF_PROFILES!$D:$D,TARIFF_PROFILES!$A:$A,$X105))</f>
        <v/>
      </c>
      <c r="Z105" s="15">
        <f>IF($X105="","",SUMIFS(TARIFF_PROFILES!$E:$E,TARIFF_PROFILES!$A:$A,$X105))</f>
        <v/>
      </c>
      <c r="AA105" s="15">
        <f>IF($X105="","",SUMIFS(TARIFF_PROFILES!$F:$F,TARIFF_PROFILES!$A:$A,$X105))</f>
        <v/>
      </c>
      <c r="AB105" s="15">
        <f>IF($X105="","",SUMIFS(TARIFF_PROFILES!$G:$G,TARIFF_PROFILES!$A:$A,$X105))</f>
        <v/>
      </c>
      <c r="AC105" s="15">
        <f>IF($X105="","",SUMIFS(TARIFF_PROFILES!$H:$H,TARIFF_PROFILES!$A:$A,$X105))</f>
        <v/>
      </c>
      <c r="AD105" s="15">
        <f>IF($X105="","",INDEX(TARIFF_PROFILES!$J:$J,MATCH($X105,TARIFF_PROFILES!$A:$A,0)))</f>
        <v/>
      </c>
      <c r="AE105" s="15">
        <f>IF($X105="","",INDEX(TARIFF_PROFILES!$K:$K,MATCH($X105,TARIFF_PROFILES!$A:$A,0)))</f>
        <v/>
      </c>
      <c r="AH105">
        <f>IF($AG105="","",SUMIFS(OPERATING_COEFFS!$C:$C,OPERATING_COEFFS!$A:$A,"DistanceClass",OPERATING_COEFFS!$B:$B,$AG105))</f>
        <v/>
      </c>
      <c r="AJ105">
        <f>IF($AI105="","",SUMIFS(OPERATING_COEFFS!$C:$C,OPERATING_COEFFS!$A:$A,"SeasonClass",OPERATING_COEFFS!$B:$B,$AI105))</f>
        <v/>
      </c>
      <c r="AL105">
        <f>IF($AK105="","",SUMIFS(OPERATING_COEFFS!$C:$C,OPERATING_COEFFS!$A:$A,"UrgencyClass",OPERATING_COEFFS!$B:$B,$AK105))</f>
        <v/>
      </c>
      <c r="AN105">
        <f>IF($AM105="","",INDEX(TAX_MODES!$B:$B,MATCH($AM105,TAX_MODES!$A:$A,0)))</f>
        <v/>
      </c>
    </row>
    <row r="106">
      <c r="A106" s="15" t="n"/>
      <c r="B106" s="15" t="n"/>
      <c r="C106" s="15" t="n"/>
      <c r="D106" s="23">
        <f>IF($C106="","",SUMIFS(SITE_COEFFS!$C:$C,SITE_COEFFS!$A:$A,"SoilWorkability",SITE_COEFFS!$B:$B,$C106))</f>
        <v/>
      </c>
      <c r="E106" s="15" t="n"/>
      <c r="F106" s="23">
        <f>IF($E106="","",SUMIFS(SITE_COEFFS!$C:$C,SITE_COEFFS!$A:$A,"SoilMoisture",SITE_COEFFS!$B:$B,$E106))</f>
        <v/>
      </c>
      <c r="G106" s="15" t="n"/>
      <c r="H106" s="23">
        <f>IF($G106="","",SUMIFS(SITE_COEFFS!$C:$C,SITE_COEFFS!$A:$A,"DebrisLevel",SITE_COEFFS!$B:$B,$G106))</f>
        <v/>
      </c>
      <c r="I106" s="15" t="n"/>
      <c r="J106" s="23">
        <f>IF($I106="","",SUMIFS(SITE_COEFFS!$C:$C,SITE_COEFFS!$A:$A,"SlopeClass",SITE_COEFFS!$B:$B,$I106))</f>
        <v/>
      </c>
      <c r="K106" s="15" t="n"/>
      <c r="L106" s="23">
        <f>IF($K106="","",SUMIFS(SITE_COEFFS!$C:$C,SITE_COEFFS!$A:$A,"SurfaceUnevenness",SITE_COEFFS!$B:$B,$K106))</f>
        <v/>
      </c>
      <c r="M106" s="15" t="n"/>
      <c r="N106" s="23">
        <f>IF($M106="","",SUMIFS(SITE_COEFFS!$C:$C,SITE_COEFFS!$A:$A,"AccessClass",SITE_COEFFS!$B:$B,$M106))</f>
        <v/>
      </c>
      <c r="O106" s="15" t="n"/>
      <c r="P106" s="23">
        <f>IF($O106="","",SUMIFS(SITE_COEFFS!$C:$C,SITE_COEFFS!$A:$A,"TurnSpace",SITE_COEFFS!$B:$B,$O106))</f>
        <v/>
      </c>
      <c r="Q106" s="15" t="n"/>
      <c r="R106" s="23">
        <f>IF($Q106="","",SUMIFS(SITE_COEFFS!$C:$C,SITE_COEFFS!$A:$A,"ProximityToBuildings",SITE_COEFFS!$B:$B,$Q106))</f>
        <v/>
      </c>
      <c r="S106" s="15" t="n"/>
      <c r="T106" s="23">
        <f>IF($S106="","",SUMIFS(SITE_COEFFS!$C:$C,SITE_COEFFS!$A:$A,"MachineryAllowed",SITE_COEFFS!$B:$B,$S106))</f>
        <v/>
      </c>
      <c r="U106" s="15" t="n"/>
      <c r="V106" s="15" t="n"/>
      <c r="W106" s="23">
        <f>IF($V106="","",SUMIFS(SITE_COEFFS!$C:$C,SITE_COEFFS!$A:$A,"GeometryComplexity",SITE_COEFFS!$B:$B,$V106))</f>
        <v/>
      </c>
      <c r="X106" s="15" t="n"/>
      <c r="Y106" s="15">
        <f>IF($X106="","",SUMIFS(TARIFF_PROFILES!$D:$D,TARIFF_PROFILES!$A:$A,$X106))</f>
        <v/>
      </c>
      <c r="Z106" s="15">
        <f>IF($X106="","",SUMIFS(TARIFF_PROFILES!$E:$E,TARIFF_PROFILES!$A:$A,$X106))</f>
        <v/>
      </c>
      <c r="AA106" s="15">
        <f>IF($X106="","",SUMIFS(TARIFF_PROFILES!$F:$F,TARIFF_PROFILES!$A:$A,$X106))</f>
        <v/>
      </c>
      <c r="AB106" s="15">
        <f>IF($X106="","",SUMIFS(TARIFF_PROFILES!$G:$G,TARIFF_PROFILES!$A:$A,$X106))</f>
        <v/>
      </c>
      <c r="AC106" s="15">
        <f>IF($X106="","",SUMIFS(TARIFF_PROFILES!$H:$H,TARIFF_PROFILES!$A:$A,$X106))</f>
        <v/>
      </c>
      <c r="AD106" s="15">
        <f>IF($X106="","",INDEX(TARIFF_PROFILES!$J:$J,MATCH($X106,TARIFF_PROFILES!$A:$A,0)))</f>
        <v/>
      </c>
      <c r="AE106" s="15">
        <f>IF($X106="","",INDEX(TARIFF_PROFILES!$K:$K,MATCH($X106,TARIFF_PROFILES!$A:$A,0)))</f>
        <v/>
      </c>
      <c r="AH106">
        <f>IF($AG106="","",SUMIFS(OPERATING_COEFFS!$C:$C,OPERATING_COEFFS!$A:$A,"DistanceClass",OPERATING_COEFFS!$B:$B,$AG106))</f>
        <v/>
      </c>
      <c r="AJ106">
        <f>IF($AI106="","",SUMIFS(OPERATING_COEFFS!$C:$C,OPERATING_COEFFS!$A:$A,"SeasonClass",OPERATING_COEFFS!$B:$B,$AI106))</f>
        <v/>
      </c>
      <c r="AL106">
        <f>IF($AK106="","",SUMIFS(OPERATING_COEFFS!$C:$C,OPERATING_COEFFS!$A:$A,"UrgencyClass",OPERATING_COEFFS!$B:$B,$AK106))</f>
        <v/>
      </c>
      <c r="AN106">
        <f>IF($AM106="","",INDEX(TAX_MODES!$B:$B,MATCH($AM106,TAX_MODES!$A:$A,0)))</f>
        <v/>
      </c>
    </row>
    <row r="107">
      <c r="A107" s="15" t="n"/>
      <c r="B107" s="15" t="n"/>
      <c r="C107" s="15" t="n"/>
      <c r="D107" s="23">
        <f>IF($C107="","",SUMIFS(SITE_COEFFS!$C:$C,SITE_COEFFS!$A:$A,"SoilWorkability",SITE_COEFFS!$B:$B,$C107))</f>
        <v/>
      </c>
      <c r="E107" s="15" t="n"/>
      <c r="F107" s="23">
        <f>IF($E107="","",SUMIFS(SITE_COEFFS!$C:$C,SITE_COEFFS!$A:$A,"SoilMoisture",SITE_COEFFS!$B:$B,$E107))</f>
        <v/>
      </c>
      <c r="G107" s="15" t="n"/>
      <c r="H107" s="23">
        <f>IF($G107="","",SUMIFS(SITE_COEFFS!$C:$C,SITE_COEFFS!$A:$A,"DebrisLevel",SITE_COEFFS!$B:$B,$G107))</f>
        <v/>
      </c>
      <c r="I107" s="15" t="n"/>
      <c r="J107" s="23">
        <f>IF($I107="","",SUMIFS(SITE_COEFFS!$C:$C,SITE_COEFFS!$A:$A,"SlopeClass",SITE_COEFFS!$B:$B,$I107))</f>
        <v/>
      </c>
      <c r="K107" s="15" t="n"/>
      <c r="L107" s="23">
        <f>IF($K107="","",SUMIFS(SITE_COEFFS!$C:$C,SITE_COEFFS!$A:$A,"SurfaceUnevenness",SITE_COEFFS!$B:$B,$K107))</f>
        <v/>
      </c>
      <c r="M107" s="15" t="n"/>
      <c r="N107" s="23">
        <f>IF($M107="","",SUMIFS(SITE_COEFFS!$C:$C,SITE_COEFFS!$A:$A,"AccessClass",SITE_COEFFS!$B:$B,$M107))</f>
        <v/>
      </c>
      <c r="O107" s="15" t="n"/>
      <c r="P107" s="23">
        <f>IF($O107="","",SUMIFS(SITE_COEFFS!$C:$C,SITE_COEFFS!$A:$A,"TurnSpace",SITE_COEFFS!$B:$B,$O107))</f>
        <v/>
      </c>
      <c r="Q107" s="15" t="n"/>
      <c r="R107" s="23">
        <f>IF($Q107="","",SUMIFS(SITE_COEFFS!$C:$C,SITE_COEFFS!$A:$A,"ProximityToBuildings",SITE_COEFFS!$B:$B,$Q107))</f>
        <v/>
      </c>
      <c r="S107" s="15" t="n"/>
      <c r="T107" s="23">
        <f>IF($S107="","",SUMIFS(SITE_COEFFS!$C:$C,SITE_COEFFS!$A:$A,"MachineryAllowed",SITE_COEFFS!$B:$B,$S107))</f>
        <v/>
      </c>
      <c r="U107" s="15" t="n"/>
      <c r="V107" s="15" t="n"/>
      <c r="W107" s="23">
        <f>IF($V107="","",SUMIFS(SITE_COEFFS!$C:$C,SITE_COEFFS!$A:$A,"GeometryComplexity",SITE_COEFFS!$B:$B,$V107))</f>
        <v/>
      </c>
      <c r="X107" s="15" t="n"/>
      <c r="Y107" s="15">
        <f>IF($X107="","",SUMIFS(TARIFF_PROFILES!$D:$D,TARIFF_PROFILES!$A:$A,$X107))</f>
        <v/>
      </c>
      <c r="Z107" s="15">
        <f>IF($X107="","",SUMIFS(TARIFF_PROFILES!$E:$E,TARIFF_PROFILES!$A:$A,$X107))</f>
        <v/>
      </c>
      <c r="AA107" s="15">
        <f>IF($X107="","",SUMIFS(TARIFF_PROFILES!$F:$F,TARIFF_PROFILES!$A:$A,$X107))</f>
        <v/>
      </c>
      <c r="AB107" s="15">
        <f>IF($X107="","",SUMIFS(TARIFF_PROFILES!$G:$G,TARIFF_PROFILES!$A:$A,$X107))</f>
        <v/>
      </c>
      <c r="AC107" s="15">
        <f>IF($X107="","",SUMIFS(TARIFF_PROFILES!$H:$H,TARIFF_PROFILES!$A:$A,$X107))</f>
        <v/>
      </c>
      <c r="AD107" s="15">
        <f>IF($X107="","",INDEX(TARIFF_PROFILES!$J:$J,MATCH($X107,TARIFF_PROFILES!$A:$A,0)))</f>
        <v/>
      </c>
      <c r="AE107" s="15">
        <f>IF($X107="","",INDEX(TARIFF_PROFILES!$K:$K,MATCH($X107,TARIFF_PROFILES!$A:$A,0)))</f>
        <v/>
      </c>
      <c r="AH107">
        <f>IF($AG107="","",SUMIFS(OPERATING_COEFFS!$C:$C,OPERATING_COEFFS!$A:$A,"DistanceClass",OPERATING_COEFFS!$B:$B,$AG107))</f>
        <v/>
      </c>
      <c r="AJ107">
        <f>IF($AI107="","",SUMIFS(OPERATING_COEFFS!$C:$C,OPERATING_COEFFS!$A:$A,"SeasonClass",OPERATING_COEFFS!$B:$B,$AI107))</f>
        <v/>
      </c>
      <c r="AL107">
        <f>IF($AK107="","",SUMIFS(OPERATING_COEFFS!$C:$C,OPERATING_COEFFS!$A:$A,"UrgencyClass",OPERATING_COEFFS!$B:$B,$AK107))</f>
        <v/>
      </c>
      <c r="AN107">
        <f>IF($AM107="","",INDEX(TAX_MODES!$B:$B,MATCH($AM107,TAX_MODES!$A:$A,0)))</f>
        <v/>
      </c>
    </row>
    <row r="108">
      <c r="A108" s="15" t="n"/>
      <c r="B108" s="15" t="n"/>
      <c r="C108" s="15" t="n"/>
      <c r="D108" s="23">
        <f>IF($C108="","",SUMIFS(SITE_COEFFS!$C:$C,SITE_COEFFS!$A:$A,"SoilWorkability",SITE_COEFFS!$B:$B,$C108))</f>
        <v/>
      </c>
      <c r="E108" s="15" t="n"/>
      <c r="F108" s="23">
        <f>IF($E108="","",SUMIFS(SITE_COEFFS!$C:$C,SITE_COEFFS!$A:$A,"SoilMoisture",SITE_COEFFS!$B:$B,$E108))</f>
        <v/>
      </c>
      <c r="G108" s="15" t="n"/>
      <c r="H108" s="23">
        <f>IF($G108="","",SUMIFS(SITE_COEFFS!$C:$C,SITE_COEFFS!$A:$A,"DebrisLevel",SITE_COEFFS!$B:$B,$G108))</f>
        <v/>
      </c>
      <c r="I108" s="15" t="n"/>
      <c r="J108" s="23">
        <f>IF($I108="","",SUMIFS(SITE_COEFFS!$C:$C,SITE_COEFFS!$A:$A,"SlopeClass",SITE_COEFFS!$B:$B,$I108))</f>
        <v/>
      </c>
      <c r="K108" s="15" t="n"/>
      <c r="L108" s="23">
        <f>IF($K108="","",SUMIFS(SITE_COEFFS!$C:$C,SITE_COEFFS!$A:$A,"SurfaceUnevenness",SITE_COEFFS!$B:$B,$K108))</f>
        <v/>
      </c>
      <c r="M108" s="15" t="n"/>
      <c r="N108" s="23">
        <f>IF($M108="","",SUMIFS(SITE_COEFFS!$C:$C,SITE_COEFFS!$A:$A,"AccessClass",SITE_COEFFS!$B:$B,$M108))</f>
        <v/>
      </c>
      <c r="O108" s="15" t="n"/>
      <c r="P108" s="23">
        <f>IF($O108="","",SUMIFS(SITE_COEFFS!$C:$C,SITE_COEFFS!$A:$A,"TurnSpace",SITE_COEFFS!$B:$B,$O108))</f>
        <v/>
      </c>
      <c r="Q108" s="15" t="n"/>
      <c r="R108" s="23">
        <f>IF($Q108="","",SUMIFS(SITE_COEFFS!$C:$C,SITE_COEFFS!$A:$A,"ProximityToBuildings",SITE_COEFFS!$B:$B,$Q108))</f>
        <v/>
      </c>
      <c r="S108" s="15" t="n"/>
      <c r="T108" s="23">
        <f>IF($S108="","",SUMIFS(SITE_COEFFS!$C:$C,SITE_COEFFS!$A:$A,"MachineryAllowed",SITE_COEFFS!$B:$B,$S108))</f>
        <v/>
      </c>
      <c r="U108" s="15" t="n"/>
      <c r="V108" s="15" t="n"/>
      <c r="W108" s="23">
        <f>IF($V108="","",SUMIFS(SITE_COEFFS!$C:$C,SITE_COEFFS!$A:$A,"GeometryComplexity",SITE_COEFFS!$B:$B,$V108))</f>
        <v/>
      </c>
      <c r="X108" s="15" t="n"/>
      <c r="Y108" s="15">
        <f>IF($X108="","",SUMIFS(TARIFF_PROFILES!$D:$D,TARIFF_PROFILES!$A:$A,$X108))</f>
        <v/>
      </c>
      <c r="Z108" s="15">
        <f>IF($X108="","",SUMIFS(TARIFF_PROFILES!$E:$E,TARIFF_PROFILES!$A:$A,$X108))</f>
        <v/>
      </c>
      <c r="AA108" s="15">
        <f>IF($X108="","",SUMIFS(TARIFF_PROFILES!$F:$F,TARIFF_PROFILES!$A:$A,$X108))</f>
        <v/>
      </c>
      <c r="AB108" s="15">
        <f>IF($X108="","",SUMIFS(TARIFF_PROFILES!$G:$G,TARIFF_PROFILES!$A:$A,$X108))</f>
        <v/>
      </c>
      <c r="AC108" s="15">
        <f>IF($X108="","",SUMIFS(TARIFF_PROFILES!$H:$H,TARIFF_PROFILES!$A:$A,$X108))</f>
        <v/>
      </c>
      <c r="AD108" s="15">
        <f>IF($X108="","",INDEX(TARIFF_PROFILES!$J:$J,MATCH($X108,TARIFF_PROFILES!$A:$A,0)))</f>
        <v/>
      </c>
      <c r="AE108" s="15">
        <f>IF($X108="","",INDEX(TARIFF_PROFILES!$K:$K,MATCH($X108,TARIFF_PROFILES!$A:$A,0)))</f>
        <v/>
      </c>
      <c r="AH108">
        <f>IF($AG108="","",SUMIFS(OPERATING_COEFFS!$C:$C,OPERATING_COEFFS!$A:$A,"DistanceClass",OPERATING_COEFFS!$B:$B,$AG108))</f>
        <v/>
      </c>
      <c r="AJ108">
        <f>IF($AI108="","",SUMIFS(OPERATING_COEFFS!$C:$C,OPERATING_COEFFS!$A:$A,"SeasonClass",OPERATING_COEFFS!$B:$B,$AI108))</f>
        <v/>
      </c>
      <c r="AL108">
        <f>IF($AK108="","",SUMIFS(OPERATING_COEFFS!$C:$C,OPERATING_COEFFS!$A:$A,"UrgencyClass",OPERATING_COEFFS!$B:$B,$AK108))</f>
        <v/>
      </c>
      <c r="AN108">
        <f>IF($AM108="","",INDEX(TAX_MODES!$B:$B,MATCH($AM108,TAX_MODES!$A:$A,0)))</f>
        <v/>
      </c>
    </row>
    <row r="109">
      <c r="A109" s="15" t="n"/>
      <c r="B109" s="15" t="n"/>
      <c r="C109" s="15" t="n"/>
      <c r="D109" s="23">
        <f>IF($C109="","",SUMIFS(SITE_COEFFS!$C:$C,SITE_COEFFS!$A:$A,"SoilWorkability",SITE_COEFFS!$B:$B,$C109))</f>
        <v/>
      </c>
      <c r="E109" s="15" t="n"/>
      <c r="F109" s="23">
        <f>IF($E109="","",SUMIFS(SITE_COEFFS!$C:$C,SITE_COEFFS!$A:$A,"SoilMoisture",SITE_COEFFS!$B:$B,$E109))</f>
        <v/>
      </c>
      <c r="G109" s="15" t="n"/>
      <c r="H109" s="23">
        <f>IF($G109="","",SUMIFS(SITE_COEFFS!$C:$C,SITE_COEFFS!$A:$A,"DebrisLevel",SITE_COEFFS!$B:$B,$G109))</f>
        <v/>
      </c>
      <c r="I109" s="15" t="n"/>
      <c r="J109" s="23">
        <f>IF($I109="","",SUMIFS(SITE_COEFFS!$C:$C,SITE_COEFFS!$A:$A,"SlopeClass",SITE_COEFFS!$B:$B,$I109))</f>
        <v/>
      </c>
      <c r="K109" s="15" t="n"/>
      <c r="L109" s="23">
        <f>IF($K109="","",SUMIFS(SITE_COEFFS!$C:$C,SITE_COEFFS!$A:$A,"SurfaceUnevenness",SITE_COEFFS!$B:$B,$K109))</f>
        <v/>
      </c>
      <c r="M109" s="15" t="n"/>
      <c r="N109" s="23">
        <f>IF($M109="","",SUMIFS(SITE_COEFFS!$C:$C,SITE_COEFFS!$A:$A,"AccessClass",SITE_COEFFS!$B:$B,$M109))</f>
        <v/>
      </c>
      <c r="O109" s="15" t="n"/>
      <c r="P109" s="23">
        <f>IF($O109="","",SUMIFS(SITE_COEFFS!$C:$C,SITE_COEFFS!$A:$A,"TurnSpace",SITE_COEFFS!$B:$B,$O109))</f>
        <v/>
      </c>
      <c r="Q109" s="15" t="n"/>
      <c r="R109" s="23">
        <f>IF($Q109="","",SUMIFS(SITE_COEFFS!$C:$C,SITE_COEFFS!$A:$A,"ProximityToBuildings",SITE_COEFFS!$B:$B,$Q109))</f>
        <v/>
      </c>
      <c r="S109" s="15" t="n"/>
      <c r="T109" s="23">
        <f>IF($S109="","",SUMIFS(SITE_COEFFS!$C:$C,SITE_COEFFS!$A:$A,"MachineryAllowed",SITE_COEFFS!$B:$B,$S109))</f>
        <v/>
      </c>
      <c r="U109" s="15" t="n"/>
      <c r="V109" s="15" t="n"/>
      <c r="W109" s="23">
        <f>IF($V109="","",SUMIFS(SITE_COEFFS!$C:$C,SITE_COEFFS!$A:$A,"GeometryComplexity",SITE_COEFFS!$B:$B,$V109))</f>
        <v/>
      </c>
      <c r="X109" s="15" t="n"/>
      <c r="Y109" s="15">
        <f>IF($X109="","",SUMIFS(TARIFF_PROFILES!$D:$D,TARIFF_PROFILES!$A:$A,$X109))</f>
        <v/>
      </c>
      <c r="Z109" s="15">
        <f>IF($X109="","",SUMIFS(TARIFF_PROFILES!$E:$E,TARIFF_PROFILES!$A:$A,$X109))</f>
        <v/>
      </c>
      <c r="AA109" s="15">
        <f>IF($X109="","",SUMIFS(TARIFF_PROFILES!$F:$F,TARIFF_PROFILES!$A:$A,$X109))</f>
        <v/>
      </c>
      <c r="AB109" s="15">
        <f>IF($X109="","",SUMIFS(TARIFF_PROFILES!$G:$G,TARIFF_PROFILES!$A:$A,$X109))</f>
        <v/>
      </c>
      <c r="AC109" s="15">
        <f>IF($X109="","",SUMIFS(TARIFF_PROFILES!$H:$H,TARIFF_PROFILES!$A:$A,$X109))</f>
        <v/>
      </c>
      <c r="AD109" s="15">
        <f>IF($X109="","",INDEX(TARIFF_PROFILES!$J:$J,MATCH($X109,TARIFF_PROFILES!$A:$A,0)))</f>
        <v/>
      </c>
      <c r="AE109" s="15">
        <f>IF($X109="","",INDEX(TARIFF_PROFILES!$K:$K,MATCH($X109,TARIFF_PROFILES!$A:$A,0)))</f>
        <v/>
      </c>
      <c r="AH109">
        <f>IF($AG109="","",SUMIFS(OPERATING_COEFFS!$C:$C,OPERATING_COEFFS!$A:$A,"DistanceClass",OPERATING_COEFFS!$B:$B,$AG109))</f>
        <v/>
      </c>
      <c r="AJ109">
        <f>IF($AI109="","",SUMIFS(OPERATING_COEFFS!$C:$C,OPERATING_COEFFS!$A:$A,"SeasonClass",OPERATING_COEFFS!$B:$B,$AI109))</f>
        <v/>
      </c>
      <c r="AL109">
        <f>IF($AK109="","",SUMIFS(OPERATING_COEFFS!$C:$C,OPERATING_COEFFS!$A:$A,"UrgencyClass",OPERATING_COEFFS!$B:$B,$AK109))</f>
        <v/>
      </c>
      <c r="AN109">
        <f>IF($AM109="","",INDEX(TAX_MODES!$B:$B,MATCH($AM109,TAX_MODES!$A:$A,0)))</f>
        <v/>
      </c>
    </row>
    <row r="110">
      <c r="A110" s="15" t="n"/>
      <c r="B110" s="15" t="n"/>
      <c r="C110" s="15" t="n"/>
      <c r="D110" s="23">
        <f>IF($C110="","",SUMIFS(SITE_COEFFS!$C:$C,SITE_COEFFS!$A:$A,"SoilWorkability",SITE_COEFFS!$B:$B,$C110))</f>
        <v/>
      </c>
      <c r="E110" s="15" t="n"/>
      <c r="F110" s="23">
        <f>IF($E110="","",SUMIFS(SITE_COEFFS!$C:$C,SITE_COEFFS!$A:$A,"SoilMoisture",SITE_COEFFS!$B:$B,$E110))</f>
        <v/>
      </c>
      <c r="G110" s="15" t="n"/>
      <c r="H110" s="23">
        <f>IF($G110="","",SUMIFS(SITE_COEFFS!$C:$C,SITE_COEFFS!$A:$A,"DebrisLevel",SITE_COEFFS!$B:$B,$G110))</f>
        <v/>
      </c>
      <c r="I110" s="15" t="n"/>
      <c r="J110" s="23">
        <f>IF($I110="","",SUMIFS(SITE_COEFFS!$C:$C,SITE_COEFFS!$A:$A,"SlopeClass",SITE_COEFFS!$B:$B,$I110))</f>
        <v/>
      </c>
      <c r="K110" s="15" t="n"/>
      <c r="L110" s="23">
        <f>IF($K110="","",SUMIFS(SITE_COEFFS!$C:$C,SITE_COEFFS!$A:$A,"SurfaceUnevenness",SITE_COEFFS!$B:$B,$K110))</f>
        <v/>
      </c>
      <c r="M110" s="15" t="n"/>
      <c r="N110" s="23">
        <f>IF($M110="","",SUMIFS(SITE_COEFFS!$C:$C,SITE_COEFFS!$A:$A,"AccessClass",SITE_COEFFS!$B:$B,$M110))</f>
        <v/>
      </c>
      <c r="O110" s="15" t="n"/>
      <c r="P110" s="23">
        <f>IF($O110="","",SUMIFS(SITE_COEFFS!$C:$C,SITE_COEFFS!$A:$A,"TurnSpace",SITE_COEFFS!$B:$B,$O110))</f>
        <v/>
      </c>
      <c r="Q110" s="15" t="n"/>
      <c r="R110" s="23">
        <f>IF($Q110="","",SUMIFS(SITE_COEFFS!$C:$C,SITE_COEFFS!$A:$A,"ProximityToBuildings",SITE_COEFFS!$B:$B,$Q110))</f>
        <v/>
      </c>
      <c r="S110" s="15" t="n"/>
      <c r="T110" s="23">
        <f>IF($S110="","",SUMIFS(SITE_COEFFS!$C:$C,SITE_COEFFS!$A:$A,"MachineryAllowed",SITE_COEFFS!$B:$B,$S110))</f>
        <v/>
      </c>
      <c r="U110" s="15" t="n"/>
      <c r="V110" s="15" t="n"/>
      <c r="W110" s="23">
        <f>IF($V110="","",SUMIFS(SITE_COEFFS!$C:$C,SITE_COEFFS!$A:$A,"GeometryComplexity",SITE_COEFFS!$B:$B,$V110))</f>
        <v/>
      </c>
      <c r="X110" s="15" t="n"/>
      <c r="Y110" s="15">
        <f>IF($X110="","",SUMIFS(TARIFF_PROFILES!$D:$D,TARIFF_PROFILES!$A:$A,$X110))</f>
        <v/>
      </c>
      <c r="Z110" s="15">
        <f>IF($X110="","",SUMIFS(TARIFF_PROFILES!$E:$E,TARIFF_PROFILES!$A:$A,$X110))</f>
        <v/>
      </c>
      <c r="AA110" s="15">
        <f>IF($X110="","",SUMIFS(TARIFF_PROFILES!$F:$F,TARIFF_PROFILES!$A:$A,$X110))</f>
        <v/>
      </c>
      <c r="AB110" s="15">
        <f>IF($X110="","",SUMIFS(TARIFF_PROFILES!$G:$G,TARIFF_PROFILES!$A:$A,$X110))</f>
        <v/>
      </c>
      <c r="AC110" s="15">
        <f>IF($X110="","",SUMIFS(TARIFF_PROFILES!$H:$H,TARIFF_PROFILES!$A:$A,$X110))</f>
        <v/>
      </c>
      <c r="AD110" s="15">
        <f>IF($X110="","",INDEX(TARIFF_PROFILES!$J:$J,MATCH($X110,TARIFF_PROFILES!$A:$A,0)))</f>
        <v/>
      </c>
      <c r="AE110" s="15">
        <f>IF($X110="","",INDEX(TARIFF_PROFILES!$K:$K,MATCH($X110,TARIFF_PROFILES!$A:$A,0)))</f>
        <v/>
      </c>
      <c r="AH110">
        <f>IF($AG110="","",SUMIFS(OPERATING_COEFFS!$C:$C,OPERATING_COEFFS!$A:$A,"DistanceClass",OPERATING_COEFFS!$B:$B,$AG110))</f>
        <v/>
      </c>
      <c r="AJ110">
        <f>IF($AI110="","",SUMIFS(OPERATING_COEFFS!$C:$C,OPERATING_COEFFS!$A:$A,"SeasonClass",OPERATING_COEFFS!$B:$B,$AI110))</f>
        <v/>
      </c>
      <c r="AL110">
        <f>IF($AK110="","",SUMIFS(OPERATING_COEFFS!$C:$C,OPERATING_COEFFS!$A:$A,"UrgencyClass",OPERATING_COEFFS!$B:$B,$AK110))</f>
        <v/>
      </c>
      <c r="AN110">
        <f>IF($AM110="","",INDEX(TAX_MODES!$B:$B,MATCH($AM110,TAX_MODES!$A:$A,0)))</f>
        <v/>
      </c>
    </row>
    <row r="111">
      <c r="A111" s="15" t="n"/>
      <c r="B111" s="15" t="n"/>
      <c r="C111" s="15" t="n"/>
      <c r="D111" s="23">
        <f>IF($C111="","",SUMIFS(SITE_COEFFS!$C:$C,SITE_COEFFS!$A:$A,"SoilWorkability",SITE_COEFFS!$B:$B,$C111))</f>
        <v/>
      </c>
      <c r="E111" s="15" t="n"/>
      <c r="F111" s="23">
        <f>IF($E111="","",SUMIFS(SITE_COEFFS!$C:$C,SITE_COEFFS!$A:$A,"SoilMoisture",SITE_COEFFS!$B:$B,$E111))</f>
        <v/>
      </c>
      <c r="G111" s="15" t="n"/>
      <c r="H111" s="23">
        <f>IF($G111="","",SUMIFS(SITE_COEFFS!$C:$C,SITE_COEFFS!$A:$A,"DebrisLevel",SITE_COEFFS!$B:$B,$G111))</f>
        <v/>
      </c>
      <c r="I111" s="15" t="n"/>
      <c r="J111" s="23">
        <f>IF($I111="","",SUMIFS(SITE_COEFFS!$C:$C,SITE_COEFFS!$A:$A,"SlopeClass",SITE_COEFFS!$B:$B,$I111))</f>
        <v/>
      </c>
      <c r="K111" s="15" t="n"/>
      <c r="L111" s="23">
        <f>IF($K111="","",SUMIFS(SITE_COEFFS!$C:$C,SITE_COEFFS!$A:$A,"SurfaceUnevenness",SITE_COEFFS!$B:$B,$K111))</f>
        <v/>
      </c>
      <c r="M111" s="15" t="n"/>
      <c r="N111" s="23">
        <f>IF($M111="","",SUMIFS(SITE_COEFFS!$C:$C,SITE_COEFFS!$A:$A,"AccessClass",SITE_COEFFS!$B:$B,$M111))</f>
        <v/>
      </c>
      <c r="O111" s="15" t="n"/>
      <c r="P111" s="23">
        <f>IF($O111="","",SUMIFS(SITE_COEFFS!$C:$C,SITE_COEFFS!$A:$A,"TurnSpace",SITE_COEFFS!$B:$B,$O111))</f>
        <v/>
      </c>
      <c r="Q111" s="15" t="n"/>
      <c r="R111" s="23">
        <f>IF($Q111="","",SUMIFS(SITE_COEFFS!$C:$C,SITE_COEFFS!$A:$A,"ProximityToBuildings",SITE_COEFFS!$B:$B,$Q111))</f>
        <v/>
      </c>
      <c r="S111" s="15" t="n"/>
      <c r="T111" s="23">
        <f>IF($S111="","",SUMIFS(SITE_COEFFS!$C:$C,SITE_COEFFS!$A:$A,"MachineryAllowed",SITE_COEFFS!$B:$B,$S111))</f>
        <v/>
      </c>
      <c r="U111" s="15" t="n"/>
      <c r="V111" s="15" t="n"/>
      <c r="W111" s="23">
        <f>IF($V111="","",SUMIFS(SITE_COEFFS!$C:$C,SITE_COEFFS!$A:$A,"GeometryComplexity",SITE_COEFFS!$B:$B,$V111))</f>
        <v/>
      </c>
      <c r="X111" s="15" t="n"/>
      <c r="Y111" s="15">
        <f>IF($X111="","",SUMIFS(TARIFF_PROFILES!$D:$D,TARIFF_PROFILES!$A:$A,$X111))</f>
        <v/>
      </c>
      <c r="Z111" s="15">
        <f>IF($X111="","",SUMIFS(TARIFF_PROFILES!$E:$E,TARIFF_PROFILES!$A:$A,$X111))</f>
        <v/>
      </c>
      <c r="AA111" s="15">
        <f>IF($X111="","",SUMIFS(TARIFF_PROFILES!$F:$F,TARIFF_PROFILES!$A:$A,$X111))</f>
        <v/>
      </c>
      <c r="AB111" s="15">
        <f>IF($X111="","",SUMIFS(TARIFF_PROFILES!$G:$G,TARIFF_PROFILES!$A:$A,$X111))</f>
        <v/>
      </c>
      <c r="AC111" s="15">
        <f>IF($X111="","",SUMIFS(TARIFF_PROFILES!$H:$H,TARIFF_PROFILES!$A:$A,$X111))</f>
        <v/>
      </c>
      <c r="AD111" s="15">
        <f>IF($X111="","",INDEX(TARIFF_PROFILES!$J:$J,MATCH($X111,TARIFF_PROFILES!$A:$A,0)))</f>
        <v/>
      </c>
      <c r="AE111" s="15">
        <f>IF($X111="","",INDEX(TARIFF_PROFILES!$K:$K,MATCH($X111,TARIFF_PROFILES!$A:$A,0)))</f>
        <v/>
      </c>
      <c r="AH111">
        <f>IF($AG111="","",SUMIFS(OPERATING_COEFFS!$C:$C,OPERATING_COEFFS!$A:$A,"DistanceClass",OPERATING_COEFFS!$B:$B,$AG111))</f>
        <v/>
      </c>
      <c r="AJ111">
        <f>IF($AI111="","",SUMIFS(OPERATING_COEFFS!$C:$C,OPERATING_COEFFS!$A:$A,"SeasonClass",OPERATING_COEFFS!$B:$B,$AI111))</f>
        <v/>
      </c>
      <c r="AL111">
        <f>IF($AK111="","",SUMIFS(OPERATING_COEFFS!$C:$C,OPERATING_COEFFS!$A:$A,"UrgencyClass",OPERATING_COEFFS!$B:$B,$AK111))</f>
        <v/>
      </c>
      <c r="AN111">
        <f>IF($AM111="","",INDEX(TAX_MODES!$B:$B,MATCH($AM111,TAX_MODES!$A:$A,0)))</f>
        <v/>
      </c>
    </row>
    <row r="112">
      <c r="A112" s="15" t="n"/>
      <c r="B112" s="15" t="n"/>
      <c r="C112" s="15" t="n"/>
      <c r="D112" s="23">
        <f>IF($C112="","",SUMIFS(SITE_COEFFS!$C:$C,SITE_COEFFS!$A:$A,"SoilWorkability",SITE_COEFFS!$B:$B,$C112))</f>
        <v/>
      </c>
      <c r="E112" s="15" t="n"/>
      <c r="F112" s="23">
        <f>IF($E112="","",SUMIFS(SITE_COEFFS!$C:$C,SITE_COEFFS!$A:$A,"SoilMoisture",SITE_COEFFS!$B:$B,$E112))</f>
        <v/>
      </c>
      <c r="G112" s="15" t="n"/>
      <c r="H112" s="23">
        <f>IF($G112="","",SUMIFS(SITE_COEFFS!$C:$C,SITE_COEFFS!$A:$A,"DebrisLevel",SITE_COEFFS!$B:$B,$G112))</f>
        <v/>
      </c>
      <c r="I112" s="15" t="n"/>
      <c r="J112" s="23">
        <f>IF($I112="","",SUMIFS(SITE_COEFFS!$C:$C,SITE_COEFFS!$A:$A,"SlopeClass",SITE_COEFFS!$B:$B,$I112))</f>
        <v/>
      </c>
      <c r="K112" s="15" t="n"/>
      <c r="L112" s="23">
        <f>IF($K112="","",SUMIFS(SITE_COEFFS!$C:$C,SITE_COEFFS!$A:$A,"SurfaceUnevenness",SITE_COEFFS!$B:$B,$K112))</f>
        <v/>
      </c>
      <c r="M112" s="15" t="n"/>
      <c r="N112" s="23">
        <f>IF($M112="","",SUMIFS(SITE_COEFFS!$C:$C,SITE_COEFFS!$A:$A,"AccessClass",SITE_COEFFS!$B:$B,$M112))</f>
        <v/>
      </c>
      <c r="O112" s="15" t="n"/>
      <c r="P112" s="23">
        <f>IF($O112="","",SUMIFS(SITE_COEFFS!$C:$C,SITE_COEFFS!$A:$A,"TurnSpace",SITE_COEFFS!$B:$B,$O112))</f>
        <v/>
      </c>
      <c r="Q112" s="15" t="n"/>
      <c r="R112" s="23">
        <f>IF($Q112="","",SUMIFS(SITE_COEFFS!$C:$C,SITE_COEFFS!$A:$A,"ProximityToBuildings",SITE_COEFFS!$B:$B,$Q112))</f>
        <v/>
      </c>
      <c r="S112" s="15" t="n"/>
      <c r="T112" s="23">
        <f>IF($S112="","",SUMIFS(SITE_COEFFS!$C:$C,SITE_COEFFS!$A:$A,"MachineryAllowed",SITE_COEFFS!$B:$B,$S112))</f>
        <v/>
      </c>
      <c r="U112" s="15" t="n"/>
      <c r="V112" s="15" t="n"/>
      <c r="W112" s="23">
        <f>IF($V112="","",SUMIFS(SITE_COEFFS!$C:$C,SITE_COEFFS!$A:$A,"GeometryComplexity",SITE_COEFFS!$B:$B,$V112))</f>
        <v/>
      </c>
      <c r="X112" s="15" t="n"/>
      <c r="Y112" s="15">
        <f>IF($X112="","",SUMIFS(TARIFF_PROFILES!$D:$D,TARIFF_PROFILES!$A:$A,$X112))</f>
        <v/>
      </c>
      <c r="Z112" s="15">
        <f>IF($X112="","",SUMIFS(TARIFF_PROFILES!$E:$E,TARIFF_PROFILES!$A:$A,$X112))</f>
        <v/>
      </c>
      <c r="AA112" s="15">
        <f>IF($X112="","",SUMIFS(TARIFF_PROFILES!$F:$F,TARIFF_PROFILES!$A:$A,$X112))</f>
        <v/>
      </c>
      <c r="AB112" s="15">
        <f>IF($X112="","",SUMIFS(TARIFF_PROFILES!$G:$G,TARIFF_PROFILES!$A:$A,$X112))</f>
        <v/>
      </c>
      <c r="AC112" s="15">
        <f>IF($X112="","",SUMIFS(TARIFF_PROFILES!$H:$H,TARIFF_PROFILES!$A:$A,$X112))</f>
        <v/>
      </c>
      <c r="AD112" s="15">
        <f>IF($X112="","",INDEX(TARIFF_PROFILES!$J:$J,MATCH($X112,TARIFF_PROFILES!$A:$A,0)))</f>
        <v/>
      </c>
      <c r="AE112" s="15">
        <f>IF($X112="","",INDEX(TARIFF_PROFILES!$K:$K,MATCH($X112,TARIFF_PROFILES!$A:$A,0)))</f>
        <v/>
      </c>
      <c r="AH112">
        <f>IF($AG112="","",SUMIFS(OPERATING_COEFFS!$C:$C,OPERATING_COEFFS!$A:$A,"DistanceClass",OPERATING_COEFFS!$B:$B,$AG112))</f>
        <v/>
      </c>
      <c r="AJ112">
        <f>IF($AI112="","",SUMIFS(OPERATING_COEFFS!$C:$C,OPERATING_COEFFS!$A:$A,"SeasonClass",OPERATING_COEFFS!$B:$B,$AI112))</f>
        <v/>
      </c>
      <c r="AL112">
        <f>IF($AK112="","",SUMIFS(OPERATING_COEFFS!$C:$C,OPERATING_COEFFS!$A:$A,"UrgencyClass",OPERATING_COEFFS!$B:$B,$AK112))</f>
        <v/>
      </c>
      <c r="AN112">
        <f>IF($AM112="","",INDEX(TAX_MODES!$B:$B,MATCH($AM112,TAX_MODES!$A:$A,0)))</f>
        <v/>
      </c>
    </row>
    <row r="113">
      <c r="A113" s="15" t="n"/>
      <c r="B113" s="15" t="n"/>
      <c r="C113" s="15" t="n"/>
      <c r="D113" s="23">
        <f>IF($C113="","",SUMIFS(SITE_COEFFS!$C:$C,SITE_COEFFS!$A:$A,"SoilWorkability",SITE_COEFFS!$B:$B,$C113))</f>
        <v/>
      </c>
      <c r="E113" s="15" t="n"/>
      <c r="F113" s="23">
        <f>IF($E113="","",SUMIFS(SITE_COEFFS!$C:$C,SITE_COEFFS!$A:$A,"SoilMoisture",SITE_COEFFS!$B:$B,$E113))</f>
        <v/>
      </c>
      <c r="G113" s="15" t="n"/>
      <c r="H113" s="23">
        <f>IF($G113="","",SUMIFS(SITE_COEFFS!$C:$C,SITE_COEFFS!$A:$A,"DebrisLevel",SITE_COEFFS!$B:$B,$G113))</f>
        <v/>
      </c>
      <c r="I113" s="15" t="n"/>
      <c r="J113" s="23">
        <f>IF($I113="","",SUMIFS(SITE_COEFFS!$C:$C,SITE_COEFFS!$A:$A,"SlopeClass",SITE_COEFFS!$B:$B,$I113))</f>
        <v/>
      </c>
      <c r="K113" s="15" t="n"/>
      <c r="L113" s="23">
        <f>IF($K113="","",SUMIFS(SITE_COEFFS!$C:$C,SITE_COEFFS!$A:$A,"SurfaceUnevenness",SITE_COEFFS!$B:$B,$K113))</f>
        <v/>
      </c>
      <c r="M113" s="15" t="n"/>
      <c r="N113" s="23">
        <f>IF($M113="","",SUMIFS(SITE_COEFFS!$C:$C,SITE_COEFFS!$A:$A,"AccessClass",SITE_COEFFS!$B:$B,$M113))</f>
        <v/>
      </c>
      <c r="O113" s="15" t="n"/>
      <c r="P113" s="23">
        <f>IF($O113="","",SUMIFS(SITE_COEFFS!$C:$C,SITE_COEFFS!$A:$A,"TurnSpace",SITE_COEFFS!$B:$B,$O113))</f>
        <v/>
      </c>
      <c r="Q113" s="15" t="n"/>
      <c r="R113" s="23">
        <f>IF($Q113="","",SUMIFS(SITE_COEFFS!$C:$C,SITE_COEFFS!$A:$A,"ProximityToBuildings",SITE_COEFFS!$B:$B,$Q113))</f>
        <v/>
      </c>
      <c r="S113" s="15" t="n"/>
      <c r="T113" s="23">
        <f>IF($S113="","",SUMIFS(SITE_COEFFS!$C:$C,SITE_COEFFS!$A:$A,"MachineryAllowed",SITE_COEFFS!$B:$B,$S113))</f>
        <v/>
      </c>
      <c r="U113" s="15" t="n"/>
      <c r="V113" s="15" t="n"/>
      <c r="W113" s="23">
        <f>IF($V113="","",SUMIFS(SITE_COEFFS!$C:$C,SITE_COEFFS!$A:$A,"GeometryComplexity",SITE_COEFFS!$B:$B,$V113))</f>
        <v/>
      </c>
      <c r="X113" s="15" t="n"/>
      <c r="Y113" s="15">
        <f>IF($X113="","",SUMIFS(TARIFF_PROFILES!$D:$D,TARIFF_PROFILES!$A:$A,$X113))</f>
        <v/>
      </c>
      <c r="Z113" s="15">
        <f>IF($X113="","",SUMIFS(TARIFF_PROFILES!$E:$E,TARIFF_PROFILES!$A:$A,$X113))</f>
        <v/>
      </c>
      <c r="AA113" s="15">
        <f>IF($X113="","",SUMIFS(TARIFF_PROFILES!$F:$F,TARIFF_PROFILES!$A:$A,$X113))</f>
        <v/>
      </c>
      <c r="AB113" s="15">
        <f>IF($X113="","",SUMIFS(TARIFF_PROFILES!$G:$G,TARIFF_PROFILES!$A:$A,$X113))</f>
        <v/>
      </c>
      <c r="AC113" s="15">
        <f>IF($X113="","",SUMIFS(TARIFF_PROFILES!$H:$H,TARIFF_PROFILES!$A:$A,$X113))</f>
        <v/>
      </c>
      <c r="AD113" s="15">
        <f>IF($X113="","",INDEX(TARIFF_PROFILES!$J:$J,MATCH($X113,TARIFF_PROFILES!$A:$A,0)))</f>
        <v/>
      </c>
      <c r="AE113" s="15">
        <f>IF($X113="","",INDEX(TARIFF_PROFILES!$K:$K,MATCH($X113,TARIFF_PROFILES!$A:$A,0)))</f>
        <v/>
      </c>
      <c r="AH113">
        <f>IF($AG113="","",SUMIFS(OPERATING_COEFFS!$C:$C,OPERATING_COEFFS!$A:$A,"DistanceClass",OPERATING_COEFFS!$B:$B,$AG113))</f>
        <v/>
      </c>
      <c r="AJ113">
        <f>IF($AI113="","",SUMIFS(OPERATING_COEFFS!$C:$C,OPERATING_COEFFS!$A:$A,"SeasonClass",OPERATING_COEFFS!$B:$B,$AI113))</f>
        <v/>
      </c>
      <c r="AL113">
        <f>IF($AK113="","",SUMIFS(OPERATING_COEFFS!$C:$C,OPERATING_COEFFS!$A:$A,"UrgencyClass",OPERATING_COEFFS!$B:$B,$AK113))</f>
        <v/>
      </c>
      <c r="AN113">
        <f>IF($AM113="","",INDEX(TAX_MODES!$B:$B,MATCH($AM113,TAX_MODES!$A:$A,0)))</f>
        <v/>
      </c>
    </row>
    <row r="114">
      <c r="A114" s="15" t="n"/>
      <c r="B114" s="15" t="n"/>
      <c r="C114" s="15" t="n"/>
      <c r="D114" s="23">
        <f>IF($C114="","",SUMIFS(SITE_COEFFS!$C:$C,SITE_COEFFS!$A:$A,"SoilWorkability",SITE_COEFFS!$B:$B,$C114))</f>
        <v/>
      </c>
      <c r="E114" s="15" t="n"/>
      <c r="F114" s="23">
        <f>IF($E114="","",SUMIFS(SITE_COEFFS!$C:$C,SITE_COEFFS!$A:$A,"SoilMoisture",SITE_COEFFS!$B:$B,$E114))</f>
        <v/>
      </c>
      <c r="G114" s="15" t="n"/>
      <c r="H114" s="23">
        <f>IF($G114="","",SUMIFS(SITE_COEFFS!$C:$C,SITE_COEFFS!$A:$A,"DebrisLevel",SITE_COEFFS!$B:$B,$G114))</f>
        <v/>
      </c>
      <c r="I114" s="15" t="n"/>
      <c r="J114" s="23">
        <f>IF($I114="","",SUMIFS(SITE_COEFFS!$C:$C,SITE_COEFFS!$A:$A,"SlopeClass",SITE_COEFFS!$B:$B,$I114))</f>
        <v/>
      </c>
      <c r="K114" s="15" t="n"/>
      <c r="L114" s="23">
        <f>IF($K114="","",SUMIFS(SITE_COEFFS!$C:$C,SITE_COEFFS!$A:$A,"SurfaceUnevenness",SITE_COEFFS!$B:$B,$K114))</f>
        <v/>
      </c>
      <c r="M114" s="15" t="n"/>
      <c r="N114" s="23">
        <f>IF($M114="","",SUMIFS(SITE_COEFFS!$C:$C,SITE_COEFFS!$A:$A,"AccessClass",SITE_COEFFS!$B:$B,$M114))</f>
        <v/>
      </c>
      <c r="O114" s="15" t="n"/>
      <c r="P114" s="23">
        <f>IF($O114="","",SUMIFS(SITE_COEFFS!$C:$C,SITE_COEFFS!$A:$A,"TurnSpace",SITE_COEFFS!$B:$B,$O114))</f>
        <v/>
      </c>
      <c r="Q114" s="15" t="n"/>
      <c r="R114" s="23">
        <f>IF($Q114="","",SUMIFS(SITE_COEFFS!$C:$C,SITE_COEFFS!$A:$A,"ProximityToBuildings",SITE_COEFFS!$B:$B,$Q114))</f>
        <v/>
      </c>
      <c r="S114" s="15" t="n"/>
      <c r="T114" s="23">
        <f>IF($S114="","",SUMIFS(SITE_COEFFS!$C:$C,SITE_COEFFS!$A:$A,"MachineryAllowed",SITE_COEFFS!$B:$B,$S114))</f>
        <v/>
      </c>
      <c r="U114" s="15" t="n"/>
      <c r="V114" s="15" t="n"/>
      <c r="W114" s="23">
        <f>IF($V114="","",SUMIFS(SITE_COEFFS!$C:$C,SITE_COEFFS!$A:$A,"GeometryComplexity",SITE_COEFFS!$B:$B,$V114))</f>
        <v/>
      </c>
      <c r="X114" s="15" t="n"/>
      <c r="Y114" s="15">
        <f>IF($X114="","",SUMIFS(TARIFF_PROFILES!$D:$D,TARIFF_PROFILES!$A:$A,$X114))</f>
        <v/>
      </c>
      <c r="Z114" s="15">
        <f>IF($X114="","",SUMIFS(TARIFF_PROFILES!$E:$E,TARIFF_PROFILES!$A:$A,$X114))</f>
        <v/>
      </c>
      <c r="AA114" s="15">
        <f>IF($X114="","",SUMIFS(TARIFF_PROFILES!$F:$F,TARIFF_PROFILES!$A:$A,$X114))</f>
        <v/>
      </c>
      <c r="AB114" s="15">
        <f>IF($X114="","",SUMIFS(TARIFF_PROFILES!$G:$G,TARIFF_PROFILES!$A:$A,$X114))</f>
        <v/>
      </c>
      <c r="AC114" s="15">
        <f>IF($X114="","",SUMIFS(TARIFF_PROFILES!$H:$H,TARIFF_PROFILES!$A:$A,$X114))</f>
        <v/>
      </c>
      <c r="AD114" s="15">
        <f>IF($X114="","",INDEX(TARIFF_PROFILES!$J:$J,MATCH($X114,TARIFF_PROFILES!$A:$A,0)))</f>
        <v/>
      </c>
      <c r="AE114" s="15">
        <f>IF($X114="","",INDEX(TARIFF_PROFILES!$K:$K,MATCH($X114,TARIFF_PROFILES!$A:$A,0)))</f>
        <v/>
      </c>
      <c r="AH114">
        <f>IF($AG114="","",SUMIFS(OPERATING_COEFFS!$C:$C,OPERATING_COEFFS!$A:$A,"DistanceClass",OPERATING_COEFFS!$B:$B,$AG114))</f>
        <v/>
      </c>
      <c r="AJ114">
        <f>IF($AI114="","",SUMIFS(OPERATING_COEFFS!$C:$C,OPERATING_COEFFS!$A:$A,"SeasonClass",OPERATING_COEFFS!$B:$B,$AI114))</f>
        <v/>
      </c>
      <c r="AL114">
        <f>IF($AK114="","",SUMIFS(OPERATING_COEFFS!$C:$C,OPERATING_COEFFS!$A:$A,"UrgencyClass",OPERATING_COEFFS!$B:$B,$AK114))</f>
        <v/>
      </c>
      <c r="AN114">
        <f>IF($AM114="","",INDEX(TAX_MODES!$B:$B,MATCH($AM114,TAX_MODES!$A:$A,0)))</f>
        <v/>
      </c>
    </row>
    <row r="115">
      <c r="A115" s="15" t="n"/>
      <c r="B115" s="15" t="n"/>
      <c r="C115" s="15" t="n"/>
      <c r="D115" s="23">
        <f>IF($C115="","",SUMIFS(SITE_COEFFS!$C:$C,SITE_COEFFS!$A:$A,"SoilWorkability",SITE_COEFFS!$B:$B,$C115))</f>
        <v/>
      </c>
      <c r="E115" s="15" t="n"/>
      <c r="F115" s="23">
        <f>IF($E115="","",SUMIFS(SITE_COEFFS!$C:$C,SITE_COEFFS!$A:$A,"SoilMoisture",SITE_COEFFS!$B:$B,$E115))</f>
        <v/>
      </c>
      <c r="G115" s="15" t="n"/>
      <c r="H115" s="23">
        <f>IF($G115="","",SUMIFS(SITE_COEFFS!$C:$C,SITE_COEFFS!$A:$A,"DebrisLevel",SITE_COEFFS!$B:$B,$G115))</f>
        <v/>
      </c>
      <c r="I115" s="15" t="n"/>
      <c r="J115" s="23">
        <f>IF($I115="","",SUMIFS(SITE_COEFFS!$C:$C,SITE_COEFFS!$A:$A,"SlopeClass",SITE_COEFFS!$B:$B,$I115))</f>
        <v/>
      </c>
      <c r="K115" s="15" t="n"/>
      <c r="L115" s="23">
        <f>IF($K115="","",SUMIFS(SITE_COEFFS!$C:$C,SITE_COEFFS!$A:$A,"SurfaceUnevenness",SITE_COEFFS!$B:$B,$K115))</f>
        <v/>
      </c>
      <c r="M115" s="15" t="n"/>
      <c r="N115" s="23">
        <f>IF($M115="","",SUMIFS(SITE_COEFFS!$C:$C,SITE_COEFFS!$A:$A,"AccessClass",SITE_COEFFS!$B:$B,$M115))</f>
        <v/>
      </c>
      <c r="O115" s="15" t="n"/>
      <c r="P115" s="23">
        <f>IF($O115="","",SUMIFS(SITE_COEFFS!$C:$C,SITE_COEFFS!$A:$A,"TurnSpace",SITE_COEFFS!$B:$B,$O115))</f>
        <v/>
      </c>
      <c r="Q115" s="15" t="n"/>
      <c r="R115" s="23">
        <f>IF($Q115="","",SUMIFS(SITE_COEFFS!$C:$C,SITE_COEFFS!$A:$A,"ProximityToBuildings",SITE_COEFFS!$B:$B,$Q115))</f>
        <v/>
      </c>
      <c r="S115" s="15" t="n"/>
      <c r="T115" s="23">
        <f>IF($S115="","",SUMIFS(SITE_COEFFS!$C:$C,SITE_COEFFS!$A:$A,"MachineryAllowed",SITE_COEFFS!$B:$B,$S115))</f>
        <v/>
      </c>
      <c r="U115" s="15" t="n"/>
      <c r="V115" s="15" t="n"/>
      <c r="W115" s="23">
        <f>IF($V115="","",SUMIFS(SITE_COEFFS!$C:$C,SITE_COEFFS!$A:$A,"GeometryComplexity",SITE_COEFFS!$B:$B,$V115))</f>
        <v/>
      </c>
      <c r="X115" s="15" t="n"/>
      <c r="Y115" s="15">
        <f>IF($X115="","",SUMIFS(TARIFF_PROFILES!$D:$D,TARIFF_PROFILES!$A:$A,$X115))</f>
        <v/>
      </c>
      <c r="Z115" s="15">
        <f>IF($X115="","",SUMIFS(TARIFF_PROFILES!$E:$E,TARIFF_PROFILES!$A:$A,$X115))</f>
        <v/>
      </c>
      <c r="AA115" s="15">
        <f>IF($X115="","",SUMIFS(TARIFF_PROFILES!$F:$F,TARIFF_PROFILES!$A:$A,$X115))</f>
        <v/>
      </c>
      <c r="AB115" s="15">
        <f>IF($X115="","",SUMIFS(TARIFF_PROFILES!$G:$G,TARIFF_PROFILES!$A:$A,$X115))</f>
        <v/>
      </c>
      <c r="AC115" s="15">
        <f>IF($X115="","",SUMIFS(TARIFF_PROFILES!$H:$H,TARIFF_PROFILES!$A:$A,$X115))</f>
        <v/>
      </c>
      <c r="AD115" s="15">
        <f>IF($X115="","",INDEX(TARIFF_PROFILES!$J:$J,MATCH($X115,TARIFF_PROFILES!$A:$A,0)))</f>
        <v/>
      </c>
      <c r="AE115" s="15">
        <f>IF($X115="","",INDEX(TARIFF_PROFILES!$K:$K,MATCH($X115,TARIFF_PROFILES!$A:$A,0)))</f>
        <v/>
      </c>
      <c r="AH115">
        <f>IF($AG115="","",SUMIFS(OPERATING_COEFFS!$C:$C,OPERATING_COEFFS!$A:$A,"DistanceClass",OPERATING_COEFFS!$B:$B,$AG115))</f>
        <v/>
      </c>
      <c r="AJ115">
        <f>IF($AI115="","",SUMIFS(OPERATING_COEFFS!$C:$C,OPERATING_COEFFS!$A:$A,"SeasonClass",OPERATING_COEFFS!$B:$B,$AI115))</f>
        <v/>
      </c>
      <c r="AL115">
        <f>IF($AK115="","",SUMIFS(OPERATING_COEFFS!$C:$C,OPERATING_COEFFS!$A:$A,"UrgencyClass",OPERATING_COEFFS!$B:$B,$AK115))</f>
        <v/>
      </c>
      <c r="AN115">
        <f>IF($AM115="","",INDEX(TAX_MODES!$B:$B,MATCH($AM115,TAX_MODES!$A:$A,0)))</f>
        <v/>
      </c>
    </row>
    <row r="116">
      <c r="A116" s="15" t="n"/>
      <c r="B116" s="15" t="n"/>
      <c r="C116" s="15" t="n"/>
      <c r="D116" s="23">
        <f>IF($C116="","",SUMIFS(SITE_COEFFS!$C:$C,SITE_COEFFS!$A:$A,"SoilWorkability",SITE_COEFFS!$B:$B,$C116))</f>
        <v/>
      </c>
      <c r="E116" s="15" t="n"/>
      <c r="F116" s="23">
        <f>IF($E116="","",SUMIFS(SITE_COEFFS!$C:$C,SITE_COEFFS!$A:$A,"SoilMoisture",SITE_COEFFS!$B:$B,$E116))</f>
        <v/>
      </c>
      <c r="G116" s="15" t="n"/>
      <c r="H116" s="23">
        <f>IF($G116="","",SUMIFS(SITE_COEFFS!$C:$C,SITE_COEFFS!$A:$A,"DebrisLevel",SITE_COEFFS!$B:$B,$G116))</f>
        <v/>
      </c>
      <c r="I116" s="15" t="n"/>
      <c r="J116" s="23">
        <f>IF($I116="","",SUMIFS(SITE_COEFFS!$C:$C,SITE_COEFFS!$A:$A,"SlopeClass",SITE_COEFFS!$B:$B,$I116))</f>
        <v/>
      </c>
      <c r="K116" s="15" t="n"/>
      <c r="L116" s="23">
        <f>IF($K116="","",SUMIFS(SITE_COEFFS!$C:$C,SITE_COEFFS!$A:$A,"SurfaceUnevenness",SITE_COEFFS!$B:$B,$K116))</f>
        <v/>
      </c>
      <c r="M116" s="15" t="n"/>
      <c r="N116" s="23">
        <f>IF($M116="","",SUMIFS(SITE_COEFFS!$C:$C,SITE_COEFFS!$A:$A,"AccessClass",SITE_COEFFS!$B:$B,$M116))</f>
        <v/>
      </c>
      <c r="O116" s="15" t="n"/>
      <c r="P116" s="23">
        <f>IF($O116="","",SUMIFS(SITE_COEFFS!$C:$C,SITE_COEFFS!$A:$A,"TurnSpace",SITE_COEFFS!$B:$B,$O116))</f>
        <v/>
      </c>
      <c r="Q116" s="15" t="n"/>
      <c r="R116" s="23">
        <f>IF($Q116="","",SUMIFS(SITE_COEFFS!$C:$C,SITE_COEFFS!$A:$A,"ProximityToBuildings",SITE_COEFFS!$B:$B,$Q116))</f>
        <v/>
      </c>
      <c r="S116" s="15" t="n"/>
      <c r="T116" s="23">
        <f>IF($S116="","",SUMIFS(SITE_COEFFS!$C:$C,SITE_COEFFS!$A:$A,"MachineryAllowed",SITE_COEFFS!$B:$B,$S116))</f>
        <v/>
      </c>
      <c r="U116" s="15" t="n"/>
      <c r="V116" s="15" t="n"/>
      <c r="W116" s="23">
        <f>IF($V116="","",SUMIFS(SITE_COEFFS!$C:$C,SITE_COEFFS!$A:$A,"GeometryComplexity",SITE_COEFFS!$B:$B,$V116))</f>
        <v/>
      </c>
      <c r="X116" s="15" t="n"/>
      <c r="Y116" s="15">
        <f>IF($X116="","",SUMIFS(TARIFF_PROFILES!$D:$D,TARIFF_PROFILES!$A:$A,$X116))</f>
        <v/>
      </c>
      <c r="Z116" s="15">
        <f>IF($X116="","",SUMIFS(TARIFF_PROFILES!$E:$E,TARIFF_PROFILES!$A:$A,$X116))</f>
        <v/>
      </c>
      <c r="AA116" s="15">
        <f>IF($X116="","",SUMIFS(TARIFF_PROFILES!$F:$F,TARIFF_PROFILES!$A:$A,$X116))</f>
        <v/>
      </c>
      <c r="AB116" s="15">
        <f>IF($X116="","",SUMIFS(TARIFF_PROFILES!$G:$G,TARIFF_PROFILES!$A:$A,$X116))</f>
        <v/>
      </c>
      <c r="AC116" s="15">
        <f>IF($X116="","",SUMIFS(TARIFF_PROFILES!$H:$H,TARIFF_PROFILES!$A:$A,$X116))</f>
        <v/>
      </c>
      <c r="AD116" s="15">
        <f>IF($X116="","",INDEX(TARIFF_PROFILES!$J:$J,MATCH($X116,TARIFF_PROFILES!$A:$A,0)))</f>
        <v/>
      </c>
      <c r="AE116" s="15">
        <f>IF($X116="","",INDEX(TARIFF_PROFILES!$K:$K,MATCH($X116,TARIFF_PROFILES!$A:$A,0)))</f>
        <v/>
      </c>
      <c r="AH116">
        <f>IF($AG116="","",SUMIFS(OPERATING_COEFFS!$C:$C,OPERATING_COEFFS!$A:$A,"DistanceClass",OPERATING_COEFFS!$B:$B,$AG116))</f>
        <v/>
      </c>
      <c r="AJ116">
        <f>IF($AI116="","",SUMIFS(OPERATING_COEFFS!$C:$C,OPERATING_COEFFS!$A:$A,"SeasonClass",OPERATING_COEFFS!$B:$B,$AI116))</f>
        <v/>
      </c>
      <c r="AL116">
        <f>IF($AK116="","",SUMIFS(OPERATING_COEFFS!$C:$C,OPERATING_COEFFS!$A:$A,"UrgencyClass",OPERATING_COEFFS!$B:$B,$AK116))</f>
        <v/>
      </c>
      <c r="AN116">
        <f>IF($AM116="","",INDEX(TAX_MODES!$B:$B,MATCH($AM116,TAX_MODES!$A:$A,0)))</f>
        <v/>
      </c>
    </row>
    <row r="117">
      <c r="A117" s="15" t="n"/>
      <c r="B117" s="15" t="n"/>
      <c r="C117" s="15" t="n"/>
      <c r="D117" s="23">
        <f>IF($C117="","",SUMIFS(SITE_COEFFS!$C:$C,SITE_COEFFS!$A:$A,"SoilWorkability",SITE_COEFFS!$B:$B,$C117))</f>
        <v/>
      </c>
      <c r="E117" s="15" t="n"/>
      <c r="F117" s="23">
        <f>IF($E117="","",SUMIFS(SITE_COEFFS!$C:$C,SITE_COEFFS!$A:$A,"SoilMoisture",SITE_COEFFS!$B:$B,$E117))</f>
        <v/>
      </c>
      <c r="G117" s="15" t="n"/>
      <c r="H117" s="23">
        <f>IF($G117="","",SUMIFS(SITE_COEFFS!$C:$C,SITE_COEFFS!$A:$A,"DebrisLevel",SITE_COEFFS!$B:$B,$G117))</f>
        <v/>
      </c>
      <c r="I117" s="15" t="n"/>
      <c r="J117" s="23">
        <f>IF($I117="","",SUMIFS(SITE_COEFFS!$C:$C,SITE_COEFFS!$A:$A,"SlopeClass",SITE_COEFFS!$B:$B,$I117))</f>
        <v/>
      </c>
      <c r="K117" s="15" t="n"/>
      <c r="L117" s="23">
        <f>IF($K117="","",SUMIFS(SITE_COEFFS!$C:$C,SITE_COEFFS!$A:$A,"SurfaceUnevenness",SITE_COEFFS!$B:$B,$K117))</f>
        <v/>
      </c>
      <c r="M117" s="15" t="n"/>
      <c r="N117" s="23">
        <f>IF($M117="","",SUMIFS(SITE_COEFFS!$C:$C,SITE_COEFFS!$A:$A,"AccessClass",SITE_COEFFS!$B:$B,$M117))</f>
        <v/>
      </c>
      <c r="O117" s="15" t="n"/>
      <c r="P117" s="23">
        <f>IF($O117="","",SUMIFS(SITE_COEFFS!$C:$C,SITE_COEFFS!$A:$A,"TurnSpace",SITE_COEFFS!$B:$B,$O117))</f>
        <v/>
      </c>
      <c r="Q117" s="15" t="n"/>
      <c r="R117" s="23">
        <f>IF($Q117="","",SUMIFS(SITE_COEFFS!$C:$C,SITE_COEFFS!$A:$A,"ProximityToBuildings",SITE_COEFFS!$B:$B,$Q117))</f>
        <v/>
      </c>
      <c r="S117" s="15" t="n"/>
      <c r="T117" s="23">
        <f>IF($S117="","",SUMIFS(SITE_COEFFS!$C:$C,SITE_COEFFS!$A:$A,"MachineryAllowed",SITE_COEFFS!$B:$B,$S117))</f>
        <v/>
      </c>
      <c r="U117" s="15" t="n"/>
      <c r="V117" s="15" t="n"/>
      <c r="W117" s="23">
        <f>IF($V117="","",SUMIFS(SITE_COEFFS!$C:$C,SITE_COEFFS!$A:$A,"GeometryComplexity",SITE_COEFFS!$B:$B,$V117))</f>
        <v/>
      </c>
      <c r="X117" s="15" t="n"/>
      <c r="Y117" s="15">
        <f>IF($X117="","",SUMIFS(TARIFF_PROFILES!$D:$D,TARIFF_PROFILES!$A:$A,$X117))</f>
        <v/>
      </c>
      <c r="Z117" s="15">
        <f>IF($X117="","",SUMIFS(TARIFF_PROFILES!$E:$E,TARIFF_PROFILES!$A:$A,$X117))</f>
        <v/>
      </c>
      <c r="AA117" s="15">
        <f>IF($X117="","",SUMIFS(TARIFF_PROFILES!$F:$F,TARIFF_PROFILES!$A:$A,$X117))</f>
        <v/>
      </c>
      <c r="AB117" s="15">
        <f>IF($X117="","",SUMIFS(TARIFF_PROFILES!$G:$G,TARIFF_PROFILES!$A:$A,$X117))</f>
        <v/>
      </c>
      <c r="AC117" s="15">
        <f>IF($X117="","",SUMIFS(TARIFF_PROFILES!$H:$H,TARIFF_PROFILES!$A:$A,$X117))</f>
        <v/>
      </c>
      <c r="AD117" s="15">
        <f>IF($X117="","",INDEX(TARIFF_PROFILES!$J:$J,MATCH($X117,TARIFF_PROFILES!$A:$A,0)))</f>
        <v/>
      </c>
      <c r="AE117" s="15">
        <f>IF($X117="","",INDEX(TARIFF_PROFILES!$K:$K,MATCH($X117,TARIFF_PROFILES!$A:$A,0)))</f>
        <v/>
      </c>
      <c r="AH117">
        <f>IF($AG117="","",SUMIFS(OPERATING_COEFFS!$C:$C,OPERATING_COEFFS!$A:$A,"DistanceClass",OPERATING_COEFFS!$B:$B,$AG117))</f>
        <v/>
      </c>
      <c r="AJ117">
        <f>IF($AI117="","",SUMIFS(OPERATING_COEFFS!$C:$C,OPERATING_COEFFS!$A:$A,"SeasonClass",OPERATING_COEFFS!$B:$B,$AI117))</f>
        <v/>
      </c>
      <c r="AL117">
        <f>IF($AK117="","",SUMIFS(OPERATING_COEFFS!$C:$C,OPERATING_COEFFS!$A:$A,"UrgencyClass",OPERATING_COEFFS!$B:$B,$AK117))</f>
        <v/>
      </c>
      <c r="AN117">
        <f>IF($AM117="","",INDEX(TAX_MODES!$B:$B,MATCH($AM117,TAX_MODES!$A:$A,0)))</f>
        <v/>
      </c>
    </row>
    <row r="118">
      <c r="A118" s="15" t="n"/>
      <c r="B118" s="15" t="n"/>
      <c r="C118" s="15" t="n"/>
      <c r="D118" s="23">
        <f>IF($C118="","",SUMIFS(SITE_COEFFS!$C:$C,SITE_COEFFS!$A:$A,"SoilWorkability",SITE_COEFFS!$B:$B,$C118))</f>
        <v/>
      </c>
      <c r="E118" s="15" t="n"/>
      <c r="F118" s="23">
        <f>IF($E118="","",SUMIFS(SITE_COEFFS!$C:$C,SITE_COEFFS!$A:$A,"SoilMoisture",SITE_COEFFS!$B:$B,$E118))</f>
        <v/>
      </c>
      <c r="G118" s="15" t="n"/>
      <c r="H118" s="23">
        <f>IF($G118="","",SUMIFS(SITE_COEFFS!$C:$C,SITE_COEFFS!$A:$A,"DebrisLevel",SITE_COEFFS!$B:$B,$G118))</f>
        <v/>
      </c>
      <c r="I118" s="15" t="n"/>
      <c r="J118" s="23">
        <f>IF($I118="","",SUMIFS(SITE_COEFFS!$C:$C,SITE_COEFFS!$A:$A,"SlopeClass",SITE_COEFFS!$B:$B,$I118))</f>
        <v/>
      </c>
      <c r="K118" s="15" t="n"/>
      <c r="L118" s="23">
        <f>IF($K118="","",SUMIFS(SITE_COEFFS!$C:$C,SITE_COEFFS!$A:$A,"SurfaceUnevenness",SITE_COEFFS!$B:$B,$K118))</f>
        <v/>
      </c>
      <c r="M118" s="15" t="n"/>
      <c r="N118" s="23">
        <f>IF($M118="","",SUMIFS(SITE_COEFFS!$C:$C,SITE_COEFFS!$A:$A,"AccessClass",SITE_COEFFS!$B:$B,$M118))</f>
        <v/>
      </c>
      <c r="O118" s="15" t="n"/>
      <c r="P118" s="23">
        <f>IF($O118="","",SUMIFS(SITE_COEFFS!$C:$C,SITE_COEFFS!$A:$A,"TurnSpace",SITE_COEFFS!$B:$B,$O118))</f>
        <v/>
      </c>
      <c r="Q118" s="15" t="n"/>
      <c r="R118" s="23">
        <f>IF($Q118="","",SUMIFS(SITE_COEFFS!$C:$C,SITE_COEFFS!$A:$A,"ProximityToBuildings",SITE_COEFFS!$B:$B,$Q118))</f>
        <v/>
      </c>
      <c r="S118" s="15" t="n"/>
      <c r="T118" s="23">
        <f>IF($S118="","",SUMIFS(SITE_COEFFS!$C:$C,SITE_COEFFS!$A:$A,"MachineryAllowed",SITE_COEFFS!$B:$B,$S118))</f>
        <v/>
      </c>
      <c r="U118" s="15" t="n"/>
      <c r="V118" s="15" t="n"/>
      <c r="W118" s="23">
        <f>IF($V118="","",SUMIFS(SITE_COEFFS!$C:$C,SITE_COEFFS!$A:$A,"GeometryComplexity",SITE_COEFFS!$B:$B,$V118))</f>
        <v/>
      </c>
      <c r="X118" s="15" t="n"/>
      <c r="Y118" s="15">
        <f>IF($X118="","",SUMIFS(TARIFF_PROFILES!$D:$D,TARIFF_PROFILES!$A:$A,$X118))</f>
        <v/>
      </c>
      <c r="Z118" s="15">
        <f>IF($X118="","",SUMIFS(TARIFF_PROFILES!$E:$E,TARIFF_PROFILES!$A:$A,$X118))</f>
        <v/>
      </c>
      <c r="AA118" s="15">
        <f>IF($X118="","",SUMIFS(TARIFF_PROFILES!$F:$F,TARIFF_PROFILES!$A:$A,$X118))</f>
        <v/>
      </c>
      <c r="AB118" s="15">
        <f>IF($X118="","",SUMIFS(TARIFF_PROFILES!$G:$G,TARIFF_PROFILES!$A:$A,$X118))</f>
        <v/>
      </c>
      <c r="AC118" s="15">
        <f>IF($X118="","",SUMIFS(TARIFF_PROFILES!$H:$H,TARIFF_PROFILES!$A:$A,$X118))</f>
        <v/>
      </c>
      <c r="AD118" s="15">
        <f>IF($X118="","",INDEX(TARIFF_PROFILES!$J:$J,MATCH($X118,TARIFF_PROFILES!$A:$A,0)))</f>
        <v/>
      </c>
      <c r="AE118" s="15">
        <f>IF($X118="","",INDEX(TARIFF_PROFILES!$K:$K,MATCH($X118,TARIFF_PROFILES!$A:$A,0)))</f>
        <v/>
      </c>
      <c r="AH118">
        <f>IF($AG118="","",SUMIFS(OPERATING_COEFFS!$C:$C,OPERATING_COEFFS!$A:$A,"DistanceClass",OPERATING_COEFFS!$B:$B,$AG118))</f>
        <v/>
      </c>
      <c r="AJ118">
        <f>IF($AI118="","",SUMIFS(OPERATING_COEFFS!$C:$C,OPERATING_COEFFS!$A:$A,"SeasonClass",OPERATING_COEFFS!$B:$B,$AI118))</f>
        <v/>
      </c>
      <c r="AL118">
        <f>IF($AK118="","",SUMIFS(OPERATING_COEFFS!$C:$C,OPERATING_COEFFS!$A:$A,"UrgencyClass",OPERATING_COEFFS!$B:$B,$AK118))</f>
        <v/>
      </c>
      <c r="AN118">
        <f>IF($AM118="","",INDEX(TAX_MODES!$B:$B,MATCH($AM118,TAX_MODES!$A:$A,0)))</f>
        <v/>
      </c>
    </row>
    <row r="119">
      <c r="A119" s="15" t="n"/>
      <c r="B119" s="15" t="n"/>
      <c r="C119" s="15" t="n"/>
      <c r="D119" s="23">
        <f>IF($C119="","",SUMIFS(SITE_COEFFS!$C:$C,SITE_COEFFS!$A:$A,"SoilWorkability",SITE_COEFFS!$B:$B,$C119))</f>
        <v/>
      </c>
      <c r="E119" s="15" t="n"/>
      <c r="F119" s="23">
        <f>IF($E119="","",SUMIFS(SITE_COEFFS!$C:$C,SITE_COEFFS!$A:$A,"SoilMoisture",SITE_COEFFS!$B:$B,$E119))</f>
        <v/>
      </c>
      <c r="G119" s="15" t="n"/>
      <c r="H119" s="23">
        <f>IF($G119="","",SUMIFS(SITE_COEFFS!$C:$C,SITE_COEFFS!$A:$A,"DebrisLevel",SITE_COEFFS!$B:$B,$G119))</f>
        <v/>
      </c>
      <c r="I119" s="15" t="n"/>
      <c r="J119" s="23">
        <f>IF($I119="","",SUMIFS(SITE_COEFFS!$C:$C,SITE_COEFFS!$A:$A,"SlopeClass",SITE_COEFFS!$B:$B,$I119))</f>
        <v/>
      </c>
      <c r="K119" s="15" t="n"/>
      <c r="L119" s="23">
        <f>IF($K119="","",SUMIFS(SITE_COEFFS!$C:$C,SITE_COEFFS!$A:$A,"SurfaceUnevenness",SITE_COEFFS!$B:$B,$K119))</f>
        <v/>
      </c>
      <c r="M119" s="15" t="n"/>
      <c r="N119" s="23">
        <f>IF($M119="","",SUMIFS(SITE_COEFFS!$C:$C,SITE_COEFFS!$A:$A,"AccessClass",SITE_COEFFS!$B:$B,$M119))</f>
        <v/>
      </c>
      <c r="O119" s="15" t="n"/>
      <c r="P119" s="23">
        <f>IF($O119="","",SUMIFS(SITE_COEFFS!$C:$C,SITE_COEFFS!$A:$A,"TurnSpace",SITE_COEFFS!$B:$B,$O119))</f>
        <v/>
      </c>
      <c r="Q119" s="15" t="n"/>
      <c r="R119" s="23">
        <f>IF($Q119="","",SUMIFS(SITE_COEFFS!$C:$C,SITE_COEFFS!$A:$A,"ProximityToBuildings",SITE_COEFFS!$B:$B,$Q119))</f>
        <v/>
      </c>
      <c r="S119" s="15" t="n"/>
      <c r="T119" s="23">
        <f>IF($S119="","",SUMIFS(SITE_COEFFS!$C:$C,SITE_COEFFS!$A:$A,"MachineryAllowed",SITE_COEFFS!$B:$B,$S119))</f>
        <v/>
      </c>
      <c r="U119" s="15" t="n"/>
      <c r="V119" s="15" t="n"/>
      <c r="W119" s="23">
        <f>IF($V119="","",SUMIFS(SITE_COEFFS!$C:$C,SITE_COEFFS!$A:$A,"GeometryComplexity",SITE_COEFFS!$B:$B,$V119))</f>
        <v/>
      </c>
      <c r="X119" s="15" t="n"/>
      <c r="Y119" s="15">
        <f>IF($X119="","",SUMIFS(TARIFF_PROFILES!$D:$D,TARIFF_PROFILES!$A:$A,$X119))</f>
        <v/>
      </c>
      <c r="Z119" s="15">
        <f>IF($X119="","",SUMIFS(TARIFF_PROFILES!$E:$E,TARIFF_PROFILES!$A:$A,$X119))</f>
        <v/>
      </c>
      <c r="AA119" s="15">
        <f>IF($X119="","",SUMIFS(TARIFF_PROFILES!$F:$F,TARIFF_PROFILES!$A:$A,$X119))</f>
        <v/>
      </c>
      <c r="AB119" s="15">
        <f>IF($X119="","",SUMIFS(TARIFF_PROFILES!$G:$G,TARIFF_PROFILES!$A:$A,$X119))</f>
        <v/>
      </c>
      <c r="AC119" s="15">
        <f>IF($X119="","",SUMIFS(TARIFF_PROFILES!$H:$H,TARIFF_PROFILES!$A:$A,$X119))</f>
        <v/>
      </c>
      <c r="AD119" s="15">
        <f>IF($X119="","",INDEX(TARIFF_PROFILES!$J:$J,MATCH($X119,TARIFF_PROFILES!$A:$A,0)))</f>
        <v/>
      </c>
      <c r="AE119" s="15">
        <f>IF($X119="","",INDEX(TARIFF_PROFILES!$K:$K,MATCH($X119,TARIFF_PROFILES!$A:$A,0)))</f>
        <v/>
      </c>
      <c r="AH119">
        <f>IF($AG119="","",SUMIFS(OPERATING_COEFFS!$C:$C,OPERATING_COEFFS!$A:$A,"DistanceClass",OPERATING_COEFFS!$B:$B,$AG119))</f>
        <v/>
      </c>
      <c r="AJ119">
        <f>IF($AI119="","",SUMIFS(OPERATING_COEFFS!$C:$C,OPERATING_COEFFS!$A:$A,"SeasonClass",OPERATING_COEFFS!$B:$B,$AI119))</f>
        <v/>
      </c>
      <c r="AL119">
        <f>IF($AK119="","",SUMIFS(OPERATING_COEFFS!$C:$C,OPERATING_COEFFS!$A:$A,"UrgencyClass",OPERATING_COEFFS!$B:$B,$AK119))</f>
        <v/>
      </c>
      <c r="AN119">
        <f>IF($AM119="","",INDEX(TAX_MODES!$B:$B,MATCH($AM119,TAX_MODES!$A:$A,0)))</f>
        <v/>
      </c>
    </row>
    <row r="120">
      <c r="A120" s="15" t="n"/>
      <c r="B120" s="15" t="n"/>
      <c r="C120" s="15" t="n"/>
      <c r="D120" s="23">
        <f>IF($C120="","",SUMIFS(SITE_COEFFS!$C:$C,SITE_COEFFS!$A:$A,"SoilWorkability",SITE_COEFFS!$B:$B,$C120))</f>
        <v/>
      </c>
      <c r="E120" s="15" t="n"/>
      <c r="F120" s="23">
        <f>IF($E120="","",SUMIFS(SITE_COEFFS!$C:$C,SITE_COEFFS!$A:$A,"SoilMoisture",SITE_COEFFS!$B:$B,$E120))</f>
        <v/>
      </c>
      <c r="G120" s="15" t="n"/>
      <c r="H120" s="23">
        <f>IF($G120="","",SUMIFS(SITE_COEFFS!$C:$C,SITE_COEFFS!$A:$A,"DebrisLevel",SITE_COEFFS!$B:$B,$G120))</f>
        <v/>
      </c>
      <c r="I120" s="15" t="n"/>
      <c r="J120" s="23">
        <f>IF($I120="","",SUMIFS(SITE_COEFFS!$C:$C,SITE_COEFFS!$A:$A,"SlopeClass",SITE_COEFFS!$B:$B,$I120))</f>
        <v/>
      </c>
      <c r="K120" s="15" t="n"/>
      <c r="L120" s="23">
        <f>IF($K120="","",SUMIFS(SITE_COEFFS!$C:$C,SITE_COEFFS!$A:$A,"SurfaceUnevenness",SITE_COEFFS!$B:$B,$K120))</f>
        <v/>
      </c>
      <c r="M120" s="15" t="n"/>
      <c r="N120" s="23">
        <f>IF($M120="","",SUMIFS(SITE_COEFFS!$C:$C,SITE_COEFFS!$A:$A,"AccessClass",SITE_COEFFS!$B:$B,$M120))</f>
        <v/>
      </c>
      <c r="O120" s="15" t="n"/>
      <c r="P120" s="23">
        <f>IF($O120="","",SUMIFS(SITE_COEFFS!$C:$C,SITE_COEFFS!$A:$A,"TurnSpace",SITE_COEFFS!$B:$B,$O120))</f>
        <v/>
      </c>
      <c r="Q120" s="15" t="n"/>
      <c r="R120" s="23">
        <f>IF($Q120="","",SUMIFS(SITE_COEFFS!$C:$C,SITE_COEFFS!$A:$A,"ProximityToBuildings",SITE_COEFFS!$B:$B,$Q120))</f>
        <v/>
      </c>
      <c r="S120" s="15" t="n"/>
      <c r="T120" s="23">
        <f>IF($S120="","",SUMIFS(SITE_COEFFS!$C:$C,SITE_COEFFS!$A:$A,"MachineryAllowed",SITE_COEFFS!$B:$B,$S120))</f>
        <v/>
      </c>
      <c r="U120" s="15" t="n"/>
      <c r="V120" s="15" t="n"/>
      <c r="W120" s="23">
        <f>IF($V120="","",SUMIFS(SITE_COEFFS!$C:$C,SITE_COEFFS!$A:$A,"GeometryComplexity",SITE_COEFFS!$B:$B,$V120))</f>
        <v/>
      </c>
      <c r="X120" s="15" t="n"/>
      <c r="Y120" s="15">
        <f>IF($X120="","",SUMIFS(TARIFF_PROFILES!$D:$D,TARIFF_PROFILES!$A:$A,$X120))</f>
        <v/>
      </c>
      <c r="Z120" s="15">
        <f>IF($X120="","",SUMIFS(TARIFF_PROFILES!$E:$E,TARIFF_PROFILES!$A:$A,$X120))</f>
        <v/>
      </c>
      <c r="AA120" s="15">
        <f>IF($X120="","",SUMIFS(TARIFF_PROFILES!$F:$F,TARIFF_PROFILES!$A:$A,$X120))</f>
        <v/>
      </c>
      <c r="AB120" s="15">
        <f>IF($X120="","",SUMIFS(TARIFF_PROFILES!$G:$G,TARIFF_PROFILES!$A:$A,$X120))</f>
        <v/>
      </c>
      <c r="AC120" s="15">
        <f>IF($X120="","",SUMIFS(TARIFF_PROFILES!$H:$H,TARIFF_PROFILES!$A:$A,$X120))</f>
        <v/>
      </c>
      <c r="AD120" s="15">
        <f>IF($X120="","",INDEX(TARIFF_PROFILES!$J:$J,MATCH($X120,TARIFF_PROFILES!$A:$A,0)))</f>
        <v/>
      </c>
      <c r="AE120" s="15">
        <f>IF($X120="","",INDEX(TARIFF_PROFILES!$K:$K,MATCH($X120,TARIFF_PROFILES!$A:$A,0)))</f>
        <v/>
      </c>
      <c r="AH120">
        <f>IF($AG120="","",SUMIFS(OPERATING_COEFFS!$C:$C,OPERATING_COEFFS!$A:$A,"DistanceClass",OPERATING_COEFFS!$B:$B,$AG120))</f>
        <v/>
      </c>
      <c r="AJ120">
        <f>IF($AI120="","",SUMIFS(OPERATING_COEFFS!$C:$C,OPERATING_COEFFS!$A:$A,"SeasonClass",OPERATING_COEFFS!$B:$B,$AI120))</f>
        <v/>
      </c>
      <c r="AL120">
        <f>IF($AK120="","",SUMIFS(OPERATING_COEFFS!$C:$C,OPERATING_COEFFS!$A:$A,"UrgencyClass",OPERATING_COEFFS!$B:$B,$AK120))</f>
        <v/>
      </c>
      <c r="AN120">
        <f>IF($AM120="","",INDEX(TAX_MODES!$B:$B,MATCH($AM120,TAX_MODES!$A:$A,0)))</f>
        <v/>
      </c>
    </row>
    <row r="121">
      <c r="A121" s="15" t="n"/>
      <c r="B121" s="15" t="n"/>
      <c r="C121" s="15" t="n"/>
      <c r="D121" s="23">
        <f>IF($C121="","",SUMIFS(SITE_COEFFS!$C:$C,SITE_COEFFS!$A:$A,"SoilWorkability",SITE_COEFFS!$B:$B,$C121))</f>
        <v/>
      </c>
      <c r="E121" s="15" t="n"/>
      <c r="F121" s="23">
        <f>IF($E121="","",SUMIFS(SITE_COEFFS!$C:$C,SITE_COEFFS!$A:$A,"SoilMoisture",SITE_COEFFS!$B:$B,$E121))</f>
        <v/>
      </c>
      <c r="G121" s="15" t="n"/>
      <c r="H121" s="23">
        <f>IF($G121="","",SUMIFS(SITE_COEFFS!$C:$C,SITE_COEFFS!$A:$A,"DebrisLevel",SITE_COEFFS!$B:$B,$G121))</f>
        <v/>
      </c>
      <c r="I121" s="15" t="n"/>
      <c r="J121" s="23">
        <f>IF($I121="","",SUMIFS(SITE_COEFFS!$C:$C,SITE_COEFFS!$A:$A,"SlopeClass",SITE_COEFFS!$B:$B,$I121))</f>
        <v/>
      </c>
      <c r="K121" s="15" t="n"/>
      <c r="L121" s="23">
        <f>IF($K121="","",SUMIFS(SITE_COEFFS!$C:$C,SITE_COEFFS!$A:$A,"SurfaceUnevenness",SITE_COEFFS!$B:$B,$K121))</f>
        <v/>
      </c>
      <c r="M121" s="15" t="n"/>
      <c r="N121" s="23">
        <f>IF($M121="","",SUMIFS(SITE_COEFFS!$C:$C,SITE_COEFFS!$A:$A,"AccessClass",SITE_COEFFS!$B:$B,$M121))</f>
        <v/>
      </c>
      <c r="O121" s="15" t="n"/>
      <c r="P121" s="23">
        <f>IF($O121="","",SUMIFS(SITE_COEFFS!$C:$C,SITE_COEFFS!$A:$A,"TurnSpace",SITE_COEFFS!$B:$B,$O121))</f>
        <v/>
      </c>
      <c r="Q121" s="15" t="n"/>
      <c r="R121" s="23">
        <f>IF($Q121="","",SUMIFS(SITE_COEFFS!$C:$C,SITE_COEFFS!$A:$A,"ProximityToBuildings",SITE_COEFFS!$B:$B,$Q121))</f>
        <v/>
      </c>
      <c r="S121" s="15" t="n"/>
      <c r="T121" s="23">
        <f>IF($S121="","",SUMIFS(SITE_COEFFS!$C:$C,SITE_COEFFS!$A:$A,"MachineryAllowed",SITE_COEFFS!$B:$B,$S121))</f>
        <v/>
      </c>
      <c r="U121" s="15" t="n"/>
      <c r="V121" s="15" t="n"/>
      <c r="W121" s="23">
        <f>IF($V121="","",SUMIFS(SITE_COEFFS!$C:$C,SITE_COEFFS!$A:$A,"GeometryComplexity",SITE_COEFFS!$B:$B,$V121))</f>
        <v/>
      </c>
      <c r="X121" s="15" t="n"/>
      <c r="Y121" s="15">
        <f>IF($X121="","",SUMIFS(TARIFF_PROFILES!$D:$D,TARIFF_PROFILES!$A:$A,$X121))</f>
        <v/>
      </c>
      <c r="Z121" s="15">
        <f>IF($X121="","",SUMIFS(TARIFF_PROFILES!$E:$E,TARIFF_PROFILES!$A:$A,$X121))</f>
        <v/>
      </c>
      <c r="AA121" s="15">
        <f>IF($X121="","",SUMIFS(TARIFF_PROFILES!$F:$F,TARIFF_PROFILES!$A:$A,$X121))</f>
        <v/>
      </c>
      <c r="AB121" s="15">
        <f>IF($X121="","",SUMIFS(TARIFF_PROFILES!$G:$G,TARIFF_PROFILES!$A:$A,$X121))</f>
        <v/>
      </c>
      <c r="AC121" s="15">
        <f>IF($X121="","",SUMIFS(TARIFF_PROFILES!$H:$H,TARIFF_PROFILES!$A:$A,$X121))</f>
        <v/>
      </c>
      <c r="AD121" s="15">
        <f>IF($X121="","",INDEX(TARIFF_PROFILES!$J:$J,MATCH($X121,TARIFF_PROFILES!$A:$A,0)))</f>
        <v/>
      </c>
      <c r="AE121" s="15">
        <f>IF($X121="","",INDEX(TARIFF_PROFILES!$K:$K,MATCH($X121,TARIFF_PROFILES!$A:$A,0)))</f>
        <v/>
      </c>
      <c r="AH121">
        <f>IF($AG121="","",SUMIFS(OPERATING_COEFFS!$C:$C,OPERATING_COEFFS!$A:$A,"DistanceClass",OPERATING_COEFFS!$B:$B,$AG121))</f>
        <v/>
      </c>
      <c r="AJ121">
        <f>IF($AI121="","",SUMIFS(OPERATING_COEFFS!$C:$C,OPERATING_COEFFS!$A:$A,"SeasonClass",OPERATING_COEFFS!$B:$B,$AI121))</f>
        <v/>
      </c>
      <c r="AL121">
        <f>IF($AK121="","",SUMIFS(OPERATING_COEFFS!$C:$C,OPERATING_COEFFS!$A:$A,"UrgencyClass",OPERATING_COEFFS!$B:$B,$AK121))</f>
        <v/>
      </c>
      <c r="AN121">
        <f>IF($AM121="","",INDEX(TAX_MODES!$B:$B,MATCH($AM121,TAX_MODES!$A:$A,0)))</f>
        <v/>
      </c>
    </row>
    <row r="122">
      <c r="A122" s="15" t="n"/>
      <c r="B122" s="15" t="n"/>
      <c r="C122" s="15" t="n"/>
      <c r="D122" s="23">
        <f>IF($C122="","",SUMIFS(SITE_COEFFS!$C:$C,SITE_COEFFS!$A:$A,"SoilWorkability",SITE_COEFFS!$B:$B,$C122))</f>
        <v/>
      </c>
      <c r="E122" s="15" t="n"/>
      <c r="F122" s="23">
        <f>IF($E122="","",SUMIFS(SITE_COEFFS!$C:$C,SITE_COEFFS!$A:$A,"SoilMoisture",SITE_COEFFS!$B:$B,$E122))</f>
        <v/>
      </c>
      <c r="G122" s="15" t="n"/>
      <c r="H122" s="23">
        <f>IF($G122="","",SUMIFS(SITE_COEFFS!$C:$C,SITE_COEFFS!$A:$A,"DebrisLevel",SITE_COEFFS!$B:$B,$G122))</f>
        <v/>
      </c>
      <c r="I122" s="15" t="n"/>
      <c r="J122" s="23">
        <f>IF($I122="","",SUMIFS(SITE_COEFFS!$C:$C,SITE_COEFFS!$A:$A,"SlopeClass",SITE_COEFFS!$B:$B,$I122))</f>
        <v/>
      </c>
      <c r="K122" s="15" t="n"/>
      <c r="L122" s="23">
        <f>IF($K122="","",SUMIFS(SITE_COEFFS!$C:$C,SITE_COEFFS!$A:$A,"SurfaceUnevenness",SITE_COEFFS!$B:$B,$K122))</f>
        <v/>
      </c>
      <c r="M122" s="15" t="n"/>
      <c r="N122" s="23">
        <f>IF($M122="","",SUMIFS(SITE_COEFFS!$C:$C,SITE_COEFFS!$A:$A,"AccessClass",SITE_COEFFS!$B:$B,$M122))</f>
        <v/>
      </c>
      <c r="O122" s="15" t="n"/>
      <c r="P122" s="23">
        <f>IF($O122="","",SUMIFS(SITE_COEFFS!$C:$C,SITE_COEFFS!$A:$A,"TurnSpace",SITE_COEFFS!$B:$B,$O122))</f>
        <v/>
      </c>
      <c r="Q122" s="15" t="n"/>
      <c r="R122" s="23">
        <f>IF($Q122="","",SUMIFS(SITE_COEFFS!$C:$C,SITE_COEFFS!$A:$A,"ProximityToBuildings",SITE_COEFFS!$B:$B,$Q122))</f>
        <v/>
      </c>
      <c r="S122" s="15" t="n"/>
      <c r="T122" s="23">
        <f>IF($S122="","",SUMIFS(SITE_COEFFS!$C:$C,SITE_COEFFS!$A:$A,"MachineryAllowed",SITE_COEFFS!$B:$B,$S122))</f>
        <v/>
      </c>
      <c r="U122" s="15" t="n"/>
      <c r="V122" s="15" t="n"/>
      <c r="W122" s="23">
        <f>IF($V122="","",SUMIFS(SITE_COEFFS!$C:$C,SITE_COEFFS!$A:$A,"GeometryComplexity",SITE_COEFFS!$B:$B,$V122))</f>
        <v/>
      </c>
      <c r="X122" s="15" t="n"/>
      <c r="Y122" s="15">
        <f>IF($X122="","",SUMIFS(TARIFF_PROFILES!$D:$D,TARIFF_PROFILES!$A:$A,$X122))</f>
        <v/>
      </c>
      <c r="Z122" s="15">
        <f>IF($X122="","",SUMIFS(TARIFF_PROFILES!$E:$E,TARIFF_PROFILES!$A:$A,$X122))</f>
        <v/>
      </c>
      <c r="AA122" s="15">
        <f>IF($X122="","",SUMIFS(TARIFF_PROFILES!$F:$F,TARIFF_PROFILES!$A:$A,$X122))</f>
        <v/>
      </c>
      <c r="AB122" s="15">
        <f>IF($X122="","",SUMIFS(TARIFF_PROFILES!$G:$G,TARIFF_PROFILES!$A:$A,$X122))</f>
        <v/>
      </c>
      <c r="AC122" s="15">
        <f>IF($X122="","",SUMIFS(TARIFF_PROFILES!$H:$H,TARIFF_PROFILES!$A:$A,$X122))</f>
        <v/>
      </c>
      <c r="AD122" s="15">
        <f>IF($X122="","",INDEX(TARIFF_PROFILES!$J:$J,MATCH($X122,TARIFF_PROFILES!$A:$A,0)))</f>
        <v/>
      </c>
      <c r="AE122" s="15">
        <f>IF($X122="","",INDEX(TARIFF_PROFILES!$K:$K,MATCH($X122,TARIFF_PROFILES!$A:$A,0)))</f>
        <v/>
      </c>
      <c r="AH122">
        <f>IF($AG122="","",SUMIFS(OPERATING_COEFFS!$C:$C,OPERATING_COEFFS!$A:$A,"DistanceClass",OPERATING_COEFFS!$B:$B,$AG122))</f>
        <v/>
      </c>
      <c r="AJ122">
        <f>IF($AI122="","",SUMIFS(OPERATING_COEFFS!$C:$C,OPERATING_COEFFS!$A:$A,"SeasonClass",OPERATING_COEFFS!$B:$B,$AI122))</f>
        <v/>
      </c>
      <c r="AL122">
        <f>IF($AK122="","",SUMIFS(OPERATING_COEFFS!$C:$C,OPERATING_COEFFS!$A:$A,"UrgencyClass",OPERATING_COEFFS!$B:$B,$AK122))</f>
        <v/>
      </c>
      <c r="AN122">
        <f>IF($AM122="","",INDEX(TAX_MODES!$B:$B,MATCH($AM122,TAX_MODES!$A:$A,0)))</f>
        <v/>
      </c>
    </row>
    <row r="123">
      <c r="A123" s="15" t="n"/>
      <c r="B123" s="15" t="n"/>
      <c r="C123" s="15" t="n"/>
      <c r="D123" s="23">
        <f>IF($C123="","",SUMIFS(SITE_COEFFS!$C:$C,SITE_COEFFS!$A:$A,"SoilWorkability",SITE_COEFFS!$B:$B,$C123))</f>
        <v/>
      </c>
      <c r="E123" s="15" t="n"/>
      <c r="F123" s="23">
        <f>IF($E123="","",SUMIFS(SITE_COEFFS!$C:$C,SITE_COEFFS!$A:$A,"SoilMoisture",SITE_COEFFS!$B:$B,$E123))</f>
        <v/>
      </c>
      <c r="G123" s="15" t="n"/>
      <c r="H123" s="23">
        <f>IF($G123="","",SUMIFS(SITE_COEFFS!$C:$C,SITE_COEFFS!$A:$A,"DebrisLevel",SITE_COEFFS!$B:$B,$G123))</f>
        <v/>
      </c>
      <c r="I123" s="15" t="n"/>
      <c r="J123" s="23">
        <f>IF($I123="","",SUMIFS(SITE_COEFFS!$C:$C,SITE_COEFFS!$A:$A,"SlopeClass",SITE_COEFFS!$B:$B,$I123))</f>
        <v/>
      </c>
      <c r="K123" s="15" t="n"/>
      <c r="L123" s="23">
        <f>IF($K123="","",SUMIFS(SITE_COEFFS!$C:$C,SITE_COEFFS!$A:$A,"SurfaceUnevenness",SITE_COEFFS!$B:$B,$K123))</f>
        <v/>
      </c>
      <c r="M123" s="15" t="n"/>
      <c r="N123" s="23">
        <f>IF($M123="","",SUMIFS(SITE_COEFFS!$C:$C,SITE_COEFFS!$A:$A,"AccessClass",SITE_COEFFS!$B:$B,$M123))</f>
        <v/>
      </c>
      <c r="O123" s="15" t="n"/>
      <c r="P123" s="23">
        <f>IF($O123="","",SUMIFS(SITE_COEFFS!$C:$C,SITE_COEFFS!$A:$A,"TurnSpace",SITE_COEFFS!$B:$B,$O123))</f>
        <v/>
      </c>
      <c r="Q123" s="15" t="n"/>
      <c r="R123" s="23">
        <f>IF($Q123="","",SUMIFS(SITE_COEFFS!$C:$C,SITE_COEFFS!$A:$A,"ProximityToBuildings",SITE_COEFFS!$B:$B,$Q123))</f>
        <v/>
      </c>
      <c r="S123" s="15" t="n"/>
      <c r="T123" s="23">
        <f>IF($S123="","",SUMIFS(SITE_COEFFS!$C:$C,SITE_COEFFS!$A:$A,"MachineryAllowed",SITE_COEFFS!$B:$B,$S123))</f>
        <v/>
      </c>
      <c r="U123" s="15" t="n"/>
      <c r="V123" s="15" t="n"/>
      <c r="W123" s="23">
        <f>IF($V123="","",SUMIFS(SITE_COEFFS!$C:$C,SITE_COEFFS!$A:$A,"GeometryComplexity",SITE_COEFFS!$B:$B,$V123))</f>
        <v/>
      </c>
      <c r="X123" s="15" t="n"/>
      <c r="Y123" s="15">
        <f>IF($X123="","",SUMIFS(TARIFF_PROFILES!$D:$D,TARIFF_PROFILES!$A:$A,$X123))</f>
        <v/>
      </c>
      <c r="Z123" s="15">
        <f>IF($X123="","",SUMIFS(TARIFF_PROFILES!$E:$E,TARIFF_PROFILES!$A:$A,$X123))</f>
        <v/>
      </c>
      <c r="AA123" s="15">
        <f>IF($X123="","",SUMIFS(TARIFF_PROFILES!$F:$F,TARIFF_PROFILES!$A:$A,$X123))</f>
        <v/>
      </c>
      <c r="AB123" s="15">
        <f>IF($X123="","",SUMIFS(TARIFF_PROFILES!$G:$G,TARIFF_PROFILES!$A:$A,$X123))</f>
        <v/>
      </c>
      <c r="AC123" s="15">
        <f>IF($X123="","",SUMIFS(TARIFF_PROFILES!$H:$H,TARIFF_PROFILES!$A:$A,$X123))</f>
        <v/>
      </c>
      <c r="AD123" s="15">
        <f>IF($X123="","",INDEX(TARIFF_PROFILES!$J:$J,MATCH($X123,TARIFF_PROFILES!$A:$A,0)))</f>
        <v/>
      </c>
      <c r="AE123" s="15">
        <f>IF($X123="","",INDEX(TARIFF_PROFILES!$K:$K,MATCH($X123,TARIFF_PROFILES!$A:$A,0)))</f>
        <v/>
      </c>
      <c r="AH123">
        <f>IF($AG123="","",SUMIFS(OPERATING_COEFFS!$C:$C,OPERATING_COEFFS!$A:$A,"DistanceClass",OPERATING_COEFFS!$B:$B,$AG123))</f>
        <v/>
      </c>
      <c r="AJ123">
        <f>IF($AI123="","",SUMIFS(OPERATING_COEFFS!$C:$C,OPERATING_COEFFS!$A:$A,"SeasonClass",OPERATING_COEFFS!$B:$B,$AI123))</f>
        <v/>
      </c>
      <c r="AL123">
        <f>IF($AK123="","",SUMIFS(OPERATING_COEFFS!$C:$C,OPERATING_COEFFS!$A:$A,"UrgencyClass",OPERATING_COEFFS!$B:$B,$AK123))</f>
        <v/>
      </c>
      <c r="AN123">
        <f>IF($AM123="","",INDEX(TAX_MODES!$B:$B,MATCH($AM123,TAX_MODES!$A:$A,0)))</f>
        <v/>
      </c>
    </row>
    <row r="124">
      <c r="A124" s="15" t="n"/>
      <c r="B124" s="15" t="n"/>
      <c r="C124" s="15" t="n"/>
      <c r="D124" s="23">
        <f>IF($C124="","",SUMIFS(SITE_COEFFS!$C:$C,SITE_COEFFS!$A:$A,"SoilWorkability",SITE_COEFFS!$B:$B,$C124))</f>
        <v/>
      </c>
      <c r="E124" s="15" t="n"/>
      <c r="F124" s="23">
        <f>IF($E124="","",SUMIFS(SITE_COEFFS!$C:$C,SITE_COEFFS!$A:$A,"SoilMoisture",SITE_COEFFS!$B:$B,$E124))</f>
        <v/>
      </c>
      <c r="G124" s="15" t="n"/>
      <c r="H124" s="23">
        <f>IF($G124="","",SUMIFS(SITE_COEFFS!$C:$C,SITE_COEFFS!$A:$A,"DebrisLevel",SITE_COEFFS!$B:$B,$G124))</f>
        <v/>
      </c>
      <c r="I124" s="15" t="n"/>
      <c r="J124" s="23">
        <f>IF($I124="","",SUMIFS(SITE_COEFFS!$C:$C,SITE_COEFFS!$A:$A,"SlopeClass",SITE_COEFFS!$B:$B,$I124))</f>
        <v/>
      </c>
      <c r="K124" s="15" t="n"/>
      <c r="L124" s="23">
        <f>IF($K124="","",SUMIFS(SITE_COEFFS!$C:$C,SITE_COEFFS!$A:$A,"SurfaceUnevenness",SITE_COEFFS!$B:$B,$K124))</f>
        <v/>
      </c>
      <c r="M124" s="15" t="n"/>
      <c r="N124" s="23">
        <f>IF($M124="","",SUMIFS(SITE_COEFFS!$C:$C,SITE_COEFFS!$A:$A,"AccessClass",SITE_COEFFS!$B:$B,$M124))</f>
        <v/>
      </c>
      <c r="O124" s="15" t="n"/>
      <c r="P124" s="23">
        <f>IF($O124="","",SUMIFS(SITE_COEFFS!$C:$C,SITE_COEFFS!$A:$A,"TurnSpace",SITE_COEFFS!$B:$B,$O124))</f>
        <v/>
      </c>
      <c r="Q124" s="15" t="n"/>
      <c r="R124" s="23">
        <f>IF($Q124="","",SUMIFS(SITE_COEFFS!$C:$C,SITE_COEFFS!$A:$A,"ProximityToBuildings",SITE_COEFFS!$B:$B,$Q124))</f>
        <v/>
      </c>
      <c r="S124" s="15" t="n"/>
      <c r="T124" s="23">
        <f>IF($S124="","",SUMIFS(SITE_COEFFS!$C:$C,SITE_COEFFS!$A:$A,"MachineryAllowed",SITE_COEFFS!$B:$B,$S124))</f>
        <v/>
      </c>
      <c r="U124" s="15" t="n"/>
      <c r="V124" s="15" t="n"/>
      <c r="W124" s="23">
        <f>IF($V124="","",SUMIFS(SITE_COEFFS!$C:$C,SITE_COEFFS!$A:$A,"GeometryComplexity",SITE_COEFFS!$B:$B,$V124))</f>
        <v/>
      </c>
      <c r="X124" s="15" t="n"/>
      <c r="Y124" s="15">
        <f>IF($X124="","",SUMIFS(TARIFF_PROFILES!$D:$D,TARIFF_PROFILES!$A:$A,$X124))</f>
        <v/>
      </c>
      <c r="Z124" s="15">
        <f>IF($X124="","",SUMIFS(TARIFF_PROFILES!$E:$E,TARIFF_PROFILES!$A:$A,$X124))</f>
        <v/>
      </c>
      <c r="AA124" s="15">
        <f>IF($X124="","",SUMIFS(TARIFF_PROFILES!$F:$F,TARIFF_PROFILES!$A:$A,$X124))</f>
        <v/>
      </c>
      <c r="AB124" s="15">
        <f>IF($X124="","",SUMIFS(TARIFF_PROFILES!$G:$G,TARIFF_PROFILES!$A:$A,$X124))</f>
        <v/>
      </c>
      <c r="AC124" s="15">
        <f>IF($X124="","",SUMIFS(TARIFF_PROFILES!$H:$H,TARIFF_PROFILES!$A:$A,$X124))</f>
        <v/>
      </c>
      <c r="AD124" s="15">
        <f>IF($X124="","",INDEX(TARIFF_PROFILES!$J:$J,MATCH($X124,TARIFF_PROFILES!$A:$A,0)))</f>
        <v/>
      </c>
      <c r="AE124" s="15">
        <f>IF($X124="","",INDEX(TARIFF_PROFILES!$K:$K,MATCH($X124,TARIFF_PROFILES!$A:$A,0)))</f>
        <v/>
      </c>
      <c r="AH124">
        <f>IF($AG124="","",SUMIFS(OPERATING_COEFFS!$C:$C,OPERATING_COEFFS!$A:$A,"DistanceClass",OPERATING_COEFFS!$B:$B,$AG124))</f>
        <v/>
      </c>
      <c r="AJ124">
        <f>IF($AI124="","",SUMIFS(OPERATING_COEFFS!$C:$C,OPERATING_COEFFS!$A:$A,"SeasonClass",OPERATING_COEFFS!$B:$B,$AI124))</f>
        <v/>
      </c>
      <c r="AL124">
        <f>IF($AK124="","",SUMIFS(OPERATING_COEFFS!$C:$C,OPERATING_COEFFS!$A:$A,"UrgencyClass",OPERATING_COEFFS!$B:$B,$AK124))</f>
        <v/>
      </c>
      <c r="AN124">
        <f>IF($AM124="","",INDEX(TAX_MODES!$B:$B,MATCH($AM124,TAX_MODES!$A:$A,0)))</f>
        <v/>
      </c>
    </row>
    <row r="125">
      <c r="A125" s="15" t="n"/>
      <c r="B125" s="15" t="n"/>
      <c r="C125" s="15" t="n"/>
      <c r="D125" s="23">
        <f>IF($C125="","",SUMIFS(SITE_COEFFS!$C:$C,SITE_COEFFS!$A:$A,"SoilWorkability",SITE_COEFFS!$B:$B,$C125))</f>
        <v/>
      </c>
      <c r="E125" s="15" t="n"/>
      <c r="F125" s="23">
        <f>IF($E125="","",SUMIFS(SITE_COEFFS!$C:$C,SITE_COEFFS!$A:$A,"SoilMoisture",SITE_COEFFS!$B:$B,$E125))</f>
        <v/>
      </c>
      <c r="G125" s="15" t="n"/>
      <c r="H125" s="23">
        <f>IF($G125="","",SUMIFS(SITE_COEFFS!$C:$C,SITE_COEFFS!$A:$A,"DebrisLevel",SITE_COEFFS!$B:$B,$G125))</f>
        <v/>
      </c>
      <c r="I125" s="15" t="n"/>
      <c r="J125" s="23">
        <f>IF($I125="","",SUMIFS(SITE_COEFFS!$C:$C,SITE_COEFFS!$A:$A,"SlopeClass",SITE_COEFFS!$B:$B,$I125))</f>
        <v/>
      </c>
      <c r="K125" s="15" t="n"/>
      <c r="L125" s="23">
        <f>IF($K125="","",SUMIFS(SITE_COEFFS!$C:$C,SITE_COEFFS!$A:$A,"SurfaceUnevenness",SITE_COEFFS!$B:$B,$K125))</f>
        <v/>
      </c>
      <c r="M125" s="15" t="n"/>
      <c r="N125" s="23">
        <f>IF($M125="","",SUMIFS(SITE_COEFFS!$C:$C,SITE_COEFFS!$A:$A,"AccessClass",SITE_COEFFS!$B:$B,$M125))</f>
        <v/>
      </c>
      <c r="O125" s="15" t="n"/>
      <c r="P125" s="23">
        <f>IF($O125="","",SUMIFS(SITE_COEFFS!$C:$C,SITE_COEFFS!$A:$A,"TurnSpace",SITE_COEFFS!$B:$B,$O125))</f>
        <v/>
      </c>
      <c r="Q125" s="15" t="n"/>
      <c r="R125" s="23">
        <f>IF($Q125="","",SUMIFS(SITE_COEFFS!$C:$C,SITE_COEFFS!$A:$A,"ProximityToBuildings",SITE_COEFFS!$B:$B,$Q125))</f>
        <v/>
      </c>
      <c r="S125" s="15" t="n"/>
      <c r="T125" s="23">
        <f>IF($S125="","",SUMIFS(SITE_COEFFS!$C:$C,SITE_COEFFS!$A:$A,"MachineryAllowed",SITE_COEFFS!$B:$B,$S125))</f>
        <v/>
      </c>
      <c r="U125" s="15" t="n"/>
      <c r="V125" s="15" t="n"/>
      <c r="W125" s="23">
        <f>IF($V125="","",SUMIFS(SITE_COEFFS!$C:$C,SITE_COEFFS!$A:$A,"GeometryComplexity",SITE_COEFFS!$B:$B,$V125))</f>
        <v/>
      </c>
      <c r="X125" s="15" t="n"/>
      <c r="Y125" s="15">
        <f>IF($X125="","",SUMIFS(TARIFF_PROFILES!$D:$D,TARIFF_PROFILES!$A:$A,$X125))</f>
        <v/>
      </c>
      <c r="Z125" s="15">
        <f>IF($X125="","",SUMIFS(TARIFF_PROFILES!$E:$E,TARIFF_PROFILES!$A:$A,$X125))</f>
        <v/>
      </c>
      <c r="AA125" s="15">
        <f>IF($X125="","",SUMIFS(TARIFF_PROFILES!$F:$F,TARIFF_PROFILES!$A:$A,$X125))</f>
        <v/>
      </c>
      <c r="AB125" s="15">
        <f>IF($X125="","",SUMIFS(TARIFF_PROFILES!$G:$G,TARIFF_PROFILES!$A:$A,$X125))</f>
        <v/>
      </c>
      <c r="AC125" s="15">
        <f>IF($X125="","",SUMIFS(TARIFF_PROFILES!$H:$H,TARIFF_PROFILES!$A:$A,$X125))</f>
        <v/>
      </c>
      <c r="AD125" s="15">
        <f>IF($X125="","",INDEX(TARIFF_PROFILES!$J:$J,MATCH($X125,TARIFF_PROFILES!$A:$A,0)))</f>
        <v/>
      </c>
      <c r="AE125" s="15">
        <f>IF($X125="","",INDEX(TARIFF_PROFILES!$K:$K,MATCH($X125,TARIFF_PROFILES!$A:$A,0)))</f>
        <v/>
      </c>
      <c r="AH125">
        <f>IF($AG125="","",SUMIFS(OPERATING_COEFFS!$C:$C,OPERATING_COEFFS!$A:$A,"DistanceClass",OPERATING_COEFFS!$B:$B,$AG125))</f>
        <v/>
      </c>
      <c r="AJ125">
        <f>IF($AI125="","",SUMIFS(OPERATING_COEFFS!$C:$C,OPERATING_COEFFS!$A:$A,"SeasonClass",OPERATING_COEFFS!$B:$B,$AI125))</f>
        <v/>
      </c>
      <c r="AL125">
        <f>IF($AK125="","",SUMIFS(OPERATING_COEFFS!$C:$C,OPERATING_COEFFS!$A:$A,"UrgencyClass",OPERATING_COEFFS!$B:$B,$AK125))</f>
        <v/>
      </c>
      <c r="AN125">
        <f>IF($AM125="","",INDEX(TAX_MODES!$B:$B,MATCH($AM125,TAX_MODES!$A:$A,0)))</f>
        <v/>
      </c>
    </row>
    <row r="126">
      <c r="A126" s="15" t="n"/>
      <c r="B126" s="15" t="n"/>
      <c r="C126" s="15" t="n"/>
      <c r="D126" s="23">
        <f>IF($C126="","",SUMIFS(SITE_COEFFS!$C:$C,SITE_COEFFS!$A:$A,"SoilWorkability",SITE_COEFFS!$B:$B,$C126))</f>
        <v/>
      </c>
      <c r="E126" s="15" t="n"/>
      <c r="F126" s="23">
        <f>IF($E126="","",SUMIFS(SITE_COEFFS!$C:$C,SITE_COEFFS!$A:$A,"SoilMoisture",SITE_COEFFS!$B:$B,$E126))</f>
        <v/>
      </c>
      <c r="G126" s="15" t="n"/>
      <c r="H126" s="23">
        <f>IF($G126="","",SUMIFS(SITE_COEFFS!$C:$C,SITE_COEFFS!$A:$A,"DebrisLevel",SITE_COEFFS!$B:$B,$G126))</f>
        <v/>
      </c>
      <c r="I126" s="15" t="n"/>
      <c r="J126" s="23">
        <f>IF($I126="","",SUMIFS(SITE_COEFFS!$C:$C,SITE_COEFFS!$A:$A,"SlopeClass",SITE_COEFFS!$B:$B,$I126))</f>
        <v/>
      </c>
      <c r="K126" s="15" t="n"/>
      <c r="L126" s="23">
        <f>IF($K126="","",SUMIFS(SITE_COEFFS!$C:$C,SITE_COEFFS!$A:$A,"SurfaceUnevenness",SITE_COEFFS!$B:$B,$K126))</f>
        <v/>
      </c>
      <c r="M126" s="15" t="n"/>
      <c r="N126" s="23">
        <f>IF($M126="","",SUMIFS(SITE_COEFFS!$C:$C,SITE_COEFFS!$A:$A,"AccessClass",SITE_COEFFS!$B:$B,$M126))</f>
        <v/>
      </c>
      <c r="O126" s="15" t="n"/>
      <c r="P126" s="23">
        <f>IF($O126="","",SUMIFS(SITE_COEFFS!$C:$C,SITE_COEFFS!$A:$A,"TurnSpace",SITE_COEFFS!$B:$B,$O126))</f>
        <v/>
      </c>
      <c r="Q126" s="15" t="n"/>
      <c r="R126" s="23">
        <f>IF($Q126="","",SUMIFS(SITE_COEFFS!$C:$C,SITE_COEFFS!$A:$A,"ProximityToBuildings",SITE_COEFFS!$B:$B,$Q126))</f>
        <v/>
      </c>
      <c r="S126" s="15" t="n"/>
      <c r="T126" s="23">
        <f>IF($S126="","",SUMIFS(SITE_COEFFS!$C:$C,SITE_COEFFS!$A:$A,"MachineryAllowed",SITE_COEFFS!$B:$B,$S126))</f>
        <v/>
      </c>
      <c r="U126" s="15" t="n"/>
      <c r="V126" s="15" t="n"/>
      <c r="W126" s="23">
        <f>IF($V126="","",SUMIFS(SITE_COEFFS!$C:$C,SITE_COEFFS!$A:$A,"GeometryComplexity",SITE_COEFFS!$B:$B,$V126))</f>
        <v/>
      </c>
      <c r="X126" s="15" t="n"/>
      <c r="Y126" s="15">
        <f>IF($X126="","",SUMIFS(TARIFF_PROFILES!$D:$D,TARIFF_PROFILES!$A:$A,$X126))</f>
        <v/>
      </c>
      <c r="Z126" s="15">
        <f>IF($X126="","",SUMIFS(TARIFF_PROFILES!$E:$E,TARIFF_PROFILES!$A:$A,$X126))</f>
        <v/>
      </c>
      <c r="AA126" s="15">
        <f>IF($X126="","",SUMIFS(TARIFF_PROFILES!$F:$F,TARIFF_PROFILES!$A:$A,$X126))</f>
        <v/>
      </c>
      <c r="AB126" s="15">
        <f>IF($X126="","",SUMIFS(TARIFF_PROFILES!$G:$G,TARIFF_PROFILES!$A:$A,$X126))</f>
        <v/>
      </c>
      <c r="AC126" s="15">
        <f>IF($X126="","",SUMIFS(TARIFF_PROFILES!$H:$H,TARIFF_PROFILES!$A:$A,$X126))</f>
        <v/>
      </c>
      <c r="AD126" s="15">
        <f>IF($X126="","",INDEX(TARIFF_PROFILES!$J:$J,MATCH($X126,TARIFF_PROFILES!$A:$A,0)))</f>
        <v/>
      </c>
      <c r="AE126" s="15">
        <f>IF($X126="","",INDEX(TARIFF_PROFILES!$K:$K,MATCH($X126,TARIFF_PROFILES!$A:$A,0)))</f>
        <v/>
      </c>
      <c r="AH126">
        <f>IF($AG126="","",SUMIFS(OPERATING_COEFFS!$C:$C,OPERATING_COEFFS!$A:$A,"DistanceClass",OPERATING_COEFFS!$B:$B,$AG126))</f>
        <v/>
      </c>
      <c r="AJ126">
        <f>IF($AI126="","",SUMIFS(OPERATING_COEFFS!$C:$C,OPERATING_COEFFS!$A:$A,"SeasonClass",OPERATING_COEFFS!$B:$B,$AI126))</f>
        <v/>
      </c>
      <c r="AL126">
        <f>IF($AK126="","",SUMIFS(OPERATING_COEFFS!$C:$C,OPERATING_COEFFS!$A:$A,"UrgencyClass",OPERATING_COEFFS!$B:$B,$AK126))</f>
        <v/>
      </c>
      <c r="AN126">
        <f>IF($AM126="","",INDEX(TAX_MODES!$B:$B,MATCH($AM126,TAX_MODES!$A:$A,0)))</f>
        <v/>
      </c>
    </row>
    <row r="127">
      <c r="A127" s="15" t="n"/>
      <c r="B127" s="15" t="n"/>
      <c r="C127" s="15" t="n"/>
      <c r="D127" s="23">
        <f>IF($C127="","",SUMIFS(SITE_COEFFS!$C:$C,SITE_COEFFS!$A:$A,"SoilWorkability",SITE_COEFFS!$B:$B,$C127))</f>
        <v/>
      </c>
      <c r="E127" s="15" t="n"/>
      <c r="F127" s="23">
        <f>IF($E127="","",SUMIFS(SITE_COEFFS!$C:$C,SITE_COEFFS!$A:$A,"SoilMoisture",SITE_COEFFS!$B:$B,$E127))</f>
        <v/>
      </c>
      <c r="G127" s="15" t="n"/>
      <c r="H127" s="23">
        <f>IF($G127="","",SUMIFS(SITE_COEFFS!$C:$C,SITE_COEFFS!$A:$A,"DebrisLevel",SITE_COEFFS!$B:$B,$G127))</f>
        <v/>
      </c>
      <c r="I127" s="15" t="n"/>
      <c r="J127" s="23">
        <f>IF($I127="","",SUMIFS(SITE_COEFFS!$C:$C,SITE_COEFFS!$A:$A,"SlopeClass",SITE_COEFFS!$B:$B,$I127))</f>
        <v/>
      </c>
      <c r="K127" s="15" t="n"/>
      <c r="L127" s="23">
        <f>IF($K127="","",SUMIFS(SITE_COEFFS!$C:$C,SITE_COEFFS!$A:$A,"SurfaceUnevenness",SITE_COEFFS!$B:$B,$K127))</f>
        <v/>
      </c>
      <c r="M127" s="15" t="n"/>
      <c r="N127" s="23">
        <f>IF($M127="","",SUMIFS(SITE_COEFFS!$C:$C,SITE_COEFFS!$A:$A,"AccessClass",SITE_COEFFS!$B:$B,$M127))</f>
        <v/>
      </c>
      <c r="O127" s="15" t="n"/>
      <c r="P127" s="23">
        <f>IF($O127="","",SUMIFS(SITE_COEFFS!$C:$C,SITE_COEFFS!$A:$A,"TurnSpace",SITE_COEFFS!$B:$B,$O127))</f>
        <v/>
      </c>
      <c r="Q127" s="15" t="n"/>
      <c r="R127" s="23">
        <f>IF($Q127="","",SUMIFS(SITE_COEFFS!$C:$C,SITE_COEFFS!$A:$A,"ProximityToBuildings",SITE_COEFFS!$B:$B,$Q127))</f>
        <v/>
      </c>
      <c r="S127" s="15" t="n"/>
      <c r="T127" s="23">
        <f>IF($S127="","",SUMIFS(SITE_COEFFS!$C:$C,SITE_COEFFS!$A:$A,"MachineryAllowed",SITE_COEFFS!$B:$B,$S127))</f>
        <v/>
      </c>
      <c r="U127" s="15" t="n"/>
      <c r="V127" s="15" t="n"/>
      <c r="W127" s="23">
        <f>IF($V127="","",SUMIFS(SITE_COEFFS!$C:$C,SITE_COEFFS!$A:$A,"GeometryComplexity",SITE_COEFFS!$B:$B,$V127))</f>
        <v/>
      </c>
      <c r="X127" s="15" t="n"/>
      <c r="Y127" s="15">
        <f>IF($X127="","",SUMIFS(TARIFF_PROFILES!$D:$D,TARIFF_PROFILES!$A:$A,$X127))</f>
        <v/>
      </c>
      <c r="Z127" s="15">
        <f>IF($X127="","",SUMIFS(TARIFF_PROFILES!$E:$E,TARIFF_PROFILES!$A:$A,$X127))</f>
        <v/>
      </c>
      <c r="AA127" s="15">
        <f>IF($X127="","",SUMIFS(TARIFF_PROFILES!$F:$F,TARIFF_PROFILES!$A:$A,$X127))</f>
        <v/>
      </c>
      <c r="AB127" s="15">
        <f>IF($X127="","",SUMIFS(TARIFF_PROFILES!$G:$G,TARIFF_PROFILES!$A:$A,$X127))</f>
        <v/>
      </c>
      <c r="AC127" s="15">
        <f>IF($X127="","",SUMIFS(TARIFF_PROFILES!$H:$H,TARIFF_PROFILES!$A:$A,$X127))</f>
        <v/>
      </c>
      <c r="AD127" s="15">
        <f>IF($X127="","",INDEX(TARIFF_PROFILES!$J:$J,MATCH($X127,TARIFF_PROFILES!$A:$A,0)))</f>
        <v/>
      </c>
      <c r="AE127" s="15">
        <f>IF($X127="","",INDEX(TARIFF_PROFILES!$K:$K,MATCH($X127,TARIFF_PROFILES!$A:$A,0)))</f>
        <v/>
      </c>
      <c r="AH127">
        <f>IF($AG127="","",SUMIFS(OPERATING_COEFFS!$C:$C,OPERATING_COEFFS!$A:$A,"DistanceClass",OPERATING_COEFFS!$B:$B,$AG127))</f>
        <v/>
      </c>
      <c r="AJ127">
        <f>IF($AI127="","",SUMIFS(OPERATING_COEFFS!$C:$C,OPERATING_COEFFS!$A:$A,"SeasonClass",OPERATING_COEFFS!$B:$B,$AI127))</f>
        <v/>
      </c>
      <c r="AL127">
        <f>IF($AK127="","",SUMIFS(OPERATING_COEFFS!$C:$C,OPERATING_COEFFS!$A:$A,"UrgencyClass",OPERATING_COEFFS!$B:$B,$AK127))</f>
        <v/>
      </c>
      <c r="AN127">
        <f>IF($AM127="","",INDEX(TAX_MODES!$B:$B,MATCH($AM127,TAX_MODES!$A:$A,0)))</f>
        <v/>
      </c>
    </row>
    <row r="128">
      <c r="A128" s="15" t="n"/>
      <c r="B128" s="15" t="n"/>
      <c r="C128" s="15" t="n"/>
      <c r="D128" s="23">
        <f>IF($C128="","",SUMIFS(SITE_COEFFS!$C:$C,SITE_COEFFS!$A:$A,"SoilWorkability",SITE_COEFFS!$B:$B,$C128))</f>
        <v/>
      </c>
      <c r="E128" s="15" t="n"/>
      <c r="F128" s="23">
        <f>IF($E128="","",SUMIFS(SITE_COEFFS!$C:$C,SITE_COEFFS!$A:$A,"SoilMoisture",SITE_COEFFS!$B:$B,$E128))</f>
        <v/>
      </c>
      <c r="G128" s="15" t="n"/>
      <c r="H128" s="23">
        <f>IF($G128="","",SUMIFS(SITE_COEFFS!$C:$C,SITE_COEFFS!$A:$A,"DebrisLevel",SITE_COEFFS!$B:$B,$G128))</f>
        <v/>
      </c>
      <c r="I128" s="15" t="n"/>
      <c r="J128" s="23">
        <f>IF($I128="","",SUMIFS(SITE_COEFFS!$C:$C,SITE_COEFFS!$A:$A,"SlopeClass",SITE_COEFFS!$B:$B,$I128))</f>
        <v/>
      </c>
      <c r="K128" s="15" t="n"/>
      <c r="L128" s="23">
        <f>IF($K128="","",SUMIFS(SITE_COEFFS!$C:$C,SITE_COEFFS!$A:$A,"SurfaceUnevenness",SITE_COEFFS!$B:$B,$K128))</f>
        <v/>
      </c>
      <c r="M128" s="15" t="n"/>
      <c r="N128" s="23">
        <f>IF($M128="","",SUMIFS(SITE_COEFFS!$C:$C,SITE_COEFFS!$A:$A,"AccessClass",SITE_COEFFS!$B:$B,$M128))</f>
        <v/>
      </c>
      <c r="O128" s="15" t="n"/>
      <c r="P128" s="23">
        <f>IF($O128="","",SUMIFS(SITE_COEFFS!$C:$C,SITE_COEFFS!$A:$A,"TurnSpace",SITE_COEFFS!$B:$B,$O128))</f>
        <v/>
      </c>
      <c r="Q128" s="15" t="n"/>
      <c r="R128" s="23">
        <f>IF($Q128="","",SUMIFS(SITE_COEFFS!$C:$C,SITE_COEFFS!$A:$A,"ProximityToBuildings",SITE_COEFFS!$B:$B,$Q128))</f>
        <v/>
      </c>
      <c r="S128" s="15" t="n"/>
      <c r="T128" s="23">
        <f>IF($S128="","",SUMIFS(SITE_COEFFS!$C:$C,SITE_COEFFS!$A:$A,"MachineryAllowed",SITE_COEFFS!$B:$B,$S128))</f>
        <v/>
      </c>
      <c r="U128" s="15" t="n"/>
      <c r="V128" s="15" t="n"/>
      <c r="W128" s="23">
        <f>IF($V128="","",SUMIFS(SITE_COEFFS!$C:$C,SITE_COEFFS!$A:$A,"GeometryComplexity",SITE_COEFFS!$B:$B,$V128))</f>
        <v/>
      </c>
      <c r="X128" s="15" t="n"/>
      <c r="Y128" s="15">
        <f>IF($X128="","",SUMIFS(TARIFF_PROFILES!$D:$D,TARIFF_PROFILES!$A:$A,$X128))</f>
        <v/>
      </c>
      <c r="Z128" s="15">
        <f>IF($X128="","",SUMIFS(TARIFF_PROFILES!$E:$E,TARIFF_PROFILES!$A:$A,$X128))</f>
        <v/>
      </c>
      <c r="AA128" s="15">
        <f>IF($X128="","",SUMIFS(TARIFF_PROFILES!$F:$F,TARIFF_PROFILES!$A:$A,$X128))</f>
        <v/>
      </c>
      <c r="AB128" s="15">
        <f>IF($X128="","",SUMIFS(TARIFF_PROFILES!$G:$G,TARIFF_PROFILES!$A:$A,$X128))</f>
        <v/>
      </c>
      <c r="AC128" s="15">
        <f>IF($X128="","",SUMIFS(TARIFF_PROFILES!$H:$H,TARIFF_PROFILES!$A:$A,$X128))</f>
        <v/>
      </c>
      <c r="AD128" s="15">
        <f>IF($X128="","",INDEX(TARIFF_PROFILES!$J:$J,MATCH($X128,TARIFF_PROFILES!$A:$A,0)))</f>
        <v/>
      </c>
      <c r="AE128" s="15">
        <f>IF($X128="","",INDEX(TARIFF_PROFILES!$K:$K,MATCH($X128,TARIFF_PROFILES!$A:$A,0)))</f>
        <v/>
      </c>
      <c r="AH128">
        <f>IF($AG128="","",SUMIFS(OPERATING_COEFFS!$C:$C,OPERATING_COEFFS!$A:$A,"DistanceClass",OPERATING_COEFFS!$B:$B,$AG128))</f>
        <v/>
      </c>
      <c r="AJ128">
        <f>IF($AI128="","",SUMIFS(OPERATING_COEFFS!$C:$C,OPERATING_COEFFS!$A:$A,"SeasonClass",OPERATING_COEFFS!$B:$B,$AI128))</f>
        <v/>
      </c>
      <c r="AL128">
        <f>IF($AK128="","",SUMIFS(OPERATING_COEFFS!$C:$C,OPERATING_COEFFS!$A:$A,"UrgencyClass",OPERATING_COEFFS!$B:$B,$AK128))</f>
        <v/>
      </c>
      <c r="AN128">
        <f>IF($AM128="","",INDEX(TAX_MODES!$B:$B,MATCH($AM128,TAX_MODES!$A:$A,0)))</f>
        <v/>
      </c>
    </row>
    <row r="129">
      <c r="A129" s="15" t="n"/>
      <c r="B129" s="15" t="n"/>
      <c r="C129" s="15" t="n"/>
      <c r="D129" s="23">
        <f>IF($C129="","",SUMIFS(SITE_COEFFS!$C:$C,SITE_COEFFS!$A:$A,"SoilWorkability",SITE_COEFFS!$B:$B,$C129))</f>
        <v/>
      </c>
      <c r="E129" s="15" t="n"/>
      <c r="F129" s="23">
        <f>IF($E129="","",SUMIFS(SITE_COEFFS!$C:$C,SITE_COEFFS!$A:$A,"SoilMoisture",SITE_COEFFS!$B:$B,$E129))</f>
        <v/>
      </c>
      <c r="G129" s="15" t="n"/>
      <c r="H129" s="23">
        <f>IF($G129="","",SUMIFS(SITE_COEFFS!$C:$C,SITE_COEFFS!$A:$A,"DebrisLevel",SITE_COEFFS!$B:$B,$G129))</f>
        <v/>
      </c>
      <c r="I129" s="15" t="n"/>
      <c r="J129" s="23">
        <f>IF($I129="","",SUMIFS(SITE_COEFFS!$C:$C,SITE_COEFFS!$A:$A,"SlopeClass",SITE_COEFFS!$B:$B,$I129))</f>
        <v/>
      </c>
      <c r="K129" s="15" t="n"/>
      <c r="L129" s="23">
        <f>IF($K129="","",SUMIFS(SITE_COEFFS!$C:$C,SITE_COEFFS!$A:$A,"SurfaceUnevenness",SITE_COEFFS!$B:$B,$K129))</f>
        <v/>
      </c>
      <c r="M129" s="15" t="n"/>
      <c r="N129" s="23">
        <f>IF($M129="","",SUMIFS(SITE_COEFFS!$C:$C,SITE_COEFFS!$A:$A,"AccessClass",SITE_COEFFS!$B:$B,$M129))</f>
        <v/>
      </c>
      <c r="O129" s="15" t="n"/>
      <c r="P129" s="23">
        <f>IF($O129="","",SUMIFS(SITE_COEFFS!$C:$C,SITE_COEFFS!$A:$A,"TurnSpace",SITE_COEFFS!$B:$B,$O129))</f>
        <v/>
      </c>
      <c r="Q129" s="15" t="n"/>
      <c r="R129" s="23">
        <f>IF($Q129="","",SUMIFS(SITE_COEFFS!$C:$C,SITE_COEFFS!$A:$A,"ProximityToBuildings",SITE_COEFFS!$B:$B,$Q129))</f>
        <v/>
      </c>
      <c r="S129" s="15" t="n"/>
      <c r="T129" s="23">
        <f>IF($S129="","",SUMIFS(SITE_COEFFS!$C:$C,SITE_COEFFS!$A:$A,"MachineryAllowed",SITE_COEFFS!$B:$B,$S129))</f>
        <v/>
      </c>
      <c r="U129" s="15" t="n"/>
      <c r="V129" s="15" t="n"/>
      <c r="W129" s="23">
        <f>IF($V129="","",SUMIFS(SITE_COEFFS!$C:$C,SITE_COEFFS!$A:$A,"GeometryComplexity",SITE_COEFFS!$B:$B,$V129))</f>
        <v/>
      </c>
      <c r="X129" s="15" t="n"/>
      <c r="Y129" s="15">
        <f>IF($X129="","",SUMIFS(TARIFF_PROFILES!$D:$D,TARIFF_PROFILES!$A:$A,$X129))</f>
        <v/>
      </c>
      <c r="Z129" s="15">
        <f>IF($X129="","",SUMIFS(TARIFF_PROFILES!$E:$E,TARIFF_PROFILES!$A:$A,$X129))</f>
        <v/>
      </c>
      <c r="AA129" s="15">
        <f>IF($X129="","",SUMIFS(TARIFF_PROFILES!$F:$F,TARIFF_PROFILES!$A:$A,$X129))</f>
        <v/>
      </c>
      <c r="AB129" s="15">
        <f>IF($X129="","",SUMIFS(TARIFF_PROFILES!$G:$G,TARIFF_PROFILES!$A:$A,$X129))</f>
        <v/>
      </c>
      <c r="AC129" s="15">
        <f>IF($X129="","",SUMIFS(TARIFF_PROFILES!$H:$H,TARIFF_PROFILES!$A:$A,$X129))</f>
        <v/>
      </c>
      <c r="AD129" s="15">
        <f>IF($X129="","",INDEX(TARIFF_PROFILES!$J:$J,MATCH($X129,TARIFF_PROFILES!$A:$A,0)))</f>
        <v/>
      </c>
      <c r="AE129" s="15">
        <f>IF($X129="","",INDEX(TARIFF_PROFILES!$K:$K,MATCH($X129,TARIFF_PROFILES!$A:$A,0)))</f>
        <v/>
      </c>
      <c r="AH129">
        <f>IF($AG129="","",SUMIFS(OPERATING_COEFFS!$C:$C,OPERATING_COEFFS!$A:$A,"DistanceClass",OPERATING_COEFFS!$B:$B,$AG129))</f>
        <v/>
      </c>
      <c r="AJ129">
        <f>IF($AI129="","",SUMIFS(OPERATING_COEFFS!$C:$C,OPERATING_COEFFS!$A:$A,"SeasonClass",OPERATING_COEFFS!$B:$B,$AI129))</f>
        <v/>
      </c>
      <c r="AL129">
        <f>IF($AK129="","",SUMIFS(OPERATING_COEFFS!$C:$C,OPERATING_COEFFS!$A:$A,"UrgencyClass",OPERATING_COEFFS!$B:$B,$AK129))</f>
        <v/>
      </c>
      <c r="AN129">
        <f>IF($AM129="","",INDEX(TAX_MODES!$B:$B,MATCH($AM129,TAX_MODES!$A:$A,0)))</f>
        <v/>
      </c>
    </row>
    <row r="130">
      <c r="A130" s="15" t="n"/>
      <c r="B130" s="15" t="n"/>
      <c r="C130" s="15" t="n"/>
      <c r="D130" s="23">
        <f>IF($C130="","",SUMIFS(SITE_COEFFS!$C:$C,SITE_COEFFS!$A:$A,"SoilWorkability",SITE_COEFFS!$B:$B,$C130))</f>
        <v/>
      </c>
      <c r="E130" s="15" t="n"/>
      <c r="F130" s="23">
        <f>IF($E130="","",SUMIFS(SITE_COEFFS!$C:$C,SITE_COEFFS!$A:$A,"SoilMoisture",SITE_COEFFS!$B:$B,$E130))</f>
        <v/>
      </c>
      <c r="G130" s="15" t="n"/>
      <c r="H130" s="23">
        <f>IF($G130="","",SUMIFS(SITE_COEFFS!$C:$C,SITE_COEFFS!$A:$A,"DebrisLevel",SITE_COEFFS!$B:$B,$G130))</f>
        <v/>
      </c>
      <c r="I130" s="15" t="n"/>
      <c r="J130" s="23">
        <f>IF($I130="","",SUMIFS(SITE_COEFFS!$C:$C,SITE_COEFFS!$A:$A,"SlopeClass",SITE_COEFFS!$B:$B,$I130))</f>
        <v/>
      </c>
      <c r="K130" s="15" t="n"/>
      <c r="L130" s="23">
        <f>IF($K130="","",SUMIFS(SITE_COEFFS!$C:$C,SITE_COEFFS!$A:$A,"SurfaceUnevenness",SITE_COEFFS!$B:$B,$K130))</f>
        <v/>
      </c>
      <c r="M130" s="15" t="n"/>
      <c r="N130" s="23">
        <f>IF($M130="","",SUMIFS(SITE_COEFFS!$C:$C,SITE_COEFFS!$A:$A,"AccessClass",SITE_COEFFS!$B:$B,$M130))</f>
        <v/>
      </c>
      <c r="O130" s="15" t="n"/>
      <c r="P130" s="23">
        <f>IF($O130="","",SUMIFS(SITE_COEFFS!$C:$C,SITE_COEFFS!$A:$A,"TurnSpace",SITE_COEFFS!$B:$B,$O130))</f>
        <v/>
      </c>
      <c r="Q130" s="15" t="n"/>
      <c r="R130" s="23">
        <f>IF($Q130="","",SUMIFS(SITE_COEFFS!$C:$C,SITE_COEFFS!$A:$A,"ProximityToBuildings",SITE_COEFFS!$B:$B,$Q130))</f>
        <v/>
      </c>
      <c r="S130" s="15" t="n"/>
      <c r="T130" s="23">
        <f>IF($S130="","",SUMIFS(SITE_COEFFS!$C:$C,SITE_COEFFS!$A:$A,"MachineryAllowed",SITE_COEFFS!$B:$B,$S130))</f>
        <v/>
      </c>
      <c r="U130" s="15" t="n"/>
      <c r="V130" s="15" t="n"/>
      <c r="W130" s="23">
        <f>IF($V130="","",SUMIFS(SITE_COEFFS!$C:$C,SITE_COEFFS!$A:$A,"GeometryComplexity",SITE_COEFFS!$B:$B,$V130))</f>
        <v/>
      </c>
      <c r="X130" s="15" t="n"/>
      <c r="Y130" s="15">
        <f>IF($X130="","",SUMIFS(TARIFF_PROFILES!$D:$D,TARIFF_PROFILES!$A:$A,$X130))</f>
        <v/>
      </c>
      <c r="Z130" s="15">
        <f>IF($X130="","",SUMIFS(TARIFF_PROFILES!$E:$E,TARIFF_PROFILES!$A:$A,$X130))</f>
        <v/>
      </c>
      <c r="AA130" s="15">
        <f>IF($X130="","",SUMIFS(TARIFF_PROFILES!$F:$F,TARIFF_PROFILES!$A:$A,$X130))</f>
        <v/>
      </c>
      <c r="AB130" s="15">
        <f>IF($X130="","",SUMIFS(TARIFF_PROFILES!$G:$G,TARIFF_PROFILES!$A:$A,$X130))</f>
        <v/>
      </c>
      <c r="AC130" s="15">
        <f>IF($X130="","",SUMIFS(TARIFF_PROFILES!$H:$H,TARIFF_PROFILES!$A:$A,$X130))</f>
        <v/>
      </c>
      <c r="AD130" s="15">
        <f>IF($X130="","",INDEX(TARIFF_PROFILES!$J:$J,MATCH($X130,TARIFF_PROFILES!$A:$A,0)))</f>
        <v/>
      </c>
      <c r="AE130" s="15">
        <f>IF($X130="","",INDEX(TARIFF_PROFILES!$K:$K,MATCH($X130,TARIFF_PROFILES!$A:$A,0)))</f>
        <v/>
      </c>
      <c r="AH130">
        <f>IF($AG130="","",SUMIFS(OPERATING_COEFFS!$C:$C,OPERATING_COEFFS!$A:$A,"DistanceClass",OPERATING_COEFFS!$B:$B,$AG130))</f>
        <v/>
      </c>
      <c r="AJ130">
        <f>IF($AI130="","",SUMIFS(OPERATING_COEFFS!$C:$C,OPERATING_COEFFS!$A:$A,"SeasonClass",OPERATING_COEFFS!$B:$B,$AI130))</f>
        <v/>
      </c>
      <c r="AL130">
        <f>IF($AK130="","",SUMIFS(OPERATING_COEFFS!$C:$C,OPERATING_COEFFS!$A:$A,"UrgencyClass",OPERATING_COEFFS!$B:$B,$AK130))</f>
        <v/>
      </c>
      <c r="AN130">
        <f>IF($AM130="","",INDEX(TAX_MODES!$B:$B,MATCH($AM130,TAX_MODES!$A:$A,0)))</f>
        <v/>
      </c>
    </row>
    <row r="131">
      <c r="A131" s="15" t="n"/>
      <c r="B131" s="15" t="n"/>
      <c r="C131" s="15" t="n"/>
      <c r="D131" s="23">
        <f>IF($C131="","",SUMIFS(SITE_COEFFS!$C:$C,SITE_COEFFS!$A:$A,"SoilWorkability",SITE_COEFFS!$B:$B,$C131))</f>
        <v/>
      </c>
      <c r="E131" s="15" t="n"/>
      <c r="F131" s="23">
        <f>IF($E131="","",SUMIFS(SITE_COEFFS!$C:$C,SITE_COEFFS!$A:$A,"SoilMoisture",SITE_COEFFS!$B:$B,$E131))</f>
        <v/>
      </c>
      <c r="G131" s="15" t="n"/>
      <c r="H131" s="23">
        <f>IF($G131="","",SUMIFS(SITE_COEFFS!$C:$C,SITE_COEFFS!$A:$A,"DebrisLevel",SITE_COEFFS!$B:$B,$G131))</f>
        <v/>
      </c>
      <c r="I131" s="15" t="n"/>
      <c r="J131" s="23">
        <f>IF($I131="","",SUMIFS(SITE_COEFFS!$C:$C,SITE_COEFFS!$A:$A,"SlopeClass",SITE_COEFFS!$B:$B,$I131))</f>
        <v/>
      </c>
      <c r="K131" s="15" t="n"/>
      <c r="L131" s="23">
        <f>IF($K131="","",SUMIFS(SITE_COEFFS!$C:$C,SITE_COEFFS!$A:$A,"SurfaceUnevenness",SITE_COEFFS!$B:$B,$K131))</f>
        <v/>
      </c>
      <c r="M131" s="15" t="n"/>
      <c r="N131" s="23">
        <f>IF($M131="","",SUMIFS(SITE_COEFFS!$C:$C,SITE_COEFFS!$A:$A,"AccessClass",SITE_COEFFS!$B:$B,$M131))</f>
        <v/>
      </c>
      <c r="O131" s="15" t="n"/>
      <c r="P131" s="23">
        <f>IF($O131="","",SUMIFS(SITE_COEFFS!$C:$C,SITE_COEFFS!$A:$A,"TurnSpace",SITE_COEFFS!$B:$B,$O131))</f>
        <v/>
      </c>
      <c r="Q131" s="15" t="n"/>
      <c r="R131" s="23">
        <f>IF($Q131="","",SUMIFS(SITE_COEFFS!$C:$C,SITE_COEFFS!$A:$A,"ProximityToBuildings",SITE_COEFFS!$B:$B,$Q131))</f>
        <v/>
      </c>
      <c r="S131" s="15" t="n"/>
      <c r="T131" s="23">
        <f>IF($S131="","",SUMIFS(SITE_COEFFS!$C:$C,SITE_COEFFS!$A:$A,"MachineryAllowed",SITE_COEFFS!$B:$B,$S131))</f>
        <v/>
      </c>
      <c r="U131" s="15" t="n"/>
      <c r="V131" s="15" t="n"/>
      <c r="W131" s="23">
        <f>IF($V131="","",SUMIFS(SITE_COEFFS!$C:$C,SITE_COEFFS!$A:$A,"GeometryComplexity",SITE_COEFFS!$B:$B,$V131))</f>
        <v/>
      </c>
      <c r="X131" s="15" t="n"/>
      <c r="Y131" s="15">
        <f>IF($X131="","",SUMIFS(TARIFF_PROFILES!$D:$D,TARIFF_PROFILES!$A:$A,$X131))</f>
        <v/>
      </c>
      <c r="Z131" s="15">
        <f>IF($X131="","",SUMIFS(TARIFF_PROFILES!$E:$E,TARIFF_PROFILES!$A:$A,$X131))</f>
        <v/>
      </c>
      <c r="AA131" s="15">
        <f>IF($X131="","",SUMIFS(TARIFF_PROFILES!$F:$F,TARIFF_PROFILES!$A:$A,$X131))</f>
        <v/>
      </c>
      <c r="AB131" s="15">
        <f>IF($X131="","",SUMIFS(TARIFF_PROFILES!$G:$G,TARIFF_PROFILES!$A:$A,$X131))</f>
        <v/>
      </c>
      <c r="AC131" s="15">
        <f>IF($X131="","",SUMIFS(TARIFF_PROFILES!$H:$H,TARIFF_PROFILES!$A:$A,$X131))</f>
        <v/>
      </c>
      <c r="AD131" s="15">
        <f>IF($X131="","",INDEX(TARIFF_PROFILES!$J:$J,MATCH($X131,TARIFF_PROFILES!$A:$A,0)))</f>
        <v/>
      </c>
      <c r="AE131" s="15">
        <f>IF($X131="","",INDEX(TARIFF_PROFILES!$K:$K,MATCH($X131,TARIFF_PROFILES!$A:$A,0)))</f>
        <v/>
      </c>
      <c r="AH131">
        <f>IF($AG131="","",SUMIFS(OPERATING_COEFFS!$C:$C,OPERATING_COEFFS!$A:$A,"DistanceClass",OPERATING_COEFFS!$B:$B,$AG131))</f>
        <v/>
      </c>
      <c r="AJ131">
        <f>IF($AI131="","",SUMIFS(OPERATING_COEFFS!$C:$C,OPERATING_COEFFS!$A:$A,"SeasonClass",OPERATING_COEFFS!$B:$B,$AI131))</f>
        <v/>
      </c>
      <c r="AL131">
        <f>IF($AK131="","",SUMIFS(OPERATING_COEFFS!$C:$C,OPERATING_COEFFS!$A:$A,"UrgencyClass",OPERATING_COEFFS!$B:$B,$AK131))</f>
        <v/>
      </c>
      <c r="AN131">
        <f>IF($AM131="","",INDEX(TAX_MODES!$B:$B,MATCH($AM131,TAX_MODES!$A:$A,0)))</f>
        <v/>
      </c>
    </row>
    <row r="132">
      <c r="A132" s="15" t="n"/>
      <c r="B132" s="15" t="n"/>
      <c r="C132" s="15" t="n"/>
      <c r="D132" s="23">
        <f>IF($C132="","",SUMIFS(SITE_COEFFS!$C:$C,SITE_COEFFS!$A:$A,"SoilWorkability",SITE_COEFFS!$B:$B,$C132))</f>
        <v/>
      </c>
      <c r="E132" s="15" t="n"/>
      <c r="F132" s="23">
        <f>IF($E132="","",SUMIFS(SITE_COEFFS!$C:$C,SITE_COEFFS!$A:$A,"SoilMoisture",SITE_COEFFS!$B:$B,$E132))</f>
        <v/>
      </c>
      <c r="G132" s="15" t="n"/>
      <c r="H132" s="23">
        <f>IF($G132="","",SUMIFS(SITE_COEFFS!$C:$C,SITE_COEFFS!$A:$A,"DebrisLevel",SITE_COEFFS!$B:$B,$G132))</f>
        <v/>
      </c>
      <c r="I132" s="15" t="n"/>
      <c r="J132" s="23">
        <f>IF($I132="","",SUMIFS(SITE_COEFFS!$C:$C,SITE_COEFFS!$A:$A,"SlopeClass",SITE_COEFFS!$B:$B,$I132))</f>
        <v/>
      </c>
      <c r="K132" s="15" t="n"/>
      <c r="L132" s="23">
        <f>IF($K132="","",SUMIFS(SITE_COEFFS!$C:$C,SITE_COEFFS!$A:$A,"SurfaceUnevenness",SITE_COEFFS!$B:$B,$K132))</f>
        <v/>
      </c>
      <c r="M132" s="15" t="n"/>
      <c r="N132" s="23">
        <f>IF($M132="","",SUMIFS(SITE_COEFFS!$C:$C,SITE_COEFFS!$A:$A,"AccessClass",SITE_COEFFS!$B:$B,$M132))</f>
        <v/>
      </c>
      <c r="O132" s="15" t="n"/>
      <c r="P132" s="23">
        <f>IF($O132="","",SUMIFS(SITE_COEFFS!$C:$C,SITE_COEFFS!$A:$A,"TurnSpace",SITE_COEFFS!$B:$B,$O132))</f>
        <v/>
      </c>
      <c r="Q132" s="15" t="n"/>
      <c r="R132" s="23">
        <f>IF($Q132="","",SUMIFS(SITE_COEFFS!$C:$C,SITE_COEFFS!$A:$A,"ProximityToBuildings",SITE_COEFFS!$B:$B,$Q132))</f>
        <v/>
      </c>
      <c r="S132" s="15" t="n"/>
      <c r="T132" s="23">
        <f>IF($S132="","",SUMIFS(SITE_COEFFS!$C:$C,SITE_COEFFS!$A:$A,"MachineryAllowed",SITE_COEFFS!$B:$B,$S132))</f>
        <v/>
      </c>
      <c r="U132" s="15" t="n"/>
      <c r="V132" s="15" t="n"/>
      <c r="W132" s="23">
        <f>IF($V132="","",SUMIFS(SITE_COEFFS!$C:$C,SITE_COEFFS!$A:$A,"GeometryComplexity",SITE_COEFFS!$B:$B,$V132))</f>
        <v/>
      </c>
      <c r="X132" s="15" t="n"/>
      <c r="Y132" s="15">
        <f>IF($X132="","",SUMIFS(TARIFF_PROFILES!$D:$D,TARIFF_PROFILES!$A:$A,$X132))</f>
        <v/>
      </c>
      <c r="Z132" s="15">
        <f>IF($X132="","",SUMIFS(TARIFF_PROFILES!$E:$E,TARIFF_PROFILES!$A:$A,$X132))</f>
        <v/>
      </c>
      <c r="AA132" s="15">
        <f>IF($X132="","",SUMIFS(TARIFF_PROFILES!$F:$F,TARIFF_PROFILES!$A:$A,$X132))</f>
        <v/>
      </c>
      <c r="AB132" s="15">
        <f>IF($X132="","",SUMIFS(TARIFF_PROFILES!$G:$G,TARIFF_PROFILES!$A:$A,$X132))</f>
        <v/>
      </c>
      <c r="AC132" s="15">
        <f>IF($X132="","",SUMIFS(TARIFF_PROFILES!$H:$H,TARIFF_PROFILES!$A:$A,$X132))</f>
        <v/>
      </c>
      <c r="AD132" s="15">
        <f>IF($X132="","",INDEX(TARIFF_PROFILES!$J:$J,MATCH($X132,TARIFF_PROFILES!$A:$A,0)))</f>
        <v/>
      </c>
      <c r="AE132" s="15">
        <f>IF($X132="","",INDEX(TARIFF_PROFILES!$K:$K,MATCH($X132,TARIFF_PROFILES!$A:$A,0)))</f>
        <v/>
      </c>
      <c r="AH132">
        <f>IF($AG132="","",SUMIFS(OPERATING_COEFFS!$C:$C,OPERATING_COEFFS!$A:$A,"DistanceClass",OPERATING_COEFFS!$B:$B,$AG132))</f>
        <v/>
      </c>
      <c r="AJ132">
        <f>IF($AI132="","",SUMIFS(OPERATING_COEFFS!$C:$C,OPERATING_COEFFS!$A:$A,"SeasonClass",OPERATING_COEFFS!$B:$B,$AI132))</f>
        <v/>
      </c>
      <c r="AL132">
        <f>IF($AK132="","",SUMIFS(OPERATING_COEFFS!$C:$C,OPERATING_COEFFS!$A:$A,"UrgencyClass",OPERATING_COEFFS!$B:$B,$AK132))</f>
        <v/>
      </c>
      <c r="AN132">
        <f>IF($AM132="","",INDEX(TAX_MODES!$B:$B,MATCH($AM132,TAX_MODES!$A:$A,0)))</f>
        <v/>
      </c>
    </row>
    <row r="133">
      <c r="A133" s="15" t="n"/>
      <c r="B133" s="15" t="n"/>
      <c r="C133" s="15" t="n"/>
      <c r="D133" s="23">
        <f>IF($C133="","",SUMIFS(SITE_COEFFS!$C:$C,SITE_COEFFS!$A:$A,"SoilWorkability",SITE_COEFFS!$B:$B,$C133))</f>
        <v/>
      </c>
      <c r="E133" s="15" t="n"/>
      <c r="F133" s="23">
        <f>IF($E133="","",SUMIFS(SITE_COEFFS!$C:$C,SITE_COEFFS!$A:$A,"SoilMoisture",SITE_COEFFS!$B:$B,$E133))</f>
        <v/>
      </c>
      <c r="G133" s="15" t="n"/>
      <c r="H133" s="23">
        <f>IF($G133="","",SUMIFS(SITE_COEFFS!$C:$C,SITE_COEFFS!$A:$A,"DebrisLevel",SITE_COEFFS!$B:$B,$G133))</f>
        <v/>
      </c>
      <c r="I133" s="15" t="n"/>
      <c r="J133" s="23">
        <f>IF($I133="","",SUMIFS(SITE_COEFFS!$C:$C,SITE_COEFFS!$A:$A,"SlopeClass",SITE_COEFFS!$B:$B,$I133))</f>
        <v/>
      </c>
      <c r="K133" s="15" t="n"/>
      <c r="L133" s="23">
        <f>IF($K133="","",SUMIFS(SITE_COEFFS!$C:$C,SITE_COEFFS!$A:$A,"SurfaceUnevenness",SITE_COEFFS!$B:$B,$K133))</f>
        <v/>
      </c>
      <c r="M133" s="15" t="n"/>
      <c r="N133" s="23">
        <f>IF($M133="","",SUMIFS(SITE_COEFFS!$C:$C,SITE_COEFFS!$A:$A,"AccessClass",SITE_COEFFS!$B:$B,$M133))</f>
        <v/>
      </c>
      <c r="O133" s="15" t="n"/>
      <c r="P133" s="23">
        <f>IF($O133="","",SUMIFS(SITE_COEFFS!$C:$C,SITE_COEFFS!$A:$A,"TurnSpace",SITE_COEFFS!$B:$B,$O133))</f>
        <v/>
      </c>
      <c r="Q133" s="15" t="n"/>
      <c r="R133" s="23">
        <f>IF($Q133="","",SUMIFS(SITE_COEFFS!$C:$C,SITE_COEFFS!$A:$A,"ProximityToBuildings",SITE_COEFFS!$B:$B,$Q133))</f>
        <v/>
      </c>
      <c r="S133" s="15" t="n"/>
      <c r="T133" s="23">
        <f>IF($S133="","",SUMIFS(SITE_COEFFS!$C:$C,SITE_COEFFS!$A:$A,"MachineryAllowed",SITE_COEFFS!$B:$B,$S133))</f>
        <v/>
      </c>
      <c r="U133" s="15" t="n"/>
      <c r="V133" s="15" t="n"/>
      <c r="W133" s="23">
        <f>IF($V133="","",SUMIFS(SITE_COEFFS!$C:$C,SITE_COEFFS!$A:$A,"GeometryComplexity",SITE_COEFFS!$B:$B,$V133))</f>
        <v/>
      </c>
      <c r="X133" s="15" t="n"/>
      <c r="Y133" s="15">
        <f>IF($X133="","",SUMIFS(TARIFF_PROFILES!$D:$D,TARIFF_PROFILES!$A:$A,$X133))</f>
        <v/>
      </c>
      <c r="Z133" s="15">
        <f>IF($X133="","",SUMIFS(TARIFF_PROFILES!$E:$E,TARIFF_PROFILES!$A:$A,$X133))</f>
        <v/>
      </c>
      <c r="AA133" s="15">
        <f>IF($X133="","",SUMIFS(TARIFF_PROFILES!$F:$F,TARIFF_PROFILES!$A:$A,$X133))</f>
        <v/>
      </c>
      <c r="AB133" s="15">
        <f>IF($X133="","",SUMIFS(TARIFF_PROFILES!$G:$G,TARIFF_PROFILES!$A:$A,$X133))</f>
        <v/>
      </c>
      <c r="AC133" s="15">
        <f>IF($X133="","",SUMIFS(TARIFF_PROFILES!$H:$H,TARIFF_PROFILES!$A:$A,$X133))</f>
        <v/>
      </c>
      <c r="AD133" s="15">
        <f>IF($X133="","",INDEX(TARIFF_PROFILES!$J:$J,MATCH($X133,TARIFF_PROFILES!$A:$A,0)))</f>
        <v/>
      </c>
      <c r="AE133" s="15">
        <f>IF($X133="","",INDEX(TARIFF_PROFILES!$K:$K,MATCH($X133,TARIFF_PROFILES!$A:$A,0)))</f>
        <v/>
      </c>
      <c r="AH133">
        <f>IF($AG133="","",SUMIFS(OPERATING_COEFFS!$C:$C,OPERATING_COEFFS!$A:$A,"DistanceClass",OPERATING_COEFFS!$B:$B,$AG133))</f>
        <v/>
      </c>
      <c r="AJ133">
        <f>IF($AI133="","",SUMIFS(OPERATING_COEFFS!$C:$C,OPERATING_COEFFS!$A:$A,"SeasonClass",OPERATING_COEFFS!$B:$B,$AI133))</f>
        <v/>
      </c>
      <c r="AL133">
        <f>IF($AK133="","",SUMIFS(OPERATING_COEFFS!$C:$C,OPERATING_COEFFS!$A:$A,"UrgencyClass",OPERATING_COEFFS!$B:$B,$AK133))</f>
        <v/>
      </c>
      <c r="AN133">
        <f>IF($AM133="","",INDEX(TAX_MODES!$B:$B,MATCH($AM133,TAX_MODES!$A:$A,0)))</f>
        <v/>
      </c>
    </row>
    <row r="134">
      <c r="A134" s="15" t="n"/>
      <c r="B134" s="15" t="n"/>
      <c r="C134" s="15" t="n"/>
      <c r="D134" s="23">
        <f>IF($C134="","",SUMIFS(SITE_COEFFS!$C:$C,SITE_COEFFS!$A:$A,"SoilWorkability",SITE_COEFFS!$B:$B,$C134))</f>
        <v/>
      </c>
      <c r="E134" s="15" t="n"/>
      <c r="F134" s="23">
        <f>IF($E134="","",SUMIFS(SITE_COEFFS!$C:$C,SITE_COEFFS!$A:$A,"SoilMoisture",SITE_COEFFS!$B:$B,$E134))</f>
        <v/>
      </c>
      <c r="G134" s="15" t="n"/>
      <c r="H134" s="23">
        <f>IF($G134="","",SUMIFS(SITE_COEFFS!$C:$C,SITE_COEFFS!$A:$A,"DebrisLevel",SITE_COEFFS!$B:$B,$G134))</f>
        <v/>
      </c>
      <c r="I134" s="15" t="n"/>
      <c r="J134" s="23">
        <f>IF($I134="","",SUMIFS(SITE_COEFFS!$C:$C,SITE_COEFFS!$A:$A,"SlopeClass",SITE_COEFFS!$B:$B,$I134))</f>
        <v/>
      </c>
      <c r="K134" s="15" t="n"/>
      <c r="L134" s="23">
        <f>IF($K134="","",SUMIFS(SITE_COEFFS!$C:$C,SITE_COEFFS!$A:$A,"SurfaceUnevenness",SITE_COEFFS!$B:$B,$K134))</f>
        <v/>
      </c>
      <c r="M134" s="15" t="n"/>
      <c r="N134" s="23">
        <f>IF($M134="","",SUMIFS(SITE_COEFFS!$C:$C,SITE_COEFFS!$A:$A,"AccessClass",SITE_COEFFS!$B:$B,$M134))</f>
        <v/>
      </c>
      <c r="O134" s="15" t="n"/>
      <c r="P134" s="23">
        <f>IF($O134="","",SUMIFS(SITE_COEFFS!$C:$C,SITE_COEFFS!$A:$A,"TurnSpace",SITE_COEFFS!$B:$B,$O134))</f>
        <v/>
      </c>
      <c r="Q134" s="15" t="n"/>
      <c r="R134" s="23">
        <f>IF($Q134="","",SUMIFS(SITE_COEFFS!$C:$C,SITE_COEFFS!$A:$A,"ProximityToBuildings",SITE_COEFFS!$B:$B,$Q134))</f>
        <v/>
      </c>
      <c r="S134" s="15" t="n"/>
      <c r="T134" s="23">
        <f>IF($S134="","",SUMIFS(SITE_COEFFS!$C:$C,SITE_COEFFS!$A:$A,"MachineryAllowed",SITE_COEFFS!$B:$B,$S134))</f>
        <v/>
      </c>
      <c r="U134" s="15" t="n"/>
      <c r="V134" s="15" t="n"/>
      <c r="W134" s="23">
        <f>IF($V134="","",SUMIFS(SITE_COEFFS!$C:$C,SITE_COEFFS!$A:$A,"GeometryComplexity",SITE_COEFFS!$B:$B,$V134))</f>
        <v/>
      </c>
      <c r="X134" s="15" t="n"/>
      <c r="Y134" s="15">
        <f>IF($X134="","",SUMIFS(TARIFF_PROFILES!$D:$D,TARIFF_PROFILES!$A:$A,$X134))</f>
        <v/>
      </c>
      <c r="Z134" s="15">
        <f>IF($X134="","",SUMIFS(TARIFF_PROFILES!$E:$E,TARIFF_PROFILES!$A:$A,$X134))</f>
        <v/>
      </c>
      <c r="AA134" s="15">
        <f>IF($X134="","",SUMIFS(TARIFF_PROFILES!$F:$F,TARIFF_PROFILES!$A:$A,$X134))</f>
        <v/>
      </c>
      <c r="AB134" s="15">
        <f>IF($X134="","",SUMIFS(TARIFF_PROFILES!$G:$G,TARIFF_PROFILES!$A:$A,$X134))</f>
        <v/>
      </c>
      <c r="AC134" s="15">
        <f>IF($X134="","",SUMIFS(TARIFF_PROFILES!$H:$H,TARIFF_PROFILES!$A:$A,$X134))</f>
        <v/>
      </c>
      <c r="AD134" s="15">
        <f>IF($X134="","",INDEX(TARIFF_PROFILES!$J:$J,MATCH($X134,TARIFF_PROFILES!$A:$A,0)))</f>
        <v/>
      </c>
      <c r="AE134" s="15">
        <f>IF($X134="","",INDEX(TARIFF_PROFILES!$K:$K,MATCH($X134,TARIFF_PROFILES!$A:$A,0)))</f>
        <v/>
      </c>
      <c r="AH134">
        <f>IF($AG134="","",SUMIFS(OPERATING_COEFFS!$C:$C,OPERATING_COEFFS!$A:$A,"DistanceClass",OPERATING_COEFFS!$B:$B,$AG134))</f>
        <v/>
      </c>
      <c r="AJ134">
        <f>IF($AI134="","",SUMIFS(OPERATING_COEFFS!$C:$C,OPERATING_COEFFS!$A:$A,"SeasonClass",OPERATING_COEFFS!$B:$B,$AI134))</f>
        <v/>
      </c>
      <c r="AL134">
        <f>IF($AK134="","",SUMIFS(OPERATING_COEFFS!$C:$C,OPERATING_COEFFS!$A:$A,"UrgencyClass",OPERATING_COEFFS!$B:$B,$AK134))</f>
        <v/>
      </c>
      <c r="AN134">
        <f>IF($AM134="","",INDEX(TAX_MODES!$B:$B,MATCH($AM134,TAX_MODES!$A:$A,0)))</f>
        <v/>
      </c>
    </row>
    <row r="135">
      <c r="A135" s="15" t="n"/>
      <c r="B135" s="15" t="n"/>
      <c r="C135" s="15" t="n"/>
      <c r="D135" s="23">
        <f>IF($C135="","",SUMIFS(SITE_COEFFS!$C:$C,SITE_COEFFS!$A:$A,"SoilWorkability",SITE_COEFFS!$B:$B,$C135))</f>
        <v/>
      </c>
      <c r="E135" s="15" t="n"/>
      <c r="F135" s="23">
        <f>IF($E135="","",SUMIFS(SITE_COEFFS!$C:$C,SITE_COEFFS!$A:$A,"SoilMoisture",SITE_COEFFS!$B:$B,$E135))</f>
        <v/>
      </c>
      <c r="G135" s="15" t="n"/>
      <c r="H135" s="23">
        <f>IF($G135="","",SUMIFS(SITE_COEFFS!$C:$C,SITE_COEFFS!$A:$A,"DebrisLevel",SITE_COEFFS!$B:$B,$G135))</f>
        <v/>
      </c>
      <c r="I135" s="15" t="n"/>
      <c r="J135" s="23">
        <f>IF($I135="","",SUMIFS(SITE_COEFFS!$C:$C,SITE_COEFFS!$A:$A,"SlopeClass",SITE_COEFFS!$B:$B,$I135))</f>
        <v/>
      </c>
      <c r="K135" s="15" t="n"/>
      <c r="L135" s="23">
        <f>IF($K135="","",SUMIFS(SITE_COEFFS!$C:$C,SITE_COEFFS!$A:$A,"SurfaceUnevenness",SITE_COEFFS!$B:$B,$K135))</f>
        <v/>
      </c>
      <c r="M135" s="15" t="n"/>
      <c r="N135" s="23">
        <f>IF($M135="","",SUMIFS(SITE_COEFFS!$C:$C,SITE_COEFFS!$A:$A,"AccessClass",SITE_COEFFS!$B:$B,$M135))</f>
        <v/>
      </c>
      <c r="O135" s="15" t="n"/>
      <c r="P135" s="23">
        <f>IF($O135="","",SUMIFS(SITE_COEFFS!$C:$C,SITE_COEFFS!$A:$A,"TurnSpace",SITE_COEFFS!$B:$B,$O135))</f>
        <v/>
      </c>
      <c r="Q135" s="15" t="n"/>
      <c r="R135" s="23">
        <f>IF($Q135="","",SUMIFS(SITE_COEFFS!$C:$C,SITE_COEFFS!$A:$A,"ProximityToBuildings",SITE_COEFFS!$B:$B,$Q135))</f>
        <v/>
      </c>
      <c r="S135" s="15" t="n"/>
      <c r="T135" s="23">
        <f>IF($S135="","",SUMIFS(SITE_COEFFS!$C:$C,SITE_COEFFS!$A:$A,"MachineryAllowed",SITE_COEFFS!$B:$B,$S135))</f>
        <v/>
      </c>
      <c r="U135" s="15" t="n"/>
      <c r="V135" s="15" t="n"/>
      <c r="W135" s="23">
        <f>IF($V135="","",SUMIFS(SITE_COEFFS!$C:$C,SITE_COEFFS!$A:$A,"GeometryComplexity",SITE_COEFFS!$B:$B,$V135))</f>
        <v/>
      </c>
      <c r="X135" s="15" t="n"/>
      <c r="Y135" s="15">
        <f>IF($X135="","",SUMIFS(TARIFF_PROFILES!$D:$D,TARIFF_PROFILES!$A:$A,$X135))</f>
        <v/>
      </c>
      <c r="Z135" s="15">
        <f>IF($X135="","",SUMIFS(TARIFF_PROFILES!$E:$E,TARIFF_PROFILES!$A:$A,$X135))</f>
        <v/>
      </c>
      <c r="AA135" s="15">
        <f>IF($X135="","",SUMIFS(TARIFF_PROFILES!$F:$F,TARIFF_PROFILES!$A:$A,$X135))</f>
        <v/>
      </c>
      <c r="AB135" s="15">
        <f>IF($X135="","",SUMIFS(TARIFF_PROFILES!$G:$G,TARIFF_PROFILES!$A:$A,$X135))</f>
        <v/>
      </c>
      <c r="AC135" s="15">
        <f>IF($X135="","",SUMIFS(TARIFF_PROFILES!$H:$H,TARIFF_PROFILES!$A:$A,$X135))</f>
        <v/>
      </c>
      <c r="AD135" s="15">
        <f>IF($X135="","",INDEX(TARIFF_PROFILES!$J:$J,MATCH($X135,TARIFF_PROFILES!$A:$A,0)))</f>
        <v/>
      </c>
      <c r="AE135" s="15">
        <f>IF($X135="","",INDEX(TARIFF_PROFILES!$K:$K,MATCH($X135,TARIFF_PROFILES!$A:$A,0)))</f>
        <v/>
      </c>
      <c r="AH135">
        <f>IF($AG135="","",SUMIFS(OPERATING_COEFFS!$C:$C,OPERATING_COEFFS!$A:$A,"DistanceClass",OPERATING_COEFFS!$B:$B,$AG135))</f>
        <v/>
      </c>
      <c r="AJ135">
        <f>IF($AI135="","",SUMIFS(OPERATING_COEFFS!$C:$C,OPERATING_COEFFS!$A:$A,"SeasonClass",OPERATING_COEFFS!$B:$B,$AI135))</f>
        <v/>
      </c>
      <c r="AL135">
        <f>IF($AK135="","",SUMIFS(OPERATING_COEFFS!$C:$C,OPERATING_COEFFS!$A:$A,"UrgencyClass",OPERATING_COEFFS!$B:$B,$AK135))</f>
        <v/>
      </c>
      <c r="AN135">
        <f>IF($AM135="","",INDEX(TAX_MODES!$B:$B,MATCH($AM135,TAX_MODES!$A:$A,0)))</f>
        <v/>
      </c>
    </row>
    <row r="136">
      <c r="A136" s="15" t="n"/>
      <c r="B136" s="15" t="n"/>
      <c r="C136" s="15" t="n"/>
      <c r="D136" s="23">
        <f>IF($C136="","",SUMIFS(SITE_COEFFS!$C:$C,SITE_COEFFS!$A:$A,"SoilWorkability",SITE_COEFFS!$B:$B,$C136))</f>
        <v/>
      </c>
      <c r="E136" s="15" t="n"/>
      <c r="F136" s="23">
        <f>IF($E136="","",SUMIFS(SITE_COEFFS!$C:$C,SITE_COEFFS!$A:$A,"SoilMoisture",SITE_COEFFS!$B:$B,$E136))</f>
        <v/>
      </c>
      <c r="G136" s="15" t="n"/>
      <c r="H136" s="23">
        <f>IF($G136="","",SUMIFS(SITE_COEFFS!$C:$C,SITE_COEFFS!$A:$A,"DebrisLevel",SITE_COEFFS!$B:$B,$G136))</f>
        <v/>
      </c>
      <c r="I136" s="15" t="n"/>
      <c r="J136" s="23">
        <f>IF($I136="","",SUMIFS(SITE_COEFFS!$C:$C,SITE_COEFFS!$A:$A,"SlopeClass",SITE_COEFFS!$B:$B,$I136))</f>
        <v/>
      </c>
      <c r="K136" s="15" t="n"/>
      <c r="L136" s="23">
        <f>IF($K136="","",SUMIFS(SITE_COEFFS!$C:$C,SITE_COEFFS!$A:$A,"SurfaceUnevenness",SITE_COEFFS!$B:$B,$K136))</f>
        <v/>
      </c>
      <c r="M136" s="15" t="n"/>
      <c r="N136" s="23">
        <f>IF($M136="","",SUMIFS(SITE_COEFFS!$C:$C,SITE_COEFFS!$A:$A,"AccessClass",SITE_COEFFS!$B:$B,$M136))</f>
        <v/>
      </c>
      <c r="O136" s="15" t="n"/>
      <c r="P136" s="23">
        <f>IF($O136="","",SUMIFS(SITE_COEFFS!$C:$C,SITE_COEFFS!$A:$A,"TurnSpace",SITE_COEFFS!$B:$B,$O136))</f>
        <v/>
      </c>
      <c r="Q136" s="15" t="n"/>
      <c r="R136" s="23">
        <f>IF($Q136="","",SUMIFS(SITE_COEFFS!$C:$C,SITE_COEFFS!$A:$A,"ProximityToBuildings",SITE_COEFFS!$B:$B,$Q136))</f>
        <v/>
      </c>
      <c r="S136" s="15" t="n"/>
      <c r="T136" s="23">
        <f>IF($S136="","",SUMIFS(SITE_COEFFS!$C:$C,SITE_COEFFS!$A:$A,"MachineryAllowed",SITE_COEFFS!$B:$B,$S136))</f>
        <v/>
      </c>
      <c r="U136" s="15" t="n"/>
      <c r="V136" s="15" t="n"/>
      <c r="W136" s="23">
        <f>IF($V136="","",SUMIFS(SITE_COEFFS!$C:$C,SITE_COEFFS!$A:$A,"GeometryComplexity",SITE_COEFFS!$B:$B,$V136))</f>
        <v/>
      </c>
      <c r="X136" s="15" t="n"/>
      <c r="Y136" s="15">
        <f>IF($X136="","",SUMIFS(TARIFF_PROFILES!$D:$D,TARIFF_PROFILES!$A:$A,$X136))</f>
        <v/>
      </c>
      <c r="Z136" s="15">
        <f>IF($X136="","",SUMIFS(TARIFF_PROFILES!$E:$E,TARIFF_PROFILES!$A:$A,$X136))</f>
        <v/>
      </c>
      <c r="AA136" s="15">
        <f>IF($X136="","",SUMIFS(TARIFF_PROFILES!$F:$F,TARIFF_PROFILES!$A:$A,$X136))</f>
        <v/>
      </c>
      <c r="AB136" s="15">
        <f>IF($X136="","",SUMIFS(TARIFF_PROFILES!$G:$G,TARIFF_PROFILES!$A:$A,$X136))</f>
        <v/>
      </c>
      <c r="AC136" s="15">
        <f>IF($X136="","",SUMIFS(TARIFF_PROFILES!$H:$H,TARIFF_PROFILES!$A:$A,$X136))</f>
        <v/>
      </c>
      <c r="AD136" s="15">
        <f>IF($X136="","",INDEX(TARIFF_PROFILES!$J:$J,MATCH($X136,TARIFF_PROFILES!$A:$A,0)))</f>
        <v/>
      </c>
      <c r="AE136" s="15">
        <f>IF($X136="","",INDEX(TARIFF_PROFILES!$K:$K,MATCH($X136,TARIFF_PROFILES!$A:$A,0)))</f>
        <v/>
      </c>
      <c r="AH136">
        <f>IF($AG136="","",SUMIFS(OPERATING_COEFFS!$C:$C,OPERATING_COEFFS!$A:$A,"DistanceClass",OPERATING_COEFFS!$B:$B,$AG136))</f>
        <v/>
      </c>
      <c r="AJ136">
        <f>IF($AI136="","",SUMIFS(OPERATING_COEFFS!$C:$C,OPERATING_COEFFS!$A:$A,"SeasonClass",OPERATING_COEFFS!$B:$B,$AI136))</f>
        <v/>
      </c>
      <c r="AL136">
        <f>IF($AK136="","",SUMIFS(OPERATING_COEFFS!$C:$C,OPERATING_COEFFS!$A:$A,"UrgencyClass",OPERATING_COEFFS!$B:$B,$AK136))</f>
        <v/>
      </c>
      <c r="AN136">
        <f>IF($AM136="","",INDEX(TAX_MODES!$B:$B,MATCH($AM136,TAX_MODES!$A:$A,0)))</f>
        <v/>
      </c>
    </row>
    <row r="137">
      <c r="A137" s="15" t="n"/>
      <c r="B137" s="15" t="n"/>
      <c r="C137" s="15" t="n"/>
      <c r="D137" s="23">
        <f>IF($C137="","",SUMIFS(SITE_COEFFS!$C:$C,SITE_COEFFS!$A:$A,"SoilWorkability",SITE_COEFFS!$B:$B,$C137))</f>
        <v/>
      </c>
      <c r="E137" s="15" t="n"/>
      <c r="F137" s="23">
        <f>IF($E137="","",SUMIFS(SITE_COEFFS!$C:$C,SITE_COEFFS!$A:$A,"SoilMoisture",SITE_COEFFS!$B:$B,$E137))</f>
        <v/>
      </c>
      <c r="G137" s="15" t="n"/>
      <c r="H137" s="23">
        <f>IF($G137="","",SUMIFS(SITE_COEFFS!$C:$C,SITE_COEFFS!$A:$A,"DebrisLevel",SITE_COEFFS!$B:$B,$G137))</f>
        <v/>
      </c>
      <c r="I137" s="15" t="n"/>
      <c r="J137" s="23">
        <f>IF($I137="","",SUMIFS(SITE_COEFFS!$C:$C,SITE_COEFFS!$A:$A,"SlopeClass",SITE_COEFFS!$B:$B,$I137))</f>
        <v/>
      </c>
      <c r="K137" s="15" t="n"/>
      <c r="L137" s="23">
        <f>IF($K137="","",SUMIFS(SITE_COEFFS!$C:$C,SITE_COEFFS!$A:$A,"SurfaceUnevenness",SITE_COEFFS!$B:$B,$K137))</f>
        <v/>
      </c>
      <c r="M137" s="15" t="n"/>
      <c r="N137" s="23">
        <f>IF($M137="","",SUMIFS(SITE_COEFFS!$C:$C,SITE_COEFFS!$A:$A,"AccessClass",SITE_COEFFS!$B:$B,$M137))</f>
        <v/>
      </c>
      <c r="O137" s="15" t="n"/>
      <c r="P137" s="23">
        <f>IF($O137="","",SUMIFS(SITE_COEFFS!$C:$C,SITE_COEFFS!$A:$A,"TurnSpace",SITE_COEFFS!$B:$B,$O137))</f>
        <v/>
      </c>
      <c r="Q137" s="15" t="n"/>
      <c r="R137" s="23">
        <f>IF($Q137="","",SUMIFS(SITE_COEFFS!$C:$C,SITE_COEFFS!$A:$A,"ProximityToBuildings",SITE_COEFFS!$B:$B,$Q137))</f>
        <v/>
      </c>
      <c r="S137" s="15" t="n"/>
      <c r="T137" s="23">
        <f>IF($S137="","",SUMIFS(SITE_COEFFS!$C:$C,SITE_COEFFS!$A:$A,"MachineryAllowed",SITE_COEFFS!$B:$B,$S137))</f>
        <v/>
      </c>
      <c r="U137" s="15" t="n"/>
      <c r="V137" s="15" t="n"/>
      <c r="W137" s="23">
        <f>IF($V137="","",SUMIFS(SITE_COEFFS!$C:$C,SITE_COEFFS!$A:$A,"GeometryComplexity",SITE_COEFFS!$B:$B,$V137))</f>
        <v/>
      </c>
      <c r="X137" s="15" t="n"/>
      <c r="Y137" s="15">
        <f>IF($X137="","",SUMIFS(TARIFF_PROFILES!$D:$D,TARIFF_PROFILES!$A:$A,$X137))</f>
        <v/>
      </c>
      <c r="Z137" s="15">
        <f>IF($X137="","",SUMIFS(TARIFF_PROFILES!$E:$E,TARIFF_PROFILES!$A:$A,$X137))</f>
        <v/>
      </c>
      <c r="AA137" s="15">
        <f>IF($X137="","",SUMIFS(TARIFF_PROFILES!$F:$F,TARIFF_PROFILES!$A:$A,$X137))</f>
        <v/>
      </c>
      <c r="AB137" s="15">
        <f>IF($X137="","",SUMIFS(TARIFF_PROFILES!$G:$G,TARIFF_PROFILES!$A:$A,$X137))</f>
        <v/>
      </c>
      <c r="AC137" s="15">
        <f>IF($X137="","",SUMIFS(TARIFF_PROFILES!$H:$H,TARIFF_PROFILES!$A:$A,$X137))</f>
        <v/>
      </c>
      <c r="AD137" s="15">
        <f>IF($X137="","",INDEX(TARIFF_PROFILES!$J:$J,MATCH($X137,TARIFF_PROFILES!$A:$A,0)))</f>
        <v/>
      </c>
      <c r="AE137" s="15">
        <f>IF($X137="","",INDEX(TARIFF_PROFILES!$K:$K,MATCH($X137,TARIFF_PROFILES!$A:$A,0)))</f>
        <v/>
      </c>
      <c r="AH137">
        <f>IF($AG137="","",SUMIFS(OPERATING_COEFFS!$C:$C,OPERATING_COEFFS!$A:$A,"DistanceClass",OPERATING_COEFFS!$B:$B,$AG137))</f>
        <v/>
      </c>
      <c r="AJ137">
        <f>IF($AI137="","",SUMIFS(OPERATING_COEFFS!$C:$C,OPERATING_COEFFS!$A:$A,"SeasonClass",OPERATING_COEFFS!$B:$B,$AI137))</f>
        <v/>
      </c>
      <c r="AL137">
        <f>IF($AK137="","",SUMIFS(OPERATING_COEFFS!$C:$C,OPERATING_COEFFS!$A:$A,"UrgencyClass",OPERATING_COEFFS!$B:$B,$AK137))</f>
        <v/>
      </c>
      <c r="AN137">
        <f>IF($AM137="","",INDEX(TAX_MODES!$B:$B,MATCH($AM137,TAX_MODES!$A:$A,0)))</f>
        <v/>
      </c>
    </row>
    <row r="138">
      <c r="A138" s="15" t="n"/>
      <c r="B138" s="15" t="n"/>
      <c r="C138" s="15" t="n"/>
      <c r="D138" s="23">
        <f>IF($C138="","",SUMIFS(SITE_COEFFS!$C:$C,SITE_COEFFS!$A:$A,"SoilWorkability",SITE_COEFFS!$B:$B,$C138))</f>
        <v/>
      </c>
      <c r="E138" s="15" t="n"/>
      <c r="F138" s="23">
        <f>IF($E138="","",SUMIFS(SITE_COEFFS!$C:$C,SITE_COEFFS!$A:$A,"SoilMoisture",SITE_COEFFS!$B:$B,$E138))</f>
        <v/>
      </c>
      <c r="G138" s="15" t="n"/>
      <c r="H138" s="23">
        <f>IF($G138="","",SUMIFS(SITE_COEFFS!$C:$C,SITE_COEFFS!$A:$A,"DebrisLevel",SITE_COEFFS!$B:$B,$G138))</f>
        <v/>
      </c>
      <c r="I138" s="15" t="n"/>
      <c r="J138" s="23">
        <f>IF($I138="","",SUMIFS(SITE_COEFFS!$C:$C,SITE_COEFFS!$A:$A,"SlopeClass",SITE_COEFFS!$B:$B,$I138))</f>
        <v/>
      </c>
      <c r="K138" s="15" t="n"/>
      <c r="L138" s="23">
        <f>IF($K138="","",SUMIFS(SITE_COEFFS!$C:$C,SITE_COEFFS!$A:$A,"SurfaceUnevenness",SITE_COEFFS!$B:$B,$K138))</f>
        <v/>
      </c>
      <c r="M138" s="15" t="n"/>
      <c r="N138" s="23">
        <f>IF($M138="","",SUMIFS(SITE_COEFFS!$C:$C,SITE_COEFFS!$A:$A,"AccessClass",SITE_COEFFS!$B:$B,$M138))</f>
        <v/>
      </c>
      <c r="O138" s="15" t="n"/>
      <c r="P138" s="23">
        <f>IF($O138="","",SUMIFS(SITE_COEFFS!$C:$C,SITE_COEFFS!$A:$A,"TurnSpace",SITE_COEFFS!$B:$B,$O138))</f>
        <v/>
      </c>
      <c r="Q138" s="15" t="n"/>
      <c r="R138" s="23">
        <f>IF($Q138="","",SUMIFS(SITE_COEFFS!$C:$C,SITE_COEFFS!$A:$A,"ProximityToBuildings",SITE_COEFFS!$B:$B,$Q138))</f>
        <v/>
      </c>
      <c r="S138" s="15" t="n"/>
      <c r="T138" s="23">
        <f>IF($S138="","",SUMIFS(SITE_COEFFS!$C:$C,SITE_COEFFS!$A:$A,"MachineryAllowed",SITE_COEFFS!$B:$B,$S138))</f>
        <v/>
      </c>
      <c r="U138" s="15" t="n"/>
      <c r="V138" s="15" t="n"/>
      <c r="W138" s="23">
        <f>IF($V138="","",SUMIFS(SITE_COEFFS!$C:$C,SITE_COEFFS!$A:$A,"GeometryComplexity",SITE_COEFFS!$B:$B,$V138))</f>
        <v/>
      </c>
      <c r="X138" s="15" t="n"/>
      <c r="Y138" s="15">
        <f>IF($X138="","",SUMIFS(TARIFF_PROFILES!$D:$D,TARIFF_PROFILES!$A:$A,$X138))</f>
        <v/>
      </c>
      <c r="Z138" s="15">
        <f>IF($X138="","",SUMIFS(TARIFF_PROFILES!$E:$E,TARIFF_PROFILES!$A:$A,$X138))</f>
        <v/>
      </c>
      <c r="AA138" s="15">
        <f>IF($X138="","",SUMIFS(TARIFF_PROFILES!$F:$F,TARIFF_PROFILES!$A:$A,$X138))</f>
        <v/>
      </c>
      <c r="AB138" s="15">
        <f>IF($X138="","",SUMIFS(TARIFF_PROFILES!$G:$G,TARIFF_PROFILES!$A:$A,$X138))</f>
        <v/>
      </c>
      <c r="AC138" s="15">
        <f>IF($X138="","",SUMIFS(TARIFF_PROFILES!$H:$H,TARIFF_PROFILES!$A:$A,$X138))</f>
        <v/>
      </c>
      <c r="AD138" s="15">
        <f>IF($X138="","",INDEX(TARIFF_PROFILES!$J:$J,MATCH($X138,TARIFF_PROFILES!$A:$A,0)))</f>
        <v/>
      </c>
      <c r="AE138" s="15">
        <f>IF($X138="","",INDEX(TARIFF_PROFILES!$K:$K,MATCH($X138,TARIFF_PROFILES!$A:$A,0)))</f>
        <v/>
      </c>
      <c r="AH138">
        <f>IF($AG138="","",SUMIFS(OPERATING_COEFFS!$C:$C,OPERATING_COEFFS!$A:$A,"DistanceClass",OPERATING_COEFFS!$B:$B,$AG138))</f>
        <v/>
      </c>
      <c r="AJ138">
        <f>IF($AI138="","",SUMIFS(OPERATING_COEFFS!$C:$C,OPERATING_COEFFS!$A:$A,"SeasonClass",OPERATING_COEFFS!$B:$B,$AI138))</f>
        <v/>
      </c>
      <c r="AL138">
        <f>IF($AK138="","",SUMIFS(OPERATING_COEFFS!$C:$C,OPERATING_COEFFS!$A:$A,"UrgencyClass",OPERATING_COEFFS!$B:$B,$AK138))</f>
        <v/>
      </c>
      <c r="AN138">
        <f>IF($AM138="","",INDEX(TAX_MODES!$B:$B,MATCH($AM138,TAX_MODES!$A:$A,0)))</f>
        <v/>
      </c>
    </row>
    <row r="139">
      <c r="A139" s="15" t="n"/>
      <c r="B139" s="15" t="n"/>
      <c r="C139" s="15" t="n"/>
      <c r="D139" s="23">
        <f>IF($C139="","",SUMIFS(SITE_COEFFS!$C:$C,SITE_COEFFS!$A:$A,"SoilWorkability",SITE_COEFFS!$B:$B,$C139))</f>
        <v/>
      </c>
      <c r="E139" s="15" t="n"/>
      <c r="F139" s="23">
        <f>IF($E139="","",SUMIFS(SITE_COEFFS!$C:$C,SITE_COEFFS!$A:$A,"SoilMoisture",SITE_COEFFS!$B:$B,$E139))</f>
        <v/>
      </c>
      <c r="G139" s="15" t="n"/>
      <c r="H139" s="23">
        <f>IF($G139="","",SUMIFS(SITE_COEFFS!$C:$C,SITE_COEFFS!$A:$A,"DebrisLevel",SITE_COEFFS!$B:$B,$G139))</f>
        <v/>
      </c>
      <c r="I139" s="15" t="n"/>
      <c r="J139" s="23">
        <f>IF($I139="","",SUMIFS(SITE_COEFFS!$C:$C,SITE_COEFFS!$A:$A,"SlopeClass",SITE_COEFFS!$B:$B,$I139))</f>
        <v/>
      </c>
      <c r="K139" s="15" t="n"/>
      <c r="L139" s="23">
        <f>IF($K139="","",SUMIFS(SITE_COEFFS!$C:$C,SITE_COEFFS!$A:$A,"SurfaceUnevenness",SITE_COEFFS!$B:$B,$K139))</f>
        <v/>
      </c>
      <c r="M139" s="15" t="n"/>
      <c r="N139" s="23">
        <f>IF($M139="","",SUMIFS(SITE_COEFFS!$C:$C,SITE_COEFFS!$A:$A,"AccessClass",SITE_COEFFS!$B:$B,$M139))</f>
        <v/>
      </c>
      <c r="O139" s="15" t="n"/>
      <c r="P139" s="23">
        <f>IF($O139="","",SUMIFS(SITE_COEFFS!$C:$C,SITE_COEFFS!$A:$A,"TurnSpace",SITE_COEFFS!$B:$B,$O139))</f>
        <v/>
      </c>
      <c r="Q139" s="15" t="n"/>
      <c r="R139" s="23">
        <f>IF($Q139="","",SUMIFS(SITE_COEFFS!$C:$C,SITE_COEFFS!$A:$A,"ProximityToBuildings",SITE_COEFFS!$B:$B,$Q139))</f>
        <v/>
      </c>
      <c r="S139" s="15" t="n"/>
      <c r="T139" s="23">
        <f>IF($S139="","",SUMIFS(SITE_COEFFS!$C:$C,SITE_COEFFS!$A:$A,"MachineryAllowed",SITE_COEFFS!$B:$B,$S139))</f>
        <v/>
      </c>
      <c r="U139" s="15" t="n"/>
      <c r="V139" s="15" t="n"/>
      <c r="W139" s="23">
        <f>IF($V139="","",SUMIFS(SITE_COEFFS!$C:$C,SITE_COEFFS!$A:$A,"GeometryComplexity",SITE_COEFFS!$B:$B,$V139))</f>
        <v/>
      </c>
      <c r="X139" s="15" t="n"/>
      <c r="Y139" s="15">
        <f>IF($X139="","",SUMIFS(TARIFF_PROFILES!$D:$D,TARIFF_PROFILES!$A:$A,$X139))</f>
        <v/>
      </c>
      <c r="Z139" s="15">
        <f>IF($X139="","",SUMIFS(TARIFF_PROFILES!$E:$E,TARIFF_PROFILES!$A:$A,$X139))</f>
        <v/>
      </c>
      <c r="AA139" s="15">
        <f>IF($X139="","",SUMIFS(TARIFF_PROFILES!$F:$F,TARIFF_PROFILES!$A:$A,$X139))</f>
        <v/>
      </c>
      <c r="AB139" s="15">
        <f>IF($X139="","",SUMIFS(TARIFF_PROFILES!$G:$G,TARIFF_PROFILES!$A:$A,$X139))</f>
        <v/>
      </c>
      <c r="AC139" s="15">
        <f>IF($X139="","",SUMIFS(TARIFF_PROFILES!$H:$H,TARIFF_PROFILES!$A:$A,$X139))</f>
        <v/>
      </c>
      <c r="AD139" s="15">
        <f>IF($X139="","",INDEX(TARIFF_PROFILES!$J:$J,MATCH($X139,TARIFF_PROFILES!$A:$A,0)))</f>
        <v/>
      </c>
      <c r="AE139" s="15">
        <f>IF($X139="","",INDEX(TARIFF_PROFILES!$K:$K,MATCH($X139,TARIFF_PROFILES!$A:$A,0)))</f>
        <v/>
      </c>
      <c r="AH139">
        <f>IF($AG139="","",SUMIFS(OPERATING_COEFFS!$C:$C,OPERATING_COEFFS!$A:$A,"DistanceClass",OPERATING_COEFFS!$B:$B,$AG139))</f>
        <v/>
      </c>
      <c r="AJ139">
        <f>IF($AI139="","",SUMIFS(OPERATING_COEFFS!$C:$C,OPERATING_COEFFS!$A:$A,"SeasonClass",OPERATING_COEFFS!$B:$B,$AI139))</f>
        <v/>
      </c>
      <c r="AL139">
        <f>IF($AK139="","",SUMIFS(OPERATING_COEFFS!$C:$C,OPERATING_COEFFS!$A:$A,"UrgencyClass",OPERATING_COEFFS!$B:$B,$AK139))</f>
        <v/>
      </c>
      <c r="AN139">
        <f>IF($AM139="","",INDEX(TAX_MODES!$B:$B,MATCH($AM139,TAX_MODES!$A:$A,0)))</f>
        <v/>
      </c>
    </row>
    <row r="140">
      <c r="A140" s="15" t="n"/>
      <c r="B140" s="15" t="n"/>
      <c r="C140" s="15" t="n"/>
      <c r="D140" s="23">
        <f>IF($C140="","",SUMIFS(SITE_COEFFS!$C:$C,SITE_COEFFS!$A:$A,"SoilWorkability",SITE_COEFFS!$B:$B,$C140))</f>
        <v/>
      </c>
      <c r="E140" s="15" t="n"/>
      <c r="F140" s="23">
        <f>IF($E140="","",SUMIFS(SITE_COEFFS!$C:$C,SITE_COEFFS!$A:$A,"SoilMoisture",SITE_COEFFS!$B:$B,$E140))</f>
        <v/>
      </c>
      <c r="G140" s="15" t="n"/>
      <c r="H140" s="23">
        <f>IF($G140="","",SUMIFS(SITE_COEFFS!$C:$C,SITE_COEFFS!$A:$A,"DebrisLevel",SITE_COEFFS!$B:$B,$G140))</f>
        <v/>
      </c>
      <c r="I140" s="15" t="n"/>
      <c r="J140" s="23">
        <f>IF($I140="","",SUMIFS(SITE_COEFFS!$C:$C,SITE_COEFFS!$A:$A,"SlopeClass",SITE_COEFFS!$B:$B,$I140))</f>
        <v/>
      </c>
      <c r="K140" s="15" t="n"/>
      <c r="L140" s="23">
        <f>IF($K140="","",SUMIFS(SITE_COEFFS!$C:$C,SITE_COEFFS!$A:$A,"SurfaceUnevenness",SITE_COEFFS!$B:$B,$K140))</f>
        <v/>
      </c>
      <c r="M140" s="15" t="n"/>
      <c r="N140" s="23">
        <f>IF($M140="","",SUMIFS(SITE_COEFFS!$C:$C,SITE_COEFFS!$A:$A,"AccessClass",SITE_COEFFS!$B:$B,$M140))</f>
        <v/>
      </c>
      <c r="O140" s="15" t="n"/>
      <c r="P140" s="23">
        <f>IF($O140="","",SUMIFS(SITE_COEFFS!$C:$C,SITE_COEFFS!$A:$A,"TurnSpace",SITE_COEFFS!$B:$B,$O140))</f>
        <v/>
      </c>
      <c r="Q140" s="15" t="n"/>
      <c r="R140" s="23">
        <f>IF($Q140="","",SUMIFS(SITE_COEFFS!$C:$C,SITE_COEFFS!$A:$A,"ProximityToBuildings",SITE_COEFFS!$B:$B,$Q140))</f>
        <v/>
      </c>
      <c r="S140" s="15" t="n"/>
      <c r="T140" s="23">
        <f>IF($S140="","",SUMIFS(SITE_COEFFS!$C:$C,SITE_COEFFS!$A:$A,"MachineryAllowed",SITE_COEFFS!$B:$B,$S140))</f>
        <v/>
      </c>
      <c r="U140" s="15" t="n"/>
      <c r="V140" s="15" t="n"/>
      <c r="W140" s="23">
        <f>IF($V140="","",SUMIFS(SITE_COEFFS!$C:$C,SITE_COEFFS!$A:$A,"GeometryComplexity",SITE_COEFFS!$B:$B,$V140))</f>
        <v/>
      </c>
      <c r="X140" s="15" t="n"/>
      <c r="Y140" s="15">
        <f>IF($X140="","",SUMIFS(TARIFF_PROFILES!$D:$D,TARIFF_PROFILES!$A:$A,$X140))</f>
        <v/>
      </c>
      <c r="Z140" s="15">
        <f>IF($X140="","",SUMIFS(TARIFF_PROFILES!$E:$E,TARIFF_PROFILES!$A:$A,$X140))</f>
        <v/>
      </c>
      <c r="AA140" s="15">
        <f>IF($X140="","",SUMIFS(TARIFF_PROFILES!$F:$F,TARIFF_PROFILES!$A:$A,$X140))</f>
        <v/>
      </c>
      <c r="AB140" s="15">
        <f>IF($X140="","",SUMIFS(TARIFF_PROFILES!$G:$G,TARIFF_PROFILES!$A:$A,$X140))</f>
        <v/>
      </c>
      <c r="AC140" s="15">
        <f>IF($X140="","",SUMIFS(TARIFF_PROFILES!$H:$H,TARIFF_PROFILES!$A:$A,$X140))</f>
        <v/>
      </c>
      <c r="AD140" s="15">
        <f>IF($X140="","",INDEX(TARIFF_PROFILES!$J:$J,MATCH($X140,TARIFF_PROFILES!$A:$A,0)))</f>
        <v/>
      </c>
      <c r="AE140" s="15">
        <f>IF($X140="","",INDEX(TARIFF_PROFILES!$K:$K,MATCH($X140,TARIFF_PROFILES!$A:$A,0)))</f>
        <v/>
      </c>
      <c r="AH140">
        <f>IF($AG140="","",SUMIFS(OPERATING_COEFFS!$C:$C,OPERATING_COEFFS!$A:$A,"DistanceClass",OPERATING_COEFFS!$B:$B,$AG140))</f>
        <v/>
      </c>
      <c r="AJ140">
        <f>IF($AI140="","",SUMIFS(OPERATING_COEFFS!$C:$C,OPERATING_COEFFS!$A:$A,"SeasonClass",OPERATING_COEFFS!$B:$B,$AI140))</f>
        <v/>
      </c>
      <c r="AL140">
        <f>IF($AK140="","",SUMIFS(OPERATING_COEFFS!$C:$C,OPERATING_COEFFS!$A:$A,"UrgencyClass",OPERATING_COEFFS!$B:$B,$AK140))</f>
        <v/>
      </c>
      <c r="AN140">
        <f>IF($AM140="","",INDEX(TAX_MODES!$B:$B,MATCH($AM140,TAX_MODES!$A:$A,0)))</f>
        <v/>
      </c>
    </row>
    <row r="141">
      <c r="A141" s="15" t="n"/>
      <c r="B141" s="15" t="n"/>
      <c r="C141" s="15" t="n"/>
      <c r="D141" s="23">
        <f>IF($C141="","",SUMIFS(SITE_COEFFS!$C:$C,SITE_COEFFS!$A:$A,"SoilWorkability",SITE_COEFFS!$B:$B,$C141))</f>
        <v/>
      </c>
      <c r="E141" s="15" t="n"/>
      <c r="F141" s="23">
        <f>IF($E141="","",SUMIFS(SITE_COEFFS!$C:$C,SITE_COEFFS!$A:$A,"SoilMoisture",SITE_COEFFS!$B:$B,$E141))</f>
        <v/>
      </c>
      <c r="G141" s="15" t="n"/>
      <c r="H141" s="23">
        <f>IF($G141="","",SUMIFS(SITE_COEFFS!$C:$C,SITE_COEFFS!$A:$A,"DebrisLevel",SITE_COEFFS!$B:$B,$G141))</f>
        <v/>
      </c>
      <c r="I141" s="15" t="n"/>
      <c r="J141" s="23">
        <f>IF($I141="","",SUMIFS(SITE_COEFFS!$C:$C,SITE_COEFFS!$A:$A,"SlopeClass",SITE_COEFFS!$B:$B,$I141))</f>
        <v/>
      </c>
      <c r="K141" s="15" t="n"/>
      <c r="L141" s="23">
        <f>IF($K141="","",SUMIFS(SITE_COEFFS!$C:$C,SITE_COEFFS!$A:$A,"SurfaceUnevenness",SITE_COEFFS!$B:$B,$K141))</f>
        <v/>
      </c>
      <c r="M141" s="15" t="n"/>
      <c r="N141" s="23">
        <f>IF($M141="","",SUMIFS(SITE_COEFFS!$C:$C,SITE_COEFFS!$A:$A,"AccessClass",SITE_COEFFS!$B:$B,$M141))</f>
        <v/>
      </c>
      <c r="O141" s="15" t="n"/>
      <c r="P141" s="23">
        <f>IF($O141="","",SUMIFS(SITE_COEFFS!$C:$C,SITE_COEFFS!$A:$A,"TurnSpace",SITE_COEFFS!$B:$B,$O141))</f>
        <v/>
      </c>
      <c r="Q141" s="15" t="n"/>
      <c r="R141" s="23">
        <f>IF($Q141="","",SUMIFS(SITE_COEFFS!$C:$C,SITE_COEFFS!$A:$A,"ProximityToBuildings",SITE_COEFFS!$B:$B,$Q141))</f>
        <v/>
      </c>
      <c r="S141" s="15" t="n"/>
      <c r="T141" s="23">
        <f>IF($S141="","",SUMIFS(SITE_COEFFS!$C:$C,SITE_COEFFS!$A:$A,"MachineryAllowed",SITE_COEFFS!$B:$B,$S141))</f>
        <v/>
      </c>
      <c r="U141" s="15" t="n"/>
      <c r="V141" s="15" t="n"/>
      <c r="W141" s="23">
        <f>IF($V141="","",SUMIFS(SITE_COEFFS!$C:$C,SITE_COEFFS!$A:$A,"GeometryComplexity",SITE_COEFFS!$B:$B,$V141))</f>
        <v/>
      </c>
      <c r="X141" s="15" t="n"/>
      <c r="Y141" s="15">
        <f>IF($X141="","",SUMIFS(TARIFF_PROFILES!$D:$D,TARIFF_PROFILES!$A:$A,$X141))</f>
        <v/>
      </c>
      <c r="Z141" s="15">
        <f>IF($X141="","",SUMIFS(TARIFF_PROFILES!$E:$E,TARIFF_PROFILES!$A:$A,$X141))</f>
        <v/>
      </c>
      <c r="AA141" s="15">
        <f>IF($X141="","",SUMIFS(TARIFF_PROFILES!$F:$F,TARIFF_PROFILES!$A:$A,$X141))</f>
        <v/>
      </c>
      <c r="AB141" s="15">
        <f>IF($X141="","",SUMIFS(TARIFF_PROFILES!$G:$G,TARIFF_PROFILES!$A:$A,$X141))</f>
        <v/>
      </c>
      <c r="AC141" s="15">
        <f>IF($X141="","",SUMIFS(TARIFF_PROFILES!$H:$H,TARIFF_PROFILES!$A:$A,$X141))</f>
        <v/>
      </c>
      <c r="AD141" s="15">
        <f>IF($X141="","",INDEX(TARIFF_PROFILES!$J:$J,MATCH($X141,TARIFF_PROFILES!$A:$A,0)))</f>
        <v/>
      </c>
      <c r="AE141" s="15">
        <f>IF($X141="","",INDEX(TARIFF_PROFILES!$K:$K,MATCH($X141,TARIFF_PROFILES!$A:$A,0)))</f>
        <v/>
      </c>
      <c r="AH141">
        <f>IF($AG141="","",SUMIFS(OPERATING_COEFFS!$C:$C,OPERATING_COEFFS!$A:$A,"DistanceClass",OPERATING_COEFFS!$B:$B,$AG141))</f>
        <v/>
      </c>
      <c r="AJ141">
        <f>IF($AI141="","",SUMIFS(OPERATING_COEFFS!$C:$C,OPERATING_COEFFS!$A:$A,"SeasonClass",OPERATING_COEFFS!$B:$B,$AI141))</f>
        <v/>
      </c>
      <c r="AL141">
        <f>IF($AK141="","",SUMIFS(OPERATING_COEFFS!$C:$C,OPERATING_COEFFS!$A:$A,"UrgencyClass",OPERATING_COEFFS!$B:$B,$AK141))</f>
        <v/>
      </c>
      <c r="AN141">
        <f>IF($AM141="","",INDEX(TAX_MODES!$B:$B,MATCH($AM141,TAX_MODES!$A:$A,0)))</f>
        <v/>
      </c>
    </row>
    <row r="142">
      <c r="A142" s="15" t="n"/>
      <c r="B142" s="15" t="n"/>
      <c r="C142" s="15" t="n"/>
      <c r="D142" s="23">
        <f>IF($C142="","",SUMIFS(SITE_COEFFS!$C:$C,SITE_COEFFS!$A:$A,"SoilWorkability",SITE_COEFFS!$B:$B,$C142))</f>
        <v/>
      </c>
      <c r="E142" s="15" t="n"/>
      <c r="F142" s="23">
        <f>IF($E142="","",SUMIFS(SITE_COEFFS!$C:$C,SITE_COEFFS!$A:$A,"SoilMoisture",SITE_COEFFS!$B:$B,$E142))</f>
        <v/>
      </c>
      <c r="G142" s="15" t="n"/>
      <c r="H142" s="23">
        <f>IF($G142="","",SUMIFS(SITE_COEFFS!$C:$C,SITE_COEFFS!$A:$A,"DebrisLevel",SITE_COEFFS!$B:$B,$G142))</f>
        <v/>
      </c>
      <c r="I142" s="15" t="n"/>
      <c r="J142" s="23">
        <f>IF($I142="","",SUMIFS(SITE_COEFFS!$C:$C,SITE_COEFFS!$A:$A,"SlopeClass",SITE_COEFFS!$B:$B,$I142))</f>
        <v/>
      </c>
      <c r="K142" s="15" t="n"/>
      <c r="L142" s="23">
        <f>IF($K142="","",SUMIFS(SITE_COEFFS!$C:$C,SITE_COEFFS!$A:$A,"SurfaceUnevenness",SITE_COEFFS!$B:$B,$K142))</f>
        <v/>
      </c>
      <c r="M142" s="15" t="n"/>
      <c r="N142" s="23">
        <f>IF($M142="","",SUMIFS(SITE_COEFFS!$C:$C,SITE_COEFFS!$A:$A,"AccessClass",SITE_COEFFS!$B:$B,$M142))</f>
        <v/>
      </c>
      <c r="O142" s="15" t="n"/>
      <c r="P142" s="23">
        <f>IF($O142="","",SUMIFS(SITE_COEFFS!$C:$C,SITE_COEFFS!$A:$A,"TurnSpace",SITE_COEFFS!$B:$B,$O142))</f>
        <v/>
      </c>
      <c r="Q142" s="15" t="n"/>
      <c r="R142" s="23">
        <f>IF($Q142="","",SUMIFS(SITE_COEFFS!$C:$C,SITE_COEFFS!$A:$A,"ProximityToBuildings",SITE_COEFFS!$B:$B,$Q142))</f>
        <v/>
      </c>
      <c r="S142" s="15" t="n"/>
      <c r="T142" s="23">
        <f>IF($S142="","",SUMIFS(SITE_COEFFS!$C:$C,SITE_COEFFS!$A:$A,"MachineryAllowed",SITE_COEFFS!$B:$B,$S142))</f>
        <v/>
      </c>
      <c r="U142" s="15" t="n"/>
      <c r="V142" s="15" t="n"/>
      <c r="W142" s="23">
        <f>IF($V142="","",SUMIFS(SITE_COEFFS!$C:$C,SITE_COEFFS!$A:$A,"GeometryComplexity",SITE_COEFFS!$B:$B,$V142))</f>
        <v/>
      </c>
      <c r="X142" s="15" t="n"/>
      <c r="Y142" s="15">
        <f>IF($X142="","",SUMIFS(TARIFF_PROFILES!$D:$D,TARIFF_PROFILES!$A:$A,$X142))</f>
        <v/>
      </c>
      <c r="Z142" s="15">
        <f>IF($X142="","",SUMIFS(TARIFF_PROFILES!$E:$E,TARIFF_PROFILES!$A:$A,$X142))</f>
        <v/>
      </c>
      <c r="AA142" s="15">
        <f>IF($X142="","",SUMIFS(TARIFF_PROFILES!$F:$F,TARIFF_PROFILES!$A:$A,$X142))</f>
        <v/>
      </c>
      <c r="AB142" s="15">
        <f>IF($X142="","",SUMIFS(TARIFF_PROFILES!$G:$G,TARIFF_PROFILES!$A:$A,$X142))</f>
        <v/>
      </c>
      <c r="AC142" s="15">
        <f>IF($X142="","",SUMIFS(TARIFF_PROFILES!$H:$H,TARIFF_PROFILES!$A:$A,$X142))</f>
        <v/>
      </c>
      <c r="AD142" s="15">
        <f>IF($X142="","",INDEX(TARIFF_PROFILES!$J:$J,MATCH($X142,TARIFF_PROFILES!$A:$A,0)))</f>
        <v/>
      </c>
      <c r="AE142" s="15">
        <f>IF($X142="","",INDEX(TARIFF_PROFILES!$K:$K,MATCH($X142,TARIFF_PROFILES!$A:$A,0)))</f>
        <v/>
      </c>
      <c r="AH142">
        <f>IF($AG142="","",SUMIFS(OPERATING_COEFFS!$C:$C,OPERATING_COEFFS!$A:$A,"DistanceClass",OPERATING_COEFFS!$B:$B,$AG142))</f>
        <v/>
      </c>
      <c r="AJ142">
        <f>IF($AI142="","",SUMIFS(OPERATING_COEFFS!$C:$C,OPERATING_COEFFS!$A:$A,"SeasonClass",OPERATING_COEFFS!$B:$B,$AI142))</f>
        <v/>
      </c>
      <c r="AL142">
        <f>IF($AK142="","",SUMIFS(OPERATING_COEFFS!$C:$C,OPERATING_COEFFS!$A:$A,"UrgencyClass",OPERATING_COEFFS!$B:$B,$AK142))</f>
        <v/>
      </c>
      <c r="AN142">
        <f>IF($AM142="","",INDEX(TAX_MODES!$B:$B,MATCH($AM142,TAX_MODES!$A:$A,0)))</f>
        <v/>
      </c>
    </row>
    <row r="143">
      <c r="A143" s="15" t="n"/>
      <c r="B143" s="15" t="n"/>
      <c r="C143" s="15" t="n"/>
      <c r="D143" s="23">
        <f>IF($C143="","",SUMIFS(SITE_COEFFS!$C:$C,SITE_COEFFS!$A:$A,"SoilWorkability",SITE_COEFFS!$B:$B,$C143))</f>
        <v/>
      </c>
      <c r="E143" s="15" t="n"/>
      <c r="F143" s="23">
        <f>IF($E143="","",SUMIFS(SITE_COEFFS!$C:$C,SITE_COEFFS!$A:$A,"SoilMoisture",SITE_COEFFS!$B:$B,$E143))</f>
        <v/>
      </c>
      <c r="G143" s="15" t="n"/>
      <c r="H143" s="23">
        <f>IF($G143="","",SUMIFS(SITE_COEFFS!$C:$C,SITE_COEFFS!$A:$A,"DebrisLevel",SITE_COEFFS!$B:$B,$G143))</f>
        <v/>
      </c>
      <c r="I143" s="15" t="n"/>
      <c r="J143" s="23">
        <f>IF($I143="","",SUMIFS(SITE_COEFFS!$C:$C,SITE_COEFFS!$A:$A,"SlopeClass",SITE_COEFFS!$B:$B,$I143))</f>
        <v/>
      </c>
      <c r="K143" s="15" t="n"/>
      <c r="L143" s="23">
        <f>IF($K143="","",SUMIFS(SITE_COEFFS!$C:$C,SITE_COEFFS!$A:$A,"SurfaceUnevenness",SITE_COEFFS!$B:$B,$K143))</f>
        <v/>
      </c>
      <c r="M143" s="15" t="n"/>
      <c r="N143" s="23">
        <f>IF($M143="","",SUMIFS(SITE_COEFFS!$C:$C,SITE_COEFFS!$A:$A,"AccessClass",SITE_COEFFS!$B:$B,$M143))</f>
        <v/>
      </c>
      <c r="O143" s="15" t="n"/>
      <c r="P143" s="23">
        <f>IF($O143="","",SUMIFS(SITE_COEFFS!$C:$C,SITE_COEFFS!$A:$A,"TurnSpace",SITE_COEFFS!$B:$B,$O143))</f>
        <v/>
      </c>
      <c r="Q143" s="15" t="n"/>
      <c r="R143" s="23">
        <f>IF($Q143="","",SUMIFS(SITE_COEFFS!$C:$C,SITE_COEFFS!$A:$A,"ProximityToBuildings",SITE_COEFFS!$B:$B,$Q143))</f>
        <v/>
      </c>
      <c r="S143" s="15" t="n"/>
      <c r="T143" s="23">
        <f>IF($S143="","",SUMIFS(SITE_COEFFS!$C:$C,SITE_COEFFS!$A:$A,"MachineryAllowed",SITE_COEFFS!$B:$B,$S143))</f>
        <v/>
      </c>
      <c r="U143" s="15" t="n"/>
      <c r="V143" s="15" t="n"/>
      <c r="W143" s="23">
        <f>IF($V143="","",SUMIFS(SITE_COEFFS!$C:$C,SITE_COEFFS!$A:$A,"GeometryComplexity",SITE_COEFFS!$B:$B,$V143))</f>
        <v/>
      </c>
      <c r="X143" s="15" t="n"/>
      <c r="Y143" s="15">
        <f>IF($X143="","",SUMIFS(TARIFF_PROFILES!$D:$D,TARIFF_PROFILES!$A:$A,$X143))</f>
        <v/>
      </c>
      <c r="Z143" s="15">
        <f>IF($X143="","",SUMIFS(TARIFF_PROFILES!$E:$E,TARIFF_PROFILES!$A:$A,$X143))</f>
        <v/>
      </c>
      <c r="AA143" s="15">
        <f>IF($X143="","",SUMIFS(TARIFF_PROFILES!$F:$F,TARIFF_PROFILES!$A:$A,$X143))</f>
        <v/>
      </c>
      <c r="AB143" s="15">
        <f>IF($X143="","",SUMIFS(TARIFF_PROFILES!$G:$G,TARIFF_PROFILES!$A:$A,$X143))</f>
        <v/>
      </c>
      <c r="AC143" s="15">
        <f>IF($X143="","",SUMIFS(TARIFF_PROFILES!$H:$H,TARIFF_PROFILES!$A:$A,$X143))</f>
        <v/>
      </c>
      <c r="AD143" s="15">
        <f>IF($X143="","",INDEX(TARIFF_PROFILES!$J:$J,MATCH($X143,TARIFF_PROFILES!$A:$A,0)))</f>
        <v/>
      </c>
      <c r="AE143" s="15">
        <f>IF($X143="","",INDEX(TARIFF_PROFILES!$K:$K,MATCH($X143,TARIFF_PROFILES!$A:$A,0)))</f>
        <v/>
      </c>
      <c r="AH143">
        <f>IF($AG143="","",SUMIFS(OPERATING_COEFFS!$C:$C,OPERATING_COEFFS!$A:$A,"DistanceClass",OPERATING_COEFFS!$B:$B,$AG143))</f>
        <v/>
      </c>
      <c r="AJ143">
        <f>IF($AI143="","",SUMIFS(OPERATING_COEFFS!$C:$C,OPERATING_COEFFS!$A:$A,"SeasonClass",OPERATING_COEFFS!$B:$B,$AI143))</f>
        <v/>
      </c>
      <c r="AL143">
        <f>IF($AK143="","",SUMIFS(OPERATING_COEFFS!$C:$C,OPERATING_COEFFS!$A:$A,"UrgencyClass",OPERATING_COEFFS!$B:$B,$AK143))</f>
        <v/>
      </c>
      <c r="AN143">
        <f>IF($AM143="","",INDEX(TAX_MODES!$B:$B,MATCH($AM143,TAX_MODES!$A:$A,0)))</f>
        <v/>
      </c>
    </row>
    <row r="144">
      <c r="A144" s="15" t="n"/>
      <c r="B144" s="15" t="n"/>
      <c r="C144" s="15" t="n"/>
      <c r="D144" s="23">
        <f>IF($C144="","",SUMIFS(SITE_COEFFS!$C:$C,SITE_COEFFS!$A:$A,"SoilWorkability",SITE_COEFFS!$B:$B,$C144))</f>
        <v/>
      </c>
      <c r="E144" s="15" t="n"/>
      <c r="F144" s="23">
        <f>IF($E144="","",SUMIFS(SITE_COEFFS!$C:$C,SITE_COEFFS!$A:$A,"SoilMoisture",SITE_COEFFS!$B:$B,$E144))</f>
        <v/>
      </c>
      <c r="G144" s="15" t="n"/>
      <c r="H144" s="23">
        <f>IF($G144="","",SUMIFS(SITE_COEFFS!$C:$C,SITE_COEFFS!$A:$A,"DebrisLevel",SITE_COEFFS!$B:$B,$G144))</f>
        <v/>
      </c>
      <c r="I144" s="15" t="n"/>
      <c r="J144" s="23">
        <f>IF($I144="","",SUMIFS(SITE_COEFFS!$C:$C,SITE_COEFFS!$A:$A,"SlopeClass",SITE_COEFFS!$B:$B,$I144))</f>
        <v/>
      </c>
      <c r="K144" s="15" t="n"/>
      <c r="L144" s="23">
        <f>IF($K144="","",SUMIFS(SITE_COEFFS!$C:$C,SITE_COEFFS!$A:$A,"SurfaceUnevenness",SITE_COEFFS!$B:$B,$K144))</f>
        <v/>
      </c>
      <c r="M144" s="15" t="n"/>
      <c r="N144" s="23">
        <f>IF($M144="","",SUMIFS(SITE_COEFFS!$C:$C,SITE_COEFFS!$A:$A,"AccessClass",SITE_COEFFS!$B:$B,$M144))</f>
        <v/>
      </c>
      <c r="O144" s="15" t="n"/>
      <c r="P144" s="23">
        <f>IF($O144="","",SUMIFS(SITE_COEFFS!$C:$C,SITE_COEFFS!$A:$A,"TurnSpace",SITE_COEFFS!$B:$B,$O144))</f>
        <v/>
      </c>
      <c r="Q144" s="15" t="n"/>
      <c r="R144" s="23">
        <f>IF($Q144="","",SUMIFS(SITE_COEFFS!$C:$C,SITE_COEFFS!$A:$A,"ProximityToBuildings",SITE_COEFFS!$B:$B,$Q144))</f>
        <v/>
      </c>
      <c r="S144" s="15" t="n"/>
      <c r="T144" s="23">
        <f>IF($S144="","",SUMIFS(SITE_COEFFS!$C:$C,SITE_COEFFS!$A:$A,"MachineryAllowed",SITE_COEFFS!$B:$B,$S144))</f>
        <v/>
      </c>
      <c r="U144" s="15" t="n"/>
      <c r="V144" s="15" t="n"/>
      <c r="W144" s="23">
        <f>IF($V144="","",SUMIFS(SITE_COEFFS!$C:$C,SITE_COEFFS!$A:$A,"GeometryComplexity",SITE_COEFFS!$B:$B,$V144))</f>
        <v/>
      </c>
      <c r="X144" s="15" t="n"/>
      <c r="Y144" s="15">
        <f>IF($X144="","",SUMIFS(TARIFF_PROFILES!$D:$D,TARIFF_PROFILES!$A:$A,$X144))</f>
        <v/>
      </c>
      <c r="Z144" s="15">
        <f>IF($X144="","",SUMIFS(TARIFF_PROFILES!$E:$E,TARIFF_PROFILES!$A:$A,$X144))</f>
        <v/>
      </c>
      <c r="AA144" s="15">
        <f>IF($X144="","",SUMIFS(TARIFF_PROFILES!$F:$F,TARIFF_PROFILES!$A:$A,$X144))</f>
        <v/>
      </c>
      <c r="AB144" s="15">
        <f>IF($X144="","",SUMIFS(TARIFF_PROFILES!$G:$G,TARIFF_PROFILES!$A:$A,$X144))</f>
        <v/>
      </c>
      <c r="AC144" s="15">
        <f>IF($X144="","",SUMIFS(TARIFF_PROFILES!$H:$H,TARIFF_PROFILES!$A:$A,$X144))</f>
        <v/>
      </c>
      <c r="AD144" s="15">
        <f>IF($X144="","",INDEX(TARIFF_PROFILES!$J:$J,MATCH($X144,TARIFF_PROFILES!$A:$A,0)))</f>
        <v/>
      </c>
      <c r="AE144" s="15">
        <f>IF($X144="","",INDEX(TARIFF_PROFILES!$K:$K,MATCH($X144,TARIFF_PROFILES!$A:$A,0)))</f>
        <v/>
      </c>
      <c r="AH144">
        <f>IF($AG144="","",SUMIFS(OPERATING_COEFFS!$C:$C,OPERATING_COEFFS!$A:$A,"DistanceClass",OPERATING_COEFFS!$B:$B,$AG144))</f>
        <v/>
      </c>
      <c r="AJ144">
        <f>IF($AI144="","",SUMIFS(OPERATING_COEFFS!$C:$C,OPERATING_COEFFS!$A:$A,"SeasonClass",OPERATING_COEFFS!$B:$B,$AI144))</f>
        <v/>
      </c>
      <c r="AL144">
        <f>IF($AK144="","",SUMIFS(OPERATING_COEFFS!$C:$C,OPERATING_COEFFS!$A:$A,"UrgencyClass",OPERATING_COEFFS!$B:$B,$AK144))</f>
        <v/>
      </c>
      <c r="AN144">
        <f>IF($AM144="","",INDEX(TAX_MODES!$B:$B,MATCH($AM144,TAX_MODES!$A:$A,0)))</f>
        <v/>
      </c>
    </row>
    <row r="145">
      <c r="A145" s="15" t="n"/>
      <c r="B145" s="15" t="n"/>
      <c r="C145" s="15" t="n"/>
      <c r="D145" s="23">
        <f>IF($C145="","",SUMIFS(SITE_COEFFS!$C:$C,SITE_COEFFS!$A:$A,"SoilWorkability",SITE_COEFFS!$B:$B,$C145))</f>
        <v/>
      </c>
      <c r="E145" s="15" t="n"/>
      <c r="F145" s="23">
        <f>IF($E145="","",SUMIFS(SITE_COEFFS!$C:$C,SITE_COEFFS!$A:$A,"SoilMoisture",SITE_COEFFS!$B:$B,$E145))</f>
        <v/>
      </c>
      <c r="G145" s="15" t="n"/>
      <c r="H145" s="23">
        <f>IF($G145="","",SUMIFS(SITE_COEFFS!$C:$C,SITE_COEFFS!$A:$A,"DebrisLevel",SITE_COEFFS!$B:$B,$G145))</f>
        <v/>
      </c>
      <c r="I145" s="15" t="n"/>
      <c r="J145" s="23">
        <f>IF($I145="","",SUMIFS(SITE_COEFFS!$C:$C,SITE_COEFFS!$A:$A,"SlopeClass",SITE_COEFFS!$B:$B,$I145))</f>
        <v/>
      </c>
      <c r="K145" s="15" t="n"/>
      <c r="L145" s="23">
        <f>IF($K145="","",SUMIFS(SITE_COEFFS!$C:$C,SITE_COEFFS!$A:$A,"SurfaceUnevenness",SITE_COEFFS!$B:$B,$K145))</f>
        <v/>
      </c>
      <c r="M145" s="15" t="n"/>
      <c r="N145" s="23">
        <f>IF($M145="","",SUMIFS(SITE_COEFFS!$C:$C,SITE_COEFFS!$A:$A,"AccessClass",SITE_COEFFS!$B:$B,$M145))</f>
        <v/>
      </c>
      <c r="O145" s="15" t="n"/>
      <c r="P145" s="23">
        <f>IF($O145="","",SUMIFS(SITE_COEFFS!$C:$C,SITE_COEFFS!$A:$A,"TurnSpace",SITE_COEFFS!$B:$B,$O145))</f>
        <v/>
      </c>
      <c r="Q145" s="15" t="n"/>
      <c r="R145" s="23">
        <f>IF($Q145="","",SUMIFS(SITE_COEFFS!$C:$C,SITE_COEFFS!$A:$A,"ProximityToBuildings",SITE_COEFFS!$B:$B,$Q145))</f>
        <v/>
      </c>
      <c r="S145" s="15" t="n"/>
      <c r="T145" s="23">
        <f>IF($S145="","",SUMIFS(SITE_COEFFS!$C:$C,SITE_COEFFS!$A:$A,"MachineryAllowed",SITE_COEFFS!$B:$B,$S145))</f>
        <v/>
      </c>
      <c r="U145" s="15" t="n"/>
      <c r="V145" s="15" t="n"/>
      <c r="W145" s="23">
        <f>IF($V145="","",SUMIFS(SITE_COEFFS!$C:$C,SITE_COEFFS!$A:$A,"GeometryComplexity",SITE_COEFFS!$B:$B,$V145))</f>
        <v/>
      </c>
      <c r="X145" s="15" t="n"/>
      <c r="Y145" s="15">
        <f>IF($X145="","",SUMIFS(TARIFF_PROFILES!$D:$D,TARIFF_PROFILES!$A:$A,$X145))</f>
        <v/>
      </c>
      <c r="Z145" s="15">
        <f>IF($X145="","",SUMIFS(TARIFF_PROFILES!$E:$E,TARIFF_PROFILES!$A:$A,$X145))</f>
        <v/>
      </c>
      <c r="AA145" s="15">
        <f>IF($X145="","",SUMIFS(TARIFF_PROFILES!$F:$F,TARIFF_PROFILES!$A:$A,$X145))</f>
        <v/>
      </c>
      <c r="AB145" s="15">
        <f>IF($X145="","",SUMIFS(TARIFF_PROFILES!$G:$G,TARIFF_PROFILES!$A:$A,$X145))</f>
        <v/>
      </c>
      <c r="AC145" s="15">
        <f>IF($X145="","",SUMIFS(TARIFF_PROFILES!$H:$H,TARIFF_PROFILES!$A:$A,$X145))</f>
        <v/>
      </c>
      <c r="AD145" s="15">
        <f>IF($X145="","",INDEX(TARIFF_PROFILES!$J:$J,MATCH($X145,TARIFF_PROFILES!$A:$A,0)))</f>
        <v/>
      </c>
      <c r="AE145" s="15">
        <f>IF($X145="","",INDEX(TARIFF_PROFILES!$K:$K,MATCH($X145,TARIFF_PROFILES!$A:$A,0)))</f>
        <v/>
      </c>
      <c r="AH145">
        <f>IF($AG145="","",SUMIFS(OPERATING_COEFFS!$C:$C,OPERATING_COEFFS!$A:$A,"DistanceClass",OPERATING_COEFFS!$B:$B,$AG145))</f>
        <v/>
      </c>
      <c r="AJ145">
        <f>IF($AI145="","",SUMIFS(OPERATING_COEFFS!$C:$C,OPERATING_COEFFS!$A:$A,"SeasonClass",OPERATING_COEFFS!$B:$B,$AI145))</f>
        <v/>
      </c>
      <c r="AL145">
        <f>IF($AK145="","",SUMIFS(OPERATING_COEFFS!$C:$C,OPERATING_COEFFS!$A:$A,"UrgencyClass",OPERATING_COEFFS!$B:$B,$AK145))</f>
        <v/>
      </c>
      <c r="AN145">
        <f>IF($AM145="","",INDEX(TAX_MODES!$B:$B,MATCH($AM145,TAX_MODES!$A:$A,0)))</f>
        <v/>
      </c>
    </row>
    <row r="146">
      <c r="A146" s="15" t="n"/>
      <c r="B146" s="15" t="n"/>
      <c r="C146" s="15" t="n"/>
      <c r="D146" s="23">
        <f>IF($C146="","",SUMIFS(SITE_COEFFS!$C:$C,SITE_COEFFS!$A:$A,"SoilWorkability",SITE_COEFFS!$B:$B,$C146))</f>
        <v/>
      </c>
      <c r="E146" s="15" t="n"/>
      <c r="F146" s="23">
        <f>IF($E146="","",SUMIFS(SITE_COEFFS!$C:$C,SITE_COEFFS!$A:$A,"SoilMoisture",SITE_COEFFS!$B:$B,$E146))</f>
        <v/>
      </c>
      <c r="G146" s="15" t="n"/>
      <c r="H146" s="23">
        <f>IF($G146="","",SUMIFS(SITE_COEFFS!$C:$C,SITE_COEFFS!$A:$A,"DebrisLevel",SITE_COEFFS!$B:$B,$G146))</f>
        <v/>
      </c>
      <c r="I146" s="15" t="n"/>
      <c r="J146" s="23">
        <f>IF($I146="","",SUMIFS(SITE_COEFFS!$C:$C,SITE_COEFFS!$A:$A,"SlopeClass",SITE_COEFFS!$B:$B,$I146))</f>
        <v/>
      </c>
      <c r="K146" s="15" t="n"/>
      <c r="L146" s="23">
        <f>IF($K146="","",SUMIFS(SITE_COEFFS!$C:$C,SITE_COEFFS!$A:$A,"SurfaceUnevenness",SITE_COEFFS!$B:$B,$K146))</f>
        <v/>
      </c>
      <c r="M146" s="15" t="n"/>
      <c r="N146" s="23">
        <f>IF($M146="","",SUMIFS(SITE_COEFFS!$C:$C,SITE_COEFFS!$A:$A,"AccessClass",SITE_COEFFS!$B:$B,$M146))</f>
        <v/>
      </c>
      <c r="O146" s="15" t="n"/>
      <c r="P146" s="23">
        <f>IF($O146="","",SUMIFS(SITE_COEFFS!$C:$C,SITE_COEFFS!$A:$A,"TurnSpace",SITE_COEFFS!$B:$B,$O146))</f>
        <v/>
      </c>
      <c r="Q146" s="15" t="n"/>
      <c r="R146" s="23">
        <f>IF($Q146="","",SUMIFS(SITE_COEFFS!$C:$C,SITE_COEFFS!$A:$A,"ProximityToBuildings",SITE_COEFFS!$B:$B,$Q146))</f>
        <v/>
      </c>
      <c r="S146" s="15" t="n"/>
      <c r="T146" s="23">
        <f>IF($S146="","",SUMIFS(SITE_COEFFS!$C:$C,SITE_COEFFS!$A:$A,"MachineryAllowed",SITE_COEFFS!$B:$B,$S146))</f>
        <v/>
      </c>
      <c r="U146" s="15" t="n"/>
      <c r="V146" s="15" t="n"/>
      <c r="W146" s="23">
        <f>IF($V146="","",SUMIFS(SITE_COEFFS!$C:$C,SITE_COEFFS!$A:$A,"GeometryComplexity",SITE_COEFFS!$B:$B,$V146))</f>
        <v/>
      </c>
      <c r="X146" s="15" t="n"/>
      <c r="Y146" s="15">
        <f>IF($X146="","",SUMIFS(TARIFF_PROFILES!$D:$D,TARIFF_PROFILES!$A:$A,$X146))</f>
        <v/>
      </c>
      <c r="Z146" s="15">
        <f>IF($X146="","",SUMIFS(TARIFF_PROFILES!$E:$E,TARIFF_PROFILES!$A:$A,$X146))</f>
        <v/>
      </c>
      <c r="AA146" s="15">
        <f>IF($X146="","",SUMIFS(TARIFF_PROFILES!$F:$F,TARIFF_PROFILES!$A:$A,$X146))</f>
        <v/>
      </c>
      <c r="AB146" s="15">
        <f>IF($X146="","",SUMIFS(TARIFF_PROFILES!$G:$G,TARIFF_PROFILES!$A:$A,$X146))</f>
        <v/>
      </c>
      <c r="AC146" s="15">
        <f>IF($X146="","",SUMIFS(TARIFF_PROFILES!$H:$H,TARIFF_PROFILES!$A:$A,$X146))</f>
        <v/>
      </c>
      <c r="AD146" s="15">
        <f>IF($X146="","",INDEX(TARIFF_PROFILES!$J:$J,MATCH($X146,TARIFF_PROFILES!$A:$A,0)))</f>
        <v/>
      </c>
      <c r="AE146" s="15">
        <f>IF($X146="","",INDEX(TARIFF_PROFILES!$K:$K,MATCH($X146,TARIFF_PROFILES!$A:$A,0)))</f>
        <v/>
      </c>
      <c r="AH146">
        <f>IF($AG146="","",SUMIFS(OPERATING_COEFFS!$C:$C,OPERATING_COEFFS!$A:$A,"DistanceClass",OPERATING_COEFFS!$B:$B,$AG146))</f>
        <v/>
      </c>
      <c r="AJ146">
        <f>IF($AI146="","",SUMIFS(OPERATING_COEFFS!$C:$C,OPERATING_COEFFS!$A:$A,"SeasonClass",OPERATING_COEFFS!$B:$B,$AI146))</f>
        <v/>
      </c>
      <c r="AL146">
        <f>IF($AK146="","",SUMIFS(OPERATING_COEFFS!$C:$C,OPERATING_COEFFS!$A:$A,"UrgencyClass",OPERATING_COEFFS!$B:$B,$AK146))</f>
        <v/>
      </c>
      <c r="AN146">
        <f>IF($AM146="","",INDEX(TAX_MODES!$B:$B,MATCH($AM146,TAX_MODES!$A:$A,0)))</f>
        <v/>
      </c>
    </row>
    <row r="147">
      <c r="A147" s="15" t="n"/>
      <c r="B147" s="15" t="n"/>
      <c r="C147" s="15" t="n"/>
      <c r="D147" s="23">
        <f>IF($C147="","",SUMIFS(SITE_COEFFS!$C:$C,SITE_COEFFS!$A:$A,"SoilWorkability",SITE_COEFFS!$B:$B,$C147))</f>
        <v/>
      </c>
      <c r="E147" s="15" t="n"/>
      <c r="F147" s="23">
        <f>IF($E147="","",SUMIFS(SITE_COEFFS!$C:$C,SITE_COEFFS!$A:$A,"SoilMoisture",SITE_COEFFS!$B:$B,$E147))</f>
        <v/>
      </c>
      <c r="G147" s="15" t="n"/>
      <c r="H147" s="23">
        <f>IF($G147="","",SUMIFS(SITE_COEFFS!$C:$C,SITE_COEFFS!$A:$A,"DebrisLevel",SITE_COEFFS!$B:$B,$G147))</f>
        <v/>
      </c>
      <c r="I147" s="15" t="n"/>
      <c r="J147" s="23">
        <f>IF($I147="","",SUMIFS(SITE_COEFFS!$C:$C,SITE_COEFFS!$A:$A,"SlopeClass",SITE_COEFFS!$B:$B,$I147))</f>
        <v/>
      </c>
      <c r="K147" s="15" t="n"/>
      <c r="L147" s="23">
        <f>IF($K147="","",SUMIFS(SITE_COEFFS!$C:$C,SITE_COEFFS!$A:$A,"SurfaceUnevenness",SITE_COEFFS!$B:$B,$K147))</f>
        <v/>
      </c>
      <c r="M147" s="15" t="n"/>
      <c r="N147" s="23">
        <f>IF($M147="","",SUMIFS(SITE_COEFFS!$C:$C,SITE_COEFFS!$A:$A,"AccessClass",SITE_COEFFS!$B:$B,$M147))</f>
        <v/>
      </c>
      <c r="O147" s="15" t="n"/>
      <c r="P147" s="23">
        <f>IF($O147="","",SUMIFS(SITE_COEFFS!$C:$C,SITE_COEFFS!$A:$A,"TurnSpace",SITE_COEFFS!$B:$B,$O147))</f>
        <v/>
      </c>
      <c r="Q147" s="15" t="n"/>
      <c r="R147" s="23">
        <f>IF($Q147="","",SUMIFS(SITE_COEFFS!$C:$C,SITE_COEFFS!$A:$A,"ProximityToBuildings",SITE_COEFFS!$B:$B,$Q147))</f>
        <v/>
      </c>
      <c r="S147" s="15" t="n"/>
      <c r="T147" s="23">
        <f>IF($S147="","",SUMIFS(SITE_COEFFS!$C:$C,SITE_COEFFS!$A:$A,"MachineryAllowed",SITE_COEFFS!$B:$B,$S147))</f>
        <v/>
      </c>
      <c r="U147" s="15" t="n"/>
      <c r="V147" s="15" t="n"/>
      <c r="W147" s="23">
        <f>IF($V147="","",SUMIFS(SITE_COEFFS!$C:$C,SITE_COEFFS!$A:$A,"GeometryComplexity",SITE_COEFFS!$B:$B,$V147))</f>
        <v/>
      </c>
      <c r="X147" s="15" t="n"/>
      <c r="Y147" s="15">
        <f>IF($X147="","",SUMIFS(TARIFF_PROFILES!$D:$D,TARIFF_PROFILES!$A:$A,$X147))</f>
        <v/>
      </c>
      <c r="Z147" s="15">
        <f>IF($X147="","",SUMIFS(TARIFF_PROFILES!$E:$E,TARIFF_PROFILES!$A:$A,$X147))</f>
        <v/>
      </c>
      <c r="AA147" s="15">
        <f>IF($X147="","",SUMIFS(TARIFF_PROFILES!$F:$F,TARIFF_PROFILES!$A:$A,$X147))</f>
        <v/>
      </c>
      <c r="AB147" s="15">
        <f>IF($X147="","",SUMIFS(TARIFF_PROFILES!$G:$G,TARIFF_PROFILES!$A:$A,$X147))</f>
        <v/>
      </c>
      <c r="AC147" s="15">
        <f>IF($X147="","",SUMIFS(TARIFF_PROFILES!$H:$H,TARIFF_PROFILES!$A:$A,$X147))</f>
        <v/>
      </c>
      <c r="AD147" s="15">
        <f>IF($X147="","",INDEX(TARIFF_PROFILES!$J:$J,MATCH($X147,TARIFF_PROFILES!$A:$A,0)))</f>
        <v/>
      </c>
      <c r="AE147" s="15">
        <f>IF($X147="","",INDEX(TARIFF_PROFILES!$K:$K,MATCH($X147,TARIFF_PROFILES!$A:$A,0)))</f>
        <v/>
      </c>
      <c r="AH147">
        <f>IF($AG147="","",SUMIFS(OPERATING_COEFFS!$C:$C,OPERATING_COEFFS!$A:$A,"DistanceClass",OPERATING_COEFFS!$B:$B,$AG147))</f>
        <v/>
      </c>
      <c r="AJ147">
        <f>IF($AI147="","",SUMIFS(OPERATING_COEFFS!$C:$C,OPERATING_COEFFS!$A:$A,"SeasonClass",OPERATING_COEFFS!$B:$B,$AI147))</f>
        <v/>
      </c>
      <c r="AL147">
        <f>IF($AK147="","",SUMIFS(OPERATING_COEFFS!$C:$C,OPERATING_COEFFS!$A:$A,"UrgencyClass",OPERATING_COEFFS!$B:$B,$AK147))</f>
        <v/>
      </c>
      <c r="AN147">
        <f>IF($AM147="","",INDEX(TAX_MODES!$B:$B,MATCH($AM147,TAX_MODES!$A:$A,0)))</f>
        <v/>
      </c>
    </row>
    <row r="148">
      <c r="A148" s="15" t="n"/>
      <c r="B148" s="15" t="n"/>
      <c r="C148" s="15" t="n"/>
      <c r="D148" s="23">
        <f>IF($C148="","",SUMIFS(SITE_COEFFS!$C:$C,SITE_COEFFS!$A:$A,"SoilWorkability",SITE_COEFFS!$B:$B,$C148))</f>
        <v/>
      </c>
      <c r="E148" s="15" t="n"/>
      <c r="F148" s="23">
        <f>IF($E148="","",SUMIFS(SITE_COEFFS!$C:$C,SITE_COEFFS!$A:$A,"SoilMoisture",SITE_COEFFS!$B:$B,$E148))</f>
        <v/>
      </c>
      <c r="G148" s="15" t="n"/>
      <c r="H148" s="23">
        <f>IF($G148="","",SUMIFS(SITE_COEFFS!$C:$C,SITE_COEFFS!$A:$A,"DebrisLevel",SITE_COEFFS!$B:$B,$G148))</f>
        <v/>
      </c>
      <c r="I148" s="15" t="n"/>
      <c r="J148" s="23">
        <f>IF($I148="","",SUMIFS(SITE_COEFFS!$C:$C,SITE_COEFFS!$A:$A,"SlopeClass",SITE_COEFFS!$B:$B,$I148))</f>
        <v/>
      </c>
      <c r="K148" s="15" t="n"/>
      <c r="L148" s="23">
        <f>IF($K148="","",SUMIFS(SITE_COEFFS!$C:$C,SITE_COEFFS!$A:$A,"SurfaceUnevenness",SITE_COEFFS!$B:$B,$K148))</f>
        <v/>
      </c>
      <c r="M148" s="15" t="n"/>
      <c r="N148" s="23">
        <f>IF($M148="","",SUMIFS(SITE_COEFFS!$C:$C,SITE_COEFFS!$A:$A,"AccessClass",SITE_COEFFS!$B:$B,$M148))</f>
        <v/>
      </c>
      <c r="O148" s="15" t="n"/>
      <c r="P148" s="23">
        <f>IF($O148="","",SUMIFS(SITE_COEFFS!$C:$C,SITE_COEFFS!$A:$A,"TurnSpace",SITE_COEFFS!$B:$B,$O148))</f>
        <v/>
      </c>
      <c r="Q148" s="15" t="n"/>
      <c r="R148" s="23">
        <f>IF($Q148="","",SUMIFS(SITE_COEFFS!$C:$C,SITE_COEFFS!$A:$A,"ProximityToBuildings",SITE_COEFFS!$B:$B,$Q148))</f>
        <v/>
      </c>
      <c r="S148" s="15" t="n"/>
      <c r="T148" s="23">
        <f>IF($S148="","",SUMIFS(SITE_COEFFS!$C:$C,SITE_COEFFS!$A:$A,"MachineryAllowed",SITE_COEFFS!$B:$B,$S148))</f>
        <v/>
      </c>
      <c r="U148" s="15" t="n"/>
      <c r="V148" s="15" t="n"/>
      <c r="W148" s="23">
        <f>IF($V148="","",SUMIFS(SITE_COEFFS!$C:$C,SITE_COEFFS!$A:$A,"GeometryComplexity",SITE_COEFFS!$B:$B,$V148))</f>
        <v/>
      </c>
      <c r="X148" s="15" t="n"/>
      <c r="Y148" s="15">
        <f>IF($X148="","",SUMIFS(TARIFF_PROFILES!$D:$D,TARIFF_PROFILES!$A:$A,$X148))</f>
        <v/>
      </c>
      <c r="Z148" s="15">
        <f>IF($X148="","",SUMIFS(TARIFF_PROFILES!$E:$E,TARIFF_PROFILES!$A:$A,$X148))</f>
        <v/>
      </c>
      <c r="AA148" s="15">
        <f>IF($X148="","",SUMIFS(TARIFF_PROFILES!$F:$F,TARIFF_PROFILES!$A:$A,$X148))</f>
        <v/>
      </c>
      <c r="AB148" s="15">
        <f>IF($X148="","",SUMIFS(TARIFF_PROFILES!$G:$G,TARIFF_PROFILES!$A:$A,$X148))</f>
        <v/>
      </c>
      <c r="AC148" s="15">
        <f>IF($X148="","",SUMIFS(TARIFF_PROFILES!$H:$H,TARIFF_PROFILES!$A:$A,$X148))</f>
        <v/>
      </c>
      <c r="AD148" s="15">
        <f>IF($X148="","",INDEX(TARIFF_PROFILES!$J:$J,MATCH($X148,TARIFF_PROFILES!$A:$A,0)))</f>
        <v/>
      </c>
      <c r="AE148" s="15">
        <f>IF($X148="","",INDEX(TARIFF_PROFILES!$K:$K,MATCH($X148,TARIFF_PROFILES!$A:$A,0)))</f>
        <v/>
      </c>
      <c r="AH148">
        <f>IF($AG148="","",SUMIFS(OPERATING_COEFFS!$C:$C,OPERATING_COEFFS!$A:$A,"DistanceClass",OPERATING_COEFFS!$B:$B,$AG148))</f>
        <v/>
      </c>
      <c r="AJ148">
        <f>IF($AI148="","",SUMIFS(OPERATING_COEFFS!$C:$C,OPERATING_COEFFS!$A:$A,"SeasonClass",OPERATING_COEFFS!$B:$B,$AI148))</f>
        <v/>
      </c>
      <c r="AL148">
        <f>IF($AK148="","",SUMIFS(OPERATING_COEFFS!$C:$C,OPERATING_COEFFS!$A:$A,"UrgencyClass",OPERATING_COEFFS!$B:$B,$AK148))</f>
        <v/>
      </c>
      <c r="AN148">
        <f>IF($AM148="","",INDEX(TAX_MODES!$B:$B,MATCH($AM148,TAX_MODES!$A:$A,0)))</f>
        <v/>
      </c>
    </row>
    <row r="149">
      <c r="A149" s="15" t="n"/>
      <c r="B149" s="15" t="n"/>
      <c r="C149" s="15" t="n"/>
      <c r="D149" s="23">
        <f>IF($C149="","",SUMIFS(SITE_COEFFS!$C:$C,SITE_COEFFS!$A:$A,"SoilWorkability",SITE_COEFFS!$B:$B,$C149))</f>
        <v/>
      </c>
      <c r="E149" s="15" t="n"/>
      <c r="F149" s="23">
        <f>IF($E149="","",SUMIFS(SITE_COEFFS!$C:$C,SITE_COEFFS!$A:$A,"SoilMoisture",SITE_COEFFS!$B:$B,$E149))</f>
        <v/>
      </c>
      <c r="G149" s="15" t="n"/>
      <c r="H149" s="23">
        <f>IF($G149="","",SUMIFS(SITE_COEFFS!$C:$C,SITE_COEFFS!$A:$A,"DebrisLevel",SITE_COEFFS!$B:$B,$G149))</f>
        <v/>
      </c>
      <c r="I149" s="15" t="n"/>
      <c r="J149" s="23">
        <f>IF($I149="","",SUMIFS(SITE_COEFFS!$C:$C,SITE_COEFFS!$A:$A,"SlopeClass",SITE_COEFFS!$B:$B,$I149))</f>
        <v/>
      </c>
      <c r="K149" s="15" t="n"/>
      <c r="L149" s="23">
        <f>IF($K149="","",SUMIFS(SITE_COEFFS!$C:$C,SITE_COEFFS!$A:$A,"SurfaceUnevenness",SITE_COEFFS!$B:$B,$K149))</f>
        <v/>
      </c>
      <c r="M149" s="15" t="n"/>
      <c r="N149" s="23">
        <f>IF($M149="","",SUMIFS(SITE_COEFFS!$C:$C,SITE_COEFFS!$A:$A,"AccessClass",SITE_COEFFS!$B:$B,$M149))</f>
        <v/>
      </c>
      <c r="O149" s="15" t="n"/>
      <c r="P149" s="23">
        <f>IF($O149="","",SUMIFS(SITE_COEFFS!$C:$C,SITE_COEFFS!$A:$A,"TurnSpace",SITE_COEFFS!$B:$B,$O149))</f>
        <v/>
      </c>
      <c r="Q149" s="15" t="n"/>
      <c r="R149" s="23">
        <f>IF($Q149="","",SUMIFS(SITE_COEFFS!$C:$C,SITE_COEFFS!$A:$A,"ProximityToBuildings",SITE_COEFFS!$B:$B,$Q149))</f>
        <v/>
      </c>
      <c r="S149" s="15" t="n"/>
      <c r="T149" s="23">
        <f>IF($S149="","",SUMIFS(SITE_COEFFS!$C:$C,SITE_COEFFS!$A:$A,"MachineryAllowed",SITE_COEFFS!$B:$B,$S149))</f>
        <v/>
      </c>
      <c r="U149" s="15" t="n"/>
      <c r="V149" s="15" t="n"/>
      <c r="W149" s="23">
        <f>IF($V149="","",SUMIFS(SITE_COEFFS!$C:$C,SITE_COEFFS!$A:$A,"GeometryComplexity",SITE_COEFFS!$B:$B,$V149))</f>
        <v/>
      </c>
      <c r="X149" s="15" t="n"/>
      <c r="Y149" s="15">
        <f>IF($X149="","",SUMIFS(TARIFF_PROFILES!$D:$D,TARIFF_PROFILES!$A:$A,$X149))</f>
        <v/>
      </c>
      <c r="Z149" s="15">
        <f>IF($X149="","",SUMIFS(TARIFF_PROFILES!$E:$E,TARIFF_PROFILES!$A:$A,$X149))</f>
        <v/>
      </c>
      <c r="AA149" s="15">
        <f>IF($X149="","",SUMIFS(TARIFF_PROFILES!$F:$F,TARIFF_PROFILES!$A:$A,$X149))</f>
        <v/>
      </c>
      <c r="AB149" s="15">
        <f>IF($X149="","",SUMIFS(TARIFF_PROFILES!$G:$G,TARIFF_PROFILES!$A:$A,$X149))</f>
        <v/>
      </c>
      <c r="AC149" s="15">
        <f>IF($X149="","",SUMIFS(TARIFF_PROFILES!$H:$H,TARIFF_PROFILES!$A:$A,$X149))</f>
        <v/>
      </c>
      <c r="AD149" s="15">
        <f>IF($X149="","",INDEX(TARIFF_PROFILES!$J:$J,MATCH($X149,TARIFF_PROFILES!$A:$A,0)))</f>
        <v/>
      </c>
      <c r="AE149" s="15">
        <f>IF($X149="","",INDEX(TARIFF_PROFILES!$K:$K,MATCH($X149,TARIFF_PROFILES!$A:$A,0)))</f>
        <v/>
      </c>
      <c r="AH149">
        <f>IF($AG149="","",SUMIFS(OPERATING_COEFFS!$C:$C,OPERATING_COEFFS!$A:$A,"DistanceClass",OPERATING_COEFFS!$B:$B,$AG149))</f>
        <v/>
      </c>
      <c r="AJ149">
        <f>IF($AI149="","",SUMIFS(OPERATING_COEFFS!$C:$C,OPERATING_COEFFS!$A:$A,"SeasonClass",OPERATING_COEFFS!$B:$B,$AI149))</f>
        <v/>
      </c>
      <c r="AL149">
        <f>IF($AK149="","",SUMIFS(OPERATING_COEFFS!$C:$C,OPERATING_COEFFS!$A:$A,"UrgencyClass",OPERATING_COEFFS!$B:$B,$AK149))</f>
        <v/>
      </c>
      <c r="AN149">
        <f>IF($AM149="","",INDEX(TAX_MODES!$B:$B,MATCH($AM149,TAX_MODES!$A:$A,0)))</f>
        <v/>
      </c>
    </row>
    <row r="150">
      <c r="A150" s="15" t="n"/>
      <c r="B150" s="15" t="n"/>
      <c r="C150" s="15" t="n"/>
      <c r="D150" s="23">
        <f>IF($C150="","",SUMIFS(SITE_COEFFS!$C:$C,SITE_COEFFS!$A:$A,"SoilWorkability",SITE_COEFFS!$B:$B,$C150))</f>
        <v/>
      </c>
      <c r="E150" s="15" t="n"/>
      <c r="F150" s="23">
        <f>IF($E150="","",SUMIFS(SITE_COEFFS!$C:$C,SITE_COEFFS!$A:$A,"SoilMoisture",SITE_COEFFS!$B:$B,$E150))</f>
        <v/>
      </c>
      <c r="G150" s="15" t="n"/>
      <c r="H150" s="23">
        <f>IF($G150="","",SUMIFS(SITE_COEFFS!$C:$C,SITE_COEFFS!$A:$A,"DebrisLevel",SITE_COEFFS!$B:$B,$G150))</f>
        <v/>
      </c>
      <c r="I150" s="15" t="n"/>
      <c r="J150" s="23">
        <f>IF($I150="","",SUMIFS(SITE_COEFFS!$C:$C,SITE_COEFFS!$A:$A,"SlopeClass",SITE_COEFFS!$B:$B,$I150))</f>
        <v/>
      </c>
      <c r="K150" s="15" t="n"/>
      <c r="L150" s="23">
        <f>IF($K150="","",SUMIFS(SITE_COEFFS!$C:$C,SITE_COEFFS!$A:$A,"SurfaceUnevenness",SITE_COEFFS!$B:$B,$K150))</f>
        <v/>
      </c>
      <c r="M150" s="15" t="n"/>
      <c r="N150" s="23">
        <f>IF($M150="","",SUMIFS(SITE_COEFFS!$C:$C,SITE_COEFFS!$A:$A,"AccessClass",SITE_COEFFS!$B:$B,$M150))</f>
        <v/>
      </c>
      <c r="O150" s="15" t="n"/>
      <c r="P150" s="23">
        <f>IF($O150="","",SUMIFS(SITE_COEFFS!$C:$C,SITE_COEFFS!$A:$A,"TurnSpace",SITE_COEFFS!$B:$B,$O150))</f>
        <v/>
      </c>
      <c r="Q150" s="15" t="n"/>
      <c r="R150" s="23">
        <f>IF($Q150="","",SUMIFS(SITE_COEFFS!$C:$C,SITE_COEFFS!$A:$A,"ProximityToBuildings",SITE_COEFFS!$B:$B,$Q150))</f>
        <v/>
      </c>
      <c r="S150" s="15" t="n"/>
      <c r="T150" s="23">
        <f>IF($S150="","",SUMIFS(SITE_COEFFS!$C:$C,SITE_COEFFS!$A:$A,"MachineryAllowed",SITE_COEFFS!$B:$B,$S150))</f>
        <v/>
      </c>
      <c r="U150" s="15" t="n"/>
      <c r="V150" s="15" t="n"/>
      <c r="W150" s="23">
        <f>IF($V150="","",SUMIFS(SITE_COEFFS!$C:$C,SITE_COEFFS!$A:$A,"GeometryComplexity",SITE_COEFFS!$B:$B,$V150))</f>
        <v/>
      </c>
      <c r="X150" s="15" t="n"/>
      <c r="Y150" s="15">
        <f>IF($X150="","",SUMIFS(TARIFF_PROFILES!$D:$D,TARIFF_PROFILES!$A:$A,$X150))</f>
        <v/>
      </c>
      <c r="Z150" s="15">
        <f>IF($X150="","",SUMIFS(TARIFF_PROFILES!$E:$E,TARIFF_PROFILES!$A:$A,$X150))</f>
        <v/>
      </c>
      <c r="AA150" s="15">
        <f>IF($X150="","",SUMIFS(TARIFF_PROFILES!$F:$F,TARIFF_PROFILES!$A:$A,$X150))</f>
        <v/>
      </c>
      <c r="AB150" s="15">
        <f>IF($X150="","",SUMIFS(TARIFF_PROFILES!$G:$G,TARIFF_PROFILES!$A:$A,$X150))</f>
        <v/>
      </c>
      <c r="AC150" s="15">
        <f>IF($X150="","",SUMIFS(TARIFF_PROFILES!$H:$H,TARIFF_PROFILES!$A:$A,$X150))</f>
        <v/>
      </c>
      <c r="AD150" s="15">
        <f>IF($X150="","",INDEX(TARIFF_PROFILES!$J:$J,MATCH($X150,TARIFF_PROFILES!$A:$A,0)))</f>
        <v/>
      </c>
      <c r="AE150" s="15">
        <f>IF($X150="","",INDEX(TARIFF_PROFILES!$K:$K,MATCH($X150,TARIFF_PROFILES!$A:$A,0)))</f>
        <v/>
      </c>
      <c r="AH150">
        <f>IF($AG150="","",SUMIFS(OPERATING_COEFFS!$C:$C,OPERATING_COEFFS!$A:$A,"DistanceClass",OPERATING_COEFFS!$B:$B,$AG150))</f>
        <v/>
      </c>
      <c r="AJ150">
        <f>IF($AI150="","",SUMIFS(OPERATING_COEFFS!$C:$C,OPERATING_COEFFS!$A:$A,"SeasonClass",OPERATING_COEFFS!$B:$B,$AI150))</f>
        <v/>
      </c>
      <c r="AL150">
        <f>IF($AK150="","",SUMIFS(OPERATING_COEFFS!$C:$C,OPERATING_COEFFS!$A:$A,"UrgencyClass",OPERATING_COEFFS!$B:$B,$AK150))</f>
        <v/>
      </c>
      <c r="AN150">
        <f>IF($AM150="","",INDEX(TAX_MODES!$B:$B,MATCH($AM150,TAX_MODES!$A:$A,0)))</f>
        <v/>
      </c>
    </row>
    <row r="151">
      <c r="X151" s="15" t="n"/>
      <c r="Y151" s="15">
        <f>IF($X151="","",SUMIFS(TARIFF_PROFILES!$D:$D,TARIFF_PROFILES!$A:$A,$X151))</f>
        <v/>
      </c>
      <c r="Z151" s="15">
        <f>IF($X151="","",SUMIFS(TARIFF_PROFILES!$E:$E,TARIFF_PROFILES!$A:$A,$X151))</f>
        <v/>
      </c>
      <c r="AA151" s="15">
        <f>IF($X151="","",SUMIFS(TARIFF_PROFILES!$F:$F,TARIFF_PROFILES!$A:$A,$X151))</f>
        <v/>
      </c>
      <c r="AB151" s="15">
        <f>IF($X151="","",SUMIFS(TARIFF_PROFILES!$G:$G,TARIFF_PROFILES!$A:$A,$X151))</f>
        <v/>
      </c>
      <c r="AC151" s="15">
        <f>IF($X151="","",SUMIFS(TARIFF_PROFILES!$H:$H,TARIFF_PROFILES!$A:$A,$X151))</f>
        <v/>
      </c>
      <c r="AD151" s="15">
        <f>IF($X151="","",INDEX(TARIFF_PROFILES!$J:$J,MATCH($X151,TARIFF_PROFILES!$A:$A,0)))</f>
        <v/>
      </c>
      <c r="AE151" s="15">
        <f>IF($X151="","",INDEX(TARIFF_PROFILES!$K:$K,MATCH($X151,TARIFF_PROFILES!$A:$A,0)))</f>
        <v/>
      </c>
      <c r="AH151">
        <f>IF($AG151="","",SUMIFS(OPERATING_COEFFS!$C:$C,OPERATING_COEFFS!$A:$A,"DistanceClass",OPERATING_COEFFS!$B:$B,$AG151))</f>
        <v/>
      </c>
      <c r="AJ151">
        <f>IF($AI151="","",SUMIFS(OPERATING_COEFFS!$C:$C,OPERATING_COEFFS!$A:$A,"SeasonClass",OPERATING_COEFFS!$B:$B,$AI151))</f>
        <v/>
      </c>
      <c r="AL151">
        <f>IF($AK151="","",SUMIFS(OPERATING_COEFFS!$C:$C,OPERATING_COEFFS!$A:$A,"UrgencyClass",OPERATING_COEFFS!$B:$B,$AK151))</f>
        <v/>
      </c>
      <c r="AN151">
        <f>IF($AM151="","",INDEX(TAX_MODES!$B:$B,MATCH($AM151,TAX_MODES!$A:$A,0)))</f>
        <v/>
      </c>
    </row>
    <row r="152">
      <c r="X152" s="15" t="n"/>
      <c r="Y152" s="15">
        <f>IF($X152="","",SUMIFS(TARIFF_PROFILES!$D:$D,TARIFF_PROFILES!$A:$A,$X152))</f>
        <v/>
      </c>
      <c r="Z152" s="15">
        <f>IF($X152="","",SUMIFS(TARIFF_PROFILES!$E:$E,TARIFF_PROFILES!$A:$A,$X152))</f>
        <v/>
      </c>
      <c r="AA152" s="15">
        <f>IF($X152="","",SUMIFS(TARIFF_PROFILES!$F:$F,TARIFF_PROFILES!$A:$A,$X152))</f>
        <v/>
      </c>
      <c r="AB152" s="15">
        <f>IF($X152="","",SUMIFS(TARIFF_PROFILES!$G:$G,TARIFF_PROFILES!$A:$A,$X152))</f>
        <v/>
      </c>
      <c r="AC152" s="15">
        <f>IF($X152="","",SUMIFS(TARIFF_PROFILES!$H:$H,TARIFF_PROFILES!$A:$A,$X152))</f>
        <v/>
      </c>
      <c r="AD152" s="15">
        <f>IF($X152="","",INDEX(TARIFF_PROFILES!$J:$J,MATCH($X152,TARIFF_PROFILES!$A:$A,0)))</f>
        <v/>
      </c>
      <c r="AE152" s="15">
        <f>IF($X152="","",INDEX(TARIFF_PROFILES!$K:$K,MATCH($X152,TARIFF_PROFILES!$A:$A,0)))</f>
        <v/>
      </c>
      <c r="AH152">
        <f>IF($AG152="","",SUMIFS(OPERATING_COEFFS!$C:$C,OPERATING_COEFFS!$A:$A,"DistanceClass",OPERATING_COEFFS!$B:$B,$AG152))</f>
        <v/>
      </c>
      <c r="AJ152">
        <f>IF($AI152="","",SUMIFS(OPERATING_COEFFS!$C:$C,OPERATING_COEFFS!$A:$A,"SeasonClass",OPERATING_COEFFS!$B:$B,$AI152))</f>
        <v/>
      </c>
      <c r="AL152">
        <f>IF($AK152="","",SUMIFS(OPERATING_COEFFS!$C:$C,OPERATING_COEFFS!$A:$A,"UrgencyClass",OPERATING_COEFFS!$B:$B,$AK152))</f>
        <v/>
      </c>
      <c r="AN152">
        <f>IF($AM152="","",INDEX(TAX_MODES!$B:$B,MATCH($AM152,TAX_MODES!$A:$A,0)))</f>
        <v/>
      </c>
    </row>
    <row r="153">
      <c r="X153" s="15" t="n"/>
      <c r="Y153" s="15">
        <f>IF($X153="","",SUMIFS(TARIFF_PROFILES!$D:$D,TARIFF_PROFILES!$A:$A,$X153))</f>
        <v/>
      </c>
      <c r="Z153" s="15">
        <f>IF($X153="","",SUMIFS(TARIFF_PROFILES!$E:$E,TARIFF_PROFILES!$A:$A,$X153))</f>
        <v/>
      </c>
      <c r="AA153" s="15">
        <f>IF($X153="","",SUMIFS(TARIFF_PROFILES!$F:$F,TARIFF_PROFILES!$A:$A,$X153))</f>
        <v/>
      </c>
      <c r="AB153" s="15">
        <f>IF($X153="","",SUMIFS(TARIFF_PROFILES!$G:$G,TARIFF_PROFILES!$A:$A,$X153))</f>
        <v/>
      </c>
      <c r="AC153" s="15">
        <f>IF($X153="","",SUMIFS(TARIFF_PROFILES!$H:$H,TARIFF_PROFILES!$A:$A,$X153))</f>
        <v/>
      </c>
      <c r="AD153" s="15">
        <f>IF($X153="","",INDEX(TARIFF_PROFILES!$J:$J,MATCH($X153,TARIFF_PROFILES!$A:$A,0)))</f>
        <v/>
      </c>
      <c r="AE153" s="15">
        <f>IF($X153="","",INDEX(TARIFF_PROFILES!$K:$K,MATCH($X153,TARIFF_PROFILES!$A:$A,0)))</f>
        <v/>
      </c>
      <c r="AH153">
        <f>IF($AG153="","",SUMIFS(OPERATING_COEFFS!$C:$C,OPERATING_COEFFS!$A:$A,"DistanceClass",OPERATING_COEFFS!$B:$B,$AG153))</f>
        <v/>
      </c>
      <c r="AJ153">
        <f>IF($AI153="","",SUMIFS(OPERATING_COEFFS!$C:$C,OPERATING_COEFFS!$A:$A,"SeasonClass",OPERATING_COEFFS!$B:$B,$AI153))</f>
        <v/>
      </c>
      <c r="AL153">
        <f>IF($AK153="","",SUMIFS(OPERATING_COEFFS!$C:$C,OPERATING_COEFFS!$A:$A,"UrgencyClass",OPERATING_COEFFS!$B:$B,$AK153))</f>
        <v/>
      </c>
      <c r="AN153">
        <f>IF($AM153="","",INDEX(TAX_MODES!$B:$B,MATCH($AM153,TAX_MODES!$A:$A,0)))</f>
        <v/>
      </c>
    </row>
    <row r="154">
      <c r="X154" s="15" t="n"/>
      <c r="Y154" s="15">
        <f>IF($X154="","",SUMIFS(TARIFF_PROFILES!$D:$D,TARIFF_PROFILES!$A:$A,$X154))</f>
        <v/>
      </c>
      <c r="Z154" s="15">
        <f>IF($X154="","",SUMIFS(TARIFF_PROFILES!$E:$E,TARIFF_PROFILES!$A:$A,$X154))</f>
        <v/>
      </c>
      <c r="AA154" s="15">
        <f>IF($X154="","",SUMIFS(TARIFF_PROFILES!$F:$F,TARIFF_PROFILES!$A:$A,$X154))</f>
        <v/>
      </c>
      <c r="AB154" s="15">
        <f>IF($X154="","",SUMIFS(TARIFF_PROFILES!$G:$G,TARIFF_PROFILES!$A:$A,$X154))</f>
        <v/>
      </c>
      <c r="AC154" s="15">
        <f>IF($X154="","",SUMIFS(TARIFF_PROFILES!$H:$H,TARIFF_PROFILES!$A:$A,$X154))</f>
        <v/>
      </c>
      <c r="AD154" s="15">
        <f>IF($X154="","",INDEX(TARIFF_PROFILES!$J:$J,MATCH($X154,TARIFF_PROFILES!$A:$A,0)))</f>
        <v/>
      </c>
      <c r="AE154" s="15">
        <f>IF($X154="","",INDEX(TARIFF_PROFILES!$K:$K,MATCH($X154,TARIFF_PROFILES!$A:$A,0)))</f>
        <v/>
      </c>
      <c r="AH154">
        <f>IF($AG154="","",SUMIFS(OPERATING_COEFFS!$C:$C,OPERATING_COEFFS!$A:$A,"DistanceClass",OPERATING_COEFFS!$B:$B,$AG154))</f>
        <v/>
      </c>
      <c r="AJ154">
        <f>IF($AI154="","",SUMIFS(OPERATING_COEFFS!$C:$C,OPERATING_COEFFS!$A:$A,"SeasonClass",OPERATING_COEFFS!$B:$B,$AI154))</f>
        <v/>
      </c>
      <c r="AL154">
        <f>IF($AK154="","",SUMIFS(OPERATING_COEFFS!$C:$C,OPERATING_COEFFS!$A:$A,"UrgencyClass",OPERATING_COEFFS!$B:$B,$AK154))</f>
        <v/>
      </c>
      <c r="AN154">
        <f>IF($AM154="","",INDEX(TAX_MODES!$B:$B,MATCH($AM154,TAX_MODES!$A:$A,0)))</f>
        <v/>
      </c>
    </row>
    <row r="155">
      <c r="X155" s="15" t="n"/>
      <c r="Y155" s="15">
        <f>IF($X155="","",SUMIFS(TARIFF_PROFILES!$D:$D,TARIFF_PROFILES!$A:$A,$X155))</f>
        <v/>
      </c>
      <c r="Z155" s="15">
        <f>IF($X155="","",SUMIFS(TARIFF_PROFILES!$E:$E,TARIFF_PROFILES!$A:$A,$X155))</f>
        <v/>
      </c>
      <c r="AA155" s="15">
        <f>IF($X155="","",SUMIFS(TARIFF_PROFILES!$F:$F,TARIFF_PROFILES!$A:$A,$X155))</f>
        <v/>
      </c>
      <c r="AB155" s="15">
        <f>IF($X155="","",SUMIFS(TARIFF_PROFILES!$G:$G,TARIFF_PROFILES!$A:$A,$X155))</f>
        <v/>
      </c>
      <c r="AC155" s="15">
        <f>IF($X155="","",SUMIFS(TARIFF_PROFILES!$H:$H,TARIFF_PROFILES!$A:$A,$X155))</f>
        <v/>
      </c>
      <c r="AD155" s="15">
        <f>IF($X155="","",INDEX(TARIFF_PROFILES!$J:$J,MATCH($X155,TARIFF_PROFILES!$A:$A,0)))</f>
        <v/>
      </c>
      <c r="AE155" s="15">
        <f>IF($X155="","",INDEX(TARIFF_PROFILES!$K:$K,MATCH($X155,TARIFF_PROFILES!$A:$A,0)))</f>
        <v/>
      </c>
      <c r="AH155">
        <f>IF($AG155="","",SUMIFS(OPERATING_COEFFS!$C:$C,OPERATING_COEFFS!$A:$A,"DistanceClass",OPERATING_COEFFS!$B:$B,$AG155))</f>
        <v/>
      </c>
      <c r="AJ155">
        <f>IF($AI155="","",SUMIFS(OPERATING_COEFFS!$C:$C,OPERATING_COEFFS!$A:$A,"SeasonClass",OPERATING_COEFFS!$B:$B,$AI155))</f>
        <v/>
      </c>
      <c r="AL155">
        <f>IF($AK155="","",SUMIFS(OPERATING_COEFFS!$C:$C,OPERATING_COEFFS!$A:$A,"UrgencyClass",OPERATING_COEFFS!$B:$B,$AK155))</f>
        <v/>
      </c>
      <c r="AN155">
        <f>IF($AM155="","",INDEX(TAX_MODES!$B:$B,MATCH($AM155,TAX_MODES!$A:$A,0)))</f>
        <v/>
      </c>
    </row>
    <row r="156">
      <c r="X156" s="15" t="n"/>
      <c r="Y156" s="15">
        <f>IF($X156="","",SUMIFS(TARIFF_PROFILES!$D:$D,TARIFF_PROFILES!$A:$A,$X156))</f>
        <v/>
      </c>
      <c r="Z156" s="15">
        <f>IF($X156="","",SUMIFS(TARIFF_PROFILES!$E:$E,TARIFF_PROFILES!$A:$A,$X156))</f>
        <v/>
      </c>
      <c r="AA156" s="15">
        <f>IF($X156="","",SUMIFS(TARIFF_PROFILES!$F:$F,TARIFF_PROFILES!$A:$A,$X156))</f>
        <v/>
      </c>
      <c r="AB156" s="15">
        <f>IF($X156="","",SUMIFS(TARIFF_PROFILES!$G:$G,TARIFF_PROFILES!$A:$A,$X156))</f>
        <v/>
      </c>
      <c r="AC156" s="15">
        <f>IF($X156="","",SUMIFS(TARIFF_PROFILES!$H:$H,TARIFF_PROFILES!$A:$A,$X156))</f>
        <v/>
      </c>
      <c r="AD156" s="15">
        <f>IF($X156="","",INDEX(TARIFF_PROFILES!$J:$J,MATCH($X156,TARIFF_PROFILES!$A:$A,0)))</f>
        <v/>
      </c>
      <c r="AE156" s="15">
        <f>IF($X156="","",INDEX(TARIFF_PROFILES!$K:$K,MATCH($X156,TARIFF_PROFILES!$A:$A,0)))</f>
        <v/>
      </c>
      <c r="AH156">
        <f>IF($AG156="","",SUMIFS(OPERATING_COEFFS!$C:$C,OPERATING_COEFFS!$A:$A,"DistanceClass",OPERATING_COEFFS!$B:$B,$AG156))</f>
        <v/>
      </c>
      <c r="AJ156">
        <f>IF($AI156="","",SUMIFS(OPERATING_COEFFS!$C:$C,OPERATING_COEFFS!$A:$A,"SeasonClass",OPERATING_COEFFS!$B:$B,$AI156))</f>
        <v/>
      </c>
      <c r="AL156">
        <f>IF($AK156="","",SUMIFS(OPERATING_COEFFS!$C:$C,OPERATING_COEFFS!$A:$A,"UrgencyClass",OPERATING_COEFFS!$B:$B,$AK156))</f>
        <v/>
      </c>
      <c r="AN156">
        <f>IF($AM156="","",INDEX(TAX_MODES!$B:$B,MATCH($AM156,TAX_MODES!$A:$A,0)))</f>
        <v/>
      </c>
    </row>
    <row r="157">
      <c r="X157" s="15" t="n"/>
      <c r="Y157" s="15">
        <f>IF($X157="","",SUMIFS(TARIFF_PROFILES!$D:$D,TARIFF_PROFILES!$A:$A,$X157))</f>
        <v/>
      </c>
      <c r="Z157" s="15">
        <f>IF($X157="","",SUMIFS(TARIFF_PROFILES!$E:$E,TARIFF_PROFILES!$A:$A,$X157))</f>
        <v/>
      </c>
      <c r="AA157" s="15">
        <f>IF($X157="","",SUMIFS(TARIFF_PROFILES!$F:$F,TARIFF_PROFILES!$A:$A,$X157))</f>
        <v/>
      </c>
      <c r="AB157" s="15">
        <f>IF($X157="","",SUMIFS(TARIFF_PROFILES!$G:$G,TARIFF_PROFILES!$A:$A,$X157))</f>
        <v/>
      </c>
      <c r="AC157" s="15">
        <f>IF($X157="","",SUMIFS(TARIFF_PROFILES!$H:$H,TARIFF_PROFILES!$A:$A,$X157))</f>
        <v/>
      </c>
      <c r="AD157" s="15">
        <f>IF($X157="","",INDEX(TARIFF_PROFILES!$J:$J,MATCH($X157,TARIFF_PROFILES!$A:$A,0)))</f>
        <v/>
      </c>
      <c r="AE157" s="15">
        <f>IF($X157="","",INDEX(TARIFF_PROFILES!$K:$K,MATCH($X157,TARIFF_PROFILES!$A:$A,0)))</f>
        <v/>
      </c>
      <c r="AH157">
        <f>IF($AG157="","",SUMIFS(OPERATING_COEFFS!$C:$C,OPERATING_COEFFS!$A:$A,"DistanceClass",OPERATING_COEFFS!$B:$B,$AG157))</f>
        <v/>
      </c>
      <c r="AJ157">
        <f>IF($AI157="","",SUMIFS(OPERATING_COEFFS!$C:$C,OPERATING_COEFFS!$A:$A,"SeasonClass",OPERATING_COEFFS!$B:$B,$AI157))</f>
        <v/>
      </c>
      <c r="AL157">
        <f>IF($AK157="","",SUMIFS(OPERATING_COEFFS!$C:$C,OPERATING_COEFFS!$A:$A,"UrgencyClass",OPERATING_COEFFS!$B:$B,$AK157))</f>
        <v/>
      </c>
      <c r="AN157">
        <f>IF($AM157="","",INDEX(TAX_MODES!$B:$B,MATCH($AM157,TAX_MODES!$A:$A,0)))</f>
        <v/>
      </c>
    </row>
    <row r="158">
      <c r="X158" s="15" t="n"/>
      <c r="Y158" s="15">
        <f>IF($X158="","",SUMIFS(TARIFF_PROFILES!$D:$D,TARIFF_PROFILES!$A:$A,$X158))</f>
        <v/>
      </c>
      <c r="Z158" s="15">
        <f>IF($X158="","",SUMIFS(TARIFF_PROFILES!$E:$E,TARIFF_PROFILES!$A:$A,$X158))</f>
        <v/>
      </c>
      <c r="AA158" s="15">
        <f>IF($X158="","",SUMIFS(TARIFF_PROFILES!$F:$F,TARIFF_PROFILES!$A:$A,$X158))</f>
        <v/>
      </c>
      <c r="AB158" s="15">
        <f>IF($X158="","",SUMIFS(TARIFF_PROFILES!$G:$G,TARIFF_PROFILES!$A:$A,$X158))</f>
        <v/>
      </c>
      <c r="AC158" s="15">
        <f>IF($X158="","",SUMIFS(TARIFF_PROFILES!$H:$H,TARIFF_PROFILES!$A:$A,$X158))</f>
        <v/>
      </c>
      <c r="AD158" s="15">
        <f>IF($X158="","",INDEX(TARIFF_PROFILES!$J:$J,MATCH($X158,TARIFF_PROFILES!$A:$A,0)))</f>
        <v/>
      </c>
      <c r="AE158" s="15">
        <f>IF($X158="","",INDEX(TARIFF_PROFILES!$K:$K,MATCH($X158,TARIFF_PROFILES!$A:$A,0)))</f>
        <v/>
      </c>
      <c r="AH158">
        <f>IF($AG158="","",SUMIFS(OPERATING_COEFFS!$C:$C,OPERATING_COEFFS!$A:$A,"DistanceClass",OPERATING_COEFFS!$B:$B,$AG158))</f>
        <v/>
      </c>
      <c r="AJ158">
        <f>IF($AI158="","",SUMIFS(OPERATING_COEFFS!$C:$C,OPERATING_COEFFS!$A:$A,"SeasonClass",OPERATING_COEFFS!$B:$B,$AI158))</f>
        <v/>
      </c>
      <c r="AL158">
        <f>IF($AK158="","",SUMIFS(OPERATING_COEFFS!$C:$C,OPERATING_COEFFS!$A:$A,"UrgencyClass",OPERATING_COEFFS!$B:$B,$AK158))</f>
        <v/>
      </c>
      <c r="AN158">
        <f>IF($AM158="","",INDEX(TAX_MODES!$B:$B,MATCH($AM158,TAX_MODES!$A:$A,0)))</f>
        <v/>
      </c>
    </row>
    <row r="159">
      <c r="X159" s="15" t="n"/>
      <c r="Y159" s="15">
        <f>IF($X159="","",SUMIFS(TARIFF_PROFILES!$D:$D,TARIFF_PROFILES!$A:$A,$X159))</f>
        <v/>
      </c>
      <c r="Z159" s="15">
        <f>IF($X159="","",SUMIFS(TARIFF_PROFILES!$E:$E,TARIFF_PROFILES!$A:$A,$X159))</f>
        <v/>
      </c>
      <c r="AA159" s="15">
        <f>IF($X159="","",SUMIFS(TARIFF_PROFILES!$F:$F,TARIFF_PROFILES!$A:$A,$X159))</f>
        <v/>
      </c>
      <c r="AB159" s="15">
        <f>IF($X159="","",SUMIFS(TARIFF_PROFILES!$G:$G,TARIFF_PROFILES!$A:$A,$X159))</f>
        <v/>
      </c>
      <c r="AC159" s="15">
        <f>IF($X159="","",SUMIFS(TARIFF_PROFILES!$H:$H,TARIFF_PROFILES!$A:$A,$X159))</f>
        <v/>
      </c>
      <c r="AD159" s="15">
        <f>IF($X159="","",INDEX(TARIFF_PROFILES!$J:$J,MATCH($X159,TARIFF_PROFILES!$A:$A,0)))</f>
        <v/>
      </c>
      <c r="AE159" s="15">
        <f>IF($X159="","",INDEX(TARIFF_PROFILES!$K:$K,MATCH($X159,TARIFF_PROFILES!$A:$A,0)))</f>
        <v/>
      </c>
      <c r="AH159">
        <f>IF($AG159="","",SUMIFS(OPERATING_COEFFS!$C:$C,OPERATING_COEFFS!$A:$A,"DistanceClass",OPERATING_COEFFS!$B:$B,$AG159))</f>
        <v/>
      </c>
      <c r="AJ159">
        <f>IF($AI159="","",SUMIFS(OPERATING_COEFFS!$C:$C,OPERATING_COEFFS!$A:$A,"SeasonClass",OPERATING_COEFFS!$B:$B,$AI159))</f>
        <v/>
      </c>
      <c r="AL159">
        <f>IF($AK159="","",SUMIFS(OPERATING_COEFFS!$C:$C,OPERATING_COEFFS!$A:$A,"UrgencyClass",OPERATING_COEFFS!$B:$B,$AK159))</f>
        <v/>
      </c>
      <c r="AN159">
        <f>IF($AM159="","",INDEX(TAX_MODES!$B:$B,MATCH($AM159,TAX_MODES!$A:$A,0)))</f>
        <v/>
      </c>
    </row>
    <row r="160">
      <c r="X160" s="15" t="n"/>
      <c r="Y160" s="15">
        <f>IF($X160="","",SUMIFS(TARIFF_PROFILES!$D:$D,TARIFF_PROFILES!$A:$A,$X160))</f>
        <v/>
      </c>
      <c r="Z160" s="15">
        <f>IF($X160="","",SUMIFS(TARIFF_PROFILES!$E:$E,TARIFF_PROFILES!$A:$A,$X160))</f>
        <v/>
      </c>
      <c r="AA160" s="15">
        <f>IF($X160="","",SUMIFS(TARIFF_PROFILES!$F:$F,TARIFF_PROFILES!$A:$A,$X160))</f>
        <v/>
      </c>
      <c r="AB160" s="15">
        <f>IF($X160="","",SUMIFS(TARIFF_PROFILES!$G:$G,TARIFF_PROFILES!$A:$A,$X160))</f>
        <v/>
      </c>
      <c r="AC160" s="15">
        <f>IF($X160="","",SUMIFS(TARIFF_PROFILES!$H:$H,TARIFF_PROFILES!$A:$A,$X160))</f>
        <v/>
      </c>
      <c r="AD160" s="15">
        <f>IF($X160="","",INDEX(TARIFF_PROFILES!$J:$J,MATCH($X160,TARIFF_PROFILES!$A:$A,0)))</f>
        <v/>
      </c>
      <c r="AE160" s="15">
        <f>IF($X160="","",INDEX(TARIFF_PROFILES!$K:$K,MATCH($X160,TARIFF_PROFILES!$A:$A,0)))</f>
        <v/>
      </c>
      <c r="AH160">
        <f>IF($AG160="","",SUMIFS(OPERATING_COEFFS!$C:$C,OPERATING_COEFFS!$A:$A,"DistanceClass",OPERATING_COEFFS!$B:$B,$AG160))</f>
        <v/>
      </c>
      <c r="AJ160">
        <f>IF($AI160="","",SUMIFS(OPERATING_COEFFS!$C:$C,OPERATING_COEFFS!$A:$A,"SeasonClass",OPERATING_COEFFS!$B:$B,$AI160))</f>
        <v/>
      </c>
      <c r="AL160">
        <f>IF($AK160="","",SUMIFS(OPERATING_COEFFS!$C:$C,OPERATING_COEFFS!$A:$A,"UrgencyClass",OPERATING_COEFFS!$B:$B,$AK160))</f>
        <v/>
      </c>
      <c r="AN160">
        <f>IF($AM160="","",INDEX(TAX_MODES!$B:$B,MATCH($AM160,TAX_MODES!$A:$A,0)))</f>
        <v/>
      </c>
    </row>
    <row r="161">
      <c r="X161" s="15" t="n"/>
      <c r="Y161" s="15">
        <f>IF($X161="","",SUMIFS(TARIFF_PROFILES!$D:$D,TARIFF_PROFILES!$A:$A,$X161))</f>
        <v/>
      </c>
      <c r="Z161" s="15">
        <f>IF($X161="","",SUMIFS(TARIFF_PROFILES!$E:$E,TARIFF_PROFILES!$A:$A,$X161))</f>
        <v/>
      </c>
      <c r="AA161" s="15">
        <f>IF($X161="","",SUMIFS(TARIFF_PROFILES!$F:$F,TARIFF_PROFILES!$A:$A,$X161))</f>
        <v/>
      </c>
      <c r="AB161" s="15">
        <f>IF($X161="","",SUMIFS(TARIFF_PROFILES!$G:$G,TARIFF_PROFILES!$A:$A,$X161))</f>
        <v/>
      </c>
      <c r="AC161" s="15">
        <f>IF($X161="","",SUMIFS(TARIFF_PROFILES!$H:$H,TARIFF_PROFILES!$A:$A,$X161))</f>
        <v/>
      </c>
      <c r="AD161" s="15">
        <f>IF($X161="","",INDEX(TARIFF_PROFILES!$J:$J,MATCH($X161,TARIFF_PROFILES!$A:$A,0)))</f>
        <v/>
      </c>
      <c r="AE161" s="15">
        <f>IF($X161="","",INDEX(TARIFF_PROFILES!$K:$K,MATCH($X161,TARIFF_PROFILES!$A:$A,0)))</f>
        <v/>
      </c>
      <c r="AH161">
        <f>IF($AG161="","",SUMIFS(OPERATING_COEFFS!$C:$C,OPERATING_COEFFS!$A:$A,"DistanceClass",OPERATING_COEFFS!$B:$B,$AG161))</f>
        <v/>
      </c>
      <c r="AJ161">
        <f>IF($AI161="","",SUMIFS(OPERATING_COEFFS!$C:$C,OPERATING_COEFFS!$A:$A,"SeasonClass",OPERATING_COEFFS!$B:$B,$AI161))</f>
        <v/>
      </c>
      <c r="AL161">
        <f>IF($AK161="","",SUMIFS(OPERATING_COEFFS!$C:$C,OPERATING_COEFFS!$A:$A,"UrgencyClass",OPERATING_COEFFS!$B:$B,$AK161))</f>
        <v/>
      </c>
      <c r="AN161">
        <f>IF($AM161="","",INDEX(TAX_MODES!$B:$B,MATCH($AM161,TAX_MODES!$A:$A,0)))</f>
        <v/>
      </c>
    </row>
    <row r="162">
      <c r="X162" s="15" t="n"/>
      <c r="Y162" s="15">
        <f>IF($X162="","",SUMIFS(TARIFF_PROFILES!$D:$D,TARIFF_PROFILES!$A:$A,$X162))</f>
        <v/>
      </c>
      <c r="Z162" s="15">
        <f>IF($X162="","",SUMIFS(TARIFF_PROFILES!$E:$E,TARIFF_PROFILES!$A:$A,$X162))</f>
        <v/>
      </c>
      <c r="AA162" s="15">
        <f>IF($X162="","",SUMIFS(TARIFF_PROFILES!$F:$F,TARIFF_PROFILES!$A:$A,$X162))</f>
        <v/>
      </c>
      <c r="AB162" s="15">
        <f>IF($X162="","",SUMIFS(TARIFF_PROFILES!$G:$G,TARIFF_PROFILES!$A:$A,$X162))</f>
        <v/>
      </c>
      <c r="AC162" s="15">
        <f>IF($X162="","",SUMIFS(TARIFF_PROFILES!$H:$H,TARIFF_PROFILES!$A:$A,$X162))</f>
        <v/>
      </c>
      <c r="AD162" s="15">
        <f>IF($X162="","",INDEX(TARIFF_PROFILES!$J:$J,MATCH($X162,TARIFF_PROFILES!$A:$A,0)))</f>
        <v/>
      </c>
      <c r="AE162" s="15">
        <f>IF($X162="","",INDEX(TARIFF_PROFILES!$K:$K,MATCH($X162,TARIFF_PROFILES!$A:$A,0)))</f>
        <v/>
      </c>
      <c r="AH162">
        <f>IF($AG162="","",SUMIFS(OPERATING_COEFFS!$C:$C,OPERATING_COEFFS!$A:$A,"DistanceClass",OPERATING_COEFFS!$B:$B,$AG162))</f>
        <v/>
      </c>
      <c r="AJ162">
        <f>IF($AI162="","",SUMIFS(OPERATING_COEFFS!$C:$C,OPERATING_COEFFS!$A:$A,"SeasonClass",OPERATING_COEFFS!$B:$B,$AI162))</f>
        <v/>
      </c>
      <c r="AL162">
        <f>IF($AK162="","",SUMIFS(OPERATING_COEFFS!$C:$C,OPERATING_COEFFS!$A:$A,"UrgencyClass",OPERATING_COEFFS!$B:$B,$AK162))</f>
        <v/>
      </c>
      <c r="AN162">
        <f>IF($AM162="","",INDEX(TAX_MODES!$B:$B,MATCH($AM162,TAX_MODES!$A:$A,0)))</f>
        <v/>
      </c>
    </row>
    <row r="163">
      <c r="X163" s="15" t="n"/>
      <c r="Y163" s="15">
        <f>IF($X163="","",SUMIFS(TARIFF_PROFILES!$D:$D,TARIFF_PROFILES!$A:$A,$X163))</f>
        <v/>
      </c>
      <c r="Z163" s="15">
        <f>IF($X163="","",SUMIFS(TARIFF_PROFILES!$E:$E,TARIFF_PROFILES!$A:$A,$X163))</f>
        <v/>
      </c>
      <c r="AA163" s="15">
        <f>IF($X163="","",SUMIFS(TARIFF_PROFILES!$F:$F,TARIFF_PROFILES!$A:$A,$X163))</f>
        <v/>
      </c>
      <c r="AB163" s="15">
        <f>IF($X163="","",SUMIFS(TARIFF_PROFILES!$G:$G,TARIFF_PROFILES!$A:$A,$X163))</f>
        <v/>
      </c>
      <c r="AC163" s="15">
        <f>IF($X163="","",SUMIFS(TARIFF_PROFILES!$H:$H,TARIFF_PROFILES!$A:$A,$X163))</f>
        <v/>
      </c>
      <c r="AD163" s="15">
        <f>IF($X163="","",INDEX(TARIFF_PROFILES!$J:$J,MATCH($X163,TARIFF_PROFILES!$A:$A,0)))</f>
        <v/>
      </c>
      <c r="AE163" s="15">
        <f>IF($X163="","",INDEX(TARIFF_PROFILES!$K:$K,MATCH($X163,TARIFF_PROFILES!$A:$A,0)))</f>
        <v/>
      </c>
      <c r="AH163">
        <f>IF($AG163="","",SUMIFS(OPERATING_COEFFS!$C:$C,OPERATING_COEFFS!$A:$A,"DistanceClass",OPERATING_COEFFS!$B:$B,$AG163))</f>
        <v/>
      </c>
      <c r="AJ163">
        <f>IF($AI163="","",SUMIFS(OPERATING_COEFFS!$C:$C,OPERATING_COEFFS!$A:$A,"SeasonClass",OPERATING_COEFFS!$B:$B,$AI163))</f>
        <v/>
      </c>
      <c r="AL163">
        <f>IF($AK163="","",SUMIFS(OPERATING_COEFFS!$C:$C,OPERATING_COEFFS!$A:$A,"UrgencyClass",OPERATING_COEFFS!$B:$B,$AK163))</f>
        <v/>
      </c>
      <c r="AN163">
        <f>IF($AM163="","",INDEX(TAX_MODES!$B:$B,MATCH($AM163,TAX_MODES!$A:$A,0)))</f>
        <v/>
      </c>
    </row>
    <row r="164">
      <c r="X164" s="15" t="n"/>
      <c r="Y164" s="15">
        <f>IF($X164="","",SUMIFS(TARIFF_PROFILES!$D:$D,TARIFF_PROFILES!$A:$A,$X164))</f>
        <v/>
      </c>
      <c r="Z164" s="15">
        <f>IF($X164="","",SUMIFS(TARIFF_PROFILES!$E:$E,TARIFF_PROFILES!$A:$A,$X164))</f>
        <v/>
      </c>
      <c r="AA164" s="15">
        <f>IF($X164="","",SUMIFS(TARIFF_PROFILES!$F:$F,TARIFF_PROFILES!$A:$A,$X164))</f>
        <v/>
      </c>
      <c r="AB164" s="15">
        <f>IF($X164="","",SUMIFS(TARIFF_PROFILES!$G:$G,TARIFF_PROFILES!$A:$A,$X164))</f>
        <v/>
      </c>
      <c r="AC164" s="15">
        <f>IF($X164="","",SUMIFS(TARIFF_PROFILES!$H:$H,TARIFF_PROFILES!$A:$A,$X164))</f>
        <v/>
      </c>
      <c r="AD164" s="15">
        <f>IF($X164="","",INDEX(TARIFF_PROFILES!$J:$J,MATCH($X164,TARIFF_PROFILES!$A:$A,0)))</f>
        <v/>
      </c>
      <c r="AE164" s="15">
        <f>IF($X164="","",INDEX(TARIFF_PROFILES!$K:$K,MATCH($X164,TARIFF_PROFILES!$A:$A,0)))</f>
        <v/>
      </c>
      <c r="AH164">
        <f>IF($AG164="","",SUMIFS(OPERATING_COEFFS!$C:$C,OPERATING_COEFFS!$A:$A,"DistanceClass",OPERATING_COEFFS!$B:$B,$AG164))</f>
        <v/>
      </c>
      <c r="AJ164">
        <f>IF($AI164="","",SUMIFS(OPERATING_COEFFS!$C:$C,OPERATING_COEFFS!$A:$A,"SeasonClass",OPERATING_COEFFS!$B:$B,$AI164))</f>
        <v/>
      </c>
      <c r="AL164">
        <f>IF($AK164="","",SUMIFS(OPERATING_COEFFS!$C:$C,OPERATING_COEFFS!$A:$A,"UrgencyClass",OPERATING_COEFFS!$B:$B,$AK164))</f>
        <v/>
      </c>
      <c r="AN164">
        <f>IF($AM164="","",INDEX(TAX_MODES!$B:$B,MATCH($AM164,TAX_MODES!$A:$A,0)))</f>
        <v/>
      </c>
    </row>
    <row r="165">
      <c r="X165" s="15" t="n"/>
      <c r="Y165" s="15">
        <f>IF($X165="","",SUMIFS(TARIFF_PROFILES!$D:$D,TARIFF_PROFILES!$A:$A,$X165))</f>
        <v/>
      </c>
      <c r="Z165" s="15">
        <f>IF($X165="","",SUMIFS(TARIFF_PROFILES!$E:$E,TARIFF_PROFILES!$A:$A,$X165))</f>
        <v/>
      </c>
      <c r="AA165" s="15">
        <f>IF($X165="","",SUMIFS(TARIFF_PROFILES!$F:$F,TARIFF_PROFILES!$A:$A,$X165))</f>
        <v/>
      </c>
      <c r="AB165" s="15">
        <f>IF($X165="","",SUMIFS(TARIFF_PROFILES!$G:$G,TARIFF_PROFILES!$A:$A,$X165))</f>
        <v/>
      </c>
      <c r="AC165" s="15">
        <f>IF($X165="","",SUMIFS(TARIFF_PROFILES!$H:$H,TARIFF_PROFILES!$A:$A,$X165))</f>
        <v/>
      </c>
      <c r="AD165" s="15">
        <f>IF($X165="","",INDEX(TARIFF_PROFILES!$J:$J,MATCH($X165,TARIFF_PROFILES!$A:$A,0)))</f>
        <v/>
      </c>
      <c r="AE165" s="15">
        <f>IF($X165="","",INDEX(TARIFF_PROFILES!$K:$K,MATCH($X165,TARIFF_PROFILES!$A:$A,0)))</f>
        <v/>
      </c>
      <c r="AH165">
        <f>IF($AG165="","",SUMIFS(OPERATING_COEFFS!$C:$C,OPERATING_COEFFS!$A:$A,"DistanceClass",OPERATING_COEFFS!$B:$B,$AG165))</f>
        <v/>
      </c>
      <c r="AJ165">
        <f>IF($AI165="","",SUMIFS(OPERATING_COEFFS!$C:$C,OPERATING_COEFFS!$A:$A,"SeasonClass",OPERATING_COEFFS!$B:$B,$AI165))</f>
        <v/>
      </c>
      <c r="AL165">
        <f>IF($AK165="","",SUMIFS(OPERATING_COEFFS!$C:$C,OPERATING_COEFFS!$A:$A,"UrgencyClass",OPERATING_COEFFS!$B:$B,$AK165))</f>
        <v/>
      </c>
      <c r="AN165">
        <f>IF($AM165="","",INDEX(TAX_MODES!$B:$B,MATCH($AM165,TAX_MODES!$A:$A,0)))</f>
        <v/>
      </c>
    </row>
    <row r="166">
      <c r="X166" s="15" t="n"/>
      <c r="Y166" s="15">
        <f>IF($X166="","",SUMIFS(TARIFF_PROFILES!$D:$D,TARIFF_PROFILES!$A:$A,$X166))</f>
        <v/>
      </c>
      <c r="Z166" s="15">
        <f>IF($X166="","",SUMIFS(TARIFF_PROFILES!$E:$E,TARIFF_PROFILES!$A:$A,$X166))</f>
        <v/>
      </c>
      <c r="AA166" s="15">
        <f>IF($X166="","",SUMIFS(TARIFF_PROFILES!$F:$F,TARIFF_PROFILES!$A:$A,$X166))</f>
        <v/>
      </c>
      <c r="AB166" s="15">
        <f>IF($X166="","",SUMIFS(TARIFF_PROFILES!$G:$G,TARIFF_PROFILES!$A:$A,$X166))</f>
        <v/>
      </c>
      <c r="AC166" s="15">
        <f>IF($X166="","",SUMIFS(TARIFF_PROFILES!$H:$H,TARIFF_PROFILES!$A:$A,$X166))</f>
        <v/>
      </c>
      <c r="AD166" s="15">
        <f>IF($X166="","",INDEX(TARIFF_PROFILES!$J:$J,MATCH($X166,TARIFF_PROFILES!$A:$A,0)))</f>
        <v/>
      </c>
      <c r="AE166" s="15">
        <f>IF($X166="","",INDEX(TARIFF_PROFILES!$K:$K,MATCH($X166,TARIFF_PROFILES!$A:$A,0)))</f>
        <v/>
      </c>
      <c r="AH166">
        <f>IF($AG166="","",SUMIFS(OPERATING_COEFFS!$C:$C,OPERATING_COEFFS!$A:$A,"DistanceClass",OPERATING_COEFFS!$B:$B,$AG166))</f>
        <v/>
      </c>
      <c r="AJ166">
        <f>IF($AI166="","",SUMIFS(OPERATING_COEFFS!$C:$C,OPERATING_COEFFS!$A:$A,"SeasonClass",OPERATING_COEFFS!$B:$B,$AI166))</f>
        <v/>
      </c>
      <c r="AL166">
        <f>IF($AK166="","",SUMIFS(OPERATING_COEFFS!$C:$C,OPERATING_COEFFS!$A:$A,"UrgencyClass",OPERATING_COEFFS!$B:$B,$AK166))</f>
        <v/>
      </c>
      <c r="AN166">
        <f>IF($AM166="","",INDEX(TAX_MODES!$B:$B,MATCH($AM166,TAX_MODES!$A:$A,0)))</f>
        <v/>
      </c>
    </row>
    <row r="167">
      <c r="X167" s="15" t="n"/>
      <c r="Y167" s="15">
        <f>IF($X167="","",SUMIFS(TARIFF_PROFILES!$D:$D,TARIFF_PROFILES!$A:$A,$X167))</f>
        <v/>
      </c>
      <c r="Z167" s="15">
        <f>IF($X167="","",SUMIFS(TARIFF_PROFILES!$E:$E,TARIFF_PROFILES!$A:$A,$X167))</f>
        <v/>
      </c>
      <c r="AA167" s="15">
        <f>IF($X167="","",SUMIFS(TARIFF_PROFILES!$F:$F,TARIFF_PROFILES!$A:$A,$X167))</f>
        <v/>
      </c>
      <c r="AB167" s="15">
        <f>IF($X167="","",SUMIFS(TARIFF_PROFILES!$G:$G,TARIFF_PROFILES!$A:$A,$X167))</f>
        <v/>
      </c>
      <c r="AC167" s="15">
        <f>IF($X167="","",SUMIFS(TARIFF_PROFILES!$H:$H,TARIFF_PROFILES!$A:$A,$X167))</f>
        <v/>
      </c>
      <c r="AD167" s="15">
        <f>IF($X167="","",INDEX(TARIFF_PROFILES!$J:$J,MATCH($X167,TARIFF_PROFILES!$A:$A,0)))</f>
        <v/>
      </c>
      <c r="AE167" s="15">
        <f>IF($X167="","",INDEX(TARIFF_PROFILES!$K:$K,MATCH($X167,TARIFF_PROFILES!$A:$A,0)))</f>
        <v/>
      </c>
      <c r="AH167">
        <f>IF($AG167="","",SUMIFS(OPERATING_COEFFS!$C:$C,OPERATING_COEFFS!$A:$A,"DistanceClass",OPERATING_COEFFS!$B:$B,$AG167))</f>
        <v/>
      </c>
      <c r="AJ167">
        <f>IF($AI167="","",SUMIFS(OPERATING_COEFFS!$C:$C,OPERATING_COEFFS!$A:$A,"SeasonClass",OPERATING_COEFFS!$B:$B,$AI167))</f>
        <v/>
      </c>
      <c r="AL167">
        <f>IF($AK167="","",SUMIFS(OPERATING_COEFFS!$C:$C,OPERATING_COEFFS!$A:$A,"UrgencyClass",OPERATING_COEFFS!$B:$B,$AK167))</f>
        <v/>
      </c>
      <c r="AN167">
        <f>IF($AM167="","",INDEX(TAX_MODES!$B:$B,MATCH($AM167,TAX_MODES!$A:$A,0)))</f>
        <v/>
      </c>
    </row>
    <row r="168">
      <c r="X168" s="15" t="n"/>
      <c r="Y168" s="15">
        <f>IF($X168="","",SUMIFS(TARIFF_PROFILES!$D:$D,TARIFF_PROFILES!$A:$A,$X168))</f>
        <v/>
      </c>
      <c r="Z168" s="15">
        <f>IF($X168="","",SUMIFS(TARIFF_PROFILES!$E:$E,TARIFF_PROFILES!$A:$A,$X168))</f>
        <v/>
      </c>
      <c r="AA168" s="15">
        <f>IF($X168="","",SUMIFS(TARIFF_PROFILES!$F:$F,TARIFF_PROFILES!$A:$A,$X168))</f>
        <v/>
      </c>
      <c r="AB168" s="15">
        <f>IF($X168="","",SUMIFS(TARIFF_PROFILES!$G:$G,TARIFF_PROFILES!$A:$A,$X168))</f>
        <v/>
      </c>
      <c r="AC168" s="15">
        <f>IF($X168="","",SUMIFS(TARIFF_PROFILES!$H:$H,TARIFF_PROFILES!$A:$A,$X168))</f>
        <v/>
      </c>
      <c r="AD168" s="15">
        <f>IF($X168="","",INDEX(TARIFF_PROFILES!$J:$J,MATCH($X168,TARIFF_PROFILES!$A:$A,0)))</f>
        <v/>
      </c>
      <c r="AE168" s="15">
        <f>IF($X168="","",INDEX(TARIFF_PROFILES!$K:$K,MATCH($X168,TARIFF_PROFILES!$A:$A,0)))</f>
        <v/>
      </c>
      <c r="AH168">
        <f>IF($AG168="","",SUMIFS(OPERATING_COEFFS!$C:$C,OPERATING_COEFFS!$A:$A,"DistanceClass",OPERATING_COEFFS!$B:$B,$AG168))</f>
        <v/>
      </c>
      <c r="AJ168">
        <f>IF($AI168="","",SUMIFS(OPERATING_COEFFS!$C:$C,OPERATING_COEFFS!$A:$A,"SeasonClass",OPERATING_COEFFS!$B:$B,$AI168))</f>
        <v/>
      </c>
      <c r="AL168">
        <f>IF($AK168="","",SUMIFS(OPERATING_COEFFS!$C:$C,OPERATING_COEFFS!$A:$A,"UrgencyClass",OPERATING_COEFFS!$B:$B,$AK168))</f>
        <v/>
      </c>
      <c r="AN168">
        <f>IF($AM168="","",INDEX(TAX_MODES!$B:$B,MATCH($AM168,TAX_MODES!$A:$A,0)))</f>
        <v/>
      </c>
    </row>
    <row r="169">
      <c r="X169" s="15" t="n"/>
      <c r="Y169" s="15">
        <f>IF($X169="","",SUMIFS(TARIFF_PROFILES!$D:$D,TARIFF_PROFILES!$A:$A,$X169))</f>
        <v/>
      </c>
      <c r="Z169" s="15">
        <f>IF($X169="","",SUMIFS(TARIFF_PROFILES!$E:$E,TARIFF_PROFILES!$A:$A,$X169))</f>
        <v/>
      </c>
      <c r="AA169" s="15">
        <f>IF($X169="","",SUMIFS(TARIFF_PROFILES!$F:$F,TARIFF_PROFILES!$A:$A,$X169))</f>
        <v/>
      </c>
      <c r="AB169" s="15">
        <f>IF($X169="","",SUMIFS(TARIFF_PROFILES!$G:$G,TARIFF_PROFILES!$A:$A,$X169))</f>
        <v/>
      </c>
      <c r="AC169" s="15">
        <f>IF($X169="","",SUMIFS(TARIFF_PROFILES!$H:$H,TARIFF_PROFILES!$A:$A,$X169))</f>
        <v/>
      </c>
      <c r="AD169" s="15">
        <f>IF($X169="","",INDEX(TARIFF_PROFILES!$J:$J,MATCH($X169,TARIFF_PROFILES!$A:$A,0)))</f>
        <v/>
      </c>
      <c r="AE169" s="15">
        <f>IF($X169="","",INDEX(TARIFF_PROFILES!$K:$K,MATCH($X169,TARIFF_PROFILES!$A:$A,0)))</f>
        <v/>
      </c>
      <c r="AH169">
        <f>IF($AG169="","",SUMIFS(OPERATING_COEFFS!$C:$C,OPERATING_COEFFS!$A:$A,"DistanceClass",OPERATING_COEFFS!$B:$B,$AG169))</f>
        <v/>
      </c>
      <c r="AJ169">
        <f>IF($AI169="","",SUMIFS(OPERATING_COEFFS!$C:$C,OPERATING_COEFFS!$A:$A,"SeasonClass",OPERATING_COEFFS!$B:$B,$AI169))</f>
        <v/>
      </c>
      <c r="AL169">
        <f>IF($AK169="","",SUMIFS(OPERATING_COEFFS!$C:$C,OPERATING_COEFFS!$A:$A,"UrgencyClass",OPERATING_COEFFS!$B:$B,$AK169))</f>
        <v/>
      </c>
      <c r="AN169">
        <f>IF($AM169="","",INDEX(TAX_MODES!$B:$B,MATCH($AM169,TAX_MODES!$A:$A,0)))</f>
        <v/>
      </c>
    </row>
    <row r="170">
      <c r="X170" s="15" t="n"/>
      <c r="Y170" s="15">
        <f>IF($X170="","",SUMIFS(TARIFF_PROFILES!$D:$D,TARIFF_PROFILES!$A:$A,$X170))</f>
        <v/>
      </c>
      <c r="Z170" s="15">
        <f>IF($X170="","",SUMIFS(TARIFF_PROFILES!$E:$E,TARIFF_PROFILES!$A:$A,$X170))</f>
        <v/>
      </c>
      <c r="AA170" s="15">
        <f>IF($X170="","",SUMIFS(TARIFF_PROFILES!$F:$F,TARIFF_PROFILES!$A:$A,$X170))</f>
        <v/>
      </c>
      <c r="AB170" s="15">
        <f>IF($X170="","",SUMIFS(TARIFF_PROFILES!$G:$G,TARIFF_PROFILES!$A:$A,$X170))</f>
        <v/>
      </c>
      <c r="AC170" s="15">
        <f>IF($X170="","",SUMIFS(TARIFF_PROFILES!$H:$H,TARIFF_PROFILES!$A:$A,$X170))</f>
        <v/>
      </c>
      <c r="AD170" s="15">
        <f>IF($X170="","",INDEX(TARIFF_PROFILES!$J:$J,MATCH($X170,TARIFF_PROFILES!$A:$A,0)))</f>
        <v/>
      </c>
      <c r="AE170" s="15">
        <f>IF($X170="","",INDEX(TARIFF_PROFILES!$K:$K,MATCH($X170,TARIFF_PROFILES!$A:$A,0)))</f>
        <v/>
      </c>
      <c r="AH170">
        <f>IF($AG170="","",SUMIFS(OPERATING_COEFFS!$C:$C,OPERATING_COEFFS!$A:$A,"DistanceClass",OPERATING_COEFFS!$B:$B,$AG170))</f>
        <v/>
      </c>
      <c r="AJ170">
        <f>IF($AI170="","",SUMIFS(OPERATING_COEFFS!$C:$C,OPERATING_COEFFS!$A:$A,"SeasonClass",OPERATING_COEFFS!$B:$B,$AI170))</f>
        <v/>
      </c>
      <c r="AL170">
        <f>IF($AK170="","",SUMIFS(OPERATING_COEFFS!$C:$C,OPERATING_COEFFS!$A:$A,"UrgencyClass",OPERATING_COEFFS!$B:$B,$AK170))</f>
        <v/>
      </c>
      <c r="AN170">
        <f>IF($AM170="","",INDEX(TAX_MODES!$B:$B,MATCH($AM170,TAX_MODES!$A:$A,0)))</f>
        <v/>
      </c>
    </row>
    <row r="171">
      <c r="X171" s="15" t="n"/>
      <c r="Y171" s="15">
        <f>IF($X171="","",SUMIFS(TARIFF_PROFILES!$D:$D,TARIFF_PROFILES!$A:$A,$X171))</f>
        <v/>
      </c>
      <c r="Z171" s="15">
        <f>IF($X171="","",SUMIFS(TARIFF_PROFILES!$E:$E,TARIFF_PROFILES!$A:$A,$X171))</f>
        <v/>
      </c>
      <c r="AA171" s="15">
        <f>IF($X171="","",SUMIFS(TARIFF_PROFILES!$F:$F,TARIFF_PROFILES!$A:$A,$X171))</f>
        <v/>
      </c>
      <c r="AB171" s="15">
        <f>IF($X171="","",SUMIFS(TARIFF_PROFILES!$G:$G,TARIFF_PROFILES!$A:$A,$X171))</f>
        <v/>
      </c>
      <c r="AC171" s="15">
        <f>IF($X171="","",SUMIFS(TARIFF_PROFILES!$H:$H,TARIFF_PROFILES!$A:$A,$X171))</f>
        <v/>
      </c>
      <c r="AD171" s="15">
        <f>IF($X171="","",INDEX(TARIFF_PROFILES!$J:$J,MATCH($X171,TARIFF_PROFILES!$A:$A,0)))</f>
        <v/>
      </c>
      <c r="AE171" s="15">
        <f>IF($X171="","",INDEX(TARIFF_PROFILES!$K:$K,MATCH($X171,TARIFF_PROFILES!$A:$A,0)))</f>
        <v/>
      </c>
      <c r="AH171">
        <f>IF($AG171="","",SUMIFS(OPERATING_COEFFS!$C:$C,OPERATING_COEFFS!$A:$A,"DistanceClass",OPERATING_COEFFS!$B:$B,$AG171))</f>
        <v/>
      </c>
      <c r="AJ171">
        <f>IF($AI171="","",SUMIFS(OPERATING_COEFFS!$C:$C,OPERATING_COEFFS!$A:$A,"SeasonClass",OPERATING_COEFFS!$B:$B,$AI171))</f>
        <v/>
      </c>
      <c r="AL171">
        <f>IF($AK171="","",SUMIFS(OPERATING_COEFFS!$C:$C,OPERATING_COEFFS!$A:$A,"UrgencyClass",OPERATING_COEFFS!$B:$B,$AK171))</f>
        <v/>
      </c>
      <c r="AN171">
        <f>IF($AM171="","",INDEX(TAX_MODES!$B:$B,MATCH($AM171,TAX_MODES!$A:$A,0)))</f>
        <v/>
      </c>
    </row>
    <row r="172">
      <c r="X172" s="15" t="n"/>
      <c r="Y172" s="15">
        <f>IF($X172="","",SUMIFS(TARIFF_PROFILES!$D:$D,TARIFF_PROFILES!$A:$A,$X172))</f>
        <v/>
      </c>
      <c r="Z172" s="15">
        <f>IF($X172="","",SUMIFS(TARIFF_PROFILES!$E:$E,TARIFF_PROFILES!$A:$A,$X172))</f>
        <v/>
      </c>
      <c r="AA172" s="15">
        <f>IF($X172="","",SUMIFS(TARIFF_PROFILES!$F:$F,TARIFF_PROFILES!$A:$A,$X172))</f>
        <v/>
      </c>
      <c r="AB172" s="15">
        <f>IF($X172="","",SUMIFS(TARIFF_PROFILES!$G:$G,TARIFF_PROFILES!$A:$A,$X172))</f>
        <v/>
      </c>
      <c r="AC172" s="15">
        <f>IF($X172="","",SUMIFS(TARIFF_PROFILES!$H:$H,TARIFF_PROFILES!$A:$A,$X172))</f>
        <v/>
      </c>
      <c r="AD172" s="15">
        <f>IF($X172="","",INDEX(TARIFF_PROFILES!$J:$J,MATCH($X172,TARIFF_PROFILES!$A:$A,0)))</f>
        <v/>
      </c>
      <c r="AE172" s="15">
        <f>IF($X172="","",INDEX(TARIFF_PROFILES!$K:$K,MATCH($X172,TARIFF_PROFILES!$A:$A,0)))</f>
        <v/>
      </c>
      <c r="AH172">
        <f>IF($AG172="","",SUMIFS(OPERATING_COEFFS!$C:$C,OPERATING_COEFFS!$A:$A,"DistanceClass",OPERATING_COEFFS!$B:$B,$AG172))</f>
        <v/>
      </c>
      <c r="AJ172">
        <f>IF($AI172="","",SUMIFS(OPERATING_COEFFS!$C:$C,OPERATING_COEFFS!$A:$A,"SeasonClass",OPERATING_COEFFS!$B:$B,$AI172))</f>
        <v/>
      </c>
      <c r="AL172">
        <f>IF($AK172="","",SUMIFS(OPERATING_COEFFS!$C:$C,OPERATING_COEFFS!$A:$A,"UrgencyClass",OPERATING_COEFFS!$B:$B,$AK172))</f>
        <v/>
      </c>
      <c r="AN172">
        <f>IF($AM172="","",INDEX(TAX_MODES!$B:$B,MATCH($AM172,TAX_MODES!$A:$A,0)))</f>
        <v/>
      </c>
    </row>
    <row r="173">
      <c r="X173" s="15" t="n"/>
      <c r="Y173" s="15">
        <f>IF($X173="","",SUMIFS(TARIFF_PROFILES!$D:$D,TARIFF_PROFILES!$A:$A,$X173))</f>
        <v/>
      </c>
      <c r="Z173" s="15">
        <f>IF($X173="","",SUMIFS(TARIFF_PROFILES!$E:$E,TARIFF_PROFILES!$A:$A,$X173))</f>
        <v/>
      </c>
      <c r="AA173" s="15">
        <f>IF($X173="","",SUMIFS(TARIFF_PROFILES!$F:$F,TARIFF_PROFILES!$A:$A,$X173))</f>
        <v/>
      </c>
      <c r="AB173" s="15">
        <f>IF($X173="","",SUMIFS(TARIFF_PROFILES!$G:$G,TARIFF_PROFILES!$A:$A,$X173))</f>
        <v/>
      </c>
      <c r="AC173" s="15">
        <f>IF($X173="","",SUMIFS(TARIFF_PROFILES!$H:$H,TARIFF_PROFILES!$A:$A,$X173))</f>
        <v/>
      </c>
      <c r="AD173" s="15">
        <f>IF($X173="","",INDEX(TARIFF_PROFILES!$J:$J,MATCH($X173,TARIFF_PROFILES!$A:$A,0)))</f>
        <v/>
      </c>
      <c r="AE173" s="15">
        <f>IF($X173="","",INDEX(TARIFF_PROFILES!$K:$K,MATCH($X173,TARIFF_PROFILES!$A:$A,0)))</f>
        <v/>
      </c>
      <c r="AH173">
        <f>IF($AG173="","",SUMIFS(OPERATING_COEFFS!$C:$C,OPERATING_COEFFS!$A:$A,"DistanceClass",OPERATING_COEFFS!$B:$B,$AG173))</f>
        <v/>
      </c>
      <c r="AJ173">
        <f>IF($AI173="","",SUMIFS(OPERATING_COEFFS!$C:$C,OPERATING_COEFFS!$A:$A,"SeasonClass",OPERATING_COEFFS!$B:$B,$AI173))</f>
        <v/>
      </c>
      <c r="AL173">
        <f>IF($AK173="","",SUMIFS(OPERATING_COEFFS!$C:$C,OPERATING_COEFFS!$A:$A,"UrgencyClass",OPERATING_COEFFS!$B:$B,$AK173))</f>
        <v/>
      </c>
      <c r="AN173">
        <f>IF($AM173="","",INDEX(TAX_MODES!$B:$B,MATCH($AM173,TAX_MODES!$A:$A,0)))</f>
        <v/>
      </c>
    </row>
    <row r="174">
      <c r="X174" s="15" t="n"/>
      <c r="Y174" s="15">
        <f>IF($X174="","",SUMIFS(TARIFF_PROFILES!$D:$D,TARIFF_PROFILES!$A:$A,$X174))</f>
        <v/>
      </c>
      <c r="Z174" s="15">
        <f>IF($X174="","",SUMIFS(TARIFF_PROFILES!$E:$E,TARIFF_PROFILES!$A:$A,$X174))</f>
        <v/>
      </c>
      <c r="AA174" s="15">
        <f>IF($X174="","",SUMIFS(TARIFF_PROFILES!$F:$F,TARIFF_PROFILES!$A:$A,$X174))</f>
        <v/>
      </c>
      <c r="AB174" s="15">
        <f>IF($X174="","",SUMIFS(TARIFF_PROFILES!$G:$G,TARIFF_PROFILES!$A:$A,$X174))</f>
        <v/>
      </c>
      <c r="AC174" s="15">
        <f>IF($X174="","",SUMIFS(TARIFF_PROFILES!$H:$H,TARIFF_PROFILES!$A:$A,$X174))</f>
        <v/>
      </c>
      <c r="AD174" s="15">
        <f>IF($X174="","",INDEX(TARIFF_PROFILES!$J:$J,MATCH($X174,TARIFF_PROFILES!$A:$A,0)))</f>
        <v/>
      </c>
      <c r="AE174" s="15">
        <f>IF($X174="","",INDEX(TARIFF_PROFILES!$K:$K,MATCH($X174,TARIFF_PROFILES!$A:$A,0)))</f>
        <v/>
      </c>
      <c r="AH174">
        <f>IF($AG174="","",SUMIFS(OPERATING_COEFFS!$C:$C,OPERATING_COEFFS!$A:$A,"DistanceClass",OPERATING_COEFFS!$B:$B,$AG174))</f>
        <v/>
      </c>
      <c r="AJ174">
        <f>IF($AI174="","",SUMIFS(OPERATING_COEFFS!$C:$C,OPERATING_COEFFS!$A:$A,"SeasonClass",OPERATING_COEFFS!$B:$B,$AI174))</f>
        <v/>
      </c>
      <c r="AL174">
        <f>IF($AK174="","",SUMIFS(OPERATING_COEFFS!$C:$C,OPERATING_COEFFS!$A:$A,"UrgencyClass",OPERATING_COEFFS!$B:$B,$AK174))</f>
        <v/>
      </c>
      <c r="AN174">
        <f>IF($AM174="","",INDEX(TAX_MODES!$B:$B,MATCH($AM174,TAX_MODES!$A:$A,0)))</f>
        <v/>
      </c>
    </row>
    <row r="175">
      <c r="X175" s="15" t="n"/>
      <c r="Y175" s="15">
        <f>IF($X175="","",SUMIFS(TARIFF_PROFILES!$D:$D,TARIFF_PROFILES!$A:$A,$X175))</f>
        <v/>
      </c>
      <c r="Z175" s="15">
        <f>IF($X175="","",SUMIFS(TARIFF_PROFILES!$E:$E,TARIFF_PROFILES!$A:$A,$X175))</f>
        <v/>
      </c>
      <c r="AA175" s="15">
        <f>IF($X175="","",SUMIFS(TARIFF_PROFILES!$F:$F,TARIFF_PROFILES!$A:$A,$X175))</f>
        <v/>
      </c>
      <c r="AB175" s="15">
        <f>IF($X175="","",SUMIFS(TARIFF_PROFILES!$G:$G,TARIFF_PROFILES!$A:$A,$X175))</f>
        <v/>
      </c>
      <c r="AC175" s="15">
        <f>IF($X175="","",SUMIFS(TARIFF_PROFILES!$H:$H,TARIFF_PROFILES!$A:$A,$X175))</f>
        <v/>
      </c>
      <c r="AD175" s="15">
        <f>IF($X175="","",INDEX(TARIFF_PROFILES!$J:$J,MATCH($X175,TARIFF_PROFILES!$A:$A,0)))</f>
        <v/>
      </c>
      <c r="AE175" s="15">
        <f>IF($X175="","",INDEX(TARIFF_PROFILES!$K:$K,MATCH($X175,TARIFF_PROFILES!$A:$A,0)))</f>
        <v/>
      </c>
      <c r="AH175">
        <f>IF($AG175="","",SUMIFS(OPERATING_COEFFS!$C:$C,OPERATING_COEFFS!$A:$A,"DistanceClass",OPERATING_COEFFS!$B:$B,$AG175))</f>
        <v/>
      </c>
      <c r="AJ175">
        <f>IF($AI175="","",SUMIFS(OPERATING_COEFFS!$C:$C,OPERATING_COEFFS!$A:$A,"SeasonClass",OPERATING_COEFFS!$B:$B,$AI175))</f>
        <v/>
      </c>
      <c r="AL175">
        <f>IF($AK175="","",SUMIFS(OPERATING_COEFFS!$C:$C,OPERATING_COEFFS!$A:$A,"UrgencyClass",OPERATING_COEFFS!$B:$B,$AK175))</f>
        <v/>
      </c>
      <c r="AN175">
        <f>IF($AM175="","",INDEX(TAX_MODES!$B:$B,MATCH($AM175,TAX_MODES!$A:$A,0)))</f>
        <v/>
      </c>
    </row>
    <row r="176">
      <c r="X176" s="15" t="n"/>
      <c r="Y176" s="15">
        <f>IF($X176="","",SUMIFS(TARIFF_PROFILES!$D:$D,TARIFF_PROFILES!$A:$A,$X176))</f>
        <v/>
      </c>
      <c r="Z176" s="15">
        <f>IF($X176="","",SUMIFS(TARIFF_PROFILES!$E:$E,TARIFF_PROFILES!$A:$A,$X176))</f>
        <v/>
      </c>
      <c r="AA176" s="15">
        <f>IF($X176="","",SUMIFS(TARIFF_PROFILES!$F:$F,TARIFF_PROFILES!$A:$A,$X176))</f>
        <v/>
      </c>
      <c r="AB176" s="15">
        <f>IF($X176="","",SUMIFS(TARIFF_PROFILES!$G:$G,TARIFF_PROFILES!$A:$A,$X176))</f>
        <v/>
      </c>
      <c r="AC176" s="15">
        <f>IF($X176="","",SUMIFS(TARIFF_PROFILES!$H:$H,TARIFF_PROFILES!$A:$A,$X176))</f>
        <v/>
      </c>
      <c r="AD176" s="15">
        <f>IF($X176="","",INDEX(TARIFF_PROFILES!$J:$J,MATCH($X176,TARIFF_PROFILES!$A:$A,0)))</f>
        <v/>
      </c>
      <c r="AE176" s="15">
        <f>IF($X176="","",INDEX(TARIFF_PROFILES!$K:$K,MATCH($X176,TARIFF_PROFILES!$A:$A,0)))</f>
        <v/>
      </c>
      <c r="AH176">
        <f>IF($AG176="","",SUMIFS(OPERATING_COEFFS!$C:$C,OPERATING_COEFFS!$A:$A,"DistanceClass",OPERATING_COEFFS!$B:$B,$AG176))</f>
        <v/>
      </c>
      <c r="AJ176">
        <f>IF($AI176="","",SUMIFS(OPERATING_COEFFS!$C:$C,OPERATING_COEFFS!$A:$A,"SeasonClass",OPERATING_COEFFS!$B:$B,$AI176))</f>
        <v/>
      </c>
      <c r="AL176">
        <f>IF($AK176="","",SUMIFS(OPERATING_COEFFS!$C:$C,OPERATING_COEFFS!$A:$A,"UrgencyClass",OPERATING_COEFFS!$B:$B,$AK176))</f>
        <v/>
      </c>
      <c r="AN176">
        <f>IF($AM176="","",INDEX(TAX_MODES!$B:$B,MATCH($AM176,TAX_MODES!$A:$A,0)))</f>
        <v/>
      </c>
    </row>
    <row r="177">
      <c r="X177" s="15" t="n"/>
      <c r="Y177" s="15">
        <f>IF($X177="","",SUMIFS(TARIFF_PROFILES!$D:$D,TARIFF_PROFILES!$A:$A,$X177))</f>
        <v/>
      </c>
      <c r="Z177" s="15">
        <f>IF($X177="","",SUMIFS(TARIFF_PROFILES!$E:$E,TARIFF_PROFILES!$A:$A,$X177))</f>
        <v/>
      </c>
      <c r="AA177" s="15">
        <f>IF($X177="","",SUMIFS(TARIFF_PROFILES!$F:$F,TARIFF_PROFILES!$A:$A,$X177))</f>
        <v/>
      </c>
      <c r="AB177" s="15">
        <f>IF($X177="","",SUMIFS(TARIFF_PROFILES!$G:$G,TARIFF_PROFILES!$A:$A,$X177))</f>
        <v/>
      </c>
      <c r="AC177" s="15">
        <f>IF($X177="","",SUMIFS(TARIFF_PROFILES!$H:$H,TARIFF_PROFILES!$A:$A,$X177))</f>
        <v/>
      </c>
      <c r="AD177" s="15">
        <f>IF($X177="","",INDEX(TARIFF_PROFILES!$J:$J,MATCH($X177,TARIFF_PROFILES!$A:$A,0)))</f>
        <v/>
      </c>
      <c r="AE177" s="15">
        <f>IF($X177="","",INDEX(TARIFF_PROFILES!$K:$K,MATCH($X177,TARIFF_PROFILES!$A:$A,0)))</f>
        <v/>
      </c>
      <c r="AH177">
        <f>IF($AG177="","",SUMIFS(OPERATING_COEFFS!$C:$C,OPERATING_COEFFS!$A:$A,"DistanceClass",OPERATING_COEFFS!$B:$B,$AG177))</f>
        <v/>
      </c>
      <c r="AJ177">
        <f>IF($AI177="","",SUMIFS(OPERATING_COEFFS!$C:$C,OPERATING_COEFFS!$A:$A,"SeasonClass",OPERATING_COEFFS!$B:$B,$AI177))</f>
        <v/>
      </c>
      <c r="AL177">
        <f>IF($AK177="","",SUMIFS(OPERATING_COEFFS!$C:$C,OPERATING_COEFFS!$A:$A,"UrgencyClass",OPERATING_COEFFS!$B:$B,$AK177))</f>
        <v/>
      </c>
      <c r="AN177">
        <f>IF($AM177="","",INDEX(TAX_MODES!$B:$B,MATCH($AM177,TAX_MODES!$A:$A,0)))</f>
        <v/>
      </c>
    </row>
    <row r="178">
      <c r="X178" s="15" t="n"/>
      <c r="Y178" s="15">
        <f>IF($X178="","",SUMIFS(TARIFF_PROFILES!$D:$D,TARIFF_PROFILES!$A:$A,$X178))</f>
        <v/>
      </c>
      <c r="Z178" s="15">
        <f>IF($X178="","",SUMIFS(TARIFF_PROFILES!$E:$E,TARIFF_PROFILES!$A:$A,$X178))</f>
        <v/>
      </c>
      <c r="AA178" s="15">
        <f>IF($X178="","",SUMIFS(TARIFF_PROFILES!$F:$F,TARIFF_PROFILES!$A:$A,$X178))</f>
        <v/>
      </c>
      <c r="AB178" s="15">
        <f>IF($X178="","",SUMIFS(TARIFF_PROFILES!$G:$G,TARIFF_PROFILES!$A:$A,$X178))</f>
        <v/>
      </c>
      <c r="AC178" s="15">
        <f>IF($X178="","",SUMIFS(TARIFF_PROFILES!$H:$H,TARIFF_PROFILES!$A:$A,$X178))</f>
        <v/>
      </c>
      <c r="AD178" s="15">
        <f>IF($X178="","",INDEX(TARIFF_PROFILES!$J:$J,MATCH($X178,TARIFF_PROFILES!$A:$A,0)))</f>
        <v/>
      </c>
      <c r="AE178" s="15">
        <f>IF($X178="","",INDEX(TARIFF_PROFILES!$K:$K,MATCH($X178,TARIFF_PROFILES!$A:$A,0)))</f>
        <v/>
      </c>
      <c r="AH178">
        <f>IF($AG178="","",SUMIFS(OPERATING_COEFFS!$C:$C,OPERATING_COEFFS!$A:$A,"DistanceClass",OPERATING_COEFFS!$B:$B,$AG178))</f>
        <v/>
      </c>
      <c r="AJ178">
        <f>IF($AI178="","",SUMIFS(OPERATING_COEFFS!$C:$C,OPERATING_COEFFS!$A:$A,"SeasonClass",OPERATING_COEFFS!$B:$B,$AI178))</f>
        <v/>
      </c>
      <c r="AL178">
        <f>IF($AK178="","",SUMIFS(OPERATING_COEFFS!$C:$C,OPERATING_COEFFS!$A:$A,"UrgencyClass",OPERATING_COEFFS!$B:$B,$AK178))</f>
        <v/>
      </c>
      <c r="AN178">
        <f>IF($AM178="","",INDEX(TAX_MODES!$B:$B,MATCH($AM178,TAX_MODES!$A:$A,0)))</f>
        <v/>
      </c>
    </row>
    <row r="179">
      <c r="X179" s="15" t="n"/>
      <c r="Y179" s="15">
        <f>IF($X179="","",SUMIFS(TARIFF_PROFILES!$D:$D,TARIFF_PROFILES!$A:$A,$X179))</f>
        <v/>
      </c>
      <c r="Z179" s="15">
        <f>IF($X179="","",SUMIFS(TARIFF_PROFILES!$E:$E,TARIFF_PROFILES!$A:$A,$X179))</f>
        <v/>
      </c>
      <c r="AA179" s="15">
        <f>IF($X179="","",SUMIFS(TARIFF_PROFILES!$F:$F,TARIFF_PROFILES!$A:$A,$X179))</f>
        <v/>
      </c>
      <c r="AB179" s="15">
        <f>IF($X179="","",SUMIFS(TARIFF_PROFILES!$G:$G,TARIFF_PROFILES!$A:$A,$X179))</f>
        <v/>
      </c>
      <c r="AC179" s="15">
        <f>IF($X179="","",SUMIFS(TARIFF_PROFILES!$H:$H,TARIFF_PROFILES!$A:$A,$X179))</f>
        <v/>
      </c>
      <c r="AD179" s="15">
        <f>IF($X179="","",INDEX(TARIFF_PROFILES!$J:$J,MATCH($X179,TARIFF_PROFILES!$A:$A,0)))</f>
        <v/>
      </c>
      <c r="AE179" s="15">
        <f>IF($X179="","",INDEX(TARIFF_PROFILES!$K:$K,MATCH($X179,TARIFF_PROFILES!$A:$A,0)))</f>
        <v/>
      </c>
      <c r="AH179">
        <f>IF($AG179="","",SUMIFS(OPERATING_COEFFS!$C:$C,OPERATING_COEFFS!$A:$A,"DistanceClass",OPERATING_COEFFS!$B:$B,$AG179))</f>
        <v/>
      </c>
      <c r="AJ179">
        <f>IF($AI179="","",SUMIFS(OPERATING_COEFFS!$C:$C,OPERATING_COEFFS!$A:$A,"SeasonClass",OPERATING_COEFFS!$B:$B,$AI179))</f>
        <v/>
      </c>
      <c r="AL179">
        <f>IF($AK179="","",SUMIFS(OPERATING_COEFFS!$C:$C,OPERATING_COEFFS!$A:$A,"UrgencyClass",OPERATING_COEFFS!$B:$B,$AK179))</f>
        <v/>
      </c>
      <c r="AN179">
        <f>IF($AM179="","",INDEX(TAX_MODES!$B:$B,MATCH($AM179,TAX_MODES!$A:$A,0)))</f>
        <v/>
      </c>
    </row>
    <row r="180">
      <c r="X180" s="15" t="n"/>
      <c r="Y180" s="15">
        <f>IF($X180="","",SUMIFS(TARIFF_PROFILES!$D:$D,TARIFF_PROFILES!$A:$A,$X180))</f>
        <v/>
      </c>
      <c r="Z180" s="15">
        <f>IF($X180="","",SUMIFS(TARIFF_PROFILES!$E:$E,TARIFF_PROFILES!$A:$A,$X180))</f>
        <v/>
      </c>
      <c r="AA180" s="15">
        <f>IF($X180="","",SUMIFS(TARIFF_PROFILES!$F:$F,TARIFF_PROFILES!$A:$A,$X180))</f>
        <v/>
      </c>
      <c r="AB180" s="15">
        <f>IF($X180="","",SUMIFS(TARIFF_PROFILES!$G:$G,TARIFF_PROFILES!$A:$A,$X180))</f>
        <v/>
      </c>
      <c r="AC180" s="15">
        <f>IF($X180="","",SUMIFS(TARIFF_PROFILES!$H:$H,TARIFF_PROFILES!$A:$A,$X180))</f>
        <v/>
      </c>
      <c r="AD180" s="15">
        <f>IF($X180="","",INDEX(TARIFF_PROFILES!$J:$J,MATCH($X180,TARIFF_PROFILES!$A:$A,0)))</f>
        <v/>
      </c>
      <c r="AE180" s="15">
        <f>IF($X180="","",INDEX(TARIFF_PROFILES!$K:$K,MATCH($X180,TARIFF_PROFILES!$A:$A,0)))</f>
        <v/>
      </c>
      <c r="AH180">
        <f>IF($AG180="","",SUMIFS(OPERATING_COEFFS!$C:$C,OPERATING_COEFFS!$A:$A,"DistanceClass",OPERATING_COEFFS!$B:$B,$AG180))</f>
        <v/>
      </c>
      <c r="AJ180">
        <f>IF($AI180="","",SUMIFS(OPERATING_COEFFS!$C:$C,OPERATING_COEFFS!$A:$A,"SeasonClass",OPERATING_COEFFS!$B:$B,$AI180))</f>
        <v/>
      </c>
      <c r="AL180">
        <f>IF($AK180="","",SUMIFS(OPERATING_COEFFS!$C:$C,OPERATING_COEFFS!$A:$A,"UrgencyClass",OPERATING_COEFFS!$B:$B,$AK180))</f>
        <v/>
      </c>
      <c r="AN180">
        <f>IF($AM180="","",INDEX(TAX_MODES!$B:$B,MATCH($AM180,TAX_MODES!$A:$A,0)))</f>
        <v/>
      </c>
    </row>
    <row r="181">
      <c r="X181" s="15" t="n"/>
      <c r="Y181" s="15">
        <f>IF($X181="","",SUMIFS(TARIFF_PROFILES!$D:$D,TARIFF_PROFILES!$A:$A,$X181))</f>
        <v/>
      </c>
      <c r="Z181" s="15">
        <f>IF($X181="","",SUMIFS(TARIFF_PROFILES!$E:$E,TARIFF_PROFILES!$A:$A,$X181))</f>
        <v/>
      </c>
      <c r="AA181" s="15">
        <f>IF($X181="","",SUMIFS(TARIFF_PROFILES!$F:$F,TARIFF_PROFILES!$A:$A,$X181))</f>
        <v/>
      </c>
      <c r="AB181" s="15">
        <f>IF($X181="","",SUMIFS(TARIFF_PROFILES!$G:$G,TARIFF_PROFILES!$A:$A,$X181))</f>
        <v/>
      </c>
      <c r="AC181" s="15">
        <f>IF($X181="","",SUMIFS(TARIFF_PROFILES!$H:$H,TARIFF_PROFILES!$A:$A,$X181))</f>
        <v/>
      </c>
      <c r="AD181" s="15">
        <f>IF($X181="","",INDEX(TARIFF_PROFILES!$J:$J,MATCH($X181,TARIFF_PROFILES!$A:$A,0)))</f>
        <v/>
      </c>
      <c r="AE181" s="15">
        <f>IF($X181="","",INDEX(TARIFF_PROFILES!$K:$K,MATCH($X181,TARIFF_PROFILES!$A:$A,0)))</f>
        <v/>
      </c>
      <c r="AH181">
        <f>IF($AG181="","",SUMIFS(OPERATING_COEFFS!$C:$C,OPERATING_COEFFS!$A:$A,"DistanceClass",OPERATING_COEFFS!$B:$B,$AG181))</f>
        <v/>
      </c>
      <c r="AJ181">
        <f>IF($AI181="","",SUMIFS(OPERATING_COEFFS!$C:$C,OPERATING_COEFFS!$A:$A,"SeasonClass",OPERATING_COEFFS!$B:$B,$AI181))</f>
        <v/>
      </c>
      <c r="AL181">
        <f>IF($AK181="","",SUMIFS(OPERATING_COEFFS!$C:$C,OPERATING_COEFFS!$A:$A,"UrgencyClass",OPERATING_COEFFS!$B:$B,$AK181))</f>
        <v/>
      </c>
      <c r="AN181">
        <f>IF($AM181="","",INDEX(TAX_MODES!$B:$B,MATCH($AM181,TAX_MODES!$A:$A,0)))</f>
        <v/>
      </c>
    </row>
    <row r="182">
      <c r="X182" s="15" t="n"/>
      <c r="Y182" s="15">
        <f>IF($X182="","",SUMIFS(TARIFF_PROFILES!$D:$D,TARIFF_PROFILES!$A:$A,$X182))</f>
        <v/>
      </c>
      <c r="Z182" s="15">
        <f>IF($X182="","",SUMIFS(TARIFF_PROFILES!$E:$E,TARIFF_PROFILES!$A:$A,$X182))</f>
        <v/>
      </c>
      <c r="AA182" s="15">
        <f>IF($X182="","",SUMIFS(TARIFF_PROFILES!$F:$F,TARIFF_PROFILES!$A:$A,$X182))</f>
        <v/>
      </c>
      <c r="AB182" s="15">
        <f>IF($X182="","",SUMIFS(TARIFF_PROFILES!$G:$G,TARIFF_PROFILES!$A:$A,$X182))</f>
        <v/>
      </c>
      <c r="AC182" s="15">
        <f>IF($X182="","",SUMIFS(TARIFF_PROFILES!$H:$H,TARIFF_PROFILES!$A:$A,$X182))</f>
        <v/>
      </c>
      <c r="AD182" s="15">
        <f>IF($X182="","",INDEX(TARIFF_PROFILES!$J:$J,MATCH($X182,TARIFF_PROFILES!$A:$A,0)))</f>
        <v/>
      </c>
      <c r="AE182" s="15">
        <f>IF($X182="","",INDEX(TARIFF_PROFILES!$K:$K,MATCH($X182,TARIFF_PROFILES!$A:$A,0)))</f>
        <v/>
      </c>
      <c r="AH182">
        <f>IF($AG182="","",SUMIFS(OPERATING_COEFFS!$C:$C,OPERATING_COEFFS!$A:$A,"DistanceClass",OPERATING_COEFFS!$B:$B,$AG182))</f>
        <v/>
      </c>
      <c r="AJ182">
        <f>IF($AI182="","",SUMIFS(OPERATING_COEFFS!$C:$C,OPERATING_COEFFS!$A:$A,"SeasonClass",OPERATING_COEFFS!$B:$B,$AI182))</f>
        <v/>
      </c>
      <c r="AL182">
        <f>IF($AK182="","",SUMIFS(OPERATING_COEFFS!$C:$C,OPERATING_COEFFS!$A:$A,"UrgencyClass",OPERATING_COEFFS!$B:$B,$AK182))</f>
        <v/>
      </c>
      <c r="AN182">
        <f>IF($AM182="","",INDEX(TAX_MODES!$B:$B,MATCH($AM182,TAX_MODES!$A:$A,0)))</f>
        <v/>
      </c>
    </row>
    <row r="183">
      <c r="X183" s="15" t="n"/>
      <c r="Y183" s="15">
        <f>IF($X183="","",SUMIFS(TARIFF_PROFILES!$D:$D,TARIFF_PROFILES!$A:$A,$X183))</f>
        <v/>
      </c>
      <c r="Z183" s="15">
        <f>IF($X183="","",SUMIFS(TARIFF_PROFILES!$E:$E,TARIFF_PROFILES!$A:$A,$X183))</f>
        <v/>
      </c>
      <c r="AA183" s="15">
        <f>IF($X183="","",SUMIFS(TARIFF_PROFILES!$F:$F,TARIFF_PROFILES!$A:$A,$X183))</f>
        <v/>
      </c>
      <c r="AB183" s="15">
        <f>IF($X183="","",SUMIFS(TARIFF_PROFILES!$G:$G,TARIFF_PROFILES!$A:$A,$X183))</f>
        <v/>
      </c>
      <c r="AC183" s="15">
        <f>IF($X183="","",SUMIFS(TARIFF_PROFILES!$H:$H,TARIFF_PROFILES!$A:$A,$X183))</f>
        <v/>
      </c>
      <c r="AD183" s="15">
        <f>IF($X183="","",INDEX(TARIFF_PROFILES!$J:$J,MATCH($X183,TARIFF_PROFILES!$A:$A,0)))</f>
        <v/>
      </c>
      <c r="AE183" s="15">
        <f>IF($X183="","",INDEX(TARIFF_PROFILES!$K:$K,MATCH($X183,TARIFF_PROFILES!$A:$A,0)))</f>
        <v/>
      </c>
      <c r="AH183">
        <f>IF($AG183="","",SUMIFS(OPERATING_COEFFS!$C:$C,OPERATING_COEFFS!$A:$A,"DistanceClass",OPERATING_COEFFS!$B:$B,$AG183))</f>
        <v/>
      </c>
      <c r="AJ183">
        <f>IF($AI183="","",SUMIFS(OPERATING_COEFFS!$C:$C,OPERATING_COEFFS!$A:$A,"SeasonClass",OPERATING_COEFFS!$B:$B,$AI183))</f>
        <v/>
      </c>
      <c r="AL183">
        <f>IF($AK183="","",SUMIFS(OPERATING_COEFFS!$C:$C,OPERATING_COEFFS!$A:$A,"UrgencyClass",OPERATING_COEFFS!$B:$B,$AK183))</f>
        <v/>
      </c>
      <c r="AN183">
        <f>IF($AM183="","",INDEX(TAX_MODES!$B:$B,MATCH($AM183,TAX_MODES!$A:$A,0)))</f>
        <v/>
      </c>
    </row>
    <row r="184">
      <c r="X184" s="15" t="n"/>
      <c r="Y184" s="15">
        <f>IF($X184="","",SUMIFS(TARIFF_PROFILES!$D:$D,TARIFF_PROFILES!$A:$A,$X184))</f>
        <v/>
      </c>
      <c r="Z184" s="15">
        <f>IF($X184="","",SUMIFS(TARIFF_PROFILES!$E:$E,TARIFF_PROFILES!$A:$A,$X184))</f>
        <v/>
      </c>
      <c r="AA184" s="15">
        <f>IF($X184="","",SUMIFS(TARIFF_PROFILES!$F:$F,TARIFF_PROFILES!$A:$A,$X184))</f>
        <v/>
      </c>
      <c r="AB184" s="15">
        <f>IF($X184="","",SUMIFS(TARIFF_PROFILES!$G:$G,TARIFF_PROFILES!$A:$A,$X184))</f>
        <v/>
      </c>
      <c r="AC184" s="15">
        <f>IF($X184="","",SUMIFS(TARIFF_PROFILES!$H:$H,TARIFF_PROFILES!$A:$A,$X184))</f>
        <v/>
      </c>
      <c r="AD184" s="15">
        <f>IF($X184="","",INDEX(TARIFF_PROFILES!$J:$J,MATCH($X184,TARIFF_PROFILES!$A:$A,0)))</f>
        <v/>
      </c>
      <c r="AE184" s="15">
        <f>IF($X184="","",INDEX(TARIFF_PROFILES!$K:$K,MATCH($X184,TARIFF_PROFILES!$A:$A,0)))</f>
        <v/>
      </c>
      <c r="AH184">
        <f>IF($AG184="","",SUMIFS(OPERATING_COEFFS!$C:$C,OPERATING_COEFFS!$A:$A,"DistanceClass",OPERATING_COEFFS!$B:$B,$AG184))</f>
        <v/>
      </c>
      <c r="AJ184">
        <f>IF($AI184="","",SUMIFS(OPERATING_COEFFS!$C:$C,OPERATING_COEFFS!$A:$A,"SeasonClass",OPERATING_COEFFS!$B:$B,$AI184))</f>
        <v/>
      </c>
      <c r="AL184">
        <f>IF($AK184="","",SUMIFS(OPERATING_COEFFS!$C:$C,OPERATING_COEFFS!$A:$A,"UrgencyClass",OPERATING_COEFFS!$B:$B,$AK184))</f>
        <v/>
      </c>
      <c r="AN184">
        <f>IF($AM184="","",INDEX(TAX_MODES!$B:$B,MATCH($AM184,TAX_MODES!$A:$A,0)))</f>
        <v/>
      </c>
    </row>
    <row r="185">
      <c r="X185" s="15" t="n"/>
      <c r="Y185" s="15">
        <f>IF($X185="","",SUMIFS(TARIFF_PROFILES!$D:$D,TARIFF_PROFILES!$A:$A,$X185))</f>
        <v/>
      </c>
      <c r="Z185" s="15">
        <f>IF($X185="","",SUMIFS(TARIFF_PROFILES!$E:$E,TARIFF_PROFILES!$A:$A,$X185))</f>
        <v/>
      </c>
      <c r="AA185" s="15">
        <f>IF($X185="","",SUMIFS(TARIFF_PROFILES!$F:$F,TARIFF_PROFILES!$A:$A,$X185))</f>
        <v/>
      </c>
      <c r="AB185" s="15">
        <f>IF($X185="","",SUMIFS(TARIFF_PROFILES!$G:$G,TARIFF_PROFILES!$A:$A,$X185))</f>
        <v/>
      </c>
      <c r="AC185" s="15">
        <f>IF($X185="","",SUMIFS(TARIFF_PROFILES!$H:$H,TARIFF_PROFILES!$A:$A,$X185))</f>
        <v/>
      </c>
      <c r="AD185" s="15">
        <f>IF($X185="","",INDEX(TARIFF_PROFILES!$J:$J,MATCH($X185,TARIFF_PROFILES!$A:$A,0)))</f>
        <v/>
      </c>
      <c r="AE185" s="15">
        <f>IF($X185="","",INDEX(TARIFF_PROFILES!$K:$K,MATCH($X185,TARIFF_PROFILES!$A:$A,0)))</f>
        <v/>
      </c>
      <c r="AH185">
        <f>IF($AG185="","",SUMIFS(OPERATING_COEFFS!$C:$C,OPERATING_COEFFS!$A:$A,"DistanceClass",OPERATING_COEFFS!$B:$B,$AG185))</f>
        <v/>
      </c>
      <c r="AJ185">
        <f>IF($AI185="","",SUMIFS(OPERATING_COEFFS!$C:$C,OPERATING_COEFFS!$A:$A,"SeasonClass",OPERATING_COEFFS!$B:$B,$AI185))</f>
        <v/>
      </c>
      <c r="AL185">
        <f>IF($AK185="","",SUMIFS(OPERATING_COEFFS!$C:$C,OPERATING_COEFFS!$A:$A,"UrgencyClass",OPERATING_COEFFS!$B:$B,$AK185))</f>
        <v/>
      </c>
      <c r="AN185">
        <f>IF($AM185="","",INDEX(TAX_MODES!$B:$B,MATCH($AM185,TAX_MODES!$A:$A,0)))</f>
        <v/>
      </c>
    </row>
    <row r="186">
      <c r="X186" s="15" t="n"/>
      <c r="Y186" s="15">
        <f>IF($X186="","",SUMIFS(TARIFF_PROFILES!$D:$D,TARIFF_PROFILES!$A:$A,$X186))</f>
        <v/>
      </c>
      <c r="Z186" s="15">
        <f>IF($X186="","",SUMIFS(TARIFF_PROFILES!$E:$E,TARIFF_PROFILES!$A:$A,$X186))</f>
        <v/>
      </c>
      <c r="AA186" s="15">
        <f>IF($X186="","",SUMIFS(TARIFF_PROFILES!$F:$F,TARIFF_PROFILES!$A:$A,$X186))</f>
        <v/>
      </c>
      <c r="AB186" s="15">
        <f>IF($X186="","",SUMIFS(TARIFF_PROFILES!$G:$G,TARIFF_PROFILES!$A:$A,$X186))</f>
        <v/>
      </c>
      <c r="AC186" s="15">
        <f>IF($X186="","",SUMIFS(TARIFF_PROFILES!$H:$H,TARIFF_PROFILES!$A:$A,$X186))</f>
        <v/>
      </c>
      <c r="AD186" s="15">
        <f>IF($X186="","",INDEX(TARIFF_PROFILES!$J:$J,MATCH($X186,TARIFF_PROFILES!$A:$A,0)))</f>
        <v/>
      </c>
      <c r="AE186" s="15">
        <f>IF($X186="","",INDEX(TARIFF_PROFILES!$K:$K,MATCH($X186,TARIFF_PROFILES!$A:$A,0)))</f>
        <v/>
      </c>
      <c r="AH186">
        <f>IF($AG186="","",SUMIFS(OPERATING_COEFFS!$C:$C,OPERATING_COEFFS!$A:$A,"DistanceClass",OPERATING_COEFFS!$B:$B,$AG186))</f>
        <v/>
      </c>
      <c r="AJ186">
        <f>IF($AI186="","",SUMIFS(OPERATING_COEFFS!$C:$C,OPERATING_COEFFS!$A:$A,"SeasonClass",OPERATING_COEFFS!$B:$B,$AI186))</f>
        <v/>
      </c>
      <c r="AL186">
        <f>IF($AK186="","",SUMIFS(OPERATING_COEFFS!$C:$C,OPERATING_COEFFS!$A:$A,"UrgencyClass",OPERATING_COEFFS!$B:$B,$AK186))</f>
        <v/>
      </c>
      <c r="AN186">
        <f>IF($AM186="","",INDEX(TAX_MODES!$B:$B,MATCH($AM186,TAX_MODES!$A:$A,0)))</f>
        <v/>
      </c>
    </row>
    <row r="187">
      <c r="X187" s="15" t="n"/>
      <c r="Y187" s="15">
        <f>IF($X187="","",SUMIFS(TARIFF_PROFILES!$D:$D,TARIFF_PROFILES!$A:$A,$X187))</f>
        <v/>
      </c>
      <c r="Z187" s="15">
        <f>IF($X187="","",SUMIFS(TARIFF_PROFILES!$E:$E,TARIFF_PROFILES!$A:$A,$X187))</f>
        <v/>
      </c>
      <c r="AA187" s="15">
        <f>IF($X187="","",SUMIFS(TARIFF_PROFILES!$F:$F,TARIFF_PROFILES!$A:$A,$X187))</f>
        <v/>
      </c>
      <c r="AB187" s="15">
        <f>IF($X187="","",SUMIFS(TARIFF_PROFILES!$G:$G,TARIFF_PROFILES!$A:$A,$X187))</f>
        <v/>
      </c>
      <c r="AC187" s="15">
        <f>IF($X187="","",SUMIFS(TARIFF_PROFILES!$H:$H,TARIFF_PROFILES!$A:$A,$X187))</f>
        <v/>
      </c>
      <c r="AD187" s="15">
        <f>IF($X187="","",INDEX(TARIFF_PROFILES!$J:$J,MATCH($X187,TARIFF_PROFILES!$A:$A,0)))</f>
        <v/>
      </c>
      <c r="AE187" s="15">
        <f>IF($X187="","",INDEX(TARIFF_PROFILES!$K:$K,MATCH($X187,TARIFF_PROFILES!$A:$A,0)))</f>
        <v/>
      </c>
      <c r="AH187">
        <f>IF($AG187="","",SUMIFS(OPERATING_COEFFS!$C:$C,OPERATING_COEFFS!$A:$A,"DistanceClass",OPERATING_COEFFS!$B:$B,$AG187))</f>
        <v/>
      </c>
      <c r="AJ187">
        <f>IF($AI187="","",SUMIFS(OPERATING_COEFFS!$C:$C,OPERATING_COEFFS!$A:$A,"SeasonClass",OPERATING_COEFFS!$B:$B,$AI187))</f>
        <v/>
      </c>
      <c r="AL187">
        <f>IF($AK187="","",SUMIFS(OPERATING_COEFFS!$C:$C,OPERATING_COEFFS!$A:$A,"UrgencyClass",OPERATING_COEFFS!$B:$B,$AK187))</f>
        <v/>
      </c>
      <c r="AN187">
        <f>IF($AM187="","",INDEX(TAX_MODES!$B:$B,MATCH($AM187,TAX_MODES!$A:$A,0)))</f>
        <v/>
      </c>
    </row>
    <row r="188">
      <c r="X188" s="15" t="n"/>
      <c r="Y188" s="15">
        <f>IF($X188="","",SUMIFS(TARIFF_PROFILES!$D:$D,TARIFF_PROFILES!$A:$A,$X188))</f>
        <v/>
      </c>
      <c r="Z188" s="15">
        <f>IF($X188="","",SUMIFS(TARIFF_PROFILES!$E:$E,TARIFF_PROFILES!$A:$A,$X188))</f>
        <v/>
      </c>
      <c r="AA188" s="15">
        <f>IF($X188="","",SUMIFS(TARIFF_PROFILES!$F:$F,TARIFF_PROFILES!$A:$A,$X188))</f>
        <v/>
      </c>
      <c r="AB188" s="15">
        <f>IF($X188="","",SUMIFS(TARIFF_PROFILES!$G:$G,TARIFF_PROFILES!$A:$A,$X188))</f>
        <v/>
      </c>
      <c r="AC188" s="15">
        <f>IF($X188="","",SUMIFS(TARIFF_PROFILES!$H:$H,TARIFF_PROFILES!$A:$A,$X188))</f>
        <v/>
      </c>
      <c r="AD188" s="15">
        <f>IF($X188="","",INDEX(TARIFF_PROFILES!$J:$J,MATCH($X188,TARIFF_PROFILES!$A:$A,0)))</f>
        <v/>
      </c>
      <c r="AE188" s="15">
        <f>IF($X188="","",INDEX(TARIFF_PROFILES!$K:$K,MATCH($X188,TARIFF_PROFILES!$A:$A,0)))</f>
        <v/>
      </c>
      <c r="AH188">
        <f>IF($AG188="","",SUMIFS(OPERATING_COEFFS!$C:$C,OPERATING_COEFFS!$A:$A,"DistanceClass",OPERATING_COEFFS!$B:$B,$AG188))</f>
        <v/>
      </c>
      <c r="AJ188">
        <f>IF($AI188="","",SUMIFS(OPERATING_COEFFS!$C:$C,OPERATING_COEFFS!$A:$A,"SeasonClass",OPERATING_COEFFS!$B:$B,$AI188))</f>
        <v/>
      </c>
      <c r="AL188">
        <f>IF($AK188="","",SUMIFS(OPERATING_COEFFS!$C:$C,OPERATING_COEFFS!$A:$A,"UrgencyClass",OPERATING_COEFFS!$B:$B,$AK188))</f>
        <v/>
      </c>
      <c r="AN188">
        <f>IF($AM188="","",INDEX(TAX_MODES!$B:$B,MATCH($AM188,TAX_MODES!$A:$A,0)))</f>
        <v/>
      </c>
    </row>
    <row r="189">
      <c r="X189" s="15" t="n"/>
      <c r="Y189" s="15">
        <f>IF($X189="","",SUMIFS(TARIFF_PROFILES!$D:$D,TARIFF_PROFILES!$A:$A,$X189))</f>
        <v/>
      </c>
      <c r="Z189" s="15">
        <f>IF($X189="","",SUMIFS(TARIFF_PROFILES!$E:$E,TARIFF_PROFILES!$A:$A,$X189))</f>
        <v/>
      </c>
      <c r="AA189" s="15">
        <f>IF($X189="","",SUMIFS(TARIFF_PROFILES!$F:$F,TARIFF_PROFILES!$A:$A,$X189))</f>
        <v/>
      </c>
      <c r="AB189" s="15">
        <f>IF($X189="","",SUMIFS(TARIFF_PROFILES!$G:$G,TARIFF_PROFILES!$A:$A,$X189))</f>
        <v/>
      </c>
      <c r="AC189" s="15">
        <f>IF($X189="","",SUMIFS(TARIFF_PROFILES!$H:$H,TARIFF_PROFILES!$A:$A,$X189))</f>
        <v/>
      </c>
      <c r="AD189" s="15">
        <f>IF($X189="","",INDEX(TARIFF_PROFILES!$J:$J,MATCH($X189,TARIFF_PROFILES!$A:$A,0)))</f>
        <v/>
      </c>
      <c r="AE189" s="15">
        <f>IF($X189="","",INDEX(TARIFF_PROFILES!$K:$K,MATCH($X189,TARIFF_PROFILES!$A:$A,0)))</f>
        <v/>
      </c>
      <c r="AH189">
        <f>IF($AG189="","",SUMIFS(OPERATING_COEFFS!$C:$C,OPERATING_COEFFS!$A:$A,"DistanceClass",OPERATING_COEFFS!$B:$B,$AG189))</f>
        <v/>
      </c>
      <c r="AJ189">
        <f>IF($AI189="","",SUMIFS(OPERATING_COEFFS!$C:$C,OPERATING_COEFFS!$A:$A,"SeasonClass",OPERATING_COEFFS!$B:$B,$AI189))</f>
        <v/>
      </c>
      <c r="AL189">
        <f>IF($AK189="","",SUMIFS(OPERATING_COEFFS!$C:$C,OPERATING_COEFFS!$A:$A,"UrgencyClass",OPERATING_COEFFS!$B:$B,$AK189))</f>
        <v/>
      </c>
      <c r="AN189">
        <f>IF($AM189="","",INDEX(TAX_MODES!$B:$B,MATCH($AM189,TAX_MODES!$A:$A,0)))</f>
        <v/>
      </c>
    </row>
    <row r="190">
      <c r="X190" s="15" t="n"/>
      <c r="Y190" s="15">
        <f>IF($X190="","",SUMIFS(TARIFF_PROFILES!$D:$D,TARIFF_PROFILES!$A:$A,$X190))</f>
        <v/>
      </c>
      <c r="Z190" s="15">
        <f>IF($X190="","",SUMIFS(TARIFF_PROFILES!$E:$E,TARIFF_PROFILES!$A:$A,$X190))</f>
        <v/>
      </c>
      <c r="AA190" s="15">
        <f>IF($X190="","",SUMIFS(TARIFF_PROFILES!$F:$F,TARIFF_PROFILES!$A:$A,$X190))</f>
        <v/>
      </c>
      <c r="AB190" s="15">
        <f>IF($X190="","",SUMIFS(TARIFF_PROFILES!$G:$G,TARIFF_PROFILES!$A:$A,$X190))</f>
        <v/>
      </c>
      <c r="AC190" s="15">
        <f>IF($X190="","",SUMIFS(TARIFF_PROFILES!$H:$H,TARIFF_PROFILES!$A:$A,$X190))</f>
        <v/>
      </c>
      <c r="AD190" s="15">
        <f>IF($X190="","",INDEX(TARIFF_PROFILES!$J:$J,MATCH($X190,TARIFF_PROFILES!$A:$A,0)))</f>
        <v/>
      </c>
      <c r="AE190" s="15">
        <f>IF($X190="","",INDEX(TARIFF_PROFILES!$K:$K,MATCH($X190,TARIFF_PROFILES!$A:$A,0)))</f>
        <v/>
      </c>
      <c r="AH190">
        <f>IF($AG190="","",SUMIFS(OPERATING_COEFFS!$C:$C,OPERATING_COEFFS!$A:$A,"DistanceClass",OPERATING_COEFFS!$B:$B,$AG190))</f>
        <v/>
      </c>
      <c r="AJ190">
        <f>IF($AI190="","",SUMIFS(OPERATING_COEFFS!$C:$C,OPERATING_COEFFS!$A:$A,"SeasonClass",OPERATING_COEFFS!$B:$B,$AI190))</f>
        <v/>
      </c>
      <c r="AL190">
        <f>IF($AK190="","",SUMIFS(OPERATING_COEFFS!$C:$C,OPERATING_COEFFS!$A:$A,"UrgencyClass",OPERATING_COEFFS!$B:$B,$AK190))</f>
        <v/>
      </c>
      <c r="AN190">
        <f>IF($AM190="","",INDEX(TAX_MODES!$B:$B,MATCH($AM190,TAX_MODES!$A:$A,0)))</f>
        <v/>
      </c>
    </row>
    <row r="191">
      <c r="X191" s="15" t="n"/>
      <c r="Y191" s="15">
        <f>IF($X191="","",SUMIFS(TARIFF_PROFILES!$D:$D,TARIFF_PROFILES!$A:$A,$X191))</f>
        <v/>
      </c>
      <c r="Z191" s="15">
        <f>IF($X191="","",SUMIFS(TARIFF_PROFILES!$E:$E,TARIFF_PROFILES!$A:$A,$X191))</f>
        <v/>
      </c>
      <c r="AA191" s="15">
        <f>IF($X191="","",SUMIFS(TARIFF_PROFILES!$F:$F,TARIFF_PROFILES!$A:$A,$X191))</f>
        <v/>
      </c>
      <c r="AB191" s="15">
        <f>IF($X191="","",SUMIFS(TARIFF_PROFILES!$G:$G,TARIFF_PROFILES!$A:$A,$X191))</f>
        <v/>
      </c>
      <c r="AC191" s="15">
        <f>IF($X191="","",SUMIFS(TARIFF_PROFILES!$H:$H,TARIFF_PROFILES!$A:$A,$X191))</f>
        <v/>
      </c>
      <c r="AD191" s="15">
        <f>IF($X191="","",INDEX(TARIFF_PROFILES!$J:$J,MATCH($X191,TARIFF_PROFILES!$A:$A,0)))</f>
        <v/>
      </c>
      <c r="AE191" s="15">
        <f>IF($X191="","",INDEX(TARIFF_PROFILES!$K:$K,MATCH($X191,TARIFF_PROFILES!$A:$A,0)))</f>
        <v/>
      </c>
      <c r="AH191">
        <f>IF($AG191="","",SUMIFS(OPERATING_COEFFS!$C:$C,OPERATING_COEFFS!$A:$A,"DistanceClass",OPERATING_COEFFS!$B:$B,$AG191))</f>
        <v/>
      </c>
      <c r="AJ191">
        <f>IF($AI191="","",SUMIFS(OPERATING_COEFFS!$C:$C,OPERATING_COEFFS!$A:$A,"SeasonClass",OPERATING_COEFFS!$B:$B,$AI191))</f>
        <v/>
      </c>
      <c r="AL191">
        <f>IF($AK191="","",SUMIFS(OPERATING_COEFFS!$C:$C,OPERATING_COEFFS!$A:$A,"UrgencyClass",OPERATING_COEFFS!$B:$B,$AK191))</f>
        <v/>
      </c>
      <c r="AN191">
        <f>IF($AM191="","",INDEX(TAX_MODES!$B:$B,MATCH($AM191,TAX_MODES!$A:$A,0)))</f>
        <v/>
      </c>
    </row>
    <row r="192">
      <c r="X192" s="15" t="n"/>
      <c r="Y192" s="15">
        <f>IF($X192="","",SUMIFS(TARIFF_PROFILES!$D:$D,TARIFF_PROFILES!$A:$A,$X192))</f>
        <v/>
      </c>
      <c r="Z192" s="15">
        <f>IF($X192="","",SUMIFS(TARIFF_PROFILES!$E:$E,TARIFF_PROFILES!$A:$A,$X192))</f>
        <v/>
      </c>
      <c r="AA192" s="15">
        <f>IF($X192="","",SUMIFS(TARIFF_PROFILES!$F:$F,TARIFF_PROFILES!$A:$A,$X192))</f>
        <v/>
      </c>
      <c r="AB192" s="15">
        <f>IF($X192="","",SUMIFS(TARIFF_PROFILES!$G:$G,TARIFF_PROFILES!$A:$A,$X192))</f>
        <v/>
      </c>
      <c r="AC192" s="15">
        <f>IF($X192="","",SUMIFS(TARIFF_PROFILES!$H:$H,TARIFF_PROFILES!$A:$A,$X192))</f>
        <v/>
      </c>
      <c r="AD192" s="15">
        <f>IF($X192="","",INDEX(TARIFF_PROFILES!$J:$J,MATCH($X192,TARIFF_PROFILES!$A:$A,0)))</f>
        <v/>
      </c>
      <c r="AE192" s="15">
        <f>IF($X192="","",INDEX(TARIFF_PROFILES!$K:$K,MATCH($X192,TARIFF_PROFILES!$A:$A,0)))</f>
        <v/>
      </c>
      <c r="AH192">
        <f>IF($AG192="","",SUMIFS(OPERATING_COEFFS!$C:$C,OPERATING_COEFFS!$A:$A,"DistanceClass",OPERATING_COEFFS!$B:$B,$AG192))</f>
        <v/>
      </c>
      <c r="AJ192">
        <f>IF($AI192="","",SUMIFS(OPERATING_COEFFS!$C:$C,OPERATING_COEFFS!$A:$A,"SeasonClass",OPERATING_COEFFS!$B:$B,$AI192))</f>
        <v/>
      </c>
      <c r="AL192">
        <f>IF($AK192="","",SUMIFS(OPERATING_COEFFS!$C:$C,OPERATING_COEFFS!$A:$A,"UrgencyClass",OPERATING_COEFFS!$B:$B,$AK192))</f>
        <v/>
      </c>
      <c r="AN192">
        <f>IF($AM192="","",INDEX(TAX_MODES!$B:$B,MATCH($AM192,TAX_MODES!$A:$A,0)))</f>
        <v/>
      </c>
    </row>
    <row r="193">
      <c r="X193" s="15" t="n"/>
      <c r="Y193" s="15">
        <f>IF($X193="","",SUMIFS(TARIFF_PROFILES!$D:$D,TARIFF_PROFILES!$A:$A,$X193))</f>
        <v/>
      </c>
      <c r="Z193" s="15">
        <f>IF($X193="","",SUMIFS(TARIFF_PROFILES!$E:$E,TARIFF_PROFILES!$A:$A,$X193))</f>
        <v/>
      </c>
      <c r="AA193" s="15">
        <f>IF($X193="","",SUMIFS(TARIFF_PROFILES!$F:$F,TARIFF_PROFILES!$A:$A,$X193))</f>
        <v/>
      </c>
      <c r="AB193" s="15">
        <f>IF($X193="","",SUMIFS(TARIFF_PROFILES!$G:$G,TARIFF_PROFILES!$A:$A,$X193))</f>
        <v/>
      </c>
      <c r="AC193" s="15">
        <f>IF($X193="","",SUMIFS(TARIFF_PROFILES!$H:$H,TARIFF_PROFILES!$A:$A,$X193))</f>
        <v/>
      </c>
      <c r="AD193" s="15">
        <f>IF($X193="","",INDEX(TARIFF_PROFILES!$J:$J,MATCH($X193,TARIFF_PROFILES!$A:$A,0)))</f>
        <v/>
      </c>
      <c r="AE193" s="15">
        <f>IF($X193="","",INDEX(TARIFF_PROFILES!$K:$K,MATCH($X193,TARIFF_PROFILES!$A:$A,0)))</f>
        <v/>
      </c>
      <c r="AH193">
        <f>IF($AG193="","",SUMIFS(OPERATING_COEFFS!$C:$C,OPERATING_COEFFS!$A:$A,"DistanceClass",OPERATING_COEFFS!$B:$B,$AG193))</f>
        <v/>
      </c>
      <c r="AJ193">
        <f>IF($AI193="","",SUMIFS(OPERATING_COEFFS!$C:$C,OPERATING_COEFFS!$A:$A,"SeasonClass",OPERATING_COEFFS!$B:$B,$AI193))</f>
        <v/>
      </c>
      <c r="AL193">
        <f>IF($AK193="","",SUMIFS(OPERATING_COEFFS!$C:$C,OPERATING_COEFFS!$A:$A,"UrgencyClass",OPERATING_COEFFS!$B:$B,$AK193))</f>
        <v/>
      </c>
      <c r="AN193">
        <f>IF($AM193="","",INDEX(TAX_MODES!$B:$B,MATCH($AM193,TAX_MODES!$A:$A,0)))</f>
        <v/>
      </c>
    </row>
    <row r="194">
      <c r="X194" s="15" t="n"/>
      <c r="Y194" s="15">
        <f>IF($X194="","",SUMIFS(TARIFF_PROFILES!$D:$D,TARIFF_PROFILES!$A:$A,$X194))</f>
        <v/>
      </c>
      <c r="Z194" s="15">
        <f>IF($X194="","",SUMIFS(TARIFF_PROFILES!$E:$E,TARIFF_PROFILES!$A:$A,$X194))</f>
        <v/>
      </c>
      <c r="AA194" s="15">
        <f>IF($X194="","",SUMIFS(TARIFF_PROFILES!$F:$F,TARIFF_PROFILES!$A:$A,$X194))</f>
        <v/>
      </c>
      <c r="AB194" s="15">
        <f>IF($X194="","",SUMIFS(TARIFF_PROFILES!$G:$G,TARIFF_PROFILES!$A:$A,$X194))</f>
        <v/>
      </c>
      <c r="AC194" s="15">
        <f>IF($X194="","",SUMIFS(TARIFF_PROFILES!$H:$H,TARIFF_PROFILES!$A:$A,$X194))</f>
        <v/>
      </c>
      <c r="AD194" s="15">
        <f>IF($X194="","",INDEX(TARIFF_PROFILES!$J:$J,MATCH($X194,TARIFF_PROFILES!$A:$A,0)))</f>
        <v/>
      </c>
      <c r="AE194" s="15">
        <f>IF($X194="","",INDEX(TARIFF_PROFILES!$K:$K,MATCH($X194,TARIFF_PROFILES!$A:$A,0)))</f>
        <v/>
      </c>
      <c r="AH194">
        <f>IF($AG194="","",SUMIFS(OPERATING_COEFFS!$C:$C,OPERATING_COEFFS!$A:$A,"DistanceClass",OPERATING_COEFFS!$B:$B,$AG194))</f>
        <v/>
      </c>
      <c r="AJ194">
        <f>IF($AI194="","",SUMIFS(OPERATING_COEFFS!$C:$C,OPERATING_COEFFS!$A:$A,"SeasonClass",OPERATING_COEFFS!$B:$B,$AI194))</f>
        <v/>
      </c>
      <c r="AL194">
        <f>IF($AK194="","",SUMIFS(OPERATING_COEFFS!$C:$C,OPERATING_COEFFS!$A:$A,"UrgencyClass",OPERATING_COEFFS!$B:$B,$AK194))</f>
        <v/>
      </c>
      <c r="AN194">
        <f>IF($AM194="","",INDEX(TAX_MODES!$B:$B,MATCH($AM194,TAX_MODES!$A:$A,0)))</f>
        <v/>
      </c>
    </row>
    <row r="195">
      <c r="X195" s="15" t="n"/>
      <c r="Y195" s="15">
        <f>IF($X195="","",SUMIFS(TARIFF_PROFILES!$D:$D,TARIFF_PROFILES!$A:$A,$X195))</f>
        <v/>
      </c>
      <c r="Z195" s="15">
        <f>IF($X195="","",SUMIFS(TARIFF_PROFILES!$E:$E,TARIFF_PROFILES!$A:$A,$X195))</f>
        <v/>
      </c>
      <c r="AA195" s="15">
        <f>IF($X195="","",SUMIFS(TARIFF_PROFILES!$F:$F,TARIFF_PROFILES!$A:$A,$X195))</f>
        <v/>
      </c>
      <c r="AB195" s="15">
        <f>IF($X195="","",SUMIFS(TARIFF_PROFILES!$G:$G,TARIFF_PROFILES!$A:$A,$X195))</f>
        <v/>
      </c>
      <c r="AC195" s="15">
        <f>IF($X195="","",SUMIFS(TARIFF_PROFILES!$H:$H,TARIFF_PROFILES!$A:$A,$X195))</f>
        <v/>
      </c>
      <c r="AD195" s="15">
        <f>IF($X195="","",INDEX(TARIFF_PROFILES!$J:$J,MATCH($X195,TARIFF_PROFILES!$A:$A,0)))</f>
        <v/>
      </c>
      <c r="AE195" s="15">
        <f>IF($X195="","",INDEX(TARIFF_PROFILES!$K:$K,MATCH($X195,TARIFF_PROFILES!$A:$A,0)))</f>
        <v/>
      </c>
      <c r="AH195">
        <f>IF($AG195="","",SUMIFS(OPERATING_COEFFS!$C:$C,OPERATING_COEFFS!$A:$A,"DistanceClass",OPERATING_COEFFS!$B:$B,$AG195))</f>
        <v/>
      </c>
      <c r="AJ195">
        <f>IF($AI195="","",SUMIFS(OPERATING_COEFFS!$C:$C,OPERATING_COEFFS!$A:$A,"SeasonClass",OPERATING_COEFFS!$B:$B,$AI195))</f>
        <v/>
      </c>
      <c r="AL195">
        <f>IF($AK195="","",SUMIFS(OPERATING_COEFFS!$C:$C,OPERATING_COEFFS!$A:$A,"UrgencyClass",OPERATING_COEFFS!$B:$B,$AK195))</f>
        <v/>
      </c>
      <c r="AN195">
        <f>IF($AM195="","",INDEX(TAX_MODES!$B:$B,MATCH($AM195,TAX_MODES!$A:$A,0)))</f>
        <v/>
      </c>
    </row>
    <row r="196">
      <c r="X196" s="15" t="n"/>
      <c r="Y196" s="15">
        <f>IF($X196="","",SUMIFS(TARIFF_PROFILES!$D:$D,TARIFF_PROFILES!$A:$A,$X196))</f>
        <v/>
      </c>
      <c r="Z196" s="15">
        <f>IF($X196="","",SUMIFS(TARIFF_PROFILES!$E:$E,TARIFF_PROFILES!$A:$A,$X196))</f>
        <v/>
      </c>
      <c r="AA196" s="15">
        <f>IF($X196="","",SUMIFS(TARIFF_PROFILES!$F:$F,TARIFF_PROFILES!$A:$A,$X196))</f>
        <v/>
      </c>
      <c r="AB196" s="15">
        <f>IF($X196="","",SUMIFS(TARIFF_PROFILES!$G:$G,TARIFF_PROFILES!$A:$A,$X196))</f>
        <v/>
      </c>
      <c r="AC196" s="15">
        <f>IF($X196="","",SUMIFS(TARIFF_PROFILES!$H:$H,TARIFF_PROFILES!$A:$A,$X196))</f>
        <v/>
      </c>
      <c r="AD196" s="15">
        <f>IF($X196="","",INDEX(TARIFF_PROFILES!$J:$J,MATCH($X196,TARIFF_PROFILES!$A:$A,0)))</f>
        <v/>
      </c>
      <c r="AE196" s="15">
        <f>IF($X196="","",INDEX(TARIFF_PROFILES!$K:$K,MATCH($X196,TARIFF_PROFILES!$A:$A,0)))</f>
        <v/>
      </c>
      <c r="AH196">
        <f>IF($AG196="","",SUMIFS(OPERATING_COEFFS!$C:$C,OPERATING_COEFFS!$A:$A,"DistanceClass",OPERATING_COEFFS!$B:$B,$AG196))</f>
        <v/>
      </c>
      <c r="AJ196">
        <f>IF($AI196="","",SUMIFS(OPERATING_COEFFS!$C:$C,OPERATING_COEFFS!$A:$A,"SeasonClass",OPERATING_COEFFS!$B:$B,$AI196))</f>
        <v/>
      </c>
      <c r="AL196">
        <f>IF($AK196="","",SUMIFS(OPERATING_COEFFS!$C:$C,OPERATING_COEFFS!$A:$A,"UrgencyClass",OPERATING_COEFFS!$B:$B,$AK196))</f>
        <v/>
      </c>
      <c r="AN196">
        <f>IF($AM196="","",INDEX(TAX_MODES!$B:$B,MATCH($AM196,TAX_MODES!$A:$A,0)))</f>
        <v/>
      </c>
    </row>
    <row r="197">
      <c r="X197" s="15" t="n"/>
      <c r="Y197" s="15">
        <f>IF($X197="","",SUMIFS(TARIFF_PROFILES!$D:$D,TARIFF_PROFILES!$A:$A,$X197))</f>
        <v/>
      </c>
      <c r="Z197" s="15">
        <f>IF($X197="","",SUMIFS(TARIFF_PROFILES!$E:$E,TARIFF_PROFILES!$A:$A,$X197))</f>
        <v/>
      </c>
      <c r="AA197" s="15">
        <f>IF($X197="","",SUMIFS(TARIFF_PROFILES!$F:$F,TARIFF_PROFILES!$A:$A,$X197))</f>
        <v/>
      </c>
      <c r="AB197" s="15">
        <f>IF($X197="","",SUMIFS(TARIFF_PROFILES!$G:$G,TARIFF_PROFILES!$A:$A,$X197))</f>
        <v/>
      </c>
      <c r="AC197" s="15">
        <f>IF($X197="","",SUMIFS(TARIFF_PROFILES!$H:$H,TARIFF_PROFILES!$A:$A,$X197))</f>
        <v/>
      </c>
      <c r="AD197" s="15">
        <f>IF($X197="","",INDEX(TARIFF_PROFILES!$J:$J,MATCH($X197,TARIFF_PROFILES!$A:$A,0)))</f>
        <v/>
      </c>
      <c r="AE197" s="15">
        <f>IF($X197="","",INDEX(TARIFF_PROFILES!$K:$K,MATCH($X197,TARIFF_PROFILES!$A:$A,0)))</f>
        <v/>
      </c>
      <c r="AH197">
        <f>IF($AG197="","",SUMIFS(OPERATING_COEFFS!$C:$C,OPERATING_COEFFS!$A:$A,"DistanceClass",OPERATING_COEFFS!$B:$B,$AG197))</f>
        <v/>
      </c>
      <c r="AJ197">
        <f>IF($AI197="","",SUMIFS(OPERATING_COEFFS!$C:$C,OPERATING_COEFFS!$A:$A,"SeasonClass",OPERATING_COEFFS!$B:$B,$AI197))</f>
        <v/>
      </c>
      <c r="AL197">
        <f>IF($AK197="","",SUMIFS(OPERATING_COEFFS!$C:$C,OPERATING_COEFFS!$A:$A,"UrgencyClass",OPERATING_COEFFS!$B:$B,$AK197))</f>
        <v/>
      </c>
      <c r="AN197">
        <f>IF($AM197="","",INDEX(TAX_MODES!$B:$B,MATCH($AM197,TAX_MODES!$A:$A,0)))</f>
        <v/>
      </c>
    </row>
    <row r="198">
      <c r="X198" s="15" t="n"/>
      <c r="Y198" s="15">
        <f>IF($X198="","",SUMIFS(TARIFF_PROFILES!$D:$D,TARIFF_PROFILES!$A:$A,$X198))</f>
        <v/>
      </c>
      <c r="Z198" s="15">
        <f>IF($X198="","",SUMIFS(TARIFF_PROFILES!$E:$E,TARIFF_PROFILES!$A:$A,$X198))</f>
        <v/>
      </c>
      <c r="AA198" s="15">
        <f>IF($X198="","",SUMIFS(TARIFF_PROFILES!$F:$F,TARIFF_PROFILES!$A:$A,$X198))</f>
        <v/>
      </c>
      <c r="AB198" s="15">
        <f>IF($X198="","",SUMIFS(TARIFF_PROFILES!$G:$G,TARIFF_PROFILES!$A:$A,$X198))</f>
        <v/>
      </c>
      <c r="AC198" s="15">
        <f>IF($X198="","",SUMIFS(TARIFF_PROFILES!$H:$H,TARIFF_PROFILES!$A:$A,$X198))</f>
        <v/>
      </c>
      <c r="AD198" s="15">
        <f>IF($X198="","",INDEX(TARIFF_PROFILES!$J:$J,MATCH($X198,TARIFF_PROFILES!$A:$A,0)))</f>
        <v/>
      </c>
      <c r="AE198" s="15">
        <f>IF($X198="","",INDEX(TARIFF_PROFILES!$K:$K,MATCH($X198,TARIFF_PROFILES!$A:$A,0)))</f>
        <v/>
      </c>
      <c r="AH198">
        <f>IF($AG198="","",SUMIFS(OPERATING_COEFFS!$C:$C,OPERATING_COEFFS!$A:$A,"DistanceClass",OPERATING_COEFFS!$B:$B,$AG198))</f>
        <v/>
      </c>
      <c r="AJ198">
        <f>IF($AI198="","",SUMIFS(OPERATING_COEFFS!$C:$C,OPERATING_COEFFS!$A:$A,"SeasonClass",OPERATING_COEFFS!$B:$B,$AI198))</f>
        <v/>
      </c>
      <c r="AL198">
        <f>IF($AK198="","",SUMIFS(OPERATING_COEFFS!$C:$C,OPERATING_COEFFS!$A:$A,"UrgencyClass",OPERATING_COEFFS!$B:$B,$AK198))</f>
        <v/>
      </c>
      <c r="AN198">
        <f>IF($AM198="","",INDEX(TAX_MODES!$B:$B,MATCH($AM198,TAX_MODES!$A:$A,0)))</f>
        <v/>
      </c>
    </row>
    <row r="199">
      <c r="X199" s="15" t="n"/>
      <c r="Y199" s="15">
        <f>IF($X199="","",SUMIFS(TARIFF_PROFILES!$D:$D,TARIFF_PROFILES!$A:$A,$X199))</f>
        <v/>
      </c>
      <c r="Z199" s="15">
        <f>IF($X199="","",SUMIFS(TARIFF_PROFILES!$E:$E,TARIFF_PROFILES!$A:$A,$X199))</f>
        <v/>
      </c>
      <c r="AA199" s="15">
        <f>IF($X199="","",SUMIFS(TARIFF_PROFILES!$F:$F,TARIFF_PROFILES!$A:$A,$X199))</f>
        <v/>
      </c>
      <c r="AB199" s="15">
        <f>IF($X199="","",SUMIFS(TARIFF_PROFILES!$G:$G,TARIFF_PROFILES!$A:$A,$X199))</f>
        <v/>
      </c>
      <c r="AC199" s="15">
        <f>IF($X199="","",SUMIFS(TARIFF_PROFILES!$H:$H,TARIFF_PROFILES!$A:$A,$X199))</f>
        <v/>
      </c>
      <c r="AD199" s="15">
        <f>IF($X199="","",INDEX(TARIFF_PROFILES!$J:$J,MATCH($X199,TARIFF_PROFILES!$A:$A,0)))</f>
        <v/>
      </c>
      <c r="AE199" s="15">
        <f>IF($X199="","",INDEX(TARIFF_PROFILES!$K:$K,MATCH($X199,TARIFF_PROFILES!$A:$A,0)))</f>
        <v/>
      </c>
      <c r="AH199">
        <f>IF($AG199="","",SUMIFS(OPERATING_COEFFS!$C:$C,OPERATING_COEFFS!$A:$A,"DistanceClass",OPERATING_COEFFS!$B:$B,$AG199))</f>
        <v/>
      </c>
      <c r="AJ199">
        <f>IF($AI199="","",SUMIFS(OPERATING_COEFFS!$C:$C,OPERATING_COEFFS!$A:$A,"SeasonClass",OPERATING_COEFFS!$B:$B,$AI199))</f>
        <v/>
      </c>
      <c r="AL199">
        <f>IF($AK199="","",SUMIFS(OPERATING_COEFFS!$C:$C,OPERATING_COEFFS!$A:$A,"UrgencyClass",OPERATING_COEFFS!$B:$B,$AK199))</f>
        <v/>
      </c>
      <c r="AN199">
        <f>IF($AM199="","",INDEX(TAX_MODES!$B:$B,MATCH($AM199,TAX_MODES!$A:$A,0)))</f>
        <v/>
      </c>
    </row>
    <row r="200">
      <c r="X200" s="15" t="n"/>
      <c r="Y200" s="15">
        <f>IF($X200="","",SUMIFS(TARIFF_PROFILES!$D:$D,TARIFF_PROFILES!$A:$A,$X200))</f>
        <v/>
      </c>
      <c r="Z200" s="15">
        <f>IF($X200="","",SUMIFS(TARIFF_PROFILES!$E:$E,TARIFF_PROFILES!$A:$A,$X200))</f>
        <v/>
      </c>
      <c r="AA200" s="15">
        <f>IF($X200="","",SUMIFS(TARIFF_PROFILES!$F:$F,TARIFF_PROFILES!$A:$A,$X200))</f>
        <v/>
      </c>
      <c r="AB200" s="15">
        <f>IF($X200="","",SUMIFS(TARIFF_PROFILES!$G:$G,TARIFF_PROFILES!$A:$A,$X200))</f>
        <v/>
      </c>
      <c r="AC200" s="15">
        <f>IF($X200="","",SUMIFS(TARIFF_PROFILES!$H:$H,TARIFF_PROFILES!$A:$A,$X200))</f>
        <v/>
      </c>
      <c r="AD200" s="15">
        <f>IF($X200="","",INDEX(TARIFF_PROFILES!$J:$J,MATCH($X200,TARIFF_PROFILES!$A:$A,0)))</f>
        <v/>
      </c>
      <c r="AE200" s="15">
        <f>IF($X200="","",INDEX(TARIFF_PROFILES!$K:$K,MATCH($X200,TARIFF_PROFILES!$A:$A,0)))</f>
        <v/>
      </c>
      <c r="AH200">
        <f>IF($AG200="","",SUMIFS(OPERATING_COEFFS!$C:$C,OPERATING_COEFFS!$A:$A,"DistanceClass",OPERATING_COEFFS!$B:$B,$AG200))</f>
        <v/>
      </c>
      <c r="AJ200">
        <f>IF($AI200="","",SUMIFS(OPERATING_COEFFS!$C:$C,OPERATING_COEFFS!$A:$A,"SeasonClass",OPERATING_COEFFS!$B:$B,$AI200))</f>
        <v/>
      </c>
      <c r="AL200">
        <f>IF($AK200="","",SUMIFS(OPERATING_COEFFS!$C:$C,OPERATING_COEFFS!$A:$A,"UrgencyClass",OPERATING_COEFFS!$B:$B,$AK200))</f>
        <v/>
      </c>
      <c r="AN200">
        <f>IF($AM200="","",INDEX(TAX_MODES!$B:$B,MATCH($AM200,TAX_MODES!$A:$A,0)))</f>
        <v/>
      </c>
    </row>
    <row r="201">
      <c r="X201" s="15" t="n"/>
      <c r="Y201" s="15">
        <f>IF($X201="","",SUMIFS(TARIFF_PROFILES!$D:$D,TARIFF_PROFILES!$A:$A,$X201))</f>
        <v/>
      </c>
      <c r="Z201" s="15">
        <f>IF($X201="","",SUMIFS(TARIFF_PROFILES!$E:$E,TARIFF_PROFILES!$A:$A,$X201))</f>
        <v/>
      </c>
      <c r="AA201" s="15">
        <f>IF($X201="","",SUMIFS(TARIFF_PROFILES!$F:$F,TARIFF_PROFILES!$A:$A,$X201))</f>
        <v/>
      </c>
      <c r="AB201" s="15">
        <f>IF($X201="","",SUMIFS(TARIFF_PROFILES!$G:$G,TARIFF_PROFILES!$A:$A,$X201))</f>
        <v/>
      </c>
      <c r="AC201" s="15">
        <f>IF($X201="","",SUMIFS(TARIFF_PROFILES!$H:$H,TARIFF_PROFILES!$A:$A,$X201))</f>
        <v/>
      </c>
      <c r="AD201" s="15">
        <f>IF($X201="","",INDEX(TARIFF_PROFILES!$J:$J,MATCH($X201,TARIFF_PROFILES!$A:$A,0)))</f>
        <v/>
      </c>
      <c r="AE201" s="15">
        <f>IF($X201="","",INDEX(TARIFF_PROFILES!$K:$K,MATCH($X201,TARIFF_PROFILES!$A:$A,0)))</f>
        <v/>
      </c>
      <c r="AH201">
        <f>IF($AG201="","",SUMIFS(OPERATING_COEFFS!$C:$C,OPERATING_COEFFS!$A:$A,"DistanceClass",OPERATING_COEFFS!$B:$B,$AG201))</f>
        <v/>
      </c>
      <c r="AJ201">
        <f>IF($AI201="","",SUMIFS(OPERATING_COEFFS!$C:$C,OPERATING_COEFFS!$A:$A,"SeasonClass",OPERATING_COEFFS!$B:$B,$AI201))</f>
        <v/>
      </c>
      <c r="AL201">
        <f>IF($AK201="","",SUMIFS(OPERATING_COEFFS!$C:$C,OPERATING_COEFFS!$A:$A,"UrgencyClass",OPERATING_COEFFS!$B:$B,$AK201))</f>
        <v/>
      </c>
      <c r="AN201">
        <f>IF($AM201="","",INDEX(TAX_MODES!$B:$B,MATCH($AM201,TAX_MODES!$A:$A,0)))</f>
        <v/>
      </c>
    </row>
    <row r="202">
      <c r="X202" s="15" t="n"/>
      <c r="Y202" s="15">
        <f>IF($X202="","",SUMIFS(TARIFF_PROFILES!$D:$D,TARIFF_PROFILES!$A:$A,$X202))</f>
        <v/>
      </c>
      <c r="Z202" s="15">
        <f>IF($X202="","",SUMIFS(TARIFF_PROFILES!$E:$E,TARIFF_PROFILES!$A:$A,$X202))</f>
        <v/>
      </c>
      <c r="AA202" s="15">
        <f>IF($X202="","",SUMIFS(TARIFF_PROFILES!$F:$F,TARIFF_PROFILES!$A:$A,$X202))</f>
        <v/>
      </c>
      <c r="AB202" s="15">
        <f>IF($X202="","",SUMIFS(TARIFF_PROFILES!$G:$G,TARIFF_PROFILES!$A:$A,$X202))</f>
        <v/>
      </c>
      <c r="AC202" s="15">
        <f>IF($X202="","",SUMIFS(TARIFF_PROFILES!$H:$H,TARIFF_PROFILES!$A:$A,$X202))</f>
        <v/>
      </c>
      <c r="AD202" s="15">
        <f>IF($X202="","",INDEX(TARIFF_PROFILES!$J:$J,MATCH($X202,TARIFF_PROFILES!$A:$A,0)))</f>
        <v/>
      </c>
      <c r="AE202" s="15">
        <f>IF($X202="","",INDEX(TARIFF_PROFILES!$K:$K,MATCH($X202,TARIFF_PROFILES!$A:$A,0)))</f>
        <v/>
      </c>
      <c r="AH202">
        <f>IF($AG202="","",SUMIFS(OPERATING_COEFFS!$C:$C,OPERATING_COEFFS!$A:$A,"DistanceClass",OPERATING_COEFFS!$B:$B,$AG202))</f>
        <v/>
      </c>
      <c r="AJ202">
        <f>IF($AI202="","",SUMIFS(OPERATING_COEFFS!$C:$C,OPERATING_COEFFS!$A:$A,"SeasonClass",OPERATING_COEFFS!$B:$B,$AI202))</f>
        <v/>
      </c>
      <c r="AL202">
        <f>IF($AK202="","",SUMIFS(OPERATING_COEFFS!$C:$C,OPERATING_COEFFS!$A:$A,"UrgencyClass",OPERATING_COEFFS!$B:$B,$AK202))</f>
        <v/>
      </c>
      <c r="AN202">
        <f>IF($AM202="","",INDEX(TAX_MODES!$B:$B,MATCH($AM202,TAX_MODES!$A:$A,0)))</f>
        <v/>
      </c>
    </row>
    <row r="203">
      <c r="X203" s="15" t="n"/>
      <c r="Y203" s="15">
        <f>IF($X203="","",SUMIFS(TARIFF_PROFILES!$D:$D,TARIFF_PROFILES!$A:$A,$X203))</f>
        <v/>
      </c>
      <c r="Z203" s="15">
        <f>IF($X203="","",SUMIFS(TARIFF_PROFILES!$E:$E,TARIFF_PROFILES!$A:$A,$X203))</f>
        <v/>
      </c>
      <c r="AA203" s="15">
        <f>IF($X203="","",SUMIFS(TARIFF_PROFILES!$F:$F,TARIFF_PROFILES!$A:$A,$X203))</f>
        <v/>
      </c>
      <c r="AB203" s="15">
        <f>IF($X203="","",SUMIFS(TARIFF_PROFILES!$G:$G,TARIFF_PROFILES!$A:$A,$X203))</f>
        <v/>
      </c>
      <c r="AC203" s="15">
        <f>IF($X203="","",SUMIFS(TARIFF_PROFILES!$H:$H,TARIFF_PROFILES!$A:$A,$X203))</f>
        <v/>
      </c>
      <c r="AD203" s="15">
        <f>IF($X203="","",INDEX(TARIFF_PROFILES!$J:$J,MATCH($X203,TARIFF_PROFILES!$A:$A,0)))</f>
        <v/>
      </c>
      <c r="AE203" s="15">
        <f>IF($X203="","",INDEX(TARIFF_PROFILES!$K:$K,MATCH($X203,TARIFF_PROFILES!$A:$A,0)))</f>
        <v/>
      </c>
      <c r="AH203">
        <f>IF($AG203="","",SUMIFS(OPERATING_COEFFS!$C:$C,OPERATING_COEFFS!$A:$A,"DistanceClass",OPERATING_COEFFS!$B:$B,$AG203))</f>
        <v/>
      </c>
      <c r="AJ203">
        <f>IF($AI203="","",SUMIFS(OPERATING_COEFFS!$C:$C,OPERATING_COEFFS!$A:$A,"SeasonClass",OPERATING_COEFFS!$B:$B,$AI203))</f>
        <v/>
      </c>
      <c r="AL203">
        <f>IF($AK203="","",SUMIFS(OPERATING_COEFFS!$C:$C,OPERATING_COEFFS!$A:$A,"UrgencyClass",OPERATING_COEFFS!$B:$B,$AK203))</f>
        <v/>
      </c>
      <c r="AN203">
        <f>IF($AM203="","",INDEX(TAX_MODES!$B:$B,MATCH($AM203,TAX_MODES!$A:$A,0)))</f>
        <v/>
      </c>
    </row>
    <row r="204">
      <c r="X204" s="15" t="n"/>
      <c r="Y204" s="15">
        <f>IF($X204="","",SUMIFS(TARIFF_PROFILES!$D:$D,TARIFF_PROFILES!$A:$A,$X204))</f>
        <v/>
      </c>
      <c r="Z204" s="15">
        <f>IF($X204="","",SUMIFS(TARIFF_PROFILES!$E:$E,TARIFF_PROFILES!$A:$A,$X204))</f>
        <v/>
      </c>
      <c r="AA204" s="15">
        <f>IF($X204="","",SUMIFS(TARIFF_PROFILES!$F:$F,TARIFF_PROFILES!$A:$A,$X204))</f>
        <v/>
      </c>
      <c r="AB204" s="15">
        <f>IF($X204="","",SUMIFS(TARIFF_PROFILES!$G:$G,TARIFF_PROFILES!$A:$A,$X204))</f>
        <v/>
      </c>
      <c r="AC204" s="15">
        <f>IF($X204="","",SUMIFS(TARIFF_PROFILES!$H:$H,TARIFF_PROFILES!$A:$A,$X204))</f>
        <v/>
      </c>
      <c r="AD204" s="15">
        <f>IF($X204="","",INDEX(TARIFF_PROFILES!$J:$J,MATCH($X204,TARIFF_PROFILES!$A:$A,0)))</f>
        <v/>
      </c>
      <c r="AE204" s="15">
        <f>IF($X204="","",INDEX(TARIFF_PROFILES!$K:$K,MATCH($X204,TARIFF_PROFILES!$A:$A,0)))</f>
        <v/>
      </c>
      <c r="AH204">
        <f>IF($AG204="","",SUMIFS(OPERATING_COEFFS!$C:$C,OPERATING_COEFFS!$A:$A,"DistanceClass",OPERATING_COEFFS!$B:$B,$AG204))</f>
        <v/>
      </c>
      <c r="AJ204">
        <f>IF($AI204="","",SUMIFS(OPERATING_COEFFS!$C:$C,OPERATING_COEFFS!$A:$A,"SeasonClass",OPERATING_COEFFS!$B:$B,$AI204))</f>
        <v/>
      </c>
      <c r="AL204">
        <f>IF($AK204="","",SUMIFS(OPERATING_COEFFS!$C:$C,OPERATING_COEFFS!$A:$A,"UrgencyClass",OPERATING_COEFFS!$B:$B,$AK204))</f>
        <v/>
      </c>
      <c r="AN204">
        <f>IF($AM204="","",INDEX(TAX_MODES!$B:$B,MATCH($AM204,TAX_MODES!$A:$A,0)))</f>
        <v/>
      </c>
    </row>
    <row r="205">
      <c r="X205" s="15" t="n"/>
      <c r="Y205" s="15">
        <f>IF($X205="","",SUMIFS(TARIFF_PROFILES!$D:$D,TARIFF_PROFILES!$A:$A,$X205))</f>
        <v/>
      </c>
      <c r="Z205" s="15">
        <f>IF($X205="","",SUMIFS(TARIFF_PROFILES!$E:$E,TARIFF_PROFILES!$A:$A,$X205))</f>
        <v/>
      </c>
      <c r="AA205" s="15">
        <f>IF($X205="","",SUMIFS(TARIFF_PROFILES!$F:$F,TARIFF_PROFILES!$A:$A,$X205))</f>
        <v/>
      </c>
      <c r="AB205" s="15">
        <f>IF($X205="","",SUMIFS(TARIFF_PROFILES!$G:$G,TARIFF_PROFILES!$A:$A,$X205))</f>
        <v/>
      </c>
      <c r="AC205" s="15">
        <f>IF($X205="","",SUMIFS(TARIFF_PROFILES!$H:$H,TARIFF_PROFILES!$A:$A,$X205))</f>
        <v/>
      </c>
      <c r="AD205" s="15">
        <f>IF($X205="","",INDEX(TARIFF_PROFILES!$J:$J,MATCH($X205,TARIFF_PROFILES!$A:$A,0)))</f>
        <v/>
      </c>
      <c r="AE205" s="15">
        <f>IF($X205="","",INDEX(TARIFF_PROFILES!$K:$K,MATCH($X205,TARIFF_PROFILES!$A:$A,0)))</f>
        <v/>
      </c>
      <c r="AH205">
        <f>IF($AG205="","",SUMIFS(OPERATING_COEFFS!$C:$C,OPERATING_COEFFS!$A:$A,"DistanceClass",OPERATING_COEFFS!$B:$B,$AG205))</f>
        <v/>
      </c>
      <c r="AJ205">
        <f>IF($AI205="","",SUMIFS(OPERATING_COEFFS!$C:$C,OPERATING_COEFFS!$A:$A,"SeasonClass",OPERATING_COEFFS!$B:$B,$AI205))</f>
        <v/>
      </c>
      <c r="AL205">
        <f>IF($AK205="","",SUMIFS(OPERATING_COEFFS!$C:$C,OPERATING_COEFFS!$A:$A,"UrgencyClass",OPERATING_COEFFS!$B:$B,$AK205))</f>
        <v/>
      </c>
      <c r="AN205">
        <f>IF($AM205="","",INDEX(TAX_MODES!$B:$B,MATCH($AM205,TAX_MODES!$A:$A,0)))</f>
        <v/>
      </c>
    </row>
    <row r="206">
      <c r="X206" s="15" t="n"/>
      <c r="Y206" s="15">
        <f>IF($X206="","",SUMIFS(TARIFF_PROFILES!$D:$D,TARIFF_PROFILES!$A:$A,$X206))</f>
        <v/>
      </c>
      <c r="Z206" s="15">
        <f>IF($X206="","",SUMIFS(TARIFF_PROFILES!$E:$E,TARIFF_PROFILES!$A:$A,$X206))</f>
        <v/>
      </c>
      <c r="AA206" s="15">
        <f>IF($X206="","",SUMIFS(TARIFF_PROFILES!$F:$F,TARIFF_PROFILES!$A:$A,$X206))</f>
        <v/>
      </c>
      <c r="AB206" s="15">
        <f>IF($X206="","",SUMIFS(TARIFF_PROFILES!$G:$G,TARIFF_PROFILES!$A:$A,$X206))</f>
        <v/>
      </c>
      <c r="AC206" s="15">
        <f>IF($X206="","",SUMIFS(TARIFF_PROFILES!$H:$H,TARIFF_PROFILES!$A:$A,$X206))</f>
        <v/>
      </c>
      <c r="AD206" s="15">
        <f>IF($X206="","",INDEX(TARIFF_PROFILES!$J:$J,MATCH($X206,TARIFF_PROFILES!$A:$A,0)))</f>
        <v/>
      </c>
      <c r="AE206" s="15">
        <f>IF($X206="","",INDEX(TARIFF_PROFILES!$K:$K,MATCH($X206,TARIFF_PROFILES!$A:$A,0)))</f>
        <v/>
      </c>
      <c r="AH206">
        <f>IF($AG206="","",SUMIFS(OPERATING_COEFFS!$C:$C,OPERATING_COEFFS!$A:$A,"DistanceClass",OPERATING_COEFFS!$B:$B,$AG206))</f>
        <v/>
      </c>
      <c r="AJ206">
        <f>IF($AI206="","",SUMIFS(OPERATING_COEFFS!$C:$C,OPERATING_COEFFS!$A:$A,"SeasonClass",OPERATING_COEFFS!$B:$B,$AI206))</f>
        <v/>
      </c>
      <c r="AL206">
        <f>IF($AK206="","",SUMIFS(OPERATING_COEFFS!$C:$C,OPERATING_COEFFS!$A:$A,"UrgencyClass",OPERATING_COEFFS!$B:$B,$AK206))</f>
        <v/>
      </c>
      <c r="AN206">
        <f>IF($AM206="","",INDEX(TAX_MODES!$B:$B,MATCH($AM206,TAX_MODES!$A:$A,0)))</f>
        <v/>
      </c>
    </row>
    <row r="207">
      <c r="X207" s="15" t="n"/>
      <c r="Y207" s="15">
        <f>IF($X207="","",SUMIFS(TARIFF_PROFILES!$D:$D,TARIFF_PROFILES!$A:$A,$X207))</f>
        <v/>
      </c>
      <c r="Z207" s="15">
        <f>IF($X207="","",SUMIFS(TARIFF_PROFILES!$E:$E,TARIFF_PROFILES!$A:$A,$X207))</f>
        <v/>
      </c>
      <c r="AA207" s="15">
        <f>IF($X207="","",SUMIFS(TARIFF_PROFILES!$F:$F,TARIFF_PROFILES!$A:$A,$X207))</f>
        <v/>
      </c>
      <c r="AB207" s="15">
        <f>IF($X207="","",SUMIFS(TARIFF_PROFILES!$G:$G,TARIFF_PROFILES!$A:$A,$X207))</f>
        <v/>
      </c>
      <c r="AC207" s="15">
        <f>IF($X207="","",SUMIFS(TARIFF_PROFILES!$H:$H,TARIFF_PROFILES!$A:$A,$X207))</f>
        <v/>
      </c>
      <c r="AD207" s="15">
        <f>IF($X207="","",INDEX(TARIFF_PROFILES!$J:$J,MATCH($X207,TARIFF_PROFILES!$A:$A,0)))</f>
        <v/>
      </c>
      <c r="AE207" s="15">
        <f>IF($X207="","",INDEX(TARIFF_PROFILES!$K:$K,MATCH($X207,TARIFF_PROFILES!$A:$A,0)))</f>
        <v/>
      </c>
      <c r="AH207">
        <f>IF($AG207="","",SUMIFS(OPERATING_COEFFS!$C:$C,OPERATING_COEFFS!$A:$A,"DistanceClass",OPERATING_COEFFS!$B:$B,$AG207))</f>
        <v/>
      </c>
      <c r="AJ207">
        <f>IF($AI207="","",SUMIFS(OPERATING_COEFFS!$C:$C,OPERATING_COEFFS!$A:$A,"SeasonClass",OPERATING_COEFFS!$B:$B,$AI207))</f>
        <v/>
      </c>
      <c r="AL207">
        <f>IF($AK207="","",SUMIFS(OPERATING_COEFFS!$C:$C,OPERATING_COEFFS!$A:$A,"UrgencyClass",OPERATING_COEFFS!$B:$B,$AK207))</f>
        <v/>
      </c>
      <c r="AN207">
        <f>IF($AM207="","",INDEX(TAX_MODES!$B:$B,MATCH($AM207,TAX_MODES!$A:$A,0)))</f>
        <v/>
      </c>
    </row>
    <row r="208">
      <c r="X208" s="15" t="n"/>
      <c r="Y208" s="15">
        <f>IF($X208="","",SUMIFS(TARIFF_PROFILES!$D:$D,TARIFF_PROFILES!$A:$A,$X208))</f>
        <v/>
      </c>
      <c r="Z208" s="15">
        <f>IF($X208="","",SUMIFS(TARIFF_PROFILES!$E:$E,TARIFF_PROFILES!$A:$A,$X208))</f>
        <v/>
      </c>
      <c r="AA208" s="15">
        <f>IF($X208="","",SUMIFS(TARIFF_PROFILES!$F:$F,TARIFF_PROFILES!$A:$A,$X208))</f>
        <v/>
      </c>
      <c r="AB208" s="15">
        <f>IF($X208="","",SUMIFS(TARIFF_PROFILES!$G:$G,TARIFF_PROFILES!$A:$A,$X208))</f>
        <v/>
      </c>
      <c r="AC208" s="15">
        <f>IF($X208="","",SUMIFS(TARIFF_PROFILES!$H:$H,TARIFF_PROFILES!$A:$A,$X208))</f>
        <v/>
      </c>
      <c r="AD208" s="15">
        <f>IF($X208="","",INDEX(TARIFF_PROFILES!$J:$J,MATCH($X208,TARIFF_PROFILES!$A:$A,0)))</f>
        <v/>
      </c>
      <c r="AE208" s="15">
        <f>IF($X208="","",INDEX(TARIFF_PROFILES!$K:$K,MATCH($X208,TARIFF_PROFILES!$A:$A,0)))</f>
        <v/>
      </c>
      <c r="AH208">
        <f>IF($AG208="","",SUMIFS(OPERATING_COEFFS!$C:$C,OPERATING_COEFFS!$A:$A,"DistanceClass",OPERATING_COEFFS!$B:$B,$AG208))</f>
        <v/>
      </c>
      <c r="AJ208">
        <f>IF($AI208="","",SUMIFS(OPERATING_COEFFS!$C:$C,OPERATING_COEFFS!$A:$A,"SeasonClass",OPERATING_COEFFS!$B:$B,$AI208))</f>
        <v/>
      </c>
      <c r="AL208">
        <f>IF($AK208="","",SUMIFS(OPERATING_COEFFS!$C:$C,OPERATING_COEFFS!$A:$A,"UrgencyClass",OPERATING_COEFFS!$B:$B,$AK208))</f>
        <v/>
      </c>
      <c r="AN208">
        <f>IF($AM208="","",INDEX(TAX_MODES!$B:$B,MATCH($AM208,TAX_MODES!$A:$A,0)))</f>
        <v/>
      </c>
    </row>
    <row r="209">
      <c r="X209" s="15" t="n"/>
      <c r="Y209" s="15">
        <f>IF($X209="","",SUMIFS(TARIFF_PROFILES!$D:$D,TARIFF_PROFILES!$A:$A,$X209))</f>
        <v/>
      </c>
      <c r="Z209" s="15">
        <f>IF($X209="","",SUMIFS(TARIFF_PROFILES!$E:$E,TARIFF_PROFILES!$A:$A,$X209))</f>
        <v/>
      </c>
      <c r="AA209" s="15">
        <f>IF($X209="","",SUMIFS(TARIFF_PROFILES!$F:$F,TARIFF_PROFILES!$A:$A,$X209))</f>
        <v/>
      </c>
      <c r="AB209" s="15">
        <f>IF($X209="","",SUMIFS(TARIFF_PROFILES!$G:$G,TARIFF_PROFILES!$A:$A,$X209))</f>
        <v/>
      </c>
      <c r="AC209" s="15">
        <f>IF($X209="","",SUMIFS(TARIFF_PROFILES!$H:$H,TARIFF_PROFILES!$A:$A,$X209))</f>
        <v/>
      </c>
      <c r="AD209" s="15">
        <f>IF($X209="","",INDEX(TARIFF_PROFILES!$J:$J,MATCH($X209,TARIFF_PROFILES!$A:$A,0)))</f>
        <v/>
      </c>
      <c r="AE209" s="15">
        <f>IF($X209="","",INDEX(TARIFF_PROFILES!$K:$K,MATCH($X209,TARIFF_PROFILES!$A:$A,0)))</f>
        <v/>
      </c>
      <c r="AH209">
        <f>IF($AG209="","",SUMIFS(OPERATING_COEFFS!$C:$C,OPERATING_COEFFS!$A:$A,"DistanceClass",OPERATING_COEFFS!$B:$B,$AG209))</f>
        <v/>
      </c>
      <c r="AJ209">
        <f>IF($AI209="","",SUMIFS(OPERATING_COEFFS!$C:$C,OPERATING_COEFFS!$A:$A,"SeasonClass",OPERATING_COEFFS!$B:$B,$AI209))</f>
        <v/>
      </c>
      <c r="AL209">
        <f>IF($AK209="","",SUMIFS(OPERATING_COEFFS!$C:$C,OPERATING_COEFFS!$A:$A,"UrgencyClass",OPERATING_COEFFS!$B:$B,$AK209))</f>
        <v/>
      </c>
      <c r="AN209">
        <f>IF($AM209="","",INDEX(TAX_MODES!$B:$B,MATCH($AM209,TAX_MODES!$A:$A,0)))</f>
        <v/>
      </c>
    </row>
    <row r="210">
      <c r="X210" s="15" t="n"/>
      <c r="Y210" s="15">
        <f>IF($X210="","",SUMIFS(TARIFF_PROFILES!$D:$D,TARIFF_PROFILES!$A:$A,$X210))</f>
        <v/>
      </c>
      <c r="Z210" s="15">
        <f>IF($X210="","",SUMIFS(TARIFF_PROFILES!$E:$E,TARIFF_PROFILES!$A:$A,$X210))</f>
        <v/>
      </c>
      <c r="AA210" s="15">
        <f>IF($X210="","",SUMIFS(TARIFF_PROFILES!$F:$F,TARIFF_PROFILES!$A:$A,$X210))</f>
        <v/>
      </c>
      <c r="AB210" s="15">
        <f>IF($X210="","",SUMIFS(TARIFF_PROFILES!$G:$G,TARIFF_PROFILES!$A:$A,$X210))</f>
        <v/>
      </c>
      <c r="AC210" s="15">
        <f>IF($X210="","",SUMIFS(TARIFF_PROFILES!$H:$H,TARIFF_PROFILES!$A:$A,$X210))</f>
        <v/>
      </c>
      <c r="AD210" s="15">
        <f>IF($X210="","",INDEX(TARIFF_PROFILES!$J:$J,MATCH($X210,TARIFF_PROFILES!$A:$A,0)))</f>
        <v/>
      </c>
      <c r="AE210" s="15">
        <f>IF($X210="","",INDEX(TARIFF_PROFILES!$K:$K,MATCH($X210,TARIFF_PROFILES!$A:$A,0)))</f>
        <v/>
      </c>
      <c r="AH210">
        <f>IF($AG210="","",SUMIFS(OPERATING_COEFFS!$C:$C,OPERATING_COEFFS!$A:$A,"DistanceClass",OPERATING_COEFFS!$B:$B,$AG210))</f>
        <v/>
      </c>
      <c r="AJ210">
        <f>IF($AI210="","",SUMIFS(OPERATING_COEFFS!$C:$C,OPERATING_COEFFS!$A:$A,"SeasonClass",OPERATING_COEFFS!$B:$B,$AI210))</f>
        <v/>
      </c>
      <c r="AL210">
        <f>IF($AK210="","",SUMIFS(OPERATING_COEFFS!$C:$C,OPERATING_COEFFS!$A:$A,"UrgencyClass",OPERATING_COEFFS!$B:$B,$AK210))</f>
        <v/>
      </c>
      <c r="AN210">
        <f>IF($AM210="","",INDEX(TAX_MODES!$B:$B,MATCH($AM210,TAX_MODES!$A:$A,0)))</f>
        <v/>
      </c>
    </row>
    <row r="211">
      <c r="X211" s="15" t="n"/>
      <c r="Y211" s="15">
        <f>IF($X211="","",SUMIFS(TARIFF_PROFILES!$D:$D,TARIFF_PROFILES!$A:$A,$X211))</f>
        <v/>
      </c>
      <c r="Z211" s="15">
        <f>IF($X211="","",SUMIFS(TARIFF_PROFILES!$E:$E,TARIFF_PROFILES!$A:$A,$X211))</f>
        <v/>
      </c>
      <c r="AA211" s="15">
        <f>IF($X211="","",SUMIFS(TARIFF_PROFILES!$F:$F,TARIFF_PROFILES!$A:$A,$X211))</f>
        <v/>
      </c>
      <c r="AB211" s="15">
        <f>IF($X211="","",SUMIFS(TARIFF_PROFILES!$G:$G,TARIFF_PROFILES!$A:$A,$X211))</f>
        <v/>
      </c>
      <c r="AC211" s="15">
        <f>IF($X211="","",SUMIFS(TARIFF_PROFILES!$H:$H,TARIFF_PROFILES!$A:$A,$X211))</f>
        <v/>
      </c>
      <c r="AD211" s="15">
        <f>IF($X211="","",INDEX(TARIFF_PROFILES!$J:$J,MATCH($X211,TARIFF_PROFILES!$A:$A,0)))</f>
        <v/>
      </c>
      <c r="AE211" s="15">
        <f>IF($X211="","",INDEX(TARIFF_PROFILES!$K:$K,MATCH($X211,TARIFF_PROFILES!$A:$A,0)))</f>
        <v/>
      </c>
      <c r="AH211">
        <f>IF($AG211="","",SUMIFS(OPERATING_COEFFS!$C:$C,OPERATING_COEFFS!$A:$A,"DistanceClass",OPERATING_COEFFS!$B:$B,$AG211))</f>
        <v/>
      </c>
      <c r="AJ211">
        <f>IF($AI211="","",SUMIFS(OPERATING_COEFFS!$C:$C,OPERATING_COEFFS!$A:$A,"SeasonClass",OPERATING_COEFFS!$B:$B,$AI211))</f>
        <v/>
      </c>
      <c r="AL211">
        <f>IF($AK211="","",SUMIFS(OPERATING_COEFFS!$C:$C,OPERATING_COEFFS!$A:$A,"UrgencyClass",OPERATING_COEFFS!$B:$B,$AK211))</f>
        <v/>
      </c>
      <c r="AN211">
        <f>IF($AM211="","",INDEX(TAX_MODES!$B:$B,MATCH($AM211,TAX_MODES!$A:$A,0)))</f>
        <v/>
      </c>
    </row>
    <row r="212">
      <c r="X212" s="15" t="n"/>
      <c r="Y212" s="15">
        <f>IF($X212="","",SUMIFS(TARIFF_PROFILES!$D:$D,TARIFF_PROFILES!$A:$A,$X212))</f>
        <v/>
      </c>
      <c r="Z212" s="15">
        <f>IF($X212="","",SUMIFS(TARIFF_PROFILES!$E:$E,TARIFF_PROFILES!$A:$A,$X212))</f>
        <v/>
      </c>
      <c r="AA212" s="15">
        <f>IF($X212="","",SUMIFS(TARIFF_PROFILES!$F:$F,TARIFF_PROFILES!$A:$A,$X212))</f>
        <v/>
      </c>
      <c r="AB212" s="15">
        <f>IF($X212="","",SUMIFS(TARIFF_PROFILES!$G:$G,TARIFF_PROFILES!$A:$A,$X212))</f>
        <v/>
      </c>
      <c r="AC212" s="15">
        <f>IF($X212="","",SUMIFS(TARIFF_PROFILES!$H:$H,TARIFF_PROFILES!$A:$A,$X212))</f>
        <v/>
      </c>
      <c r="AD212" s="15">
        <f>IF($X212="","",INDEX(TARIFF_PROFILES!$J:$J,MATCH($X212,TARIFF_PROFILES!$A:$A,0)))</f>
        <v/>
      </c>
      <c r="AE212" s="15">
        <f>IF($X212="","",INDEX(TARIFF_PROFILES!$K:$K,MATCH($X212,TARIFF_PROFILES!$A:$A,0)))</f>
        <v/>
      </c>
      <c r="AH212">
        <f>IF($AG212="","",SUMIFS(OPERATING_COEFFS!$C:$C,OPERATING_COEFFS!$A:$A,"DistanceClass",OPERATING_COEFFS!$B:$B,$AG212))</f>
        <v/>
      </c>
      <c r="AJ212">
        <f>IF($AI212="","",SUMIFS(OPERATING_COEFFS!$C:$C,OPERATING_COEFFS!$A:$A,"SeasonClass",OPERATING_COEFFS!$B:$B,$AI212))</f>
        <v/>
      </c>
      <c r="AL212">
        <f>IF($AK212="","",SUMIFS(OPERATING_COEFFS!$C:$C,OPERATING_COEFFS!$A:$A,"UrgencyClass",OPERATING_COEFFS!$B:$B,$AK212))</f>
        <v/>
      </c>
      <c r="AN212">
        <f>IF($AM212="","",INDEX(TAX_MODES!$B:$B,MATCH($AM212,TAX_MODES!$A:$A,0)))</f>
        <v/>
      </c>
    </row>
    <row r="213">
      <c r="X213" s="15" t="n"/>
      <c r="Y213" s="15">
        <f>IF($X213="","",SUMIFS(TARIFF_PROFILES!$D:$D,TARIFF_PROFILES!$A:$A,$X213))</f>
        <v/>
      </c>
      <c r="Z213" s="15">
        <f>IF($X213="","",SUMIFS(TARIFF_PROFILES!$E:$E,TARIFF_PROFILES!$A:$A,$X213))</f>
        <v/>
      </c>
      <c r="AA213" s="15">
        <f>IF($X213="","",SUMIFS(TARIFF_PROFILES!$F:$F,TARIFF_PROFILES!$A:$A,$X213))</f>
        <v/>
      </c>
      <c r="AB213" s="15">
        <f>IF($X213="","",SUMIFS(TARIFF_PROFILES!$G:$G,TARIFF_PROFILES!$A:$A,$X213))</f>
        <v/>
      </c>
      <c r="AC213" s="15">
        <f>IF($X213="","",SUMIFS(TARIFF_PROFILES!$H:$H,TARIFF_PROFILES!$A:$A,$X213))</f>
        <v/>
      </c>
      <c r="AD213" s="15">
        <f>IF($X213="","",INDEX(TARIFF_PROFILES!$J:$J,MATCH($X213,TARIFF_PROFILES!$A:$A,0)))</f>
        <v/>
      </c>
      <c r="AE213" s="15">
        <f>IF($X213="","",INDEX(TARIFF_PROFILES!$K:$K,MATCH($X213,TARIFF_PROFILES!$A:$A,0)))</f>
        <v/>
      </c>
      <c r="AH213">
        <f>IF($AG213="","",SUMIFS(OPERATING_COEFFS!$C:$C,OPERATING_COEFFS!$A:$A,"DistanceClass",OPERATING_COEFFS!$B:$B,$AG213))</f>
        <v/>
      </c>
      <c r="AJ213">
        <f>IF($AI213="","",SUMIFS(OPERATING_COEFFS!$C:$C,OPERATING_COEFFS!$A:$A,"SeasonClass",OPERATING_COEFFS!$B:$B,$AI213))</f>
        <v/>
      </c>
      <c r="AL213">
        <f>IF($AK213="","",SUMIFS(OPERATING_COEFFS!$C:$C,OPERATING_COEFFS!$A:$A,"UrgencyClass",OPERATING_COEFFS!$B:$B,$AK213))</f>
        <v/>
      </c>
      <c r="AN213">
        <f>IF($AM213="","",INDEX(TAX_MODES!$B:$B,MATCH($AM213,TAX_MODES!$A:$A,0)))</f>
        <v/>
      </c>
    </row>
    <row r="214">
      <c r="X214" s="15" t="n"/>
      <c r="Y214" s="15">
        <f>IF($X214="","",SUMIFS(TARIFF_PROFILES!$D:$D,TARIFF_PROFILES!$A:$A,$X214))</f>
        <v/>
      </c>
      <c r="Z214" s="15">
        <f>IF($X214="","",SUMIFS(TARIFF_PROFILES!$E:$E,TARIFF_PROFILES!$A:$A,$X214))</f>
        <v/>
      </c>
      <c r="AA214" s="15">
        <f>IF($X214="","",SUMIFS(TARIFF_PROFILES!$F:$F,TARIFF_PROFILES!$A:$A,$X214))</f>
        <v/>
      </c>
      <c r="AB214" s="15">
        <f>IF($X214="","",SUMIFS(TARIFF_PROFILES!$G:$G,TARIFF_PROFILES!$A:$A,$X214))</f>
        <v/>
      </c>
      <c r="AC214" s="15">
        <f>IF($X214="","",SUMIFS(TARIFF_PROFILES!$H:$H,TARIFF_PROFILES!$A:$A,$X214))</f>
        <v/>
      </c>
      <c r="AD214" s="15">
        <f>IF($X214="","",INDEX(TARIFF_PROFILES!$J:$J,MATCH($X214,TARIFF_PROFILES!$A:$A,0)))</f>
        <v/>
      </c>
      <c r="AE214" s="15">
        <f>IF($X214="","",INDEX(TARIFF_PROFILES!$K:$K,MATCH($X214,TARIFF_PROFILES!$A:$A,0)))</f>
        <v/>
      </c>
      <c r="AH214">
        <f>IF($AG214="","",SUMIFS(OPERATING_COEFFS!$C:$C,OPERATING_COEFFS!$A:$A,"DistanceClass",OPERATING_COEFFS!$B:$B,$AG214))</f>
        <v/>
      </c>
      <c r="AJ214">
        <f>IF($AI214="","",SUMIFS(OPERATING_COEFFS!$C:$C,OPERATING_COEFFS!$A:$A,"SeasonClass",OPERATING_COEFFS!$B:$B,$AI214))</f>
        <v/>
      </c>
      <c r="AL214">
        <f>IF($AK214="","",SUMIFS(OPERATING_COEFFS!$C:$C,OPERATING_COEFFS!$A:$A,"UrgencyClass",OPERATING_COEFFS!$B:$B,$AK214))</f>
        <v/>
      </c>
      <c r="AN214">
        <f>IF($AM214="","",INDEX(TAX_MODES!$B:$B,MATCH($AM214,TAX_MODES!$A:$A,0)))</f>
        <v/>
      </c>
    </row>
    <row r="215">
      <c r="X215" s="15" t="n"/>
      <c r="Y215" s="15">
        <f>IF($X215="","",SUMIFS(TARIFF_PROFILES!$D:$D,TARIFF_PROFILES!$A:$A,$X215))</f>
        <v/>
      </c>
      <c r="Z215" s="15">
        <f>IF($X215="","",SUMIFS(TARIFF_PROFILES!$E:$E,TARIFF_PROFILES!$A:$A,$X215))</f>
        <v/>
      </c>
      <c r="AA215" s="15">
        <f>IF($X215="","",SUMIFS(TARIFF_PROFILES!$F:$F,TARIFF_PROFILES!$A:$A,$X215))</f>
        <v/>
      </c>
      <c r="AB215" s="15">
        <f>IF($X215="","",SUMIFS(TARIFF_PROFILES!$G:$G,TARIFF_PROFILES!$A:$A,$X215))</f>
        <v/>
      </c>
      <c r="AC215" s="15">
        <f>IF($X215="","",SUMIFS(TARIFF_PROFILES!$H:$H,TARIFF_PROFILES!$A:$A,$X215))</f>
        <v/>
      </c>
      <c r="AD215" s="15">
        <f>IF($X215="","",INDEX(TARIFF_PROFILES!$J:$J,MATCH($X215,TARIFF_PROFILES!$A:$A,0)))</f>
        <v/>
      </c>
      <c r="AE215" s="15">
        <f>IF($X215="","",INDEX(TARIFF_PROFILES!$K:$K,MATCH($X215,TARIFF_PROFILES!$A:$A,0)))</f>
        <v/>
      </c>
      <c r="AH215">
        <f>IF($AG215="","",SUMIFS(OPERATING_COEFFS!$C:$C,OPERATING_COEFFS!$A:$A,"DistanceClass",OPERATING_COEFFS!$B:$B,$AG215))</f>
        <v/>
      </c>
      <c r="AJ215">
        <f>IF($AI215="","",SUMIFS(OPERATING_COEFFS!$C:$C,OPERATING_COEFFS!$A:$A,"SeasonClass",OPERATING_COEFFS!$B:$B,$AI215))</f>
        <v/>
      </c>
      <c r="AL215">
        <f>IF($AK215="","",SUMIFS(OPERATING_COEFFS!$C:$C,OPERATING_COEFFS!$A:$A,"UrgencyClass",OPERATING_COEFFS!$B:$B,$AK215))</f>
        <v/>
      </c>
      <c r="AN215">
        <f>IF($AM215="","",INDEX(TAX_MODES!$B:$B,MATCH($AM215,TAX_MODES!$A:$A,0)))</f>
        <v/>
      </c>
    </row>
    <row r="216">
      <c r="X216" s="15" t="n"/>
      <c r="Y216" s="15">
        <f>IF($X216="","",SUMIFS(TARIFF_PROFILES!$D:$D,TARIFF_PROFILES!$A:$A,$X216))</f>
        <v/>
      </c>
      <c r="Z216" s="15">
        <f>IF($X216="","",SUMIFS(TARIFF_PROFILES!$E:$E,TARIFF_PROFILES!$A:$A,$X216))</f>
        <v/>
      </c>
      <c r="AA216" s="15">
        <f>IF($X216="","",SUMIFS(TARIFF_PROFILES!$F:$F,TARIFF_PROFILES!$A:$A,$X216))</f>
        <v/>
      </c>
      <c r="AB216" s="15">
        <f>IF($X216="","",SUMIFS(TARIFF_PROFILES!$G:$G,TARIFF_PROFILES!$A:$A,$X216))</f>
        <v/>
      </c>
      <c r="AC216" s="15">
        <f>IF($X216="","",SUMIFS(TARIFF_PROFILES!$H:$H,TARIFF_PROFILES!$A:$A,$X216))</f>
        <v/>
      </c>
      <c r="AD216" s="15">
        <f>IF($X216="","",INDEX(TARIFF_PROFILES!$J:$J,MATCH($X216,TARIFF_PROFILES!$A:$A,0)))</f>
        <v/>
      </c>
      <c r="AE216" s="15">
        <f>IF($X216="","",INDEX(TARIFF_PROFILES!$K:$K,MATCH($X216,TARIFF_PROFILES!$A:$A,0)))</f>
        <v/>
      </c>
      <c r="AH216">
        <f>IF($AG216="","",SUMIFS(OPERATING_COEFFS!$C:$C,OPERATING_COEFFS!$A:$A,"DistanceClass",OPERATING_COEFFS!$B:$B,$AG216))</f>
        <v/>
      </c>
      <c r="AJ216">
        <f>IF($AI216="","",SUMIFS(OPERATING_COEFFS!$C:$C,OPERATING_COEFFS!$A:$A,"SeasonClass",OPERATING_COEFFS!$B:$B,$AI216))</f>
        <v/>
      </c>
      <c r="AL216">
        <f>IF($AK216="","",SUMIFS(OPERATING_COEFFS!$C:$C,OPERATING_COEFFS!$A:$A,"UrgencyClass",OPERATING_COEFFS!$B:$B,$AK216))</f>
        <v/>
      </c>
      <c r="AN216">
        <f>IF($AM216="","",INDEX(TAX_MODES!$B:$B,MATCH($AM216,TAX_MODES!$A:$A,0)))</f>
        <v/>
      </c>
    </row>
    <row r="217">
      <c r="X217" s="15" t="n"/>
      <c r="Y217" s="15">
        <f>IF($X217="","",SUMIFS(TARIFF_PROFILES!$D:$D,TARIFF_PROFILES!$A:$A,$X217))</f>
        <v/>
      </c>
      <c r="Z217" s="15">
        <f>IF($X217="","",SUMIFS(TARIFF_PROFILES!$E:$E,TARIFF_PROFILES!$A:$A,$X217))</f>
        <v/>
      </c>
      <c r="AA217" s="15">
        <f>IF($X217="","",SUMIFS(TARIFF_PROFILES!$F:$F,TARIFF_PROFILES!$A:$A,$X217))</f>
        <v/>
      </c>
      <c r="AB217" s="15">
        <f>IF($X217="","",SUMIFS(TARIFF_PROFILES!$G:$G,TARIFF_PROFILES!$A:$A,$X217))</f>
        <v/>
      </c>
      <c r="AC217" s="15">
        <f>IF($X217="","",SUMIFS(TARIFF_PROFILES!$H:$H,TARIFF_PROFILES!$A:$A,$X217))</f>
        <v/>
      </c>
      <c r="AD217" s="15">
        <f>IF($X217="","",INDEX(TARIFF_PROFILES!$J:$J,MATCH($X217,TARIFF_PROFILES!$A:$A,0)))</f>
        <v/>
      </c>
      <c r="AE217" s="15">
        <f>IF($X217="","",INDEX(TARIFF_PROFILES!$K:$K,MATCH($X217,TARIFF_PROFILES!$A:$A,0)))</f>
        <v/>
      </c>
      <c r="AH217">
        <f>IF($AG217="","",SUMIFS(OPERATING_COEFFS!$C:$C,OPERATING_COEFFS!$A:$A,"DistanceClass",OPERATING_COEFFS!$B:$B,$AG217))</f>
        <v/>
      </c>
      <c r="AJ217">
        <f>IF($AI217="","",SUMIFS(OPERATING_COEFFS!$C:$C,OPERATING_COEFFS!$A:$A,"SeasonClass",OPERATING_COEFFS!$B:$B,$AI217))</f>
        <v/>
      </c>
      <c r="AL217">
        <f>IF($AK217="","",SUMIFS(OPERATING_COEFFS!$C:$C,OPERATING_COEFFS!$A:$A,"UrgencyClass",OPERATING_COEFFS!$B:$B,$AK217))</f>
        <v/>
      </c>
      <c r="AN217">
        <f>IF($AM217="","",INDEX(TAX_MODES!$B:$B,MATCH($AM217,TAX_MODES!$A:$A,0)))</f>
        <v/>
      </c>
    </row>
    <row r="218">
      <c r="X218" s="15" t="n"/>
      <c r="Y218" s="15">
        <f>IF($X218="","",SUMIFS(TARIFF_PROFILES!$D:$D,TARIFF_PROFILES!$A:$A,$X218))</f>
        <v/>
      </c>
      <c r="Z218" s="15">
        <f>IF($X218="","",SUMIFS(TARIFF_PROFILES!$E:$E,TARIFF_PROFILES!$A:$A,$X218))</f>
        <v/>
      </c>
      <c r="AA218" s="15">
        <f>IF($X218="","",SUMIFS(TARIFF_PROFILES!$F:$F,TARIFF_PROFILES!$A:$A,$X218))</f>
        <v/>
      </c>
      <c r="AB218" s="15">
        <f>IF($X218="","",SUMIFS(TARIFF_PROFILES!$G:$G,TARIFF_PROFILES!$A:$A,$X218))</f>
        <v/>
      </c>
      <c r="AC218" s="15">
        <f>IF($X218="","",SUMIFS(TARIFF_PROFILES!$H:$H,TARIFF_PROFILES!$A:$A,$X218))</f>
        <v/>
      </c>
      <c r="AD218" s="15">
        <f>IF($X218="","",INDEX(TARIFF_PROFILES!$J:$J,MATCH($X218,TARIFF_PROFILES!$A:$A,0)))</f>
        <v/>
      </c>
      <c r="AE218" s="15">
        <f>IF($X218="","",INDEX(TARIFF_PROFILES!$K:$K,MATCH($X218,TARIFF_PROFILES!$A:$A,0)))</f>
        <v/>
      </c>
      <c r="AH218">
        <f>IF($AG218="","",SUMIFS(OPERATING_COEFFS!$C:$C,OPERATING_COEFFS!$A:$A,"DistanceClass",OPERATING_COEFFS!$B:$B,$AG218))</f>
        <v/>
      </c>
      <c r="AJ218">
        <f>IF($AI218="","",SUMIFS(OPERATING_COEFFS!$C:$C,OPERATING_COEFFS!$A:$A,"SeasonClass",OPERATING_COEFFS!$B:$B,$AI218))</f>
        <v/>
      </c>
      <c r="AL218">
        <f>IF($AK218="","",SUMIFS(OPERATING_COEFFS!$C:$C,OPERATING_COEFFS!$A:$A,"UrgencyClass",OPERATING_COEFFS!$B:$B,$AK218))</f>
        <v/>
      </c>
      <c r="AN218">
        <f>IF($AM218="","",INDEX(TAX_MODES!$B:$B,MATCH($AM218,TAX_MODES!$A:$A,0)))</f>
        <v/>
      </c>
    </row>
    <row r="219">
      <c r="X219" s="15" t="n"/>
      <c r="Y219" s="15">
        <f>IF($X219="","",SUMIFS(TARIFF_PROFILES!$D:$D,TARIFF_PROFILES!$A:$A,$X219))</f>
        <v/>
      </c>
      <c r="Z219" s="15">
        <f>IF($X219="","",SUMIFS(TARIFF_PROFILES!$E:$E,TARIFF_PROFILES!$A:$A,$X219))</f>
        <v/>
      </c>
      <c r="AA219" s="15">
        <f>IF($X219="","",SUMIFS(TARIFF_PROFILES!$F:$F,TARIFF_PROFILES!$A:$A,$X219))</f>
        <v/>
      </c>
      <c r="AB219" s="15">
        <f>IF($X219="","",SUMIFS(TARIFF_PROFILES!$G:$G,TARIFF_PROFILES!$A:$A,$X219))</f>
        <v/>
      </c>
      <c r="AC219" s="15">
        <f>IF($X219="","",SUMIFS(TARIFF_PROFILES!$H:$H,TARIFF_PROFILES!$A:$A,$X219))</f>
        <v/>
      </c>
      <c r="AD219" s="15">
        <f>IF($X219="","",INDEX(TARIFF_PROFILES!$J:$J,MATCH($X219,TARIFF_PROFILES!$A:$A,0)))</f>
        <v/>
      </c>
      <c r="AE219" s="15">
        <f>IF($X219="","",INDEX(TARIFF_PROFILES!$K:$K,MATCH($X219,TARIFF_PROFILES!$A:$A,0)))</f>
        <v/>
      </c>
      <c r="AH219">
        <f>IF($AG219="","",SUMIFS(OPERATING_COEFFS!$C:$C,OPERATING_COEFFS!$A:$A,"DistanceClass",OPERATING_COEFFS!$B:$B,$AG219))</f>
        <v/>
      </c>
      <c r="AJ219">
        <f>IF($AI219="","",SUMIFS(OPERATING_COEFFS!$C:$C,OPERATING_COEFFS!$A:$A,"SeasonClass",OPERATING_COEFFS!$B:$B,$AI219))</f>
        <v/>
      </c>
      <c r="AL219">
        <f>IF($AK219="","",SUMIFS(OPERATING_COEFFS!$C:$C,OPERATING_COEFFS!$A:$A,"UrgencyClass",OPERATING_COEFFS!$B:$B,$AK219))</f>
        <v/>
      </c>
      <c r="AN219">
        <f>IF($AM219="","",INDEX(TAX_MODES!$B:$B,MATCH($AM219,TAX_MODES!$A:$A,0)))</f>
        <v/>
      </c>
    </row>
    <row r="220">
      <c r="X220" s="15" t="n"/>
      <c r="Y220" s="15">
        <f>IF($X220="","",SUMIFS(TARIFF_PROFILES!$D:$D,TARIFF_PROFILES!$A:$A,$X220))</f>
        <v/>
      </c>
      <c r="Z220" s="15">
        <f>IF($X220="","",SUMIFS(TARIFF_PROFILES!$E:$E,TARIFF_PROFILES!$A:$A,$X220))</f>
        <v/>
      </c>
      <c r="AA220" s="15">
        <f>IF($X220="","",SUMIFS(TARIFF_PROFILES!$F:$F,TARIFF_PROFILES!$A:$A,$X220))</f>
        <v/>
      </c>
      <c r="AB220" s="15">
        <f>IF($X220="","",SUMIFS(TARIFF_PROFILES!$G:$G,TARIFF_PROFILES!$A:$A,$X220))</f>
        <v/>
      </c>
      <c r="AC220" s="15">
        <f>IF($X220="","",SUMIFS(TARIFF_PROFILES!$H:$H,TARIFF_PROFILES!$A:$A,$X220))</f>
        <v/>
      </c>
      <c r="AD220" s="15">
        <f>IF($X220="","",INDEX(TARIFF_PROFILES!$J:$J,MATCH($X220,TARIFF_PROFILES!$A:$A,0)))</f>
        <v/>
      </c>
      <c r="AE220" s="15">
        <f>IF($X220="","",INDEX(TARIFF_PROFILES!$K:$K,MATCH($X220,TARIFF_PROFILES!$A:$A,0)))</f>
        <v/>
      </c>
      <c r="AH220">
        <f>IF($AG220="","",SUMIFS(OPERATING_COEFFS!$C:$C,OPERATING_COEFFS!$A:$A,"DistanceClass",OPERATING_COEFFS!$B:$B,$AG220))</f>
        <v/>
      </c>
      <c r="AJ220">
        <f>IF($AI220="","",SUMIFS(OPERATING_COEFFS!$C:$C,OPERATING_COEFFS!$A:$A,"SeasonClass",OPERATING_COEFFS!$B:$B,$AI220))</f>
        <v/>
      </c>
      <c r="AL220">
        <f>IF($AK220="","",SUMIFS(OPERATING_COEFFS!$C:$C,OPERATING_COEFFS!$A:$A,"UrgencyClass",OPERATING_COEFFS!$B:$B,$AK220))</f>
        <v/>
      </c>
      <c r="AN220">
        <f>IF($AM220="","",INDEX(TAX_MODES!$B:$B,MATCH($AM220,TAX_MODES!$A:$A,0)))</f>
        <v/>
      </c>
    </row>
    <row r="221">
      <c r="X221" s="15" t="n"/>
      <c r="Y221" s="15">
        <f>IF($X221="","",SUMIFS(TARIFF_PROFILES!$D:$D,TARIFF_PROFILES!$A:$A,$X221))</f>
        <v/>
      </c>
      <c r="Z221" s="15">
        <f>IF($X221="","",SUMIFS(TARIFF_PROFILES!$E:$E,TARIFF_PROFILES!$A:$A,$X221))</f>
        <v/>
      </c>
      <c r="AA221" s="15">
        <f>IF($X221="","",SUMIFS(TARIFF_PROFILES!$F:$F,TARIFF_PROFILES!$A:$A,$X221))</f>
        <v/>
      </c>
      <c r="AB221" s="15">
        <f>IF($X221="","",SUMIFS(TARIFF_PROFILES!$G:$G,TARIFF_PROFILES!$A:$A,$X221))</f>
        <v/>
      </c>
      <c r="AC221" s="15">
        <f>IF($X221="","",SUMIFS(TARIFF_PROFILES!$H:$H,TARIFF_PROFILES!$A:$A,$X221))</f>
        <v/>
      </c>
      <c r="AD221" s="15">
        <f>IF($X221="","",INDEX(TARIFF_PROFILES!$J:$J,MATCH($X221,TARIFF_PROFILES!$A:$A,0)))</f>
        <v/>
      </c>
      <c r="AE221" s="15">
        <f>IF($X221="","",INDEX(TARIFF_PROFILES!$K:$K,MATCH($X221,TARIFF_PROFILES!$A:$A,0)))</f>
        <v/>
      </c>
      <c r="AH221">
        <f>IF($AG221="","",SUMIFS(OPERATING_COEFFS!$C:$C,OPERATING_COEFFS!$A:$A,"DistanceClass",OPERATING_COEFFS!$B:$B,$AG221))</f>
        <v/>
      </c>
      <c r="AJ221">
        <f>IF($AI221="","",SUMIFS(OPERATING_COEFFS!$C:$C,OPERATING_COEFFS!$A:$A,"SeasonClass",OPERATING_COEFFS!$B:$B,$AI221))</f>
        <v/>
      </c>
      <c r="AL221">
        <f>IF($AK221="","",SUMIFS(OPERATING_COEFFS!$C:$C,OPERATING_COEFFS!$A:$A,"UrgencyClass",OPERATING_COEFFS!$B:$B,$AK221))</f>
        <v/>
      </c>
      <c r="AN221">
        <f>IF($AM221="","",INDEX(TAX_MODES!$B:$B,MATCH($AM221,TAX_MODES!$A:$A,0)))</f>
        <v/>
      </c>
    </row>
    <row r="222">
      <c r="X222" s="15" t="n"/>
      <c r="Y222" s="15">
        <f>IF($X222="","",SUMIFS(TARIFF_PROFILES!$D:$D,TARIFF_PROFILES!$A:$A,$X222))</f>
        <v/>
      </c>
      <c r="Z222" s="15">
        <f>IF($X222="","",SUMIFS(TARIFF_PROFILES!$E:$E,TARIFF_PROFILES!$A:$A,$X222))</f>
        <v/>
      </c>
      <c r="AA222" s="15">
        <f>IF($X222="","",SUMIFS(TARIFF_PROFILES!$F:$F,TARIFF_PROFILES!$A:$A,$X222))</f>
        <v/>
      </c>
      <c r="AB222" s="15">
        <f>IF($X222="","",SUMIFS(TARIFF_PROFILES!$G:$G,TARIFF_PROFILES!$A:$A,$X222))</f>
        <v/>
      </c>
      <c r="AC222" s="15">
        <f>IF($X222="","",SUMIFS(TARIFF_PROFILES!$H:$H,TARIFF_PROFILES!$A:$A,$X222))</f>
        <v/>
      </c>
      <c r="AD222" s="15">
        <f>IF($X222="","",INDEX(TARIFF_PROFILES!$J:$J,MATCH($X222,TARIFF_PROFILES!$A:$A,0)))</f>
        <v/>
      </c>
      <c r="AE222" s="15">
        <f>IF($X222="","",INDEX(TARIFF_PROFILES!$K:$K,MATCH($X222,TARIFF_PROFILES!$A:$A,0)))</f>
        <v/>
      </c>
      <c r="AH222">
        <f>IF($AG222="","",SUMIFS(OPERATING_COEFFS!$C:$C,OPERATING_COEFFS!$A:$A,"DistanceClass",OPERATING_COEFFS!$B:$B,$AG222))</f>
        <v/>
      </c>
      <c r="AJ222">
        <f>IF($AI222="","",SUMIFS(OPERATING_COEFFS!$C:$C,OPERATING_COEFFS!$A:$A,"SeasonClass",OPERATING_COEFFS!$B:$B,$AI222))</f>
        <v/>
      </c>
      <c r="AL222">
        <f>IF($AK222="","",SUMIFS(OPERATING_COEFFS!$C:$C,OPERATING_COEFFS!$A:$A,"UrgencyClass",OPERATING_COEFFS!$B:$B,$AK222))</f>
        <v/>
      </c>
      <c r="AN222">
        <f>IF($AM222="","",INDEX(TAX_MODES!$B:$B,MATCH($AM222,TAX_MODES!$A:$A,0)))</f>
        <v/>
      </c>
    </row>
    <row r="223">
      <c r="X223" s="15" t="n"/>
      <c r="Y223" s="15">
        <f>IF($X223="","",SUMIFS(TARIFF_PROFILES!$D:$D,TARIFF_PROFILES!$A:$A,$X223))</f>
        <v/>
      </c>
      <c r="Z223" s="15">
        <f>IF($X223="","",SUMIFS(TARIFF_PROFILES!$E:$E,TARIFF_PROFILES!$A:$A,$X223))</f>
        <v/>
      </c>
      <c r="AA223" s="15">
        <f>IF($X223="","",SUMIFS(TARIFF_PROFILES!$F:$F,TARIFF_PROFILES!$A:$A,$X223))</f>
        <v/>
      </c>
      <c r="AB223" s="15">
        <f>IF($X223="","",SUMIFS(TARIFF_PROFILES!$G:$G,TARIFF_PROFILES!$A:$A,$X223))</f>
        <v/>
      </c>
      <c r="AC223" s="15">
        <f>IF($X223="","",SUMIFS(TARIFF_PROFILES!$H:$H,TARIFF_PROFILES!$A:$A,$X223))</f>
        <v/>
      </c>
      <c r="AD223" s="15">
        <f>IF($X223="","",INDEX(TARIFF_PROFILES!$J:$J,MATCH($X223,TARIFF_PROFILES!$A:$A,0)))</f>
        <v/>
      </c>
      <c r="AE223" s="15">
        <f>IF($X223="","",INDEX(TARIFF_PROFILES!$K:$K,MATCH($X223,TARIFF_PROFILES!$A:$A,0)))</f>
        <v/>
      </c>
      <c r="AH223">
        <f>IF($AG223="","",SUMIFS(OPERATING_COEFFS!$C:$C,OPERATING_COEFFS!$A:$A,"DistanceClass",OPERATING_COEFFS!$B:$B,$AG223))</f>
        <v/>
      </c>
      <c r="AJ223">
        <f>IF($AI223="","",SUMIFS(OPERATING_COEFFS!$C:$C,OPERATING_COEFFS!$A:$A,"SeasonClass",OPERATING_COEFFS!$B:$B,$AI223))</f>
        <v/>
      </c>
      <c r="AL223">
        <f>IF($AK223="","",SUMIFS(OPERATING_COEFFS!$C:$C,OPERATING_COEFFS!$A:$A,"UrgencyClass",OPERATING_COEFFS!$B:$B,$AK223))</f>
        <v/>
      </c>
      <c r="AN223">
        <f>IF($AM223="","",INDEX(TAX_MODES!$B:$B,MATCH($AM223,TAX_MODES!$A:$A,0)))</f>
        <v/>
      </c>
    </row>
    <row r="224">
      <c r="X224" s="15" t="n"/>
      <c r="Y224" s="15">
        <f>IF($X224="","",SUMIFS(TARIFF_PROFILES!$D:$D,TARIFF_PROFILES!$A:$A,$X224))</f>
        <v/>
      </c>
      <c r="Z224" s="15">
        <f>IF($X224="","",SUMIFS(TARIFF_PROFILES!$E:$E,TARIFF_PROFILES!$A:$A,$X224))</f>
        <v/>
      </c>
      <c r="AA224" s="15">
        <f>IF($X224="","",SUMIFS(TARIFF_PROFILES!$F:$F,TARIFF_PROFILES!$A:$A,$X224))</f>
        <v/>
      </c>
      <c r="AB224" s="15">
        <f>IF($X224="","",SUMIFS(TARIFF_PROFILES!$G:$G,TARIFF_PROFILES!$A:$A,$X224))</f>
        <v/>
      </c>
      <c r="AC224" s="15">
        <f>IF($X224="","",SUMIFS(TARIFF_PROFILES!$H:$H,TARIFF_PROFILES!$A:$A,$X224))</f>
        <v/>
      </c>
      <c r="AD224" s="15">
        <f>IF($X224="","",INDEX(TARIFF_PROFILES!$J:$J,MATCH($X224,TARIFF_PROFILES!$A:$A,0)))</f>
        <v/>
      </c>
      <c r="AE224" s="15">
        <f>IF($X224="","",INDEX(TARIFF_PROFILES!$K:$K,MATCH($X224,TARIFF_PROFILES!$A:$A,0)))</f>
        <v/>
      </c>
      <c r="AH224">
        <f>IF($AG224="","",SUMIFS(OPERATING_COEFFS!$C:$C,OPERATING_COEFFS!$A:$A,"DistanceClass",OPERATING_COEFFS!$B:$B,$AG224))</f>
        <v/>
      </c>
      <c r="AJ224">
        <f>IF($AI224="","",SUMIFS(OPERATING_COEFFS!$C:$C,OPERATING_COEFFS!$A:$A,"SeasonClass",OPERATING_COEFFS!$B:$B,$AI224))</f>
        <v/>
      </c>
      <c r="AL224">
        <f>IF($AK224="","",SUMIFS(OPERATING_COEFFS!$C:$C,OPERATING_COEFFS!$A:$A,"UrgencyClass",OPERATING_COEFFS!$B:$B,$AK224))</f>
        <v/>
      </c>
      <c r="AN224">
        <f>IF($AM224="","",INDEX(TAX_MODES!$B:$B,MATCH($AM224,TAX_MODES!$A:$A,0)))</f>
        <v/>
      </c>
    </row>
    <row r="225">
      <c r="X225" s="15" t="n"/>
      <c r="Y225" s="15">
        <f>IF($X225="","",SUMIFS(TARIFF_PROFILES!$D:$D,TARIFF_PROFILES!$A:$A,$X225))</f>
        <v/>
      </c>
      <c r="Z225" s="15">
        <f>IF($X225="","",SUMIFS(TARIFF_PROFILES!$E:$E,TARIFF_PROFILES!$A:$A,$X225))</f>
        <v/>
      </c>
      <c r="AA225" s="15">
        <f>IF($X225="","",SUMIFS(TARIFF_PROFILES!$F:$F,TARIFF_PROFILES!$A:$A,$X225))</f>
        <v/>
      </c>
      <c r="AB225" s="15">
        <f>IF($X225="","",SUMIFS(TARIFF_PROFILES!$G:$G,TARIFF_PROFILES!$A:$A,$X225))</f>
        <v/>
      </c>
      <c r="AC225" s="15">
        <f>IF($X225="","",SUMIFS(TARIFF_PROFILES!$H:$H,TARIFF_PROFILES!$A:$A,$X225))</f>
        <v/>
      </c>
      <c r="AD225" s="15">
        <f>IF($X225="","",INDEX(TARIFF_PROFILES!$J:$J,MATCH($X225,TARIFF_PROFILES!$A:$A,0)))</f>
        <v/>
      </c>
      <c r="AE225" s="15">
        <f>IF($X225="","",INDEX(TARIFF_PROFILES!$K:$K,MATCH($X225,TARIFF_PROFILES!$A:$A,0)))</f>
        <v/>
      </c>
      <c r="AH225">
        <f>IF($AG225="","",SUMIFS(OPERATING_COEFFS!$C:$C,OPERATING_COEFFS!$A:$A,"DistanceClass",OPERATING_COEFFS!$B:$B,$AG225))</f>
        <v/>
      </c>
      <c r="AJ225">
        <f>IF($AI225="","",SUMIFS(OPERATING_COEFFS!$C:$C,OPERATING_COEFFS!$A:$A,"SeasonClass",OPERATING_COEFFS!$B:$B,$AI225))</f>
        <v/>
      </c>
      <c r="AL225">
        <f>IF($AK225="","",SUMIFS(OPERATING_COEFFS!$C:$C,OPERATING_COEFFS!$A:$A,"UrgencyClass",OPERATING_COEFFS!$B:$B,$AK225))</f>
        <v/>
      </c>
      <c r="AN225">
        <f>IF($AM225="","",INDEX(TAX_MODES!$B:$B,MATCH($AM225,TAX_MODES!$A:$A,0)))</f>
        <v/>
      </c>
    </row>
    <row r="226">
      <c r="X226" s="15" t="n"/>
      <c r="Y226" s="15">
        <f>IF($X226="","",SUMIFS(TARIFF_PROFILES!$D:$D,TARIFF_PROFILES!$A:$A,$X226))</f>
        <v/>
      </c>
      <c r="Z226" s="15">
        <f>IF($X226="","",SUMIFS(TARIFF_PROFILES!$E:$E,TARIFF_PROFILES!$A:$A,$X226))</f>
        <v/>
      </c>
      <c r="AA226" s="15">
        <f>IF($X226="","",SUMIFS(TARIFF_PROFILES!$F:$F,TARIFF_PROFILES!$A:$A,$X226))</f>
        <v/>
      </c>
      <c r="AB226" s="15">
        <f>IF($X226="","",SUMIFS(TARIFF_PROFILES!$G:$G,TARIFF_PROFILES!$A:$A,$X226))</f>
        <v/>
      </c>
      <c r="AC226" s="15">
        <f>IF($X226="","",SUMIFS(TARIFF_PROFILES!$H:$H,TARIFF_PROFILES!$A:$A,$X226))</f>
        <v/>
      </c>
      <c r="AD226" s="15">
        <f>IF($X226="","",INDEX(TARIFF_PROFILES!$J:$J,MATCH($X226,TARIFF_PROFILES!$A:$A,0)))</f>
        <v/>
      </c>
      <c r="AE226" s="15">
        <f>IF($X226="","",INDEX(TARIFF_PROFILES!$K:$K,MATCH($X226,TARIFF_PROFILES!$A:$A,0)))</f>
        <v/>
      </c>
      <c r="AH226">
        <f>IF($AG226="","",SUMIFS(OPERATING_COEFFS!$C:$C,OPERATING_COEFFS!$A:$A,"DistanceClass",OPERATING_COEFFS!$B:$B,$AG226))</f>
        <v/>
      </c>
      <c r="AJ226">
        <f>IF($AI226="","",SUMIFS(OPERATING_COEFFS!$C:$C,OPERATING_COEFFS!$A:$A,"SeasonClass",OPERATING_COEFFS!$B:$B,$AI226))</f>
        <v/>
      </c>
      <c r="AL226">
        <f>IF($AK226="","",SUMIFS(OPERATING_COEFFS!$C:$C,OPERATING_COEFFS!$A:$A,"UrgencyClass",OPERATING_COEFFS!$B:$B,$AK226))</f>
        <v/>
      </c>
      <c r="AN226">
        <f>IF($AM226="","",INDEX(TAX_MODES!$B:$B,MATCH($AM226,TAX_MODES!$A:$A,0)))</f>
        <v/>
      </c>
    </row>
    <row r="227">
      <c r="X227" s="15" t="n"/>
      <c r="Y227" s="15">
        <f>IF($X227="","",SUMIFS(TARIFF_PROFILES!$D:$D,TARIFF_PROFILES!$A:$A,$X227))</f>
        <v/>
      </c>
      <c r="Z227" s="15">
        <f>IF($X227="","",SUMIFS(TARIFF_PROFILES!$E:$E,TARIFF_PROFILES!$A:$A,$X227))</f>
        <v/>
      </c>
      <c r="AA227" s="15">
        <f>IF($X227="","",SUMIFS(TARIFF_PROFILES!$F:$F,TARIFF_PROFILES!$A:$A,$X227))</f>
        <v/>
      </c>
      <c r="AB227" s="15">
        <f>IF($X227="","",SUMIFS(TARIFF_PROFILES!$G:$G,TARIFF_PROFILES!$A:$A,$X227))</f>
        <v/>
      </c>
      <c r="AC227" s="15">
        <f>IF($X227="","",SUMIFS(TARIFF_PROFILES!$H:$H,TARIFF_PROFILES!$A:$A,$X227))</f>
        <v/>
      </c>
      <c r="AD227" s="15">
        <f>IF($X227="","",INDEX(TARIFF_PROFILES!$J:$J,MATCH($X227,TARIFF_PROFILES!$A:$A,0)))</f>
        <v/>
      </c>
      <c r="AE227" s="15">
        <f>IF($X227="","",INDEX(TARIFF_PROFILES!$K:$K,MATCH($X227,TARIFF_PROFILES!$A:$A,0)))</f>
        <v/>
      </c>
      <c r="AH227">
        <f>IF($AG227="","",SUMIFS(OPERATING_COEFFS!$C:$C,OPERATING_COEFFS!$A:$A,"DistanceClass",OPERATING_COEFFS!$B:$B,$AG227))</f>
        <v/>
      </c>
      <c r="AJ227">
        <f>IF($AI227="","",SUMIFS(OPERATING_COEFFS!$C:$C,OPERATING_COEFFS!$A:$A,"SeasonClass",OPERATING_COEFFS!$B:$B,$AI227))</f>
        <v/>
      </c>
      <c r="AL227">
        <f>IF($AK227="","",SUMIFS(OPERATING_COEFFS!$C:$C,OPERATING_COEFFS!$A:$A,"UrgencyClass",OPERATING_COEFFS!$B:$B,$AK227))</f>
        <v/>
      </c>
      <c r="AN227">
        <f>IF($AM227="","",INDEX(TAX_MODES!$B:$B,MATCH($AM227,TAX_MODES!$A:$A,0)))</f>
        <v/>
      </c>
    </row>
    <row r="228">
      <c r="X228" s="15" t="n"/>
      <c r="Y228" s="15">
        <f>IF($X228="","",SUMIFS(TARIFF_PROFILES!$D:$D,TARIFF_PROFILES!$A:$A,$X228))</f>
        <v/>
      </c>
      <c r="Z228" s="15">
        <f>IF($X228="","",SUMIFS(TARIFF_PROFILES!$E:$E,TARIFF_PROFILES!$A:$A,$X228))</f>
        <v/>
      </c>
      <c r="AA228" s="15">
        <f>IF($X228="","",SUMIFS(TARIFF_PROFILES!$F:$F,TARIFF_PROFILES!$A:$A,$X228))</f>
        <v/>
      </c>
      <c r="AB228" s="15">
        <f>IF($X228="","",SUMIFS(TARIFF_PROFILES!$G:$G,TARIFF_PROFILES!$A:$A,$X228))</f>
        <v/>
      </c>
      <c r="AC228" s="15">
        <f>IF($X228="","",SUMIFS(TARIFF_PROFILES!$H:$H,TARIFF_PROFILES!$A:$A,$X228))</f>
        <v/>
      </c>
      <c r="AD228" s="15">
        <f>IF($X228="","",INDEX(TARIFF_PROFILES!$J:$J,MATCH($X228,TARIFF_PROFILES!$A:$A,0)))</f>
        <v/>
      </c>
      <c r="AE228" s="15">
        <f>IF($X228="","",INDEX(TARIFF_PROFILES!$K:$K,MATCH($X228,TARIFF_PROFILES!$A:$A,0)))</f>
        <v/>
      </c>
      <c r="AH228">
        <f>IF($AG228="","",SUMIFS(OPERATING_COEFFS!$C:$C,OPERATING_COEFFS!$A:$A,"DistanceClass",OPERATING_COEFFS!$B:$B,$AG228))</f>
        <v/>
      </c>
      <c r="AJ228">
        <f>IF($AI228="","",SUMIFS(OPERATING_COEFFS!$C:$C,OPERATING_COEFFS!$A:$A,"SeasonClass",OPERATING_COEFFS!$B:$B,$AI228))</f>
        <v/>
      </c>
      <c r="AL228">
        <f>IF($AK228="","",SUMIFS(OPERATING_COEFFS!$C:$C,OPERATING_COEFFS!$A:$A,"UrgencyClass",OPERATING_COEFFS!$B:$B,$AK228))</f>
        <v/>
      </c>
      <c r="AN228">
        <f>IF($AM228="","",INDEX(TAX_MODES!$B:$B,MATCH($AM228,TAX_MODES!$A:$A,0)))</f>
        <v/>
      </c>
    </row>
    <row r="229">
      <c r="X229" s="15" t="n"/>
      <c r="Y229" s="15">
        <f>IF($X229="","",SUMIFS(TARIFF_PROFILES!$D:$D,TARIFF_PROFILES!$A:$A,$X229))</f>
        <v/>
      </c>
      <c r="Z229" s="15">
        <f>IF($X229="","",SUMIFS(TARIFF_PROFILES!$E:$E,TARIFF_PROFILES!$A:$A,$X229))</f>
        <v/>
      </c>
      <c r="AA229" s="15">
        <f>IF($X229="","",SUMIFS(TARIFF_PROFILES!$F:$F,TARIFF_PROFILES!$A:$A,$X229))</f>
        <v/>
      </c>
      <c r="AB229" s="15">
        <f>IF($X229="","",SUMIFS(TARIFF_PROFILES!$G:$G,TARIFF_PROFILES!$A:$A,$X229))</f>
        <v/>
      </c>
      <c r="AC229" s="15">
        <f>IF($X229="","",SUMIFS(TARIFF_PROFILES!$H:$H,TARIFF_PROFILES!$A:$A,$X229))</f>
        <v/>
      </c>
      <c r="AD229" s="15">
        <f>IF($X229="","",INDEX(TARIFF_PROFILES!$J:$J,MATCH($X229,TARIFF_PROFILES!$A:$A,0)))</f>
        <v/>
      </c>
      <c r="AE229" s="15">
        <f>IF($X229="","",INDEX(TARIFF_PROFILES!$K:$K,MATCH($X229,TARIFF_PROFILES!$A:$A,0)))</f>
        <v/>
      </c>
      <c r="AH229">
        <f>IF($AG229="","",SUMIFS(OPERATING_COEFFS!$C:$C,OPERATING_COEFFS!$A:$A,"DistanceClass",OPERATING_COEFFS!$B:$B,$AG229))</f>
        <v/>
      </c>
      <c r="AJ229">
        <f>IF($AI229="","",SUMIFS(OPERATING_COEFFS!$C:$C,OPERATING_COEFFS!$A:$A,"SeasonClass",OPERATING_COEFFS!$B:$B,$AI229))</f>
        <v/>
      </c>
      <c r="AL229">
        <f>IF($AK229="","",SUMIFS(OPERATING_COEFFS!$C:$C,OPERATING_COEFFS!$A:$A,"UrgencyClass",OPERATING_COEFFS!$B:$B,$AK229))</f>
        <v/>
      </c>
      <c r="AN229">
        <f>IF($AM229="","",INDEX(TAX_MODES!$B:$B,MATCH($AM229,TAX_MODES!$A:$A,0)))</f>
        <v/>
      </c>
    </row>
    <row r="230">
      <c r="X230" s="15" t="n"/>
      <c r="Y230" s="15">
        <f>IF($X230="","",SUMIFS(TARIFF_PROFILES!$D:$D,TARIFF_PROFILES!$A:$A,$X230))</f>
        <v/>
      </c>
      <c r="Z230" s="15">
        <f>IF($X230="","",SUMIFS(TARIFF_PROFILES!$E:$E,TARIFF_PROFILES!$A:$A,$X230))</f>
        <v/>
      </c>
      <c r="AA230" s="15">
        <f>IF($X230="","",SUMIFS(TARIFF_PROFILES!$F:$F,TARIFF_PROFILES!$A:$A,$X230))</f>
        <v/>
      </c>
      <c r="AB230" s="15">
        <f>IF($X230="","",SUMIFS(TARIFF_PROFILES!$G:$G,TARIFF_PROFILES!$A:$A,$X230))</f>
        <v/>
      </c>
      <c r="AC230" s="15">
        <f>IF($X230="","",SUMIFS(TARIFF_PROFILES!$H:$H,TARIFF_PROFILES!$A:$A,$X230))</f>
        <v/>
      </c>
      <c r="AD230" s="15">
        <f>IF($X230="","",INDEX(TARIFF_PROFILES!$J:$J,MATCH($X230,TARIFF_PROFILES!$A:$A,0)))</f>
        <v/>
      </c>
      <c r="AE230" s="15">
        <f>IF($X230="","",INDEX(TARIFF_PROFILES!$K:$K,MATCH($X230,TARIFF_PROFILES!$A:$A,0)))</f>
        <v/>
      </c>
      <c r="AH230">
        <f>IF($AG230="","",SUMIFS(OPERATING_COEFFS!$C:$C,OPERATING_COEFFS!$A:$A,"DistanceClass",OPERATING_COEFFS!$B:$B,$AG230))</f>
        <v/>
      </c>
      <c r="AJ230">
        <f>IF($AI230="","",SUMIFS(OPERATING_COEFFS!$C:$C,OPERATING_COEFFS!$A:$A,"SeasonClass",OPERATING_COEFFS!$B:$B,$AI230))</f>
        <v/>
      </c>
      <c r="AL230">
        <f>IF($AK230="","",SUMIFS(OPERATING_COEFFS!$C:$C,OPERATING_COEFFS!$A:$A,"UrgencyClass",OPERATING_COEFFS!$B:$B,$AK230))</f>
        <v/>
      </c>
      <c r="AN230">
        <f>IF($AM230="","",INDEX(TAX_MODES!$B:$B,MATCH($AM230,TAX_MODES!$A:$A,0)))</f>
        <v/>
      </c>
    </row>
    <row r="231">
      <c r="X231" s="15" t="n"/>
      <c r="Y231" s="15">
        <f>IF($X231="","",SUMIFS(TARIFF_PROFILES!$D:$D,TARIFF_PROFILES!$A:$A,$X231))</f>
        <v/>
      </c>
      <c r="Z231" s="15">
        <f>IF($X231="","",SUMIFS(TARIFF_PROFILES!$E:$E,TARIFF_PROFILES!$A:$A,$X231))</f>
        <v/>
      </c>
      <c r="AA231" s="15">
        <f>IF($X231="","",SUMIFS(TARIFF_PROFILES!$F:$F,TARIFF_PROFILES!$A:$A,$X231))</f>
        <v/>
      </c>
      <c r="AB231" s="15">
        <f>IF($X231="","",SUMIFS(TARIFF_PROFILES!$G:$G,TARIFF_PROFILES!$A:$A,$X231))</f>
        <v/>
      </c>
      <c r="AC231" s="15">
        <f>IF($X231="","",SUMIFS(TARIFF_PROFILES!$H:$H,TARIFF_PROFILES!$A:$A,$X231))</f>
        <v/>
      </c>
      <c r="AD231" s="15">
        <f>IF($X231="","",INDEX(TARIFF_PROFILES!$J:$J,MATCH($X231,TARIFF_PROFILES!$A:$A,0)))</f>
        <v/>
      </c>
      <c r="AE231" s="15">
        <f>IF($X231="","",INDEX(TARIFF_PROFILES!$K:$K,MATCH($X231,TARIFF_PROFILES!$A:$A,0)))</f>
        <v/>
      </c>
      <c r="AH231">
        <f>IF($AG231="","",SUMIFS(OPERATING_COEFFS!$C:$C,OPERATING_COEFFS!$A:$A,"DistanceClass",OPERATING_COEFFS!$B:$B,$AG231))</f>
        <v/>
      </c>
      <c r="AJ231">
        <f>IF($AI231="","",SUMIFS(OPERATING_COEFFS!$C:$C,OPERATING_COEFFS!$A:$A,"SeasonClass",OPERATING_COEFFS!$B:$B,$AI231))</f>
        <v/>
      </c>
      <c r="AL231">
        <f>IF($AK231="","",SUMIFS(OPERATING_COEFFS!$C:$C,OPERATING_COEFFS!$A:$A,"UrgencyClass",OPERATING_COEFFS!$B:$B,$AK231))</f>
        <v/>
      </c>
      <c r="AN231">
        <f>IF($AM231="","",INDEX(TAX_MODES!$B:$B,MATCH($AM231,TAX_MODES!$A:$A,0)))</f>
        <v/>
      </c>
    </row>
    <row r="232">
      <c r="X232" s="15" t="n"/>
      <c r="Y232" s="15">
        <f>IF($X232="","",SUMIFS(TARIFF_PROFILES!$D:$D,TARIFF_PROFILES!$A:$A,$X232))</f>
        <v/>
      </c>
      <c r="Z232" s="15">
        <f>IF($X232="","",SUMIFS(TARIFF_PROFILES!$E:$E,TARIFF_PROFILES!$A:$A,$X232))</f>
        <v/>
      </c>
      <c r="AA232" s="15">
        <f>IF($X232="","",SUMIFS(TARIFF_PROFILES!$F:$F,TARIFF_PROFILES!$A:$A,$X232))</f>
        <v/>
      </c>
      <c r="AB232" s="15">
        <f>IF($X232="","",SUMIFS(TARIFF_PROFILES!$G:$G,TARIFF_PROFILES!$A:$A,$X232))</f>
        <v/>
      </c>
      <c r="AC232" s="15">
        <f>IF($X232="","",SUMIFS(TARIFF_PROFILES!$H:$H,TARIFF_PROFILES!$A:$A,$X232))</f>
        <v/>
      </c>
      <c r="AD232" s="15">
        <f>IF($X232="","",INDEX(TARIFF_PROFILES!$J:$J,MATCH($X232,TARIFF_PROFILES!$A:$A,0)))</f>
        <v/>
      </c>
      <c r="AE232" s="15">
        <f>IF($X232="","",INDEX(TARIFF_PROFILES!$K:$K,MATCH($X232,TARIFF_PROFILES!$A:$A,0)))</f>
        <v/>
      </c>
      <c r="AH232">
        <f>IF($AG232="","",SUMIFS(OPERATING_COEFFS!$C:$C,OPERATING_COEFFS!$A:$A,"DistanceClass",OPERATING_COEFFS!$B:$B,$AG232))</f>
        <v/>
      </c>
      <c r="AJ232">
        <f>IF($AI232="","",SUMIFS(OPERATING_COEFFS!$C:$C,OPERATING_COEFFS!$A:$A,"SeasonClass",OPERATING_COEFFS!$B:$B,$AI232))</f>
        <v/>
      </c>
      <c r="AL232">
        <f>IF($AK232="","",SUMIFS(OPERATING_COEFFS!$C:$C,OPERATING_COEFFS!$A:$A,"UrgencyClass",OPERATING_COEFFS!$B:$B,$AK232))</f>
        <v/>
      </c>
      <c r="AN232">
        <f>IF($AM232="","",INDEX(TAX_MODES!$B:$B,MATCH($AM232,TAX_MODES!$A:$A,0)))</f>
        <v/>
      </c>
    </row>
    <row r="233">
      <c r="X233" s="15" t="n"/>
      <c r="Y233" s="15">
        <f>IF($X233="","",SUMIFS(TARIFF_PROFILES!$D:$D,TARIFF_PROFILES!$A:$A,$X233))</f>
        <v/>
      </c>
      <c r="Z233" s="15">
        <f>IF($X233="","",SUMIFS(TARIFF_PROFILES!$E:$E,TARIFF_PROFILES!$A:$A,$X233))</f>
        <v/>
      </c>
      <c r="AA233" s="15">
        <f>IF($X233="","",SUMIFS(TARIFF_PROFILES!$F:$F,TARIFF_PROFILES!$A:$A,$X233))</f>
        <v/>
      </c>
      <c r="AB233" s="15">
        <f>IF($X233="","",SUMIFS(TARIFF_PROFILES!$G:$G,TARIFF_PROFILES!$A:$A,$X233))</f>
        <v/>
      </c>
      <c r="AC233" s="15">
        <f>IF($X233="","",SUMIFS(TARIFF_PROFILES!$H:$H,TARIFF_PROFILES!$A:$A,$X233))</f>
        <v/>
      </c>
      <c r="AD233" s="15">
        <f>IF($X233="","",INDEX(TARIFF_PROFILES!$J:$J,MATCH($X233,TARIFF_PROFILES!$A:$A,0)))</f>
        <v/>
      </c>
      <c r="AE233" s="15">
        <f>IF($X233="","",INDEX(TARIFF_PROFILES!$K:$K,MATCH($X233,TARIFF_PROFILES!$A:$A,0)))</f>
        <v/>
      </c>
      <c r="AH233">
        <f>IF($AG233="","",SUMIFS(OPERATING_COEFFS!$C:$C,OPERATING_COEFFS!$A:$A,"DistanceClass",OPERATING_COEFFS!$B:$B,$AG233))</f>
        <v/>
      </c>
      <c r="AJ233">
        <f>IF($AI233="","",SUMIFS(OPERATING_COEFFS!$C:$C,OPERATING_COEFFS!$A:$A,"SeasonClass",OPERATING_COEFFS!$B:$B,$AI233))</f>
        <v/>
      </c>
      <c r="AL233">
        <f>IF($AK233="","",SUMIFS(OPERATING_COEFFS!$C:$C,OPERATING_COEFFS!$A:$A,"UrgencyClass",OPERATING_COEFFS!$B:$B,$AK233))</f>
        <v/>
      </c>
      <c r="AN233">
        <f>IF($AM233="","",INDEX(TAX_MODES!$B:$B,MATCH($AM233,TAX_MODES!$A:$A,0)))</f>
        <v/>
      </c>
    </row>
    <row r="234">
      <c r="X234" s="15" t="n"/>
      <c r="Y234" s="15">
        <f>IF($X234="","",SUMIFS(TARIFF_PROFILES!$D:$D,TARIFF_PROFILES!$A:$A,$X234))</f>
        <v/>
      </c>
      <c r="Z234" s="15">
        <f>IF($X234="","",SUMIFS(TARIFF_PROFILES!$E:$E,TARIFF_PROFILES!$A:$A,$X234))</f>
        <v/>
      </c>
      <c r="AA234" s="15">
        <f>IF($X234="","",SUMIFS(TARIFF_PROFILES!$F:$F,TARIFF_PROFILES!$A:$A,$X234))</f>
        <v/>
      </c>
      <c r="AB234" s="15">
        <f>IF($X234="","",SUMIFS(TARIFF_PROFILES!$G:$G,TARIFF_PROFILES!$A:$A,$X234))</f>
        <v/>
      </c>
      <c r="AC234" s="15">
        <f>IF($X234="","",SUMIFS(TARIFF_PROFILES!$H:$H,TARIFF_PROFILES!$A:$A,$X234))</f>
        <v/>
      </c>
      <c r="AD234" s="15">
        <f>IF($X234="","",INDEX(TARIFF_PROFILES!$J:$J,MATCH($X234,TARIFF_PROFILES!$A:$A,0)))</f>
        <v/>
      </c>
      <c r="AE234" s="15">
        <f>IF($X234="","",INDEX(TARIFF_PROFILES!$K:$K,MATCH($X234,TARIFF_PROFILES!$A:$A,0)))</f>
        <v/>
      </c>
      <c r="AH234">
        <f>IF($AG234="","",SUMIFS(OPERATING_COEFFS!$C:$C,OPERATING_COEFFS!$A:$A,"DistanceClass",OPERATING_COEFFS!$B:$B,$AG234))</f>
        <v/>
      </c>
      <c r="AJ234">
        <f>IF($AI234="","",SUMIFS(OPERATING_COEFFS!$C:$C,OPERATING_COEFFS!$A:$A,"SeasonClass",OPERATING_COEFFS!$B:$B,$AI234))</f>
        <v/>
      </c>
      <c r="AL234">
        <f>IF($AK234="","",SUMIFS(OPERATING_COEFFS!$C:$C,OPERATING_COEFFS!$A:$A,"UrgencyClass",OPERATING_COEFFS!$B:$B,$AK234))</f>
        <v/>
      </c>
      <c r="AN234">
        <f>IF($AM234="","",INDEX(TAX_MODES!$B:$B,MATCH($AM234,TAX_MODES!$A:$A,0)))</f>
        <v/>
      </c>
    </row>
    <row r="235">
      <c r="X235" s="15" t="n"/>
      <c r="Y235" s="15">
        <f>IF($X235="","",SUMIFS(TARIFF_PROFILES!$D:$D,TARIFF_PROFILES!$A:$A,$X235))</f>
        <v/>
      </c>
      <c r="Z235" s="15">
        <f>IF($X235="","",SUMIFS(TARIFF_PROFILES!$E:$E,TARIFF_PROFILES!$A:$A,$X235))</f>
        <v/>
      </c>
      <c r="AA235" s="15">
        <f>IF($X235="","",SUMIFS(TARIFF_PROFILES!$F:$F,TARIFF_PROFILES!$A:$A,$X235))</f>
        <v/>
      </c>
      <c r="AB235" s="15">
        <f>IF($X235="","",SUMIFS(TARIFF_PROFILES!$G:$G,TARIFF_PROFILES!$A:$A,$X235))</f>
        <v/>
      </c>
      <c r="AC235" s="15">
        <f>IF($X235="","",SUMIFS(TARIFF_PROFILES!$H:$H,TARIFF_PROFILES!$A:$A,$X235))</f>
        <v/>
      </c>
      <c r="AD235" s="15">
        <f>IF($X235="","",INDEX(TARIFF_PROFILES!$J:$J,MATCH($X235,TARIFF_PROFILES!$A:$A,0)))</f>
        <v/>
      </c>
      <c r="AE235" s="15">
        <f>IF($X235="","",INDEX(TARIFF_PROFILES!$K:$K,MATCH($X235,TARIFF_PROFILES!$A:$A,0)))</f>
        <v/>
      </c>
      <c r="AH235">
        <f>IF($AG235="","",SUMIFS(OPERATING_COEFFS!$C:$C,OPERATING_COEFFS!$A:$A,"DistanceClass",OPERATING_COEFFS!$B:$B,$AG235))</f>
        <v/>
      </c>
      <c r="AJ235">
        <f>IF($AI235="","",SUMIFS(OPERATING_COEFFS!$C:$C,OPERATING_COEFFS!$A:$A,"SeasonClass",OPERATING_COEFFS!$B:$B,$AI235))</f>
        <v/>
      </c>
      <c r="AL235">
        <f>IF($AK235="","",SUMIFS(OPERATING_COEFFS!$C:$C,OPERATING_COEFFS!$A:$A,"UrgencyClass",OPERATING_COEFFS!$B:$B,$AK235))</f>
        <v/>
      </c>
      <c r="AN235">
        <f>IF($AM235="","",INDEX(TAX_MODES!$B:$B,MATCH($AM235,TAX_MODES!$A:$A,0)))</f>
        <v/>
      </c>
    </row>
    <row r="236">
      <c r="X236" s="15" t="n"/>
      <c r="Y236" s="15">
        <f>IF($X236="","",SUMIFS(TARIFF_PROFILES!$D:$D,TARIFF_PROFILES!$A:$A,$X236))</f>
        <v/>
      </c>
      <c r="Z236" s="15">
        <f>IF($X236="","",SUMIFS(TARIFF_PROFILES!$E:$E,TARIFF_PROFILES!$A:$A,$X236))</f>
        <v/>
      </c>
      <c r="AA236" s="15">
        <f>IF($X236="","",SUMIFS(TARIFF_PROFILES!$F:$F,TARIFF_PROFILES!$A:$A,$X236))</f>
        <v/>
      </c>
      <c r="AB236" s="15">
        <f>IF($X236="","",SUMIFS(TARIFF_PROFILES!$G:$G,TARIFF_PROFILES!$A:$A,$X236))</f>
        <v/>
      </c>
      <c r="AC236" s="15">
        <f>IF($X236="","",SUMIFS(TARIFF_PROFILES!$H:$H,TARIFF_PROFILES!$A:$A,$X236))</f>
        <v/>
      </c>
      <c r="AD236" s="15">
        <f>IF($X236="","",INDEX(TARIFF_PROFILES!$J:$J,MATCH($X236,TARIFF_PROFILES!$A:$A,0)))</f>
        <v/>
      </c>
      <c r="AE236" s="15">
        <f>IF($X236="","",INDEX(TARIFF_PROFILES!$K:$K,MATCH($X236,TARIFF_PROFILES!$A:$A,0)))</f>
        <v/>
      </c>
      <c r="AH236">
        <f>IF($AG236="","",SUMIFS(OPERATING_COEFFS!$C:$C,OPERATING_COEFFS!$A:$A,"DistanceClass",OPERATING_COEFFS!$B:$B,$AG236))</f>
        <v/>
      </c>
      <c r="AJ236">
        <f>IF($AI236="","",SUMIFS(OPERATING_COEFFS!$C:$C,OPERATING_COEFFS!$A:$A,"SeasonClass",OPERATING_COEFFS!$B:$B,$AI236))</f>
        <v/>
      </c>
      <c r="AL236">
        <f>IF($AK236="","",SUMIFS(OPERATING_COEFFS!$C:$C,OPERATING_COEFFS!$A:$A,"UrgencyClass",OPERATING_COEFFS!$B:$B,$AK236))</f>
        <v/>
      </c>
      <c r="AN236">
        <f>IF($AM236="","",INDEX(TAX_MODES!$B:$B,MATCH($AM236,TAX_MODES!$A:$A,0)))</f>
        <v/>
      </c>
    </row>
    <row r="237">
      <c r="X237" s="15" t="n"/>
      <c r="Y237" s="15">
        <f>IF($X237="","",SUMIFS(TARIFF_PROFILES!$D:$D,TARIFF_PROFILES!$A:$A,$X237))</f>
        <v/>
      </c>
      <c r="Z237" s="15">
        <f>IF($X237="","",SUMIFS(TARIFF_PROFILES!$E:$E,TARIFF_PROFILES!$A:$A,$X237))</f>
        <v/>
      </c>
      <c r="AA237" s="15">
        <f>IF($X237="","",SUMIFS(TARIFF_PROFILES!$F:$F,TARIFF_PROFILES!$A:$A,$X237))</f>
        <v/>
      </c>
      <c r="AB237" s="15">
        <f>IF($X237="","",SUMIFS(TARIFF_PROFILES!$G:$G,TARIFF_PROFILES!$A:$A,$X237))</f>
        <v/>
      </c>
      <c r="AC237" s="15">
        <f>IF($X237="","",SUMIFS(TARIFF_PROFILES!$H:$H,TARIFF_PROFILES!$A:$A,$X237))</f>
        <v/>
      </c>
      <c r="AD237" s="15">
        <f>IF($X237="","",INDEX(TARIFF_PROFILES!$J:$J,MATCH($X237,TARIFF_PROFILES!$A:$A,0)))</f>
        <v/>
      </c>
      <c r="AE237" s="15">
        <f>IF($X237="","",INDEX(TARIFF_PROFILES!$K:$K,MATCH($X237,TARIFF_PROFILES!$A:$A,0)))</f>
        <v/>
      </c>
      <c r="AH237">
        <f>IF($AG237="","",SUMIFS(OPERATING_COEFFS!$C:$C,OPERATING_COEFFS!$A:$A,"DistanceClass",OPERATING_COEFFS!$B:$B,$AG237))</f>
        <v/>
      </c>
      <c r="AJ237">
        <f>IF($AI237="","",SUMIFS(OPERATING_COEFFS!$C:$C,OPERATING_COEFFS!$A:$A,"SeasonClass",OPERATING_COEFFS!$B:$B,$AI237))</f>
        <v/>
      </c>
      <c r="AL237">
        <f>IF($AK237="","",SUMIFS(OPERATING_COEFFS!$C:$C,OPERATING_COEFFS!$A:$A,"UrgencyClass",OPERATING_COEFFS!$B:$B,$AK237))</f>
        <v/>
      </c>
      <c r="AN237">
        <f>IF($AM237="","",INDEX(TAX_MODES!$B:$B,MATCH($AM237,TAX_MODES!$A:$A,0)))</f>
        <v/>
      </c>
    </row>
    <row r="238">
      <c r="X238" s="15" t="n"/>
      <c r="Y238" s="15">
        <f>IF($X238="","",SUMIFS(TARIFF_PROFILES!$D:$D,TARIFF_PROFILES!$A:$A,$X238))</f>
        <v/>
      </c>
      <c r="Z238" s="15">
        <f>IF($X238="","",SUMIFS(TARIFF_PROFILES!$E:$E,TARIFF_PROFILES!$A:$A,$X238))</f>
        <v/>
      </c>
      <c r="AA238" s="15">
        <f>IF($X238="","",SUMIFS(TARIFF_PROFILES!$F:$F,TARIFF_PROFILES!$A:$A,$X238))</f>
        <v/>
      </c>
      <c r="AB238" s="15">
        <f>IF($X238="","",SUMIFS(TARIFF_PROFILES!$G:$G,TARIFF_PROFILES!$A:$A,$X238))</f>
        <v/>
      </c>
      <c r="AC238" s="15">
        <f>IF($X238="","",SUMIFS(TARIFF_PROFILES!$H:$H,TARIFF_PROFILES!$A:$A,$X238))</f>
        <v/>
      </c>
      <c r="AD238" s="15">
        <f>IF($X238="","",INDEX(TARIFF_PROFILES!$J:$J,MATCH($X238,TARIFF_PROFILES!$A:$A,0)))</f>
        <v/>
      </c>
      <c r="AE238" s="15">
        <f>IF($X238="","",INDEX(TARIFF_PROFILES!$K:$K,MATCH($X238,TARIFF_PROFILES!$A:$A,0)))</f>
        <v/>
      </c>
      <c r="AH238">
        <f>IF($AG238="","",SUMIFS(OPERATING_COEFFS!$C:$C,OPERATING_COEFFS!$A:$A,"DistanceClass",OPERATING_COEFFS!$B:$B,$AG238))</f>
        <v/>
      </c>
      <c r="AJ238">
        <f>IF($AI238="","",SUMIFS(OPERATING_COEFFS!$C:$C,OPERATING_COEFFS!$A:$A,"SeasonClass",OPERATING_COEFFS!$B:$B,$AI238))</f>
        <v/>
      </c>
      <c r="AL238">
        <f>IF($AK238="","",SUMIFS(OPERATING_COEFFS!$C:$C,OPERATING_COEFFS!$A:$A,"UrgencyClass",OPERATING_COEFFS!$B:$B,$AK238))</f>
        <v/>
      </c>
      <c r="AN238">
        <f>IF($AM238="","",INDEX(TAX_MODES!$B:$B,MATCH($AM238,TAX_MODES!$A:$A,0)))</f>
        <v/>
      </c>
    </row>
    <row r="239">
      <c r="X239" s="15" t="n"/>
      <c r="Y239" s="15">
        <f>IF($X239="","",SUMIFS(TARIFF_PROFILES!$D:$D,TARIFF_PROFILES!$A:$A,$X239))</f>
        <v/>
      </c>
      <c r="Z239" s="15">
        <f>IF($X239="","",SUMIFS(TARIFF_PROFILES!$E:$E,TARIFF_PROFILES!$A:$A,$X239))</f>
        <v/>
      </c>
      <c r="AA239" s="15">
        <f>IF($X239="","",SUMIFS(TARIFF_PROFILES!$F:$F,TARIFF_PROFILES!$A:$A,$X239))</f>
        <v/>
      </c>
      <c r="AB239" s="15">
        <f>IF($X239="","",SUMIFS(TARIFF_PROFILES!$G:$G,TARIFF_PROFILES!$A:$A,$X239))</f>
        <v/>
      </c>
      <c r="AC239" s="15">
        <f>IF($X239="","",SUMIFS(TARIFF_PROFILES!$H:$H,TARIFF_PROFILES!$A:$A,$X239))</f>
        <v/>
      </c>
      <c r="AD239" s="15">
        <f>IF($X239="","",INDEX(TARIFF_PROFILES!$J:$J,MATCH($X239,TARIFF_PROFILES!$A:$A,0)))</f>
        <v/>
      </c>
      <c r="AE239" s="15">
        <f>IF($X239="","",INDEX(TARIFF_PROFILES!$K:$K,MATCH($X239,TARIFF_PROFILES!$A:$A,0)))</f>
        <v/>
      </c>
      <c r="AH239">
        <f>IF($AG239="","",SUMIFS(OPERATING_COEFFS!$C:$C,OPERATING_COEFFS!$A:$A,"DistanceClass",OPERATING_COEFFS!$B:$B,$AG239))</f>
        <v/>
      </c>
      <c r="AJ239">
        <f>IF($AI239="","",SUMIFS(OPERATING_COEFFS!$C:$C,OPERATING_COEFFS!$A:$A,"SeasonClass",OPERATING_COEFFS!$B:$B,$AI239))</f>
        <v/>
      </c>
      <c r="AL239">
        <f>IF($AK239="","",SUMIFS(OPERATING_COEFFS!$C:$C,OPERATING_COEFFS!$A:$A,"UrgencyClass",OPERATING_COEFFS!$B:$B,$AK239))</f>
        <v/>
      </c>
      <c r="AN239">
        <f>IF($AM239="","",INDEX(TAX_MODES!$B:$B,MATCH($AM239,TAX_MODES!$A:$A,0)))</f>
        <v/>
      </c>
    </row>
    <row r="240">
      <c r="X240" s="15" t="n"/>
      <c r="Y240" s="15">
        <f>IF($X240="","",SUMIFS(TARIFF_PROFILES!$D:$D,TARIFF_PROFILES!$A:$A,$X240))</f>
        <v/>
      </c>
      <c r="Z240" s="15">
        <f>IF($X240="","",SUMIFS(TARIFF_PROFILES!$E:$E,TARIFF_PROFILES!$A:$A,$X240))</f>
        <v/>
      </c>
      <c r="AA240" s="15">
        <f>IF($X240="","",SUMIFS(TARIFF_PROFILES!$F:$F,TARIFF_PROFILES!$A:$A,$X240))</f>
        <v/>
      </c>
      <c r="AB240" s="15">
        <f>IF($X240="","",SUMIFS(TARIFF_PROFILES!$G:$G,TARIFF_PROFILES!$A:$A,$X240))</f>
        <v/>
      </c>
      <c r="AC240" s="15">
        <f>IF($X240="","",SUMIFS(TARIFF_PROFILES!$H:$H,TARIFF_PROFILES!$A:$A,$X240))</f>
        <v/>
      </c>
      <c r="AD240" s="15">
        <f>IF($X240="","",INDEX(TARIFF_PROFILES!$J:$J,MATCH($X240,TARIFF_PROFILES!$A:$A,0)))</f>
        <v/>
      </c>
      <c r="AE240" s="15">
        <f>IF($X240="","",INDEX(TARIFF_PROFILES!$K:$K,MATCH($X240,TARIFF_PROFILES!$A:$A,0)))</f>
        <v/>
      </c>
      <c r="AH240">
        <f>IF($AG240="","",SUMIFS(OPERATING_COEFFS!$C:$C,OPERATING_COEFFS!$A:$A,"DistanceClass",OPERATING_COEFFS!$B:$B,$AG240))</f>
        <v/>
      </c>
      <c r="AJ240">
        <f>IF($AI240="","",SUMIFS(OPERATING_COEFFS!$C:$C,OPERATING_COEFFS!$A:$A,"SeasonClass",OPERATING_COEFFS!$B:$B,$AI240))</f>
        <v/>
      </c>
      <c r="AL240">
        <f>IF($AK240="","",SUMIFS(OPERATING_COEFFS!$C:$C,OPERATING_COEFFS!$A:$A,"UrgencyClass",OPERATING_COEFFS!$B:$B,$AK240))</f>
        <v/>
      </c>
      <c r="AN240">
        <f>IF($AM240="","",INDEX(TAX_MODES!$B:$B,MATCH($AM240,TAX_MODES!$A:$A,0)))</f>
        <v/>
      </c>
    </row>
    <row r="241">
      <c r="X241" s="15" t="n"/>
      <c r="Y241" s="15">
        <f>IF($X241="","",SUMIFS(TARIFF_PROFILES!$D:$D,TARIFF_PROFILES!$A:$A,$X241))</f>
        <v/>
      </c>
      <c r="Z241" s="15">
        <f>IF($X241="","",SUMIFS(TARIFF_PROFILES!$E:$E,TARIFF_PROFILES!$A:$A,$X241))</f>
        <v/>
      </c>
      <c r="AA241" s="15">
        <f>IF($X241="","",SUMIFS(TARIFF_PROFILES!$F:$F,TARIFF_PROFILES!$A:$A,$X241))</f>
        <v/>
      </c>
      <c r="AB241" s="15">
        <f>IF($X241="","",SUMIFS(TARIFF_PROFILES!$G:$G,TARIFF_PROFILES!$A:$A,$X241))</f>
        <v/>
      </c>
      <c r="AC241" s="15">
        <f>IF($X241="","",SUMIFS(TARIFF_PROFILES!$H:$H,TARIFF_PROFILES!$A:$A,$X241))</f>
        <v/>
      </c>
      <c r="AD241" s="15">
        <f>IF($X241="","",INDEX(TARIFF_PROFILES!$J:$J,MATCH($X241,TARIFF_PROFILES!$A:$A,0)))</f>
        <v/>
      </c>
      <c r="AE241" s="15">
        <f>IF($X241="","",INDEX(TARIFF_PROFILES!$K:$K,MATCH($X241,TARIFF_PROFILES!$A:$A,0)))</f>
        <v/>
      </c>
      <c r="AH241">
        <f>IF($AG241="","",SUMIFS(OPERATING_COEFFS!$C:$C,OPERATING_COEFFS!$A:$A,"DistanceClass",OPERATING_COEFFS!$B:$B,$AG241))</f>
        <v/>
      </c>
      <c r="AJ241">
        <f>IF($AI241="","",SUMIFS(OPERATING_COEFFS!$C:$C,OPERATING_COEFFS!$A:$A,"SeasonClass",OPERATING_COEFFS!$B:$B,$AI241))</f>
        <v/>
      </c>
      <c r="AL241">
        <f>IF($AK241="","",SUMIFS(OPERATING_COEFFS!$C:$C,OPERATING_COEFFS!$A:$A,"UrgencyClass",OPERATING_COEFFS!$B:$B,$AK241))</f>
        <v/>
      </c>
      <c r="AN241">
        <f>IF($AM241="","",INDEX(TAX_MODES!$B:$B,MATCH($AM241,TAX_MODES!$A:$A,0)))</f>
        <v/>
      </c>
    </row>
    <row r="242">
      <c r="X242" s="15" t="n"/>
      <c r="Y242" s="15">
        <f>IF($X242="","",SUMIFS(TARIFF_PROFILES!$D:$D,TARIFF_PROFILES!$A:$A,$X242))</f>
        <v/>
      </c>
      <c r="Z242" s="15">
        <f>IF($X242="","",SUMIFS(TARIFF_PROFILES!$E:$E,TARIFF_PROFILES!$A:$A,$X242))</f>
        <v/>
      </c>
      <c r="AA242" s="15">
        <f>IF($X242="","",SUMIFS(TARIFF_PROFILES!$F:$F,TARIFF_PROFILES!$A:$A,$X242))</f>
        <v/>
      </c>
      <c r="AB242" s="15">
        <f>IF($X242="","",SUMIFS(TARIFF_PROFILES!$G:$G,TARIFF_PROFILES!$A:$A,$X242))</f>
        <v/>
      </c>
      <c r="AC242" s="15">
        <f>IF($X242="","",SUMIFS(TARIFF_PROFILES!$H:$H,TARIFF_PROFILES!$A:$A,$X242))</f>
        <v/>
      </c>
      <c r="AD242" s="15">
        <f>IF($X242="","",INDEX(TARIFF_PROFILES!$J:$J,MATCH($X242,TARIFF_PROFILES!$A:$A,0)))</f>
        <v/>
      </c>
      <c r="AE242" s="15">
        <f>IF($X242="","",INDEX(TARIFF_PROFILES!$K:$K,MATCH($X242,TARIFF_PROFILES!$A:$A,0)))</f>
        <v/>
      </c>
      <c r="AH242">
        <f>IF($AG242="","",SUMIFS(OPERATING_COEFFS!$C:$C,OPERATING_COEFFS!$A:$A,"DistanceClass",OPERATING_COEFFS!$B:$B,$AG242))</f>
        <v/>
      </c>
      <c r="AJ242">
        <f>IF($AI242="","",SUMIFS(OPERATING_COEFFS!$C:$C,OPERATING_COEFFS!$A:$A,"SeasonClass",OPERATING_COEFFS!$B:$B,$AI242))</f>
        <v/>
      </c>
      <c r="AL242">
        <f>IF($AK242="","",SUMIFS(OPERATING_COEFFS!$C:$C,OPERATING_COEFFS!$A:$A,"UrgencyClass",OPERATING_COEFFS!$B:$B,$AK242))</f>
        <v/>
      </c>
      <c r="AN242">
        <f>IF($AM242="","",INDEX(TAX_MODES!$B:$B,MATCH($AM242,TAX_MODES!$A:$A,0)))</f>
        <v/>
      </c>
    </row>
    <row r="243">
      <c r="X243" s="15" t="n"/>
      <c r="Y243" s="15">
        <f>IF($X243="","",SUMIFS(TARIFF_PROFILES!$D:$D,TARIFF_PROFILES!$A:$A,$X243))</f>
        <v/>
      </c>
      <c r="Z243" s="15">
        <f>IF($X243="","",SUMIFS(TARIFF_PROFILES!$E:$E,TARIFF_PROFILES!$A:$A,$X243))</f>
        <v/>
      </c>
      <c r="AA243" s="15">
        <f>IF($X243="","",SUMIFS(TARIFF_PROFILES!$F:$F,TARIFF_PROFILES!$A:$A,$X243))</f>
        <v/>
      </c>
      <c r="AB243" s="15">
        <f>IF($X243="","",SUMIFS(TARIFF_PROFILES!$G:$G,TARIFF_PROFILES!$A:$A,$X243))</f>
        <v/>
      </c>
      <c r="AC243" s="15">
        <f>IF($X243="","",SUMIFS(TARIFF_PROFILES!$H:$H,TARIFF_PROFILES!$A:$A,$X243))</f>
        <v/>
      </c>
      <c r="AD243" s="15">
        <f>IF($X243="","",INDEX(TARIFF_PROFILES!$J:$J,MATCH($X243,TARIFF_PROFILES!$A:$A,0)))</f>
        <v/>
      </c>
      <c r="AE243" s="15">
        <f>IF($X243="","",INDEX(TARIFF_PROFILES!$K:$K,MATCH($X243,TARIFF_PROFILES!$A:$A,0)))</f>
        <v/>
      </c>
      <c r="AH243">
        <f>IF($AG243="","",SUMIFS(OPERATING_COEFFS!$C:$C,OPERATING_COEFFS!$A:$A,"DistanceClass",OPERATING_COEFFS!$B:$B,$AG243))</f>
        <v/>
      </c>
      <c r="AJ243">
        <f>IF($AI243="","",SUMIFS(OPERATING_COEFFS!$C:$C,OPERATING_COEFFS!$A:$A,"SeasonClass",OPERATING_COEFFS!$B:$B,$AI243))</f>
        <v/>
      </c>
      <c r="AL243">
        <f>IF($AK243="","",SUMIFS(OPERATING_COEFFS!$C:$C,OPERATING_COEFFS!$A:$A,"UrgencyClass",OPERATING_COEFFS!$B:$B,$AK243))</f>
        <v/>
      </c>
      <c r="AN243">
        <f>IF($AM243="","",INDEX(TAX_MODES!$B:$B,MATCH($AM243,TAX_MODES!$A:$A,0)))</f>
        <v/>
      </c>
    </row>
    <row r="244">
      <c r="X244" s="15" t="n"/>
      <c r="Y244" s="15">
        <f>IF($X244="","",SUMIFS(TARIFF_PROFILES!$D:$D,TARIFF_PROFILES!$A:$A,$X244))</f>
        <v/>
      </c>
      <c r="Z244" s="15">
        <f>IF($X244="","",SUMIFS(TARIFF_PROFILES!$E:$E,TARIFF_PROFILES!$A:$A,$X244))</f>
        <v/>
      </c>
      <c r="AA244" s="15">
        <f>IF($X244="","",SUMIFS(TARIFF_PROFILES!$F:$F,TARIFF_PROFILES!$A:$A,$X244))</f>
        <v/>
      </c>
      <c r="AB244" s="15">
        <f>IF($X244="","",SUMIFS(TARIFF_PROFILES!$G:$G,TARIFF_PROFILES!$A:$A,$X244))</f>
        <v/>
      </c>
      <c r="AC244" s="15">
        <f>IF($X244="","",SUMIFS(TARIFF_PROFILES!$H:$H,TARIFF_PROFILES!$A:$A,$X244))</f>
        <v/>
      </c>
      <c r="AD244" s="15">
        <f>IF($X244="","",INDEX(TARIFF_PROFILES!$J:$J,MATCH($X244,TARIFF_PROFILES!$A:$A,0)))</f>
        <v/>
      </c>
      <c r="AE244" s="15">
        <f>IF($X244="","",INDEX(TARIFF_PROFILES!$K:$K,MATCH($X244,TARIFF_PROFILES!$A:$A,0)))</f>
        <v/>
      </c>
      <c r="AH244">
        <f>IF($AG244="","",SUMIFS(OPERATING_COEFFS!$C:$C,OPERATING_COEFFS!$A:$A,"DistanceClass",OPERATING_COEFFS!$B:$B,$AG244))</f>
        <v/>
      </c>
      <c r="AJ244">
        <f>IF($AI244="","",SUMIFS(OPERATING_COEFFS!$C:$C,OPERATING_COEFFS!$A:$A,"SeasonClass",OPERATING_COEFFS!$B:$B,$AI244))</f>
        <v/>
      </c>
      <c r="AL244">
        <f>IF($AK244="","",SUMIFS(OPERATING_COEFFS!$C:$C,OPERATING_COEFFS!$A:$A,"UrgencyClass",OPERATING_COEFFS!$B:$B,$AK244))</f>
        <v/>
      </c>
      <c r="AN244">
        <f>IF($AM244="","",INDEX(TAX_MODES!$B:$B,MATCH($AM244,TAX_MODES!$A:$A,0)))</f>
        <v/>
      </c>
    </row>
    <row r="245">
      <c r="X245" s="15" t="n"/>
      <c r="Y245" s="15">
        <f>IF($X245="","",SUMIFS(TARIFF_PROFILES!$D:$D,TARIFF_PROFILES!$A:$A,$X245))</f>
        <v/>
      </c>
      <c r="Z245" s="15">
        <f>IF($X245="","",SUMIFS(TARIFF_PROFILES!$E:$E,TARIFF_PROFILES!$A:$A,$X245))</f>
        <v/>
      </c>
      <c r="AA245" s="15">
        <f>IF($X245="","",SUMIFS(TARIFF_PROFILES!$F:$F,TARIFF_PROFILES!$A:$A,$X245))</f>
        <v/>
      </c>
      <c r="AB245" s="15">
        <f>IF($X245="","",SUMIFS(TARIFF_PROFILES!$G:$G,TARIFF_PROFILES!$A:$A,$X245))</f>
        <v/>
      </c>
      <c r="AC245" s="15">
        <f>IF($X245="","",SUMIFS(TARIFF_PROFILES!$H:$H,TARIFF_PROFILES!$A:$A,$X245))</f>
        <v/>
      </c>
      <c r="AD245" s="15">
        <f>IF($X245="","",INDEX(TARIFF_PROFILES!$J:$J,MATCH($X245,TARIFF_PROFILES!$A:$A,0)))</f>
        <v/>
      </c>
      <c r="AE245" s="15">
        <f>IF($X245="","",INDEX(TARIFF_PROFILES!$K:$K,MATCH($X245,TARIFF_PROFILES!$A:$A,0)))</f>
        <v/>
      </c>
      <c r="AH245">
        <f>IF($AG245="","",SUMIFS(OPERATING_COEFFS!$C:$C,OPERATING_COEFFS!$A:$A,"DistanceClass",OPERATING_COEFFS!$B:$B,$AG245))</f>
        <v/>
      </c>
      <c r="AJ245">
        <f>IF($AI245="","",SUMIFS(OPERATING_COEFFS!$C:$C,OPERATING_COEFFS!$A:$A,"SeasonClass",OPERATING_COEFFS!$B:$B,$AI245))</f>
        <v/>
      </c>
      <c r="AL245">
        <f>IF($AK245="","",SUMIFS(OPERATING_COEFFS!$C:$C,OPERATING_COEFFS!$A:$A,"UrgencyClass",OPERATING_COEFFS!$B:$B,$AK245))</f>
        <v/>
      </c>
      <c r="AN245">
        <f>IF($AM245="","",INDEX(TAX_MODES!$B:$B,MATCH($AM245,TAX_MODES!$A:$A,0)))</f>
        <v/>
      </c>
    </row>
    <row r="246">
      <c r="X246" s="15" t="n"/>
      <c r="Y246" s="15">
        <f>IF($X246="","",SUMIFS(TARIFF_PROFILES!$D:$D,TARIFF_PROFILES!$A:$A,$X246))</f>
        <v/>
      </c>
      <c r="Z246" s="15">
        <f>IF($X246="","",SUMIFS(TARIFF_PROFILES!$E:$E,TARIFF_PROFILES!$A:$A,$X246))</f>
        <v/>
      </c>
      <c r="AA246" s="15">
        <f>IF($X246="","",SUMIFS(TARIFF_PROFILES!$F:$F,TARIFF_PROFILES!$A:$A,$X246))</f>
        <v/>
      </c>
      <c r="AB246" s="15">
        <f>IF($X246="","",SUMIFS(TARIFF_PROFILES!$G:$G,TARIFF_PROFILES!$A:$A,$X246))</f>
        <v/>
      </c>
      <c r="AC246" s="15">
        <f>IF($X246="","",SUMIFS(TARIFF_PROFILES!$H:$H,TARIFF_PROFILES!$A:$A,$X246))</f>
        <v/>
      </c>
      <c r="AD246" s="15">
        <f>IF($X246="","",INDEX(TARIFF_PROFILES!$J:$J,MATCH($X246,TARIFF_PROFILES!$A:$A,0)))</f>
        <v/>
      </c>
      <c r="AE246" s="15">
        <f>IF($X246="","",INDEX(TARIFF_PROFILES!$K:$K,MATCH($X246,TARIFF_PROFILES!$A:$A,0)))</f>
        <v/>
      </c>
      <c r="AH246">
        <f>IF($AG246="","",SUMIFS(OPERATING_COEFFS!$C:$C,OPERATING_COEFFS!$A:$A,"DistanceClass",OPERATING_COEFFS!$B:$B,$AG246))</f>
        <v/>
      </c>
      <c r="AJ246">
        <f>IF($AI246="","",SUMIFS(OPERATING_COEFFS!$C:$C,OPERATING_COEFFS!$A:$A,"SeasonClass",OPERATING_COEFFS!$B:$B,$AI246))</f>
        <v/>
      </c>
      <c r="AL246">
        <f>IF($AK246="","",SUMIFS(OPERATING_COEFFS!$C:$C,OPERATING_COEFFS!$A:$A,"UrgencyClass",OPERATING_COEFFS!$B:$B,$AK246))</f>
        <v/>
      </c>
      <c r="AN246">
        <f>IF($AM246="","",INDEX(TAX_MODES!$B:$B,MATCH($AM246,TAX_MODES!$A:$A,0)))</f>
        <v/>
      </c>
    </row>
    <row r="247">
      <c r="X247" s="15" t="n"/>
      <c r="Y247" s="15">
        <f>IF($X247="","",SUMIFS(TARIFF_PROFILES!$D:$D,TARIFF_PROFILES!$A:$A,$X247))</f>
        <v/>
      </c>
      <c r="Z247" s="15">
        <f>IF($X247="","",SUMIFS(TARIFF_PROFILES!$E:$E,TARIFF_PROFILES!$A:$A,$X247))</f>
        <v/>
      </c>
      <c r="AA247" s="15">
        <f>IF($X247="","",SUMIFS(TARIFF_PROFILES!$F:$F,TARIFF_PROFILES!$A:$A,$X247))</f>
        <v/>
      </c>
      <c r="AB247" s="15">
        <f>IF($X247="","",SUMIFS(TARIFF_PROFILES!$G:$G,TARIFF_PROFILES!$A:$A,$X247))</f>
        <v/>
      </c>
      <c r="AC247" s="15">
        <f>IF($X247="","",SUMIFS(TARIFF_PROFILES!$H:$H,TARIFF_PROFILES!$A:$A,$X247))</f>
        <v/>
      </c>
      <c r="AD247" s="15">
        <f>IF($X247="","",INDEX(TARIFF_PROFILES!$J:$J,MATCH($X247,TARIFF_PROFILES!$A:$A,0)))</f>
        <v/>
      </c>
      <c r="AE247" s="15">
        <f>IF($X247="","",INDEX(TARIFF_PROFILES!$K:$K,MATCH($X247,TARIFF_PROFILES!$A:$A,0)))</f>
        <v/>
      </c>
      <c r="AH247">
        <f>IF($AG247="","",SUMIFS(OPERATING_COEFFS!$C:$C,OPERATING_COEFFS!$A:$A,"DistanceClass",OPERATING_COEFFS!$B:$B,$AG247))</f>
        <v/>
      </c>
      <c r="AJ247">
        <f>IF($AI247="","",SUMIFS(OPERATING_COEFFS!$C:$C,OPERATING_COEFFS!$A:$A,"SeasonClass",OPERATING_COEFFS!$B:$B,$AI247))</f>
        <v/>
      </c>
      <c r="AL247">
        <f>IF($AK247="","",SUMIFS(OPERATING_COEFFS!$C:$C,OPERATING_COEFFS!$A:$A,"UrgencyClass",OPERATING_COEFFS!$B:$B,$AK247))</f>
        <v/>
      </c>
      <c r="AN247">
        <f>IF($AM247="","",INDEX(TAX_MODES!$B:$B,MATCH($AM247,TAX_MODES!$A:$A,0)))</f>
        <v/>
      </c>
    </row>
    <row r="248">
      <c r="X248" s="15" t="n"/>
      <c r="Y248" s="15">
        <f>IF($X248="","",SUMIFS(TARIFF_PROFILES!$D:$D,TARIFF_PROFILES!$A:$A,$X248))</f>
        <v/>
      </c>
      <c r="Z248" s="15">
        <f>IF($X248="","",SUMIFS(TARIFF_PROFILES!$E:$E,TARIFF_PROFILES!$A:$A,$X248))</f>
        <v/>
      </c>
      <c r="AA248" s="15">
        <f>IF($X248="","",SUMIFS(TARIFF_PROFILES!$F:$F,TARIFF_PROFILES!$A:$A,$X248))</f>
        <v/>
      </c>
      <c r="AB248" s="15">
        <f>IF($X248="","",SUMIFS(TARIFF_PROFILES!$G:$G,TARIFF_PROFILES!$A:$A,$X248))</f>
        <v/>
      </c>
      <c r="AC248" s="15">
        <f>IF($X248="","",SUMIFS(TARIFF_PROFILES!$H:$H,TARIFF_PROFILES!$A:$A,$X248))</f>
        <v/>
      </c>
      <c r="AD248" s="15">
        <f>IF($X248="","",INDEX(TARIFF_PROFILES!$J:$J,MATCH($X248,TARIFF_PROFILES!$A:$A,0)))</f>
        <v/>
      </c>
      <c r="AE248" s="15">
        <f>IF($X248="","",INDEX(TARIFF_PROFILES!$K:$K,MATCH($X248,TARIFF_PROFILES!$A:$A,0)))</f>
        <v/>
      </c>
      <c r="AH248">
        <f>IF($AG248="","",SUMIFS(OPERATING_COEFFS!$C:$C,OPERATING_COEFFS!$A:$A,"DistanceClass",OPERATING_COEFFS!$B:$B,$AG248))</f>
        <v/>
      </c>
      <c r="AJ248">
        <f>IF($AI248="","",SUMIFS(OPERATING_COEFFS!$C:$C,OPERATING_COEFFS!$A:$A,"SeasonClass",OPERATING_COEFFS!$B:$B,$AI248))</f>
        <v/>
      </c>
      <c r="AL248">
        <f>IF($AK248="","",SUMIFS(OPERATING_COEFFS!$C:$C,OPERATING_COEFFS!$A:$A,"UrgencyClass",OPERATING_COEFFS!$B:$B,$AK248))</f>
        <v/>
      </c>
      <c r="AN248">
        <f>IF($AM248="","",INDEX(TAX_MODES!$B:$B,MATCH($AM248,TAX_MODES!$A:$A,0)))</f>
        <v/>
      </c>
    </row>
    <row r="249">
      <c r="X249" s="15" t="n"/>
      <c r="Y249" s="15">
        <f>IF($X249="","",SUMIFS(TARIFF_PROFILES!$D:$D,TARIFF_PROFILES!$A:$A,$X249))</f>
        <v/>
      </c>
      <c r="Z249" s="15">
        <f>IF($X249="","",SUMIFS(TARIFF_PROFILES!$E:$E,TARIFF_PROFILES!$A:$A,$X249))</f>
        <v/>
      </c>
      <c r="AA249" s="15">
        <f>IF($X249="","",SUMIFS(TARIFF_PROFILES!$F:$F,TARIFF_PROFILES!$A:$A,$X249))</f>
        <v/>
      </c>
      <c r="AB249" s="15">
        <f>IF($X249="","",SUMIFS(TARIFF_PROFILES!$G:$G,TARIFF_PROFILES!$A:$A,$X249))</f>
        <v/>
      </c>
      <c r="AC249" s="15">
        <f>IF($X249="","",SUMIFS(TARIFF_PROFILES!$H:$H,TARIFF_PROFILES!$A:$A,$X249))</f>
        <v/>
      </c>
      <c r="AD249" s="15">
        <f>IF($X249="","",INDEX(TARIFF_PROFILES!$J:$J,MATCH($X249,TARIFF_PROFILES!$A:$A,0)))</f>
        <v/>
      </c>
      <c r="AE249" s="15">
        <f>IF($X249="","",INDEX(TARIFF_PROFILES!$K:$K,MATCH($X249,TARIFF_PROFILES!$A:$A,0)))</f>
        <v/>
      </c>
      <c r="AH249">
        <f>IF($AG249="","",SUMIFS(OPERATING_COEFFS!$C:$C,OPERATING_COEFFS!$A:$A,"DistanceClass",OPERATING_COEFFS!$B:$B,$AG249))</f>
        <v/>
      </c>
      <c r="AJ249">
        <f>IF($AI249="","",SUMIFS(OPERATING_COEFFS!$C:$C,OPERATING_COEFFS!$A:$A,"SeasonClass",OPERATING_COEFFS!$B:$B,$AI249))</f>
        <v/>
      </c>
      <c r="AL249">
        <f>IF($AK249="","",SUMIFS(OPERATING_COEFFS!$C:$C,OPERATING_COEFFS!$A:$A,"UrgencyClass",OPERATING_COEFFS!$B:$B,$AK249))</f>
        <v/>
      </c>
      <c r="AN249">
        <f>IF($AM249="","",INDEX(TAX_MODES!$B:$B,MATCH($AM249,TAX_MODES!$A:$A,0)))</f>
        <v/>
      </c>
    </row>
    <row r="250">
      <c r="X250" s="15" t="n"/>
      <c r="Y250" s="15">
        <f>IF($X250="","",SUMIFS(TARIFF_PROFILES!$D:$D,TARIFF_PROFILES!$A:$A,$X250))</f>
        <v/>
      </c>
      <c r="Z250" s="15">
        <f>IF($X250="","",SUMIFS(TARIFF_PROFILES!$E:$E,TARIFF_PROFILES!$A:$A,$X250))</f>
        <v/>
      </c>
      <c r="AA250" s="15">
        <f>IF($X250="","",SUMIFS(TARIFF_PROFILES!$F:$F,TARIFF_PROFILES!$A:$A,$X250))</f>
        <v/>
      </c>
      <c r="AB250" s="15">
        <f>IF($X250="","",SUMIFS(TARIFF_PROFILES!$G:$G,TARIFF_PROFILES!$A:$A,$X250))</f>
        <v/>
      </c>
      <c r="AC250" s="15">
        <f>IF($X250="","",SUMIFS(TARIFF_PROFILES!$H:$H,TARIFF_PROFILES!$A:$A,$X250))</f>
        <v/>
      </c>
      <c r="AD250" s="15">
        <f>IF($X250="","",INDEX(TARIFF_PROFILES!$J:$J,MATCH($X250,TARIFF_PROFILES!$A:$A,0)))</f>
        <v/>
      </c>
      <c r="AE250" s="15">
        <f>IF($X250="","",INDEX(TARIFF_PROFILES!$K:$K,MATCH($X250,TARIFF_PROFILES!$A:$A,0)))</f>
        <v/>
      </c>
      <c r="AH250">
        <f>IF($AG250="","",SUMIFS(OPERATING_COEFFS!$C:$C,OPERATING_COEFFS!$A:$A,"DistanceClass",OPERATING_COEFFS!$B:$B,$AG250))</f>
        <v/>
      </c>
      <c r="AJ250">
        <f>IF($AI250="","",SUMIFS(OPERATING_COEFFS!$C:$C,OPERATING_COEFFS!$A:$A,"SeasonClass",OPERATING_COEFFS!$B:$B,$AI250))</f>
        <v/>
      </c>
      <c r="AL250">
        <f>IF($AK250="","",SUMIFS(OPERATING_COEFFS!$C:$C,OPERATING_COEFFS!$A:$A,"UrgencyClass",OPERATING_COEFFS!$B:$B,$AK250))</f>
        <v/>
      </c>
      <c r="AN250">
        <f>IF($AM250="","",INDEX(TAX_MODES!$B:$B,MATCH($AM250,TAX_MODES!$A:$A,0)))</f>
        <v/>
      </c>
    </row>
    <row r="251">
      <c r="X251" s="15" t="n"/>
      <c r="Y251" s="15">
        <f>IF($X251="","",SUMIFS(TARIFF_PROFILES!$D:$D,TARIFF_PROFILES!$A:$A,$X251))</f>
        <v/>
      </c>
      <c r="Z251" s="15">
        <f>IF($X251="","",SUMIFS(TARIFF_PROFILES!$E:$E,TARIFF_PROFILES!$A:$A,$X251))</f>
        <v/>
      </c>
      <c r="AA251" s="15">
        <f>IF($X251="","",SUMIFS(TARIFF_PROFILES!$F:$F,TARIFF_PROFILES!$A:$A,$X251))</f>
        <v/>
      </c>
      <c r="AB251" s="15">
        <f>IF($X251="","",SUMIFS(TARIFF_PROFILES!$G:$G,TARIFF_PROFILES!$A:$A,$X251))</f>
        <v/>
      </c>
      <c r="AC251" s="15">
        <f>IF($X251="","",SUMIFS(TARIFF_PROFILES!$H:$H,TARIFF_PROFILES!$A:$A,$X251))</f>
        <v/>
      </c>
      <c r="AD251" s="15">
        <f>IF($X251="","",INDEX(TARIFF_PROFILES!$J:$J,MATCH($X251,TARIFF_PROFILES!$A:$A,0)))</f>
        <v/>
      </c>
      <c r="AE251" s="15">
        <f>IF($X251="","",INDEX(TARIFF_PROFILES!$K:$K,MATCH($X251,TARIFF_PROFILES!$A:$A,0)))</f>
        <v/>
      </c>
      <c r="AH251">
        <f>IF($AG251="","",SUMIFS(OPERATING_COEFFS!$C:$C,OPERATING_COEFFS!$A:$A,"DistanceClass",OPERATING_COEFFS!$B:$B,$AG251))</f>
        <v/>
      </c>
      <c r="AJ251">
        <f>IF($AI251="","",SUMIFS(OPERATING_COEFFS!$C:$C,OPERATING_COEFFS!$A:$A,"SeasonClass",OPERATING_COEFFS!$B:$B,$AI251))</f>
        <v/>
      </c>
      <c r="AL251">
        <f>IF($AK251="","",SUMIFS(OPERATING_COEFFS!$C:$C,OPERATING_COEFFS!$A:$A,"UrgencyClass",OPERATING_COEFFS!$B:$B,$AK251))</f>
        <v/>
      </c>
      <c r="AN251">
        <f>IF($AM251="","",INDEX(TAX_MODES!$B:$B,MATCH($AM251,TAX_MODES!$A:$A,0)))</f>
        <v/>
      </c>
    </row>
    <row r="252">
      <c r="X252" s="15" t="n"/>
      <c r="Y252" s="15">
        <f>IF($X252="","",SUMIFS(TARIFF_PROFILES!$D:$D,TARIFF_PROFILES!$A:$A,$X252))</f>
        <v/>
      </c>
      <c r="Z252" s="15">
        <f>IF($X252="","",SUMIFS(TARIFF_PROFILES!$E:$E,TARIFF_PROFILES!$A:$A,$X252))</f>
        <v/>
      </c>
      <c r="AA252" s="15">
        <f>IF($X252="","",SUMIFS(TARIFF_PROFILES!$F:$F,TARIFF_PROFILES!$A:$A,$X252))</f>
        <v/>
      </c>
      <c r="AB252" s="15">
        <f>IF($X252="","",SUMIFS(TARIFF_PROFILES!$G:$G,TARIFF_PROFILES!$A:$A,$X252))</f>
        <v/>
      </c>
      <c r="AC252" s="15">
        <f>IF($X252="","",SUMIFS(TARIFF_PROFILES!$H:$H,TARIFF_PROFILES!$A:$A,$X252))</f>
        <v/>
      </c>
      <c r="AD252" s="15">
        <f>IF($X252="","",INDEX(TARIFF_PROFILES!$J:$J,MATCH($X252,TARIFF_PROFILES!$A:$A,0)))</f>
        <v/>
      </c>
      <c r="AE252" s="15">
        <f>IF($X252="","",INDEX(TARIFF_PROFILES!$K:$K,MATCH($X252,TARIFF_PROFILES!$A:$A,0)))</f>
        <v/>
      </c>
      <c r="AH252">
        <f>IF($AG252="","",SUMIFS(OPERATING_COEFFS!$C:$C,OPERATING_COEFFS!$A:$A,"DistanceClass",OPERATING_COEFFS!$B:$B,$AG252))</f>
        <v/>
      </c>
      <c r="AJ252">
        <f>IF($AI252="","",SUMIFS(OPERATING_COEFFS!$C:$C,OPERATING_COEFFS!$A:$A,"SeasonClass",OPERATING_COEFFS!$B:$B,$AI252))</f>
        <v/>
      </c>
      <c r="AL252">
        <f>IF($AK252="","",SUMIFS(OPERATING_COEFFS!$C:$C,OPERATING_COEFFS!$A:$A,"UrgencyClass",OPERATING_COEFFS!$B:$B,$AK252))</f>
        <v/>
      </c>
      <c r="AN252">
        <f>IF($AM252="","",INDEX(TAX_MODES!$B:$B,MATCH($AM252,TAX_MODES!$A:$A,0)))</f>
        <v/>
      </c>
    </row>
    <row r="253">
      <c r="X253" s="15" t="n"/>
      <c r="Y253" s="15">
        <f>IF($X253="","",SUMIFS(TARIFF_PROFILES!$D:$D,TARIFF_PROFILES!$A:$A,$X253))</f>
        <v/>
      </c>
      <c r="Z253" s="15">
        <f>IF($X253="","",SUMIFS(TARIFF_PROFILES!$E:$E,TARIFF_PROFILES!$A:$A,$X253))</f>
        <v/>
      </c>
      <c r="AA253" s="15">
        <f>IF($X253="","",SUMIFS(TARIFF_PROFILES!$F:$F,TARIFF_PROFILES!$A:$A,$X253))</f>
        <v/>
      </c>
      <c r="AB253" s="15">
        <f>IF($X253="","",SUMIFS(TARIFF_PROFILES!$G:$G,TARIFF_PROFILES!$A:$A,$X253))</f>
        <v/>
      </c>
      <c r="AC253" s="15">
        <f>IF($X253="","",SUMIFS(TARIFF_PROFILES!$H:$H,TARIFF_PROFILES!$A:$A,$X253))</f>
        <v/>
      </c>
      <c r="AD253" s="15">
        <f>IF($X253="","",INDEX(TARIFF_PROFILES!$J:$J,MATCH($X253,TARIFF_PROFILES!$A:$A,0)))</f>
        <v/>
      </c>
      <c r="AE253" s="15">
        <f>IF($X253="","",INDEX(TARIFF_PROFILES!$K:$K,MATCH($X253,TARIFF_PROFILES!$A:$A,0)))</f>
        <v/>
      </c>
      <c r="AH253">
        <f>IF($AG253="","",SUMIFS(OPERATING_COEFFS!$C:$C,OPERATING_COEFFS!$A:$A,"DistanceClass",OPERATING_COEFFS!$B:$B,$AG253))</f>
        <v/>
      </c>
      <c r="AJ253">
        <f>IF($AI253="","",SUMIFS(OPERATING_COEFFS!$C:$C,OPERATING_COEFFS!$A:$A,"SeasonClass",OPERATING_COEFFS!$B:$B,$AI253))</f>
        <v/>
      </c>
      <c r="AL253">
        <f>IF($AK253="","",SUMIFS(OPERATING_COEFFS!$C:$C,OPERATING_COEFFS!$A:$A,"UrgencyClass",OPERATING_COEFFS!$B:$B,$AK253))</f>
        <v/>
      </c>
      <c r="AN253">
        <f>IF($AM253="","",INDEX(TAX_MODES!$B:$B,MATCH($AM253,TAX_MODES!$A:$A,0)))</f>
        <v/>
      </c>
    </row>
    <row r="254">
      <c r="X254" s="15" t="n"/>
      <c r="Y254" s="15">
        <f>IF($X254="","",SUMIFS(TARIFF_PROFILES!$D:$D,TARIFF_PROFILES!$A:$A,$X254))</f>
        <v/>
      </c>
      <c r="Z254" s="15">
        <f>IF($X254="","",SUMIFS(TARIFF_PROFILES!$E:$E,TARIFF_PROFILES!$A:$A,$X254))</f>
        <v/>
      </c>
      <c r="AA254" s="15">
        <f>IF($X254="","",SUMIFS(TARIFF_PROFILES!$F:$F,TARIFF_PROFILES!$A:$A,$X254))</f>
        <v/>
      </c>
      <c r="AB254" s="15">
        <f>IF($X254="","",SUMIFS(TARIFF_PROFILES!$G:$G,TARIFF_PROFILES!$A:$A,$X254))</f>
        <v/>
      </c>
      <c r="AC254" s="15">
        <f>IF($X254="","",SUMIFS(TARIFF_PROFILES!$H:$H,TARIFF_PROFILES!$A:$A,$X254))</f>
        <v/>
      </c>
      <c r="AD254" s="15">
        <f>IF($X254="","",INDEX(TARIFF_PROFILES!$J:$J,MATCH($X254,TARIFF_PROFILES!$A:$A,0)))</f>
        <v/>
      </c>
      <c r="AE254" s="15">
        <f>IF($X254="","",INDEX(TARIFF_PROFILES!$K:$K,MATCH($X254,TARIFF_PROFILES!$A:$A,0)))</f>
        <v/>
      </c>
      <c r="AH254">
        <f>IF($AG254="","",SUMIFS(OPERATING_COEFFS!$C:$C,OPERATING_COEFFS!$A:$A,"DistanceClass",OPERATING_COEFFS!$B:$B,$AG254))</f>
        <v/>
      </c>
      <c r="AJ254">
        <f>IF($AI254="","",SUMIFS(OPERATING_COEFFS!$C:$C,OPERATING_COEFFS!$A:$A,"SeasonClass",OPERATING_COEFFS!$B:$B,$AI254))</f>
        <v/>
      </c>
      <c r="AL254">
        <f>IF($AK254="","",SUMIFS(OPERATING_COEFFS!$C:$C,OPERATING_COEFFS!$A:$A,"UrgencyClass",OPERATING_COEFFS!$B:$B,$AK254))</f>
        <v/>
      </c>
      <c r="AN254">
        <f>IF($AM254="","",INDEX(TAX_MODES!$B:$B,MATCH($AM254,TAX_MODES!$A:$A,0)))</f>
        <v/>
      </c>
    </row>
    <row r="255">
      <c r="X255" s="15" t="n"/>
      <c r="Y255" s="15">
        <f>IF($X255="","",SUMIFS(TARIFF_PROFILES!$D:$D,TARIFF_PROFILES!$A:$A,$X255))</f>
        <v/>
      </c>
      <c r="Z255" s="15">
        <f>IF($X255="","",SUMIFS(TARIFF_PROFILES!$E:$E,TARIFF_PROFILES!$A:$A,$X255))</f>
        <v/>
      </c>
      <c r="AA255" s="15">
        <f>IF($X255="","",SUMIFS(TARIFF_PROFILES!$F:$F,TARIFF_PROFILES!$A:$A,$X255))</f>
        <v/>
      </c>
      <c r="AB255" s="15">
        <f>IF($X255="","",SUMIFS(TARIFF_PROFILES!$G:$G,TARIFF_PROFILES!$A:$A,$X255))</f>
        <v/>
      </c>
      <c r="AC255" s="15">
        <f>IF($X255="","",SUMIFS(TARIFF_PROFILES!$H:$H,TARIFF_PROFILES!$A:$A,$X255))</f>
        <v/>
      </c>
      <c r="AD255" s="15">
        <f>IF($X255="","",INDEX(TARIFF_PROFILES!$J:$J,MATCH($X255,TARIFF_PROFILES!$A:$A,0)))</f>
        <v/>
      </c>
      <c r="AE255" s="15">
        <f>IF($X255="","",INDEX(TARIFF_PROFILES!$K:$K,MATCH($X255,TARIFF_PROFILES!$A:$A,0)))</f>
        <v/>
      </c>
      <c r="AH255">
        <f>IF($AG255="","",SUMIFS(OPERATING_COEFFS!$C:$C,OPERATING_COEFFS!$A:$A,"DistanceClass",OPERATING_COEFFS!$B:$B,$AG255))</f>
        <v/>
      </c>
      <c r="AJ255">
        <f>IF($AI255="","",SUMIFS(OPERATING_COEFFS!$C:$C,OPERATING_COEFFS!$A:$A,"SeasonClass",OPERATING_COEFFS!$B:$B,$AI255))</f>
        <v/>
      </c>
      <c r="AL255">
        <f>IF($AK255="","",SUMIFS(OPERATING_COEFFS!$C:$C,OPERATING_COEFFS!$A:$A,"UrgencyClass",OPERATING_COEFFS!$B:$B,$AK255))</f>
        <v/>
      </c>
      <c r="AN255">
        <f>IF($AM255="","",INDEX(TAX_MODES!$B:$B,MATCH($AM255,TAX_MODES!$A:$A,0)))</f>
        <v/>
      </c>
    </row>
    <row r="256">
      <c r="X256" s="15" t="n"/>
      <c r="Y256" s="15">
        <f>IF($X256="","",SUMIFS(TARIFF_PROFILES!$D:$D,TARIFF_PROFILES!$A:$A,$X256))</f>
        <v/>
      </c>
      <c r="Z256" s="15">
        <f>IF($X256="","",SUMIFS(TARIFF_PROFILES!$E:$E,TARIFF_PROFILES!$A:$A,$X256))</f>
        <v/>
      </c>
      <c r="AA256" s="15">
        <f>IF($X256="","",SUMIFS(TARIFF_PROFILES!$F:$F,TARIFF_PROFILES!$A:$A,$X256))</f>
        <v/>
      </c>
      <c r="AB256" s="15">
        <f>IF($X256="","",SUMIFS(TARIFF_PROFILES!$G:$G,TARIFF_PROFILES!$A:$A,$X256))</f>
        <v/>
      </c>
      <c r="AC256" s="15">
        <f>IF($X256="","",SUMIFS(TARIFF_PROFILES!$H:$H,TARIFF_PROFILES!$A:$A,$X256))</f>
        <v/>
      </c>
      <c r="AD256" s="15">
        <f>IF($X256="","",INDEX(TARIFF_PROFILES!$J:$J,MATCH($X256,TARIFF_PROFILES!$A:$A,0)))</f>
        <v/>
      </c>
      <c r="AE256" s="15">
        <f>IF($X256="","",INDEX(TARIFF_PROFILES!$K:$K,MATCH($X256,TARIFF_PROFILES!$A:$A,0)))</f>
        <v/>
      </c>
      <c r="AH256">
        <f>IF($AG256="","",SUMIFS(OPERATING_COEFFS!$C:$C,OPERATING_COEFFS!$A:$A,"DistanceClass",OPERATING_COEFFS!$B:$B,$AG256))</f>
        <v/>
      </c>
      <c r="AJ256">
        <f>IF($AI256="","",SUMIFS(OPERATING_COEFFS!$C:$C,OPERATING_COEFFS!$A:$A,"SeasonClass",OPERATING_COEFFS!$B:$B,$AI256))</f>
        <v/>
      </c>
      <c r="AL256">
        <f>IF($AK256="","",SUMIFS(OPERATING_COEFFS!$C:$C,OPERATING_COEFFS!$A:$A,"UrgencyClass",OPERATING_COEFFS!$B:$B,$AK256))</f>
        <v/>
      </c>
      <c r="AN256">
        <f>IF($AM256="","",INDEX(TAX_MODES!$B:$B,MATCH($AM256,TAX_MODES!$A:$A,0)))</f>
        <v/>
      </c>
    </row>
    <row r="257">
      <c r="X257" s="15" t="n"/>
      <c r="Y257" s="15">
        <f>IF($X257="","",SUMIFS(TARIFF_PROFILES!$D:$D,TARIFF_PROFILES!$A:$A,$X257))</f>
        <v/>
      </c>
      <c r="Z257" s="15">
        <f>IF($X257="","",SUMIFS(TARIFF_PROFILES!$E:$E,TARIFF_PROFILES!$A:$A,$X257))</f>
        <v/>
      </c>
      <c r="AA257" s="15">
        <f>IF($X257="","",SUMIFS(TARIFF_PROFILES!$F:$F,TARIFF_PROFILES!$A:$A,$X257))</f>
        <v/>
      </c>
      <c r="AB257" s="15">
        <f>IF($X257="","",SUMIFS(TARIFF_PROFILES!$G:$G,TARIFF_PROFILES!$A:$A,$X257))</f>
        <v/>
      </c>
      <c r="AC257" s="15">
        <f>IF($X257="","",SUMIFS(TARIFF_PROFILES!$H:$H,TARIFF_PROFILES!$A:$A,$X257))</f>
        <v/>
      </c>
      <c r="AD257" s="15">
        <f>IF($X257="","",INDEX(TARIFF_PROFILES!$J:$J,MATCH($X257,TARIFF_PROFILES!$A:$A,0)))</f>
        <v/>
      </c>
      <c r="AE257" s="15">
        <f>IF($X257="","",INDEX(TARIFF_PROFILES!$K:$K,MATCH($X257,TARIFF_PROFILES!$A:$A,0)))</f>
        <v/>
      </c>
      <c r="AH257">
        <f>IF($AG257="","",SUMIFS(OPERATING_COEFFS!$C:$C,OPERATING_COEFFS!$A:$A,"DistanceClass",OPERATING_COEFFS!$B:$B,$AG257))</f>
        <v/>
      </c>
      <c r="AJ257">
        <f>IF($AI257="","",SUMIFS(OPERATING_COEFFS!$C:$C,OPERATING_COEFFS!$A:$A,"SeasonClass",OPERATING_COEFFS!$B:$B,$AI257))</f>
        <v/>
      </c>
      <c r="AL257">
        <f>IF($AK257="","",SUMIFS(OPERATING_COEFFS!$C:$C,OPERATING_COEFFS!$A:$A,"UrgencyClass",OPERATING_COEFFS!$B:$B,$AK257))</f>
        <v/>
      </c>
      <c r="AN257">
        <f>IF($AM257="","",INDEX(TAX_MODES!$B:$B,MATCH($AM257,TAX_MODES!$A:$A,0)))</f>
        <v/>
      </c>
    </row>
    <row r="258">
      <c r="X258" s="15" t="n"/>
      <c r="Y258" s="15">
        <f>IF($X258="","",SUMIFS(TARIFF_PROFILES!$D:$D,TARIFF_PROFILES!$A:$A,$X258))</f>
        <v/>
      </c>
      <c r="Z258" s="15">
        <f>IF($X258="","",SUMIFS(TARIFF_PROFILES!$E:$E,TARIFF_PROFILES!$A:$A,$X258))</f>
        <v/>
      </c>
      <c r="AA258" s="15">
        <f>IF($X258="","",SUMIFS(TARIFF_PROFILES!$F:$F,TARIFF_PROFILES!$A:$A,$X258))</f>
        <v/>
      </c>
      <c r="AB258" s="15">
        <f>IF($X258="","",SUMIFS(TARIFF_PROFILES!$G:$G,TARIFF_PROFILES!$A:$A,$X258))</f>
        <v/>
      </c>
      <c r="AC258" s="15">
        <f>IF($X258="","",SUMIFS(TARIFF_PROFILES!$H:$H,TARIFF_PROFILES!$A:$A,$X258))</f>
        <v/>
      </c>
      <c r="AD258" s="15">
        <f>IF($X258="","",INDEX(TARIFF_PROFILES!$J:$J,MATCH($X258,TARIFF_PROFILES!$A:$A,0)))</f>
        <v/>
      </c>
      <c r="AE258" s="15">
        <f>IF($X258="","",INDEX(TARIFF_PROFILES!$K:$K,MATCH($X258,TARIFF_PROFILES!$A:$A,0)))</f>
        <v/>
      </c>
      <c r="AH258">
        <f>IF($AG258="","",SUMIFS(OPERATING_COEFFS!$C:$C,OPERATING_COEFFS!$A:$A,"DistanceClass",OPERATING_COEFFS!$B:$B,$AG258))</f>
        <v/>
      </c>
      <c r="AJ258">
        <f>IF($AI258="","",SUMIFS(OPERATING_COEFFS!$C:$C,OPERATING_COEFFS!$A:$A,"SeasonClass",OPERATING_COEFFS!$B:$B,$AI258))</f>
        <v/>
      </c>
      <c r="AL258">
        <f>IF($AK258="","",SUMIFS(OPERATING_COEFFS!$C:$C,OPERATING_COEFFS!$A:$A,"UrgencyClass",OPERATING_COEFFS!$B:$B,$AK258))</f>
        <v/>
      </c>
      <c r="AN258">
        <f>IF($AM258="","",INDEX(TAX_MODES!$B:$B,MATCH($AM258,TAX_MODES!$A:$A,0)))</f>
        <v/>
      </c>
    </row>
    <row r="259">
      <c r="X259" s="15" t="n"/>
      <c r="Y259" s="15">
        <f>IF($X259="","",SUMIFS(TARIFF_PROFILES!$D:$D,TARIFF_PROFILES!$A:$A,$X259))</f>
        <v/>
      </c>
      <c r="Z259" s="15">
        <f>IF($X259="","",SUMIFS(TARIFF_PROFILES!$E:$E,TARIFF_PROFILES!$A:$A,$X259))</f>
        <v/>
      </c>
      <c r="AA259" s="15">
        <f>IF($X259="","",SUMIFS(TARIFF_PROFILES!$F:$F,TARIFF_PROFILES!$A:$A,$X259))</f>
        <v/>
      </c>
      <c r="AB259" s="15">
        <f>IF($X259="","",SUMIFS(TARIFF_PROFILES!$G:$G,TARIFF_PROFILES!$A:$A,$X259))</f>
        <v/>
      </c>
      <c r="AC259" s="15">
        <f>IF($X259="","",SUMIFS(TARIFF_PROFILES!$H:$H,TARIFF_PROFILES!$A:$A,$X259))</f>
        <v/>
      </c>
      <c r="AD259" s="15">
        <f>IF($X259="","",INDEX(TARIFF_PROFILES!$J:$J,MATCH($X259,TARIFF_PROFILES!$A:$A,0)))</f>
        <v/>
      </c>
      <c r="AE259" s="15">
        <f>IF($X259="","",INDEX(TARIFF_PROFILES!$K:$K,MATCH($X259,TARIFF_PROFILES!$A:$A,0)))</f>
        <v/>
      </c>
      <c r="AH259">
        <f>IF($AG259="","",SUMIFS(OPERATING_COEFFS!$C:$C,OPERATING_COEFFS!$A:$A,"DistanceClass",OPERATING_COEFFS!$B:$B,$AG259))</f>
        <v/>
      </c>
      <c r="AJ259">
        <f>IF($AI259="","",SUMIFS(OPERATING_COEFFS!$C:$C,OPERATING_COEFFS!$A:$A,"SeasonClass",OPERATING_COEFFS!$B:$B,$AI259))</f>
        <v/>
      </c>
      <c r="AL259">
        <f>IF($AK259="","",SUMIFS(OPERATING_COEFFS!$C:$C,OPERATING_COEFFS!$A:$A,"UrgencyClass",OPERATING_COEFFS!$B:$B,$AK259))</f>
        <v/>
      </c>
      <c r="AN259">
        <f>IF($AM259="","",INDEX(TAX_MODES!$B:$B,MATCH($AM259,TAX_MODES!$A:$A,0)))</f>
        <v/>
      </c>
    </row>
    <row r="260">
      <c r="X260" s="15" t="n"/>
      <c r="Y260" s="15">
        <f>IF($X260="","",SUMIFS(TARIFF_PROFILES!$D:$D,TARIFF_PROFILES!$A:$A,$X260))</f>
        <v/>
      </c>
      <c r="Z260" s="15">
        <f>IF($X260="","",SUMIFS(TARIFF_PROFILES!$E:$E,TARIFF_PROFILES!$A:$A,$X260))</f>
        <v/>
      </c>
      <c r="AA260" s="15">
        <f>IF($X260="","",SUMIFS(TARIFF_PROFILES!$F:$F,TARIFF_PROFILES!$A:$A,$X260))</f>
        <v/>
      </c>
      <c r="AB260" s="15">
        <f>IF($X260="","",SUMIFS(TARIFF_PROFILES!$G:$G,TARIFF_PROFILES!$A:$A,$X260))</f>
        <v/>
      </c>
      <c r="AC260" s="15">
        <f>IF($X260="","",SUMIFS(TARIFF_PROFILES!$H:$H,TARIFF_PROFILES!$A:$A,$X260))</f>
        <v/>
      </c>
      <c r="AD260" s="15">
        <f>IF($X260="","",INDEX(TARIFF_PROFILES!$J:$J,MATCH($X260,TARIFF_PROFILES!$A:$A,0)))</f>
        <v/>
      </c>
      <c r="AE260" s="15">
        <f>IF($X260="","",INDEX(TARIFF_PROFILES!$K:$K,MATCH($X260,TARIFF_PROFILES!$A:$A,0)))</f>
        <v/>
      </c>
      <c r="AH260">
        <f>IF($AG260="","",SUMIFS(OPERATING_COEFFS!$C:$C,OPERATING_COEFFS!$A:$A,"DistanceClass",OPERATING_COEFFS!$B:$B,$AG260))</f>
        <v/>
      </c>
      <c r="AJ260">
        <f>IF($AI260="","",SUMIFS(OPERATING_COEFFS!$C:$C,OPERATING_COEFFS!$A:$A,"SeasonClass",OPERATING_COEFFS!$B:$B,$AI260))</f>
        <v/>
      </c>
      <c r="AL260">
        <f>IF($AK260="","",SUMIFS(OPERATING_COEFFS!$C:$C,OPERATING_COEFFS!$A:$A,"UrgencyClass",OPERATING_COEFFS!$B:$B,$AK260))</f>
        <v/>
      </c>
      <c r="AN260">
        <f>IF($AM260="","",INDEX(TAX_MODES!$B:$B,MATCH($AM260,TAX_MODES!$A:$A,0)))</f>
        <v/>
      </c>
    </row>
    <row r="261">
      <c r="X261" s="15" t="n"/>
      <c r="Y261" s="15">
        <f>IF($X261="","",SUMIFS(TARIFF_PROFILES!$D:$D,TARIFF_PROFILES!$A:$A,$X261))</f>
        <v/>
      </c>
      <c r="Z261" s="15">
        <f>IF($X261="","",SUMIFS(TARIFF_PROFILES!$E:$E,TARIFF_PROFILES!$A:$A,$X261))</f>
        <v/>
      </c>
      <c r="AA261" s="15">
        <f>IF($X261="","",SUMIFS(TARIFF_PROFILES!$F:$F,TARIFF_PROFILES!$A:$A,$X261))</f>
        <v/>
      </c>
      <c r="AB261" s="15">
        <f>IF($X261="","",SUMIFS(TARIFF_PROFILES!$G:$G,TARIFF_PROFILES!$A:$A,$X261))</f>
        <v/>
      </c>
      <c r="AC261" s="15">
        <f>IF($X261="","",SUMIFS(TARIFF_PROFILES!$H:$H,TARIFF_PROFILES!$A:$A,$X261))</f>
        <v/>
      </c>
      <c r="AD261" s="15">
        <f>IF($X261="","",INDEX(TARIFF_PROFILES!$J:$J,MATCH($X261,TARIFF_PROFILES!$A:$A,0)))</f>
        <v/>
      </c>
      <c r="AE261" s="15">
        <f>IF($X261="","",INDEX(TARIFF_PROFILES!$K:$K,MATCH($X261,TARIFF_PROFILES!$A:$A,0)))</f>
        <v/>
      </c>
      <c r="AH261">
        <f>IF($AG261="","",SUMIFS(OPERATING_COEFFS!$C:$C,OPERATING_COEFFS!$A:$A,"DistanceClass",OPERATING_COEFFS!$B:$B,$AG261))</f>
        <v/>
      </c>
      <c r="AJ261">
        <f>IF($AI261="","",SUMIFS(OPERATING_COEFFS!$C:$C,OPERATING_COEFFS!$A:$A,"SeasonClass",OPERATING_COEFFS!$B:$B,$AI261))</f>
        <v/>
      </c>
      <c r="AL261">
        <f>IF($AK261="","",SUMIFS(OPERATING_COEFFS!$C:$C,OPERATING_COEFFS!$A:$A,"UrgencyClass",OPERATING_COEFFS!$B:$B,$AK261))</f>
        <v/>
      </c>
      <c r="AN261">
        <f>IF($AM261="","",INDEX(TAX_MODES!$B:$B,MATCH($AM261,TAX_MODES!$A:$A,0)))</f>
        <v/>
      </c>
    </row>
    <row r="262">
      <c r="X262" s="15" t="n"/>
      <c r="Y262" s="15">
        <f>IF($X262="","",SUMIFS(TARIFF_PROFILES!$D:$D,TARIFF_PROFILES!$A:$A,$X262))</f>
        <v/>
      </c>
      <c r="Z262" s="15">
        <f>IF($X262="","",SUMIFS(TARIFF_PROFILES!$E:$E,TARIFF_PROFILES!$A:$A,$X262))</f>
        <v/>
      </c>
      <c r="AA262" s="15">
        <f>IF($X262="","",SUMIFS(TARIFF_PROFILES!$F:$F,TARIFF_PROFILES!$A:$A,$X262))</f>
        <v/>
      </c>
      <c r="AB262" s="15">
        <f>IF($X262="","",SUMIFS(TARIFF_PROFILES!$G:$G,TARIFF_PROFILES!$A:$A,$X262))</f>
        <v/>
      </c>
      <c r="AC262" s="15">
        <f>IF($X262="","",SUMIFS(TARIFF_PROFILES!$H:$H,TARIFF_PROFILES!$A:$A,$X262))</f>
        <v/>
      </c>
      <c r="AD262" s="15">
        <f>IF($X262="","",INDEX(TARIFF_PROFILES!$J:$J,MATCH($X262,TARIFF_PROFILES!$A:$A,0)))</f>
        <v/>
      </c>
      <c r="AE262" s="15">
        <f>IF($X262="","",INDEX(TARIFF_PROFILES!$K:$K,MATCH($X262,TARIFF_PROFILES!$A:$A,0)))</f>
        <v/>
      </c>
      <c r="AH262">
        <f>IF($AG262="","",SUMIFS(OPERATING_COEFFS!$C:$C,OPERATING_COEFFS!$A:$A,"DistanceClass",OPERATING_COEFFS!$B:$B,$AG262))</f>
        <v/>
      </c>
      <c r="AJ262">
        <f>IF($AI262="","",SUMIFS(OPERATING_COEFFS!$C:$C,OPERATING_COEFFS!$A:$A,"SeasonClass",OPERATING_COEFFS!$B:$B,$AI262))</f>
        <v/>
      </c>
      <c r="AL262">
        <f>IF($AK262="","",SUMIFS(OPERATING_COEFFS!$C:$C,OPERATING_COEFFS!$A:$A,"UrgencyClass",OPERATING_COEFFS!$B:$B,$AK262))</f>
        <v/>
      </c>
      <c r="AN262">
        <f>IF($AM262="","",INDEX(TAX_MODES!$B:$B,MATCH($AM262,TAX_MODES!$A:$A,0)))</f>
        <v/>
      </c>
    </row>
    <row r="263">
      <c r="X263" s="15" t="n"/>
      <c r="Y263" s="15">
        <f>IF($X263="","",SUMIFS(TARIFF_PROFILES!$D:$D,TARIFF_PROFILES!$A:$A,$X263))</f>
        <v/>
      </c>
      <c r="Z263" s="15">
        <f>IF($X263="","",SUMIFS(TARIFF_PROFILES!$E:$E,TARIFF_PROFILES!$A:$A,$X263))</f>
        <v/>
      </c>
      <c r="AA263" s="15">
        <f>IF($X263="","",SUMIFS(TARIFF_PROFILES!$F:$F,TARIFF_PROFILES!$A:$A,$X263))</f>
        <v/>
      </c>
      <c r="AB263" s="15">
        <f>IF($X263="","",SUMIFS(TARIFF_PROFILES!$G:$G,TARIFF_PROFILES!$A:$A,$X263))</f>
        <v/>
      </c>
      <c r="AC263" s="15">
        <f>IF($X263="","",SUMIFS(TARIFF_PROFILES!$H:$H,TARIFF_PROFILES!$A:$A,$X263))</f>
        <v/>
      </c>
      <c r="AD263" s="15">
        <f>IF($X263="","",INDEX(TARIFF_PROFILES!$J:$J,MATCH($X263,TARIFF_PROFILES!$A:$A,0)))</f>
        <v/>
      </c>
      <c r="AE263" s="15">
        <f>IF($X263="","",INDEX(TARIFF_PROFILES!$K:$K,MATCH($X263,TARIFF_PROFILES!$A:$A,0)))</f>
        <v/>
      </c>
      <c r="AH263">
        <f>IF($AG263="","",SUMIFS(OPERATING_COEFFS!$C:$C,OPERATING_COEFFS!$A:$A,"DistanceClass",OPERATING_COEFFS!$B:$B,$AG263))</f>
        <v/>
      </c>
      <c r="AJ263">
        <f>IF($AI263="","",SUMIFS(OPERATING_COEFFS!$C:$C,OPERATING_COEFFS!$A:$A,"SeasonClass",OPERATING_COEFFS!$B:$B,$AI263))</f>
        <v/>
      </c>
      <c r="AL263">
        <f>IF($AK263="","",SUMIFS(OPERATING_COEFFS!$C:$C,OPERATING_COEFFS!$A:$A,"UrgencyClass",OPERATING_COEFFS!$B:$B,$AK263))</f>
        <v/>
      </c>
      <c r="AN263">
        <f>IF($AM263="","",INDEX(TAX_MODES!$B:$B,MATCH($AM263,TAX_MODES!$A:$A,0)))</f>
        <v/>
      </c>
    </row>
    <row r="264">
      <c r="X264" s="15" t="n"/>
      <c r="Y264" s="15">
        <f>IF($X264="","",SUMIFS(TARIFF_PROFILES!$D:$D,TARIFF_PROFILES!$A:$A,$X264))</f>
        <v/>
      </c>
      <c r="Z264" s="15">
        <f>IF($X264="","",SUMIFS(TARIFF_PROFILES!$E:$E,TARIFF_PROFILES!$A:$A,$X264))</f>
        <v/>
      </c>
      <c r="AA264" s="15">
        <f>IF($X264="","",SUMIFS(TARIFF_PROFILES!$F:$F,TARIFF_PROFILES!$A:$A,$X264))</f>
        <v/>
      </c>
      <c r="AB264" s="15">
        <f>IF($X264="","",SUMIFS(TARIFF_PROFILES!$G:$G,TARIFF_PROFILES!$A:$A,$X264))</f>
        <v/>
      </c>
      <c r="AC264" s="15">
        <f>IF($X264="","",SUMIFS(TARIFF_PROFILES!$H:$H,TARIFF_PROFILES!$A:$A,$X264))</f>
        <v/>
      </c>
      <c r="AD264" s="15">
        <f>IF($X264="","",INDEX(TARIFF_PROFILES!$J:$J,MATCH($X264,TARIFF_PROFILES!$A:$A,0)))</f>
        <v/>
      </c>
      <c r="AE264" s="15">
        <f>IF($X264="","",INDEX(TARIFF_PROFILES!$K:$K,MATCH($X264,TARIFF_PROFILES!$A:$A,0)))</f>
        <v/>
      </c>
      <c r="AH264">
        <f>IF($AG264="","",SUMIFS(OPERATING_COEFFS!$C:$C,OPERATING_COEFFS!$A:$A,"DistanceClass",OPERATING_COEFFS!$B:$B,$AG264))</f>
        <v/>
      </c>
      <c r="AJ264">
        <f>IF($AI264="","",SUMIFS(OPERATING_COEFFS!$C:$C,OPERATING_COEFFS!$A:$A,"SeasonClass",OPERATING_COEFFS!$B:$B,$AI264))</f>
        <v/>
      </c>
      <c r="AL264">
        <f>IF($AK264="","",SUMIFS(OPERATING_COEFFS!$C:$C,OPERATING_COEFFS!$A:$A,"UrgencyClass",OPERATING_COEFFS!$B:$B,$AK264))</f>
        <v/>
      </c>
      <c r="AN264">
        <f>IF($AM264="","",INDEX(TAX_MODES!$B:$B,MATCH($AM264,TAX_MODES!$A:$A,0)))</f>
        <v/>
      </c>
    </row>
    <row r="265">
      <c r="X265" s="15" t="n"/>
      <c r="Y265" s="15">
        <f>IF($X265="","",SUMIFS(TARIFF_PROFILES!$D:$D,TARIFF_PROFILES!$A:$A,$X265))</f>
        <v/>
      </c>
      <c r="Z265" s="15">
        <f>IF($X265="","",SUMIFS(TARIFF_PROFILES!$E:$E,TARIFF_PROFILES!$A:$A,$X265))</f>
        <v/>
      </c>
      <c r="AA265" s="15">
        <f>IF($X265="","",SUMIFS(TARIFF_PROFILES!$F:$F,TARIFF_PROFILES!$A:$A,$X265))</f>
        <v/>
      </c>
      <c r="AB265" s="15">
        <f>IF($X265="","",SUMIFS(TARIFF_PROFILES!$G:$G,TARIFF_PROFILES!$A:$A,$X265))</f>
        <v/>
      </c>
      <c r="AC265" s="15">
        <f>IF($X265="","",SUMIFS(TARIFF_PROFILES!$H:$H,TARIFF_PROFILES!$A:$A,$X265))</f>
        <v/>
      </c>
      <c r="AD265" s="15">
        <f>IF($X265="","",INDEX(TARIFF_PROFILES!$J:$J,MATCH($X265,TARIFF_PROFILES!$A:$A,0)))</f>
        <v/>
      </c>
      <c r="AE265" s="15">
        <f>IF($X265="","",INDEX(TARIFF_PROFILES!$K:$K,MATCH($X265,TARIFF_PROFILES!$A:$A,0)))</f>
        <v/>
      </c>
      <c r="AH265">
        <f>IF($AG265="","",SUMIFS(OPERATING_COEFFS!$C:$C,OPERATING_COEFFS!$A:$A,"DistanceClass",OPERATING_COEFFS!$B:$B,$AG265))</f>
        <v/>
      </c>
      <c r="AJ265">
        <f>IF($AI265="","",SUMIFS(OPERATING_COEFFS!$C:$C,OPERATING_COEFFS!$A:$A,"SeasonClass",OPERATING_COEFFS!$B:$B,$AI265))</f>
        <v/>
      </c>
      <c r="AL265">
        <f>IF($AK265="","",SUMIFS(OPERATING_COEFFS!$C:$C,OPERATING_COEFFS!$A:$A,"UrgencyClass",OPERATING_COEFFS!$B:$B,$AK265))</f>
        <v/>
      </c>
      <c r="AN265">
        <f>IF($AM265="","",INDEX(TAX_MODES!$B:$B,MATCH($AM265,TAX_MODES!$A:$A,0)))</f>
        <v/>
      </c>
    </row>
    <row r="266">
      <c r="X266" s="15" t="n"/>
      <c r="Y266" s="15">
        <f>IF($X266="","",SUMIFS(TARIFF_PROFILES!$D:$D,TARIFF_PROFILES!$A:$A,$X266))</f>
        <v/>
      </c>
      <c r="Z266" s="15">
        <f>IF($X266="","",SUMIFS(TARIFF_PROFILES!$E:$E,TARIFF_PROFILES!$A:$A,$X266))</f>
        <v/>
      </c>
      <c r="AA266" s="15">
        <f>IF($X266="","",SUMIFS(TARIFF_PROFILES!$F:$F,TARIFF_PROFILES!$A:$A,$X266))</f>
        <v/>
      </c>
      <c r="AB266" s="15">
        <f>IF($X266="","",SUMIFS(TARIFF_PROFILES!$G:$G,TARIFF_PROFILES!$A:$A,$X266))</f>
        <v/>
      </c>
      <c r="AC266" s="15">
        <f>IF($X266="","",SUMIFS(TARIFF_PROFILES!$H:$H,TARIFF_PROFILES!$A:$A,$X266))</f>
        <v/>
      </c>
      <c r="AD266" s="15">
        <f>IF($X266="","",INDEX(TARIFF_PROFILES!$J:$J,MATCH($X266,TARIFF_PROFILES!$A:$A,0)))</f>
        <v/>
      </c>
      <c r="AE266" s="15">
        <f>IF($X266="","",INDEX(TARIFF_PROFILES!$K:$K,MATCH($X266,TARIFF_PROFILES!$A:$A,0)))</f>
        <v/>
      </c>
      <c r="AH266">
        <f>IF($AG266="","",SUMIFS(OPERATING_COEFFS!$C:$C,OPERATING_COEFFS!$A:$A,"DistanceClass",OPERATING_COEFFS!$B:$B,$AG266))</f>
        <v/>
      </c>
      <c r="AJ266">
        <f>IF($AI266="","",SUMIFS(OPERATING_COEFFS!$C:$C,OPERATING_COEFFS!$A:$A,"SeasonClass",OPERATING_COEFFS!$B:$B,$AI266))</f>
        <v/>
      </c>
      <c r="AL266">
        <f>IF($AK266="","",SUMIFS(OPERATING_COEFFS!$C:$C,OPERATING_COEFFS!$A:$A,"UrgencyClass",OPERATING_COEFFS!$B:$B,$AK266))</f>
        <v/>
      </c>
      <c r="AN266">
        <f>IF($AM266="","",INDEX(TAX_MODES!$B:$B,MATCH($AM266,TAX_MODES!$A:$A,0)))</f>
        <v/>
      </c>
    </row>
    <row r="267">
      <c r="X267" s="15" t="n"/>
      <c r="Y267" s="15">
        <f>IF($X267="","",SUMIFS(TARIFF_PROFILES!$D:$D,TARIFF_PROFILES!$A:$A,$X267))</f>
        <v/>
      </c>
      <c r="Z267" s="15">
        <f>IF($X267="","",SUMIFS(TARIFF_PROFILES!$E:$E,TARIFF_PROFILES!$A:$A,$X267))</f>
        <v/>
      </c>
      <c r="AA267" s="15">
        <f>IF($X267="","",SUMIFS(TARIFF_PROFILES!$F:$F,TARIFF_PROFILES!$A:$A,$X267))</f>
        <v/>
      </c>
      <c r="AB267" s="15">
        <f>IF($X267="","",SUMIFS(TARIFF_PROFILES!$G:$G,TARIFF_PROFILES!$A:$A,$X267))</f>
        <v/>
      </c>
      <c r="AC267" s="15">
        <f>IF($X267="","",SUMIFS(TARIFF_PROFILES!$H:$H,TARIFF_PROFILES!$A:$A,$X267))</f>
        <v/>
      </c>
      <c r="AD267" s="15">
        <f>IF($X267="","",INDEX(TARIFF_PROFILES!$J:$J,MATCH($X267,TARIFF_PROFILES!$A:$A,0)))</f>
        <v/>
      </c>
      <c r="AE267" s="15">
        <f>IF($X267="","",INDEX(TARIFF_PROFILES!$K:$K,MATCH($X267,TARIFF_PROFILES!$A:$A,0)))</f>
        <v/>
      </c>
      <c r="AH267">
        <f>IF($AG267="","",SUMIFS(OPERATING_COEFFS!$C:$C,OPERATING_COEFFS!$A:$A,"DistanceClass",OPERATING_COEFFS!$B:$B,$AG267))</f>
        <v/>
      </c>
      <c r="AJ267">
        <f>IF($AI267="","",SUMIFS(OPERATING_COEFFS!$C:$C,OPERATING_COEFFS!$A:$A,"SeasonClass",OPERATING_COEFFS!$B:$B,$AI267))</f>
        <v/>
      </c>
      <c r="AL267">
        <f>IF($AK267="","",SUMIFS(OPERATING_COEFFS!$C:$C,OPERATING_COEFFS!$A:$A,"UrgencyClass",OPERATING_COEFFS!$B:$B,$AK267))</f>
        <v/>
      </c>
      <c r="AN267">
        <f>IF($AM267="","",INDEX(TAX_MODES!$B:$B,MATCH($AM267,TAX_MODES!$A:$A,0)))</f>
        <v/>
      </c>
    </row>
    <row r="268">
      <c r="X268" s="15" t="n"/>
      <c r="Y268" s="15">
        <f>IF($X268="","",SUMIFS(TARIFF_PROFILES!$D:$D,TARIFF_PROFILES!$A:$A,$X268))</f>
        <v/>
      </c>
      <c r="Z268" s="15">
        <f>IF($X268="","",SUMIFS(TARIFF_PROFILES!$E:$E,TARIFF_PROFILES!$A:$A,$X268))</f>
        <v/>
      </c>
      <c r="AA268" s="15">
        <f>IF($X268="","",SUMIFS(TARIFF_PROFILES!$F:$F,TARIFF_PROFILES!$A:$A,$X268))</f>
        <v/>
      </c>
      <c r="AB268" s="15">
        <f>IF($X268="","",SUMIFS(TARIFF_PROFILES!$G:$G,TARIFF_PROFILES!$A:$A,$X268))</f>
        <v/>
      </c>
      <c r="AC268" s="15">
        <f>IF($X268="","",SUMIFS(TARIFF_PROFILES!$H:$H,TARIFF_PROFILES!$A:$A,$X268))</f>
        <v/>
      </c>
      <c r="AD268" s="15">
        <f>IF($X268="","",INDEX(TARIFF_PROFILES!$J:$J,MATCH($X268,TARIFF_PROFILES!$A:$A,0)))</f>
        <v/>
      </c>
      <c r="AE268" s="15">
        <f>IF($X268="","",INDEX(TARIFF_PROFILES!$K:$K,MATCH($X268,TARIFF_PROFILES!$A:$A,0)))</f>
        <v/>
      </c>
      <c r="AH268">
        <f>IF($AG268="","",SUMIFS(OPERATING_COEFFS!$C:$C,OPERATING_COEFFS!$A:$A,"DistanceClass",OPERATING_COEFFS!$B:$B,$AG268))</f>
        <v/>
      </c>
      <c r="AJ268">
        <f>IF($AI268="","",SUMIFS(OPERATING_COEFFS!$C:$C,OPERATING_COEFFS!$A:$A,"SeasonClass",OPERATING_COEFFS!$B:$B,$AI268))</f>
        <v/>
      </c>
      <c r="AL268">
        <f>IF($AK268="","",SUMIFS(OPERATING_COEFFS!$C:$C,OPERATING_COEFFS!$A:$A,"UrgencyClass",OPERATING_COEFFS!$B:$B,$AK268))</f>
        <v/>
      </c>
      <c r="AN268">
        <f>IF($AM268="","",INDEX(TAX_MODES!$B:$B,MATCH($AM268,TAX_MODES!$A:$A,0)))</f>
        <v/>
      </c>
    </row>
    <row r="269">
      <c r="X269" s="15" t="n"/>
      <c r="Y269" s="15">
        <f>IF($X269="","",SUMIFS(TARIFF_PROFILES!$D:$D,TARIFF_PROFILES!$A:$A,$X269))</f>
        <v/>
      </c>
      <c r="Z269" s="15">
        <f>IF($X269="","",SUMIFS(TARIFF_PROFILES!$E:$E,TARIFF_PROFILES!$A:$A,$X269))</f>
        <v/>
      </c>
      <c r="AA269" s="15">
        <f>IF($X269="","",SUMIFS(TARIFF_PROFILES!$F:$F,TARIFF_PROFILES!$A:$A,$X269))</f>
        <v/>
      </c>
      <c r="AB269" s="15">
        <f>IF($X269="","",SUMIFS(TARIFF_PROFILES!$G:$G,TARIFF_PROFILES!$A:$A,$X269))</f>
        <v/>
      </c>
      <c r="AC269" s="15">
        <f>IF($X269="","",SUMIFS(TARIFF_PROFILES!$H:$H,TARIFF_PROFILES!$A:$A,$X269))</f>
        <v/>
      </c>
      <c r="AD269" s="15">
        <f>IF($X269="","",INDEX(TARIFF_PROFILES!$J:$J,MATCH($X269,TARIFF_PROFILES!$A:$A,0)))</f>
        <v/>
      </c>
      <c r="AE269" s="15">
        <f>IF($X269="","",INDEX(TARIFF_PROFILES!$K:$K,MATCH($X269,TARIFF_PROFILES!$A:$A,0)))</f>
        <v/>
      </c>
      <c r="AH269">
        <f>IF($AG269="","",SUMIFS(OPERATING_COEFFS!$C:$C,OPERATING_COEFFS!$A:$A,"DistanceClass",OPERATING_COEFFS!$B:$B,$AG269))</f>
        <v/>
      </c>
      <c r="AJ269">
        <f>IF($AI269="","",SUMIFS(OPERATING_COEFFS!$C:$C,OPERATING_COEFFS!$A:$A,"SeasonClass",OPERATING_COEFFS!$B:$B,$AI269))</f>
        <v/>
      </c>
      <c r="AL269">
        <f>IF($AK269="","",SUMIFS(OPERATING_COEFFS!$C:$C,OPERATING_COEFFS!$A:$A,"UrgencyClass",OPERATING_COEFFS!$B:$B,$AK269))</f>
        <v/>
      </c>
      <c r="AN269">
        <f>IF($AM269="","",INDEX(TAX_MODES!$B:$B,MATCH($AM269,TAX_MODES!$A:$A,0)))</f>
        <v/>
      </c>
    </row>
    <row r="270">
      <c r="X270" s="15" t="n"/>
      <c r="Y270" s="15">
        <f>IF($X270="","",SUMIFS(TARIFF_PROFILES!$D:$D,TARIFF_PROFILES!$A:$A,$X270))</f>
        <v/>
      </c>
      <c r="Z270" s="15">
        <f>IF($X270="","",SUMIFS(TARIFF_PROFILES!$E:$E,TARIFF_PROFILES!$A:$A,$X270))</f>
        <v/>
      </c>
      <c r="AA270" s="15">
        <f>IF($X270="","",SUMIFS(TARIFF_PROFILES!$F:$F,TARIFF_PROFILES!$A:$A,$X270))</f>
        <v/>
      </c>
      <c r="AB270" s="15">
        <f>IF($X270="","",SUMIFS(TARIFF_PROFILES!$G:$G,TARIFF_PROFILES!$A:$A,$X270))</f>
        <v/>
      </c>
      <c r="AC270" s="15">
        <f>IF($X270="","",SUMIFS(TARIFF_PROFILES!$H:$H,TARIFF_PROFILES!$A:$A,$X270))</f>
        <v/>
      </c>
      <c r="AD270" s="15">
        <f>IF($X270="","",INDEX(TARIFF_PROFILES!$J:$J,MATCH($X270,TARIFF_PROFILES!$A:$A,0)))</f>
        <v/>
      </c>
      <c r="AE270" s="15">
        <f>IF($X270="","",INDEX(TARIFF_PROFILES!$K:$K,MATCH($X270,TARIFF_PROFILES!$A:$A,0)))</f>
        <v/>
      </c>
      <c r="AH270">
        <f>IF($AG270="","",SUMIFS(OPERATING_COEFFS!$C:$C,OPERATING_COEFFS!$A:$A,"DistanceClass",OPERATING_COEFFS!$B:$B,$AG270))</f>
        <v/>
      </c>
      <c r="AJ270">
        <f>IF($AI270="","",SUMIFS(OPERATING_COEFFS!$C:$C,OPERATING_COEFFS!$A:$A,"SeasonClass",OPERATING_COEFFS!$B:$B,$AI270))</f>
        <v/>
      </c>
      <c r="AL270">
        <f>IF($AK270="","",SUMIFS(OPERATING_COEFFS!$C:$C,OPERATING_COEFFS!$A:$A,"UrgencyClass",OPERATING_COEFFS!$B:$B,$AK270))</f>
        <v/>
      </c>
      <c r="AN270">
        <f>IF($AM270="","",INDEX(TAX_MODES!$B:$B,MATCH($AM270,TAX_MODES!$A:$A,0)))</f>
        <v/>
      </c>
    </row>
    <row r="271">
      <c r="X271" s="15" t="n"/>
      <c r="Y271" s="15">
        <f>IF($X271="","",SUMIFS(TARIFF_PROFILES!$D:$D,TARIFF_PROFILES!$A:$A,$X271))</f>
        <v/>
      </c>
      <c r="Z271" s="15">
        <f>IF($X271="","",SUMIFS(TARIFF_PROFILES!$E:$E,TARIFF_PROFILES!$A:$A,$X271))</f>
        <v/>
      </c>
      <c r="AA271" s="15">
        <f>IF($X271="","",SUMIFS(TARIFF_PROFILES!$F:$F,TARIFF_PROFILES!$A:$A,$X271))</f>
        <v/>
      </c>
      <c r="AB271" s="15">
        <f>IF($X271="","",SUMIFS(TARIFF_PROFILES!$G:$G,TARIFF_PROFILES!$A:$A,$X271))</f>
        <v/>
      </c>
      <c r="AC271" s="15">
        <f>IF($X271="","",SUMIFS(TARIFF_PROFILES!$H:$H,TARIFF_PROFILES!$A:$A,$X271))</f>
        <v/>
      </c>
      <c r="AD271" s="15">
        <f>IF($X271="","",INDEX(TARIFF_PROFILES!$J:$J,MATCH($X271,TARIFF_PROFILES!$A:$A,0)))</f>
        <v/>
      </c>
      <c r="AE271" s="15">
        <f>IF($X271="","",INDEX(TARIFF_PROFILES!$K:$K,MATCH($X271,TARIFF_PROFILES!$A:$A,0)))</f>
        <v/>
      </c>
      <c r="AH271">
        <f>IF($AG271="","",SUMIFS(OPERATING_COEFFS!$C:$C,OPERATING_COEFFS!$A:$A,"DistanceClass",OPERATING_COEFFS!$B:$B,$AG271))</f>
        <v/>
      </c>
      <c r="AJ271">
        <f>IF($AI271="","",SUMIFS(OPERATING_COEFFS!$C:$C,OPERATING_COEFFS!$A:$A,"SeasonClass",OPERATING_COEFFS!$B:$B,$AI271))</f>
        <v/>
      </c>
      <c r="AL271">
        <f>IF($AK271="","",SUMIFS(OPERATING_COEFFS!$C:$C,OPERATING_COEFFS!$A:$A,"UrgencyClass",OPERATING_COEFFS!$B:$B,$AK271))</f>
        <v/>
      </c>
      <c r="AN271">
        <f>IF($AM271="","",INDEX(TAX_MODES!$B:$B,MATCH($AM271,TAX_MODES!$A:$A,0)))</f>
        <v/>
      </c>
    </row>
    <row r="272">
      <c r="X272" s="15" t="n"/>
      <c r="Y272" s="15">
        <f>IF($X272="","",SUMIFS(TARIFF_PROFILES!$D:$D,TARIFF_PROFILES!$A:$A,$X272))</f>
        <v/>
      </c>
      <c r="Z272" s="15">
        <f>IF($X272="","",SUMIFS(TARIFF_PROFILES!$E:$E,TARIFF_PROFILES!$A:$A,$X272))</f>
        <v/>
      </c>
      <c r="AA272" s="15">
        <f>IF($X272="","",SUMIFS(TARIFF_PROFILES!$F:$F,TARIFF_PROFILES!$A:$A,$X272))</f>
        <v/>
      </c>
      <c r="AB272" s="15">
        <f>IF($X272="","",SUMIFS(TARIFF_PROFILES!$G:$G,TARIFF_PROFILES!$A:$A,$X272))</f>
        <v/>
      </c>
      <c r="AC272" s="15">
        <f>IF($X272="","",SUMIFS(TARIFF_PROFILES!$H:$H,TARIFF_PROFILES!$A:$A,$X272))</f>
        <v/>
      </c>
      <c r="AD272" s="15">
        <f>IF($X272="","",INDEX(TARIFF_PROFILES!$J:$J,MATCH($X272,TARIFF_PROFILES!$A:$A,0)))</f>
        <v/>
      </c>
      <c r="AE272" s="15">
        <f>IF($X272="","",INDEX(TARIFF_PROFILES!$K:$K,MATCH($X272,TARIFF_PROFILES!$A:$A,0)))</f>
        <v/>
      </c>
      <c r="AH272">
        <f>IF($AG272="","",SUMIFS(OPERATING_COEFFS!$C:$C,OPERATING_COEFFS!$A:$A,"DistanceClass",OPERATING_COEFFS!$B:$B,$AG272))</f>
        <v/>
      </c>
      <c r="AJ272">
        <f>IF($AI272="","",SUMIFS(OPERATING_COEFFS!$C:$C,OPERATING_COEFFS!$A:$A,"SeasonClass",OPERATING_COEFFS!$B:$B,$AI272))</f>
        <v/>
      </c>
      <c r="AL272">
        <f>IF($AK272="","",SUMIFS(OPERATING_COEFFS!$C:$C,OPERATING_COEFFS!$A:$A,"UrgencyClass",OPERATING_COEFFS!$B:$B,$AK272))</f>
        <v/>
      </c>
      <c r="AN272">
        <f>IF($AM272="","",INDEX(TAX_MODES!$B:$B,MATCH($AM272,TAX_MODES!$A:$A,0)))</f>
        <v/>
      </c>
    </row>
    <row r="273">
      <c r="X273" s="15" t="n"/>
      <c r="Y273" s="15">
        <f>IF($X273="","",SUMIFS(TARIFF_PROFILES!$D:$D,TARIFF_PROFILES!$A:$A,$X273))</f>
        <v/>
      </c>
      <c r="Z273" s="15">
        <f>IF($X273="","",SUMIFS(TARIFF_PROFILES!$E:$E,TARIFF_PROFILES!$A:$A,$X273))</f>
        <v/>
      </c>
      <c r="AA273" s="15">
        <f>IF($X273="","",SUMIFS(TARIFF_PROFILES!$F:$F,TARIFF_PROFILES!$A:$A,$X273))</f>
        <v/>
      </c>
      <c r="AB273" s="15">
        <f>IF($X273="","",SUMIFS(TARIFF_PROFILES!$G:$G,TARIFF_PROFILES!$A:$A,$X273))</f>
        <v/>
      </c>
      <c r="AC273" s="15">
        <f>IF($X273="","",SUMIFS(TARIFF_PROFILES!$H:$H,TARIFF_PROFILES!$A:$A,$X273))</f>
        <v/>
      </c>
      <c r="AD273" s="15">
        <f>IF($X273="","",INDEX(TARIFF_PROFILES!$J:$J,MATCH($X273,TARIFF_PROFILES!$A:$A,0)))</f>
        <v/>
      </c>
      <c r="AE273" s="15">
        <f>IF($X273="","",INDEX(TARIFF_PROFILES!$K:$K,MATCH($X273,TARIFF_PROFILES!$A:$A,0)))</f>
        <v/>
      </c>
      <c r="AH273">
        <f>IF($AG273="","",SUMIFS(OPERATING_COEFFS!$C:$C,OPERATING_COEFFS!$A:$A,"DistanceClass",OPERATING_COEFFS!$B:$B,$AG273))</f>
        <v/>
      </c>
      <c r="AJ273">
        <f>IF($AI273="","",SUMIFS(OPERATING_COEFFS!$C:$C,OPERATING_COEFFS!$A:$A,"SeasonClass",OPERATING_COEFFS!$B:$B,$AI273))</f>
        <v/>
      </c>
      <c r="AL273">
        <f>IF($AK273="","",SUMIFS(OPERATING_COEFFS!$C:$C,OPERATING_COEFFS!$A:$A,"UrgencyClass",OPERATING_COEFFS!$B:$B,$AK273))</f>
        <v/>
      </c>
      <c r="AN273">
        <f>IF($AM273="","",INDEX(TAX_MODES!$B:$B,MATCH($AM273,TAX_MODES!$A:$A,0)))</f>
        <v/>
      </c>
    </row>
    <row r="274">
      <c r="X274" s="15" t="n"/>
      <c r="Y274" s="15">
        <f>IF($X274="","",SUMIFS(TARIFF_PROFILES!$D:$D,TARIFF_PROFILES!$A:$A,$X274))</f>
        <v/>
      </c>
      <c r="Z274" s="15">
        <f>IF($X274="","",SUMIFS(TARIFF_PROFILES!$E:$E,TARIFF_PROFILES!$A:$A,$X274))</f>
        <v/>
      </c>
      <c r="AA274" s="15">
        <f>IF($X274="","",SUMIFS(TARIFF_PROFILES!$F:$F,TARIFF_PROFILES!$A:$A,$X274))</f>
        <v/>
      </c>
      <c r="AB274" s="15">
        <f>IF($X274="","",SUMIFS(TARIFF_PROFILES!$G:$G,TARIFF_PROFILES!$A:$A,$X274))</f>
        <v/>
      </c>
      <c r="AC274" s="15">
        <f>IF($X274="","",SUMIFS(TARIFF_PROFILES!$H:$H,TARIFF_PROFILES!$A:$A,$X274))</f>
        <v/>
      </c>
      <c r="AD274" s="15">
        <f>IF($X274="","",INDEX(TARIFF_PROFILES!$J:$J,MATCH($X274,TARIFF_PROFILES!$A:$A,0)))</f>
        <v/>
      </c>
      <c r="AE274" s="15">
        <f>IF($X274="","",INDEX(TARIFF_PROFILES!$K:$K,MATCH($X274,TARIFF_PROFILES!$A:$A,0)))</f>
        <v/>
      </c>
      <c r="AH274">
        <f>IF($AG274="","",SUMIFS(OPERATING_COEFFS!$C:$C,OPERATING_COEFFS!$A:$A,"DistanceClass",OPERATING_COEFFS!$B:$B,$AG274))</f>
        <v/>
      </c>
      <c r="AJ274">
        <f>IF($AI274="","",SUMIFS(OPERATING_COEFFS!$C:$C,OPERATING_COEFFS!$A:$A,"SeasonClass",OPERATING_COEFFS!$B:$B,$AI274))</f>
        <v/>
      </c>
      <c r="AL274">
        <f>IF($AK274="","",SUMIFS(OPERATING_COEFFS!$C:$C,OPERATING_COEFFS!$A:$A,"UrgencyClass",OPERATING_COEFFS!$B:$B,$AK274))</f>
        <v/>
      </c>
      <c r="AN274">
        <f>IF($AM274="","",INDEX(TAX_MODES!$B:$B,MATCH($AM274,TAX_MODES!$A:$A,0)))</f>
        <v/>
      </c>
    </row>
    <row r="275">
      <c r="X275" s="15" t="n"/>
      <c r="Y275" s="15">
        <f>IF($X275="","",SUMIFS(TARIFF_PROFILES!$D:$D,TARIFF_PROFILES!$A:$A,$X275))</f>
        <v/>
      </c>
      <c r="Z275" s="15">
        <f>IF($X275="","",SUMIFS(TARIFF_PROFILES!$E:$E,TARIFF_PROFILES!$A:$A,$X275))</f>
        <v/>
      </c>
      <c r="AA275" s="15">
        <f>IF($X275="","",SUMIFS(TARIFF_PROFILES!$F:$F,TARIFF_PROFILES!$A:$A,$X275))</f>
        <v/>
      </c>
      <c r="AB275" s="15">
        <f>IF($X275="","",SUMIFS(TARIFF_PROFILES!$G:$G,TARIFF_PROFILES!$A:$A,$X275))</f>
        <v/>
      </c>
      <c r="AC275" s="15">
        <f>IF($X275="","",SUMIFS(TARIFF_PROFILES!$H:$H,TARIFF_PROFILES!$A:$A,$X275))</f>
        <v/>
      </c>
      <c r="AD275" s="15">
        <f>IF($X275="","",INDEX(TARIFF_PROFILES!$J:$J,MATCH($X275,TARIFF_PROFILES!$A:$A,0)))</f>
        <v/>
      </c>
      <c r="AE275" s="15">
        <f>IF($X275="","",INDEX(TARIFF_PROFILES!$K:$K,MATCH($X275,TARIFF_PROFILES!$A:$A,0)))</f>
        <v/>
      </c>
      <c r="AH275">
        <f>IF($AG275="","",SUMIFS(OPERATING_COEFFS!$C:$C,OPERATING_COEFFS!$A:$A,"DistanceClass",OPERATING_COEFFS!$B:$B,$AG275))</f>
        <v/>
      </c>
      <c r="AJ275">
        <f>IF($AI275="","",SUMIFS(OPERATING_COEFFS!$C:$C,OPERATING_COEFFS!$A:$A,"SeasonClass",OPERATING_COEFFS!$B:$B,$AI275))</f>
        <v/>
      </c>
      <c r="AL275">
        <f>IF($AK275="","",SUMIFS(OPERATING_COEFFS!$C:$C,OPERATING_COEFFS!$A:$A,"UrgencyClass",OPERATING_COEFFS!$B:$B,$AK275))</f>
        <v/>
      </c>
      <c r="AN275">
        <f>IF($AM275="","",INDEX(TAX_MODES!$B:$B,MATCH($AM275,TAX_MODES!$A:$A,0)))</f>
        <v/>
      </c>
    </row>
    <row r="276">
      <c r="X276" s="15" t="n"/>
      <c r="Y276" s="15">
        <f>IF($X276="","",SUMIFS(TARIFF_PROFILES!$D:$D,TARIFF_PROFILES!$A:$A,$X276))</f>
        <v/>
      </c>
      <c r="Z276" s="15">
        <f>IF($X276="","",SUMIFS(TARIFF_PROFILES!$E:$E,TARIFF_PROFILES!$A:$A,$X276))</f>
        <v/>
      </c>
      <c r="AA276" s="15">
        <f>IF($X276="","",SUMIFS(TARIFF_PROFILES!$F:$F,TARIFF_PROFILES!$A:$A,$X276))</f>
        <v/>
      </c>
      <c r="AB276" s="15">
        <f>IF($X276="","",SUMIFS(TARIFF_PROFILES!$G:$G,TARIFF_PROFILES!$A:$A,$X276))</f>
        <v/>
      </c>
      <c r="AC276" s="15">
        <f>IF($X276="","",SUMIFS(TARIFF_PROFILES!$H:$H,TARIFF_PROFILES!$A:$A,$X276))</f>
        <v/>
      </c>
      <c r="AD276" s="15">
        <f>IF($X276="","",INDEX(TARIFF_PROFILES!$J:$J,MATCH($X276,TARIFF_PROFILES!$A:$A,0)))</f>
        <v/>
      </c>
      <c r="AE276" s="15">
        <f>IF($X276="","",INDEX(TARIFF_PROFILES!$K:$K,MATCH($X276,TARIFF_PROFILES!$A:$A,0)))</f>
        <v/>
      </c>
      <c r="AH276">
        <f>IF($AG276="","",SUMIFS(OPERATING_COEFFS!$C:$C,OPERATING_COEFFS!$A:$A,"DistanceClass",OPERATING_COEFFS!$B:$B,$AG276))</f>
        <v/>
      </c>
      <c r="AJ276">
        <f>IF($AI276="","",SUMIFS(OPERATING_COEFFS!$C:$C,OPERATING_COEFFS!$A:$A,"SeasonClass",OPERATING_COEFFS!$B:$B,$AI276))</f>
        <v/>
      </c>
      <c r="AL276">
        <f>IF($AK276="","",SUMIFS(OPERATING_COEFFS!$C:$C,OPERATING_COEFFS!$A:$A,"UrgencyClass",OPERATING_COEFFS!$B:$B,$AK276))</f>
        <v/>
      </c>
      <c r="AN276">
        <f>IF($AM276="","",INDEX(TAX_MODES!$B:$B,MATCH($AM276,TAX_MODES!$A:$A,0)))</f>
        <v/>
      </c>
    </row>
    <row r="277">
      <c r="X277" s="15" t="n"/>
      <c r="Y277" s="15">
        <f>IF($X277="","",SUMIFS(TARIFF_PROFILES!$D:$D,TARIFF_PROFILES!$A:$A,$X277))</f>
        <v/>
      </c>
      <c r="Z277" s="15">
        <f>IF($X277="","",SUMIFS(TARIFF_PROFILES!$E:$E,TARIFF_PROFILES!$A:$A,$X277))</f>
        <v/>
      </c>
      <c r="AA277" s="15">
        <f>IF($X277="","",SUMIFS(TARIFF_PROFILES!$F:$F,TARIFF_PROFILES!$A:$A,$X277))</f>
        <v/>
      </c>
      <c r="AB277" s="15">
        <f>IF($X277="","",SUMIFS(TARIFF_PROFILES!$G:$G,TARIFF_PROFILES!$A:$A,$X277))</f>
        <v/>
      </c>
      <c r="AC277" s="15">
        <f>IF($X277="","",SUMIFS(TARIFF_PROFILES!$H:$H,TARIFF_PROFILES!$A:$A,$X277))</f>
        <v/>
      </c>
      <c r="AD277" s="15">
        <f>IF($X277="","",INDEX(TARIFF_PROFILES!$J:$J,MATCH($X277,TARIFF_PROFILES!$A:$A,0)))</f>
        <v/>
      </c>
      <c r="AE277" s="15">
        <f>IF($X277="","",INDEX(TARIFF_PROFILES!$K:$K,MATCH($X277,TARIFF_PROFILES!$A:$A,0)))</f>
        <v/>
      </c>
      <c r="AH277">
        <f>IF($AG277="","",SUMIFS(OPERATING_COEFFS!$C:$C,OPERATING_COEFFS!$A:$A,"DistanceClass",OPERATING_COEFFS!$B:$B,$AG277))</f>
        <v/>
      </c>
      <c r="AJ277">
        <f>IF($AI277="","",SUMIFS(OPERATING_COEFFS!$C:$C,OPERATING_COEFFS!$A:$A,"SeasonClass",OPERATING_COEFFS!$B:$B,$AI277))</f>
        <v/>
      </c>
      <c r="AL277">
        <f>IF($AK277="","",SUMIFS(OPERATING_COEFFS!$C:$C,OPERATING_COEFFS!$A:$A,"UrgencyClass",OPERATING_COEFFS!$B:$B,$AK277))</f>
        <v/>
      </c>
      <c r="AN277">
        <f>IF($AM277="","",INDEX(TAX_MODES!$B:$B,MATCH($AM277,TAX_MODES!$A:$A,0)))</f>
        <v/>
      </c>
    </row>
    <row r="278">
      <c r="X278" s="15" t="n"/>
      <c r="Y278" s="15">
        <f>IF($X278="","",SUMIFS(TARIFF_PROFILES!$D:$D,TARIFF_PROFILES!$A:$A,$X278))</f>
        <v/>
      </c>
      <c r="Z278" s="15">
        <f>IF($X278="","",SUMIFS(TARIFF_PROFILES!$E:$E,TARIFF_PROFILES!$A:$A,$X278))</f>
        <v/>
      </c>
      <c r="AA278" s="15">
        <f>IF($X278="","",SUMIFS(TARIFF_PROFILES!$F:$F,TARIFF_PROFILES!$A:$A,$X278))</f>
        <v/>
      </c>
      <c r="AB278" s="15">
        <f>IF($X278="","",SUMIFS(TARIFF_PROFILES!$G:$G,TARIFF_PROFILES!$A:$A,$X278))</f>
        <v/>
      </c>
      <c r="AC278" s="15">
        <f>IF($X278="","",SUMIFS(TARIFF_PROFILES!$H:$H,TARIFF_PROFILES!$A:$A,$X278))</f>
        <v/>
      </c>
      <c r="AD278" s="15">
        <f>IF($X278="","",INDEX(TARIFF_PROFILES!$J:$J,MATCH($X278,TARIFF_PROFILES!$A:$A,0)))</f>
        <v/>
      </c>
      <c r="AE278" s="15">
        <f>IF($X278="","",INDEX(TARIFF_PROFILES!$K:$K,MATCH($X278,TARIFF_PROFILES!$A:$A,0)))</f>
        <v/>
      </c>
      <c r="AH278">
        <f>IF($AG278="","",SUMIFS(OPERATING_COEFFS!$C:$C,OPERATING_COEFFS!$A:$A,"DistanceClass",OPERATING_COEFFS!$B:$B,$AG278))</f>
        <v/>
      </c>
      <c r="AJ278">
        <f>IF($AI278="","",SUMIFS(OPERATING_COEFFS!$C:$C,OPERATING_COEFFS!$A:$A,"SeasonClass",OPERATING_COEFFS!$B:$B,$AI278))</f>
        <v/>
      </c>
      <c r="AL278">
        <f>IF($AK278="","",SUMIFS(OPERATING_COEFFS!$C:$C,OPERATING_COEFFS!$A:$A,"UrgencyClass",OPERATING_COEFFS!$B:$B,$AK278))</f>
        <v/>
      </c>
      <c r="AN278">
        <f>IF($AM278="","",INDEX(TAX_MODES!$B:$B,MATCH($AM278,TAX_MODES!$A:$A,0)))</f>
        <v/>
      </c>
    </row>
    <row r="279">
      <c r="X279" s="15" t="n"/>
      <c r="Y279" s="15">
        <f>IF($X279="","",SUMIFS(TARIFF_PROFILES!$D:$D,TARIFF_PROFILES!$A:$A,$X279))</f>
        <v/>
      </c>
      <c r="Z279" s="15">
        <f>IF($X279="","",SUMIFS(TARIFF_PROFILES!$E:$E,TARIFF_PROFILES!$A:$A,$X279))</f>
        <v/>
      </c>
      <c r="AA279" s="15">
        <f>IF($X279="","",SUMIFS(TARIFF_PROFILES!$F:$F,TARIFF_PROFILES!$A:$A,$X279))</f>
        <v/>
      </c>
      <c r="AB279" s="15">
        <f>IF($X279="","",SUMIFS(TARIFF_PROFILES!$G:$G,TARIFF_PROFILES!$A:$A,$X279))</f>
        <v/>
      </c>
      <c r="AC279" s="15">
        <f>IF($X279="","",SUMIFS(TARIFF_PROFILES!$H:$H,TARIFF_PROFILES!$A:$A,$X279))</f>
        <v/>
      </c>
      <c r="AD279" s="15">
        <f>IF($X279="","",INDEX(TARIFF_PROFILES!$J:$J,MATCH($X279,TARIFF_PROFILES!$A:$A,0)))</f>
        <v/>
      </c>
      <c r="AE279" s="15">
        <f>IF($X279="","",INDEX(TARIFF_PROFILES!$K:$K,MATCH($X279,TARIFF_PROFILES!$A:$A,0)))</f>
        <v/>
      </c>
      <c r="AH279">
        <f>IF($AG279="","",SUMIFS(OPERATING_COEFFS!$C:$C,OPERATING_COEFFS!$A:$A,"DistanceClass",OPERATING_COEFFS!$B:$B,$AG279))</f>
        <v/>
      </c>
      <c r="AJ279">
        <f>IF($AI279="","",SUMIFS(OPERATING_COEFFS!$C:$C,OPERATING_COEFFS!$A:$A,"SeasonClass",OPERATING_COEFFS!$B:$B,$AI279))</f>
        <v/>
      </c>
      <c r="AL279">
        <f>IF($AK279="","",SUMIFS(OPERATING_COEFFS!$C:$C,OPERATING_COEFFS!$A:$A,"UrgencyClass",OPERATING_COEFFS!$B:$B,$AK279))</f>
        <v/>
      </c>
      <c r="AN279">
        <f>IF($AM279="","",INDEX(TAX_MODES!$B:$B,MATCH($AM279,TAX_MODES!$A:$A,0)))</f>
        <v/>
      </c>
    </row>
    <row r="280">
      <c r="X280" s="15" t="n"/>
      <c r="Y280" s="15">
        <f>IF($X280="","",SUMIFS(TARIFF_PROFILES!$D:$D,TARIFF_PROFILES!$A:$A,$X280))</f>
        <v/>
      </c>
      <c r="Z280" s="15">
        <f>IF($X280="","",SUMIFS(TARIFF_PROFILES!$E:$E,TARIFF_PROFILES!$A:$A,$X280))</f>
        <v/>
      </c>
      <c r="AA280" s="15">
        <f>IF($X280="","",SUMIFS(TARIFF_PROFILES!$F:$F,TARIFF_PROFILES!$A:$A,$X280))</f>
        <v/>
      </c>
      <c r="AB280" s="15">
        <f>IF($X280="","",SUMIFS(TARIFF_PROFILES!$G:$G,TARIFF_PROFILES!$A:$A,$X280))</f>
        <v/>
      </c>
      <c r="AC280" s="15">
        <f>IF($X280="","",SUMIFS(TARIFF_PROFILES!$H:$H,TARIFF_PROFILES!$A:$A,$X280))</f>
        <v/>
      </c>
      <c r="AD280" s="15">
        <f>IF($X280="","",INDEX(TARIFF_PROFILES!$J:$J,MATCH($X280,TARIFF_PROFILES!$A:$A,0)))</f>
        <v/>
      </c>
      <c r="AE280" s="15">
        <f>IF($X280="","",INDEX(TARIFF_PROFILES!$K:$K,MATCH($X280,TARIFF_PROFILES!$A:$A,0)))</f>
        <v/>
      </c>
      <c r="AH280">
        <f>IF($AG280="","",SUMIFS(OPERATING_COEFFS!$C:$C,OPERATING_COEFFS!$A:$A,"DistanceClass",OPERATING_COEFFS!$B:$B,$AG280))</f>
        <v/>
      </c>
      <c r="AJ280">
        <f>IF($AI280="","",SUMIFS(OPERATING_COEFFS!$C:$C,OPERATING_COEFFS!$A:$A,"SeasonClass",OPERATING_COEFFS!$B:$B,$AI280))</f>
        <v/>
      </c>
      <c r="AL280">
        <f>IF($AK280="","",SUMIFS(OPERATING_COEFFS!$C:$C,OPERATING_COEFFS!$A:$A,"UrgencyClass",OPERATING_COEFFS!$B:$B,$AK280))</f>
        <v/>
      </c>
      <c r="AN280">
        <f>IF($AM280="","",INDEX(TAX_MODES!$B:$B,MATCH($AM280,TAX_MODES!$A:$A,0)))</f>
        <v/>
      </c>
    </row>
    <row r="281">
      <c r="X281" s="15" t="n"/>
      <c r="Y281" s="15">
        <f>IF($X281="","",SUMIFS(TARIFF_PROFILES!$D:$D,TARIFF_PROFILES!$A:$A,$X281))</f>
        <v/>
      </c>
      <c r="Z281" s="15">
        <f>IF($X281="","",SUMIFS(TARIFF_PROFILES!$E:$E,TARIFF_PROFILES!$A:$A,$X281))</f>
        <v/>
      </c>
      <c r="AA281" s="15">
        <f>IF($X281="","",SUMIFS(TARIFF_PROFILES!$F:$F,TARIFF_PROFILES!$A:$A,$X281))</f>
        <v/>
      </c>
      <c r="AB281" s="15">
        <f>IF($X281="","",SUMIFS(TARIFF_PROFILES!$G:$G,TARIFF_PROFILES!$A:$A,$X281))</f>
        <v/>
      </c>
      <c r="AC281" s="15">
        <f>IF($X281="","",SUMIFS(TARIFF_PROFILES!$H:$H,TARIFF_PROFILES!$A:$A,$X281))</f>
        <v/>
      </c>
      <c r="AD281" s="15">
        <f>IF($X281="","",INDEX(TARIFF_PROFILES!$J:$J,MATCH($X281,TARIFF_PROFILES!$A:$A,0)))</f>
        <v/>
      </c>
      <c r="AE281" s="15">
        <f>IF($X281="","",INDEX(TARIFF_PROFILES!$K:$K,MATCH($X281,TARIFF_PROFILES!$A:$A,0)))</f>
        <v/>
      </c>
      <c r="AH281">
        <f>IF($AG281="","",SUMIFS(OPERATING_COEFFS!$C:$C,OPERATING_COEFFS!$A:$A,"DistanceClass",OPERATING_COEFFS!$B:$B,$AG281))</f>
        <v/>
      </c>
      <c r="AJ281">
        <f>IF($AI281="","",SUMIFS(OPERATING_COEFFS!$C:$C,OPERATING_COEFFS!$A:$A,"SeasonClass",OPERATING_COEFFS!$B:$B,$AI281))</f>
        <v/>
      </c>
      <c r="AL281">
        <f>IF($AK281="","",SUMIFS(OPERATING_COEFFS!$C:$C,OPERATING_COEFFS!$A:$A,"UrgencyClass",OPERATING_COEFFS!$B:$B,$AK281))</f>
        <v/>
      </c>
      <c r="AN281">
        <f>IF($AM281="","",INDEX(TAX_MODES!$B:$B,MATCH($AM281,TAX_MODES!$A:$A,0)))</f>
        <v/>
      </c>
    </row>
    <row r="282">
      <c r="X282" s="15" t="n"/>
      <c r="Y282" s="15">
        <f>IF($X282="","",SUMIFS(TARIFF_PROFILES!$D:$D,TARIFF_PROFILES!$A:$A,$X282))</f>
        <v/>
      </c>
      <c r="Z282" s="15">
        <f>IF($X282="","",SUMIFS(TARIFF_PROFILES!$E:$E,TARIFF_PROFILES!$A:$A,$X282))</f>
        <v/>
      </c>
      <c r="AA282" s="15">
        <f>IF($X282="","",SUMIFS(TARIFF_PROFILES!$F:$F,TARIFF_PROFILES!$A:$A,$X282))</f>
        <v/>
      </c>
      <c r="AB282" s="15">
        <f>IF($X282="","",SUMIFS(TARIFF_PROFILES!$G:$G,TARIFF_PROFILES!$A:$A,$X282))</f>
        <v/>
      </c>
      <c r="AC282" s="15">
        <f>IF($X282="","",SUMIFS(TARIFF_PROFILES!$H:$H,TARIFF_PROFILES!$A:$A,$X282))</f>
        <v/>
      </c>
      <c r="AD282" s="15">
        <f>IF($X282="","",INDEX(TARIFF_PROFILES!$J:$J,MATCH($X282,TARIFF_PROFILES!$A:$A,0)))</f>
        <v/>
      </c>
      <c r="AE282" s="15">
        <f>IF($X282="","",INDEX(TARIFF_PROFILES!$K:$K,MATCH($X282,TARIFF_PROFILES!$A:$A,0)))</f>
        <v/>
      </c>
      <c r="AH282">
        <f>IF($AG282="","",SUMIFS(OPERATING_COEFFS!$C:$C,OPERATING_COEFFS!$A:$A,"DistanceClass",OPERATING_COEFFS!$B:$B,$AG282))</f>
        <v/>
      </c>
      <c r="AJ282">
        <f>IF($AI282="","",SUMIFS(OPERATING_COEFFS!$C:$C,OPERATING_COEFFS!$A:$A,"SeasonClass",OPERATING_COEFFS!$B:$B,$AI282))</f>
        <v/>
      </c>
      <c r="AL282">
        <f>IF($AK282="","",SUMIFS(OPERATING_COEFFS!$C:$C,OPERATING_COEFFS!$A:$A,"UrgencyClass",OPERATING_COEFFS!$B:$B,$AK282))</f>
        <v/>
      </c>
      <c r="AN282">
        <f>IF($AM282="","",INDEX(TAX_MODES!$B:$B,MATCH($AM282,TAX_MODES!$A:$A,0)))</f>
        <v/>
      </c>
    </row>
    <row r="283">
      <c r="X283" s="15" t="n"/>
      <c r="Y283" s="15">
        <f>IF($X283="","",SUMIFS(TARIFF_PROFILES!$D:$D,TARIFF_PROFILES!$A:$A,$X283))</f>
        <v/>
      </c>
      <c r="Z283" s="15">
        <f>IF($X283="","",SUMIFS(TARIFF_PROFILES!$E:$E,TARIFF_PROFILES!$A:$A,$X283))</f>
        <v/>
      </c>
      <c r="AA283" s="15">
        <f>IF($X283="","",SUMIFS(TARIFF_PROFILES!$F:$F,TARIFF_PROFILES!$A:$A,$X283))</f>
        <v/>
      </c>
      <c r="AB283" s="15">
        <f>IF($X283="","",SUMIFS(TARIFF_PROFILES!$G:$G,TARIFF_PROFILES!$A:$A,$X283))</f>
        <v/>
      </c>
      <c r="AC283" s="15">
        <f>IF($X283="","",SUMIFS(TARIFF_PROFILES!$H:$H,TARIFF_PROFILES!$A:$A,$X283))</f>
        <v/>
      </c>
      <c r="AD283" s="15">
        <f>IF($X283="","",INDEX(TARIFF_PROFILES!$J:$J,MATCH($X283,TARIFF_PROFILES!$A:$A,0)))</f>
        <v/>
      </c>
      <c r="AE283" s="15">
        <f>IF($X283="","",INDEX(TARIFF_PROFILES!$K:$K,MATCH($X283,TARIFF_PROFILES!$A:$A,0)))</f>
        <v/>
      </c>
      <c r="AH283">
        <f>IF($AG283="","",SUMIFS(OPERATING_COEFFS!$C:$C,OPERATING_COEFFS!$A:$A,"DistanceClass",OPERATING_COEFFS!$B:$B,$AG283))</f>
        <v/>
      </c>
      <c r="AJ283">
        <f>IF($AI283="","",SUMIFS(OPERATING_COEFFS!$C:$C,OPERATING_COEFFS!$A:$A,"SeasonClass",OPERATING_COEFFS!$B:$B,$AI283))</f>
        <v/>
      </c>
      <c r="AL283">
        <f>IF($AK283="","",SUMIFS(OPERATING_COEFFS!$C:$C,OPERATING_COEFFS!$A:$A,"UrgencyClass",OPERATING_COEFFS!$B:$B,$AK283))</f>
        <v/>
      </c>
      <c r="AN283">
        <f>IF($AM283="","",INDEX(TAX_MODES!$B:$B,MATCH($AM283,TAX_MODES!$A:$A,0)))</f>
        <v/>
      </c>
    </row>
    <row r="284">
      <c r="X284" s="15" t="n"/>
      <c r="Y284" s="15">
        <f>IF($X284="","",SUMIFS(TARIFF_PROFILES!$D:$D,TARIFF_PROFILES!$A:$A,$X284))</f>
        <v/>
      </c>
      <c r="Z284" s="15">
        <f>IF($X284="","",SUMIFS(TARIFF_PROFILES!$E:$E,TARIFF_PROFILES!$A:$A,$X284))</f>
        <v/>
      </c>
      <c r="AA284" s="15">
        <f>IF($X284="","",SUMIFS(TARIFF_PROFILES!$F:$F,TARIFF_PROFILES!$A:$A,$X284))</f>
        <v/>
      </c>
      <c r="AB284" s="15">
        <f>IF($X284="","",SUMIFS(TARIFF_PROFILES!$G:$G,TARIFF_PROFILES!$A:$A,$X284))</f>
        <v/>
      </c>
      <c r="AC284" s="15">
        <f>IF($X284="","",SUMIFS(TARIFF_PROFILES!$H:$H,TARIFF_PROFILES!$A:$A,$X284))</f>
        <v/>
      </c>
      <c r="AD284" s="15">
        <f>IF($X284="","",INDEX(TARIFF_PROFILES!$J:$J,MATCH($X284,TARIFF_PROFILES!$A:$A,0)))</f>
        <v/>
      </c>
      <c r="AE284" s="15">
        <f>IF($X284="","",INDEX(TARIFF_PROFILES!$K:$K,MATCH($X284,TARIFF_PROFILES!$A:$A,0)))</f>
        <v/>
      </c>
      <c r="AH284">
        <f>IF($AG284="","",SUMIFS(OPERATING_COEFFS!$C:$C,OPERATING_COEFFS!$A:$A,"DistanceClass",OPERATING_COEFFS!$B:$B,$AG284))</f>
        <v/>
      </c>
      <c r="AJ284">
        <f>IF($AI284="","",SUMIFS(OPERATING_COEFFS!$C:$C,OPERATING_COEFFS!$A:$A,"SeasonClass",OPERATING_COEFFS!$B:$B,$AI284))</f>
        <v/>
      </c>
      <c r="AL284">
        <f>IF($AK284="","",SUMIFS(OPERATING_COEFFS!$C:$C,OPERATING_COEFFS!$A:$A,"UrgencyClass",OPERATING_COEFFS!$B:$B,$AK284))</f>
        <v/>
      </c>
      <c r="AN284">
        <f>IF($AM284="","",INDEX(TAX_MODES!$B:$B,MATCH($AM284,TAX_MODES!$A:$A,0)))</f>
        <v/>
      </c>
    </row>
    <row r="285">
      <c r="X285" s="15" t="n"/>
      <c r="Y285" s="15">
        <f>IF($X285="","",SUMIFS(TARIFF_PROFILES!$D:$D,TARIFF_PROFILES!$A:$A,$X285))</f>
        <v/>
      </c>
      <c r="Z285" s="15">
        <f>IF($X285="","",SUMIFS(TARIFF_PROFILES!$E:$E,TARIFF_PROFILES!$A:$A,$X285))</f>
        <v/>
      </c>
      <c r="AA285" s="15">
        <f>IF($X285="","",SUMIFS(TARIFF_PROFILES!$F:$F,TARIFF_PROFILES!$A:$A,$X285))</f>
        <v/>
      </c>
      <c r="AB285" s="15">
        <f>IF($X285="","",SUMIFS(TARIFF_PROFILES!$G:$G,TARIFF_PROFILES!$A:$A,$X285))</f>
        <v/>
      </c>
      <c r="AC285" s="15">
        <f>IF($X285="","",SUMIFS(TARIFF_PROFILES!$H:$H,TARIFF_PROFILES!$A:$A,$X285))</f>
        <v/>
      </c>
      <c r="AD285" s="15">
        <f>IF($X285="","",INDEX(TARIFF_PROFILES!$J:$J,MATCH($X285,TARIFF_PROFILES!$A:$A,0)))</f>
        <v/>
      </c>
      <c r="AE285" s="15">
        <f>IF($X285="","",INDEX(TARIFF_PROFILES!$K:$K,MATCH($X285,TARIFF_PROFILES!$A:$A,0)))</f>
        <v/>
      </c>
      <c r="AH285">
        <f>IF($AG285="","",SUMIFS(OPERATING_COEFFS!$C:$C,OPERATING_COEFFS!$A:$A,"DistanceClass",OPERATING_COEFFS!$B:$B,$AG285))</f>
        <v/>
      </c>
      <c r="AJ285">
        <f>IF($AI285="","",SUMIFS(OPERATING_COEFFS!$C:$C,OPERATING_COEFFS!$A:$A,"SeasonClass",OPERATING_COEFFS!$B:$B,$AI285))</f>
        <v/>
      </c>
      <c r="AL285">
        <f>IF($AK285="","",SUMIFS(OPERATING_COEFFS!$C:$C,OPERATING_COEFFS!$A:$A,"UrgencyClass",OPERATING_COEFFS!$B:$B,$AK285))</f>
        <v/>
      </c>
      <c r="AN285">
        <f>IF($AM285="","",INDEX(TAX_MODES!$B:$B,MATCH($AM285,TAX_MODES!$A:$A,0)))</f>
        <v/>
      </c>
    </row>
    <row r="286">
      <c r="X286" s="15" t="n"/>
      <c r="Y286" s="15">
        <f>IF($X286="","",SUMIFS(TARIFF_PROFILES!$D:$D,TARIFF_PROFILES!$A:$A,$X286))</f>
        <v/>
      </c>
      <c r="Z286" s="15">
        <f>IF($X286="","",SUMIFS(TARIFF_PROFILES!$E:$E,TARIFF_PROFILES!$A:$A,$X286))</f>
        <v/>
      </c>
      <c r="AA286" s="15">
        <f>IF($X286="","",SUMIFS(TARIFF_PROFILES!$F:$F,TARIFF_PROFILES!$A:$A,$X286))</f>
        <v/>
      </c>
      <c r="AB286" s="15">
        <f>IF($X286="","",SUMIFS(TARIFF_PROFILES!$G:$G,TARIFF_PROFILES!$A:$A,$X286))</f>
        <v/>
      </c>
      <c r="AC286" s="15">
        <f>IF($X286="","",SUMIFS(TARIFF_PROFILES!$H:$H,TARIFF_PROFILES!$A:$A,$X286))</f>
        <v/>
      </c>
      <c r="AD286" s="15">
        <f>IF($X286="","",INDEX(TARIFF_PROFILES!$J:$J,MATCH($X286,TARIFF_PROFILES!$A:$A,0)))</f>
        <v/>
      </c>
      <c r="AE286" s="15">
        <f>IF($X286="","",INDEX(TARIFF_PROFILES!$K:$K,MATCH($X286,TARIFF_PROFILES!$A:$A,0)))</f>
        <v/>
      </c>
      <c r="AH286">
        <f>IF($AG286="","",SUMIFS(OPERATING_COEFFS!$C:$C,OPERATING_COEFFS!$A:$A,"DistanceClass",OPERATING_COEFFS!$B:$B,$AG286))</f>
        <v/>
      </c>
      <c r="AJ286">
        <f>IF($AI286="","",SUMIFS(OPERATING_COEFFS!$C:$C,OPERATING_COEFFS!$A:$A,"SeasonClass",OPERATING_COEFFS!$B:$B,$AI286))</f>
        <v/>
      </c>
      <c r="AL286">
        <f>IF($AK286="","",SUMIFS(OPERATING_COEFFS!$C:$C,OPERATING_COEFFS!$A:$A,"UrgencyClass",OPERATING_COEFFS!$B:$B,$AK286))</f>
        <v/>
      </c>
      <c r="AN286">
        <f>IF($AM286="","",INDEX(TAX_MODES!$B:$B,MATCH($AM286,TAX_MODES!$A:$A,0)))</f>
        <v/>
      </c>
    </row>
    <row r="287">
      <c r="X287" s="15" t="n"/>
      <c r="Y287" s="15">
        <f>IF($X287="","",SUMIFS(TARIFF_PROFILES!$D:$D,TARIFF_PROFILES!$A:$A,$X287))</f>
        <v/>
      </c>
      <c r="Z287" s="15">
        <f>IF($X287="","",SUMIFS(TARIFF_PROFILES!$E:$E,TARIFF_PROFILES!$A:$A,$X287))</f>
        <v/>
      </c>
      <c r="AA287" s="15">
        <f>IF($X287="","",SUMIFS(TARIFF_PROFILES!$F:$F,TARIFF_PROFILES!$A:$A,$X287))</f>
        <v/>
      </c>
      <c r="AB287" s="15">
        <f>IF($X287="","",SUMIFS(TARIFF_PROFILES!$G:$G,TARIFF_PROFILES!$A:$A,$X287))</f>
        <v/>
      </c>
      <c r="AC287" s="15">
        <f>IF($X287="","",SUMIFS(TARIFF_PROFILES!$H:$H,TARIFF_PROFILES!$A:$A,$X287))</f>
        <v/>
      </c>
      <c r="AD287" s="15">
        <f>IF($X287="","",INDEX(TARIFF_PROFILES!$J:$J,MATCH($X287,TARIFF_PROFILES!$A:$A,0)))</f>
        <v/>
      </c>
      <c r="AE287" s="15">
        <f>IF($X287="","",INDEX(TARIFF_PROFILES!$K:$K,MATCH($X287,TARIFF_PROFILES!$A:$A,0)))</f>
        <v/>
      </c>
      <c r="AH287">
        <f>IF($AG287="","",SUMIFS(OPERATING_COEFFS!$C:$C,OPERATING_COEFFS!$A:$A,"DistanceClass",OPERATING_COEFFS!$B:$B,$AG287))</f>
        <v/>
      </c>
      <c r="AJ287">
        <f>IF($AI287="","",SUMIFS(OPERATING_COEFFS!$C:$C,OPERATING_COEFFS!$A:$A,"SeasonClass",OPERATING_COEFFS!$B:$B,$AI287))</f>
        <v/>
      </c>
      <c r="AL287">
        <f>IF($AK287="","",SUMIFS(OPERATING_COEFFS!$C:$C,OPERATING_COEFFS!$A:$A,"UrgencyClass",OPERATING_COEFFS!$B:$B,$AK287))</f>
        <v/>
      </c>
      <c r="AN287">
        <f>IF($AM287="","",INDEX(TAX_MODES!$B:$B,MATCH($AM287,TAX_MODES!$A:$A,0)))</f>
        <v/>
      </c>
    </row>
    <row r="288">
      <c r="X288" s="15" t="n"/>
      <c r="Y288" s="15">
        <f>IF($X288="","",SUMIFS(TARIFF_PROFILES!$D:$D,TARIFF_PROFILES!$A:$A,$X288))</f>
        <v/>
      </c>
      <c r="Z288" s="15">
        <f>IF($X288="","",SUMIFS(TARIFF_PROFILES!$E:$E,TARIFF_PROFILES!$A:$A,$X288))</f>
        <v/>
      </c>
      <c r="AA288" s="15">
        <f>IF($X288="","",SUMIFS(TARIFF_PROFILES!$F:$F,TARIFF_PROFILES!$A:$A,$X288))</f>
        <v/>
      </c>
      <c r="AB288" s="15">
        <f>IF($X288="","",SUMIFS(TARIFF_PROFILES!$G:$G,TARIFF_PROFILES!$A:$A,$X288))</f>
        <v/>
      </c>
      <c r="AC288" s="15">
        <f>IF($X288="","",SUMIFS(TARIFF_PROFILES!$H:$H,TARIFF_PROFILES!$A:$A,$X288))</f>
        <v/>
      </c>
      <c r="AD288" s="15">
        <f>IF($X288="","",INDEX(TARIFF_PROFILES!$J:$J,MATCH($X288,TARIFF_PROFILES!$A:$A,0)))</f>
        <v/>
      </c>
      <c r="AE288" s="15">
        <f>IF($X288="","",INDEX(TARIFF_PROFILES!$K:$K,MATCH($X288,TARIFF_PROFILES!$A:$A,0)))</f>
        <v/>
      </c>
      <c r="AH288">
        <f>IF($AG288="","",SUMIFS(OPERATING_COEFFS!$C:$C,OPERATING_COEFFS!$A:$A,"DistanceClass",OPERATING_COEFFS!$B:$B,$AG288))</f>
        <v/>
      </c>
      <c r="AJ288">
        <f>IF($AI288="","",SUMIFS(OPERATING_COEFFS!$C:$C,OPERATING_COEFFS!$A:$A,"SeasonClass",OPERATING_COEFFS!$B:$B,$AI288))</f>
        <v/>
      </c>
      <c r="AL288">
        <f>IF($AK288="","",SUMIFS(OPERATING_COEFFS!$C:$C,OPERATING_COEFFS!$A:$A,"UrgencyClass",OPERATING_COEFFS!$B:$B,$AK288))</f>
        <v/>
      </c>
      <c r="AN288">
        <f>IF($AM288="","",INDEX(TAX_MODES!$B:$B,MATCH($AM288,TAX_MODES!$A:$A,0)))</f>
        <v/>
      </c>
    </row>
    <row r="289">
      <c r="X289" s="15" t="n"/>
      <c r="Y289" s="15">
        <f>IF($X289="","",SUMIFS(TARIFF_PROFILES!$D:$D,TARIFF_PROFILES!$A:$A,$X289))</f>
        <v/>
      </c>
      <c r="Z289" s="15">
        <f>IF($X289="","",SUMIFS(TARIFF_PROFILES!$E:$E,TARIFF_PROFILES!$A:$A,$X289))</f>
        <v/>
      </c>
      <c r="AA289" s="15">
        <f>IF($X289="","",SUMIFS(TARIFF_PROFILES!$F:$F,TARIFF_PROFILES!$A:$A,$X289))</f>
        <v/>
      </c>
      <c r="AB289" s="15">
        <f>IF($X289="","",SUMIFS(TARIFF_PROFILES!$G:$G,TARIFF_PROFILES!$A:$A,$X289))</f>
        <v/>
      </c>
      <c r="AC289" s="15">
        <f>IF($X289="","",SUMIFS(TARIFF_PROFILES!$H:$H,TARIFF_PROFILES!$A:$A,$X289))</f>
        <v/>
      </c>
      <c r="AD289" s="15">
        <f>IF($X289="","",INDEX(TARIFF_PROFILES!$J:$J,MATCH($X289,TARIFF_PROFILES!$A:$A,0)))</f>
        <v/>
      </c>
      <c r="AE289" s="15">
        <f>IF($X289="","",INDEX(TARIFF_PROFILES!$K:$K,MATCH($X289,TARIFF_PROFILES!$A:$A,0)))</f>
        <v/>
      </c>
      <c r="AH289">
        <f>IF($AG289="","",SUMIFS(OPERATING_COEFFS!$C:$C,OPERATING_COEFFS!$A:$A,"DistanceClass",OPERATING_COEFFS!$B:$B,$AG289))</f>
        <v/>
      </c>
      <c r="AJ289">
        <f>IF($AI289="","",SUMIFS(OPERATING_COEFFS!$C:$C,OPERATING_COEFFS!$A:$A,"SeasonClass",OPERATING_COEFFS!$B:$B,$AI289))</f>
        <v/>
      </c>
      <c r="AL289">
        <f>IF($AK289="","",SUMIFS(OPERATING_COEFFS!$C:$C,OPERATING_COEFFS!$A:$A,"UrgencyClass",OPERATING_COEFFS!$B:$B,$AK289))</f>
        <v/>
      </c>
      <c r="AN289">
        <f>IF($AM289="","",INDEX(TAX_MODES!$B:$B,MATCH($AM289,TAX_MODES!$A:$A,0)))</f>
        <v/>
      </c>
    </row>
    <row r="290">
      <c r="X290" s="15" t="n"/>
      <c r="Y290" s="15">
        <f>IF($X290="","",SUMIFS(TARIFF_PROFILES!$D:$D,TARIFF_PROFILES!$A:$A,$X290))</f>
        <v/>
      </c>
      <c r="Z290" s="15">
        <f>IF($X290="","",SUMIFS(TARIFF_PROFILES!$E:$E,TARIFF_PROFILES!$A:$A,$X290))</f>
        <v/>
      </c>
      <c r="AA290" s="15">
        <f>IF($X290="","",SUMIFS(TARIFF_PROFILES!$F:$F,TARIFF_PROFILES!$A:$A,$X290))</f>
        <v/>
      </c>
      <c r="AB290" s="15">
        <f>IF($X290="","",SUMIFS(TARIFF_PROFILES!$G:$G,TARIFF_PROFILES!$A:$A,$X290))</f>
        <v/>
      </c>
      <c r="AC290" s="15">
        <f>IF($X290="","",SUMIFS(TARIFF_PROFILES!$H:$H,TARIFF_PROFILES!$A:$A,$X290))</f>
        <v/>
      </c>
      <c r="AD290" s="15">
        <f>IF($X290="","",INDEX(TARIFF_PROFILES!$J:$J,MATCH($X290,TARIFF_PROFILES!$A:$A,0)))</f>
        <v/>
      </c>
      <c r="AE290" s="15">
        <f>IF($X290="","",INDEX(TARIFF_PROFILES!$K:$K,MATCH($X290,TARIFF_PROFILES!$A:$A,0)))</f>
        <v/>
      </c>
      <c r="AH290">
        <f>IF($AG290="","",SUMIFS(OPERATING_COEFFS!$C:$C,OPERATING_COEFFS!$A:$A,"DistanceClass",OPERATING_COEFFS!$B:$B,$AG290))</f>
        <v/>
      </c>
      <c r="AJ290">
        <f>IF($AI290="","",SUMIFS(OPERATING_COEFFS!$C:$C,OPERATING_COEFFS!$A:$A,"SeasonClass",OPERATING_COEFFS!$B:$B,$AI290))</f>
        <v/>
      </c>
      <c r="AL290">
        <f>IF($AK290="","",SUMIFS(OPERATING_COEFFS!$C:$C,OPERATING_COEFFS!$A:$A,"UrgencyClass",OPERATING_COEFFS!$B:$B,$AK290))</f>
        <v/>
      </c>
      <c r="AN290">
        <f>IF($AM290="","",INDEX(TAX_MODES!$B:$B,MATCH($AM290,TAX_MODES!$A:$A,0)))</f>
        <v/>
      </c>
    </row>
    <row r="291">
      <c r="X291" s="15" t="n"/>
      <c r="Y291" s="15">
        <f>IF($X291="","",SUMIFS(TARIFF_PROFILES!$D:$D,TARIFF_PROFILES!$A:$A,$X291))</f>
        <v/>
      </c>
      <c r="Z291" s="15">
        <f>IF($X291="","",SUMIFS(TARIFF_PROFILES!$E:$E,TARIFF_PROFILES!$A:$A,$X291))</f>
        <v/>
      </c>
      <c r="AA291" s="15">
        <f>IF($X291="","",SUMIFS(TARIFF_PROFILES!$F:$F,TARIFF_PROFILES!$A:$A,$X291))</f>
        <v/>
      </c>
      <c r="AB291" s="15">
        <f>IF($X291="","",SUMIFS(TARIFF_PROFILES!$G:$G,TARIFF_PROFILES!$A:$A,$X291))</f>
        <v/>
      </c>
      <c r="AC291" s="15">
        <f>IF($X291="","",SUMIFS(TARIFF_PROFILES!$H:$H,TARIFF_PROFILES!$A:$A,$X291))</f>
        <v/>
      </c>
      <c r="AD291" s="15">
        <f>IF($X291="","",INDEX(TARIFF_PROFILES!$J:$J,MATCH($X291,TARIFF_PROFILES!$A:$A,0)))</f>
        <v/>
      </c>
      <c r="AE291" s="15">
        <f>IF($X291="","",INDEX(TARIFF_PROFILES!$K:$K,MATCH($X291,TARIFF_PROFILES!$A:$A,0)))</f>
        <v/>
      </c>
      <c r="AH291">
        <f>IF($AG291="","",SUMIFS(OPERATING_COEFFS!$C:$C,OPERATING_COEFFS!$A:$A,"DistanceClass",OPERATING_COEFFS!$B:$B,$AG291))</f>
        <v/>
      </c>
      <c r="AJ291">
        <f>IF($AI291="","",SUMIFS(OPERATING_COEFFS!$C:$C,OPERATING_COEFFS!$A:$A,"SeasonClass",OPERATING_COEFFS!$B:$B,$AI291))</f>
        <v/>
      </c>
      <c r="AL291">
        <f>IF($AK291="","",SUMIFS(OPERATING_COEFFS!$C:$C,OPERATING_COEFFS!$A:$A,"UrgencyClass",OPERATING_COEFFS!$B:$B,$AK291))</f>
        <v/>
      </c>
      <c r="AN291">
        <f>IF($AM291="","",INDEX(TAX_MODES!$B:$B,MATCH($AM291,TAX_MODES!$A:$A,0)))</f>
        <v/>
      </c>
    </row>
    <row r="292">
      <c r="X292" s="15" t="n"/>
      <c r="Y292" s="15">
        <f>IF($X292="","",SUMIFS(TARIFF_PROFILES!$D:$D,TARIFF_PROFILES!$A:$A,$X292))</f>
        <v/>
      </c>
      <c r="Z292" s="15">
        <f>IF($X292="","",SUMIFS(TARIFF_PROFILES!$E:$E,TARIFF_PROFILES!$A:$A,$X292))</f>
        <v/>
      </c>
      <c r="AA292" s="15">
        <f>IF($X292="","",SUMIFS(TARIFF_PROFILES!$F:$F,TARIFF_PROFILES!$A:$A,$X292))</f>
        <v/>
      </c>
      <c r="AB292" s="15">
        <f>IF($X292="","",SUMIFS(TARIFF_PROFILES!$G:$G,TARIFF_PROFILES!$A:$A,$X292))</f>
        <v/>
      </c>
      <c r="AC292" s="15">
        <f>IF($X292="","",SUMIFS(TARIFF_PROFILES!$H:$H,TARIFF_PROFILES!$A:$A,$X292))</f>
        <v/>
      </c>
      <c r="AD292" s="15">
        <f>IF($X292="","",INDEX(TARIFF_PROFILES!$J:$J,MATCH($X292,TARIFF_PROFILES!$A:$A,0)))</f>
        <v/>
      </c>
      <c r="AE292" s="15">
        <f>IF($X292="","",INDEX(TARIFF_PROFILES!$K:$K,MATCH($X292,TARIFF_PROFILES!$A:$A,0)))</f>
        <v/>
      </c>
      <c r="AH292">
        <f>IF($AG292="","",SUMIFS(OPERATING_COEFFS!$C:$C,OPERATING_COEFFS!$A:$A,"DistanceClass",OPERATING_COEFFS!$B:$B,$AG292))</f>
        <v/>
      </c>
      <c r="AJ292">
        <f>IF($AI292="","",SUMIFS(OPERATING_COEFFS!$C:$C,OPERATING_COEFFS!$A:$A,"SeasonClass",OPERATING_COEFFS!$B:$B,$AI292))</f>
        <v/>
      </c>
      <c r="AL292">
        <f>IF($AK292="","",SUMIFS(OPERATING_COEFFS!$C:$C,OPERATING_COEFFS!$A:$A,"UrgencyClass",OPERATING_COEFFS!$B:$B,$AK292))</f>
        <v/>
      </c>
      <c r="AN292">
        <f>IF($AM292="","",INDEX(TAX_MODES!$B:$B,MATCH($AM292,TAX_MODES!$A:$A,0)))</f>
        <v/>
      </c>
    </row>
    <row r="293">
      <c r="X293" s="15" t="n"/>
      <c r="Y293" s="15">
        <f>IF($X293="","",SUMIFS(TARIFF_PROFILES!$D:$D,TARIFF_PROFILES!$A:$A,$X293))</f>
        <v/>
      </c>
      <c r="Z293" s="15">
        <f>IF($X293="","",SUMIFS(TARIFF_PROFILES!$E:$E,TARIFF_PROFILES!$A:$A,$X293))</f>
        <v/>
      </c>
      <c r="AA293" s="15">
        <f>IF($X293="","",SUMIFS(TARIFF_PROFILES!$F:$F,TARIFF_PROFILES!$A:$A,$X293))</f>
        <v/>
      </c>
      <c r="AB293" s="15">
        <f>IF($X293="","",SUMIFS(TARIFF_PROFILES!$G:$G,TARIFF_PROFILES!$A:$A,$X293))</f>
        <v/>
      </c>
      <c r="AC293" s="15">
        <f>IF($X293="","",SUMIFS(TARIFF_PROFILES!$H:$H,TARIFF_PROFILES!$A:$A,$X293))</f>
        <v/>
      </c>
      <c r="AD293" s="15">
        <f>IF($X293="","",INDEX(TARIFF_PROFILES!$J:$J,MATCH($X293,TARIFF_PROFILES!$A:$A,0)))</f>
        <v/>
      </c>
      <c r="AE293" s="15">
        <f>IF($X293="","",INDEX(TARIFF_PROFILES!$K:$K,MATCH($X293,TARIFF_PROFILES!$A:$A,0)))</f>
        <v/>
      </c>
      <c r="AH293">
        <f>IF($AG293="","",SUMIFS(OPERATING_COEFFS!$C:$C,OPERATING_COEFFS!$A:$A,"DistanceClass",OPERATING_COEFFS!$B:$B,$AG293))</f>
        <v/>
      </c>
      <c r="AJ293">
        <f>IF($AI293="","",SUMIFS(OPERATING_COEFFS!$C:$C,OPERATING_COEFFS!$A:$A,"SeasonClass",OPERATING_COEFFS!$B:$B,$AI293))</f>
        <v/>
      </c>
      <c r="AL293">
        <f>IF($AK293="","",SUMIFS(OPERATING_COEFFS!$C:$C,OPERATING_COEFFS!$A:$A,"UrgencyClass",OPERATING_COEFFS!$B:$B,$AK293))</f>
        <v/>
      </c>
      <c r="AN293">
        <f>IF($AM293="","",INDEX(TAX_MODES!$B:$B,MATCH($AM293,TAX_MODES!$A:$A,0)))</f>
        <v/>
      </c>
    </row>
    <row r="294">
      <c r="X294" s="15" t="n"/>
      <c r="Y294" s="15">
        <f>IF($X294="","",SUMIFS(TARIFF_PROFILES!$D:$D,TARIFF_PROFILES!$A:$A,$X294))</f>
        <v/>
      </c>
      <c r="Z294" s="15">
        <f>IF($X294="","",SUMIFS(TARIFF_PROFILES!$E:$E,TARIFF_PROFILES!$A:$A,$X294))</f>
        <v/>
      </c>
      <c r="AA294" s="15">
        <f>IF($X294="","",SUMIFS(TARIFF_PROFILES!$F:$F,TARIFF_PROFILES!$A:$A,$X294))</f>
        <v/>
      </c>
      <c r="AB294" s="15">
        <f>IF($X294="","",SUMIFS(TARIFF_PROFILES!$G:$G,TARIFF_PROFILES!$A:$A,$X294))</f>
        <v/>
      </c>
      <c r="AC294" s="15">
        <f>IF($X294="","",SUMIFS(TARIFF_PROFILES!$H:$H,TARIFF_PROFILES!$A:$A,$X294))</f>
        <v/>
      </c>
      <c r="AD294" s="15">
        <f>IF($X294="","",INDEX(TARIFF_PROFILES!$J:$J,MATCH($X294,TARIFF_PROFILES!$A:$A,0)))</f>
        <v/>
      </c>
      <c r="AE294" s="15">
        <f>IF($X294="","",INDEX(TARIFF_PROFILES!$K:$K,MATCH($X294,TARIFF_PROFILES!$A:$A,0)))</f>
        <v/>
      </c>
      <c r="AH294">
        <f>IF($AG294="","",SUMIFS(OPERATING_COEFFS!$C:$C,OPERATING_COEFFS!$A:$A,"DistanceClass",OPERATING_COEFFS!$B:$B,$AG294))</f>
        <v/>
      </c>
      <c r="AJ294">
        <f>IF($AI294="","",SUMIFS(OPERATING_COEFFS!$C:$C,OPERATING_COEFFS!$A:$A,"SeasonClass",OPERATING_COEFFS!$B:$B,$AI294))</f>
        <v/>
      </c>
      <c r="AL294">
        <f>IF($AK294="","",SUMIFS(OPERATING_COEFFS!$C:$C,OPERATING_COEFFS!$A:$A,"UrgencyClass",OPERATING_COEFFS!$B:$B,$AK294))</f>
        <v/>
      </c>
      <c r="AN294">
        <f>IF($AM294="","",INDEX(TAX_MODES!$B:$B,MATCH($AM294,TAX_MODES!$A:$A,0)))</f>
        <v/>
      </c>
    </row>
    <row r="295">
      <c r="X295" s="15" t="n"/>
      <c r="Y295" s="15">
        <f>IF($X295="","",SUMIFS(TARIFF_PROFILES!$D:$D,TARIFF_PROFILES!$A:$A,$X295))</f>
        <v/>
      </c>
      <c r="Z295" s="15">
        <f>IF($X295="","",SUMIFS(TARIFF_PROFILES!$E:$E,TARIFF_PROFILES!$A:$A,$X295))</f>
        <v/>
      </c>
      <c r="AA295" s="15">
        <f>IF($X295="","",SUMIFS(TARIFF_PROFILES!$F:$F,TARIFF_PROFILES!$A:$A,$X295))</f>
        <v/>
      </c>
      <c r="AB295" s="15">
        <f>IF($X295="","",SUMIFS(TARIFF_PROFILES!$G:$G,TARIFF_PROFILES!$A:$A,$X295))</f>
        <v/>
      </c>
      <c r="AC295" s="15">
        <f>IF($X295="","",SUMIFS(TARIFF_PROFILES!$H:$H,TARIFF_PROFILES!$A:$A,$X295))</f>
        <v/>
      </c>
      <c r="AD295" s="15">
        <f>IF($X295="","",INDEX(TARIFF_PROFILES!$J:$J,MATCH($X295,TARIFF_PROFILES!$A:$A,0)))</f>
        <v/>
      </c>
      <c r="AE295" s="15">
        <f>IF($X295="","",INDEX(TARIFF_PROFILES!$K:$K,MATCH($X295,TARIFF_PROFILES!$A:$A,0)))</f>
        <v/>
      </c>
      <c r="AH295">
        <f>IF($AG295="","",SUMIFS(OPERATING_COEFFS!$C:$C,OPERATING_COEFFS!$A:$A,"DistanceClass",OPERATING_COEFFS!$B:$B,$AG295))</f>
        <v/>
      </c>
      <c r="AJ295">
        <f>IF($AI295="","",SUMIFS(OPERATING_COEFFS!$C:$C,OPERATING_COEFFS!$A:$A,"SeasonClass",OPERATING_COEFFS!$B:$B,$AI295))</f>
        <v/>
      </c>
      <c r="AL295">
        <f>IF($AK295="","",SUMIFS(OPERATING_COEFFS!$C:$C,OPERATING_COEFFS!$A:$A,"UrgencyClass",OPERATING_COEFFS!$B:$B,$AK295))</f>
        <v/>
      </c>
      <c r="AN295">
        <f>IF($AM295="","",INDEX(TAX_MODES!$B:$B,MATCH($AM295,TAX_MODES!$A:$A,0)))</f>
        <v/>
      </c>
    </row>
    <row r="296">
      <c r="X296" s="15" t="n"/>
      <c r="Y296" s="15">
        <f>IF($X296="","",SUMIFS(TARIFF_PROFILES!$D:$D,TARIFF_PROFILES!$A:$A,$X296))</f>
        <v/>
      </c>
      <c r="Z296" s="15">
        <f>IF($X296="","",SUMIFS(TARIFF_PROFILES!$E:$E,TARIFF_PROFILES!$A:$A,$X296))</f>
        <v/>
      </c>
      <c r="AA296" s="15">
        <f>IF($X296="","",SUMIFS(TARIFF_PROFILES!$F:$F,TARIFF_PROFILES!$A:$A,$X296))</f>
        <v/>
      </c>
      <c r="AB296" s="15">
        <f>IF($X296="","",SUMIFS(TARIFF_PROFILES!$G:$G,TARIFF_PROFILES!$A:$A,$X296))</f>
        <v/>
      </c>
      <c r="AC296" s="15">
        <f>IF($X296="","",SUMIFS(TARIFF_PROFILES!$H:$H,TARIFF_PROFILES!$A:$A,$X296))</f>
        <v/>
      </c>
      <c r="AD296" s="15">
        <f>IF($X296="","",INDEX(TARIFF_PROFILES!$J:$J,MATCH($X296,TARIFF_PROFILES!$A:$A,0)))</f>
        <v/>
      </c>
      <c r="AE296" s="15">
        <f>IF($X296="","",INDEX(TARIFF_PROFILES!$K:$K,MATCH($X296,TARIFF_PROFILES!$A:$A,0)))</f>
        <v/>
      </c>
      <c r="AH296">
        <f>IF($AG296="","",SUMIFS(OPERATING_COEFFS!$C:$C,OPERATING_COEFFS!$A:$A,"DistanceClass",OPERATING_COEFFS!$B:$B,$AG296))</f>
        <v/>
      </c>
      <c r="AJ296">
        <f>IF($AI296="","",SUMIFS(OPERATING_COEFFS!$C:$C,OPERATING_COEFFS!$A:$A,"SeasonClass",OPERATING_COEFFS!$B:$B,$AI296))</f>
        <v/>
      </c>
      <c r="AL296">
        <f>IF($AK296="","",SUMIFS(OPERATING_COEFFS!$C:$C,OPERATING_COEFFS!$A:$A,"UrgencyClass",OPERATING_COEFFS!$B:$B,$AK296))</f>
        <v/>
      </c>
      <c r="AN296">
        <f>IF($AM296="","",INDEX(TAX_MODES!$B:$B,MATCH($AM296,TAX_MODES!$A:$A,0)))</f>
        <v/>
      </c>
    </row>
    <row r="297">
      <c r="X297" s="15" t="n"/>
      <c r="Y297" s="15">
        <f>IF($X297="","",SUMIFS(TARIFF_PROFILES!$D:$D,TARIFF_PROFILES!$A:$A,$X297))</f>
        <v/>
      </c>
      <c r="Z297" s="15">
        <f>IF($X297="","",SUMIFS(TARIFF_PROFILES!$E:$E,TARIFF_PROFILES!$A:$A,$X297))</f>
        <v/>
      </c>
      <c r="AA297" s="15">
        <f>IF($X297="","",SUMIFS(TARIFF_PROFILES!$F:$F,TARIFF_PROFILES!$A:$A,$X297))</f>
        <v/>
      </c>
      <c r="AB297" s="15">
        <f>IF($X297="","",SUMIFS(TARIFF_PROFILES!$G:$G,TARIFF_PROFILES!$A:$A,$X297))</f>
        <v/>
      </c>
      <c r="AC297" s="15">
        <f>IF($X297="","",SUMIFS(TARIFF_PROFILES!$H:$H,TARIFF_PROFILES!$A:$A,$X297))</f>
        <v/>
      </c>
      <c r="AD297" s="15">
        <f>IF($X297="","",INDEX(TARIFF_PROFILES!$J:$J,MATCH($X297,TARIFF_PROFILES!$A:$A,0)))</f>
        <v/>
      </c>
      <c r="AE297" s="15">
        <f>IF($X297="","",INDEX(TARIFF_PROFILES!$K:$K,MATCH($X297,TARIFF_PROFILES!$A:$A,0)))</f>
        <v/>
      </c>
      <c r="AH297">
        <f>IF($AG297="","",SUMIFS(OPERATING_COEFFS!$C:$C,OPERATING_COEFFS!$A:$A,"DistanceClass",OPERATING_COEFFS!$B:$B,$AG297))</f>
        <v/>
      </c>
      <c r="AJ297">
        <f>IF($AI297="","",SUMIFS(OPERATING_COEFFS!$C:$C,OPERATING_COEFFS!$A:$A,"SeasonClass",OPERATING_COEFFS!$B:$B,$AI297))</f>
        <v/>
      </c>
      <c r="AL297">
        <f>IF($AK297="","",SUMIFS(OPERATING_COEFFS!$C:$C,OPERATING_COEFFS!$A:$A,"UrgencyClass",OPERATING_COEFFS!$B:$B,$AK297))</f>
        <v/>
      </c>
      <c r="AN297">
        <f>IF($AM297="","",INDEX(TAX_MODES!$B:$B,MATCH($AM297,TAX_MODES!$A:$A,0)))</f>
        <v/>
      </c>
    </row>
    <row r="298">
      <c r="X298" s="15" t="n"/>
      <c r="Y298" s="15">
        <f>IF($X298="","",SUMIFS(TARIFF_PROFILES!$D:$D,TARIFF_PROFILES!$A:$A,$X298))</f>
        <v/>
      </c>
      <c r="Z298" s="15">
        <f>IF($X298="","",SUMIFS(TARIFF_PROFILES!$E:$E,TARIFF_PROFILES!$A:$A,$X298))</f>
        <v/>
      </c>
      <c r="AA298" s="15">
        <f>IF($X298="","",SUMIFS(TARIFF_PROFILES!$F:$F,TARIFF_PROFILES!$A:$A,$X298))</f>
        <v/>
      </c>
      <c r="AB298" s="15">
        <f>IF($X298="","",SUMIFS(TARIFF_PROFILES!$G:$G,TARIFF_PROFILES!$A:$A,$X298))</f>
        <v/>
      </c>
      <c r="AC298" s="15">
        <f>IF($X298="","",SUMIFS(TARIFF_PROFILES!$H:$H,TARIFF_PROFILES!$A:$A,$X298))</f>
        <v/>
      </c>
      <c r="AD298" s="15">
        <f>IF($X298="","",INDEX(TARIFF_PROFILES!$J:$J,MATCH($X298,TARIFF_PROFILES!$A:$A,0)))</f>
        <v/>
      </c>
      <c r="AE298" s="15">
        <f>IF($X298="","",INDEX(TARIFF_PROFILES!$K:$K,MATCH($X298,TARIFF_PROFILES!$A:$A,0)))</f>
        <v/>
      </c>
      <c r="AH298">
        <f>IF($AG298="","",SUMIFS(OPERATING_COEFFS!$C:$C,OPERATING_COEFFS!$A:$A,"DistanceClass",OPERATING_COEFFS!$B:$B,$AG298))</f>
        <v/>
      </c>
      <c r="AJ298">
        <f>IF($AI298="","",SUMIFS(OPERATING_COEFFS!$C:$C,OPERATING_COEFFS!$A:$A,"SeasonClass",OPERATING_COEFFS!$B:$B,$AI298))</f>
        <v/>
      </c>
      <c r="AL298">
        <f>IF($AK298="","",SUMIFS(OPERATING_COEFFS!$C:$C,OPERATING_COEFFS!$A:$A,"UrgencyClass",OPERATING_COEFFS!$B:$B,$AK298))</f>
        <v/>
      </c>
      <c r="AN298">
        <f>IF($AM298="","",INDEX(TAX_MODES!$B:$B,MATCH($AM298,TAX_MODES!$A:$A,0)))</f>
        <v/>
      </c>
    </row>
    <row r="299">
      <c r="X299" s="15" t="n"/>
      <c r="Y299" s="15">
        <f>IF($X299="","",SUMIFS(TARIFF_PROFILES!$D:$D,TARIFF_PROFILES!$A:$A,$X299))</f>
        <v/>
      </c>
      <c r="Z299" s="15">
        <f>IF($X299="","",SUMIFS(TARIFF_PROFILES!$E:$E,TARIFF_PROFILES!$A:$A,$X299))</f>
        <v/>
      </c>
      <c r="AA299" s="15">
        <f>IF($X299="","",SUMIFS(TARIFF_PROFILES!$F:$F,TARIFF_PROFILES!$A:$A,$X299))</f>
        <v/>
      </c>
      <c r="AB299" s="15">
        <f>IF($X299="","",SUMIFS(TARIFF_PROFILES!$G:$G,TARIFF_PROFILES!$A:$A,$X299))</f>
        <v/>
      </c>
      <c r="AC299" s="15">
        <f>IF($X299="","",SUMIFS(TARIFF_PROFILES!$H:$H,TARIFF_PROFILES!$A:$A,$X299))</f>
        <v/>
      </c>
      <c r="AD299" s="15">
        <f>IF($X299="","",INDEX(TARIFF_PROFILES!$J:$J,MATCH($X299,TARIFF_PROFILES!$A:$A,0)))</f>
        <v/>
      </c>
      <c r="AE299" s="15">
        <f>IF($X299="","",INDEX(TARIFF_PROFILES!$K:$K,MATCH($X299,TARIFF_PROFILES!$A:$A,0)))</f>
        <v/>
      </c>
      <c r="AH299">
        <f>IF($AG299="","",SUMIFS(OPERATING_COEFFS!$C:$C,OPERATING_COEFFS!$A:$A,"DistanceClass",OPERATING_COEFFS!$B:$B,$AG299))</f>
        <v/>
      </c>
      <c r="AJ299">
        <f>IF($AI299="","",SUMIFS(OPERATING_COEFFS!$C:$C,OPERATING_COEFFS!$A:$A,"SeasonClass",OPERATING_COEFFS!$B:$B,$AI299))</f>
        <v/>
      </c>
      <c r="AL299">
        <f>IF($AK299="","",SUMIFS(OPERATING_COEFFS!$C:$C,OPERATING_COEFFS!$A:$A,"UrgencyClass",OPERATING_COEFFS!$B:$B,$AK299))</f>
        <v/>
      </c>
      <c r="AN299">
        <f>IF($AM299="","",INDEX(TAX_MODES!$B:$B,MATCH($AM299,TAX_MODES!$A:$A,0)))</f>
        <v/>
      </c>
    </row>
    <row r="300">
      <c r="X300" s="15" t="n"/>
      <c r="Y300" s="15">
        <f>IF($X300="","",SUMIFS(TARIFF_PROFILES!$D:$D,TARIFF_PROFILES!$A:$A,$X300))</f>
        <v/>
      </c>
      <c r="Z300" s="15">
        <f>IF($X300="","",SUMIFS(TARIFF_PROFILES!$E:$E,TARIFF_PROFILES!$A:$A,$X300))</f>
        <v/>
      </c>
      <c r="AA300" s="15">
        <f>IF($X300="","",SUMIFS(TARIFF_PROFILES!$F:$F,TARIFF_PROFILES!$A:$A,$X300))</f>
        <v/>
      </c>
      <c r="AB300" s="15">
        <f>IF($X300="","",SUMIFS(TARIFF_PROFILES!$G:$G,TARIFF_PROFILES!$A:$A,$X300))</f>
        <v/>
      </c>
      <c r="AC300" s="15">
        <f>IF($X300="","",SUMIFS(TARIFF_PROFILES!$H:$H,TARIFF_PROFILES!$A:$A,$X300))</f>
        <v/>
      </c>
      <c r="AD300" s="15">
        <f>IF($X300="","",INDEX(TARIFF_PROFILES!$J:$J,MATCH($X300,TARIFF_PROFILES!$A:$A,0)))</f>
        <v/>
      </c>
      <c r="AE300" s="15">
        <f>IF($X300="","",INDEX(TARIFF_PROFILES!$K:$K,MATCH($X300,TARIFF_PROFILES!$A:$A,0)))</f>
        <v/>
      </c>
      <c r="AH300">
        <f>IF($AG300="","",SUMIFS(OPERATING_COEFFS!$C:$C,OPERATING_COEFFS!$A:$A,"DistanceClass",OPERATING_COEFFS!$B:$B,$AG300))</f>
        <v/>
      </c>
      <c r="AJ300">
        <f>IF($AI300="","",SUMIFS(OPERATING_COEFFS!$C:$C,OPERATING_COEFFS!$A:$A,"SeasonClass",OPERATING_COEFFS!$B:$B,$AI300))</f>
        <v/>
      </c>
      <c r="AL300">
        <f>IF($AK300="","",SUMIFS(OPERATING_COEFFS!$C:$C,OPERATING_COEFFS!$A:$A,"UrgencyClass",OPERATING_COEFFS!$B:$B,$AK300))</f>
        <v/>
      </c>
      <c r="AN300">
        <f>IF($AM300="","",INDEX(TAX_MODES!$B:$B,MATCH($AM300,TAX_MODES!$A:$A,0)))</f>
        <v/>
      </c>
    </row>
    <row r="301">
      <c r="X301" s="15" t="n"/>
      <c r="Y301" s="15">
        <f>IF($X301="","",SUMIFS(TARIFF_PROFILES!$D:$D,TARIFF_PROFILES!$A:$A,$X301))</f>
        <v/>
      </c>
      <c r="Z301" s="15">
        <f>IF($X301="","",SUMIFS(TARIFF_PROFILES!$E:$E,TARIFF_PROFILES!$A:$A,$X301))</f>
        <v/>
      </c>
      <c r="AA301" s="15">
        <f>IF($X301="","",SUMIFS(TARIFF_PROFILES!$F:$F,TARIFF_PROFILES!$A:$A,$X301))</f>
        <v/>
      </c>
      <c r="AB301" s="15">
        <f>IF($X301="","",SUMIFS(TARIFF_PROFILES!$G:$G,TARIFF_PROFILES!$A:$A,$X301))</f>
        <v/>
      </c>
      <c r="AC301" s="15">
        <f>IF($X301="","",SUMIFS(TARIFF_PROFILES!$H:$H,TARIFF_PROFILES!$A:$A,$X301))</f>
        <v/>
      </c>
      <c r="AD301" s="15">
        <f>IF($X301="","",INDEX(TARIFF_PROFILES!$J:$J,MATCH($X301,TARIFF_PROFILES!$A:$A,0)))</f>
        <v/>
      </c>
      <c r="AE301" s="15">
        <f>IF($X301="","",INDEX(TARIFF_PROFILES!$K:$K,MATCH($X301,TARIFF_PROFILES!$A:$A,0)))</f>
        <v/>
      </c>
      <c r="AH301">
        <f>IF($AG301="","",SUMIFS(OPERATING_COEFFS!$C:$C,OPERATING_COEFFS!$A:$A,"DistanceClass",OPERATING_COEFFS!$B:$B,$AG301))</f>
        <v/>
      </c>
      <c r="AJ301">
        <f>IF($AI301="","",SUMIFS(OPERATING_COEFFS!$C:$C,OPERATING_COEFFS!$A:$A,"SeasonClass",OPERATING_COEFFS!$B:$B,$AI301))</f>
        <v/>
      </c>
      <c r="AL301">
        <f>IF($AK301="","",SUMIFS(OPERATING_COEFFS!$C:$C,OPERATING_COEFFS!$A:$A,"UrgencyClass",OPERATING_COEFFS!$B:$B,$AK301))</f>
        <v/>
      </c>
      <c r="AN301">
        <f>IF($AM301="","",INDEX(TAX_MODES!$B:$B,MATCH($AM301,TAX_MODES!$A:$A,0)))</f>
        <v/>
      </c>
    </row>
    <row r="302">
      <c r="X302" s="15" t="n"/>
      <c r="Y302" s="15">
        <f>IF($X302="","",SUMIFS(TARIFF_PROFILES!$D:$D,TARIFF_PROFILES!$A:$A,$X302))</f>
        <v/>
      </c>
      <c r="Z302" s="15">
        <f>IF($X302="","",SUMIFS(TARIFF_PROFILES!$E:$E,TARIFF_PROFILES!$A:$A,$X302))</f>
        <v/>
      </c>
      <c r="AA302" s="15">
        <f>IF($X302="","",SUMIFS(TARIFF_PROFILES!$F:$F,TARIFF_PROFILES!$A:$A,$X302))</f>
        <v/>
      </c>
      <c r="AB302" s="15">
        <f>IF($X302="","",SUMIFS(TARIFF_PROFILES!$G:$G,TARIFF_PROFILES!$A:$A,$X302))</f>
        <v/>
      </c>
      <c r="AC302" s="15">
        <f>IF($X302="","",SUMIFS(TARIFF_PROFILES!$H:$H,TARIFF_PROFILES!$A:$A,$X302))</f>
        <v/>
      </c>
      <c r="AD302" s="15">
        <f>IF($X302="","",INDEX(TARIFF_PROFILES!$J:$J,MATCH($X302,TARIFF_PROFILES!$A:$A,0)))</f>
        <v/>
      </c>
      <c r="AE302" s="15">
        <f>IF($X302="","",INDEX(TARIFF_PROFILES!$K:$K,MATCH($X302,TARIFF_PROFILES!$A:$A,0)))</f>
        <v/>
      </c>
      <c r="AH302">
        <f>IF($AG302="","",SUMIFS(OPERATING_COEFFS!$C:$C,OPERATING_COEFFS!$A:$A,"DistanceClass",OPERATING_COEFFS!$B:$B,$AG302))</f>
        <v/>
      </c>
      <c r="AJ302">
        <f>IF($AI302="","",SUMIFS(OPERATING_COEFFS!$C:$C,OPERATING_COEFFS!$A:$A,"SeasonClass",OPERATING_COEFFS!$B:$B,$AI302))</f>
        <v/>
      </c>
      <c r="AL302">
        <f>IF($AK302="","",SUMIFS(OPERATING_COEFFS!$C:$C,OPERATING_COEFFS!$A:$A,"UrgencyClass",OPERATING_COEFFS!$B:$B,$AK302))</f>
        <v/>
      </c>
      <c r="AN302">
        <f>IF($AM302="","",INDEX(TAX_MODES!$B:$B,MATCH($AM302,TAX_MODES!$A:$A,0)))</f>
        <v/>
      </c>
    </row>
    <row r="303">
      <c r="X303" s="15" t="n"/>
      <c r="Y303" s="15">
        <f>IF($X303="","",SUMIFS(TARIFF_PROFILES!$D:$D,TARIFF_PROFILES!$A:$A,$X303))</f>
        <v/>
      </c>
      <c r="Z303" s="15">
        <f>IF($X303="","",SUMIFS(TARIFF_PROFILES!$E:$E,TARIFF_PROFILES!$A:$A,$X303))</f>
        <v/>
      </c>
      <c r="AA303" s="15">
        <f>IF($X303="","",SUMIFS(TARIFF_PROFILES!$F:$F,TARIFF_PROFILES!$A:$A,$X303))</f>
        <v/>
      </c>
      <c r="AB303" s="15">
        <f>IF($X303="","",SUMIFS(TARIFF_PROFILES!$G:$G,TARIFF_PROFILES!$A:$A,$X303))</f>
        <v/>
      </c>
      <c r="AC303" s="15">
        <f>IF($X303="","",SUMIFS(TARIFF_PROFILES!$H:$H,TARIFF_PROFILES!$A:$A,$X303))</f>
        <v/>
      </c>
      <c r="AD303" s="15">
        <f>IF($X303="","",INDEX(TARIFF_PROFILES!$J:$J,MATCH($X303,TARIFF_PROFILES!$A:$A,0)))</f>
        <v/>
      </c>
      <c r="AE303" s="15">
        <f>IF($X303="","",INDEX(TARIFF_PROFILES!$K:$K,MATCH($X303,TARIFF_PROFILES!$A:$A,0)))</f>
        <v/>
      </c>
      <c r="AH303">
        <f>IF($AG303="","",SUMIFS(OPERATING_COEFFS!$C:$C,OPERATING_COEFFS!$A:$A,"DistanceClass",OPERATING_COEFFS!$B:$B,$AG303))</f>
        <v/>
      </c>
      <c r="AJ303">
        <f>IF($AI303="","",SUMIFS(OPERATING_COEFFS!$C:$C,OPERATING_COEFFS!$A:$A,"SeasonClass",OPERATING_COEFFS!$B:$B,$AI303))</f>
        <v/>
      </c>
      <c r="AL303">
        <f>IF($AK303="","",SUMIFS(OPERATING_COEFFS!$C:$C,OPERATING_COEFFS!$A:$A,"UrgencyClass",OPERATING_COEFFS!$B:$B,$AK303))</f>
        <v/>
      </c>
      <c r="AN303">
        <f>IF($AM303="","",INDEX(TAX_MODES!$B:$B,MATCH($AM303,TAX_MODES!$A:$A,0)))</f>
        <v/>
      </c>
    </row>
    <row r="304">
      <c r="X304" s="15" t="n"/>
      <c r="Y304" s="15">
        <f>IF($X304="","",SUMIFS(TARIFF_PROFILES!$D:$D,TARIFF_PROFILES!$A:$A,$X304))</f>
        <v/>
      </c>
      <c r="Z304" s="15">
        <f>IF($X304="","",SUMIFS(TARIFF_PROFILES!$E:$E,TARIFF_PROFILES!$A:$A,$X304))</f>
        <v/>
      </c>
      <c r="AA304" s="15">
        <f>IF($X304="","",SUMIFS(TARIFF_PROFILES!$F:$F,TARIFF_PROFILES!$A:$A,$X304))</f>
        <v/>
      </c>
      <c r="AB304" s="15">
        <f>IF($X304="","",SUMIFS(TARIFF_PROFILES!$G:$G,TARIFF_PROFILES!$A:$A,$X304))</f>
        <v/>
      </c>
      <c r="AC304" s="15">
        <f>IF($X304="","",SUMIFS(TARIFF_PROFILES!$H:$H,TARIFF_PROFILES!$A:$A,$X304))</f>
        <v/>
      </c>
      <c r="AD304" s="15">
        <f>IF($X304="","",INDEX(TARIFF_PROFILES!$J:$J,MATCH($X304,TARIFF_PROFILES!$A:$A,0)))</f>
        <v/>
      </c>
      <c r="AE304" s="15">
        <f>IF($X304="","",INDEX(TARIFF_PROFILES!$K:$K,MATCH($X304,TARIFF_PROFILES!$A:$A,0)))</f>
        <v/>
      </c>
      <c r="AH304">
        <f>IF($AG304="","",SUMIFS(OPERATING_COEFFS!$C:$C,OPERATING_COEFFS!$A:$A,"DistanceClass",OPERATING_COEFFS!$B:$B,$AG304))</f>
        <v/>
      </c>
      <c r="AJ304">
        <f>IF($AI304="","",SUMIFS(OPERATING_COEFFS!$C:$C,OPERATING_COEFFS!$A:$A,"SeasonClass",OPERATING_COEFFS!$B:$B,$AI304))</f>
        <v/>
      </c>
      <c r="AL304">
        <f>IF($AK304="","",SUMIFS(OPERATING_COEFFS!$C:$C,OPERATING_COEFFS!$A:$A,"UrgencyClass",OPERATING_COEFFS!$B:$B,$AK304))</f>
        <v/>
      </c>
      <c r="AN304">
        <f>IF($AM304="","",INDEX(TAX_MODES!$B:$B,MATCH($AM304,TAX_MODES!$A:$A,0)))</f>
        <v/>
      </c>
    </row>
    <row r="305">
      <c r="X305" s="15" t="n"/>
      <c r="Y305" s="15">
        <f>IF($X305="","",SUMIFS(TARIFF_PROFILES!$D:$D,TARIFF_PROFILES!$A:$A,$X305))</f>
        <v/>
      </c>
      <c r="Z305" s="15">
        <f>IF($X305="","",SUMIFS(TARIFF_PROFILES!$E:$E,TARIFF_PROFILES!$A:$A,$X305))</f>
        <v/>
      </c>
      <c r="AA305" s="15">
        <f>IF($X305="","",SUMIFS(TARIFF_PROFILES!$F:$F,TARIFF_PROFILES!$A:$A,$X305))</f>
        <v/>
      </c>
      <c r="AB305" s="15">
        <f>IF($X305="","",SUMIFS(TARIFF_PROFILES!$G:$G,TARIFF_PROFILES!$A:$A,$X305))</f>
        <v/>
      </c>
      <c r="AC305" s="15">
        <f>IF($X305="","",SUMIFS(TARIFF_PROFILES!$H:$H,TARIFF_PROFILES!$A:$A,$X305))</f>
        <v/>
      </c>
      <c r="AD305" s="15">
        <f>IF($X305="","",INDEX(TARIFF_PROFILES!$J:$J,MATCH($X305,TARIFF_PROFILES!$A:$A,0)))</f>
        <v/>
      </c>
      <c r="AE305" s="15">
        <f>IF($X305="","",INDEX(TARIFF_PROFILES!$K:$K,MATCH($X305,TARIFF_PROFILES!$A:$A,0)))</f>
        <v/>
      </c>
      <c r="AH305">
        <f>IF($AG305="","",SUMIFS(OPERATING_COEFFS!$C:$C,OPERATING_COEFFS!$A:$A,"DistanceClass",OPERATING_COEFFS!$B:$B,$AG305))</f>
        <v/>
      </c>
      <c r="AJ305">
        <f>IF($AI305="","",SUMIFS(OPERATING_COEFFS!$C:$C,OPERATING_COEFFS!$A:$A,"SeasonClass",OPERATING_COEFFS!$B:$B,$AI305))</f>
        <v/>
      </c>
      <c r="AL305">
        <f>IF($AK305="","",SUMIFS(OPERATING_COEFFS!$C:$C,OPERATING_COEFFS!$A:$A,"UrgencyClass",OPERATING_COEFFS!$B:$B,$AK305))</f>
        <v/>
      </c>
      <c r="AN305">
        <f>IF($AM305="","",INDEX(TAX_MODES!$B:$B,MATCH($AM305,TAX_MODES!$A:$A,0)))</f>
        <v/>
      </c>
    </row>
    <row r="306">
      <c r="X306" s="15" t="n"/>
      <c r="Y306" s="15">
        <f>IF($X306="","",SUMIFS(TARIFF_PROFILES!$D:$D,TARIFF_PROFILES!$A:$A,$X306))</f>
        <v/>
      </c>
      <c r="Z306" s="15">
        <f>IF($X306="","",SUMIFS(TARIFF_PROFILES!$E:$E,TARIFF_PROFILES!$A:$A,$X306))</f>
        <v/>
      </c>
      <c r="AA306" s="15">
        <f>IF($X306="","",SUMIFS(TARIFF_PROFILES!$F:$F,TARIFF_PROFILES!$A:$A,$X306))</f>
        <v/>
      </c>
      <c r="AB306" s="15">
        <f>IF($X306="","",SUMIFS(TARIFF_PROFILES!$G:$G,TARIFF_PROFILES!$A:$A,$X306))</f>
        <v/>
      </c>
      <c r="AC306" s="15">
        <f>IF($X306="","",SUMIFS(TARIFF_PROFILES!$H:$H,TARIFF_PROFILES!$A:$A,$X306))</f>
        <v/>
      </c>
      <c r="AD306" s="15">
        <f>IF($X306="","",INDEX(TARIFF_PROFILES!$J:$J,MATCH($X306,TARIFF_PROFILES!$A:$A,0)))</f>
        <v/>
      </c>
      <c r="AE306" s="15">
        <f>IF($X306="","",INDEX(TARIFF_PROFILES!$K:$K,MATCH($X306,TARIFF_PROFILES!$A:$A,0)))</f>
        <v/>
      </c>
      <c r="AH306">
        <f>IF($AG306="","",SUMIFS(OPERATING_COEFFS!$C:$C,OPERATING_COEFFS!$A:$A,"DistanceClass",OPERATING_COEFFS!$B:$B,$AG306))</f>
        <v/>
      </c>
      <c r="AJ306">
        <f>IF($AI306="","",SUMIFS(OPERATING_COEFFS!$C:$C,OPERATING_COEFFS!$A:$A,"SeasonClass",OPERATING_COEFFS!$B:$B,$AI306))</f>
        <v/>
      </c>
      <c r="AL306">
        <f>IF($AK306="","",SUMIFS(OPERATING_COEFFS!$C:$C,OPERATING_COEFFS!$A:$A,"UrgencyClass",OPERATING_COEFFS!$B:$B,$AK306))</f>
        <v/>
      </c>
      <c r="AN306">
        <f>IF($AM306="","",INDEX(TAX_MODES!$B:$B,MATCH($AM306,TAX_MODES!$A:$A,0)))</f>
        <v/>
      </c>
    </row>
    <row r="307">
      <c r="X307" s="15" t="n"/>
      <c r="Y307" s="15">
        <f>IF($X307="","",SUMIFS(TARIFF_PROFILES!$D:$D,TARIFF_PROFILES!$A:$A,$X307))</f>
        <v/>
      </c>
      <c r="Z307" s="15">
        <f>IF($X307="","",SUMIFS(TARIFF_PROFILES!$E:$E,TARIFF_PROFILES!$A:$A,$X307))</f>
        <v/>
      </c>
      <c r="AA307" s="15">
        <f>IF($X307="","",SUMIFS(TARIFF_PROFILES!$F:$F,TARIFF_PROFILES!$A:$A,$X307))</f>
        <v/>
      </c>
      <c r="AB307" s="15">
        <f>IF($X307="","",SUMIFS(TARIFF_PROFILES!$G:$G,TARIFF_PROFILES!$A:$A,$X307))</f>
        <v/>
      </c>
      <c r="AC307" s="15">
        <f>IF($X307="","",SUMIFS(TARIFF_PROFILES!$H:$H,TARIFF_PROFILES!$A:$A,$X307))</f>
        <v/>
      </c>
      <c r="AD307" s="15">
        <f>IF($X307="","",INDEX(TARIFF_PROFILES!$J:$J,MATCH($X307,TARIFF_PROFILES!$A:$A,0)))</f>
        <v/>
      </c>
      <c r="AE307" s="15">
        <f>IF($X307="","",INDEX(TARIFF_PROFILES!$K:$K,MATCH($X307,TARIFF_PROFILES!$A:$A,0)))</f>
        <v/>
      </c>
      <c r="AH307">
        <f>IF($AG307="","",SUMIFS(OPERATING_COEFFS!$C:$C,OPERATING_COEFFS!$A:$A,"DistanceClass",OPERATING_COEFFS!$B:$B,$AG307))</f>
        <v/>
      </c>
      <c r="AJ307">
        <f>IF($AI307="","",SUMIFS(OPERATING_COEFFS!$C:$C,OPERATING_COEFFS!$A:$A,"SeasonClass",OPERATING_COEFFS!$B:$B,$AI307))</f>
        <v/>
      </c>
      <c r="AL307">
        <f>IF($AK307="","",SUMIFS(OPERATING_COEFFS!$C:$C,OPERATING_COEFFS!$A:$A,"UrgencyClass",OPERATING_COEFFS!$B:$B,$AK307))</f>
        <v/>
      </c>
      <c r="AN307">
        <f>IF($AM307="","",INDEX(TAX_MODES!$B:$B,MATCH($AM307,TAX_MODES!$A:$A,0)))</f>
        <v/>
      </c>
    </row>
    <row r="308">
      <c r="X308" s="15" t="n"/>
      <c r="Y308" s="15">
        <f>IF($X308="","",SUMIFS(TARIFF_PROFILES!$D:$D,TARIFF_PROFILES!$A:$A,$X308))</f>
        <v/>
      </c>
      <c r="Z308" s="15">
        <f>IF($X308="","",SUMIFS(TARIFF_PROFILES!$E:$E,TARIFF_PROFILES!$A:$A,$X308))</f>
        <v/>
      </c>
      <c r="AA308" s="15">
        <f>IF($X308="","",SUMIFS(TARIFF_PROFILES!$F:$F,TARIFF_PROFILES!$A:$A,$X308))</f>
        <v/>
      </c>
      <c r="AB308" s="15">
        <f>IF($X308="","",SUMIFS(TARIFF_PROFILES!$G:$G,TARIFF_PROFILES!$A:$A,$X308))</f>
        <v/>
      </c>
      <c r="AC308" s="15">
        <f>IF($X308="","",SUMIFS(TARIFF_PROFILES!$H:$H,TARIFF_PROFILES!$A:$A,$X308))</f>
        <v/>
      </c>
      <c r="AD308" s="15">
        <f>IF($X308="","",INDEX(TARIFF_PROFILES!$J:$J,MATCH($X308,TARIFF_PROFILES!$A:$A,0)))</f>
        <v/>
      </c>
      <c r="AE308" s="15">
        <f>IF($X308="","",INDEX(TARIFF_PROFILES!$K:$K,MATCH($X308,TARIFF_PROFILES!$A:$A,0)))</f>
        <v/>
      </c>
      <c r="AH308">
        <f>IF($AG308="","",SUMIFS(OPERATING_COEFFS!$C:$C,OPERATING_COEFFS!$A:$A,"DistanceClass",OPERATING_COEFFS!$B:$B,$AG308))</f>
        <v/>
      </c>
      <c r="AJ308">
        <f>IF($AI308="","",SUMIFS(OPERATING_COEFFS!$C:$C,OPERATING_COEFFS!$A:$A,"SeasonClass",OPERATING_COEFFS!$B:$B,$AI308))</f>
        <v/>
      </c>
      <c r="AL308">
        <f>IF($AK308="","",SUMIFS(OPERATING_COEFFS!$C:$C,OPERATING_COEFFS!$A:$A,"UrgencyClass",OPERATING_COEFFS!$B:$B,$AK308))</f>
        <v/>
      </c>
      <c r="AN308">
        <f>IF($AM308="","",INDEX(TAX_MODES!$B:$B,MATCH($AM308,TAX_MODES!$A:$A,0)))</f>
        <v/>
      </c>
    </row>
    <row r="309">
      <c r="X309" s="15" t="n"/>
      <c r="Y309" s="15">
        <f>IF($X309="","",SUMIFS(TARIFF_PROFILES!$D:$D,TARIFF_PROFILES!$A:$A,$X309))</f>
        <v/>
      </c>
      <c r="Z309" s="15">
        <f>IF($X309="","",SUMIFS(TARIFF_PROFILES!$E:$E,TARIFF_PROFILES!$A:$A,$X309))</f>
        <v/>
      </c>
      <c r="AA309" s="15">
        <f>IF($X309="","",SUMIFS(TARIFF_PROFILES!$F:$F,TARIFF_PROFILES!$A:$A,$X309))</f>
        <v/>
      </c>
      <c r="AB309" s="15">
        <f>IF($X309="","",SUMIFS(TARIFF_PROFILES!$G:$G,TARIFF_PROFILES!$A:$A,$X309))</f>
        <v/>
      </c>
      <c r="AC309" s="15">
        <f>IF($X309="","",SUMIFS(TARIFF_PROFILES!$H:$H,TARIFF_PROFILES!$A:$A,$X309))</f>
        <v/>
      </c>
      <c r="AD309" s="15">
        <f>IF($X309="","",INDEX(TARIFF_PROFILES!$J:$J,MATCH($X309,TARIFF_PROFILES!$A:$A,0)))</f>
        <v/>
      </c>
      <c r="AE309" s="15">
        <f>IF($X309="","",INDEX(TARIFF_PROFILES!$K:$K,MATCH($X309,TARIFF_PROFILES!$A:$A,0)))</f>
        <v/>
      </c>
      <c r="AH309">
        <f>IF($AG309="","",SUMIFS(OPERATING_COEFFS!$C:$C,OPERATING_COEFFS!$A:$A,"DistanceClass",OPERATING_COEFFS!$B:$B,$AG309))</f>
        <v/>
      </c>
      <c r="AJ309">
        <f>IF($AI309="","",SUMIFS(OPERATING_COEFFS!$C:$C,OPERATING_COEFFS!$A:$A,"SeasonClass",OPERATING_COEFFS!$B:$B,$AI309))</f>
        <v/>
      </c>
      <c r="AL309">
        <f>IF($AK309="","",SUMIFS(OPERATING_COEFFS!$C:$C,OPERATING_COEFFS!$A:$A,"UrgencyClass",OPERATING_COEFFS!$B:$B,$AK309))</f>
        <v/>
      </c>
      <c r="AN309">
        <f>IF($AM309="","",INDEX(TAX_MODES!$B:$B,MATCH($AM309,TAX_MODES!$A:$A,0)))</f>
        <v/>
      </c>
    </row>
    <row r="310">
      <c r="X310" s="15" t="n"/>
      <c r="Y310" s="15">
        <f>IF($X310="","",SUMIFS(TARIFF_PROFILES!$D:$D,TARIFF_PROFILES!$A:$A,$X310))</f>
        <v/>
      </c>
      <c r="Z310" s="15">
        <f>IF($X310="","",SUMIFS(TARIFF_PROFILES!$E:$E,TARIFF_PROFILES!$A:$A,$X310))</f>
        <v/>
      </c>
      <c r="AA310" s="15">
        <f>IF($X310="","",SUMIFS(TARIFF_PROFILES!$F:$F,TARIFF_PROFILES!$A:$A,$X310))</f>
        <v/>
      </c>
      <c r="AB310" s="15">
        <f>IF($X310="","",SUMIFS(TARIFF_PROFILES!$G:$G,TARIFF_PROFILES!$A:$A,$X310))</f>
        <v/>
      </c>
      <c r="AC310" s="15">
        <f>IF($X310="","",SUMIFS(TARIFF_PROFILES!$H:$H,TARIFF_PROFILES!$A:$A,$X310))</f>
        <v/>
      </c>
      <c r="AD310" s="15">
        <f>IF($X310="","",INDEX(TARIFF_PROFILES!$J:$J,MATCH($X310,TARIFF_PROFILES!$A:$A,0)))</f>
        <v/>
      </c>
      <c r="AE310" s="15">
        <f>IF($X310="","",INDEX(TARIFF_PROFILES!$K:$K,MATCH($X310,TARIFF_PROFILES!$A:$A,0)))</f>
        <v/>
      </c>
      <c r="AH310">
        <f>IF($AG310="","",SUMIFS(OPERATING_COEFFS!$C:$C,OPERATING_COEFFS!$A:$A,"DistanceClass",OPERATING_COEFFS!$B:$B,$AG310))</f>
        <v/>
      </c>
      <c r="AJ310">
        <f>IF($AI310="","",SUMIFS(OPERATING_COEFFS!$C:$C,OPERATING_COEFFS!$A:$A,"SeasonClass",OPERATING_COEFFS!$B:$B,$AI310))</f>
        <v/>
      </c>
      <c r="AL310">
        <f>IF($AK310="","",SUMIFS(OPERATING_COEFFS!$C:$C,OPERATING_COEFFS!$A:$A,"UrgencyClass",OPERATING_COEFFS!$B:$B,$AK310))</f>
        <v/>
      </c>
      <c r="AN310">
        <f>IF($AM310="","",INDEX(TAX_MODES!$B:$B,MATCH($AM310,TAX_MODES!$A:$A,0)))</f>
        <v/>
      </c>
    </row>
    <row r="311">
      <c r="X311" s="15" t="n"/>
      <c r="Y311" s="15">
        <f>IF($X311="","",SUMIFS(TARIFF_PROFILES!$D:$D,TARIFF_PROFILES!$A:$A,$X311))</f>
        <v/>
      </c>
      <c r="Z311" s="15">
        <f>IF($X311="","",SUMIFS(TARIFF_PROFILES!$E:$E,TARIFF_PROFILES!$A:$A,$X311))</f>
        <v/>
      </c>
      <c r="AA311" s="15">
        <f>IF($X311="","",SUMIFS(TARIFF_PROFILES!$F:$F,TARIFF_PROFILES!$A:$A,$X311))</f>
        <v/>
      </c>
      <c r="AB311" s="15">
        <f>IF($X311="","",SUMIFS(TARIFF_PROFILES!$G:$G,TARIFF_PROFILES!$A:$A,$X311))</f>
        <v/>
      </c>
      <c r="AC311" s="15">
        <f>IF($X311="","",SUMIFS(TARIFF_PROFILES!$H:$H,TARIFF_PROFILES!$A:$A,$X311))</f>
        <v/>
      </c>
      <c r="AD311" s="15">
        <f>IF($X311="","",INDEX(TARIFF_PROFILES!$J:$J,MATCH($X311,TARIFF_PROFILES!$A:$A,0)))</f>
        <v/>
      </c>
      <c r="AE311" s="15">
        <f>IF($X311="","",INDEX(TARIFF_PROFILES!$K:$K,MATCH($X311,TARIFF_PROFILES!$A:$A,0)))</f>
        <v/>
      </c>
      <c r="AH311">
        <f>IF($AG311="","",SUMIFS(OPERATING_COEFFS!$C:$C,OPERATING_COEFFS!$A:$A,"DistanceClass",OPERATING_COEFFS!$B:$B,$AG311))</f>
        <v/>
      </c>
      <c r="AJ311">
        <f>IF($AI311="","",SUMIFS(OPERATING_COEFFS!$C:$C,OPERATING_COEFFS!$A:$A,"SeasonClass",OPERATING_COEFFS!$B:$B,$AI311))</f>
        <v/>
      </c>
      <c r="AL311">
        <f>IF($AK311="","",SUMIFS(OPERATING_COEFFS!$C:$C,OPERATING_COEFFS!$A:$A,"UrgencyClass",OPERATING_COEFFS!$B:$B,$AK311))</f>
        <v/>
      </c>
      <c r="AN311">
        <f>IF($AM311="","",INDEX(TAX_MODES!$B:$B,MATCH($AM311,TAX_MODES!$A:$A,0)))</f>
        <v/>
      </c>
    </row>
    <row r="312">
      <c r="X312" s="15" t="n"/>
      <c r="Y312" s="15">
        <f>IF($X312="","",SUMIFS(TARIFF_PROFILES!$D:$D,TARIFF_PROFILES!$A:$A,$X312))</f>
        <v/>
      </c>
      <c r="Z312" s="15">
        <f>IF($X312="","",SUMIFS(TARIFF_PROFILES!$E:$E,TARIFF_PROFILES!$A:$A,$X312))</f>
        <v/>
      </c>
      <c r="AA312" s="15">
        <f>IF($X312="","",SUMIFS(TARIFF_PROFILES!$F:$F,TARIFF_PROFILES!$A:$A,$X312))</f>
        <v/>
      </c>
      <c r="AB312" s="15">
        <f>IF($X312="","",SUMIFS(TARIFF_PROFILES!$G:$G,TARIFF_PROFILES!$A:$A,$X312))</f>
        <v/>
      </c>
      <c r="AC312" s="15">
        <f>IF($X312="","",SUMIFS(TARIFF_PROFILES!$H:$H,TARIFF_PROFILES!$A:$A,$X312))</f>
        <v/>
      </c>
      <c r="AD312" s="15">
        <f>IF($X312="","",INDEX(TARIFF_PROFILES!$J:$J,MATCH($X312,TARIFF_PROFILES!$A:$A,0)))</f>
        <v/>
      </c>
      <c r="AE312" s="15">
        <f>IF($X312="","",INDEX(TARIFF_PROFILES!$K:$K,MATCH($X312,TARIFF_PROFILES!$A:$A,0)))</f>
        <v/>
      </c>
      <c r="AH312">
        <f>IF($AG312="","",SUMIFS(OPERATING_COEFFS!$C:$C,OPERATING_COEFFS!$A:$A,"DistanceClass",OPERATING_COEFFS!$B:$B,$AG312))</f>
        <v/>
      </c>
      <c r="AJ312">
        <f>IF($AI312="","",SUMIFS(OPERATING_COEFFS!$C:$C,OPERATING_COEFFS!$A:$A,"SeasonClass",OPERATING_COEFFS!$B:$B,$AI312))</f>
        <v/>
      </c>
      <c r="AL312">
        <f>IF($AK312="","",SUMIFS(OPERATING_COEFFS!$C:$C,OPERATING_COEFFS!$A:$A,"UrgencyClass",OPERATING_COEFFS!$B:$B,$AK312))</f>
        <v/>
      </c>
      <c r="AN312">
        <f>IF($AM312="","",INDEX(TAX_MODES!$B:$B,MATCH($AM312,TAX_MODES!$A:$A,0)))</f>
        <v/>
      </c>
    </row>
    <row r="313">
      <c r="X313" s="15" t="n"/>
      <c r="Y313" s="15">
        <f>IF($X313="","",SUMIFS(TARIFF_PROFILES!$D:$D,TARIFF_PROFILES!$A:$A,$X313))</f>
        <v/>
      </c>
      <c r="Z313" s="15">
        <f>IF($X313="","",SUMIFS(TARIFF_PROFILES!$E:$E,TARIFF_PROFILES!$A:$A,$X313))</f>
        <v/>
      </c>
      <c r="AA313" s="15">
        <f>IF($X313="","",SUMIFS(TARIFF_PROFILES!$F:$F,TARIFF_PROFILES!$A:$A,$X313))</f>
        <v/>
      </c>
      <c r="AB313" s="15">
        <f>IF($X313="","",SUMIFS(TARIFF_PROFILES!$G:$G,TARIFF_PROFILES!$A:$A,$X313))</f>
        <v/>
      </c>
      <c r="AC313" s="15">
        <f>IF($X313="","",SUMIFS(TARIFF_PROFILES!$H:$H,TARIFF_PROFILES!$A:$A,$X313))</f>
        <v/>
      </c>
      <c r="AD313" s="15">
        <f>IF($X313="","",INDEX(TARIFF_PROFILES!$J:$J,MATCH($X313,TARIFF_PROFILES!$A:$A,0)))</f>
        <v/>
      </c>
      <c r="AE313" s="15">
        <f>IF($X313="","",INDEX(TARIFF_PROFILES!$K:$K,MATCH($X313,TARIFF_PROFILES!$A:$A,0)))</f>
        <v/>
      </c>
      <c r="AH313">
        <f>IF($AG313="","",SUMIFS(OPERATING_COEFFS!$C:$C,OPERATING_COEFFS!$A:$A,"DistanceClass",OPERATING_COEFFS!$B:$B,$AG313))</f>
        <v/>
      </c>
      <c r="AJ313">
        <f>IF($AI313="","",SUMIFS(OPERATING_COEFFS!$C:$C,OPERATING_COEFFS!$A:$A,"SeasonClass",OPERATING_COEFFS!$B:$B,$AI313))</f>
        <v/>
      </c>
      <c r="AL313">
        <f>IF($AK313="","",SUMIFS(OPERATING_COEFFS!$C:$C,OPERATING_COEFFS!$A:$A,"UrgencyClass",OPERATING_COEFFS!$B:$B,$AK313))</f>
        <v/>
      </c>
      <c r="AN313">
        <f>IF($AM313="","",INDEX(TAX_MODES!$B:$B,MATCH($AM313,TAX_MODES!$A:$A,0)))</f>
        <v/>
      </c>
    </row>
    <row r="314">
      <c r="X314" s="15" t="n"/>
      <c r="Y314" s="15">
        <f>IF($X314="","",SUMIFS(TARIFF_PROFILES!$D:$D,TARIFF_PROFILES!$A:$A,$X314))</f>
        <v/>
      </c>
      <c r="Z314" s="15">
        <f>IF($X314="","",SUMIFS(TARIFF_PROFILES!$E:$E,TARIFF_PROFILES!$A:$A,$X314))</f>
        <v/>
      </c>
      <c r="AA314" s="15">
        <f>IF($X314="","",SUMIFS(TARIFF_PROFILES!$F:$F,TARIFF_PROFILES!$A:$A,$X314))</f>
        <v/>
      </c>
      <c r="AB314" s="15">
        <f>IF($X314="","",SUMIFS(TARIFF_PROFILES!$G:$G,TARIFF_PROFILES!$A:$A,$X314))</f>
        <v/>
      </c>
      <c r="AC314" s="15">
        <f>IF($X314="","",SUMIFS(TARIFF_PROFILES!$H:$H,TARIFF_PROFILES!$A:$A,$X314))</f>
        <v/>
      </c>
      <c r="AD314" s="15">
        <f>IF($X314="","",INDEX(TARIFF_PROFILES!$J:$J,MATCH($X314,TARIFF_PROFILES!$A:$A,0)))</f>
        <v/>
      </c>
      <c r="AE314" s="15">
        <f>IF($X314="","",INDEX(TARIFF_PROFILES!$K:$K,MATCH($X314,TARIFF_PROFILES!$A:$A,0)))</f>
        <v/>
      </c>
      <c r="AH314">
        <f>IF($AG314="","",SUMIFS(OPERATING_COEFFS!$C:$C,OPERATING_COEFFS!$A:$A,"DistanceClass",OPERATING_COEFFS!$B:$B,$AG314))</f>
        <v/>
      </c>
      <c r="AJ314">
        <f>IF($AI314="","",SUMIFS(OPERATING_COEFFS!$C:$C,OPERATING_COEFFS!$A:$A,"SeasonClass",OPERATING_COEFFS!$B:$B,$AI314))</f>
        <v/>
      </c>
      <c r="AL314">
        <f>IF($AK314="","",SUMIFS(OPERATING_COEFFS!$C:$C,OPERATING_COEFFS!$A:$A,"UrgencyClass",OPERATING_COEFFS!$B:$B,$AK314))</f>
        <v/>
      </c>
      <c r="AN314">
        <f>IF($AM314="","",INDEX(TAX_MODES!$B:$B,MATCH($AM314,TAX_MODES!$A:$A,0)))</f>
        <v/>
      </c>
    </row>
    <row r="315">
      <c r="X315" s="15" t="n"/>
      <c r="Y315" s="15">
        <f>IF($X315="","",SUMIFS(TARIFF_PROFILES!$D:$D,TARIFF_PROFILES!$A:$A,$X315))</f>
        <v/>
      </c>
      <c r="Z315" s="15">
        <f>IF($X315="","",SUMIFS(TARIFF_PROFILES!$E:$E,TARIFF_PROFILES!$A:$A,$X315))</f>
        <v/>
      </c>
      <c r="AA315" s="15">
        <f>IF($X315="","",SUMIFS(TARIFF_PROFILES!$F:$F,TARIFF_PROFILES!$A:$A,$X315))</f>
        <v/>
      </c>
      <c r="AB315" s="15">
        <f>IF($X315="","",SUMIFS(TARIFF_PROFILES!$G:$G,TARIFF_PROFILES!$A:$A,$X315))</f>
        <v/>
      </c>
      <c r="AC315" s="15">
        <f>IF($X315="","",SUMIFS(TARIFF_PROFILES!$H:$H,TARIFF_PROFILES!$A:$A,$X315))</f>
        <v/>
      </c>
      <c r="AD315" s="15">
        <f>IF($X315="","",INDEX(TARIFF_PROFILES!$J:$J,MATCH($X315,TARIFF_PROFILES!$A:$A,0)))</f>
        <v/>
      </c>
      <c r="AE315" s="15">
        <f>IF($X315="","",INDEX(TARIFF_PROFILES!$K:$K,MATCH($X315,TARIFF_PROFILES!$A:$A,0)))</f>
        <v/>
      </c>
      <c r="AH315">
        <f>IF($AG315="","",SUMIFS(OPERATING_COEFFS!$C:$C,OPERATING_COEFFS!$A:$A,"DistanceClass",OPERATING_COEFFS!$B:$B,$AG315))</f>
        <v/>
      </c>
      <c r="AJ315">
        <f>IF($AI315="","",SUMIFS(OPERATING_COEFFS!$C:$C,OPERATING_COEFFS!$A:$A,"SeasonClass",OPERATING_COEFFS!$B:$B,$AI315))</f>
        <v/>
      </c>
      <c r="AL315">
        <f>IF($AK315="","",SUMIFS(OPERATING_COEFFS!$C:$C,OPERATING_COEFFS!$A:$A,"UrgencyClass",OPERATING_COEFFS!$B:$B,$AK315))</f>
        <v/>
      </c>
      <c r="AN315">
        <f>IF($AM315="","",INDEX(TAX_MODES!$B:$B,MATCH($AM315,TAX_MODES!$A:$A,0)))</f>
        <v/>
      </c>
    </row>
    <row r="316">
      <c r="X316" s="15" t="n"/>
      <c r="Y316" s="15">
        <f>IF($X316="","",SUMIFS(TARIFF_PROFILES!$D:$D,TARIFF_PROFILES!$A:$A,$X316))</f>
        <v/>
      </c>
      <c r="Z316" s="15">
        <f>IF($X316="","",SUMIFS(TARIFF_PROFILES!$E:$E,TARIFF_PROFILES!$A:$A,$X316))</f>
        <v/>
      </c>
      <c r="AA316" s="15">
        <f>IF($X316="","",SUMIFS(TARIFF_PROFILES!$F:$F,TARIFF_PROFILES!$A:$A,$X316))</f>
        <v/>
      </c>
      <c r="AB316" s="15">
        <f>IF($X316="","",SUMIFS(TARIFF_PROFILES!$G:$G,TARIFF_PROFILES!$A:$A,$X316))</f>
        <v/>
      </c>
      <c r="AC316" s="15">
        <f>IF($X316="","",SUMIFS(TARIFF_PROFILES!$H:$H,TARIFF_PROFILES!$A:$A,$X316))</f>
        <v/>
      </c>
      <c r="AD316" s="15">
        <f>IF($X316="","",INDEX(TARIFF_PROFILES!$J:$J,MATCH($X316,TARIFF_PROFILES!$A:$A,0)))</f>
        <v/>
      </c>
      <c r="AE316" s="15">
        <f>IF($X316="","",INDEX(TARIFF_PROFILES!$K:$K,MATCH($X316,TARIFF_PROFILES!$A:$A,0)))</f>
        <v/>
      </c>
      <c r="AH316">
        <f>IF($AG316="","",SUMIFS(OPERATING_COEFFS!$C:$C,OPERATING_COEFFS!$A:$A,"DistanceClass",OPERATING_COEFFS!$B:$B,$AG316))</f>
        <v/>
      </c>
      <c r="AJ316">
        <f>IF($AI316="","",SUMIFS(OPERATING_COEFFS!$C:$C,OPERATING_COEFFS!$A:$A,"SeasonClass",OPERATING_COEFFS!$B:$B,$AI316))</f>
        <v/>
      </c>
      <c r="AL316">
        <f>IF($AK316="","",SUMIFS(OPERATING_COEFFS!$C:$C,OPERATING_COEFFS!$A:$A,"UrgencyClass",OPERATING_COEFFS!$B:$B,$AK316))</f>
        <v/>
      </c>
      <c r="AN316">
        <f>IF($AM316="","",INDEX(TAX_MODES!$B:$B,MATCH($AM316,TAX_MODES!$A:$A,0)))</f>
        <v/>
      </c>
    </row>
    <row r="317">
      <c r="X317" s="15" t="n"/>
      <c r="Y317" s="15">
        <f>IF($X317="","",SUMIFS(TARIFF_PROFILES!$D:$D,TARIFF_PROFILES!$A:$A,$X317))</f>
        <v/>
      </c>
      <c r="Z317" s="15">
        <f>IF($X317="","",SUMIFS(TARIFF_PROFILES!$E:$E,TARIFF_PROFILES!$A:$A,$X317))</f>
        <v/>
      </c>
      <c r="AA317" s="15">
        <f>IF($X317="","",SUMIFS(TARIFF_PROFILES!$F:$F,TARIFF_PROFILES!$A:$A,$X317))</f>
        <v/>
      </c>
      <c r="AB317" s="15">
        <f>IF($X317="","",SUMIFS(TARIFF_PROFILES!$G:$G,TARIFF_PROFILES!$A:$A,$X317))</f>
        <v/>
      </c>
      <c r="AC317" s="15">
        <f>IF($X317="","",SUMIFS(TARIFF_PROFILES!$H:$H,TARIFF_PROFILES!$A:$A,$X317))</f>
        <v/>
      </c>
      <c r="AD317" s="15">
        <f>IF($X317="","",INDEX(TARIFF_PROFILES!$J:$J,MATCH($X317,TARIFF_PROFILES!$A:$A,0)))</f>
        <v/>
      </c>
      <c r="AE317" s="15">
        <f>IF($X317="","",INDEX(TARIFF_PROFILES!$K:$K,MATCH($X317,TARIFF_PROFILES!$A:$A,0)))</f>
        <v/>
      </c>
      <c r="AH317">
        <f>IF($AG317="","",SUMIFS(OPERATING_COEFFS!$C:$C,OPERATING_COEFFS!$A:$A,"DistanceClass",OPERATING_COEFFS!$B:$B,$AG317))</f>
        <v/>
      </c>
      <c r="AJ317">
        <f>IF($AI317="","",SUMIFS(OPERATING_COEFFS!$C:$C,OPERATING_COEFFS!$A:$A,"SeasonClass",OPERATING_COEFFS!$B:$B,$AI317))</f>
        <v/>
      </c>
      <c r="AL317">
        <f>IF($AK317="","",SUMIFS(OPERATING_COEFFS!$C:$C,OPERATING_COEFFS!$A:$A,"UrgencyClass",OPERATING_COEFFS!$B:$B,$AK317))</f>
        <v/>
      </c>
      <c r="AN317">
        <f>IF($AM317="","",INDEX(TAX_MODES!$B:$B,MATCH($AM317,TAX_MODES!$A:$A,0)))</f>
        <v/>
      </c>
    </row>
    <row r="318">
      <c r="X318" s="15" t="n"/>
      <c r="Y318" s="15">
        <f>IF($X318="","",SUMIFS(TARIFF_PROFILES!$D:$D,TARIFF_PROFILES!$A:$A,$X318))</f>
        <v/>
      </c>
      <c r="Z318" s="15">
        <f>IF($X318="","",SUMIFS(TARIFF_PROFILES!$E:$E,TARIFF_PROFILES!$A:$A,$X318))</f>
        <v/>
      </c>
      <c r="AA318" s="15">
        <f>IF($X318="","",SUMIFS(TARIFF_PROFILES!$F:$F,TARIFF_PROFILES!$A:$A,$X318))</f>
        <v/>
      </c>
      <c r="AB318" s="15">
        <f>IF($X318="","",SUMIFS(TARIFF_PROFILES!$G:$G,TARIFF_PROFILES!$A:$A,$X318))</f>
        <v/>
      </c>
      <c r="AC318" s="15">
        <f>IF($X318="","",SUMIFS(TARIFF_PROFILES!$H:$H,TARIFF_PROFILES!$A:$A,$X318))</f>
        <v/>
      </c>
      <c r="AD318" s="15">
        <f>IF($X318="","",INDEX(TARIFF_PROFILES!$J:$J,MATCH($X318,TARIFF_PROFILES!$A:$A,0)))</f>
        <v/>
      </c>
      <c r="AE318" s="15">
        <f>IF($X318="","",INDEX(TARIFF_PROFILES!$K:$K,MATCH($X318,TARIFF_PROFILES!$A:$A,0)))</f>
        <v/>
      </c>
      <c r="AH318">
        <f>IF($AG318="","",SUMIFS(OPERATING_COEFFS!$C:$C,OPERATING_COEFFS!$A:$A,"DistanceClass",OPERATING_COEFFS!$B:$B,$AG318))</f>
        <v/>
      </c>
      <c r="AJ318">
        <f>IF($AI318="","",SUMIFS(OPERATING_COEFFS!$C:$C,OPERATING_COEFFS!$A:$A,"SeasonClass",OPERATING_COEFFS!$B:$B,$AI318))</f>
        <v/>
      </c>
      <c r="AL318">
        <f>IF($AK318="","",SUMIFS(OPERATING_COEFFS!$C:$C,OPERATING_COEFFS!$A:$A,"UrgencyClass",OPERATING_COEFFS!$B:$B,$AK318))</f>
        <v/>
      </c>
      <c r="AN318">
        <f>IF($AM318="","",INDEX(TAX_MODES!$B:$B,MATCH($AM318,TAX_MODES!$A:$A,0)))</f>
        <v/>
      </c>
    </row>
    <row r="319">
      <c r="X319" s="15" t="n"/>
      <c r="Y319" s="15">
        <f>IF($X319="","",SUMIFS(TARIFF_PROFILES!$D:$D,TARIFF_PROFILES!$A:$A,$X319))</f>
        <v/>
      </c>
      <c r="Z319" s="15">
        <f>IF($X319="","",SUMIFS(TARIFF_PROFILES!$E:$E,TARIFF_PROFILES!$A:$A,$X319))</f>
        <v/>
      </c>
      <c r="AA319" s="15">
        <f>IF($X319="","",SUMIFS(TARIFF_PROFILES!$F:$F,TARIFF_PROFILES!$A:$A,$X319))</f>
        <v/>
      </c>
      <c r="AB319" s="15">
        <f>IF($X319="","",SUMIFS(TARIFF_PROFILES!$G:$G,TARIFF_PROFILES!$A:$A,$X319))</f>
        <v/>
      </c>
      <c r="AC319" s="15">
        <f>IF($X319="","",SUMIFS(TARIFF_PROFILES!$H:$H,TARIFF_PROFILES!$A:$A,$X319))</f>
        <v/>
      </c>
      <c r="AD319" s="15">
        <f>IF($X319="","",INDEX(TARIFF_PROFILES!$J:$J,MATCH($X319,TARIFF_PROFILES!$A:$A,0)))</f>
        <v/>
      </c>
      <c r="AE319" s="15">
        <f>IF($X319="","",INDEX(TARIFF_PROFILES!$K:$K,MATCH($X319,TARIFF_PROFILES!$A:$A,0)))</f>
        <v/>
      </c>
      <c r="AH319">
        <f>IF($AG319="","",SUMIFS(OPERATING_COEFFS!$C:$C,OPERATING_COEFFS!$A:$A,"DistanceClass",OPERATING_COEFFS!$B:$B,$AG319))</f>
        <v/>
      </c>
      <c r="AJ319">
        <f>IF($AI319="","",SUMIFS(OPERATING_COEFFS!$C:$C,OPERATING_COEFFS!$A:$A,"SeasonClass",OPERATING_COEFFS!$B:$B,$AI319))</f>
        <v/>
      </c>
      <c r="AL319">
        <f>IF($AK319="","",SUMIFS(OPERATING_COEFFS!$C:$C,OPERATING_COEFFS!$A:$A,"UrgencyClass",OPERATING_COEFFS!$B:$B,$AK319))</f>
        <v/>
      </c>
      <c r="AN319">
        <f>IF($AM319="","",INDEX(TAX_MODES!$B:$B,MATCH($AM319,TAX_MODES!$A:$A,0)))</f>
        <v/>
      </c>
    </row>
    <row r="320">
      <c r="X320" s="15" t="n"/>
      <c r="Y320" s="15">
        <f>IF($X320="","",SUMIFS(TARIFF_PROFILES!$D:$D,TARIFF_PROFILES!$A:$A,$X320))</f>
        <v/>
      </c>
      <c r="Z320" s="15">
        <f>IF($X320="","",SUMIFS(TARIFF_PROFILES!$E:$E,TARIFF_PROFILES!$A:$A,$X320))</f>
        <v/>
      </c>
      <c r="AA320" s="15">
        <f>IF($X320="","",SUMIFS(TARIFF_PROFILES!$F:$F,TARIFF_PROFILES!$A:$A,$X320))</f>
        <v/>
      </c>
      <c r="AB320" s="15">
        <f>IF($X320="","",SUMIFS(TARIFF_PROFILES!$G:$G,TARIFF_PROFILES!$A:$A,$X320))</f>
        <v/>
      </c>
      <c r="AC320" s="15">
        <f>IF($X320="","",SUMIFS(TARIFF_PROFILES!$H:$H,TARIFF_PROFILES!$A:$A,$X320))</f>
        <v/>
      </c>
      <c r="AD320" s="15">
        <f>IF($X320="","",INDEX(TARIFF_PROFILES!$J:$J,MATCH($X320,TARIFF_PROFILES!$A:$A,0)))</f>
        <v/>
      </c>
      <c r="AE320" s="15">
        <f>IF($X320="","",INDEX(TARIFF_PROFILES!$K:$K,MATCH($X320,TARIFF_PROFILES!$A:$A,0)))</f>
        <v/>
      </c>
      <c r="AH320">
        <f>IF($AG320="","",SUMIFS(OPERATING_COEFFS!$C:$C,OPERATING_COEFFS!$A:$A,"DistanceClass",OPERATING_COEFFS!$B:$B,$AG320))</f>
        <v/>
      </c>
      <c r="AJ320">
        <f>IF($AI320="","",SUMIFS(OPERATING_COEFFS!$C:$C,OPERATING_COEFFS!$A:$A,"SeasonClass",OPERATING_COEFFS!$B:$B,$AI320))</f>
        <v/>
      </c>
      <c r="AL320">
        <f>IF($AK320="","",SUMIFS(OPERATING_COEFFS!$C:$C,OPERATING_COEFFS!$A:$A,"UrgencyClass",OPERATING_COEFFS!$B:$B,$AK320))</f>
        <v/>
      </c>
      <c r="AN320">
        <f>IF($AM320="","",INDEX(TAX_MODES!$B:$B,MATCH($AM320,TAX_MODES!$A:$A,0)))</f>
        <v/>
      </c>
    </row>
    <row r="321">
      <c r="X321" s="15" t="n"/>
      <c r="Y321" s="15">
        <f>IF($X321="","",SUMIFS(TARIFF_PROFILES!$D:$D,TARIFF_PROFILES!$A:$A,$X321))</f>
        <v/>
      </c>
      <c r="Z321" s="15">
        <f>IF($X321="","",SUMIFS(TARIFF_PROFILES!$E:$E,TARIFF_PROFILES!$A:$A,$X321))</f>
        <v/>
      </c>
      <c r="AA321" s="15">
        <f>IF($X321="","",SUMIFS(TARIFF_PROFILES!$F:$F,TARIFF_PROFILES!$A:$A,$X321))</f>
        <v/>
      </c>
      <c r="AB321" s="15">
        <f>IF($X321="","",SUMIFS(TARIFF_PROFILES!$G:$G,TARIFF_PROFILES!$A:$A,$X321))</f>
        <v/>
      </c>
      <c r="AC321" s="15">
        <f>IF($X321="","",SUMIFS(TARIFF_PROFILES!$H:$H,TARIFF_PROFILES!$A:$A,$X321))</f>
        <v/>
      </c>
      <c r="AD321" s="15">
        <f>IF($X321="","",INDEX(TARIFF_PROFILES!$J:$J,MATCH($X321,TARIFF_PROFILES!$A:$A,0)))</f>
        <v/>
      </c>
      <c r="AE321" s="15">
        <f>IF($X321="","",INDEX(TARIFF_PROFILES!$K:$K,MATCH($X321,TARIFF_PROFILES!$A:$A,0)))</f>
        <v/>
      </c>
      <c r="AH321">
        <f>IF($AG321="","",SUMIFS(OPERATING_COEFFS!$C:$C,OPERATING_COEFFS!$A:$A,"DistanceClass",OPERATING_COEFFS!$B:$B,$AG321))</f>
        <v/>
      </c>
      <c r="AJ321">
        <f>IF($AI321="","",SUMIFS(OPERATING_COEFFS!$C:$C,OPERATING_COEFFS!$A:$A,"SeasonClass",OPERATING_COEFFS!$B:$B,$AI321))</f>
        <v/>
      </c>
      <c r="AL321">
        <f>IF($AK321="","",SUMIFS(OPERATING_COEFFS!$C:$C,OPERATING_COEFFS!$A:$A,"UrgencyClass",OPERATING_COEFFS!$B:$B,$AK321))</f>
        <v/>
      </c>
      <c r="AN321">
        <f>IF($AM321="","",INDEX(TAX_MODES!$B:$B,MATCH($AM321,TAX_MODES!$A:$A,0)))</f>
        <v/>
      </c>
    </row>
    <row r="322">
      <c r="X322" s="15" t="n"/>
      <c r="Y322" s="15">
        <f>IF($X322="","",SUMIFS(TARIFF_PROFILES!$D:$D,TARIFF_PROFILES!$A:$A,$X322))</f>
        <v/>
      </c>
      <c r="Z322" s="15">
        <f>IF($X322="","",SUMIFS(TARIFF_PROFILES!$E:$E,TARIFF_PROFILES!$A:$A,$X322))</f>
        <v/>
      </c>
      <c r="AA322" s="15">
        <f>IF($X322="","",SUMIFS(TARIFF_PROFILES!$F:$F,TARIFF_PROFILES!$A:$A,$X322))</f>
        <v/>
      </c>
      <c r="AB322" s="15">
        <f>IF($X322="","",SUMIFS(TARIFF_PROFILES!$G:$G,TARIFF_PROFILES!$A:$A,$X322))</f>
        <v/>
      </c>
      <c r="AC322" s="15">
        <f>IF($X322="","",SUMIFS(TARIFF_PROFILES!$H:$H,TARIFF_PROFILES!$A:$A,$X322))</f>
        <v/>
      </c>
      <c r="AD322" s="15">
        <f>IF($X322="","",INDEX(TARIFF_PROFILES!$J:$J,MATCH($X322,TARIFF_PROFILES!$A:$A,0)))</f>
        <v/>
      </c>
      <c r="AE322" s="15">
        <f>IF($X322="","",INDEX(TARIFF_PROFILES!$K:$K,MATCH($X322,TARIFF_PROFILES!$A:$A,0)))</f>
        <v/>
      </c>
      <c r="AH322">
        <f>IF($AG322="","",SUMIFS(OPERATING_COEFFS!$C:$C,OPERATING_COEFFS!$A:$A,"DistanceClass",OPERATING_COEFFS!$B:$B,$AG322))</f>
        <v/>
      </c>
      <c r="AJ322">
        <f>IF($AI322="","",SUMIFS(OPERATING_COEFFS!$C:$C,OPERATING_COEFFS!$A:$A,"SeasonClass",OPERATING_COEFFS!$B:$B,$AI322))</f>
        <v/>
      </c>
      <c r="AL322">
        <f>IF($AK322="","",SUMIFS(OPERATING_COEFFS!$C:$C,OPERATING_COEFFS!$A:$A,"UrgencyClass",OPERATING_COEFFS!$B:$B,$AK322))</f>
        <v/>
      </c>
      <c r="AN322">
        <f>IF($AM322="","",INDEX(TAX_MODES!$B:$B,MATCH($AM322,TAX_MODES!$A:$A,0)))</f>
        <v/>
      </c>
    </row>
    <row r="323">
      <c r="X323" s="15" t="n"/>
      <c r="Y323" s="15">
        <f>IF($X323="","",SUMIFS(TARIFF_PROFILES!$D:$D,TARIFF_PROFILES!$A:$A,$X323))</f>
        <v/>
      </c>
      <c r="Z323" s="15">
        <f>IF($X323="","",SUMIFS(TARIFF_PROFILES!$E:$E,TARIFF_PROFILES!$A:$A,$X323))</f>
        <v/>
      </c>
      <c r="AA323" s="15">
        <f>IF($X323="","",SUMIFS(TARIFF_PROFILES!$F:$F,TARIFF_PROFILES!$A:$A,$X323))</f>
        <v/>
      </c>
      <c r="AB323" s="15">
        <f>IF($X323="","",SUMIFS(TARIFF_PROFILES!$G:$G,TARIFF_PROFILES!$A:$A,$X323))</f>
        <v/>
      </c>
      <c r="AC323" s="15">
        <f>IF($X323="","",SUMIFS(TARIFF_PROFILES!$H:$H,TARIFF_PROFILES!$A:$A,$X323))</f>
        <v/>
      </c>
      <c r="AD323" s="15">
        <f>IF($X323="","",INDEX(TARIFF_PROFILES!$J:$J,MATCH($X323,TARIFF_PROFILES!$A:$A,0)))</f>
        <v/>
      </c>
      <c r="AE323" s="15">
        <f>IF($X323="","",INDEX(TARIFF_PROFILES!$K:$K,MATCH($X323,TARIFF_PROFILES!$A:$A,0)))</f>
        <v/>
      </c>
      <c r="AH323">
        <f>IF($AG323="","",SUMIFS(OPERATING_COEFFS!$C:$C,OPERATING_COEFFS!$A:$A,"DistanceClass",OPERATING_COEFFS!$B:$B,$AG323))</f>
        <v/>
      </c>
      <c r="AJ323">
        <f>IF($AI323="","",SUMIFS(OPERATING_COEFFS!$C:$C,OPERATING_COEFFS!$A:$A,"SeasonClass",OPERATING_COEFFS!$B:$B,$AI323))</f>
        <v/>
      </c>
      <c r="AL323">
        <f>IF($AK323="","",SUMIFS(OPERATING_COEFFS!$C:$C,OPERATING_COEFFS!$A:$A,"UrgencyClass",OPERATING_COEFFS!$B:$B,$AK323))</f>
        <v/>
      </c>
      <c r="AN323">
        <f>IF($AM323="","",INDEX(TAX_MODES!$B:$B,MATCH($AM323,TAX_MODES!$A:$A,0)))</f>
        <v/>
      </c>
    </row>
    <row r="324">
      <c r="X324" s="15" t="n"/>
      <c r="Y324" s="15">
        <f>IF($X324="","",SUMIFS(TARIFF_PROFILES!$D:$D,TARIFF_PROFILES!$A:$A,$X324))</f>
        <v/>
      </c>
      <c r="Z324" s="15">
        <f>IF($X324="","",SUMIFS(TARIFF_PROFILES!$E:$E,TARIFF_PROFILES!$A:$A,$X324))</f>
        <v/>
      </c>
      <c r="AA324" s="15">
        <f>IF($X324="","",SUMIFS(TARIFF_PROFILES!$F:$F,TARIFF_PROFILES!$A:$A,$X324))</f>
        <v/>
      </c>
      <c r="AB324" s="15">
        <f>IF($X324="","",SUMIFS(TARIFF_PROFILES!$G:$G,TARIFF_PROFILES!$A:$A,$X324))</f>
        <v/>
      </c>
      <c r="AC324" s="15">
        <f>IF($X324="","",SUMIFS(TARIFF_PROFILES!$H:$H,TARIFF_PROFILES!$A:$A,$X324))</f>
        <v/>
      </c>
      <c r="AD324" s="15">
        <f>IF($X324="","",INDEX(TARIFF_PROFILES!$J:$J,MATCH($X324,TARIFF_PROFILES!$A:$A,0)))</f>
        <v/>
      </c>
      <c r="AE324" s="15">
        <f>IF($X324="","",INDEX(TARIFF_PROFILES!$K:$K,MATCH($X324,TARIFF_PROFILES!$A:$A,0)))</f>
        <v/>
      </c>
      <c r="AH324">
        <f>IF($AG324="","",SUMIFS(OPERATING_COEFFS!$C:$C,OPERATING_COEFFS!$A:$A,"DistanceClass",OPERATING_COEFFS!$B:$B,$AG324))</f>
        <v/>
      </c>
      <c r="AJ324">
        <f>IF($AI324="","",SUMIFS(OPERATING_COEFFS!$C:$C,OPERATING_COEFFS!$A:$A,"SeasonClass",OPERATING_COEFFS!$B:$B,$AI324))</f>
        <v/>
      </c>
      <c r="AL324">
        <f>IF($AK324="","",SUMIFS(OPERATING_COEFFS!$C:$C,OPERATING_COEFFS!$A:$A,"UrgencyClass",OPERATING_COEFFS!$B:$B,$AK324))</f>
        <v/>
      </c>
      <c r="AN324">
        <f>IF($AM324="","",INDEX(TAX_MODES!$B:$B,MATCH($AM324,TAX_MODES!$A:$A,0)))</f>
        <v/>
      </c>
    </row>
    <row r="325">
      <c r="X325" s="15" t="n"/>
      <c r="Y325" s="15">
        <f>IF($X325="","",SUMIFS(TARIFF_PROFILES!$D:$D,TARIFF_PROFILES!$A:$A,$X325))</f>
        <v/>
      </c>
      <c r="Z325" s="15">
        <f>IF($X325="","",SUMIFS(TARIFF_PROFILES!$E:$E,TARIFF_PROFILES!$A:$A,$X325))</f>
        <v/>
      </c>
      <c r="AA325" s="15">
        <f>IF($X325="","",SUMIFS(TARIFF_PROFILES!$F:$F,TARIFF_PROFILES!$A:$A,$X325))</f>
        <v/>
      </c>
      <c r="AB325" s="15">
        <f>IF($X325="","",SUMIFS(TARIFF_PROFILES!$G:$G,TARIFF_PROFILES!$A:$A,$X325))</f>
        <v/>
      </c>
      <c r="AC325" s="15">
        <f>IF($X325="","",SUMIFS(TARIFF_PROFILES!$H:$H,TARIFF_PROFILES!$A:$A,$X325))</f>
        <v/>
      </c>
      <c r="AD325" s="15">
        <f>IF($X325="","",INDEX(TARIFF_PROFILES!$J:$J,MATCH($X325,TARIFF_PROFILES!$A:$A,0)))</f>
        <v/>
      </c>
      <c r="AE325" s="15">
        <f>IF($X325="","",INDEX(TARIFF_PROFILES!$K:$K,MATCH($X325,TARIFF_PROFILES!$A:$A,0)))</f>
        <v/>
      </c>
      <c r="AH325">
        <f>IF($AG325="","",SUMIFS(OPERATING_COEFFS!$C:$C,OPERATING_COEFFS!$A:$A,"DistanceClass",OPERATING_COEFFS!$B:$B,$AG325))</f>
        <v/>
      </c>
      <c r="AJ325">
        <f>IF($AI325="","",SUMIFS(OPERATING_COEFFS!$C:$C,OPERATING_COEFFS!$A:$A,"SeasonClass",OPERATING_COEFFS!$B:$B,$AI325))</f>
        <v/>
      </c>
      <c r="AL325">
        <f>IF($AK325="","",SUMIFS(OPERATING_COEFFS!$C:$C,OPERATING_COEFFS!$A:$A,"UrgencyClass",OPERATING_COEFFS!$B:$B,$AK325))</f>
        <v/>
      </c>
      <c r="AN325">
        <f>IF($AM325="","",INDEX(TAX_MODES!$B:$B,MATCH($AM325,TAX_MODES!$A:$A,0)))</f>
        <v/>
      </c>
    </row>
    <row r="326">
      <c r="X326" s="15" t="n"/>
      <c r="Y326" s="15">
        <f>IF($X326="","",SUMIFS(TARIFF_PROFILES!$D:$D,TARIFF_PROFILES!$A:$A,$X326))</f>
        <v/>
      </c>
      <c r="Z326" s="15">
        <f>IF($X326="","",SUMIFS(TARIFF_PROFILES!$E:$E,TARIFF_PROFILES!$A:$A,$X326))</f>
        <v/>
      </c>
      <c r="AA326" s="15">
        <f>IF($X326="","",SUMIFS(TARIFF_PROFILES!$F:$F,TARIFF_PROFILES!$A:$A,$X326))</f>
        <v/>
      </c>
      <c r="AB326" s="15">
        <f>IF($X326="","",SUMIFS(TARIFF_PROFILES!$G:$G,TARIFF_PROFILES!$A:$A,$X326))</f>
        <v/>
      </c>
      <c r="AC326" s="15">
        <f>IF($X326="","",SUMIFS(TARIFF_PROFILES!$H:$H,TARIFF_PROFILES!$A:$A,$X326))</f>
        <v/>
      </c>
      <c r="AD326" s="15">
        <f>IF($X326="","",INDEX(TARIFF_PROFILES!$J:$J,MATCH($X326,TARIFF_PROFILES!$A:$A,0)))</f>
        <v/>
      </c>
      <c r="AE326" s="15">
        <f>IF($X326="","",INDEX(TARIFF_PROFILES!$K:$K,MATCH($X326,TARIFF_PROFILES!$A:$A,0)))</f>
        <v/>
      </c>
      <c r="AH326">
        <f>IF($AG326="","",SUMIFS(OPERATING_COEFFS!$C:$C,OPERATING_COEFFS!$A:$A,"DistanceClass",OPERATING_COEFFS!$B:$B,$AG326))</f>
        <v/>
      </c>
      <c r="AJ326">
        <f>IF($AI326="","",SUMIFS(OPERATING_COEFFS!$C:$C,OPERATING_COEFFS!$A:$A,"SeasonClass",OPERATING_COEFFS!$B:$B,$AI326))</f>
        <v/>
      </c>
      <c r="AL326">
        <f>IF($AK326="","",SUMIFS(OPERATING_COEFFS!$C:$C,OPERATING_COEFFS!$A:$A,"UrgencyClass",OPERATING_COEFFS!$B:$B,$AK326))</f>
        <v/>
      </c>
      <c r="AN326">
        <f>IF($AM326="","",INDEX(TAX_MODES!$B:$B,MATCH($AM326,TAX_MODES!$A:$A,0)))</f>
        <v/>
      </c>
    </row>
    <row r="327">
      <c r="X327" s="15" t="n"/>
      <c r="Y327" s="15">
        <f>IF($X327="","",SUMIFS(TARIFF_PROFILES!$D:$D,TARIFF_PROFILES!$A:$A,$X327))</f>
        <v/>
      </c>
      <c r="Z327" s="15">
        <f>IF($X327="","",SUMIFS(TARIFF_PROFILES!$E:$E,TARIFF_PROFILES!$A:$A,$X327))</f>
        <v/>
      </c>
      <c r="AA327" s="15">
        <f>IF($X327="","",SUMIFS(TARIFF_PROFILES!$F:$F,TARIFF_PROFILES!$A:$A,$X327))</f>
        <v/>
      </c>
      <c r="AB327" s="15">
        <f>IF($X327="","",SUMIFS(TARIFF_PROFILES!$G:$G,TARIFF_PROFILES!$A:$A,$X327))</f>
        <v/>
      </c>
      <c r="AC327" s="15">
        <f>IF($X327="","",SUMIFS(TARIFF_PROFILES!$H:$H,TARIFF_PROFILES!$A:$A,$X327))</f>
        <v/>
      </c>
      <c r="AD327" s="15">
        <f>IF($X327="","",INDEX(TARIFF_PROFILES!$J:$J,MATCH($X327,TARIFF_PROFILES!$A:$A,0)))</f>
        <v/>
      </c>
      <c r="AE327" s="15">
        <f>IF($X327="","",INDEX(TARIFF_PROFILES!$K:$K,MATCH($X327,TARIFF_PROFILES!$A:$A,0)))</f>
        <v/>
      </c>
      <c r="AH327">
        <f>IF($AG327="","",SUMIFS(OPERATING_COEFFS!$C:$C,OPERATING_COEFFS!$A:$A,"DistanceClass",OPERATING_COEFFS!$B:$B,$AG327))</f>
        <v/>
      </c>
      <c r="AJ327">
        <f>IF($AI327="","",SUMIFS(OPERATING_COEFFS!$C:$C,OPERATING_COEFFS!$A:$A,"SeasonClass",OPERATING_COEFFS!$B:$B,$AI327))</f>
        <v/>
      </c>
      <c r="AL327">
        <f>IF($AK327="","",SUMIFS(OPERATING_COEFFS!$C:$C,OPERATING_COEFFS!$A:$A,"UrgencyClass",OPERATING_COEFFS!$B:$B,$AK327))</f>
        <v/>
      </c>
      <c r="AN327">
        <f>IF($AM327="","",INDEX(TAX_MODES!$B:$B,MATCH($AM327,TAX_MODES!$A:$A,0)))</f>
        <v/>
      </c>
    </row>
    <row r="328">
      <c r="X328" s="15" t="n"/>
      <c r="Y328" s="15">
        <f>IF($X328="","",SUMIFS(TARIFF_PROFILES!$D:$D,TARIFF_PROFILES!$A:$A,$X328))</f>
        <v/>
      </c>
      <c r="Z328" s="15">
        <f>IF($X328="","",SUMIFS(TARIFF_PROFILES!$E:$E,TARIFF_PROFILES!$A:$A,$X328))</f>
        <v/>
      </c>
      <c r="AA328" s="15">
        <f>IF($X328="","",SUMIFS(TARIFF_PROFILES!$F:$F,TARIFF_PROFILES!$A:$A,$X328))</f>
        <v/>
      </c>
      <c r="AB328" s="15">
        <f>IF($X328="","",SUMIFS(TARIFF_PROFILES!$G:$G,TARIFF_PROFILES!$A:$A,$X328))</f>
        <v/>
      </c>
      <c r="AC328" s="15">
        <f>IF($X328="","",SUMIFS(TARIFF_PROFILES!$H:$H,TARIFF_PROFILES!$A:$A,$X328))</f>
        <v/>
      </c>
      <c r="AD328" s="15">
        <f>IF($X328="","",INDEX(TARIFF_PROFILES!$J:$J,MATCH($X328,TARIFF_PROFILES!$A:$A,0)))</f>
        <v/>
      </c>
      <c r="AE328" s="15">
        <f>IF($X328="","",INDEX(TARIFF_PROFILES!$K:$K,MATCH($X328,TARIFF_PROFILES!$A:$A,0)))</f>
        <v/>
      </c>
      <c r="AH328">
        <f>IF($AG328="","",SUMIFS(OPERATING_COEFFS!$C:$C,OPERATING_COEFFS!$A:$A,"DistanceClass",OPERATING_COEFFS!$B:$B,$AG328))</f>
        <v/>
      </c>
      <c r="AJ328">
        <f>IF($AI328="","",SUMIFS(OPERATING_COEFFS!$C:$C,OPERATING_COEFFS!$A:$A,"SeasonClass",OPERATING_COEFFS!$B:$B,$AI328))</f>
        <v/>
      </c>
      <c r="AL328">
        <f>IF($AK328="","",SUMIFS(OPERATING_COEFFS!$C:$C,OPERATING_COEFFS!$A:$A,"UrgencyClass",OPERATING_COEFFS!$B:$B,$AK328))</f>
        <v/>
      </c>
      <c r="AN328">
        <f>IF($AM328="","",INDEX(TAX_MODES!$B:$B,MATCH($AM328,TAX_MODES!$A:$A,0)))</f>
        <v/>
      </c>
    </row>
    <row r="329">
      <c r="X329" s="15" t="n"/>
      <c r="Y329" s="15">
        <f>IF($X329="","",SUMIFS(TARIFF_PROFILES!$D:$D,TARIFF_PROFILES!$A:$A,$X329))</f>
        <v/>
      </c>
      <c r="Z329" s="15">
        <f>IF($X329="","",SUMIFS(TARIFF_PROFILES!$E:$E,TARIFF_PROFILES!$A:$A,$X329))</f>
        <v/>
      </c>
      <c r="AA329" s="15">
        <f>IF($X329="","",SUMIFS(TARIFF_PROFILES!$F:$F,TARIFF_PROFILES!$A:$A,$X329))</f>
        <v/>
      </c>
      <c r="AB329" s="15">
        <f>IF($X329="","",SUMIFS(TARIFF_PROFILES!$G:$G,TARIFF_PROFILES!$A:$A,$X329))</f>
        <v/>
      </c>
      <c r="AC329" s="15">
        <f>IF($X329="","",SUMIFS(TARIFF_PROFILES!$H:$H,TARIFF_PROFILES!$A:$A,$X329))</f>
        <v/>
      </c>
      <c r="AD329" s="15">
        <f>IF($X329="","",INDEX(TARIFF_PROFILES!$J:$J,MATCH($X329,TARIFF_PROFILES!$A:$A,0)))</f>
        <v/>
      </c>
      <c r="AE329" s="15">
        <f>IF($X329="","",INDEX(TARIFF_PROFILES!$K:$K,MATCH($X329,TARIFF_PROFILES!$A:$A,0)))</f>
        <v/>
      </c>
      <c r="AH329">
        <f>IF($AG329="","",SUMIFS(OPERATING_COEFFS!$C:$C,OPERATING_COEFFS!$A:$A,"DistanceClass",OPERATING_COEFFS!$B:$B,$AG329))</f>
        <v/>
      </c>
      <c r="AJ329">
        <f>IF($AI329="","",SUMIFS(OPERATING_COEFFS!$C:$C,OPERATING_COEFFS!$A:$A,"SeasonClass",OPERATING_COEFFS!$B:$B,$AI329))</f>
        <v/>
      </c>
      <c r="AL329">
        <f>IF($AK329="","",SUMIFS(OPERATING_COEFFS!$C:$C,OPERATING_COEFFS!$A:$A,"UrgencyClass",OPERATING_COEFFS!$B:$B,$AK329))</f>
        <v/>
      </c>
      <c r="AN329">
        <f>IF($AM329="","",INDEX(TAX_MODES!$B:$B,MATCH($AM329,TAX_MODES!$A:$A,0)))</f>
        <v/>
      </c>
    </row>
    <row r="330">
      <c r="X330" s="15" t="n"/>
      <c r="Y330" s="15">
        <f>IF($X330="","",SUMIFS(TARIFF_PROFILES!$D:$D,TARIFF_PROFILES!$A:$A,$X330))</f>
        <v/>
      </c>
      <c r="Z330" s="15">
        <f>IF($X330="","",SUMIFS(TARIFF_PROFILES!$E:$E,TARIFF_PROFILES!$A:$A,$X330))</f>
        <v/>
      </c>
      <c r="AA330" s="15">
        <f>IF($X330="","",SUMIFS(TARIFF_PROFILES!$F:$F,TARIFF_PROFILES!$A:$A,$X330))</f>
        <v/>
      </c>
      <c r="AB330" s="15">
        <f>IF($X330="","",SUMIFS(TARIFF_PROFILES!$G:$G,TARIFF_PROFILES!$A:$A,$X330))</f>
        <v/>
      </c>
      <c r="AC330" s="15">
        <f>IF($X330="","",SUMIFS(TARIFF_PROFILES!$H:$H,TARIFF_PROFILES!$A:$A,$X330))</f>
        <v/>
      </c>
      <c r="AD330" s="15">
        <f>IF($X330="","",INDEX(TARIFF_PROFILES!$J:$J,MATCH($X330,TARIFF_PROFILES!$A:$A,0)))</f>
        <v/>
      </c>
      <c r="AE330" s="15">
        <f>IF($X330="","",INDEX(TARIFF_PROFILES!$K:$K,MATCH($X330,TARIFF_PROFILES!$A:$A,0)))</f>
        <v/>
      </c>
      <c r="AH330">
        <f>IF($AG330="","",SUMIFS(OPERATING_COEFFS!$C:$C,OPERATING_COEFFS!$A:$A,"DistanceClass",OPERATING_COEFFS!$B:$B,$AG330))</f>
        <v/>
      </c>
      <c r="AJ330">
        <f>IF($AI330="","",SUMIFS(OPERATING_COEFFS!$C:$C,OPERATING_COEFFS!$A:$A,"SeasonClass",OPERATING_COEFFS!$B:$B,$AI330))</f>
        <v/>
      </c>
      <c r="AL330">
        <f>IF($AK330="","",SUMIFS(OPERATING_COEFFS!$C:$C,OPERATING_COEFFS!$A:$A,"UrgencyClass",OPERATING_COEFFS!$B:$B,$AK330))</f>
        <v/>
      </c>
      <c r="AN330">
        <f>IF($AM330="","",INDEX(TAX_MODES!$B:$B,MATCH($AM330,TAX_MODES!$A:$A,0)))</f>
        <v/>
      </c>
    </row>
    <row r="331">
      <c r="X331" s="15" t="n"/>
      <c r="Y331" s="15">
        <f>IF($X331="","",SUMIFS(TARIFF_PROFILES!$D:$D,TARIFF_PROFILES!$A:$A,$X331))</f>
        <v/>
      </c>
      <c r="Z331" s="15">
        <f>IF($X331="","",SUMIFS(TARIFF_PROFILES!$E:$E,TARIFF_PROFILES!$A:$A,$X331))</f>
        <v/>
      </c>
      <c r="AA331" s="15">
        <f>IF($X331="","",SUMIFS(TARIFF_PROFILES!$F:$F,TARIFF_PROFILES!$A:$A,$X331))</f>
        <v/>
      </c>
      <c r="AB331" s="15">
        <f>IF($X331="","",SUMIFS(TARIFF_PROFILES!$G:$G,TARIFF_PROFILES!$A:$A,$X331))</f>
        <v/>
      </c>
      <c r="AC331" s="15">
        <f>IF($X331="","",SUMIFS(TARIFF_PROFILES!$H:$H,TARIFF_PROFILES!$A:$A,$X331))</f>
        <v/>
      </c>
      <c r="AD331" s="15">
        <f>IF($X331="","",INDEX(TARIFF_PROFILES!$J:$J,MATCH($X331,TARIFF_PROFILES!$A:$A,0)))</f>
        <v/>
      </c>
      <c r="AE331" s="15">
        <f>IF($X331="","",INDEX(TARIFF_PROFILES!$K:$K,MATCH($X331,TARIFF_PROFILES!$A:$A,0)))</f>
        <v/>
      </c>
      <c r="AH331">
        <f>IF($AG331="","",SUMIFS(OPERATING_COEFFS!$C:$C,OPERATING_COEFFS!$A:$A,"DistanceClass",OPERATING_COEFFS!$B:$B,$AG331))</f>
        <v/>
      </c>
      <c r="AJ331">
        <f>IF($AI331="","",SUMIFS(OPERATING_COEFFS!$C:$C,OPERATING_COEFFS!$A:$A,"SeasonClass",OPERATING_COEFFS!$B:$B,$AI331))</f>
        <v/>
      </c>
      <c r="AL331">
        <f>IF($AK331="","",SUMIFS(OPERATING_COEFFS!$C:$C,OPERATING_COEFFS!$A:$A,"UrgencyClass",OPERATING_COEFFS!$B:$B,$AK331))</f>
        <v/>
      </c>
      <c r="AN331">
        <f>IF($AM331="","",INDEX(TAX_MODES!$B:$B,MATCH($AM331,TAX_MODES!$A:$A,0)))</f>
        <v/>
      </c>
    </row>
    <row r="332">
      <c r="X332" s="15" t="n"/>
      <c r="Y332" s="15">
        <f>IF($X332="","",SUMIFS(TARIFF_PROFILES!$D:$D,TARIFF_PROFILES!$A:$A,$X332))</f>
        <v/>
      </c>
      <c r="Z332" s="15">
        <f>IF($X332="","",SUMIFS(TARIFF_PROFILES!$E:$E,TARIFF_PROFILES!$A:$A,$X332))</f>
        <v/>
      </c>
      <c r="AA332" s="15">
        <f>IF($X332="","",SUMIFS(TARIFF_PROFILES!$F:$F,TARIFF_PROFILES!$A:$A,$X332))</f>
        <v/>
      </c>
      <c r="AB332" s="15">
        <f>IF($X332="","",SUMIFS(TARIFF_PROFILES!$G:$G,TARIFF_PROFILES!$A:$A,$X332))</f>
        <v/>
      </c>
      <c r="AC332" s="15">
        <f>IF($X332="","",SUMIFS(TARIFF_PROFILES!$H:$H,TARIFF_PROFILES!$A:$A,$X332))</f>
        <v/>
      </c>
      <c r="AD332" s="15">
        <f>IF($X332="","",INDEX(TARIFF_PROFILES!$J:$J,MATCH($X332,TARIFF_PROFILES!$A:$A,0)))</f>
        <v/>
      </c>
      <c r="AE332" s="15">
        <f>IF($X332="","",INDEX(TARIFF_PROFILES!$K:$K,MATCH($X332,TARIFF_PROFILES!$A:$A,0)))</f>
        <v/>
      </c>
      <c r="AH332">
        <f>IF($AG332="","",SUMIFS(OPERATING_COEFFS!$C:$C,OPERATING_COEFFS!$A:$A,"DistanceClass",OPERATING_COEFFS!$B:$B,$AG332))</f>
        <v/>
      </c>
      <c r="AJ332">
        <f>IF($AI332="","",SUMIFS(OPERATING_COEFFS!$C:$C,OPERATING_COEFFS!$A:$A,"SeasonClass",OPERATING_COEFFS!$B:$B,$AI332))</f>
        <v/>
      </c>
      <c r="AL332">
        <f>IF($AK332="","",SUMIFS(OPERATING_COEFFS!$C:$C,OPERATING_COEFFS!$A:$A,"UrgencyClass",OPERATING_COEFFS!$B:$B,$AK332))</f>
        <v/>
      </c>
      <c r="AN332">
        <f>IF($AM332="","",INDEX(TAX_MODES!$B:$B,MATCH($AM332,TAX_MODES!$A:$A,0)))</f>
        <v/>
      </c>
    </row>
    <row r="333">
      <c r="X333" s="15" t="n"/>
      <c r="Y333" s="15">
        <f>IF($X333="","",SUMIFS(TARIFF_PROFILES!$D:$D,TARIFF_PROFILES!$A:$A,$X333))</f>
        <v/>
      </c>
      <c r="Z333" s="15">
        <f>IF($X333="","",SUMIFS(TARIFF_PROFILES!$E:$E,TARIFF_PROFILES!$A:$A,$X333))</f>
        <v/>
      </c>
      <c r="AA333" s="15">
        <f>IF($X333="","",SUMIFS(TARIFF_PROFILES!$F:$F,TARIFF_PROFILES!$A:$A,$X333))</f>
        <v/>
      </c>
      <c r="AB333" s="15">
        <f>IF($X333="","",SUMIFS(TARIFF_PROFILES!$G:$G,TARIFF_PROFILES!$A:$A,$X333))</f>
        <v/>
      </c>
      <c r="AC333" s="15">
        <f>IF($X333="","",SUMIFS(TARIFF_PROFILES!$H:$H,TARIFF_PROFILES!$A:$A,$X333))</f>
        <v/>
      </c>
      <c r="AD333" s="15">
        <f>IF($X333="","",INDEX(TARIFF_PROFILES!$J:$J,MATCH($X333,TARIFF_PROFILES!$A:$A,0)))</f>
        <v/>
      </c>
      <c r="AE333" s="15">
        <f>IF($X333="","",INDEX(TARIFF_PROFILES!$K:$K,MATCH($X333,TARIFF_PROFILES!$A:$A,0)))</f>
        <v/>
      </c>
      <c r="AH333">
        <f>IF($AG333="","",SUMIFS(OPERATING_COEFFS!$C:$C,OPERATING_COEFFS!$A:$A,"DistanceClass",OPERATING_COEFFS!$B:$B,$AG333))</f>
        <v/>
      </c>
      <c r="AJ333">
        <f>IF($AI333="","",SUMIFS(OPERATING_COEFFS!$C:$C,OPERATING_COEFFS!$A:$A,"SeasonClass",OPERATING_COEFFS!$B:$B,$AI333))</f>
        <v/>
      </c>
      <c r="AL333">
        <f>IF($AK333="","",SUMIFS(OPERATING_COEFFS!$C:$C,OPERATING_COEFFS!$A:$A,"UrgencyClass",OPERATING_COEFFS!$B:$B,$AK333))</f>
        <v/>
      </c>
      <c r="AN333">
        <f>IF($AM333="","",INDEX(TAX_MODES!$B:$B,MATCH($AM333,TAX_MODES!$A:$A,0)))</f>
        <v/>
      </c>
    </row>
    <row r="334">
      <c r="X334" s="15" t="n"/>
      <c r="Y334" s="15">
        <f>IF($X334="","",SUMIFS(TARIFF_PROFILES!$D:$D,TARIFF_PROFILES!$A:$A,$X334))</f>
        <v/>
      </c>
      <c r="Z334" s="15">
        <f>IF($X334="","",SUMIFS(TARIFF_PROFILES!$E:$E,TARIFF_PROFILES!$A:$A,$X334))</f>
        <v/>
      </c>
      <c r="AA334" s="15">
        <f>IF($X334="","",SUMIFS(TARIFF_PROFILES!$F:$F,TARIFF_PROFILES!$A:$A,$X334))</f>
        <v/>
      </c>
      <c r="AB334" s="15">
        <f>IF($X334="","",SUMIFS(TARIFF_PROFILES!$G:$G,TARIFF_PROFILES!$A:$A,$X334))</f>
        <v/>
      </c>
      <c r="AC334" s="15">
        <f>IF($X334="","",SUMIFS(TARIFF_PROFILES!$H:$H,TARIFF_PROFILES!$A:$A,$X334))</f>
        <v/>
      </c>
      <c r="AD334" s="15">
        <f>IF($X334="","",INDEX(TARIFF_PROFILES!$J:$J,MATCH($X334,TARIFF_PROFILES!$A:$A,0)))</f>
        <v/>
      </c>
      <c r="AE334" s="15">
        <f>IF($X334="","",INDEX(TARIFF_PROFILES!$K:$K,MATCH($X334,TARIFF_PROFILES!$A:$A,0)))</f>
        <v/>
      </c>
      <c r="AH334">
        <f>IF($AG334="","",SUMIFS(OPERATING_COEFFS!$C:$C,OPERATING_COEFFS!$A:$A,"DistanceClass",OPERATING_COEFFS!$B:$B,$AG334))</f>
        <v/>
      </c>
      <c r="AJ334">
        <f>IF($AI334="","",SUMIFS(OPERATING_COEFFS!$C:$C,OPERATING_COEFFS!$A:$A,"SeasonClass",OPERATING_COEFFS!$B:$B,$AI334))</f>
        <v/>
      </c>
      <c r="AL334">
        <f>IF($AK334="","",SUMIFS(OPERATING_COEFFS!$C:$C,OPERATING_COEFFS!$A:$A,"UrgencyClass",OPERATING_COEFFS!$B:$B,$AK334))</f>
        <v/>
      </c>
      <c r="AN334">
        <f>IF($AM334="","",INDEX(TAX_MODES!$B:$B,MATCH($AM334,TAX_MODES!$A:$A,0)))</f>
        <v/>
      </c>
    </row>
    <row r="335">
      <c r="X335" s="15" t="n"/>
      <c r="Y335" s="15">
        <f>IF($X335="","",SUMIFS(TARIFF_PROFILES!$D:$D,TARIFF_PROFILES!$A:$A,$X335))</f>
        <v/>
      </c>
      <c r="Z335" s="15">
        <f>IF($X335="","",SUMIFS(TARIFF_PROFILES!$E:$E,TARIFF_PROFILES!$A:$A,$X335))</f>
        <v/>
      </c>
      <c r="AA335" s="15">
        <f>IF($X335="","",SUMIFS(TARIFF_PROFILES!$F:$F,TARIFF_PROFILES!$A:$A,$X335))</f>
        <v/>
      </c>
      <c r="AB335" s="15">
        <f>IF($X335="","",SUMIFS(TARIFF_PROFILES!$G:$G,TARIFF_PROFILES!$A:$A,$X335))</f>
        <v/>
      </c>
      <c r="AC335" s="15">
        <f>IF($X335="","",SUMIFS(TARIFF_PROFILES!$H:$H,TARIFF_PROFILES!$A:$A,$X335))</f>
        <v/>
      </c>
      <c r="AD335" s="15">
        <f>IF($X335="","",INDEX(TARIFF_PROFILES!$J:$J,MATCH($X335,TARIFF_PROFILES!$A:$A,0)))</f>
        <v/>
      </c>
      <c r="AE335" s="15">
        <f>IF($X335="","",INDEX(TARIFF_PROFILES!$K:$K,MATCH($X335,TARIFF_PROFILES!$A:$A,0)))</f>
        <v/>
      </c>
      <c r="AH335">
        <f>IF($AG335="","",SUMIFS(OPERATING_COEFFS!$C:$C,OPERATING_COEFFS!$A:$A,"DistanceClass",OPERATING_COEFFS!$B:$B,$AG335))</f>
        <v/>
      </c>
      <c r="AJ335">
        <f>IF($AI335="","",SUMIFS(OPERATING_COEFFS!$C:$C,OPERATING_COEFFS!$A:$A,"SeasonClass",OPERATING_COEFFS!$B:$B,$AI335))</f>
        <v/>
      </c>
      <c r="AL335">
        <f>IF($AK335="","",SUMIFS(OPERATING_COEFFS!$C:$C,OPERATING_COEFFS!$A:$A,"UrgencyClass",OPERATING_COEFFS!$B:$B,$AK335))</f>
        <v/>
      </c>
      <c r="AN335">
        <f>IF($AM335="","",INDEX(TAX_MODES!$B:$B,MATCH($AM335,TAX_MODES!$A:$A,0)))</f>
        <v/>
      </c>
    </row>
    <row r="336">
      <c r="X336" s="15" t="n"/>
      <c r="Y336" s="15">
        <f>IF($X336="","",SUMIFS(TARIFF_PROFILES!$D:$D,TARIFF_PROFILES!$A:$A,$X336))</f>
        <v/>
      </c>
      <c r="Z336" s="15">
        <f>IF($X336="","",SUMIFS(TARIFF_PROFILES!$E:$E,TARIFF_PROFILES!$A:$A,$X336))</f>
        <v/>
      </c>
      <c r="AA336" s="15">
        <f>IF($X336="","",SUMIFS(TARIFF_PROFILES!$F:$F,TARIFF_PROFILES!$A:$A,$X336))</f>
        <v/>
      </c>
      <c r="AB336" s="15">
        <f>IF($X336="","",SUMIFS(TARIFF_PROFILES!$G:$G,TARIFF_PROFILES!$A:$A,$X336))</f>
        <v/>
      </c>
      <c r="AC336" s="15">
        <f>IF($X336="","",SUMIFS(TARIFF_PROFILES!$H:$H,TARIFF_PROFILES!$A:$A,$X336))</f>
        <v/>
      </c>
      <c r="AD336" s="15">
        <f>IF($X336="","",INDEX(TARIFF_PROFILES!$J:$J,MATCH($X336,TARIFF_PROFILES!$A:$A,0)))</f>
        <v/>
      </c>
      <c r="AE336" s="15">
        <f>IF($X336="","",INDEX(TARIFF_PROFILES!$K:$K,MATCH($X336,TARIFF_PROFILES!$A:$A,0)))</f>
        <v/>
      </c>
      <c r="AH336">
        <f>IF($AG336="","",SUMIFS(OPERATING_COEFFS!$C:$C,OPERATING_COEFFS!$A:$A,"DistanceClass",OPERATING_COEFFS!$B:$B,$AG336))</f>
        <v/>
      </c>
      <c r="AJ336">
        <f>IF($AI336="","",SUMIFS(OPERATING_COEFFS!$C:$C,OPERATING_COEFFS!$A:$A,"SeasonClass",OPERATING_COEFFS!$B:$B,$AI336))</f>
        <v/>
      </c>
      <c r="AL336">
        <f>IF($AK336="","",SUMIFS(OPERATING_COEFFS!$C:$C,OPERATING_COEFFS!$A:$A,"UrgencyClass",OPERATING_COEFFS!$B:$B,$AK336))</f>
        <v/>
      </c>
      <c r="AN336">
        <f>IF($AM336="","",INDEX(TAX_MODES!$B:$B,MATCH($AM336,TAX_MODES!$A:$A,0)))</f>
        <v/>
      </c>
    </row>
    <row r="337">
      <c r="X337" s="15" t="n"/>
      <c r="Y337" s="15">
        <f>IF($X337="","",SUMIFS(TARIFF_PROFILES!$D:$D,TARIFF_PROFILES!$A:$A,$X337))</f>
        <v/>
      </c>
      <c r="Z337" s="15">
        <f>IF($X337="","",SUMIFS(TARIFF_PROFILES!$E:$E,TARIFF_PROFILES!$A:$A,$X337))</f>
        <v/>
      </c>
      <c r="AA337" s="15">
        <f>IF($X337="","",SUMIFS(TARIFF_PROFILES!$F:$F,TARIFF_PROFILES!$A:$A,$X337))</f>
        <v/>
      </c>
      <c r="AB337" s="15">
        <f>IF($X337="","",SUMIFS(TARIFF_PROFILES!$G:$G,TARIFF_PROFILES!$A:$A,$X337))</f>
        <v/>
      </c>
      <c r="AC337" s="15">
        <f>IF($X337="","",SUMIFS(TARIFF_PROFILES!$H:$H,TARIFF_PROFILES!$A:$A,$X337))</f>
        <v/>
      </c>
      <c r="AD337" s="15">
        <f>IF($X337="","",INDEX(TARIFF_PROFILES!$J:$J,MATCH($X337,TARIFF_PROFILES!$A:$A,0)))</f>
        <v/>
      </c>
      <c r="AE337" s="15">
        <f>IF($X337="","",INDEX(TARIFF_PROFILES!$K:$K,MATCH($X337,TARIFF_PROFILES!$A:$A,0)))</f>
        <v/>
      </c>
      <c r="AH337">
        <f>IF($AG337="","",SUMIFS(OPERATING_COEFFS!$C:$C,OPERATING_COEFFS!$A:$A,"DistanceClass",OPERATING_COEFFS!$B:$B,$AG337))</f>
        <v/>
      </c>
      <c r="AJ337">
        <f>IF($AI337="","",SUMIFS(OPERATING_COEFFS!$C:$C,OPERATING_COEFFS!$A:$A,"SeasonClass",OPERATING_COEFFS!$B:$B,$AI337))</f>
        <v/>
      </c>
      <c r="AL337">
        <f>IF($AK337="","",SUMIFS(OPERATING_COEFFS!$C:$C,OPERATING_COEFFS!$A:$A,"UrgencyClass",OPERATING_COEFFS!$B:$B,$AK337))</f>
        <v/>
      </c>
      <c r="AN337">
        <f>IF($AM337="","",INDEX(TAX_MODES!$B:$B,MATCH($AM337,TAX_MODES!$A:$A,0)))</f>
        <v/>
      </c>
    </row>
    <row r="338">
      <c r="X338" s="15" t="n"/>
      <c r="Y338" s="15">
        <f>IF($X338="","",SUMIFS(TARIFF_PROFILES!$D:$D,TARIFF_PROFILES!$A:$A,$X338))</f>
        <v/>
      </c>
      <c r="Z338" s="15">
        <f>IF($X338="","",SUMIFS(TARIFF_PROFILES!$E:$E,TARIFF_PROFILES!$A:$A,$X338))</f>
        <v/>
      </c>
      <c r="AA338" s="15">
        <f>IF($X338="","",SUMIFS(TARIFF_PROFILES!$F:$F,TARIFF_PROFILES!$A:$A,$X338))</f>
        <v/>
      </c>
      <c r="AB338" s="15">
        <f>IF($X338="","",SUMIFS(TARIFF_PROFILES!$G:$G,TARIFF_PROFILES!$A:$A,$X338))</f>
        <v/>
      </c>
      <c r="AC338" s="15">
        <f>IF($X338="","",SUMIFS(TARIFF_PROFILES!$H:$H,TARIFF_PROFILES!$A:$A,$X338))</f>
        <v/>
      </c>
      <c r="AD338" s="15">
        <f>IF($X338="","",INDEX(TARIFF_PROFILES!$J:$J,MATCH($X338,TARIFF_PROFILES!$A:$A,0)))</f>
        <v/>
      </c>
      <c r="AE338" s="15">
        <f>IF($X338="","",INDEX(TARIFF_PROFILES!$K:$K,MATCH($X338,TARIFF_PROFILES!$A:$A,0)))</f>
        <v/>
      </c>
      <c r="AH338">
        <f>IF($AG338="","",SUMIFS(OPERATING_COEFFS!$C:$C,OPERATING_COEFFS!$A:$A,"DistanceClass",OPERATING_COEFFS!$B:$B,$AG338))</f>
        <v/>
      </c>
      <c r="AJ338">
        <f>IF($AI338="","",SUMIFS(OPERATING_COEFFS!$C:$C,OPERATING_COEFFS!$A:$A,"SeasonClass",OPERATING_COEFFS!$B:$B,$AI338))</f>
        <v/>
      </c>
      <c r="AL338">
        <f>IF($AK338="","",SUMIFS(OPERATING_COEFFS!$C:$C,OPERATING_COEFFS!$A:$A,"UrgencyClass",OPERATING_COEFFS!$B:$B,$AK338))</f>
        <v/>
      </c>
      <c r="AN338">
        <f>IF($AM338="","",INDEX(TAX_MODES!$B:$B,MATCH($AM338,TAX_MODES!$A:$A,0)))</f>
        <v/>
      </c>
    </row>
    <row r="339">
      <c r="X339" s="15" t="n"/>
      <c r="Y339" s="15">
        <f>IF($X339="","",SUMIFS(TARIFF_PROFILES!$D:$D,TARIFF_PROFILES!$A:$A,$X339))</f>
        <v/>
      </c>
      <c r="Z339" s="15">
        <f>IF($X339="","",SUMIFS(TARIFF_PROFILES!$E:$E,TARIFF_PROFILES!$A:$A,$X339))</f>
        <v/>
      </c>
      <c r="AA339" s="15">
        <f>IF($X339="","",SUMIFS(TARIFF_PROFILES!$F:$F,TARIFF_PROFILES!$A:$A,$X339))</f>
        <v/>
      </c>
      <c r="AB339" s="15">
        <f>IF($X339="","",SUMIFS(TARIFF_PROFILES!$G:$G,TARIFF_PROFILES!$A:$A,$X339))</f>
        <v/>
      </c>
      <c r="AC339" s="15">
        <f>IF($X339="","",SUMIFS(TARIFF_PROFILES!$H:$H,TARIFF_PROFILES!$A:$A,$X339))</f>
        <v/>
      </c>
      <c r="AD339" s="15">
        <f>IF($X339="","",INDEX(TARIFF_PROFILES!$J:$J,MATCH($X339,TARIFF_PROFILES!$A:$A,0)))</f>
        <v/>
      </c>
      <c r="AE339" s="15">
        <f>IF($X339="","",INDEX(TARIFF_PROFILES!$K:$K,MATCH($X339,TARIFF_PROFILES!$A:$A,0)))</f>
        <v/>
      </c>
      <c r="AH339">
        <f>IF($AG339="","",SUMIFS(OPERATING_COEFFS!$C:$C,OPERATING_COEFFS!$A:$A,"DistanceClass",OPERATING_COEFFS!$B:$B,$AG339))</f>
        <v/>
      </c>
      <c r="AJ339">
        <f>IF($AI339="","",SUMIFS(OPERATING_COEFFS!$C:$C,OPERATING_COEFFS!$A:$A,"SeasonClass",OPERATING_COEFFS!$B:$B,$AI339))</f>
        <v/>
      </c>
      <c r="AL339">
        <f>IF($AK339="","",SUMIFS(OPERATING_COEFFS!$C:$C,OPERATING_COEFFS!$A:$A,"UrgencyClass",OPERATING_COEFFS!$B:$B,$AK339))</f>
        <v/>
      </c>
      <c r="AN339">
        <f>IF($AM339="","",INDEX(TAX_MODES!$B:$B,MATCH($AM339,TAX_MODES!$A:$A,0)))</f>
        <v/>
      </c>
    </row>
    <row r="340">
      <c r="X340" s="15" t="n"/>
      <c r="Y340" s="15">
        <f>IF($X340="","",SUMIFS(TARIFF_PROFILES!$D:$D,TARIFF_PROFILES!$A:$A,$X340))</f>
        <v/>
      </c>
      <c r="Z340" s="15">
        <f>IF($X340="","",SUMIFS(TARIFF_PROFILES!$E:$E,TARIFF_PROFILES!$A:$A,$X340))</f>
        <v/>
      </c>
      <c r="AA340" s="15">
        <f>IF($X340="","",SUMIFS(TARIFF_PROFILES!$F:$F,TARIFF_PROFILES!$A:$A,$X340))</f>
        <v/>
      </c>
      <c r="AB340" s="15">
        <f>IF($X340="","",SUMIFS(TARIFF_PROFILES!$G:$G,TARIFF_PROFILES!$A:$A,$X340))</f>
        <v/>
      </c>
      <c r="AC340" s="15">
        <f>IF($X340="","",SUMIFS(TARIFF_PROFILES!$H:$H,TARIFF_PROFILES!$A:$A,$X340))</f>
        <v/>
      </c>
      <c r="AD340" s="15">
        <f>IF($X340="","",INDEX(TARIFF_PROFILES!$J:$J,MATCH($X340,TARIFF_PROFILES!$A:$A,0)))</f>
        <v/>
      </c>
      <c r="AE340" s="15">
        <f>IF($X340="","",INDEX(TARIFF_PROFILES!$K:$K,MATCH($X340,TARIFF_PROFILES!$A:$A,0)))</f>
        <v/>
      </c>
      <c r="AH340">
        <f>IF($AG340="","",SUMIFS(OPERATING_COEFFS!$C:$C,OPERATING_COEFFS!$A:$A,"DistanceClass",OPERATING_COEFFS!$B:$B,$AG340))</f>
        <v/>
      </c>
      <c r="AJ340">
        <f>IF($AI340="","",SUMIFS(OPERATING_COEFFS!$C:$C,OPERATING_COEFFS!$A:$A,"SeasonClass",OPERATING_COEFFS!$B:$B,$AI340))</f>
        <v/>
      </c>
      <c r="AL340">
        <f>IF($AK340="","",SUMIFS(OPERATING_COEFFS!$C:$C,OPERATING_COEFFS!$A:$A,"UrgencyClass",OPERATING_COEFFS!$B:$B,$AK340))</f>
        <v/>
      </c>
      <c r="AN340">
        <f>IF($AM340="","",INDEX(TAX_MODES!$B:$B,MATCH($AM340,TAX_MODES!$A:$A,0)))</f>
        <v/>
      </c>
    </row>
    <row r="341">
      <c r="X341" s="15" t="n"/>
      <c r="Y341" s="15">
        <f>IF($X341="","",SUMIFS(TARIFF_PROFILES!$D:$D,TARIFF_PROFILES!$A:$A,$X341))</f>
        <v/>
      </c>
      <c r="Z341" s="15">
        <f>IF($X341="","",SUMIFS(TARIFF_PROFILES!$E:$E,TARIFF_PROFILES!$A:$A,$X341))</f>
        <v/>
      </c>
      <c r="AA341" s="15">
        <f>IF($X341="","",SUMIFS(TARIFF_PROFILES!$F:$F,TARIFF_PROFILES!$A:$A,$X341))</f>
        <v/>
      </c>
      <c r="AB341" s="15">
        <f>IF($X341="","",SUMIFS(TARIFF_PROFILES!$G:$G,TARIFF_PROFILES!$A:$A,$X341))</f>
        <v/>
      </c>
      <c r="AC341" s="15">
        <f>IF($X341="","",SUMIFS(TARIFF_PROFILES!$H:$H,TARIFF_PROFILES!$A:$A,$X341))</f>
        <v/>
      </c>
      <c r="AD341" s="15">
        <f>IF($X341="","",INDEX(TARIFF_PROFILES!$J:$J,MATCH($X341,TARIFF_PROFILES!$A:$A,0)))</f>
        <v/>
      </c>
      <c r="AE341" s="15">
        <f>IF($X341="","",INDEX(TARIFF_PROFILES!$K:$K,MATCH($X341,TARIFF_PROFILES!$A:$A,0)))</f>
        <v/>
      </c>
      <c r="AH341">
        <f>IF($AG341="","",SUMIFS(OPERATING_COEFFS!$C:$C,OPERATING_COEFFS!$A:$A,"DistanceClass",OPERATING_COEFFS!$B:$B,$AG341))</f>
        <v/>
      </c>
      <c r="AJ341">
        <f>IF($AI341="","",SUMIFS(OPERATING_COEFFS!$C:$C,OPERATING_COEFFS!$A:$A,"SeasonClass",OPERATING_COEFFS!$B:$B,$AI341))</f>
        <v/>
      </c>
      <c r="AL341">
        <f>IF($AK341="","",SUMIFS(OPERATING_COEFFS!$C:$C,OPERATING_COEFFS!$A:$A,"UrgencyClass",OPERATING_COEFFS!$B:$B,$AK341))</f>
        <v/>
      </c>
      <c r="AN341">
        <f>IF($AM341="","",INDEX(TAX_MODES!$B:$B,MATCH($AM341,TAX_MODES!$A:$A,0)))</f>
        <v/>
      </c>
    </row>
    <row r="342">
      <c r="X342" s="15" t="n"/>
      <c r="Y342" s="15">
        <f>IF($X342="","",SUMIFS(TARIFF_PROFILES!$D:$D,TARIFF_PROFILES!$A:$A,$X342))</f>
        <v/>
      </c>
      <c r="Z342" s="15">
        <f>IF($X342="","",SUMIFS(TARIFF_PROFILES!$E:$E,TARIFF_PROFILES!$A:$A,$X342))</f>
        <v/>
      </c>
      <c r="AA342" s="15">
        <f>IF($X342="","",SUMIFS(TARIFF_PROFILES!$F:$F,TARIFF_PROFILES!$A:$A,$X342))</f>
        <v/>
      </c>
      <c r="AB342" s="15">
        <f>IF($X342="","",SUMIFS(TARIFF_PROFILES!$G:$G,TARIFF_PROFILES!$A:$A,$X342))</f>
        <v/>
      </c>
      <c r="AC342" s="15">
        <f>IF($X342="","",SUMIFS(TARIFF_PROFILES!$H:$H,TARIFF_PROFILES!$A:$A,$X342))</f>
        <v/>
      </c>
      <c r="AD342" s="15">
        <f>IF($X342="","",INDEX(TARIFF_PROFILES!$J:$J,MATCH($X342,TARIFF_PROFILES!$A:$A,0)))</f>
        <v/>
      </c>
      <c r="AE342" s="15">
        <f>IF($X342="","",INDEX(TARIFF_PROFILES!$K:$K,MATCH($X342,TARIFF_PROFILES!$A:$A,0)))</f>
        <v/>
      </c>
      <c r="AH342">
        <f>IF($AG342="","",SUMIFS(OPERATING_COEFFS!$C:$C,OPERATING_COEFFS!$A:$A,"DistanceClass",OPERATING_COEFFS!$B:$B,$AG342))</f>
        <v/>
      </c>
      <c r="AJ342">
        <f>IF($AI342="","",SUMIFS(OPERATING_COEFFS!$C:$C,OPERATING_COEFFS!$A:$A,"SeasonClass",OPERATING_COEFFS!$B:$B,$AI342))</f>
        <v/>
      </c>
      <c r="AL342">
        <f>IF($AK342="","",SUMIFS(OPERATING_COEFFS!$C:$C,OPERATING_COEFFS!$A:$A,"UrgencyClass",OPERATING_COEFFS!$B:$B,$AK342))</f>
        <v/>
      </c>
      <c r="AN342">
        <f>IF($AM342="","",INDEX(TAX_MODES!$B:$B,MATCH($AM342,TAX_MODES!$A:$A,0)))</f>
        <v/>
      </c>
    </row>
    <row r="343">
      <c r="X343" s="15" t="n"/>
      <c r="Y343" s="15">
        <f>IF($X343="","",SUMIFS(TARIFF_PROFILES!$D:$D,TARIFF_PROFILES!$A:$A,$X343))</f>
        <v/>
      </c>
      <c r="Z343" s="15">
        <f>IF($X343="","",SUMIFS(TARIFF_PROFILES!$E:$E,TARIFF_PROFILES!$A:$A,$X343))</f>
        <v/>
      </c>
      <c r="AA343" s="15">
        <f>IF($X343="","",SUMIFS(TARIFF_PROFILES!$F:$F,TARIFF_PROFILES!$A:$A,$X343))</f>
        <v/>
      </c>
      <c r="AB343" s="15">
        <f>IF($X343="","",SUMIFS(TARIFF_PROFILES!$G:$G,TARIFF_PROFILES!$A:$A,$X343))</f>
        <v/>
      </c>
      <c r="AC343" s="15">
        <f>IF($X343="","",SUMIFS(TARIFF_PROFILES!$H:$H,TARIFF_PROFILES!$A:$A,$X343))</f>
        <v/>
      </c>
      <c r="AD343" s="15">
        <f>IF($X343="","",INDEX(TARIFF_PROFILES!$J:$J,MATCH($X343,TARIFF_PROFILES!$A:$A,0)))</f>
        <v/>
      </c>
      <c r="AE343" s="15">
        <f>IF($X343="","",INDEX(TARIFF_PROFILES!$K:$K,MATCH($X343,TARIFF_PROFILES!$A:$A,0)))</f>
        <v/>
      </c>
      <c r="AH343">
        <f>IF($AG343="","",SUMIFS(OPERATING_COEFFS!$C:$C,OPERATING_COEFFS!$A:$A,"DistanceClass",OPERATING_COEFFS!$B:$B,$AG343))</f>
        <v/>
      </c>
      <c r="AJ343">
        <f>IF($AI343="","",SUMIFS(OPERATING_COEFFS!$C:$C,OPERATING_COEFFS!$A:$A,"SeasonClass",OPERATING_COEFFS!$B:$B,$AI343))</f>
        <v/>
      </c>
      <c r="AL343">
        <f>IF($AK343="","",SUMIFS(OPERATING_COEFFS!$C:$C,OPERATING_COEFFS!$A:$A,"UrgencyClass",OPERATING_COEFFS!$B:$B,$AK343))</f>
        <v/>
      </c>
      <c r="AN343">
        <f>IF($AM343="","",INDEX(TAX_MODES!$B:$B,MATCH($AM343,TAX_MODES!$A:$A,0)))</f>
        <v/>
      </c>
    </row>
    <row r="344">
      <c r="X344" s="15" t="n"/>
      <c r="Y344" s="15">
        <f>IF($X344="","",SUMIFS(TARIFF_PROFILES!$D:$D,TARIFF_PROFILES!$A:$A,$X344))</f>
        <v/>
      </c>
      <c r="Z344" s="15">
        <f>IF($X344="","",SUMIFS(TARIFF_PROFILES!$E:$E,TARIFF_PROFILES!$A:$A,$X344))</f>
        <v/>
      </c>
      <c r="AA344" s="15">
        <f>IF($X344="","",SUMIFS(TARIFF_PROFILES!$F:$F,TARIFF_PROFILES!$A:$A,$X344))</f>
        <v/>
      </c>
      <c r="AB344" s="15">
        <f>IF($X344="","",SUMIFS(TARIFF_PROFILES!$G:$G,TARIFF_PROFILES!$A:$A,$X344))</f>
        <v/>
      </c>
      <c r="AC344" s="15">
        <f>IF($X344="","",SUMIFS(TARIFF_PROFILES!$H:$H,TARIFF_PROFILES!$A:$A,$X344))</f>
        <v/>
      </c>
      <c r="AD344" s="15">
        <f>IF($X344="","",INDEX(TARIFF_PROFILES!$J:$J,MATCH($X344,TARIFF_PROFILES!$A:$A,0)))</f>
        <v/>
      </c>
      <c r="AE344" s="15">
        <f>IF($X344="","",INDEX(TARIFF_PROFILES!$K:$K,MATCH($X344,TARIFF_PROFILES!$A:$A,0)))</f>
        <v/>
      </c>
      <c r="AH344">
        <f>IF($AG344="","",SUMIFS(OPERATING_COEFFS!$C:$C,OPERATING_COEFFS!$A:$A,"DistanceClass",OPERATING_COEFFS!$B:$B,$AG344))</f>
        <v/>
      </c>
      <c r="AJ344">
        <f>IF($AI344="","",SUMIFS(OPERATING_COEFFS!$C:$C,OPERATING_COEFFS!$A:$A,"SeasonClass",OPERATING_COEFFS!$B:$B,$AI344))</f>
        <v/>
      </c>
      <c r="AL344">
        <f>IF($AK344="","",SUMIFS(OPERATING_COEFFS!$C:$C,OPERATING_COEFFS!$A:$A,"UrgencyClass",OPERATING_COEFFS!$B:$B,$AK344))</f>
        <v/>
      </c>
      <c r="AN344">
        <f>IF($AM344="","",INDEX(TAX_MODES!$B:$B,MATCH($AM344,TAX_MODES!$A:$A,0)))</f>
        <v/>
      </c>
    </row>
    <row r="345">
      <c r="X345" s="15" t="n"/>
      <c r="Y345" s="15">
        <f>IF($X345="","",SUMIFS(TARIFF_PROFILES!$D:$D,TARIFF_PROFILES!$A:$A,$X345))</f>
        <v/>
      </c>
      <c r="Z345" s="15">
        <f>IF($X345="","",SUMIFS(TARIFF_PROFILES!$E:$E,TARIFF_PROFILES!$A:$A,$X345))</f>
        <v/>
      </c>
      <c r="AA345" s="15">
        <f>IF($X345="","",SUMIFS(TARIFF_PROFILES!$F:$F,TARIFF_PROFILES!$A:$A,$X345))</f>
        <v/>
      </c>
      <c r="AB345" s="15">
        <f>IF($X345="","",SUMIFS(TARIFF_PROFILES!$G:$G,TARIFF_PROFILES!$A:$A,$X345))</f>
        <v/>
      </c>
      <c r="AC345" s="15">
        <f>IF($X345="","",SUMIFS(TARIFF_PROFILES!$H:$H,TARIFF_PROFILES!$A:$A,$X345))</f>
        <v/>
      </c>
      <c r="AD345" s="15">
        <f>IF($X345="","",INDEX(TARIFF_PROFILES!$J:$J,MATCH($X345,TARIFF_PROFILES!$A:$A,0)))</f>
        <v/>
      </c>
      <c r="AE345" s="15">
        <f>IF($X345="","",INDEX(TARIFF_PROFILES!$K:$K,MATCH($X345,TARIFF_PROFILES!$A:$A,0)))</f>
        <v/>
      </c>
      <c r="AH345">
        <f>IF($AG345="","",SUMIFS(OPERATING_COEFFS!$C:$C,OPERATING_COEFFS!$A:$A,"DistanceClass",OPERATING_COEFFS!$B:$B,$AG345))</f>
        <v/>
      </c>
      <c r="AJ345">
        <f>IF($AI345="","",SUMIFS(OPERATING_COEFFS!$C:$C,OPERATING_COEFFS!$A:$A,"SeasonClass",OPERATING_COEFFS!$B:$B,$AI345))</f>
        <v/>
      </c>
      <c r="AL345">
        <f>IF($AK345="","",SUMIFS(OPERATING_COEFFS!$C:$C,OPERATING_COEFFS!$A:$A,"UrgencyClass",OPERATING_COEFFS!$B:$B,$AK345))</f>
        <v/>
      </c>
      <c r="AN345">
        <f>IF($AM345="","",INDEX(TAX_MODES!$B:$B,MATCH($AM345,TAX_MODES!$A:$A,0)))</f>
        <v/>
      </c>
    </row>
    <row r="346">
      <c r="X346" s="15" t="n"/>
      <c r="Y346" s="15">
        <f>IF($X346="","",SUMIFS(TARIFF_PROFILES!$D:$D,TARIFF_PROFILES!$A:$A,$X346))</f>
        <v/>
      </c>
      <c r="Z346" s="15">
        <f>IF($X346="","",SUMIFS(TARIFF_PROFILES!$E:$E,TARIFF_PROFILES!$A:$A,$X346))</f>
        <v/>
      </c>
      <c r="AA346" s="15">
        <f>IF($X346="","",SUMIFS(TARIFF_PROFILES!$F:$F,TARIFF_PROFILES!$A:$A,$X346))</f>
        <v/>
      </c>
      <c r="AB346" s="15">
        <f>IF($X346="","",SUMIFS(TARIFF_PROFILES!$G:$G,TARIFF_PROFILES!$A:$A,$X346))</f>
        <v/>
      </c>
      <c r="AC346" s="15">
        <f>IF($X346="","",SUMIFS(TARIFF_PROFILES!$H:$H,TARIFF_PROFILES!$A:$A,$X346))</f>
        <v/>
      </c>
      <c r="AD346" s="15">
        <f>IF($X346="","",INDEX(TARIFF_PROFILES!$J:$J,MATCH($X346,TARIFF_PROFILES!$A:$A,0)))</f>
        <v/>
      </c>
      <c r="AE346" s="15">
        <f>IF($X346="","",INDEX(TARIFF_PROFILES!$K:$K,MATCH($X346,TARIFF_PROFILES!$A:$A,0)))</f>
        <v/>
      </c>
      <c r="AH346">
        <f>IF($AG346="","",SUMIFS(OPERATING_COEFFS!$C:$C,OPERATING_COEFFS!$A:$A,"DistanceClass",OPERATING_COEFFS!$B:$B,$AG346))</f>
        <v/>
      </c>
      <c r="AJ346">
        <f>IF($AI346="","",SUMIFS(OPERATING_COEFFS!$C:$C,OPERATING_COEFFS!$A:$A,"SeasonClass",OPERATING_COEFFS!$B:$B,$AI346))</f>
        <v/>
      </c>
      <c r="AL346">
        <f>IF($AK346="","",SUMIFS(OPERATING_COEFFS!$C:$C,OPERATING_COEFFS!$A:$A,"UrgencyClass",OPERATING_COEFFS!$B:$B,$AK346))</f>
        <v/>
      </c>
      <c r="AN346">
        <f>IF($AM346="","",INDEX(TAX_MODES!$B:$B,MATCH($AM346,TAX_MODES!$A:$A,0)))</f>
        <v/>
      </c>
    </row>
    <row r="347">
      <c r="X347" s="15" t="n"/>
      <c r="Y347" s="15">
        <f>IF($X347="","",SUMIFS(TARIFF_PROFILES!$D:$D,TARIFF_PROFILES!$A:$A,$X347))</f>
        <v/>
      </c>
      <c r="Z347" s="15">
        <f>IF($X347="","",SUMIFS(TARIFF_PROFILES!$E:$E,TARIFF_PROFILES!$A:$A,$X347))</f>
        <v/>
      </c>
      <c r="AA347" s="15">
        <f>IF($X347="","",SUMIFS(TARIFF_PROFILES!$F:$F,TARIFF_PROFILES!$A:$A,$X347))</f>
        <v/>
      </c>
      <c r="AB347" s="15">
        <f>IF($X347="","",SUMIFS(TARIFF_PROFILES!$G:$G,TARIFF_PROFILES!$A:$A,$X347))</f>
        <v/>
      </c>
      <c r="AC347" s="15">
        <f>IF($X347="","",SUMIFS(TARIFF_PROFILES!$H:$H,TARIFF_PROFILES!$A:$A,$X347))</f>
        <v/>
      </c>
      <c r="AD347" s="15">
        <f>IF($X347="","",INDEX(TARIFF_PROFILES!$J:$J,MATCH($X347,TARIFF_PROFILES!$A:$A,0)))</f>
        <v/>
      </c>
      <c r="AE347" s="15">
        <f>IF($X347="","",INDEX(TARIFF_PROFILES!$K:$K,MATCH($X347,TARIFF_PROFILES!$A:$A,0)))</f>
        <v/>
      </c>
      <c r="AH347">
        <f>IF($AG347="","",SUMIFS(OPERATING_COEFFS!$C:$C,OPERATING_COEFFS!$A:$A,"DistanceClass",OPERATING_COEFFS!$B:$B,$AG347))</f>
        <v/>
      </c>
      <c r="AJ347">
        <f>IF($AI347="","",SUMIFS(OPERATING_COEFFS!$C:$C,OPERATING_COEFFS!$A:$A,"SeasonClass",OPERATING_COEFFS!$B:$B,$AI347))</f>
        <v/>
      </c>
      <c r="AL347">
        <f>IF($AK347="","",SUMIFS(OPERATING_COEFFS!$C:$C,OPERATING_COEFFS!$A:$A,"UrgencyClass",OPERATING_COEFFS!$B:$B,$AK347))</f>
        <v/>
      </c>
      <c r="AN347">
        <f>IF($AM347="","",INDEX(TAX_MODES!$B:$B,MATCH($AM347,TAX_MODES!$A:$A,0)))</f>
        <v/>
      </c>
    </row>
    <row r="348">
      <c r="X348" s="15" t="n"/>
      <c r="Y348" s="15">
        <f>IF($X348="","",SUMIFS(TARIFF_PROFILES!$D:$D,TARIFF_PROFILES!$A:$A,$X348))</f>
        <v/>
      </c>
      <c r="Z348" s="15">
        <f>IF($X348="","",SUMIFS(TARIFF_PROFILES!$E:$E,TARIFF_PROFILES!$A:$A,$X348))</f>
        <v/>
      </c>
      <c r="AA348" s="15">
        <f>IF($X348="","",SUMIFS(TARIFF_PROFILES!$F:$F,TARIFF_PROFILES!$A:$A,$X348))</f>
        <v/>
      </c>
      <c r="AB348" s="15">
        <f>IF($X348="","",SUMIFS(TARIFF_PROFILES!$G:$G,TARIFF_PROFILES!$A:$A,$X348))</f>
        <v/>
      </c>
      <c r="AC348" s="15">
        <f>IF($X348="","",SUMIFS(TARIFF_PROFILES!$H:$H,TARIFF_PROFILES!$A:$A,$X348))</f>
        <v/>
      </c>
      <c r="AD348" s="15">
        <f>IF($X348="","",INDEX(TARIFF_PROFILES!$J:$J,MATCH($X348,TARIFF_PROFILES!$A:$A,0)))</f>
        <v/>
      </c>
      <c r="AE348" s="15">
        <f>IF($X348="","",INDEX(TARIFF_PROFILES!$K:$K,MATCH($X348,TARIFF_PROFILES!$A:$A,0)))</f>
        <v/>
      </c>
      <c r="AH348">
        <f>IF($AG348="","",SUMIFS(OPERATING_COEFFS!$C:$C,OPERATING_COEFFS!$A:$A,"DistanceClass",OPERATING_COEFFS!$B:$B,$AG348))</f>
        <v/>
      </c>
      <c r="AJ348">
        <f>IF($AI348="","",SUMIFS(OPERATING_COEFFS!$C:$C,OPERATING_COEFFS!$A:$A,"SeasonClass",OPERATING_COEFFS!$B:$B,$AI348))</f>
        <v/>
      </c>
      <c r="AL348">
        <f>IF($AK348="","",SUMIFS(OPERATING_COEFFS!$C:$C,OPERATING_COEFFS!$A:$A,"UrgencyClass",OPERATING_COEFFS!$B:$B,$AK348))</f>
        <v/>
      </c>
      <c r="AN348">
        <f>IF($AM348="","",INDEX(TAX_MODES!$B:$B,MATCH($AM348,TAX_MODES!$A:$A,0)))</f>
        <v/>
      </c>
    </row>
    <row r="349">
      <c r="X349" s="15" t="n"/>
      <c r="Y349" s="15">
        <f>IF($X349="","",SUMIFS(TARIFF_PROFILES!$D:$D,TARIFF_PROFILES!$A:$A,$X349))</f>
        <v/>
      </c>
      <c r="Z349" s="15">
        <f>IF($X349="","",SUMIFS(TARIFF_PROFILES!$E:$E,TARIFF_PROFILES!$A:$A,$X349))</f>
        <v/>
      </c>
      <c r="AA349" s="15">
        <f>IF($X349="","",SUMIFS(TARIFF_PROFILES!$F:$F,TARIFF_PROFILES!$A:$A,$X349))</f>
        <v/>
      </c>
      <c r="AB349" s="15">
        <f>IF($X349="","",SUMIFS(TARIFF_PROFILES!$G:$G,TARIFF_PROFILES!$A:$A,$X349))</f>
        <v/>
      </c>
      <c r="AC349" s="15">
        <f>IF($X349="","",SUMIFS(TARIFF_PROFILES!$H:$H,TARIFF_PROFILES!$A:$A,$X349))</f>
        <v/>
      </c>
      <c r="AD349" s="15">
        <f>IF($X349="","",INDEX(TARIFF_PROFILES!$J:$J,MATCH($X349,TARIFF_PROFILES!$A:$A,0)))</f>
        <v/>
      </c>
      <c r="AE349" s="15">
        <f>IF($X349="","",INDEX(TARIFF_PROFILES!$K:$K,MATCH($X349,TARIFF_PROFILES!$A:$A,0)))</f>
        <v/>
      </c>
      <c r="AH349">
        <f>IF($AG349="","",SUMIFS(OPERATING_COEFFS!$C:$C,OPERATING_COEFFS!$A:$A,"DistanceClass",OPERATING_COEFFS!$B:$B,$AG349))</f>
        <v/>
      </c>
      <c r="AJ349">
        <f>IF($AI349="","",SUMIFS(OPERATING_COEFFS!$C:$C,OPERATING_COEFFS!$A:$A,"SeasonClass",OPERATING_COEFFS!$B:$B,$AI349))</f>
        <v/>
      </c>
      <c r="AL349">
        <f>IF($AK349="","",SUMIFS(OPERATING_COEFFS!$C:$C,OPERATING_COEFFS!$A:$A,"UrgencyClass",OPERATING_COEFFS!$B:$B,$AK349))</f>
        <v/>
      </c>
      <c r="AN349">
        <f>IF($AM349="","",INDEX(TAX_MODES!$B:$B,MATCH($AM349,TAX_MODES!$A:$A,0)))</f>
        <v/>
      </c>
    </row>
    <row r="350">
      <c r="X350" s="15" t="n"/>
      <c r="Y350" s="15">
        <f>IF($X350="","",SUMIFS(TARIFF_PROFILES!$D:$D,TARIFF_PROFILES!$A:$A,$X350))</f>
        <v/>
      </c>
      <c r="Z350" s="15">
        <f>IF($X350="","",SUMIFS(TARIFF_PROFILES!$E:$E,TARIFF_PROFILES!$A:$A,$X350))</f>
        <v/>
      </c>
      <c r="AA350" s="15">
        <f>IF($X350="","",SUMIFS(TARIFF_PROFILES!$F:$F,TARIFF_PROFILES!$A:$A,$X350))</f>
        <v/>
      </c>
      <c r="AB350" s="15">
        <f>IF($X350="","",SUMIFS(TARIFF_PROFILES!$G:$G,TARIFF_PROFILES!$A:$A,$X350))</f>
        <v/>
      </c>
      <c r="AC350" s="15">
        <f>IF($X350="","",SUMIFS(TARIFF_PROFILES!$H:$H,TARIFF_PROFILES!$A:$A,$X350))</f>
        <v/>
      </c>
      <c r="AD350" s="15">
        <f>IF($X350="","",INDEX(TARIFF_PROFILES!$J:$J,MATCH($X350,TARIFF_PROFILES!$A:$A,0)))</f>
        <v/>
      </c>
      <c r="AE350" s="15">
        <f>IF($X350="","",INDEX(TARIFF_PROFILES!$K:$K,MATCH($X350,TARIFF_PROFILES!$A:$A,0)))</f>
        <v/>
      </c>
      <c r="AH350">
        <f>IF($AG350="","",SUMIFS(OPERATING_COEFFS!$C:$C,OPERATING_COEFFS!$A:$A,"DistanceClass",OPERATING_COEFFS!$B:$B,$AG350))</f>
        <v/>
      </c>
      <c r="AJ350">
        <f>IF($AI350="","",SUMIFS(OPERATING_COEFFS!$C:$C,OPERATING_COEFFS!$A:$A,"SeasonClass",OPERATING_COEFFS!$B:$B,$AI350))</f>
        <v/>
      </c>
      <c r="AL350">
        <f>IF($AK350="","",SUMIFS(OPERATING_COEFFS!$C:$C,OPERATING_COEFFS!$A:$A,"UrgencyClass",OPERATING_COEFFS!$B:$B,$AK350))</f>
        <v/>
      </c>
      <c r="AN350">
        <f>IF($AM350="","",INDEX(TAX_MODES!$B:$B,MATCH($AM350,TAX_MODES!$A:$A,0)))</f>
        <v/>
      </c>
    </row>
    <row r="351">
      <c r="X351" s="15" t="n"/>
      <c r="Y351" s="15">
        <f>IF($X351="","",SUMIFS(TARIFF_PROFILES!$D:$D,TARIFF_PROFILES!$A:$A,$X351))</f>
        <v/>
      </c>
      <c r="Z351" s="15">
        <f>IF($X351="","",SUMIFS(TARIFF_PROFILES!$E:$E,TARIFF_PROFILES!$A:$A,$X351))</f>
        <v/>
      </c>
      <c r="AA351" s="15">
        <f>IF($X351="","",SUMIFS(TARIFF_PROFILES!$F:$F,TARIFF_PROFILES!$A:$A,$X351))</f>
        <v/>
      </c>
      <c r="AB351" s="15">
        <f>IF($X351="","",SUMIFS(TARIFF_PROFILES!$G:$G,TARIFF_PROFILES!$A:$A,$X351))</f>
        <v/>
      </c>
      <c r="AC351" s="15">
        <f>IF($X351="","",SUMIFS(TARIFF_PROFILES!$H:$H,TARIFF_PROFILES!$A:$A,$X351))</f>
        <v/>
      </c>
      <c r="AD351" s="15">
        <f>IF($X351="","",INDEX(TARIFF_PROFILES!$J:$J,MATCH($X351,TARIFF_PROFILES!$A:$A,0)))</f>
        <v/>
      </c>
      <c r="AE351" s="15">
        <f>IF($X351="","",INDEX(TARIFF_PROFILES!$K:$K,MATCH($X351,TARIFF_PROFILES!$A:$A,0)))</f>
        <v/>
      </c>
      <c r="AH351">
        <f>IF($AG351="","",SUMIFS(OPERATING_COEFFS!$C:$C,OPERATING_COEFFS!$A:$A,"DistanceClass",OPERATING_COEFFS!$B:$B,$AG351))</f>
        <v/>
      </c>
      <c r="AJ351">
        <f>IF($AI351="","",SUMIFS(OPERATING_COEFFS!$C:$C,OPERATING_COEFFS!$A:$A,"SeasonClass",OPERATING_COEFFS!$B:$B,$AI351))</f>
        <v/>
      </c>
      <c r="AL351">
        <f>IF($AK351="","",SUMIFS(OPERATING_COEFFS!$C:$C,OPERATING_COEFFS!$A:$A,"UrgencyClass",OPERATING_COEFFS!$B:$B,$AK351))</f>
        <v/>
      </c>
      <c r="AN351">
        <f>IF($AM351="","",INDEX(TAX_MODES!$B:$B,MATCH($AM351,TAX_MODES!$A:$A,0)))</f>
        <v/>
      </c>
    </row>
    <row r="352">
      <c r="X352" s="15" t="n"/>
      <c r="Y352" s="15">
        <f>IF($X352="","",SUMIFS(TARIFF_PROFILES!$D:$D,TARIFF_PROFILES!$A:$A,$X352))</f>
        <v/>
      </c>
      <c r="Z352" s="15">
        <f>IF($X352="","",SUMIFS(TARIFF_PROFILES!$E:$E,TARIFF_PROFILES!$A:$A,$X352))</f>
        <v/>
      </c>
      <c r="AA352" s="15">
        <f>IF($X352="","",SUMIFS(TARIFF_PROFILES!$F:$F,TARIFF_PROFILES!$A:$A,$X352))</f>
        <v/>
      </c>
      <c r="AB352" s="15">
        <f>IF($X352="","",SUMIFS(TARIFF_PROFILES!$G:$G,TARIFF_PROFILES!$A:$A,$X352))</f>
        <v/>
      </c>
      <c r="AC352" s="15">
        <f>IF($X352="","",SUMIFS(TARIFF_PROFILES!$H:$H,TARIFF_PROFILES!$A:$A,$X352))</f>
        <v/>
      </c>
      <c r="AD352" s="15">
        <f>IF($X352="","",INDEX(TARIFF_PROFILES!$J:$J,MATCH($X352,TARIFF_PROFILES!$A:$A,0)))</f>
        <v/>
      </c>
      <c r="AE352" s="15">
        <f>IF($X352="","",INDEX(TARIFF_PROFILES!$K:$K,MATCH($X352,TARIFF_PROFILES!$A:$A,0)))</f>
        <v/>
      </c>
      <c r="AH352">
        <f>IF($AG352="","",SUMIFS(OPERATING_COEFFS!$C:$C,OPERATING_COEFFS!$A:$A,"DistanceClass",OPERATING_COEFFS!$B:$B,$AG352))</f>
        <v/>
      </c>
      <c r="AJ352">
        <f>IF($AI352="","",SUMIFS(OPERATING_COEFFS!$C:$C,OPERATING_COEFFS!$A:$A,"SeasonClass",OPERATING_COEFFS!$B:$B,$AI352))</f>
        <v/>
      </c>
      <c r="AL352">
        <f>IF($AK352="","",SUMIFS(OPERATING_COEFFS!$C:$C,OPERATING_COEFFS!$A:$A,"UrgencyClass",OPERATING_COEFFS!$B:$B,$AK352))</f>
        <v/>
      </c>
      <c r="AN352">
        <f>IF($AM352="","",INDEX(TAX_MODES!$B:$B,MATCH($AM352,TAX_MODES!$A:$A,0)))</f>
        <v/>
      </c>
    </row>
    <row r="353">
      <c r="X353" s="15" t="n"/>
      <c r="Y353" s="15">
        <f>IF($X353="","",SUMIFS(TARIFF_PROFILES!$D:$D,TARIFF_PROFILES!$A:$A,$X353))</f>
        <v/>
      </c>
      <c r="Z353" s="15">
        <f>IF($X353="","",SUMIFS(TARIFF_PROFILES!$E:$E,TARIFF_PROFILES!$A:$A,$X353))</f>
        <v/>
      </c>
      <c r="AA353" s="15">
        <f>IF($X353="","",SUMIFS(TARIFF_PROFILES!$F:$F,TARIFF_PROFILES!$A:$A,$X353))</f>
        <v/>
      </c>
      <c r="AB353" s="15">
        <f>IF($X353="","",SUMIFS(TARIFF_PROFILES!$G:$G,TARIFF_PROFILES!$A:$A,$X353))</f>
        <v/>
      </c>
      <c r="AC353" s="15">
        <f>IF($X353="","",SUMIFS(TARIFF_PROFILES!$H:$H,TARIFF_PROFILES!$A:$A,$X353))</f>
        <v/>
      </c>
      <c r="AD353" s="15">
        <f>IF($X353="","",INDEX(TARIFF_PROFILES!$J:$J,MATCH($X353,TARIFF_PROFILES!$A:$A,0)))</f>
        <v/>
      </c>
      <c r="AE353" s="15">
        <f>IF($X353="","",INDEX(TARIFF_PROFILES!$K:$K,MATCH($X353,TARIFF_PROFILES!$A:$A,0)))</f>
        <v/>
      </c>
      <c r="AH353">
        <f>IF($AG353="","",SUMIFS(OPERATING_COEFFS!$C:$C,OPERATING_COEFFS!$A:$A,"DistanceClass",OPERATING_COEFFS!$B:$B,$AG353))</f>
        <v/>
      </c>
      <c r="AJ353">
        <f>IF($AI353="","",SUMIFS(OPERATING_COEFFS!$C:$C,OPERATING_COEFFS!$A:$A,"SeasonClass",OPERATING_COEFFS!$B:$B,$AI353))</f>
        <v/>
      </c>
      <c r="AL353">
        <f>IF($AK353="","",SUMIFS(OPERATING_COEFFS!$C:$C,OPERATING_COEFFS!$A:$A,"UrgencyClass",OPERATING_COEFFS!$B:$B,$AK353))</f>
        <v/>
      </c>
      <c r="AN353">
        <f>IF($AM353="","",INDEX(TAX_MODES!$B:$B,MATCH($AM353,TAX_MODES!$A:$A,0)))</f>
        <v/>
      </c>
    </row>
    <row r="354">
      <c r="X354" s="15" t="n"/>
      <c r="Y354" s="15">
        <f>IF($X354="","",SUMIFS(TARIFF_PROFILES!$D:$D,TARIFF_PROFILES!$A:$A,$X354))</f>
        <v/>
      </c>
      <c r="Z354" s="15">
        <f>IF($X354="","",SUMIFS(TARIFF_PROFILES!$E:$E,TARIFF_PROFILES!$A:$A,$X354))</f>
        <v/>
      </c>
      <c r="AA354" s="15">
        <f>IF($X354="","",SUMIFS(TARIFF_PROFILES!$F:$F,TARIFF_PROFILES!$A:$A,$X354))</f>
        <v/>
      </c>
      <c r="AB354" s="15">
        <f>IF($X354="","",SUMIFS(TARIFF_PROFILES!$G:$G,TARIFF_PROFILES!$A:$A,$X354))</f>
        <v/>
      </c>
      <c r="AC354" s="15">
        <f>IF($X354="","",SUMIFS(TARIFF_PROFILES!$H:$H,TARIFF_PROFILES!$A:$A,$X354))</f>
        <v/>
      </c>
      <c r="AD354" s="15">
        <f>IF($X354="","",INDEX(TARIFF_PROFILES!$J:$J,MATCH($X354,TARIFF_PROFILES!$A:$A,0)))</f>
        <v/>
      </c>
      <c r="AE354" s="15">
        <f>IF($X354="","",INDEX(TARIFF_PROFILES!$K:$K,MATCH($X354,TARIFF_PROFILES!$A:$A,0)))</f>
        <v/>
      </c>
      <c r="AH354">
        <f>IF($AG354="","",SUMIFS(OPERATING_COEFFS!$C:$C,OPERATING_COEFFS!$A:$A,"DistanceClass",OPERATING_COEFFS!$B:$B,$AG354))</f>
        <v/>
      </c>
      <c r="AJ354">
        <f>IF($AI354="","",SUMIFS(OPERATING_COEFFS!$C:$C,OPERATING_COEFFS!$A:$A,"SeasonClass",OPERATING_COEFFS!$B:$B,$AI354))</f>
        <v/>
      </c>
      <c r="AL354">
        <f>IF($AK354="","",SUMIFS(OPERATING_COEFFS!$C:$C,OPERATING_COEFFS!$A:$A,"UrgencyClass",OPERATING_COEFFS!$B:$B,$AK354))</f>
        <v/>
      </c>
      <c r="AN354">
        <f>IF($AM354="","",INDEX(TAX_MODES!$B:$B,MATCH($AM354,TAX_MODES!$A:$A,0)))</f>
        <v/>
      </c>
    </row>
    <row r="355">
      <c r="X355" s="15" t="n"/>
      <c r="Y355" s="15">
        <f>IF($X355="","",SUMIFS(TARIFF_PROFILES!$D:$D,TARIFF_PROFILES!$A:$A,$X355))</f>
        <v/>
      </c>
      <c r="Z355" s="15">
        <f>IF($X355="","",SUMIFS(TARIFF_PROFILES!$E:$E,TARIFF_PROFILES!$A:$A,$X355))</f>
        <v/>
      </c>
      <c r="AA355" s="15">
        <f>IF($X355="","",SUMIFS(TARIFF_PROFILES!$F:$F,TARIFF_PROFILES!$A:$A,$X355))</f>
        <v/>
      </c>
      <c r="AB355" s="15">
        <f>IF($X355="","",SUMIFS(TARIFF_PROFILES!$G:$G,TARIFF_PROFILES!$A:$A,$X355))</f>
        <v/>
      </c>
      <c r="AC355" s="15">
        <f>IF($X355="","",SUMIFS(TARIFF_PROFILES!$H:$H,TARIFF_PROFILES!$A:$A,$X355))</f>
        <v/>
      </c>
      <c r="AD355" s="15">
        <f>IF($X355="","",INDEX(TARIFF_PROFILES!$J:$J,MATCH($X355,TARIFF_PROFILES!$A:$A,0)))</f>
        <v/>
      </c>
      <c r="AE355" s="15">
        <f>IF($X355="","",INDEX(TARIFF_PROFILES!$K:$K,MATCH($X355,TARIFF_PROFILES!$A:$A,0)))</f>
        <v/>
      </c>
      <c r="AH355">
        <f>IF($AG355="","",SUMIFS(OPERATING_COEFFS!$C:$C,OPERATING_COEFFS!$A:$A,"DistanceClass",OPERATING_COEFFS!$B:$B,$AG355))</f>
        <v/>
      </c>
      <c r="AJ355">
        <f>IF($AI355="","",SUMIFS(OPERATING_COEFFS!$C:$C,OPERATING_COEFFS!$A:$A,"SeasonClass",OPERATING_COEFFS!$B:$B,$AI355))</f>
        <v/>
      </c>
      <c r="AL355">
        <f>IF($AK355="","",SUMIFS(OPERATING_COEFFS!$C:$C,OPERATING_COEFFS!$A:$A,"UrgencyClass",OPERATING_COEFFS!$B:$B,$AK355))</f>
        <v/>
      </c>
      <c r="AN355">
        <f>IF($AM355="","",INDEX(TAX_MODES!$B:$B,MATCH($AM355,TAX_MODES!$A:$A,0)))</f>
        <v/>
      </c>
    </row>
    <row r="356">
      <c r="X356" s="15" t="n"/>
      <c r="Y356" s="15">
        <f>IF($X356="","",SUMIFS(TARIFF_PROFILES!$D:$D,TARIFF_PROFILES!$A:$A,$X356))</f>
        <v/>
      </c>
      <c r="Z356" s="15">
        <f>IF($X356="","",SUMIFS(TARIFF_PROFILES!$E:$E,TARIFF_PROFILES!$A:$A,$X356))</f>
        <v/>
      </c>
      <c r="AA356" s="15">
        <f>IF($X356="","",SUMIFS(TARIFF_PROFILES!$F:$F,TARIFF_PROFILES!$A:$A,$X356))</f>
        <v/>
      </c>
      <c r="AB356" s="15">
        <f>IF($X356="","",SUMIFS(TARIFF_PROFILES!$G:$G,TARIFF_PROFILES!$A:$A,$X356))</f>
        <v/>
      </c>
      <c r="AC356" s="15">
        <f>IF($X356="","",SUMIFS(TARIFF_PROFILES!$H:$H,TARIFF_PROFILES!$A:$A,$X356))</f>
        <v/>
      </c>
      <c r="AD356" s="15">
        <f>IF($X356="","",INDEX(TARIFF_PROFILES!$J:$J,MATCH($X356,TARIFF_PROFILES!$A:$A,0)))</f>
        <v/>
      </c>
      <c r="AE356" s="15">
        <f>IF($X356="","",INDEX(TARIFF_PROFILES!$K:$K,MATCH($X356,TARIFF_PROFILES!$A:$A,0)))</f>
        <v/>
      </c>
      <c r="AH356">
        <f>IF($AG356="","",SUMIFS(OPERATING_COEFFS!$C:$C,OPERATING_COEFFS!$A:$A,"DistanceClass",OPERATING_COEFFS!$B:$B,$AG356))</f>
        <v/>
      </c>
      <c r="AJ356">
        <f>IF($AI356="","",SUMIFS(OPERATING_COEFFS!$C:$C,OPERATING_COEFFS!$A:$A,"SeasonClass",OPERATING_COEFFS!$B:$B,$AI356))</f>
        <v/>
      </c>
      <c r="AL356">
        <f>IF($AK356="","",SUMIFS(OPERATING_COEFFS!$C:$C,OPERATING_COEFFS!$A:$A,"UrgencyClass",OPERATING_COEFFS!$B:$B,$AK356))</f>
        <v/>
      </c>
      <c r="AN356">
        <f>IF($AM356="","",INDEX(TAX_MODES!$B:$B,MATCH($AM356,TAX_MODES!$A:$A,0)))</f>
        <v/>
      </c>
    </row>
    <row r="357">
      <c r="X357" s="15" t="n"/>
      <c r="Y357" s="15">
        <f>IF($X357="","",SUMIFS(TARIFF_PROFILES!$D:$D,TARIFF_PROFILES!$A:$A,$X357))</f>
        <v/>
      </c>
      <c r="Z357" s="15">
        <f>IF($X357="","",SUMIFS(TARIFF_PROFILES!$E:$E,TARIFF_PROFILES!$A:$A,$X357))</f>
        <v/>
      </c>
      <c r="AA357" s="15">
        <f>IF($X357="","",SUMIFS(TARIFF_PROFILES!$F:$F,TARIFF_PROFILES!$A:$A,$X357))</f>
        <v/>
      </c>
      <c r="AB357" s="15">
        <f>IF($X357="","",SUMIFS(TARIFF_PROFILES!$G:$G,TARIFF_PROFILES!$A:$A,$X357))</f>
        <v/>
      </c>
      <c r="AC357" s="15">
        <f>IF($X357="","",SUMIFS(TARIFF_PROFILES!$H:$H,TARIFF_PROFILES!$A:$A,$X357))</f>
        <v/>
      </c>
      <c r="AD357" s="15">
        <f>IF($X357="","",INDEX(TARIFF_PROFILES!$J:$J,MATCH($X357,TARIFF_PROFILES!$A:$A,0)))</f>
        <v/>
      </c>
      <c r="AE357" s="15">
        <f>IF($X357="","",INDEX(TARIFF_PROFILES!$K:$K,MATCH($X357,TARIFF_PROFILES!$A:$A,0)))</f>
        <v/>
      </c>
      <c r="AH357">
        <f>IF($AG357="","",SUMIFS(OPERATING_COEFFS!$C:$C,OPERATING_COEFFS!$A:$A,"DistanceClass",OPERATING_COEFFS!$B:$B,$AG357))</f>
        <v/>
      </c>
      <c r="AJ357">
        <f>IF($AI357="","",SUMIFS(OPERATING_COEFFS!$C:$C,OPERATING_COEFFS!$A:$A,"SeasonClass",OPERATING_COEFFS!$B:$B,$AI357))</f>
        <v/>
      </c>
      <c r="AL357">
        <f>IF($AK357="","",SUMIFS(OPERATING_COEFFS!$C:$C,OPERATING_COEFFS!$A:$A,"UrgencyClass",OPERATING_COEFFS!$B:$B,$AK357))</f>
        <v/>
      </c>
      <c r="AN357">
        <f>IF($AM357="","",INDEX(TAX_MODES!$B:$B,MATCH($AM357,TAX_MODES!$A:$A,0)))</f>
        <v/>
      </c>
    </row>
    <row r="358">
      <c r="X358" s="15" t="n"/>
      <c r="Y358" s="15">
        <f>IF($X358="","",SUMIFS(TARIFF_PROFILES!$D:$D,TARIFF_PROFILES!$A:$A,$X358))</f>
        <v/>
      </c>
      <c r="Z358" s="15">
        <f>IF($X358="","",SUMIFS(TARIFF_PROFILES!$E:$E,TARIFF_PROFILES!$A:$A,$X358))</f>
        <v/>
      </c>
      <c r="AA358" s="15">
        <f>IF($X358="","",SUMIFS(TARIFF_PROFILES!$F:$F,TARIFF_PROFILES!$A:$A,$X358))</f>
        <v/>
      </c>
      <c r="AB358" s="15">
        <f>IF($X358="","",SUMIFS(TARIFF_PROFILES!$G:$G,TARIFF_PROFILES!$A:$A,$X358))</f>
        <v/>
      </c>
      <c r="AC358" s="15">
        <f>IF($X358="","",SUMIFS(TARIFF_PROFILES!$H:$H,TARIFF_PROFILES!$A:$A,$X358))</f>
        <v/>
      </c>
      <c r="AD358" s="15">
        <f>IF($X358="","",INDEX(TARIFF_PROFILES!$J:$J,MATCH($X358,TARIFF_PROFILES!$A:$A,0)))</f>
        <v/>
      </c>
      <c r="AE358" s="15">
        <f>IF($X358="","",INDEX(TARIFF_PROFILES!$K:$K,MATCH($X358,TARIFF_PROFILES!$A:$A,0)))</f>
        <v/>
      </c>
      <c r="AH358">
        <f>IF($AG358="","",SUMIFS(OPERATING_COEFFS!$C:$C,OPERATING_COEFFS!$A:$A,"DistanceClass",OPERATING_COEFFS!$B:$B,$AG358))</f>
        <v/>
      </c>
      <c r="AJ358">
        <f>IF($AI358="","",SUMIFS(OPERATING_COEFFS!$C:$C,OPERATING_COEFFS!$A:$A,"SeasonClass",OPERATING_COEFFS!$B:$B,$AI358))</f>
        <v/>
      </c>
      <c r="AL358">
        <f>IF($AK358="","",SUMIFS(OPERATING_COEFFS!$C:$C,OPERATING_COEFFS!$A:$A,"UrgencyClass",OPERATING_COEFFS!$B:$B,$AK358))</f>
        <v/>
      </c>
      <c r="AN358">
        <f>IF($AM358="","",INDEX(TAX_MODES!$B:$B,MATCH($AM358,TAX_MODES!$A:$A,0)))</f>
        <v/>
      </c>
    </row>
    <row r="359">
      <c r="X359" s="15" t="n"/>
      <c r="Y359" s="15">
        <f>IF($X359="","",SUMIFS(TARIFF_PROFILES!$D:$D,TARIFF_PROFILES!$A:$A,$X359))</f>
        <v/>
      </c>
      <c r="Z359" s="15">
        <f>IF($X359="","",SUMIFS(TARIFF_PROFILES!$E:$E,TARIFF_PROFILES!$A:$A,$X359))</f>
        <v/>
      </c>
      <c r="AA359" s="15">
        <f>IF($X359="","",SUMIFS(TARIFF_PROFILES!$F:$F,TARIFF_PROFILES!$A:$A,$X359))</f>
        <v/>
      </c>
      <c r="AB359" s="15">
        <f>IF($X359="","",SUMIFS(TARIFF_PROFILES!$G:$G,TARIFF_PROFILES!$A:$A,$X359))</f>
        <v/>
      </c>
      <c r="AC359" s="15">
        <f>IF($X359="","",SUMIFS(TARIFF_PROFILES!$H:$H,TARIFF_PROFILES!$A:$A,$X359))</f>
        <v/>
      </c>
      <c r="AD359" s="15">
        <f>IF($X359="","",INDEX(TARIFF_PROFILES!$J:$J,MATCH($X359,TARIFF_PROFILES!$A:$A,0)))</f>
        <v/>
      </c>
      <c r="AE359" s="15">
        <f>IF($X359="","",INDEX(TARIFF_PROFILES!$K:$K,MATCH($X359,TARIFF_PROFILES!$A:$A,0)))</f>
        <v/>
      </c>
      <c r="AH359">
        <f>IF($AG359="","",SUMIFS(OPERATING_COEFFS!$C:$C,OPERATING_COEFFS!$A:$A,"DistanceClass",OPERATING_COEFFS!$B:$B,$AG359))</f>
        <v/>
      </c>
      <c r="AJ359">
        <f>IF($AI359="","",SUMIFS(OPERATING_COEFFS!$C:$C,OPERATING_COEFFS!$A:$A,"SeasonClass",OPERATING_COEFFS!$B:$B,$AI359))</f>
        <v/>
      </c>
      <c r="AL359">
        <f>IF($AK359="","",SUMIFS(OPERATING_COEFFS!$C:$C,OPERATING_COEFFS!$A:$A,"UrgencyClass",OPERATING_COEFFS!$B:$B,$AK359))</f>
        <v/>
      </c>
      <c r="AN359">
        <f>IF($AM359="","",INDEX(TAX_MODES!$B:$B,MATCH($AM359,TAX_MODES!$A:$A,0)))</f>
        <v/>
      </c>
    </row>
    <row r="360">
      <c r="X360" s="15" t="n"/>
      <c r="Y360" s="15">
        <f>IF($X360="","",SUMIFS(TARIFF_PROFILES!$D:$D,TARIFF_PROFILES!$A:$A,$X360))</f>
        <v/>
      </c>
      <c r="Z360" s="15">
        <f>IF($X360="","",SUMIFS(TARIFF_PROFILES!$E:$E,TARIFF_PROFILES!$A:$A,$X360))</f>
        <v/>
      </c>
      <c r="AA360" s="15">
        <f>IF($X360="","",SUMIFS(TARIFF_PROFILES!$F:$F,TARIFF_PROFILES!$A:$A,$X360))</f>
        <v/>
      </c>
      <c r="AB360" s="15">
        <f>IF($X360="","",SUMIFS(TARIFF_PROFILES!$G:$G,TARIFF_PROFILES!$A:$A,$X360))</f>
        <v/>
      </c>
      <c r="AC360" s="15">
        <f>IF($X360="","",SUMIFS(TARIFF_PROFILES!$H:$H,TARIFF_PROFILES!$A:$A,$X360))</f>
        <v/>
      </c>
      <c r="AD360" s="15">
        <f>IF($X360="","",INDEX(TARIFF_PROFILES!$J:$J,MATCH($X360,TARIFF_PROFILES!$A:$A,0)))</f>
        <v/>
      </c>
      <c r="AE360" s="15">
        <f>IF($X360="","",INDEX(TARIFF_PROFILES!$K:$K,MATCH($X360,TARIFF_PROFILES!$A:$A,0)))</f>
        <v/>
      </c>
      <c r="AH360">
        <f>IF($AG360="","",SUMIFS(OPERATING_COEFFS!$C:$C,OPERATING_COEFFS!$A:$A,"DistanceClass",OPERATING_COEFFS!$B:$B,$AG360))</f>
        <v/>
      </c>
      <c r="AJ360">
        <f>IF($AI360="","",SUMIFS(OPERATING_COEFFS!$C:$C,OPERATING_COEFFS!$A:$A,"SeasonClass",OPERATING_COEFFS!$B:$B,$AI360))</f>
        <v/>
      </c>
      <c r="AL360">
        <f>IF($AK360="","",SUMIFS(OPERATING_COEFFS!$C:$C,OPERATING_COEFFS!$A:$A,"UrgencyClass",OPERATING_COEFFS!$B:$B,$AK360))</f>
        <v/>
      </c>
      <c r="AN360">
        <f>IF($AM360="","",INDEX(TAX_MODES!$B:$B,MATCH($AM360,TAX_MODES!$A:$A,0)))</f>
        <v/>
      </c>
    </row>
    <row r="361">
      <c r="X361" s="15" t="n"/>
      <c r="Y361" s="15">
        <f>IF($X361="","",SUMIFS(TARIFF_PROFILES!$D:$D,TARIFF_PROFILES!$A:$A,$X361))</f>
        <v/>
      </c>
      <c r="Z361" s="15">
        <f>IF($X361="","",SUMIFS(TARIFF_PROFILES!$E:$E,TARIFF_PROFILES!$A:$A,$X361))</f>
        <v/>
      </c>
      <c r="AA361" s="15">
        <f>IF($X361="","",SUMIFS(TARIFF_PROFILES!$F:$F,TARIFF_PROFILES!$A:$A,$X361))</f>
        <v/>
      </c>
      <c r="AB361" s="15">
        <f>IF($X361="","",SUMIFS(TARIFF_PROFILES!$G:$G,TARIFF_PROFILES!$A:$A,$X361))</f>
        <v/>
      </c>
      <c r="AC361" s="15">
        <f>IF($X361="","",SUMIFS(TARIFF_PROFILES!$H:$H,TARIFF_PROFILES!$A:$A,$X361))</f>
        <v/>
      </c>
      <c r="AD361" s="15">
        <f>IF($X361="","",INDEX(TARIFF_PROFILES!$J:$J,MATCH($X361,TARIFF_PROFILES!$A:$A,0)))</f>
        <v/>
      </c>
      <c r="AE361" s="15">
        <f>IF($X361="","",INDEX(TARIFF_PROFILES!$K:$K,MATCH($X361,TARIFF_PROFILES!$A:$A,0)))</f>
        <v/>
      </c>
      <c r="AH361">
        <f>IF($AG361="","",SUMIFS(OPERATING_COEFFS!$C:$C,OPERATING_COEFFS!$A:$A,"DistanceClass",OPERATING_COEFFS!$B:$B,$AG361))</f>
        <v/>
      </c>
      <c r="AJ361">
        <f>IF($AI361="","",SUMIFS(OPERATING_COEFFS!$C:$C,OPERATING_COEFFS!$A:$A,"SeasonClass",OPERATING_COEFFS!$B:$B,$AI361))</f>
        <v/>
      </c>
      <c r="AL361">
        <f>IF($AK361="","",SUMIFS(OPERATING_COEFFS!$C:$C,OPERATING_COEFFS!$A:$A,"UrgencyClass",OPERATING_COEFFS!$B:$B,$AK361))</f>
        <v/>
      </c>
      <c r="AN361">
        <f>IF($AM361="","",INDEX(TAX_MODES!$B:$B,MATCH($AM361,TAX_MODES!$A:$A,0)))</f>
        <v/>
      </c>
    </row>
    <row r="362">
      <c r="X362" s="15" t="n"/>
      <c r="Y362" s="15">
        <f>IF($X362="","",SUMIFS(TARIFF_PROFILES!$D:$D,TARIFF_PROFILES!$A:$A,$X362))</f>
        <v/>
      </c>
      <c r="Z362" s="15">
        <f>IF($X362="","",SUMIFS(TARIFF_PROFILES!$E:$E,TARIFF_PROFILES!$A:$A,$X362))</f>
        <v/>
      </c>
      <c r="AA362" s="15">
        <f>IF($X362="","",SUMIFS(TARIFF_PROFILES!$F:$F,TARIFF_PROFILES!$A:$A,$X362))</f>
        <v/>
      </c>
      <c r="AB362" s="15">
        <f>IF($X362="","",SUMIFS(TARIFF_PROFILES!$G:$G,TARIFF_PROFILES!$A:$A,$X362))</f>
        <v/>
      </c>
      <c r="AC362" s="15">
        <f>IF($X362="","",SUMIFS(TARIFF_PROFILES!$H:$H,TARIFF_PROFILES!$A:$A,$X362))</f>
        <v/>
      </c>
      <c r="AD362" s="15">
        <f>IF($X362="","",INDEX(TARIFF_PROFILES!$J:$J,MATCH($X362,TARIFF_PROFILES!$A:$A,0)))</f>
        <v/>
      </c>
      <c r="AE362" s="15">
        <f>IF($X362="","",INDEX(TARIFF_PROFILES!$K:$K,MATCH($X362,TARIFF_PROFILES!$A:$A,0)))</f>
        <v/>
      </c>
      <c r="AH362">
        <f>IF($AG362="","",SUMIFS(OPERATING_COEFFS!$C:$C,OPERATING_COEFFS!$A:$A,"DistanceClass",OPERATING_COEFFS!$B:$B,$AG362))</f>
        <v/>
      </c>
      <c r="AJ362">
        <f>IF($AI362="","",SUMIFS(OPERATING_COEFFS!$C:$C,OPERATING_COEFFS!$A:$A,"SeasonClass",OPERATING_COEFFS!$B:$B,$AI362))</f>
        <v/>
      </c>
      <c r="AL362">
        <f>IF($AK362="","",SUMIFS(OPERATING_COEFFS!$C:$C,OPERATING_COEFFS!$A:$A,"UrgencyClass",OPERATING_COEFFS!$B:$B,$AK362))</f>
        <v/>
      </c>
      <c r="AN362">
        <f>IF($AM362="","",INDEX(TAX_MODES!$B:$B,MATCH($AM362,TAX_MODES!$A:$A,0)))</f>
        <v/>
      </c>
    </row>
    <row r="363">
      <c r="X363" s="15" t="n"/>
      <c r="Y363" s="15">
        <f>IF($X363="","",SUMIFS(TARIFF_PROFILES!$D:$D,TARIFF_PROFILES!$A:$A,$X363))</f>
        <v/>
      </c>
      <c r="Z363" s="15">
        <f>IF($X363="","",SUMIFS(TARIFF_PROFILES!$E:$E,TARIFF_PROFILES!$A:$A,$X363))</f>
        <v/>
      </c>
      <c r="AA363" s="15">
        <f>IF($X363="","",SUMIFS(TARIFF_PROFILES!$F:$F,TARIFF_PROFILES!$A:$A,$X363))</f>
        <v/>
      </c>
      <c r="AB363" s="15">
        <f>IF($X363="","",SUMIFS(TARIFF_PROFILES!$G:$G,TARIFF_PROFILES!$A:$A,$X363))</f>
        <v/>
      </c>
      <c r="AC363" s="15">
        <f>IF($X363="","",SUMIFS(TARIFF_PROFILES!$H:$H,TARIFF_PROFILES!$A:$A,$X363))</f>
        <v/>
      </c>
      <c r="AD363" s="15">
        <f>IF($X363="","",INDEX(TARIFF_PROFILES!$J:$J,MATCH($X363,TARIFF_PROFILES!$A:$A,0)))</f>
        <v/>
      </c>
      <c r="AE363" s="15">
        <f>IF($X363="","",INDEX(TARIFF_PROFILES!$K:$K,MATCH($X363,TARIFF_PROFILES!$A:$A,0)))</f>
        <v/>
      </c>
      <c r="AH363">
        <f>IF($AG363="","",SUMIFS(OPERATING_COEFFS!$C:$C,OPERATING_COEFFS!$A:$A,"DistanceClass",OPERATING_COEFFS!$B:$B,$AG363))</f>
        <v/>
      </c>
      <c r="AJ363">
        <f>IF($AI363="","",SUMIFS(OPERATING_COEFFS!$C:$C,OPERATING_COEFFS!$A:$A,"SeasonClass",OPERATING_COEFFS!$B:$B,$AI363))</f>
        <v/>
      </c>
      <c r="AL363">
        <f>IF($AK363="","",SUMIFS(OPERATING_COEFFS!$C:$C,OPERATING_COEFFS!$A:$A,"UrgencyClass",OPERATING_COEFFS!$B:$B,$AK363))</f>
        <v/>
      </c>
      <c r="AN363">
        <f>IF($AM363="","",INDEX(TAX_MODES!$B:$B,MATCH($AM363,TAX_MODES!$A:$A,0)))</f>
        <v/>
      </c>
    </row>
    <row r="364">
      <c r="X364" s="15" t="n"/>
      <c r="Y364" s="15">
        <f>IF($X364="","",SUMIFS(TARIFF_PROFILES!$D:$D,TARIFF_PROFILES!$A:$A,$X364))</f>
        <v/>
      </c>
      <c r="Z364" s="15">
        <f>IF($X364="","",SUMIFS(TARIFF_PROFILES!$E:$E,TARIFF_PROFILES!$A:$A,$X364))</f>
        <v/>
      </c>
      <c r="AA364" s="15">
        <f>IF($X364="","",SUMIFS(TARIFF_PROFILES!$F:$F,TARIFF_PROFILES!$A:$A,$X364))</f>
        <v/>
      </c>
      <c r="AB364" s="15">
        <f>IF($X364="","",SUMIFS(TARIFF_PROFILES!$G:$G,TARIFF_PROFILES!$A:$A,$X364))</f>
        <v/>
      </c>
      <c r="AC364" s="15">
        <f>IF($X364="","",SUMIFS(TARIFF_PROFILES!$H:$H,TARIFF_PROFILES!$A:$A,$X364))</f>
        <v/>
      </c>
      <c r="AD364" s="15">
        <f>IF($X364="","",INDEX(TARIFF_PROFILES!$J:$J,MATCH($X364,TARIFF_PROFILES!$A:$A,0)))</f>
        <v/>
      </c>
      <c r="AE364" s="15">
        <f>IF($X364="","",INDEX(TARIFF_PROFILES!$K:$K,MATCH($X364,TARIFF_PROFILES!$A:$A,0)))</f>
        <v/>
      </c>
      <c r="AH364">
        <f>IF($AG364="","",SUMIFS(OPERATING_COEFFS!$C:$C,OPERATING_COEFFS!$A:$A,"DistanceClass",OPERATING_COEFFS!$B:$B,$AG364))</f>
        <v/>
      </c>
      <c r="AJ364">
        <f>IF($AI364="","",SUMIFS(OPERATING_COEFFS!$C:$C,OPERATING_COEFFS!$A:$A,"SeasonClass",OPERATING_COEFFS!$B:$B,$AI364))</f>
        <v/>
      </c>
      <c r="AL364">
        <f>IF($AK364="","",SUMIFS(OPERATING_COEFFS!$C:$C,OPERATING_COEFFS!$A:$A,"UrgencyClass",OPERATING_COEFFS!$B:$B,$AK364))</f>
        <v/>
      </c>
      <c r="AN364">
        <f>IF($AM364="","",INDEX(TAX_MODES!$B:$B,MATCH($AM364,TAX_MODES!$A:$A,0)))</f>
        <v/>
      </c>
    </row>
    <row r="365">
      <c r="X365" s="15" t="n"/>
      <c r="Y365" s="15">
        <f>IF($X365="","",SUMIFS(TARIFF_PROFILES!$D:$D,TARIFF_PROFILES!$A:$A,$X365))</f>
        <v/>
      </c>
      <c r="Z365" s="15">
        <f>IF($X365="","",SUMIFS(TARIFF_PROFILES!$E:$E,TARIFF_PROFILES!$A:$A,$X365))</f>
        <v/>
      </c>
      <c r="AA365" s="15">
        <f>IF($X365="","",SUMIFS(TARIFF_PROFILES!$F:$F,TARIFF_PROFILES!$A:$A,$X365))</f>
        <v/>
      </c>
      <c r="AB365" s="15">
        <f>IF($X365="","",SUMIFS(TARIFF_PROFILES!$G:$G,TARIFF_PROFILES!$A:$A,$X365))</f>
        <v/>
      </c>
      <c r="AC365" s="15">
        <f>IF($X365="","",SUMIFS(TARIFF_PROFILES!$H:$H,TARIFF_PROFILES!$A:$A,$X365))</f>
        <v/>
      </c>
      <c r="AD365" s="15">
        <f>IF($X365="","",INDEX(TARIFF_PROFILES!$J:$J,MATCH($X365,TARIFF_PROFILES!$A:$A,0)))</f>
        <v/>
      </c>
      <c r="AE365" s="15">
        <f>IF($X365="","",INDEX(TARIFF_PROFILES!$K:$K,MATCH($X365,TARIFF_PROFILES!$A:$A,0)))</f>
        <v/>
      </c>
      <c r="AH365">
        <f>IF($AG365="","",SUMIFS(OPERATING_COEFFS!$C:$C,OPERATING_COEFFS!$A:$A,"DistanceClass",OPERATING_COEFFS!$B:$B,$AG365))</f>
        <v/>
      </c>
      <c r="AJ365">
        <f>IF($AI365="","",SUMIFS(OPERATING_COEFFS!$C:$C,OPERATING_COEFFS!$A:$A,"SeasonClass",OPERATING_COEFFS!$B:$B,$AI365))</f>
        <v/>
      </c>
      <c r="AL365">
        <f>IF($AK365="","",SUMIFS(OPERATING_COEFFS!$C:$C,OPERATING_COEFFS!$A:$A,"UrgencyClass",OPERATING_COEFFS!$B:$B,$AK365))</f>
        <v/>
      </c>
      <c r="AN365">
        <f>IF($AM365="","",INDEX(TAX_MODES!$B:$B,MATCH($AM365,TAX_MODES!$A:$A,0)))</f>
        <v/>
      </c>
    </row>
    <row r="366">
      <c r="X366" s="15" t="n"/>
      <c r="Y366" s="15">
        <f>IF($X366="","",SUMIFS(TARIFF_PROFILES!$D:$D,TARIFF_PROFILES!$A:$A,$X366))</f>
        <v/>
      </c>
      <c r="Z366" s="15">
        <f>IF($X366="","",SUMIFS(TARIFF_PROFILES!$E:$E,TARIFF_PROFILES!$A:$A,$X366))</f>
        <v/>
      </c>
      <c r="AA366" s="15">
        <f>IF($X366="","",SUMIFS(TARIFF_PROFILES!$F:$F,TARIFF_PROFILES!$A:$A,$X366))</f>
        <v/>
      </c>
      <c r="AB366" s="15">
        <f>IF($X366="","",SUMIFS(TARIFF_PROFILES!$G:$G,TARIFF_PROFILES!$A:$A,$X366))</f>
        <v/>
      </c>
      <c r="AC366" s="15">
        <f>IF($X366="","",SUMIFS(TARIFF_PROFILES!$H:$H,TARIFF_PROFILES!$A:$A,$X366))</f>
        <v/>
      </c>
      <c r="AD366" s="15">
        <f>IF($X366="","",INDEX(TARIFF_PROFILES!$J:$J,MATCH($X366,TARIFF_PROFILES!$A:$A,0)))</f>
        <v/>
      </c>
      <c r="AE366" s="15">
        <f>IF($X366="","",INDEX(TARIFF_PROFILES!$K:$K,MATCH($X366,TARIFF_PROFILES!$A:$A,0)))</f>
        <v/>
      </c>
      <c r="AH366">
        <f>IF($AG366="","",SUMIFS(OPERATING_COEFFS!$C:$C,OPERATING_COEFFS!$A:$A,"DistanceClass",OPERATING_COEFFS!$B:$B,$AG366))</f>
        <v/>
      </c>
      <c r="AJ366">
        <f>IF($AI366="","",SUMIFS(OPERATING_COEFFS!$C:$C,OPERATING_COEFFS!$A:$A,"SeasonClass",OPERATING_COEFFS!$B:$B,$AI366))</f>
        <v/>
      </c>
      <c r="AL366">
        <f>IF($AK366="","",SUMIFS(OPERATING_COEFFS!$C:$C,OPERATING_COEFFS!$A:$A,"UrgencyClass",OPERATING_COEFFS!$B:$B,$AK366))</f>
        <v/>
      </c>
      <c r="AN366">
        <f>IF($AM366="","",INDEX(TAX_MODES!$B:$B,MATCH($AM366,TAX_MODES!$A:$A,0)))</f>
        <v/>
      </c>
    </row>
    <row r="367">
      <c r="X367" s="15" t="n"/>
      <c r="Y367" s="15">
        <f>IF($X367="","",SUMIFS(TARIFF_PROFILES!$D:$D,TARIFF_PROFILES!$A:$A,$X367))</f>
        <v/>
      </c>
      <c r="Z367" s="15">
        <f>IF($X367="","",SUMIFS(TARIFF_PROFILES!$E:$E,TARIFF_PROFILES!$A:$A,$X367))</f>
        <v/>
      </c>
      <c r="AA367" s="15">
        <f>IF($X367="","",SUMIFS(TARIFF_PROFILES!$F:$F,TARIFF_PROFILES!$A:$A,$X367))</f>
        <v/>
      </c>
      <c r="AB367" s="15">
        <f>IF($X367="","",SUMIFS(TARIFF_PROFILES!$G:$G,TARIFF_PROFILES!$A:$A,$X367))</f>
        <v/>
      </c>
      <c r="AC367" s="15">
        <f>IF($X367="","",SUMIFS(TARIFF_PROFILES!$H:$H,TARIFF_PROFILES!$A:$A,$X367))</f>
        <v/>
      </c>
      <c r="AD367" s="15">
        <f>IF($X367="","",INDEX(TARIFF_PROFILES!$J:$J,MATCH($X367,TARIFF_PROFILES!$A:$A,0)))</f>
        <v/>
      </c>
      <c r="AE367" s="15">
        <f>IF($X367="","",INDEX(TARIFF_PROFILES!$K:$K,MATCH($X367,TARIFF_PROFILES!$A:$A,0)))</f>
        <v/>
      </c>
      <c r="AH367">
        <f>IF($AG367="","",SUMIFS(OPERATING_COEFFS!$C:$C,OPERATING_COEFFS!$A:$A,"DistanceClass",OPERATING_COEFFS!$B:$B,$AG367))</f>
        <v/>
      </c>
      <c r="AJ367">
        <f>IF($AI367="","",SUMIFS(OPERATING_COEFFS!$C:$C,OPERATING_COEFFS!$A:$A,"SeasonClass",OPERATING_COEFFS!$B:$B,$AI367))</f>
        <v/>
      </c>
      <c r="AL367">
        <f>IF($AK367="","",SUMIFS(OPERATING_COEFFS!$C:$C,OPERATING_COEFFS!$A:$A,"UrgencyClass",OPERATING_COEFFS!$B:$B,$AK367))</f>
        <v/>
      </c>
      <c r="AN367">
        <f>IF($AM367="","",INDEX(TAX_MODES!$B:$B,MATCH($AM367,TAX_MODES!$A:$A,0)))</f>
        <v/>
      </c>
    </row>
    <row r="368">
      <c r="X368" s="15" t="n"/>
      <c r="Y368" s="15">
        <f>IF($X368="","",SUMIFS(TARIFF_PROFILES!$D:$D,TARIFF_PROFILES!$A:$A,$X368))</f>
        <v/>
      </c>
      <c r="Z368" s="15">
        <f>IF($X368="","",SUMIFS(TARIFF_PROFILES!$E:$E,TARIFF_PROFILES!$A:$A,$X368))</f>
        <v/>
      </c>
      <c r="AA368" s="15">
        <f>IF($X368="","",SUMIFS(TARIFF_PROFILES!$F:$F,TARIFF_PROFILES!$A:$A,$X368))</f>
        <v/>
      </c>
      <c r="AB368" s="15">
        <f>IF($X368="","",SUMIFS(TARIFF_PROFILES!$G:$G,TARIFF_PROFILES!$A:$A,$X368))</f>
        <v/>
      </c>
      <c r="AC368" s="15">
        <f>IF($X368="","",SUMIFS(TARIFF_PROFILES!$H:$H,TARIFF_PROFILES!$A:$A,$X368))</f>
        <v/>
      </c>
      <c r="AD368" s="15">
        <f>IF($X368="","",INDEX(TARIFF_PROFILES!$J:$J,MATCH($X368,TARIFF_PROFILES!$A:$A,0)))</f>
        <v/>
      </c>
      <c r="AE368" s="15">
        <f>IF($X368="","",INDEX(TARIFF_PROFILES!$K:$K,MATCH($X368,TARIFF_PROFILES!$A:$A,0)))</f>
        <v/>
      </c>
      <c r="AH368">
        <f>IF($AG368="","",SUMIFS(OPERATING_COEFFS!$C:$C,OPERATING_COEFFS!$A:$A,"DistanceClass",OPERATING_COEFFS!$B:$B,$AG368))</f>
        <v/>
      </c>
      <c r="AJ368">
        <f>IF($AI368="","",SUMIFS(OPERATING_COEFFS!$C:$C,OPERATING_COEFFS!$A:$A,"SeasonClass",OPERATING_COEFFS!$B:$B,$AI368))</f>
        <v/>
      </c>
      <c r="AL368">
        <f>IF($AK368="","",SUMIFS(OPERATING_COEFFS!$C:$C,OPERATING_COEFFS!$A:$A,"UrgencyClass",OPERATING_COEFFS!$B:$B,$AK368))</f>
        <v/>
      </c>
      <c r="AN368">
        <f>IF($AM368="","",INDEX(TAX_MODES!$B:$B,MATCH($AM368,TAX_MODES!$A:$A,0)))</f>
        <v/>
      </c>
    </row>
    <row r="369">
      <c r="X369" s="15" t="n"/>
      <c r="Y369" s="15">
        <f>IF($X369="","",SUMIFS(TARIFF_PROFILES!$D:$D,TARIFF_PROFILES!$A:$A,$X369))</f>
        <v/>
      </c>
      <c r="Z369" s="15">
        <f>IF($X369="","",SUMIFS(TARIFF_PROFILES!$E:$E,TARIFF_PROFILES!$A:$A,$X369))</f>
        <v/>
      </c>
      <c r="AA369" s="15">
        <f>IF($X369="","",SUMIFS(TARIFF_PROFILES!$F:$F,TARIFF_PROFILES!$A:$A,$X369))</f>
        <v/>
      </c>
      <c r="AB369" s="15">
        <f>IF($X369="","",SUMIFS(TARIFF_PROFILES!$G:$G,TARIFF_PROFILES!$A:$A,$X369))</f>
        <v/>
      </c>
      <c r="AC369" s="15">
        <f>IF($X369="","",SUMIFS(TARIFF_PROFILES!$H:$H,TARIFF_PROFILES!$A:$A,$X369))</f>
        <v/>
      </c>
      <c r="AD369" s="15">
        <f>IF($X369="","",INDEX(TARIFF_PROFILES!$J:$J,MATCH($X369,TARIFF_PROFILES!$A:$A,0)))</f>
        <v/>
      </c>
      <c r="AE369" s="15">
        <f>IF($X369="","",INDEX(TARIFF_PROFILES!$K:$K,MATCH($X369,TARIFF_PROFILES!$A:$A,0)))</f>
        <v/>
      </c>
      <c r="AH369">
        <f>IF($AG369="","",SUMIFS(OPERATING_COEFFS!$C:$C,OPERATING_COEFFS!$A:$A,"DistanceClass",OPERATING_COEFFS!$B:$B,$AG369))</f>
        <v/>
      </c>
      <c r="AJ369">
        <f>IF($AI369="","",SUMIFS(OPERATING_COEFFS!$C:$C,OPERATING_COEFFS!$A:$A,"SeasonClass",OPERATING_COEFFS!$B:$B,$AI369))</f>
        <v/>
      </c>
      <c r="AL369">
        <f>IF($AK369="","",SUMIFS(OPERATING_COEFFS!$C:$C,OPERATING_COEFFS!$A:$A,"UrgencyClass",OPERATING_COEFFS!$B:$B,$AK369))</f>
        <v/>
      </c>
      <c r="AN369">
        <f>IF($AM369="","",INDEX(TAX_MODES!$B:$B,MATCH($AM369,TAX_MODES!$A:$A,0)))</f>
        <v/>
      </c>
    </row>
    <row r="370">
      <c r="X370" s="15" t="n"/>
      <c r="Y370" s="15">
        <f>IF($X370="","",SUMIFS(TARIFF_PROFILES!$D:$D,TARIFF_PROFILES!$A:$A,$X370))</f>
        <v/>
      </c>
      <c r="Z370" s="15">
        <f>IF($X370="","",SUMIFS(TARIFF_PROFILES!$E:$E,TARIFF_PROFILES!$A:$A,$X370))</f>
        <v/>
      </c>
      <c r="AA370" s="15">
        <f>IF($X370="","",SUMIFS(TARIFF_PROFILES!$F:$F,TARIFF_PROFILES!$A:$A,$X370))</f>
        <v/>
      </c>
      <c r="AB370" s="15">
        <f>IF($X370="","",SUMIFS(TARIFF_PROFILES!$G:$G,TARIFF_PROFILES!$A:$A,$X370))</f>
        <v/>
      </c>
      <c r="AC370" s="15">
        <f>IF($X370="","",SUMIFS(TARIFF_PROFILES!$H:$H,TARIFF_PROFILES!$A:$A,$X370))</f>
        <v/>
      </c>
      <c r="AD370" s="15">
        <f>IF($X370="","",INDEX(TARIFF_PROFILES!$J:$J,MATCH($X370,TARIFF_PROFILES!$A:$A,0)))</f>
        <v/>
      </c>
      <c r="AE370" s="15">
        <f>IF($X370="","",INDEX(TARIFF_PROFILES!$K:$K,MATCH($X370,TARIFF_PROFILES!$A:$A,0)))</f>
        <v/>
      </c>
      <c r="AH370">
        <f>IF($AG370="","",SUMIFS(OPERATING_COEFFS!$C:$C,OPERATING_COEFFS!$A:$A,"DistanceClass",OPERATING_COEFFS!$B:$B,$AG370))</f>
        <v/>
      </c>
      <c r="AJ370">
        <f>IF($AI370="","",SUMIFS(OPERATING_COEFFS!$C:$C,OPERATING_COEFFS!$A:$A,"SeasonClass",OPERATING_COEFFS!$B:$B,$AI370))</f>
        <v/>
      </c>
      <c r="AL370">
        <f>IF($AK370="","",SUMIFS(OPERATING_COEFFS!$C:$C,OPERATING_COEFFS!$A:$A,"UrgencyClass",OPERATING_COEFFS!$B:$B,$AK370))</f>
        <v/>
      </c>
      <c r="AN370">
        <f>IF($AM370="","",INDEX(TAX_MODES!$B:$B,MATCH($AM370,TAX_MODES!$A:$A,0)))</f>
        <v/>
      </c>
    </row>
    <row r="371">
      <c r="X371" s="15" t="n"/>
      <c r="Y371" s="15">
        <f>IF($X371="","",SUMIFS(TARIFF_PROFILES!$D:$D,TARIFF_PROFILES!$A:$A,$X371))</f>
        <v/>
      </c>
      <c r="Z371" s="15">
        <f>IF($X371="","",SUMIFS(TARIFF_PROFILES!$E:$E,TARIFF_PROFILES!$A:$A,$X371))</f>
        <v/>
      </c>
      <c r="AA371" s="15">
        <f>IF($X371="","",SUMIFS(TARIFF_PROFILES!$F:$F,TARIFF_PROFILES!$A:$A,$X371))</f>
        <v/>
      </c>
      <c r="AB371" s="15">
        <f>IF($X371="","",SUMIFS(TARIFF_PROFILES!$G:$G,TARIFF_PROFILES!$A:$A,$X371))</f>
        <v/>
      </c>
      <c r="AC371" s="15">
        <f>IF($X371="","",SUMIFS(TARIFF_PROFILES!$H:$H,TARIFF_PROFILES!$A:$A,$X371))</f>
        <v/>
      </c>
      <c r="AD371" s="15">
        <f>IF($X371="","",INDEX(TARIFF_PROFILES!$J:$J,MATCH($X371,TARIFF_PROFILES!$A:$A,0)))</f>
        <v/>
      </c>
      <c r="AE371" s="15">
        <f>IF($X371="","",INDEX(TARIFF_PROFILES!$K:$K,MATCH($X371,TARIFF_PROFILES!$A:$A,0)))</f>
        <v/>
      </c>
      <c r="AH371">
        <f>IF($AG371="","",SUMIFS(OPERATING_COEFFS!$C:$C,OPERATING_COEFFS!$A:$A,"DistanceClass",OPERATING_COEFFS!$B:$B,$AG371))</f>
        <v/>
      </c>
      <c r="AJ371">
        <f>IF($AI371="","",SUMIFS(OPERATING_COEFFS!$C:$C,OPERATING_COEFFS!$A:$A,"SeasonClass",OPERATING_COEFFS!$B:$B,$AI371))</f>
        <v/>
      </c>
      <c r="AL371">
        <f>IF($AK371="","",SUMIFS(OPERATING_COEFFS!$C:$C,OPERATING_COEFFS!$A:$A,"UrgencyClass",OPERATING_COEFFS!$B:$B,$AK371))</f>
        <v/>
      </c>
      <c r="AN371">
        <f>IF($AM371="","",INDEX(TAX_MODES!$B:$B,MATCH($AM371,TAX_MODES!$A:$A,0)))</f>
        <v/>
      </c>
    </row>
    <row r="372">
      <c r="X372" s="15" t="n"/>
      <c r="Y372" s="15">
        <f>IF($X372="","",SUMIFS(TARIFF_PROFILES!$D:$D,TARIFF_PROFILES!$A:$A,$X372))</f>
        <v/>
      </c>
      <c r="Z372" s="15">
        <f>IF($X372="","",SUMIFS(TARIFF_PROFILES!$E:$E,TARIFF_PROFILES!$A:$A,$X372))</f>
        <v/>
      </c>
      <c r="AA372" s="15">
        <f>IF($X372="","",SUMIFS(TARIFF_PROFILES!$F:$F,TARIFF_PROFILES!$A:$A,$X372))</f>
        <v/>
      </c>
      <c r="AB372" s="15">
        <f>IF($X372="","",SUMIFS(TARIFF_PROFILES!$G:$G,TARIFF_PROFILES!$A:$A,$X372))</f>
        <v/>
      </c>
      <c r="AC372" s="15">
        <f>IF($X372="","",SUMIFS(TARIFF_PROFILES!$H:$H,TARIFF_PROFILES!$A:$A,$X372))</f>
        <v/>
      </c>
      <c r="AD372" s="15">
        <f>IF($X372="","",INDEX(TARIFF_PROFILES!$J:$J,MATCH($X372,TARIFF_PROFILES!$A:$A,0)))</f>
        <v/>
      </c>
      <c r="AE372" s="15">
        <f>IF($X372="","",INDEX(TARIFF_PROFILES!$K:$K,MATCH($X372,TARIFF_PROFILES!$A:$A,0)))</f>
        <v/>
      </c>
      <c r="AH372">
        <f>IF($AG372="","",SUMIFS(OPERATING_COEFFS!$C:$C,OPERATING_COEFFS!$A:$A,"DistanceClass",OPERATING_COEFFS!$B:$B,$AG372))</f>
        <v/>
      </c>
      <c r="AJ372">
        <f>IF($AI372="","",SUMIFS(OPERATING_COEFFS!$C:$C,OPERATING_COEFFS!$A:$A,"SeasonClass",OPERATING_COEFFS!$B:$B,$AI372))</f>
        <v/>
      </c>
      <c r="AL372">
        <f>IF($AK372="","",SUMIFS(OPERATING_COEFFS!$C:$C,OPERATING_COEFFS!$A:$A,"UrgencyClass",OPERATING_COEFFS!$B:$B,$AK372))</f>
        <v/>
      </c>
      <c r="AN372">
        <f>IF($AM372="","",INDEX(TAX_MODES!$B:$B,MATCH($AM372,TAX_MODES!$A:$A,0)))</f>
        <v/>
      </c>
    </row>
    <row r="373">
      <c r="X373" s="15" t="n"/>
      <c r="Y373" s="15">
        <f>IF($X373="","",SUMIFS(TARIFF_PROFILES!$D:$D,TARIFF_PROFILES!$A:$A,$X373))</f>
        <v/>
      </c>
      <c r="Z373" s="15">
        <f>IF($X373="","",SUMIFS(TARIFF_PROFILES!$E:$E,TARIFF_PROFILES!$A:$A,$X373))</f>
        <v/>
      </c>
      <c r="AA373" s="15">
        <f>IF($X373="","",SUMIFS(TARIFF_PROFILES!$F:$F,TARIFF_PROFILES!$A:$A,$X373))</f>
        <v/>
      </c>
      <c r="AB373" s="15">
        <f>IF($X373="","",SUMIFS(TARIFF_PROFILES!$G:$G,TARIFF_PROFILES!$A:$A,$X373))</f>
        <v/>
      </c>
      <c r="AC373" s="15">
        <f>IF($X373="","",SUMIFS(TARIFF_PROFILES!$H:$H,TARIFF_PROFILES!$A:$A,$X373))</f>
        <v/>
      </c>
      <c r="AD373" s="15">
        <f>IF($X373="","",INDEX(TARIFF_PROFILES!$J:$J,MATCH($X373,TARIFF_PROFILES!$A:$A,0)))</f>
        <v/>
      </c>
      <c r="AE373" s="15">
        <f>IF($X373="","",INDEX(TARIFF_PROFILES!$K:$K,MATCH($X373,TARIFF_PROFILES!$A:$A,0)))</f>
        <v/>
      </c>
      <c r="AH373">
        <f>IF($AG373="","",SUMIFS(OPERATING_COEFFS!$C:$C,OPERATING_COEFFS!$A:$A,"DistanceClass",OPERATING_COEFFS!$B:$B,$AG373))</f>
        <v/>
      </c>
      <c r="AJ373">
        <f>IF($AI373="","",SUMIFS(OPERATING_COEFFS!$C:$C,OPERATING_COEFFS!$A:$A,"SeasonClass",OPERATING_COEFFS!$B:$B,$AI373))</f>
        <v/>
      </c>
      <c r="AL373">
        <f>IF($AK373="","",SUMIFS(OPERATING_COEFFS!$C:$C,OPERATING_COEFFS!$A:$A,"UrgencyClass",OPERATING_COEFFS!$B:$B,$AK373))</f>
        <v/>
      </c>
      <c r="AN373">
        <f>IF($AM373="","",INDEX(TAX_MODES!$B:$B,MATCH($AM373,TAX_MODES!$A:$A,0)))</f>
        <v/>
      </c>
    </row>
    <row r="374">
      <c r="X374" s="15" t="n"/>
      <c r="Y374" s="15">
        <f>IF($X374="","",SUMIFS(TARIFF_PROFILES!$D:$D,TARIFF_PROFILES!$A:$A,$X374))</f>
        <v/>
      </c>
      <c r="Z374" s="15">
        <f>IF($X374="","",SUMIFS(TARIFF_PROFILES!$E:$E,TARIFF_PROFILES!$A:$A,$X374))</f>
        <v/>
      </c>
      <c r="AA374" s="15">
        <f>IF($X374="","",SUMIFS(TARIFF_PROFILES!$F:$F,TARIFF_PROFILES!$A:$A,$X374))</f>
        <v/>
      </c>
      <c r="AB374" s="15">
        <f>IF($X374="","",SUMIFS(TARIFF_PROFILES!$G:$G,TARIFF_PROFILES!$A:$A,$X374))</f>
        <v/>
      </c>
      <c r="AC374" s="15">
        <f>IF($X374="","",SUMIFS(TARIFF_PROFILES!$H:$H,TARIFF_PROFILES!$A:$A,$X374))</f>
        <v/>
      </c>
      <c r="AD374" s="15">
        <f>IF($X374="","",INDEX(TARIFF_PROFILES!$J:$J,MATCH($X374,TARIFF_PROFILES!$A:$A,0)))</f>
        <v/>
      </c>
      <c r="AE374" s="15">
        <f>IF($X374="","",INDEX(TARIFF_PROFILES!$K:$K,MATCH($X374,TARIFF_PROFILES!$A:$A,0)))</f>
        <v/>
      </c>
      <c r="AH374">
        <f>IF($AG374="","",SUMIFS(OPERATING_COEFFS!$C:$C,OPERATING_COEFFS!$A:$A,"DistanceClass",OPERATING_COEFFS!$B:$B,$AG374))</f>
        <v/>
      </c>
      <c r="AJ374">
        <f>IF($AI374="","",SUMIFS(OPERATING_COEFFS!$C:$C,OPERATING_COEFFS!$A:$A,"SeasonClass",OPERATING_COEFFS!$B:$B,$AI374))</f>
        <v/>
      </c>
      <c r="AL374">
        <f>IF($AK374="","",SUMIFS(OPERATING_COEFFS!$C:$C,OPERATING_COEFFS!$A:$A,"UrgencyClass",OPERATING_COEFFS!$B:$B,$AK374))</f>
        <v/>
      </c>
      <c r="AN374">
        <f>IF($AM374="","",INDEX(TAX_MODES!$B:$B,MATCH($AM374,TAX_MODES!$A:$A,0)))</f>
        <v/>
      </c>
    </row>
    <row r="375">
      <c r="X375" s="15" t="n"/>
      <c r="Y375" s="15">
        <f>IF($X375="","",SUMIFS(TARIFF_PROFILES!$D:$D,TARIFF_PROFILES!$A:$A,$X375))</f>
        <v/>
      </c>
      <c r="Z375" s="15">
        <f>IF($X375="","",SUMIFS(TARIFF_PROFILES!$E:$E,TARIFF_PROFILES!$A:$A,$X375))</f>
        <v/>
      </c>
      <c r="AA375" s="15">
        <f>IF($X375="","",SUMIFS(TARIFF_PROFILES!$F:$F,TARIFF_PROFILES!$A:$A,$X375))</f>
        <v/>
      </c>
      <c r="AB375" s="15">
        <f>IF($X375="","",SUMIFS(TARIFF_PROFILES!$G:$G,TARIFF_PROFILES!$A:$A,$X375))</f>
        <v/>
      </c>
      <c r="AC375" s="15">
        <f>IF($X375="","",SUMIFS(TARIFF_PROFILES!$H:$H,TARIFF_PROFILES!$A:$A,$X375))</f>
        <v/>
      </c>
      <c r="AD375" s="15">
        <f>IF($X375="","",INDEX(TARIFF_PROFILES!$J:$J,MATCH($X375,TARIFF_PROFILES!$A:$A,0)))</f>
        <v/>
      </c>
      <c r="AE375" s="15">
        <f>IF($X375="","",INDEX(TARIFF_PROFILES!$K:$K,MATCH($X375,TARIFF_PROFILES!$A:$A,0)))</f>
        <v/>
      </c>
      <c r="AH375">
        <f>IF($AG375="","",SUMIFS(OPERATING_COEFFS!$C:$C,OPERATING_COEFFS!$A:$A,"DistanceClass",OPERATING_COEFFS!$B:$B,$AG375))</f>
        <v/>
      </c>
      <c r="AJ375">
        <f>IF($AI375="","",SUMIFS(OPERATING_COEFFS!$C:$C,OPERATING_COEFFS!$A:$A,"SeasonClass",OPERATING_COEFFS!$B:$B,$AI375))</f>
        <v/>
      </c>
      <c r="AL375">
        <f>IF($AK375="","",SUMIFS(OPERATING_COEFFS!$C:$C,OPERATING_COEFFS!$A:$A,"UrgencyClass",OPERATING_COEFFS!$B:$B,$AK375))</f>
        <v/>
      </c>
      <c r="AN375">
        <f>IF($AM375="","",INDEX(TAX_MODES!$B:$B,MATCH($AM375,TAX_MODES!$A:$A,0)))</f>
        <v/>
      </c>
    </row>
    <row r="376">
      <c r="X376" s="15" t="n"/>
      <c r="Y376" s="15">
        <f>IF($X376="","",SUMIFS(TARIFF_PROFILES!$D:$D,TARIFF_PROFILES!$A:$A,$X376))</f>
        <v/>
      </c>
      <c r="Z376" s="15">
        <f>IF($X376="","",SUMIFS(TARIFF_PROFILES!$E:$E,TARIFF_PROFILES!$A:$A,$X376))</f>
        <v/>
      </c>
      <c r="AA376" s="15">
        <f>IF($X376="","",SUMIFS(TARIFF_PROFILES!$F:$F,TARIFF_PROFILES!$A:$A,$X376))</f>
        <v/>
      </c>
      <c r="AB376" s="15">
        <f>IF($X376="","",SUMIFS(TARIFF_PROFILES!$G:$G,TARIFF_PROFILES!$A:$A,$X376))</f>
        <v/>
      </c>
      <c r="AC376" s="15">
        <f>IF($X376="","",SUMIFS(TARIFF_PROFILES!$H:$H,TARIFF_PROFILES!$A:$A,$X376))</f>
        <v/>
      </c>
      <c r="AD376" s="15">
        <f>IF($X376="","",INDEX(TARIFF_PROFILES!$J:$J,MATCH($X376,TARIFF_PROFILES!$A:$A,0)))</f>
        <v/>
      </c>
      <c r="AE376" s="15">
        <f>IF($X376="","",INDEX(TARIFF_PROFILES!$K:$K,MATCH($X376,TARIFF_PROFILES!$A:$A,0)))</f>
        <v/>
      </c>
      <c r="AH376">
        <f>IF($AG376="","",SUMIFS(OPERATING_COEFFS!$C:$C,OPERATING_COEFFS!$A:$A,"DistanceClass",OPERATING_COEFFS!$B:$B,$AG376))</f>
        <v/>
      </c>
      <c r="AJ376">
        <f>IF($AI376="","",SUMIFS(OPERATING_COEFFS!$C:$C,OPERATING_COEFFS!$A:$A,"SeasonClass",OPERATING_COEFFS!$B:$B,$AI376))</f>
        <v/>
      </c>
      <c r="AL376">
        <f>IF($AK376="","",SUMIFS(OPERATING_COEFFS!$C:$C,OPERATING_COEFFS!$A:$A,"UrgencyClass",OPERATING_COEFFS!$B:$B,$AK376))</f>
        <v/>
      </c>
      <c r="AN376">
        <f>IF($AM376="","",INDEX(TAX_MODES!$B:$B,MATCH($AM376,TAX_MODES!$A:$A,0)))</f>
        <v/>
      </c>
    </row>
    <row r="377">
      <c r="X377" s="15" t="n"/>
      <c r="Y377" s="15">
        <f>IF($X377="","",SUMIFS(TARIFF_PROFILES!$D:$D,TARIFF_PROFILES!$A:$A,$X377))</f>
        <v/>
      </c>
      <c r="Z377" s="15">
        <f>IF($X377="","",SUMIFS(TARIFF_PROFILES!$E:$E,TARIFF_PROFILES!$A:$A,$X377))</f>
        <v/>
      </c>
      <c r="AA377" s="15">
        <f>IF($X377="","",SUMIFS(TARIFF_PROFILES!$F:$F,TARIFF_PROFILES!$A:$A,$X377))</f>
        <v/>
      </c>
      <c r="AB377" s="15">
        <f>IF($X377="","",SUMIFS(TARIFF_PROFILES!$G:$G,TARIFF_PROFILES!$A:$A,$X377))</f>
        <v/>
      </c>
      <c r="AC377" s="15">
        <f>IF($X377="","",SUMIFS(TARIFF_PROFILES!$H:$H,TARIFF_PROFILES!$A:$A,$X377))</f>
        <v/>
      </c>
      <c r="AD377" s="15">
        <f>IF($X377="","",INDEX(TARIFF_PROFILES!$J:$J,MATCH($X377,TARIFF_PROFILES!$A:$A,0)))</f>
        <v/>
      </c>
      <c r="AE377" s="15">
        <f>IF($X377="","",INDEX(TARIFF_PROFILES!$K:$K,MATCH($X377,TARIFF_PROFILES!$A:$A,0)))</f>
        <v/>
      </c>
      <c r="AH377">
        <f>IF($AG377="","",SUMIFS(OPERATING_COEFFS!$C:$C,OPERATING_COEFFS!$A:$A,"DistanceClass",OPERATING_COEFFS!$B:$B,$AG377))</f>
        <v/>
      </c>
      <c r="AJ377">
        <f>IF($AI377="","",SUMIFS(OPERATING_COEFFS!$C:$C,OPERATING_COEFFS!$A:$A,"SeasonClass",OPERATING_COEFFS!$B:$B,$AI377))</f>
        <v/>
      </c>
      <c r="AL377">
        <f>IF($AK377="","",SUMIFS(OPERATING_COEFFS!$C:$C,OPERATING_COEFFS!$A:$A,"UrgencyClass",OPERATING_COEFFS!$B:$B,$AK377))</f>
        <v/>
      </c>
      <c r="AN377">
        <f>IF($AM377="","",INDEX(TAX_MODES!$B:$B,MATCH($AM377,TAX_MODES!$A:$A,0)))</f>
        <v/>
      </c>
    </row>
    <row r="378">
      <c r="X378" s="15" t="n"/>
      <c r="Y378" s="15">
        <f>IF($X378="","",SUMIFS(TARIFF_PROFILES!$D:$D,TARIFF_PROFILES!$A:$A,$X378))</f>
        <v/>
      </c>
      <c r="Z378" s="15">
        <f>IF($X378="","",SUMIFS(TARIFF_PROFILES!$E:$E,TARIFF_PROFILES!$A:$A,$X378))</f>
        <v/>
      </c>
      <c r="AA378" s="15">
        <f>IF($X378="","",SUMIFS(TARIFF_PROFILES!$F:$F,TARIFF_PROFILES!$A:$A,$X378))</f>
        <v/>
      </c>
      <c r="AB378" s="15">
        <f>IF($X378="","",SUMIFS(TARIFF_PROFILES!$G:$G,TARIFF_PROFILES!$A:$A,$X378))</f>
        <v/>
      </c>
      <c r="AC378" s="15">
        <f>IF($X378="","",SUMIFS(TARIFF_PROFILES!$H:$H,TARIFF_PROFILES!$A:$A,$X378))</f>
        <v/>
      </c>
      <c r="AD378" s="15">
        <f>IF($X378="","",INDEX(TARIFF_PROFILES!$J:$J,MATCH($X378,TARIFF_PROFILES!$A:$A,0)))</f>
        <v/>
      </c>
      <c r="AE378" s="15">
        <f>IF($X378="","",INDEX(TARIFF_PROFILES!$K:$K,MATCH($X378,TARIFF_PROFILES!$A:$A,0)))</f>
        <v/>
      </c>
      <c r="AH378">
        <f>IF($AG378="","",SUMIFS(OPERATING_COEFFS!$C:$C,OPERATING_COEFFS!$A:$A,"DistanceClass",OPERATING_COEFFS!$B:$B,$AG378))</f>
        <v/>
      </c>
      <c r="AJ378">
        <f>IF($AI378="","",SUMIFS(OPERATING_COEFFS!$C:$C,OPERATING_COEFFS!$A:$A,"SeasonClass",OPERATING_COEFFS!$B:$B,$AI378))</f>
        <v/>
      </c>
      <c r="AL378">
        <f>IF($AK378="","",SUMIFS(OPERATING_COEFFS!$C:$C,OPERATING_COEFFS!$A:$A,"UrgencyClass",OPERATING_COEFFS!$B:$B,$AK378))</f>
        <v/>
      </c>
      <c r="AN378">
        <f>IF($AM378="","",INDEX(TAX_MODES!$B:$B,MATCH($AM378,TAX_MODES!$A:$A,0)))</f>
        <v/>
      </c>
    </row>
    <row r="379">
      <c r="X379" s="15" t="n"/>
      <c r="Y379" s="15">
        <f>IF($X379="","",SUMIFS(TARIFF_PROFILES!$D:$D,TARIFF_PROFILES!$A:$A,$X379))</f>
        <v/>
      </c>
      <c r="Z379" s="15">
        <f>IF($X379="","",SUMIFS(TARIFF_PROFILES!$E:$E,TARIFF_PROFILES!$A:$A,$X379))</f>
        <v/>
      </c>
      <c r="AA379" s="15">
        <f>IF($X379="","",SUMIFS(TARIFF_PROFILES!$F:$F,TARIFF_PROFILES!$A:$A,$X379))</f>
        <v/>
      </c>
      <c r="AB379" s="15">
        <f>IF($X379="","",SUMIFS(TARIFF_PROFILES!$G:$G,TARIFF_PROFILES!$A:$A,$X379))</f>
        <v/>
      </c>
      <c r="AC379" s="15">
        <f>IF($X379="","",SUMIFS(TARIFF_PROFILES!$H:$H,TARIFF_PROFILES!$A:$A,$X379))</f>
        <v/>
      </c>
      <c r="AD379" s="15">
        <f>IF($X379="","",INDEX(TARIFF_PROFILES!$J:$J,MATCH($X379,TARIFF_PROFILES!$A:$A,0)))</f>
        <v/>
      </c>
      <c r="AE379" s="15">
        <f>IF($X379="","",INDEX(TARIFF_PROFILES!$K:$K,MATCH($X379,TARIFF_PROFILES!$A:$A,0)))</f>
        <v/>
      </c>
      <c r="AH379">
        <f>IF($AG379="","",SUMIFS(OPERATING_COEFFS!$C:$C,OPERATING_COEFFS!$A:$A,"DistanceClass",OPERATING_COEFFS!$B:$B,$AG379))</f>
        <v/>
      </c>
      <c r="AJ379">
        <f>IF($AI379="","",SUMIFS(OPERATING_COEFFS!$C:$C,OPERATING_COEFFS!$A:$A,"SeasonClass",OPERATING_COEFFS!$B:$B,$AI379))</f>
        <v/>
      </c>
      <c r="AL379">
        <f>IF($AK379="","",SUMIFS(OPERATING_COEFFS!$C:$C,OPERATING_COEFFS!$A:$A,"UrgencyClass",OPERATING_COEFFS!$B:$B,$AK379))</f>
        <v/>
      </c>
      <c r="AN379">
        <f>IF($AM379="","",INDEX(TAX_MODES!$B:$B,MATCH($AM379,TAX_MODES!$A:$A,0)))</f>
        <v/>
      </c>
    </row>
    <row r="380">
      <c r="X380" s="15" t="n"/>
      <c r="Y380" s="15">
        <f>IF($X380="","",SUMIFS(TARIFF_PROFILES!$D:$D,TARIFF_PROFILES!$A:$A,$X380))</f>
        <v/>
      </c>
      <c r="Z380" s="15">
        <f>IF($X380="","",SUMIFS(TARIFF_PROFILES!$E:$E,TARIFF_PROFILES!$A:$A,$X380))</f>
        <v/>
      </c>
      <c r="AA380" s="15">
        <f>IF($X380="","",SUMIFS(TARIFF_PROFILES!$F:$F,TARIFF_PROFILES!$A:$A,$X380))</f>
        <v/>
      </c>
      <c r="AB380" s="15">
        <f>IF($X380="","",SUMIFS(TARIFF_PROFILES!$G:$G,TARIFF_PROFILES!$A:$A,$X380))</f>
        <v/>
      </c>
      <c r="AC380" s="15">
        <f>IF($X380="","",SUMIFS(TARIFF_PROFILES!$H:$H,TARIFF_PROFILES!$A:$A,$X380))</f>
        <v/>
      </c>
      <c r="AD380" s="15">
        <f>IF($X380="","",INDEX(TARIFF_PROFILES!$J:$J,MATCH($X380,TARIFF_PROFILES!$A:$A,0)))</f>
        <v/>
      </c>
      <c r="AE380" s="15">
        <f>IF($X380="","",INDEX(TARIFF_PROFILES!$K:$K,MATCH($X380,TARIFF_PROFILES!$A:$A,0)))</f>
        <v/>
      </c>
      <c r="AH380">
        <f>IF($AG380="","",SUMIFS(OPERATING_COEFFS!$C:$C,OPERATING_COEFFS!$A:$A,"DistanceClass",OPERATING_COEFFS!$B:$B,$AG380))</f>
        <v/>
      </c>
      <c r="AJ380">
        <f>IF($AI380="","",SUMIFS(OPERATING_COEFFS!$C:$C,OPERATING_COEFFS!$A:$A,"SeasonClass",OPERATING_COEFFS!$B:$B,$AI380))</f>
        <v/>
      </c>
      <c r="AL380">
        <f>IF($AK380="","",SUMIFS(OPERATING_COEFFS!$C:$C,OPERATING_COEFFS!$A:$A,"UrgencyClass",OPERATING_COEFFS!$B:$B,$AK380))</f>
        <v/>
      </c>
      <c r="AN380">
        <f>IF($AM380="","",INDEX(TAX_MODES!$B:$B,MATCH($AM380,TAX_MODES!$A:$A,0)))</f>
        <v/>
      </c>
    </row>
    <row r="381">
      <c r="X381" s="15" t="n"/>
      <c r="Y381" s="15">
        <f>IF($X381="","",SUMIFS(TARIFF_PROFILES!$D:$D,TARIFF_PROFILES!$A:$A,$X381))</f>
        <v/>
      </c>
      <c r="Z381" s="15">
        <f>IF($X381="","",SUMIFS(TARIFF_PROFILES!$E:$E,TARIFF_PROFILES!$A:$A,$X381))</f>
        <v/>
      </c>
      <c r="AA381" s="15">
        <f>IF($X381="","",SUMIFS(TARIFF_PROFILES!$F:$F,TARIFF_PROFILES!$A:$A,$X381))</f>
        <v/>
      </c>
      <c r="AB381" s="15">
        <f>IF($X381="","",SUMIFS(TARIFF_PROFILES!$G:$G,TARIFF_PROFILES!$A:$A,$X381))</f>
        <v/>
      </c>
      <c r="AC381" s="15">
        <f>IF($X381="","",SUMIFS(TARIFF_PROFILES!$H:$H,TARIFF_PROFILES!$A:$A,$X381))</f>
        <v/>
      </c>
      <c r="AD381" s="15">
        <f>IF($X381="","",INDEX(TARIFF_PROFILES!$J:$J,MATCH($X381,TARIFF_PROFILES!$A:$A,0)))</f>
        <v/>
      </c>
      <c r="AE381" s="15">
        <f>IF($X381="","",INDEX(TARIFF_PROFILES!$K:$K,MATCH($X381,TARIFF_PROFILES!$A:$A,0)))</f>
        <v/>
      </c>
      <c r="AH381">
        <f>IF($AG381="","",SUMIFS(OPERATING_COEFFS!$C:$C,OPERATING_COEFFS!$A:$A,"DistanceClass",OPERATING_COEFFS!$B:$B,$AG381))</f>
        <v/>
      </c>
      <c r="AJ381">
        <f>IF($AI381="","",SUMIFS(OPERATING_COEFFS!$C:$C,OPERATING_COEFFS!$A:$A,"SeasonClass",OPERATING_COEFFS!$B:$B,$AI381))</f>
        <v/>
      </c>
      <c r="AL381">
        <f>IF($AK381="","",SUMIFS(OPERATING_COEFFS!$C:$C,OPERATING_COEFFS!$A:$A,"UrgencyClass",OPERATING_COEFFS!$B:$B,$AK381))</f>
        <v/>
      </c>
      <c r="AN381">
        <f>IF($AM381="","",INDEX(TAX_MODES!$B:$B,MATCH($AM381,TAX_MODES!$A:$A,0)))</f>
        <v/>
      </c>
    </row>
    <row r="382">
      <c r="X382" s="15" t="n"/>
      <c r="Y382" s="15">
        <f>IF($X382="","",SUMIFS(TARIFF_PROFILES!$D:$D,TARIFF_PROFILES!$A:$A,$X382))</f>
        <v/>
      </c>
      <c r="Z382" s="15">
        <f>IF($X382="","",SUMIFS(TARIFF_PROFILES!$E:$E,TARIFF_PROFILES!$A:$A,$X382))</f>
        <v/>
      </c>
      <c r="AA382" s="15">
        <f>IF($X382="","",SUMIFS(TARIFF_PROFILES!$F:$F,TARIFF_PROFILES!$A:$A,$X382))</f>
        <v/>
      </c>
      <c r="AB382" s="15">
        <f>IF($X382="","",SUMIFS(TARIFF_PROFILES!$G:$G,TARIFF_PROFILES!$A:$A,$X382))</f>
        <v/>
      </c>
      <c r="AC382" s="15">
        <f>IF($X382="","",SUMIFS(TARIFF_PROFILES!$H:$H,TARIFF_PROFILES!$A:$A,$X382))</f>
        <v/>
      </c>
      <c r="AD382" s="15">
        <f>IF($X382="","",INDEX(TARIFF_PROFILES!$J:$J,MATCH($X382,TARIFF_PROFILES!$A:$A,0)))</f>
        <v/>
      </c>
      <c r="AE382" s="15">
        <f>IF($X382="","",INDEX(TARIFF_PROFILES!$K:$K,MATCH($X382,TARIFF_PROFILES!$A:$A,0)))</f>
        <v/>
      </c>
      <c r="AH382">
        <f>IF($AG382="","",SUMIFS(OPERATING_COEFFS!$C:$C,OPERATING_COEFFS!$A:$A,"DistanceClass",OPERATING_COEFFS!$B:$B,$AG382))</f>
        <v/>
      </c>
      <c r="AJ382">
        <f>IF($AI382="","",SUMIFS(OPERATING_COEFFS!$C:$C,OPERATING_COEFFS!$A:$A,"SeasonClass",OPERATING_COEFFS!$B:$B,$AI382))</f>
        <v/>
      </c>
      <c r="AL382">
        <f>IF($AK382="","",SUMIFS(OPERATING_COEFFS!$C:$C,OPERATING_COEFFS!$A:$A,"UrgencyClass",OPERATING_COEFFS!$B:$B,$AK382))</f>
        <v/>
      </c>
      <c r="AN382">
        <f>IF($AM382="","",INDEX(TAX_MODES!$B:$B,MATCH($AM382,TAX_MODES!$A:$A,0)))</f>
        <v/>
      </c>
    </row>
    <row r="383">
      <c r="X383" s="15" t="n"/>
      <c r="Y383" s="15">
        <f>IF($X383="","",SUMIFS(TARIFF_PROFILES!$D:$D,TARIFF_PROFILES!$A:$A,$X383))</f>
        <v/>
      </c>
      <c r="Z383" s="15">
        <f>IF($X383="","",SUMIFS(TARIFF_PROFILES!$E:$E,TARIFF_PROFILES!$A:$A,$X383))</f>
        <v/>
      </c>
      <c r="AA383" s="15">
        <f>IF($X383="","",SUMIFS(TARIFF_PROFILES!$F:$F,TARIFF_PROFILES!$A:$A,$X383))</f>
        <v/>
      </c>
      <c r="AB383" s="15">
        <f>IF($X383="","",SUMIFS(TARIFF_PROFILES!$G:$G,TARIFF_PROFILES!$A:$A,$X383))</f>
        <v/>
      </c>
      <c r="AC383" s="15">
        <f>IF($X383="","",SUMIFS(TARIFF_PROFILES!$H:$H,TARIFF_PROFILES!$A:$A,$X383))</f>
        <v/>
      </c>
      <c r="AD383" s="15">
        <f>IF($X383="","",INDEX(TARIFF_PROFILES!$J:$J,MATCH($X383,TARIFF_PROFILES!$A:$A,0)))</f>
        <v/>
      </c>
      <c r="AE383" s="15">
        <f>IF($X383="","",INDEX(TARIFF_PROFILES!$K:$K,MATCH($X383,TARIFF_PROFILES!$A:$A,0)))</f>
        <v/>
      </c>
      <c r="AH383">
        <f>IF($AG383="","",SUMIFS(OPERATING_COEFFS!$C:$C,OPERATING_COEFFS!$A:$A,"DistanceClass",OPERATING_COEFFS!$B:$B,$AG383))</f>
        <v/>
      </c>
      <c r="AJ383">
        <f>IF($AI383="","",SUMIFS(OPERATING_COEFFS!$C:$C,OPERATING_COEFFS!$A:$A,"SeasonClass",OPERATING_COEFFS!$B:$B,$AI383))</f>
        <v/>
      </c>
      <c r="AL383">
        <f>IF($AK383="","",SUMIFS(OPERATING_COEFFS!$C:$C,OPERATING_COEFFS!$A:$A,"UrgencyClass",OPERATING_COEFFS!$B:$B,$AK383))</f>
        <v/>
      </c>
      <c r="AN383">
        <f>IF($AM383="","",INDEX(TAX_MODES!$B:$B,MATCH($AM383,TAX_MODES!$A:$A,0)))</f>
        <v/>
      </c>
    </row>
    <row r="384">
      <c r="X384" s="15" t="n"/>
      <c r="Y384" s="15">
        <f>IF($X384="","",SUMIFS(TARIFF_PROFILES!$D:$D,TARIFF_PROFILES!$A:$A,$X384))</f>
        <v/>
      </c>
      <c r="Z384" s="15">
        <f>IF($X384="","",SUMIFS(TARIFF_PROFILES!$E:$E,TARIFF_PROFILES!$A:$A,$X384))</f>
        <v/>
      </c>
      <c r="AA384" s="15">
        <f>IF($X384="","",SUMIFS(TARIFF_PROFILES!$F:$F,TARIFF_PROFILES!$A:$A,$X384))</f>
        <v/>
      </c>
      <c r="AB384" s="15">
        <f>IF($X384="","",SUMIFS(TARIFF_PROFILES!$G:$G,TARIFF_PROFILES!$A:$A,$X384))</f>
        <v/>
      </c>
      <c r="AC384" s="15">
        <f>IF($X384="","",SUMIFS(TARIFF_PROFILES!$H:$H,TARIFF_PROFILES!$A:$A,$X384))</f>
        <v/>
      </c>
      <c r="AD384" s="15">
        <f>IF($X384="","",INDEX(TARIFF_PROFILES!$J:$J,MATCH($X384,TARIFF_PROFILES!$A:$A,0)))</f>
        <v/>
      </c>
      <c r="AE384" s="15">
        <f>IF($X384="","",INDEX(TARIFF_PROFILES!$K:$K,MATCH($X384,TARIFF_PROFILES!$A:$A,0)))</f>
        <v/>
      </c>
      <c r="AH384">
        <f>IF($AG384="","",SUMIFS(OPERATING_COEFFS!$C:$C,OPERATING_COEFFS!$A:$A,"DistanceClass",OPERATING_COEFFS!$B:$B,$AG384))</f>
        <v/>
      </c>
      <c r="AJ384">
        <f>IF($AI384="","",SUMIFS(OPERATING_COEFFS!$C:$C,OPERATING_COEFFS!$A:$A,"SeasonClass",OPERATING_COEFFS!$B:$B,$AI384))</f>
        <v/>
      </c>
      <c r="AL384">
        <f>IF($AK384="","",SUMIFS(OPERATING_COEFFS!$C:$C,OPERATING_COEFFS!$A:$A,"UrgencyClass",OPERATING_COEFFS!$B:$B,$AK384))</f>
        <v/>
      </c>
      <c r="AN384">
        <f>IF($AM384="","",INDEX(TAX_MODES!$B:$B,MATCH($AM384,TAX_MODES!$A:$A,0)))</f>
        <v/>
      </c>
    </row>
    <row r="385">
      <c r="X385" s="15" t="n"/>
      <c r="Y385" s="15">
        <f>IF($X385="","",SUMIFS(TARIFF_PROFILES!$D:$D,TARIFF_PROFILES!$A:$A,$X385))</f>
        <v/>
      </c>
      <c r="Z385" s="15">
        <f>IF($X385="","",SUMIFS(TARIFF_PROFILES!$E:$E,TARIFF_PROFILES!$A:$A,$X385))</f>
        <v/>
      </c>
      <c r="AA385" s="15">
        <f>IF($X385="","",SUMIFS(TARIFF_PROFILES!$F:$F,TARIFF_PROFILES!$A:$A,$X385))</f>
        <v/>
      </c>
      <c r="AB385" s="15">
        <f>IF($X385="","",SUMIFS(TARIFF_PROFILES!$G:$G,TARIFF_PROFILES!$A:$A,$X385))</f>
        <v/>
      </c>
      <c r="AC385" s="15">
        <f>IF($X385="","",SUMIFS(TARIFF_PROFILES!$H:$H,TARIFF_PROFILES!$A:$A,$X385))</f>
        <v/>
      </c>
      <c r="AD385" s="15">
        <f>IF($X385="","",INDEX(TARIFF_PROFILES!$J:$J,MATCH($X385,TARIFF_PROFILES!$A:$A,0)))</f>
        <v/>
      </c>
      <c r="AE385" s="15">
        <f>IF($X385="","",INDEX(TARIFF_PROFILES!$K:$K,MATCH($X385,TARIFF_PROFILES!$A:$A,0)))</f>
        <v/>
      </c>
      <c r="AH385">
        <f>IF($AG385="","",SUMIFS(OPERATING_COEFFS!$C:$C,OPERATING_COEFFS!$A:$A,"DistanceClass",OPERATING_COEFFS!$B:$B,$AG385))</f>
        <v/>
      </c>
      <c r="AJ385">
        <f>IF($AI385="","",SUMIFS(OPERATING_COEFFS!$C:$C,OPERATING_COEFFS!$A:$A,"SeasonClass",OPERATING_COEFFS!$B:$B,$AI385))</f>
        <v/>
      </c>
      <c r="AL385">
        <f>IF($AK385="","",SUMIFS(OPERATING_COEFFS!$C:$C,OPERATING_COEFFS!$A:$A,"UrgencyClass",OPERATING_COEFFS!$B:$B,$AK385))</f>
        <v/>
      </c>
      <c r="AN385">
        <f>IF($AM385="","",INDEX(TAX_MODES!$B:$B,MATCH($AM385,TAX_MODES!$A:$A,0)))</f>
        <v/>
      </c>
    </row>
    <row r="386">
      <c r="X386" s="15" t="n"/>
      <c r="Y386" s="15">
        <f>IF($X386="","",SUMIFS(TARIFF_PROFILES!$D:$D,TARIFF_PROFILES!$A:$A,$X386))</f>
        <v/>
      </c>
      <c r="Z386" s="15">
        <f>IF($X386="","",SUMIFS(TARIFF_PROFILES!$E:$E,TARIFF_PROFILES!$A:$A,$X386))</f>
        <v/>
      </c>
      <c r="AA386" s="15">
        <f>IF($X386="","",SUMIFS(TARIFF_PROFILES!$F:$F,TARIFF_PROFILES!$A:$A,$X386))</f>
        <v/>
      </c>
      <c r="AB386" s="15">
        <f>IF($X386="","",SUMIFS(TARIFF_PROFILES!$G:$G,TARIFF_PROFILES!$A:$A,$X386))</f>
        <v/>
      </c>
      <c r="AC386" s="15">
        <f>IF($X386="","",SUMIFS(TARIFF_PROFILES!$H:$H,TARIFF_PROFILES!$A:$A,$X386))</f>
        <v/>
      </c>
      <c r="AD386" s="15">
        <f>IF($X386="","",INDEX(TARIFF_PROFILES!$J:$J,MATCH($X386,TARIFF_PROFILES!$A:$A,0)))</f>
        <v/>
      </c>
      <c r="AE386" s="15">
        <f>IF($X386="","",INDEX(TARIFF_PROFILES!$K:$K,MATCH($X386,TARIFF_PROFILES!$A:$A,0)))</f>
        <v/>
      </c>
      <c r="AH386">
        <f>IF($AG386="","",SUMIFS(OPERATING_COEFFS!$C:$C,OPERATING_COEFFS!$A:$A,"DistanceClass",OPERATING_COEFFS!$B:$B,$AG386))</f>
        <v/>
      </c>
      <c r="AJ386">
        <f>IF($AI386="","",SUMIFS(OPERATING_COEFFS!$C:$C,OPERATING_COEFFS!$A:$A,"SeasonClass",OPERATING_COEFFS!$B:$B,$AI386))</f>
        <v/>
      </c>
      <c r="AL386">
        <f>IF($AK386="","",SUMIFS(OPERATING_COEFFS!$C:$C,OPERATING_COEFFS!$A:$A,"UrgencyClass",OPERATING_COEFFS!$B:$B,$AK386))</f>
        <v/>
      </c>
      <c r="AN386">
        <f>IF($AM386="","",INDEX(TAX_MODES!$B:$B,MATCH($AM386,TAX_MODES!$A:$A,0)))</f>
        <v/>
      </c>
    </row>
    <row r="387">
      <c r="X387" s="15" t="n"/>
      <c r="Y387" s="15">
        <f>IF($X387="","",SUMIFS(TARIFF_PROFILES!$D:$D,TARIFF_PROFILES!$A:$A,$X387))</f>
        <v/>
      </c>
      <c r="Z387" s="15">
        <f>IF($X387="","",SUMIFS(TARIFF_PROFILES!$E:$E,TARIFF_PROFILES!$A:$A,$X387))</f>
        <v/>
      </c>
      <c r="AA387" s="15">
        <f>IF($X387="","",SUMIFS(TARIFF_PROFILES!$F:$F,TARIFF_PROFILES!$A:$A,$X387))</f>
        <v/>
      </c>
      <c r="AB387" s="15">
        <f>IF($X387="","",SUMIFS(TARIFF_PROFILES!$G:$G,TARIFF_PROFILES!$A:$A,$X387))</f>
        <v/>
      </c>
      <c r="AC387" s="15">
        <f>IF($X387="","",SUMIFS(TARIFF_PROFILES!$H:$H,TARIFF_PROFILES!$A:$A,$X387))</f>
        <v/>
      </c>
      <c r="AD387" s="15">
        <f>IF($X387="","",INDEX(TARIFF_PROFILES!$J:$J,MATCH($X387,TARIFF_PROFILES!$A:$A,0)))</f>
        <v/>
      </c>
      <c r="AE387" s="15">
        <f>IF($X387="","",INDEX(TARIFF_PROFILES!$K:$K,MATCH($X387,TARIFF_PROFILES!$A:$A,0)))</f>
        <v/>
      </c>
      <c r="AH387">
        <f>IF($AG387="","",SUMIFS(OPERATING_COEFFS!$C:$C,OPERATING_COEFFS!$A:$A,"DistanceClass",OPERATING_COEFFS!$B:$B,$AG387))</f>
        <v/>
      </c>
      <c r="AJ387">
        <f>IF($AI387="","",SUMIFS(OPERATING_COEFFS!$C:$C,OPERATING_COEFFS!$A:$A,"SeasonClass",OPERATING_COEFFS!$B:$B,$AI387))</f>
        <v/>
      </c>
      <c r="AL387">
        <f>IF($AK387="","",SUMIFS(OPERATING_COEFFS!$C:$C,OPERATING_COEFFS!$A:$A,"UrgencyClass",OPERATING_COEFFS!$B:$B,$AK387))</f>
        <v/>
      </c>
      <c r="AN387">
        <f>IF($AM387="","",INDEX(TAX_MODES!$B:$B,MATCH($AM387,TAX_MODES!$A:$A,0)))</f>
        <v/>
      </c>
    </row>
    <row r="388">
      <c r="X388" s="15" t="n"/>
      <c r="Y388" s="15">
        <f>IF($X388="","",SUMIFS(TARIFF_PROFILES!$D:$D,TARIFF_PROFILES!$A:$A,$X388))</f>
        <v/>
      </c>
      <c r="Z388" s="15">
        <f>IF($X388="","",SUMIFS(TARIFF_PROFILES!$E:$E,TARIFF_PROFILES!$A:$A,$X388))</f>
        <v/>
      </c>
      <c r="AA388" s="15">
        <f>IF($X388="","",SUMIFS(TARIFF_PROFILES!$F:$F,TARIFF_PROFILES!$A:$A,$X388))</f>
        <v/>
      </c>
      <c r="AB388" s="15">
        <f>IF($X388="","",SUMIFS(TARIFF_PROFILES!$G:$G,TARIFF_PROFILES!$A:$A,$X388))</f>
        <v/>
      </c>
      <c r="AC388" s="15">
        <f>IF($X388="","",SUMIFS(TARIFF_PROFILES!$H:$H,TARIFF_PROFILES!$A:$A,$X388))</f>
        <v/>
      </c>
      <c r="AD388" s="15">
        <f>IF($X388="","",INDEX(TARIFF_PROFILES!$J:$J,MATCH($X388,TARIFF_PROFILES!$A:$A,0)))</f>
        <v/>
      </c>
      <c r="AE388" s="15">
        <f>IF($X388="","",INDEX(TARIFF_PROFILES!$K:$K,MATCH($X388,TARIFF_PROFILES!$A:$A,0)))</f>
        <v/>
      </c>
      <c r="AH388">
        <f>IF($AG388="","",SUMIFS(OPERATING_COEFFS!$C:$C,OPERATING_COEFFS!$A:$A,"DistanceClass",OPERATING_COEFFS!$B:$B,$AG388))</f>
        <v/>
      </c>
      <c r="AJ388">
        <f>IF($AI388="","",SUMIFS(OPERATING_COEFFS!$C:$C,OPERATING_COEFFS!$A:$A,"SeasonClass",OPERATING_COEFFS!$B:$B,$AI388))</f>
        <v/>
      </c>
      <c r="AL388">
        <f>IF($AK388="","",SUMIFS(OPERATING_COEFFS!$C:$C,OPERATING_COEFFS!$A:$A,"UrgencyClass",OPERATING_COEFFS!$B:$B,$AK388))</f>
        <v/>
      </c>
      <c r="AN388">
        <f>IF($AM388="","",INDEX(TAX_MODES!$B:$B,MATCH($AM388,TAX_MODES!$A:$A,0)))</f>
        <v/>
      </c>
    </row>
    <row r="389">
      <c r="X389" s="15" t="n"/>
      <c r="Y389" s="15">
        <f>IF($X389="","",SUMIFS(TARIFF_PROFILES!$D:$D,TARIFF_PROFILES!$A:$A,$X389))</f>
        <v/>
      </c>
      <c r="Z389" s="15">
        <f>IF($X389="","",SUMIFS(TARIFF_PROFILES!$E:$E,TARIFF_PROFILES!$A:$A,$X389))</f>
        <v/>
      </c>
      <c r="AA389" s="15">
        <f>IF($X389="","",SUMIFS(TARIFF_PROFILES!$F:$F,TARIFF_PROFILES!$A:$A,$X389))</f>
        <v/>
      </c>
      <c r="AB389" s="15">
        <f>IF($X389="","",SUMIFS(TARIFF_PROFILES!$G:$G,TARIFF_PROFILES!$A:$A,$X389))</f>
        <v/>
      </c>
      <c r="AC389" s="15">
        <f>IF($X389="","",SUMIFS(TARIFF_PROFILES!$H:$H,TARIFF_PROFILES!$A:$A,$X389))</f>
        <v/>
      </c>
      <c r="AD389" s="15">
        <f>IF($X389="","",INDEX(TARIFF_PROFILES!$J:$J,MATCH($X389,TARIFF_PROFILES!$A:$A,0)))</f>
        <v/>
      </c>
      <c r="AE389" s="15">
        <f>IF($X389="","",INDEX(TARIFF_PROFILES!$K:$K,MATCH($X389,TARIFF_PROFILES!$A:$A,0)))</f>
        <v/>
      </c>
      <c r="AH389">
        <f>IF($AG389="","",SUMIFS(OPERATING_COEFFS!$C:$C,OPERATING_COEFFS!$A:$A,"DistanceClass",OPERATING_COEFFS!$B:$B,$AG389))</f>
        <v/>
      </c>
      <c r="AJ389">
        <f>IF($AI389="","",SUMIFS(OPERATING_COEFFS!$C:$C,OPERATING_COEFFS!$A:$A,"SeasonClass",OPERATING_COEFFS!$B:$B,$AI389))</f>
        <v/>
      </c>
      <c r="AL389">
        <f>IF($AK389="","",SUMIFS(OPERATING_COEFFS!$C:$C,OPERATING_COEFFS!$A:$A,"UrgencyClass",OPERATING_COEFFS!$B:$B,$AK389))</f>
        <v/>
      </c>
      <c r="AN389">
        <f>IF($AM389="","",INDEX(TAX_MODES!$B:$B,MATCH($AM389,TAX_MODES!$A:$A,0)))</f>
        <v/>
      </c>
    </row>
    <row r="390">
      <c r="X390" s="15" t="n"/>
      <c r="Y390" s="15">
        <f>IF($X390="","",SUMIFS(TARIFF_PROFILES!$D:$D,TARIFF_PROFILES!$A:$A,$X390))</f>
        <v/>
      </c>
      <c r="Z390" s="15">
        <f>IF($X390="","",SUMIFS(TARIFF_PROFILES!$E:$E,TARIFF_PROFILES!$A:$A,$X390))</f>
        <v/>
      </c>
      <c r="AA390" s="15">
        <f>IF($X390="","",SUMIFS(TARIFF_PROFILES!$F:$F,TARIFF_PROFILES!$A:$A,$X390))</f>
        <v/>
      </c>
      <c r="AB390" s="15">
        <f>IF($X390="","",SUMIFS(TARIFF_PROFILES!$G:$G,TARIFF_PROFILES!$A:$A,$X390))</f>
        <v/>
      </c>
      <c r="AC390" s="15">
        <f>IF($X390="","",SUMIFS(TARIFF_PROFILES!$H:$H,TARIFF_PROFILES!$A:$A,$X390))</f>
        <v/>
      </c>
      <c r="AD390" s="15">
        <f>IF($X390="","",INDEX(TARIFF_PROFILES!$J:$J,MATCH($X390,TARIFF_PROFILES!$A:$A,0)))</f>
        <v/>
      </c>
      <c r="AE390" s="15">
        <f>IF($X390="","",INDEX(TARIFF_PROFILES!$K:$K,MATCH($X390,TARIFF_PROFILES!$A:$A,0)))</f>
        <v/>
      </c>
      <c r="AH390">
        <f>IF($AG390="","",SUMIFS(OPERATING_COEFFS!$C:$C,OPERATING_COEFFS!$A:$A,"DistanceClass",OPERATING_COEFFS!$B:$B,$AG390))</f>
        <v/>
      </c>
      <c r="AJ390">
        <f>IF($AI390="","",SUMIFS(OPERATING_COEFFS!$C:$C,OPERATING_COEFFS!$A:$A,"SeasonClass",OPERATING_COEFFS!$B:$B,$AI390))</f>
        <v/>
      </c>
      <c r="AL390">
        <f>IF($AK390="","",SUMIFS(OPERATING_COEFFS!$C:$C,OPERATING_COEFFS!$A:$A,"UrgencyClass",OPERATING_COEFFS!$B:$B,$AK390))</f>
        <v/>
      </c>
      <c r="AN390">
        <f>IF($AM390="","",INDEX(TAX_MODES!$B:$B,MATCH($AM390,TAX_MODES!$A:$A,0)))</f>
        <v/>
      </c>
    </row>
    <row r="391">
      <c r="X391" s="15" t="n"/>
      <c r="Y391" s="15">
        <f>IF($X391="","",SUMIFS(TARIFF_PROFILES!$D:$D,TARIFF_PROFILES!$A:$A,$X391))</f>
        <v/>
      </c>
      <c r="Z391" s="15">
        <f>IF($X391="","",SUMIFS(TARIFF_PROFILES!$E:$E,TARIFF_PROFILES!$A:$A,$X391))</f>
        <v/>
      </c>
      <c r="AA391" s="15">
        <f>IF($X391="","",SUMIFS(TARIFF_PROFILES!$F:$F,TARIFF_PROFILES!$A:$A,$X391))</f>
        <v/>
      </c>
      <c r="AB391" s="15">
        <f>IF($X391="","",SUMIFS(TARIFF_PROFILES!$G:$G,TARIFF_PROFILES!$A:$A,$X391))</f>
        <v/>
      </c>
      <c r="AC391" s="15">
        <f>IF($X391="","",SUMIFS(TARIFF_PROFILES!$H:$H,TARIFF_PROFILES!$A:$A,$X391))</f>
        <v/>
      </c>
      <c r="AD391" s="15">
        <f>IF($X391="","",INDEX(TARIFF_PROFILES!$J:$J,MATCH($X391,TARIFF_PROFILES!$A:$A,0)))</f>
        <v/>
      </c>
      <c r="AE391" s="15">
        <f>IF($X391="","",INDEX(TARIFF_PROFILES!$K:$K,MATCH($X391,TARIFF_PROFILES!$A:$A,0)))</f>
        <v/>
      </c>
      <c r="AH391">
        <f>IF($AG391="","",SUMIFS(OPERATING_COEFFS!$C:$C,OPERATING_COEFFS!$A:$A,"DistanceClass",OPERATING_COEFFS!$B:$B,$AG391))</f>
        <v/>
      </c>
      <c r="AJ391">
        <f>IF($AI391="","",SUMIFS(OPERATING_COEFFS!$C:$C,OPERATING_COEFFS!$A:$A,"SeasonClass",OPERATING_COEFFS!$B:$B,$AI391))</f>
        <v/>
      </c>
      <c r="AL391">
        <f>IF($AK391="","",SUMIFS(OPERATING_COEFFS!$C:$C,OPERATING_COEFFS!$A:$A,"UrgencyClass",OPERATING_COEFFS!$B:$B,$AK391))</f>
        <v/>
      </c>
      <c r="AN391">
        <f>IF($AM391="","",INDEX(TAX_MODES!$B:$B,MATCH($AM391,TAX_MODES!$A:$A,0)))</f>
        <v/>
      </c>
    </row>
    <row r="392">
      <c r="X392" s="15" t="n"/>
      <c r="Y392" s="15">
        <f>IF($X392="","",SUMIFS(TARIFF_PROFILES!$D:$D,TARIFF_PROFILES!$A:$A,$X392))</f>
        <v/>
      </c>
      <c r="Z392" s="15">
        <f>IF($X392="","",SUMIFS(TARIFF_PROFILES!$E:$E,TARIFF_PROFILES!$A:$A,$X392))</f>
        <v/>
      </c>
      <c r="AA392" s="15">
        <f>IF($X392="","",SUMIFS(TARIFF_PROFILES!$F:$F,TARIFF_PROFILES!$A:$A,$X392))</f>
        <v/>
      </c>
      <c r="AB392" s="15">
        <f>IF($X392="","",SUMIFS(TARIFF_PROFILES!$G:$G,TARIFF_PROFILES!$A:$A,$X392))</f>
        <v/>
      </c>
      <c r="AC392" s="15">
        <f>IF($X392="","",SUMIFS(TARIFF_PROFILES!$H:$H,TARIFF_PROFILES!$A:$A,$X392))</f>
        <v/>
      </c>
      <c r="AD392" s="15">
        <f>IF($X392="","",INDEX(TARIFF_PROFILES!$J:$J,MATCH($X392,TARIFF_PROFILES!$A:$A,0)))</f>
        <v/>
      </c>
      <c r="AE392" s="15">
        <f>IF($X392="","",INDEX(TARIFF_PROFILES!$K:$K,MATCH($X392,TARIFF_PROFILES!$A:$A,0)))</f>
        <v/>
      </c>
      <c r="AH392">
        <f>IF($AG392="","",SUMIFS(OPERATING_COEFFS!$C:$C,OPERATING_COEFFS!$A:$A,"DistanceClass",OPERATING_COEFFS!$B:$B,$AG392))</f>
        <v/>
      </c>
      <c r="AJ392">
        <f>IF($AI392="","",SUMIFS(OPERATING_COEFFS!$C:$C,OPERATING_COEFFS!$A:$A,"SeasonClass",OPERATING_COEFFS!$B:$B,$AI392))</f>
        <v/>
      </c>
      <c r="AL392">
        <f>IF($AK392="","",SUMIFS(OPERATING_COEFFS!$C:$C,OPERATING_COEFFS!$A:$A,"UrgencyClass",OPERATING_COEFFS!$B:$B,$AK392))</f>
        <v/>
      </c>
      <c r="AN392">
        <f>IF($AM392="","",INDEX(TAX_MODES!$B:$B,MATCH($AM392,TAX_MODES!$A:$A,0)))</f>
        <v/>
      </c>
    </row>
    <row r="393">
      <c r="X393" s="15" t="n"/>
      <c r="Y393" s="15">
        <f>IF($X393="","",SUMIFS(TARIFF_PROFILES!$D:$D,TARIFF_PROFILES!$A:$A,$X393))</f>
        <v/>
      </c>
      <c r="Z393" s="15">
        <f>IF($X393="","",SUMIFS(TARIFF_PROFILES!$E:$E,TARIFF_PROFILES!$A:$A,$X393))</f>
        <v/>
      </c>
      <c r="AA393" s="15">
        <f>IF($X393="","",SUMIFS(TARIFF_PROFILES!$F:$F,TARIFF_PROFILES!$A:$A,$X393))</f>
        <v/>
      </c>
      <c r="AB393" s="15">
        <f>IF($X393="","",SUMIFS(TARIFF_PROFILES!$G:$G,TARIFF_PROFILES!$A:$A,$X393))</f>
        <v/>
      </c>
      <c r="AC393" s="15">
        <f>IF($X393="","",SUMIFS(TARIFF_PROFILES!$H:$H,TARIFF_PROFILES!$A:$A,$X393))</f>
        <v/>
      </c>
      <c r="AD393" s="15">
        <f>IF($X393="","",INDEX(TARIFF_PROFILES!$J:$J,MATCH($X393,TARIFF_PROFILES!$A:$A,0)))</f>
        <v/>
      </c>
      <c r="AE393" s="15">
        <f>IF($X393="","",INDEX(TARIFF_PROFILES!$K:$K,MATCH($X393,TARIFF_PROFILES!$A:$A,0)))</f>
        <v/>
      </c>
      <c r="AH393">
        <f>IF($AG393="","",SUMIFS(OPERATING_COEFFS!$C:$C,OPERATING_COEFFS!$A:$A,"DistanceClass",OPERATING_COEFFS!$B:$B,$AG393))</f>
        <v/>
      </c>
      <c r="AJ393">
        <f>IF($AI393="","",SUMIFS(OPERATING_COEFFS!$C:$C,OPERATING_COEFFS!$A:$A,"SeasonClass",OPERATING_COEFFS!$B:$B,$AI393))</f>
        <v/>
      </c>
      <c r="AL393">
        <f>IF($AK393="","",SUMIFS(OPERATING_COEFFS!$C:$C,OPERATING_COEFFS!$A:$A,"UrgencyClass",OPERATING_COEFFS!$B:$B,$AK393))</f>
        <v/>
      </c>
      <c r="AN393">
        <f>IF($AM393="","",INDEX(TAX_MODES!$B:$B,MATCH($AM393,TAX_MODES!$A:$A,0)))</f>
        <v/>
      </c>
    </row>
    <row r="394">
      <c r="X394" s="15" t="n"/>
      <c r="Y394" s="15">
        <f>IF($X394="","",SUMIFS(TARIFF_PROFILES!$D:$D,TARIFF_PROFILES!$A:$A,$X394))</f>
        <v/>
      </c>
      <c r="Z394" s="15">
        <f>IF($X394="","",SUMIFS(TARIFF_PROFILES!$E:$E,TARIFF_PROFILES!$A:$A,$X394))</f>
        <v/>
      </c>
      <c r="AA394" s="15">
        <f>IF($X394="","",SUMIFS(TARIFF_PROFILES!$F:$F,TARIFF_PROFILES!$A:$A,$X394))</f>
        <v/>
      </c>
      <c r="AB394" s="15">
        <f>IF($X394="","",SUMIFS(TARIFF_PROFILES!$G:$G,TARIFF_PROFILES!$A:$A,$X394))</f>
        <v/>
      </c>
      <c r="AC394" s="15">
        <f>IF($X394="","",SUMIFS(TARIFF_PROFILES!$H:$H,TARIFF_PROFILES!$A:$A,$X394))</f>
        <v/>
      </c>
      <c r="AD394" s="15">
        <f>IF($X394="","",INDEX(TARIFF_PROFILES!$J:$J,MATCH($X394,TARIFF_PROFILES!$A:$A,0)))</f>
        <v/>
      </c>
      <c r="AE394" s="15">
        <f>IF($X394="","",INDEX(TARIFF_PROFILES!$K:$K,MATCH($X394,TARIFF_PROFILES!$A:$A,0)))</f>
        <v/>
      </c>
      <c r="AH394">
        <f>IF($AG394="","",SUMIFS(OPERATING_COEFFS!$C:$C,OPERATING_COEFFS!$A:$A,"DistanceClass",OPERATING_COEFFS!$B:$B,$AG394))</f>
        <v/>
      </c>
      <c r="AJ394">
        <f>IF($AI394="","",SUMIFS(OPERATING_COEFFS!$C:$C,OPERATING_COEFFS!$A:$A,"SeasonClass",OPERATING_COEFFS!$B:$B,$AI394))</f>
        <v/>
      </c>
      <c r="AL394">
        <f>IF($AK394="","",SUMIFS(OPERATING_COEFFS!$C:$C,OPERATING_COEFFS!$A:$A,"UrgencyClass",OPERATING_COEFFS!$B:$B,$AK394))</f>
        <v/>
      </c>
      <c r="AN394">
        <f>IF($AM394="","",INDEX(TAX_MODES!$B:$B,MATCH($AM394,TAX_MODES!$A:$A,0)))</f>
        <v/>
      </c>
    </row>
    <row r="395">
      <c r="X395" s="15" t="n"/>
      <c r="Y395" s="15">
        <f>IF($X395="","",SUMIFS(TARIFF_PROFILES!$D:$D,TARIFF_PROFILES!$A:$A,$X395))</f>
        <v/>
      </c>
      <c r="Z395" s="15">
        <f>IF($X395="","",SUMIFS(TARIFF_PROFILES!$E:$E,TARIFF_PROFILES!$A:$A,$X395))</f>
        <v/>
      </c>
      <c r="AA395" s="15">
        <f>IF($X395="","",SUMIFS(TARIFF_PROFILES!$F:$F,TARIFF_PROFILES!$A:$A,$X395))</f>
        <v/>
      </c>
      <c r="AB395" s="15">
        <f>IF($X395="","",SUMIFS(TARIFF_PROFILES!$G:$G,TARIFF_PROFILES!$A:$A,$X395))</f>
        <v/>
      </c>
      <c r="AC395" s="15">
        <f>IF($X395="","",SUMIFS(TARIFF_PROFILES!$H:$H,TARIFF_PROFILES!$A:$A,$X395))</f>
        <v/>
      </c>
      <c r="AD395" s="15">
        <f>IF($X395="","",INDEX(TARIFF_PROFILES!$J:$J,MATCH($X395,TARIFF_PROFILES!$A:$A,0)))</f>
        <v/>
      </c>
      <c r="AE395" s="15">
        <f>IF($X395="","",INDEX(TARIFF_PROFILES!$K:$K,MATCH($X395,TARIFF_PROFILES!$A:$A,0)))</f>
        <v/>
      </c>
      <c r="AH395">
        <f>IF($AG395="","",SUMIFS(OPERATING_COEFFS!$C:$C,OPERATING_COEFFS!$A:$A,"DistanceClass",OPERATING_COEFFS!$B:$B,$AG395))</f>
        <v/>
      </c>
      <c r="AJ395">
        <f>IF($AI395="","",SUMIFS(OPERATING_COEFFS!$C:$C,OPERATING_COEFFS!$A:$A,"SeasonClass",OPERATING_COEFFS!$B:$B,$AI395))</f>
        <v/>
      </c>
      <c r="AL395">
        <f>IF($AK395="","",SUMIFS(OPERATING_COEFFS!$C:$C,OPERATING_COEFFS!$A:$A,"UrgencyClass",OPERATING_COEFFS!$B:$B,$AK395))</f>
        <v/>
      </c>
      <c r="AN395">
        <f>IF($AM395="","",INDEX(TAX_MODES!$B:$B,MATCH($AM395,TAX_MODES!$A:$A,0)))</f>
        <v/>
      </c>
    </row>
    <row r="396">
      <c r="X396" s="15" t="n"/>
      <c r="Y396" s="15">
        <f>IF($X396="","",SUMIFS(TARIFF_PROFILES!$D:$D,TARIFF_PROFILES!$A:$A,$X396))</f>
        <v/>
      </c>
      <c r="Z396" s="15">
        <f>IF($X396="","",SUMIFS(TARIFF_PROFILES!$E:$E,TARIFF_PROFILES!$A:$A,$X396))</f>
        <v/>
      </c>
      <c r="AA396" s="15">
        <f>IF($X396="","",SUMIFS(TARIFF_PROFILES!$F:$F,TARIFF_PROFILES!$A:$A,$X396))</f>
        <v/>
      </c>
      <c r="AB396" s="15">
        <f>IF($X396="","",SUMIFS(TARIFF_PROFILES!$G:$G,TARIFF_PROFILES!$A:$A,$X396))</f>
        <v/>
      </c>
      <c r="AC396" s="15">
        <f>IF($X396="","",SUMIFS(TARIFF_PROFILES!$H:$H,TARIFF_PROFILES!$A:$A,$X396))</f>
        <v/>
      </c>
      <c r="AD396" s="15">
        <f>IF($X396="","",INDEX(TARIFF_PROFILES!$J:$J,MATCH($X396,TARIFF_PROFILES!$A:$A,0)))</f>
        <v/>
      </c>
      <c r="AE396" s="15">
        <f>IF($X396="","",INDEX(TARIFF_PROFILES!$K:$K,MATCH($X396,TARIFF_PROFILES!$A:$A,0)))</f>
        <v/>
      </c>
      <c r="AH396">
        <f>IF($AG396="","",SUMIFS(OPERATING_COEFFS!$C:$C,OPERATING_COEFFS!$A:$A,"DistanceClass",OPERATING_COEFFS!$B:$B,$AG396))</f>
        <v/>
      </c>
      <c r="AJ396">
        <f>IF($AI396="","",SUMIFS(OPERATING_COEFFS!$C:$C,OPERATING_COEFFS!$A:$A,"SeasonClass",OPERATING_COEFFS!$B:$B,$AI396))</f>
        <v/>
      </c>
      <c r="AL396">
        <f>IF($AK396="","",SUMIFS(OPERATING_COEFFS!$C:$C,OPERATING_COEFFS!$A:$A,"UrgencyClass",OPERATING_COEFFS!$B:$B,$AK396))</f>
        <v/>
      </c>
      <c r="AN396">
        <f>IF($AM396="","",INDEX(TAX_MODES!$B:$B,MATCH($AM396,TAX_MODES!$A:$A,0)))</f>
        <v/>
      </c>
    </row>
    <row r="397">
      <c r="X397" s="15" t="n"/>
      <c r="Y397" s="15">
        <f>IF($X397="","",SUMIFS(TARIFF_PROFILES!$D:$D,TARIFF_PROFILES!$A:$A,$X397))</f>
        <v/>
      </c>
      <c r="Z397" s="15">
        <f>IF($X397="","",SUMIFS(TARIFF_PROFILES!$E:$E,TARIFF_PROFILES!$A:$A,$X397))</f>
        <v/>
      </c>
      <c r="AA397" s="15">
        <f>IF($X397="","",SUMIFS(TARIFF_PROFILES!$F:$F,TARIFF_PROFILES!$A:$A,$X397))</f>
        <v/>
      </c>
      <c r="AB397" s="15">
        <f>IF($X397="","",SUMIFS(TARIFF_PROFILES!$G:$G,TARIFF_PROFILES!$A:$A,$X397))</f>
        <v/>
      </c>
      <c r="AC397" s="15">
        <f>IF($X397="","",SUMIFS(TARIFF_PROFILES!$H:$H,TARIFF_PROFILES!$A:$A,$X397))</f>
        <v/>
      </c>
      <c r="AD397" s="15">
        <f>IF($X397="","",INDEX(TARIFF_PROFILES!$J:$J,MATCH($X397,TARIFF_PROFILES!$A:$A,0)))</f>
        <v/>
      </c>
      <c r="AE397" s="15">
        <f>IF($X397="","",INDEX(TARIFF_PROFILES!$K:$K,MATCH($X397,TARIFF_PROFILES!$A:$A,0)))</f>
        <v/>
      </c>
      <c r="AH397">
        <f>IF($AG397="","",SUMIFS(OPERATING_COEFFS!$C:$C,OPERATING_COEFFS!$A:$A,"DistanceClass",OPERATING_COEFFS!$B:$B,$AG397))</f>
        <v/>
      </c>
      <c r="AJ397">
        <f>IF($AI397="","",SUMIFS(OPERATING_COEFFS!$C:$C,OPERATING_COEFFS!$A:$A,"SeasonClass",OPERATING_COEFFS!$B:$B,$AI397))</f>
        <v/>
      </c>
      <c r="AL397">
        <f>IF($AK397="","",SUMIFS(OPERATING_COEFFS!$C:$C,OPERATING_COEFFS!$A:$A,"UrgencyClass",OPERATING_COEFFS!$B:$B,$AK397))</f>
        <v/>
      </c>
      <c r="AN397">
        <f>IF($AM397="","",INDEX(TAX_MODES!$B:$B,MATCH($AM397,TAX_MODES!$A:$A,0)))</f>
        <v/>
      </c>
    </row>
    <row r="398">
      <c r="X398" s="15" t="n"/>
      <c r="Y398" s="15">
        <f>IF($X398="","",SUMIFS(TARIFF_PROFILES!$D:$D,TARIFF_PROFILES!$A:$A,$X398))</f>
        <v/>
      </c>
      <c r="Z398" s="15">
        <f>IF($X398="","",SUMIFS(TARIFF_PROFILES!$E:$E,TARIFF_PROFILES!$A:$A,$X398))</f>
        <v/>
      </c>
      <c r="AA398" s="15">
        <f>IF($X398="","",SUMIFS(TARIFF_PROFILES!$F:$F,TARIFF_PROFILES!$A:$A,$X398))</f>
        <v/>
      </c>
      <c r="AB398" s="15">
        <f>IF($X398="","",SUMIFS(TARIFF_PROFILES!$G:$G,TARIFF_PROFILES!$A:$A,$X398))</f>
        <v/>
      </c>
      <c r="AC398" s="15">
        <f>IF($X398="","",SUMIFS(TARIFF_PROFILES!$H:$H,TARIFF_PROFILES!$A:$A,$X398))</f>
        <v/>
      </c>
      <c r="AD398" s="15">
        <f>IF($X398="","",INDEX(TARIFF_PROFILES!$J:$J,MATCH($X398,TARIFF_PROFILES!$A:$A,0)))</f>
        <v/>
      </c>
      <c r="AE398" s="15">
        <f>IF($X398="","",INDEX(TARIFF_PROFILES!$K:$K,MATCH($X398,TARIFF_PROFILES!$A:$A,0)))</f>
        <v/>
      </c>
      <c r="AH398">
        <f>IF($AG398="","",SUMIFS(OPERATING_COEFFS!$C:$C,OPERATING_COEFFS!$A:$A,"DistanceClass",OPERATING_COEFFS!$B:$B,$AG398))</f>
        <v/>
      </c>
      <c r="AJ398">
        <f>IF($AI398="","",SUMIFS(OPERATING_COEFFS!$C:$C,OPERATING_COEFFS!$A:$A,"SeasonClass",OPERATING_COEFFS!$B:$B,$AI398))</f>
        <v/>
      </c>
      <c r="AL398">
        <f>IF($AK398="","",SUMIFS(OPERATING_COEFFS!$C:$C,OPERATING_COEFFS!$A:$A,"UrgencyClass",OPERATING_COEFFS!$B:$B,$AK398))</f>
        <v/>
      </c>
      <c r="AN398">
        <f>IF($AM398="","",INDEX(TAX_MODES!$B:$B,MATCH($AM398,TAX_MODES!$A:$A,0)))</f>
        <v/>
      </c>
    </row>
    <row r="399">
      <c r="X399" s="15" t="n"/>
      <c r="Y399" s="15">
        <f>IF($X399="","",SUMIFS(TARIFF_PROFILES!$D:$D,TARIFF_PROFILES!$A:$A,$X399))</f>
        <v/>
      </c>
      <c r="Z399" s="15">
        <f>IF($X399="","",SUMIFS(TARIFF_PROFILES!$E:$E,TARIFF_PROFILES!$A:$A,$X399))</f>
        <v/>
      </c>
      <c r="AA399" s="15">
        <f>IF($X399="","",SUMIFS(TARIFF_PROFILES!$F:$F,TARIFF_PROFILES!$A:$A,$X399))</f>
        <v/>
      </c>
      <c r="AB399" s="15">
        <f>IF($X399="","",SUMIFS(TARIFF_PROFILES!$G:$G,TARIFF_PROFILES!$A:$A,$X399))</f>
        <v/>
      </c>
      <c r="AC399" s="15">
        <f>IF($X399="","",SUMIFS(TARIFF_PROFILES!$H:$H,TARIFF_PROFILES!$A:$A,$X399))</f>
        <v/>
      </c>
      <c r="AD399" s="15">
        <f>IF($X399="","",INDEX(TARIFF_PROFILES!$J:$J,MATCH($X399,TARIFF_PROFILES!$A:$A,0)))</f>
        <v/>
      </c>
      <c r="AE399" s="15">
        <f>IF($X399="","",INDEX(TARIFF_PROFILES!$K:$K,MATCH($X399,TARIFF_PROFILES!$A:$A,0)))</f>
        <v/>
      </c>
      <c r="AH399">
        <f>IF($AG399="","",SUMIFS(OPERATING_COEFFS!$C:$C,OPERATING_COEFFS!$A:$A,"DistanceClass",OPERATING_COEFFS!$B:$B,$AG399))</f>
        <v/>
      </c>
      <c r="AJ399">
        <f>IF($AI399="","",SUMIFS(OPERATING_COEFFS!$C:$C,OPERATING_COEFFS!$A:$A,"SeasonClass",OPERATING_COEFFS!$B:$B,$AI399))</f>
        <v/>
      </c>
      <c r="AL399">
        <f>IF($AK399="","",SUMIFS(OPERATING_COEFFS!$C:$C,OPERATING_COEFFS!$A:$A,"UrgencyClass",OPERATING_COEFFS!$B:$B,$AK399))</f>
        <v/>
      </c>
      <c r="AN399">
        <f>IF($AM399="","",INDEX(TAX_MODES!$B:$B,MATCH($AM399,TAX_MODES!$A:$A,0)))</f>
        <v/>
      </c>
    </row>
    <row r="400">
      <c r="X400" s="15" t="n"/>
      <c r="Y400" s="15">
        <f>IF($X400="","",SUMIFS(TARIFF_PROFILES!$D:$D,TARIFF_PROFILES!$A:$A,$X400))</f>
        <v/>
      </c>
      <c r="Z400" s="15">
        <f>IF($X400="","",SUMIFS(TARIFF_PROFILES!$E:$E,TARIFF_PROFILES!$A:$A,$X400))</f>
        <v/>
      </c>
      <c r="AA400" s="15">
        <f>IF($X400="","",SUMIFS(TARIFF_PROFILES!$F:$F,TARIFF_PROFILES!$A:$A,$X400))</f>
        <v/>
      </c>
      <c r="AB400" s="15">
        <f>IF($X400="","",SUMIFS(TARIFF_PROFILES!$G:$G,TARIFF_PROFILES!$A:$A,$X400))</f>
        <v/>
      </c>
      <c r="AC400" s="15">
        <f>IF($X400="","",SUMIFS(TARIFF_PROFILES!$H:$H,TARIFF_PROFILES!$A:$A,$X400))</f>
        <v/>
      </c>
      <c r="AD400" s="15">
        <f>IF($X400="","",INDEX(TARIFF_PROFILES!$J:$J,MATCH($X400,TARIFF_PROFILES!$A:$A,0)))</f>
        <v/>
      </c>
      <c r="AE400" s="15">
        <f>IF($X400="","",INDEX(TARIFF_PROFILES!$K:$K,MATCH($X400,TARIFF_PROFILES!$A:$A,0)))</f>
        <v/>
      </c>
      <c r="AH400">
        <f>IF($AG400="","",SUMIFS(OPERATING_COEFFS!$C:$C,OPERATING_COEFFS!$A:$A,"DistanceClass",OPERATING_COEFFS!$B:$B,$AG400))</f>
        <v/>
      </c>
      <c r="AJ400">
        <f>IF($AI400="","",SUMIFS(OPERATING_COEFFS!$C:$C,OPERATING_COEFFS!$A:$A,"SeasonClass",OPERATING_COEFFS!$B:$B,$AI400))</f>
        <v/>
      </c>
      <c r="AL400">
        <f>IF($AK400="","",SUMIFS(OPERATING_COEFFS!$C:$C,OPERATING_COEFFS!$A:$A,"UrgencyClass",OPERATING_COEFFS!$B:$B,$AK400))</f>
        <v/>
      </c>
      <c r="AN400">
        <f>IF($AM400="","",INDEX(TAX_MODES!$B:$B,MATCH($AM400,TAX_MODES!$A:$A,0)))</f>
        <v/>
      </c>
    </row>
    <row r="401">
      <c r="X401" s="15" t="n"/>
      <c r="Y401" s="15">
        <f>IF($X401="","",SUMIFS(TARIFF_PROFILES!$D:$D,TARIFF_PROFILES!$A:$A,$X401))</f>
        <v/>
      </c>
      <c r="Z401" s="15">
        <f>IF($X401="","",SUMIFS(TARIFF_PROFILES!$E:$E,TARIFF_PROFILES!$A:$A,$X401))</f>
        <v/>
      </c>
      <c r="AA401" s="15">
        <f>IF($X401="","",SUMIFS(TARIFF_PROFILES!$F:$F,TARIFF_PROFILES!$A:$A,$X401))</f>
        <v/>
      </c>
      <c r="AB401" s="15">
        <f>IF($X401="","",SUMIFS(TARIFF_PROFILES!$G:$G,TARIFF_PROFILES!$A:$A,$X401))</f>
        <v/>
      </c>
      <c r="AC401" s="15">
        <f>IF($X401="","",SUMIFS(TARIFF_PROFILES!$H:$H,TARIFF_PROFILES!$A:$A,$X401))</f>
        <v/>
      </c>
      <c r="AD401" s="15">
        <f>IF($X401="","",INDEX(TARIFF_PROFILES!$J:$J,MATCH($X401,TARIFF_PROFILES!$A:$A,0)))</f>
        <v/>
      </c>
      <c r="AE401" s="15">
        <f>IF($X401="","",INDEX(TARIFF_PROFILES!$K:$K,MATCH($X401,TARIFF_PROFILES!$A:$A,0)))</f>
        <v/>
      </c>
      <c r="AH401">
        <f>IF($AG401="","",SUMIFS(OPERATING_COEFFS!$C:$C,OPERATING_COEFFS!$A:$A,"DistanceClass",OPERATING_COEFFS!$B:$B,$AG401))</f>
        <v/>
      </c>
      <c r="AJ401">
        <f>IF($AI401="","",SUMIFS(OPERATING_COEFFS!$C:$C,OPERATING_COEFFS!$A:$A,"SeasonClass",OPERATING_COEFFS!$B:$B,$AI401))</f>
        <v/>
      </c>
      <c r="AL401">
        <f>IF($AK401="","",SUMIFS(OPERATING_COEFFS!$C:$C,OPERATING_COEFFS!$A:$A,"UrgencyClass",OPERATING_COEFFS!$B:$B,$AK401))</f>
        <v/>
      </c>
      <c r="AN401">
        <f>IF($AM401="","",INDEX(TAX_MODES!$B:$B,MATCH($AM401,TAX_MODES!$A:$A,0)))</f>
        <v/>
      </c>
    </row>
    <row r="402">
      <c r="X402" s="15" t="n"/>
      <c r="Y402" s="15">
        <f>IF($X402="","",SUMIFS(TARIFF_PROFILES!$D:$D,TARIFF_PROFILES!$A:$A,$X402))</f>
        <v/>
      </c>
      <c r="Z402" s="15">
        <f>IF($X402="","",SUMIFS(TARIFF_PROFILES!$E:$E,TARIFF_PROFILES!$A:$A,$X402))</f>
        <v/>
      </c>
      <c r="AA402" s="15">
        <f>IF($X402="","",SUMIFS(TARIFF_PROFILES!$F:$F,TARIFF_PROFILES!$A:$A,$X402))</f>
        <v/>
      </c>
      <c r="AB402" s="15">
        <f>IF($X402="","",SUMIFS(TARIFF_PROFILES!$G:$G,TARIFF_PROFILES!$A:$A,$X402))</f>
        <v/>
      </c>
      <c r="AC402" s="15">
        <f>IF($X402="","",SUMIFS(TARIFF_PROFILES!$H:$H,TARIFF_PROFILES!$A:$A,$X402))</f>
        <v/>
      </c>
      <c r="AD402" s="15">
        <f>IF($X402="","",INDEX(TARIFF_PROFILES!$J:$J,MATCH($X402,TARIFF_PROFILES!$A:$A,0)))</f>
        <v/>
      </c>
      <c r="AE402" s="15">
        <f>IF($X402="","",INDEX(TARIFF_PROFILES!$K:$K,MATCH($X402,TARIFF_PROFILES!$A:$A,0)))</f>
        <v/>
      </c>
      <c r="AH402">
        <f>IF($AG402="","",SUMIFS(OPERATING_COEFFS!$C:$C,OPERATING_COEFFS!$A:$A,"DistanceClass",OPERATING_COEFFS!$B:$B,$AG402))</f>
        <v/>
      </c>
      <c r="AJ402">
        <f>IF($AI402="","",SUMIFS(OPERATING_COEFFS!$C:$C,OPERATING_COEFFS!$A:$A,"SeasonClass",OPERATING_COEFFS!$B:$B,$AI402))</f>
        <v/>
      </c>
      <c r="AL402">
        <f>IF($AK402="","",SUMIFS(OPERATING_COEFFS!$C:$C,OPERATING_COEFFS!$A:$A,"UrgencyClass",OPERATING_COEFFS!$B:$B,$AK402))</f>
        <v/>
      </c>
      <c r="AN402">
        <f>IF($AM402="","",INDEX(TAX_MODES!$B:$B,MATCH($AM402,TAX_MODES!$A:$A,0)))</f>
        <v/>
      </c>
    </row>
    <row r="403">
      <c r="X403" s="15" t="n"/>
      <c r="Y403" s="15">
        <f>IF($X403="","",SUMIFS(TARIFF_PROFILES!$D:$D,TARIFF_PROFILES!$A:$A,$X403))</f>
        <v/>
      </c>
      <c r="Z403" s="15">
        <f>IF($X403="","",SUMIFS(TARIFF_PROFILES!$E:$E,TARIFF_PROFILES!$A:$A,$X403))</f>
        <v/>
      </c>
      <c r="AA403" s="15">
        <f>IF($X403="","",SUMIFS(TARIFF_PROFILES!$F:$F,TARIFF_PROFILES!$A:$A,$X403))</f>
        <v/>
      </c>
      <c r="AB403" s="15">
        <f>IF($X403="","",SUMIFS(TARIFF_PROFILES!$G:$G,TARIFF_PROFILES!$A:$A,$X403))</f>
        <v/>
      </c>
      <c r="AC403" s="15">
        <f>IF($X403="","",SUMIFS(TARIFF_PROFILES!$H:$H,TARIFF_PROFILES!$A:$A,$X403))</f>
        <v/>
      </c>
      <c r="AD403" s="15">
        <f>IF($X403="","",INDEX(TARIFF_PROFILES!$J:$J,MATCH($X403,TARIFF_PROFILES!$A:$A,0)))</f>
        <v/>
      </c>
      <c r="AE403" s="15">
        <f>IF($X403="","",INDEX(TARIFF_PROFILES!$K:$K,MATCH($X403,TARIFF_PROFILES!$A:$A,0)))</f>
        <v/>
      </c>
      <c r="AH403">
        <f>IF($AG403="","",SUMIFS(OPERATING_COEFFS!$C:$C,OPERATING_COEFFS!$A:$A,"DistanceClass",OPERATING_COEFFS!$B:$B,$AG403))</f>
        <v/>
      </c>
      <c r="AJ403">
        <f>IF($AI403="","",SUMIFS(OPERATING_COEFFS!$C:$C,OPERATING_COEFFS!$A:$A,"SeasonClass",OPERATING_COEFFS!$B:$B,$AI403))</f>
        <v/>
      </c>
      <c r="AL403">
        <f>IF($AK403="","",SUMIFS(OPERATING_COEFFS!$C:$C,OPERATING_COEFFS!$A:$A,"UrgencyClass",OPERATING_COEFFS!$B:$B,$AK403))</f>
        <v/>
      </c>
      <c r="AN403">
        <f>IF($AM403="","",INDEX(TAX_MODES!$B:$B,MATCH($AM403,TAX_MODES!$A:$A,0)))</f>
        <v/>
      </c>
    </row>
    <row r="404">
      <c r="X404" s="15" t="n"/>
      <c r="Y404" s="15">
        <f>IF($X404="","",SUMIFS(TARIFF_PROFILES!$D:$D,TARIFF_PROFILES!$A:$A,$X404))</f>
        <v/>
      </c>
      <c r="Z404" s="15">
        <f>IF($X404="","",SUMIFS(TARIFF_PROFILES!$E:$E,TARIFF_PROFILES!$A:$A,$X404))</f>
        <v/>
      </c>
      <c r="AA404" s="15">
        <f>IF($X404="","",SUMIFS(TARIFF_PROFILES!$F:$F,TARIFF_PROFILES!$A:$A,$X404))</f>
        <v/>
      </c>
      <c r="AB404" s="15">
        <f>IF($X404="","",SUMIFS(TARIFF_PROFILES!$G:$G,TARIFF_PROFILES!$A:$A,$X404))</f>
        <v/>
      </c>
      <c r="AC404" s="15">
        <f>IF($X404="","",SUMIFS(TARIFF_PROFILES!$H:$H,TARIFF_PROFILES!$A:$A,$X404))</f>
        <v/>
      </c>
      <c r="AD404" s="15">
        <f>IF($X404="","",INDEX(TARIFF_PROFILES!$J:$J,MATCH($X404,TARIFF_PROFILES!$A:$A,0)))</f>
        <v/>
      </c>
      <c r="AE404" s="15">
        <f>IF($X404="","",INDEX(TARIFF_PROFILES!$K:$K,MATCH($X404,TARIFF_PROFILES!$A:$A,0)))</f>
        <v/>
      </c>
      <c r="AH404">
        <f>IF($AG404="","",SUMIFS(OPERATING_COEFFS!$C:$C,OPERATING_COEFFS!$A:$A,"DistanceClass",OPERATING_COEFFS!$B:$B,$AG404))</f>
        <v/>
      </c>
      <c r="AJ404">
        <f>IF($AI404="","",SUMIFS(OPERATING_COEFFS!$C:$C,OPERATING_COEFFS!$A:$A,"SeasonClass",OPERATING_COEFFS!$B:$B,$AI404))</f>
        <v/>
      </c>
      <c r="AL404">
        <f>IF($AK404="","",SUMIFS(OPERATING_COEFFS!$C:$C,OPERATING_COEFFS!$A:$A,"UrgencyClass",OPERATING_COEFFS!$B:$B,$AK404))</f>
        <v/>
      </c>
      <c r="AN404">
        <f>IF($AM404="","",INDEX(TAX_MODES!$B:$B,MATCH($AM404,TAX_MODES!$A:$A,0)))</f>
        <v/>
      </c>
    </row>
    <row r="405">
      <c r="X405" s="15" t="n"/>
      <c r="Y405" s="15">
        <f>IF($X405="","",SUMIFS(TARIFF_PROFILES!$D:$D,TARIFF_PROFILES!$A:$A,$X405))</f>
        <v/>
      </c>
      <c r="Z405" s="15">
        <f>IF($X405="","",SUMIFS(TARIFF_PROFILES!$E:$E,TARIFF_PROFILES!$A:$A,$X405))</f>
        <v/>
      </c>
      <c r="AA405" s="15">
        <f>IF($X405="","",SUMIFS(TARIFF_PROFILES!$F:$F,TARIFF_PROFILES!$A:$A,$X405))</f>
        <v/>
      </c>
      <c r="AB405" s="15">
        <f>IF($X405="","",SUMIFS(TARIFF_PROFILES!$G:$G,TARIFF_PROFILES!$A:$A,$X405))</f>
        <v/>
      </c>
      <c r="AC405" s="15">
        <f>IF($X405="","",SUMIFS(TARIFF_PROFILES!$H:$H,TARIFF_PROFILES!$A:$A,$X405))</f>
        <v/>
      </c>
      <c r="AD405" s="15">
        <f>IF($X405="","",INDEX(TARIFF_PROFILES!$J:$J,MATCH($X405,TARIFF_PROFILES!$A:$A,0)))</f>
        <v/>
      </c>
      <c r="AE405" s="15">
        <f>IF($X405="","",INDEX(TARIFF_PROFILES!$K:$K,MATCH($X405,TARIFF_PROFILES!$A:$A,0)))</f>
        <v/>
      </c>
      <c r="AH405">
        <f>IF($AG405="","",SUMIFS(OPERATING_COEFFS!$C:$C,OPERATING_COEFFS!$A:$A,"DistanceClass",OPERATING_COEFFS!$B:$B,$AG405))</f>
        <v/>
      </c>
      <c r="AJ405">
        <f>IF($AI405="","",SUMIFS(OPERATING_COEFFS!$C:$C,OPERATING_COEFFS!$A:$A,"SeasonClass",OPERATING_COEFFS!$B:$B,$AI405))</f>
        <v/>
      </c>
      <c r="AL405">
        <f>IF($AK405="","",SUMIFS(OPERATING_COEFFS!$C:$C,OPERATING_COEFFS!$A:$A,"UrgencyClass",OPERATING_COEFFS!$B:$B,$AK405))</f>
        <v/>
      </c>
      <c r="AN405">
        <f>IF($AM405="","",INDEX(TAX_MODES!$B:$B,MATCH($AM405,TAX_MODES!$A:$A,0)))</f>
        <v/>
      </c>
    </row>
    <row r="406">
      <c r="X406" s="15" t="n"/>
      <c r="Y406" s="15">
        <f>IF($X406="","",SUMIFS(TARIFF_PROFILES!$D:$D,TARIFF_PROFILES!$A:$A,$X406))</f>
        <v/>
      </c>
      <c r="Z406" s="15">
        <f>IF($X406="","",SUMIFS(TARIFF_PROFILES!$E:$E,TARIFF_PROFILES!$A:$A,$X406))</f>
        <v/>
      </c>
      <c r="AA406" s="15">
        <f>IF($X406="","",SUMIFS(TARIFF_PROFILES!$F:$F,TARIFF_PROFILES!$A:$A,$X406))</f>
        <v/>
      </c>
      <c r="AB406" s="15">
        <f>IF($X406="","",SUMIFS(TARIFF_PROFILES!$G:$G,TARIFF_PROFILES!$A:$A,$X406))</f>
        <v/>
      </c>
      <c r="AC406" s="15">
        <f>IF($X406="","",SUMIFS(TARIFF_PROFILES!$H:$H,TARIFF_PROFILES!$A:$A,$X406))</f>
        <v/>
      </c>
      <c r="AD406" s="15">
        <f>IF($X406="","",INDEX(TARIFF_PROFILES!$J:$J,MATCH($X406,TARIFF_PROFILES!$A:$A,0)))</f>
        <v/>
      </c>
      <c r="AE406" s="15">
        <f>IF($X406="","",INDEX(TARIFF_PROFILES!$K:$K,MATCH($X406,TARIFF_PROFILES!$A:$A,0)))</f>
        <v/>
      </c>
      <c r="AH406">
        <f>IF($AG406="","",SUMIFS(OPERATING_COEFFS!$C:$C,OPERATING_COEFFS!$A:$A,"DistanceClass",OPERATING_COEFFS!$B:$B,$AG406))</f>
        <v/>
      </c>
      <c r="AJ406">
        <f>IF($AI406="","",SUMIFS(OPERATING_COEFFS!$C:$C,OPERATING_COEFFS!$A:$A,"SeasonClass",OPERATING_COEFFS!$B:$B,$AI406))</f>
        <v/>
      </c>
      <c r="AL406">
        <f>IF($AK406="","",SUMIFS(OPERATING_COEFFS!$C:$C,OPERATING_COEFFS!$A:$A,"UrgencyClass",OPERATING_COEFFS!$B:$B,$AK406))</f>
        <v/>
      </c>
      <c r="AN406">
        <f>IF($AM406="","",INDEX(TAX_MODES!$B:$B,MATCH($AM406,TAX_MODES!$A:$A,0)))</f>
        <v/>
      </c>
    </row>
    <row r="407">
      <c r="X407" s="15" t="n"/>
      <c r="Y407" s="15">
        <f>IF($X407="","",SUMIFS(TARIFF_PROFILES!$D:$D,TARIFF_PROFILES!$A:$A,$X407))</f>
        <v/>
      </c>
      <c r="Z407" s="15">
        <f>IF($X407="","",SUMIFS(TARIFF_PROFILES!$E:$E,TARIFF_PROFILES!$A:$A,$X407))</f>
        <v/>
      </c>
      <c r="AA407" s="15">
        <f>IF($X407="","",SUMIFS(TARIFF_PROFILES!$F:$F,TARIFF_PROFILES!$A:$A,$X407))</f>
        <v/>
      </c>
      <c r="AB407" s="15">
        <f>IF($X407="","",SUMIFS(TARIFF_PROFILES!$G:$G,TARIFF_PROFILES!$A:$A,$X407))</f>
        <v/>
      </c>
      <c r="AC407" s="15">
        <f>IF($X407="","",SUMIFS(TARIFF_PROFILES!$H:$H,TARIFF_PROFILES!$A:$A,$X407))</f>
        <v/>
      </c>
      <c r="AD407" s="15">
        <f>IF($X407="","",INDEX(TARIFF_PROFILES!$J:$J,MATCH($X407,TARIFF_PROFILES!$A:$A,0)))</f>
        <v/>
      </c>
      <c r="AE407" s="15">
        <f>IF($X407="","",INDEX(TARIFF_PROFILES!$K:$K,MATCH($X407,TARIFF_PROFILES!$A:$A,0)))</f>
        <v/>
      </c>
      <c r="AH407">
        <f>IF($AG407="","",SUMIFS(OPERATING_COEFFS!$C:$C,OPERATING_COEFFS!$A:$A,"DistanceClass",OPERATING_COEFFS!$B:$B,$AG407))</f>
        <v/>
      </c>
      <c r="AJ407">
        <f>IF($AI407="","",SUMIFS(OPERATING_COEFFS!$C:$C,OPERATING_COEFFS!$A:$A,"SeasonClass",OPERATING_COEFFS!$B:$B,$AI407))</f>
        <v/>
      </c>
      <c r="AL407">
        <f>IF($AK407="","",SUMIFS(OPERATING_COEFFS!$C:$C,OPERATING_COEFFS!$A:$A,"UrgencyClass",OPERATING_COEFFS!$B:$B,$AK407))</f>
        <v/>
      </c>
      <c r="AN407">
        <f>IF($AM407="","",INDEX(TAX_MODES!$B:$B,MATCH($AM407,TAX_MODES!$A:$A,0)))</f>
        <v/>
      </c>
    </row>
    <row r="408">
      <c r="X408" s="15" t="n"/>
      <c r="Y408" s="15">
        <f>IF($X408="","",SUMIFS(TARIFF_PROFILES!$D:$D,TARIFF_PROFILES!$A:$A,$X408))</f>
        <v/>
      </c>
      <c r="Z408" s="15">
        <f>IF($X408="","",SUMIFS(TARIFF_PROFILES!$E:$E,TARIFF_PROFILES!$A:$A,$X408))</f>
        <v/>
      </c>
      <c r="AA408" s="15">
        <f>IF($X408="","",SUMIFS(TARIFF_PROFILES!$F:$F,TARIFF_PROFILES!$A:$A,$X408))</f>
        <v/>
      </c>
      <c r="AB408" s="15">
        <f>IF($X408="","",SUMIFS(TARIFF_PROFILES!$G:$G,TARIFF_PROFILES!$A:$A,$X408))</f>
        <v/>
      </c>
      <c r="AC408" s="15">
        <f>IF($X408="","",SUMIFS(TARIFF_PROFILES!$H:$H,TARIFF_PROFILES!$A:$A,$X408))</f>
        <v/>
      </c>
      <c r="AD408" s="15">
        <f>IF($X408="","",INDEX(TARIFF_PROFILES!$J:$J,MATCH($X408,TARIFF_PROFILES!$A:$A,0)))</f>
        <v/>
      </c>
      <c r="AE408" s="15">
        <f>IF($X408="","",INDEX(TARIFF_PROFILES!$K:$K,MATCH($X408,TARIFF_PROFILES!$A:$A,0)))</f>
        <v/>
      </c>
      <c r="AH408">
        <f>IF($AG408="","",SUMIFS(OPERATING_COEFFS!$C:$C,OPERATING_COEFFS!$A:$A,"DistanceClass",OPERATING_COEFFS!$B:$B,$AG408))</f>
        <v/>
      </c>
      <c r="AJ408">
        <f>IF($AI408="","",SUMIFS(OPERATING_COEFFS!$C:$C,OPERATING_COEFFS!$A:$A,"SeasonClass",OPERATING_COEFFS!$B:$B,$AI408))</f>
        <v/>
      </c>
      <c r="AL408">
        <f>IF($AK408="","",SUMIFS(OPERATING_COEFFS!$C:$C,OPERATING_COEFFS!$A:$A,"UrgencyClass",OPERATING_COEFFS!$B:$B,$AK408))</f>
        <v/>
      </c>
      <c r="AN408">
        <f>IF($AM408="","",INDEX(TAX_MODES!$B:$B,MATCH($AM408,TAX_MODES!$A:$A,0)))</f>
        <v/>
      </c>
    </row>
    <row r="409">
      <c r="X409" s="15" t="n"/>
      <c r="Y409" s="15">
        <f>IF($X409="","",SUMIFS(TARIFF_PROFILES!$D:$D,TARIFF_PROFILES!$A:$A,$X409))</f>
        <v/>
      </c>
      <c r="Z409" s="15">
        <f>IF($X409="","",SUMIFS(TARIFF_PROFILES!$E:$E,TARIFF_PROFILES!$A:$A,$X409))</f>
        <v/>
      </c>
      <c r="AA409" s="15">
        <f>IF($X409="","",SUMIFS(TARIFF_PROFILES!$F:$F,TARIFF_PROFILES!$A:$A,$X409))</f>
        <v/>
      </c>
      <c r="AB409" s="15">
        <f>IF($X409="","",SUMIFS(TARIFF_PROFILES!$G:$G,TARIFF_PROFILES!$A:$A,$X409))</f>
        <v/>
      </c>
      <c r="AC409" s="15">
        <f>IF($X409="","",SUMIFS(TARIFF_PROFILES!$H:$H,TARIFF_PROFILES!$A:$A,$X409))</f>
        <v/>
      </c>
      <c r="AD409" s="15">
        <f>IF($X409="","",INDEX(TARIFF_PROFILES!$J:$J,MATCH($X409,TARIFF_PROFILES!$A:$A,0)))</f>
        <v/>
      </c>
      <c r="AE409" s="15">
        <f>IF($X409="","",INDEX(TARIFF_PROFILES!$K:$K,MATCH($X409,TARIFF_PROFILES!$A:$A,0)))</f>
        <v/>
      </c>
      <c r="AH409">
        <f>IF($AG409="","",SUMIFS(OPERATING_COEFFS!$C:$C,OPERATING_COEFFS!$A:$A,"DistanceClass",OPERATING_COEFFS!$B:$B,$AG409))</f>
        <v/>
      </c>
      <c r="AJ409">
        <f>IF($AI409="","",SUMIFS(OPERATING_COEFFS!$C:$C,OPERATING_COEFFS!$A:$A,"SeasonClass",OPERATING_COEFFS!$B:$B,$AI409))</f>
        <v/>
      </c>
      <c r="AL409">
        <f>IF($AK409="","",SUMIFS(OPERATING_COEFFS!$C:$C,OPERATING_COEFFS!$A:$A,"UrgencyClass",OPERATING_COEFFS!$B:$B,$AK409))</f>
        <v/>
      </c>
      <c r="AN409">
        <f>IF($AM409="","",INDEX(TAX_MODES!$B:$B,MATCH($AM409,TAX_MODES!$A:$A,0)))</f>
        <v/>
      </c>
    </row>
    <row r="410">
      <c r="X410" s="15" t="n"/>
      <c r="Y410" s="15">
        <f>IF($X410="","",SUMIFS(TARIFF_PROFILES!$D:$D,TARIFF_PROFILES!$A:$A,$X410))</f>
        <v/>
      </c>
      <c r="Z410" s="15">
        <f>IF($X410="","",SUMIFS(TARIFF_PROFILES!$E:$E,TARIFF_PROFILES!$A:$A,$X410))</f>
        <v/>
      </c>
      <c r="AA410" s="15">
        <f>IF($X410="","",SUMIFS(TARIFF_PROFILES!$F:$F,TARIFF_PROFILES!$A:$A,$X410))</f>
        <v/>
      </c>
      <c r="AB410" s="15">
        <f>IF($X410="","",SUMIFS(TARIFF_PROFILES!$G:$G,TARIFF_PROFILES!$A:$A,$X410))</f>
        <v/>
      </c>
      <c r="AC410" s="15">
        <f>IF($X410="","",SUMIFS(TARIFF_PROFILES!$H:$H,TARIFF_PROFILES!$A:$A,$X410))</f>
        <v/>
      </c>
      <c r="AD410" s="15">
        <f>IF($X410="","",INDEX(TARIFF_PROFILES!$J:$J,MATCH($X410,TARIFF_PROFILES!$A:$A,0)))</f>
        <v/>
      </c>
      <c r="AE410" s="15">
        <f>IF($X410="","",INDEX(TARIFF_PROFILES!$K:$K,MATCH($X410,TARIFF_PROFILES!$A:$A,0)))</f>
        <v/>
      </c>
      <c r="AH410">
        <f>IF($AG410="","",SUMIFS(OPERATING_COEFFS!$C:$C,OPERATING_COEFFS!$A:$A,"DistanceClass",OPERATING_COEFFS!$B:$B,$AG410))</f>
        <v/>
      </c>
      <c r="AJ410">
        <f>IF($AI410="","",SUMIFS(OPERATING_COEFFS!$C:$C,OPERATING_COEFFS!$A:$A,"SeasonClass",OPERATING_COEFFS!$B:$B,$AI410))</f>
        <v/>
      </c>
      <c r="AL410">
        <f>IF($AK410="","",SUMIFS(OPERATING_COEFFS!$C:$C,OPERATING_COEFFS!$A:$A,"UrgencyClass",OPERATING_COEFFS!$B:$B,$AK410))</f>
        <v/>
      </c>
      <c r="AN410">
        <f>IF($AM410="","",INDEX(TAX_MODES!$B:$B,MATCH($AM410,TAX_MODES!$A:$A,0)))</f>
        <v/>
      </c>
    </row>
    <row r="411">
      <c r="X411" s="15" t="n"/>
      <c r="Y411" s="15">
        <f>IF($X411="","",SUMIFS(TARIFF_PROFILES!$D:$D,TARIFF_PROFILES!$A:$A,$X411))</f>
        <v/>
      </c>
      <c r="Z411" s="15">
        <f>IF($X411="","",SUMIFS(TARIFF_PROFILES!$E:$E,TARIFF_PROFILES!$A:$A,$X411))</f>
        <v/>
      </c>
      <c r="AA411" s="15">
        <f>IF($X411="","",SUMIFS(TARIFF_PROFILES!$F:$F,TARIFF_PROFILES!$A:$A,$X411))</f>
        <v/>
      </c>
      <c r="AB411" s="15">
        <f>IF($X411="","",SUMIFS(TARIFF_PROFILES!$G:$G,TARIFF_PROFILES!$A:$A,$X411))</f>
        <v/>
      </c>
      <c r="AC411" s="15">
        <f>IF($X411="","",SUMIFS(TARIFF_PROFILES!$H:$H,TARIFF_PROFILES!$A:$A,$X411))</f>
        <v/>
      </c>
      <c r="AD411" s="15">
        <f>IF($X411="","",INDEX(TARIFF_PROFILES!$J:$J,MATCH($X411,TARIFF_PROFILES!$A:$A,0)))</f>
        <v/>
      </c>
      <c r="AE411" s="15">
        <f>IF($X411="","",INDEX(TARIFF_PROFILES!$K:$K,MATCH($X411,TARIFF_PROFILES!$A:$A,0)))</f>
        <v/>
      </c>
      <c r="AH411">
        <f>IF($AG411="","",SUMIFS(OPERATING_COEFFS!$C:$C,OPERATING_COEFFS!$A:$A,"DistanceClass",OPERATING_COEFFS!$B:$B,$AG411))</f>
        <v/>
      </c>
      <c r="AJ411">
        <f>IF($AI411="","",SUMIFS(OPERATING_COEFFS!$C:$C,OPERATING_COEFFS!$A:$A,"SeasonClass",OPERATING_COEFFS!$B:$B,$AI411))</f>
        <v/>
      </c>
      <c r="AL411">
        <f>IF($AK411="","",SUMIFS(OPERATING_COEFFS!$C:$C,OPERATING_COEFFS!$A:$A,"UrgencyClass",OPERATING_COEFFS!$B:$B,$AK411))</f>
        <v/>
      </c>
      <c r="AN411">
        <f>IF($AM411="","",INDEX(TAX_MODES!$B:$B,MATCH($AM411,TAX_MODES!$A:$A,0)))</f>
        <v/>
      </c>
    </row>
    <row r="412">
      <c r="X412" s="15" t="n"/>
      <c r="Y412" s="15">
        <f>IF($X412="","",SUMIFS(TARIFF_PROFILES!$D:$D,TARIFF_PROFILES!$A:$A,$X412))</f>
        <v/>
      </c>
      <c r="Z412" s="15">
        <f>IF($X412="","",SUMIFS(TARIFF_PROFILES!$E:$E,TARIFF_PROFILES!$A:$A,$X412))</f>
        <v/>
      </c>
      <c r="AA412" s="15">
        <f>IF($X412="","",SUMIFS(TARIFF_PROFILES!$F:$F,TARIFF_PROFILES!$A:$A,$X412))</f>
        <v/>
      </c>
      <c r="AB412" s="15">
        <f>IF($X412="","",SUMIFS(TARIFF_PROFILES!$G:$G,TARIFF_PROFILES!$A:$A,$X412))</f>
        <v/>
      </c>
      <c r="AC412" s="15">
        <f>IF($X412="","",SUMIFS(TARIFF_PROFILES!$H:$H,TARIFF_PROFILES!$A:$A,$X412))</f>
        <v/>
      </c>
      <c r="AD412" s="15">
        <f>IF($X412="","",INDEX(TARIFF_PROFILES!$J:$J,MATCH($X412,TARIFF_PROFILES!$A:$A,0)))</f>
        <v/>
      </c>
      <c r="AE412" s="15">
        <f>IF($X412="","",INDEX(TARIFF_PROFILES!$K:$K,MATCH($X412,TARIFF_PROFILES!$A:$A,0)))</f>
        <v/>
      </c>
      <c r="AH412">
        <f>IF($AG412="","",SUMIFS(OPERATING_COEFFS!$C:$C,OPERATING_COEFFS!$A:$A,"DistanceClass",OPERATING_COEFFS!$B:$B,$AG412))</f>
        <v/>
      </c>
      <c r="AJ412">
        <f>IF($AI412="","",SUMIFS(OPERATING_COEFFS!$C:$C,OPERATING_COEFFS!$A:$A,"SeasonClass",OPERATING_COEFFS!$B:$B,$AI412))</f>
        <v/>
      </c>
      <c r="AL412">
        <f>IF($AK412="","",SUMIFS(OPERATING_COEFFS!$C:$C,OPERATING_COEFFS!$A:$A,"UrgencyClass",OPERATING_COEFFS!$B:$B,$AK412))</f>
        <v/>
      </c>
      <c r="AN412">
        <f>IF($AM412="","",INDEX(TAX_MODES!$B:$B,MATCH($AM412,TAX_MODES!$A:$A,0)))</f>
        <v/>
      </c>
    </row>
    <row r="413">
      <c r="X413" s="15" t="n"/>
      <c r="Y413" s="15">
        <f>IF($X413="","",SUMIFS(TARIFF_PROFILES!$D:$D,TARIFF_PROFILES!$A:$A,$X413))</f>
        <v/>
      </c>
      <c r="Z413" s="15">
        <f>IF($X413="","",SUMIFS(TARIFF_PROFILES!$E:$E,TARIFF_PROFILES!$A:$A,$X413))</f>
        <v/>
      </c>
      <c r="AA413" s="15">
        <f>IF($X413="","",SUMIFS(TARIFF_PROFILES!$F:$F,TARIFF_PROFILES!$A:$A,$X413))</f>
        <v/>
      </c>
      <c r="AB413" s="15">
        <f>IF($X413="","",SUMIFS(TARIFF_PROFILES!$G:$G,TARIFF_PROFILES!$A:$A,$X413))</f>
        <v/>
      </c>
      <c r="AC413" s="15">
        <f>IF($X413="","",SUMIFS(TARIFF_PROFILES!$H:$H,TARIFF_PROFILES!$A:$A,$X413))</f>
        <v/>
      </c>
      <c r="AD413" s="15">
        <f>IF($X413="","",INDEX(TARIFF_PROFILES!$J:$J,MATCH($X413,TARIFF_PROFILES!$A:$A,0)))</f>
        <v/>
      </c>
      <c r="AE413" s="15">
        <f>IF($X413="","",INDEX(TARIFF_PROFILES!$K:$K,MATCH($X413,TARIFF_PROFILES!$A:$A,0)))</f>
        <v/>
      </c>
      <c r="AH413">
        <f>IF($AG413="","",SUMIFS(OPERATING_COEFFS!$C:$C,OPERATING_COEFFS!$A:$A,"DistanceClass",OPERATING_COEFFS!$B:$B,$AG413))</f>
        <v/>
      </c>
      <c r="AJ413">
        <f>IF($AI413="","",SUMIFS(OPERATING_COEFFS!$C:$C,OPERATING_COEFFS!$A:$A,"SeasonClass",OPERATING_COEFFS!$B:$B,$AI413))</f>
        <v/>
      </c>
      <c r="AL413">
        <f>IF($AK413="","",SUMIFS(OPERATING_COEFFS!$C:$C,OPERATING_COEFFS!$A:$A,"UrgencyClass",OPERATING_COEFFS!$B:$B,$AK413))</f>
        <v/>
      </c>
      <c r="AN413">
        <f>IF($AM413="","",INDEX(TAX_MODES!$B:$B,MATCH($AM413,TAX_MODES!$A:$A,0)))</f>
        <v/>
      </c>
    </row>
    <row r="414">
      <c r="X414" s="15" t="n"/>
      <c r="Y414" s="15">
        <f>IF($X414="","",SUMIFS(TARIFF_PROFILES!$D:$D,TARIFF_PROFILES!$A:$A,$X414))</f>
        <v/>
      </c>
      <c r="Z414" s="15">
        <f>IF($X414="","",SUMIFS(TARIFF_PROFILES!$E:$E,TARIFF_PROFILES!$A:$A,$X414))</f>
        <v/>
      </c>
      <c r="AA414" s="15">
        <f>IF($X414="","",SUMIFS(TARIFF_PROFILES!$F:$F,TARIFF_PROFILES!$A:$A,$X414))</f>
        <v/>
      </c>
      <c r="AB414" s="15">
        <f>IF($X414="","",SUMIFS(TARIFF_PROFILES!$G:$G,TARIFF_PROFILES!$A:$A,$X414))</f>
        <v/>
      </c>
      <c r="AC414" s="15">
        <f>IF($X414="","",SUMIFS(TARIFF_PROFILES!$H:$H,TARIFF_PROFILES!$A:$A,$X414))</f>
        <v/>
      </c>
      <c r="AD414" s="15">
        <f>IF($X414="","",INDEX(TARIFF_PROFILES!$J:$J,MATCH($X414,TARIFF_PROFILES!$A:$A,0)))</f>
        <v/>
      </c>
      <c r="AE414" s="15">
        <f>IF($X414="","",INDEX(TARIFF_PROFILES!$K:$K,MATCH($X414,TARIFF_PROFILES!$A:$A,0)))</f>
        <v/>
      </c>
      <c r="AH414">
        <f>IF($AG414="","",SUMIFS(OPERATING_COEFFS!$C:$C,OPERATING_COEFFS!$A:$A,"DistanceClass",OPERATING_COEFFS!$B:$B,$AG414))</f>
        <v/>
      </c>
      <c r="AJ414">
        <f>IF($AI414="","",SUMIFS(OPERATING_COEFFS!$C:$C,OPERATING_COEFFS!$A:$A,"SeasonClass",OPERATING_COEFFS!$B:$B,$AI414))</f>
        <v/>
      </c>
      <c r="AL414">
        <f>IF($AK414="","",SUMIFS(OPERATING_COEFFS!$C:$C,OPERATING_COEFFS!$A:$A,"UrgencyClass",OPERATING_COEFFS!$B:$B,$AK414))</f>
        <v/>
      </c>
      <c r="AN414">
        <f>IF($AM414="","",INDEX(TAX_MODES!$B:$B,MATCH($AM414,TAX_MODES!$A:$A,0)))</f>
        <v/>
      </c>
    </row>
    <row r="415">
      <c r="X415" s="15" t="n"/>
      <c r="Y415" s="15">
        <f>IF($X415="","",SUMIFS(TARIFF_PROFILES!$D:$D,TARIFF_PROFILES!$A:$A,$X415))</f>
        <v/>
      </c>
      <c r="Z415" s="15">
        <f>IF($X415="","",SUMIFS(TARIFF_PROFILES!$E:$E,TARIFF_PROFILES!$A:$A,$X415))</f>
        <v/>
      </c>
      <c r="AA415" s="15">
        <f>IF($X415="","",SUMIFS(TARIFF_PROFILES!$F:$F,TARIFF_PROFILES!$A:$A,$X415))</f>
        <v/>
      </c>
      <c r="AB415" s="15">
        <f>IF($X415="","",SUMIFS(TARIFF_PROFILES!$G:$G,TARIFF_PROFILES!$A:$A,$X415))</f>
        <v/>
      </c>
      <c r="AC415" s="15">
        <f>IF($X415="","",SUMIFS(TARIFF_PROFILES!$H:$H,TARIFF_PROFILES!$A:$A,$X415))</f>
        <v/>
      </c>
      <c r="AD415" s="15">
        <f>IF($X415="","",INDEX(TARIFF_PROFILES!$J:$J,MATCH($X415,TARIFF_PROFILES!$A:$A,0)))</f>
        <v/>
      </c>
      <c r="AE415" s="15">
        <f>IF($X415="","",INDEX(TARIFF_PROFILES!$K:$K,MATCH($X415,TARIFF_PROFILES!$A:$A,0)))</f>
        <v/>
      </c>
      <c r="AH415">
        <f>IF($AG415="","",SUMIFS(OPERATING_COEFFS!$C:$C,OPERATING_COEFFS!$A:$A,"DistanceClass",OPERATING_COEFFS!$B:$B,$AG415))</f>
        <v/>
      </c>
      <c r="AJ415">
        <f>IF($AI415="","",SUMIFS(OPERATING_COEFFS!$C:$C,OPERATING_COEFFS!$A:$A,"SeasonClass",OPERATING_COEFFS!$B:$B,$AI415))</f>
        <v/>
      </c>
      <c r="AL415">
        <f>IF($AK415="","",SUMIFS(OPERATING_COEFFS!$C:$C,OPERATING_COEFFS!$A:$A,"UrgencyClass",OPERATING_COEFFS!$B:$B,$AK415))</f>
        <v/>
      </c>
      <c r="AN415">
        <f>IF($AM415="","",INDEX(TAX_MODES!$B:$B,MATCH($AM415,TAX_MODES!$A:$A,0)))</f>
        <v/>
      </c>
    </row>
    <row r="416">
      <c r="X416" s="15" t="n"/>
      <c r="Y416" s="15">
        <f>IF($X416="","",SUMIFS(TARIFF_PROFILES!$D:$D,TARIFF_PROFILES!$A:$A,$X416))</f>
        <v/>
      </c>
      <c r="Z416" s="15">
        <f>IF($X416="","",SUMIFS(TARIFF_PROFILES!$E:$E,TARIFF_PROFILES!$A:$A,$X416))</f>
        <v/>
      </c>
      <c r="AA416" s="15">
        <f>IF($X416="","",SUMIFS(TARIFF_PROFILES!$F:$F,TARIFF_PROFILES!$A:$A,$X416))</f>
        <v/>
      </c>
      <c r="AB416" s="15">
        <f>IF($X416="","",SUMIFS(TARIFF_PROFILES!$G:$G,TARIFF_PROFILES!$A:$A,$X416))</f>
        <v/>
      </c>
      <c r="AC416" s="15">
        <f>IF($X416="","",SUMIFS(TARIFF_PROFILES!$H:$H,TARIFF_PROFILES!$A:$A,$X416))</f>
        <v/>
      </c>
      <c r="AD416" s="15">
        <f>IF($X416="","",INDEX(TARIFF_PROFILES!$J:$J,MATCH($X416,TARIFF_PROFILES!$A:$A,0)))</f>
        <v/>
      </c>
      <c r="AE416" s="15">
        <f>IF($X416="","",INDEX(TARIFF_PROFILES!$K:$K,MATCH($X416,TARIFF_PROFILES!$A:$A,0)))</f>
        <v/>
      </c>
      <c r="AH416">
        <f>IF($AG416="","",SUMIFS(OPERATING_COEFFS!$C:$C,OPERATING_COEFFS!$A:$A,"DistanceClass",OPERATING_COEFFS!$B:$B,$AG416))</f>
        <v/>
      </c>
      <c r="AJ416">
        <f>IF($AI416="","",SUMIFS(OPERATING_COEFFS!$C:$C,OPERATING_COEFFS!$A:$A,"SeasonClass",OPERATING_COEFFS!$B:$B,$AI416))</f>
        <v/>
      </c>
      <c r="AL416">
        <f>IF($AK416="","",SUMIFS(OPERATING_COEFFS!$C:$C,OPERATING_COEFFS!$A:$A,"UrgencyClass",OPERATING_COEFFS!$B:$B,$AK416))</f>
        <v/>
      </c>
      <c r="AN416">
        <f>IF($AM416="","",INDEX(TAX_MODES!$B:$B,MATCH($AM416,TAX_MODES!$A:$A,0)))</f>
        <v/>
      </c>
    </row>
    <row r="417">
      <c r="X417" s="15" t="n"/>
      <c r="Y417" s="15">
        <f>IF($X417="","",SUMIFS(TARIFF_PROFILES!$D:$D,TARIFF_PROFILES!$A:$A,$X417))</f>
        <v/>
      </c>
      <c r="Z417" s="15">
        <f>IF($X417="","",SUMIFS(TARIFF_PROFILES!$E:$E,TARIFF_PROFILES!$A:$A,$X417))</f>
        <v/>
      </c>
      <c r="AA417" s="15">
        <f>IF($X417="","",SUMIFS(TARIFF_PROFILES!$F:$F,TARIFF_PROFILES!$A:$A,$X417))</f>
        <v/>
      </c>
      <c r="AB417" s="15">
        <f>IF($X417="","",SUMIFS(TARIFF_PROFILES!$G:$G,TARIFF_PROFILES!$A:$A,$X417))</f>
        <v/>
      </c>
      <c r="AC417" s="15">
        <f>IF($X417="","",SUMIFS(TARIFF_PROFILES!$H:$H,TARIFF_PROFILES!$A:$A,$X417))</f>
        <v/>
      </c>
      <c r="AD417" s="15">
        <f>IF($X417="","",INDEX(TARIFF_PROFILES!$J:$J,MATCH($X417,TARIFF_PROFILES!$A:$A,0)))</f>
        <v/>
      </c>
      <c r="AE417" s="15">
        <f>IF($X417="","",INDEX(TARIFF_PROFILES!$K:$K,MATCH($X417,TARIFF_PROFILES!$A:$A,0)))</f>
        <v/>
      </c>
      <c r="AH417">
        <f>IF($AG417="","",SUMIFS(OPERATING_COEFFS!$C:$C,OPERATING_COEFFS!$A:$A,"DistanceClass",OPERATING_COEFFS!$B:$B,$AG417))</f>
        <v/>
      </c>
      <c r="AJ417">
        <f>IF($AI417="","",SUMIFS(OPERATING_COEFFS!$C:$C,OPERATING_COEFFS!$A:$A,"SeasonClass",OPERATING_COEFFS!$B:$B,$AI417))</f>
        <v/>
      </c>
      <c r="AL417">
        <f>IF($AK417="","",SUMIFS(OPERATING_COEFFS!$C:$C,OPERATING_COEFFS!$A:$A,"UrgencyClass",OPERATING_COEFFS!$B:$B,$AK417))</f>
        <v/>
      </c>
      <c r="AN417">
        <f>IF($AM417="","",INDEX(TAX_MODES!$B:$B,MATCH($AM417,TAX_MODES!$A:$A,0)))</f>
        <v/>
      </c>
    </row>
    <row r="418">
      <c r="X418" s="15" t="n"/>
      <c r="Y418" s="15">
        <f>IF($X418="","",SUMIFS(TARIFF_PROFILES!$D:$D,TARIFF_PROFILES!$A:$A,$X418))</f>
        <v/>
      </c>
      <c r="Z418" s="15">
        <f>IF($X418="","",SUMIFS(TARIFF_PROFILES!$E:$E,TARIFF_PROFILES!$A:$A,$X418))</f>
        <v/>
      </c>
      <c r="AA418" s="15">
        <f>IF($X418="","",SUMIFS(TARIFF_PROFILES!$F:$F,TARIFF_PROFILES!$A:$A,$X418))</f>
        <v/>
      </c>
      <c r="AB418" s="15">
        <f>IF($X418="","",SUMIFS(TARIFF_PROFILES!$G:$G,TARIFF_PROFILES!$A:$A,$X418))</f>
        <v/>
      </c>
      <c r="AC418" s="15">
        <f>IF($X418="","",SUMIFS(TARIFF_PROFILES!$H:$H,TARIFF_PROFILES!$A:$A,$X418))</f>
        <v/>
      </c>
      <c r="AD418" s="15">
        <f>IF($X418="","",INDEX(TARIFF_PROFILES!$J:$J,MATCH($X418,TARIFF_PROFILES!$A:$A,0)))</f>
        <v/>
      </c>
      <c r="AE418" s="15">
        <f>IF($X418="","",INDEX(TARIFF_PROFILES!$K:$K,MATCH($X418,TARIFF_PROFILES!$A:$A,0)))</f>
        <v/>
      </c>
      <c r="AH418">
        <f>IF($AG418="","",SUMIFS(OPERATING_COEFFS!$C:$C,OPERATING_COEFFS!$A:$A,"DistanceClass",OPERATING_COEFFS!$B:$B,$AG418))</f>
        <v/>
      </c>
      <c r="AJ418">
        <f>IF($AI418="","",SUMIFS(OPERATING_COEFFS!$C:$C,OPERATING_COEFFS!$A:$A,"SeasonClass",OPERATING_COEFFS!$B:$B,$AI418))</f>
        <v/>
      </c>
      <c r="AL418">
        <f>IF($AK418="","",SUMIFS(OPERATING_COEFFS!$C:$C,OPERATING_COEFFS!$A:$A,"UrgencyClass",OPERATING_COEFFS!$B:$B,$AK418))</f>
        <v/>
      </c>
      <c r="AN418">
        <f>IF($AM418="","",INDEX(TAX_MODES!$B:$B,MATCH($AM418,TAX_MODES!$A:$A,0)))</f>
        <v/>
      </c>
    </row>
    <row r="419">
      <c r="X419" s="15" t="n"/>
      <c r="Y419" s="15">
        <f>IF($X419="","",SUMIFS(TARIFF_PROFILES!$D:$D,TARIFF_PROFILES!$A:$A,$X419))</f>
        <v/>
      </c>
      <c r="Z419" s="15">
        <f>IF($X419="","",SUMIFS(TARIFF_PROFILES!$E:$E,TARIFF_PROFILES!$A:$A,$X419))</f>
        <v/>
      </c>
      <c r="AA419" s="15">
        <f>IF($X419="","",SUMIFS(TARIFF_PROFILES!$F:$F,TARIFF_PROFILES!$A:$A,$X419))</f>
        <v/>
      </c>
      <c r="AB419" s="15">
        <f>IF($X419="","",SUMIFS(TARIFF_PROFILES!$G:$G,TARIFF_PROFILES!$A:$A,$X419))</f>
        <v/>
      </c>
      <c r="AC419" s="15">
        <f>IF($X419="","",SUMIFS(TARIFF_PROFILES!$H:$H,TARIFF_PROFILES!$A:$A,$X419))</f>
        <v/>
      </c>
      <c r="AD419" s="15">
        <f>IF($X419="","",INDEX(TARIFF_PROFILES!$J:$J,MATCH($X419,TARIFF_PROFILES!$A:$A,0)))</f>
        <v/>
      </c>
      <c r="AE419" s="15">
        <f>IF($X419="","",INDEX(TARIFF_PROFILES!$K:$K,MATCH($X419,TARIFF_PROFILES!$A:$A,0)))</f>
        <v/>
      </c>
      <c r="AH419">
        <f>IF($AG419="","",SUMIFS(OPERATING_COEFFS!$C:$C,OPERATING_COEFFS!$A:$A,"DistanceClass",OPERATING_COEFFS!$B:$B,$AG419))</f>
        <v/>
      </c>
      <c r="AJ419">
        <f>IF($AI419="","",SUMIFS(OPERATING_COEFFS!$C:$C,OPERATING_COEFFS!$A:$A,"SeasonClass",OPERATING_COEFFS!$B:$B,$AI419))</f>
        <v/>
      </c>
      <c r="AL419">
        <f>IF($AK419="","",SUMIFS(OPERATING_COEFFS!$C:$C,OPERATING_COEFFS!$A:$A,"UrgencyClass",OPERATING_COEFFS!$B:$B,$AK419))</f>
        <v/>
      </c>
      <c r="AN419">
        <f>IF($AM419="","",INDEX(TAX_MODES!$B:$B,MATCH($AM419,TAX_MODES!$A:$A,0)))</f>
        <v/>
      </c>
    </row>
    <row r="420">
      <c r="X420" s="15" t="n"/>
      <c r="Y420" s="15">
        <f>IF($X420="","",SUMIFS(TARIFF_PROFILES!$D:$D,TARIFF_PROFILES!$A:$A,$X420))</f>
        <v/>
      </c>
      <c r="Z420" s="15">
        <f>IF($X420="","",SUMIFS(TARIFF_PROFILES!$E:$E,TARIFF_PROFILES!$A:$A,$X420))</f>
        <v/>
      </c>
      <c r="AA420" s="15">
        <f>IF($X420="","",SUMIFS(TARIFF_PROFILES!$F:$F,TARIFF_PROFILES!$A:$A,$X420))</f>
        <v/>
      </c>
      <c r="AB420" s="15">
        <f>IF($X420="","",SUMIFS(TARIFF_PROFILES!$G:$G,TARIFF_PROFILES!$A:$A,$X420))</f>
        <v/>
      </c>
      <c r="AC420" s="15">
        <f>IF($X420="","",SUMIFS(TARIFF_PROFILES!$H:$H,TARIFF_PROFILES!$A:$A,$X420))</f>
        <v/>
      </c>
      <c r="AD420" s="15">
        <f>IF($X420="","",INDEX(TARIFF_PROFILES!$J:$J,MATCH($X420,TARIFF_PROFILES!$A:$A,0)))</f>
        <v/>
      </c>
      <c r="AE420" s="15">
        <f>IF($X420="","",INDEX(TARIFF_PROFILES!$K:$K,MATCH($X420,TARIFF_PROFILES!$A:$A,0)))</f>
        <v/>
      </c>
      <c r="AH420">
        <f>IF($AG420="","",SUMIFS(OPERATING_COEFFS!$C:$C,OPERATING_COEFFS!$A:$A,"DistanceClass",OPERATING_COEFFS!$B:$B,$AG420))</f>
        <v/>
      </c>
      <c r="AJ420">
        <f>IF($AI420="","",SUMIFS(OPERATING_COEFFS!$C:$C,OPERATING_COEFFS!$A:$A,"SeasonClass",OPERATING_COEFFS!$B:$B,$AI420))</f>
        <v/>
      </c>
      <c r="AL420">
        <f>IF($AK420="","",SUMIFS(OPERATING_COEFFS!$C:$C,OPERATING_COEFFS!$A:$A,"UrgencyClass",OPERATING_COEFFS!$B:$B,$AK420))</f>
        <v/>
      </c>
      <c r="AN420">
        <f>IF($AM420="","",INDEX(TAX_MODES!$B:$B,MATCH($AM420,TAX_MODES!$A:$A,0)))</f>
        <v/>
      </c>
    </row>
    <row r="421">
      <c r="X421" s="15" t="n"/>
      <c r="Y421" s="15">
        <f>IF($X421="","",SUMIFS(TARIFF_PROFILES!$D:$D,TARIFF_PROFILES!$A:$A,$X421))</f>
        <v/>
      </c>
      <c r="Z421" s="15">
        <f>IF($X421="","",SUMIFS(TARIFF_PROFILES!$E:$E,TARIFF_PROFILES!$A:$A,$X421))</f>
        <v/>
      </c>
      <c r="AA421" s="15">
        <f>IF($X421="","",SUMIFS(TARIFF_PROFILES!$F:$F,TARIFF_PROFILES!$A:$A,$X421))</f>
        <v/>
      </c>
      <c r="AB421" s="15">
        <f>IF($X421="","",SUMIFS(TARIFF_PROFILES!$G:$G,TARIFF_PROFILES!$A:$A,$X421))</f>
        <v/>
      </c>
      <c r="AC421" s="15">
        <f>IF($X421="","",SUMIFS(TARIFF_PROFILES!$H:$H,TARIFF_PROFILES!$A:$A,$X421))</f>
        <v/>
      </c>
      <c r="AD421" s="15">
        <f>IF($X421="","",INDEX(TARIFF_PROFILES!$J:$J,MATCH($X421,TARIFF_PROFILES!$A:$A,0)))</f>
        <v/>
      </c>
      <c r="AE421" s="15">
        <f>IF($X421="","",INDEX(TARIFF_PROFILES!$K:$K,MATCH($X421,TARIFF_PROFILES!$A:$A,0)))</f>
        <v/>
      </c>
      <c r="AH421">
        <f>IF($AG421="","",SUMIFS(OPERATING_COEFFS!$C:$C,OPERATING_COEFFS!$A:$A,"DistanceClass",OPERATING_COEFFS!$B:$B,$AG421))</f>
        <v/>
      </c>
      <c r="AJ421">
        <f>IF($AI421="","",SUMIFS(OPERATING_COEFFS!$C:$C,OPERATING_COEFFS!$A:$A,"SeasonClass",OPERATING_COEFFS!$B:$B,$AI421))</f>
        <v/>
      </c>
      <c r="AL421">
        <f>IF($AK421="","",SUMIFS(OPERATING_COEFFS!$C:$C,OPERATING_COEFFS!$A:$A,"UrgencyClass",OPERATING_COEFFS!$B:$B,$AK421))</f>
        <v/>
      </c>
      <c r="AN421">
        <f>IF($AM421="","",INDEX(TAX_MODES!$B:$B,MATCH($AM421,TAX_MODES!$A:$A,0)))</f>
        <v/>
      </c>
    </row>
    <row r="422">
      <c r="X422" s="15" t="n"/>
      <c r="Y422" s="15">
        <f>IF($X422="","",SUMIFS(TARIFF_PROFILES!$D:$D,TARIFF_PROFILES!$A:$A,$X422))</f>
        <v/>
      </c>
      <c r="Z422" s="15">
        <f>IF($X422="","",SUMIFS(TARIFF_PROFILES!$E:$E,TARIFF_PROFILES!$A:$A,$X422))</f>
        <v/>
      </c>
      <c r="AA422" s="15">
        <f>IF($X422="","",SUMIFS(TARIFF_PROFILES!$F:$F,TARIFF_PROFILES!$A:$A,$X422))</f>
        <v/>
      </c>
      <c r="AB422" s="15">
        <f>IF($X422="","",SUMIFS(TARIFF_PROFILES!$G:$G,TARIFF_PROFILES!$A:$A,$X422))</f>
        <v/>
      </c>
      <c r="AC422" s="15">
        <f>IF($X422="","",SUMIFS(TARIFF_PROFILES!$H:$H,TARIFF_PROFILES!$A:$A,$X422))</f>
        <v/>
      </c>
      <c r="AD422" s="15">
        <f>IF($X422="","",INDEX(TARIFF_PROFILES!$J:$J,MATCH($X422,TARIFF_PROFILES!$A:$A,0)))</f>
        <v/>
      </c>
      <c r="AE422" s="15">
        <f>IF($X422="","",INDEX(TARIFF_PROFILES!$K:$K,MATCH($X422,TARIFF_PROFILES!$A:$A,0)))</f>
        <v/>
      </c>
      <c r="AH422">
        <f>IF($AG422="","",SUMIFS(OPERATING_COEFFS!$C:$C,OPERATING_COEFFS!$A:$A,"DistanceClass",OPERATING_COEFFS!$B:$B,$AG422))</f>
        <v/>
      </c>
      <c r="AJ422">
        <f>IF($AI422="","",SUMIFS(OPERATING_COEFFS!$C:$C,OPERATING_COEFFS!$A:$A,"SeasonClass",OPERATING_COEFFS!$B:$B,$AI422))</f>
        <v/>
      </c>
      <c r="AL422">
        <f>IF($AK422="","",SUMIFS(OPERATING_COEFFS!$C:$C,OPERATING_COEFFS!$A:$A,"UrgencyClass",OPERATING_COEFFS!$B:$B,$AK422))</f>
        <v/>
      </c>
      <c r="AN422">
        <f>IF($AM422="","",INDEX(TAX_MODES!$B:$B,MATCH($AM422,TAX_MODES!$A:$A,0)))</f>
        <v/>
      </c>
    </row>
    <row r="423">
      <c r="X423" s="15" t="n"/>
      <c r="Y423" s="15">
        <f>IF($X423="","",SUMIFS(TARIFF_PROFILES!$D:$D,TARIFF_PROFILES!$A:$A,$X423))</f>
        <v/>
      </c>
      <c r="Z423" s="15">
        <f>IF($X423="","",SUMIFS(TARIFF_PROFILES!$E:$E,TARIFF_PROFILES!$A:$A,$X423))</f>
        <v/>
      </c>
      <c r="AA423" s="15">
        <f>IF($X423="","",SUMIFS(TARIFF_PROFILES!$F:$F,TARIFF_PROFILES!$A:$A,$X423))</f>
        <v/>
      </c>
      <c r="AB423" s="15">
        <f>IF($X423="","",SUMIFS(TARIFF_PROFILES!$G:$G,TARIFF_PROFILES!$A:$A,$X423))</f>
        <v/>
      </c>
      <c r="AC423" s="15">
        <f>IF($X423="","",SUMIFS(TARIFF_PROFILES!$H:$H,TARIFF_PROFILES!$A:$A,$X423))</f>
        <v/>
      </c>
      <c r="AD423" s="15">
        <f>IF($X423="","",INDEX(TARIFF_PROFILES!$J:$J,MATCH($X423,TARIFF_PROFILES!$A:$A,0)))</f>
        <v/>
      </c>
      <c r="AE423" s="15">
        <f>IF($X423="","",INDEX(TARIFF_PROFILES!$K:$K,MATCH($X423,TARIFF_PROFILES!$A:$A,0)))</f>
        <v/>
      </c>
      <c r="AH423">
        <f>IF($AG423="","",SUMIFS(OPERATING_COEFFS!$C:$C,OPERATING_COEFFS!$A:$A,"DistanceClass",OPERATING_COEFFS!$B:$B,$AG423))</f>
        <v/>
      </c>
      <c r="AJ423">
        <f>IF($AI423="","",SUMIFS(OPERATING_COEFFS!$C:$C,OPERATING_COEFFS!$A:$A,"SeasonClass",OPERATING_COEFFS!$B:$B,$AI423))</f>
        <v/>
      </c>
      <c r="AL423">
        <f>IF($AK423="","",SUMIFS(OPERATING_COEFFS!$C:$C,OPERATING_COEFFS!$A:$A,"UrgencyClass",OPERATING_COEFFS!$B:$B,$AK423))</f>
        <v/>
      </c>
      <c r="AN423">
        <f>IF($AM423="","",INDEX(TAX_MODES!$B:$B,MATCH($AM423,TAX_MODES!$A:$A,0)))</f>
        <v/>
      </c>
    </row>
    <row r="424">
      <c r="X424" s="15" t="n"/>
      <c r="Y424" s="15">
        <f>IF($X424="","",SUMIFS(TARIFF_PROFILES!$D:$D,TARIFF_PROFILES!$A:$A,$X424))</f>
        <v/>
      </c>
      <c r="Z424" s="15">
        <f>IF($X424="","",SUMIFS(TARIFF_PROFILES!$E:$E,TARIFF_PROFILES!$A:$A,$X424))</f>
        <v/>
      </c>
      <c r="AA424" s="15">
        <f>IF($X424="","",SUMIFS(TARIFF_PROFILES!$F:$F,TARIFF_PROFILES!$A:$A,$X424))</f>
        <v/>
      </c>
      <c r="AB424" s="15">
        <f>IF($X424="","",SUMIFS(TARIFF_PROFILES!$G:$G,TARIFF_PROFILES!$A:$A,$X424))</f>
        <v/>
      </c>
      <c r="AC424" s="15">
        <f>IF($X424="","",SUMIFS(TARIFF_PROFILES!$H:$H,TARIFF_PROFILES!$A:$A,$X424))</f>
        <v/>
      </c>
      <c r="AD424" s="15">
        <f>IF($X424="","",INDEX(TARIFF_PROFILES!$J:$J,MATCH($X424,TARIFF_PROFILES!$A:$A,0)))</f>
        <v/>
      </c>
      <c r="AE424" s="15">
        <f>IF($X424="","",INDEX(TARIFF_PROFILES!$K:$K,MATCH($X424,TARIFF_PROFILES!$A:$A,0)))</f>
        <v/>
      </c>
      <c r="AH424">
        <f>IF($AG424="","",SUMIFS(OPERATING_COEFFS!$C:$C,OPERATING_COEFFS!$A:$A,"DistanceClass",OPERATING_COEFFS!$B:$B,$AG424))</f>
        <v/>
      </c>
      <c r="AJ424">
        <f>IF($AI424="","",SUMIFS(OPERATING_COEFFS!$C:$C,OPERATING_COEFFS!$A:$A,"SeasonClass",OPERATING_COEFFS!$B:$B,$AI424))</f>
        <v/>
      </c>
      <c r="AL424">
        <f>IF($AK424="","",SUMIFS(OPERATING_COEFFS!$C:$C,OPERATING_COEFFS!$A:$A,"UrgencyClass",OPERATING_COEFFS!$B:$B,$AK424))</f>
        <v/>
      </c>
      <c r="AN424">
        <f>IF($AM424="","",INDEX(TAX_MODES!$B:$B,MATCH($AM424,TAX_MODES!$A:$A,0)))</f>
        <v/>
      </c>
    </row>
    <row r="425">
      <c r="X425" s="15" t="n"/>
      <c r="Y425" s="15">
        <f>IF($X425="","",SUMIFS(TARIFF_PROFILES!$D:$D,TARIFF_PROFILES!$A:$A,$X425))</f>
        <v/>
      </c>
      <c r="Z425" s="15">
        <f>IF($X425="","",SUMIFS(TARIFF_PROFILES!$E:$E,TARIFF_PROFILES!$A:$A,$X425))</f>
        <v/>
      </c>
      <c r="AA425" s="15">
        <f>IF($X425="","",SUMIFS(TARIFF_PROFILES!$F:$F,TARIFF_PROFILES!$A:$A,$X425))</f>
        <v/>
      </c>
      <c r="AB425" s="15">
        <f>IF($X425="","",SUMIFS(TARIFF_PROFILES!$G:$G,TARIFF_PROFILES!$A:$A,$X425))</f>
        <v/>
      </c>
      <c r="AC425" s="15">
        <f>IF($X425="","",SUMIFS(TARIFF_PROFILES!$H:$H,TARIFF_PROFILES!$A:$A,$X425))</f>
        <v/>
      </c>
      <c r="AD425" s="15">
        <f>IF($X425="","",INDEX(TARIFF_PROFILES!$J:$J,MATCH($X425,TARIFF_PROFILES!$A:$A,0)))</f>
        <v/>
      </c>
      <c r="AE425" s="15">
        <f>IF($X425="","",INDEX(TARIFF_PROFILES!$K:$K,MATCH($X425,TARIFF_PROFILES!$A:$A,0)))</f>
        <v/>
      </c>
      <c r="AH425">
        <f>IF($AG425="","",SUMIFS(OPERATING_COEFFS!$C:$C,OPERATING_COEFFS!$A:$A,"DistanceClass",OPERATING_COEFFS!$B:$B,$AG425))</f>
        <v/>
      </c>
      <c r="AJ425">
        <f>IF($AI425="","",SUMIFS(OPERATING_COEFFS!$C:$C,OPERATING_COEFFS!$A:$A,"SeasonClass",OPERATING_COEFFS!$B:$B,$AI425))</f>
        <v/>
      </c>
      <c r="AL425">
        <f>IF($AK425="","",SUMIFS(OPERATING_COEFFS!$C:$C,OPERATING_COEFFS!$A:$A,"UrgencyClass",OPERATING_COEFFS!$B:$B,$AK425))</f>
        <v/>
      </c>
      <c r="AN425">
        <f>IF($AM425="","",INDEX(TAX_MODES!$B:$B,MATCH($AM425,TAX_MODES!$A:$A,0)))</f>
        <v/>
      </c>
    </row>
    <row r="426">
      <c r="X426" s="15" t="n"/>
      <c r="Y426" s="15">
        <f>IF($X426="","",SUMIFS(TARIFF_PROFILES!$D:$D,TARIFF_PROFILES!$A:$A,$X426))</f>
        <v/>
      </c>
      <c r="Z426" s="15">
        <f>IF($X426="","",SUMIFS(TARIFF_PROFILES!$E:$E,TARIFF_PROFILES!$A:$A,$X426))</f>
        <v/>
      </c>
      <c r="AA426" s="15">
        <f>IF($X426="","",SUMIFS(TARIFF_PROFILES!$F:$F,TARIFF_PROFILES!$A:$A,$X426))</f>
        <v/>
      </c>
      <c r="AB426" s="15">
        <f>IF($X426="","",SUMIFS(TARIFF_PROFILES!$G:$G,TARIFF_PROFILES!$A:$A,$X426))</f>
        <v/>
      </c>
      <c r="AC426" s="15">
        <f>IF($X426="","",SUMIFS(TARIFF_PROFILES!$H:$H,TARIFF_PROFILES!$A:$A,$X426))</f>
        <v/>
      </c>
      <c r="AD426" s="15">
        <f>IF($X426="","",INDEX(TARIFF_PROFILES!$J:$J,MATCH($X426,TARIFF_PROFILES!$A:$A,0)))</f>
        <v/>
      </c>
      <c r="AE426" s="15">
        <f>IF($X426="","",INDEX(TARIFF_PROFILES!$K:$K,MATCH($X426,TARIFF_PROFILES!$A:$A,0)))</f>
        <v/>
      </c>
      <c r="AH426">
        <f>IF($AG426="","",SUMIFS(OPERATING_COEFFS!$C:$C,OPERATING_COEFFS!$A:$A,"DistanceClass",OPERATING_COEFFS!$B:$B,$AG426))</f>
        <v/>
      </c>
      <c r="AJ426">
        <f>IF($AI426="","",SUMIFS(OPERATING_COEFFS!$C:$C,OPERATING_COEFFS!$A:$A,"SeasonClass",OPERATING_COEFFS!$B:$B,$AI426))</f>
        <v/>
      </c>
      <c r="AL426">
        <f>IF($AK426="","",SUMIFS(OPERATING_COEFFS!$C:$C,OPERATING_COEFFS!$A:$A,"UrgencyClass",OPERATING_COEFFS!$B:$B,$AK426))</f>
        <v/>
      </c>
      <c r="AN426">
        <f>IF($AM426="","",INDEX(TAX_MODES!$B:$B,MATCH($AM426,TAX_MODES!$A:$A,0)))</f>
        <v/>
      </c>
    </row>
    <row r="427">
      <c r="X427" s="15" t="n"/>
      <c r="Y427" s="15">
        <f>IF($X427="","",SUMIFS(TARIFF_PROFILES!$D:$D,TARIFF_PROFILES!$A:$A,$X427))</f>
        <v/>
      </c>
      <c r="Z427" s="15">
        <f>IF($X427="","",SUMIFS(TARIFF_PROFILES!$E:$E,TARIFF_PROFILES!$A:$A,$X427))</f>
        <v/>
      </c>
      <c r="AA427" s="15">
        <f>IF($X427="","",SUMIFS(TARIFF_PROFILES!$F:$F,TARIFF_PROFILES!$A:$A,$X427))</f>
        <v/>
      </c>
      <c r="AB427" s="15">
        <f>IF($X427="","",SUMIFS(TARIFF_PROFILES!$G:$G,TARIFF_PROFILES!$A:$A,$X427))</f>
        <v/>
      </c>
      <c r="AC427" s="15">
        <f>IF($X427="","",SUMIFS(TARIFF_PROFILES!$H:$H,TARIFF_PROFILES!$A:$A,$X427))</f>
        <v/>
      </c>
      <c r="AD427" s="15">
        <f>IF($X427="","",INDEX(TARIFF_PROFILES!$J:$J,MATCH($X427,TARIFF_PROFILES!$A:$A,0)))</f>
        <v/>
      </c>
      <c r="AE427" s="15">
        <f>IF($X427="","",INDEX(TARIFF_PROFILES!$K:$K,MATCH($X427,TARIFF_PROFILES!$A:$A,0)))</f>
        <v/>
      </c>
      <c r="AH427">
        <f>IF($AG427="","",SUMIFS(OPERATING_COEFFS!$C:$C,OPERATING_COEFFS!$A:$A,"DistanceClass",OPERATING_COEFFS!$B:$B,$AG427))</f>
        <v/>
      </c>
      <c r="AJ427">
        <f>IF($AI427="","",SUMIFS(OPERATING_COEFFS!$C:$C,OPERATING_COEFFS!$A:$A,"SeasonClass",OPERATING_COEFFS!$B:$B,$AI427))</f>
        <v/>
      </c>
      <c r="AL427">
        <f>IF($AK427="","",SUMIFS(OPERATING_COEFFS!$C:$C,OPERATING_COEFFS!$A:$A,"UrgencyClass",OPERATING_COEFFS!$B:$B,$AK427))</f>
        <v/>
      </c>
      <c r="AN427">
        <f>IF($AM427="","",INDEX(TAX_MODES!$B:$B,MATCH($AM427,TAX_MODES!$A:$A,0)))</f>
        <v/>
      </c>
    </row>
    <row r="428">
      <c r="X428" s="15" t="n"/>
      <c r="Y428" s="15">
        <f>IF($X428="","",SUMIFS(TARIFF_PROFILES!$D:$D,TARIFF_PROFILES!$A:$A,$X428))</f>
        <v/>
      </c>
      <c r="Z428" s="15">
        <f>IF($X428="","",SUMIFS(TARIFF_PROFILES!$E:$E,TARIFF_PROFILES!$A:$A,$X428))</f>
        <v/>
      </c>
      <c r="AA428" s="15">
        <f>IF($X428="","",SUMIFS(TARIFF_PROFILES!$F:$F,TARIFF_PROFILES!$A:$A,$X428))</f>
        <v/>
      </c>
      <c r="AB428" s="15">
        <f>IF($X428="","",SUMIFS(TARIFF_PROFILES!$G:$G,TARIFF_PROFILES!$A:$A,$X428))</f>
        <v/>
      </c>
      <c r="AC428" s="15">
        <f>IF($X428="","",SUMIFS(TARIFF_PROFILES!$H:$H,TARIFF_PROFILES!$A:$A,$X428))</f>
        <v/>
      </c>
      <c r="AD428" s="15">
        <f>IF($X428="","",INDEX(TARIFF_PROFILES!$J:$J,MATCH($X428,TARIFF_PROFILES!$A:$A,0)))</f>
        <v/>
      </c>
      <c r="AE428" s="15">
        <f>IF($X428="","",INDEX(TARIFF_PROFILES!$K:$K,MATCH($X428,TARIFF_PROFILES!$A:$A,0)))</f>
        <v/>
      </c>
      <c r="AH428">
        <f>IF($AG428="","",SUMIFS(OPERATING_COEFFS!$C:$C,OPERATING_COEFFS!$A:$A,"DistanceClass",OPERATING_COEFFS!$B:$B,$AG428))</f>
        <v/>
      </c>
      <c r="AJ428">
        <f>IF($AI428="","",SUMIFS(OPERATING_COEFFS!$C:$C,OPERATING_COEFFS!$A:$A,"SeasonClass",OPERATING_COEFFS!$B:$B,$AI428))</f>
        <v/>
      </c>
      <c r="AL428">
        <f>IF($AK428="","",SUMIFS(OPERATING_COEFFS!$C:$C,OPERATING_COEFFS!$A:$A,"UrgencyClass",OPERATING_COEFFS!$B:$B,$AK428))</f>
        <v/>
      </c>
      <c r="AN428">
        <f>IF($AM428="","",INDEX(TAX_MODES!$B:$B,MATCH($AM428,TAX_MODES!$A:$A,0)))</f>
        <v/>
      </c>
    </row>
    <row r="429">
      <c r="X429" s="15" t="n"/>
      <c r="Y429" s="15">
        <f>IF($X429="","",SUMIFS(TARIFF_PROFILES!$D:$D,TARIFF_PROFILES!$A:$A,$X429))</f>
        <v/>
      </c>
      <c r="Z429" s="15">
        <f>IF($X429="","",SUMIFS(TARIFF_PROFILES!$E:$E,TARIFF_PROFILES!$A:$A,$X429))</f>
        <v/>
      </c>
      <c r="AA429" s="15">
        <f>IF($X429="","",SUMIFS(TARIFF_PROFILES!$F:$F,TARIFF_PROFILES!$A:$A,$X429))</f>
        <v/>
      </c>
      <c r="AB429" s="15">
        <f>IF($X429="","",SUMIFS(TARIFF_PROFILES!$G:$G,TARIFF_PROFILES!$A:$A,$X429))</f>
        <v/>
      </c>
      <c r="AC429" s="15">
        <f>IF($X429="","",SUMIFS(TARIFF_PROFILES!$H:$H,TARIFF_PROFILES!$A:$A,$X429))</f>
        <v/>
      </c>
      <c r="AD429" s="15">
        <f>IF($X429="","",INDEX(TARIFF_PROFILES!$J:$J,MATCH($X429,TARIFF_PROFILES!$A:$A,0)))</f>
        <v/>
      </c>
      <c r="AE429" s="15">
        <f>IF($X429="","",INDEX(TARIFF_PROFILES!$K:$K,MATCH($X429,TARIFF_PROFILES!$A:$A,0)))</f>
        <v/>
      </c>
      <c r="AH429">
        <f>IF($AG429="","",SUMIFS(OPERATING_COEFFS!$C:$C,OPERATING_COEFFS!$A:$A,"DistanceClass",OPERATING_COEFFS!$B:$B,$AG429))</f>
        <v/>
      </c>
      <c r="AJ429">
        <f>IF($AI429="","",SUMIFS(OPERATING_COEFFS!$C:$C,OPERATING_COEFFS!$A:$A,"SeasonClass",OPERATING_COEFFS!$B:$B,$AI429))</f>
        <v/>
      </c>
      <c r="AL429">
        <f>IF($AK429="","",SUMIFS(OPERATING_COEFFS!$C:$C,OPERATING_COEFFS!$A:$A,"UrgencyClass",OPERATING_COEFFS!$B:$B,$AK429))</f>
        <v/>
      </c>
      <c r="AN429">
        <f>IF($AM429="","",INDEX(TAX_MODES!$B:$B,MATCH($AM429,TAX_MODES!$A:$A,0)))</f>
        <v/>
      </c>
    </row>
    <row r="430">
      <c r="X430" s="15" t="n"/>
      <c r="Y430" s="15">
        <f>IF($X430="","",SUMIFS(TARIFF_PROFILES!$D:$D,TARIFF_PROFILES!$A:$A,$X430))</f>
        <v/>
      </c>
      <c r="Z430" s="15">
        <f>IF($X430="","",SUMIFS(TARIFF_PROFILES!$E:$E,TARIFF_PROFILES!$A:$A,$X430))</f>
        <v/>
      </c>
      <c r="AA430" s="15">
        <f>IF($X430="","",SUMIFS(TARIFF_PROFILES!$F:$F,TARIFF_PROFILES!$A:$A,$X430))</f>
        <v/>
      </c>
      <c r="AB430" s="15">
        <f>IF($X430="","",SUMIFS(TARIFF_PROFILES!$G:$G,TARIFF_PROFILES!$A:$A,$X430))</f>
        <v/>
      </c>
      <c r="AC430" s="15">
        <f>IF($X430="","",SUMIFS(TARIFF_PROFILES!$H:$H,TARIFF_PROFILES!$A:$A,$X430))</f>
        <v/>
      </c>
      <c r="AD430" s="15">
        <f>IF($X430="","",INDEX(TARIFF_PROFILES!$J:$J,MATCH($X430,TARIFF_PROFILES!$A:$A,0)))</f>
        <v/>
      </c>
      <c r="AE430" s="15">
        <f>IF($X430="","",INDEX(TARIFF_PROFILES!$K:$K,MATCH($X430,TARIFF_PROFILES!$A:$A,0)))</f>
        <v/>
      </c>
      <c r="AH430">
        <f>IF($AG430="","",SUMIFS(OPERATING_COEFFS!$C:$C,OPERATING_COEFFS!$A:$A,"DistanceClass",OPERATING_COEFFS!$B:$B,$AG430))</f>
        <v/>
      </c>
      <c r="AJ430">
        <f>IF($AI430="","",SUMIFS(OPERATING_COEFFS!$C:$C,OPERATING_COEFFS!$A:$A,"SeasonClass",OPERATING_COEFFS!$B:$B,$AI430))</f>
        <v/>
      </c>
      <c r="AL430">
        <f>IF($AK430="","",SUMIFS(OPERATING_COEFFS!$C:$C,OPERATING_COEFFS!$A:$A,"UrgencyClass",OPERATING_COEFFS!$B:$B,$AK430))</f>
        <v/>
      </c>
      <c r="AN430">
        <f>IF($AM430="","",INDEX(TAX_MODES!$B:$B,MATCH($AM430,TAX_MODES!$A:$A,0)))</f>
        <v/>
      </c>
    </row>
    <row r="431">
      <c r="X431" s="15" t="n"/>
      <c r="Y431" s="15">
        <f>IF($X431="","",SUMIFS(TARIFF_PROFILES!$D:$D,TARIFF_PROFILES!$A:$A,$X431))</f>
        <v/>
      </c>
      <c r="Z431" s="15">
        <f>IF($X431="","",SUMIFS(TARIFF_PROFILES!$E:$E,TARIFF_PROFILES!$A:$A,$X431))</f>
        <v/>
      </c>
      <c r="AA431" s="15">
        <f>IF($X431="","",SUMIFS(TARIFF_PROFILES!$F:$F,TARIFF_PROFILES!$A:$A,$X431))</f>
        <v/>
      </c>
      <c r="AB431" s="15">
        <f>IF($X431="","",SUMIFS(TARIFF_PROFILES!$G:$G,TARIFF_PROFILES!$A:$A,$X431))</f>
        <v/>
      </c>
      <c r="AC431" s="15">
        <f>IF($X431="","",SUMIFS(TARIFF_PROFILES!$H:$H,TARIFF_PROFILES!$A:$A,$X431))</f>
        <v/>
      </c>
      <c r="AD431" s="15">
        <f>IF($X431="","",INDEX(TARIFF_PROFILES!$J:$J,MATCH($X431,TARIFF_PROFILES!$A:$A,0)))</f>
        <v/>
      </c>
      <c r="AE431" s="15">
        <f>IF($X431="","",INDEX(TARIFF_PROFILES!$K:$K,MATCH($X431,TARIFF_PROFILES!$A:$A,0)))</f>
        <v/>
      </c>
      <c r="AH431">
        <f>IF($AG431="","",SUMIFS(OPERATING_COEFFS!$C:$C,OPERATING_COEFFS!$A:$A,"DistanceClass",OPERATING_COEFFS!$B:$B,$AG431))</f>
        <v/>
      </c>
      <c r="AJ431">
        <f>IF($AI431="","",SUMIFS(OPERATING_COEFFS!$C:$C,OPERATING_COEFFS!$A:$A,"SeasonClass",OPERATING_COEFFS!$B:$B,$AI431))</f>
        <v/>
      </c>
      <c r="AL431">
        <f>IF($AK431="","",SUMIFS(OPERATING_COEFFS!$C:$C,OPERATING_COEFFS!$A:$A,"UrgencyClass",OPERATING_COEFFS!$B:$B,$AK431))</f>
        <v/>
      </c>
      <c r="AN431">
        <f>IF($AM431="","",INDEX(TAX_MODES!$B:$B,MATCH($AM431,TAX_MODES!$A:$A,0)))</f>
        <v/>
      </c>
    </row>
    <row r="432">
      <c r="X432" s="15" t="n"/>
      <c r="Y432" s="15">
        <f>IF($X432="","",SUMIFS(TARIFF_PROFILES!$D:$D,TARIFF_PROFILES!$A:$A,$X432))</f>
        <v/>
      </c>
      <c r="Z432" s="15">
        <f>IF($X432="","",SUMIFS(TARIFF_PROFILES!$E:$E,TARIFF_PROFILES!$A:$A,$X432))</f>
        <v/>
      </c>
      <c r="AA432" s="15">
        <f>IF($X432="","",SUMIFS(TARIFF_PROFILES!$F:$F,TARIFF_PROFILES!$A:$A,$X432))</f>
        <v/>
      </c>
      <c r="AB432" s="15">
        <f>IF($X432="","",SUMIFS(TARIFF_PROFILES!$G:$G,TARIFF_PROFILES!$A:$A,$X432))</f>
        <v/>
      </c>
      <c r="AC432" s="15">
        <f>IF($X432="","",SUMIFS(TARIFF_PROFILES!$H:$H,TARIFF_PROFILES!$A:$A,$X432))</f>
        <v/>
      </c>
      <c r="AD432" s="15">
        <f>IF($X432="","",INDEX(TARIFF_PROFILES!$J:$J,MATCH($X432,TARIFF_PROFILES!$A:$A,0)))</f>
        <v/>
      </c>
      <c r="AE432" s="15">
        <f>IF($X432="","",INDEX(TARIFF_PROFILES!$K:$K,MATCH($X432,TARIFF_PROFILES!$A:$A,0)))</f>
        <v/>
      </c>
      <c r="AH432">
        <f>IF($AG432="","",SUMIFS(OPERATING_COEFFS!$C:$C,OPERATING_COEFFS!$A:$A,"DistanceClass",OPERATING_COEFFS!$B:$B,$AG432))</f>
        <v/>
      </c>
      <c r="AJ432">
        <f>IF($AI432="","",SUMIFS(OPERATING_COEFFS!$C:$C,OPERATING_COEFFS!$A:$A,"SeasonClass",OPERATING_COEFFS!$B:$B,$AI432))</f>
        <v/>
      </c>
      <c r="AL432">
        <f>IF($AK432="","",SUMIFS(OPERATING_COEFFS!$C:$C,OPERATING_COEFFS!$A:$A,"UrgencyClass",OPERATING_COEFFS!$B:$B,$AK432))</f>
        <v/>
      </c>
      <c r="AN432">
        <f>IF($AM432="","",INDEX(TAX_MODES!$B:$B,MATCH($AM432,TAX_MODES!$A:$A,0)))</f>
        <v/>
      </c>
    </row>
    <row r="433">
      <c r="X433" s="15" t="n"/>
      <c r="Y433" s="15">
        <f>IF($X433="","",SUMIFS(TARIFF_PROFILES!$D:$D,TARIFF_PROFILES!$A:$A,$X433))</f>
        <v/>
      </c>
      <c r="Z433" s="15">
        <f>IF($X433="","",SUMIFS(TARIFF_PROFILES!$E:$E,TARIFF_PROFILES!$A:$A,$X433))</f>
        <v/>
      </c>
      <c r="AA433" s="15">
        <f>IF($X433="","",SUMIFS(TARIFF_PROFILES!$F:$F,TARIFF_PROFILES!$A:$A,$X433))</f>
        <v/>
      </c>
      <c r="AB433" s="15">
        <f>IF($X433="","",SUMIFS(TARIFF_PROFILES!$G:$G,TARIFF_PROFILES!$A:$A,$X433))</f>
        <v/>
      </c>
      <c r="AC433" s="15">
        <f>IF($X433="","",SUMIFS(TARIFF_PROFILES!$H:$H,TARIFF_PROFILES!$A:$A,$X433))</f>
        <v/>
      </c>
      <c r="AD433" s="15">
        <f>IF($X433="","",INDEX(TARIFF_PROFILES!$J:$J,MATCH($X433,TARIFF_PROFILES!$A:$A,0)))</f>
        <v/>
      </c>
      <c r="AE433" s="15">
        <f>IF($X433="","",INDEX(TARIFF_PROFILES!$K:$K,MATCH($X433,TARIFF_PROFILES!$A:$A,0)))</f>
        <v/>
      </c>
      <c r="AH433">
        <f>IF($AG433="","",SUMIFS(OPERATING_COEFFS!$C:$C,OPERATING_COEFFS!$A:$A,"DistanceClass",OPERATING_COEFFS!$B:$B,$AG433))</f>
        <v/>
      </c>
      <c r="AJ433">
        <f>IF($AI433="","",SUMIFS(OPERATING_COEFFS!$C:$C,OPERATING_COEFFS!$A:$A,"SeasonClass",OPERATING_COEFFS!$B:$B,$AI433))</f>
        <v/>
      </c>
      <c r="AL433">
        <f>IF($AK433="","",SUMIFS(OPERATING_COEFFS!$C:$C,OPERATING_COEFFS!$A:$A,"UrgencyClass",OPERATING_COEFFS!$B:$B,$AK433))</f>
        <v/>
      </c>
      <c r="AN433">
        <f>IF($AM433="","",INDEX(TAX_MODES!$B:$B,MATCH($AM433,TAX_MODES!$A:$A,0)))</f>
        <v/>
      </c>
    </row>
    <row r="434">
      <c r="X434" s="15" t="n"/>
      <c r="Y434" s="15">
        <f>IF($X434="","",SUMIFS(TARIFF_PROFILES!$D:$D,TARIFF_PROFILES!$A:$A,$X434))</f>
        <v/>
      </c>
      <c r="Z434" s="15">
        <f>IF($X434="","",SUMIFS(TARIFF_PROFILES!$E:$E,TARIFF_PROFILES!$A:$A,$X434))</f>
        <v/>
      </c>
      <c r="AA434" s="15">
        <f>IF($X434="","",SUMIFS(TARIFF_PROFILES!$F:$F,TARIFF_PROFILES!$A:$A,$X434))</f>
        <v/>
      </c>
      <c r="AB434" s="15">
        <f>IF($X434="","",SUMIFS(TARIFF_PROFILES!$G:$G,TARIFF_PROFILES!$A:$A,$X434))</f>
        <v/>
      </c>
      <c r="AC434" s="15">
        <f>IF($X434="","",SUMIFS(TARIFF_PROFILES!$H:$H,TARIFF_PROFILES!$A:$A,$X434))</f>
        <v/>
      </c>
      <c r="AD434" s="15">
        <f>IF($X434="","",INDEX(TARIFF_PROFILES!$J:$J,MATCH($X434,TARIFF_PROFILES!$A:$A,0)))</f>
        <v/>
      </c>
      <c r="AE434" s="15">
        <f>IF($X434="","",INDEX(TARIFF_PROFILES!$K:$K,MATCH($X434,TARIFF_PROFILES!$A:$A,0)))</f>
        <v/>
      </c>
      <c r="AH434">
        <f>IF($AG434="","",SUMIFS(OPERATING_COEFFS!$C:$C,OPERATING_COEFFS!$A:$A,"DistanceClass",OPERATING_COEFFS!$B:$B,$AG434))</f>
        <v/>
      </c>
      <c r="AJ434">
        <f>IF($AI434="","",SUMIFS(OPERATING_COEFFS!$C:$C,OPERATING_COEFFS!$A:$A,"SeasonClass",OPERATING_COEFFS!$B:$B,$AI434))</f>
        <v/>
      </c>
      <c r="AL434">
        <f>IF($AK434="","",SUMIFS(OPERATING_COEFFS!$C:$C,OPERATING_COEFFS!$A:$A,"UrgencyClass",OPERATING_COEFFS!$B:$B,$AK434))</f>
        <v/>
      </c>
      <c r="AN434">
        <f>IF($AM434="","",INDEX(TAX_MODES!$B:$B,MATCH($AM434,TAX_MODES!$A:$A,0)))</f>
        <v/>
      </c>
    </row>
    <row r="435">
      <c r="X435" s="15" t="n"/>
      <c r="Y435" s="15">
        <f>IF($X435="","",SUMIFS(TARIFF_PROFILES!$D:$D,TARIFF_PROFILES!$A:$A,$X435))</f>
        <v/>
      </c>
      <c r="Z435" s="15">
        <f>IF($X435="","",SUMIFS(TARIFF_PROFILES!$E:$E,TARIFF_PROFILES!$A:$A,$X435))</f>
        <v/>
      </c>
      <c r="AA435" s="15">
        <f>IF($X435="","",SUMIFS(TARIFF_PROFILES!$F:$F,TARIFF_PROFILES!$A:$A,$X435))</f>
        <v/>
      </c>
      <c r="AB435" s="15">
        <f>IF($X435="","",SUMIFS(TARIFF_PROFILES!$G:$G,TARIFF_PROFILES!$A:$A,$X435))</f>
        <v/>
      </c>
      <c r="AC435" s="15">
        <f>IF($X435="","",SUMIFS(TARIFF_PROFILES!$H:$H,TARIFF_PROFILES!$A:$A,$X435))</f>
        <v/>
      </c>
      <c r="AD435" s="15">
        <f>IF($X435="","",INDEX(TARIFF_PROFILES!$J:$J,MATCH($X435,TARIFF_PROFILES!$A:$A,0)))</f>
        <v/>
      </c>
      <c r="AE435" s="15">
        <f>IF($X435="","",INDEX(TARIFF_PROFILES!$K:$K,MATCH($X435,TARIFF_PROFILES!$A:$A,0)))</f>
        <v/>
      </c>
      <c r="AH435">
        <f>IF($AG435="","",SUMIFS(OPERATING_COEFFS!$C:$C,OPERATING_COEFFS!$A:$A,"DistanceClass",OPERATING_COEFFS!$B:$B,$AG435))</f>
        <v/>
      </c>
      <c r="AJ435">
        <f>IF($AI435="","",SUMIFS(OPERATING_COEFFS!$C:$C,OPERATING_COEFFS!$A:$A,"SeasonClass",OPERATING_COEFFS!$B:$B,$AI435))</f>
        <v/>
      </c>
      <c r="AL435">
        <f>IF($AK435="","",SUMIFS(OPERATING_COEFFS!$C:$C,OPERATING_COEFFS!$A:$A,"UrgencyClass",OPERATING_COEFFS!$B:$B,$AK435))</f>
        <v/>
      </c>
      <c r="AN435">
        <f>IF($AM435="","",INDEX(TAX_MODES!$B:$B,MATCH($AM435,TAX_MODES!$A:$A,0)))</f>
        <v/>
      </c>
    </row>
    <row r="436">
      <c r="X436" s="15" t="n"/>
      <c r="Y436" s="15">
        <f>IF($X436="","",SUMIFS(TARIFF_PROFILES!$D:$D,TARIFF_PROFILES!$A:$A,$X436))</f>
        <v/>
      </c>
      <c r="Z436" s="15">
        <f>IF($X436="","",SUMIFS(TARIFF_PROFILES!$E:$E,TARIFF_PROFILES!$A:$A,$X436))</f>
        <v/>
      </c>
      <c r="AA436" s="15">
        <f>IF($X436="","",SUMIFS(TARIFF_PROFILES!$F:$F,TARIFF_PROFILES!$A:$A,$X436))</f>
        <v/>
      </c>
      <c r="AB436" s="15">
        <f>IF($X436="","",SUMIFS(TARIFF_PROFILES!$G:$G,TARIFF_PROFILES!$A:$A,$X436))</f>
        <v/>
      </c>
      <c r="AC436" s="15">
        <f>IF($X436="","",SUMIFS(TARIFF_PROFILES!$H:$H,TARIFF_PROFILES!$A:$A,$X436))</f>
        <v/>
      </c>
      <c r="AD436" s="15">
        <f>IF($X436="","",INDEX(TARIFF_PROFILES!$J:$J,MATCH($X436,TARIFF_PROFILES!$A:$A,0)))</f>
        <v/>
      </c>
      <c r="AE436" s="15">
        <f>IF($X436="","",INDEX(TARIFF_PROFILES!$K:$K,MATCH($X436,TARIFF_PROFILES!$A:$A,0)))</f>
        <v/>
      </c>
      <c r="AH436">
        <f>IF($AG436="","",SUMIFS(OPERATING_COEFFS!$C:$C,OPERATING_COEFFS!$A:$A,"DistanceClass",OPERATING_COEFFS!$B:$B,$AG436))</f>
        <v/>
      </c>
      <c r="AJ436">
        <f>IF($AI436="","",SUMIFS(OPERATING_COEFFS!$C:$C,OPERATING_COEFFS!$A:$A,"SeasonClass",OPERATING_COEFFS!$B:$B,$AI436))</f>
        <v/>
      </c>
      <c r="AL436">
        <f>IF($AK436="","",SUMIFS(OPERATING_COEFFS!$C:$C,OPERATING_COEFFS!$A:$A,"UrgencyClass",OPERATING_COEFFS!$B:$B,$AK436))</f>
        <v/>
      </c>
      <c r="AN436">
        <f>IF($AM436="","",INDEX(TAX_MODES!$B:$B,MATCH($AM436,TAX_MODES!$A:$A,0)))</f>
        <v/>
      </c>
    </row>
    <row r="437">
      <c r="X437" s="15" t="n"/>
      <c r="Y437" s="15">
        <f>IF($X437="","",SUMIFS(TARIFF_PROFILES!$D:$D,TARIFF_PROFILES!$A:$A,$X437))</f>
        <v/>
      </c>
      <c r="Z437" s="15">
        <f>IF($X437="","",SUMIFS(TARIFF_PROFILES!$E:$E,TARIFF_PROFILES!$A:$A,$X437))</f>
        <v/>
      </c>
      <c r="AA437" s="15">
        <f>IF($X437="","",SUMIFS(TARIFF_PROFILES!$F:$F,TARIFF_PROFILES!$A:$A,$X437))</f>
        <v/>
      </c>
      <c r="AB437" s="15">
        <f>IF($X437="","",SUMIFS(TARIFF_PROFILES!$G:$G,TARIFF_PROFILES!$A:$A,$X437))</f>
        <v/>
      </c>
      <c r="AC437" s="15">
        <f>IF($X437="","",SUMIFS(TARIFF_PROFILES!$H:$H,TARIFF_PROFILES!$A:$A,$X437))</f>
        <v/>
      </c>
      <c r="AD437" s="15">
        <f>IF($X437="","",INDEX(TARIFF_PROFILES!$J:$J,MATCH($X437,TARIFF_PROFILES!$A:$A,0)))</f>
        <v/>
      </c>
      <c r="AE437" s="15">
        <f>IF($X437="","",INDEX(TARIFF_PROFILES!$K:$K,MATCH($X437,TARIFF_PROFILES!$A:$A,0)))</f>
        <v/>
      </c>
      <c r="AH437">
        <f>IF($AG437="","",SUMIFS(OPERATING_COEFFS!$C:$C,OPERATING_COEFFS!$A:$A,"DistanceClass",OPERATING_COEFFS!$B:$B,$AG437))</f>
        <v/>
      </c>
      <c r="AJ437">
        <f>IF($AI437="","",SUMIFS(OPERATING_COEFFS!$C:$C,OPERATING_COEFFS!$A:$A,"SeasonClass",OPERATING_COEFFS!$B:$B,$AI437))</f>
        <v/>
      </c>
      <c r="AL437">
        <f>IF($AK437="","",SUMIFS(OPERATING_COEFFS!$C:$C,OPERATING_COEFFS!$A:$A,"UrgencyClass",OPERATING_COEFFS!$B:$B,$AK437))</f>
        <v/>
      </c>
      <c r="AN437">
        <f>IF($AM437="","",INDEX(TAX_MODES!$B:$B,MATCH($AM437,TAX_MODES!$A:$A,0)))</f>
        <v/>
      </c>
    </row>
    <row r="438">
      <c r="X438" s="15" t="n"/>
      <c r="Y438" s="15">
        <f>IF($X438="","",SUMIFS(TARIFF_PROFILES!$D:$D,TARIFF_PROFILES!$A:$A,$X438))</f>
        <v/>
      </c>
      <c r="Z438" s="15">
        <f>IF($X438="","",SUMIFS(TARIFF_PROFILES!$E:$E,TARIFF_PROFILES!$A:$A,$X438))</f>
        <v/>
      </c>
      <c r="AA438" s="15">
        <f>IF($X438="","",SUMIFS(TARIFF_PROFILES!$F:$F,TARIFF_PROFILES!$A:$A,$X438))</f>
        <v/>
      </c>
      <c r="AB438" s="15">
        <f>IF($X438="","",SUMIFS(TARIFF_PROFILES!$G:$G,TARIFF_PROFILES!$A:$A,$X438))</f>
        <v/>
      </c>
      <c r="AC438" s="15">
        <f>IF($X438="","",SUMIFS(TARIFF_PROFILES!$H:$H,TARIFF_PROFILES!$A:$A,$X438))</f>
        <v/>
      </c>
      <c r="AD438" s="15">
        <f>IF($X438="","",INDEX(TARIFF_PROFILES!$J:$J,MATCH($X438,TARIFF_PROFILES!$A:$A,0)))</f>
        <v/>
      </c>
      <c r="AE438" s="15">
        <f>IF($X438="","",INDEX(TARIFF_PROFILES!$K:$K,MATCH($X438,TARIFF_PROFILES!$A:$A,0)))</f>
        <v/>
      </c>
      <c r="AH438">
        <f>IF($AG438="","",SUMIFS(OPERATING_COEFFS!$C:$C,OPERATING_COEFFS!$A:$A,"DistanceClass",OPERATING_COEFFS!$B:$B,$AG438))</f>
        <v/>
      </c>
      <c r="AJ438">
        <f>IF($AI438="","",SUMIFS(OPERATING_COEFFS!$C:$C,OPERATING_COEFFS!$A:$A,"SeasonClass",OPERATING_COEFFS!$B:$B,$AI438))</f>
        <v/>
      </c>
      <c r="AL438">
        <f>IF($AK438="","",SUMIFS(OPERATING_COEFFS!$C:$C,OPERATING_COEFFS!$A:$A,"UrgencyClass",OPERATING_COEFFS!$B:$B,$AK438))</f>
        <v/>
      </c>
      <c r="AN438">
        <f>IF($AM438="","",INDEX(TAX_MODES!$B:$B,MATCH($AM438,TAX_MODES!$A:$A,0)))</f>
        <v/>
      </c>
    </row>
    <row r="439">
      <c r="X439" s="15" t="n"/>
      <c r="Y439" s="15">
        <f>IF($X439="","",SUMIFS(TARIFF_PROFILES!$D:$D,TARIFF_PROFILES!$A:$A,$X439))</f>
        <v/>
      </c>
      <c r="Z439" s="15">
        <f>IF($X439="","",SUMIFS(TARIFF_PROFILES!$E:$E,TARIFF_PROFILES!$A:$A,$X439))</f>
        <v/>
      </c>
      <c r="AA439" s="15">
        <f>IF($X439="","",SUMIFS(TARIFF_PROFILES!$F:$F,TARIFF_PROFILES!$A:$A,$X439))</f>
        <v/>
      </c>
      <c r="AB439" s="15">
        <f>IF($X439="","",SUMIFS(TARIFF_PROFILES!$G:$G,TARIFF_PROFILES!$A:$A,$X439))</f>
        <v/>
      </c>
      <c r="AC439" s="15">
        <f>IF($X439="","",SUMIFS(TARIFF_PROFILES!$H:$H,TARIFF_PROFILES!$A:$A,$X439))</f>
        <v/>
      </c>
      <c r="AD439" s="15">
        <f>IF($X439="","",INDEX(TARIFF_PROFILES!$J:$J,MATCH($X439,TARIFF_PROFILES!$A:$A,0)))</f>
        <v/>
      </c>
      <c r="AE439" s="15">
        <f>IF($X439="","",INDEX(TARIFF_PROFILES!$K:$K,MATCH($X439,TARIFF_PROFILES!$A:$A,0)))</f>
        <v/>
      </c>
      <c r="AH439">
        <f>IF($AG439="","",SUMIFS(OPERATING_COEFFS!$C:$C,OPERATING_COEFFS!$A:$A,"DistanceClass",OPERATING_COEFFS!$B:$B,$AG439))</f>
        <v/>
      </c>
      <c r="AJ439">
        <f>IF($AI439="","",SUMIFS(OPERATING_COEFFS!$C:$C,OPERATING_COEFFS!$A:$A,"SeasonClass",OPERATING_COEFFS!$B:$B,$AI439))</f>
        <v/>
      </c>
      <c r="AL439">
        <f>IF($AK439="","",SUMIFS(OPERATING_COEFFS!$C:$C,OPERATING_COEFFS!$A:$A,"UrgencyClass",OPERATING_COEFFS!$B:$B,$AK439))</f>
        <v/>
      </c>
      <c r="AN439">
        <f>IF($AM439="","",INDEX(TAX_MODES!$B:$B,MATCH($AM439,TAX_MODES!$A:$A,0)))</f>
        <v/>
      </c>
    </row>
    <row r="440">
      <c r="X440" s="15" t="n"/>
      <c r="Y440" s="15">
        <f>IF($X440="","",SUMIFS(TARIFF_PROFILES!$D:$D,TARIFF_PROFILES!$A:$A,$X440))</f>
        <v/>
      </c>
      <c r="Z440" s="15">
        <f>IF($X440="","",SUMIFS(TARIFF_PROFILES!$E:$E,TARIFF_PROFILES!$A:$A,$X440))</f>
        <v/>
      </c>
      <c r="AA440" s="15">
        <f>IF($X440="","",SUMIFS(TARIFF_PROFILES!$F:$F,TARIFF_PROFILES!$A:$A,$X440))</f>
        <v/>
      </c>
      <c r="AB440" s="15">
        <f>IF($X440="","",SUMIFS(TARIFF_PROFILES!$G:$G,TARIFF_PROFILES!$A:$A,$X440))</f>
        <v/>
      </c>
      <c r="AC440" s="15">
        <f>IF($X440="","",SUMIFS(TARIFF_PROFILES!$H:$H,TARIFF_PROFILES!$A:$A,$X440))</f>
        <v/>
      </c>
      <c r="AD440" s="15">
        <f>IF($X440="","",INDEX(TARIFF_PROFILES!$J:$J,MATCH($X440,TARIFF_PROFILES!$A:$A,0)))</f>
        <v/>
      </c>
      <c r="AE440" s="15">
        <f>IF($X440="","",INDEX(TARIFF_PROFILES!$K:$K,MATCH($X440,TARIFF_PROFILES!$A:$A,0)))</f>
        <v/>
      </c>
      <c r="AH440">
        <f>IF($AG440="","",SUMIFS(OPERATING_COEFFS!$C:$C,OPERATING_COEFFS!$A:$A,"DistanceClass",OPERATING_COEFFS!$B:$B,$AG440))</f>
        <v/>
      </c>
      <c r="AJ440">
        <f>IF($AI440="","",SUMIFS(OPERATING_COEFFS!$C:$C,OPERATING_COEFFS!$A:$A,"SeasonClass",OPERATING_COEFFS!$B:$B,$AI440))</f>
        <v/>
      </c>
      <c r="AL440">
        <f>IF($AK440="","",SUMIFS(OPERATING_COEFFS!$C:$C,OPERATING_COEFFS!$A:$A,"UrgencyClass",OPERATING_COEFFS!$B:$B,$AK440))</f>
        <v/>
      </c>
      <c r="AN440">
        <f>IF($AM440="","",INDEX(TAX_MODES!$B:$B,MATCH($AM440,TAX_MODES!$A:$A,0)))</f>
        <v/>
      </c>
    </row>
    <row r="441">
      <c r="X441" s="15" t="n"/>
      <c r="Y441" s="15">
        <f>IF($X441="","",SUMIFS(TARIFF_PROFILES!$D:$D,TARIFF_PROFILES!$A:$A,$X441))</f>
        <v/>
      </c>
      <c r="Z441" s="15">
        <f>IF($X441="","",SUMIFS(TARIFF_PROFILES!$E:$E,TARIFF_PROFILES!$A:$A,$X441))</f>
        <v/>
      </c>
      <c r="AA441" s="15">
        <f>IF($X441="","",SUMIFS(TARIFF_PROFILES!$F:$F,TARIFF_PROFILES!$A:$A,$X441))</f>
        <v/>
      </c>
      <c r="AB441" s="15">
        <f>IF($X441="","",SUMIFS(TARIFF_PROFILES!$G:$G,TARIFF_PROFILES!$A:$A,$X441))</f>
        <v/>
      </c>
      <c r="AC441" s="15">
        <f>IF($X441="","",SUMIFS(TARIFF_PROFILES!$H:$H,TARIFF_PROFILES!$A:$A,$X441))</f>
        <v/>
      </c>
      <c r="AD441" s="15">
        <f>IF($X441="","",INDEX(TARIFF_PROFILES!$J:$J,MATCH($X441,TARIFF_PROFILES!$A:$A,0)))</f>
        <v/>
      </c>
      <c r="AE441" s="15">
        <f>IF($X441="","",INDEX(TARIFF_PROFILES!$K:$K,MATCH($X441,TARIFF_PROFILES!$A:$A,0)))</f>
        <v/>
      </c>
      <c r="AH441">
        <f>IF($AG441="","",SUMIFS(OPERATING_COEFFS!$C:$C,OPERATING_COEFFS!$A:$A,"DistanceClass",OPERATING_COEFFS!$B:$B,$AG441))</f>
        <v/>
      </c>
      <c r="AJ441">
        <f>IF($AI441="","",SUMIFS(OPERATING_COEFFS!$C:$C,OPERATING_COEFFS!$A:$A,"SeasonClass",OPERATING_COEFFS!$B:$B,$AI441))</f>
        <v/>
      </c>
      <c r="AL441">
        <f>IF($AK441="","",SUMIFS(OPERATING_COEFFS!$C:$C,OPERATING_COEFFS!$A:$A,"UrgencyClass",OPERATING_COEFFS!$B:$B,$AK441))</f>
        <v/>
      </c>
      <c r="AN441">
        <f>IF($AM441="","",INDEX(TAX_MODES!$B:$B,MATCH($AM441,TAX_MODES!$A:$A,0)))</f>
        <v/>
      </c>
    </row>
    <row r="442">
      <c r="X442" s="15" t="n"/>
      <c r="Y442" s="15">
        <f>IF($X442="","",SUMIFS(TARIFF_PROFILES!$D:$D,TARIFF_PROFILES!$A:$A,$X442))</f>
        <v/>
      </c>
      <c r="Z442" s="15">
        <f>IF($X442="","",SUMIFS(TARIFF_PROFILES!$E:$E,TARIFF_PROFILES!$A:$A,$X442))</f>
        <v/>
      </c>
      <c r="AA442" s="15">
        <f>IF($X442="","",SUMIFS(TARIFF_PROFILES!$F:$F,TARIFF_PROFILES!$A:$A,$X442))</f>
        <v/>
      </c>
      <c r="AB442" s="15">
        <f>IF($X442="","",SUMIFS(TARIFF_PROFILES!$G:$G,TARIFF_PROFILES!$A:$A,$X442))</f>
        <v/>
      </c>
      <c r="AC442" s="15">
        <f>IF($X442="","",SUMIFS(TARIFF_PROFILES!$H:$H,TARIFF_PROFILES!$A:$A,$X442))</f>
        <v/>
      </c>
      <c r="AD442" s="15">
        <f>IF($X442="","",INDEX(TARIFF_PROFILES!$J:$J,MATCH($X442,TARIFF_PROFILES!$A:$A,0)))</f>
        <v/>
      </c>
      <c r="AE442" s="15">
        <f>IF($X442="","",INDEX(TARIFF_PROFILES!$K:$K,MATCH($X442,TARIFF_PROFILES!$A:$A,0)))</f>
        <v/>
      </c>
      <c r="AH442">
        <f>IF($AG442="","",SUMIFS(OPERATING_COEFFS!$C:$C,OPERATING_COEFFS!$A:$A,"DistanceClass",OPERATING_COEFFS!$B:$B,$AG442))</f>
        <v/>
      </c>
      <c r="AJ442">
        <f>IF($AI442="","",SUMIFS(OPERATING_COEFFS!$C:$C,OPERATING_COEFFS!$A:$A,"SeasonClass",OPERATING_COEFFS!$B:$B,$AI442))</f>
        <v/>
      </c>
      <c r="AL442">
        <f>IF($AK442="","",SUMIFS(OPERATING_COEFFS!$C:$C,OPERATING_COEFFS!$A:$A,"UrgencyClass",OPERATING_COEFFS!$B:$B,$AK442))</f>
        <v/>
      </c>
      <c r="AN442">
        <f>IF($AM442="","",INDEX(TAX_MODES!$B:$B,MATCH($AM442,TAX_MODES!$A:$A,0)))</f>
        <v/>
      </c>
    </row>
    <row r="443">
      <c r="X443" s="15" t="n"/>
      <c r="Y443" s="15">
        <f>IF($X443="","",SUMIFS(TARIFF_PROFILES!$D:$D,TARIFF_PROFILES!$A:$A,$X443))</f>
        <v/>
      </c>
      <c r="Z443" s="15">
        <f>IF($X443="","",SUMIFS(TARIFF_PROFILES!$E:$E,TARIFF_PROFILES!$A:$A,$X443))</f>
        <v/>
      </c>
      <c r="AA443" s="15">
        <f>IF($X443="","",SUMIFS(TARIFF_PROFILES!$F:$F,TARIFF_PROFILES!$A:$A,$X443))</f>
        <v/>
      </c>
      <c r="AB443" s="15">
        <f>IF($X443="","",SUMIFS(TARIFF_PROFILES!$G:$G,TARIFF_PROFILES!$A:$A,$X443))</f>
        <v/>
      </c>
      <c r="AC443" s="15">
        <f>IF($X443="","",SUMIFS(TARIFF_PROFILES!$H:$H,TARIFF_PROFILES!$A:$A,$X443))</f>
        <v/>
      </c>
      <c r="AD443" s="15">
        <f>IF($X443="","",INDEX(TARIFF_PROFILES!$J:$J,MATCH($X443,TARIFF_PROFILES!$A:$A,0)))</f>
        <v/>
      </c>
      <c r="AE443" s="15">
        <f>IF($X443="","",INDEX(TARIFF_PROFILES!$K:$K,MATCH($X443,TARIFF_PROFILES!$A:$A,0)))</f>
        <v/>
      </c>
      <c r="AH443">
        <f>IF($AG443="","",SUMIFS(OPERATING_COEFFS!$C:$C,OPERATING_COEFFS!$A:$A,"DistanceClass",OPERATING_COEFFS!$B:$B,$AG443))</f>
        <v/>
      </c>
      <c r="AJ443">
        <f>IF($AI443="","",SUMIFS(OPERATING_COEFFS!$C:$C,OPERATING_COEFFS!$A:$A,"SeasonClass",OPERATING_COEFFS!$B:$B,$AI443))</f>
        <v/>
      </c>
      <c r="AL443">
        <f>IF($AK443="","",SUMIFS(OPERATING_COEFFS!$C:$C,OPERATING_COEFFS!$A:$A,"UrgencyClass",OPERATING_COEFFS!$B:$B,$AK443))</f>
        <v/>
      </c>
      <c r="AN443">
        <f>IF($AM443="","",INDEX(TAX_MODES!$B:$B,MATCH($AM443,TAX_MODES!$A:$A,0)))</f>
        <v/>
      </c>
    </row>
    <row r="444">
      <c r="X444" s="15" t="n"/>
      <c r="Y444" s="15">
        <f>IF($X444="","",SUMIFS(TARIFF_PROFILES!$D:$D,TARIFF_PROFILES!$A:$A,$X444))</f>
        <v/>
      </c>
      <c r="Z444" s="15">
        <f>IF($X444="","",SUMIFS(TARIFF_PROFILES!$E:$E,TARIFF_PROFILES!$A:$A,$X444))</f>
        <v/>
      </c>
      <c r="AA444" s="15">
        <f>IF($X444="","",SUMIFS(TARIFF_PROFILES!$F:$F,TARIFF_PROFILES!$A:$A,$X444))</f>
        <v/>
      </c>
      <c r="AB444" s="15">
        <f>IF($X444="","",SUMIFS(TARIFF_PROFILES!$G:$G,TARIFF_PROFILES!$A:$A,$X444))</f>
        <v/>
      </c>
      <c r="AC444" s="15">
        <f>IF($X444="","",SUMIFS(TARIFF_PROFILES!$H:$H,TARIFF_PROFILES!$A:$A,$X444))</f>
        <v/>
      </c>
      <c r="AD444" s="15">
        <f>IF($X444="","",INDEX(TARIFF_PROFILES!$J:$J,MATCH($X444,TARIFF_PROFILES!$A:$A,0)))</f>
        <v/>
      </c>
      <c r="AE444" s="15">
        <f>IF($X444="","",INDEX(TARIFF_PROFILES!$K:$K,MATCH($X444,TARIFF_PROFILES!$A:$A,0)))</f>
        <v/>
      </c>
      <c r="AH444">
        <f>IF($AG444="","",SUMIFS(OPERATING_COEFFS!$C:$C,OPERATING_COEFFS!$A:$A,"DistanceClass",OPERATING_COEFFS!$B:$B,$AG444))</f>
        <v/>
      </c>
      <c r="AJ444">
        <f>IF($AI444="","",SUMIFS(OPERATING_COEFFS!$C:$C,OPERATING_COEFFS!$A:$A,"SeasonClass",OPERATING_COEFFS!$B:$B,$AI444))</f>
        <v/>
      </c>
      <c r="AL444">
        <f>IF($AK444="","",SUMIFS(OPERATING_COEFFS!$C:$C,OPERATING_COEFFS!$A:$A,"UrgencyClass",OPERATING_COEFFS!$B:$B,$AK444))</f>
        <v/>
      </c>
      <c r="AN444">
        <f>IF($AM444="","",INDEX(TAX_MODES!$B:$B,MATCH($AM444,TAX_MODES!$A:$A,0)))</f>
        <v/>
      </c>
    </row>
    <row r="445">
      <c r="X445" s="15" t="n"/>
      <c r="Y445" s="15">
        <f>IF($X445="","",SUMIFS(TARIFF_PROFILES!$D:$D,TARIFF_PROFILES!$A:$A,$X445))</f>
        <v/>
      </c>
      <c r="Z445" s="15">
        <f>IF($X445="","",SUMIFS(TARIFF_PROFILES!$E:$E,TARIFF_PROFILES!$A:$A,$X445))</f>
        <v/>
      </c>
      <c r="AA445" s="15">
        <f>IF($X445="","",SUMIFS(TARIFF_PROFILES!$F:$F,TARIFF_PROFILES!$A:$A,$X445))</f>
        <v/>
      </c>
      <c r="AB445" s="15">
        <f>IF($X445="","",SUMIFS(TARIFF_PROFILES!$G:$G,TARIFF_PROFILES!$A:$A,$X445))</f>
        <v/>
      </c>
      <c r="AC445" s="15">
        <f>IF($X445="","",SUMIFS(TARIFF_PROFILES!$H:$H,TARIFF_PROFILES!$A:$A,$X445))</f>
        <v/>
      </c>
      <c r="AD445" s="15">
        <f>IF($X445="","",INDEX(TARIFF_PROFILES!$J:$J,MATCH($X445,TARIFF_PROFILES!$A:$A,0)))</f>
        <v/>
      </c>
      <c r="AE445" s="15">
        <f>IF($X445="","",INDEX(TARIFF_PROFILES!$K:$K,MATCH($X445,TARIFF_PROFILES!$A:$A,0)))</f>
        <v/>
      </c>
      <c r="AH445">
        <f>IF($AG445="","",SUMIFS(OPERATING_COEFFS!$C:$C,OPERATING_COEFFS!$A:$A,"DistanceClass",OPERATING_COEFFS!$B:$B,$AG445))</f>
        <v/>
      </c>
      <c r="AJ445">
        <f>IF($AI445="","",SUMIFS(OPERATING_COEFFS!$C:$C,OPERATING_COEFFS!$A:$A,"SeasonClass",OPERATING_COEFFS!$B:$B,$AI445))</f>
        <v/>
      </c>
      <c r="AL445">
        <f>IF($AK445="","",SUMIFS(OPERATING_COEFFS!$C:$C,OPERATING_COEFFS!$A:$A,"UrgencyClass",OPERATING_COEFFS!$B:$B,$AK445))</f>
        <v/>
      </c>
      <c r="AN445">
        <f>IF($AM445="","",INDEX(TAX_MODES!$B:$B,MATCH($AM445,TAX_MODES!$A:$A,0)))</f>
        <v/>
      </c>
    </row>
    <row r="446">
      <c r="X446" s="15" t="n"/>
      <c r="Y446" s="15">
        <f>IF($X446="","",SUMIFS(TARIFF_PROFILES!$D:$D,TARIFF_PROFILES!$A:$A,$X446))</f>
        <v/>
      </c>
      <c r="Z446" s="15">
        <f>IF($X446="","",SUMIFS(TARIFF_PROFILES!$E:$E,TARIFF_PROFILES!$A:$A,$X446))</f>
        <v/>
      </c>
      <c r="AA446" s="15">
        <f>IF($X446="","",SUMIFS(TARIFF_PROFILES!$F:$F,TARIFF_PROFILES!$A:$A,$X446))</f>
        <v/>
      </c>
      <c r="AB446" s="15">
        <f>IF($X446="","",SUMIFS(TARIFF_PROFILES!$G:$G,TARIFF_PROFILES!$A:$A,$X446))</f>
        <v/>
      </c>
      <c r="AC446" s="15">
        <f>IF($X446="","",SUMIFS(TARIFF_PROFILES!$H:$H,TARIFF_PROFILES!$A:$A,$X446))</f>
        <v/>
      </c>
      <c r="AD446" s="15">
        <f>IF($X446="","",INDEX(TARIFF_PROFILES!$J:$J,MATCH($X446,TARIFF_PROFILES!$A:$A,0)))</f>
        <v/>
      </c>
      <c r="AE446" s="15">
        <f>IF($X446="","",INDEX(TARIFF_PROFILES!$K:$K,MATCH($X446,TARIFF_PROFILES!$A:$A,0)))</f>
        <v/>
      </c>
      <c r="AH446">
        <f>IF($AG446="","",SUMIFS(OPERATING_COEFFS!$C:$C,OPERATING_COEFFS!$A:$A,"DistanceClass",OPERATING_COEFFS!$B:$B,$AG446))</f>
        <v/>
      </c>
      <c r="AJ446">
        <f>IF($AI446="","",SUMIFS(OPERATING_COEFFS!$C:$C,OPERATING_COEFFS!$A:$A,"SeasonClass",OPERATING_COEFFS!$B:$B,$AI446))</f>
        <v/>
      </c>
      <c r="AL446">
        <f>IF($AK446="","",SUMIFS(OPERATING_COEFFS!$C:$C,OPERATING_COEFFS!$A:$A,"UrgencyClass",OPERATING_COEFFS!$B:$B,$AK446))</f>
        <v/>
      </c>
      <c r="AN446">
        <f>IF($AM446="","",INDEX(TAX_MODES!$B:$B,MATCH($AM446,TAX_MODES!$A:$A,0)))</f>
        <v/>
      </c>
    </row>
    <row r="447">
      <c r="X447" s="15" t="n"/>
      <c r="Y447" s="15">
        <f>IF($X447="","",SUMIFS(TARIFF_PROFILES!$D:$D,TARIFF_PROFILES!$A:$A,$X447))</f>
        <v/>
      </c>
      <c r="Z447" s="15">
        <f>IF($X447="","",SUMIFS(TARIFF_PROFILES!$E:$E,TARIFF_PROFILES!$A:$A,$X447))</f>
        <v/>
      </c>
      <c r="AA447" s="15">
        <f>IF($X447="","",SUMIFS(TARIFF_PROFILES!$F:$F,TARIFF_PROFILES!$A:$A,$X447))</f>
        <v/>
      </c>
      <c r="AB447" s="15">
        <f>IF($X447="","",SUMIFS(TARIFF_PROFILES!$G:$G,TARIFF_PROFILES!$A:$A,$X447))</f>
        <v/>
      </c>
      <c r="AC447" s="15">
        <f>IF($X447="","",SUMIFS(TARIFF_PROFILES!$H:$H,TARIFF_PROFILES!$A:$A,$X447))</f>
        <v/>
      </c>
      <c r="AD447" s="15">
        <f>IF($X447="","",INDEX(TARIFF_PROFILES!$J:$J,MATCH($X447,TARIFF_PROFILES!$A:$A,0)))</f>
        <v/>
      </c>
      <c r="AE447" s="15">
        <f>IF($X447="","",INDEX(TARIFF_PROFILES!$K:$K,MATCH($X447,TARIFF_PROFILES!$A:$A,0)))</f>
        <v/>
      </c>
      <c r="AH447">
        <f>IF($AG447="","",SUMIFS(OPERATING_COEFFS!$C:$C,OPERATING_COEFFS!$A:$A,"DistanceClass",OPERATING_COEFFS!$B:$B,$AG447))</f>
        <v/>
      </c>
      <c r="AJ447">
        <f>IF($AI447="","",SUMIFS(OPERATING_COEFFS!$C:$C,OPERATING_COEFFS!$A:$A,"SeasonClass",OPERATING_COEFFS!$B:$B,$AI447))</f>
        <v/>
      </c>
      <c r="AL447">
        <f>IF($AK447="","",SUMIFS(OPERATING_COEFFS!$C:$C,OPERATING_COEFFS!$A:$A,"UrgencyClass",OPERATING_COEFFS!$B:$B,$AK447))</f>
        <v/>
      </c>
      <c r="AN447">
        <f>IF($AM447="","",INDEX(TAX_MODES!$B:$B,MATCH($AM447,TAX_MODES!$A:$A,0)))</f>
        <v/>
      </c>
    </row>
    <row r="448">
      <c r="X448" s="15" t="n"/>
      <c r="Y448" s="15">
        <f>IF($X448="","",SUMIFS(TARIFF_PROFILES!$D:$D,TARIFF_PROFILES!$A:$A,$X448))</f>
        <v/>
      </c>
      <c r="Z448" s="15">
        <f>IF($X448="","",SUMIFS(TARIFF_PROFILES!$E:$E,TARIFF_PROFILES!$A:$A,$X448))</f>
        <v/>
      </c>
      <c r="AA448" s="15">
        <f>IF($X448="","",SUMIFS(TARIFF_PROFILES!$F:$F,TARIFF_PROFILES!$A:$A,$X448))</f>
        <v/>
      </c>
      <c r="AB448" s="15">
        <f>IF($X448="","",SUMIFS(TARIFF_PROFILES!$G:$G,TARIFF_PROFILES!$A:$A,$X448))</f>
        <v/>
      </c>
      <c r="AC448" s="15">
        <f>IF($X448="","",SUMIFS(TARIFF_PROFILES!$H:$H,TARIFF_PROFILES!$A:$A,$X448))</f>
        <v/>
      </c>
      <c r="AD448" s="15">
        <f>IF($X448="","",INDEX(TARIFF_PROFILES!$J:$J,MATCH($X448,TARIFF_PROFILES!$A:$A,0)))</f>
        <v/>
      </c>
      <c r="AE448" s="15">
        <f>IF($X448="","",INDEX(TARIFF_PROFILES!$K:$K,MATCH($X448,TARIFF_PROFILES!$A:$A,0)))</f>
        <v/>
      </c>
      <c r="AH448">
        <f>IF($AG448="","",SUMIFS(OPERATING_COEFFS!$C:$C,OPERATING_COEFFS!$A:$A,"DistanceClass",OPERATING_COEFFS!$B:$B,$AG448))</f>
        <v/>
      </c>
      <c r="AJ448">
        <f>IF($AI448="","",SUMIFS(OPERATING_COEFFS!$C:$C,OPERATING_COEFFS!$A:$A,"SeasonClass",OPERATING_COEFFS!$B:$B,$AI448))</f>
        <v/>
      </c>
      <c r="AL448">
        <f>IF($AK448="","",SUMIFS(OPERATING_COEFFS!$C:$C,OPERATING_COEFFS!$A:$A,"UrgencyClass",OPERATING_COEFFS!$B:$B,$AK448))</f>
        <v/>
      </c>
      <c r="AN448">
        <f>IF($AM448="","",INDEX(TAX_MODES!$B:$B,MATCH($AM448,TAX_MODES!$A:$A,0)))</f>
        <v/>
      </c>
    </row>
    <row r="449">
      <c r="X449" s="15" t="n"/>
      <c r="Y449" s="15">
        <f>IF($X449="","",SUMIFS(TARIFF_PROFILES!$D:$D,TARIFF_PROFILES!$A:$A,$X449))</f>
        <v/>
      </c>
      <c r="Z449" s="15">
        <f>IF($X449="","",SUMIFS(TARIFF_PROFILES!$E:$E,TARIFF_PROFILES!$A:$A,$X449))</f>
        <v/>
      </c>
      <c r="AA449" s="15">
        <f>IF($X449="","",SUMIFS(TARIFF_PROFILES!$F:$F,TARIFF_PROFILES!$A:$A,$X449))</f>
        <v/>
      </c>
      <c r="AB449" s="15">
        <f>IF($X449="","",SUMIFS(TARIFF_PROFILES!$G:$G,TARIFF_PROFILES!$A:$A,$X449))</f>
        <v/>
      </c>
      <c r="AC449" s="15">
        <f>IF($X449="","",SUMIFS(TARIFF_PROFILES!$H:$H,TARIFF_PROFILES!$A:$A,$X449))</f>
        <v/>
      </c>
      <c r="AD449" s="15">
        <f>IF($X449="","",INDEX(TARIFF_PROFILES!$J:$J,MATCH($X449,TARIFF_PROFILES!$A:$A,0)))</f>
        <v/>
      </c>
      <c r="AE449" s="15">
        <f>IF($X449="","",INDEX(TARIFF_PROFILES!$K:$K,MATCH($X449,TARIFF_PROFILES!$A:$A,0)))</f>
        <v/>
      </c>
      <c r="AH449">
        <f>IF($AG449="","",SUMIFS(OPERATING_COEFFS!$C:$C,OPERATING_COEFFS!$A:$A,"DistanceClass",OPERATING_COEFFS!$B:$B,$AG449))</f>
        <v/>
      </c>
      <c r="AJ449">
        <f>IF($AI449="","",SUMIFS(OPERATING_COEFFS!$C:$C,OPERATING_COEFFS!$A:$A,"SeasonClass",OPERATING_COEFFS!$B:$B,$AI449))</f>
        <v/>
      </c>
      <c r="AL449">
        <f>IF($AK449="","",SUMIFS(OPERATING_COEFFS!$C:$C,OPERATING_COEFFS!$A:$A,"UrgencyClass",OPERATING_COEFFS!$B:$B,$AK449))</f>
        <v/>
      </c>
      <c r="AN449">
        <f>IF($AM449="","",INDEX(TAX_MODES!$B:$B,MATCH($AM449,TAX_MODES!$A:$A,0)))</f>
        <v/>
      </c>
    </row>
    <row r="450">
      <c r="X450" s="15" t="n"/>
      <c r="Y450" s="15">
        <f>IF($X450="","",SUMIFS(TARIFF_PROFILES!$D:$D,TARIFF_PROFILES!$A:$A,$X450))</f>
        <v/>
      </c>
      <c r="Z450" s="15">
        <f>IF($X450="","",SUMIFS(TARIFF_PROFILES!$E:$E,TARIFF_PROFILES!$A:$A,$X450))</f>
        <v/>
      </c>
      <c r="AA450" s="15">
        <f>IF($X450="","",SUMIFS(TARIFF_PROFILES!$F:$F,TARIFF_PROFILES!$A:$A,$X450))</f>
        <v/>
      </c>
      <c r="AB450" s="15">
        <f>IF($X450="","",SUMIFS(TARIFF_PROFILES!$G:$G,TARIFF_PROFILES!$A:$A,$X450))</f>
        <v/>
      </c>
      <c r="AC450" s="15">
        <f>IF($X450="","",SUMIFS(TARIFF_PROFILES!$H:$H,TARIFF_PROFILES!$A:$A,$X450))</f>
        <v/>
      </c>
      <c r="AD450" s="15">
        <f>IF($X450="","",INDEX(TARIFF_PROFILES!$J:$J,MATCH($X450,TARIFF_PROFILES!$A:$A,0)))</f>
        <v/>
      </c>
      <c r="AE450" s="15">
        <f>IF($X450="","",INDEX(TARIFF_PROFILES!$K:$K,MATCH($X450,TARIFF_PROFILES!$A:$A,0)))</f>
        <v/>
      </c>
      <c r="AH450">
        <f>IF($AG450="","",SUMIFS(OPERATING_COEFFS!$C:$C,OPERATING_COEFFS!$A:$A,"DistanceClass",OPERATING_COEFFS!$B:$B,$AG450))</f>
        <v/>
      </c>
      <c r="AJ450">
        <f>IF($AI450="","",SUMIFS(OPERATING_COEFFS!$C:$C,OPERATING_COEFFS!$A:$A,"SeasonClass",OPERATING_COEFFS!$B:$B,$AI450))</f>
        <v/>
      </c>
      <c r="AL450">
        <f>IF($AK450="","",SUMIFS(OPERATING_COEFFS!$C:$C,OPERATING_COEFFS!$A:$A,"UrgencyClass",OPERATING_COEFFS!$B:$B,$AK450))</f>
        <v/>
      </c>
      <c r="AN450">
        <f>IF($AM450="","",INDEX(TAX_MODES!$B:$B,MATCH($AM450,TAX_MODES!$A:$A,0)))</f>
        <v/>
      </c>
    </row>
    <row r="451">
      <c r="X451" s="15" t="n"/>
      <c r="Y451" s="15">
        <f>IF($X451="","",SUMIFS(TARIFF_PROFILES!$D:$D,TARIFF_PROFILES!$A:$A,$X451))</f>
        <v/>
      </c>
      <c r="Z451" s="15">
        <f>IF($X451="","",SUMIFS(TARIFF_PROFILES!$E:$E,TARIFF_PROFILES!$A:$A,$X451))</f>
        <v/>
      </c>
      <c r="AA451" s="15">
        <f>IF($X451="","",SUMIFS(TARIFF_PROFILES!$F:$F,TARIFF_PROFILES!$A:$A,$X451))</f>
        <v/>
      </c>
      <c r="AB451" s="15">
        <f>IF($X451="","",SUMIFS(TARIFF_PROFILES!$G:$G,TARIFF_PROFILES!$A:$A,$X451))</f>
        <v/>
      </c>
      <c r="AC451" s="15">
        <f>IF($X451="","",SUMIFS(TARIFF_PROFILES!$H:$H,TARIFF_PROFILES!$A:$A,$X451))</f>
        <v/>
      </c>
      <c r="AD451" s="15">
        <f>IF($X451="","",INDEX(TARIFF_PROFILES!$J:$J,MATCH($X451,TARIFF_PROFILES!$A:$A,0)))</f>
        <v/>
      </c>
      <c r="AE451" s="15">
        <f>IF($X451="","",INDEX(TARIFF_PROFILES!$K:$K,MATCH($X451,TARIFF_PROFILES!$A:$A,0)))</f>
        <v/>
      </c>
      <c r="AH451">
        <f>IF($AG451="","",SUMIFS(OPERATING_COEFFS!$C:$C,OPERATING_COEFFS!$A:$A,"DistanceClass",OPERATING_COEFFS!$B:$B,$AG451))</f>
        <v/>
      </c>
      <c r="AJ451">
        <f>IF($AI451="","",SUMIFS(OPERATING_COEFFS!$C:$C,OPERATING_COEFFS!$A:$A,"SeasonClass",OPERATING_COEFFS!$B:$B,$AI451))</f>
        <v/>
      </c>
      <c r="AL451">
        <f>IF($AK451="","",SUMIFS(OPERATING_COEFFS!$C:$C,OPERATING_COEFFS!$A:$A,"UrgencyClass",OPERATING_COEFFS!$B:$B,$AK451))</f>
        <v/>
      </c>
      <c r="AN451">
        <f>IF($AM451="","",INDEX(TAX_MODES!$B:$B,MATCH($AM451,TAX_MODES!$A:$A,0)))</f>
        <v/>
      </c>
    </row>
    <row r="452">
      <c r="X452" s="15" t="n"/>
      <c r="Y452" s="15">
        <f>IF($X452="","",SUMIFS(TARIFF_PROFILES!$D:$D,TARIFF_PROFILES!$A:$A,$X452))</f>
        <v/>
      </c>
      <c r="Z452" s="15">
        <f>IF($X452="","",SUMIFS(TARIFF_PROFILES!$E:$E,TARIFF_PROFILES!$A:$A,$X452))</f>
        <v/>
      </c>
      <c r="AA452" s="15">
        <f>IF($X452="","",SUMIFS(TARIFF_PROFILES!$F:$F,TARIFF_PROFILES!$A:$A,$X452))</f>
        <v/>
      </c>
      <c r="AB452" s="15">
        <f>IF($X452="","",SUMIFS(TARIFF_PROFILES!$G:$G,TARIFF_PROFILES!$A:$A,$X452))</f>
        <v/>
      </c>
      <c r="AC452" s="15">
        <f>IF($X452="","",SUMIFS(TARIFF_PROFILES!$H:$H,TARIFF_PROFILES!$A:$A,$X452))</f>
        <v/>
      </c>
      <c r="AD452" s="15">
        <f>IF($X452="","",INDEX(TARIFF_PROFILES!$J:$J,MATCH($X452,TARIFF_PROFILES!$A:$A,0)))</f>
        <v/>
      </c>
      <c r="AE452" s="15">
        <f>IF($X452="","",INDEX(TARIFF_PROFILES!$K:$K,MATCH($X452,TARIFF_PROFILES!$A:$A,0)))</f>
        <v/>
      </c>
      <c r="AH452">
        <f>IF($AG452="","",SUMIFS(OPERATING_COEFFS!$C:$C,OPERATING_COEFFS!$A:$A,"DistanceClass",OPERATING_COEFFS!$B:$B,$AG452))</f>
        <v/>
      </c>
      <c r="AJ452">
        <f>IF($AI452="","",SUMIFS(OPERATING_COEFFS!$C:$C,OPERATING_COEFFS!$A:$A,"SeasonClass",OPERATING_COEFFS!$B:$B,$AI452))</f>
        <v/>
      </c>
      <c r="AL452">
        <f>IF($AK452="","",SUMIFS(OPERATING_COEFFS!$C:$C,OPERATING_COEFFS!$A:$A,"UrgencyClass",OPERATING_COEFFS!$B:$B,$AK452))</f>
        <v/>
      </c>
      <c r="AN452">
        <f>IF($AM452="","",INDEX(TAX_MODES!$B:$B,MATCH($AM452,TAX_MODES!$A:$A,0)))</f>
        <v/>
      </c>
    </row>
    <row r="453">
      <c r="X453" s="15" t="n"/>
      <c r="Y453" s="15">
        <f>IF($X453="","",SUMIFS(TARIFF_PROFILES!$D:$D,TARIFF_PROFILES!$A:$A,$X453))</f>
        <v/>
      </c>
      <c r="Z453" s="15">
        <f>IF($X453="","",SUMIFS(TARIFF_PROFILES!$E:$E,TARIFF_PROFILES!$A:$A,$X453))</f>
        <v/>
      </c>
      <c r="AA453" s="15">
        <f>IF($X453="","",SUMIFS(TARIFF_PROFILES!$F:$F,TARIFF_PROFILES!$A:$A,$X453))</f>
        <v/>
      </c>
      <c r="AB453" s="15">
        <f>IF($X453="","",SUMIFS(TARIFF_PROFILES!$G:$G,TARIFF_PROFILES!$A:$A,$X453))</f>
        <v/>
      </c>
      <c r="AC453" s="15">
        <f>IF($X453="","",SUMIFS(TARIFF_PROFILES!$H:$H,TARIFF_PROFILES!$A:$A,$X453))</f>
        <v/>
      </c>
      <c r="AD453" s="15">
        <f>IF($X453="","",INDEX(TARIFF_PROFILES!$J:$J,MATCH($X453,TARIFF_PROFILES!$A:$A,0)))</f>
        <v/>
      </c>
      <c r="AE453" s="15">
        <f>IF($X453="","",INDEX(TARIFF_PROFILES!$K:$K,MATCH($X453,TARIFF_PROFILES!$A:$A,0)))</f>
        <v/>
      </c>
      <c r="AH453">
        <f>IF($AG453="","",SUMIFS(OPERATING_COEFFS!$C:$C,OPERATING_COEFFS!$A:$A,"DistanceClass",OPERATING_COEFFS!$B:$B,$AG453))</f>
        <v/>
      </c>
      <c r="AJ453">
        <f>IF($AI453="","",SUMIFS(OPERATING_COEFFS!$C:$C,OPERATING_COEFFS!$A:$A,"SeasonClass",OPERATING_COEFFS!$B:$B,$AI453))</f>
        <v/>
      </c>
      <c r="AL453">
        <f>IF($AK453="","",SUMIFS(OPERATING_COEFFS!$C:$C,OPERATING_COEFFS!$A:$A,"UrgencyClass",OPERATING_COEFFS!$B:$B,$AK453))</f>
        <v/>
      </c>
      <c r="AN453">
        <f>IF($AM453="","",INDEX(TAX_MODES!$B:$B,MATCH($AM453,TAX_MODES!$A:$A,0)))</f>
        <v/>
      </c>
    </row>
    <row r="454">
      <c r="X454" s="15" t="n"/>
      <c r="Y454" s="15">
        <f>IF($X454="","",SUMIFS(TARIFF_PROFILES!$D:$D,TARIFF_PROFILES!$A:$A,$X454))</f>
        <v/>
      </c>
      <c r="Z454" s="15">
        <f>IF($X454="","",SUMIFS(TARIFF_PROFILES!$E:$E,TARIFF_PROFILES!$A:$A,$X454))</f>
        <v/>
      </c>
      <c r="AA454" s="15">
        <f>IF($X454="","",SUMIFS(TARIFF_PROFILES!$F:$F,TARIFF_PROFILES!$A:$A,$X454))</f>
        <v/>
      </c>
      <c r="AB454" s="15">
        <f>IF($X454="","",SUMIFS(TARIFF_PROFILES!$G:$G,TARIFF_PROFILES!$A:$A,$X454))</f>
        <v/>
      </c>
      <c r="AC454" s="15">
        <f>IF($X454="","",SUMIFS(TARIFF_PROFILES!$H:$H,TARIFF_PROFILES!$A:$A,$X454))</f>
        <v/>
      </c>
      <c r="AD454" s="15">
        <f>IF($X454="","",INDEX(TARIFF_PROFILES!$J:$J,MATCH($X454,TARIFF_PROFILES!$A:$A,0)))</f>
        <v/>
      </c>
      <c r="AE454" s="15">
        <f>IF($X454="","",INDEX(TARIFF_PROFILES!$K:$K,MATCH($X454,TARIFF_PROFILES!$A:$A,0)))</f>
        <v/>
      </c>
      <c r="AH454">
        <f>IF($AG454="","",SUMIFS(OPERATING_COEFFS!$C:$C,OPERATING_COEFFS!$A:$A,"DistanceClass",OPERATING_COEFFS!$B:$B,$AG454))</f>
        <v/>
      </c>
      <c r="AJ454">
        <f>IF($AI454="","",SUMIFS(OPERATING_COEFFS!$C:$C,OPERATING_COEFFS!$A:$A,"SeasonClass",OPERATING_COEFFS!$B:$B,$AI454))</f>
        <v/>
      </c>
      <c r="AL454">
        <f>IF($AK454="","",SUMIFS(OPERATING_COEFFS!$C:$C,OPERATING_COEFFS!$A:$A,"UrgencyClass",OPERATING_COEFFS!$B:$B,$AK454))</f>
        <v/>
      </c>
      <c r="AN454">
        <f>IF($AM454="","",INDEX(TAX_MODES!$B:$B,MATCH($AM454,TAX_MODES!$A:$A,0)))</f>
        <v/>
      </c>
    </row>
    <row r="455">
      <c r="X455" s="15" t="n"/>
      <c r="Y455" s="15">
        <f>IF($X455="","",SUMIFS(TARIFF_PROFILES!$D:$D,TARIFF_PROFILES!$A:$A,$X455))</f>
        <v/>
      </c>
      <c r="Z455" s="15">
        <f>IF($X455="","",SUMIFS(TARIFF_PROFILES!$E:$E,TARIFF_PROFILES!$A:$A,$X455))</f>
        <v/>
      </c>
      <c r="AA455" s="15">
        <f>IF($X455="","",SUMIFS(TARIFF_PROFILES!$F:$F,TARIFF_PROFILES!$A:$A,$X455))</f>
        <v/>
      </c>
      <c r="AB455" s="15">
        <f>IF($X455="","",SUMIFS(TARIFF_PROFILES!$G:$G,TARIFF_PROFILES!$A:$A,$X455))</f>
        <v/>
      </c>
      <c r="AC455" s="15">
        <f>IF($X455="","",SUMIFS(TARIFF_PROFILES!$H:$H,TARIFF_PROFILES!$A:$A,$X455))</f>
        <v/>
      </c>
      <c r="AD455" s="15">
        <f>IF($X455="","",INDEX(TARIFF_PROFILES!$J:$J,MATCH($X455,TARIFF_PROFILES!$A:$A,0)))</f>
        <v/>
      </c>
      <c r="AE455" s="15">
        <f>IF($X455="","",INDEX(TARIFF_PROFILES!$K:$K,MATCH($X455,TARIFF_PROFILES!$A:$A,0)))</f>
        <v/>
      </c>
      <c r="AH455">
        <f>IF($AG455="","",SUMIFS(OPERATING_COEFFS!$C:$C,OPERATING_COEFFS!$A:$A,"DistanceClass",OPERATING_COEFFS!$B:$B,$AG455))</f>
        <v/>
      </c>
      <c r="AJ455">
        <f>IF($AI455="","",SUMIFS(OPERATING_COEFFS!$C:$C,OPERATING_COEFFS!$A:$A,"SeasonClass",OPERATING_COEFFS!$B:$B,$AI455))</f>
        <v/>
      </c>
      <c r="AL455">
        <f>IF($AK455="","",SUMIFS(OPERATING_COEFFS!$C:$C,OPERATING_COEFFS!$A:$A,"UrgencyClass",OPERATING_COEFFS!$B:$B,$AK455))</f>
        <v/>
      </c>
      <c r="AN455">
        <f>IF($AM455="","",INDEX(TAX_MODES!$B:$B,MATCH($AM455,TAX_MODES!$A:$A,0)))</f>
        <v/>
      </c>
    </row>
    <row r="456">
      <c r="X456" s="15" t="n"/>
      <c r="Y456" s="15">
        <f>IF($X456="","",SUMIFS(TARIFF_PROFILES!$D:$D,TARIFF_PROFILES!$A:$A,$X456))</f>
        <v/>
      </c>
      <c r="Z456" s="15">
        <f>IF($X456="","",SUMIFS(TARIFF_PROFILES!$E:$E,TARIFF_PROFILES!$A:$A,$X456))</f>
        <v/>
      </c>
      <c r="AA456" s="15">
        <f>IF($X456="","",SUMIFS(TARIFF_PROFILES!$F:$F,TARIFF_PROFILES!$A:$A,$X456))</f>
        <v/>
      </c>
      <c r="AB456" s="15">
        <f>IF($X456="","",SUMIFS(TARIFF_PROFILES!$G:$G,TARIFF_PROFILES!$A:$A,$X456))</f>
        <v/>
      </c>
      <c r="AC456" s="15">
        <f>IF($X456="","",SUMIFS(TARIFF_PROFILES!$H:$H,TARIFF_PROFILES!$A:$A,$X456))</f>
        <v/>
      </c>
      <c r="AD456" s="15">
        <f>IF($X456="","",INDEX(TARIFF_PROFILES!$J:$J,MATCH($X456,TARIFF_PROFILES!$A:$A,0)))</f>
        <v/>
      </c>
      <c r="AE456" s="15">
        <f>IF($X456="","",INDEX(TARIFF_PROFILES!$K:$K,MATCH($X456,TARIFF_PROFILES!$A:$A,0)))</f>
        <v/>
      </c>
      <c r="AH456">
        <f>IF($AG456="","",SUMIFS(OPERATING_COEFFS!$C:$C,OPERATING_COEFFS!$A:$A,"DistanceClass",OPERATING_COEFFS!$B:$B,$AG456))</f>
        <v/>
      </c>
      <c r="AJ456">
        <f>IF($AI456="","",SUMIFS(OPERATING_COEFFS!$C:$C,OPERATING_COEFFS!$A:$A,"SeasonClass",OPERATING_COEFFS!$B:$B,$AI456))</f>
        <v/>
      </c>
      <c r="AL456">
        <f>IF($AK456="","",SUMIFS(OPERATING_COEFFS!$C:$C,OPERATING_COEFFS!$A:$A,"UrgencyClass",OPERATING_COEFFS!$B:$B,$AK456))</f>
        <v/>
      </c>
      <c r="AN456">
        <f>IF($AM456="","",INDEX(TAX_MODES!$B:$B,MATCH($AM456,TAX_MODES!$A:$A,0)))</f>
        <v/>
      </c>
    </row>
    <row r="457">
      <c r="X457" s="15" t="n"/>
      <c r="Y457" s="15">
        <f>IF($X457="","",SUMIFS(TARIFF_PROFILES!$D:$D,TARIFF_PROFILES!$A:$A,$X457))</f>
        <v/>
      </c>
      <c r="Z457" s="15">
        <f>IF($X457="","",SUMIFS(TARIFF_PROFILES!$E:$E,TARIFF_PROFILES!$A:$A,$X457))</f>
        <v/>
      </c>
      <c r="AA457" s="15">
        <f>IF($X457="","",SUMIFS(TARIFF_PROFILES!$F:$F,TARIFF_PROFILES!$A:$A,$X457))</f>
        <v/>
      </c>
      <c r="AB457" s="15">
        <f>IF($X457="","",SUMIFS(TARIFF_PROFILES!$G:$G,TARIFF_PROFILES!$A:$A,$X457))</f>
        <v/>
      </c>
      <c r="AC457" s="15">
        <f>IF($X457="","",SUMIFS(TARIFF_PROFILES!$H:$H,TARIFF_PROFILES!$A:$A,$X457))</f>
        <v/>
      </c>
      <c r="AD457" s="15">
        <f>IF($X457="","",INDEX(TARIFF_PROFILES!$J:$J,MATCH($X457,TARIFF_PROFILES!$A:$A,0)))</f>
        <v/>
      </c>
      <c r="AE457" s="15">
        <f>IF($X457="","",INDEX(TARIFF_PROFILES!$K:$K,MATCH($X457,TARIFF_PROFILES!$A:$A,0)))</f>
        <v/>
      </c>
      <c r="AH457">
        <f>IF($AG457="","",SUMIFS(OPERATING_COEFFS!$C:$C,OPERATING_COEFFS!$A:$A,"DistanceClass",OPERATING_COEFFS!$B:$B,$AG457))</f>
        <v/>
      </c>
      <c r="AJ457">
        <f>IF($AI457="","",SUMIFS(OPERATING_COEFFS!$C:$C,OPERATING_COEFFS!$A:$A,"SeasonClass",OPERATING_COEFFS!$B:$B,$AI457))</f>
        <v/>
      </c>
      <c r="AL457">
        <f>IF($AK457="","",SUMIFS(OPERATING_COEFFS!$C:$C,OPERATING_COEFFS!$A:$A,"UrgencyClass",OPERATING_COEFFS!$B:$B,$AK457))</f>
        <v/>
      </c>
      <c r="AN457">
        <f>IF($AM457="","",INDEX(TAX_MODES!$B:$B,MATCH($AM457,TAX_MODES!$A:$A,0)))</f>
        <v/>
      </c>
    </row>
    <row r="458">
      <c r="X458" s="15" t="n"/>
      <c r="Y458" s="15">
        <f>IF($X458="","",SUMIFS(TARIFF_PROFILES!$D:$D,TARIFF_PROFILES!$A:$A,$X458))</f>
        <v/>
      </c>
      <c r="Z458" s="15">
        <f>IF($X458="","",SUMIFS(TARIFF_PROFILES!$E:$E,TARIFF_PROFILES!$A:$A,$X458))</f>
        <v/>
      </c>
      <c r="AA458" s="15">
        <f>IF($X458="","",SUMIFS(TARIFF_PROFILES!$F:$F,TARIFF_PROFILES!$A:$A,$X458))</f>
        <v/>
      </c>
      <c r="AB458" s="15">
        <f>IF($X458="","",SUMIFS(TARIFF_PROFILES!$G:$G,TARIFF_PROFILES!$A:$A,$X458))</f>
        <v/>
      </c>
      <c r="AC458" s="15">
        <f>IF($X458="","",SUMIFS(TARIFF_PROFILES!$H:$H,TARIFF_PROFILES!$A:$A,$X458))</f>
        <v/>
      </c>
      <c r="AD458" s="15">
        <f>IF($X458="","",INDEX(TARIFF_PROFILES!$J:$J,MATCH($X458,TARIFF_PROFILES!$A:$A,0)))</f>
        <v/>
      </c>
      <c r="AE458" s="15">
        <f>IF($X458="","",INDEX(TARIFF_PROFILES!$K:$K,MATCH($X458,TARIFF_PROFILES!$A:$A,0)))</f>
        <v/>
      </c>
      <c r="AH458">
        <f>IF($AG458="","",SUMIFS(OPERATING_COEFFS!$C:$C,OPERATING_COEFFS!$A:$A,"DistanceClass",OPERATING_COEFFS!$B:$B,$AG458))</f>
        <v/>
      </c>
      <c r="AJ458">
        <f>IF($AI458="","",SUMIFS(OPERATING_COEFFS!$C:$C,OPERATING_COEFFS!$A:$A,"SeasonClass",OPERATING_COEFFS!$B:$B,$AI458))</f>
        <v/>
      </c>
      <c r="AL458">
        <f>IF($AK458="","",SUMIFS(OPERATING_COEFFS!$C:$C,OPERATING_COEFFS!$A:$A,"UrgencyClass",OPERATING_COEFFS!$B:$B,$AK458))</f>
        <v/>
      </c>
      <c r="AN458">
        <f>IF($AM458="","",INDEX(TAX_MODES!$B:$B,MATCH($AM458,TAX_MODES!$A:$A,0)))</f>
        <v/>
      </c>
    </row>
    <row r="459">
      <c r="X459" s="15" t="n"/>
      <c r="Y459" s="15">
        <f>IF($X459="","",SUMIFS(TARIFF_PROFILES!$D:$D,TARIFF_PROFILES!$A:$A,$X459))</f>
        <v/>
      </c>
      <c r="Z459" s="15">
        <f>IF($X459="","",SUMIFS(TARIFF_PROFILES!$E:$E,TARIFF_PROFILES!$A:$A,$X459))</f>
        <v/>
      </c>
      <c r="AA459" s="15">
        <f>IF($X459="","",SUMIFS(TARIFF_PROFILES!$F:$F,TARIFF_PROFILES!$A:$A,$X459))</f>
        <v/>
      </c>
      <c r="AB459" s="15">
        <f>IF($X459="","",SUMIFS(TARIFF_PROFILES!$G:$G,TARIFF_PROFILES!$A:$A,$X459))</f>
        <v/>
      </c>
      <c r="AC459" s="15">
        <f>IF($X459="","",SUMIFS(TARIFF_PROFILES!$H:$H,TARIFF_PROFILES!$A:$A,$X459))</f>
        <v/>
      </c>
      <c r="AD459" s="15">
        <f>IF($X459="","",INDEX(TARIFF_PROFILES!$J:$J,MATCH($X459,TARIFF_PROFILES!$A:$A,0)))</f>
        <v/>
      </c>
      <c r="AE459" s="15">
        <f>IF($X459="","",INDEX(TARIFF_PROFILES!$K:$K,MATCH($X459,TARIFF_PROFILES!$A:$A,0)))</f>
        <v/>
      </c>
      <c r="AH459">
        <f>IF($AG459="","",SUMIFS(OPERATING_COEFFS!$C:$C,OPERATING_COEFFS!$A:$A,"DistanceClass",OPERATING_COEFFS!$B:$B,$AG459))</f>
        <v/>
      </c>
      <c r="AJ459">
        <f>IF($AI459="","",SUMIFS(OPERATING_COEFFS!$C:$C,OPERATING_COEFFS!$A:$A,"SeasonClass",OPERATING_COEFFS!$B:$B,$AI459))</f>
        <v/>
      </c>
      <c r="AL459">
        <f>IF($AK459="","",SUMIFS(OPERATING_COEFFS!$C:$C,OPERATING_COEFFS!$A:$A,"UrgencyClass",OPERATING_COEFFS!$B:$B,$AK459))</f>
        <v/>
      </c>
      <c r="AN459">
        <f>IF($AM459="","",INDEX(TAX_MODES!$B:$B,MATCH($AM459,TAX_MODES!$A:$A,0)))</f>
        <v/>
      </c>
    </row>
    <row r="460">
      <c r="X460" s="15" t="n"/>
      <c r="Y460" s="15">
        <f>IF($X460="","",SUMIFS(TARIFF_PROFILES!$D:$D,TARIFF_PROFILES!$A:$A,$X460))</f>
        <v/>
      </c>
      <c r="Z460" s="15">
        <f>IF($X460="","",SUMIFS(TARIFF_PROFILES!$E:$E,TARIFF_PROFILES!$A:$A,$X460))</f>
        <v/>
      </c>
      <c r="AA460" s="15">
        <f>IF($X460="","",SUMIFS(TARIFF_PROFILES!$F:$F,TARIFF_PROFILES!$A:$A,$X460))</f>
        <v/>
      </c>
      <c r="AB460" s="15">
        <f>IF($X460="","",SUMIFS(TARIFF_PROFILES!$G:$G,TARIFF_PROFILES!$A:$A,$X460))</f>
        <v/>
      </c>
      <c r="AC460" s="15">
        <f>IF($X460="","",SUMIFS(TARIFF_PROFILES!$H:$H,TARIFF_PROFILES!$A:$A,$X460))</f>
        <v/>
      </c>
      <c r="AD460" s="15">
        <f>IF($X460="","",INDEX(TARIFF_PROFILES!$J:$J,MATCH($X460,TARIFF_PROFILES!$A:$A,0)))</f>
        <v/>
      </c>
      <c r="AE460" s="15">
        <f>IF($X460="","",INDEX(TARIFF_PROFILES!$K:$K,MATCH($X460,TARIFF_PROFILES!$A:$A,0)))</f>
        <v/>
      </c>
      <c r="AH460">
        <f>IF($AG460="","",SUMIFS(OPERATING_COEFFS!$C:$C,OPERATING_COEFFS!$A:$A,"DistanceClass",OPERATING_COEFFS!$B:$B,$AG460))</f>
        <v/>
      </c>
      <c r="AJ460">
        <f>IF($AI460="","",SUMIFS(OPERATING_COEFFS!$C:$C,OPERATING_COEFFS!$A:$A,"SeasonClass",OPERATING_COEFFS!$B:$B,$AI460))</f>
        <v/>
      </c>
      <c r="AL460">
        <f>IF($AK460="","",SUMIFS(OPERATING_COEFFS!$C:$C,OPERATING_COEFFS!$A:$A,"UrgencyClass",OPERATING_COEFFS!$B:$B,$AK460))</f>
        <v/>
      </c>
      <c r="AN460">
        <f>IF($AM460="","",INDEX(TAX_MODES!$B:$B,MATCH($AM460,TAX_MODES!$A:$A,0)))</f>
        <v/>
      </c>
    </row>
    <row r="461">
      <c r="X461" s="15" t="n"/>
      <c r="Y461" s="15">
        <f>IF($X461="","",SUMIFS(TARIFF_PROFILES!$D:$D,TARIFF_PROFILES!$A:$A,$X461))</f>
        <v/>
      </c>
      <c r="Z461" s="15">
        <f>IF($X461="","",SUMIFS(TARIFF_PROFILES!$E:$E,TARIFF_PROFILES!$A:$A,$X461))</f>
        <v/>
      </c>
      <c r="AA461" s="15">
        <f>IF($X461="","",SUMIFS(TARIFF_PROFILES!$F:$F,TARIFF_PROFILES!$A:$A,$X461))</f>
        <v/>
      </c>
      <c r="AB461" s="15">
        <f>IF($X461="","",SUMIFS(TARIFF_PROFILES!$G:$G,TARIFF_PROFILES!$A:$A,$X461))</f>
        <v/>
      </c>
      <c r="AC461" s="15">
        <f>IF($X461="","",SUMIFS(TARIFF_PROFILES!$H:$H,TARIFF_PROFILES!$A:$A,$X461))</f>
        <v/>
      </c>
      <c r="AD461" s="15">
        <f>IF($X461="","",INDEX(TARIFF_PROFILES!$J:$J,MATCH($X461,TARIFF_PROFILES!$A:$A,0)))</f>
        <v/>
      </c>
      <c r="AE461" s="15">
        <f>IF($X461="","",INDEX(TARIFF_PROFILES!$K:$K,MATCH($X461,TARIFF_PROFILES!$A:$A,0)))</f>
        <v/>
      </c>
      <c r="AH461">
        <f>IF($AG461="","",SUMIFS(OPERATING_COEFFS!$C:$C,OPERATING_COEFFS!$A:$A,"DistanceClass",OPERATING_COEFFS!$B:$B,$AG461))</f>
        <v/>
      </c>
      <c r="AJ461">
        <f>IF($AI461="","",SUMIFS(OPERATING_COEFFS!$C:$C,OPERATING_COEFFS!$A:$A,"SeasonClass",OPERATING_COEFFS!$B:$B,$AI461))</f>
        <v/>
      </c>
      <c r="AL461">
        <f>IF($AK461="","",SUMIFS(OPERATING_COEFFS!$C:$C,OPERATING_COEFFS!$A:$A,"UrgencyClass",OPERATING_COEFFS!$B:$B,$AK461))</f>
        <v/>
      </c>
      <c r="AN461">
        <f>IF($AM461="","",INDEX(TAX_MODES!$B:$B,MATCH($AM461,TAX_MODES!$A:$A,0)))</f>
        <v/>
      </c>
    </row>
    <row r="462">
      <c r="X462" s="15" t="n"/>
      <c r="Y462" s="15">
        <f>IF($X462="","",SUMIFS(TARIFF_PROFILES!$D:$D,TARIFF_PROFILES!$A:$A,$X462))</f>
        <v/>
      </c>
      <c r="Z462" s="15">
        <f>IF($X462="","",SUMIFS(TARIFF_PROFILES!$E:$E,TARIFF_PROFILES!$A:$A,$X462))</f>
        <v/>
      </c>
      <c r="AA462" s="15">
        <f>IF($X462="","",SUMIFS(TARIFF_PROFILES!$F:$F,TARIFF_PROFILES!$A:$A,$X462))</f>
        <v/>
      </c>
      <c r="AB462" s="15">
        <f>IF($X462="","",SUMIFS(TARIFF_PROFILES!$G:$G,TARIFF_PROFILES!$A:$A,$X462))</f>
        <v/>
      </c>
      <c r="AC462" s="15">
        <f>IF($X462="","",SUMIFS(TARIFF_PROFILES!$H:$H,TARIFF_PROFILES!$A:$A,$X462))</f>
        <v/>
      </c>
      <c r="AD462" s="15">
        <f>IF($X462="","",INDEX(TARIFF_PROFILES!$J:$J,MATCH($X462,TARIFF_PROFILES!$A:$A,0)))</f>
        <v/>
      </c>
      <c r="AE462" s="15">
        <f>IF($X462="","",INDEX(TARIFF_PROFILES!$K:$K,MATCH($X462,TARIFF_PROFILES!$A:$A,0)))</f>
        <v/>
      </c>
      <c r="AH462">
        <f>IF($AG462="","",SUMIFS(OPERATING_COEFFS!$C:$C,OPERATING_COEFFS!$A:$A,"DistanceClass",OPERATING_COEFFS!$B:$B,$AG462))</f>
        <v/>
      </c>
      <c r="AJ462">
        <f>IF($AI462="","",SUMIFS(OPERATING_COEFFS!$C:$C,OPERATING_COEFFS!$A:$A,"SeasonClass",OPERATING_COEFFS!$B:$B,$AI462))</f>
        <v/>
      </c>
      <c r="AL462">
        <f>IF($AK462="","",SUMIFS(OPERATING_COEFFS!$C:$C,OPERATING_COEFFS!$A:$A,"UrgencyClass",OPERATING_COEFFS!$B:$B,$AK462))</f>
        <v/>
      </c>
      <c r="AN462">
        <f>IF($AM462="","",INDEX(TAX_MODES!$B:$B,MATCH($AM462,TAX_MODES!$A:$A,0)))</f>
        <v/>
      </c>
    </row>
    <row r="463">
      <c r="X463" s="15" t="n"/>
      <c r="Y463" s="15">
        <f>IF($X463="","",SUMIFS(TARIFF_PROFILES!$D:$D,TARIFF_PROFILES!$A:$A,$X463))</f>
        <v/>
      </c>
      <c r="Z463" s="15">
        <f>IF($X463="","",SUMIFS(TARIFF_PROFILES!$E:$E,TARIFF_PROFILES!$A:$A,$X463))</f>
        <v/>
      </c>
      <c r="AA463" s="15">
        <f>IF($X463="","",SUMIFS(TARIFF_PROFILES!$F:$F,TARIFF_PROFILES!$A:$A,$X463))</f>
        <v/>
      </c>
      <c r="AB463" s="15">
        <f>IF($X463="","",SUMIFS(TARIFF_PROFILES!$G:$G,TARIFF_PROFILES!$A:$A,$X463))</f>
        <v/>
      </c>
      <c r="AC463" s="15">
        <f>IF($X463="","",SUMIFS(TARIFF_PROFILES!$H:$H,TARIFF_PROFILES!$A:$A,$X463))</f>
        <v/>
      </c>
      <c r="AD463" s="15">
        <f>IF($X463="","",INDEX(TARIFF_PROFILES!$J:$J,MATCH($X463,TARIFF_PROFILES!$A:$A,0)))</f>
        <v/>
      </c>
      <c r="AE463" s="15">
        <f>IF($X463="","",INDEX(TARIFF_PROFILES!$K:$K,MATCH($X463,TARIFF_PROFILES!$A:$A,0)))</f>
        <v/>
      </c>
      <c r="AH463">
        <f>IF($AG463="","",SUMIFS(OPERATING_COEFFS!$C:$C,OPERATING_COEFFS!$A:$A,"DistanceClass",OPERATING_COEFFS!$B:$B,$AG463))</f>
        <v/>
      </c>
      <c r="AJ463">
        <f>IF($AI463="","",SUMIFS(OPERATING_COEFFS!$C:$C,OPERATING_COEFFS!$A:$A,"SeasonClass",OPERATING_COEFFS!$B:$B,$AI463))</f>
        <v/>
      </c>
      <c r="AL463">
        <f>IF($AK463="","",SUMIFS(OPERATING_COEFFS!$C:$C,OPERATING_COEFFS!$A:$A,"UrgencyClass",OPERATING_COEFFS!$B:$B,$AK463))</f>
        <v/>
      </c>
      <c r="AN463">
        <f>IF($AM463="","",INDEX(TAX_MODES!$B:$B,MATCH($AM463,TAX_MODES!$A:$A,0)))</f>
        <v/>
      </c>
    </row>
    <row r="464">
      <c r="X464" s="15" t="n"/>
      <c r="Y464" s="15">
        <f>IF($X464="","",SUMIFS(TARIFF_PROFILES!$D:$D,TARIFF_PROFILES!$A:$A,$X464))</f>
        <v/>
      </c>
      <c r="Z464" s="15">
        <f>IF($X464="","",SUMIFS(TARIFF_PROFILES!$E:$E,TARIFF_PROFILES!$A:$A,$X464))</f>
        <v/>
      </c>
      <c r="AA464" s="15">
        <f>IF($X464="","",SUMIFS(TARIFF_PROFILES!$F:$F,TARIFF_PROFILES!$A:$A,$X464))</f>
        <v/>
      </c>
      <c r="AB464" s="15">
        <f>IF($X464="","",SUMIFS(TARIFF_PROFILES!$G:$G,TARIFF_PROFILES!$A:$A,$X464))</f>
        <v/>
      </c>
      <c r="AC464" s="15">
        <f>IF($X464="","",SUMIFS(TARIFF_PROFILES!$H:$H,TARIFF_PROFILES!$A:$A,$X464))</f>
        <v/>
      </c>
      <c r="AD464" s="15">
        <f>IF($X464="","",INDEX(TARIFF_PROFILES!$J:$J,MATCH($X464,TARIFF_PROFILES!$A:$A,0)))</f>
        <v/>
      </c>
      <c r="AE464" s="15">
        <f>IF($X464="","",INDEX(TARIFF_PROFILES!$K:$K,MATCH($X464,TARIFF_PROFILES!$A:$A,0)))</f>
        <v/>
      </c>
      <c r="AH464">
        <f>IF($AG464="","",SUMIFS(OPERATING_COEFFS!$C:$C,OPERATING_COEFFS!$A:$A,"DistanceClass",OPERATING_COEFFS!$B:$B,$AG464))</f>
        <v/>
      </c>
      <c r="AJ464">
        <f>IF($AI464="","",SUMIFS(OPERATING_COEFFS!$C:$C,OPERATING_COEFFS!$A:$A,"SeasonClass",OPERATING_COEFFS!$B:$B,$AI464))</f>
        <v/>
      </c>
      <c r="AL464">
        <f>IF($AK464="","",SUMIFS(OPERATING_COEFFS!$C:$C,OPERATING_COEFFS!$A:$A,"UrgencyClass",OPERATING_COEFFS!$B:$B,$AK464))</f>
        <v/>
      </c>
      <c r="AN464">
        <f>IF($AM464="","",INDEX(TAX_MODES!$B:$B,MATCH($AM464,TAX_MODES!$A:$A,0)))</f>
        <v/>
      </c>
    </row>
    <row r="465">
      <c r="X465" s="15" t="n"/>
      <c r="Y465" s="15">
        <f>IF($X465="","",SUMIFS(TARIFF_PROFILES!$D:$D,TARIFF_PROFILES!$A:$A,$X465))</f>
        <v/>
      </c>
      <c r="Z465" s="15">
        <f>IF($X465="","",SUMIFS(TARIFF_PROFILES!$E:$E,TARIFF_PROFILES!$A:$A,$X465))</f>
        <v/>
      </c>
      <c r="AA465" s="15">
        <f>IF($X465="","",SUMIFS(TARIFF_PROFILES!$F:$F,TARIFF_PROFILES!$A:$A,$X465))</f>
        <v/>
      </c>
      <c r="AB465" s="15">
        <f>IF($X465="","",SUMIFS(TARIFF_PROFILES!$G:$G,TARIFF_PROFILES!$A:$A,$X465))</f>
        <v/>
      </c>
      <c r="AC465" s="15">
        <f>IF($X465="","",SUMIFS(TARIFF_PROFILES!$H:$H,TARIFF_PROFILES!$A:$A,$X465))</f>
        <v/>
      </c>
      <c r="AD465" s="15">
        <f>IF($X465="","",INDEX(TARIFF_PROFILES!$J:$J,MATCH($X465,TARIFF_PROFILES!$A:$A,0)))</f>
        <v/>
      </c>
      <c r="AE465" s="15">
        <f>IF($X465="","",INDEX(TARIFF_PROFILES!$K:$K,MATCH($X465,TARIFF_PROFILES!$A:$A,0)))</f>
        <v/>
      </c>
      <c r="AH465">
        <f>IF($AG465="","",SUMIFS(OPERATING_COEFFS!$C:$C,OPERATING_COEFFS!$A:$A,"DistanceClass",OPERATING_COEFFS!$B:$B,$AG465))</f>
        <v/>
      </c>
      <c r="AJ465">
        <f>IF($AI465="","",SUMIFS(OPERATING_COEFFS!$C:$C,OPERATING_COEFFS!$A:$A,"SeasonClass",OPERATING_COEFFS!$B:$B,$AI465))</f>
        <v/>
      </c>
      <c r="AL465">
        <f>IF($AK465="","",SUMIFS(OPERATING_COEFFS!$C:$C,OPERATING_COEFFS!$A:$A,"UrgencyClass",OPERATING_COEFFS!$B:$B,$AK465))</f>
        <v/>
      </c>
      <c r="AN465">
        <f>IF($AM465="","",INDEX(TAX_MODES!$B:$B,MATCH($AM465,TAX_MODES!$A:$A,0)))</f>
        <v/>
      </c>
    </row>
    <row r="466">
      <c r="X466" s="15" t="n"/>
      <c r="Y466" s="15">
        <f>IF($X466="","",SUMIFS(TARIFF_PROFILES!$D:$D,TARIFF_PROFILES!$A:$A,$X466))</f>
        <v/>
      </c>
      <c r="Z466" s="15">
        <f>IF($X466="","",SUMIFS(TARIFF_PROFILES!$E:$E,TARIFF_PROFILES!$A:$A,$X466))</f>
        <v/>
      </c>
      <c r="AA466" s="15">
        <f>IF($X466="","",SUMIFS(TARIFF_PROFILES!$F:$F,TARIFF_PROFILES!$A:$A,$X466))</f>
        <v/>
      </c>
      <c r="AB466" s="15">
        <f>IF($X466="","",SUMIFS(TARIFF_PROFILES!$G:$G,TARIFF_PROFILES!$A:$A,$X466))</f>
        <v/>
      </c>
      <c r="AC466" s="15">
        <f>IF($X466="","",SUMIFS(TARIFF_PROFILES!$H:$H,TARIFF_PROFILES!$A:$A,$X466))</f>
        <v/>
      </c>
      <c r="AD466" s="15">
        <f>IF($X466="","",INDEX(TARIFF_PROFILES!$J:$J,MATCH($X466,TARIFF_PROFILES!$A:$A,0)))</f>
        <v/>
      </c>
      <c r="AE466" s="15">
        <f>IF($X466="","",INDEX(TARIFF_PROFILES!$K:$K,MATCH($X466,TARIFF_PROFILES!$A:$A,0)))</f>
        <v/>
      </c>
      <c r="AH466">
        <f>IF($AG466="","",SUMIFS(OPERATING_COEFFS!$C:$C,OPERATING_COEFFS!$A:$A,"DistanceClass",OPERATING_COEFFS!$B:$B,$AG466))</f>
        <v/>
      </c>
      <c r="AJ466">
        <f>IF($AI466="","",SUMIFS(OPERATING_COEFFS!$C:$C,OPERATING_COEFFS!$A:$A,"SeasonClass",OPERATING_COEFFS!$B:$B,$AI466))</f>
        <v/>
      </c>
      <c r="AL466">
        <f>IF($AK466="","",SUMIFS(OPERATING_COEFFS!$C:$C,OPERATING_COEFFS!$A:$A,"UrgencyClass",OPERATING_COEFFS!$B:$B,$AK466))</f>
        <v/>
      </c>
      <c r="AN466">
        <f>IF($AM466="","",INDEX(TAX_MODES!$B:$B,MATCH($AM466,TAX_MODES!$A:$A,0)))</f>
        <v/>
      </c>
    </row>
    <row r="467">
      <c r="X467" s="15" t="n"/>
      <c r="Y467" s="15">
        <f>IF($X467="","",SUMIFS(TARIFF_PROFILES!$D:$D,TARIFF_PROFILES!$A:$A,$X467))</f>
        <v/>
      </c>
      <c r="Z467" s="15">
        <f>IF($X467="","",SUMIFS(TARIFF_PROFILES!$E:$E,TARIFF_PROFILES!$A:$A,$X467))</f>
        <v/>
      </c>
      <c r="AA467" s="15">
        <f>IF($X467="","",SUMIFS(TARIFF_PROFILES!$F:$F,TARIFF_PROFILES!$A:$A,$X467))</f>
        <v/>
      </c>
      <c r="AB467" s="15">
        <f>IF($X467="","",SUMIFS(TARIFF_PROFILES!$G:$G,TARIFF_PROFILES!$A:$A,$X467))</f>
        <v/>
      </c>
      <c r="AC467" s="15">
        <f>IF($X467="","",SUMIFS(TARIFF_PROFILES!$H:$H,TARIFF_PROFILES!$A:$A,$X467))</f>
        <v/>
      </c>
      <c r="AD467" s="15">
        <f>IF($X467="","",INDEX(TARIFF_PROFILES!$J:$J,MATCH($X467,TARIFF_PROFILES!$A:$A,0)))</f>
        <v/>
      </c>
      <c r="AE467" s="15">
        <f>IF($X467="","",INDEX(TARIFF_PROFILES!$K:$K,MATCH($X467,TARIFF_PROFILES!$A:$A,0)))</f>
        <v/>
      </c>
      <c r="AH467">
        <f>IF($AG467="","",SUMIFS(OPERATING_COEFFS!$C:$C,OPERATING_COEFFS!$A:$A,"DistanceClass",OPERATING_COEFFS!$B:$B,$AG467))</f>
        <v/>
      </c>
      <c r="AJ467">
        <f>IF($AI467="","",SUMIFS(OPERATING_COEFFS!$C:$C,OPERATING_COEFFS!$A:$A,"SeasonClass",OPERATING_COEFFS!$B:$B,$AI467))</f>
        <v/>
      </c>
      <c r="AL467">
        <f>IF($AK467="","",SUMIFS(OPERATING_COEFFS!$C:$C,OPERATING_COEFFS!$A:$A,"UrgencyClass",OPERATING_COEFFS!$B:$B,$AK467))</f>
        <v/>
      </c>
      <c r="AN467">
        <f>IF($AM467="","",INDEX(TAX_MODES!$B:$B,MATCH($AM467,TAX_MODES!$A:$A,0)))</f>
        <v/>
      </c>
    </row>
    <row r="468">
      <c r="X468" s="15" t="n"/>
      <c r="Y468" s="15">
        <f>IF($X468="","",SUMIFS(TARIFF_PROFILES!$D:$D,TARIFF_PROFILES!$A:$A,$X468))</f>
        <v/>
      </c>
      <c r="Z468" s="15">
        <f>IF($X468="","",SUMIFS(TARIFF_PROFILES!$E:$E,TARIFF_PROFILES!$A:$A,$X468))</f>
        <v/>
      </c>
      <c r="AA468" s="15">
        <f>IF($X468="","",SUMIFS(TARIFF_PROFILES!$F:$F,TARIFF_PROFILES!$A:$A,$X468))</f>
        <v/>
      </c>
      <c r="AB468" s="15">
        <f>IF($X468="","",SUMIFS(TARIFF_PROFILES!$G:$G,TARIFF_PROFILES!$A:$A,$X468))</f>
        <v/>
      </c>
      <c r="AC468" s="15">
        <f>IF($X468="","",SUMIFS(TARIFF_PROFILES!$H:$H,TARIFF_PROFILES!$A:$A,$X468))</f>
        <v/>
      </c>
      <c r="AD468" s="15">
        <f>IF($X468="","",INDEX(TARIFF_PROFILES!$J:$J,MATCH($X468,TARIFF_PROFILES!$A:$A,0)))</f>
        <v/>
      </c>
      <c r="AE468" s="15">
        <f>IF($X468="","",INDEX(TARIFF_PROFILES!$K:$K,MATCH($X468,TARIFF_PROFILES!$A:$A,0)))</f>
        <v/>
      </c>
      <c r="AH468">
        <f>IF($AG468="","",SUMIFS(OPERATING_COEFFS!$C:$C,OPERATING_COEFFS!$A:$A,"DistanceClass",OPERATING_COEFFS!$B:$B,$AG468))</f>
        <v/>
      </c>
      <c r="AJ468">
        <f>IF($AI468="","",SUMIFS(OPERATING_COEFFS!$C:$C,OPERATING_COEFFS!$A:$A,"SeasonClass",OPERATING_COEFFS!$B:$B,$AI468))</f>
        <v/>
      </c>
      <c r="AL468">
        <f>IF($AK468="","",SUMIFS(OPERATING_COEFFS!$C:$C,OPERATING_COEFFS!$A:$A,"UrgencyClass",OPERATING_COEFFS!$B:$B,$AK468))</f>
        <v/>
      </c>
      <c r="AN468">
        <f>IF($AM468="","",INDEX(TAX_MODES!$B:$B,MATCH($AM468,TAX_MODES!$A:$A,0)))</f>
        <v/>
      </c>
    </row>
    <row r="469">
      <c r="X469" s="15" t="n"/>
      <c r="Y469" s="15">
        <f>IF($X469="","",SUMIFS(TARIFF_PROFILES!$D:$D,TARIFF_PROFILES!$A:$A,$X469))</f>
        <v/>
      </c>
      <c r="Z469" s="15">
        <f>IF($X469="","",SUMIFS(TARIFF_PROFILES!$E:$E,TARIFF_PROFILES!$A:$A,$X469))</f>
        <v/>
      </c>
      <c r="AA469" s="15">
        <f>IF($X469="","",SUMIFS(TARIFF_PROFILES!$F:$F,TARIFF_PROFILES!$A:$A,$X469))</f>
        <v/>
      </c>
      <c r="AB469" s="15">
        <f>IF($X469="","",SUMIFS(TARIFF_PROFILES!$G:$G,TARIFF_PROFILES!$A:$A,$X469))</f>
        <v/>
      </c>
      <c r="AC469" s="15">
        <f>IF($X469="","",SUMIFS(TARIFF_PROFILES!$H:$H,TARIFF_PROFILES!$A:$A,$X469))</f>
        <v/>
      </c>
      <c r="AD469" s="15">
        <f>IF($X469="","",INDEX(TARIFF_PROFILES!$J:$J,MATCH($X469,TARIFF_PROFILES!$A:$A,0)))</f>
        <v/>
      </c>
      <c r="AE469" s="15">
        <f>IF($X469="","",INDEX(TARIFF_PROFILES!$K:$K,MATCH($X469,TARIFF_PROFILES!$A:$A,0)))</f>
        <v/>
      </c>
      <c r="AH469">
        <f>IF($AG469="","",SUMIFS(OPERATING_COEFFS!$C:$C,OPERATING_COEFFS!$A:$A,"DistanceClass",OPERATING_COEFFS!$B:$B,$AG469))</f>
        <v/>
      </c>
      <c r="AJ469">
        <f>IF($AI469="","",SUMIFS(OPERATING_COEFFS!$C:$C,OPERATING_COEFFS!$A:$A,"SeasonClass",OPERATING_COEFFS!$B:$B,$AI469))</f>
        <v/>
      </c>
      <c r="AL469">
        <f>IF($AK469="","",SUMIFS(OPERATING_COEFFS!$C:$C,OPERATING_COEFFS!$A:$A,"UrgencyClass",OPERATING_COEFFS!$B:$B,$AK469))</f>
        <v/>
      </c>
      <c r="AN469">
        <f>IF($AM469="","",INDEX(TAX_MODES!$B:$B,MATCH($AM469,TAX_MODES!$A:$A,0)))</f>
        <v/>
      </c>
    </row>
    <row r="470">
      <c r="X470" s="15" t="n"/>
      <c r="Y470" s="15">
        <f>IF($X470="","",SUMIFS(TARIFF_PROFILES!$D:$D,TARIFF_PROFILES!$A:$A,$X470))</f>
        <v/>
      </c>
      <c r="Z470" s="15">
        <f>IF($X470="","",SUMIFS(TARIFF_PROFILES!$E:$E,TARIFF_PROFILES!$A:$A,$X470))</f>
        <v/>
      </c>
      <c r="AA470" s="15">
        <f>IF($X470="","",SUMIFS(TARIFF_PROFILES!$F:$F,TARIFF_PROFILES!$A:$A,$X470))</f>
        <v/>
      </c>
      <c r="AB470" s="15">
        <f>IF($X470="","",SUMIFS(TARIFF_PROFILES!$G:$G,TARIFF_PROFILES!$A:$A,$X470))</f>
        <v/>
      </c>
      <c r="AC470" s="15">
        <f>IF($X470="","",SUMIFS(TARIFF_PROFILES!$H:$H,TARIFF_PROFILES!$A:$A,$X470))</f>
        <v/>
      </c>
      <c r="AD470" s="15">
        <f>IF($X470="","",INDEX(TARIFF_PROFILES!$J:$J,MATCH($X470,TARIFF_PROFILES!$A:$A,0)))</f>
        <v/>
      </c>
      <c r="AE470" s="15">
        <f>IF($X470="","",INDEX(TARIFF_PROFILES!$K:$K,MATCH($X470,TARIFF_PROFILES!$A:$A,0)))</f>
        <v/>
      </c>
      <c r="AH470">
        <f>IF($AG470="","",SUMIFS(OPERATING_COEFFS!$C:$C,OPERATING_COEFFS!$A:$A,"DistanceClass",OPERATING_COEFFS!$B:$B,$AG470))</f>
        <v/>
      </c>
      <c r="AJ470">
        <f>IF($AI470="","",SUMIFS(OPERATING_COEFFS!$C:$C,OPERATING_COEFFS!$A:$A,"SeasonClass",OPERATING_COEFFS!$B:$B,$AI470))</f>
        <v/>
      </c>
      <c r="AL470">
        <f>IF($AK470="","",SUMIFS(OPERATING_COEFFS!$C:$C,OPERATING_COEFFS!$A:$A,"UrgencyClass",OPERATING_COEFFS!$B:$B,$AK470))</f>
        <v/>
      </c>
      <c r="AN470">
        <f>IF($AM470="","",INDEX(TAX_MODES!$B:$B,MATCH($AM470,TAX_MODES!$A:$A,0)))</f>
        <v/>
      </c>
    </row>
    <row r="471">
      <c r="X471" s="15" t="n"/>
      <c r="Y471" s="15">
        <f>IF($X471="","",SUMIFS(TARIFF_PROFILES!$D:$D,TARIFF_PROFILES!$A:$A,$X471))</f>
        <v/>
      </c>
      <c r="Z471" s="15">
        <f>IF($X471="","",SUMIFS(TARIFF_PROFILES!$E:$E,TARIFF_PROFILES!$A:$A,$X471))</f>
        <v/>
      </c>
      <c r="AA471" s="15">
        <f>IF($X471="","",SUMIFS(TARIFF_PROFILES!$F:$F,TARIFF_PROFILES!$A:$A,$X471))</f>
        <v/>
      </c>
      <c r="AB471" s="15">
        <f>IF($X471="","",SUMIFS(TARIFF_PROFILES!$G:$G,TARIFF_PROFILES!$A:$A,$X471))</f>
        <v/>
      </c>
      <c r="AC471" s="15">
        <f>IF($X471="","",SUMIFS(TARIFF_PROFILES!$H:$H,TARIFF_PROFILES!$A:$A,$X471))</f>
        <v/>
      </c>
      <c r="AD471" s="15">
        <f>IF($X471="","",INDEX(TARIFF_PROFILES!$J:$J,MATCH($X471,TARIFF_PROFILES!$A:$A,0)))</f>
        <v/>
      </c>
      <c r="AE471" s="15">
        <f>IF($X471="","",INDEX(TARIFF_PROFILES!$K:$K,MATCH($X471,TARIFF_PROFILES!$A:$A,0)))</f>
        <v/>
      </c>
      <c r="AH471">
        <f>IF($AG471="","",SUMIFS(OPERATING_COEFFS!$C:$C,OPERATING_COEFFS!$A:$A,"DistanceClass",OPERATING_COEFFS!$B:$B,$AG471))</f>
        <v/>
      </c>
      <c r="AJ471">
        <f>IF($AI471="","",SUMIFS(OPERATING_COEFFS!$C:$C,OPERATING_COEFFS!$A:$A,"SeasonClass",OPERATING_COEFFS!$B:$B,$AI471))</f>
        <v/>
      </c>
      <c r="AL471">
        <f>IF($AK471="","",SUMIFS(OPERATING_COEFFS!$C:$C,OPERATING_COEFFS!$A:$A,"UrgencyClass",OPERATING_COEFFS!$B:$B,$AK471))</f>
        <v/>
      </c>
      <c r="AN471">
        <f>IF($AM471="","",INDEX(TAX_MODES!$B:$B,MATCH($AM471,TAX_MODES!$A:$A,0)))</f>
        <v/>
      </c>
    </row>
    <row r="472">
      <c r="X472" s="15" t="n"/>
      <c r="Y472" s="15">
        <f>IF($X472="","",SUMIFS(TARIFF_PROFILES!$D:$D,TARIFF_PROFILES!$A:$A,$X472))</f>
        <v/>
      </c>
      <c r="Z472" s="15">
        <f>IF($X472="","",SUMIFS(TARIFF_PROFILES!$E:$E,TARIFF_PROFILES!$A:$A,$X472))</f>
        <v/>
      </c>
      <c r="AA472" s="15">
        <f>IF($X472="","",SUMIFS(TARIFF_PROFILES!$F:$F,TARIFF_PROFILES!$A:$A,$X472))</f>
        <v/>
      </c>
      <c r="AB472" s="15">
        <f>IF($X472="","",SUMIFS(TARIFF_PROFILES!$G:$G,TARIFF_PROFILES!$A:$A,$X472))</f>
        <v/>
      </c>
      <c r="AC472" s="15">
        <f>IF($X472="","",SUMIFS(TARIFF_PROFILES!$H:$H,TARIFF_PROFILES!$A:$A,$X472))</f>
        <v/>
      </c>
      <c r="AD472" s="15">
        <f>IF($X472="","",INDEX(TARIFF_PROFILES!$J:$J,MATCH($X472,TARIFF_PROFILES!$A:$A,0)))</f>
        <v/>
      </c>
      <c r="AE472" s="15">
        <f>IF($X472="","",INDEX(TARIFF_PROFILES!$K:$K,MATCH($X472,TARIFF_PROFILES!$A:$A,0)))</f>
        <v/>
      </c>
      <c r="AH472">
        <f>IF($AG472="","",SUMIFS(OPERATING_COEFFS!$C:$C,OPERATING_COEFFS!$A:$A,"DistanceClass",OPERATING_COEFFS!$B:$B,$AG472))</f>
        <v/>
      </c>
      <c r="AJ472">
        <f>IF($AI472="","",SUMIFS(OPERATING_COEFFS!$C:$C,OPERATING_COEFFS!$A:$A,"SeasonClass",OPERATING_COEFFS!$B:$B,$AI472))</f>
        <v/>
      </c>
      <c r="AL472">
        <f>IF($AK472="","",SUMIFS(OPERATING_COEFFS!$C:$C,OPERATING_COEFFS!$A:$A,"UrgencyClass",OPERATING_COEFFS!$B:$B,$AK472))</f>
        <v/>
      </c>
      <c r="AN472">
        <f>IF($AM472="","",INDEX(TAX_MODES!$B:$B,MATCH($AM472,TAX_MODES!$A:$A,0)))</f>
        <v/>
      </c>
    </row>
    <row r="473">
      <c r="X473" s="15" t="n"/>
      <c r="Y473" s="15">
        <f>IF($X473="","",SUMIFS(TARIFF_PROFILES!$D:$D,TARIFF_PROFILES!$A:$A,$X473))</f>
        <v/>
      </c>
      <c r="Z473" s="15">
        <f>IF($X473="","",SUMIFS(TARIFF_PROFILES!$E:$E,TARIFF_PROFILES!$A:$A,$X473))</f>
        <v/>
      </c>
      <c r="AA473" s="15">
        <f>IF($X473="","",SUMIFS(TARIFF_PROFILES!$F:$F,TARIFF_PROFILES!$A:$A,$X473))</f>
        <v/>
      </c>
      <c r="AB473" s="15">
        <f>IF($X473="","",SUMIFS(TARIFF_PROFILES!$G:$G,TARIFF_PROFILES!$A:$A,$X473))</f>
        <v/>
      </c>
      <c r="AC473" s="15">
        <f>IF($X473="","",SUMIFS(TARIFF_PROFILES!$H:$H,TARIFF_PROFILES!$A:$A,$X473))</f>
        <v/>
      </c>
      <c r="AD473" s="15">
        <f>IF($X473="","",INDEX(TARIFF_PROFILES!$J:$J,MATCH($X473,TARIFF_PROFILES!$A:$A,0)))</f>
        <v/>
      </c>
      <c r="AE473" s="15">
        <f>IF($X473="","",INDEX(TARIFF_PROFILES!$K:$K,MATCH($X473,TARIFF_PROFILES!$A:$A,0)))</f>
        <v/>
      </c>
      <c r="AH473">
        <f>IF($AG473="","",SUMIFS(OPERATING_COEFFS!$C:$C,OPERATING_COEFFS!$A:$A,"DistanceClass",OPERATING_COEFFS!$B:$B,$AG473))</f>
        <v/>
      </c>
      <c r="AJ473">
        <f>IF($AI473="","",SUMIFS(OPERATING_COEFFS!$C:$C,OPERATING_COEFFS!$A:$A,"SeasonClass",OPERATING_COEFFS!$B:$B,$AI473))</f>
        <v/>
      </c>
      <c r="AL473">
        <f>IF($AK473="","",SUMIFS(OPERATING_COEFFS!$C:$C,OPERATING_COEFFS!$A:$A,"UrgencyClass",OPERATING_COEFFS!$B:$B,$AK473))</f>
        <v/>
      </c>
      <c r="AN473">
        <f>IF($AM473="","",INDEX(TAX_MODES!$B:$B,MATCH($AM473,TAX_MODES!$A:$A,0)))</f>
        <v/>
      </c>
    </row>
    <row r="474">
      <c r="X474" s="15" t="n"/>
      <c r="Y474" s="15">
        <f>IF($X474="","",SUMIFS(TARIFF_PROFILES!$D:$D,TARIFF_PROFILES!$A:$A,$X474))</f>
        <v/>
      </c>
      <c r="Z474" s="15">
        <f>IF($X474="","",SUMIFS(TARIFF_PROFILES!$E:$E,TARIFF_PROFILES!$A:$A,$X474))</f>
        <v/>
      </c>
      <c r="AA474" s="15">
        <f>IF($X474="","",SUMIFS(TARIFF_PROFILES!$F:$F,TARIFF_PROFILES!$A:$A,$X474))</f>
        <v/>
      </c>
      <c r="AB474" s="15">
        <f>IF($X474="","",SUMIFS(TARIFF_PROFILES!$G:$G,TARIFF_PROFILES!$A:$A,$X474))</f>
        <v/>
      </c>
      <c r="AC474" s="15">
        <f>IF($X474="","",SUMIFS(TARIFF_PROFILES!$H:$H,TARIFF_PROFILES!$A:$A,$X474))</f>
        <v/>
      </c>
      <c r="AD474" s="15">
        <f>IF($X474="","",INDEX(TARIFF_PROFILES!$J:$J,MATCH($X474,TARIFF_PROFILES!$A:$A,0)))</f>
        <v/>
      </c>
      <c r="AE474" s="15">
        <f>IF($X474="","",INDEX(TARIFF_PROFILES!$K:$K,MATCH($X474,TARIFF_PROFILES!$A:$A,0)))</f>
        <v/>
      </c>
      <c r="AH474">
        <f>IF($AG474="","",SUMIFS(OPERATING_COEFFS!$C:$C,OPERATING_COEFFS!$A:$A,"DistanceClass",OPERATING_COEFFS!$B:$B,$AG474))</f>
        <v/>
      </c>
      <c r="AJ474">
        <f>IF($AI474="","",SUMIFS(OPERATING_COEFFS!$C:$C,OPERATING_COEFFS!$A:$A,"SeasonClass",OPERATING_COEFFS!$B:$B,$AI474))</f>
        <v/>
      </c>
      <c r="AL474">
        <f>IF($AK474="","",SUMIFS(OPERATING_COEFFS!$C:$C,OPERATING_COEFFS!$A:$A,"UrgencyClass",OPERATING_COEFFS!$B:$B,$AK474))</f>
        <v/>
      </c>
      <c r="AN474">
        <f>IF($AM474="","",INDEX(TAX_MODES!$B:$B,MATCH($AM474,TAX_MODES!$A:$A,0)))</f>
        <v/>
      </c>
    </row>
    <row r="475">
      <c r="X475" s="15" t="n"/>
      <c r="Y475" s="15">
        <f>IF($X475="","",SUMIFS(TARIFF_PROFILES!$D:$D,TARIFF_PROFILES!$A:$A,$X475))</f>
        <v/>
      </c>
      <c r="Z475" s="15">
        <f>IF($X475="","",SUMIFS(TARIFF_PROFILES!$E:$E,TARIFF_PROFILES!$A:$A,$X475))</f>
        <v/>
      </c>
      <c r="AA475" s="15">
        <f>IF($X475="","",SUMIFS(TARIFF_PROFILES!$F:$F,TARIFF_PROFILES!$A:$A,$X475))</f>
        <v/>
      </c>
      <c r="AB475" s="15">
        <f>IF($X475="","",SUMIFS(TARIFF_PROFILES!$G:$G,TARIFF_PROFILES!$A:$A,$X475))</f>
        <v/>
      </c>
      <c r="AC475" s="15">
        <f>IF($X475="","",SUMIFS(TARIFF_PROFILES!$H:$H,TARIFF_PROFILES!$A:$A,$X475))</f>
        <v/>
      </c>
      <c r="AD475" s="15">
        <f>IF($X475="","",INDEX(TARIFF_PROFILES!$J:$J,MATCH($X475,TARIFF_PROFILES!$A:$A,0)))</f>
        <v/>
      </c>
      <c r="AE475" s="15">
        <f>IF($X475="","",INDEX(TARIFF_PROFILES!$K:$K,MATCH($X475,TARIFF_PROFILES!$A:$A,0)))</f>
        <v/>
      </c>
      <c r="AH475">
        <f>IF($AG475="","",SUMIFS(OPERATING_COEFFS!$C:$C,OPERATING_COEFFS!$A:$A,"DistanceClass",OPERATING_COEFFS!$B:$B,$AG475))</f>
        <v/>
      </c>
      <c r="AJ475">
        <f>IF($AI475="","",SUMIFS(OPERATING_COEFFS!$C:$C,OPERATING_COEFFS!$A:$A,"SeasonClass",OPERATING_COEFFS!$B:$B,$AI475))</f>
        <v/>
      </c>
      <c r="AL475">
        <f>IF($AK475="","",SUMIFS(OPERATING_COEFFS!$C:$C,OPERATING_COEFFS!$A:$A,"UrgencyClass",OPERATING_COEFFS!$B:$B,$AK475))</f>
        <v/>
      </c>
      <c r="AN475">
        <f>IF($AM475="","",INDEX(TAX_MODES!$B:$B,MATCH($AM475,TAX_MODES!$A:$A,0)))</f>
        <v/>
      </c>
    </row>
    <row r="476">
      <c r="X476" s="15" t="n"/>
      <c r="Y476" s="15">
        <f>IF($X476="","",SUMIFS(TARIFF_PROFILES!$D:$D,TARIFF_PROFILES!$A:$A,$X476))</f>
        <v/>
      </c>
      <c r="Z476" s="15">
        <f>IF($X476="","",SUMIFS(TARIFF_PROFILES!$E:$E,TARIFF_PROFILES!$A:$A,$X476))</f>
        <v/>
      </c>
      <c r="AA476" s="15">
        <f>IF($X476="","",SUMIFS(TARIFF_PROFILES!$F:$F,TARIFF_PROFILES!$A:$A,$X476))</f>
        <v/>
      </c>
      <c r="AB476" s="15">
        <f>IF($X476="","",SUMIFS(TARIFF_PROFILES!$G:$G,TARIFF_PROFILES!$A:$A,$X476))</f>
        <v/>
      </c>
      <c r="AC476" s="15">
        <f>IF($X476="","",SUMIFS(TARIFF_PROFILES!$H:$H,TARIFF_PROFILES!$A:$A,$X476))</f>
        <v/>
      </c>
      <c r="AD476" s="15">
        <f>IF($X476="","",INDEX(TARIFF_PROFILES!$J:$J,MATCH($X476,TARIFF_PROFILES!$A:$A,0)))</f>
        <v/>
      </c>
      <c r="AE476" s="15">
        <f>IF($X476="","",INDEX(TARIFF_PROFILES!$K:$K,MATCH($X476,TARIFF_PROFILES!$A:$A,0)))</f>
        <v/>
      </c>
      <c r="AH476">
        <f>IF($AG476="","",SUMIFS(OPERATING_COEFFS!$C:$C,OPERATING_COEFFS!$A:$A,"DistanceClass",OPERATING_COEFFS!$B:$B,$AG476))</f>
        <v/>
      </c>
      <c r="AJ476">
        <f>IF($AI476="","",SUMIFS(OPERATING_COEFFS!$C:$C,OPERATING_COEFFS!$A:$A,"SeasonClass",OPERATING_COEFFS!$B:$B,$AI476))</f>
        <v/>
      </c>
      <c r="AL476">
        <f>IF($AK476="","",SUMIFS(OPERATING_COEFFS!$C:$C,OPERATING_COEFFS!$A:$A,"UrgencyClass",OPERATING_COEFFS!$B:$B,$AK476))</f>
        <v/>
      </c>
      <c r="AN476">
        <f>IF($AM476="","",INDEX(TAX_MODES!$B:$B,MATCH($AM476,TAX_MODES!$A:$A,0)))</f>
        <v/>
      </c>
    </row>
    <row r="477">
      <c r="X477" s="15" t="n"/>
      <c r="Y477" s="15">
        <f>IF($X477="","",SUMIFS(TARIFF_PROFILES!$D:$D,TARIFF_PROFILES!$A:$A,$X477))</f>
        <v/>
      </c>
      <c r="Z477" s="15">
        <f>IF($X477="","",SUMIFS(TARIFF_PROFILES!$E:$E,TARIFF_PROFILES!$A:$A,$X477))</f>
        <v/>
      </c>
      <c r="AA477" s="15">
        <f>IF($X477="","",SUMIFS(TARIFF_PROFILES!$F:$F,TARIFF_PROFILES!$A:$A,$X477))</f>
        <v/>
      </c>
      <c r="AB477" s="15">
        <f>IF($X477="","",SUMIFS(TARIFF_PROFILES!$G:$G,TARIFF_PROFILES!$A:$A,$X477))</f>
        <v/>
      </c>
      <c r="AC477" s="15">
        <f>IF($X477="","",SUMIFS(TARIFF_PROFILES!$H:$H,TARIFF_PROFILES!$A:$A,$X477))</f>
        <v/>
      </c>
      <c r="AD477" s="15">
        <f>IF($X477="","",INDEX(TARIFF_PROFILES!$J:$J,MATCH($X477,TARIFF_PROFILES!$A:$A,0)))</f>
        <v/>
      </c>
      <c r="AE477" s="15">
        <f>IF($X477="","",INDEX(TARIFF_PROFILES!$K:$K,MATCH($X477,TARIFF_PROFILES!$A:$A,0)))</f>
        <v/>
      </c>
      <c r="AH477">
        <f>IF($AG477="","",SUMIFS(OPERATING_COEFFS!$C:$C,OPERATING_COEFFS!$A:$A,"DistanceClass",OPERATING_COEFFS!$B:$B,$AG477))</f>
        <v/>
      </c>
      <c r="AJ477">
        <f>IF($AI477="","",SUMIFS(OPERATING_COEFFS!$C:$C,OPERATING_COEFFS!$A:$A,"SeasonClass",OPERATING_COEFFS!$B:$B,$AI477))</f>
        <v/>
      </c>
      <c r="AL477">
        <f>IF($AK477="","",SUMIFS(OPERATING_COEFFS!$C:$C,OPERATING_COEFFS!$A:$A,"UrgencyClass",OPERATING_COEFFS!$B:$B,$AK477))</f>
        <v/>
      </c>
      <c r="AN477">
        <f>IF($AM477="","",INDEX(TAX_MODES!$B:$B,MATCH($AM477,TAX_MODES!$A:$A,0)))</f>
        <v/>
      </c>
    </row>
    <row r="478">
      <c r="X478" s="15" t="n"/>
      <c r="Y478" s="15">
        <f>IF($X478="","",SUMIFS(TARIFF_PROFILES!$D:$D,TARIFF_PROFILES!$A:$A,$X478))</f>
        <v/>
      </c>
      <c r="Z478" s="15">
        <f>IF($X478="","",SUMIFS(TARIFF_PROFILES!$E:$E,TARIFF_PROFILES!$A:$A,$X478))</f>
        <v/>
      </c>
      <c r="AA478" s="15">
        <f>IF($X478="","",SUMIFS(TARIFF_PROFILES!$F:$F,TARIFF_PROFILES!$A:$A,$X478))</f>
        <v/>
      </c>
      <c r="AB478" s="15">
        <f>IF($X478="","",SUMIFS(TARIFF_PROFILES!$G:$G,TARIFF_PROFILES!$A:$A,$X478))</f>
        <v/>
      </c>
      <c r="AC478" s="15">
        <f>IF($X478="","",SUMIFS(TARIFF_PROFILES!$H:$H,TARIFF_PROFILES!$A:$A,$X478))</f>
        <v/>
      </c>
      <c r="AD478" s="15">
        <f>IF($X478="","",INDEX(TARIFF_PROFILES!$J:$J,MATCH($X478,TARIFF_PROFILES!$A:$A,0)))</f>
        <v/>
      </c>
      <c r="AE478" s="15">
        <f>IF($X478="","",INDEX(TARIFF_PROFILES!$K:$K,MATCH($X478,TARIFF_PROFILES!$A:$A,0)))</f>
        <v/>
      </c>
      <c r="AH478">
        <f>IF($AG478="","",SUMIFS(OPERATING_COEFFS!$C:$C,OPERATING_COEFFS!$A:$A,"DistanceClass",OPERATING_COEFFS!$B:$B,$AG478))</f>
        <v/>
      </c>
      <c r="AJ478">
        <f>IF($AI478="","",SUMIFS(OPERATING_COEFFS!$C:$C,OPERATING_COEFFS!$A:$A,"SeasonClass",OPERATING_COEFFS!$B:$B,$AI478))</f>
        <v/>
      </c>
      <c r="AL478">
        <f>IF($AK478="","",SUMIFS(OPERATING_COEFFS!$C:$C,OPERATING_COEFFS!$A:$A,"UrgencyClass",OPERATING_COEFFS!$B:$B,$AK478))</f>
        <v/>
      </c>
      <c r="AN478">
        <f>IF($AM478="","",INDEX(TAX_MODES!$B:$B,MATCH($AM478,TAX_MODES!$A:$A,0)))</f>
        <v/>
      </c>
    </row>
    <row r="479">
      <c r="X479" s="15" t="n"/>
      <c r="Y479" s="15">
        <f>IF($X479="","",SUMIFS(TARIFF_PROFILES!$D:$D,TARIFF_PROFILES!$A:$A,$X479))</f>
        <v/>
      </c>
      <c r="Z479" s="15">
        <f>IF($X479="","",SUMIFS(TARIFF_PROFILES!$E:$E,TARIFF_PROFILES!$A:$A,$X479))</f>
        <v/>
      </c>
      <c r="AA479" s="15">
        <f>IF($X479="","",SUMIFS(TARIFF_PROFILES!$F:$F,TARIFF_PROFILES!$A:$A,$X479))</f>
        <v/>
      </c>
      <c r="AB479" s="15">
        <f>IF($X479="","",SUMIFS(TARIFF_PROFILES!$G:$G,TARIFF_PROFILES!$A:$A,$X479))</f>
        <v/>
      </c>
      <c r="AC479" s="15">
        <f>IF($X479="","",SUMIFS(TARIFF_PROFILES!$H:$H,TARIFF_PROFILES!$A:$A,$X479))</f>
        <v/>
      </c>
      <c r="AD479" s="15">
        <f>IF($X479="","",INDEX(TARIFF_PROFILES!$J:$J,MATCH($X479,TARIFF_PROFILES!$A:$A,0)))</f>
        <v/>
      </c>
      <c r="AE479" s="15">
        <f>IF($X479="","",INDEX(TARIFF_PROFILES!$K:$K,MATCH($X479,TARIFF_PROFILES!$A:$A,0)))</f>
        <v/>
      </c>
      <c r="AH479">
        <f>IF($AG479="","",SUMIFS(OPERATING_COEFFS!$C:$C,OPERATING_COEFFS!$A:$A,"DistanceClass",OPERATING_COEFFS!$B:$B,$AG479))</f>
        <v/>
      </c>
      <c r="AJ479">
        <f>IF($AI479="","",SUMIFS(OPERATING_COEFFS!$C:$C,OPERATING_COEFFS!$A:$A,"SeasonClass",OPERATING_COEFFS!$B:$B,$AI479))</f>
        <v/>
      </c>
      <c r="AL479">
        <f>IF($AK479="","",SUMIFS(OPERATING_COEFFS!$C:$C,OPERATING_COEFFS!$A:$A,"UrgencyClass",OPERATING_COEFFS!$B:$B,$AK479))</f>
        <v/>
      </c>
      <c r="AN479">
        <f>IF($AM479="","",INDEX(TAX_MODES!$B:$B,MATCH($AM479,TAX_MODES!$A:$A,0)))</f>
        <v/>
      </c>
    </row>
    <row r="480">
      <c r="X480" s="15" t="n"/>
      <c r="Y480" s="15">
        <f>IF($X480="","",SUMIFS(TARIFF_PROFILES!$D:$D,TARIFF_PROFILES!$A:$A,$X480))</f>
        <v/>
      </c>
      <c r="Z480" s="15">
        <f>IF($X480="","",SUMIFS(TARIFF_PROFILES!$E:$E,TARIFF_PROFILES!$A:$A,$X480))</f>
        <v/>
      </c>
      <c r="AA480" s="15">
        <f>IF($X480="","",SUMIFS(TARIFF_PROFILES!$F:$F,TARIFF_PROFILES!$A:$A,$X480))</f>
        <v/>
      </c>
      <c r="AB480" s="15">
        <f>IF($X480="","",SUMIFS(TARIFF_PROFILES!$G:$G,TARIFF_PROFILES!$A:$A,$X480))</f>
        <v/>
      </c>
      <c r="AC480" s="15">
        <f>IF($X480="","",SUMIFS(TARIFF_PROFILES!$H:$H,TARIFF_PROFILES!$A:$A,$X480))</f>
        <v/>
      </c>
      <c r="AD480" s="15">
        <f>IF($X480="","",INDEX(TARIFF_PROFILES!$J:$J,MATCH($X480,TARIFF_PROFILES!$A:$A,0)))</f>
        <v/>
      </c>
      <c r="AE480" s="15">
        <f>IF($X480="","",INDEX(TARIFF_PROFILES!$K:$K,MATCH($X480,TARIFF_PROFILES!$A:$A,0)))</f>
        <v/>
      </c>
      <c r="AH480">
        <f>IF($AG480="","",SUMIFS(OPERATING_COEFFS!$C:$C,OPERATING_COEFFS!$A:$A,"DistanceClass",OPERATING_COEFFS!$B:$B,$AG480))</f>
        <v/>
      </c>
      <c r="AJ480">
        <f>IF($AI480="","",SUMIFS(OPERATING_COEFFS!$C:$C,OPERATING_COEFFS!$A:$A,"SeasonClass",OPERATING_COEFFS!$B:$B,$AI480))</f>
        <v/>
      </c>
      <c r="AL480">
        <f>IF($AK480="","",SUMIFS(OPERATING_COEFFS!$C:$C,OPERATING_COEFFS!$A:$A,"UrgencyClass",OPERATING_COEFFS!$B:$B,$AK480))</f>
        <v/>
      </c>
      <c r="AN480">
        <f>IF($AM480="","",INDEX(TAX_MODES!$B:$B,MATCH($AM480,TAX_MODES!$A:$A,0)))</f>
        <v/>
      </c>
    </row>
    <row r="481">
      <c r="X481" s="15" t="n"/>
      <c r="Y481" s="15">
        <f>IF($X481="","",SUMIFS(TARIFF_PROFILES!$D:$D,TARIFF_PROFILES!$A:$A,$X481))</f>
        <v/>
      </c>
      <c r="Z481" s="15">
        <f>IF($X481="","",SUMIFS(TARIFF_PROFILES!$E:$E,TARIFF_PROFILES!$A:$A,$X481))</f>
        <v/>
      </c>
      <c r="AA481" s="15">
        <f>IF($X481="","",SUMIFS(TARIFF_PROFILES!$F:$F,TARIFF_PROFILES!$A:$A,$X481))</f>
        <v/>
      </c>
      <c r="AB481" s="15">
        <f>IF($X481="","",SUMIFS(TARIFF_PROFILES!$G:$G,TARIFF_PROFILES!$A:$A,$X481))</f>
        <v/>
      </c>
      <c r="AC481" s="15">
        <f>IF($X481="","",SUMIFS(TARIFF_PROFILES!$H:$H,TARIFF_PROFILES!$A:$A,$X481))</f>
        <v/>
      </c>
      <c r="AD481" s="15">
        <f>IF($X481="","",INDEX(TARIFF_PROFILES!$J:$J,MATCH($X481,TARIFF_PROFILES!$A:$A,0)))</f>
        <v/>
      </c>
      <c r="AE481" s="15">
        <f>IF($X481="","",INDEX(TARIFF_PROFILES!$K:$K,MATCH($X481,TARIFF_PROFILES!$A:$A,0)))</f>
        <v/>
      </c>
      <c r="AH481">
        <f>IF($AG481="","",SUMIFS(OPERATING_COEFFS!$C:$C,OPERATING_COEFFS!$A:$A,"DistanceClass",OPERATING_COEFFS!$B:$B,$AG481))</f>
        <v/>
      </c>
      <c r="AJ481">
        <f>IF($AI481="","",SUMIFS(OPERATING_COEFFS!$C:$C,OPERATING_COEFFS!$A:$A,"SeasonClass",OPERATING_COEFFS!$B:$B,$AI481))</f>
        <v/>
      </c>
      <c r="AL481">
        <f>IF($AK481="","",SUMIFS(OPERATING_COEFFS!$C:$C,OPERATING_COEFFS!$A:$A,"UrgencyClass",OPERATING_COEFFS!$B:$B,$AK481))</f>
        <v/>
      </c>
      <c r="AN481">
        <f>IF($AM481="","",INDEX(TAX_MODES!$B:$B,MATCH($AM481,TAX_MODES!$A:$A,0)))</f>
        <v/>
      </c>
    </row>
    <row r="482">
      <c r="X482" s="15" t="n"/>
      <c r="Y482" s="15">
        <f>IF($X482="","",SUMIFS(TARIFF_PROFILES!$D:$D,TARIFF_PROFILES!$A:$A,$X482))</f>
        <v/>
      </c>
      <c r="Z482" s="15">
        <f>IF($X482="","",SUMIFS(TARIFF_PROFILES!$E:$E,TARIFF_PROFILES!$A:$A,$X482))</f>
        <v/>
      </c>
      <c r="AA482" s="15">
        <f>IF($X482="","",SUMIFS(TARIFF_PROFILES!$F:$F,TARIFF_PROFILES!$A:$A,$X482))</f>
        <v/>
      </c>
      <c r="AB482" s="15">
        <f>IF($X482="","",SUMIFS(TARIFF_PROFILES!$G:$G,TARIFF_PROFILES!$A:$A,$X482))</f>
        <v/>
      </c>
      <c r="AC482" s="15">
        <f>IF($X482="","",SUMIFS(TARIFF_PROFILES!$H:$H,TARIFF_PROFILES!$A:$A,$X482))</f>
        <v/>
      </c>
      <c r="AD482" s="15">
        <f>IF($X482="","",INDEX(TARIFF_PROFILES!$J:$J,MATCH($X482,TARIFF_PROFILES!$A:$A,0)))</f>
        <v/>
      </c>
      <c r="AE482" s="15">
        <f>IF($X482="","",INDEX(TARIFF_PROFILES!$K:$K,MATCH($X482,TARIFF_PROFILES!$A:$A,0)))</f>
        <v/>
      </c>
      <c r="AH482">
        <f>IF($AG482="","",SUMIFS(OPERATING_COEFFS!$C:$C,OPERATING_COEFFS!$A:$A,"DistanceClass",OPERATING_COEFFS!$B:$B,$AG482))</f>
        <v/>
      </c>
      <c r="AJ482">
        <f>IF($AI482="","",SUMIFS(OPERATING_COEFFS!$C:$C,OPERATING_COEFFS!$A:$A,"SeasonClass",OPERATING_COEFFS!$B:$B,$AI482))</f>
        <v/>
      </c>
      <c r="AL482">
        <f>IF($AK482="","",SUMIFS(OPERATING_COEFFS!$C:$C,OPERATING_COEFFS!$A:$A,"UrgencyClass",OPERATING_COEFFS!$B:$B,$AK482))</f>
        <v/>
      </c>
      <c r="AN482">
        <f>IF($AM482="","",INDEX(TAX_MODES!$B:$B,MATCH($AM482,TAX_MODES!$A:$A,0)))</f>
        <v/>
      </c>
    </row>
    <row r="483">
      <c r="X483" s="15" t="n"/>
      <c r="Y483" s="15">
        <f>IF($X483="","",SUMIFS(TARIFF_PROFILES!$D:$D,TARIFF_PROFILES!$A:$A,$X483))</f>
        <v/>
      </c>
      <c r="Z483" s="15">
        <f>IF($X483="","",SUMIFS(TARIFF_PROFILES!$E:$E,TARIFF_PROFILES!$A:$A,$X483))</f>
        <v/>
      </c>
      <c r="AA483" s="15">
        <f>IF($X483="","",SUMIFS(TARIFF_PROFILES!$F:$F,TARIFF_PROFILES!$A:$A,$X483))</f>
        <v/>
      </c>
      <c r="AB483" s="15">
        <f>IF($X483="","",SUMIFS(TARIFF_PROFILES!$G:$G,TARIFF_PROFILES!$A:$A,$X483))</f>
        <v/>
      </c>
      <c r="AC483" s="15">
        <f>IF($X483="","",SUMIFS(TARIFF_PROFILES!$H:$H,TARIFF_PROFILES!$A:$A,$X483))</f>
        <v/>
      </c>
      <c r="AD483" s="15">
        <f>IF($X483="","",INDEX(TARIFF_PROFILES!$J:$J,MATCH($X483,TARIFF_PROFILES!$A:$A,0)))</f>
        <v/>
      </c>
      <c r="AE483" s="15">
        <f>IF($X483="","",INDEX(TARIFF_PROFILES!$K:$K,MATCH($X483,TARIFF_PROFILES!$A:$A,0)))</f>
        <v/>
      </c>
      <c r="AH483">
        <f>IF($AG483="","",SUMIFS(OPERATING_COEFFS!$C:$C,OPERATING_COEFFS!$A:$A,"DistanceClass",OPERATING_COEFFS!$B:$B,$AG483))</f>
        <v/>
      </c>
      <c r="AJ483">
        <f>IF($AI483="","",SUMIFS(OPERATING_COEFFS!$C:$C,OPERATING_COEFFS!$A:$A,"SeasonClass",OPERATING_COEFFS!$B:$B,$AI483))</f>
        <v/>
      </c>
      <c r="AL483">
        <f>IF($AK483="","",SUMIFS(OPERATING_COEFFS!$C:$C,OPERATING_COEFFS!$A:$A,"UrgencyClass",OPERATING_COEFFS!$B:$B,$AK483))</f>
        <v/>
      </c>
      <c r="AN483">
        <f>IF($AM483="","",INDEX(TAX_MODES!$B:$B,MATCH($AM483,TAX_MODES!$A:$A,0)))</f>
        <v/>
      </c>
    </row>
    <row r="484">
      <c r="X484" s="15" t="n"/>
      <c r="Y484" s="15">
        <f>IF($X484="","",SUMIFS(TARIFF_PROFILES!$D:$D,TARIFF_PROFILES!$A:$A,$X484))</f>
        <v/>
      </c>
      <c r="Z484" s="15">
        <f>IF($X484="","",SUMIFS(TARIFF_PROFILES!$E:$E,TARIFF_PROFILES!$A:$A,$X484))</f>
        <v/>
      </c>
      <c r="AA484" s="15">
        <f>IF($X484="","",SUMIFS(TARIFF_PROFILES!$F:$F,TARIFF_PROFILES!$A:$A,$X484))</f>
        <v/>
      </c>
      <c r="AB484" s="15">
        <f>IF($X484="","",SUMIFS(TARIFF_PROFILES!$G:$G,TARIFF_PROFILES!$A:$A,$X484))</f>
        <v/>
      </c>
      <c r="AC484" s="15">
        <f>IF($X484="","",SUMIFS(TARIFF_PROFILES!$H:$H,TARIFF_PROFILES!$A:$A,$X484))</f>
        <v/>
      </c>
      <c r="AD484" s="15">
        <f>IF($X484="","",INDEX(TARIFF_PROFILES!$J:$J,MATCH($X484,TARIFF_PROFILES!$A:$A,0)))</f>
        <v/>
      </c>
      <c r="AE484" s="15">
        <f>IF($X484="","",INDEX(TARIFF_PROFILES!$K:$K,MATCH($X484,TARIFF_PROFILES!$A:$A,0)))</f>
        <v/>
      </c>
      <c r="AH484">
        <f>IF($AG484="","",SUMIFS(OPERATING_COEFFS!$C:$C,OPERATING_COEFFS!$A:$A,"DistanceClass",OPERATING_COEFFS!$B:$B,$AG484))</f>
        <v/>
      </c>
      <c r="AJ484">
        <f>IF($AI484="","",SUMIFS(OPERATING_COEFFS!$C:$C,OPERATING_COEFFS!$A:$A,"SeasonClass",OPERATING_COEFFS!$B:$B,$AI484))</f>
        <v/>
      </c>
      <c r="AL484">
        <f>IF($AK484="","",SUMIFS(OPERATING_COEFFS!$C:$C,OPERATING_COEFFS!$A:$A,"UrgencyClass",OPERATING_COEFFS!$B:$B,$AK484))</f>
        <v/>
      </c>
      <c r="AN484">
        <f>IF($AM484="","",INDEX(TAX_MODES!$B:$B,MATCH($AM484,TAX_MODES!$A:$A,0)))</f>
        <v/>
      </c>
    </row>
    <row r="485">
      <c r="X485" s="15" t="n"/>
      <c r="Y485" s="15">
        <f>IF($X485="","",SUMIFS(TARIFF_PROFILES!$D:$D,TARIFF_PROFILES!$A:$A,$X485))</f>
        <v/>
      </c>
      <c r="Z485" s="15">
        <f>IF($X485="","",SUMIFS(TARIFF_PROFILES!$E:$E,TARIFF_PROFILES!$A:$A,$X485))</f>
        <v/>
      </c>
      <c r="AA485" s="15">
        <f>IF($X485="","",SUMIFS(TARIFF_PROFILES!$F:$F,TARIFF_PROFILES!$A:$A,$X485))</f>
        <v/>
      </c>
      <c r="AB485" s="15">
        <f>IF($X485="","",SUMIFS(TARIFF_PROFILES!$G:$G,TARIFF_PROFILES!$A:$A,$X485))</f>
        <v/>
      </c>
      <c r="AC485" s="15">
        <f>IF($X485="","",SUMIFS(TARIFF_PROFILES!$H:$H,TARIFF_PROFILES!$A:$A,$X485))</f>
        <v/>
      </c>
      <c r="AD485" s="15">
        <f>IF($X485="","",INDEX(TARIFF_PROFILES!$J:$J,MATCH($X485,TARIFF_PROFILES!$A:$A,0)))</f>
        <v/>
      </c>
      <c r="AE485" s="15">
        <f>IF($X485="","",INDEX(TARIFF_PROFILES!$K:$K,MATCH($X485,TARIFF_PROFILES!$A:$A,0)))</f>
        <v/>
      </c>
      <c r="AH485">
        <f>IF($AG485="","",SUMIFS(OPERATING_COEFFS!$C:$C,OPERATING_COEFFS!$A:$A,"DistanceClass",OPERATING_COEFFS!$B:$B,$AG485))</f>
        <v/>
      </c>
      <c r="AJ485">
        <f>IF($AI485="","",SUMIFS(OPERATING_COEFFS!$C:$C,OPERATING_COEFFS!$A:$A,"SeasonClass",OPERATING_COEFFS!$B:$B,$AI485))</f>
        <v/>
      </c>
      <c r="AL485">
        <f>IF($AK485="","",SUMIFS(OPERATING_COEFFS!$C:$C,OPERATING_COEFFS!$A:$A,"UrgencyClass",OPERATING_COEFFS!$B:$B,$AK485))</f>
        <v/>
      </c>
      <c r="AN485">
        <f>IF($AM485="","",INDEX(TAX_MODES!$B:$B,MATCH($AM485,TAX_MODES!$A:$A,0)))</f>
        <v/>
      </c>
    </row>
    <row r="486">
      <c r="X486" s="15" t="n"/>
      <c r="Y486" s="15">
        <f>IF($X486="","",SUMIFS(TARIFF_PROFILES!$D:$D,TARIFF_PROFILES!$A:$A,$X486))</f>
        <v/>
      </c>
      <c r="Z486" s="15">
        <f>IF($X486="","",SUMIFS(TARIFF_PROFILES!$E:$E,TARIFF_PROFILES!$A:$A,$X486))</f>
        <v/>
      </c>
      <c r="AA486" s="15">
        <f>IF($X486="","",SUMIFS(TARIFF_PROFILES!$F:$F,TARIFF_PROFILES!$A:$A,$X486))</f>
        <v/>
      </c>
      <c r="AB486" s="15">
        <f>IF($X486="","",SUMIFS(TARIFF_PROFILES!$G:$G,TARIFF_PROFILES!$A:$A,$X486))</f>
        <v/>
      </c>
      <c r="AC486" s="15">
        <f>IF($X486="","",SUMIFS(TARIFF_PROFILES!$H:$H,TARIFF_PROFILES!$A:$A,$X486))</f>
        <v/>
      </c>
      <c r="AD486" s="15">
        <f>IF($X486="","",INDEX(TARIFF_PROFILES!$J:$J,MATCH($X486,TARIFF_PROFILES!$A:$A,0)))</f>
        <v/>
      </c>
      <c r="AE486" s="15">
        <f>IF($X486="","",INDEX(TARIFF_PROFILES!$K:$K,MATCH($X486,TARIFF_PROFILES!$A:$A,0)))</f>
        <v/>
      </c>
      <c r="AH486">
        <f>IF($AG486="","",SUMIFS(OPERATING_COEFFS!$C:$C,OPERATING_COEFFS!$A:$A,"DistanceClass",OPERATING_COEFFS!$B:$B,$AG486))</f>
        <v/>
      </c>
      <c r="AJ486">
        <f>IF($AI486="","",SUMIFS(OPERATING_COEFFS!$C:$C,OPERATING_COEFFS!$A:$A,"SeasonClass",OPERATING_COEFFS!$B:$B,$AI486))</f>
        <v/>
      </c>
      <c r="AL486">
        <f>IF($AK486="","",SUMIFS(OPERATING_COEFFS!$C:$C,OPERATING_COEFFS!$A:$A,"UrgencyClass",OPERATING_COEFFS!$B:$B,$AK486))</f>
        <v/>
      </c>
      <c r="AN486">
        <f>IF($AM486="","",INDEX(TAX_MODES!$B:$B,MATCH($AM486,TAX_MODES!$A:$A,0)))</f>
        <v/>
      </c>
    </row>
    <row r="487">
      <c r="X487" s="15" t="n"/>
      <c r="Y487" s="15">
        <f>IF($X487="","",SUMIFS(TARIFF_PROFILES!$D:$D,TARIFF_PROFILES!$A:$A,$X487))</f>
        <v/>
      </c>
      <c r="Z487" s="15">
        <f>IF($X487="","",SUMIFS(TARIFF_PROFILES!$E:$E,TARIFF_PROFILES!$A:$A,$X487))</f>
        <v/>
      </c>
      <c r="AA487" s="15">
        <f>IF($X487="","",SUMIFS(TARIFF_PROFILES!$F:$F,TARIFF_PROFILES!$A:$A,$X487))</f>
        <v/>
      </c>
      <c r="AB487" s="15">
        <f>IF($X487="","",SUMIFS(TARIFF_PROFILES!$G:$G,TARIFF_PROFILES!$A:$A,$X487))</f>
        <v/>
      </c>
      <c r="AC487" s="15">
        <f>IF($X487="","",SUMIFS(TARIFF_PROFILES!$H:$H,TARIFF_PROFILES!$A:$A,$X487))</f>
        <v/>
      </c>
      <c r="AD487" s="15">
        <f>IF($X487="","",INDEX(TARIFF_PROFILES!$J:$J,MATCH($X487,TARIFF_PROFILES!$A:$A,0)))</f>
        <v/>
      </c>
      <c r="AE487" s="15">
        <f>IF($X487="","",INDEX(TARIFF_PROFILES!$K:$K,MATCH($X487,TARIFF_PROFILES!$A:$A,0)))</f>
        <v/>
      </c>
      <c r="AH487">
        <f>IF($AG487="","",SUMIFS(OPERATING_COEFFS!$C:$C,OPERATING_COEFFS!$A:$A,"DistanceClass",OPERATING_COEFFS!$B:$B,$AG487))</f>
        <v/>
      </c>
      <c r="AJ487">
        <f>IF($AI487="","",SUMIFS(OPERATING_COEFFS!$C:$C,OPERATING_COEFFS!$A:$A,"SeasonClass",OPERATING_COEFFS!$B:$B,$AI487))</f>
        <v/>
      </c>
      <c r="AL487">
        <f>IF($AK487="","",SUMIFS(OPERATING_COEFFS!$C:$C,OPERATING_COEFFS!$A:$A,"UrgencyClass",OPERATING_COEFFS!$B:$B,$AK487))</f>
        <v/>
      </c>
      <c r="AN487">
        <f>IF($AM487="","",INDEX(TAX_MODES!$B:$B,MATCH($AM487,TAX_MODES!$A:$A,0)))</f>
        <v/>
      </c>
    </row>
    <row r="488">
      <c r="X488" s="15" t="n"/>
      <c r="Y488" s="15">
        <f>IF($X488="","",SUMIFS(TARIFF_PROFILES!$D:$D,TARIFF_PROFILES!$A:$A,$X488))</f>
        <v/>
      </c>
      <c r="Z488" s="15">
        <f>IF($X488="","",SUMIFS(TARIFF_PROFILES!$E:$E,TARIFF_PROFILES!$A:$A,$X488))</f>
        <v/>
      </c>
      <c r="AA488" s="15">
        <f>IF($X488="","",SUMIFS(TARIFF_PROFILES!$F:$F,TARIFF_PROFILES!$A:$A,$X488))</f>
        <v/>
      </c>
      <c r="AB488" s="15">
        <f>IF($X488="","",SUMIFS(TARIFF_PROFILES!$G:$G,TARIFF_PROFILES!$A:$A,$X488))</f>
        <v/>
      </c>
      <c r="AC488" s="15">
        <f>IF($X488="","",SUMIFS(TARIFF_PROFILES!$H:$H,TARIFF_PROFILES!$A:$A,$X488))</f>
        <v/>
      </c>
      <c r="AD488" s="15">
        <f>IF($X488="","",INDEX(TARIFF_PROFILES!$J:$J,MATCH($X488,TARIFF_PROFILES!$A:$A,0)))</f>
        <v/>
      </c>
      <c r="AE488" s="15">
        <f>IF($X488="","",INDEX(TARIFF_PROFILES!$K:$K,MATCH($X488,TARIFF_PROFILES!$A:$A,0)))</f>
        <v/>
      </c>
      <c r="AH488">
        <f>IF($AG488="","",SUMIFS(OPERATING_COEFFS!$C:$C,OPERATING_COEFFS!$A:$A,"DistanceClass",OPERATING_COEFFS!$B:$B,$AG488))</f>
        <v/>
      </c>
      <c r="AJ488">
        <f>IF($AI488="","",SUMIFS(OPERATING_COEFFS!$C:$C,OPERATING_COEFFS!$A:$A,"SeasonClass",OPERATING_COEFFS!$B:$B,$AI488))</f>
        <v/>
      </c>
      <c r="AL488">
        <f>IF($AK488="","",SUMIFS(OPERATING_COEFFS!$C:$C,OPERATING_COEFFS!$A:$A,"UrgencyClass",OPERATING_COEFFS!$B:$B,$AK488))</f>
        <v/>
      </c>
      <c r="AN488">
        <f>IF($AM488="","",INDEX(TAX_MODES!$B:$B,MATCH($AM488,TAX_MODES!$A:$A,0)))</f>
        <v/>
      </c>
    </row>
    <row r="489">
      <c r="X489" s="15" t="n"/>
      <c r="Y489" s="15">
        <f>IF($X489="","",SUMIFS(TARIFF_PROFILES!$D:$D,TARIFF_PROFILES!$A:$A,$X489))</f>
        <v/>
      </c>
      <c r="Z489" s="15">
        <f>IF($X489="","",SUMIFS(TARIFF_PROFILES!$E:$E,TARIFF_PROFILES!$A:$A,$X489))</f>
        <v/>
      </c>
      <c r="AA489" s="15">
        <f>IF($X489="","",SUMIFS(TARIFF_PROFILES!$F:$F,TARIFF_PROFILES!$A:$A,$X489))</f>
        <v/>
      </c>
      <c r="AB489" s="15">
        <f>IF($X489="","",SUMIFS(TARIFF_PROFILES!$G:$G,TARIFF_PROFILES!$A:$A,$X489))</f>
        <v/>
      </c>
      <c r="AC489" s="15">
        <f>IF($X489="","",SUMIFS(TARIFF_PROFILES!$H:$H,TARIFF_PROFILES!$A:$A,$X489))</f>
        <v/>
      </c>
      <c r="AD489" s="15">
        <f>IF($X489="","",INDEX(TARIFF_PROFILES!$J:$J,MATCH($X489,TARIFF_PROFILES!$A:$A,0)))</f>
        <v/>
      </c>
      <c r="AE489" s="15">
        <f>IF($X489="","",INDEX(TARIFF_PROFILES!$K:$K,MATCH($X489,TARIFF_PROFILES!$A:$A,0)))</f>
        <v/>
      </c>
      <c r="AH489">
        <f>IF($AG489="","",SUMIFS(OPERATING_COEFFS!$C:$C,OPERATING_COEFFS!$A:$A,"DistanceClass",OPERATING_COEFFS!$B:$B,$AG489))</f>
        <v/>
      </c>
      <c r="AJ489">
        <f>IF($AI489="","",SUMIFS(OPERATING_COEFFS!$C:$C,OPERATING_COEFFS!$A:$A,"SeasonClass",OPERATING_COEFFS!$B:$B,$AI489))</f>
        <v/>
      </c>
      <c r="AL489">
        <f>IF($AK489="","",SUMIFS(OPERATING_COEFFS!$C:$C,OPERATING_COEFFS!$A:$A,"UrgencyClass",OPERATING_COEFFS!$B:$B,$AK489))</f>
        <v/>
      </c>
      <c r="AN489">
        <f>IF($AM489="","",INDEX(TAX_MODES!$B:$B,MATCH($AM489,TAX_MODES!$A:$A,0)))</f>
        <v/>
      </c>
    </row>
    <row r="490">
      <c r="X490" s="15" t="n"/>
      <c r="Y490" s="15">
        <f>IF($X490="","",SUMIFS(TARIFF_PROFILES!$D:$D,TARIFF_PROFILES!$A:$A,$X490))</f>
        <v/>
      </c>
      <c r="Z490" s="15">
        <f>IF($X490="","",SUMIFS(TARIFF_PROFILES!$E:$E,TARIFF_PROFILES!$A:$A,$X490))</f>
        <v/>
      </c>
      <c r="AA490" s="15">
        <f>IF($X490="","",SUMIFS(TARIFF_PROFILES!$F:$F,TARIFF_PROFILES!$A:$A,$X490))</f>
        <v/>
      </c>
      <c r="AB490" s="15">
        <f>IF($X490="","",SUMIFS(TARIFF_PROFILES!$G:$G,TARIFF_PROFILES!$A:$A,$X490))</f>
        <v/>
      </c>
      <c r="AC490" s="15">
        <f>IF($X490="","",SUMIFS(TARIFF_PROFILES!$H:$H,TARIFF_PROFILES!$A:$A,$X490))</f>
        <v/>
      </c>
      <c r="AD490" s="15">
        <f>IF($X490="","",INDEX(TARIFF_PROFILES!$J:$J,MATCH($X490,TARIFF_PROFILES!$A:$A,0)))</f>
        <v/>
      </c>
      <c r="AE490" s="15">
        <f>IF($X490="","",INDEX(TARIFF_PROFILES!$K:$K,MATCH($X490,TARIFF_PROFILES!$A:$A,0)))</f>
        <v/>
      </c>
      <c r="AH490">
        <f>IF($AG490="","",SUMIFS(OPERATING_COEFFS!$C:$C,OPERATING_COEFFS!$A:$A,"DistanceClass",OPERATING_COEFFS!$B:$B,$AG490))</f>
        <v/>
      </c>
      <c r="AJ490">
        <f>IF($AI490="","",SUMIFS(OPERATING_COEFFS!$C:$C,OPERATING_COEFFS!$A:$A,"SeasonClass",OPERATING_COEFFS!$B:$B,$AI490))</f>
        <v/>
      </c>
      <c r="AL490">
        <f>IF($AK490="","",SUMIFS(OPERATING_COEFFS!$C:$C,OPERATING_COEFFS!$A:$A,"UrgencyClass",OPERATING_COEFFS!$B:$B,$AK490))</f>
        <v/>
      </c>
      <c r="AN490">
        <f>IF($AM490="","",INDEX(TAX_MODES!$B:$B,MATCH($AM490,TAX_MODES!$A:$A,0)))</f>
        <v/>
      </c>
    </row>
    <row r="491">
      <c r="X491" s="15" t="n"/>
      <c r="Y491" s="15">
        <f>IF($X491="","",SUMIFS(TARIFF_PROFILES!$D:$D,TARIFF_PROFILES!$A:$A,$X491))</f>
        <v/>
      </c>
      <c r="Z491" s="15">
        <f>IF($X491="","",SUMIFS(TARIFF_PROFILES!$E:$E,TARIFF_PROFILES!$A:$A,$X491))</f>
        <v/>
      </c>
      <c r="AA491" s="15">
        <f>IF($X491="","",SUMIFS(TARIFF_PROFILES!$F:$F,TARIFF_PROFILES!$A:$A,$X491))</f>
        <v/>
      </c>
      <c r="AB491" s="15">
        <f>IF($X491="","",SUMIFS(TARIFF_PROFILES!$G:$G,TARIFF_PROFILES!$A:$A,$X491))</f>
        <v/>
      </c>
      <c r="AC491" s="15">
        <f>IF($X491="","",SUMIFS(TARIFF_PROFILES!$H:$H,TARIFF_PROFILES!$A:$A,$X491))</f>
        <v/>
      </c>
      <c r="AD491" s="15">
        <f>IF($X491="","",INDEX(TARIFF_PROFILES!$J:$J,MATCH($X491,TARIFF_PROFILES!$A:$A,0)))</f>
        <v/>
      </c>
      <c r="AE491" s="15">
        <f>IF($X491="","",INDEX(TARIFF_PROFILES!$K:$K,MATCH($X491,TARIFF_PROFILES!$A:$A,0)))</f>
        <v/>
      </c>
      <c r="AH491">
        <f>IF($AG491="","",SUMIFS(OPERATING_COEFFS!$C:$C,OPERATING_COEFFS!$A:$A,"DistanceClass",OPERATING_COEFFS!$B:$B,$AG491))</f>
        <v/>
      </c>
      <c r="AJ491">
        <f>IF($AI491="","",SUMIFS(OPERATING_COEFFS!$C:$C,OPERATING_COEFFS!$A:$A,"SeasonClass",OPERATING_COEFFS!$B:$B,$AI491))</f>
        <v/>
      </c>
      <c r="AL491">
        <f>IF($AK491="","",SUMIFS(OPERATING_COEFFS!$C:$C,OPERATING_COEFFS!$A:$A,"UrgencyClass",OPERATING_COEFFS!$B:$B,$AK491))</f>
        <v/>
      </c>
      <c r="AN491">
        <f>IF($AM491="","",INDEX(TAX_MODES!$B:$B,MATCH($AM491,TAX_MODES!$A:$A,0)))</f>
        <v/>
      </c>
    </row>
    <row r="492">
      <c r="X492" s="15" t="n"/>
      <c r="Y492" s="15">
        <f>IF($X492="","",SUMIFS(TARIFF_PROFILES!$D:$D,TARIFF_PROFILES!$A:$A,$X492))</f>
        <v/>
      </c>
      <c r="Z492" s="15">
        <f>IF($X492="","",SUMIFS(TARIFF_PROFILES!$E:$E,TARIFF_PROFILES!$A:$A,$X492))</f>
        <v/>
      </c>
      <c r="AA492" s="15">
        <f>IF($X492="","",SUMIFS(TARIFF_PROFILES!$F:$F,TARIFF_PROFILES!$A:$A,$X492))</f>
        <v/>
      </c>
      <c r="AB492" s="15">
        <f>IF($X492="","",SUMIFS(TARIFF_PROFILES!$G:$G,TARIFF_PROFILES!$A:$A,$X492))</f>
        <v/>
      </c>
      <c r="AC492" s="15">
        <f>IF($X492="","",SUMIFS(TARIFF_PROFILES!$H:$H,TARIFF_PROFILES!$A:$A,$X492))</f>
        <v/>
      </c>
      <c r="AD492" s="15">
        <f>IF($X492="","",INDEX(TARIFF_PROFILES!$J:$J,MATCH($X492,TARIFF_PROFILES!$A:$A,0)))</f>
        <v/>
      </c>
      <c r="AE492" s="15">
        <f>IF($X492="","",INDEX(TARIFF_PROFILES!$K:$K,MATCH($X492,TARIFF_PROFILES!$A:$A,0)))</f>
        <v/>
      </c>
      <c r="AH492">
        <f>IF($AG492="","",SUMIFS(OPERATING_COEFFS!$C:$C,OPERATING_COEFFS!$A:$A,"DistanceClass",OPERATING_COEFFS!$B:$B,$AG492))</f>
        <v/>
      </c>
      <c r="AJ492">
        <f>IF($AI492="","",SUMIFS(OPERATING_COEFFS!$C:$C,OPERATING_COEFFS!$A:$A,"SeasonClass",OPERATING_COEFFS!$B:$B,$AI492))</f>
        <v/>
      </c>
      <c r="AL492">
        <f>IF($AK492="","",SUMIFS(OPERATING_COEFFS!$C:$C,OPERATING_COEFFS!$A:$A,"UrgencyClass",OPERATING_COEFFS!$B:$B,$AK492))</f>
        <v/>
      </c>
      <c r="AN492">
        <f>IF($AM492="","",INDEX(TAX_MODES!$B:$B,MATCH($AM492,TAX_MODES!$A:$A,0)))</f>
        <v/>
      </c>
    </row>
    <row r="493">
      <c r="X493" s="15" t="n"/>
      <c r="Y493" s="15">
        <f>IF($X493="","",SUMIFS(TARIFF_PROFILES!$D:$D,TARIFF_PROFILES!$A:$A,$X493))</f>
        <v/>
      </c>
      <c r="Z493" s="15">
        <f>IF($X493="","",SUMIFS(TARIFF_PROFILES!$E:$E,TARIFF_PROFILES!$A:$A,$X493))</f>
        <v/>
      </c>
      <c r="AA493" s="15">
        <f>IF($X493="","",SUMIFS(TARIFF_PROFILES!$F:$F,TARIFF_PROFILES!$A:$A,$X493))</f>
        <v/>
      </c>
      <c r="AB493" s="15">
        <f>IF($X493="","",SUMIFS(TARIFF_PROFILES!$G:$G,TARIFF_PROFILES!$A:$A,$X493))</f>
        <v/>
      </c>
      <c r="AC493" s="15">
        <f>IF($X493="","",SUMIFS(TARIFF_PROFILES!$H:$H,TARIFF_PROFILES!$A:$A,$X493))</f>
        <v/>
      </c>
      <c r="AD493" s="15">
        <f>IF($X493="","",INDEX(TARIFF_PROFILES!$J:$J,MATCH($X493,TARIFF_PROFILES!$A:$A,0)))</f>
        <v/>
      </c>
      <c r="AE493" s="15">
        <f>IF($X493="","",INDEX(TARIFF_PROFILES!$K:$K,MATCH($X493,TARIFF_PROFILES!$A:$A,0)))</f>
        <v/>
      </c>
      <c r="AH493">
        <f>IF($AG493="","",SUMIFS(OPERATING_COEFFS!$C:$C,OPERATING_COEFFS!$A:$A,"DistanceClass",OPERATING_COEFFS!$B:$B,$AG493))</f>
        <v/>
      </c>
      <c r="AJ493">
        <f>IF($AI493="","",SUMIFS(OPERATING_COEFFS!$C:$C,OPERATING_COEFFS!$A:$A,"SeasonClass",OPERATING_COEFFS!$B:$B,$AI493))</f>
        <v/>
      </c>
      <c r="AL493">
        <f>IF($AK493="","",SUMIFS(OPERATING_COEFFS!$C:$C,OPERATING_COEFFS!$A:$A,"UrgencyClass",OPERATING_COEFFS!$B:$B,$AK493))</f>
        <v/>
      </c>
      <c r="AN493">
        <f>IF($AM493="","",INDEX(TAX_MODES!$B:$B,MATCH($AM493,TAX_MODES!$A:$A,0)))</f>
        <v/>
      </c>
    </row>
    <row r="494">
      <c r="X494" s="15" t="n"/>
      <c r="Y494" s="15">
        <f>IF($X494="","",SUMIFS(TARIFF_PROFILES!$D:$D,TARIFF_PROFILES!$A:$A,$X494))</f>
        <v/>
      </c>
      <c r="Z494" s="15">
        <f>IF($X494="","",SUMIFS(TARIFF_PROFILES!$E:$E,TARIFF_PROFILES!$A:$A,$X494))</f>
        <v/>
      </c>
      <c r="AA494" s="15">
        <f>IF($X494="","",SUMIFS(TARIFF_PROFILES!$F:$F,TARIFF_PROFILES!$A:$A,$X494))</f>
        <v/>
      </c>
      <c r="AB494" s="15">
        <f>IF($X494="","",SUMIFS(TARIFF_PROFILES!$G:$G,TARIFF_PROFILES!$A:$A,$X494))</f>
        <v/>
      </c>
      <c r="AC494" s="15">
        <f>IF($X494="","",SUMIFS(TARIFF_PROFILES!$H:$H,TARIFF_PROFILES!$A:$A,$X494))</f>
        <v/>
      </c>
      <c r="AD494" s="15">
        <f>IF($X494="","",INDEX(TARIFF_PROFILES!$J:$J,MATCH($X494,TARIFF_PROFILES!$A:$A,0)))</f>
        <v/>
      </c>
      <c r="AE494" s="15">
        <f>IF($X494="","",INDEX(TARIFF_PROFILES!$K:$K,MATCH($X494,TARIFF_PROFILES!$A:$A,0)))</f>
        <v/>
      </c>
      <c r="AH494">
        <f>IF($AG494="","",SUMIFS(OPERATING_COEFFS!$C:$C,OPERATING_COEFFS!$A:$A,"DistanceClass",OPERATING_COEFFS!$B:$B,$AG494))</f>
        <v/>
      </c>
      <c r="AJ494">
        <f>IF($AI494="","",SUMIFS(OPERATING_COEFFS!$C:$C,OPERATING_COEFFS!$A:$A,"SeasonClass",OPERATING_COEFFS!$B:$B,$AI494))</f>
        <v/>
      </c>
      <c r="AL494">
        <f>IF($AK494="","",SUMIFS(OPERATING_COEFFS!$C:$C,OPERATING_COEFFS!$A:$A,"UrgencyClass",OPERATING_COEFFS!$B:$B,$AK494))</f>
        <v/>
      </c>
      <c r="AN494">
        <f>IF($AM494="","",INDEX(TAX_MODES!$B:$B,MATCH($AM494,TAX_MODES!$A:$A,0)))</f>
        <v/>
      </c>
    </row>
    <row r="495">
      <c r="X495" s="15" t="n"/>
      <c r="Y495" s="15">
        <f>IF($X495="","",SUMIFS(TARIFF_PROFILES!$D:$D,TARIFF_PROFILES!$A:$A,$X495))</f>
        <v/>
      </c>
      <c r="Z495" s="15">
        <f>IF($X495="","",SUMIFS(TARIFF_PROFILES!$E:$E,TARIFF_PROFILES!$A:$A,$X495))</f>
        <v/>
      </c>
      <c r="AA495" s="15">
        <f>IF($X495="","",SUMIFS(TARIFF_PROFILES!$F:$F,TARIFF_PROFILES!$A:$A,$X495))</f>
        <v/>
      </c>
      <c r="AB495" s="15">
        <f>IF($X495="","",SUMIFS(TARIFF_PROFILES!$G:$G,TARIFF_PROFILES!$A:$A,$X495))</f>
        <v/>
      </c>
      <c r="AC495" s="15">
        <f>IF($X495="","",SUMIFS(TARIFF_PROFILES!$H:$H,TARIFF_PROFILES!$A:$A,$X495))</f>
        <v/>
      </c>
      <c r="AD495" s="15">
        <f>IF($X495="","",INDEX(TARIFF_PROFILES!$J:$J,MATCH($X495,TARIFF_PROFILES!$A:$A,0)))</f>
        <v/>
      </c>
      <c r="AE495" s="15">
        <f>IF($X495="","",INDEX(TARIFF_PROFILES!$K:$K,MATCH($X495,TARIFF_PROFILES!$A:$A,0)))</f>
        <v/>
      </c>
      <c r="AH495">
        <f>IF($AG495="","",SUMIFS(OPERATING_COEFFS!$C:$C,OPERATING_COEFFS!$A:$A,"DistanceClass",OPERATING_COEFFS!$B:$B,$AG495))</f>
        <v/>
      </c>
      <c r="AJ495">
        <f>IF($AI495="","",SUMIFS(OPERATING_COEFFS!$C:$C,OPERATING_COEFFS!$A:$A,"SeasonClass",OPERATING_COEFFS!$B:$B,$AI495))</f>
        <v/>
      </c>
      <c r="AL495">
        <f>IF($AK495="","",SUMIFS(OPERATING_COEFFS!$C:$C,OPERATING_COEFFS!$A:$A,"UrgencyClass",OPERATING_COEFFS!$B:$B,$AK495))</f>
        <v/>
      </c>
      <c r="AN495">
        <f>IF($AM495="","",INDEX(TAX_MODES!$B:$B,MATCH($AM495,TAX_MODES!$A:$A,0)))</f>
        <v/>
      </c>
    </row>
    <row r="496">
      <c r="X496" s="15" t="n"/>
      <c r="Y496" s="15">
        <f>IF($X496="","",SUMIFS(TARIFF_PROFILES!$D:$D,TARIFF_PROFILES!$A:$A,$X496))</f>
        <v/>
      </c>
      <c r="Z496" s="15">
        <f>IF($X496="","",SUMIFS(TARIFF_PROFILES!$E:$E,TARIFF_PROFILES!$A:$A,$X496))</f>
        <v/>
      </c>
      <c r="AA496" s="15">
        <f>IF($X496="","",SUMIFS(TARIFF_PROFILES!$F:$F,TARIFF_PROFILES!$A:$A,$X496))</f>
        <v/>
      </c>
      <c r="AB496" s="15">
        <f>IF($X496="","",SUMIFS(TARIFF_PROFILES!$G:$G,TARIFF_PROFILES!$A:$A,$X496))</f>
        <v/>
      </c>
      <c r="AC496" s="15">
        <f>IF($X496="","",SUMIFS(TARIFF_PROFILES!$H:$H,TARIFF_PROFILES!$A:$A,$X496))</f>
        <v/>
      </c>
      <c r="AD496" s="15">
        <f>IF($X496="","",INDEX(TARIFF_PROFILES!$J:$J,MATCH($X496,TARIFF_PROFILES!$A:$A,0)))</f>
        <v/>
      </c>
      <c r="AE496" s="15">
        <f>IF($X496="","",INDEX(TARIFF_PROFILES!$K:$K,MATCH($X496,TARIFF_PROFILES!$A:$A,0)))</f>
        <v/>
      </c>
      <c r="AH496">
        <f>IF($AG496="","",SUMIFS(OPERATING_COEFFS!$C:$C,OPERATING_COEFFS!$A:$A,"DistanceClass",OPERATING_COEFFS!$B:$B,$AG496))</f>
        <v/>
      </c>
      <c r="AJ496">
        <f>IF($AI496="","",SUMIFS(OPERATING_COEFFS!$C:$C,OPERATING_COEFFS!$A:$A,"SeasonClass",OPERATING_COEFFS!$B:$B,$AI496))</f>
        <v/>
      </c>
      <c r="AL496">
        <f>IF($AK496="","",SUMIFS(OPERATING_COEFFS!$C:$C,OPERATING_COEFFS!$A:$A,"UrgencyClass",OPERATING_COEFFS!$B:$B,$AK496))</f>
        <v/>
      </c>
      <c r="AN496">
        <f>IF($AM496="","",INDEX(TAX_MODES!$B:$B,MATCH($AM496,TAX_MODES!$A:$A,0)))</f>
        <v/>
      </c>
    </row>
    <row r="497">
      <c r="X497" s="15" t="n"/>
      <c r="Y497" s="15">
        <f>IF($X497="","",SUMIFS(TARIFF_PROFILES!$D:$D,TARIFF_PROFILES!$A:$A,$X497))</f>
        <v/>
      </c>
      <c r="Z497" s="15">
        <f>IF($X497="","",SUMIFS(TARIFF_PROFILES!$E:$E,TARIFF_PROFILES!$A:$A,$X497))</f>
        <v/>
      </c>
      <c r="AA497" s="15">
        <f>IF($X497="","",SUMIFS(TARIFF_PROFILES!$F:$F,TARIFF_PROFILES!$A:$A,$X497))</f>
        <v/>
      </c>
      <c r="AB497" s="15">
        <f>IF($X497="","",SUMIFS(TARIFF_PROFILES!$G:$G,TARIFF_PROFILES!$A:$A,$X497))</f>
        <v/>
      </c>
      <c r="AC497" s="15">
        <f>IF($X497="","",SUMIFS(TARIFF_PROFILES!$H:$H,TARIFF_PROFILES!$A:$A,$X497))</f>
        <v/>
      </c>
      <c r="AD497" s="15">
        <f>IF($X497="","",INDEX(TARIFF_PROFILES!$J:$J,MATCH($X497,TARIFF_PROFILES!$A:$A,0)))</f>
        <v/>
      </c>
      <c r="AE497" s="15">
        <f>IF($X497="","",INDEX(TARIFF_PROFILES!$K:$K,MATCH($X497,TARIFF_PROFILES!$A:$A,0)))</f>
        <v/>
      </c>
      <c r="AH497">
        <f>IF($AG497="","",SUMIFS(OPERATING_COEFFS!$C:$C,OPERATING_COEFFS!$A:$A,"DistanceClass",OPERATING_COEFFS!$B:$B,$AG497))</f>
        <v/>
      </c>
      <c r="AJ497">
        <f>IF($AI497="","",SUMIFS(OPERATING_COEFFS!$C:$C,OPERATING_COEFFS!$A:$A,"SeasonClass",OPERATING_COEFFS!$B:$B,$AI497))</f>
        <v/>
      </c>
      <c r="AL497">
        <f>IF($AK497="","",SUMIFS(OPERATING_COEFFS!$C:$C,OPERATING_COEFFS!$A:$A,"UrgencyClass",OPERATING_COEFFS!$B:$B,$AK497))</f>
        <v/>
      </c>
      <c r="AN497">
        <f>IF($AM497="","",INDEX(TAX_MODES!$B:$B,MATCH($AM497,TAX_MODES!$A:$A,0)))</f>
        <v/>
      </c>
    </row>
    <row r="498">
      <c r="X498" s="15" t="n"/>
      <c r="Y498" s="15">
        <f>IF($X498="","",SUMIFS(TARIFF_PROFILES!$D:$D,TARIFF_PROFILES!$A:$A,$X498))</f>
        <v/>
      </c>
      <c r="Z498" s="15">
        <f>IF($X498="","",SUMIFS(TARIFF_PROFILES!$E:$E,TARIFF_PROFILES!$A:$A,$X498))</f>
        <v/>
      </c>
      <c r="AA498" s="15">
        <f>IF($X498="","",SUMIFS(TARIFF_PROFILES!$F:$F,TARIFF_PROFILES!$A:$A,$X498))</f>
        <v/>
      </c>
      <c r="AB498" s="15">
        <f>IF($X498="","",SUMIFS(TARIFF_PROFILES!$G:$G,TARIFF_PROFILES!$A:$A,$X498))</f>
        <v/>
      </c>
      <c r="AC498" s="15">
        <f>IF($X498="","",SUMIFS(TARIFF_PROFILES!$H:$H,TARIFF_PROFILES!$A:$A,$X498))</f>
        <v/>
      </c>
      <c r="AD498" s="15">
        <f>IF($X498="","",INDEX(TARIFF_PROFILES!$J:$J,MATCH($X498,TARIFF_PROFILES!$A:$A,0)))</f>
        <v/>
      </c>
      <c r="AE498" s="15">
        <f>IF($X498="","",INDEX(TARIFF_PROFILES!$K:$K,MATCH($X498,TARIFF_PROFILES!$A:$A,0)))</f>
        <v/>
      </c>
      <c r="AH498">
        <f>IF($AG498="","",SUMIFS(OPERATING_COEFFS!$C:$C,OPERATING_COEFFS!$A:$A,"DistanceClass",OPERATING_COEFFS!$B:$B,$AG498))</f>
        <v/>
      </c>
      <c r="AJ498">
        <f>IF($AI498="","",SUMIFS(OPERATING_COEFFS!$C:$C,OPERATING_COEFFS!$A:$A,"SeasonClass",OPERATING_COEFFS!$B:$B,$AI498))</f>
        <v/>
      </c>
      <c r="AL498">
        <f>IF($AK498="","",SUMIFS(OPERATING_COEFFS!$C:$C,OPERATING_COEFFS!$A:$A,"UrgencyClass",OPERATING_COEFFS!$B:$B,$AK498))</f>
        <v/>
      </c>
      <c r="AN498">
        <f>IF($AM498="","",INDEX(TAX_MODES!$B:$B,MATCH($AM498,TAX_MODES!$A:$A,0)))</f>
        <v/>
      </c>
    </row>
    <row r="499">
      <c r="X499" s="15" t="n"/>
      <c r="Y499" s="15">
        <f>IF($X499="","",SUMIFS(TARIFF_PROFILES!$D:$D,TARIFF_PROFILES!$A:$A,$X499))</f>
        <v/>
      </c>
      <c r="Z499" s="15">
        <f>IF($X499="","",SUMIFS(TARIFF_PROFILES!$E:$E,TARIFF_PROFILES!$A:$A,$X499))</f>
        <v/>
      </c>
      <c r="AA499" s="15">
        <f>IF($X499="","",SUMIFS(TARIFF_PROFILES!$F:$F,TARIFF_PROFILES!$A:$A,$X499))</f>
        <v/>
      </c>
      <c r="AB499" s="15">
        <f>IF($X499="","",SUMIFS(TARIFF_PROFILES!$G:$G,TARIFF_PROFILES!$A:$A,$X499))</f>
        <v/>
      </c>
      <c r="AC499" s="15">
        <f>IF($X499="","",SUMIFS(TARIFF_PROFILES!$H:$H,TARIFF_PROFILES!$A:$A,$X499))</f>
        <v/>
      </c>
      <c r="AD499" s="15">
        <f>IF($X499="","",INDEX(TARIFF_PROFILES!$J:$J,MATCH($X499,TARIFF_PROFILES!$A:$A,0)))</f>
        <v/>
      </c>
      <c r="AE499" s="15">
        <f>IF($X499="","",INDEX(TARIFF_PROFILES!$K:$K,MATCH($X499,TARIFF_PROFILES!$A:$A,0)))</f>
        <v/>
      </c>
      <c r="AH499">
        <f>IF($AG499="","",SUMIFS(OPERATING_COEFFS!$C:$C,OPERATING_COEFFS!$A:$A,"DistanceClass",OPERATING_COEFFS!$B:$B,$AG499))</f>
        <v/>
      </c>
      <c r="AJ499">
        <f>IF($AI499="","",SUMIFS(OPERATING_COEFFS!$C:$C,OPERATING_COEFFS!$A:$A,"SeasonClass",OPERATING_COEFFS!$B:$B,$AI499))</f>
        <v/>
      </c>
      <c r="AL499">
        <f>IF($AK499="","",SUMIFS(OPERATING_COEFFS!$C:$C,OPERATING_COEFFS!$A:$A,"UrgencyClass",OPERATING_COEFFS!$B:$B,$AK499))</f>
        <v/>
      </c>
      <c r="AN499">
        <f>IF($AM499="","",INDEX(TAX_MODES!$B:$B,MATCH($AM499,TAX_MODES!$A:$A,0)))</f>
        <v/>
      </c>
    </row>
    <row r="500">
      <c r="X500" s="15" t="n"/>
      <c r="Y500" s="15">
        <f>IF($X500="","",SUMIFS(TARIFF_PROFILES!$D:$D,TARIFF_PROFILES!$A:$A,$X500))</f>
        <v/>
      </c>
      <c r="Z500" s="15">
        <f>IF($X500="","",SUMIFS(TARIFF_PROFILES!$E:$E,TARIFF_PROFILES!$A:$A,$X500))</f>
        <v/>
      </c>
      <c r="AA500" s="15">
        <f>IF($X500="","",SUMIFS(TARIFF_PROFILES!$F:$F,TARIFF_PROFILES!$A:$A,$X500))</f>
        <v/>
      </c>
      <c r="AB500" s="15">
        <f>IF($X500="","",SUMIFS(TARIFF_PROFILES!$G:$G,TARIFF_PROFILES!$A:$A,$X500))</f>
        <v/>
      </c>
      <c r="AC500" s="15">
        <f>IF($X500="","",SUMIFS(TARIFF_PROFILES!$H:$H,TARIFF_PROFILES!$A:$A,$X500))</f>
        <v/>
      </c>
      <c r="AD500" s="15">
        <f>IF($X500="","",INDEX(TARIFF_PROFILES!$J:$J,MATCH($X500,TARIFF_PROFILES!$A:$A,0)))</f>
        <v/>
      </c>
      <c r="AE500" s="15">
        <f>IF($X500="","",INDEX(TARIFF_PROFILES!$K:$K,MATCH($X500,TARIFF_PROFILES!$A:$A,0)))</f>
        <v/>
      </c>
      <c r="AH500">
        <f>IF($AG500="","",SUMIFS(OPERATING_COEFFS!$C:$C,OPERATING_COEFFS!$A:$A,"DistanceClass",OPERATING_COEFFS!$B:$B,$AG500))</f>
        <v/>
      </c>
      <c r="AJ500">
        <f>IF($AI500="","",SUMIFS(OPERATING_COEFFS!$C:$C,OPERATING_COEFFS!$A:$A,"SeasonClass",OPERATING_COEFFS!$B:$B,$AI500))</f>
        <v/>
      </c>
      <c r="AL500">
        <f>IF($AK500="","",SUMIFS(OPERATING_COEFFS!$C:$C,OPERATING_COEFFS!$A:$A,"UrgencyClass",OPERATING_COEFFS!$B:$B,$AK500))</f>
        <v/>
      </c>
      <c r="AN500">
        <f>IF($AM500="","",INDEX(TAX_MODES!$B:$B,MATCH($AM500,TAX_MODES!$A:$A,0)))</f>
        <v/>
      </c>
    </row>
    <row r="501">
      <c r="X501" s="15" t="n"/>
      <c r="Y501" s="15">
        <f>IF($X501="","",SUMIFS(TARIFF_PROFILES!$D:$D,TARIFF_PROFILES!$A:$A,$X501))</f>
        <v/>
      </c>
      <c r="Z501" s="15">
        <f>IF($X501="","",SUMIFS(TARIFF_PROFILES!$E:$E,TARIFF_PROFILES!$A:$A,$X501))</f>
        <v/>
      </c>
      <c r="AA501" s="15">
        <f>IF($X501="","",SUMIFS(TARIFF_PROFILES!$F:$F,TARIFF_PROFILES!$A:$A,$X501))</f>
        <v/>
      </c>
      <c r="AB501" s="15">
        <f>IF($X501="","",SUMIFS(TARIFF_PROFILES!$G:$G,TARIFF_PROFILES!$A:$A,$X501))</f>
        <v/>
      </c>
      <c r="AC501" s="15">
        <f>IF($X501="","",SUMIFS(TARIFF_PROFILES!$H:$H,TARIFF_PROFILES!$A:$A,$X501))</f>
        <v/>
      </c>
      <c r="AD501" s="15">
        <f>IF($X501="","",INDEX(TARIFF_PROFILES!$J:$J,MATCH($X501,TARIFF_PROFILES!$A:$A,0)))</f>
        <v/>
      </c>
      <c r="AE501" s="15">
        <f>IF($X501="","",INDEX(TARIFF_PROFILES!$K:$K,MATCH($X501,TARIFF_PROFILES!$A:$A,0)))</f>
        <v/>
      </c>
      <c r="AH501">
        <f>IF($AG501="","",SUMIFS(OPERATING_COEFFS!$C:$C,OPERATING_COEFFS!$A:$A,"DistanceClass",OPERATING_COEFFS!$B:$B,$AG501))</f>
        <v/>
      </c>
      <c r="AJ501">
        <f>IF($AI501="","",SUMIFS(OPERATING_COEFFS!$C:$C,OPERATING_COEFFS!$A:$A,"SeasonClass",OPERATING_COEFFS!$B:$B,$AI501))</f>
        <v/>
      </c>
      <c r="AL501">
        <f>IF($AK501="","",SUMIFS(OPERATING_COEFFS!$C:$C,OPERATING_COEFFS!$A:$A,"UrgencyClass",OPERATING_COEFFS!$B:$B,$AK501))</f>
        <v/>
      </c>
      <c r="AN501">
        <f>IF($AM501="","",INDEX(TAX_MODES!$B:$B,MATCH($AM501,TAX_MODES!$A:$A,0)))</f>
        <v/>
      </c>
    </row>
    <row r="502">
      <c r="X502" s="15" t="n"/>
      <c r="Y502" s="15">
        <f>IF($X502="","",SUMIFS(TARIFF_PROFILES!$D:$D,TARIFF_PROFILES!$A:$A,$X502))</f>
        <v/>
      </c>
      <c r="Z502" s="15">
        <f>IF($X502="","",SUMIFS(TARIFF_PROFILES!$E:$E,TARIFF_PROFILES!$A:$A,$X502))</f>
        <v/>
      </c>
      <c r="AA502" s="15">
        <f>IF($X502="","",SUMIFS(TARIFF_PROFILES!$F:$F,TARIFF_PROFILES!$A:$A,$X502))</f>
        <v/>
      </c>
      <c r="AB502" s="15">
        <f>IF($X502="","",SUMIFS(TARIFF_PROFILES!$G:$G,TARIFF_PROFILES!$A:$A,$X502))</f>
        <v/>
      </c>
      <c r="AC502" s="15">
        <f>IF($X502="","",SUMIFS(TARIFF_PROFILES!$H:$H,TARIFF_PROFILES!$A:$A,$X502))</f>
        <v/>
      </c>
      <c r="AD502" s="15">
        <f>IF($X502="","",INDEX(TARIFF_PROFILES!$J:$J,MATCH($X502,TARIFF_PROFILES!$A:$A,0)))</f>
        <v/>
      </c>
      <c r="AE502" s="15">
        <f>IF($X502="","",INDEX(TARIFF_PROFILES!$K:$K,MATCH($X502,TARIFF_PROFILES!$A:$A,0)))</f>
        <v/>
      </c>
      <c r="AH502">
        <f>IF($AG502="","",SUMIFS(OPERATING_COEFFS!$C:$C,OPERATING_COEFFS!$A:$A,"DistanceClass",OPERATING_COEFFS!$B:$B,$AG502))</f>
        <v/>
      </c>
      <c r="AJ502">
        <f>IF($AI502="","",SUMIFS(OPERATING_COEFFS!$C:$C,OPERATING_COEFFS!$A:$A,"SeasonClass",OPERATING_COEFFS!$B:$B,$AI502))</f>
        <v/>
      </c>
      <c r="AL502">
        <f>IF($AK502="","",SUMIFS(OPERATING_COEFFS!$C:$C,OPERATING_COEFFS!$A:$A,"UrgencyClass",OPERATING_COEFFS!$B:$B,$AK502))</f>
        <v/>
      </c>
      <c r="AN502">
        <f>IF($AM502="","",INDEX(TAX_MODES!$B:$B,MATCH($AM502,TAX_MODES!$A:$A,0)))</f>
        <v/>
      </c>
    </row>
    <row r="503">
      <c r="X503" s="15" t="n"/>
      <c r="Y503" s="15">
        <f>IF($X503="","",SUMIFS(TARIFF_PROFILES!$D:$D,TARIFF_PROFILES!$A:$A,$X503))</f>
        <v/>
      </c>
      <c r="Z503" s="15">
        <f>IF($X503="","",SUMIFS(TARIFF_PROFILES!$E:$E,TARIFF_PROFILES!$A:$A,$X503))</f>
        <v/>
      </c>
      <c r="AA503" s="15">
        <f>IF($X503="","",SUMIFS(TARIFF_PROFILES!$F:$F,TARIFF_PROFILES!$A:$A,$X503))</f>
        <v/>
      </c>
      <c r="AB503" s="15">
        <f>IF($X503="","",SUMIFS(TARIFF_PROFILES!$G:$G,TARIFF_PROFILES!$A:$A,$X503))</f>
        <v/>
      </c>
      <c r="AC503" s="15">
        <f>IF($X503="","",SUMIFS(TARIFF_PROFILES!$H:$H,TARIFF_PROFILES!$A:$A,$X503))</f>
        <v/>
      </c>
      <c r="AD503" s="15">
        <f>IF($X503="","",INDEX(TARIFF_PROFILES!$J:$J,MATCH($X503,TARIFF_PROFILES!$A:$A,0)))</f>
        <v/>
      </c>
      <c r="AE503" s="15">
        <f>IF($X503="","",INDEX(TARIFF_PROFILES!$K:$K,MATCH($X503,TARIFF_PROFILES!$A:$A,0)))</f>
        <v/>
      </c>
      <c r="AH503">
        <f>IF($AG503="","",SUMIFS(OPERATING_COEFFS!$C:$C,OPERATING_COEFFS!$A:$A,"DistanceClass",OPERATING_COEFFS!$B:$B,$AG503))</f>
        <v/>
      </c>
      <c r="AJ503">
        <f>IF($AI503="","",SUMIFS(OPERATING_COEFFS!$C:$C,OPERATING_COEFFS!$A:$A,"SeasonClass",OPERATING_COEFFS!$B:$B,$AI503))</f>
        <v/>
      </c>
      <c r="AL503">
        <f>IF($AK503="","",SUMIFS(OPERATING_COEFFS!$C:$C,OPERATING_COEFFS!$A:$A,"UrgencyClass",OPERATING_COEFFS!$B:$B,$AK503))</f>
        <v/>
      </c>
      <c r="AN503">
        <f>IF($AM503="","",INDEX(TAX_MODES!$B:$B,MATCH($AM503,TAX_MODES!$A:$A,0)))</f>
        <v/>
      </c>
    </row>
    <row r="504">
      <c r="X504" s="15" t="n"/>
      <c r="Y504" s="15">
        <f>IF($X504="","",SUMIFS(TARIFF_PROFILES!$D:$D,TARIFF_PROFILES!$A:$A,$X504))</f>
        <v/>
      </c>
      <c r="Z504" s="15">
        <f>IF($X504="","",SUMIFS(TARIFF_PROFILES!$E:$E,TARIFF_PROFILES!$A:$A,$X504))</f>
        <v/>
      </c>
      <c r="AA504" s="15">
        <f>IF($X504="","",SUMIFS(TARIFF_PROFILES!$F:$F,TARIFF_PROFILES!$A:$A,$X504))</f>
        <v/>
      </c>
      <c r="AB504" s="15">
        <f>IF($X504="","",SUMIFS(TARIFF_PROFILES!$G:$G,TARIFF_PROFILES!$A:$A,$X504))</f>
        <v/>
      </c>
      <c r="AC504" s="15">
        <f>IF($X504="","",SUMIFS(TARIFF_PROFILES!$H:$H,TARIFF_PROFILES!$A:$A,$X504))</f>
        <v/>
      </c>
      <c r="AD504" s="15">
        <f>IF($X504="","",INDEX(TARIFF_PROFILES!$J:$J,MATCH($X504,TARIFF_PROFILES!$A:$A,0)))</f>
        <v/>
      </c>
      <c r="AE504" s="15">
        <f>IF($X504="","",INDEX(TARIFF_PROFILES!$K:$K,MATCH($X504,TARIFF_PROFILES!$A:$A,0)))</f>
        <v/>
      </c>
      <c r="AH504">
        <f>IF($AG504="","",SUMIFS(OPERATING_COEFFS!$C:$C,OPERATING_COEFFS!$A:$A,"DistanceClass",OPERATING_COEFFS!$B:$B,$AG504))</f>
        <v/>
      </c>
      <c r="AJ504">
        <f>IF($AI504="","",SUMIFS(OPERATING_COEFFS!$C:$C,OPERATING_COEFFS!$A:$A,"SeasonClass",OPERATING_COEFFS!$B:$B,$AI504))</f>
        <v/>
      </c>
      <c r="AL504">
        <f>IF($AK504="","",SUMIFS(OPERATING_COEFFS!$C:$C,OPERATING_COEFFS!$A:$A,"UrgencyClass",OPERATING_COEFFS!$B:$B,$AK504))</f>
        <v/>
      </c>
      <c r="AN504">
        <f>IF($AM504="","",INDEX(TAX_MODES!$B:$B,MATCH($AM504,TAX_MODES!$A:$A,0)))</f>
        <v/>
      </c>
    </row>
    <row r="505">
      <c r="X505" s="15" t="n"/>
      <c r="Y505" s="15">
        <f>IF($X505="","",SUMIFS(TARIFF_PROFILES!$D:$D,TARIFF_PROFILES!$A:$A,$X505))</f>
        <v/>
      </c>
      <c r="Z505" s="15">
        <f>IF($X505="","",SUMIFS(TARIFF_PROFILES!$E:$E,TARIFF_PROFILES!$A:$A,$X505))</f>
        <v/>
      </c>
      <c r="AA505" s="15">
        <f>IF($X505="","",SUMIFS(TARIFF_PROFILES!$F:$F,TARIFF_PROFILES!$A:$A,$X505))</f>
        <v/>
      </c>
      <c r="AB505" s="15">
        <f>IF($X505="","",SUMIFS(TARIFF_PROFILES!$G:$G,TARIFF_PROFILES!$A:$A,$X505))</f>
        <v/>
      </c>
      <c r="AC505" s="15">
        <f>IF($X505="","",SUMIFS(TARIFF_PROFILES!$H:$H,TARIFF_PROFILES!$A:$A,$X505))</f>
        <v/>
      </c>
      <c r="AD505" s="15">
        <f>IF($X505="","",INDEX(TARIFF_PROFILES!$J:$J,MATCH($X505,TARIFF_PROFILES!$A:$A,0)))</f>
        <v/>
      </c>
      <c r="AE505" s="15">
        <f>IF($X505="","",INDEX(TARIFF_PROFILES!$K:$K,MATCH($X505,TARIFF_PROFILES!$A:$A,0)))</f>
        <v/>
      </c>
      <c r="AH505">
        <f>IF($AG505="","",SUMIFS(OPERATING_COEFFS!$C:$C,OPERATING_COEFFS!$A:$A,"DistanceClass",OPERATING_COEFFS!$B:$B,$AG505))</f>
        <v/>
      </c>
      <c r="AJ505">
        <f>IF($AI505="","",SUMIFS(OPERATING_COEFFS!$C:$C,OPERATING_COEFFS!$A:$A,"SeasonClass",OPERATING_COEFFS!$B:$B,$AI505))</f>
        <v/>
      </c>
      <c r="AL505">
        <f>IF($AK505="","",SUMIFS(OPERATING_COEFFS!$C:$C,OPERATING_COEFFS!$A:$A,"UrgencyClass",OPERATING_COEFFS!$B:$B,$AK505))</f>
        <v/>
      </c>
      <c r="AN505">
        <f>IF($AM505="","",INDEX(TAX_MODES!$B:$B,MATCH($AM505,TAX_MODES!$A:$A,0)))</f>
        <v/>
      </c>
    </row>
    <row r="506">
      <c r="X506" s="15" t="n"/>
      <c r="Y506" s="15">
        <f>IF($X506="","",SUMIFS(TARIFF_PROFILES!$D:$D,TARIFF_PROFILES!$A:$A,$X506))</f>
        <v/>
      </c>
      <c r="Z506" s="15">
        <f>IF($X506="","",SUMIFS(TARIFF_PROFILES!$E:$E,TARIFF_PROFILES!$A:$A,$X506))</f>
        <v/>
      </c>
      <c r="AA506" s="15">
        <f>IF($X506="","",SUMIFS(TARIFF_PROFILES!$F:$F,TARIFF_PROFILES!$A:$A,$X506))</f>
        <v/>
      </c>
      <c r="AB506" s="15">
        <f>IF($X506="","",SUMIFS(TARIFF_PROFILES!$G:$G,TARIFF_PROFILES!$A:$A,$X506))</f>
        <v/>
      </c>
      <c r="AC506" s="15">
        <f>IF($X506="","",SUMIFS(TARIFF_PROFILES!$H:$H,TARIFF_PROFILES!$A:$A,$X506))</f>
        <v/>
      </c>
      <c r="AD506" s="15">
        <f>IF($X506="","",INDEX(TARIFF_PROFILES!$J:$J,MATCH($X506,TARIFF_PROFILES!$A:$A,0)))</f>
        <v/>
      </c>
      <c r="AE506" s="15">
        <f>IF($X506="","",INDEX(TARIFF_PROFILES!$K:$K,MATCH($X506,TARIFF_PROFILES!$A:$A,0)))</f>
        <v/>
      </c>
      <c r="AH506">
        <f>IF($AG506="","",SUMIFS(OPERATING_COEFFS!$C:$C,OPERATING_COEFFS!$A:$A,"DistanceClass",OPERATING_COEFFS!$B:$B,$AG506))</f>
        <v/>
      </c>
      <c r="AJ506">
        <f>IF($AI506="","",SUMIFS(OPERATING_COEFFS!$C:$C,OPERATING_COEFFS!$A:$A,"SeasonClass",OPERATING_COEFFS!$B:$B,$AI506))</f>
        <v/>
      </c>
      <c r="AL506">
        <f>IF($AK506="","",SUMIFS(OPERATING_COEFFS!$C:$C,OPERATING_COEFFS!$A:$A,"UrgencyClass",OPERATING_COEFFS!$B:$B,$AK506))</f>
        <v/>
      </c>
      <c r="AN506">
        <f>IF($AM506="","",INDEX(TAX_MODES!$B:$B,MATCH($AM506,TAX_MODES!$A:$A,0)))</f>
        <v/>
      </c>
    </row>
    <row r="507">
      <c r="X507" s="15" t="n"/>
      <c r="Y507" s="15">
        <f>IF($X507="","",SUMIFS(TARIFF_PROFILES!$D:$D,TARIFF_PROFILES!$A:$A,$X507))</f>
        <v/>
      </c>
      <c r="Z507" s="15">
        <f>IF($X507="","",SUMIFS(TARIFF_PROFILES!$E:$E,TARIFF_PROFILES!$A:$A,$X507))</f>
        <v/>
      </c>
      <c r="AA507" s="15">
        <f>IF($X507="","",SUMIFS(TARIFF_PROFILES!$F:$F,TARIFF_PROFILES!$A:$A,$X507))</f>
        <v/>
      </c>
      <c r="AB507" s="15">
        <f>IF($X507="","",SUMIFS(TARIFF_PROFILES!$G:$G,TARIFF_PROFILES!$A:$A,$X507))</f>
        <v/>
      </c>
      <c r="AC507" s="15">
        <f>IF($X507="","",SUMIFS(TARIFF_PROFILES!$H:$H,TARIFF_PROFILES!$A:$A,$X507))</f>
        <v/>
      </c>
      <c r="AD507" s="15">
        <f>IF($X507="","",INDEX(TARIFF_PROFILES!$J:$J,MATCH($X507,TARIFF_PROFILES!$A:$A,0)))</f>
        <v/>
      </c>
      <c r="AE507" s="15">
        <f>IF($X507="","",INDEX(TARIFF_PROFILES!$K:$K,MATCH($X507,TARIFF_PROFILES!$A:$A,0)))</f>
        <v/>
      </c>
      <c r="AH507">
        <f>IF($AG507="","",SUMIFS(OPERATING_COEFFS!$C:$C,OPERATING_COEFFS!$A:$A,"DistanceClass",OPERATING_COEFFS!$B:$B,$AG507))</f>
        <v/>
      </c>
      <c r="AJ507">
        <f>IF($AI507="","",SUMIFS(OPERATING_COEFFS!$C:$C,OPERATING_COEFFS!$A:$A,"SeasonClass",OPERATING_COEFFS!$B:$B,$AI507))</f>
        <v/>
      </c>
      <c r="AL507">
        <f>IF($AK507="","",SUMIFS(OPERATING_COEFFS!$C:$C,OPERATING_COEFFS!$A:$A,"UrgencyClass",OPERATING_COEFFS!$B:$B,$AK507))</f>
        <v/>
      </c>
      <c r="AN507">
        <f>IF($AM507="","",INDEX(TAX_MODES!$B:$B,MATCH($AM507,TAX_MODES!$A:$A,0)))</f>
        <v/>
      </c>
    </row>
    <row r="508">
      <c r="X508" s="15" t="n"/>
      <c r="Y508" s="15">
        <f>IF($X508="","",SUMIFS(TARIFF_PROFILES!$D:$D,TARIFF_PROFILES!$A:$A,$X508))</f>
        <v/>
      </c>
      <c r="Z508" s="15">
        <f>IF($X508="","",SUMIFS(TARIFF_PROFILES!$E:$E,TARIFF_PROFILES!$A:$A,$X508))</f>
        <v/>
      </c>
      <c r="AA508" s="15">
        <f>IF($X508="","",SUMIFS(TARIFF_PROFILES!$F:$F,TARIFF_PROFILES!$A:$A,$X508))</f>
        <v/>
      </c>
      <c r="AB508" s="15">
        <f>IF($X508="","",SUMIFS(TARIFF_PROFILES!$G:$G,TARIFF_PROFILES!$A:$A,$X508))</f>
        <v/>
      </c>
      <c r="AC508" s="15">
        <f>IF($X508="","",SUMIFS(TARIFF_PROFILES!$H:$H,TARIFF_PROFILES!$A:$A,$X508))</f>
        <v/>
      </c>
      <c r="AD508" s="15">
        <f>IF($X508="","",INDEX(TARIFF_PROFILES!$J:$J,MATCH($X508,TARIFF_PROFILES!$A:$A,0)))</f>
        <v/>
      </c>
      <c r="AE508" s="15">
        <f>IF($X508="","",INDEX(TARIFF_PROFILES!$K:$K,MATCH($X508,TARIFF_PROFILES!$A:$A,0)))</f>
        <v/>
      </c>
      <c r="AH508">
        <f>IF($AG508="","",SUMIFS(OPERATING_COEFFS!$C:$C,OPERATING_COEFFS!$A:$A,"DistanceClass",OPERATING_COEFFS!$B:$B,$AG508))</f>
        <v/>
      </c>
      <c r="AJ508">
        <f>IF($AI508="","",SUMIFS(OPERATING_COEFFS!$C:$C,OPERATING_COEFFS!$A:$A,"SeasonClass",OPERATING_COEFFS!$B:$B,$AI508))</f>
        <v/>
      </c>
      <c r="AL508">
        <f>IF($AK508="","",SUMIFS(OPERATING_COEFFS!$C:$C,OPERATING_COEFFS!$A:$A,"UrgencyClass",OPERATING_COEFFS!$B:$B,$AK508))</f>
        <v/>
      </c>
      <c r="AN508">
        <f>IF($AM508="","",INDEX(TAX_MODES!$B:$B,MATCH($AM508,TAX_MODES!$A:$A,0)))</f>
        <v/>
      </c>
    </row>
    <row r="509">
      <c r="X509" s="15" t="n"/>
      <c r="Y509" s="15">
        <f>IF($X509="","",SUMIFS(TARIFF_PROFILES!$D:$D,TARIFF_PROFILES!$A:$A,$X509))</f>
        <v/>
      </c>
      <c r="Z509" s="15">
        <f>IF($X509="","",SUMIFS(TARIFF_PROFILES!$E:$E,TARIFF_PROFILES!$A:$A,$X509))</f>
        <v/>
      </c>
      <c r="AA509" s="15">
        <f>IF($X509="","",SUMIFS(TARIFF_PROFILES!$F:$F,TARIFF_PROFILES!$A:$A,$X509))</f>
        <v/>
      </c>
      <c r="AB509" s="15">
        <f>IF($X509="","",SUMIFS(TARIFF_PROFILES!$G:$G,TARIFF_PROFILES!$A:$A,$X509))</f>
        <v/>
      </c>
      <c r="AC509" s="15">
        <f>IF($X509="","",SUMIFS(TARIFF_PROFILES!$H:$H,TARIFF_PROFILES!$A:$A,$X509))</f>
        <v/>
      </c>
      <c r="AD509" s="15">
        <f>IF($X509="","",INDEX(TARIFF_PROFILES!$J:$J,MATCH($X509,TARIFF_PROFILES!$A:$A,0)))</f>
        <v/>
      </c>
      <c r="AE509" s="15">
        <f>IF($X509="","",INDEX(TARIFF_PROFILES!$K:$K,MATCH($X509,TARIFF_PROFILES!$A:$A,0)))</f>
        <v/>
      </c>
      <c r="AH509">
        <f>IF($AG509="","",SUMIFS(OPERATING_COEFFS!$C:$C,OPERATING_COEFFS!$A:$A,"DistanceClass",OPERATING_COEFFS!$B:$B,$AG509))</f>
        <v/>
      </c>
      <c r="AJ509">
        <f>IF($AI509="","",SUMIFS(OPERATING_COEFFS!$C:$C,OPERATING_COEFFS!$A:$A,"SeasonClass",OPERATING_COEFFS!$B:$B,$AI509))</f>
        <v/>
      </c>
      <c r="AL509">
        <f>IF($AK509="","",SUMIFS(OPERATING_COEFFS!$C:$C,OPERATING_COEFFS!$A:$A,"UrgencyClass",OPERATING_COEFFS!$B:$B,$AK509))</f>
        <v/>
      </c>
      <c r="AN509">
        <f>IF($AM509="","",INDEX(TAX_MODES!$B:$B,MATCH($AM509,TAX_MODES!$A:$A,0)))</f>
        <v/>
      </c>
    </row>
    <row r="510">
      <c r="X510" s="15" t="n"/>
      <c r="Y510" s="15">
        <f>IF($X510="","",SUMIFS(TARIFF_PROFILES!$D:$D,TARIFF_PROFILES!$A:$A,$X510))</f>
        <v/>
      </c>
      <c r="Z510" s="15">
        <f>IF($X510="","",SUMIFS(TARIFF_PROFILES!$E:$E,TARIFF_PROFILES!$A:$A,$X510))</f>
        <v/>
      </c>
      <c r="AA510" s="15">
        <f>IF($X510="","",SUMIFS(TARIFF_PROFILES!$F:$F,TARIFF_PROFILES!$A:$A,$X510))</f>
        <v/>
      </c>
      <c r="AB510" s="15">
        <f>IF($X510="","",SUMIFS(TARIFF_PROFILES!$G:$G,TARIFF_PROFILES!$A:$A,$X510))</f>
        <v/>
      </c>
      <c r="AC510" s="15">
        <f>IF($X510="","",SUMIFS(TARIFF_PROFILES!$H:$H,TARIFF_PROFILES!$A:$A,$X510))</f>
        <v/>
      </c>
      <c r="AD510" s="15">
        <f>IF($X510="","",INDEX(TARIFF_PROFILES!$J:$J,MATCH($X510,TARIFF_PROFILES!$A:$A,0)))</f>
        <v/>
      </c>
      <c r="AE510" s="15">
        <f>IF($X510="","",INDEX(TARIFF_PROFILES!$K:$K,MATCH($X510,TARIFF_PROFILES!$A:$A,0)))</f>
        <v/>
      </c>
      <c r="AH510">
        <f>IF($AG510="","",SUMIFS(OPERATING_COEFFS!$C:$C,OPERATING_COEFFS!$A:$A,"DistanceClass",OPERATING_COEFFS!$B:$B,$AG510))</f>
        <v/>
      </c>
      <c r="AJ510">
        <f>IF($AI510="","",SUMIFS(OPERATING_COEFFS!$C:$C,OPERATING_COEFFS!$A:$A,"SeasonClass",OPERATING_COEFFS!$B:$B,$AI510))</f>
        <v/>
      </c>
      <c r="AL510">
        <f>IF($AK510="","",SUMIFS(OPERATING_COEFFS!$C:$C,OPERATING_COEFFS!$A:$A,"UrgencyClass",OPERATING_COEFFS!$B:$B,$AK510))</f>
        <v/>
      </c>
      <c r="AN510">
        <f>IF($AM510="","",INDEX(TAX_MODES!$B:$B,MATCH($AM510,TAX_MODES!$A:$A,0)))</f>
        <v/>
      </c>
    </row>
    <row r="511">
      <c r="X511" s="15" t="n"/>
      <c r="Y511" s="15">
        <f>IF($X511="","",SUMIFS(TARIFF_PROFILES!$D:$D,TARIFF_PROFILES!$A:$A,$X511))</f>
        <v/>
      </c>
      <c r="Z511" s="15">
        <f>IF($X511="","",SUMIFS(TARIFF_PROFILES!$E:$E,TARIFF_PROFILES!$A:$A,$X511))</f>
        <v/>
      </c>
      <c r="AA511" s="15">
        <f>IF($X511="","",SUMIFS(TARIFF_PROFILES!$F:$F,TARIFF_PROFILES!$A:$A,$X511))</f>
        <v/>
      </c>
      <c r="AB511" s="15">
        <f>IF($X511="","",SUMIFS(TARIFF_PROFILES!$G:$G,TARIFF_PROFILES!$A:$A,$X511))</f>
        <v/>
      </c>
      <c r="AC511" s="15">
        <f>IF($X511="","",SUMIFS(TARIFF_PROFILES!$H:$H,TARIFF_PROFILES!$A:$A,$X511))</f>
        <v/>
      </c>
      <c r="AD511" s="15">
        <f>IF($X511="","",INDEX(TARIFF_PROFILES!$J:$J,MATCH($X511,TARIFF_PROFILES!$A:$A,0)))</f>
        <v/>
      </c>
      <c r="AE511" s="15">
        <f>IF($X511="","",INDEX(TARIFF_PROFILES!$K:$K,MATCH($X511,TARIFF_PROFILES!$A:$A,0)))</f>
        <v/>
      </c>
      <c r="AH511">
        <f>IF($AG511="","",SUMIFS(OPERATING_COEFFS!$C:$C,OPERATING_COEFFS!$A:$A,"DistanceClass",OPERATING_COEFFS!$B:$B,$AG511))</f>
        <v/>
      </c>
      <c r="AJ511">
        <f>IF($AI511="","",SUMIFS(OPERATING_COEFFS!$C:$C,OPERATING_COEFFS!$A:$A,"SeasonClass",OPERATING_COEFFS!$B:$B,$AI511))</f>
        <v/>
      </c>
      <c r="AL511">
        <f>IF($AK511="","",SUMIFS(OPERATING_COEFFS!$C:$C,OPERATING_COEFFS!$A:$A,"UrgencyClass",OPERATING_COEFFS!$B:$B,$AK511))</f>
        <v/>
      </c>
      <c r="AN511">
        <f>IF($AM511="","",INDEX(TAX_MODES!$B:$B,MATCH($AM511,TAX_MODES!$A:$A,0)))</f>
        <v/>
      </c>
    </row>
    <row r="512">
      <c r="X512" s="15" t="n"/>
      <c r="Y512" s="15">
        <f>IF($X512="","",SUMIFS(TARIFF_PROFILES!$D:$D,TARIFF_PROFILES!$A:$A,$X512))</f>
        <v/>
      </c>
      <c r="Z512" s="15">
        <f>IF($X512="","",SUMIFS(TARIFF_PROFILES!$E:$E,TARIFF_PROFILES!$A:$A,$X512))</f>
        <v/>
      </c>
      <c r="AA512" s="15">
        <f>IF($X512="","",SUMIFS(TARIFF_PROFILES!$F:$F,TARIFF_PROFILES!$A:$A,$X512))</f>
        <v/>
      </c>
      <c r="AB512" s="15">
        <f>IF($X512="","",SUMIFS(TARIFF_PROFILES!$G:$G,TARIFF_PROFILES!$A:$A,$X512))</f>
        <v/>
      </c>
      <c r="AC512" s="15">
        <f>IF($X512="","",SUMIFS(TARIFF_PROFILES!$H:$H,TARIFF_PROFILES!$A:$A,$X512))</f>
        <v/>
      </c>
      <c r="AD512" s="15">
        <f>IF($X512="","",INDEX(TARIFF_PROFILES!$J:$J,MATCH($X512,TARIFF_PROFILES!$A:$A,0)))</f>
        <v/>
      </c>
      <c r="AE512" s="15">
        <f>IF($X512="","",INDEX(TARIFF_PROFILES!$K:$K,MATCH($X512,TARIFF_PROFILES!$A:$A,0)))</f>
        <v/>
      </c>
      <c r="AH512">
        <f>IF($AG512="","",SUMIFS(OPERATING_COEFFS!$C:$C,OPERATING_COEFFS!$A:$A,"DistanceClass",OPERATING_COEFFS!$B:$B,$AG512))</f>
        <v/>
      </c>
      <c r="AJ512">
        <f>IF($AI512="","",SUMIFS(OPERATING_COEFFS!$C:$C,OPERATING_COEFFS!$A:$A,"SeasonClass",OPERATING_COEFFS!$B:$B,$AI512))</f>
        <v/>
      </c>
      <c r="AL512">
        <f>IF($AK512="","",SUMIFS(OPERATING_COEFFS!$C:$C,OPERATING_COEFFS!$A:$A,"UrgencyClass",OPERATING_COEFFS!$B:$B,$AK512))</f>
        <v/>
      </c>
      <c r="AN512">
        <f>IF($AM512="","",INDEX(TAX_MODES!$B:$B,MATCH($AM512,TAX_MODES!$A:$A,0)))</f>
        <v/>
      </c>
    </row>
    <row r="513">
      <c r="X513" s="15" t="n"/>
      <c r="Y513" s="15">
        <f>IF($X513="","",SUMIFS(TARIFF_PROFILES!$D:$D,TARIFF_PROFILES!$A:$A,$X513))</f>
        <v/>
      </c>
      <c r="Z513" s="15">
        <f>IF($X513="","",SUMIFS(TARIFF_PROFILES!$E:$E,TARIFF_PROFILES!$A:$A,$X513))</f>
        <v/>
      </c>
      <c r="AA513" s="15">
        <f>IF($X513="","",SUMIFS(TARIFF_PROFILES!$F:$F,TARIFF_PROFILES!$A:$A,$X513))</f>
        <v/>
      </c>
      <c r="AB513" s="15">
        <f>IF($X513="","",SUMIFS(TARIFF_PROFILES!$G:$G,TARIFF_PROFILES!$A:$A,$X513))</f>
        <v/>
      </c>
      <c r="AC513" s="15">
        <f>IF($X513="","",SUMIFS(TARIFF_PROFILES!$H:$H,TARIFF_PROFILES!$A:$A,$X513))</f>
        <v/>
      </c>
      <c r="AD513" s="15">
        <f>IF($X513="","",INDEX(TARIFF_PROFILES!$J:$J,MATCH($X513,TARIFF_PROFILES!$A:$A,0)))</f>
        <v/>
      </c>
      <c r="AE513" s="15">
        <f>IF($X513="","",INDEX(TARIFF_PROFILES!$K:$K,MATCH($X513,TARIFF_PROFILES!$A:$A,0)))</f>
        <v/>
      </c>
      <c r="AH513">
        <f>IF($AG513="","",SUMIFS(OPERATING_COEFFS!$C:$C,OPERATING_COEFFS!$A:$A,"DistanceClass",OPERATING_COEFFS!$B:$B,$AG513))</f>
        <v/>
      </c>
      <c r="AJ513">
        <f>IF($AI513="","",SUMIFS(OPERATING_COEFFS!$C:$C,OPERATING_COEFFS!$A:$A,"SeasonClass",OPERATING_COEFFS!$B:$B,$AI513))</f>
        <v/>
      </c>
      <c r="AL513">
        <f>IF($AK513="","",SUMIFS(OPERATING_COEFFS!$C:$C,OPERATING_COEFFS!$A:$A,"UrgencyClass",OPERATING_COEFFS!$B:$B,$AK513))</f>
        <v/>
      </c>
      <c r="AN513">
        <f>IF($AM513="","",INDEX(TAX_MODES!$B:$B,MATCH($AM513,TAX_MODES!$A:$A,0)))</f>
        <v/>
      </c>
    </row>
    <row r="514">
      <c r="X514" s="15" t="n"/>
      <c r="Y514" s="15">
        <f>IF($X514="","",SUMIFS(TARIFF_PROFILES!$D:$D,TARIFF_PROFILES!$A:$A,$X514))</f>
        <v/>
      </c>
      <c r="Z514" s="15">
        <f>IF($X514="","",SUMIFS(TARIFF_PROFILES!$E:$E,TARIFF_PROFILES!$A:$A,$X514))</f>
        <v/>
      </c>
      <c r="AA514" s="15">
        <f>IF($X514="","",SUMIFS(TARIFF_PROFILES!$F:$F,TARIFF_PROFILES!$A:$A,$X514))</f>
        <v/>
      </c>
      <c r="AB514" s="15">
        <f>IF($X514="","",SUMIFS(TARIFF_PROFILES!$G:$G,TARIFF_PROFILES!$A:$A,$X514))</f>
        <v/>
      </c>
      <c r="AC514" s="15">
        <f>IF($X514="","",SUMIFS(TARIFF_PROFILES!$H:$H,TARIFF_PROFILES!$A:$A,$X514))</f>
        <v/>
      </c>
      <c r="AD514" s="15">
        <f>IF($X514="","",INDEX(TARIFF_PROFILES!$J:$J,MATCH($X514,TARIFF_PROFILES!$A:$A,0)))</f>
        <v/>
      </c>
      <c r="AE514" s="15">
        <f>IF($X514="","",INDEX(TARIFF_PROFILES!$K:$K,MATCH($X514,TARIFF_PROFILES!$A:$A,0)))</f>
        <v/>
      </c>
      <c r="AH514">
        <f>IF($AG514="","",SUMIFS(OPERATING_COEFFS!$C:$C,OPERATING_COEFFS!$A:$A,"DistanceClass",OPERATING_COEFFS!$B:$B,$AG514))</f>
        <v/>
      </c>
      <c r="AJ514">
        <f>IF($AI514="","",SUMIFS(OPERATING_COEFFS!$C:$C,OPERATING_COEFFS!$A:$A,"SeasonClass",OPERATING_COEFFS!$B:$B,$AI514))</f>
        <v/>
      </c>
      <c r="AL514">
        <f>IF($AK514="","",SUMIFS(OPERATING_COEFFS!$C:$C,OPERATING_COEFFS!$A:$A,"UrgencyClass",OPERATING_COEFFS!$B:$B,$AK514))</f>
        <v/>
      </c>
      <c r="AN514">
        <f>IF($AM514="","",INDEX(TAX_MODES!$B:$B,MATCH($AM514,TAX_MODES!$A:$A,0)))</f>
        <v/>
      </c>
    </row>
    <row r="515">
      <c r="X515" s="15" t="n"/>
      <c r="Y515" s="15">
        <f>IF($X515="","",SUMIFS(TARIFF_PROFILES!$D:$D,TARIFF_PROFILES!$A:$A,$X515))</f>
        <v/>
      </c>
      <c r="Z515" s="15">
        <f>IF($X515="","",SUMIFS(TARIFF_PROFILES!$E:$E,TARIFF_PROFILES!$A:$A,$X515))</f>
        <v/>
      </c>
      <c r="AA515" s="15">
        <f>IF($X515="","",SUMIFS(TARIFF_PROFILES!$F:$F,TARIFF_PROFILES!$A:$A,$X515))</f>
        <v/>
      </c>
      <c r="AB515" s="15">
        <f>IF($X515="","",SUMIFS(TARIFF_PROFILES!$G:$G,TARIFF_PROFILES!$A:$A,$X515))</f>
        <v/>
      </c>
      <c r="AC515" s="15">
        <f>IF($X515="","",SUMIFS(TARIFF_PROFILES!$H:$H,TARIFF_PROFILES!$A:$A,$X515))</f>
        <v/>
      </c>
      <c r="AD515" s="15">
        <f>IF($X515="","",INDEX(TARIFF_PROFILES!$J:$J,MATCH($X515,TARIFF_PROFILES!$A:$A,0)))</f>
        <v/>
      </c>
      <c r="AE515" s="15">
        <f>IF($X515="","",INDEX(TARIFF_PROFILES!$K:$K,MATCH($X515,TARIFF_PROFILES!$A:$A,0)))</f>
        <v/>
      </c>
      <c r="AH515">
        <f>IF($AG515="","",SUMIFS(OPERATING_COEFFS!$C:$C,OPERATING_COEFFS!$A:$A,"DistanceClass",OPERATING_COEFFS!$B:$B,$AG515))</f>
        <v/>
      </c>
      <c r="AJ515">
        <f>IF($AI515="","",SUMIFS(OPERATING_COEFFS!$C:$C,OPERATING_COEFFS!$A:$A,"SeasonClass",OPERATING_COEFFS!$B:$B,$AI515))</f>
        <v/>
      </c>
      <c r="AL515">
        <f>IF($AK515="","",SUMIFS(OPERATING_COEFFS!$C:$C,OPERATING_COEFFS!$A:$A,"UrgencyClass",OPERATING_COEFFS!$B:$B,$AK515))</f>
        <v/>
      </c>
      <c r="AN515">
        <f>IF($AM515="","",INDEX(TAX_MODES!$B:$B,MATCH($AM515,TAX_MODES!$A:$A,0)))</f>
        <v/>
      </c>
    </row>
    <row r="516">
      <c r="X516" s="15" t="n"/>
      <c r="Y516" s="15">
        <f>IF($X516="","",SUMIFS(TARIFF_PROFILES!$D:$D,TARIFF_PROFILES!$A:$A,$X516))</f>
        <v/>
      </c>
      <c r="Z516" s="15">
        <f>IF($X516="","",SUMIFS(TARIFF_PROFILES!$E:$E,TARIFF_PROFILES!$A:$A,$X516))</f>
        <v/>
      </c>
      <c r="AA516" s="15">
        <f>IF($X516="","",SUMIFS(TARIFF_PROFILES!$F:$F,TARIFF_PROFILES!$A:$A,$X516))</f>
        <v/>
      </c>
      <c r="AB516" s="15">
        <f>IF($X516="","",SUMIFS(TARIFF_PROFILES!$G:$G,TARIFF_PROFILES!$A:$A,$X516))</f>
        <v/>
      </c>
      <c r="AC516" s="15">
        <f>IF($X516="","",SUMIFS(TARIFF_PROFILES!$H:$H,TARIFF_PROFILES!$A:$A,$X516))</f>
        <v/>
      </c>
      <c r="AD516" s="15">
        <f>IF($X516="","",INDEX(TARIFF_PROFILES!$J:$J,MATCH($X516,TARIFF_PROFILES!$A:$A,0)))</f>
        <v/>
      </c>
      <c r="AE516" s="15">
        <f>IF($X516="","",INDEX(TARIFF_PROFILES!$K:$K,MATCH($X516,TARIFF_PROFILES!$A:$A,0)))</f>
        <v/>
      </c>
      <c r="AH516">
        <f>IF($AG516="","",SUMIFS(OPERATING_COEFFS!$C:$C,OPERATING_COEFFS!$A:$A,"DistanceClass",OPERATING_COEFFS!$B:$B,$AG516))</f>
        <v/>
      </c>
      <c r="AJ516">
        <f>IF($AI516="","",SUMIFS(OPERATING_COEFFS!$C:$C,OPERATING_COEFFS!$A:$A,"SeasonClass",OPERATING_COEFFS!$B:$B,$AI516))</f>
        <v/>
      </c>
      <c r="AL516">
        <f>IF($AK516="","",SUMIFS(OPERATING_COEFFS!$C:$C,OPERATING_COEFFS!$A:$A,"UrgencyClass",OPERATING_COEFFS!$B:$B,$AK516))</f>
        <v/>
      </c>
      <c r="AN516">
        <f>IF($AM516="","",INDEX(TAX_MODES!$B:$B,MATCH($AM516,TAX_MODES!$A:$A,0)))</f>
        <v/>
      </c>
    </row>
    <row r="517">
      <c r="X517" s="15" t="n"/>
      <c r="Y517" s="15">
        <f>IF($X517="","",SUMIFS(TARIFF_PROFILES!$D:$D,TARIFF_PROFILES!$A:$A,$X517))</f>
        <v/>
      </c>
      <c r="Z517" s="15">
        <f>IF($X517="","",SUMIFS(TARIFF_PROFILES!$E:$E,TARIFF_PROFILES!$A:$A,$X517))</f>
        <v/>
      </c>
      <c r="AA517" s="15">
        <f>IF($X517="","",SUMIFS(TARIFF_PROFILES!$F:$F,TARIFF_PROFILES!$A:$A,$X517))</f>
        <v/>
      </c>
      <c r="AB517" s="15">
        <f>IF($X517="","",SUMIFS(TARIFF_PROFILES!$G:$G,TARIFF_PROFILES!$A:$A,$X517))</f>
        <v/>
      </c>
      <c r="AC517" s="15">
        <f>IF($X517="","",SUMIFS(TARIFF_PROFILES!$H:$H,TARIFF_PROFILES!$A:$A,$X517))</f>
        <v/>
      </c>
      <c r="AD517" s="15">
        <f>IF($X517="","",INDEX(TARIFF_PROFILES!$J:$J,MATCH($X517,TARIFF_PROFILES!$A:$A,0)))</f>
        <v/>
      </c>
      <c r="AE517" s="15">
        <f>IF($X517="","",INDEX(TARIFF_PROFILES!$K:$K,MATCH($X517,TARIFF_PROFILES!$A:$A,0)))</f>
        <v/>
      </c>
      <c r="AH517">
        <f>IF($AG517="","",SUMIFS(OPERATING_COEFFS!$C:$C,OPERATING_COEFFS!$A:$A,"DistanceClass",OPERATING_COEFFS!$B:$B,$AG517))</f>
        <v/>
      </c>
      <c r="AJ517">
        <f>IF($AI517="","",SUMIFS(OPERATING_COEFFS!$C:$C,OPERATING_COEFFS!$A:$A,"SeasonClass",OPERATING_COEFFS!$B:$B,$AI517))</f>
        <v/>
      </c>
      <c r="AL517">
        <f>IF($AK517="","",SUMIFS(OPERATING_COEFFS!$C:$C,OPERATING_COEFFS!$A:$A,"UrgencyClass",OPERATING_COEFFS!$B:$B,$AK517))</f>
        <v/>
      </c>
      <c r="AN517">
        <f>IF($AM517="","",INDEX(TAX_MODES!$B:$B,MATCH($AM517,TAX_MODES!$A:$A,0)))</f>
        <v/>
      </c>
    </row>
    <row r="518">
      <c r="X518" s="15" t="n"/>
      <c r="Y518" s="15">
        <f>IF($X518="","",SUMIFS(TARIFF_PROFILES!$D:$D,TARIFF_PROFILES!$A:$A,$X518))</f>
        <v/>
      </c>
      <c r="Z518" s="15">
        <f>IF($X518="","",SUMIFS(TARIFF_PROFILES!$E:$E,TARIFF_PROFILES!$A:$A,$X518))</f>
        <v/>
      </c>
      <c r="AA518" s="15">
        <f>IF($X518="","",SUMIFS(TARIFF_PROFILES!$F:$F,TARIFF_PROFILES!$A:$A,$X518))</f>
        <v/>
      </c>
      <c r="AB518" s="15">
        <f>IF($X518="","",SUMIFS(TARIFF_PROFILES!$G:$G,TARIFF_PROFILES!$A:$A,$X518))</f>
        <v/>
      </c>
      <c r="AC518" s="15">
        <f>IF($X518="","",SUMIFS(TARIFF_PROFILES!$H:$H,TARIFF_PROFILES!$A:$A,$X518))</f>
        <v/>
      </c>
      <c r="AD518" s="15">
        <f>IF($X518="","",INDEX(TARIFF_PROFILES!$J:$J,MATCH($X518,TARIFF_PROFILES!$A:$A,0)))</f>
        <v/>
      </c>
      <c r="AE518" s="15">
        <f>IF($X518="","",INDEX(TARIFF_PROFILES!$K:$K,MATCH($X518,TARIFF_PROFILES!$A:$A,0)))</f>
        <v/>
      </c>
      <c r="AH518">
        <f>IF($AG518="","",SUMIFS(OPERATING_COEFFS!$C:$C,OPERATING_COEFFS!$A:$A,"DistanceClass",OPERATING_COEFFS!$B:$B,$AG518))</f>
        <v/>
      </c>
      <c r="AJ518">
        <f>IF($AI518="","",SUMIFS(OPERATING_COEFFS!$C:$C,OPERATING_COEFFS!$A:$A,"SeasonClass",OPERATING_COEFFS!$B:$B,$AI518))</f>
        <v/>
      </c>
      <c r="AL518">
        <f>IF($AK518="","",SUMIFS(OPERATING_COEFFS!$C:$C,OPERATING_COEFFS!$A:$A,"UrgencyClass",OPERATING_COEFFS!$B:$B,$AK518))</f>
        <v/>
      </c>
      <c r="AN518">
        <f>IF($AM518="","",INDEX(TAX_MODES!$B:$B,MATCH($AM518,TAX_MODES!$A:$A,0)))</f>
        <v/>
      </c>
    </row>
    <row r="519">
      <c r="X519" s="15" t="n"/>
      <c r="Y519" s="15">
        <f>IF($X519="","",SUMIFS(TARIFF_PROFILES!$D:$D,TARIFF_PROFILES!$A:$A,$X519))</f>
        <v/>
      </c>
      <c r="Z519" s="15">
        <f>IF($X519="","",SUMIFS(TARIFF_PROFILES!$E:$E,TARIFF_PROFILES!$A:$A,$X519))</f>
        <v/>
      </c>
      <c r="AA519" s="15">
        <f>IF($X519="","",SUMIFS(TARIFF_PROFILES!$F:$F,TARIFF_PROFILES!$A:$A,$X519))</f>
        <v/>
      </c>
      <c r="AB519" s="15">
        <f>IF($X519="","",SUMIFS(TARIFF_PROFILES!$G:$G,TARIFF_PROFILES!$A:$A,$X519))</f>
        <v/>
      </c>
      <c r="AC519" s="15">
        <f>IF($X519="","",SUMIFS(TARIFF_PROFILES!$H:$H,TARIFF_PROFILES!$A:$A,$X519))</f>
        <v/>
      </c>
      <c r="AD519" s="15">
        <f>IF($X519="","",INDEX(TARIFF_PROFILES!$J:$J,MATCH($X519,TARIFF_PROFILES!$A:$A,0)))</f>
        <v/>
      </c>
      <c r="AE519" s="15">
        <f>IF($X519="","",INDEX(TARIFF_PROFILES!$K:$K,MATCH($X519,TARIFF_PROFILES!$A:$A,0)))</f>
        <v/>
      </c>
      <c r="AH519">
        <f>IF($AG519="","",SUMIFS(OPERATING_COEFFS!$C:$C,OPERATING_COEFFS!$A:$A,"DistanceClass",OPERATING_COEFFS!$B:$B,$AG519))</f>
        <v/>
      </c>
      <c r="AJ519">
        <f>IF($AI519="","",SUMIFS(OPERATING_COEFFS!$C:$C,OPERATING_COEFFS!$A:$A,"SeasonClass",OPERATING_COEFFS!$B:$B,$AI519))</f>
        <v/>
      </c>
      <c r="AL519">
        <f>IF($AK519="","",SUMIFS(OPERATING_COEFFS!$C:$C,OPERATING_COEFFS!$A:$A,"UrgencyClass",OPERATING_COEFFS!$B:$B,$AK519))</f>
        <v/>
      </c>
      <c r="AN519">
        <f>IF($AM519="","",INDEX(TAX_MODES!$B:$B,MATCH($AM519,TAX_MODES!$A:$A,0)))</f>
        <v/>
      </c>
    </row>
    <row r="520">
      <c r="X520" s="15" t="n"/>
      <c r="Y520" s="15">
        <f>IF($X520="","",SUMIFS(TARIFF_PROFILES!$D:$D,TARIFF_PROFILES!$A:$A,$X520))</f>
        <v/>
      </c>
      <c r="Z520" s="15">
        <f>IF($X520="","",SUMIFS(TARIFF_PROFILES!$E:$E,TARIFF_PROFILES!$A:$A,$X520))</f>
        <v/>
      </c>
      <c r="AA520" s="15">
        <f>IF($X520="","",SUMIFS(TARIFF_PROFILES!$F:$F,TARIFF_PROFILES!$A:$A,$X520))</f>
        <v/>
      </c>
      <c r="AB520" s="15">
        <f>IF($X520="","",SUMIFS(TARIFF_PROFILES!$G:$G,TARIFF_PROFILES!$A:$A,$X520))</f>
        <v/>
      </c>
      <c r="AC520" s="15">
        <f>IF($X520="","",SUMIFS(TARIFF_PROFILES!$H:$H,TARIFF_PROFILES!$A:$A,$X520))</f>
        <v/>
      </c>
      <c r="AD520" s="15">
        <f>IF($X520="","",INDEX(TARIFF_PROFILES!$J:$J,MATCH($X520,TARIFF_PROFILES!$A:$A,0)))</f>
        <v/>
      </c>
      <c r="AE520" s="15">
        <f>IF($X520="","",INDEX(TARIFF_PROFILES!$K:$K,MATCH($X520,TARIFF_PROFILES!$A:$A,0)))</f>
        <v/>
      </c>
      <c r="AH520">
        <f>IF($AG520="","",SUMIFS(OPERATING_COEFFS!$C:$C,OPERATING_COEFFS!$A:$A,"DistanceClass",OPERATING_COEFFS!$B:$B,$AG520))</f>
        <v/>
      </c>
      <c r="AJ520">
        <f>IF($AI520="","",SUMIFS(OPERATING_COEFFS!$C:$C,OPERATING_COEFFS!$A:$A,"SeasonClass",OPERATING_COEFFS!$B:$B,$AI520))</f>
        <v/>
      </c>
      <c r="AL520">
        <f>IF($AK520="","",SUMIFS(OPERATING_COEFFS!$C:$C,OPERATING_COEFFS!$A:$A,"UrgencyClass",OPERATING_COEFFS!$B:$B,$AK520))</f>
        <v/>
      </c>
      <c r="AN520">
        <f>IF($AM520="","",INDEX(TAX_MODES!$B:$B,MATCH($AM520,TAX_MODES!$A:$A,0)))</f>
        <v/>
      </c>
    </row>
    <row r="521">
      <c r="X521" s="15" t="n"/>
      <c r="Y521" s="15">
        <f>IF($X521="","",SUMIFS(TARIFF_PROFILES!$D:$D,TARIFF_PROFILES!$A:$A,$X521))</f>
        <v/>
      </c>
      <c r="Z521" s="15">
        <f>IF($X521="","",SUMIFS(TARIFF_PROFILES!$E:$E,TARIFF_PROFILES!$A:$A,$X521))</f>
        <v/>
      </c>
      <c r="AA521" s="15">
        <f>IF($X521="","",SUMIFS(TARIFF_PROFILES!$F:$F,TARIFF_PROFILES!$A:$A,$X521))</f>
        <v/>
      </c>
      <c r="AB521" s="15">
        <f>IF($X521="","",SUMIFS(TARIFF_PROFILES!$G:$G,TARIFF_PROFILES!$A:$A,$X521))</f>
        <v/>
      </c>
      <c r="AC521" s="15">
        <f>IF($X521="","",SUMIFS(TARIFF_PROFILES!$H:$H,TARIFF_PROFILES!$A:$A,$X521))</f>
        <v/>
      </c>
      <c r="AD521" s="15">
        <f>IF($X521="","",INDEX(TARIFF_PROFILES!$J:$J,MATCH($X521,TARIFF_PROFILES!$A:$A,0)))</f>
        <v/>
      </c>
      <c r="AE521" s="15">
        <f>IF($X521="","",INDEX(TARIFF_PROFILES!$K:$K,MATCH($X521,TARIFF_PROFILES!$A:$A,0)))</f>
        <v/>
      </c>
      <c r="AH521">
        <f>IF($AG521="","",SUMIFS(OPERATING_COEFFS!$C:$C,OPERATING_COEFFS!$A:$A,"DistanceClass",OPERATING_COEFFS!$B:$B,$AG521))</f>
        <v/>
      </c>
      <c r="AJ521">
        <f>IF($AI521="","",SUMIFS(OPERATING_COEFFS!$C:$C,OPERATING_COEFFS!$A:$A,"SeasonClass",OPERATING_COEFFS!$B:$B,$AI521))</f>
        <v/>
      </c>
      <c r="AL521">
        <f>IF($AK521="","",SUMIFS(OPERATING_COEFFS!$C:$C,OPERATING_COEFFS!$A:$A,"UrgencyClass",OPERATING_COEFFS!$B:$B,$AK521))</f>
        <v/>
      </c>
      <c r="AN521">
        <f>IF($AM521="","",INDEX(TAX_MODES!$B:$B,MATCH($AM521,TAX_MODES!$A:$A,0)))</f>
        <v/>
      </c>
    </row>
    <row r="522">
      <c r="X522" s="15" t="n"/>
      <c r="Y522" s="15">
        <f>IF($X522="","",SUMIFS(TARIFF_PROFILES!$D:$D,TARIFF_PROFILES!$A:$A,$X522))</f>
        <v/>
      </c>
      <c r="Z522" s="15">
        <f>IF($X522="","",SUMIFS(TARIFF_PROFILES!$E:$E,TARIFF_PROFILES!$A:$A,$X522))</f>
        <v/>
      </c>
      <c r="AA522" s="15">
        <f>IF($X522="","",SUMIFS(TARIFF_PROFILES!$F:$F,TARIFF_PROFILES!$A:$A,$X522))</f>
        <v/>
      </c>
      <c r="AB522" s="15">
        <f>IF($X522="","",SUMIFS(TARIFF_PROFILES!$G:$G,TARIFF_PROFILES!$A:$A,$X522))</f>
        <v/>
      </c>
      <c r="AC522" s="15">
        <f>IF($X522="","",SUMIFS(TARIFF_PROFILES!$H:$H,TARIFF_PROFILES!$A:$A,$X522))</f>
        <v/>
      </c>
      <c r="AD522" s="15">
        <f>IF($X522="","",INDEX(TARIFF_PROFILES!$J:$J,MATCH($X522,TARIFF_PROFILES!$A:$A,0)))</f>
        <v/>
      </c>
      <c r="AE522" s="15">
        <f>IF($X522="","",INDEX(TARIFF_PROFILES!$K:$K,MATCH($X522,TARIFF_PROFILES!$A:$A,0)))</f>
        <v/>
      </c>
      <c r="AH522">
        <f>IF($AG522="","",SUMIFS(OPERATING_COEFFS!$C:$C,OPERATING_COEFFS!$A:$A,"DistanceClass",OPERATING_COEFFS!$B:$B,$AG522))</f>
        <v/>
      </c>
      <c r="AJ522">
        <f>IF($AI522="","",SUMIFS(OPERATING_COEFFS!$C:$C,OPERATING_COEFFS!$A:$A,"SeasonClass",OPERATING_COEFFS!$B:$B,$AI522))</f>
        <v/>
      </c>
      <c r="AL522">
        <f>IF($AK522="","",SUMIFS(OPERATING_COEFFS!$C:$C,OPERATING_COEFFS!$A:$A,"UrgencyClass",OPERATING_COEFFS!$B:$B,$AK522))</f>
        <v/>
      </c>
      <c r="AN522">
        <f>IF($AM522="","",INDEX(TAX_MODES!$B:$B,MATCH($AM522,TAX_MODES!$A:$A,0)))</f>
        <v/>
      </c>
    </row>
    <row r="523">
      <c r="X523" s="15" t="n"/>
      <c r="Y523" s="15">
        <f>IF($X523="","",SUMIFS(TARIFF_PROFILES!$D:$D,TARIFF_PROFILES!$A:$A,$X523))</f>
        <v/>
      </c>
      <c r="Z523" s="15">
        <f>IF($X523="","",SUMIFS(TARIFF_PROFILES!$E:$E,TARIFF_PROFILES!$A:$A,$X523))</f>
        <v/>
      </c>
      <c r="AA523" s="15">
        <f>IF($X523="","",SUMIFS(TARIFF_PROFILES!$F:$F,TARIFF_PROFILES!$A:$A,$X523))</f>
        <v/>
      </c>
      <c r="AB523" s="15">
        <f>IF($X523="","",SUMIFS(TARIFF_PROFILES!$G:$G,TARIFF_PROFILES!$A:$A,$X523))</f>
        <v/>
      </c>
      <c r="AC523" s="15">
        <f>IF($X523="","",SUMIFS(TARIFF_PROFILES!$H:$H,TARIFF_PROFILES!$A:$A,$X523))</f>
        <v/>
      </c>
      <c r="AD523" s="15">
        <f>IF($X523="","",INDEX(TARIFF_PROFILES!$J:$J,MATCH($X523,TARIFF_PROFILES!$A:$A,0)))</f>
        <v/>
      </c>
      <c r="AE523" s="15">
        <f>IF($X523="","",INDEX(TARIFF_PROFILES!$K:$K,MATCH($X523,TARIFF_PROFILES!$A:$A,0)))</f>
        <v/>
      </c>
      <c r="AH523">
        <f>IF($AG523="","",SUMIFS(OPERATING_COEFFS!$C:$C,OPERATING_COEFFS!$A:$A,"DistanceClass",OPERATING_COEFFS!$B:$B,$AG523))</f>
        <v/>
      </c>
      <c r="AJ523">
        <f>IF($AI523="","",SUMIFS(OPERATING_COEFFS!$C:$C,OPERATING_COEFFS!$A:$A,"SeasonClass",OPERATING_COEFFS!$B:$B,$AI523))</f>
        <v/>
      </c>
      <c r="AL523">
        <f>IF($AK523="","",SUMIFS(OPERATING_COEFFS!$C:$C,OPERATING_COEFFS!$A:$A,"UrgencyClass",OPERATING_COEFFS!$B:$B,$AK523))</f>
        <v/>
      </c>
      <c r="AN523">
        <f>IF($AM523="","",INDEX(TAX_MODES!$B:$B,MATCH($AM523,TAX_MODES!$A:$A,0)))</f>
        <v/>
      </c>
    </row>
    <row r="524">
      <c r="X524" s="15" t="n"/>
      <c r="Y524" s="15">
        <f>IF($X524="","",SUMIFS(TARIFF_PROFILES!$D:$D,TARIFF_PROFILES!$A:$A,$X524))</f>
        <v/>
      </c>
      <c r="Z524" s="15">
        <f>IF($X524="","",SUMIFS(TARIFF_PROFILES!$E:$E,TARIFF_PROFILES!$A:$A,$X524))</f>
        <v/>
      </c>
      <c r="AA524" s="15">
        <f>IF($X524="","",SUMIFS(TARIFF_PROFILES!$F:$F,TARIFF_PROFILES!$A:$A,$X524))</f>
        <v/>
      </c>
      <c r="AB524" s="15">
        <f>IF($X524="","",SUMIFS(TARIFF_PROFILES!$G:$G,TARIFF_PROFILES!$A:$A,$X524))</f>
        <v/>
      </c>
      <c r="AC524" s="15">
        <f>IF($X524="","",SUMIFS(TARIFF_PROFILES!$H:$H,TARIFF_PROFILES!$A:$A,$X524))</f>
        <v/>
      </c>
      <c r="AD524" s="15">
        <f>IF($X524="","",INDEX(TARIFF_PROFILES!$J:$J,MATCH($X524,TARIFF_PROFILES!$A:$A,0)))</f>
        <v/>
      </c>
      <c r="AE524" s="15">
        <f>IF($X524="","",INDEX(TARIFF_PROFILES!$K:$K,MATCH($X524,TARIFF_PROFILES!$A:$A,0)))</f>
        <v/>
      </c>
      <c r="AH524">
        <f>IF($AG524="","",SUMIFS(OPERATING_COEFFS!$C:$C,OPERATING_COEFFS!$A:$A,"DistanceClass",OPERATING_COEFFS!$B:$B,$AG524))</f>
        <v/>
      </c>
      <c r="AJ524">
        <f>IF($AI524="","",SUMIFS(OPERATING_COEFFS!$C:$C,OPERATING_COEFFS!$A:$A,"SeasonClass",OPERATING_COEFFS!$B:$B,$AI524))</f>
        <v/>
      </c>
      <c r="AL524">
        <f>IF($AK524="","",SUMIFS(OPERATING_COEFFS!$C:$C,OPERATING_COEFFS!$A:$A,"UrgencyClass",OPERATING_COEFFS!$B:$B,$AK524))</f>
        <v/>
      </c>
      <c r="AN524">
        <f>IF($AM524="","",INDEX(TAX_MODES!$B:$B,MATCH($AM524,TAX_MODES!$A:$A,0)))</f>
        <v/>
      </c>
    </row>
    <row r="525">
      <c r="X525" s="15" t="n"/>
      <c r="Y525" s="15">
        <f>IF($X525="","",SUMIFS(TARIFF_PROFILES!$D:$D,TARIFF_PROFILES!$A:$A,$X525))</f>
        <v/>
      </c>
      <c r="Z525" s="15">
        <f>IF($X525="","",SUMIFS(TARIFF_PROFILES!$E:$E,TARIFF_PROFILES!$A:$A,$X525))</f>
        <v/>
      </c>
      <c r="AA525" s="15">
        <f>IF($X525="","",SUMIFS(TARIFF_PROFILES!$F:$F,TARIFF_PROFILES!$A:$A,$X525))</f>
        <v/>
      </c>
      <c r="AB525" s="15">
        <f>IF($X525="","",SUMIFS(TARIFF_PROFILES!$G:$G,TARIFF_PROFILES!$A:$A,$X525))</f>
        <v/>
      </c>
      <c r="AC525" s="15">
        <f>IF($X525="","",SUMIFS(TARIFF_PROFILES!$H:$H,TARIFF_PROFILES!$A:$A,$X525))</f>
        <v/>
      </c>
      <c r="AD525" s="15">
        <f>IF($X525="","",INDEX(TARIFF_PROFILES!$J:$J,MATCH($X525,TARIFF_PROFILES!$A:$A,0)))</f>
        <v/>
      </c>
      <c r="AE525" s="15">
        <f>IF($X525="","",INDEX(TARIFF_PROFILES!$K:$K,MATCH($X525,TARIFF_PROFILES!$A:$A,0)))</f>
        <v/>
      </c>
      <c r="AH525">
        <f>IF($AG525="","",SUMIFS(OPERATING_COEFFS!$C:$C,OPERATING_COEFFS!$A:$A,"DistanceClass",OPERATING_COEFFS!$B:$B,$AG525))</f>
        <v/>
      </c>
      <c r="AJ525">
        <f>IF($AI525="","",SUMIFS(OPERATING_COEFFS!$C:$C,OPERATING_COEFFS!$A:$A,"SeasonClass",OPERATING_COEFFS!$B:$B,$AI525))</f>
        <v/>
      </c>
      <c r="AL525">
        <f>IF($AK525="","",SUMIFS(OPERATING_COEFFS!$C:$C,OPERATING_COEFFS!$A:$A,"UrgencyClass",OPERATING_COEFFS!$B:$B,$AK525))</f>
        <v/>
      </c>
      <c r="AN525">
        <f>IF($AM525="","",INDEX(TAX_MODES!$B:$B,MATCH($AM525,TAX_MODES!$A:$A,0)))</f>
        <v/>
      </c>
    </row>
    <row r="526">
      <c r="X526" s="15" t="n"/>
      <c r="Y526" s="15">
        <f>IF($X526="","",SUMIFS(TARIFF_PROFILES!$D:$D,TARIFF_PROFILES!$A:$A,$X526))</f>
        <v/>
      </c>
      <c r="Z526" s="15">
        <f>IF($X526="","",SUMIFS(TARIFF_PROFILES!$E:$E,TARIFF_PROFILES!$A:$A,$X526))</f>
        <v/>
      </c>
      <c r="AA526" s="15">
        <f>IF($X526="","",SUMIFS(TARIFF_PROFILES!$F:$F,TARIFF_PROFILES!$A:$A,$X526))</f>
        <v/>
      </c>
      <c r="AB526" s="15">
        <f>IF($X526="","",SUMIFS(TARIFF_PROFILES!$G:$G,TARIFF_PROFILES!$A:$A,$X526))</f>
        <v/>
      </c>
      <c r="AC526" s="15">
        <f>IF($X526="","",SUMIFS(TARIFF_PROFILES!$H:$H,TARIFF_PROFILES!$A:$A,$X526))</f>
        <v/>
      </c>
      <c r="AD526" s="15">
        <f>IF($X526="","",INDEX(TARIFF_PROFILES!$J:$J,MATCH($X526,TARIFF_PROFILES!$A:$A,0)))</f>
        <v/>
      </c>
      <c r="AE526" s="15">
        <f>IF($X526="","",INDEX(TARIFF_PROFILES!$K:$K,MATCH($X526,TARIFF_PROFILES!$A:$A,0)))</f>
        <v/>
      </c>
      <c r="AH526">
        <f>IF($AG526="","",SUMIFS(OPERATING_COEFFS!$C:$C,OPERATING_COEFFS!$A:$A,"DistanceClass",OPERATING_COEFFS!$B:$B,$AG526))</f>
        <v/>
      </c>
      <c r="AJ526">
        <f>IF($AI526="","",SUMIFS(OPERATING_COEFFS!$C:$C,OPERATING_COEFFS!$A:$A,"SeasonClass",OPERATING_COEFFS!$B:$B,$AI526))</f>
        <v/>
      </c>
      <c r="AL526">
        <f>IF($AK526="","",SUMIFS(OPERATING_COEFFS!$C:$C,OPERATING_COEFFS!$A:$A,"UrgencyClass",OPERATING_COEFFS!$B:$B,$AK526))</f>
        <v/>
      </c>
      <c r="AN526">
        <f>IF($AM526="","",INDEX(TAX_MODES!$B:$B,MATCH($AM526,TAX_MODES!$A:$A,0)))</f>
        <v/>
      </c>
    </row>
    <row r="527">
      <c r="X527" s="15" t="n"/>
      <c r="Y527" s="15">
        <f>IF($X527="","",SUMIFS(TARIFF_PROFILES!$D:$D,TARIFF_PROFILES!$A:$A,$X527))</f>
        <v/>
      </c>
      <c r="Z527" s="15">
        <f>IF($X527="","",SUMIFS(TARIFF_PROFILES!$E:$E,TARIFF_PROFILES!$A:$A,$X527))</f>
        <v/>
      </c>
      <c r="AA527" s="15">
        <f>IF($X527="","",SUMIFS(TARIFF_PROFILES!$F:$F,TARIFF_PROFILES!$A:$A,$X527))</f>
        <v/>
      </c>
      <c r="AB527" s="15">
        <f>IF($X527="","",SUMIFS(TARIFF_PROFILES!$G:$G,TARIFF_PROFILES!$A:$A,$X527))</f>
        <v/>
      </c>
      <c r="AC527" s="15">
        <f>IF($X527="","",SUMIFS(TARIFF_PROFILES!$H:$H,TARIFF_PROFILES!$A:$A,$X527))</f>
        <v/>
      </c>
      <c r="AD527" s="15">
        <f>IF($X527="","",INDEX(TARIFF_PROFILES!$J:$J,MATCH($X527,TARIFF_PROFILES!$A:$A,0)))</f>
        <v/>
      </c>
      <c r="AE527" s="15">
        <f>IF($X527="","",INDEX(TARIFF_PROFILES!$K:$K,MATCH($X527,TARIFF_PROFILES!$A:$A,0)))</f>
        <v/>
      </c>
      <c r="AH527">
        <f>IF($AG527="","",SUMIFS(OPERATING_COEFFS!$C:$C,OPERATING_COEFFS!$A:$A,"DistanceClass",OPERATING_COEFFS!$B:$B,$AG527))</f>
        <v/>
      </c>
      <c r="AJ527">
        <f>IF($AI527="","",SUMIFS(OPERATING_COEFFS!$C:$C,OPERATING_COEFFS!$A:$A,"SeasonClass",OPERATING_COEFFS!$B:$B,$AI527))</f>
        <v/>
      </c>
      <c r="AL527">
        <f>IF($AK527="","",SUMIFS(OPERATING_COEFFS!$C:$C,OPERATING_COEFFS!$A:$A,"UrgencyClass",OPERATING_COEFFS!$B:$B,$AK527))</f>
        <v/>
      </c>
      <c r="AN527">
        <f>IF($AM527="","",INDEX(TAX_MODES!$B:$B,MATCH($AM527,TAX_MODES!$A:$A,0)))</f>
        <v/>
      </c>
    </row>
    <row r="528">
      <c r="X528" s="15" t="n"/>
      <c r="Y528" s="15">
        <f>IF($X528="","",SUMIFS(TARIFF_PROFILES!$D:$D,TARIFF_PROFILES!$A:$A,$X528))</f>
        <v/>
      </c>
      <c r="Z528" s="15">
        <f>IF($X528="","",SUMIFS(TARIFF_PROFILES!$E:$E,TARIFF_PROFILES!$A:$A,$X528))</f>
        <v/>
      </c>
      <c r="AA528" s="15">
        <f>IF($X528="","",SUMIFS(TARIFF_PROFILES!$F:$F,TARIFF_PROFILES!$A:$A,$X528))</f>
        <v/>
      </c>
      <c r="AB528" s="15">
        <f>IF($X528="","",SUMIFS(TARIFF_PROFILES!$G:$G,TARIFF_PROFILES!$A:$A,$X528))</f>
        <v/>
      </c>
      <c r="AC528" s="15">
        <f>IF($X528="","",SUMIFS(TARIFF_PROFILES!$H:$H,TARIFF_PROFILES!$A:$A,$X528))</f>
        <v/>
      </c>
      <c r="AD528" s="15">
        <f>IF($X528="","",INDEX(TARIFF_PROFILES!$J:$J,MATCH($X528,TARIFF_PROFILES!$A:$A,0)))</f>
        <v/>
      </c>
      <c r="AE528" s="15">
        <f>IF($X528="","",INDEX(TARIFF_PROFILES!$K:$K,MATCH($X528,TARIFF_PROFILES!$A:$A,0)))</f>
        <v/>
      </c>
      <c r="AH528">
        <f>IF($AG528="","",SUMIFS(OPERATING_COEFFS!$C:$C,OPERATING_COEFFS!$A:$A,"DistanceClass",OPERATING_COEFFS!$B:$B,$AG528))</f>
        <v/>
      </c>
      <c r="AJ528">
        <f>IF($AI528="","",SUMIFS(OPERATING_COEFFS!$C:$C,OPERATING_COEFFS!$A:$A,"SeasonClass",OPERATING_COEFFS!$B:$B,$AI528))</f>
        <v/>
      </c>
      <c r="AL528">
        <f>IF($AK528="","",SUMIFS(OPERATING_COEFFS!$C:$C,OPERATING_COEFFS!$A:$A,"UrgencyClass",OPERATING_COEFFS!$B:$B,$AK528))</f>
        <v/>
      </c>
      <c r="AN528">
        <f>IF($AM528="","",INDEX(TAX_MODES!$B:$B,MATCH($AM528,TAX_MODES!$A:$A,0)))</f>
        <v/>
      </c>
    </row>
    <row r="529">
      <c r="X529" s="15" t="n"/>
      <c r="Y529" s="15">
        <f>IF($X529="","",SUMIFS(TARIFF_PROFILES!$D:$D,TARIFF_PROFILES!$A:$A,$X529))</f>
        <v/>
      </c>
      <c r="Z529" s="15">
        <f>IF($X529="","",SUMIFS(TARIFF_PROFILES!$E:$E,TARIFF_PROFILES!$A:$A,$X529))</f>
        <v/>
      </c>
      <c r="AA529" s="15">
        <f>IF($X529="","",SUMIFS(TARIFF_PROFILES!$F:$F,TARIFF_PROFILES!$A:$A,$X529))</f>
        <v/>
      </c>
      <c r="AB529" s="15">
        <f>IF($X529="","",SUMIFS(TARIFF_PROFILES!$G:$G,TARIFF_PROFILES!$A:$A,$X529))</f>
        <v/>
      </c>
      <c r="AC529" s="15">
        <f>IF($X529="","",SUMIFS(TARIFF_PROFILES!$H:$H,TARIFF_PROFILES!$A:$A,$X529))</f>
        <v/>
      </c>
      <c r="AD529" s="15">
        <f>IF($X529="","",INDEX(TARIFF_PROFILES!$J:$J,MATCH($X529,TARIFF_PROFILES!$A:$A,0)))</f>
        <v/>
      </c>
      <c r="AE529" s="15">
        <f>IF($X529="","",INDEX(TARIFF_PROFILES!$K:$K,MATCH($X529,TARIFF_PROFILES!$A:$A,0)))</f>
        <v/>
      </c>
      <c r="AH529">
        <f>IF($AG529="","",SUMIFS(OPERATING_COEFFS!$C:$C,OPERATING_COEFFS!$A:$A,"DistanceClass",OPERATING_COEFFS!$B:$B,$AG529))</f>
        <v/>
      </c>
      <c r="AJ529">
        <f>IF($AI529="","",SUMIFS(OPERATING_COEFFS!$C:$C,OPERATING_COEFFS!$A:$A,"SeasonClass",OPERATING_COEFFS!$B:$B,$AI529))</f>
        <v/>
      </c>
      <c r="AL529">
        <f>IF($AK529="","",SUMIFS(OPERATING_COEFFS!$C:$C,OPERATING_COEFFS!$A:$A,"UrgencyClass",OPERATING_COEFFS!$B:$B,$AK529))</f>
        <v/>
      </c>
      <c r="AN529">
        <f>IF($AM529="","",INDEX(TAX_MODES!$B:$B,MATCH($AM529,TAX_MODES!$A:$A,0)))</f>
        <v/>
      </c>
    </row>
    <row r="530">
      <c r="X530" s="15" t="n"/>
      <c r="Y530" s="15">
        <f>IF($X530="","",SUMIFS(TARIFF_PROFILES!$D:$D,TARIFF_PROFILES!$A:$A,$X530))</f>
        <v/>
      </c>
      <c r="Z530" s="15">
        <f>IF($X530="","",SUMIFS(TARIFF_PROFILES!$E:$E,TARIFF_PROFILES!$A:$A,$X530))</f>
        <v/>
      </c>
      <c r="AA530" s="15">
        <f>IF($X530="","",SUMIFS(TARIFF_PROFILES!$F:$F,TARIFF_PROFILES!$A:$A,$X530))</f>
        <v/>
      </c>
      <c r="AB530" s="15">
        <f>IF($X530="","",SUMIFS(TARIFF_PROFILES!$G:$G,TARIFF_PROFILES!$A:$A,$X530))</f>
        <v/>
      </c>
      <c r="AC530" s="15">
        <f>IF($X530="","",SUMIFS(TARIFF_PROFILES!$H:$H,TARIFF_PROFILES!$A:$A,$X530))</f>
        <v/>
      </c>
      <c r="AD530" s="15">
        <f>IF($X530="","",INDEX(TARIFF_PROFILES!$J:$J,MATCH($X530,TARIFF_PROFILES!$A:$A,0)))</f>
        <v/>
      </c>
      <c r="AE530" s="15">
        <f>IF($X530="","",INDEX(TARIFF_PROFILES!$K:$K,MATCH($X530,TARIFF_PROFILES!$A:$A,0)))</f>
        <v/>
      </c>
      <c r="AH530">
        <f>IF($AG530="","",SUMIFS(OPERATING_COEFFS!$C:$C,OPERATING_COEFFS!$A:$A,"DistanceClass",OPERATING_COEFFS!$B:$B,$AG530))</f>
        <v/>
      </c>
      <c r="AJ530">
        <f>IF($AI530="","",SUMIFS(OPERATING_COEFFS!$C:$C,OPERATING_COEFFS!$A:$A,"SeasonClass",OPERATING_COEFFS!$B:$B,$AI530))</f>
        <v/>
      </c>
      <c r="AL530">
        <f>IF($AK530="","",SUMIFS(OPERATING_COEFFS!$C:$C,OPERATING_COEFFS!$A:$A,"UrgencyClass",OPERATING_COEFFS!$B:$B,$AK530))</f>
        <v/>
      </c>
      <c r="AN530">
        <f>IF($AM530="","",INDEX(TAX_MODES!$B:$B,MATCH($AM530,TAX_MODES!$A:$A,0)))</f>
        <v/>
      </c>
    </row>
    <row r="531">
      <c r="X531" s="15" t="n"/>
      <c r="Y531" s="15">
        <f>IF($X531="","",SUMIFS(TARIFF_PROFILES!$D:$D,TARIFF_PROFILES!$A:$A,$X531))</f>
        <v/>
      </c>
      <c r="Z531" s="15">
        <f>IF($X531="","",SUMIFS(TARIFF_PROFILES!$E:$E,TARIFF_PROFILES!$A:$A,$X531))</f>
        <v/>
      </c>
      <c r="AA531" s="15">
        <f>IF($X531="","",SUMIFS(TARIFF_PROFILES!$F:$F,TARIFF_PROFILES!$A:$A,$X531))</f>
        <v/>
      </c>
      <c r="AB531" s="15">
        <f>IF($X531="","",SUMIFS(TARIFF_PROFILES!$G:$G,TARIFF_PROFILES!$A:$A,$X531))</f>
        <v/>
      </c>
      <c r="AC531" s="15">
        <f>IF($X531="","",SUMIFS(TARIFF_PROFILES!$H:$H,TARIFF_PROFILES!$A:$A,$X531))</f>
        <v/>
      </c>
      <c r="AD531" s="15">
        <f>IF($X531="","",INDEX(TARIFF_PROFILES!$J:$J,MATCH($X531,TARIFF_PROFILES!$A:$A,0)))</f>
        <v/>
      </c>
      <c r="AE531" s="15">
        <f>IF($X531="","",INDEX(TARIFF_PROFILES!$K:$K,MATCH($X531,TARIFF_PROFILES!$A:$A,0)))</f>
        <v/>
      </c>
      <c r="AH531">
        <f>IF($AG531="","",SUMIFS(OPERATING_COEFFS!$C:$C,OPERATING_COEFFS!$A:$A,"DistanceClass",OPERATING_COEFFS!$B:$B,$AG531))</f>
        <v/>
      </c>
      <c r="AJ531">
        <f>IF($AI531="","",SUMIFS(OPERATING_COEFFS!$C:$C,OPERATING_COEFFS!$A:$A,"SeasonClass",OPERATING_COEFFS!$B:$B,$AI531))</f>
        <v/>
      </c>
      <c r="AL531">
        <f>IF($AK531="","",SUMIFS(OPERATING_COEFFS!$C:$C,OPERATING_COEFFS!$A:$A,"UrgencyClass",OPERATING_COEFFS!$B:$B,$AK531))</f>
        <v/>
      </c>
      <c r="AN531">
        <f>IF($AM531="","",INDEX(TAX_MODES!$B:$B,MATCH($AM531,TAX_MODES!$A:$A,0)))</f>
        <v/>
      </c>
    </row>
    <row r="532">
      <c r="X532" s="15" t="n"/>
      <c r="Y532" s="15">
        <f>IF($X532="","",SUMIFS(TARIFF_PROFILES!$D:$D,TARIFF_PROFILES!$A:$A,$X532))</f>
        <v/>
      </c>
      <c r="Z532" s="15">
        <f>IF($X532="","",SUMIFS(TARIFF_PROFILES!$E:$E,TARIFF_PROFILES!$A:$A,$X532))</f>
        <v/>
      </c>
      <c r="AA532" s="15">
        <f>IF($X532="","",SUMIFS(TARIFF_PROFILES!$F:$F,TARIFF_PROFILES!$A:$A,$X532))</f>
        <v/>
      </c>
      <c r="AB532" s="15">
        <f>IF($X532="","",SUMIFS(TARIFF_PROFILES!$G:$G,TARIFF_PROFILES!$A:$A,$X532))</f>
        <v/>
      </c>
      <c r="AC532" s="15">
        <f>IF($X532="","",SUMIFS(TARIFF_PROFILES!$H:$H,TARIFF_PROFILES!$A:$A,$X532))</f>
        <v/>
      </c>
      <c r="AD532" s="15">
        <f>IF($X532="","",INDEX(TARIFF_PROFILES!$J:$J,MATCH($X532,TARIFF_PROFILES!$A:$A,0)))</f>
        <v/>
      </c>
      <c r="AE532" s="15">
        <f>IF($X532="","",INDEX(TARIFF_PROFILES!$K:$K,MATCH($X532,TARIFF_PROFILES!$A:$A,0)))</f>
        <v/>
      </c>
      <c r="AH532">
        <f>IF($AG532="","",SUMIFS(OPERATING_COEFFS!$C:$C,OPERATING_COEFFS!$A:$A,"DistanceClass",OPERATING_COEFFS!$B:$B,$AG532))</f>
        <v/>
      </c>
      <c r="AJ532">
        <f>IF($AI532="","",SUMIFS(OPERATING_COEFFS!$C:$C,OPERATING_COEFFS!$A:$A,"SeasonClass",OPERATING_COEFFS!$B:$B,$AI532))</f>
        <v/>
      </c>
      <c r="AL532">
        <f>IF($AK532="","",SUMIFS(OPERATING_COEFFS!$C:$C,OPERATING_COEFFS!$A:$A,"UrgencyClass",OPERATING_COEFFS!$B:$B,$AK532))</f>
        <v/>
      </c>
      <c r="AN532">
        <f>IF($AM532="","",INDEX(TAX_MODES!$B:$B,MATCH($AM532,TAX_MODES!$A:$A,0)))</f>
        <v/>
      </c>
    </row>
    <row r="533">
      <c r="X533" s="15" t="n"/>
      <c r="Y533" s="15">
        <f>IF($X533="","",SUMIFS(TARIFF_PROFILES!$D:$D,TARIFF_PROFILES!$A:$A,$X533))</f>
        <v/>
      </c>
      <c r="Z533" s="15">
        <f>IF($X533="","",SUMIFS(TARIFF_PROFILES!$E:$E,TARIFF_PROFILES!$A:$A,$X533))</f>
        <v/>
      </c>
      <c r="AA533" s="15">
        <f>IF($X533="","",SUMIFS(TARIFF_PROFILES!$F:$F,TARIFF_PROFILES!$A:$A,$X533))</f>
        <v/>
      </c>
      <c r="AB533" s="15">
        <f>IF($X533="","",SUMIFS(TARIFF_PROFILES!$G:$G,TARIFF_PROFILES!$A:$A,$X533))</f>
        <v/>
      </c>
      <c r="AC533" s="15">
        <f>IF($X533="","",SUMIFS(TARIFF_PROFILES!$H:$H,TARIFF_PROFILES!$A:$A,$X533))</f>
        <v/>
      </c>
      <c r="AD533" s="15">
        <f>IF($X533="","",INDEX(TARIFF_PROFILES!$J:$J,MATCH($X533,TARIFF_PROFILES!$A:$A,0)))</f>
        <v/>
      </c>
      <c r="AE533" s="15">
        <f>IF($X533="","",INDEX(TARIFF_PROFILES!$K:$K,MATCH($X533,TARIFF_PROFILES!$A:$A,0)))</f>
        <v/>
      </c>
      <c r="AH533">
        <f>IF($AG533="","",SUMIFS(OPERATING_COEFFS!$C:$C,OPERATING_COEFFS!$A:$A,"DistanceClass",OPERATING_COEFFS!$B:$B,$AG533))</f>
        <v/>
      </c>
      <c r="AJ533">
        <f>IF($AI533="","",SUMIFS(OPERATING_COEFFS!$C:$C,OPERATING_COEFFS!$A:$A,"SeasonClass",OPERATING_COEFFS!$B:$B,$AI533))</f>
        <v/>
      </c>
      <c r="AL533">
        <f>IF($AK533="","",SUMIFS(OPERATING_COEFFS!$C:$C,OPERATING_COEFFS!$A:$A,"UrgencyClass",OPERATING_COEFFS!$B:$B,$AK533))</f>
        <v/>
      </c>
      <c r="AN533">
        <f>IF($AM533="","",INDEX(TAX_MODES!$B:$B,MATCH($AM533,TAX_MODES!$A:$A,0)))</f>
        <v/>
      </c>
    </row>
    <row r="534">
      <c r="X534" s="15" t="n"/>
      <c r="Y534" s="15">
        <f>IF($X534="","",SUMIFS(TARIFF_PROFILES!$D:$D,TARIFF_PROFILES!$A:$A,$X534))</f>
        <v/>
      </c>
      <c r="Z534" s="15">
        <f>IF($X534="","",SUMIFS(TARIFF_PROFILES!$E:$E,TARIFF_PROFILES!$A:$A,$X534))</f>
        <v/>
      </c>
      <c r="AA534" s="15">
        <f>IF($X534="","",SUMIFS(TARIFF_PROFILES!$F:$F,TARIFF_PROFILES!$A:$A,$X534))</f>
        <v/>
      </c>
      <c r="AB534" s="15">
        <f>IF($X534="","",SUMIFS(TARIFF_PROFILES!$G:$G,TARIFF_PROFILES!$A:$A,$X534))</f>
        <v/>
      </c>
      <c r="AC534" s="15">
        <f>IF($X534="","",SUMIFS(TARIFF_PROFILES!$H:$H,TARIFF_PROFILES!$A:$A,$X534))</f>
        <v/>
      </c>
      <c r="AD534" s="15">
        <f>IF($X534="","",INDEX(TARIFF_PROFILES!$J:$J,MATCH($X534,TARIFF_PROFILES!$A:$A,0)))</f>
        <v/>
      </c>
      <c r="AE534" s="15">
        <f>IF($X534="","",INDEX(TARIFF_PROFILES!$K:$K,MATCH($X534,TARIFF_PROFILES!$A:$A,0)))</f>
        <v/>
      </c>
      <c r="AH534">
        <f>IF($AG534="","",SUMIFS(OPERATING_COEFFS!$C:$C,OPERATING_COEFFS!$A:$A,"DistanceClass",OPERATING_COEFFS!$B:$B,$AG534))</f>
        <v/>
      </c>
      <c r="AJ534">
        <f>IF($AI534="","",SUMIFS(OPERATING_COEFFS!$C:$C,OPERATING_COEFFS!$A:$A,"SeasonClass",OPERATING_COEFFS!$B:$B,$AI534))</f>
        <v/>
      </c>
      <c r="AL534">
        <f>IF($AK534="","",SUMIFS(OPERATING_COEFFS!$C:$C,OPERATING_COEFFS!$A:$A,"UrgencyClass",OPERATING_COEFFS!$B:$B,$AK534))</f>
        <v/>
      </c>
      <c r="AN534">
        <f>IF($AM534="","",INDEX(TAX_MODES!$B:$B,MATCH($AM534,TAX_MODES!$A:$A,0)))</f>
        <v/>
      </c>
    </row>
    <row r="535">
      <c r="X535" s="15" t="n"/>
      <c r="Y535" s="15">
        <f>IF($X535="","",SUMIFS(TARIFF_PROFILES!$D:$D,TARIFF_PROFILES!$A:$A,$X535))</f>
        <v/>
      </c>
      <c r="Z535" s="15">
        <f>IF($X535="","",SUMIFS(TARIFF_PROFILES!$E:$E,TARIFF_PROFILES!$A:$A,$X535))</f>
        <v/>
      </c>
      <c r="AA535" s="15">
        <f>IF($X535="","",SUMIFS(TARIFF_PROFILES!$F:$F,TARIFF_PROFILES!$A:$A,$X535))</f>
        <v/>
      </c>
      <c r="AB535" s="15">
        <f>IF($X535="","",SUMIFS(TARIFF_PROFILES!$G:$G,TARIFF_PROFILES!$A:$A,$X535))</f>
        <v/>
      </c>
      <c r="AC535" s="15">
        <f>IF($X535="","",SUMIFS(TARIFF_PROFILES!$H:$H,TARIFF_PROFILES!$A:$A,$X535))</f>
        <v/>
      </c>
      <c r="AD535" s="15">
        <f>IF($X535="","",INDEX(TARIFF_PROFILES!$J:$J,MATCH($X535,TARIFF_PROFILES!$A:$A,0)))</f>
        <v/>
      </c>
      <c r="AE535" s="15">
        <f>IF($X535="","",INDEX(TARIFF_PROFILES!$K:$K,MATCH($X535,TARIFF_PROFILES!$A:$A,0)))</f>
        <v/>
      </c>
      <c r="AH535">
        <f>IF($AG535="","",SUMIFS(OPERATING_COEFFS!$C:$C,OPERATING_COEFFS!$A:$A,"DistanceClass",OPERATING_COEFFS!$B:$B,$AG535))</f>
        <v/>
      </c>
      <c r="AJ535">
        <f>IF($AI535="","",SUMIFS(OPERATING_COEFFS!$C:$C,OPERATING_COEFFS!$A:$A,"SeasonClass",OPERATING_COEFFS!$B:$B,$AI535))</f>
        <v/>
      </c>
      <c r="AL535">
        <f>IF($AK535="","",SUMIFS(OPERATING_COEFFS!$C:$C,OPERATING_COEFFS!$A:$A,"UrgencyClass",OPERATING_COEFFS!$B:$B,$AK535))</f>
        <v/>
      </c>
      <c r="AN535">
        <f>IF($AM535="","",INDEX(TAX_MODES!$B:$B,MATCH($AM535,TAX_MODES!$A:$A,0)))</f>
        <v/>
      </c>
    </row>
    <row r="536">
      <c r="X536" s="15" t="n"/>
      <c r="Y536" s="15">
        <f>IF($X536="","",SUMIFS(TARIFF_PROFILES!$D:$D,TARIFF_PROFILES!$A:$A,$X536))</f>
        <v/>
      </c>
      <c r="Z536" s="15">
        <f>IF($X536="","",SUMIFS(TARIFF_PROFILES!$E:$E,TARIFF_PROFILES!$A:$A,$X536))</f>
        <v/>
      </c>
      <c r="AA536" s="15">
        <f>IF($X536="","",SUMIFS(TARIFF_PROFILES!$F:$F,TARIFF_PROFILES!$A:$A,$X536))</f>
        <v/>
      </c>
      <c r="AB536" s="15">
        <f>IF($X536="","",SUMIFS(TARIFF_PROFILES!$G:$G,TARIFF_PROFILES!$A:$A,$X536))</f>
        <v/>
      </c>
      <c r="AC536" s="15">
        <f>IF($X536="","",SUMIFS(TARIFF_PROFILES!$H:$H,TARIFF_PROFILES!$A:$A,$X536))</f>
        <v/>
      </c>
      <c r="AD536" s="15">
        <f>IF($X536="","",INDEX(TARIFF_PROFILES!$J:$J,MATCH($X536,TARIFF_PROFILES!$A:$A,0)))</f>
        <v/>
      </c>
      <c r="AE536" s="15">
        <f>IF($X536="","",INDEX(TARIFF_PROFILES!$K:$K,MATCH($X536,TARIFF_PROFILES!$A:$A,0)))</f>
        <v/>
      </c>
      <c r="AH536">
        <f>IF($AG536="","",SUMIFS(OPERATING_COEFFS!$C:$C,OPERATING_COEFFS!$A:$A,"DistanceClass",OPERATING_COEFFS!$B:$B,$AG536))</f>
        <v/>
      </c>
      <c r="AJ536">
        <f>IF($AI536="","",SUMIFS(OPERATING_COEFFS!$C:$C,OPERATING_COEFFS!$A:$A,"SeasonClass",OPERATING_COEFFS!$B:$B,$AI536))</f>
        <v/>
      </c>
      <c r="AL536">
        <f>IF($AK536="","",SUMIFS(OPERATING_COEFFS!$C:$C,OPERATING_COEFFS!$A:$A,"UrgencyClass",OPERATING_COEFFS!$B:$B,$AK536))</f>
        <v/>
      </c>
      <c r="AN536">
        <f>IF($AM536="","",INDEX(TAX_MODES!$B:$B,MATCH($AM536,TAX_MODES!$A:$A,0)))</f>
        <v/>
      </c>
    </row>
    <row r="537">
      <c r="X537" s="15" t="n"/>
      <c r="Y537" s="15">
        <f>IF($X537="","",SUMIFS(TARIFF_PROFILES!$D:$D,TARIFF_PROFILES!$A:$A,$X537))</f>
        <v/>
      </c>
      <c r="Z537" s="15">
        <f>IF($X537="","",SUMIFS(TARIFF_PROFILES!$E:$E,TARIFF_PROFILES!$A:$A,$X537))</f>
        <v/>
      </c>
      <c r="AA537" s="15">
        <f>IF($X537="","",SUMIFS(TARIFF_PROFILES!$F:$F,TARIFF_PROFILES!$A:$A,$X537))</f>
        <v/>
      </c>
      <c r="AB537" s="15">
        <f>IF($X537="","",SUMIFS(TARIFF_PROFILES!$G:$G,TARIFF_PROFILES!$A:$A,$X537))</f>
        <v/>
      </c>
      <c r="AC537" s="15">
        <f>IF($X537="","",SUMIFS(TARIFF_PROFILES!$H:$H,TARIFF_PROFILES!$A:$A,$X537))</f>
        <v/>
      </c>
      <c r="AD537" s="15">
        <f>IF($X537="","",INDEX(TARIFF_PROFILES!$J:$J,MATCH($X537,TARIFF_PROFILES!$A:$A,0)))</f>
        <v/>
      </c>
      <c r="AE537" s="15">
        <f>IF($X537="","",INDEX(TARIFF_PROFILES!$K:$K,MATCH($X537,TARIFF_PROFILES!$A:$A,0)))</f>
        <v/>
      </c>
      <c r="AH537">
        <f>IF($AG537="","",SUMIFS(OPERATING_COEFFS!$C:$C,OPERATING_COEFFS!$A:$A,"DistanceClass",OPERATING_COEFFS!$B:$B,$AG537))</f>
        <v/>
      </c>
      <c r="AJ537">
        <f>IF($AI537="","",SUMIFS(OPERATING_COEFFS!$C:$C,OPERATING_COEFFS!$A:$A,"SeasonClass",OPERATING_COEFFS!$B:$B,$AI537))</f>
        <v/>
      </c>
      <c r="AL537">
        <f>IF($AK537="","",SUMIFS(OPERATING_COEFFS!$C:$C,OPERATING_COEFFS!$A:$A,"UrgencyClass",OPERATING_COEFFS!$B:$B,$AK537))</f>
        <v/>
      </c>
      <c r="AN537">
        <f>IF($AM537="","",INDEX(TAX_MODES!$B:$B,MATCH($AM537,TAX_MODES!$A:$A,0)))</f>
        <v/>
      </c>
    </row>
    <row r="538">
      <c r="X538" s="15" t="n"/>
      <c r="Y538" s="15">
        <f>IF($X538="","",SUMIFS(TARIFF_PROFILES!$D:$D,TARIFF_PROFILES!$A:$A,$X538))</f>
        <v/>
      </c>
      <c r="Z538" s="15">
        <f>IF($X538="","",SUMIFS(TARIFF_PROFILES!$E:$E,TARIFF_PROFILES!$A:$A,$X538))</f>
        <v/>
      </c>
      <c r="AA538" s="15">
        <f>IF($X538="","",SUMIFS(TARIFF_PROFILES!$F:$F,TARIFF_PROFILES!$A:$A,$X538))</f>
        <v/>
      </c>
      <c r="AB538" s="15">
        <f>IF($X538="","",SUMIFS(TARIFF_PROFILES!$G:$G,TARIFF_PROFILES!$A:$A,$X538))</f>
        <v/>
      </c>
      <c r="AC538" s="15">
        <f>IF($X538="","",SUMIFS(TARIFF_PROFILES!$H:$H,TARIFF_PROFILES!$A:$A,$X538))</f>
        <v/>
      </c>
      <c r="AD538" s="15">
        <f>IF($X538="","",INDEX(TARIFF_PROFILES!$J:$J,MATCH($X538,TARIFF_PROFILES!$A:$A,0)))</f>
        <v/>
      </c>
      <c r="AE538" s="15">
        <f>IF($X538="","",INDEX(TARIFF_PROFILES!$K:$K,MATCH($X538,TARIFF_PROFILES!$A:$A,0)))</f>
        <v/>
      </c>
      <c r="AH538">
        <f>IF($AG538="","",SUMIFS(OPERATING_COEFFS!$C:$C,OPERATING_COEFFS!$A:$A,"DistanceClass",OPERATING_COEFFS!$B:$B,$AG538))</f>
        <v/>
      </c>
      <c r="AJ538">
        <f>IF($AI538="","",SUMIFS(OPERATING_COEFFS!$C:$C,OPERATING_COEFFS!$A:$A,"SeasonClass",OPERATING_COEFFS!$B:$B,$AI538))</f>
        <v/>
      </c>
      <c r="AL538">
        <f>IF($AK538="","",SUMIFS(OPERATING_COEFFS!$C:$C,OPERATING_COEFFS!$A:$A,"UrgencyClass",OPERATING_COEFFS!$B:$B,$AK538))</f>
        <v/>
      </c>
      <c r="AN538">
        <f>IF($AM538="","",INDEX(TAX_MODES!$B:$B,MATCH($AM538,TAX_MODES!$A:$A,0)))</f>
        <v/>
      </c>
    </row>
    <row r="539">
      <c r="X539" s="15" t="n"/>
      <c r="Y539" s="15">
        <f>IF($X539="","",SUMIFS(TARIFF_PROFILES!$D:$D,TARIFF_PROFILES!$A:$A,$X539))</f>
        <v/>
      </c>
      <c r="Z539" s="15">
        <f>IF($X539="","",SUMIFS(TARIFF_PROFILES!$E:$E,TARIFF_PROFILES!$A:$A,$X539))</f>
        <v/>
      </c>
      <c r="AA539" s="15">
        <f>IF($X539="","",SUMIFS(TARIFF_PROFILES!$F:$F,TARIFF_PROFILES!$A:$A,$X539))</f>
        <v/>
      </c>
      <c r="AB539" s="15">
        <f>IF($X539="","",SUMIFS(TARIFF_PROFILES!$G:$G,TARIFF_PROFILES!$A:$A,$X539))</f>
        <v/>
      </c>
      <c r="AC539" s="15">
        <f>IF($X539="","",SUMIFS(TARIFF_PROFILES!$H:$H,TARIFF_PROFILES!$A:$A,$X539))</f>
        <v/>
      </c>
      <c r="AD539" s="15">
        <f>IF($X539="","",INDEX(TARIFF_PROFILES!$J:$J,MATCH($X539,TARIFF_PROFILES!$A:$A,0)))</f>
        <v/>
      </c>
      <c r="AE539" s="15">
        <f>IF($X539="","",INDEX(TARIFF_PROFILES!$K:$K,MATCH($X539,TARIFF_PROFILES!$A:$A,0)))</f>
        <v/>
      </c>
      <c r="AH539">
        <f>IF($AG539="","",SUMIFS(OPERATING_COEFFS!$C:$C,OPERATING_COEFFS!$A:$A,"DistanceClass",OPERATING_COEFFS!$B:$B,$AG539))</f>
        <v/>
      </c>
      <c r="AJ539">
        <f>IF($AI539="","",SUMIFS(OPERATING_COEFFS!$C:$C,OPERATING_COEFFS!$A:$A,"SeasonClass",OPERATING_COEFFS!$B:$B,$AI539))</f>
        <v/>
      </c>
      <c r="AL539">
        <f>IF($AK539="","",SUMIFS(OPERATING_COEFFS!$C:$C,OPERATING_COEFFS!$A:$A,"UrgencyClass",OPERATING_COEFFS!$B:$B,$AK539))</f>
        <v/>
      </c>
      <c r="AN539">
        <f>IF($AM539="","",INDEX(TAX_MODES!$B:$B,MATCH($AM539,TAX_MODES!$A:$A,0)))</f>
        <v/>
      </c>
    </row>
    <row r="540">
      <c r="X540" s="15" t="n"/>
      <c r="Y540" s="15">
        <f>IF($X540="","",SUMIFS(TARIFF_PROFILES!$D:$D,TARIFF_PROFILES!$A:$A,$X540))</f>
        <v/>
      </c>
      <c r="Z540" s="15">
        <f>IF($X540="","",SUMIFS(TARIFF_PROFILES!$E:$E,TARIFF_PROFILES!$A:$A,$X540))</f>
        <v/>
      </c>
      <c r="AA540" s="15">
        <f>IF($X540="","",SUMIFS(TARIFF_PROFILES!$F:$F,TARIFF_PROFILES!$A:$A,$X540))</f>
        <v/>
      </c>
      <c r="AB540" s="15">
        <f>IF($X540="","",SUMIFS(TARIFF_PROFILES!$G:$G,TARIFF_PROFILES!$A:$A,$X540))</f>
        <v/>
      </c>
      <c r="AC540" s="15">
        <f>IF($X540="","",SUMIFS(TARIFF_PROFILES!$H:$H,TARIFF_PROFILES!$A:$A,$X540))</f>
        <v/>
      </c>
      <c r="AD540" s="15">
        <f>IF($X540="","",INDEX(TARIFF_PROFILES!$J:$J,MATCH($X540,TARIFF_PROFILES!$A:$A,0)))</f>
        <v/>
      </c>
      <c r="AE540" s="15">
        <f>IF($X540="","",INDEX(TARIFF_PROFILES!$K:$K,MATCH($X540,TARIFF_PROFILES!$A:$A,0)))</f>
        <v/>
      </c>
      <c r="AH540">
        <f>IF($AG540="","",SUMIFS(OPERATING_COEFFS!$C:$C,OPERATING_COEFFS!$A:$A,"DistanceClass",OPERATING_COEFFS!$B:$B,$AG540))</f>
        <v/>
      </c>
      <c r="AJ540">
        <f>IF($AI540="","",SUMIFS(OPERATING_COEFFS!$C:$C,OPERATING_COEFFS!$A:$A,"SeasonClass",OPERATING_COEFFS!$B:$B,$AI540))</f>
        <v/>
      </c>
      <c r="AL540">
        <f>IF($AK540="","",SUMIFS(OPERATING_COEFFS!$C:$C,OPERATING_COEFFS!$A:$A,"UrgencyClass",OPERATING_COEFFS!$B:$B,$AK540))</f>
        <v/>
      </c>
      <c r="AN540">
        <f>IF($AM540="","",INDEX(TAX_MODES!$B:$B,MATCH($AM540,TAX_MODES!$A:$A,0)))</f>
        <v/>
      </c>
    </row>
    <row r="541">
      <c r="X541" s="15" t="n"/>
      <c r="Y541" s="15">
        <f>IF($X541="","",SUMIFS(TARIFF_PROFILES!$D:$D,TARIFF_PROFILES!$A:$A,$X541))</f>
        <v/>
      </c>
      <c r="Z541" s="15">
        <f>IF($X541="","",SUMIFS(TARIFF_PROFILES!$E:$E,TARIFF_PROFILES!$A:$A,$X541))</f>
        <v/>
      </c>
      <c r="AA541" s="15">
        <f>IF($X541="","",SUMIFS(TARIFF_PROFILES!$F:$F,TARIFF_PROFILES!$A:$A,$X541))</f>
        <v/>
      </c>
      <c r="AB541" s="15">
        <f>IF($X541="","",SUMIFS(TARIFF_PROFILES!$G:$G,TARIFF_PROFILES!$A:$A,$X541))</f>
        <v/>
      </c>
      <c r="AC541" s="15">
        <f>IF($X541="","",SUMIFS(TARIFF_PROFILES!$H:$H,TARIFF_PROFILES!$A:$A,$X541))</f>
        <v/>
      </c>
      <c r="AD541" s="15">
        <f>IF($X541="","",INDEX(TARIFF_PROFILES!$J:$J,MATCH($X541,TARIFF_PROFILES!$A:$A,0)))</f>
        <v/>
      </c>
      <c r="AE541" s="15">
        <f>IF($X541="","",INDEX(TARIFF_PROFILES!$K:$K,MATCH($X541,TARIFF_PROFILES!$A:$A,0)))</f>
        <v/>
      </c>
      <c r="AH541">
        <f>IF($AG541="","",SUMIFS(OPERATING_COEFFS!$C:$C,OPERATING_COEFFS!$A:$A,"DistanceClass",OPERATING_COEFFS!$B:$B,$AG541))</f>
        <v/>
      </c>
      <c r="AJ541">
        <f>IF($AI541="","",SUMIFS(OPERATING_COEFFS!$C:$C,OPERATING_COEFFS!$A:$A,"SeasonClass",OPERATING_COEFFS!$B:$B,$AI541))</f>
        <v/>
      </c>
      <c r="AL541">
        <f>IF($AK541="","",SUMIFS(OPERATING_COEFFS!$C:$C,OPERATING_COEFFS!$A:$A,"UrgencyClass",OPERATING_COEFFS!$B:$B,$AK541))</f>
        <v/>
      </c>
      <c r="AN541">
        <f>IF($AM541="","",INDEX(TAX_MODES!$B:$B,MATCH($AM541,TAX_MODES!$A:$A,0)))</f>
        <v/>
      </c>
    </row>
    <row r="542">
      <c r="X542" s="15" t="n"/>
      <c r="Y542" s="15">
        <f>IF($X542="","",SUMIFS(TARIFF_PROFILES!$D:$D,TARIFF_PROFILES!$A:$A,$X542))</f>
        <v/>
      </c>
      <c r="Z542" s="15">
        <f>IF($X542="","",SUMIFS(TARIFF_PROFILES!$E:$E,TARIFF_PROFILES!$A:$A,$X542))</f>
        <v/>
      </c>
      <c r="AA542" s="15">
        <f>IF($X542="","",SUMIFS(TARIFF_PROFILES!$F:$F,TARIFF_PROFILES!$A:$A,$X542))</f>
        <v/>
      </c>
      <c r="AB542" s="15">
        <f>IF($X542="","",SUMIFS(TARIFF_PROFILES!$G:$G,TARIFF_PROFILES!$A:$A,$X542))</f>
        <v/>
      </c>
      <c r="AC542" s="15">
        <f>IF($X542="","",SUMIFS(TARIFF_PROFILES!$H:$H,TARIFF_PROFILES!$A:$A,$X542))</f>
        <v/>
      </c>
      <c r="AD542" s="15">
        <f>IF($X542="","",INDEX(TARIFF_PROFILES!$J:$J,MATCH($X542,TARIFF_PROFILES!$A:$A,0)))</f>
        <v/>
      </c>
      <c r="AE542" s="15">
        <f>IF($X542="","",INDEX(TARIFF_PROFILES!$K:$K,MATCH($X542,TARIFF_PROFILES!$A:$A,0)))</f>
        <v/>
      </c>
      <c r="AH542">
        <f>IF($AG542="","",SUMIFS(OPERATING_COEFFS!$C:$C,OPERATING_COEFFS!$A:$A,"DistanceClass",OPERATING_COEFFS!$B:$B,$AG542))</f>
        <v/>
      </c>
      <c r="AJ542">
        <f>IF($AI542="","",SUMIFS(OPERATING_COEFFS!$C:$C,OPERATING_COEFFS!$A:$A,"SeasonClass",OPERATING_COEFFS!$B:$B,$AI542))</f>
        <v/>
      </c>
      <c r="AL542">
        <f>IF($AK542="","",SUMIFS(OPERATING_COEFFS!$C:$C,OPERATING_COEFFS!$A:$A,"UrgencyClass",OPERATING_COEFFS!$B:$B,$AK542))</f>
        <v/>
      </c>
      <c r="AN542">
        <f>IF($AM542="","",INDEX(TAX_MODES!$B:$B,MATCH($AM542,TAX_MODES!$A:$A,0)))</f>
        <v/>
      </c>
    </row>
    <row r="543">
      <c r="X543" s="15" t="n"/>
      <c r="Y543" s="15">
        <f>IF($X543="","",SUMIFS(TARIFF_PROFILES!$D:$D,TARIFF_PROFILES!$A:$A,$X543))</f>
        <v/>
      </c>
      <c r="Z543" s="15">
        <f>IF($X543="","",SUMIFS(TARIFF_PROFILES!$E:$E,TARIFF_PROFILES!$A:$A,$X543))</f>
        <v/>
      </c>
      <c r="AA543" s="15">
        <f>IF($X543="","",SUMIFS(TARIFF_PROFILES!$F:$F,TARIFF_PROFILES!$A:$A,$X543))</f>
        <v/>
      </c>
      <c r="AB543" s="15">
        <f>IF($X543="","",SUMIFS(TARIFF_PROFILES!$G:$G,TARIFF_PROFILES!$A:$A,$X543))</f>
        <v/>
      </c>
      <c r="AC543" s="15">
        <f>IF($X543="","",SUMIFS(TARIFF_PROFILES!$H:$H,TARIFF_PROFILES!$A:$A,$X543))</f>
        <v/>
      </c>
      <c r="AD543" s="15">
        <f>IF($X543="","",INDEX(TARIFF_PROFILES!$J:$J,MATCH($X543,TARIFF_PROFILES!$A:$A,0)))</f>
        <v/>
      </c>
      <c r="AE543" s="15">
        <f>IF($X543="","",INDEX(TARIFF_PROFILES!$K:$K,MATCH($X543,TARIFF_PROFILES!$A:$A,0)))</f>
        <v/>
      </c>
      <c r="AH543">
        <f>IF($AG543="","",SUMIFS(OPERATING_COEFFS!$C:$C,OPERATING_COEFFS!$A:$A,"DistanceClass",OPERATING_COEFFS!$B:$B,$AG543))</f>
        <v/>
      </c>
      <c r="AJ543">
        <f>IF($AI543="","",SUMIFS(OPERATING_COEFFS!$C:$C,OPERATING_COEFFS!$A:$A,"SeasonClass",OPERATING_COEFFS!$B:$B,$AI543))</f>
        <v/>
      </c>
      <c r="AL543">
        <f>IF($AK543="","",SUMIFS(OPERATING_COEFFS!$C:$C,OPERATING_COEFFS!$A:$A,"UrgencyClass",OPERATING_COEFFS!$B:$B,$AK543))</f>
        <v/>
      </c>
      <c r="AN543">
        <f>IF($AM543="","",INDEX(TAX_MODES!$B:$B,MATCH($AM543,TAX_MODES!$A:$A,0)))</f>
        <v/>
      </c>
    </row>
    <row r="544">
      <c r="X544" s="15" t="n"/>
      <c r="Y544" s="15">
        <f>IF($X544="","",SUMIFS(TARIFF_PROFILES!$D:$D,TARIFF_PROFILES!$A:$A,$X544))</f>
        <v/>
      </c>
      <c r="Z544" s="15">
        <f>IF($X544="","",SUMIFS(TARIFF_PROFILES!$E:$E,TARIFF_PROFILES!$A:$A,$X544))</f>
        <v/>
      </c>
      <c r="AA544" s="15">
        <f>IF($X544="","",SUMIFS(TARIFF_PROFILES!$F:$F,TARIFF_PROFILES!$A:$A,$X544))</f>
        <v/>
      </c>
      <c r="AB544" s="15">
        <f>IF($X544="","",SUMIFS(TARIFF_PROFILES!$G:$G,TARIFF_PROFILES!$A:$A,$X544))</f>
        <v/>
      </c>
      <c r="AC544" s="15">
        <f>IF($X544="","",SUMIFS(TARIFF_PROFILES!$H:$H,TARIFF_PROFILES!$A:$A,$X544))</f>
        <v/>
      </c>
      <c r="AD544" s="15">
        <f>IF($X544="","",INDEX(TARIFF_PROFILES!$J:$J,MATCH($X544,TARIFF_PROFILES!$A:$A,0)))</f>
        <v/>
      </c>
      <c r="AE544" s="15">
        <f>IF($X544="","",INDEX(TARIFF_PROFILES!$K:$K,MATCH($X544,TARIFF_PROFILES!$A:$A,0)))</f>
        <v/>
      </c>
      <c r="AH544">
        <f>IF($AG544="","",SUMIFS(OPERATING_COEFFS!$C:$C,OPERATING_COEFFS!$A:$A,"DistanceClass",OPERATING_COEFFS!$B:$B,$AG544))</f>
        <v/>
      </c>
      <c r="AJ544">
        <f>IF($AI544="","",SUMIFS(OPERATING_COEFFS!$C:$C,OPERATING_COEFFS!$A:$A,"SeasonClass",OPERATING_COEFFS!$B:$B,$AI544))</f>
        <v/>
      </c>
      <c r="AL544">
        <f>IF($AK544="","",SUMIFS(OPERATING_COEFFS!$C:$C,OPERATING_COEFFS!$A:$A,"UrgencyClass",OPERATING_COEFFS!$B:$B,$AK544))</f>
        <v/>
      </c>
      <c r="AN544">
        <f>IF($AM544="","",INDEX(TAX_MODES!$B:$B,MATCH($AM544,TAX_MODES!$A:$A,0)))</f>
        <v/>
      </c>
    </row>
    <row r="545">
      <c r="X545" s="15" t="n"/>
      <c r="Y545" s="15">
        <f>IF($X545="","",SUMIFS(TARIFF_PROFILES!$D:$D,TARIFF_PROFILES!$A:$A,$X545))</f>
        <v/>
      </c>
      <c r="Z545" s="15">
        <f>IF($X545="","",SUMIFS(TARIFF_PROFILES!$E:$E,TARIFF_PROFILES!$A:$A,$X545))</f>
        <v/>
      </c>
      <c r="AA545" s="15">
        <f>IF($X545="","",SUMIFS(TARIFF_PROFILES!$F:$F,TARIFF_PROFILES!$A:$A,$X545))</f>
        <v/>
      </c>
      <c r="AB545" s="15">
        <f>IF($X545="","",SUMIFS(TARIFF_PROFILES!$G:$G,TARIFF_PROFILES!$A:$A,$X545))</f>
        <v/>
      </c>
      <c r="AC545" s="15">
        <f>IF($X545="","",SUMIFS(TARIFF_PROFILES!$H:$H,TARIFF_PROFILES!$A:$A,$X545))</f>
        <v/>
      </c>
      <c r="AD545" s="15">
        <f>IF($X545="","",INDEX(TARIFF_PROFILES!$J:$J,MATCH($X545,TARIFF_PROFILES!$A:$A,0)))</f>
        <v/>
      </c>
      <c r="AE545" s="15">
        <f>IF($X545="","",INDEX(TARIFF_PROFILES!$K:$K,MATCH($X545,TARIFF_PROFILES!$A:$A,0)))</f>
        <v/>
      </c>
      <c r="AH545">
        <f>IF($AG545="","",SUMIFS(OPERATING_COEFFS!$C:$C,OPERATING_COEFFS!$A:$A,"DistanceClass",OPERATING_COEFFS!$B:$B,$AG545))</f>
        <v/>
      </c>
      <c r="AJ545">
        <f>IF($AI545="","",SUMIFS(OPERATING_COEFFS!$C:$C,OPERATING_COEFFS!$A:$A,"SeasonClass",OPERATING_COEFFS!$B:$B,$AI545))</f>
        <v/>
      </c>
      <c r="AL545">
        <f>IF($AK545="","",SUMIFS(OPERATING_COEFFS!$C:$C,OPERATING_COEFFS!$A:$A,"UrgencyClass",OPERATING_COEFFS!$B:$B,$AK545))</f>
        <v/>
      </c>
      <c r="AN545">
        <f>IF($AM545="","",INDEX(TAX_MODES!$B:$B,MATCH($AM545,TAX_MODES!$A:$A,0)))</f>
        <v/>
      </c>
    </row>
    <row r="546">
      <c r="X546" s="15" t="n"/>
      <c r="Y546" s="15">
        <f>IF($X546="","",SUMIFS(TARIFF_PROFILES!$D:$D,TARIFF_PROFILES!$A:$A,$X546))</f>
        <v/>
      </c>
      <c r="Z546" s="15">
        <f>IF($X546="","",SUMIFS(TARIFF_PROFILES!$E:$E,TARIFF_PROFILES!$A:$A,$X546))</f>
        <v/>
      </c>
      <c r="AA546" s="15">
        <f>IF($X546="","",SUMIFS(TARIFF_PROFILES!$F:$F,TARIFF_PROFILES!$A:$A,$X546))</f>
        <v/>
      </c>
      <c r="AB546" s="15">
        <f>IF($X546="","",SUMIFS(TARIFF_PROFILES!$G:$G,TARIFF_PROFILES!$A:$A,$X546))</f>
        <v/>
      </c>
      <c r="AC546" s="15">
        <f>IF($X546="","",SUMIFS(TARIFF_PROFILES!$H:$H,TARIFF_PROFILES!$A:$A,$X546))</f>
        <v/>
      </c>
      <c r="AD546" s="15">
        <f>IF($X546="","",INDEX(TARIFF_PROFILES!$J:$J,MATCH($X546,TARIFF_PROFILES!$A:$A,0)))</f>
        <v/>
      </c>
      <c r="AE546" s="15">
        <f>IF($X546="","",INDEX(TARIFF_PROFILES!$K:$K,MATCH($X546,TARIFF_PROFILES!$A:$A,0)))</f>
        <v/>
      </c>
      <c r="AH546">
        <f>IF($AG546="","",SUMIFS(OPERATING_COEFFS!$C:$C,OPERATING_COEFFS!$A:$A,"DistanceClass",OPERATING_COEFFS!$B:$B,$AG546))</f>
        <v/>
      </c>
      <c r="AJ546">
        <f>IF($AI546="","",SUMIFS(OPERATING_COEFFS!$C:$C,OPERATING_COEFFS!$A:$A,"SeasonClass",OPERATING_COEFFS!$B:$B,$AI546))</f>
        <v/>
      </c>
      <c r="AL546">
        <f>IF($AK546="","",SUMIFS(OPERATING_COEFFS!$C:$C,OPERATING_COEFFS!$A:$A,"UrgencyClass",OPERATING_COEFFS!$B:$B,$AK546))</f>
        <v/>
      </c>
      <c r="AN546">
        <f>IF($AM546="","",INDEX(TAX_MODES!$B:$B,MATCH($AM546,TAX_MODES!$A:$A,0)))</f>
        <v/>
      </c>
    </row>
    <row r="547">
      <c r="X547" s="15" t="n"/>
      <c r="Y547" s="15">
        <f>IF($X547="","",SUMIFS(TARIFF_PROFILES!$D:$D,TARIFF_PROFILES!$A:$A,$X547))</f>
        <v/>
      </c>
      <c r="Z547" s="15">
        <f>IF($X547="","",SUMIFS(TARIFF_PROFILES!$E:$E,TARIFF_PROFILES!$A:$A,$X547))</f>
        <v/>
      </c>
      <c r="AA547" s="15">
        <f>IF($X547="","",SUMIFS(TARIFF_PROFILES!$F:$F,TARIFF_PROFILES!$A:$A,$X547))</f>
        <v/>
      </c>
      <c r="AB547" s="15">
        <f>IF($X547="","",SUMIFS(TARIFF_PROFILES!$G:$G,TARIFF_PROFILES!$A:$A,$X547))</f>
        <v/>
      </c>
      <c r="AC547" s="15">
        <f>IF($X547="","",SUMIFS(TARIFF_PROFILES!$H:$H,TARIFF_PROFILES!$A:$A,$X547))</f>
        <v/>
      </c>
      <c r="AD547" s="15">
        <f>IF($X547="","",INDEX(TARIFF_PROFILES!$J:$J,MATCH($X547,TARIFF_PROFILES!$A:$A,0)))</f>
        <v/>
      </c>
      <c r="AE547" s="15">
        <f>IF($X547="","",INDEX(TARIFF_PROFILES!$K:$K,MATCH($X547,TARIFF_PROFILES!$A:$A,0)))</f>
        <v/>
      </c>
      <c r="AH547">
        <f>IF($AG547="","",SUMIFS(OPERATING_COEFFS!$C:$C,OPERATING_COEFFS!$A:$A,"DistanceClass",OPERATING_COEFFS!$B:$B,$AG547))</f>
        <v/>
      </c>
      <c r="AJ547">
        <f>IF($AI547="","",SUMIFS(OPERATING_COEFFS!$C:$C,OPERATING_COEFFS!$A:$A,"SeasonClass",OPERATING_COEFFS!$B:$B,$AI547))</f>
        <v/>
      </c>
      <c r="AL547">
        <f>IF($AK547="","",SUMIFS(OPERATING_COEFFS!$C:$C,OPERATING_COEFFS!$A:$A,"UrgencyClass",OPERATING_COEFFS!$B:$B,$AK547))</f>
        <v/>
      </c>
      <c r="AN547">
        <f>IF($AM547="","",INDEX(TAX_MODES!$B:$B,MATCH($AM547,TAX_MODES!$A:$A,0)))</f>
        <v/>
      </c>
    </row>
    <row r="548">
      <c r="X548" s="15" t="n"/>
      <c r="Y548" s="15">
        <f>IF($X548="","",SUMIFS(TARIFF_PROFILES!$D:$D,TARIFF_PROFILES!$A:$A,$X548))</f>
        <v/>
      </c>
      <c r="Z548" s="15">
        <f>IF($X548="","",SUMIFS(TARIFF_PROFILES!$E:$E,TARIFF_PROFILES!$A:$A,$X548))</f>
        <v/>
      </c>
      <c r="AA548" s="15">
        <f>IF($X548="","",SUMIFS(TARIFF_PROFILES!$F:$F,TARIFF_PROFILES!$A:$A,$X548))</f>
        <v/>
      </c>
      <c r="AB548" s="15">
        <f>IF($X548="","",SUMIFS(TARIFF_PROFILES!$G:$G,TARIFF_PROFILES!$A:$A,$X548))</f>
        <v/>
      </c>
      <c r="AC548" s="15">
        <f>IF($X548="","",SUMIFS(TARIFF_PROFILES!$H:$H,TARIFF_PROFILES!$A:$A,$X548))</f>
        <v/>
      </c>
      <c r="AD548" s="15">
        <f>IF($X548="","",INDEX(TARIFF_PROFILES!$J:$J,MATCH($X548,TARIFF_PROFILES!$A:$A,0)))</f>
        <v/>
      </c>
      <c r="AE548" s="15">
        <f>IF($X548="","",INDEX(TARIFF_PROFILES!$K:$K,MATCH($X548,TARIFF_PROFILES!$A:$A,0)))</f>
        <v/>
      </c>
      <c r="AH548">
        <f>IF($AG548="","",SUMIFS(OPERATING_COEFFS!$C:$C,OPERATING_COEFFS!$A:$A,"DistanceClass",OPERATING_COEFFS!$B:$B,$AG548))</f>
        <v/>
      </c>
      <c r="AJ548">
        <f>IF($AI548="","",SUMIFS(OPERATING_COEFFS!$C:$C,OPERATING_COEFFS!$A:$A,"SeasonClass",OPERATING_COEFFS!$B:$B,$AI548))</f>
        <v/>
      </c>
      <c r="AL548">
        <f>IF($AK548="","",SUMIFS(OPERATING_COEFFS!$C:$C,OPERATING_COEFFS!$A:$A,"UrgencyClass",OPERATING_COEFFS!$B:$B,$AK548))</f>
        <v/>
      </c>
      <c r="AN548">
        <f>IF($AM548="","",INDEX(TAX_MODES!$B:$B,MATCH($AM548,TAX_MODES!$A:$A,0)))</f>
        <v/>
      </c>
    </row>
    <row r="549">
      <c r="X549" s="15" t="n"/>
      <c r="Y549" s="15">
        <f>IF($X549="","",SUMIFS(TARIFF_PROFILES!$D:$D,TARIFF_PROFILES!$A:$A,$X549))</f>
        <v/>
      </c>
      <c r="Z549" s="15">
        <f>IF($X549="","",SUMIFS(TARIFF_PROFILES!$E:$E,TARIFF_PROFILES!$A:$A,$X549))</f>
        <v/>
      </c>
      <c r="AA549" s="15">
        <f>IF($X549="","",SUMIFS(TARIFF_PROFILES!$F:$F,TARIFF_PROFILES!$A:$A,$X549))</f>
        <v/>
      </c>
      <c r="AB549" s="15">
        <f>IF($X549="","",SUMIFS(TARIFF_PROFILES!$G:$G,TARIFF_PROFILES!$A:$A,$X549))</f>
        <v/>
      </c>
      <c r="AC549" s="15">
        <f>IF($X549="","",SUMIFS(TARIFF_PROFILES!$H:$H,TARIFF_PROFILES!$A:$A,$X549))</f>
        <v/>
      </c>
      <c r="AD549" s="15">
        <f>IF($X549="","",INDEX(TARIFF_PROFILES!$J:$J,MATCH($X549,TARIFF_PROFILES!$A:$A,0)))</f>
        <v/>
      </c>
      <c r="AE549" s="15">
        <f>IF($X549="","",INDEX(TARIFF_PROFILES!$K:$K,MATCH($X549,TARIFF_PROFILES!$A:$A,0)))</f>
        <v/>
      </c>
      <c r="AH549">
        <f>IF($AG549="","",SUMIFS(OPERATING_COEFFS!$C:$C,OPERATING_COEFFS!$A:$A,"DistanceClass",OPERATING_COEFFS!$B:$B,$AG549))</f>
        <v/>
      </c>
      <c r="AJ549">
        <f>IF($AI549="","",SUMIFS(OPERATING_COEFFS!$C:$C,OPERATING_COEFFS!$A:$A,"SeasonClass",OPERATING_COEFFS!$B:$B,$AI549))</f>
        <v/>
      </c>
      <c r="AL549">
        <f>IF($AK549="","",SUMIFS(OPERATING_COEFFS!$C:$C,OPERATING_COEFFS!$A:$A,"UrgencyClass",OPERATING_COEFFS!$B:$B,$AK549))</f>
        <v/>
      </c>
      <c r="AN549">
        <f>IF($AM549="","",INDEX(TAX_MODES!$B:$B,MATCH($AM549,TAX_MODES!$A:$A,0)))</f>
        <v/>
      </c>
    </row>
    <row r="550">
      <c r="X550" s="15" t="n"/>
      <c r="Y550" s="15">
        <f>IF($X550="","",SUMIFS(TARIFF_PROFILES!$D:$D,TARIFF_PROFILES!$A:$A,$X550))</f>
        <v/>
      </c>
      <c r="Z550" s="15">
        <f>IF($X550="","",SUMIFS(TARIFF_PROFILES!$E:$E,TARIFF_PROFILES!$A:$A,$X550))</f>
        <v/>
      </c>
      <c r="AA550" s="15">
        <f>IF($X550="","",SUMIFS(TARIFF_PROFILES!$F:$F,TARIFF_PROFILES!$A:$A,$X550))</f>
        <v/>
      </c>
      <c r="AB550" s="15">
        <f>IF($X550="","",SUMIFS(TARIFF_PROFILES!$G:$G,TARIFF_PROFILES!$A:$A,$X550))</f>
        <v/>
      </c>
      <c r="AC550" s="15">
        <f>IF($X550="","",SUMIFS(TARIFF_PROFILES!$H:$H,TARIFF_PROFILES!$A:$A,$X550))</f>
        <v/>
      </c>
      <c r="AD550" s="15">
        <f>IF($X550="","",INDEX(TARIFF_PROFILES!$J:$J,MATCH($X550,TARIFF_PROFILES!$A:$A,0)))</f>
        <v/>
      </c>
      <c r="AE550" s="15">
        <f>IF($X550="","",INDEX(TARIFF_PROFILES!$K:$K,MATCH($X550,TARIFF_PROFILES!$A:$A,0)))</f>
        <v/>
      </c>
      <c r="AH550">
        <f>IF($AG550="","",SUMIFS(OPERATING_COEFFS!$C:$C,OPERATING_COEFFS!$A:$A,"DistanceClass",OPERATING_COEFFS!$B:$B,$AG550))</f>
        <v/>
      </c>
      <c r="AJ550">
        <f>IF($AI550="","",SUMIFS(OPERATING_COEFFS!$C:$C,OPERATING_COEFFS!$A:$A,"SeasonClass",OPERATING_COEFFS!$B:$B,$AI550))</f>
        <v/>
      </c>
      <c r="AL550">
        <f>IF($AK550="","",SUMIFS(OPERATING_COEFFS!$C:$C,OPERATING_COEFFS!$A:$A,"UrgencyClass",OPERATING_COEFFS!$B:$B,$AK550))</f>
        <v/>
      </c>
      <c r="AN550">
        <f>IF($AM550="","",INDEX(TAX_MODES!$B:$B,MATCH($AM550,TAX_MODES!$A:$A,0)))</f>
        <v/>
      </c>
    </row>
    <row r="551">
      <c r="X551" s="15" t="n"/>
      <c r="Y551" s="15">
        <f>IF($X551="","",SUMIFS(TARIFF_PROFILES!$D:$D,TARIFF_PROFILES!$A:$A,$X551))</f>
        <v/>
      </c>
      <c r="Z551" s="15">
        <f>IF($X551="","",SUMIFS(TARIFF_PROFILES!$E:$E,TARIFF_PROFILES!$A:$A,$X551))</f>
        <v/>
      </c>
      <c r="AA551" s="15">
        <f>IF($X551="","",SUMIFS(TARIFF_PROFILES!$F:$F,TARIFF_PROFILES!$A:$A,$X551))</f>
        <v/>
      </c>
      <c r="AB551" s="15">
        <f>IF($X551="","",SUMIFS(TARIFF_PROFILES!$G:$G,TARIFF_PROFILES!$A:$A,$X551))</f>
        <v/>
      </c>
      <c r="AC551" s="15">
        <f>IF($X551="","",SUMIFS(TARIFF_PROFILES!$H:$H,TARIFF_PROFILES!$A:$A,$X551))</f>
        <v/>
      </c>
      <c r="AD551" s="15">
        <f>IF($X551="","",INDEX(TARIFF_PROFILES!$J:$J,MATCH($X551,TARIFF_PROFILES!$A:$A,0)))</f>
        <v/>
      </c>
      <c r="AE551" s="15">
        <f>IF($X551="","",INDEX(TARIFF_PROFILES!$K:$K,MATCH($X551,TARIFF_PROFILES!$A:$A,0)))</f>
        <v/>
      </c>
      <c r="AH551">
        <f>IF($AG551="","",SUMIFS(OPERATING_COEFFS!$C:$C,OPERATING_COEFFS!$A:$A,"DistanceClass",OPERATING_COEFFS!$B:$B,$AG551))</f>
        <v/>
      </c>
      <c r="AJ551">
        <f>IF($AI551="","",SUMIFS(OPERATING_COEFFS!$C:$C,OPERATING_COEFFS!$A:$A,"SeasonClass",OPERATING_COEFFS!$B:$B,$AI551))</f>
        <v/>
      </c>
      <c r="AL551">
        <f>IF($AK551="","",SUMIFS(OPERATING_COEFFS!$C:$C,OPERATING_COEFFS!$A:$A,"UrgencyClass",OPERATING_COEFFS!$B:$B,$AK551))</f>
        <v/>
      </c>
      <c r="AN551">
        <f>IF($AM551="","",INDEX(TAX_MODES!$B:$B,MATCH($AM551,TAX_MODES!$A:$A,0)))</f>
        <v/>
      </c>
    </row>
    <row r="552">
      <c r="X552" s="15" t="n"/>
      <c r="Y552" s="15">
        <f>IF($X552="","",SUMIFS(TARIFF_PROFILES!$D:$D,TARIFF_PROFILES!$A:$A,$X552))</f>
        <v/>
      </c>
      <c r="Z552" s="15">
        <f>IF($X552="","",SUMIFS(TARIFF_PROFILES!$E:$E,TARIFF_PROFILES!$A:$A,$X552))</f>
        <v/>
      </c>
      <c r="AA552" s="15">
        <f>IF($X552="","",SUMIFS(TARIFF_PROFILES!$F:$F,TARIFF_PROFILES!$A:$A,$X552))</f>
        <v/>
      </c>
      <c r="AB552" s="15">
        <f>IF($X552="","",SUMIFS(TARIFF_PROFILES!$G:$G,TARIFF_PROFILES!$A:$A,$X552))</f>
        <v/>
      </c>
      <c r="AC552" s="15">
        <f>IF($X552="","",SUMIFS(TARIFF_PROFILES!$H:$H,TARIFF_PROFILES!$A:$A,$X552))</f>
        <v/>
      </c>
      <c r="AD552" s="15">
        <f>IF($X552="","",INDEX(TARIFF_PROFILES!$J:$J,MATCH($X552,TARIFF_PROFILES!$A:$A,0)))</f>
        <v/>
      </c>
      <c r="AE552" s="15">
        <f>IF($X552="","",INDEX(TARIFF_PROFILES!$K:$K,MATCH($X552,TARIFF_PROFILES!$A:$A,0)))</f>
        <v/>
      </c>
      <c r="AH552">
        <f>IF($AG552="","",SUMIFS(OPERATING_COEFFS!$C:$C,OPERATING_COEFFS!$A:$A,"DistanceClass",OPERATING_COEFFS!$B:$B,$AG552))</f>
        <v/>
      </c>
      <c r="AJ552">
        <f>IF($AI552="","",SUMIFS(OPERATING_COEFFS!$C:$C,OPERATING_COEFFS!$A:$A,"SeasonClass",OPERATING_COEFFS!$B:$B,$AI552))</f>
        <v/>
      </c>
      <c r="AL552">
        <f>IF($AK552="","",SUMIFS(OPERATING_COEFFS!$C:$C,OPERATING_COEFFS!$A:$A,"UrgencyClass",OPERATING_COEFFS!$B:$B,$AK552))</f>
        <v/>
      </c>
      <c r="AN552">
        <f>IF($AM552="","",INDEX(TAX_MODES!$B:$B,MATCH($AM552,TAX_MODES!$A:$A,0)))</f>
        <v/>
      </c>
    </row>
    <row r="553">
      <c r="X553" s="15" t="n"/>
      <c r="Y553" s="15">
        <f>IF($X553="","",SUMIFS(TARIFF_PROFILES!$D:$D,TARIFF_PROFILES!$A:$A,$X553))</f>
        <v/>
      </c>
      <c r="Z553" s="15">
        <f>IF($X553="","",SUMIFS(TARIFF_PROFILES!$E:$E,TARIFF_PROFILES!$A:$A,$X553))</f>
        <v/>
      </c>
      <c r="AA553" s="15">
        <f>IF($X553="","",SUMIFS(TARIFF_PROFILES!$F:$F,TARIFF_PROFILES!$A:$A,$X553))</f>
        <v/>
      </c>
      <c r="AB553" s="15">
        <f>IF($X553="","",SUMIFS(TARIFF_PROFILES!$G:$G,TARIFF_PROFILES!$A:$A,$X553))</f>
        <v/>
      </c>
      <c r="AC553" s="15">
        <f>IF($X553="","",SUMIFS(TARIFF_PROFILES!$H:$H,TARIFF_PROFILES!$A:$A,$X553))</f>
        <v/>
      </c>
      <c r="AD553" s="15">
        <f>IF($X553="","",INDEX(TARIFF_PROFILES!$J:$J,MATCH($X553,TARIFF_PROFILES!$A:$A,0)))</f>
        <v/>
      </c>
      <c r="AE553" s="15">
        <f>IF($X553="","",INDEX(TARIFF_PROFILES!$K:$K,MATCH($X553,TARIFF_PROFILES!$A:$A,0)))</f>
        <v/>
      </c>
      <c r="AH553">
        <f>IF($AG553="","",SUMIFS(OPERATING_COEFFS!$C:$C,OPERATING_COEFFS!$A:$A,"DistanceClass",OPERATING_COEFFS!$B:$B,$AG553))</f>
        <v/>
      </c>
      <c r="AJ553">
        <f>IF($AI553="","",SUMIFS(OPERATING_COEFFS!$C:$C,OPERATING_COEFFS!$A:$A,"SeasonClass",OPERATING_COEFFS!$B:$B,$AI553))</f>
        <v/>
      </c>
      <c r="AL553">
        <f>IF($AK553="","",SUMIFS(OPERATING_COEFFS!$C:$C,OPERATING_COEFFS!$A:$A,"UrgencyClass",OPERATING_COEFFS!$B:$B,$AK553))</f>
        <v/>
      </c>
      <c r="AN553">
        <f>IF($AM553="","",INDEX(TAX_MODES!$B:$B,MATCH($AM553,TAX_MODES!$A:$A,0)))</f>
        <v/>
      </c>
    </row>
    <row r="554">
      <c r="X554" s="15" t="n"/>
      <c r="Y554" s="15">
        <f>IF($X554="","",SUMIFS(TARIFF_PROFILES!$D:$D,TARIFF_PROFILES!$A:$A,$X554))</f>
        <v/>
      </c>
      <c r="Z554" s="15">
        <f>IF($X554="","",SUMIFS(TARIFF_PROFILES!$E:$E,TARIFF_PROFILES!$A:$A,$X554))</f>
        <v/>
      </c>
      <c r="AA554" s="15">
        <f>IF($X554="","",SUMIFS(TARIFF_PROFILES!$F:$F,TARIFF_PROFILES!$A:$A,$X554))</f>
        <v/>
      </c>
      <c r="AB554" s="15">
        <f>IF($X554="","",SUMIFS(TARIFF_PROFILES!$G:$G,TARIFF_PROFILES!$A:$A,$X554))</f>
        <v/>
      </c>
      <c r="AC554" s="15">
        <f>IF($X554="","",SUMIFS(TARIFF_PROFILES!$H:$H,TARIFF_PROFILES!$A:$A,$X554))</f>
        <v/>
      </c>
      <c r="AD554" s="15">
        <f>IF($X554="","",INDEX(TARIFF_PROFILES!$J:$J,MATCH($X554,TARIFF_PROFILES!$A:$A,0)))</f>
        <v/>
      </c>
      <c r="AE554" s="15">
        <f>IF($X554="","",INDEX(TARIFF_PROFILES!$K:$K,MATCH($X554,TARIFF_PROFILES!$A:$A,0)))</f>
        <v/>
      </c>
      <c r="AH554">
        <f>IF($AG554="","",SUMIFS(OPERATING_COEFFS!$C:$C,OPERATING_COEFFS!$A:$A,"DistanceClass",OPERATING_COEFFS!$B:$B,$AG554))</f>
        <v/>
      </c>
      <c r="AJ554">
        <f>IF($AI554="","",SUMIFS(OPERATING_COEFFS!$C:$C,OPERATING_COEFFS!$A:$A,"SeasonClass",OPERATING_COEFFS!$B:$B,$AI554))</f>
        <v/>
      </c>
      <c r="AL554">
        <f>IF($AK554="","",SUMIFS(OPERATING_COEFFS!$C:$C,OPERATING_COEFFS!$A:$A,"UrgencyClass",OPERATING_COEFFS!$B:$B,$AK554))</f>
        <v/>
      </c>
      <c r="AN554">
        <f>IF($AM554="","",INDEX(TAX_MODES!$B:$B,MATCH($AM554,TAX_MODES!$A:$A,0)))</f>
        <v/>
      </c>
    </row>
    <row r="555">
      <c r="X555" s="15" t="n"/>
      <c r="Y555" s="15">
        <f>IF($X555="","",SUMIFS(TARIFF_PROFILES!$D:$D,TARIFF_PROFILES!$A:$A,$X555))</f>
        <v/>
      </c>
      <c r="Z555" s="15">
        <f>IF($X555="","",SUMIFS(TARIFF_PROFILES!$E:$E,TARIFF_PROFILES!$A:$A,$X555))</f>
        <v/>
      </c>
      <c r="AA555" s="15">
        <f>IF($X555="","",SUMIFS(TARIFF_PROFILES!$F:$F,TARIFF_PROFILES!$A:$A,$X555))</f>
        <v/>
      </c>
      <c r="AB555" s="15">
        <f>IF($X555="","",SUMIFS(TARIFF_PROFILES!$G:$G,TARIFF_PROFILES!$A:$A,$X555))</f>
        <v/>
      </c>
      <c r="AC555" s="15">
        <f>IF($X555="","",SUMIFS(TARIFF_PROFILES!$H:$H,TARIFF_PROFILES!$A:$A,$X555))</f>
        <v/>
      </c>
      <c r="AD555" s="15">
        <f>IF($X555="","",INDEX(TARIFF_PROFILES!$J:$J,MATCH($X555,TARIFF_PROFILES!$A:$A,0)))</f>
        <v/>
      </c>
      <c r="AE555" s="15">
        <f>IF($X555="","",INDEX(TARIFF_PROFILES!$K:$K,MATCH($X555,TARIFF_PROFILES!$A:$A,0)))</f>
        <v/>
      </c>
      <c r="AH555">
        <f>IF($AG555="","",SUMIFS(OPERATING_COEFFS!$C:$C,OPERATING_COEFFS!$A:$A,"DistanceClass",OPERATING_COEFFS!$B:$B,$AG555))</f>
        <v/>
      </c>
      <c r="AJ555">
        <f>IF($AI555="","",SUMIFS(OPERATING_COEFFS!$C:$C,OPERATING_COEFFS!$A:$A,"SeasonClass",OPERATING_COEFFS!$B:$B,$AI555))</f>
        <v/>
      </c>
      <c r="AL555">
        <f>IF($AK555="","",SUMIFS(OPERATING_COEFFS!$C:$C,OPERATING_COEFFS!$A:$A,"UrgencyClass",OPERATING_COEFFS!$B:$B,$AK555))</f>
        <v/>
      </c>
      <c r="AN555">
        <f>IF($AM555="","",INDEX(TAX_MODES!$B:$B,MATCH($AM555,TAX_MODES!$A:$A,0)))</f>
        <v/>
      </c>
    </row>
    <row r="556">
      <c r="X556" s="15" t="n"/>
      <c r="Y556" s="15">
        <f>IF($X556="","",SUMIFS(TARIFF_PROFILES!$D:$D,TARIFF_PROFILES!$A:$A,$X556))</f>
        <v/>
      </c>
      <c r="Z556" s="15">
        <f>IF($X556="","",SUMIFS(TARIFF_PROFILES!$E:$E,TARIFF_PROFILES!$A:$A,$X556))</f>
        <v/>
      </c>
      <c r="AA556" s="15">
        <f>IF($X556="","",SUMIFS(TARIFF_PROFILES!$F:$F,TARIFF_PROFILES!$A:$A,$X556))</f>
        <v/>
      </c>
      <c r="AB556" s="15">
        <f>IF($X556="","",SUMIFS(TARIFF_PROFILES!$G:$G,TARIFF_PROFILES!$A:$A,$X556))</f>
        <v/>
      </c>
      <c r="AC556" s="15">
        <f>IF($X556="","",SUMIFS(TARIFF_PROFILES!$H:$H,TARIFF_PROFILES!$A:$A,$X556))</f>
        <v/>
      </c>
      <c r="AD556" s="15">
        <f>IF($X556="","",INDEX(TARIFF_PROFILES!$J:$J,MATCH($X556,TARIFF_PROFILES!$A:$A,0)))</f>
        <v/>
      </c>
      <c r="AE556" s="15">
        <f>IF($X556="","",INDEX(TARIFF_PROFILES!$K:$K,MATCH($X556,TARIFF_PROFILES!$A:$A,0)))</f>
        <v/>
      </c>
      <c r="AH556">
        <f>IF($AG556="","",SUMIFS(OPERATING_COEFFS!$C:$C,OPERATING_COEFFS!$A:$A,"DistanceClass",OPERATING_COEFFS!$B:$B,$AG556))</f>
        <v/>
      </c>
      <c r="AJ556">
        <f>IF($AI556="","",SUMIFS(OPERATING_COEFFS!$C:$C,OPERATING_COEFFS!$A:$A,"SeasonClass",OPERATING_COEFFS!$B:$B,$AI556))</f>
        <v/>
      </c>
      <c r="AL556">
        <f>IF($AK556="","",SUMIFS(OPERATING_COEFFS!$C:$C,OPERATING_COEFFS!$A:$A,"UrgencyClass",OPERATING_COEFFS!$B:$B,$AK556))</f>
        <v/>
      </c>
      <c r="AN556">
        <f>IF($AM556="","",INDEX(TAX_MODES!$B:$B,MATCH($AM556,TAX_MODES!$A:$A,0)))</f>
        <v/>
      </c>
    </row>
    <row r="557">
      <c r="X557" s="15" t="n"/>
      <c r="Y557" s="15">
        <f>IF($X557="","",SUMIFS(TARIFF_PROFILES!$D:$D,TARIFF_PROFILES!$A:$A,$X557))</f>
        <v/>
      </c>
      <c r="Z557" s="15">
        <f>IF($X557="","",SUMIFS(TARIFF_PROFILES!$E:$E,TARIFF_PROFILES!$A:$A,$X557))</f>
        <v/>
      </c>
      <c r="AA557" s="15">
        <f>IF($X557="","",SUMIFS(TARIFF_PROFILES!$F:$F,TARIFF_PROFILES!$A:$A,$X557))</f>
        <v/>
      </c>
      <c r="AB557" s="15">
        <f>IF($X557="","",SUMIFS(TARIFF_PROFILES!$G:$G,TARIFF_PROFILES!$A:$A,$X557))</f>
        <v/>
      </c>
      <c r="AC557" s="15">
        <f>IF($X557="","",SUMIFS(TARIFF_PROFILES!$H:$H,TARIFF_PROFILES!$A:$A,$X557))</f>
        <v/>
      </c>
      <c r="AD557" s="15">
        <f>IF($X557="","",INDEX(TARIFF_PROFILES!$J:$J,MATCH($X557,TARIFF_PROFILES!$A:$A,0)))</f>
        <v/>
      </c>
      <c r="AE557" s="15">
        <f>IF($X557="","",INDEX(TARIFF_PROFILES!$K:$K,MATCH($X557,TARIFF_PROFILES!$A:$A,0)))</f>
        <v/>
      </c>
      <c r="AH557">
        <f>IF($AG557="","",SUMIFS(OPERATING_COEFFS!$C:$C,OPERATING_COEFFS!$A:$A,"DistanceClass",OPERATING_COEFFS!$B:$B,$AG557))</f>
        <v/>
      </c>
      <c r="AJ557">
        <f>IF($AI557="","",SUMIFS(OPERATING_COEFFS!$C:$C,OPERATING_COEFFS!$A:$A,"SeasonClass",OPERATING_COEFFS!$B:$B,$AI557))</f>
        <v/>
      </c>
      <c r="AL557">
        <f>IF($AK557="","",SUMIFS(OPERATING_COEFFS!$C:$C,OPERATING_COEFFS!$A:$A,"UrgencyClass",OPERATING_COEFFS!$B:$B,$AK557))</f>
        <v/>
      </c>
      <c r="AN557">
        <f>IF($AM557="","",INDEX(TAX_MODES!$B:$B,MATCH($AM557,TAX_MODES!$A:$A,0)))</f>
        <v/>
      </c>
    </row>
    <row r="558">
      <c r="X558" s="15" t="n"/>
      <c r="Y558" s="15">
        <f>IF($X558="","",SUMIFS(TARIFF_PROFILES!$D:$D,TARIFF_PROFILES!$A:$A,$X558))</f>
        <v/>
      </c>
      <c r="Z558" s="15">
        <f>IF($X558="","",SUMIFS(TARIFF_PROFILES!$E:$E,TARIFF_PROFILES!$A:$A,$X558))</f>
        <v/>
      </c>
      <c r="AA558" s="15">
        <f>IF($X558="","",SUMIFS(TARIFF_PROFILES!$F:$F,TARIFF_PROFILES!$A:$A,$X558))</f>
        <v/>
      </c>
      <c r="AB558" s="15">
        <f>IF($X558="","",SUMIFS(TARIFF_PROFILES!$G:$G,TARIFF_PROFILES!$A:$A,$X558))</f>
        <v/>
      </c>
      <c r="AC558" s="15">
        <f>IF($X558="","",SUMIFS(TARIFF_PROFILES!$H:$H,TARIFF_PROFILES!$A:$A,$X558))</f>
        <v/>
      </c>
      <c r="AD558" s="15">
        <f>IF($X558="","",INDEX(TARIFF_PROFILES!$J:$J,MATCH($X558,TARIFF_PROFILES!$A:$A,0)))</f>
        <v/>
      </c>
      <c r="AE558" s="15">
        <f>IF($X558="","",INDEX(TARIFF_PROFILES!$K:$K,MATCH($X558,TARIFF_PROFILES!$A:$A,0)))</f>
        <v/>
      </c>
      <c r="AH558">
        <f>IF($AG558="","",SUMIFS(OPERATING_COEFFS!$C:$C,OPERATING_COEFFS!$A:$A,"DistanceClass",OPERATING_COEFFS!$B:$B,$AG558))</f>
        <v/>
      </c>
      <c r="AJ558">
        <f>IF($AI558="","",SUMIFS(OPERATING_COEFFS!$C:$C,OPERATING_COEFFS!$A:$A,"SeasonClass",OPERATING_COEFFS!$B:$B,$AI558))</f>
        <v/>
      </c>
      <c r="AL558">
        <f>IF($AK558="","",SUMIFS(OPERATING_COEFFS!$C:$C,OPERATING_COEFFS!$A:$A,"UrgencyClass",OPERATING_COEFFS!$B:$B,$AK558))</f>
        <v/>
      </c>
      <c r="AN558">
        <f>IF($AM558="","",INDEX(TAX_MODES!$B:$B,MATCH($AM558,TAX_MODES!$A:$A,0)))</f>
        <v/>
      </c>
    </row>
    <row r="559">
      <c r="X559" s="15" t="n"/>
      <c r="Y559" s="15">
        <f>IF($X559="","",SUMIFS(TARIFF_PROFILES!$D:$D,TARIFF_PROFILES!$A:$A,$X559))</f>
        <v/>
      </c>
      <c r="Z559" s="15">
        <f>IF($X559="","",SUMIFS(TARIFF_PROFILES!$E:$E,TARIFF_PROFILES!$A:$A,$X559))</f>
        <v/>
      </c>
      <c r="AA559" s="15">
        <f>IF($X559="","",SUMIFS(TARIFF_PROFILES!$F:$F,TARIFF_PROFILES!$A:$A,$X559))</f>
        <v/>
      </c>
      <c r="AB559" s="15">
        <f>IF($X559="","",SUMIFS(TARIFF_PROFILES!$G:$G,TARIFF_PROFILES!$A:$A,$X559))</f>
        <v/>
      </c>
      <c r="AC559" s="15">
        <f>IF($X559="","",SUMIFS(TARIFF_PROFILES!$H:$H,TARIFF_PROFILES!$A:$A,$X559))</f>
        <v/>
      </c>
      <c r="AD559" s="15">
        <f>IF($X559="","",INDEX(TARIFF_PROFILES!$J:$J,MATCH($X559,TARIFF_PROFILES!$A:$A,0)))</f>
        <v/>
      </c>
      <c r="AE559" s="15">
        <f>IF($X559="","",INDEX(TARIFF_PROFILES!$K:$K,MATCH($X559,TARIFF_PROFILES!$A:$A,0)))</f>
        <v/>
      </c>
      <c r="AH559">
        <f>IF($AG559="","",SUMIFS(OPERATING_COEFFS!$C:$C,OPERATING_COEFFS!$A:$A,"DistanceClass",OPERATING_COEFFS!$B:$B,$AG559))</f>
        <v/>
      </c>
      <c r="AJ559">
        <f>IF($AI559="","",SUMIFS(OPERATING_COEFFS!$C:$C,OPERATING_COEFFS!$A:$A,"SeasonClass",OPERATING_COEFFS!$B:$B,$AI559))</f>
        <v/>
      </c>
      <c r="AL559">
        <f>IF($AK559="","",SUMIFS(OPERATING_COEFFS!$C:$C,OPERATING_COEFFS!$A:$A,"UrgencyClass",OPERATING_COEFFS!$B:$B,$AK559))</f>
        <v/>
      </c>
      <c r="AN559">
        <f>IF($AM559="","",INDEX(TAX_MODES!$B:$B,MATCH($AM559,TAX_MODES!$A:$A,0)))</f>
        <v/>
      </c>
    </row>
    <row r="560">
      <c r="X560" s="15" t="n"/>
      <c r="Y560" s="15">
        <f>IF($X560="","",SUMIFS(TARIFF_PROFILES!$D:$D,TARIFF_PROFILES!$A:$A,$X560))</f>
        <v/>
      </c>
      <c r="Z560" s="15">
        <f>IF($X560="","",SUMIFS(TARIFF_PROFILES!$E:$E,TARIFF_PROFILES!$A:$A,$X560))</f>
        <v/>
      </c>
      <c r="AA560" s="15">
        <f>IF($X560="","",SUMIFS(TARIFF_PROFILES!$F:$F,TARIFF_PROFILES!$A:$A,$X560))</f>
        <v/>
      </c>
      <c r="AB560" s="15">
        <f>IF($X560="","",SUMIFS(TARIFF_PROFILES!$G:$G,TARIFF_PROFILES!$A:$A,$X560))</f>
        <v/>
      </c>
      <c r="AC560" s="15">
        <f>IF($X560="","",SUMIFS(TARIFF_PROFILES!$H:$H,TARIFF_PROFILES!$A:$A,$X560))</f>
        <v/>
      </c>
      <c r="AD560" s="15">
        <f>IF($X560="","",INDEX(TARIFF_PROFILES!$J:$J,MATCH($X560,TARIFF_PROFILES!$A:$A,0)))</f>
        <v/>
      </c>
      <c r="AE560" s="15">
        <f>IF($X560="","",INDEX(TARIFF_PROFILES!$K:$K,MATCH($X560,TARIFF_PROFILES!$A:$A,0)))</f>
        <v/>
      </c>
      <c r="AH560">
        <f>IF($AG560="","",SUMIFS(OPERATING_COEFFS!$C:$C,OPERATING_COEFFS!$A:$A,"DistanceClass",OPERATING_COEFFS!$B:$B,$AG560))</f>
        <v/>
      </c>
      <c r="AJ560">
        <f>IF($AI560="","",SUMIFS(OPERATING_COEFFS!$C:$C,OPERATING_COEFFS!$A:$A,"SeasonClass",OPERATING_COEFFS!$B:$B,$AI560))</f>
        <v/>
      </c>
      <c r="AL560">
        <f>IF($AK560="","",SUMIFS(OPERATING_COEFFS!$C:$C,OPERATING_COEFFS!$A:$A,"UrgencyClass",OPERATING_COEFFS!$B:$B,$AK560))</f>
        <v/>
      </c>
      <c r="AN560">
        <f>IF($AM560="","",INDEX(TAX_MODES!$B:$B,MATCH($AM560,TAX_MODES!$A:$A,0)))</f>
        <v/>
      </c>
    </row>
    <row r="561">
      <c r="X561" s="15" t="n"/>
      <c r="Y561" s="15">
        <f>IF($X561="","",SUMIFS(TARIFF_PROFILES!$D:$D,TARIFF_PROFILES!$A:$A,$X561))</f>
        <v/>
      </c>
      <c r="Z561" s="15">
        <f>IF($X561="","",SUMIFS(TARIFF_PROFILES!$E:$E,TARIFF_PROFILES!$A:$A,$X561))</f>
        <v/>
      </c>
      <c r="AA561" s="15">
        <f>IF($X561="","",SUMIFS(TARIFF_PROFILES!$F:$F,TARIFF_PROFILES!$A:$A,$X561))</f>
        <v/>
      </c>
      <c r="AB561" s="15">
        <f>IF($X561="","",SUMIFS(TARIFF_PROFILES!$G:$G,TARIFF_PROFILES!$A:$A,$X561))</f>
        <v/>
      </c>
      <c r="AC561" s="15">
        <f>IF($X561="","",SUMIFS(TARIFF_PROFILES!$H:$H,TARIFF_PROFILES!$A:$A,$X561))</f>
        <v/>
      </c>
      <c r="AD561" s="15">
        <f>IF($X561="","",INDEX(TARIFF_PROFILES!$J:$J,MATCH($X561,TARIFF_PROFILES!$A:$A,0)))</f>
        <v/>
      </c>
      <c r="AE561" s="15">
        <f>IF($X561="","",INDEX(TARIFF_PROFILES!$K:$K,MATCH($X561,TARIFF_PROFILES!$A:$A,0)))</f>
        <v/>
      </c>
      <c r="AH561">
        <f>IF($AG561="","",SUMIFS(OPERATING_COEFFS!$C:$C,OPERATING_COEFFS!$A:$A,"DistanceClass",OPERATING_COEFFS!$B:$B,$AG561))</f>
        <v/>
      </c>
      <c r="AJ561">
        <f>IF($AI561="","",SUMIFS(OPERATING_COEFFS!$C:$C,OPERATING_COEFFS!$A:$A,"SeasonClass",OPERATING_COEFFS!$B:$B,$AI561))</f>
        <v/>
      </c>
      <c r="AL561">
        <f>IF($AK561="","",SUMIFS(OPERATING_COEFFS!$C:$C,OPERATING_COEFFS!$A:$A,"UrgencyClass",OPERATING_COEFFS!$B:$B,$AK561))</f>
        <v/>
      </c>
      <c r="AN561">
        <f>IF($AM561="","",INDEX(TAX_MODES!$B:$B,MATCH($AM561,TAX_MODES!$A:$A,0)))</f>
        <v/>
      </c>
    </row>
    <row r="562">
      <c r="X562" s="15" t="n"/>
      <c r="Y562" s="15">
        <f>IF($X562="","",SUMIFS(TARIFF_PROFILES!$D:$D,TARIFF_PROFILES!$A:$A,$X562))</f>
        <v/>
      </c>
      <c r="Z562" s="15">
        <f>IF($X562="","",SUMIFS(TARIFF_PROFILES!$E:$E,TARIFF_PROFILES!$A:$A,$X562))</f>
        <v/>
      </c>
      <c r="AA562" s="15">
        <f>IF($X562="","",SUMIFS(TARIFF_PROFILES!$F:$F,TARIFF_PROFILES!$A:$A,$X562))</f>
        <v/>
      </c>
      <c r="AB562" s="15">
        <f>IF($X562="","",SUMIFS(TARIFF_PROFILES!$G:$G,TARIFF_PROFILES!$A:$A,$X562))</f>
        <v/>
      </c>
      <c r="AC562" s="15">
        <f>IF($X562="","",SUMIFS(TARIFF_PROFILES!$H:$H,TARIFF_PROFILES!$A:$A,$X562))</f>
        <v/>
      </c>
      <c r="AD562" s="15">
        <f>IF($X562="","",INDEX(TARIFF_PROFILES!$J:$J,MATCH($X562,TARIFF_PROFILES!$A:$A,0)))</f>
        <v/>
      </c>
      <c r="AE562" s="15">
        <f>IF($X562="","",INDEX(TARIFF_PROFILES!$K:$K,MATCH($X562,TARIFF_PROFILES!$A:$A,0)))</f>
        <v/>
      </c>
      <c r="AH562">
        <f>IF($AG562="","",SUMIFS(OPERATING_COEFFS!$C:$C,OPERATING_COEFFS!$A:$A,"DistanceClass",OPERATING_COEFFS!$B:$B,$AG562))</f>
        <v/>
      </c>
      <c r="AJ562">
        <f>IF($AI562="","",SUMIFS(OPERATING_COEFFS!$C:$C,OPERATING_COEFFS!$A:$A,"SeasonClass",OPERATING_COEFFS!$B:$B,$AI562))</f>
        <v/>
      </c>
      <c r="AL562">
        <f>IF($AK562="","",SUMIFS(OPERATING_COEFFS!$C:$C,OPERATING_COEFFS!$A:$A,"UrgencyClass",OPERATING_COEFFS!$B:$B,$AK562))</f>
        <v/>
      </c>
      <c r="AN562">
        <f>IF($AM562="","",INDEX(TAX_MODES!$B:$B,MATCH($AM562,TAX_MODES!$A:$A,0)))</f>
        <v/>
      </c>
    </row>
    <row r="563">
      <c r="X563" s="15" t="n"/>
      <c r="Y563" s="15">
        <f>IF($X563="","",SUMIFS(TARIFF_PROFILES!$D:$D,TARIFF_PROFILES!$A:$A,$X563))</f>
        <v/>
      </c>
      <c r="Z563" s="15">
        <f>IF($X563="","",SUMIFS(TARIFF_PROFILES!$E:$E,TARIFF_PROFILES!$A:$A,$X563))</f>
        <v/>
      </c>
      <c r="AA563" s="15">
        <f>IF($X563="","",SUMIFS(TARIFF_PROFILES!$F:$F,TARIFF_PROFILES!$A:$A,$X563))</f>
        <v/>
      </c>
      <c r="AB563" s="15">
        <f>IF($X563="","",SUMIFS(TARIFF_PROFILES!$G:$G,TARIFF_PROFILES!$A:$A,$X563))</f>
        <v/>
      </c>
      <c r="AC563" s="15">
        <f>IF($X563="","",SUMIFS(TARIFF_PROFILES!$H:$H,TARIFF_PROFILES!$A:$A,$X563))</f>
        <v/>
      </c>
      <c r="AD563" s="15">
        <f>IF($X563="","",INDEX(TARIFF_PROFILES!$J:$J,MATCH($X563,TARIFF_PROFILES!$A:$A,0)))</f>
        <v/>
      </c>
      <c r="AE563" s="15">
        <f>IF($X563="","",INDEX(TARIFF_PROFILES!$K:$K,MATCH($X563,TARIFF_PROFILES!$A:$A,0)))</f>
        <v/>
      </c>
      <c r="AH563">
        <f>IF($AG563="","",SUMIFS(OPERATING_COEFFS!$C:$C,OPERATING_COEFFS!$A:$A,"DistanceClass",OPERATING_COEFFS!$B:$B,$AG563))</f>
        <v/>
      </c>
      <c r="AJ563">
        <f>IF($AI563="","",SUMIFS(OPERATING_COEFFS!$C:$C,OPERATING_COEFFS!$A:$A,"SeasonClass",OPERATING_COEFFS!$B:$B,$AI563))</f>
        <v/>
      </c>
      <c r="AL563">
        <f>IF($AK563="","",SUMIFS(OPERATING_COEFFS!$C:$C,OPERATING_COEFFS!$A:$A,"UrgencyClass",OPERATING_COEFFS!$B:$B,$AK563))</f>
        <v/>
      </c>
      <c r="AN563">
        <f>IF($AM563="","",INDEX(TAX_MODES!$B:$B,MATCH($AM563,TAX_MODES!$A:$A,0)))</f>
        <v/>
      </c>
    </row>
    <row r="564">
      <c r="X564" s="15" t="n"/>
      <c r="Y564" s="15">
        <f>IF($X564="","",SUMIFS(TARIFF_PROFILES!$D:$D,TARIFF_PROFILES!$A:$A,$X564))</f>
        <v/>
      </c>
      <c r="Z564" s="15">
        <f>IF($X564="","",SUMIFS(TARIFF_PROFILES!$E:$E,TARIFF_PROFILES!$A:$A,$X564))</f>
        <v/>
      </c>
      <c r="AA564" s="15">
        <f>IF($X564="","",SUMIFS(TARIFF_PROFILES!$F:$F,TARIFF_PROFILES!$A:$A,$X564))</f>
        <v/>
      </c>
      <c r="AB564" s="15">
        <f>IF($X564="","",SUMIFS(TARIFF_PROFILES!$G:$G,TARIFF_PROFILES!$A:$A,$X564))</f>
        <v/>
      </c>
      <c r="AC564" s="15">
        <f>IF($X564="","",SUMIFS(TARIFF_PROFILES!$H:$H,TARIFF_PROFILES!$A:$A,$X564))</f>
        <v/>
      </c>
      <c r="AD564" s="15">
        <f>IF($X564="","",INDEX(TARIFF_PROFILES!$J:$J,MATCH($X564,TARIFF_PROFILES!$A:$A,0)))</f>
        <v/>
      </c>
      <c r="AE564" s="15">
        <f>IF($X564="","",INDEX(TARIFF_PROFILES!$K:$K,MATCH($X564,TARIFF_PROFILES!$A:$A,0)))</f>
        <v/>
      </c>
      <c r="AH564">
        <f>IF($AG564="","",SUMIFS(OPERATING_COEFFS!$C:$C,OPERATING_COEFFS!$A:$A,"DistanceClass",OPERATING_COEFFS!$B:$B,$AG564))</f>
        <v/>
      </c>
      <c r="AJ564">
        <f>IF($AI564="","",SUMIFS(OPERATING_COEFFS!$C:$C,OPERATING_COEFFS!$A:$A,"SeasonClass",OPERATING_COEFFS!$B:$B,$AI564))</f>
        <v/>
      </c>
      <c r="AL564">
        <f>IF($AK564="","",SUMIFS(OPERATING_COEFFS!$C:$C,OPERATING_COEFFS!$A:$A,"UrgencyClass",OPERATING_COEFFS!$B:$B,$AK564))</f>
        <v/>
      </c>
      <c r="AN564">
        <f>IF($AM564="","",INDEX(TAX_MODES!$B:$B,MATCH($AM564,TAX_MODES!$A:$A,0)))</f>
        <v/>
      </c>
    </row>
    <row r="565">
      <c r="X565" s="15" t="n"/>
      <c r="Y565" s="15">
        <f>IF($X565="","",SUMIFS(TARIFF_PROFILES!$D:$D,TARIFF_PROFILES!$A:$A,$X565))</f>
        <v/>
      </c>
      <c r="Z565" s="15">
        <f>IF($X565="","",SUMIFS(TARIFF_PROFILES!$E:$E,TARIFF_PROFILES!$A:$A,$X565))</f>
        <v/>
      </c>
      <c r="AA565" s="15">
        <f>IF($X565="","",SUMIFS(TARIFF_PROFILES!$F:$F,TARIFF_PROFILES!$A:$A,$X565))</f>
        <v/>
      </c>
      <c r="AB565" s="15">
        <f>IF($X565="","",SUMIFS(TARIFF_PROFILES!$G:$G,TARIFF_PROFILES!$A:$A,$X565))</f>
        <v/>
      </c>
      <c r="AC565" s="15">
        <f>IF($X565="","",SUMIFS(TARIFF_PROFILES!$H:$H,TARIFF_PROFILES!$A:$A,$X565))</f>
        <v/>
      </c>
      <c r="AD565" s="15">
        <f>IF($X565="","",INDEX(TARIFF_PROFILES!$J:$J,MATCH($X565,TARIFF_PROFILES!$A:$A,0)))</f>
        <v/>
      </c>
      <c r="AE565" s="15">
        <f>IF($X565="","",INDEX(TARIFF_PROFILES!$K:$K,MATCH($X565,TARIFF_PROFILES!$A:$A,0)))</f>
        <v/>
      </c>
      <c r="AH565">
        <f>IF($AG565="","",SUMIFS(OPERATING_COEFFS!$C:$C,OPERATING_COEFFS!$A:$A,"DistanceClass",OPERATING_COEFFS!$B:$B,$AG565))</f>
        <v/>
      </c>
      <c r="AJ565">
        <f>IF($AI565="","",SUMIFS(OPERATING_COEFFS!$C:$C,OPERATING_COEFFS!$A:$A,"SeasonClass",OPERATING_COEFFS!$B:$B,$AI565))</f>
        <v/>
      </c>
      <c r="AL565">
        <f>IF($AK565="","",SUMIFS(OPERATING_COEFFS!$C:$C,OPERATING_COEFFS!$A:$A,"UrgencyClass",OPERATING_COEFFS!$B:$B,$AK565))</f>
        <v/>
      </c>
      <c r="AN565">
        <f>IF($AM565="","",INDEX(TAX_MODES!$B:$B,MATCH($AM565,TAX_MODES!$A:$A,0)))</f>
        <v/>
      </c>
    </row>
    <row r="566">
      <c r="X566" s="15" t="n"/>
      <c r="Y566" s="15">
        <f>IF($X566="","",SUMIFS(TARIFF_PROFILES!$D:$D,TARIFF_PROFILES!$A:$A,$X566))</f>
        <v/>
      </c>
      <c r="Z566" s="15">
        <f>IF($X566="","",SUMIFS(TARIFF_PROFILES!$E:$E,TARIFF_PROFILES!$A:$A,$X566))</f>
        <v/>
      </c>
      <c r="AA566" s="15">
        <f>IF($X566="","",SUMIFS(TARIFF_PROFILES!$F:$F,TARIFF_PROFILES!$A:$A,$X566))</f>
        <v/>
      </c>
      <c r="AB566" s="15">
        <f>IF($X566="","",SUMIFS(TARIFF_PROFILES!$G:$G,TARIFF_PROFILES!$A:$A,$X566))</f>
        <v/>
      </c>
      <c r="AC566" s="15">
        <f>IF($X566="","",SUMIFS(TARIFF_PROFILES!$H:$H,TARIFF_PROFILES!$A:$A,$X566))</f>
        <v/>
      </c>
      <c r="AD566" s="15">
        <f>IF($X566="","",INDEX(TARIFF_PROFILES!$J:$J,MATCH($X566,TARIFF_PROFILES!$A:$A,0)))</f>
        <v/>
      </c>
      <c r="AE566" s="15">
        <f>IF($X566="","",INDEX(TARIFF_PROFILES!$K:$K,MATCH($X566,TARIFF_PROFILES!$A:$A,0)))</f>
        <v/>
      </c>
      <c r="AH566">
        <f>IF($AG566="","",SUMIFS(OPERATING_COEFFS!$C:$C,OPERATING_COEFFS!$A:$A,"DistanceClass",OPERATING_COEFFS!$B:$B,$AG566))</f>
        <v/>
      </c>
      <c r="AJ566">
        <f>IF($AI566="","",SUMIFS(OPERATING_COEFFS!$C:$C,OPERATING_COEFFS!$A:$A,"SeasonClass",OPERATING_COEFFS!$B:$B,$AI566))</f>
        <v/>
      </c>
      <c r="AL566">
        <f>IF($AK566="","",SUMIFS(OPERATING_COEFFS!$C:$C,OPERATING_COEFFS!$A:$A,"UrgencyClass",OPERATING_COEFFS!$B:$B,$AK566))</f>
        <v/>
      </c>
      <c r="AN566">
        <f>IF($AM566="","",INDEX(TAX_MODES!$B:$B,MATCH($AM566,TAX_MODES!$A:$A,0)))</f>
        <v/>
      </c>
    </row>
    <row r="567">
      <c r="X567" s="15" t="n"/>
      <c r="Y567" s="15">
        <f>IF($X567="","",SUMIFS(TARIFF_PROFILES!$D:$D,TARIFF_PROFILES!$A:$A,$X567))</f>
        <v/>
      </c>
      <c r="Z567" s="15">
        <f>IF($X567="","",SUMIFS(TARIFF_PROFILES!$E:$E,TARIFF_PROFILES!$A:$A,$X567))</f>
        <v/>
      </c>
      <c r="AA567" s="15">
        <f>IF($X567="","",SUMIFS(TARIFF_PROFILES!$F:$F,TARIFF_PROFILES!$A:$A,$X567))</f>
        <v/>
      </c>
      <c r="AB567" s="15">
        <f>IF($X567="","",SUMIFS(TARIFF_PROFILES!$G:$G,TARIFF_PROFILES!$A:$A,$X567))</f>
        <v/>
      </c>
      <c r="AC567" s="15">
        <f>IF($X567="","",SUMIFS(TARIFF_PROFILES!$H:$H,TARIFF_PROFILES!$A:$A,$X567))</f>
        <v/>
      </c>
      <c r="AD567" s="15">
        <f>IF($X567="","",INDEX(TARIFF_PROFILES!$J:$J,MATCH($X567,TARIFF_PROFILES!$A:$A,0)))</f>
        <v/>
      </c>
      <c r="AE567" s="15">
        <f>IF($X567="","",INDEX(TARIFF_PROFILES!$K:$K,MATCH($X567,TARIFF_PROFILES!$A:$A,0)))</f>
        <v/>
      </c>
      <c r="AH567">
        <f>IF($AG567="","",SUMIFS(OPERATING_COEFFS!$C:$C,OPERATING_COEFFS!$A:$A,"DistanceClass",OPERATING_COEFFS!$B:$B,$AG567))</f>
        <v/>
      </c>
      <c r="AJ567">
        <f>IF($AI567="","",SUMIFS(OPERATING_COEFFS!$C:$C,OPERATING_COEFFS!$A:$A,"SeasonClass",OPERATING_COEFFS!$B:$B,$AI567))</f>
        <v/>
      </c>
      <c r="AL567">
        <f>IF($AK567="","",SUMIFS(OPERATING_COEFFS!$C:$C,OPERATING_COEFFS!$A:$A,"UrgencyClass",OPERATING_COEFFS!$B:$B,$AK567))</f>
        <v/>
      </c>
      <c r="AN567">
        <f>IF($AM567="","",INDEX(TAX_MODES!$B:$B,MATCH($AM567,TAX_MODES!$A:$A,0)))</f>
        <v/>
      </c>
    </row>
    <row r="568">
      <c r="X568" s="15" t="n"/>
      <c r="Y568" s="15">
        <f>IF($X568="","",SUMIFS(TARIFF_PROFILES!$D:$D,TARIFF_PROFILES!$A:$A,$X568))</f>
        <v/>
      </c>
      <c r="Z568" s="15">
        <f>IF($X568="","",SUMIFS(TARIFF_PROFILES!$E:$E,TARIFF_PROFILES!$A:$A,$X568))</f>
        <v/>
      </c>
      <c r="AA568" s="15">
        <f>IF($X568="","",SUMIFS(TARIFF_PROFILES!$F:$F,TARIFF_PROFILES!$A:$A,$X568))</f>
        <v/>
      </c>
      <c r="AB568" s="15">
        <f>IF($X568="","",SUMIFS(TARIFF_PROFILES!$G:$G,TARIFF_PROFILES!$A:$A,$X568))</f>
        <v/>
      </c>
      <c r="AC568" s="15">
        <f>IF($X568="","",SUMIFS(TARIFF_PROFILES!$H:$H,TARIFF_PROFILES!$A:$A,$X568))</f>
        <v/>
      </c>
      <c r="AD568" s="15">
        <f>IF($X568="","",INDEX(TARIFF_PROFILES!$J:$J,MATCH($X568,TARIFF_PROFILES!$A:$A,0)))</f>
        <v/>
      </c>
      <c r="AE568" s="15">
        <f>IF($X568="","",INDEX(TARIFF_PROFILES!$K:$K,MATCH($X568,TARIFF_PROFILES!$A:$A,0)))</f>
        <v/>
      </c>
      <c r="AH568">
        <f>IF($AG568="","",SUMIFS(OPERATING_COEFFS!$C:$C,OPERATING_COEFFS!$A:$A,"DistanceClass",OPERATING_COEFFS!$B:$B,$AG568))</f>
        <v/>
      </c>
      <c r="AJ568">
        <f>IF($AI568="","",SUMIFS(OPERATING_COEFFS!$C:$C,OPERATING_COEFFS!$A:$A,"SeasonClass",OPERATING_COEFFS!$B:$B,$AI568))</f>
        <v/>
      </c>
      <c r="AL568">
        <f>IF($AK568="","",SUMIFS(OPERATING_COEFFS!$C:$C,OPERATING_COEFFS!$A:$A,"UrgencyClass",OPERATING_COEFFS!$B:$B,$AK568))</f>
        <v/>
      </c>
      <c r="AN568">
        <f>IF($AM568="","",INDEX(TAX_MODES!$B:$B,MATCH($AM568,TAX_MODES!$A:$A,0)))</f>
        <v/>
      </c>
    </row>
    <row r="569">
      <c r="X569" s="15" t="n"/>
      <c r="Y569" s="15">
        <f>IF($X569="","",SUMIFS(TARIFF_PROFILES!$D:$D,TARIFF_PROFILES!$A:$A,$X569))</f>
        <v/>
      </c>
      <c r="Z569" s="15">
        <f>IF($X569="","",SUMIFS(TARIFF_PROFILES!$E:$E,TARIFF_PROFILES!$A:$A,$X569))</f>
        <v/>
      </c>
      <c r="AA569" s="15">
        <f>IF($X569="","",SUMIFS(TARIFF_PROFILES!$F:$F,TARIFF_PROFILES!$A:$A,$X569))</f>
        <v/>
      </c>
      <c r="AB569" s="15">
        <f>IF($X569="","",SUMIFS(TARIFF_PROFILES!$G:$G,TARIFF_PROFILES!$A:$A,$X569))</f>
        <v/>
      </c>
      <c r="AC569" s="15">
        <f>IF($X569="","",SUMIFS(TARIFF_PROFILES!$H:$H,TARIFF_PROFILES!$A:$A,$X569))</f>
        <v/>
      </c>
      <c r="AD569" s="15">
        <f>IF($X569="","",INDEX(TARIFF_PROFILES!$J:$J,MATCH($X569,TARIFF_PROFILES!$A:$A,0)))</f>
        <v/>
      </c>
      <c r="AE569" s="15">
        <f>IF($X569="","",INDEX(TARIFF_PROFILES!$K:$K,MATCH($X569,TARIFF_PROFILES!$A:$A,0)))</f>
        <v/>
      </c>
      <c r="AH569">
        <f>IF($AG569="","",SUMIFS(OPERATING_COEFFS!$C:$C,OPERATING_COEFFS!$A:$A,"DistanceClass",OPERATING_COEFFS!$B:$B,$AG569))</f>
        <v/>
      </c>
      <c r="AJ569">
        <f>IF($AI569="","",SUMIFS(OPERATING_COEFFS!$C:$C,OPERATING_COEFFS!$A:$A,"SeasonClass",OPERATING_COEFFS!$B:$B,$AI569))</f>
        <v/>
      </c>
      <c r="AL569">
        <f>IF($AK569="","",SUMIFS(OPERATING_COEFFS!$C:$C,OPERATING_COEFFS!$A:$A,"UrgencyClass",OPERATING_COEFFS!$B:$B,$AK569))</f>
        <v/>
      </c>
      <c r="AN569">
        <f>IF($AM569="","",INDEX(TAX_MODES!$B:$B,MATCH($AM569,TAX_MODES!$A:$A,0)))</f>
        <v/>
      </c>
    </row>
    <row r="570">
      <c r="X570" s="15" t="n"/>
      <c r="Y570" s="15">
        <f>IF($X570="","",SUMIFS(TARIFF_PROFILES!$D:$D,TARIFF_PROFILES!$A:$A,$X570))</f>
        <v/>
      </c>
      <c r="Z570" s="15">
        <f>IF($X570="","",SUMIFS(TARIFF_PROFILES!$E:$E,TARIFF_PROFILES!$A:$A,$X570))</f>
        <v/>
      </c>
      <c r="AA570" s="15">
        <f>IF($X570="","",SUMIFS(TARIFF_PROFILES!$F:$F,TARIFF_PROFILES!$A:$A,$X570))</f>
        <v/>
      </c>
      <c r="AB570" s="15">
        <f>IF($X570="","",SUMIFS(TARIFF_PROFILES!$G:$G,TARIFF_PROFILES!$A:$A,$X570))</f>
        <v/>
      </c>
      <c r="AC570" s="15">
        <f>IF($X570="","",SUMIFS(TARIFF_PROFILES!$H:$H,TARIFF_PROFILES!$A:$A,$X570))</f>
        <v/>
      </c>
      <c r="AD570" s="15">
        <f>IF($X570="","",INDEX(TARIFF_PROFILES!$J:$J,MATCH($X570,TARIFF_PROFILES!$A:$A,0)))</f>
        <v/>
      </c>
      <c r="AE570" s="15">
        <f>IF($X570="","",INDEX(TARIFF_PROFILES!$K:$K,MATCH($X570,TARIFF_PROFILES!$A:$A,0)))</f>
        <v/>
      </c>
      <c r="AH570">
        <f>IF($AG570="","",SUMIFS(OPERATING_COEFFS!$C:$C,OPERATING_COEFFS!$A:$A,"DistanceClass",OPERATING_COEFFS!$B:$B,$AG570))</f>
        <v/>
      </c>
      <c r="AJ570">
        <f>IF($AI570="","",SUMIFS(OPERATING_COEFFS!$C:$C,OPERATING_COEFFS!$A:$A,"SeasonClass",OPERATING_COEFFS!$B:$B,$AI570))</f>
        <v/>
      </c>
      <c r="AL570">
        <f>IF($AK570="","",SUMIFS(OPERATING_COEFFS!$C:$C,OPERATING_COEFFS!$A:$A,"UrgencyClass",OPERATING_COEFFS!$B:$B,$AK570))</f>
        <v/>
      </c>
      <c r="AN570">
        <f>IF($AM570="","",INDEX(TAX_MODES!$B:$B,MATCH($AM570,TAX_MODES!$A:$A,0)))</f>
        <v/>
      </c>
    </row>
    <row r="571">
      <c r="X571" s="15" t="n"/>
      <c r="Y571" s="15">
        <f>IF($X571="","",SUMIFS(TARIFF_PROFILES!$D:$D,TARIFF_PROFILES!$A:$A,$X571))</f>
        <v/>
      </c>
      <c r="Z571" s="15">
        <f>IF($X571="","",SUMIFS(TARIFF_PROFILES!$E:$E,TARIFF_PROFILES!$A:$A,$X571))</f>
        <v/>
      </c>
      <c r="AA571" s="15">
        <f>IF($X571="","",SUMIFS(TARIFF_PROFILES!$F:$F,TARIFF_PROFILES!$A:$A,$X571))</f>
        <v/>
      </c>
      <c r="AB571" s="15">
        <f>IF($X571="","",SUMIFS(TARIFF_PROFILES!$G:$G,TARIFF_PROFILES!$A:$A,$X571))</f>
        <v/>
      </c>
      <c r="AC571" s="15">
        <f>IF($X571="","",SUMIFS(TARIFF_PROFILES!$H:$H,TARIFF_PROFILES!$A:$A,$X571))</f>
        <v/>
      </c>
      <c r="AD571" s="15">
        <f>IF($X571="","",INDEX(TARIFF_PROFILES!$J:$J,MATCH($X571,TARIFF_PROFILES!$A:$A,0)))</f>
        <v/>
      </c>
      <c r="AE571" s="15">
        <f>IF($X571="","",INDEX(TARIFF_PROFILES!$K:$K,MATCH($X571,TARIFF_PROFILES!$A:$A,0)))</f>
        <v/>
      </c>
      <c r="AH571">
        <f>IF($AG571="","",SUMIFS(OPERATING_COEFFS!$C:$C,OPERATING_COEFFS!$A:$A,"DistanceClass",OPERATING_COEFFS!$B:$B,$AG571))</f>
        <v/>
      </c>
      <c r="AJ571">
        <f>IF($AI571="","",SUMIFS(OPERATING_COEFFS!$C:$C,OPERATING_COEFFS!$A:$A,"SeasonClass",OPERATING_COEFFS!$B:$B,$AI571))</f>
        <v/>
      </c>
      <c r="AL571">
        <f>IF($AK571="","",SUMIFS(OPERATING_COEFFS!$C:$C,OPERATING_COEFFS!$A:$A,"UrgencyClass",OPERATING_COEFFS!$B:$B,$AK571))</f>
        <v/>
      </c>
      <c r="AN571">
        <f>IF($AM571="","",INDEX(TAX_MODES!$B:$B,MATCH($AM571,TAX_MODES!$A:$A,0)))</f>
        <v/>
      </c>
    </row>
    <row r="572">
      <c r="X572" s="15" t="n"/>
      <c r="Y572" s="15">
        <f>IF($X572="","",SUMIFS(TARIFF_PROFILES!$D:$D,TARIFF_PROFILES!$A:$A,$X572))</f>
        <v/>
      </c>
      <c r="Z572" s="15">
        <f>IF($X572="","",SUMIFS(TARIFF_PROFILES!$E:$E,TARIFF_PROFILES!$A:$A,$X572))</f>
        <v/>
      </c>
      <c r="AA572" s="15">
        <f>IF($X572="","",SUMIFS(TARIFF_PROFILES!$F:$F,TARIFF_PROFILES!$A:$A,$X572))</f>
        <v/>
      </c>
      <c r="AB572" s="15">
        <f>IF($X572="","",SUMIFS(TARIFF_PROFILES!$G:$G,TARIFF_PROFILES!$A:$A,$X572))</f>
        <v/>
      </c>
      <c r="AC572" s="15">
        <f>IF($X572="","",SUMIFS(TARIFF_PROFILES!$H:$H,TARIFF_PROFILES!$A:$A,$X572))</f>
        <v/>
      </c>
      <c r="AD572" s="15">
        <f>IF($X572="","",INDEX(TARIFF_PROFILES!$J:$J,MATCH($X572,TARIFF_PROFILES!$A:$A,0)))</f>
        <v/>
      </c>
      <c r="AE572" s="15">
        <f>IF($X572="","",INDEX(TARIFF_PROFILES!$K:$K,MATCH($X572,TARIFF_PROFILES!$A:$A,0)))</f>
        <v/>
      </c>
      <c r="AH572">
        <f>IF($AG572="","",SUMIFS(OPERATING_COEFFS!$C:$C,OPERATING_COEFFS!$A:$A,"DistanceClass",OPERATING_COEFFS!$B:$B,$AG572))</f>
        <v/>
      </c>
      <c r="AJ572">
        <f>IF($AI572="","",SUMIFS(OPERATING_COEFFS!$C:$C,OPERATING_COEFFS!$A:$A,"SeasonClass",OPERATING_COEFFS!$B:$B,$AI572))</f>
        <v/>
      </c>
      <c r="AL572">
        <f>IF($AK572="","",SUMIFS(OPERATING_COEFFS!$C:$C,OPERATING_COEFFS!$A:$A,"UrgencyClass",OPERATING_COEFFS!$B:$B,$AK572))</f>
        <v/>
      </c>
      <c r="AN572">
        <f>IF($AM572="","",INDEX(TAX_MODES!$B:$B,MATCH($AM572,TAX_MODES!$A:$A,0)))</f>
        <v/>
      </c>
    </row>
    <row r="573">
      <c r="X573" s="15" t="n"/>
      <c r="Y573" s="15">
        <f>IF($X573="","",SUMIFS(TARIFF_PROFILES!$D:$D,TARIFF_PROFILES!$A:$A,$X573))</f>
        <v/>
      </c>
      <c r="Z573" s="15">
        <f>IF($X573="","",SUMIFS(TARIFF_PROFILES!$E:$E,TARIFF_PROFILES!$A:$A,$X573))</f>
        <v/>
      </c>
      <c r="AA573" s="15">
        <f>IF($X573="","",SUMIFS(TARIFF_PROFILES!$F:$F,TARIFF_PROFILES!$A:$A,$X573))</f>
        <v/>
      </c>
      <c r="AB573" s="15">
        <f>IF($X573="","",SUMIFS(TARIFF_PROFILES!$G:$G,TARIFF_PROFILES!$A:$A,$X573))</f>
        <v/>
      </c>
      <c r="AC573" s="15">
        <f>IF($X573="","",SUMIFS(TARIFF_PROFILES!$H:$H,TARIFF_PROFILES!$A:$A,$X573))</f>
        <v/>
      </c>
      <c r="AD573" s="15">
        <f>IF($X573="","",INDEX(TARIFF_PROFILES!$J:$J,MATCH($X573,TARIFF_PROFILES!$A:$A,0)))</f>
        <v/>
      </c>
      <c r="AE573" s="15">
        <f>IF($X573="","",INDEX(TARIFF_PROFILES!$K:$K,MATCH($X573,TARIFF_PROFILES!$A:$A,0)))</f>
        <v/>
      </c>
      <c r="AH573">
        <f>IF($AG573="","",SUMIFS(OPERATING_COEFFS!$C:$C,OPERATING_COEFFS!$A:$A,"DistanceClass",OPERATING_COEFFS!$B:$B,$AG573))</f>
        <v/>
      </c>
      <c r="AJ573">
        <f>IF($AI573="","",SUMIFS(OPERATING_COEFFS!$C:$C,OPERATING_COEFFS!$A:$A,"SeasonClass",OPERATING_COEFFS!$B:$B,$AI573))</f>
        <v/>
      </c>
      <c r="AL573">
        <f>IF($AK573="","",SUMIFS(OPERATING_COEFFS!$C:$C,OPERATING_COEFFS!$A:$A,"UrgencyClass",OPERATING_COEFFS!$B:$B,$AK573))</f>
        <v/>
      </c>
      <c r="AN573">
        <f>IF($AM573="","",INDEX(TAX_MODES!$B:$B,MATCH($AM573,TAX_MODES!$A:$A,0)))</f>
        <v/>
      </c>
    </row>
    <row r="574">
      <c r="X574" s="15" t="n"/>
      <c r="Y574" s="15">
        <f>IF($X574="","",SUMIFS(TARIFF_PROFILES!$D:$D,TARIFF_PROFILES!$A:$A,$X574))</f>
        <v/>
      </c>
      <c r="Z574" s="15">
        <f>IF($X574="","",SUMIFS(TARIFF_PROFILES!$E:$E,TARIFF_PROFILES!$A:$A,$X574))</f>
        <v/>
      </c>
      <c r="AA574" s="15">
        <f>IF($X574="","",SUMIFS(TARIFF_PROFILES!$F:$F,TARIFF_PROFILES!$A:$A,$X574))</f>
        <v/>
      </c>
      <c r="AB574" s="15">
        <f>IF($X574="","",SUMIFS(TARIFF_PROFILES!$G:$G,TARIFF_PROFILES!$A:$A,$X574))</f>
        <v/>
      </c>
      <c r="AC574" s="15">
        <f>IF($X574="","",SUMIFS(TARIFF_PROFILES!$H:$H,TARIFF_PROFILES!$A:$A,$X574))</f>
        <v/>
      </c>
      <c r="AD574" s="15">
        <f>IF($X574="","",INDEX(TARIFF_PROFILES!$J:$J,MATCH($X574,TARIFF_PROFILES!$A:$A,0)))</f>
        <v/>
      </c>
      <c r="AE574" s="15">
        <f>IF($X574="","",INDEX(TARIFF_PROFILES!$K:$K,MATCH($X574,TARIFF_PROFILES!$A:$A,0)))</f>
        <v/>
      </c>
      <c r="AH574">
        <f>IF($AG574="","",SUMIFS(OPERATING_COEFFS!$C:$C,OPERATING_COEFFS!$A:$A,"DistanceClass",OPERATING_COEFFS!$B:$B,$AG574))</f>
        <v/>
      </c>
      <c r="AJ574">
        <f>IF($AI574="","",SUMIFS(OPERATING_COEFFS!$C:$C,OPERATING_COEFFS!$A:$A,"SeasonClass",OPERATING_COEFFS!$B:$B,$AI574))</f>
        <v/>
      </c>
      <c r="AL574">
        <f>IF($AK574="","",SUMIFS(OPERATING_COEFFS!$C:$C,OPERATING_COEFFS!$A:$A,"UrgencyClass",OPERATING_COEFFS!$B:$B,$AK574))</f>
        <v/>
      </c>
      <c r="AN574">
        <f>IF($AM574="","",INDEX(TAX_MODES!$B:$B,MATCH($AM574,TAX_MODES!$A:$A,0)))</f>
        <v/>
      </c>
    </row>
    <row r="575">
      <c r="X575" s="15" t="n"/>
      <c r="Y575" s="15">
        <f>IF($X575="","",SUMIFS(TARIFF_PROFILES!$D:$D,TARIFF_PROFILES!$A:$A,$X575))</f>
        <v/>
      </c>
      <c r="Z575" s="15">
        <f>IF($X575="","",SUMIFS(TARIFF_PROFILES!$E:$E,TARIFF_PROFILES!$A:$A,$X575))</f>
        <v/>
      </c>
      <c r="AA575" s="15">
        <f>IF($X575="","",SUMIFS(TARIFF_PROFILES!$F:$F,TARIFF_PROFILES!$A:$A,$X575))</f>
        <v/>
      </c>
      <c r="AB575" s="15">
        <f>IF($X575="","",SUMIFS(TARIFF_PROFILES!$G:$G,TARIFF_PROFILES!$A:$A,$X575))</f>
        <v/>
      </c>
      <c r="AC575" s="15">
        <f>IF($X575="","",SUMIFS(TARIFF_PROFILES!$H:$H,TARIFF_PROFILES!$A:$A,$X575))</f>
        <v/>
      </c>
      <c r="AD575" s="15">
        <f>IF($X575="","",INDEX(TARIFF_PROFILES!$J:$J,MATCH($X575,TARIFF_PROFILES!$A:$A,0)))</f>
        <v/>
      </c>
      <c r="AE575" s="15">
        <f>IF($X575="","",INDEX(TARIFF_PROFILES!$K:$K,MATCH($X575,TARIFF_PROFILES!$A:$A,0)))</f>
        <v/>
      </c>
      <c r="AH575">
        <f>IF($AG575="","",SUMIFS(OPERATING_COEFFS!$C:$C,OPERATING_COEFFS!$A:$A,"DistanceClass",OPERATING_COEFFS!$B:$B,$AG575))</f>
        <v/>
      </c>
      <c r="AJ575">
        <f>IF($AI575="","",SUMIFS(OPERATING_COEFFS!$C:$C,OPERATING_COEFFS!$A:$A,"SeasonClass",OPERATING_COEFFS!$B:$B,$AI575))</f>
        <v/>
      </c>
      <c r="AL575">
        <f>IF($AK575="","",SUMIFS(OPERATING_COEFFS!$C:$C,OPERATING_COEFFS!$A:$A,"UrgencyClass",OPERATING_COEFFS!$B:$B,$AK575))</f>
        <v/>
      </c>
      <c r="AN575">
        <f>IF($AM575="","",INDEX(TAX_MODES!$B:$B,MATCH($AM575,TAX_MODES!$A:$A,0)))</f>
        <v/>
      </c>
    </row>
    <row r="576">
      <c r="X576" s="15" t="n"/>
      <c r="Y576" s="15">
        <f>IF($X576="","",SUMIFS(TARIFF_PROFILES!$D:$D,TARIFF_PROFILES!$A:$A,$X576))</f>
        <v/>
      </c>
      <c r="Z576" s="15">
        <f>IF($X576="","",SUMIFS(TARIFF_PROFILES!$E:$E,TARIFF_PROFILES!$A:$A,$X576))</f>
        <v/>
      </c>
      <c r="AA576" s="15">
        <f>IF($X576="","",SUMIFS(TARIFF_PROFILES!$F:$F,TARIFF_PROFILES!$A:$A,$X576))</f>
        <v/>
      </c>
      <c r="AB576" s="15">
        <f>IF($X576="","",SUMIFS(TARIFF_PROFILES!$G:$G,TARIFF_PROFILES!$A:$A,$X576))</f>
        <v/>
      </c>
      <c r="AC576" s="15">
        <f>IF($X576="","",SUMIFS(TARIFF_PROFILES!$H:$H,TARIFF_PROFILES!$A:$A,$X576))</f>
        <v/>
      </c>
      <c r="AD576" s="15">
        <f>IF($X576="","",INDEX(TARIFF_PROFILES!$J:$J,MATCH($X576,TARIFF_PROFILES!$A:$A,0)))</f>
        <v/>
      </c>
      <c r="AE576" s="15">
        <f>IF($X576="","",INDEX(TARIFF_PROFILES!$K:$K,MATCH($X576,TARIFF_PROFILES!$A:$A,0)))</f>
        <v/>
      </c>
      <c r="AH576">
        <f>IF($AG576="","",SUMIFS(OPERATING_COEFFS!$C:$C,OPERATING_COEFFS!$A:$A,"DistanceClass",OPERATING_COEFFS!$B:$B,$AG576))</f>
        <v/>
      </c>
      <c r="AJ576">
        <f>IF($AI576="","",SUMIFS(OPERATING_COEFFS!$C:$C,OPERATING_COEFFS!$A:$A,"SeasonClass",OPERATING_COEFFS!$B:$B,$AI576))</f>
        <v/>
      </c>
      <c r="AL576">
        <f>IF($AK576="","",SUMIFS(OPERATING_COEFFS!$C:$C,OPERATING_COEFFS!$A:$A,"UrgencyClass",OPERATING_COEFFS!$B:$B,$AK576))</f>
        <v/>
      </c>
      <c r="AN576">
        <f>IF($AM576="","",INDEX(TAX_MODES!$B:$B,MATCH($AM576,TAX_MODES!$A:$A,0)))</f>
        <v/>
      </c>
    </row>
    <row r="577">
      <c r="X577" s="15" t="n"/>
      <c r="Y577" s="15">
        <f>IF($X577="","",SUMIFS(TARIFF_PROFILES!$D:$D,TARIFF_PROFILES!$A:$A,$X577))</f>
        <v/>
      </c>
      <c r="Z577" s="15">
        <f>IF($X577="","",SUMIFS(TARIFF_PROFILES!$E:$E,TARIFF_PROFILES!$A:$A,$X577))</f>
        <v/>
      </c>
      <c r="AA577" s="15">
        <f>IF($X577="","",SUMIFS(TARIFF_PROFILES!$F:$F,TARIFF_PROFILES!$A:$A,$X577))</f>
        <v/>
      </c>
      <c r="AB577" s="15">
        <f>IF($X577="","",SUMIFS(TARIFF_PROFILES!$G:$G,TARIFF_PROFILES!$A:$A,$X577))</f>
        <v/>
      </c>
      <c r="AC577" s="15">
        <f>IF($X577="","",SUMIFS(TARIFF_PROFILES!$H:$H,TARIFF_PROFILES!$A:$A,$X577))</f>
        <v/>
      </c>
      <c r="AD577" s="15">
        <f>IF($X577="","",INDEX(TARIFF_PROFILES!$J:$J,MATCH($X577,TARIFF_PROFILES!$A:$A,0)))</f>
        <v/>
      </c>
      <c r="AE577" s="15">
        <f>IF($X577="","",INDEX(TARIFF_PROFILES!$K:$K,MATCH($X577,TARIFF_PROFILES!$A:$A,0)))</f>
        <v/>
      </c>
      <c r="AH577">
        <f>IF($AG577="","",SUMIFS(OPERATING_COEFFS!$C:$C,OPERATING_COEFFS!$A:$A,"DistanceClass",OPERATING_COEFFS!$B:$B,$AG577))</f>
        <v/>
      </c>
      <c r="AJ577">
        <f>IF($AI577="","",SUMIFS(OPERATING_COEFFS!$C:$C,OPERATING_COEFFS!$A:$A,"SeasonClass",OPERATING_COEFFS!$B:$B,$AI577))</f>
        <v/>
      </c>
      <c r="AL577">
        <f>IF($AK577="","",SUMIFS(OPERATING_COEFFS!$C:$C,OPERATING_COEFFS!$A:$A,"UrgencyClass",OPERATING_COEFFS!$B:$B,$AK577))</f>
        <v/>
      </c>
      <c r="AN577">
        <f>IF($AM577="","",INDEX(TAX_MODES!$B:$B,MATCH($AM577,TAX_MODES!$A:$A,0)))</f>
        <v/>
      </c>
    </row>
    <row r="578">
      <c r="X578" s="15" t="n"/>
      <c r="Y578" s="15">
        <f>IF($X578="","",SUMIFS(TARIFF_PROFILES!$D:$D,TARIFF_PROFILES!$A:$A,$X578))</f>
        <v/>
      </c>
      <c r="Z578" s="15">
        <f>IF($X578="","",SUMIFS(TARIFF_PROFILES!$E:$E,TARIFF_PROFILES!$A:$A,$X578))</f>
        <v/>
      </c>
      <c r="AA578" s="15">
        <f>IF($X578="","",SUMIFS(TARIFF_PROFILES!$F:$F,TARIFF_PROFILES!$A:$A,$X578))</f>
        <v/>
      </c>
      <c r="AB578" s="15">
        <f>IF($X578="","",SUMIFS(TARIFF_PROFILES!$G:$G,TARIFF_PROFILES!$A:$A,$X578))</f>
        <v/>
      </c>
      <c r="AC578" s="15">
        <f>IF($X578="","",SUMIFS(TARIFF_PROFILES!$H:$H,TARIFF_PROFILES!$A:$A,$X578))</f>
        <v/>
      </c>
      <c r="AD578" s="15">
        <f>IF($X578="","",INDEX(TARIFF_PROFILES!$J:$J,MATCH($X578,TARIFF_PROFILES!$A:$A,0)))</f>
        <v/>
      </c>
      <c r="AE578" s="15">
        <f>IF($X578="","",INDEX(TARIFF_PROFILES!$K:$K,MATCH($X578,TARIFF_PROFILES!$A:$A,0)))</f>
        <v/>
      </c>
      <c r="AH578">
        <f>IF($AG578="","",SUMIFS(OPERATING_COEFFS!$C:$C,OPERATING_COEFFS!$A:$A,"DistanceClass",OPERATING_COEFFS!$B:$B,$AG578))</f>
        <v/>
      </c>
      <c r="AJ578">
        <f>IF($AI578="","",SUMIFS(OPERATING_COEFFS!$C:$C,OPERATING_COEFFS!$A:$A,"SeasonClass",OPERATING_COEFFS!$B:$B,$AI578))</f>
        <v/>
      </c>
      <c r="AL578">
        <f>IF($AK578="","",SUMIFS(OPERATING_COEFFS!$C:$C,OPERATING_COEFFS!$A:$A,"UrgencyClass",OPERATING_COEFFS!$B:$B,$AK578))</f>
        <v/>
      </c>
      <c r="AN578">
        <f>IF($AM578="","",INDEX(TAX_MODES!$B:$B,MATCH($AM578,TAX_MODES!$A:$A,0)))</f>
        <v/>
      </c>
    </row>
    <row r="579">
      <c r="X579" s="15" t="n"/>
      <c r="Y579" s="15">
        <f>IF($X579="","",SUMIFS(TARIFF_PROFILES!$D:$D,TARIFF_PROFILES!$A:$A,$X579))</f>
        <v/>
      </c>
      <c r="Z579" s="15">
        <f>IF($X579="","",SUMIFS(TARIFF_PROFILES!$E:$E,TARIFF_PROFILES!$A:$A,$X579))</f>
        <v/>
      </c>
      <c r="AA579" s="15">
        <f>IF($X579="","",SUMIFS(TARIFF_PROFILES!$F:$F,TARIFF_PROFILES!$A:$A,$X579))</f>
        <v/>
      </c>
      <c r="AB579" s="15">
        <f>IF($X579="","",SUMIFS(TARIFF_PROFILES!$G:$G,TARIFF_PROFILES!$A:$A,$X579))</f>
        <v/>
      </c>
      <c r="AC579" s="15">
        <f>IF($X579="","",SUMIFS(TARIFF_PROFILES!$H:$H,TARIFF_PROFILES!$A:$A,$X579))</f>
        <v/>
      </c>
      <c r="AD579" s="15">
        <f>IF($X579="","",INDEX(TARIFF_PROFILES!$J:$J,MATCH($X579,TARIFF_PROFILES!$A:$A,0)))</f>
        <v/>
      </c>
      <c r="AE579" s="15">
        <f>IF($X579="","",INDEX(TARIFF_PROFILES!$K:$K,MATCH($X579,TARIFF_PROFILES!$A:$A,0)))</f>
        <v/>
      </c>
      <c r="AH579">
        <f>IF($AG579="","",SUMIFS(OPERATING_COEFFS!$C:$C,OPERATING_COEFFS!$A:$A,"DistanceClass",OPERATING_COEFFS!$B:$B,$AG579))</f>
        <v/>
      </c>
      <c r="AJ579">
        <f>IF($AI579="","",SUMIFS(OPERATING_COEFFS!$C:$C,OPERATING_COEFFS!$A:$A,"SeasonClass",OPERATING_COEFFS!$B:$B,$AI579))</f>
        <v/>
      </c>
      <c r="AL579">
        <f>IF($AK579="","",SUMIFS(OPERATING_COEFFS!$C:$C,OPERATING_COEFFS!$A:$A,"UrgencyClass",OPERATING_COEFFS!$B:$B,$AK579))</f>
        <v/>
      </c>
      <c r="AN579">
        <f>IF($AM579="","",INDEX(TAX_MODES!$B:$B,MATCH($AM579,TAX_MODES!$A:$A,0)))</f>
        <v/>
      </c>
    </row>
    <row r="580">
      <c r="X580" s="15" t="n"/>
      <c r="Y580" s="15">
        <f>IF($X580="","",SUMIFS(TARIFF_PROFILES!$D:$D,TARIFF_PROFILES!$A:$A,$X580))</f>
        <v/>
      </c>
      <c r="Z580" s="15">
        <f>IF($X580="","",SUMIFS(TARIFF_PROFILES!$E:$E,TARIFF_PROFILES!$A:$A,$X580))</f>
        <v/>
      </c>
      <c r="AA580" s="15">
        <f>IF($X580="","",SUMIFS(TARIFF_PROFILES!$F:$F,TARIFF_PROFILES!$A:$A,$X580))</f>
        <v/>
      </c>
      <c r="AB580" s="15">
        <f>IF($X580="","",SUMIFS(TARIFF_PROFILES!$G:$G,TARIFF_PROFILES!$A:$A,$X580))</f>
        <v/>
      </c>
      <c r="AC580" s="15">
        <f>IF($X580="","",SUMIFS(TARIFF_PROFILES!$H:$H,TARIFF_PROFILES!$A:$A,$X580))</f>
        <v/>
      </c>
      <c r="AD580" s="15">
        <f>IF($X580="","",INDEX(TARIFF_PROFILES!$J:$J,MATCH($X580,TARIFF_PROFILES!$A:$A,0)))</f>
        <v/>
      </c>
      <c r="AE580" s="15">
        <f>IF($X580="","",INDEX(TARIFF_PROFILES!$K:$K,MATCH($X580,TARIFF_PROFILES!$A:$A,0)))</f>
        <v/>
      </c>
      <c r="AH580">
        <f>IF($AG580="","",SUMIFS(OPERATING_COEFFS!$C:$C,OPERATING_COEFFS!$A:$A,"DistanceClass",OPERATING_COEFFS!$B:$B,$AG580))</f>
        <v/>
      </c>
      <c r="AJ580">
        <f>IF($AI580="","",SUMIFS(OPERATING_COEFFS!$C:$C,OPERATING_COEFFS!$A:$A,"SeasonClass",OPERATING_COEFFS!$B:$B,$AI580))</f>
        <v/>
      </c>
      <c r="AL580">
        <f>IF($AK580="","",SUMIFS(OPERATING_COEFFS!$C:$C,OPERATING_COEFFS!$A:$A,"UrgencyClass",OPERATING_COEFFS!$B:$B,$AK580))</f>
        <v/>
      </c>
      <c r="AN580">
        <f>IF($AM580="","",INDEX(TAX_MODES!$B:$B,MATCH($AM580,TAX_MODES!$A:$A,0)))</f>
        <v/>
      </c>
    </row>
    <row r="581">
      <c r="X581" s="15" t="n"/>
      <c r="Y581" s="15">
        <f>IF($X581="","",SUMIFS(TARIFF_PROFILES!$D:$D,TARIFF_PROFILES!$A:$A,$X581))</f>
        <v/>
      </c>
      <c r="Z581" s="15">
        <f>IF($X581="","",SUMIFS(TARIFF_PROFILES!$E:$E,TARIFF_PROFILES!$A:$A,$X581))</f>
        <v/>
      </c>
      <c r="AA581" s="15">
        <f>IF($X581="","",SUMIFS(TARIFF_PROFILES!$F:$F,TARIFF_PROFILES!$A:$A,$X581))</f>
        <v/>
      </c>
      <c r="AB581" s="15">
        <f>IF($X581="","",SUMIFS(TARIFF_PROFILES!$G:$G,TARIFF_PROFILES!$A:$A,$X581))</f>
        <v/>
      </c>
      <c r="AC581" s="15">
        <f>IF($X581="","",SUMIFS(TARIFF_PROFILES!$H:$H,TARIFF_PROFILES!$A:$A,$X581))</f>
        <v/>
      </c>
      <c r="AD581" s="15">
        <f>IF($X581="","",INDEX(TARIFF_PROFILES!$J:$J,MATCH($X581,TARIFF_PROFILES!$A:$A,0)))</f>
        <v/>
      </c>
      <c r="AE581" s="15">
        <f>IF($X581="","",INDEX(TARIFF_PROFILES!$K:$K,MATCH($X581,TARIFF_PROFILES!$A:$A,0)))</f>
        <v/>
      </c>
      <c r="AH581">
        <f>IF($AG581="","",SUMIFS(OPERATING_COEFFS!$C:$C,OPERATING_COEFFS!$A:$A,"DistanceClass",OPERATING_COEFFS!$B:$B,$AG581))</f>
        <v/>
      </c>
      <c r="AJ581">
        <f>IF($AI581="","",SUMIFS(OPERATING_COEFFS!$C:$C,OPERATING_COEFFS!$A:$A,"SeasonClass",OPERATING_COEFFS!$B:$B,$AI581))</f>
        <v/>
      </c>
      <c r="AL581">
        <f>IF($AK581="","",SUMIFS(OPERATING_COEFFS!$C:$C,OPERATING_COEFFS!$A:$A,"UrgencyClass",OPERATING_COEFFS!$B:$B,$AK581))</f>
        <v/>
      </c>
      <c r="AN581">
        <f>IF($AM581="","",INDEX(TAX_MODES!$B:$B,MATCH($AM581,TAX_MODES!$A:$A,0)))</f>
        <v/>
      </c>
    </row>
    <row r="582">
      <c r="X582" s="15" t="n"/>
      <c r="Y582" s="15">
        <f>IF($X582="","",SUMIFS(TARIFF_PROFILES!$D:$D,TARIFF_PROFILES!$A:$A,$X582))</f>
        <v/>
      </c>
      <c r="Z582" s="15">
        <f>IF($X582="","",SUMIFS(TARIFF_PROFILES!$E:$E,TARIFF_PROFILES!$A:$A,$X582))</f>
        <v/>
      </c>
      <c r="AA582" s="15">
        <f>IF($X582="","",SUMIFS(TARIFF_PROFILES!$F:$F,TARIFF_PROFILES!$A:$A,$X582))</f>
        <v/>
      </c>
      <c r="AB582" s="15">
        <f>IF($X582="","",SUMIFS(TARIFF_PROFILES!$G:$G,TARIFF_PROFILES!$A:$A,$X582))</f>
        <v/>
      </c>
      <c r="AC582" s="15">
        <f>IF($X582="","",SUMIFS(TARIFF_PROFILES!$H:$H,TARIFF_PROFILES!$A:$A,$X582))</f>
        <v/>
      </c>
      <c r="AD582" s="15">
        <f>IF($X582="","",INDEX(TARIFF_PROFILES!$J:$J,MATCH($X582,TARIFF_PROFILES!$A:$A,0)))</f>
        <v/>
      </c>
      <c r="AE582" s="15">
        <f>IF($X582="","",INDEX(TARIFF_PROFILES!$K:$K,MATCH($X582,TARIFF_PROFILES!$A:$A,0)))</f>
        <v/>
      </c>
      <c r="AH582">
        <f>IF($AG582="","",SUMIFS(OPERATING_COEFFS!$C:$C,OPERATING_COEFFS!$A:$A,"DistanceClass",OPERATING_COEFFS!$B:$B,$AG582))</f>
        <v/>
      </c>
      <c r="AJ582">
        <f>IF($AI582="","",SUMIFS(OPERATING_COEFFS!$C:$C,OPERATING_COEFFS!$A:$A,"SeasonClass",OPERATING_COEFFS!$B:$B,$AI582))</f>
        <v/>
      </c>
      <c r="AL582">
        <f>IF($AK582="","",SUMIFS(OPERATING_COEFFS!$C:$C,OPERATING_COEFFS!$A:$A,"UrgencyClass",OPERATING_COEFFS!$B:$B,$AK582))</f>
        <v/>
      </c>
      <c r="AN582">
        <f>IF($AM582="","",INDEX(TAX_MODES!$B:$B,MATCH($AM582,TAX_MODES!$A:$A,0)))</f>
        <v/>
      </c>
    </row>
    <row r="583">
      <c r="X583" s="15" t="n"/>
      <c r="Y583" s="15">
        <f>IF($X583="","",SUMIFS(TARIFF_PROFILES!$D:$D,TARIFF_PROFILES!$A:$A,$X583))</f>
        <v/>
      </c>
      <c r="Z583" s="15">
        <f>IF($X583="","",SUMIFS(TARIFF_PROFILES!$E:$E,TARIFF_PROFILES!$A:$A,$X583))</f>
        <v/>
      </c>
      <c r="AA583" s="15">
        <f>IF($X583="","",SUMIFS(TARIFF_PROFILES!$F:$F,TARIFF_PROFILES!$A:$A,$X583))</f>
        <v/>
      </c>
      <c r="AB583" s="15">
        <f>IF($X583="","",SUMIFS(TARIFF_PROFILES!$G:$G,TARIFF_PROFILES!$A:$A,$X583))</f>
        <v/>
      </c>
      <c r="AC583" s="15">
        <f>IF($X583="","",SUMIFS(TARIFF_PROFILES!$H:$H,TARIFF_PROFILES!$A:$A,$X583))</f>
        <v/>
      </c>
      <c r="AD583" s="15">
        <f>IF($X583="","",INDEX(TARIFF_PROFILES!$J:$J,MATCH($X583,TARIFF_PROFILES!$A:$A,0)))</f>
        <v/>
      </c>
      <c r="AE583" s="15">
        <f>IF($X583="","",INDEX(TARIFF_PROFILES!$K:$K,MATCH($X583,TARIFF_PROFILES!$A:$A,0)))</f>
        <v/>
      </c>
      <c r="AH583">
        <f>IF($AG583="","",SUMIFS(OPERATING_COEFFS!$C:$C,OPERATING_COEFFS!$A:$A,"DistanceClass",OPERATING_COEFFS!$B:$B,$AG583))</f>
        <v/>
      </c>
      <c r="AJ583">
        <f>IF($AI583="","",SUMIFS(OPERATING_COEFFS!$C:$C,OPERATING_COEFFS!$A:$A,"SeasonClass",OPERATING_COEFFS!$B:$B,$AI583))</f>
        <v/>
      </c>
      <c r="AL583">
        <f>IF($AK583="","",SUMIFS(OPERATING_COEFFS!$C:$C,OPERATING_COEFFS!$A:$A,"UrgencyClass",OPERATING_COEFFS!$B:$B,$AK583))</f>
        <v/>
      </c>
      <c r="AN583">
        <f>IF($AM583="","",INDEX(TAX_MODES!$B:$B,MATCH($AM583,TAX_MODES!$A:$A,0)))</f>
        <v/>
      </c>
    </row>
    <row r="584">
      <c r="X584" s="15" t="n"/>
      <c r="Y584" s="15">
        <f>IF($X584="","",SUMIFS(TARIFF_PROFILES!$D:$D,TARIFF_PROFILES!$A:$A,$X584))</f>
        <v/>
      </c>
      <c r="Z584" s="15">
        <f>IF($X584="","",SUMIFS(TARIFF_PROFILES!$E:$E,TARIFF_PROFILES!$A:$A,$X584))</f>
        <v/>
      </c>
      <c r="AA584" s="15">
        <f>IF($X584="","",SUMIFS(TARIFF_PROFILES!$F:$F,TARIFF_PROFILES!$A:$A,$X584))</f>
        <v/>
      </c>
      <c r="AB584" s="15">
        <f>IF($X584="","",SUMIFS(TARIFF_PROFILES!$G:$G,TARIFF_PROFILES!$A:$A,$X584))</f>
        <v/>
      </c>
      <c r="AC584" s="15">
        <f>IF($X584="","",SUMIFS(TARIFF_PROFILES!$H:$H,TARIFF_PROFILES!$A:$A,$X584))</f>
        <v/>
      </c>
      <c r="AD584" s="15">
        <f>IF($X584="","",INDEX(TARIFF_PROFILES!$J:$J,MATCH($X584,TARIFF_PROFILES!$A:$A,0)))</f>
        <v/>
      </c>
      <c r="AE584" s="15">
        <f>IF($X584="","",INDEX(TARIFF_PROFILES!$K:$K,MATCH($X584,TARIFF_PROFILES!$A:$A,0)))</f>
        <v/>
      </c>
      <c r="AH584">
        <f>IF($AG584="","",SUMIFS(OPERATING_COEFFS!$C:$C,OPERATING_COEFFS!$A:$A,"DistanceClass",OPERATING_COEFFS!$B:$B,$AG584))</f>
        <v/>
      </c>
      <c r="AJ584">
        <f>IF($AI584="","",SUMIFS(OPERATING_COEFFS!$C:$C,OPERATING_COEFFS!$A:$A,"SeasonClass",OPERATING_COEFFS!$B:$B,$AI584))</f>
        <v/>
      </c>
      <c r="AL584">
        <f>IF($AK584="","",SUMIFS(OPERATING_COEFFS!$C:$C,OPERATING_COEFFS!$A:$A,"UrgencyClass",OPERATING_COEFFS!$B:$B,$AK584))</f>
        <v/>
      </c>
      <c r="AN584">
        <f>IF($AM584="","",INDEX(TAX_MODES!$B:$B,MATCH($AM584,TAX_MODES!$A:$A,0)))</f>
        <v/>
      </c>
    </row>
    <row r="585">
      <c r="X585" s="15" t="n"/>
      <c r="Y585" s="15">
        <f>IF($X585="","",SUMIFS(TARIFF_PROFILES!$D:$D,TARIFF_PROFILES!$A:$A,$X585))</f>
        <v/>
      </c>
      <c r="Z585" s="15">
        <f>IF($X585="","",SUMIFS(TARIFF_PROFILES!$E:$E,TARIFF_PROFILES!$A:$A,$X585))</f>
        <v/>
      </c>
      <c r="AA585" s="15">
        <f>IF($X585="","",SUMIFS(TARIFF_PROFILES!$F:$F,TARIFF_PROFILES!$A:$A,$X585))</f>
        <v/>
      </c>
      <c r="AB585" s="15">
        <f>IF($X585="","",SUMIFS(TARIFF_PROFILES!$G:$G,TARIFF_PROFILES!$A:$A,$X585))</f>
        <v/>
      </c>
      <c r="AC585" s="15">
        <f>IF($X585="","",SUMIFS(TARIFF_PROFILES!$H:$H,TARIFF_PROFILES!$A:$A,$X585))</f>
        <v/>
      </c>
      <c r="AD585" s="15">
        <f>IF($X585="","",INDEX(TARIFF_PROFILES!$J:$J,MATCH($X585,TARIFF_PROFILES!$A:$A,0)))</f>
        <v/>
      </c>
      <c r="AE585" s="15">
        <f>IF($X585="","",INDEX(TARIFF_PROFILES!$K:$K,MATCH($X585,TARIFF_PROFILES!$A:$A,0)))</f>
        <v/>
      </c>
      <c r="AH585">
        <f>IF($AG585="","",SUMIFS(OPERATING_COEFFS!$C:$C,OPERATING_COEFFS!$A:$A,"DistanceClass",OPERATING_COEFFS!$B:$B,$AG585))</f>
        <v/>
      </c>
      <c r="AJ585">
        <f>IF($AI585="","",SUMIFS(OPERATING_COEFFS!$C:$C,OPERATING_COEFFS!$A:$A,"SeasonClass",OPERATING_COEFFS!$B:$B,$AI585))</f>
        <v/>
      </c>
      <c r="AL585">
        <f>IF($AK585="","",SUMIFS(OPERATING_COEFFS!$C:$C,OPERATING_COEFFS!$A:$A,"UrgencyClass",OPERATING_COEFFS!$B:$B,$AK585))</f>
        <v/>
      </c>
      <c r="AN585">
        <f>IF($AM585="","",INDEX(TAX_MODES!$B:$B,MATCH($AM585,TAX_MODES!$A:$A,0)))</f>
        <v/>
      </c>
    </row>
    <row r="586">
      <c r="X586" s="15" t="n"/>
      <c r="Y586" s="15">
        <f>IF($X586="","",SUMIFS(TARIFF_PROFILES!$D:$D,TARIFF_PROFILES!$A:$A,$X586))</f>
        <v/>
      </c>
      <c r="Z586" s="15">
        <f>IF($X586="","",SUMIFS(TARIFF_PROFILES!$E:$E,TARIFF_PROFILES!$A:$A,$X586))</f>
        <v/>
      </c>
      <c r="AA586" s="15">
        <f>IF($X586="","",SUMIFS(TARIFF_PROFILES!$F:$F,TARIFF_PROFILES!$A:$A,$X586))</f>
        <v/>
      </c>
      <c r="AB586" s="15">
        <f>IF($X586="","",SUMIFS(TARIFF_PROFILES!$G:$G,TARIFF_PROFILES!$A:$A,$X586))</f>
        <v/>
      </c>
      <c r="AC586" s="15">
        <f>IF($X586="","",SUMIFS(TARIFF_PROFILES!$H:$H,TARIFF_PROFILES!$A:$A,$X586))</f>
        <v/>
      </c>
      <c r="AD586" s="15">
        <f>IF($X586="","",INDEX(TARIFF_PROFILES!$J:$J,MATCH($X586,TARIFF_PROFILES!$A:$A,0)))</f>
        <v/>
      </c>
      <c r="AE586" s="15">
        <f>IF($X586="","",INDEX(TARIFF_PROFILES!$K:$K,MATCH($X586,TARIFF_PROFILES!$A:$A,0)))</f>
        <v/>
      </c>
      <c r="AH586">
        <f>IF($AG586="","",SUMIFS(OPERATING_COEFFS!$C:$C,OPERATING_COEFFS!$A:$A,"DistanceClass",OPERATING_COEFFS!$B:$B,$AG586))</f>
        <v/>
      </c>
      <c r="AJ586">
        <f>IF($AI586="","",SUMIFS(OPERATING_COEFFS!$C:$C,OPERATING_COEFFS!$A:$A,"SeasonClass",OPERATING_COEFFS!$B:$B,$AI586))</f>
        <v/>
      </c>
      <c r="AL586">
        <f>IF($AK586="","",SUMIFS(OPERATING_COEFFS!$C:$C,OPERATING_COEFFS!$A:$A,"UrgencyClass",OPERATING_COEFFS!$B:$B,$AK586))</f>
        <v/>
      </c>
      <c r="AN586">
        <f>IF($AM586="","",INDEX(TAX_MODES!$B:$B,MATCH($AM586,TAX_MODES!$A:$A,0)))</f>
        <v/>
      </c>
    </row>
    <row r="587">
      <c r="X587" s="15" t="n"/>
      <c r="Y587" s="15">
        <f>IF($X587="","",SUMIFS(TARIFF_PROFILES!$D:$D,TARIFF_PROFILES!$A:$A,$X587))</f>
        <v/>
      </c>
      <c r="Z587" s="15">
        <f>IF($X587="","",SUMIFS(TARIFF_PROFILES!$E:$E,TARIFF_PROFILES!$A:$A,$X587))</f>
        <v/>
      </c>
      <c r="AA587" s="15">
        <f>IF($X587="","",SUMIFS(TARIFF_PROFILES!$F:$F,TARIFF_PROFILES!$A:$A,$X587))</f>
        <v/>
      </c>
      <c r="AB587" s="15">
        <f>IF($X587="","",SUMIFS(TARIFF_PROFILES!$G:$G,TARIFF_PROFILES!$A:$A,$X587))</f>
        <v/>
      </c>
      <c r="AC587" s="15">
        <f>IF($X587="","",SUMIFS(TARIFF_PROFILES!$H:$H,TARIFF_PROFILES!$A:$A,$X587))</f>
        <v/>
      </c>
      <c r="AD587" s="15">
        <f>IF($X587="","",INDEX(TARIFF_PROFILES!$J:$J,MATCH($X587,TARIFF_PROFILES!$A:$A,0)))</f>
        <v/>
      </c>
      <c r="AE587" s="15">
        <f>IF($X587="","",INDEX(TARIFF_PROFILES!$K:$K,MATCH($X587,TARIFF_PROFILES!$A:$A,0)))</f>
        <v/>
      </c>
      <c r="AH587">
        <f>IF($AG587="","",SUMIFS(OPERATING_COEFFS!$C:$C,OPERATING_COEFFS!$A:$A,"DistanceClass",OPERATING_COEFFS!$B:$B,$AG587))</f>
        <v/>
      </c>
      <c r="AJ587">
        <f>IF($AI587="","",SUMIFS(OPERATING_COEFFS!$C:$C,OPERATING_COEFFS!$A:$A,"SeasonClass",OPERATING_COEFFS!$B:$B,$AI587))</f>
        <v/>
      </c>
      <c r="AL587">
        <f>IF($AK587="","",SUMIFS(OPERATING_COEFFS!$C:$C,OPERATING_COEFFS!$A:$A,"UrgencyClass",OPERATING_COEFFS!$B:$B,$AK587))</f>
        <v/>
      </c>
      <c r="AN587">
        <f>IF($AM587="","",INDEX(TAX_MODES!$B:$B,MATCH($AM587,TAX_MODES!$A:$A,0)))</f>
        <v/>
      </c>
    </row>
    <row r="588">
      <c r="X588" s="15" t="n"/>
      <c r="Y588" s="15">
        <f>IF($X588="","",SUMIFS(TARIFF_PROFILES!$D:$D,TARIFF_PROFILES!$A:$A,$X588))</f>
        <v/>
      </c>
      <c r="Z588" s="15">
        <f>IF($X588="","",SUMIFS(TARIFF_PROFILES!$E:$E,TARIFF_PROFILES!$A:$A,$X588))</f>
        <v/>
      </c>
      <c r="AA588" s="15">
        <f>IF($X588="","",SUMIFS(TARIFF_PROFILES!$F:$F,TARIFF_PROFILES!$A:$A,$X588))</f>
        <v/>
      </c>
      <c r="AB588" s="15">
        <f>IF($X588="","",SUMIFS(TARIFF_PROFILES!$G:$G,TARIFF_PROFILES!$A:$A,$X588))</f>
        <v/>
      </c>
      <c r="AC588" s="15">
        <f>IF($X588="","",SUMIFS(TARIFF_PROFILES!$H:$H,TARIFF_PROFILES!$A:$A,$X588))</f>
        <v/>
      </c>
      <c r="AD588" s="15">
        <f>IF($X588="","",INDEX(TARIFF_PROFILES!$J:$J,MATCH($X588,TARIFF_PROFILES!$A:$A,0)))</f>
        <v/>
      </c>
      <c r="AE588" s="15">
        <f>IF($X588="","",INDEX(TARIFF_PROFILES!$K:$K,MATCH($X588,TARIFF_PROFILES!$A:$A,0)))</f>
        <v/>
      </c>
      <c r="AH588">
        <f>IF($AG588="","",SUMIFS(OPERATING_COEFFS!$C:$C,OPERATING_COEFFS!$A:$A,"DistanceClass",OPERATING_COEFFS!$B:$B,$AG588))</f>
        <v/>
      </c>
      <c r="AJ588">
        <f>IF($AI588="","",SUMIFS(OPERATING_COEFFS!$C:$C,OPERATING_COEFFS!$A:$A,"SeasonClass",OPERATING_COEFFS!$B:$B,$AI588))</f>
        <v/>
      </c>
      <c r="AL588">
        <f>IF($AK588="","",SUMIFS(OPERATING_COEFFS!$C:$C,OPERATING_COEFFS!$A:$A,"UrgencyClass",OPERATING_COEFFS!$B:$B,$AK588))</f>
        <v/>
      </c>
      <c r="AN588">
        <f>IF($AM588="","",INDEX(TAX_MODES!$B:$B,MATCH($AM588,TAX_MODES!$A:$A,0)))</f>
        <v/>
      </c>
    </row>
    <row r="589">
      <c r="X589" s="15" t="n"/>
      <c r="Y589" s="15">
        <f>IF($X589="","",SUMIFS(TARIFF_PROFILES!$D:$D,TARIFF_PROFILES!$A:$A,$X589))</f>
        <v/>
      </c>
      <c r="Z589" s="15">
        <f>IF($X589="","",SUMIFS(TARIFF_PROFILES!$E:$E,TARIFF_PROFILES!$A:$A,$X589))</f>
        <v/>
      </c>
      <c r="AA589" s="15">
        <f>IF($X589="","",SUMIFS(TARIFF_PROFILES!$F:$F,TARIFF_PROFILES!$A:$A,$X589))</f>
        <v/>
      </c>
      <c r="AB589" s="15">
        <f>IF($X589="","",SUMIFS(TARIFF_PROFILES!$G:$G,TARIFF_PROFILES!$A:$A,$X589))</f>
        <v/>
      </c>
      <c r="AC589" s="15">
        <f>IF($X589="","",SUMIFS(TARIFF_PROFILES!$H:$H,TARIFF_PROFILES!$A:$A,$X589))</f>
        <v/>
      </c>
      <c r="AD589" s="15">
        <f>IF($X589="","",INDEX(TARIFF_PROFILES!$J:$J,MATCH($X589,TARIFF_PROFILES!$A:$A,0)))</f>
        <v/>
      </c>
      <c r="AE589" s="15">
        <f>IF($X589="","",INDEX(TARIFF_PROFILES!$K:$K,MATCH($X589,TARIFF_PROFILES!$A:$A,0)))</f>
        <v/>
      </c>
      <c r="AH589">
        <f>IF($AG589="","",SUMIFS(OPERATING_COEFFS!$C:$C,OPERATING_COEFFS!$A:$A,"DistanceClass",OPERATING_COEFFS!$B:$B,$AG589))</f>
        <v/>
      </c>
      <c r="AJ589">
        <f>IF($AI589="","",SUMIFS(OPERATING_COEFFS!$C:$C,OPERATING_COEFFS!$A:$A,"SeasonClass",OPERATING_COEFFS!$B:$B,$AI589))</f>
        <v/>
      </c>
      <c r="AL589">
        <f>IF($AK589="","",SUMIFS(OPERATING_COEFFS!$C:$C,OPERATING_COEFFS!$A:$A,"UrgencyClass",OPERATING_COEFFS!$B:$B,$AK589))</f>
        <v/>
      </c>
      <c r="AN589">
        <f>IF($AM589="","",INDEX(TAX_MODES!$B:$B,MATCH($AM589,TAX_MODES!$A:$A,0)))</f>
        <v/>
      </c>
    </row>
    <row r="590">
      <c r="X590" s="15" t="n"/>
      <c r="Y590" s="15">
        <f>IF($X590="","",SUMIFS(TARIFF_PROFILES!$D:$D,TARIFF_PROFILES!$A:$A,$X590))</f>
        <v/>
      </c>
      <c r="Z590" s="15">
        <f>IF($X590="","",SUMIFS(TARIFF_PROFILES!$E:$E,TARIFF_PROFILES!$A:$A,$X590))</f>
        <v/>
      </c>
      <c r="AA590" s="15">
        <f>IF($X590="","",SUMIFS(TARIFF_PROFILES!$F:$F,TARIFF_PROFILES!$A:$A,$X590))</f>
        <v/>
      </c>
      <c r="AB590" s="15">
        <f>IF($X590="","",SUMIFS(TARIFF_PROFILES!$G:$G,TARIFF_PROFILES!$A:$A,$X590))</f>
        <v/>
      </c>
      <c r="AC590" s="15">
        <f>IF($X590="","",SUMIFS(TARIFF_PROFILES!$H:$H,TARIFF_PROFILES!$A:$A,$X590))</f>
        <v/>
      </c>
      <c r="AD590" s="15">
        <f>IF($X590="","",INDEX(TARIFF_PROFILES!$J:$J,MATCH($X590,TARIFF_PROFILES!$A:$A,0)))</f>
        <v/>
      </c>
      <c r="AE590" s="15">
        <f>IF($X590="","",INDEX(TARIFF_PROFILES!$K:$K,MATCH($X590,TARIFF_PROFILES!$A:$A,0)))</f>
        <v/>
      </c>
      <c r="AH590">
        <f>IF($AG590="","",SUMIFS(OPERATING_COEFFS!$C:$C,OPERATING_COEFFS!$A:$A,"DistanceClass",OPERATING_COEFFS!$B:$B,$AG590))</f>
        <v/>
      </c>
      <c r="AJ590">
        <f>IF($AI590="","",SUMIFS(OPERATING_COEFFS!$C:$C,OPERATING_COEFFS!$A:$A,"SeasonClass",OPERATING_COEFFS!$B:$B,$AI590))</f>
        <v/>
      </c>
      <c r="AL590">
        <f>IF($AK590="","",SUMIFS(OPERATING_COEFFS!$C:$C,OPERATING_COEFFS!$A:$A,"UrgencyClass",OPERATING_COEFFS!$B:$B,$AK590))</f>
        <v/>
      </c>
      <c r="AN590">
        <f>IF($AM590="","",INDEX(TAX_MODES!$B:$B,MATCH($AM590,TAX_MODES!$A:$A,0)))</f>
        <v/>
      </c>
    </row>
    <row r="591">
      <c r="X591" s="15" t="n"/>
      <c r="Y591" s="15">
        <f>IF($X591="","",SUMIFS(TARIFF_PROFILES!$D:$D,TARIFF_PROFILES!$A:$A,$X591))</f>
        <v/>
      </c>
      <c r="Z591" s="15">
        <f>IF($X591="","",SUMIFS(TARIFF_PROFILES!$E:$E,TARIFF_PROFILES!$A:$A,$X591))</f>
        <v/>
      </c>
      <c r="AA591" s="15">
        <f>IF($X591="","",SUMIFS(TARIFF_PROFILES!$F:$F,TARIFF_PROFILES!$A:$A,$X591))</f>
        <v/>
      </c>
      <c r="AB591" s="15">
        <f>IF($X591="","",SUMIFS(TARIFF_PROFILES!$G:$G,TARIFF_PROFILES!$A:$A,$X591))</f>
        <v/>
      </c>
      <c r="AC591" s="15">
        <f>IF($X591="","",SUMIFS(TARIFF_PROFILES!$H:$H,TARIFF_PROFILES!$A:$A,$X591))</f>
        <v/>
      </c>
      <c r="AD591" s="15">
        <f>IF($X591="","",INDEX(TARIFF_PROFILES!$J:$J,MATCH($X591,TARIFF_PROFILES!$A:$A,0)))</f>
        <v/>
      </c>
      <c r="AE591" s="15">
        <f>IF($X591="","",INDEX(TARIFF_PROFILES!$K:$K,MATCH($X591,TARIFF_PROFILES!$A:$A,0)))</f>
        <v/>
      </c>
      <c r="AH591">
        <f>IF($AG591="","",SUMIFS(OPERATING_COEFFS!$C:$C,OPERATING_COEFFS!$A:$A,"DistanceClass",OPERATING_COEFFS!$B:$B,$AG591))</f>
        <v/>
      </c>
      <c r="AJ591">
        <f>IF($AI591="","",SUMIFS(OPERATING_COEFFS!$C:$C,OPERATING_COEFFS!$A:$A,"SeasonClass",OPERATING_COEFFS!$B:$B,$AI591))</f>
        <v/>
      </c>
      <c r="AL591">
        <f>IF($AK591="","",SUMIFS(OPERATING_COEFFS!$C:$C,OPERATING_COEFFS!$A:$A,"UrgencyClass",OPERATING_COEFFS!$B:$B,$AK591))</f>
        <v/>
      </c>
      <c r="AN591">
        <f>IF($AM591="","",INDEX(TAX_MODES!$B:$B,MATCH($AM591,TAX_MODES!$A:$A,0)))</f>
        <v/>
      </c>
    </row>
    <row r="592">
      <c r="X592" s="15" t="n"/>
      <c r="Y592" s="15">
        <f>IF($X592="","",SUMIFS(TARIFF_PROFILES!$D:$D,TARIFF_PROFILES!$A:$A,$X592))</f>
        <v/>
      </c>
      <c r="Z592" s="15">
        <f>IF($X592="","",SUMIFS(TARIFF_PROFILES!$E:$E,TARIFF_PROFILES!$A:$A,$X592))</f>
        <v/>
      </c>
      <c r="AA592" s="15">
        <f>IF($X592="","",SUMIFS(TARIFF_PROFILES!$F:$F,TARIFF_PROFILES!$A:$A,$X592))</f>
        <v/>
      </c>
      <c r="AB592" s="15">
        <f>IF($X592="","",SUMIFS(TARIFF_PROFILES!$G:$G,TARIFF_PROFILES!$A:$A,$X592))</f>
        <v/>
      </c>
      <c r="AC592" s="15">
        <f>IF($X592="","",SUMIFS(TARIFF_PROFILES!$H:$H,TARIFF_PROFILES!$A:$A,$X592))</f>
        <v/>
      </c>
      <c r="AD592" s="15">
        <f>IF($X592="","",INDEX(TARIFF_PROFILES!$J:$J,MATCH($X592,TARIFF_PROFILES!$A:$A,0)))</f>
        <v/>
      </c>
      <c r="AE592" s="15">
        <f>IF($X592="","",INDEX(TARIFF_PROFILES!$K:$K,MATCH($X592,TARIFF_PROFILES!$A:$A,0)))</f>
        <v/>
      </c>
      <c r="AH592">
        <f>IF($AG592="","",SUMIFS(OPERATING_COEFFS!$C:$C,OPERATING_COEFFS!$A:$A,"DistanceClass",OPERATING_COEFFS!$B:$B,$AG592))</f>
        <v/>
      </c>
      <c r="AJ592">
        <f>IF($AI592="","",SUMIFS(OPERATING_COEFFS!$C:$C,OPERATING_COEFFS!$A:$A,"SeasonClass",OPERATING_COEFFS!$B:$B,$AI592))</f>
        <v/>
      </c>
      <c r="AL592">
        <f>IF($AK592="","",SUMIFS(OPERATING_COEFFS!$C:$C,OPERATING_COEFFS!$A:$A,"UrgencyClass",OPERATING_COEFFS!$B:$B,$AK592))</f>
        <v/>
      </c>
      <c r="AN592">
        <f>IF($AM592="","",INDEX(TAX_MODES!$B:$B,MATCH($AM592,TAX_MODES!$A:$A,0)))</f>
        <v/>
      </c>
    </row>
    <row r="593">
      <c r="X593" s="15" t="n"/>
      <c r="Y593" s="15">
        <f>IF($X593="","",SUMIFS(TARIFF_PROFILES!$D:$D,TARIFF_PROFILES!$A:$A,$X593))</f>
        <v/>
      </c>
      <c r="Z593" s="15">
        <f>IF($X593="","",SUMIFS(TARIFF_PROFILES!$E:$E,TARIFF_PROFILES!$A:$A,$X593))</f>
        <v/>
      </c>
      <c r="AA593" s="15">
        <f>IF($X593="","",SUMIFS(TARIFF_PROFILES!$F:$F,TARIFF_PROFILES!$A:$A,$X593))</f>
        <v/>
      </c>
      <c r="AB593" s="15">
        <f>IF($X593="","",SUMIFS(TARIFF_PROFILES!$G:$G,TARIFF_PROFILES!$A:$A,$X593))</f>
        <v/>
      </c>
      <c r="AC593" s="15">
        <f>IF($X593="","",SUMIFS(TARIFF_PROFILES!$H:$H,TARIFF_PROFILES!$A:$A,$X593))</f>
        <v/>
      </c>
      <c r="AD593" s="15">
        <f>IF($X593="","",INDEX(TARIFF_PROFILES!$J:$J,MATCH($X593,TARIFF_PROFILES!$A:$A,0)))</f>
        <v/>
      </c>
      <c r="AE593" s="15">
        <f>IF($X593="","",INDEX(TARIFF_PROFILES!$K:$K,MATCH($X593,TARIFF_PROFILES!$A:$A,0)))</f>
        <v/>
      </c>
      <c r="AH593">
        <f>IF($AG593="","",SUMIFS(OPERATING_COEFFS!$C:$C,OPERATING_COEFFS!$A:$A,"DistanceClass",OPERATING_COEFFS!$B:$B,$AG593))</f>
        <v/>
      </c>
      <c r="AJ593">
        <f>IF($AI593="","",SUMIFS(OPERATING_COEFFS!$C:$C,OPERATING_COEFFS!$A:$A,"SeasonClass",OPERATING_COEFFS!$B:$B,$AI593))</f>
        <v/>
      </c>
      <c r="AL593">
        <f>IF($AK593="","",SUMIFS(OPERATING_COEFFS!$C:$C,OPERATING_COEFFS!$A:$A,"UrgencyClass",OPERATING_COEFFS!$B:$B,$AK593))</f>
        <v/>
      </c>
      <c r="AN593">
        <f>IF($AM593="","",INDEX(TAX_MODES!$B:$B,MATCH($AM593,TAX_MODES!$A:$A,0)))</f>
        <v/>
      </c>
    </row>
    <row r="594">
      <c r="X594" s="15" t="n"/>
      <c r="Y594" s="15">
        <f>IF($X594="","",SUMIFS(TARIFF_PROFILES!$D:$D,TARIFF_PROFILES!$A:$A,$X594))</f>
        <v/>
      </c>
      <c r="Z594" s="15">
        <f>IF($X594="","",SUMIFS(TARIFF_PROFILES!$E:$E,TARIFF_PROFILES!$A:$A,$X594))</f>
        <v/>
      </c>
      <c r="AA594" s="15">
        <f>IF($X594="","",SUMIFS(TARIFF_PROFILES!$F:$F,TARIFF_PROFILES!$A:$A,$X594))</f>
        <v/>
      </c>
      <c r="AB594" s="15">
        <f>IF($X594="","",SUMIFS(TARIFF_PROFILES!$G:$G,TARIFF_PROFILES!$A:$A,$X594))</f>
        <v/>
      </c>
      <c r="AC594" s="15">
        <f>IF($X594="","",SUMIFS(TARIFF_PROFILES!$H:$H,TARIFF_PROFILES!$A:$A,$X594))</f>
        <v/>
      </c>
      <c r="AD594" s="15">
        <f>IF($X594="","",INDEX(TARIFF_PROFILES!$J:$J,MATCH($X594,TARIFF_PROFILES!$A:$A,0)))</f>
        <v/>
      </c>
      <c r="AE594" s="15">
        <f>IF($X594="","",INDEX(TARIFF_PROFILES!$K:$K,MATCH($X594,TARIFF_PROFILES!$A:$A,0)))</f>
        <v/>
      </c>
      <c r="AH594">
        <f>IF($AG594="","",SUMIFS(OPERATING_COEFFS!$C:$C,OPERATING_COEFFS!$A:$A,"DistanceClass",OPERATING_COEFFS!$B:$B,$AG594))</f>
        <v/>
      </c>
      <c r="AJ594">
        <f>IF($AI594="","",SUMIFS(OPERATING_COEFFS!$C:$C,OPERATING_COEFFS!$A:$A,"SeasonClass",OPERATING_COEFFS!$B:$B,$AI594))</f>
        <v/>
      </c>
      <c r="AL594">
        <f>IF($AK594="","",SUMIFS(OPERATING_COEFFS!$C:$C,OPERATING_COEFFS!$A:$A,"UrgencyClass",OPERATING_COEFFS!$B:$B,$AK594))</f>
        <v/>
      </c>
      <c r="AN594">
        <f>IF($AM594="","",INDEX(TAX_MODES!$B:$B,MATCH($AM594,TAX_MODES!$A:$A,0)))</f>
        <v/>
      </c>
    </row>
    <row r="595">
      <c r="X595" s="15" t="n"/>
      <c r="Y595" s="15">
        <f>IF($X595="","",SUMIFS(TARIFF_PROFILES!$D:$D,TARIFF_PROFILES!$A:$A,$X595))</f>
        <v/>
      </c>
      <c r="Z595" s="15">
        <f>IF($X595="","",SUMIFS(TARIFF_PROFILES!$E:$E,TARIFF_PROFILES!$A:$A,$X595))</f>
        <v/>
      </c>
      <c r="AA595" s="15">
        <f>IF($X595="","",SUMIFS(TARIFF_PROFILES!$F:$F,TARIFF_PROFILES!$A:$A,$X595))</f>
        <v/>
      </c>
      <c r="AB595" s="15">
        <f>IF($X595="","",SUMIFS(TARIFF_PROFILES!$G:$G,TARIFF_PROFILES!$A:$A,$X595))</f>
        <v/>
      </c>
      <c r="AC595" s="15">
        <f>IF($X595="","",SUMIFS(TARIFF_PROFILES!$H:$H,TARIFF_PROFILES!$A:$A,$X595))</f>
        <v/>
      </c>
      <c r="AD595" s="15">
        <f>IF($X595="","",INDEX(TARIFF_PROFILES!$J:$J,MATCH($X595,TARIFF_PROFILES!$A:$A,0)))</f>
        <v/>
      </c>
      <c r="AE595" s="15">
        <f>IF($X595="","",INDEX(TARIFF_PROFILES!$K:$K,MATCH($X595,TARIFF_PROFILES!$A:$A,0)))</f>
        <v/>
      </c>
      <c r="AH595">
        <f>IF($AG595="","",SUMIFS(OPERATING_COEFFS!$C:$C,OPERATING_COEFFS!$A:$A,"DistanceClass",OPERATING_COEFFS!$B:$B,$AG595))</f>
        <v/>
      </c>
      <c r="AJ595">
        <f>IF($AI595="","",SUMIFS(OPERATING_COEFFS!$C:$C,OPERATING_COEFFS!$A:$A,"SeasonClass",OPERATING_COEFFS!$B:$B,$AI595))</f>
        <v/>
      </c>
      <c r="AL595">
        <f>IF($AK595="","",SUMIFS(OPERATING_COEFFS!$C:$C,OPERATING_COEFFS!$A:$A,"UrgencyClass",OPERATING_COEFFS!$B:$B,$AK595))</f>
        <v/>
      </c>
      <c r="AN595">
        <f>IF($AM595="","",INDEX(TAX_MODES!$B:$B,MATCH($AM595,TAX_MODES!$A:$A,0)))</f>
        <v/>
      </c>
    </row>
    <row r="596">
      <c r="X596" s="15" t="n"/>
      <c r="Y596" s="15">
        <f>IF($X596="","",SUMIFS(TARIFF_PROFILES!$D:$D,TARIFF_PROFILES!$A:$A,$X596))</f>
        <v/>
      </c>
      <c r="Z596" s="15">
        <f>IF($X596="","",SUMIFS(TARIFF_PROFILES!$E:$E,TARIFF_PROFILES!$A:$A,$X596))</f>
        <v/>
      </c>
      <c r="AA596" s="15">
        <f>IF($X596="","",SUMIFS(TARIFF_PROFILES!$F:$F,TARIFF_PROFILES!$A:$A,$X596))</f>
        <v/>
      </c>
      <c r="AB596" s="15">
        <f>IF($X596="","",SUMIFS(TARIFF_PROFILES!$G:$G,TARIFF_PROFILES!$A:$A,$X596))</f>
        <v/>
      </c>
      <c r="AC596" s="15">
        <f>IF($X596="","",SUMIFS(TARIFF_PROFILES!$H:$H,TARIFF_PROFILES!$A:$A,$X596))</f>
        <v/>
      </c>
      <c r="AD596" s="15">
        <f>IF($X596="","",INDEX(TARIFF_PROFILES!$J:$J,MATCH($X596,TARIFF_PROFILES!$A:$A,0)))</f>
        <v/>
      </c>
      <c r="AE596" s="15">
        <f>IF($X596="","",INDEX(TARIFF_PROFILES!$K:$K,MATCH($X596,TARIFF_PROFILES!$A:$A,0)))</f>
        <v/>
      </c>
      <c r="AH596">
        <f>IF($AG596="","",SUMIFS(OPERATING_COEFFS!$C:$C,OPERATING_COEFFS!$A:$A,"DistanceClass",OPERATING_COEFFS!$B:$B,$AG596))</f>
        <v/>
      </c>
      <c r="AJ596">
        <f>IF($AI596="","",SUMIFS(OPERATING_COEFFS!$C:$C,OPERATING_COEFFS!$A:$A,"SeasonClass",OPERATING_COEFFS!$B:$B,$AI596))</f>
        <v/>
      </c>
      <c r="AL596">
        <f>IF($AK596="","",SUMIFS(OPERATING_COEFFS!$C:$C,OPERATING_COEFFS!$A:$A,"UrgencyClass",OPERATING_COEFFS!$B:$B,$AK596))</f>
        <v/>
      </c>
      <c r="AN596">
        <f>IF($AM596="","",INDEX(TAX_MODES!$B:$B,MATCH($AM596,TAX_MODES!$A:$A,0)))</f>
        <v/>
      </c>
    </row>
    <row r="597">
      <c r="X597" s="15" t="n"/>
      <c r="Y597" s="15">
        <f>IF($X597="","",SUMIFS(TARIFF_PROFILES!$D:$D,TARIFF_PROFILES!$A:$A,$X597))</f>
        <v/>
      </c>
      <c r="Z597" s="15">
        <f>IF($X597="","",SUMIFS(TARIFF_PROFILES!$E:$E,TARIFF_PROFILES!$A:$A,$X597))</f>
        <v/>
      </c>
      <c r="AA597" s="15">
        <f>IF($X597="","",SUMIFS(TARIFF_PROFILES!$F:$F,TARIFF_PROFILES!$A:$A,$X597))</f>
        <v/>
      </c>
      <c r="AB597" s="15">
        <f>IF($X597="","",SUMIFS(TARIFF_PROFILES!$G:$G,TARIFF_PROFILES!$A:$A,$X597))</f>
        <v/>
      </c>
      <c r="AC597" s="15">
        <f>IF($X597="","",SUMIFS(TARIFF_PROFILES!$H:$H,TARIFF_PROFILES!$A:$A,$X597))</f>
        <v/>
      </c>
      <c r="AD597" s="15">
        <f>IF($X597="","",INDEX(TARIFF_PROFILES!$J:$J,MATCH($X597,TARIFF_PROFILES!$A:$A,0)))</f>
        <v/>
      </c>
      <c r="AE597" s="15">
        <f>IF($X597="","",INDEX(TARIFF_PROFILES!$K:$K,MATCH($X597,TARIFF_PROFILES!$A:$A,0)))</f>
        <v/>
      </c>
      <c r="AH597">
        <f>IF($AG597="","",SUMIFS(OPERATING_COEFFS!$C:$C,OPERATING_COEFFS!$A:$A,"DistanceClass",OPERATING_COEFFS!$B:$B,$AG597))</f>
        <v/>
      </c>
      <c r="AJ597">
        <f>IF($AI597="","",SUMIFS(OPERATING_COEFFS!$C:$C,OPERATING_COEFFS!$A:$A,"SeasonClass",OPERATING_COEFFS!$B:$B,$AI597))</f>
        <v/>
      </c>
      <c r="AL597">
        <f>IF($AK597="","",SUMIFS(OPERATING_COEFFS!$C:$C,OPERATING_COEFFS!$A:$A,"UrgencyClass",OPERATING_COEFFS!$B:$B,$AK597))</f>
        <v/>
      </c>
      <c r="AN597">
        <f>IF($AM597="","",INDEX(TAX_MODES!$B:$B,MATCH($AM597,TAX_MODES!$A:$A,0)))</f>
        <v/>
      </c>
    </row>
    <row r="598">
      <c r="X598" s="15" t="n"/>
      <c r="Y598" s="15">
        <f>IF($X598="","",SUMIFS(TARIFF_PROFILES!$D:$D,TARIFF_PROFILES!$A:$A,$X598))</f>
        <v/>
      </c>
      <c r="Z598" s="15">
        <f>IF($X598="","",SUMIFS(TARIFF_PROFILES!$E:$E,TARIFF_PROFILES!$A:$A,$X598))</f>
        <v/>
      </c>
      <c r="AA598" s="15">
        <f>IF($X598="","",SUMIFS(TARIFF_PROFILES!$F:$F,TARIFF_PROFILES!$A:$A,$X598))</f>
        <v/>
      </c>
      <c r="AB598" s="15">
        <f>IF($X598="","",SUMIFS(TARIFF_PROFILES!$G:$G,TARIFF_PROFILES!$A:$A,$X598))</f>
        <v/>
      </c>
      <c r="AC598" s="15">
        <f>IF($X598="","",SUMIFS(TARIFF_PROFILES!$H:$H,TARIFF_PROFILES!$A:$A,$X598))</f>
        <v/>
      </c>
      <c r="AD598" s="15">
        <f>IF($X598="","",INDEX(TARIFF_PROFILES!$J:$J,MATCH($X598,TARIFF_PROFILES!$A:$A,0)))</f>
        <v/>
      </c>
      <c r="AE598" s="15">
        <f>IF($X598="","",INDEX(TARIFF_PROFILES!$K:$K,MATCH($X598,TARIFF_PROFILES!$A:$A,0)))</f>
        <v/>
      </c>
      <c r="AH598">
        <f>IF($AG598="","",SUMIFS(OPERATING_COEFFS!$C:$C,OPERATING_COEFFS!$A:$A,"DistanceClass",OPERATING_COEFFS!$B:$B,$AG598))</f>
        <v/>
      </c>
      <c r="AJ598">
        <f>IF($AI598="","",SUMIFS(OPERATING_COEFFS!$C:$C,OPERATING_COEFFS!$A:$A,"SeasonClass",OPERATING_COEFFS!$B:$B,$AI598))</f>
        <v/>
      </c>
      <c r="AL598">
        <f>IF($AK598="","",SUMIFS(OPERATING_COEFFS!$C:$C,OPERATING_COEFFS!$A:$A,"UrgencyClass",OPERATING_COEFFS!$B:$B,$AK598))</f>
        <v/>
      </c>
      <c r="AN598">
        <f>IF($AM598="","",INDEX(TAX_MODES!$B:$B,MATCH($AM598,TAX_MODES!$A:$A,0)))</f>
        <v/>
      </c>
    </row>
    <row r="599">
      <c r="X599" s="15" t="n"/>
      <c r="Y599" s="15">
        <f>IF($X599="","",SUMIFS(TARIFF_PROFILES!$D:$D,TARIFF_PROFILES!$A:$A,$X599))</f>
        <v/>
      </c>
      <c r="Z599" s="15">
        <f>IF($X599="","",SUMIFS(TARIFF_PROFILES!$E:$E,TARIFF_PROFILES!$A:$A,$X599))</f>
        <v/>
      </c>
      <c r="AA599" s="15">
        <f>IF($X599="","",SUMIFS(TARIFF_PROFILES!$F:$F,TARIFF_PROFILES!$A:$A,$X599))</f>
        <v/>
      </c>
      <c r="AB599" s="15">
        <f>IF($X599="","",SUMIFS(TARIFF_PROFILES!$G:$G,TARIFF_PROFILES!$A:$A,$X599))</f>
        <v/>
      </c>
      <c r="AC599" s="15">
        <f>IF($X599="","",SUMIFS(TARIFF_PROFILES!$H:$H,TARIFF_PROFILES!$A:$A,$X599))</f>
        <v/>
      </c>
      <c r="AD599" s="15">
        <f>IF($X599="","",INDEX(TARIFF_PROFILES!$J:$J,MATCH($X599,TARIFF_PROFILES!$A:$A,0)))</f>
        <v/>
      </c>
      <c r="AE599" s="15">
        <f>IF($X599="","",INDEX(TARIFF_PROFILES!$K:$K,MATCH($X599,TARIFF_PROFILES!$A:$A,0)))</f>
        <v/>
      </c>
      <c r="AH599">
        <f>IF($AG599="","",SUMIFS(OPERATING_COEFFS!$C:$C,OPERATING_COEFFS!$A:$A,"DistanceClass",OPERATING_COEFFS!$B:$B,$AG599))</f>
        <v/>
      </c>
      <c r="AJ599">
        <f>IF($AI599="","",SUMIFS(OPERATING_COEFFS!$C:$C,OPERATING_COEFFS!$A:$A,"SeasonClass",OPERATING_COEFFS!$B:$B,$AI599))</f>
        <v/>
      </c>
      <c r="AL599">
        <f>IF($AK599="","",SUMIFS(OPERATING_COEFFS!$C:$C,OPERATING_COEFFS!$A:$A,"UrgencyClass",OPERATING_COEFFS!$B:$B,$AK599))</f>
        <v/>
      </c>
      <c r="AN599">
        <f>IF($AM599="","",INDEX(TAX_MODES!$B:$B,MATCH($AM599,TAX_MODES!$A:$A,0)))</f>
        <v/>
      </c>
    </row>
    <row r="600">
      <c r="X600" s="15" t="n"/>
      <c r="Y600" s="15">
        <f>IF($X600="","",SUMIFS(TARIFF_PROFILES!$D:$D,TARIFF_PROFILES!$A:$A,$X600))</f>
        <v/>
      </c>
      <c r="Z600" s="15">
        <f>IF($X600="","",SUMIFS(TARIFF_PROFILES!$E:$E,TARIFF_PROFILES!$A:$A,$X600))</f>
        <v/>
      </c>
      <c r="AA600" s="15">
        <f>IF($X600="","",SUMIFS(TARIFF_PROFILES!$F:$F,TARIFF_PROFILES!$A:$A,$X600))</f>
        <v/>
      </c>
      <c r="AB600" s="15">
        <f>IF($X600="","",SUMIFS(TARIFF_PROFILES!$G:$G,TARIFF_PROFILES!$A:$A,$X600))</f>
        <v/>
      </c>
      <c r="AC600" s="15">
        <f>IF($X600="","",SUMIFS(TARIFF_PROFILES!$H:$H,TARIFF_PROFILES!$A:$A,$X600))</f>
        <v/>
      </c>
      <c r="AD600" s="15">
        <f>IF($X600="","",INDEX(TARIFF_PROFILES!$J:$J,MATCH($X600,TARIFF_PROFILES!$A:$A,0)))</f>
        <v/>
      </c>
      <c r="AE600" s="15">
        <f>IF($X600="","",INDEX(TARIFF_PROFILES!$K:$K,MATCH($X600,TARIFF_PROFILES!$A:$A,0)))</f>
        <v/>
      </c>
      <c r="AH600">
        <f>IF($AG600="","",SUMIFS(OPERATING_COEFFS!$C:$C,OPERATING_COEFFS!$A:$A,"DistanceClass",OPERATING_COEFFS!$B:$B,$AG600))</f>
        <v/>
      </c>
      <c r="AJ600">
        <f>IF($AI600="","",SUMIFS(OPERATING_COEFFS!$C:$C,OPERATING_COEFFS!$A:$A,"SeasonClass",OPERATING_COEFFS!$B:$B,$AI600))</f>
        <v/>
      </c>
      <c r="AL600">
        <f>IF($AK600="","",SUMIFS(OPERATING_COEFFS!$C:$C,OPERATING_COEFFS!$A:$A,"UrgencyClass",OPERATING_COEFFS!$B:$B,$AK600))</f>
        <v/>
      </c>
      <c r="AN600">
        <f>IF($AM600="","",INDEX(TAX_MODES!$B:$B,MATCH($AM600,TAX_MODES!$A:$A,0)))</f>
        <v/>
      </c>
    </row>
    <row r="601">
      <c r="X601" s="15" t="n"/>
      <c r="Y601" s="15">
        <f>IF($X601="","",SUMIFS(TARIFF_PROFILES!$D:$D,TARIFF_PROFILES!$A:$A,$X601))</f>
        <v/>
      </c>
      <c r="Z601" s="15">
        <f>IF($X601="","",SUMIFS(TARIFF_PROFILES!$E:$E,TARIFF_PROFILES!$A:$A,$X601))</f>
        <v/>
      </c>
      <c r="AA601" s="15">
        <f>IF($X601="","",SUMIFS(TARIFF_PROFILES!$F:$F,TARIFF_PROFILES!$A:$A,$X601))</f>
        <v/>
      </c>
      <c r="AB601" s="15">
        <f>IF($X601="","",SUMIFS(TARIFF_PROFILES!$G:$G,TARIFF_PROFILES!$A:$A,$X601))</f>
        <v/>
      </c>
      <c r="AC601" s="15">
        <f>IF($X601="","",SUMIFS(TARIFF_PROFILES!$H:$H,TARIFF_PROFILES!$A:$A,$X601))</f>
        <v/>
      </c>
      <c r="AD601" s="15">
        <f>IF($X601="","",INDEX(TARIFF_PROFILES!$J:$J,MATCH($X601,TARIFF_PROFILES!$A:$A,0)))</f>
        <v/>
      </c>
      <c r="AE601" s="15">
        <f>IF($X601="","",INDEX(TARIFF_PROFILES!$K:$K,MATCH($X601,TARIFF_PROFILES!$A:$A,0)))</f>
        <v/>
      </c>
      <c r="AH601">
        <f>IF($AG601="","",SUMIFS(OPERATING_COEFFS!$C:$C,OPERATING_COEFFS!$A:$A,"DistanceClass",OPERATING_COEFFS!$B:$B,$AG601))</f>
        <v/>
      </c>
      <c r="AJ601">
        <f>IF($AI601="","",SUMIFS(OPERATING_COEFFS!$C:$C,OPERATING_COEFFS!$A:$A,"SeasonClass",OPERATING_COEFFS!$B:$B,$AI601))</f>
        <v/>
      </c>
      <c r="AL601">
        <f>IF($AK601="","",SUMIFS(OPERATING_COEFFS!$C:$C,OPERATING_COEFFS!$A:$A,"UrgencyClass",OPERATING_COEFFS!$B:$B,$AK601))</f>
        <v/>
      </c>
      <c r="AN601">
        <f>IF($AM601="","",INDEX(TAX_MODES!$B:$B,MATCH($AM601,TAX_MODES!$A:$A,0)))</f>
        <v/>
      </c>
    </row>
    <row r="602">
      <c r="X602" s="15" t="n"/>
      <c r="Y602" s="15">
        <f>IF($X602="","",SUMIFS(TARIFF_PROFILES!$D:$D,TARIFF_PROFILES!$A:$A,$X602))</f>
        <v/>
      </c>
      <c r="Z602" s="15">
        <f>IF($X602="","",SUMIFS(TARIFF_PROFILES!$E:$E,TARIFF_PROFILES!$A:$A,$X602))</f>
        <v/>
      </c>
      <c r="AA602" s="15">
        <f>IF($X602="","",SUMIFS(TARIFF_PROFILES!$F:$F,TARIFF_PROFILES!$A:$A,$X602))</f>
        <v/>
      </c>
      <c r="AB602" s="15">
        <f>IF($X602="","",SUMIFS(TARIFF_PROFILES!$G:$G,TARIFF_PROFILES!$A:$A,$X602))</f>
        <v/>
      </c>
      <c r="AC602" s="15">
        <f>IF($X602="","",SUMIFS(TARIFF_PROFILES!$H:$H,TARIFF_PROFILES!$A:$A,$X602))</f>
        <v/>
      </c>
      <c r="AD602" s="15">
        <f>IF($X602="","",INDEX(TARIFF_PROFILES!$J:$J,MATCH($X602,TARIFF_PROFILES!$A:$A,0)))</f>
        <v/>
      </c>
      <c r="AE602" s="15">
        <f>IF($X602="","",INDEX(TARIFF_PROFILES!$K:$K,MATCH($X602,TARIFF_PROFILES!$A:$A,0)))</f>
        <v/>
      </c>
      <c r="AH602">
        <f>IF($AG602="","",SUMIFS(OPERATING_COEFFS!$C:$C,OPERATING_COEFFS!$A:$A,"DistanceClass",OPERATING_COEFFS!$B:$B,$AG602))</f>
        <v/>
      </c>
      <c r="AJ602">
        <f>IF($AI602="","",SUMIFS(OPERATING_COEFFS!$C:$C,OPERATING_COEFFS!$A:$A,"SeasonClass",OPERATING_COEFFS!$B:$B,$AI602))</f>
        <v/>
      </c>
      <c r="AL602">
        <f>IF($AK602="","",SUMIFS(OPERATING_COEFFS!$C:$C,OPERATING_COEFFS!$A:$A,"UrgencyClass",OPERATING_COEFFS!$B:$B,$AK602))</f>
        <v/>
      </c>
      <c r="AN602">
        <f>IF($AM602="","",INDEX(TAX_MODES!$B:$B,MATCH($AM602,TAX_MODES!$A:$A,0)))</f>
        <v/>
      </c>
    </row>
    <row r="603">
      <c r="X603" s="15" t="n"/>
      <c r="Y603" s="15">
        <f>IF($X603="","",SUMIFS(TARIFF_PROFILES!$D:$D,TARIFF_PROFILES!$A:$A,$X603))</f>
        <v/>
      </c>
      <c r="Z603" s="15">
        <f>IF($X603="","",SUMIFS(TARIFF_PROFILES!$E:$E,TARIFF_PROFILES!$A:$A,$X603))</f>
        <v/>
      </c>
      <c r="AA603" s="15">
        <f>IF($X603="","",SUMIFS(TARIFF_PROFILES!$F:$F,TARIFF_PROFILES!$A:$A,$X603))</f>
        <v/>
      </c>
      <c r="AB603" s="15">
        <f>IF($X603="","",SUMIFS(TARIFF_PROFILES!$G:$G,TARIFF_PROFILES!$A:$A,$X603))</f>
        <v/>
      </c>
      <c r="AC603" s="15">
        <f>IF($X603="","",SUMIFS(TARIFF_PROFILES!$H:$H,TARIFF_PROFILES!$A:$A,$X603))</f>
        <v/>
      </c>
      <c r="AD603" s="15">
        <f>IF($X603="","",INDEX(TARIFF_PROFILES!$J:$J,MATCH($X603,TARIFF_PROFILES!$A:$A,0)))</f>
        <v/>
      </c>
      <c r="AE603" s="15">
        <f>IF($X603="","",INDEX(TARIFF_PROFILES!$K:$K,MATCH($X603,TARIFF_PROFILES!$A:$A,0)))</f>
        <v/>
      </c>
      <c r="AH603">
        <f>IF($AG603="","",SUMIFS(OPERATING_COEFFS!$C:$C,OPERATING_COEFFS!$A:$A,"DistanceClass",OPERATING_COEFFS!$B:$B,$AG603))</f>
        <v/>
      </c>
      <c r="AJ603">
        <f>IF($AI603="","",SUMIFS(OPERATING_COEFFS!$C:$C,OPERATING_COEFFS!$A:$A,"SeasonClass",OPERATING_COEFFS!$B:$B,$AI603))</f>
        <v/>
      </c>
      <c r="AL603">
        <f>IF($AK603="","",SUMIFS(OPERATING_COEFFS!$C:$C,OPERATING_COEFFS!$A:$A,"UrgencyClass",OPERATING_COEFFS!$B:$B,$AK603))</f>
        <v/>
      </c>
      <c r="AN603">
        <f>IF($AM603="","",INDEX(TAX_MODES!$B:$B,MATCH($AM603,TAX_MODES!$A:$A,0)))</f>
        <v/>
      </c>
    </row>
    <row r="604">
      <c r="X604" s="15" t="n"/>
      <c r="Y604" s="15">
        <f>IF($X604="","",SUMIFS(TARIFF_PROFILES!$D:$D,TARIFF_PROFILES!$A:$A,$X604))</f>
        <v/>
      </c>
      <c r="Z604" s="15">
        <f>IF($X604="","",SUMIFS(TARIFF_PROFILES!$E:$E,TARIFF_PROFILES!$A:$A,$X604))</f>
        <v/>
      </c>
      <c r="AA604" s="15">
        <f>IF($X604="","",SUMIFS(TARIFF_PROFILES!$F:$F,TARIFF_PROFILES!$A:$A,$X604))</f>
        <v/>
      </c>
      <c r="AB604" s="15">
        <f>IF($X604="","",SUMIFS(TARIFF_PROFILES!$G:$G,TARIFF_PROFILES!$A:$A,$X604))</f>
        <v/>
      </c>
      <c r="AC604" s="15">
        <f>IF($X604="","",SUMIFS(TARIFF_PROFILES!$H:$H,TARIFF_PROFILES!$A:$A,$X604))</f>
        <v/>
      </c>
      <c r="AD604" s="15">
        <f>IF($X604="","",INDEX(TARIFF_PROFILES!$J:$J,MATCH($X604,TARIFF_PROFILES!$A:$A,0)))</f>
        <v/>
      </c>
      <c r="AE604" s="15">
        <f>IF($X604="","",INDEX(TARIFF_PROFILES!$K:$K,MATCH($X604,TARIFF_PROFILES!$A:$A,0)))</f>
        <v/>
      </c>
      <c r="AH604">
        <f>IF($AG604="","",SUMIFS(OPERATING_COEFFS!$C:$C,OPERATING_COEFFS!$A:$A,"DistanceClass",OPERATING_COEFFS!$B:$B,$AG604))</f>
        <v/>
      </c>
      <c r="AJ604">
        <f>IF($AI604="","",SUMIFS(OPERATING_COEFFS!$C:$C,OPERATING_COEFFS!$A:$A,"SeasonClass",OPERATING_COEFFS!$B:$B,$AI604))</f>
        <v/>
      </c>
      <c r="AL604">
        <f>IF($AK604="","",SUMIFS(OPERATING_COEFFS!$C:$C,OPERATING_COEFFS!$A:$A,"UrgencyClass",OPERATING_COEFFS!$B:$B,$AK604))</f>
        <v/>
      </c>
      <c r="AN604">
        <f>IF($AM604="","",INDEX(TAX_MODES!$B:$B,MATCH($AM604,TAX_MODES!$A:$A,0)))</f>
        <v/>
      </c>
    </row>
    <row r="605">
      <c r="X605" s="15" t="n"/>
      <c r="Y605" s="15">
        <f>IF($X605="","",SUMIFS(TARIFF_PROFILES!$D:$D,TARIFF_PROFILES!$A:$A,$X605))</f>
        <v/>
      </c>
      <c r="Z605" s="15">
        <f>IF($X605="","",SUMIFS(TARIFF_PROFILES!$E:$E,TARIFF_PROFILES!$A:$A,$X605))</f>
        <v/>
      </c>
      <c r="AA605" s="15">
        <f>IF($X605="","",SUMIFS(TARIFF_PROFILES!$F:$F,TARIFF_PROFILES!$A:$A,$X605))</f>
        <v/>
      </c>
      <c r="AB605" s="15">
        <f>IF($X605="","",SUMIFS(TARIFF_PROFILES!$G:$G,TARIFF_PROFILES!$A:$A,$X605))</f>
        <v/>
      </c>
      <c r="AC605" s="15">
        <f>IF($X605="","",SUMIFS(TARIFF_PROFILES!$H:$H,TARIFF_PROFILES!$A:$A,$X605))</f>
        <v/>
      </c>
      <c r="AD605" s="15">
        <f>IF($X605="","",INDEX(TARIFF_PROFILES!$J:$J,MATCH($X605,TARIFF_PROFILES!$A:$A,0)))</f>
        <v/>
      </c>
      <c r="AE605" s="15">
        <f>IF($X605="","",INDEX(TARIFF_PROFILES!$K:$K,MATCH($X605,TARIFF_PROFILES!$A:$A,0)))</f>
        <v/>
      </c>
      <c r="AH605">
        <f>IF($AG605="","",SUMIFS(OPERATING_COEFFS!$C:$C,OPERATING_COEFFS!$A:$A,"DistanceClass",OPERATING_COEFFS!$B:$B,$AG605))</f>
        <v/>
      </c>
      <c r="AJ605">
        <f>IF($AI605="","",SUMIFS(OPERATING_COEFFS!$C:$C,OPERATING_COEFFS!$A:$A,"SeasonClass",OPERATING_COEFFS!$B:$B,$AI605))</f>
        <v/>
      </c>
      <c r="AL605">
        <f>IF($AK605="","",SUMIFS(OPERATING_COEFFS!$C:$C,OPERATING_COEFFS!$A:$A,"UrgencyClass",OPERATING_COEFFS!$B:$B,$AK605))</f>
        <v/>
      </c>
      <c r="AN605">
        <f>IF($AM605="","",INDEX(TAX_MODES!$B:$B,MATCH($AM605,TAX_MODES!$A:$A,0)))</f>
        <v/>
      </c>
    </row>
    <row r="606">
      <c r="X606" s="15" t="n"/>
      <c r="Y606" s="15">
        <f>IF($X606="","",SUMIFS(TARIFF_PROFILES!$D:$D,TARIFF_PROFILES!$A:$A,$X606))</f>
        <v/>
      </c>
      <c r="Z606" s="15">
        <f>IF($X606="","",SUMIFS(TARIFF_PROFILES!$E:$E,TARIFF_PROFILES!$A:$A,$X606))</f>
        <v/>
      </c>
      <c r="AA606" s="15">
        <f>IF($X606="","",SUMIFS(TARIFF_PROFILES!$F:$F,TARIFF_PROFILES!$A:$A,$X606))</f>
        <v/>
      </c>
      <c r="AB606" s="15">
        <f>IF($X606="","",SUMIFS(TARIFF_PROFILES!$G:$G,TARIFF_PROFILES!$A:$A,$X606))</f>
        <v/>
      </c>
      <c r="AC606" s="15">
        <f>IF($X606="","",SUMIFS(TARIFF_PROFILES!$H:$H,TARIFF_PROFILES!$A:$A,$X606))</f>
        <v/>
      </c>
      <c r="AD606" s="15">
        <f>IF($X606="","",INDEX(TARIFF_PROFILES!$J:$J,MATCH($X606,TARIFF_PROFILES!$A:$A,0)))</f>
        <v/>
      </c>
      <c r="AE606" s="15">
        <f>IF($X606="","",INDEX(TARIFF_PROFILES!$K:$K,MATCH($X606,TARIFF_PROFILES!$A:$A,0)))</f>
        <v/>
      </c>
      <c r="AH606">
        <f>IF($AG606="","",SUMIFS(OPERATING_COEFFS!$C:$C,OPERATING_COEFFS!$A:$A,"DistanceClass",OPERATING_COEFFS!$B:$B,$AG606))</f>
        <v/>
      </c>
      <c r="AJ606">
        <f>IF($AI606="","",SUMIFS(OPERATING_COEFFS!$C:$C,OPERATING_COEFFS!$A:$A,"SeasonClass",OPERATING_COEFFS!$B:$B,$AI606))</f>
        <v/>
      </c>
      <c r="AL606">
        <f>IF($AK606="","",SUMIFS(OPERATING_COEFFS!$C:$C,OPERATING_COEFFS!$A:$A,"UrgencyClass",OPERATING_COEFFS!$B:$B,$AK606))</f>
        <v/>
      </c>
      <c r="AN606">
        <f>IF($AM606="","",INDEX(TAX_MODES!$B:$B,MATCH($AM606,TAX_MODES!$A:$A,0)))</f>
        <v/>
      </c>
    </row>
    <row r="607">
      <c r="X607" s="15" t="n"/>
      <c r="Y607" s="15">
        <f>IF($X607="","",SUMIFS(TARIFF_PROFILES!$D:$D,TARIFF_PROFILES!$A:$A,$X607))</f>
        <v/>
      </c>
      <c r="Z607" s="15">
        <f>IF($X607="","",SUMIFS(TARIFF_PROFILES!$E:$E,TARIFF_PROFILES!$A:$A,$X607))</f>
        <v/>
      </c>
      <c r="AA607" s="15">
        <f>IF($X607="","",SUMIFS(TARIFF_PROFILES!$F:$F,TARIFF_PROFILES!$A:$A,$X607))</f>
        <v/>
      </c>
      <c r="AB607" s="15">
        <f>IF($X607="","",SUMIFS(TARIFF_PROFILES!$G:$G,TARIFF_PROFILES!$A:$A,$X607))</f>
        <v/>
      </c>
      <c r="AC607" s="15">
        <f>IF($X607="","",SUMIFS(TARIFF_PROFILES!$H:$H,TARIFF_PROFILES!$A:$A,$X607))</f>
        <v/>
      </c>
      <c r="AD607" s="15">
        <f>IF($X607="","",INDEX(TARIFF_PROFILES!$J:$J,MATCH($X607,TARIFF_PROFILES!$A:$A,0)))</f>
        <v/>
      </c>
      <c r="AE607" s="15">
        <f>IF($X607="","",INDEX(TARIFF_PROFILES!$K:$K,MATCH($X607,TARIFF_PROFILES!$A:$A,0)))</f>
        <v/>
      </c>
      <c r="AH607">
        <f>IF($AG607="","",SUMIFS(OPERATING_COEFFS!$C:$C,OPERATING_COEFFS!$A:$A,"DistanceClass",OPERATING_COEFFS!$B:$B,$AG607))</f>
        <v/>
      </c>
      <c r="AJ607">
        <f>IF($AI607="","",SUMIFS(OPERATING_COEFFS!$C:$C,OPERATING_COEFFS!$A:$A,"SeasonClass",OPERATING_COEFFS!$B:$B,$AI607))</f>
        <v/>
      </c>
      <c r="AL607">
        <f>IF($AK607="","",SUMIFS(OPERATING_COEFFS!$C:$C,OPERATING_COEFFS!$A:$A,"UrgencyClass",OPERATING_COEFFS!$B:$B,$AK607))</f>
        <v/>
      </c>
      <c r="AN607">
        <f>IF($AM607="","",INDEX(TAX_MODES!$B:$B,MATCH($AM607,TAX_MODES!$A:$A,0)))</f>
        <v/>
      </c>
    </row>
    <row r="608">
      <c r="X608" s="15" t="n"/>
      <c r="Y608" s="15">
        <f>IF($X608="","",SUMIFS(TARIFF_PROFILES!$D:$D,TARIFF_PROFILES!$A:$A,$X608))</f>
        <v/>
      </c>
      <c r="Z608" s="15">
        <f>IF($X608="","",SUMIFS(TARIFF_PROFILES!$E:$E,TARIFF_PROFILES!$A:$A,$X608))</f>
        <v/>
      </c>
      <c r="AA608" s="15">
        <f>IF($X608="","",SUMIFS(TARIFF_PROFILES!$F:$F,TARIFF_PROFILES!$A:$A,$X608))</f>
        <v/>
      </c>
      <c r="AB608" s="15">
        <f>IF($X608="","",SUMIFS(TARIFF_PROFILES!$G:$G,TARIFF_PROFILES!$A:$A,$X608))</f>
        <v/>
      </c>
      <c r="AC608" s="15">
        <f>IF($X608="","",SUMIFS(TARIFF_PROFILES!$H:$H,TARIFF_PROFILES!$A:$A,$X608))</f>
        <v/>
      </c>
      <c r="AD608" s="15">
        <f>IF($X608="","",INDEX(TARIFF_PROFILES!$J:$J,MATCH($X608,TARIFF_PROFILES!$A:$A,0)))</f>
        <v/>
      </c>
      <c r="AE608" s="15">
        <f>IF($X608="","",INDEX(TARIFF_PROFILES!$K:$K,MATCH($X608,TARIFF_PROFILES!$A:$A,0)))</f>
        <v/>
      </c>
      <c r="AH608">
        <f>IF($AG608="","",SUMIFS(OPERATING_COEFFS!$C:$C,OPERATING_COEFFS!$A:$A,"DistanceClass",OPERATING_COEFFS!$B:$B,$AG608))</f>
        <v/>
      </c>
      <c r="AJ608">
        <f>IF($AI608="","",SUMIFS(OPERATING_COEFFS!$C:$C,OPERATING_COEFFS!$A:$A,"SeasonClass",OPERATING_COEFFS!$B:$B,$AI608))</f>
        <v/>
      </c>
      <c r="AL608">
        <f>IF($AK608="","",SUMIFS(OPERATING_COEFFS!$C:$C,OPERATING_COEFFS!$A:$A,"UrgencyClass",OPERATING_COEFFS!$B:$B,$AK608))</f>
        <v/>
      </c>
      <c r="AN608">
        <f>IF($AM608="","",INDEX(TAX_MODES!$B:$B,MATCH($AM608,TAX_MODES!$A:$A,0)))</f>
        <v/>
      </c>
    </row>
    <row r="609">
      <c r="X609" s="15" t="n"/>
      <c r="Y609" s="15">
        <f>IF($X609="","",SUMIFS(TARIFF_PROFILES!$D:$D,TARIFF_PROFILES!$A:$A,$X609))</f>
        <v/>
      </c>
      <c r="Z609" s="15">
        <f>IF($X609="","",SUMIFS(TARIFF_PROFILES!$E:$E,TARIFF_PROFILES!$A:$A,$X609))</f>
        <v/>
      </c>
      <c r="AA609" s="15">
        <f>IF($X609="","",SUMIFS(TARIFF_PROFILES!$F:$F,TARIFF_PROFILES!$A:$A,$X609))</f>
        <v/>
      </c>
      <c r="AB609" s="15">
        <f>IF($X609="","",SUMIFS(TARIFF_PROFILES!$G:$G,TARIFF_PROFILES!$A:$A,$X609))</f>
        <v/>
      </c>
      <c r="AC609" s="15">
        <f>IF($X609="","",SUMIFS(TARIFF_PROFILES!$H:$H,TARIFF_PROFILES!$A:$A,$X609))</f>
        <v/>
      </c>
      <c r="AD609" s="15">
        <f>IF($X609="","",INDEX(TARIFF_PROFILES!$J:$J,MATCH($X609,TARIFF_PROFILES!$A:$A,0)))</f>
        <v/>
      </c>
      <c r="AE609" s="15">
        <f>IF($X609="","",INDEX(TARIFF_PROFILES!$K:$K,MATCH($X609,TARIFF_PROFILES!$A:$A,0)))</f>
        <v/>
      </c>
      <c r="AH609">
        <f>IF($AG609="","",SUMIFS(OPERATING_COEFFS!$C:$C,OPERATING_COEFFS!$A:$A,"DistanceClass",OPERATING_COEFFS!$B:$B,$AG609))</f>
        <v/>
      </c>
      <c r="AJ609">
        <f>IF($AI609="","",SUMIFS(OPERATING_COEFFS!$C:$C,OPERATING_COEFFS!$A:$A,"SeasonClass",OPERATING_COEFFS!$B:$B,$AI609))</f>
        <v/>
      </c>
      <c r="AL609">
        <f>IF($AK609="","",SUMIFS(OPERATING_COEFFS!$C:$C,OPERATING_COEFFS!$A:$A,"UrgencyClass",OPERATING_COEFFS!$B:$B,$AK609))</f>
        <v/>
      </c>
      <c r="AN609">
        <f>IF($AM609="","",INDEX(TAX_MODES!$B:$B,MATCH($AM609,TAX_MODES!$A:$A,0)))</f>
        <v/>
      </c>
    </row>
    <row r="610">
      <c r="X610" s="15" t="n"/>
      <c r="Y610" s="15">
        <f>IF($X610="","",SUMIFS(TARIFF_PROFILES!$D:$D,TARIFF_PROFILES!$A:$A,$X610))</f>
        <v/>
      </c>
      <c r="Z610" s="15">
        <f>IF($X610="","",SUMIFS(TARIFF_PROFILES!$E:$E,TARIFF_PROFILES!$A:$A,$X610))</f>
        <v/>
      </c>
      <c r="AA610" s="15">
        <f>IF($X610="","",SUMIFS(TARIFF_PROFILES!$F:$F,TARIFF_PROFILES!$A:$A,$X610))</f>
        <v/>
      </c>
      <c r="AB610" s="15">
        <f>IF($X610="","",SUMIFS(TARIFF_PROFILES!$G:$G,TARIFF_PROFILES!$A:$A,$X610))</f>
        <v/>
      </c>
      <c r="AC610" s="15">
        <f>IF($X610="","",SUMIFS(TARIFF_PROFILES!$H:$H,TARIFF_PROFILES!$A:$A,$X610))</f>
        <v/>
      </c>
      <c r="AD610" s="15">
        <f>IF($X610="","",INDEX(TARIFF_PROFILES!$J:$J,MATCH($X610,TARIFF_PROFILES!$A:$A,0)))</f>
        <v/>
      </c>
      <c r="AE610" s="15">
        <f>IF($X610="","",INDEX(TARIFF_PROFILES!$K:$K,MATCH($X610,TARIFF_PROFILES!$A:$A,0)))</f>
        <v/>
      </c>
      <c r="AH610">
        <f>IF($AG610="","",SUMIFS(OPERATING_COEFFS!$C:$C,OPERATING_COEFFS!$A:$A,"DistanceClass",OPERATING_COEFFS!$B:$B,$AG610))</f>
        <v/>
      </c>
      <c r="AJ610">
        <f>IF($AI610="","",SUMIFS(OPERATING_COEFFS!$C:$C,OPERATING_COEFFS!$A:$A,"SeasonClass",OPERATING_COEFFS!$B:$B,$AI610))</f>
        <v/>
      </c>
      <c r="AL610">
        <f>IF($AK610="","",SUMIFS(OPERATING_COEFFS!$C:$C,OPERATING_COEFFS!$A:$A,"UrgencyClass",OPERATING_COEFFS!$B:$B,$AK610))</f>
        <v/>
      </c>
      <c r="AN610">
        <f>IF($AM610="","",INDEX(TAX_MODES!$B:$B,MATCH($AM610,TAX_MODES!$A:$A,0)))</f>
        <v/>
      </c>
    </row>
    <row r="611">
      <c r="X611" s="15" t="n"/>
      <c r="Y611" s="15">
        <f>IF($X611="","",SUMIFS(TARIFF_PROFILES!$D:$D,TARIFF_PROFILES!$A:$A,$X611))</f>
        <v/>
      </c>
      <c r="Z611" s="15">
        <f>IF($X611="","",SUMIFS(TARIFF_PROFILES!$E:$E,TARIFF_PROFILES!$A:$A,$X611))</f>
        <v/>
      </c>
      <c r="AA611" s="15">
        <f>IF($X611="","",SUMIFS(TARIFF_PROFILES!$F:$F,TARIFF_PROFILES!$A:$A,$X611))</f>
        <v/>
      </c>
      <c r="AB611" s="15">
        <f>IF($X611="","",SUMIFS(TARIFF_PROFILES!$G:$G,TARIFF_PROFILES!$A:$A,$X611))</f>
        <v/>
      </c>
      <c r="AC611" s="15">
        <f>IF($X611="","",SUMIFS(TARIFF_PROFILES!$H:$H,TARIFF_PROFILES!$A:$A,$X611))</f>
        <v/>
      </c>
      <c r="AD611" s="15">
        <f>IF($X611="","",INDEX(TARIFF_PROFILES!$J:$J,MATCH($X611,TARIFF_PROFILES!$A:$A,0)))</f>
        <v/>
      </c>
      <c r="AE611" s="15">
        <f>IF($X611="","",INDEX(TARIFF_PROFILES!$K:$K,MATCH($X611,TARIFF_PROFILES!$A:$A,0)))</f>
        <v/>
      </c>
      <c r="AH611">
        <f>IF($AG611="","",SUMIFS(OPERATING_COEFFS!$C:$C,OPERATING_COEFFS!$A:$A,"DistanceClass",OPERATING_COEFFS!$B:$B,$AG611))</f>
        <v/>
      </c>
      <c r="AJ611">
        <f>IF($AI611="","",SUMIFS(OPERATING_COEFFS!$C:$C,OPERATING_COEFFS!$A:$A,"SeasonClass",OPERATING_COEFFS!$B:$B,$AI611))</f>
        <v/>
      </c>
      <c r="AL611">
        <f>IF($AK611="","",SUMIFS(OPERATING_COEFFS!$C:$C,OPERATING_COEFFS!$A:$A,"UrgencyClass",OPERATING_COEFFS!$B:$B,$AK611))</f>
        <v/>
      </c>
      <c r="AN611">
        <f>IF($AM611="","",INDEX(TAX_MODES!$B:$B,MATCH($AM611,TAX_MODES!$A:$A,0)))</f>
        <v/>
      </c>
    </row>
    <row r="612">
      <c r="X612" s="15" t="n"/>
      <c r="Y612" s="15">
        <f>IF($X612="","",SUMIFS(TARIFF_PROFILES!$D:$D,TARIFF_PROFILES!$A:$A,$X612))</f>
        <v/>
      </c>
      <c r="Z612" s="15">
        <f>IF($X612="","",SUMIFS(TARIFF_PROFILES!$E:$E,TARIFF_PROFILES!$A:$A,$X612))</f>
        <v/>
      </c>
      <c r="AA612" s="15">
        <f>IF($X612="","",SUMIFS(TARIFF_PROFILES!$F:$F,TARIFF_PROFILES!$A:$A,$X612))</f>
        <v/>
      </c>
      <c r="AB612" s="15">
        <f>IF($X612="","",SUMIFS(TARIFF_PROFILES!$G:$G,TARIFF_PROFILES!$A:$A,$X612))</f>
        <v/>
      </c>
      <c r="AC612" s="15">
        <f>IF($X612="","",SUMIFS(TARIFF_PROFILES!$H:$H,TARIFF_PROFILES!$A:$A,$X612))</f>
        <v/>
      </c>
      <c r="AD612" s="15">
        <f>IF($X612="","",INDEX(TARIFF_PROFILES!$J:$J,MATCH($X612,TARIFF_PROFILES!$A:$A,0)))</f>
        <v/>
      </c>
      <c r="AE612" s="15">
        <f>IF($X612="","",INDEX(TARIFF_PROFILES!$K:$K,MATCH($X612,TARIFF_PROFILES!$A:$A,0)))</f>
        <v/>
      </c>
      <c r="AH612">
        <f>IF($AG612="","",SUMIFS(OPERATING_COEFFS!$C:$C,OPERATING_COEFFS!$A:$A,"DistanceClass",OPERATING_COEFFS!$B:$B,$AG612))</f>
        <v/>
      </c>
      <c r="AJ612">
        <f>IF($AI612="","",SUMIFS(OPERATING_COEFFS!$C:$C,OPERATING_COEFFS!$A:$A,"SeasonClass",OPERATING_COEFFS!$B:$B,$AI612))</f>
        <v/>
      </c>
      <c r="AL612">
        <f>IF($AK612="","",SUMIFS(OPERATING_COEFFS!$C:$C,OPERATING_COEFFS!$A:$A,"UrgencyClass",OPERATING_COEFFS!$B:$B,$AK612))</f>
        <v/>
      </c>
      <c r="AN612">
        <f>IF($AM612="","",INDEX(TAX_MODES!$B:$B,MATCH($AM612,TAX_MODES!$A:$A,0)))</f>
        <v/>
      </c>
    </row>
    <row r="613">
      <c r="X613" s="15" t="n"/>
      <c r="Y613" s="15">
        <f>IF($X613="","",SUMIFS(TARIFF_PROFILES!$D:$D,TARIFF_PROFILES!$A:$A,$X613))</f>
        <v/>
      </c>
      <c r="Z613" s="15">
        <f>IF($X613="","",SUMIFS(TARIFF_PROFILES!$E:$E,TARIFF_PROFILES!$A:$A,$X613))</f>
        <v/>
      </c>
      <c r="AA613" s="15">
        <f>IF($X613="","",SUMIFS(TARIFF_PROFILES!$F:$F,TARIFF_PROFILES!$A:$A,$X613))</f>
        <v/>
      </c>
      <c r="AB613" s="15">
        <f>IF($X613="","",SUMIFS(TARIFF_PROFILES!$G:$G,TARIFF_PROFILES!$A:$A,$X613))</f>
        <v/>
      </c>
      <c r="AC613" s="15">
        <f>IF($X613="","",SUMIFS(TARIFF_PROFILES!$H:$H,TARIFF_PROFILES!$A:$A,$X613))</f>
        <v/>
      </c>
      <c r="AD613" s="15">
        <f>IF($X613="","",INDEX(TARIFF_PROFILES!$J:$J,MATCH($X613,TARIFF_PROFILES!$A:$A,0)))</f>
        <v/>
      </c>
      <c r="AE613" s="15">
        <f>IF($X613="","",INDEX(TARIFF_PROFILES!$K:$K,MATCH($X613,TARIFF_PROFILES!$A:$A,0)))</f>
        <v/>
      </c>
      <c r="AH613">
        <f>IF($AG613="","",SUMIFS(OPERATING_COEFFS!$C:$C,OPERATING_COEFFS!$A:$A,"DistanceClass",OPERATING_COEFFS!$B:$B,$AG613))</f>
        <v/>
      </c>
      <c r="AJ613">
        <f>IF($AI613="","",SUMIFS(OPERATING_COEFFS!$C:$C,OPERATING_COEFFS!$A:$A,"SeasonClass",OPERATING_COEFFS!$B:$B,$AI613))</f>
        <v/>
      </c>
      <c r="AL613">
        <f>IF($AK613="","",SUMIFS(OPERATING_COEFFS!$C:$C,OPERATING_COEFFS!$A:$A,"UrgencyClass",OPERATING_COEFFS!$B:$B,$AK613))</f>
        <v/>
      </c>
      <c r="AN613">
        <f>IF($AM613="","",INDEX(TAX_MODES!$B:$B,MATCH($AM613,TAX_MODES!$A:$A,0)))</f>
        <v/>
      </c>
    </row>
    <row r="614">
      <c r="X614" s="15" t="n"/>
      <c r="Y614" s="15">
        <f>IF($X614="","",SUMIFS(TARIFF_PROFILES!$D:$D,TARIFF_PROFILES!$A:$A,$X614))</f>
        <v/>
      </c>
      <c r="Z614" s="15">
        <f>IF($X614="","",SUMIFS(TARIFF_PROFILES!$E:$E,TARIFF_PROFILES!$A:$A,$X614))</f>
        <v/>
      </c>
      <c r="AA614" s="15">
        <f>IF($X614="","",SUMIFS(TARIFF_PROFILES!$F:$F,TARIFF_PROFILES!$A:$A,$X614))</f>
        <v/>
      </c>
      <c r="AB614" s="15">
        <f>IF($X614="","",SUMIFS(TARIFF_PROFILES!$G:$G,TARIFF_PROFILES!$A:$A,$X614))</f>
        <v/>
      </c>
      <c r="AC614" s="15">
        <f>IF($X614="","",SUMIFS(TARIFF_PROFILES!$H:$H,TARIFF_PROFILES!$A:$A,$X614))</f>
        <v/>
      </c>
      <c r="AD614" s="15">
        <f>IF($X614="","",INDEX(TARIFF_PROFILES!$J:$J,MATCH($X614,TARIFF_PROFILES!$A:$A,0)))</f>
        <v/>
      </c>
      <c r="AE614" s="15">
        <f>IF($X614="","",INDEX(TARIFF_PROFILES!$K:$K,MATCH($X614,TARIFF_PROFILES!$A:$A,0)))</f>
        <v/>
      </c>
      <c r="AH614">
        <f>IF($AG614="","",SUMIFS(OPERATING_COEFFS!$C:$C,OPERATING_COEFFS!$A:$A,"DistanceClass",OPERATING_COEFFS!$B:$B,$AG614))</f>
        <v/>
      </c>
      <c r="AJ614">
        <f>IF($AI614="","",SUMIFS(OPERATING_COEFFS!$C:$C,OPERATING_COEFFS!$A:$A,"SeasonClass",OPERATING_COEFFS!$B:$B,$AI614))</f>
        <v/>
      </c>
      <c r="AL614">
        <f>IF($AK614="","",SUMIFS(OPERATING_COEFFS!$C:$C,OPERATING_COEFFS!$A:$A,"UrgencyClass",OPERATING_COEFFS!$B:$B,$AK614))</f>
        <v/>
      </c>
      <c r="AN614">
        <f>IF($AM614="","",INDEX(TAX_MODES!$B:$B,MATCH($AM614,TAX_MODES!$A:$A,0)))</f>
        <v/>
      </c>
    </row>
    <row r="615">
      <c r="X615" s="15" t="n"/>
      <c r="Y615" s="15">
        <f>IF($X615="","",SUMIFS(TARIFF_PROFILES!$D:$D,TARIFF_PROFILES!$A:$A,$X615))</f>
        <v/>
      </c>
      <c r="Z615" s="15">
        <f>IF($X615="","",SUMIFS(TARIFF_PROFILES!$E:$E,TARIFF_PROFILES!$A:$A,$X615))</f>
        <v/>
      </c>
      <c r="AA615" s="15">
        <f>IF($X615="","",SUMIFS(TARIFF_PROFILES!$F:$F,TARIFF_PROFILES!$A:$A,$X615))</f>
        <v/>
      </c>
      <c r="AB615" s="15">
        <f>IF($X615="","",SUMIFS(TARIFF_PROFILES!$G:$G,TARIFF_PROFILES!$A:$A,$X615))</f>
        <v/>
      </c>
      <c r="AC615" s="15">
        <f>IF($X615="","",SUMIFS(TARIFF_PROFILES!$H:$H,TARIFF_PROFILES!$A:$A,$X615))</f>
        <v/>
      </c>
      <c r="AD615" s="15">
        <f>IF($X615="","",INDEX(TARIFF_PROFILES!$J:$J,MATCH($X615,TARIFF_PROFILES!$A:$A,0)))</f>
        <v/>
      </c>
      <c r="AE615" s="15">
        <f>IF($X615="","",INDEX(TARIFF_PROFILES!$K:$K,MATCH($X615,TARIFF_PROFILES!$A:$A,0)))</f>
        <v/>
      </c>
      <c r="AH615">
        <f>IF($AG615="","",SUMIFS(OPERATING_COEFFS!$C:$C,OPERATING_COEFFS!$A:$A,"DistanceClass",OPERATING_COEFFS!$B:$B,$AG615))</f>
        <v/>
      </c>
      <c r="AJ615">
        <f>IF($AI615="","",SUMIFS(OPERATING_COEFFS!$C:$C,OPERATING_COEFFS!$A:$A,"SeasonClass",OPERATING_COEFFS!$B:$B,$AI615))</f>
        <v/>
      </c>
      <c r="AL615">
        <f>IF($AK615="","",SUMIFS(OPERATING_COEFFS!$C:$C,OPERATING_COEFFS!$A:$A,"UrgencyClass",OPERATING_COEFFS!$B:$B,$AK615))</f>
        <v/>
      </c>
      <c r="AN615">
        <f>IF($AM615="","",INDEX(TAX_MODES!$B:$B,MATCH($AM615,TAX_MODES!$A:$A,0)))</f>
        <v/>
      </c>
    </row>
    <row r="616">
      <c r="X616" s="15" t="n"/>
      <c r="Y616" s="15">
        <f>IF($X616="","",SUMIFS(TARIFF_PROFILES!$D:$D,TARIFF_PROFILES!$A:$A,$X616))</f>
        <v/>
      </c>
      <c r="Z616" s="15">
        <f>IF($X616="","",SUMIFS(TARIFF_PROFILES!$E:$E,TARIFF_PROFILES!$A:$A,$X616))</f>
        <v/>
      </c>
      <c r="AA616" s="15">
        <f>IF($X616="","",SUMIFS(TARIFF_PROFILES!$F:$F,TARIFF_PROFILES!$A:$A,$X616))</f>
        <v/>
      </c>
      <c r="AB616" s="15">
        <f>IF($X616="","",SUMIFS(TARIFF_PROFILES!$G:$G,TARIFF_PROFILES!$A:$A,$X616))</f>
        <v/>
      </c>
      <c r="AC616" s="15">
        <f>IF($X616="","",SUMIFS(TARIFF_PROFILES!$H:$H,TARIFF_PROFILES!$A:$A,$X616))</f>
        <v/>
      </c>
      <c r="AD616" s="15">
        <f>IF($X616="","",INDEX(TARIFF_PROFILES!$J:$J,MATCH($X616,TARIFF_PROFILES!$A:$A,0)))</f>
        <v/>
      </c>
      <c r="AE616" s="15">
        <f>IF($X616="","",INDEX(TARIFF_PROFILES!$K:$K,MATCH($X616,TARIFF_PROFILES!$A:$A,0)))</f>
        <v/>
      </c>
      <c r="AH616">
        <f>IF($AG616="","",SUMIFS(OPERATING_COEFFS!$C:$C,OPERATING_COEFFS!$A:$A,"DistanceClass",OPERATING_COEFFS!$B:$B,$AG616))</f>
        <v/>
      </c>
      <c r="AJ616">
        <f>IF($AI616="","",SUMIFS(OPERATING_COEFFS!$C:$C,OPERATING_COEFFS!$A:$A,"SeasonClass",OPERATING_COEFFS!$B:$B,$AI616))</f>
        <v/>
      </c>
      <c r="AL616">
        <f>IF($AK616="","",SUMIFS(OPERATING_COEFFS!$C:$C,OPERATING_COEFFS!$A:$A,"UrgencyClass",OPERATING_COEFFS!$B:$B,$AK616))</f>
        <v/>
      </c>
      <c r="AN616">
        <f>IF($AM616="","",INDEX(TAX_MODES!$B:$B,MATCH($AM616,TAX_MODES!$A:$A,0)))</f>
        <v/>
      </c>
    </row>
    <row r="617">
      <c r="X617" s="15" t="n"/>
      <c r="Y617" s="15">
        <f>IF($X617="","",SUMIFS(TARIFF_PROFILES!$D:$D,TARIFF_PROFILES!$A:$A,$X617))</f>
        <v/>
      </c>
      <c r="Z617" s="15">
        <f>IF($X617="","",SUMIFS(TARIFF_PROFILES!$E:$E,TARIFF_PROFILES!$A:$A,$X617))</f>
        <v/>
      </c>
      <c r="AA617" s="15">
        <f>IF($X617="","",SUMIFS(TARIFF_PROFILES!$F:$F,TARIFF_PROFILES!$A:$A,$X617))</f>
        <v/>
      </c>
      <c r="AB617" s="15">
        <f>IF($X617="","",SUMIFS(TARIFF_PROFILES!$G:$G,TARIFF_PROFILES!$A:$A,$X617))</f>
        <v/>
      </c>
      <c r="AC617" s="15">
        <f>IF($X617="","",SUMIFS(TARIFF_PROFILES!$H:$H,TARIFF_PROFILES!$A:$A,$X617))</f>
        <v/>
      </c>
      <c r="AD617" s="15">
        <f>IF($X617="","",INDEX(TARIFF_PROFILES!$J:$J,MATCH($X617,TARIFF_PROFILES!$A:$A,0)))</f>
        <v/>
      </c>
      <c r="AE617" s="15">
        <f>IF($X617="","",INDEX(TARIFF_PROFILES!$K:$K,MATCH($X617,TARIFF_PROFILES!$A:$A,0)))</f>
        <v/>
      </c>
      <c r="AH617">
        <f>IF($AG617="","",SUMIFS(OPERATING_COEFFS!$C:$C,OPERATING_COEFFS!$A:$A,"DistanceClass",OPERATING_COEFFS!$B:$B,$AG617))</f>
        <v/>
      </c>
      <c r="AJ617">
        <f>IF($AI617="","",SUMIFS(OPERATING_COEFFS!$C:$C,OPERATING_COEFFS!$A:$A,"SeasonClass",OPERATING_COEFFS!$B:$B,$AI617))</f>
        <v/>
      </c>
      <c r="AL617">
        <f>IF($AK617="","",SUMIFS(OPERATING_COEFFS!$C:$C,OPERATING_COEFFS!$A:$A,"UrgencyClass",OPERATING_COEFFS!$B:$B,$AK617))</f>
        <v/>
      </c>
      <c r="AN617">
        <f>IF($AM617="","",INDEX(TAX_MODES!$B:$B,MATCH($AM617,TAX_MODES!$A:$A,0)))</f>
        <v/>
      </c>
    </row>
    <row r="618">
      <c r="X618" s="15" t="n"/>
      <c r="Y618" s="15">
        <f>IF($X618="","",SUMIFS(TARIFF_PROFILES!$D:$D,TARIFF_PROFILES!$A:$A,$X618))</f>
        <v/>
      </c>
      <c r="Z618" s="15">
        <f>IF($X618="","",SUMIFS(TARIFF_PROFILES!$E:$E,TARIFF_PROFILES!$A:$A,$X618))</f>
        <v/>
      </c>
      <c r="AA618" s="15">
        <f>IF($X618="","",SUMIFS(TARIFF_PROFILES!$F:$F,TARIFF_PROFILES!$A:$A,$X618))</f>
        <v/>
      </c>
      <c r="AB618" s="15">
        <f>IF($X618="","",SUMIFS(TARIFF_PROFILES!$G:$G,TARIFF_PROFILES!$A:$A,$X618))</f>
        <v/>
      </c>
      <c r="AC618" s="15">
        <f>IF($X618="","",SUMIFS(TARIFF_PROFILES!$H:$H,TARIFF_PROFILES!$A:$A,$X618))</f>
        <v/>
      </c>
      <c r="AD618" s="15">
        <f>IF($X618="","",INDEX(TARIFF_PROFILES!$J:$J,MATCH($X618,TARIFF_PROFILES!$A:$A,0)))</f>
        <v/>
      </c>
      <c r="AE618" s="15">
        <f>IF($X618="","",INDEX(TARIFF_PROFILES!$K:$K,MATCH($X618,TARIFF_PROFILES!$A:$A,0)))</f>
        <v/>
      </c>
      <c r="AH618">
        <f>IF($AG618="","",SUMIFS(OPERATING_COEFFS!$C:$C,OPERATING_COEFFS!$A:$A,"DistanceClass",OPERATING_COEFFS!$B:$B,$AG618))</f>
        <v/>
      </c>
      <c r="AJ618">
        <f>IF($AI618="","",SUMIFS(OPERATING_COEFFS!$C:$C,OPERATING_COEFFS!$A:$A,"SeasonClass",OPERATING_COEFFS!$B:$B,$AI618))</f>
        <v/>
      </c>
      <c r="AL618">
        <f>IF($AK618="","",SUMIFS(OPERATING_COEFFS!$C:$C,OPERATING_COEFFS!$A:$A,"UrgencyClass",OPERATING_COEFFS!$B:$B,$AK618))</f>
        <v/>
      </c>
      <c r="AN618">
        <f>IF($AM618="","",INDEX(TAX_MODES!$B:$B,MATCH($AM618,TAX_MODES!$A:$A,0)))</f>
        <v/>
      </c>
    </row>
    <row r="619">
      <c r="X619" s="15" t="n"/>
      <c r="Y619" s="15">
        <f>IF($X619="","",SUMIFS(TARIFF_PROFILES!$D:$D,TARIFF_PROFILES!$A:$A,$X619))</f>
        <v/>
      </c>
      <c r="Z619" s="15">
        <f>IF($X619="","",SUMIFS(TARIFF_PROFILES!$E:$E,TARIFF_PROFILES!$A:$A,$X619))</f>
        <v/>
      </c>
      <c r="AA619" s="15">
        <f>IF($X619="","",SUMIFS(TARIFF_PROFILES!$F:$F,TARIFF_PROFILES!$A:$A,$X619))</f>
        <v/>
      </c>
      <c r="AB619" s="15">
        <f>IF($X619="","",SUMIFS(TARIFF_PROFILES!$G:$G,TARIFF_PROFILES!$A:$A,$X619))</f>
        <v/>
      </c>
      <c r="AC619" s="15">
        <f>IF($X619="","",SUMIFS(TARIFF_PROFILES!$H:$H,TARIFF_PROFILES!$A:$A,$X619))</f>
        <v/>
      </c>
      <c r="AD619" s="15">
        <f>IF($X619="","",INDEX(TARIFF_PROFILES!$J:$J,MATCH($X619,TARIFF_PROFILES!$A:$A,0)))</f>
        <v/>
      </c>
      <c r="AE619" s="15">
        <f>IF($X619="","",INDEX(TARIFF_PROFILES!$K:$K,MATCH($X619,TARIFF_PROFILES!$A:$A,0)))</f>
        <v/>
      </c>
      <c r="AH619">
        <f>IF($AG619="","",SUMIFS(OPERATING_COEFFS!$C:$C,OPERATING_COEFFS!$A:$A,"DistanceClass",OPERATING_COEFFS!$B:$B,$AG619))</f>
        <v/>
      </c>
      <c r="AJ619">
        <f>IF($AI619="","",SUMIFS(OPERATING_COEFFS!$C:$C,OPERATING_COEFFS!$A:$A,"SeasonClass",OPERATING_COEFFS!$B:$B,$AI619))</f>
        <v/>
      </c>
      <c r="AL619">
        <f>IF($AK619="","",SUMIFS(OPERATING_COEFFS!$C:$C,OPERATING_COEFFS!$A:$A,"UrgencyClass",OPERATING_COEFFS!$B:$B,$AK619))</f>
        <v/>
      </c>
      <c r="AN619">
        <f>IF($AM619="","",INDEX(TAX_MODES!$B:$B,MATCH($AM619,TAX_MODES!$A:$A,0)))</f>
        <v/>
      </c>
    </row>
    <row r="620">
      <c r="X620" s="15" t="n"/>
      <c r="Y620" s="15">
        <f>IF($X620="","",SUMIFS(TARIFF_PROFILES!$D:$D,TARIFF_PROFILES!$A:$A,$X620))</f>
        <v/>
      </c>
      <c r="Z620" s="15">
        <f>IF($X620="","",SUMIFS(TARIFF_PROFILES!$E:$E,TARIFF_PROFILES!$A:$A,$X620))</f>
        <v/>
      </c>
      <c r="AA620" s="15">
        <f>IF($X620="","",SUMIFS(TARIFF_PROFILES!$F:$F,TARIFF_PROFILES!$A:$A,$X620))</f>
        <v/>
      </c>
      <c r="AB620" s="15">
        <f>IF($X620="","",SUMIFS(TARIFF_PROFILES!$G:$G,TARIFF_PROFILES!$A:$A,$X620))</f>
        <v/>
      </c>
      <c r="AC620" s="15">
        <f>IF($X620="","",SUMIFS(TARIFF_PROFILES!$H:$H,TARIFF_PROFILES!$A:$A,$X620))</f>
        <v/>
      </c>
      <c r="AD620" s="15">
        <f>IF($X620="","",INDEX(TARIFF_PROFILES!$J:$J,MATCH($X620,TARIFF_PROFILES!$A:$A,0)))</f>
        <v/>
      </c>
      <c r="AE620" s="15">
        <f>IF($X620="","",INDEX(TARIFF_PROFILES!$K:$K,MATCH($X620,TARIFF_PROFILES!$A:$A,0)))</f>
        <v/>
      </c>
      <c r="AH620">
        <f>IF($AG620="","",SUMIFS(OPERATING_COEFFS!$C:$C,OPERATING_COEFFS!$A:$A,"DistanceClass",OPERATING_COEFFS!$B:$B,$AG620))</f>
        <v/>
      </c>
      <c r="AJ620">
        <f>IF($AI620="","",SUMIFS(OPERATING_COEFFS!$C:$C,OPERATING_COEFFS!$A:$A,"SeasonClass",OPERATING_COEFFS!$B:$B,$AI620))</f>
        <v/>
      </c>
      <c r="AL620">
        <f>IF($AK620="","",SUMIFS(OPERATING_COEFFS!$C:$C,OPERATING_COEFFS!$A:$A,"UrgencyClass",OPERATING_COEFFS!$B:$B,$AK620))</f>
        <v/>
      </c>
      <c r="AN620">
        <f>IF($AM620="","",INDEX(TAX_MODES!$B:$B,MATCH($AM620,TAX_MODES!$A:$A,0)))</f>
        <v/>
      </c>
    </row>
    <row r="621">
      <c r="X621" s="15" t="n"/>
      <c r="Y621" s="15">
        <f>IF($X621="","",SUMIFS(TARIFF_PROFILES!$D:$D,TARIFF_PROFILES!$A:$A,$X621))</f>
        <v/>
      </c>
      <c r="Z621" s="15">
        <f>IF($X621="","",SUMIFS(TARIFF_PROFILES!$E:$E,TARIFF_PROFILES!$A:$A,$X621))</f>
        <v/>
      </c>
      <c r="AA621" s="15">
        <f>IF($X621="","",SUMIFS(TARIFF_PROFILES!$F:$F,TARIFF_PROFILES!$A:$A,$X621))</f>
        <v/>
      </c>
      <c r="AB621" s="15">
        <f>IF($X621="","",SUMIFS(TARIFF_PROFILES!$G:$G,TARIFF_PROFILES!$A:$A,$X621))</f>
        <v/>
      </c>
      <c r="AC621" s="15">
        <f>IF($X621="","",SUMIFS(TARIFF_PROFILES!$H:$H,TARIFF_PROFILES!$A:$A,$X621))</f>
        <v/>
      </c>
      <c r="AD621" s="15">
        <f>IF($X621="","",INDEX(TARIFF_PROFILES!$J:$J,MATCH($X621,TARIFF_PROFILES!$A:$A,0)))</f>
        <v/>
      </c>
      <c r="AE621" s="15">
        <f>IF($X621="","",INDEX(TARIFF_PROFILES!$K:$K,MATCH($X621,TARIFF_PROFILES!$A:$A,0)))</f>
        <v/>
      </c>
      <c r="AH621">
        <f>IF($AG621="","",SUMIFS(OPERATING_COEFFS!$C:$C,OPERATING_COEFFS!$A:$A,"DistanceClass",OPERATING_COEFFS!$B:$B,$AG621))</f>
        <v/>
      </c>
      <c r="AJ621">
        <f>IF($AI621="","",SUMIFS(OPERATING_COEFFS!$C:$C,OPERATING_COEFFS!$A:$A,"SeasonClass",OPERATING_COEFFS!$B:$B,$AI621))</f>
        <v/>
      </c>
      <c r="AL621">
        <f>IF($AK621="","",SUMIFS(OPERATING_COEFFS!$C:$C,OPERATING_COEFFS!$A:$A,"UrgencyClass",OPERATING_COEFFS!$B:$B,$AK621))</f>
        <v/>
      </c>
      <c r="AN621">
        <f>IF($AM621="","",INDEX(TAX_MODES!$B:$B,MATCH($AM621,TAX_MODES!$A:$A,0)))</f>
        <v/>
      </c>
    </row>
    <row r="622">
      <c r="X622" s="15" t="n"/>
      <c r="Y622" s="15">
        <f>IF($X622="","",SUMIFS(TARIFF_PROFILES!$D:$D,TARIFF_PROFILES!$A:$A,$X622))</f>
        <v/>
      </c>
      <c r="Z622" s="15">
        <f>IF($X622="","",SUMIFS(TARIFF_PROFILES!$E:$E,TARIFF_PROFILES!$A:$A,$X622))</f>
        <v/>
      </c>
      <c r="AA622" s="15">
        <f>IF($X622="","",SUMIFS(TARIFF_PROFILES!$F:$F,TARIFF_PROFILES!$A:$A,$X622))</f>
        <v/>
      </c>
      <c r="AB622" s="15">
        <f>IF($X622="","",SUMIFS(TARIFF_PROFILES!$G:$G,TARIFF_PROFILES!$A:$A,$X622))</f>
        <v/>
      </c>
      <c r="AC622" s="15">
        <f>IF($X622="","",SUMIFS(TARIFF_PROFILES!$H:$H,TARIFF_PROFILES!$A:$A,$X622))</f>
        <v/>
      </c>
      <c r="AD622" s="15">
        <f>IF($X622="","",INDEX(TARIFF_PROFILES!$J:$J,MATCH($X622,TARIFF_PROFILES!$A:$A,0)))</f>
        <v/>
      </c>
      <c r="AE622" s="15">
        <f>IF($X622="","",INDEX(TARIFF_PROFILES!$K:$K,MATCH($X622,TARIFF_PROFILES!$A:$A,0)))</f>
        <v/>
      </c>
      <c r="AH622">
        <f>IF($AG622="","",SUMIFS(OPERATING_COEFFS!$C:$C,OPERATING_COEFFS!$A:$A,"DistanceClass",OPERATING_COEFFS!$B:$B,$AG622))</f>
        <v/>
      </c>
      <c r="AJ622">
        <f>IF($AI622="","",SUMIFS(OPERATING_COEFFS!$C:$C,OPERATING_COEFFS!$A:$A,"SeasonClass",OPERATING_COEFFS!$B:$B,$AI622))</f>
        <v/>
      </c>
      <c r="AL622">
        <f>IF($AK622="","",SUMIFS(OPERATING_COEFFS!$C:$C,OPERATING_COEFFS!$A:$A,"UrgencyClass",OPERATING_COEFFS!$B:$B,$AK622))</f>
        <v/>
      </c>
      <c r="AN622">
        <f>IF($AM622="","",INDEX(TAX_MODES!$B:$B,MATCH($AM622,TAX_MODES!$A:$A,0)))</f>
        <v/>
      </c>
    </row>
    <row r="623">
      <c r="X623" s="15" t="n"/>
      <c r="Y623" s="15">
        <f>IF($X623="","",SUMIFS(TARIFF_PROFILES!$D:$D,TARIFF_PROFILES!$A:$A,$X623))</f>
        <v/>
      </c>
      <c r="Z623" s="15">
        <f>IF($X623="","",SUMIFS(TARIFF_PROFILES!$E:$E,TARIFF_PROFILES!$A:$A,$X623))</f>
        <v/>
      </c>
      <c r="AA623" s="15">
        <f>IF($X623="","",SUMIFS(TARIFF_PROFILES!$F:$F,TARIFF_PROFILES!$A:$A,$X623))</f>
        <v/>
      </c>
      <c r="AB623" s="15">
        <f>IF($X623="","",SUMIFS(TARIFF_PROFILES!$G:$G,TARIFF_PROFILES!$A:$A,$X623))</f>
        <v/>
      </c>
      <c r="AC623" s="15">
        <f>IF($X623="","",SUMIFS(TARIFF_PROFILES!$H:$H,TARIFF_PROFILES!$A:$A,$X623))</f>
        <v/>
      </c>
      <c r="AD623" s="15">
        <f>IF($X623="","",INDEX(TARIFF_PROFILES!$J:$J,MATCH($X623,TARIFF_PROFILES!$A:$A,0)))</f>
        <v/>
      </c>
      <c r="AE623" s="15">
        <f>IF($X623="","",INDEX(TARIFF_PROFILES!$K:$K,MATCH($X623,TARIFF_PROFILES!$A:$A,0)))</f>
        <v/>
      </c>
      <c r="AH623">
        <f>IF($AG623="","",SUMIFS(OPERATING_COEFFS!$C:$C,OPERATING_COEFFS!$A:$A,"DistanceClass",OPERATING_COEFFS!$B:$B,$AG623))</f>
        <v/>
      </c>
      <c r="AJ623">
        <f>IF($AI623="","",SUMIFS(OPERATING_COEFFS!$C:$C,OPERATING_COEFFS!$A:$A,"SeasonClass",OPERATING_COEFFS!$B:$B,$AI623))</f>
        <v/>
      </c>
      <c r="AL623">
        <f>IF($AK623="","",SUMIFS(OPERATING_COEFFS!$C:$C,OPERATING_COEFFS!$A:$A,"UrgencyClass",OPERATING_COEFFS!$B:$B,$AK623))</f>
        <v/>
      </c>
      <c r="AN623">
        <f>IF($AM623="","",INDEX(TAX_MODES!$B:$B,MATCH($AM623,TAX_MODES!$A:$A,0)))</f>
        <v/>
      </c>
    </row>
    <row r="624">
      <c r="X624" s="15" t="n"/>
      <c r="Y624" s="15">
        <f>IF($X624="","",SUMIFS(TARIFF_PROFILES!$D:$D,TARIFF_PROFILES!$A:$A,$X624))</f>
        <v/>
      </c>
      <c r="Z624" s="15">
        <f>IF($X624="","",SUMIFS(TARIFF_PROFILES!$E:$E,TARIFF_PROFILES!$A:$A,$X624))</f>
        <v/>
      </c>
      <c r="AA624" s="15">
        <f>IF($X624="","",SUMIFS(TARIFF_PROFILES!$F:$F,TARIFF_PROFILES!$A:$A,$X624))</f>
        <v/>
      </c>
      <c r="AB624" s="15">
        <f>IF($X624="","",SUMIFS(TARIFF_PROFILES!$G:$G,TARIFF_PROFILES!$A:$A,$X624))</f>
        <v/>
      </c>
      <c r="AC624" s="15">
        <f>IF($X624="","",SUMIFS(TARIFF_PROFILES!$H:$H,TARIFF_PROFILES!$A:$A,$X624))</f>
        <v/>
      </c>
      <c r="AD624" s="15">
        <f>IF($X624="","",INDEX(TARIFF_PROFILES!$J:$J,MATCH($X624,TARIFF_PROFILES!$A:$A,0)))</f>
        <v/>
      </c>
      <c r="AE624" s="15">
        <f>IF($X624="","",INDEX(TARIFF_PROFILES!$K:$K,MATCH($X624,TARIFF_PROFILES!$A:$A,0)))</f>
        <v/>
      </c>
      <c r="AH624">
        <f>IF($AG624="","",SUMIFS(OPERATING_COEFFS!$C:$C,OPERATING_COEFFS!$A:$A,"DistanceClass",OPERATING_COEFFS!$B:$B,$AG624))</f>
        <v/>
      </c>
      <c r="AJ624">
        <f>IF($AI624="","",SUMIFS(OPERATING_COEFFS!$C:$C,OPERATING_COEFFS!$A:$A,"SeasonClass",OPERATING_COEFFS!$B:$B,$AI624))</f>
        <v/>
      </c>
      <c r="AL624">
        <f>IF($AK624="","",SUMIFS(OPERATING_COEFFS!$C:$C,OPERATING_COEFFS!$A:$A,"UrgencyClass",OPERATING_COEFFS!$B:$B,$AK624))</f>
        <v/>
      </c>
      <c r="AN624">
        <f>IF($AM624="","",INDEX(TAX_MODES!$B:$B,MATCH($AM624,TAX_MODES!$A:$A,0)))</f>
        <v/>
      </c>
    </row>
    <row r="625">
      <c r="X625" s="15" t="n"/>
      <c r="Y625" s="15">
        <f>IF($X625="","",SUMIFS(TARIFF_PROFILES!$D:$D,TARIFF_PROFILES!$A:$A,$X625))</f>
        <v/>
      </c>
      <c r="Z625" s="15">
        <f>IF($X625="","",SUMIFS(TARIFF_PROFILES!$E:$E,TARIFF_PROFILES!$A:$A,$X625))</f>
        <v/>
      </c>
      <c r="AA625" s="15">
        <f>IF($X625="","",SUMIFS(TARIFF_PROFILES!$F:$F,TARIFF_PROFILES!$A:$A,$X625))</f>
        <v/>
      </c>
      <c r="AB625" s="15">
        <f>IF($X625="","",SUMIFS(TARIFF_PROFILES!$G:$G,TARIFF_PROFILES!$A:$A,$X625))</f>
        <v/>
      </c>
      <c r="AC625" s="15">
        <f>IF($X625="","",SUMIFS(TARIFF_PROFILES!$H:$H,TARIFF_PROFILES!$A:$A,$X625))</f>
        <v/>
      </c>
      <c r="AD625" s="15">
        <f>IF($X625="","",INDEX(TARIFF_PROFILES!$J:$J,MATCH($X625,TARIFF_PROFILES!$A:$A,0)))</f>
        <v/>
      </c>
      <c r="AE625" s="15">
        <f>IF($X625="","",INDEX(TARIFF_PROFILES!$K:$K,MATCH($X625,TARIFF_PROFILES!$A:$A,0)))</f>
        <v/>
      </c>
      <c r="AH625">
        <f>IF($AG625="","",SUMIFS(OPERATING_COEFFS!$C:$C,OPERATING_COEFFS!$A:$A,"DistanceClass",OPERATING_COEFFS!$B:$B,$AG625))</f>
        <v/>
      </c>
      <c r="AJ625">
        <f>IF($AI625="","",SUMIFS(OPERATING_COEFFS!$C:$C,OPERATING_COEFFS!$A:$A,"SeasonClass",OPERATING_COEFFS!$B:$B,$AI625))</f>
        <v/>
      </c>
      <c r="AL625">
        <f>IF($AK625="","",SUMIFS(OPERATING_COEFFS!$C:$C,OPERATING_COEFFS!$A:$A,"UrgencyClass",OPERATING_COEFFS!$B:$B,$AK625))</f>
        <v/>
      </c>
      <c r="AN625">
        <f>IF($AM625="","",INDEX(TAX_MODES!$B:$B,MATCH($AM625,TAX_MODES!$A:$A,0)))</f>
        <v/>
      </c>
    </row>
    <row r="626">
      <c r="X626" s="15" t="n"/>
      <c r="Y626" s="15">
        <f>IF($X626="","",SUMIFS(TARIFF_PROFILES!$D:$D,TARIFF_PROFILES!$A:$A,$X626))</f>
        <v/>
      </c>
      <c r="Z626" s="15">
        <f>IF($X626="","",SUMIFS(TARIFF_PROFILES!$E:$E,TARIFF_PROFILES!$A:$A,$X626))</f>
        <v/>
      </c>
      <c r="AA626" s="15">
        <f>IF($X626="","",SUMIFS(TARIFF_PROFILES!$F:$F,TARIFF_PROFILES!$A:$A,$X626))</f>
        <v/>
      </c>
      <c r="AB626" s="15">
        <f>IF($X626="","",SUMIFS(TARIFF_PROFILES!$G:$G,TARIFF_PROFILES!$A:$A,$X626))</f>
        <v/>
      </c>
      <c r="AC626" s="15">
        <f>IF($X626="","",SUMIFS(TARIFF_PROFILES!$H:$H,TARIFF_PROFILES!$A:$A,$X626))</f>
        <v/>
      </c>
      <c r="AD626" s="15">
        <f>IF($X626="","",INDEX(TARIFF_PROFILES!$J:$J,MATCH($X626,TARIFF_PROFILES!$A:$A,0)))</f>
        <v/>
      </c>
      <c r="AE626" s="15">
        <f>IF($X626="","",INDEX(TARIFF_PROFILES!$K:$K,MATCH($X626,TARIFF_PROFILES!$A:$A,0)))</f>
        <v/>
      </c>
      <c r="AH626">
        <f>IF($AG626="","",SUMIFS(OPERATING_COEFFS!$C:$C,OPERATING_COEFFS!$A:$A,"DistanceClass",OPERATING_COEFFS!$B:$B,$AG626))</f>
        <v/>
      </c>
      <c r="AJ626">
        <f>IF($AI626="","",SUMIFS(OPERATING_COEFFS!$C:$C,OPERATING_COEFFS!$A:$A,"SeasonClass",OPERATING_COEFFS!$B:$B,$AI626))</f>
        <v/>
      </c>
      <c r="AL626">
        <f>IF($AK626="","",SUMIFS(OPERATING_COEFFS!$C:$C,OPERATING_COEFFS!$A:$A,"UrgencyClass",OPERATING_COEFFS!$B:$B,$AK626))</f>
        <v/>
      </c>
      <c r="AN626">
        <f>IF($AM626="","",INDEX(TAX_MODES!$B:$B,MATCH($AM626,TAX_MODES!$A:$A,0)))</f>
        <v/>
      </c>
    </row>
    <row r="627">
      <c r="X627" s="15" t="n"/>
      <c r="Y627" s="15">
        <f>IF($X627="","",SUMIFS(TARIFF_PROFILES!$D:$D,TARIFF_PROFILES!$A:$A,$X627))</f>
        <v/>
      </c>
      <c r="Z627" s="15">
        <f>IF($X627="","",SUMIFS(TARIFF_PROFILES!$E:$E,TARIFF_PROFILES!$A:$A,$X627))</f>
        <v/>
      </c>
      <c r="AA627" s="15">
        <f>IF($X627="","",SUMIFS(TARIFF_PROFILES!$F:$F,TARIFF_PROFILES!$A:$A,$X627))</f>
        <v/>
      </c>
      <c r="AB627" s="15">
        <f>IF($X627="","",SUMIFS(TARIFF_PROFILES!$G:$G,TARIFF_PROFILES!$A:$A,$X627))</f>
        <v/>
      </c>
      <c r="AC627" s="15">
        <f>IF($X627="","",SUMIFS(TARIFF_PROFILES!$H:$H,TARIFF_PROFILES!$A:$A,$X627))</f>
        <v/>
      </c>
      <c r="AD627" s="15">
        <f>IF($X627="","",INDEX(TARIFF_PROFILES!$J:$J,MATCH($X627,TARIFF_PROFILES!$A:$A,0)))</f>
        <v/>
      </c>
      <c r="AE627" s="15">
        <f>IF($X627="","",INDEX(TARIFF_PROFILES!$K:$K,MATCH($X627,TARIFF_PROFILES!$A:$A,0)))</f>
        <v/>
      </c>
      <c r="AH627">
        <f>IF($AG627="","",SUMIFS(OPERATING_COEFFS!$C:$C,OPERATING_COEFFS!$A:$A,"DistanceClass",OPERATING_COEFFS!$B:$B,$AG627))</f>
        <v/>
      </c>
      <c r="AJ627">
        <f>IF($AI627="","",SUMIFS(OPERATING_COEFFS!$C:$C,OPERATING_COEFFS!$A:$A,"SeasonClass",OPERATING_COEFFS!$B:$B,$AI627))</f>
        <v/>
      </c>
      <c r="AL627">
        <f>IF($AK627="","",SUMIFS(OPERATING_COEFFS!$C:$C,OPERATING_COEFFS!$A:$A,"UrgencyClass",OPERATING_COEFFS!$B:$B,$AK627))</f>
        <v/>
      </c>
      <c r="AN627">
        <f>IF($AM627="","",INDEX(TAX_MODES!$B:$B,MATCH($AM627,TAX_MODES!$A:$A,0)))</f>
        <v/>
      </c>
    </row>
    <row r="628">
      <c r="X628" s="15" t="n"/>
      <c r="Y628" s="15">
        <f>IF($X628="","",SUMIFS(TARIFF_PROFILES!$D:$D,TARIFF_PROFILES!$A:$A,$X628))</f>
        <v/>
      </c>
      <c r="Z628" s="15">
        <f>IF($X628="","",SUMIFS(TARIFF_PROFILES!$E:$E,TARIFF_PROFILES!$A:$A,$X628))</f>
        <v/>
      </c>
      <c r="AA628" s="15">
        <f>IF($X628="","",SUMIFS(TARIFF_PROFILES!$F:$F,TARIFF_PROFILES!$A:$A,$X628))</f>
        <v/>
      </c>
      <c r="AB628" s="15">
        <f>IF($X628="","",SUMIFS(TARIFF_PROFILES!$G:$G,TARIFF_PROFILES!$A:$A,$X628))</f>
        <v/>
      </c>
      <c r="AC628" s="15">
        <f>IF($X628="","",SUMIFS(TARIFF_PROFILES!$H:$H,TARIFF_PROFILES!$A:$A,$X628))</f>
        <v/>
      </c>
      <c r="AD628" s="15">
        <f>IF($X628="","",INDEX(TARIFF_PROFILES!$J:$J,MATCH($X628,TARIFF_PROFILES!$A:$A,0)))</f>
        <v/>
      </c>
      <c r="AE628" s="15">
        <f>IF($X628="","",INDEX(TARIFF_PROFILES!$K:$K,MATCH($X628,TARIFF_PROFILES!$A:$A,0)))</f>
        <v/>
      </c>
      <c r="AH628">
        <f>IF($AG628="","",SUMIFS(OPERATING_COEFFS!$C:$C,OPERATING_COEFFS!$A:$A,"DistanceClass",OPERATING_COEFFS!$B:$B,$AG628))</f>
        <v/>
      </c>
      <c r="AJ628">
        <f>IF($AI628="","",SUMIFS(OPERATING_COEFFS!$C:$C,OPERATING_COEFFS!$A:$A,"SeasonClass",OPERATING_COEFFS!$B:$B,$AI628))</f>
        <v/>
      </c>
      <c r="AL628">
        <f>IF($AK628="","",SUMIFS(OPERATING_COEFFS!$C:$C,OPERATING_COEFFS!$A:$A,"UrgencyClass",OPERATING_COEFFS!$B:$B,$AK628))</f>
        <v/>
      </c>
      <c r="AN628">
        <f>IF($AM628="","",INDEX(TAX_MODES!$B:$B,MATCH($AM628,TAX_MODES!$A:$A,0)))</f>
        <v/>
      </c>
    </row>
    <row r="629">
      <c r="X629" s="15" t="n"/>
      <c r="Y629" s="15">
        <f>IF($X629="","",SUMIFS(TARIFF_PROFILES!$D:$D,TARIFF_PROFILES!$A:$A,$X629))</f>
        <v/>
      </c>
      <c r="Z629" s="15">
        <f>IF($X629="","",SUMIFS(TARIFF_PROFILES!$E:$E,TARIFF_PROFILES!$A:$A,$X629))</f>
        <v/>
      </c>
      <c r="AA629" s="15">
        <f>IF($X629="","",SUMIFS(TARIFF_PROFILES!$F:$F,TARIFF_PROFILES!$A:$A,$X629))</f>
        <v/>
      </c>
      <c r="AB629" s="15">
        <f>IF($X629="","",SUMIFS(TARIFF_PROFILES!$G:$G,TARIFF_PROFILES!$A:$A,$X629))</f>
        <v/>
      </c>
      <c r="AC629" s="15">
        <f>IF($X629="","",SUMIFS(TARIFF_PROFILES!$H:$H,TARIFF_PROFILES!$A:$A,$X629))</f>
        <v/>
      </c>
      <c r="AD629" s="15">
        <f>IF($X629="","",INDEX(TARIFF_PROFILES!$J:$J,MATCH($X629,TARIFF_PROFILES!$A:$A,0)))</f>
        <v/>
      </c>
      <c r="AE629" s="15">
        <f>IF($X629="","",INDEX(TARIFF_PROFILES!$K:$K,MATCH($X629,TARIFF_PROFILES!$A:$A,0)))</f>
        <v/>
      </c>
      <c r="AH629">
        <f>IF($AG629="","",SUMIFS(OPERATING_COEFFS!$C:$C,OPERATING_COEFFS!$A:$A,"DistanceClass",OPERATING_COEFFS!$B:$B,$AG629))</f>
        <v/>
      </c>
      <c r="AJ629">
        <f>IF($AI629="","",SUMIFS(OPERATING_COEFFS!$C:$C,OPERATING_COEFFS!$A:$A,"SeasonClass",OPERATING_COEFFS!$B:$B,$AI629))</f>
        <v/>
      </c>
      <c r="AL629">
        <f>IF($AK629="","",SUMIFS(OPERATING_COEFFS!$C:$C,OPERATING_COEFFS!$A:$A,"UrgencyClass",OPERATING_COEFFS!$B:$B,$AK629))</f>
        <v/>
      </c>
      <c r="AN629">
        <f>IF($AM629="","",INDEX(TAX_MODES!$B:$B,MATCH($AM629,TAX_MODES!$A:$A,0)))</f>
        <v/>
      </c>
    </row>
    <row r="630">
      <c r="X630" s="15" t="n"/>
      <c r="Y630" s="15">
        <f>IF($X630="","",SUMIFS(TARIFF_PROFILES!$D:$D,TARIFF_PROFILES!$A:$A,$X630))</f>
        <v/>
      </c>
      <c r="Z630" s="15">
        <f>IF($X630="","",SUMIFS(TARIFF_PROFILES!$E:$E,TARIFF_PROFILES!$A:$A,$X630))</f>
        <v/>
      </c>
      <c r="AA630" s="15">
        <f>IF($X630="","",SUMIFS(TARIFF_PROFILES!$F:$F,TARIFF_PROFILES!$A:$A,$X630))</f>
        <v/>
      </c>
      <c r="AB630" s="15">
        <f>IF($X630="","",SUMIFS(TARIFF_PROFILES!$G:$G,TARIFF_PROFILES!$A:$A,$X630))</f>
        <v/>
      </c>
      <c r="AC630" s="15">
        <f>IF($X630="","",SUMIFS(TARIFF_PROFILES!$H:$H,TARIFF_PROFILES!$A:$A,$X630))</f>
        <v/>
      </c>
      <c r="AD630" s="15">
        <f>IF($X630="","",INDEX(TARIFF_PROFILES!$J:$J,MATCH($X630,TARIFF_PROFILES!$A:$A,0)))</f>
        <v/>
      </c>
      <c r="AE630" s="15">
        <f>IF($X630="","",INDEX(TARIFF_PROFILES!$K:$K,MATCH($X630,TARIFF_PROFILES!$A:$A,0)))</f>
        <v/>
      </c>
      <c r="AH630">
        <f>IF($AG630="","",SUMIFS(OPERATING_COEFFS!$C:$C,OPERATING_COEFFS!$A:$A,"DistanceClass",OPERATING_COEFFS!$B:$B,$AG630))</f>
        <v/>
      </c>
      <c r="AJ630">
        <f>IF($AI630="","",SUMIFS(OPERATING_COEFFS!$C:$C,OPERATING_COEFFS!$A:$A,"SeasonClass",OPERATING_COEFFS!$B:$B,$AI630))</f>
        <v/>
      </c>
      <c r="AL630">
        <f>IF($AK630="","",SUMIFS(OPERATING_COEFFS!$C:$C,OPERATING_COEFFS!$A:$A,"UrgencyClass",OPERATING_COEFFS!$B:$B,$AK630))</f>
        <v/>
      </c>
      <c r="AN630">
        <f>IF($AM630="","",INDEX(TAX_MODES!$B:$B,MATCH($AM630,TAX_MODES!$A:$A,0)))</f>
        <v/>
      </c>
    </row>
    <row r="631">
      <c r="X631" s="15" t="n"/>
      <c r="Y631" s="15">
        <f>IF($X631="","",SUMIFS(TARIFF_PROFILES!$D:$D,TARIFF_PROFILES!$A:$A,$X631))</f>
        <v/>
      </c>
      <c r="Z631" s="15">
        <f>IF($X631="","",SUMIFS(TARIFF_PROFILES!$E:$E,TARIFF_PROFILES!$A:$A,$X631))</f>
        <v/>
      </c>
      <c r="AA631" s="15">
        <f>IF($X631="","",SUMIFS(TARIFF_PROFILES!$F:$F,TARIFF_PROFILES!$A:$A,$X631))</f>
        <v/>
      </c>
      <c r="AB631" s="15">
        <f>IF($X631="","",SUMIFS(TARIFF_PROFILES!$G:$G,TARIFF_PROFILES!$A:$A,$X631))</f>
        <v/>
      </c>
      <c r="AC631" s="15">
        <f>IF($X631="","",SUMIFS(TARIFF_PROFILES!$H:$H,TARIFF_PROFILES!$A:$A,$X631))</f>
        <v/>
      </c>
      <c r="AD631" s="15">
        <f>IF($X631="","",INDEX(TARIFF_PROFILES!$J:$J,MATCH($X631,TARIFF_PROFILES!$A:$A,0)))</f>
        <v/>
      </c>
      <c r="AE631" s="15">
        <f>IF($X631="","",INDEX(TARIFF_PROFILES!$K:$K,MATCH($X631,TARIFF_PROFILES!$A:$A,0)))</f>
        <v/>
      </c>
      <c r="AH631">
        <f>IF($AG631="","",SUMIFS(OPERATING_COEFFS!$C:$C,OPERATING_COEFFS!$A:$A,"DistanceClass",OPERATING_COEFFS!$B:$B,$AG631))</f>
        <v/>
      </c>
      <c r="AJ631">
        <f>IF($AI631="","",SUMIFS(OPERATING_COEFFS!$C:$C,OPERATING_COEFFS!$A:$A,"SeasonClass",OPERATING_COEFFS!$B:$B,$AI631))</f>
        <v/>
      </c>
      <c r="AL631">
        <f>IF($AK631="","",SUMIFS(OPERATING_COEFFS!$C:$C,OPERATING_COEFFS!$A:$A,"UrgencyClass",OPERATING_COEFFS!$B:$B,$AK631))</f>
        <v/>
      </c>
      <c r="AN631">
        <f>IF($AM631="","",INDEX(TAX_MODES!$B:$B,MATCH($AM631,TAX_MODES!$A:$A,0)))</f>
        <v/>
      </c>
    </row>
    <row r="632">
      <c r="X632" s="15" t="n"/>
      <c r="Y632" s="15">
        <f>IF($X632="","",SUMIFS(TARIFF_PROFILES!$D:$D,TARIFF_PROFILES!$A:$A,$X632))</f>
        <v/>
      </c>
      <c r="Z632" s="15">
        <f>IF($X632="","",SUMIFS(TARIFF_PROFILES!$E:$E,TARIFF_PROFILES!$A:$A,$X632))</f>
        <v/>
      </c>
      <c r="AA632" s="15">
        <f>IF($X632="","",SUMIFS(TARIFF_PROFILES!$F:$F,TARIFF_PROFILES!$A:$A,$X632))</f>
        <v/>
      </c>
      <c r="AB632" s="15">
        <f>IF($X632="","",SUMIFS(TARIFF_PROFILES!$G:$G,TARIFF_PROFILES!$A:$A,$X632))</f>
        <v/>
      </c>
      <c r="AC632" s="15">
        <f>IF($X632="","",SUMIFS(TARIFF_PROFILES!$H:$H,TARIFF_PROFILES!$A:$A,$X632))</f>
        <v/>
      </c>
      <c r="AD632" s="15">
        <f>IF($X632="","",INDEX(TARIFF_PROFILES!$J:$J,MATCH($X632,TARIFF_PROFILES!$A:$A,0)))</f>
        <v/>
      </c>
      <c r="AE632" s="15">
        <f>IF($X632="","",INDEX(TARIFF_PROFILES!$K:$K,MATCH($X632,TARIFF_PROFILES!$A:$A,0)))</f>
        <v/>
      </c>
      <c r="AH632">
        <f>IF($AG632="","",SUMIFS(OPERATING_COEFFS!$C:$C,OPERATING_COEFFS!$A:$A,"DistanceClass",OPERATING_COEFFS!$B:$B,$AG632))</f>
        <v/>
      </c>
      <c r="AJ632">
        <f>IF($AI632="","",SUMIFS(OPERATING_COEFFS!$C:$C,OPERATING_COEFFS!$A:$A,"SeasonClass",OPERATING_COEFFS!$B:$B,$AI632))</f>
        <v/>
      </c>
      <c r="AL632">
        <f>IF($AK632="","",SUMIFS(OPERATING_COEFFS!$C:$C,OPERATING_COEFFS!$A:$A,"UrgencyClass",OPERATING_COEFFS!$B:$B,$AK632))</f>
        <v/>
      </c>
      <c r="AN632">
        <f>IF($AM632="","",INDEX(TAX_MODES!$B:$B,MATCH($AM632,TAX_MODES!$A:$A,0)))</f>
        <v/>
      </c>
    </row>
    <row r="633">
      <c r="X633" s="15" t="n"/>
      <c r="Y633" s="15">
        <f>IF($X633="","",SUMIFS(TARIFF_PROFILES!$D:$D,TARIFF_PROFILES!$A:$A,$X633))</f>
        <v/>
      </c>
      <c r="Z633" s="15">
        <f>IF($X633="","",SUMIFS(TARIFF_PROFILES!$E:$E,TARIFF_PROFILES!$A:$A,$X633))</f>
        <v/>
      </c>
      <c r="AA633" s="15">
        <f>IF($X633="","",SUMIFS(TARIFF_PROFILES!$F:$F,TARIFF_PROFILES!$A:$A,$X633))</f>
        <v/>
      </c>
      <c r="AB633" s="15">
        <f>IF($X633="","",SUMIFS(TARIFF_PROFILES!$G:$G,TARIFF_PROFILES!$A:$A,$X633))</f>
        <v/>
      </c>
      <c r="AC633" s="15">
        <f>IF($X633="","",SUMIFS(TARIFF_PROFILES!$H:$H,TARIFF_PROFILES!$A:$A,$X633))</f>
        <v/>
      </c>
      <c r="AD633" s="15">
        <f>IF($X633="","",INDEX(TARIFF_PROFILES!$J:$J,MATCH($X633,TARIFF_PROFILES!$A:$A,0)))</f>
        <v/>
      </c>
      <c r="AE633" s="15">
        <f>IF($X633="","",INDEX(TARIFF_PROFILES!$K:$K,MATCH($X633,TARIFF_PROFILES!$A:$A,0)))</f>
        <v/>
      </c>
      <c r="AH633">
        <f>IF($AG633="","",SUMIFS(OPERATING_COEFFS!$C:$C,OPERATING_COEFFS!$A:$A,"DistanceClass",OPERATING_COEFFS!$B:$B,$AG633))</f>
        <v/>
      </c>
      <c r="AJ633">
        <f>IF($AI633="","",SUMIFS(OPERATING_COEFFS!$C:$C,OPERATING_COEFFS!$A:$A,"SeasonClass",OPERATING_COEFFS!$B:$B,$AI633))</f>
        <v/>
      </c>
      <c r="AL633">
        <f>IF($AK633="","",SUMIFS(OPERATING_COEFFS!$C:$C,OPERATING_COEFFS!$A:$A,"UrgencyClass",OPERATING_COEFFS!$B:$B,$AK633))</f>
        <v/>
      </c>
      <c r="AN633">
        <f>IF($AM633="","",INDEX(TAX_MODES!$B:$B,MATCH($AM633,TAX_MODES!$A:$A,0)))</f>
        <v/>
      </c>
    </row>
    <row r="634">
      <c r="X634" s="15" t="n"/>
      <c r="Y634" s="15">
        <f>IF($X634="","",SUMIFS(TARIFF_PROFILES!$D:$D,TARIFF_PROFILES!$A:$A,$X634))</f>
        <v/>
      </c>
      <c r="Z634" s="15">
        <f>IF($X634="","",SUMIFS(TARIFF_PROFILES!$E:$E,TARIFF_PROFILES!$A:$A,$X634))</f>
        <v/>
      </c>
      <c r="AA634" s="15">
        <f>IF($X634="","",SUMIFS(TARIFF_PROFILES!$F:$F,TARIFF_PROFILES!$A:$A,$X634))</f>
        <v/>
      </c>
      <c r="AB634" s="15">
        <f>IF($X634="","",SUMIFS(TARIFF_PROFILES!$G:$G,TARIFF_PROFILES!$A:$A,$X634))</f>
        <v/>
      </c>
      <c r="AC634" s="15">
        <f>IF($X634="","",SUMIFS(TARIFF_PROFILES!$H:$H,TARIFF_PROFILES!$A:$A,$X634))</f>
        <v/>
      </c>
      <c r="AD634" s="15">
        <f>IF($X634="","",INDEX(TARIFF_PROFILES!$J:$J,MATCH($X634,TARIFF_PROFILES!$A:$A,0)))</f>
        <v/>
      </c>
      <c r="AE634" s="15">
        <f>IF($X634="","",INDEX(TARIFF_PROFILES!$K:$K,MATCH($X634,TARIFF_PROFILES!$A:$A,0)))</f>
        <v/>
      </c>
      <c r="AH634">
        <f>IF($AG634="","",SUMIFS(OPERATING_COEFFS!$C:$C,OPERATING_COEFFS!$A:$A,"DistanceClass",OPERATING_COEFFS!$B:$B,$AG634))</f>
        <v/>
      </c>
      <c r="AJ634">
        <f>IF($AI634="","",SUMIFS(OPERATING_COEFFS!$C:$C,OPERATING_COEFFS!$A:$A,"SeasonClass",OPERATING_COEFFS!$B:$B,$AI634))</f>
        <v/>
      </c>
      <c r="AL634">
        <f>IF($AK634="","",SUMIFS(OPERATING_COEFFS!$C:$C,OPERATING_COEFFS!$A:$A,"UrgencyClass",OPERATING_COEFFS!$B:$B,$AK634))</f>
        <v/>
      </c>
      <c r="AN634">
        <f>IF($AM634="","",INDEX(TAX_MODES!$B:$B,MATCH($AM634,TAX_MODES!$A:$A,0)))</f>
        <v/>
      </c>
    </row>
    <row r="635">
      <c r="X635" s="15" t="n"/>
      <c r="Y635" s="15">
        <f>IF($X635="","",SUMIFS(TARIFF_PROFILES!$D:$D,TARIFF_PROFILES!$A:$A,$X635))</f>
        <v/>
      </c>
      <c r="Z635" s="15">
        <f>IF($X635="","",SUMIFS(TARIFF_PROFILES!$E:$E,TARIFF_PROFILES!$A:$A,$X635))</f>
        <v/>
      </c>
      <c r="AA635" s="15">
        <f>IF($X635="","",SUMIFS(TARIFF_PROFILES!$F:$F,TARIFF_PROFILES!$A:$A,$X635))</f>
        <v/>
      </c>
      <c r="AB635" s="15">
        <f>IF($X635="","",SUMIFS(TARIFF_PROFILES!$G:$G,TARIFF_PROFILES!$A:$A,$X635))</f>
        <v/>
      </c>
      <c r="AC635" s="15">
        <f>IF($X635="","",SUMIFS(TARIFF_PROFILES!$H:$H,TARIFF_PROFILES!$A:$A,$X635))</f>
        <v/>
      </c>
      <c r="AD635" s="15">
        <f>IF($X635="","",INDEX(TARIFF_PROFILES!$J:$J,MATCH($X635,TARIFF_PROFILES!$A:$A,0)))</f>
        <v/>
      </c>
      <c r="AE635" s="15">
        <f>IF($X635="","",INDEX(TARIFF_PROFILES!$K:$K,MATCH($X635,TARIFF_PROFILES!$A:$A,0)))</f>
        <v/>
      </c>
      <c r="AH635">
        <f>IF($AG635="","",SUMIFS(OPERATING_COEFFS!$C:$C,OPERATING_COEFFS!$A:$A,"DistanceClass",OPERATING_COEFFS!$B:$B,$AG635))</f>
        <v/>
      </c>
      <c r="AJ635">
        <f>IF($AI635="","",SUMIFS(OPERATING_COEFFS!$C:$C,OPERATING_COEFFS!$A:$A,"SeasonClass",OPERATING_COEFFS!$B:$B,$AI635))</f>
        <v/>
      </c>
      <c r="AL635">
        <f>IF($AK635="","",SUMIFS(OPERATING_COEFFS!$C:$C,OPERATING_COEFFS!$A:$A,"UrgencyClass",OPERATING_COEFFS!$B:$B,$AK635))</f>
        <v/>
      </c>
      <c r="AN635">
        <f>IF($AM635="","",INDEX(TAX_MODES!$B:$B,MATCH($AM635,TAX_MODES!$A:$A,0)))</f>
        <v/>
      </c>
    </row>
    <row r="636">
      <c r="X636" s="15" t="n"/>
      <c r="Y636" s="15">
        <f>IF($X636="","",SUMIFS(TARIFF_PROFILES!$D:$D,TARIFF_PROFILES!$A:$A,$X636))</f>
        <v/>
      </c>
      <c r="Z636" s="15">
        <f>IF($X636="","",SUMIFS(TARIFF_PROFILES!$E:$E,TARIFF_PROFILES!$A:$A,$X636))</f>
        <v/>
      </c>
      <c r="AA636" s="15">
        <f>IF($X636="","",SUMIFS(TARIFF_PROFILES!$F:$F,TARIFF_PROFILES!$A:$A,$X636))</f>
        <v/>
      </c>
      <c r="AB636" s="15">
        <f>IF($X636="","",SUMIFS(TARIFF_PROFILES!$G:$G,TARIFF_PROFILES!$A:$A,$X636))</f>
        <v/>
      </c>
      <c r="AC636" s="15">
        <f>IF($X636="","",SUMIFS(TARIFF_PROFILES!$H:$H,TARIFF_PROFILES!$A:$A,$X636))</f>
        <v/>
      </c>
      <c r="AD636" s="15">
        <f>IF($X636="","",INDEX(TARIFF_PROFILES!$J:$J,MATCH($X636,TARIFF_PROFILES!$A:$A,0)))</f>
        <v/>
      </c>
      <c r="AE636" s="15">
        <f>IF($X636="","",INDEX(TARIFF_PROFILES!$K:$K,MATCH($X636,TARIFF_PROFILES!$A:$A,0)))</f>
        <v/>
      </c>
      <c r="AH636">
        <f>IF($AG636="","",SUMIFS(OPERATING_COEFFS!$C:$C,OPERATING_COEFFS!$A:$A,"DistanceClass",OPERATING_COEFFS!$B:$B,$AG636))</f>
        <v/>
      </c>
      <c r="AJ636">
        <f>IF($AI636="","",SUMIFS(OPERATING_COEFFS!$C:$C,OPERATING_COEFFS!$A:$A,"SeasonClass",OPERATING_COEFFS!$B:$B,$AI636))</f>
        <v/>
      </c>
      <c r="AL636">
        <f>IF($AK636="","",SUMIFS(OPERATING_COEFFS!$C:$C,OPERATING_COEFFS!$A:$A,"UrgencyClass",OPERATING_COEFFS!$B:$B,$AK636))</f>
        <v/>
      </c>
      <c r="AN636">
        <f>IF($AM636="","",INDEX(TAX_MODES!$B:$B,MATCH($AM636,TAX_MODES!$A:$A,0)))</f>
        <v/>
      </c>
    </row>
    <row r="637">
      <c r="X637" s="15" t="n"/>
      <c r="Y637" s="15">
        <f>IF($X637="","",SUMIFS(TARIFF_PROFILES!$D:$D,TARIFF_PROFILES!$A:$A,$X637))</f>
        <v/>
      </c>
      <c r="Z637" s="15">
        <f>IF($X637="","",SUMIFS(TARIFF_PROFILES!$E:$E,TARIFF_PROFILES!$A:$A,$X637))</f>
        <v/>
      </c>
      <c r="AA637" s="15">
        <f>IF($X637="","",SUMIFS(TARIFF_PROFILES!$F:$F,TARIFF_PROFILES!$A:$A,$X637))</f>
        <v/>
      </c>
      <c r="AB637" s="15">
        <f>IF($X637="","",SUMIFS(TARIFF_PROFILES!$G:$G,TARIFF_PROFILES!$A:$A,$X637))</f>
        <v/>
      </c>
      <c r="AC637" s="15">
        <f>IF($X637="","",SUMIFS(TARIFF_PROFILES!$H:$H,TARIFF_PROFILES!$A:$A,$X637))</f>
        <v/>
      </c>
      <c r="AD637" s="15">
        <f>IF($X637="","",INDEX(TARIFF_PROFILES!$J:$J,MATCH($X637,TARIFF_PROFILES!$A:$A,0)))</f>
        <v/>
      </c>
      <c r="AE637" s="15">
        <f>IF($X637="","",INDEX(TARIFF_PROFILES!$K:$K,MATCH($X637,TARIFF_PROFILES!$A:$A,0)))</f>
        <v/>
      </c>
      <c r="AH637">
        <f>IF($AG637="","",SUMIFS(OPERATING_COEFFS!$C:$C,OPERATING_COEFFS!$A:$A,"DistanceClass",OPERATING_COEFFS!$B:$B,$AG637))</f>
        <v/>
      </c>
      <c r="AJ637">
        <f>IF($AI637="","",SUMIFS(OPERATING_COEFFS!$C:$C,OPERATING_COEFFS!$A:$A,"SeasonClass",OPERATING_COEFFS!$B:$B,$AI637))</f>
        <v/>
      </c>
      <c r="AL637">
        <f>IF($AK637="","",SUMIFS(OPERATING_COEFFS!$C:$C,OPERATING_COEFFS!$A:$A,"UrgencyClass",OPERATING_COEFFS!$B:$B,$AK637))</f>
        <v/>
      </c>
      <c r="AN637">
        <f>IF($AM637="","",INDEX(TAX_MODES!$B:$B,MATCH($AM637,TAX_MODES!$A:$A,0)))</f>
        <v/>
      </c>
    </row>
    <row r="638">
      <c r="X638" s="15" t="n"/>
      <c r="Y638" s="15">
        <f>IF($X638="","",SUMIFS(TARIFF_PROFILES!$D:$D,TARIFF_PROFILES!$A:$A,$X638))</f>
        <v/>
      </c>
      <c r="Z638" s="15">
        <f>IF($X638="","",SUMIFS(TARIFF_PROFILES!$E:$E,TARIFF_PROFILES!$A:$A,$X638))</f>
        <v/>
      </c>
      <c r="AA638" s="15">
        <f>IF($X638="","",SUMIFS(TARIFF_PROFILES!$F:$F,TARIFF_PROFILES!$A:$A,$X638))</f>
        <v/>
      </c>
      <c r="AB638" s="15">
        <f>IF($X638="","",SUMIFS(TARIFF_PROFILES!$G:$G,TARIFF_PROFILES!$A:$A,$X638))</f>
        <v/>
      </c>
      <c r="AC638" s="15">
        <f>IF($X638="","",SUMIFS(TARIFF_PROFILES!$H:$H,TARIFF_PROFILES!$A:$A,$X638))</f>
        <v/>
      </c>
      <c r="AD638" s="15">
        <f>IF($X638="","",INDEX(TARIFF_PROFILES!$J:$J,MATCH($X638,TARIFF_PROFILES!$A:$A,0)))</f>
        <v/>
      </c>
      <c r="AE638" s="15">
        <f>IF($X638="","",INDEX(TARIFF_PROFILES!$K:$K,MATCH($X638,TARIFF_PROFILES!$A:$A,0)))</f>
        <v/>
      </c>
      <c r="AH638">
        <f>IF($AG638="","",SUMIFS(OPERATING_COEFFS!$C:$C,OPERATING_COEFFS!$A:$A,"DistanceClass",OPERATING_COEFFS!$B:$B,$AG638))</f>
        <v/>
      </c>
      <c r="AJ638">
        <f>IF($AI638="","",SUMIFS(OPERATING_COEFFS!$C:$C,OPERATING_COEFFS!$A:$A,"SeasonClass",OPERATING_COEFFS!$B:$B,$AI638))</f>
        <v/>
      </c>
      <c r="AL638">
        <f>IF($AK638="","",SUMIFS(OPERATING_COEFFS!$C:$C,OPERATING_COEFFS!$A:$A,"UrgencyClass",OPERATING_COEFFS!$B:$B,$AK638))</f>
        <v/>
      </c>
      <c r="AN638">
        <f>IF($AM638="","",INDEX(TAX_MODES!$B:$B,MATCH($AM638,TAX_MODES!$A:$A,0)))</f>
        <v/>
      </c>
    </row>
    <row r="639">
      <c r="X639" s="15" t="n"/>
      <c r="Y639" s="15">
        <f>IF($X639="","",SUMIFS(TARIFF_PROFILES!$D:$D,TARIFF_PROFILES!$A:$A,$X639))</f>
        <v/>
      </c>
      <c r="Z639" s="15">
        <f>IF($X639="","",SUMIFS(TARIFF_PROFILES!$E:$E,TARIFF_PROFILES!$A:$A,$X639))</f>
        <v/>
      </c>
      <c r="AA639" s="15">
        <f>IF($X639="","",SUMIFS(TARIFF_PROFILES!$F:$F,TARIFF_PROFILES!$A:$A,$X639))</f>
        <v/>
      </c>
      <c r="AB639" s="15">
        <f>IF($X639="","",SUMIFS(TARIFF_PROFILES!$G:$G,TARIFF_PROFILES!$A:$A,$X639))</f>
        <v/>
      </c>
      <c r="AC639" s="15">
        <f>IF($X639="","",SUMIFS(TARIFF_PROFILES!$H:$H,TARIFF_PROFILES!$A:$A,$X639))</f>
        <v/>
      </c>
      <c r="AD639" s="15">
        <f>IF($X639="","",INDEX(TARIFF_PROFILES!$J:$J,MATCH($X639,TARIFF_PROFILES!$A:$A,0)))</f>
        <v/>
      </c>
      <c r="AE639" s="15">
        <f>IF($X639="","",INDEX(TARIFF_PROFILES!$K:$K,MATCH($X639,TARIFF_PROFILES!$A:$A,0)))</f>
        <v/>
      </c>
      <c r="AH639">
        <f>IF($AG639="","",SUMIFS(OPERATING_COEFFS!$C:$C,OPERATING_COEFFS!$A:$A,"DistanceClass",OPERATING_COEFFS!$B:$B,$AG639))</f>
        <v/>
      </c>
      <c r="AJ639">
        <f>IF($AI639="","",SUMIFS(OPERATING_COEFFS!$C:$C,OPERATING_COEFFS!$A:$A,"SeasonClass",OPERATING_COEFFS!$B:$B,$AI639))</f>
        <v/>
      </c>
      <c r="AL639">
        <f>IF($AK639="","",SUMIFS(OPERATING_COEFFS!$C:$C,OPERATING_COEFFS!$A:$A,"UrgencyClass",OPERATING_COEFFS!$B:$B,$AK639))</f>
        <v/>
      </c>
      <c r="AN639">
        <f>IF($AM639="","",INDEX(TAX_MODES!$B:$B,MATCH($AM639,TAX_MODES!$A:$A,0)))</f>
        <v/>
      </c>
    </row>
    <row r="640">
      <c r="X640" s="15" t="n"/>
      <c r="Y640" s="15">
        <f>IF($X640="","",SUMIFS(TARIFF_PROFILES!$D:$D,TARIFF_PROFILES!$A:$A,$X640))</f>
        <v/>
      </c>
      <c r="Z640" s="15">
        <f>IF($X640="","",SUMIFS(TARIFF_PROFILES!$E:$E,TARIFF_PROFILES!$A:$A,$X640))</f>
        <v/>
      </c>
      <c r="AA640" s="15">
        <f>IF($X640="","",SUMIFS(TARIFF_PROFILES!$F:$F,TARIFF_PROFILES!$A:$A,$X640))</f>
        <v/>
      </c>
      <c r="AB640" s="15">
        <f>IF($X640="","",SUMIFS(TARIFF_PROFILES!$G:$G,TARIFF_PROFILES!$A:$A,$X640))</f>
        <v/>
      </c>
      <c r="AC640" s="15">
        <f>IF($X640="","",SUMIFS(TARIFF_PROFILES!$H:$H,TARIFF_PROFILES!$A:$A,$X640))</f>
        <v/>
      </c>
      <c r="AD640" s="15">
        <f>IF($X640="","",INDEX(TARIFF_PROFILES!$J:$J,MATCH($X640,TARIFF_PROFILES!$A:$A,0)))</f>
        <v/>
      </c>
      <c r="AE640" s="15">
        <f>IF($X640="","",INDEX(TARIFF_PROFILES!$K:$K,MATCH($X640,TARIFF_PROFILES!$A:$A,0)))</f>
        <v/>
      </c>
      <c r="AH640">
        <f>IF($AG640="","",SUMIFS(OPERATING_COEFFS!$C:$C,OPERATING_COEFFS!$A:$A,"DistanceClass",OPERATING_COEFFS!$B:$B,$AG640))</f>
        <v/>
      </c>
      <c r="AJ640">
        <f>IF($AI640="","",SUMIFS(OPERATING_COEFFS!$C:$C,OPERATING_COEFFS!$A:$A,"SeasonClass",OPERATING_COEFFS!$B:$B,$AI640))</f>
        <v/>
      </c>
      <c r="AL640">
        <f>IF($AK640="","",SUMIFS(OPERATING_COEFFS!$C:$C,OPERATING_COEFFS!$A:$A,"UrgencyClass",OPERATING_COEFFS!$B:$B,$AK640))</f>
        <v/>
      </c>
      <c r="AN640">
        <f>IF($AM640="","",INDEX(TAX_MODES!$B:$B,MATCH($AM640,TAX_MODES!$A:$A,0)))</f>
        <v/>
      </c>
    </row>
    <row r="641">
      <c r="X641" s="15" t="n"/>
      <c r="Y641" s="15">
        <f>IF($X641="","",SUMIFS(TARIFF_PROFILES!$D:$D,TARIFF_PROFILES!$A:$A,$X641))</f>
        <v/>
      </c>
      <c r="Z641" s="15">
        <f>IF($X641="","",SUMIFS(TARIFF_PROFILES!$E:$E,TARIFF_PROFILES!$A:$A,$X641))</f>
        <v/>
      </c>
      <c r="AA641" s="15">
        <f>IF($X641="","",SUMIFS(TARIFF_PROFILES!$F:$F,TARIFF_PROFILES!$A:$A,$X641))</f>
        <v/>
      </c>
      <c r="AB641" s="15">
        <f>IF($X641="","",SUMIFS(TARIFF_PROFILES!$G:$G,TARIFF_PROFILES!$A:$A,$X641))</f>
        <v/>
      </c>
      <c r="AC641" s="15">
        <f>IF($X641="","",SUMIFS(TARIFF_PROFILES!$H:$H,TARIFF_PROFILES!$A:$A,$X641))</f>
        <v/>
      </c>
      <c r="AD641" s="15">
        <f>IF($X641="","",INDEX(TARIFF_PROFILES!$J:$J,MATCH($X641,TARIFF_PROFILES!$A:$A,0)))</f>
        <v/>
      </c>
      <c r="AE641" s="15">
        <f>IF($X641="","",INDEX(TARIFF_PROFILES!$K:$K,MATCH($X641,TARIFF_PROFILES!$A:$A,0)))</f>
        <v/>
      </c>
      <c r="AH641">
        <f>IF($AG641="","",SUMIFS(OPERATING_COEFFS!$C:$C,OPERATING_COEFFS!$A:$A,"DistanceClass",OPERATING_COEFFS!$B:$B,$AG641))</f>
        <v/>
      </c>
      <c r="AJ641">
        <f>IF($AI641="","",SUMIFS(OPERATING_COEFFS!$C:$C,OPERATING_COEFFS!$A:$A,"SeasonClass",OPERATING_COEFFS!$B:$B,$AI641))</f>
        <v/>
      </c>
      <c r="AL641">
        <f>IF($AK641="","",SUMIFS(OPERATING_COEFFS!$C:$C,OPERATING_COEFFS!$A:$A,"UrgencyClass",OPERATING_COEFFS!$B:$B,$AK641))</f>
        <v/>
      </c>
      <c r="AN641">
        <f>IF($AM641="","",INDEX(TAX_MODES!$B:$B,MATCH($AM641,TAX_MODES!$A:$A,0)))</f>
        <v/>
      </c>
    </row>
    <row r="642">
      <c r="X642" s="15" t="n"/>
      <c r="Y642" s="15">
        <f>IF($X642="","",SUMIFS(TARIFF_PROFILES!$D:$D,TARIFF_PROFILES!$A:$A,$X642))</f>
        <v/>
      </c>
      <c r="Z642" s="15">
        <f>IF($X642="","",SUMIFS(TARIFF_PROFILES!$E:$E,TARIFF_PROFILES!$A:$A,$X642))</f>
        <v/>
      </c>
      <c r="AA642" s="15">
        <f>IF($X642="","",SUMIFS(TARIFF_PROFILES!$F:$F,TARIFF_PROFILES!$A:$A,$X642))</f>
        <v/>
      </c>
      <c r="AB642" s="15">
        <f>IF($X642="","",SUMIFS(TARIFF_PROFILES!$G:$G,TARIFF_PROFILES!$A:$A,$X642))</f>
        <v/>
      </c>
      <c r="AC642" s="15">
        <f>IF($X642="","",SUMIFS(TARIFF_PROFILES!$H:$H,TARIFF_PROFILES!$A:$A,$X642))</f>
        <v/>
      </c>
      <c r="AD642" s="15">
        <f>IF($X642="","",INDEX(TARIFF_PROFILES!$J:$J,MATCH($X642,TARIFF_PROFILES!$A:$A,0)))</f>
        <v/>
      </c>
      <c r="AE642" s="15">
        <f>IF($X642="","",INDEX(TARIFF_PROFILES!$K:$K,MATCH($X642,TARIFF_PROFILES!$A:$A,0)))</f>
        <v/>
      </c>
      <c r="AH642">
        <f>IF($AG642="","",SUMIFS(OPERATING_COEFFS!$C:$C,OPERATING_COEFFS!$A:$A,"DistanceClass",OPERATING_COEFFS!$B:$B,$AG642))</f>
        <v/>
      </c>
      <c r="AJ642">
        <f>IF($AI642="","",SUMIFS(OPERATING_COEFFS!$C:$C,OPERATING_COEFFS!$A:$A,"SeasonClass",OPERATING_COEFFS!$B:$B,$AI642))</f>
        <v/>
      </c>
      <c r="AL642">
        <f>IF($AK642="","",SUMIFS(OPERATING_COEFFS!$C:$C,OPERATING_COEFFS!$A:$A,"UrgencyClass",OPERATING_COEFFS!$B:$B,$AK642))</f>
        <v/>
      </c>
      <c r="AN642">
        <f>IF($AM642="","",INDEX(TAX_MODES!$B:$B,MATCH($AM642,TAX_MODES!$A:$A,0)))</f>
        <v/>
      </c>
    </row>
    <row r="643">
      <c r="X643" s="15" t="n"/>
      <c r="Y643" s="15">
        <f>IF($X643="","",SUMIFS(TARIFF_PROFILES!$D:$D,TARIFF_PROFILES!$A:$A,$X643))</f>
        <v/>
      </c>
      <c r="Z643" s="15">
        <f>IF($X643="","",SUMIFS(TARIFF_PROFILES!$E:$E,TARIFF_PROFILES!$A:$A,$X643))</f>
        <v/>
      </c>
      <c r="AA643" s="15">
        <f>IF($X643="","",SUMIFS(TARIFF_PROFILES!$F:$F,TARIFF_PROFILES!$A:$A,$X643))</f>
        <v/>
      </c>
      <c r="AB643" s="15">
        <f>IF($X643="","",SUMIFS(TARIFF_PROFILES!$G:$G,TARIFF_PROFILES!$A:$A,$X643))</f>
        <v/>
      </c>
      <c r="AC643" s="15">
        <f>IF($X643="","",SUMIFS(TARIFF_PROFILES!$H:$H,TARIFF_PROFILES!$A:$A,$X643))</f>
        <v/>
      </c>
      <c r="AD643" s="15">
        <f>IF($X643="","",INDEX(TARIFF_PROFILES!$J:$J,MATCH($X643,TARIFF_PROFILES!$A:$A,0)))</f>
        <v/>
      </c>
      <c r="AE643" s="15">
        <f>IF($X643="","",INDEX(TARIFF_PROFILES!$K:$K,MATCH($X643,TARIFF_PROFILES!$A:$A,0)))</f>
        <v/>
      </c>
      <c r="AH643">
        <f>IF($AG643="","",SUMIFS(OPERATING_COEFFS!$C:$C,OPERATING_COEFFS!$A:$A,"DistanceClass",OPERATING_COEFFS!$B:$B,$AG643))</f>
        <v/>
      </c>
      <c r="AJ643">
        <f>IF($AI643="","",SUMIFS(OPERATING_COEFFS!$C:$C,OPERATING_COEFFS!$A:$A,"SeasonClass",OPERATING_COEFFS!$B:$B,$AI643))</f>
        <v/>
      </c>
      <c r="AL643">
        <f>IF($AK643="","",SUMIFS(OPERATING_COEFFS!$C:$C,OPERATING_COEFFS!$A:$A,"UrgencyClass",OPERATING_COEFFS!$B:$B,$AK643))</f>
        <v/>
      </c>
      <c r="AN643">
        <f>IF($AM643="","",INDEX(TAX_MODES!$B:$B,MATCH($AM643,TAX_MODES!$A:$A,0)))</f>
        <v/>
      </c>
    </row>
    <row r="644">
      <c r="X644" s="15" t="n"/>
      <c r="Y644" s="15">
        <f>IF($X644="","",SUMIFS(TARIFF_PROFILES!$D:$D,TARIFF_PROFILES!$A:$A,$X644))</f>
        <v/>
      </c>
      <c r="Z644" s="15">
        <f>IF($X644="","",SUMIFS(TARIFF_PROFILES!$E:$E,TARIFF_PROFILES!$A:$A,$X644))</f>
        <v/>
      </c>
      <c r="AA644" s="15">
        <f>IF($X644="","",SUMIFS(TARIFF_PROFILES!$F:$F,TARIFF_PROFILES!$A:$A,$X644))</f>
        <v/>
      </c>
      <c r="AB644" s="15">
        <f>IF($X644="","",SUMIFS(TARIFF_PROFILES!$G:$G,TARIFF_PROFILES!$A:$A,$X644))</f>
        <v/>
      </c>
      <c r="AC644" s="15">
        <f>IF($X644="","",SUMIFS(TARIFF_PROFILES!$H:$H,TARIFF_PROFILES!$A:$A,$X644))</f>
        <v/>
      </c>
      <c r="AD644" s="15">
        <f>IF($X644="","",INDEX(TARIFF_PROFILES!$J:$J,MATCH($X644,TARIFF_PROFILES!$A:$A,0)))</f>
        <v/>
      </c>
      <c r="AE644" s="15">
        <f>IF($X644="","",INDEX(TARIFF_PROFILES!$K:$K,MATCH($X644,TARIFF_PROFILES!$A:$A,0)))</f>
        <v/>
      </c>
      <c r="AH644">
        <f>IF($AG644="","",SUMIFS(OPERATING_COEFFS!$C:$C,OPERATING_COEFFS!$A:$A,"DistanceClass",OPERATING_COEFFS!$B:$B,$AG644))</f>
        <v/>
      </c>
      <c r="AJ644">
        <f>IF($AI644="","",SUMIFS(OPERATING_COEFFS!$C:$C,OPERATING_COEFFS!$A:$A,"SeasonClass",OPERATING_COEFFS!$B:$B,$AI644))</f>
        <v/>
      </c>
      <c r="AL644">
        <f>IF($AK644="","",SUMIFS(OPERATING_COEFFS!$C:$C,OPERATING_COEFFS!$A:$A,"UrgencyClass",OPERATING_COEFFS!$B:$B,$AK644))</f>
        <v/>
      </c>
      <c r="AN644">
        <f>IF($AM644="","",INDEX(TAX_MODES!$B:$B,MATCH($AM644,TAX_MODES!$A:$A,0)))</f>
        <v/>
      </c>
    </row>
    <row r="645">
      <c r="X645" s="15" t="n"/>
      <c r="Y645" s="15">
        <f>IF($X645="","",SUMIFS(TARIFF_PROFILES!$D:$D,TARIFF_PROFILES!$A:$A,$X645))</f>
        <v/>
      </c>
      <c r="Z645" s="15">
        <f>IF($X645="","",SUMIFS(TARIFF_PROFILES!$E:$E,TARIFF_PROFILES!$A:$A,$X645))</f>
        <v/>
      </c>
      <c r="AA645" s="15">
        <f>IF($X645="","",SUMIFS(TARIFF_PROFILES!$F:$F,TARIFF_PROFILES!$A:$A,$X645))</f>
        <v/>
      </c>
      <c r="AB645" s="15">
        <f>IF($X645="","",SUMIFS(TARIFF_PROFILES!$G:$G,TARIFF_PROFILES!$A:$A,$X645))</f>
        <v/>
      </c>
      <c r="AC645" s="15">
        <f>IF($X645="","",SUMIFS(TARIFF_PROFILES!$H:$H,TARIFF_PROFILES!$A:$A,$X645))</f>
        <v/>
      </c>
      <c r="AD645" s="15">
        <f>IF($X645="","",INDEX(TARIFF_PROFILES!$J:$J,MATCH($X645,TARIFF_PROFILES!$A:$A,0)))</f>
        <v/>
      </c>
      <c r="AE645" s="15">
        <f>IF($X645="","",INDEX(TARIFF_PROFILES!$K:$K,MATCH($X645,TARIFF_PROFILES!$A:$A,0)))</f>
        <v/>
      </c>
      <c r="AH645">
        <f>IF($AG645="","",SUMIFS(OPERATING_COEFFS!$C:$C,OPERATING_COEFFS!$A:$A,"DistanceClass",OPERATING_COEFFS!$B:$B,$AG645))</f>
        <v/>
      </c>
      <c r="AJ645">
        <f>IF($AI645="","",SUMIFS(OPERATING_COEFFS!$C:$C,OPERATING_COEFFS!$A:$A,"SeasonClass",OPERATING_COEFFS!$B:$B,$AI645))</f>
        <v/>
      </c>
      <c r="AL645">
        <f>IF($AK645="","",SUMIFS(OPERATING_COEFFS!$C:$C,OPERATING_COEFFS!$A:$A,"UrgencyClass",OPERATING_COEFFS!$B:$B,$AK645))</f>
        <v/>
      </c>
      <c r="AN645">
        <f>IF($AM645="","",INDEX(TAX_MODES!$B:$B,MATCH($AM645,TAX_MODES!$A:$A,0)))</f>
        <v/>
      </c>
    </row>
    <row r="646">
      <c r="X646" s="15" t="n"/>
      <c r="Y646" s="15">
        <f>IF($X646="","",SUMIFS(TARIFF_PROFILES!$D:$D,TARIFF_PROFILES!$A:$A,$X646))</f>
        <v/>
      </c>
      <c r="Z646" s="15">
        <f>IF($X646="","",SUMIFS(TARIFF_PROFILES!$E:$E,TARIFF_PROFILES!$A:$A,$X646))</f>
        <v/>
      </c>
      <c r="AA646" s="15">
        <f>IF($X646="","",SUMIFS(TARIFF_PROFILES!$F:$F,TARIFF_PROFILES!$A:$A,$X646))</f>
        <v/>
      </c>
      <c r="AB646" s="15">
        <f>IF($X646="","",SUMIFS(TARIFF_PROFILES!$G:$G,TARIFF_PROFILES!$A:$A,$X646))</f>
        <v/>
      </c>
      <c r="AC646" s="15">
        <f>IF($X646="","",SUMIFS(TARIFF_PROFILES!$H:$H,TARIFF_PROFILES!$A:$A,$X646))</f>
        <v/>
      </c>
      <c r="AD646" s="15">
        <f>IF($X646="","",INDEX(TARIFF_PROFILES!$J:$J,MATCH($X646,TARIFF_PROFILES!$A:$A,0)))</f>
        <v/>
      </c>
      <c r="AE646" s="15">
        <f>IF($X646="","",INDEX(TARIFF_PROFILES!$K:$K,MATCH($X646,TARIFF_PROFILES!$A:$A,0)))</f>
        <v/>
      </c>
      <c r="AH646">
        <f>IF($AG646="","",SUMIFS(OPERATING_COEFFS!$C:$C,OPERATING_COEFFS!$A:$A,"DistanceClass",OPERATING_COEFFS!$B:$B,$AG646))</f>
        <v/>
      </c>
      <c r="AJ646">
        <f>IF($AI646="","",SUMIFS(OPERATING_COEFFS!$C:$C,OPERATING_COEFFS!$A:$A,"SeasonClass",OPERATING_COEFFS!$B:$B,$AI646))</f>
        <v/>
      </c>
      <c r="AL646">
        <f>IF($AK646="","",SUMIFS(OPERATING_COEFFS!$C:$C,OPERATING_COEFFS!$A:$A,"UrgencyClass",OPERATING_COEFFS!$B:$B,$AK646))</f>
        <v/>
      </c>
      <c r="AN646">
        <f>IF($AM646="","",INDEX(TAX_MODES!$B:$B,MATCH($AM646,TAX_MODES!$A:$A,0)))</f>
        <v/>
      </c>
    </row>
    <row r="647">
      <c r="X647" s="15" t="n"/>
      <c r="Y647" s="15">
        <f>IF($X647="","",SUMIFS(TARIFF_PROFILES!$D:$D,TARIFF_PROFILES!$A:$A,$X647))</f>
        <v/>
      </c>
      <c r="Z647" s="15">
        <f>IF($X647="","",SUMIFS(TARIFF_PROFILES!$E:$E,TARIFF_PROFILES!$A:$A,$X647))</f>
        <v/>
      </c>
      <c r="AA647" s="15">
        <f>IF($X647="","",SUMIFS(TARIFF_PROFILES!$F:$F,TARIFF_PROFILES!$A:$A,$X647))</f>
        <v/>
      </c>
      <c r="AB647" s="15">
        <f>IF($X647="","",SUMIFS(TARIFF_PROFILES!$G:$G,TARIFF_PROFILES!$A:$A,$X647))</f>
        <v/>
      </c>
      <c r="AC647" s="15">
        <f>IF($X647="","",SUMIFS(TARIFF_PROFILES!$H:$H,TARIFF_PROFILES!$A:$A,$X647))</f>
        <v/>
      </c>
      <c r="AD647" s="15">
        <f>IF($X647="","",INDEX(TARIFF_PROFILES!$J:$J,MATCH($X647,TARIFF_PROFILES!$A:$A,0)))</f>
        <v/>
      </c>
      <c r="AE647" s="15">
        <f>IF($X647="","",INDEX(TARIFF_PROFILES!$K:$K,MATCH($X647,TARIFF_PROFILES!$A:$A,0)))</f>
        <v/>
      </c>
      <c r="AH647">
        <f>IF($AG647="","",SUMIFS(OPERATING_COEFFS!$C:$C,OPERATING_COEFFS!$A:$A,"DistanceClass",OPERATING_COEFFS!$B:$B,$AG647))</f>
        <v/>
      </c>
      <c r="AJ647">
        <f>IF($AI647="","",SUMIFS(OPERATING_COEFFS!$C:$C,OPERATING_COEFFS!$A:$A,"SeasonClass",OPERATING_COEFFS!$B:$B,$AI647))</f>
        <v/>
      </c>
      <c r="AL647">
        <f>IF($AK647="","",SUMIFS(OPERATING_COEFFS!$C:$C,OPERATING_COEFFS!$A:$A,"UrgencyClass",OPERATING_COEFFS!$B:$B,$AK647))</f>
        <v/>
      </c>
      <c r="AN647">
        <f>IF($AM647="","",INDEX(TAX_MODES!$B:$B,MATCH($AM647,TAX_MODES!$A:$A,0)))</f>
        <v/>
      </c>
    </row>
    <row r="648">
      <c r="X648" s="15" t="n"/>
      <c r="Y648" s="15">
        <f>IF($X648="","",SUMIFS(TARIFF_PROFILES!$D:$D,TARIFF_PROFILES!$A:$A,$X648))</f>
        <v/>
      </c>
      <c r="Z648" s="15">
        <f>IF($X648="","",SUMIFS(TARIFF_PROFILES!$E:$E,TARIFF_PROFILES!$A:$A,$X648))</f>
        <v/>
      </c>
      <c r="AA648" s="15">
        <f>IF($X648="","",SUMIFS(TARIFF_PROFILES!$F:$F,TARIFF_PROFILES!$A:$A,$X648))</f>
        <v/>
      </c>
      <c r="AB648" s="15">
        <f>IF($X648="","",SUMIFS(TARIFF_PROFILES!$G:$G,TARIFF_PROFILES!$A:$A,$X648))</f>
        <v/>
      </c>
      <c r="AC648" s="15">
        <f>IF($X648="","",SUMIFS(TARIFF_PROFILES!$H:$H,TARIFF_PROFILES!$A:$A,$X648))</f>
        <v/>
      </c>
      <c r="AD648" s="15">
        <f>IF($X648="","",INDEX(TARIFF_PROFILES!$J:$J,MATCH($X648,TARIFF_PROFILES!$A:$A,0)))</f>
        <v/>
      </c>
      <c r="AE648" s="15">
        <f>IF($X648="","",INDEX(TARIFF_PROFILES!$K:$K,MATCH($X648,TARIFF_PROFILES!$A:$A,0)))</f>
        <v/>
      </c>
      <c r="AH648">
        <f>IF($AG648="","",SUMIFS(OPERATING_COEFFS!$C:$C,OPERATING_COEFFS!$A:$A,"DistanceClass",OPERATING_COEFFS!$B:$B,$AG648))</f>
        <v/>
      </c>
      <c r="AJ648">
        <f>IF($AI648="","",SUMIFS(OPERATING_COEFFS!$C:$C,OPERATING_COEFFS!$A:$A,"SeasonClass",OPERATING_COEFFS!$B:$B,$AI648))</f>
        <v/>
      </c>
      <c r="AL648">
        <f>IF($AK648="","",SUMIFS(OPERATING_COEFFS!$C:$C,OPERATING_COEFFS!$A:$A,"UrgencyClass",OPERATING_COEFFS!$B:$B,$AK648))</f>
        <v/>
      </c>
      <c r="AN648">
        <f>IF($AM648="","",INDEX(TAX_MODES!$B:$B,MATCH($AM648,TAX_MODES!$A:$A,0)))</f>
        <v/>
      </c>
    </row>
    <row r="649">
      <c r="X649" s="15" t="n"/>
      <c r="Y649" s="15">
        <f>IF($X649="","",SUMIFS(TARIFF_PROFILES!$D:$D,TARIFF_PROFILES!$A:$A,$X649))</f>
        <v/>
      </c>
      <c r="Z649" s="15">
        <f>IF($X649="","",SUMIFS(TARIFF_PROFILES!$E:$E,TARIFF_PROFILES!$A:$A,$X649))</f>
        <v/>
      </c>
      <c r="AA649" s="15">
        <f>IF($X649="","",SUMIFS(TARIFF_PROFILES!$F:$F,TARIFF_PROFILES!$A:$A,$X649))</f>
        <v/>
      </c>
      <c r="AB649" s="15">
        <f>IF($X649="","",SUMIFS(TARIFF_PROFILES!$G:$G,TARIFF_PROFILES!$A:$A,$X649))</f>
        <v/>
      </c>
      <c r="AC649" s="15">
        <f>IF($X649="","",SUMIFS(TARIFF_PROFILES!$H:$H,TARIFF_PROFILES!$A:$A,$X649))</f>
        <v/>
      </c>
      <c r="AD649" s="15">
        <f>IF($X649="","",INDEX(TARIFF_PROFILES!$J:$J,MATCH($X649,TARIFF_PROFILES!$A:$A,0)))</f>
        <v/>
      </c>
      <c r="AE649" s="15">
        <f>IF($X649="","",INDEX(TARIFF_PROFILES!$K:$K,MATCH($X649,TARIFF_PROFILES!$A:$A,0)))</f>
        <v/>
      </c>
      <c r="AH649">
        <f>IF($AG649="","",SUMIFS(OPERATING_COEFFS!$C:$C,OPERATING_COEFFS!$A:$A,"DistanceClass",OPERATING_COEFFS!$B:$B,$AG649))</f>
        <v/>
      </c>
      <c r="AJ649">
        <f>IF($AI649="","",SUMIFS(OPERATING_COEFFS!$C:$C,OPERATING_COEFFS!$A:$A,"SeasonClass",OPERATING_COEFFS!$B:$B,$AI649))</f>
        <v/>
      </c>
      <c r="AL649">
        <f>IF($AK649="","",SUMIFS(OPERATING_COEFFS!$C:$C,OPERATING_COEFFS!$A:$A,"UrgencyClass",OPERATING_COEFFS!$B:$B,$AK649))</f>
        <v/>
      </c>
      <c r="AN649">
        <f>IF($AM649="","",INDEX(TAX_MODES!$B:$B,MATCH($AM649,TAX_MODES!$A:$A,0)))</f>
        <v/>
      </c>
    </row>
    <row r="650">
      <c r="X650" s="15" t="n"/>
      <c r="Y650" s="15">
        <f>IF($X650="","",SUMIFS(TARIFF_PROFILES!$D:$D,TARIFF_PROFILES!$A:$A,$X650))</f>
        <v/>
      </c>
      <c r="Z650" s="15">
        <f>IF($X650="","",SUMIFS(TARIFF_PROFILES!$E:$E,TARIFF_PROFILES!$A:$A,$X650))</f>
        <v/>
      </c>
      <c r="AA650" s="15">
        <f>IF($X650="","",SUMIFS(TARIFF_PROFILES!$F:$F,TARIFF_PROFILES!$A:$A,$X650))</f>
        <v/>
      </c>
      <c r="AB650" s="15">
        <f>IF($X650="","",SUMIFS(TARIFF_PROFILES!$G:$G,TARIFF_PROFILES!$A:$A,$X650))</f>
        <v/>
      </c>
      <c r="AC650" s="15">
        <f>IF($X650="","",SUMIFS(TARIFF_PROFILES!$H:$H,TARIFF_PROFILES!$A:$A,$X650))</f>
        <v/>
      </c>
      <c r="AD650" s="15">
        <f>IF($X650="","",INDEX(TARIFF_PROFILES!$J:$J,MATCH($X650,TARIFF_PROFILES!$A:$A,0)))</f>
        <v/>
      </c>
      <c r="AE650" s="15">
        <f>IF($X650="","",INDEX(TARIFF_PROFILES!$K:$K,MATCH($X650,TARIFF_PROFILES!$A:$A,0)))</f>
        <v/>
      </c>
      <c r="AH650">
        <f>IF($AG650="","",SUMIFS(OPERATING_COEFFS!$C:$C,OPERATING_COEFFS!$A:$A,"DistanceClass",OPERATING_COEFFS!$B:$B,$AG650))</f>
        <v/>
      </c>
      <c r="AJ650">
        <f>IF($AI650="","",SUMIFS(OPERATING_COEFFS!$C:$C,OPERATING_COEFFS!$A:$A,"SeasonClass",OPERATING_COEFFS!$B:$B,$AI650))</f>
        <v/>
      </c>
      <c r="AL650">
        <f>IF($AK650="","",SUMIFS(OPERATING_COEFFS!$C:$C,OPERATING_COEFFS!$A:$A,"UrgencyClass",OPERATING_COEFFS!$B:$B,$AK650))</f>
        <v/>
      </c>
      <c r="AN650">
        <f>IF($AM650="","",INDEX(TAX_MODES!$B:$B,MATCH($AM650,TAX_MODES!$A:$A,0)))</f>
        <v/>
      </c>
    </row>
    <row r="651">
      <c r="X651" s="15" t="n"/>
      <c r="Y651" s="15">
        <f>IF($X651="","",SUMIFS(TARIFF_PROFILES!$D:$D,TARIFF_PROFILES!$A:$A,$X651))</f>
        <v/>
      </c>
      <c r="Z651" s="15">
        <f>IF($X651="","",SUMIFS(TARIFF_PROFILES!$E:$E,TARIFF_PROFILES!$A:$A,$X651))</f>
        <v/>
      </c>
      <c r="AA651" s="15">
        <f>IF($X651="","",SUMIFS(TARIFF_PROFILES!$F:$F,TARIFF_PROFILES!$A:$A,$X651))</f>
        <v/>
      </c>
      <c r="AB651" s="15">
        <f>IF($X651="","",SUMIFS(TARIFF_PROFILES!$G:$G,TARIFF_PROFILES!$A:$A,$X651))</f>
        <v/>
      </c>
      <c r="AC651" s="15">
        <f>IF($X651="","",SUMIFS(TARIFF_PROFILES!$H:$H,TARIFF_PROFILES!$A:$A,$X651))</f>
        <v/>
      </c>
      <c r="AD651" s="15">
        <f>IF($X651="","",INDEX(TARIFF_PROFILES!$J:$J,MATCH($X651,TARIFF_PROFILES!$A:$A,0)))</f>
        <v/>
      </c>
      <c r="AE651" s="15">
        <f>IF($X651="","",INDEX(TARIFF_PROFILES!$K:$K,MATCH($X651,TARIFF_PROFILES!$A:$A,0)))</f>
        <v/>
      </c>
      <c r="AH651">
        <f>IF($AG651="","",SUMIFS(OPERATING_COEFFS!$C:$C,OPERATING_COEFFS!$A:$A,"DistanceClass",OPERATING_COEFFS!$B:$B,$AG651))</f>
        <v/>
      </c>
      <c r="AJ651">
        <f>IF($AI651="","",SUMIFS(OPERATING_COEFFS!$C:$C,OPERATING_COEFFS!$A:$A,"SeasonClass",OPERATING_COEFFS!$B:$B,$AI651))</f>
        <v/>
      </c>
      <c r="AL651">
        <f>IF($AK651="","",SUMIFS(OPERATING_COEFFS!$C:$C,OPERATING_COEFFS!$A:$A,"UrgencyClass",OPERATING_COEFFS!$B:$B,$AK651))</f>
        <v/>
      </c>
      <c r="AN651">
        <f>IF($AM651="","",INDEX(TAX_MODES!$B:$B,MATCH($AM651,TAX_MODES!$A:$A,0)))</f>
        <v/>
      </c>
    </row>
    <row r="652">
      <c r="X652" s="15" t="n"/>
      <c r="Y652" s="15">
        <f>IF($X652="","",SUMIFS(TARIFF_PROFILES!$D:$D,TARIFF_PROFILES!$A:$A,$X652))</f>
        <v/>
      </c>
      <c r="Z652" s="15">
        <f>IF($X652="","",SUMIFS(TARIFF_PROFILES!$E:$E,TARIFF_PROFILES!$A:$A,$X652))</f>
        <v/>
      </c>
      <c r="AA652" s="15">
        <f>IF($X652="","",SUMIFS(TARIFF_PROFILES!$F:$F,TARIFF_PROFILES!$A:$A,$X652))</f>
        <v/>
      </c>
      <c r="AB652" s="15">
        <f>IF($X652="","",SUMIFS(TARIFF_PROFILES!$G:$G,TARIFF_PROFILES!$A:$A,$X652))</f>
        <v/>
      </c>
      <c r="AC652" s="15">
        <f>IF($X652="","",SUMIFS(TARIFF_PROFILES!$H:$H,TARIFF_PROFILES!$A:$A,$X652))</f>
        <v/>
      </c>
      <c r="AD652" s="15">
        <f>IF($X652="","",INDEX(TARIFF_PROFILES!$J:$J,MATCH($X652,TARIFF_PROFILES!$A:$A,0)))</f>
        <v/>
      </c>
      <c r="AE652" s="15">
        <f>IF($X652="","",INDEX(TARIFF_PROFILES!$K:$K,MATCH($X652,TARIFF_PROFILES!$A:$A,0)))</f>
        <v/>
      </c>
      <c r="AH652">
        <f>IF($AG652="","",SUMIFS(OPERATING_COEFFS!$C:$C,OPERATING_COEFFS!$A:$A,"DistanceClass",OPERATING_COEFFS!$B:$B,$AG652))</f>
        <v/>
      </c>
      <c r="AJ652">
        <f>IF($AI652="","",SUMIFS(OPERATING_COEFFS!$C:$C,OPERATING_COEFFS!$A:$A,"SeasonClass",OPERATING_COEFFS!$B:$B,$AI652))</f>
        <v/>
      </c>
      <c r="AL652">
        <f>IF($AK652="","",SUMIFS(OPERATING_COEFFS!$C:$C,OPERATING_COEFFS!$A:$A,"UrgencyClass",OPERATING_COEFFS!$B:$B,$AK652))</f>
        <v/>
      </c>
      <c r="AN652">
        <f>IF($AM652="","",INDEX(TAX_MODES!$B:$B,MATCH($AM652,TAX_MODES!$A:$A,0)))</f>
        <v/>
      </c>
    </row>
    <row r="653">
      <c r="X653" s="15" t="n"/>
      <c r="Y653" s="15">
        <f>IF($X653="","",SUMIFS(TARIFF_PROFILES!$D:$D,TARIFF_PROFILES!$A:$A,$X653))</f>
        <v/>
      </c>
      <c r="Z653" s="15">
        <f>IF($X653="","",SUMIFS(TARIFF_PROFILES!$E:$E,TARIFF_PROFILES!$A:$A,$X653))</f>
        <v/>
      </c>
      <c r="AA653" s="15">
        <f>IF($X653="","",SUMIFS(TARIFF_PROFILES!$F:$F,TARIFF_PROFILES!$A:$A,$X653))</f>
        <v/>
      </c>
      <c r="AB653" s="15">
        <f>IF($X653="","",SUMIFS(TARIFF_PROFILES!$G:$G,TARIFF_PROFILES!$A:$A,$X653))</f>
        <v/>
      </c>
      <c r="AC653" s="15">
        <f>IF($X653="","",SUMIFS(TARIFF_PROFILES!$H:$H,TARIFF_PROFILES!$A:$A,$X653))</f>
        <v/>
      </c>
      <c r="AD653" s="15">
        <f>IF($X653="","",INDEX(TARIFF_PROFILES!$J:$J,MATCH($X653,TARIFF_PROFILES!$A:$A,0)))</f>
        <v/>
      </c>
      <c r="AE653" s="15">
        <f>IF($X653="","",INDEX(TARIFF_PROFILES!$K:$K,MATCH($X653,TARIFF_PROFILES!$A:$A,0)))</f>
        <v/>
      </c>
      <c r="AH653">
        <f>IF($AG653="","",SUMIFS(OPERATING_COEFFS!$C:$C,OPERATING_COEFFS!$A:$A,"DistanceClass",OPERATING_COEFFS!$B:$B,$AG653))</f>
        <v/>
      </c>
      <c r="AJ653">
        <f>IF($AI653="","",SUMIFS(OPERATING_COEFFS!$C:$C,OPERATING_COEFFS!$A:$A,"SeasonClass",OPERATING_COEFFS!$B:$B,$AI653))</f>
        <v/>
      </c>
      <c r="AL653">
        <f>IF($AK653="","",SUMIFS(OPERATING_COEFFS!$C:$C,OPERATING_COEFFS!$A:$A,"UrgencyClass",OPERATING_COEFFS!$B:$B,$AK653))</f>
        <v/>
      </c>
      <c r="AN653">
        <f>IF($AM653="","",INDEX(TAX_MODES!$B:$B,MATCH($AM653,TAX_MODES!$A:$A,0)))</f>
        <v/>
      </c>
    </row>
    <row r="654">
      <c r="X654" s="15" t="n"/>
      <c r="Y654" s="15">
        <f>IF($X654="","",SUMIFS(TARIFF_PROFILES!$D:$D,TARIFF_PROFILES!$A:$A,$X654))</f>
        <v/>
      </c>
      <c r="Z654" s="15">
        <f>IF($X654="","",SUMIFS(TARIFF_PROFILES!$E:$E,TARIFF_PROFILES!$A:$A,$X654))</f>
        <v/>
      </c>
      <c r="AA654" s="15">
        <f>IF($X654="","",SUMIFS(TARIFF_PROFILES!$F:$F,TARIFF_PROFILES!$A:$A,$X654))</f>
        <v/>
      </c>
      <c r="AB654" s="15">
        <f>IF($X654="","",SUMIFS(TARIFF_PROFILES!$G:$G,TARIFF_PROFILES!$A:$A,$X654))</f>
        <v/>
      </c>
      <c r="AC654" s="15">
        <f>IF($X654="","",SUMIFS(TARIFF_PROFILES!$H:$H,TARIFF_PROFILES!$A:$A,$X654))</f>
        <v/>
      </c>
      <c r="AD654" s="15">
        <f>IF($X654="","",INDEX(TARIFF_PROFILES!$J:$J,MATCH($X654,TARIFF_PROFILES!$A:$A,0)))</f>
        <v/>
      </c>
      <c r="AE654" s="15">
        <f>IF($X654="","",INDEX(TARIFF_PROFILES!$K:$K,MATCH($X654,TARIFF_PROFILES!$A:$A,0)))</f>
        <v/>
      </c>
      <c r="AH654">
        <f>IF($AG654="","",SUMIFS(OPERATING_COEFFS!$C:$C,OPERATING_COEFFS!$A:$A,"DistanceClass",OPERATING_COEFFS!$B:$B,$AG654))</f>
        <v/>
      </c>
      <c r="AJ654">
        <f>IF($AI654="","",SUMIFS(OPERATING_COEFFS!$C:$C,OPERATING_COEFFS!$A:$A,"SeasonClass",OPERATING_COEFFS!$B:$B,$AI654))</f>
        <v/>
      </c>
      <c r="AL654">
        <f>IF($AK654="","",SUMIFS(OPERATING_COEFFS!$C:$C,OPERATING_COEFFS!$A:$A,"UrgencyClass",OPERATING_COEFFS!$B:$B,$AK654))</f>
        <v/>
      </c>
      <c r="AN654">
        <f>IF($AM654="","",INDEX(TAX_MODES!$B:$B,MATCH($AM654,TAX_MODES!$A:$A,0)))</f>
        <v/>
      </c>
    </row>
    <row r="655">
      <c r="X655" s="15" t="n"/>
      <c r="Y655" s="15">
        <f>IF($X655="","",SUMIFS(TARIFF_PROFILES!$D:$D,TARIFF_PROFILES!$A:$A,$X655))</f>
        <v/>
      </c>
      <c r="Z655" s="15">
        <f>IF($X655="","",SUMIFS(TARIFF_PROFILES!$E:$E,TARIFF_PROFILES!$A:$A,$X655))</f>
        <v/>
      </c>
      <c r="AA655" s="15">
        <f>IF($X655="","",SUMIFS(TARIFF_PROFILES!$F:$F,TARIFF_PROFILES!$A:$A,$X655))</f>
        <v/>
      </c>
      <c r="AB655" s="15">
        <f>IF($X655="","",SUMIFS(TARIFF_PROFILES!$G:$G,TARIFF_PROFILES!$A:$A,$X655))</f>
        <v/>
      </c>
      <c r="AC655" s="15">
        <f>IF($X655="","",SUMIFS(TARIFF_PROFILES!$H:$H,TARIFF_PROFILES!$A:$A,$X655))</f>
        <v/>
      </c>
      <c r="AD655" s="15">
        <f>IF($X655="","",INDEX(TARIFF_PROFILES!$J:$J,MATCH($X655,TARIFF_PROFILES!$A:$A,0)))</f>
        <v/>
      </c>
      <c r="AE655" s="15">
        <f>IF($X655="","",INDEX(TARIFF_PROFILES!$K:$K,MATCH($X655,TARIFF_PROFILES!$A:$A,0)))</f>
        <v/>
      </c>
      <c r="AH655">
        <f>IF($AG655="","",SUMIFS(OPERATING_COEFFS!$C:$C,OPERATING_COEFFS!$A:$A,"DistanceClass",OPERATING_COEFFS!$B:$B,$AG655))</f>
        <v/>
      </c>
      <c r="AJ655">
        <f>IF($AI655="","",SUMIFS(OPERATING_COEFFS!$C:$C,OPERATING_COEFFS!$A:$A,"SeasonClass",OPERATING_COEFFS!$B:$B,$AI655))</f>
        <v/>
      </c>
      <c r="AL655">
        <f>IF($AK655="","",SUMIFS(OPERATING_COEFFS!$C:$C,OPERATING_COEFFS!$A:$A,"UrgencyClass",OPERATING_COEFFS!$B:$B,$AK655))</f>
        <v/>
      </c>
      <c r="AN655">
        <f>IF($AM655="","",INDEX(TAX_MODES!$B:$B,MATCH($AM655,TAX_MODES!$A:$A,0)))</f>
        <v/>
      </c>
    </row>
    <row r="656">
      <c r="X656" s="15" t="n"/>
      <c r="Y656" s="15">
        <f>IF($X656="","",SUMIFS(TARIFF_PROFILES!$D:$D,TARIFF_PROFILES!$A:$A,$X656))</f>
        <v/>
      </c>
      <c r="Z656" s="15">
        <f>IF($X656="","",SUMIFS(TARIFF_PROFILES!$E:$E,TARIFF_PROFILES!$A:$A,$X656))</f>
        <v/>
      </c>
      <c r="AA656" s="15">
        <f>IF($X656="","",SUMIFS(TARIFF_PROFILES!$F:$F,TARIFF_PROFILES!$A:$A,$X656))</f>
        <v/>
      </c>
      <c r="AB656" s="15">
        <f>IF($X656="","",SUMIFS(TARIFF_PROFILES!$G:$G,TARIFF_PROFILES!$A:$A,$X656))</f>
        <v/>
      </c>
      <c r="AC656" s="15">
        <f>IF($X656="","",SUMIFS(TARIFF_PROFILES!$H:$H,TARIFF_PROFILES!$A:$A,$X656))</f>
        <v/>
      </c>
      <c r="AD656" s="15">
        <f>IF($X656="","",INDEX(TARIFF_PROFILES!$J:$J,MATCH($X656,TARIFF_PROFILES!$A:$A,0)))</f>
        <v/>
      </c>
      <c r="AE656" s="15">
        <f>IF($X656="","",INDEX(TARIFF_PROFILES!$K:$K,MATCH($X656,TARIFF_PROFILES!$A:$A,0)))</f>
        <v/>
      </c>
      <c r="AH656">
        <f>IF($AG656="","",SUMIFS(OPERATING_COEFFS!$C:$C,OPERATING_COEFFS!$A:$A,"DistanceClass",OPERATING_COEFFS!$B:$B,$AG656))</f>
        <v/>
      </c>
      <c r="AJ656">
        <f>IF($AI656="","",SUMIFS(OPERATING_COEFFS!$C:$C,OPERATING_COEFFS!$A:$A,"SeasonClass",OPERATING_COEFFS!$B:$B,$AI656))</f>
        <v/>
      </c>
      <c r="AL656">
        <f>IF($AK656="","",SUMIFS(OPERATING_COEFFS!$C:$C,OPERATING_COEFFS!$A:$A,"UrgencyClass",OPERATING_COEFFS!$B:$B,$AK656))</f>
        <v/>
      </c>
      <c r="AN656">
        <f>IF($AM656="","",INDEX(TAX_MODES!$B:$B,MATCH($AM656,TAX_MODES!$A:$A,0)))</f>
        <v/>
      </c>
    </row>
    <row r="657">
      <c r="X657" s="15" t="n"/>
      <c r="Y657" s="15">
        <f>IF($X657="","",SUMIFS(TARIFF_PROFILES!$D:$D,TARIFF_PROFILES!$A:$A,$X657))</f>
        <v/>
      </c>
      <c r="Z657" s="15">
        <f>IF($X657="","",SUMIFS(TARIFF_PROFILES!$E:$E,TARIFF_PROFILES!$A:$A,$X657))</f>
        <v/>
      </c>
      <c r="AA657" s="15">
        <f>IF($X657="","",SUMIFS(TARIFF_PROFILES!$F:$F,TARIFF_PROFILES!$A:$A,$X657))</f>
        <v/>
      </c>
      <c r="AB657" s="15">
        <f>IF($X657="","",SUMIFS(TARIFF_PROFILES!$G:$G,TARIFF_PROFILES!$A:$A,$X657))</f>
        <v/>
      </c>
      <c r="AC657" s="15">
        <f>IF($X657="","",SUMIFS(TARIFF_PROFILES!$H:$H,TARIFF_PROFILES!$A:$A,$X657))</f>
        <v/>
      </c>
      <c r="AD657" s="15">
        <f>IF($X657="","",INDEX(TARIFF_PROFILES!$J:$J,MATCH($X657,TARIFF_PROFILES!$A:$A,0)))</f>
        <v/>
      </c>
      <c r="AE657" s="15">
        <f>IF($X657="","",INDEX(TARIFF_PROFILES!$K:$K,MATCH($X657,TARIFF_PROFILES!$A:$A,0)))</f>
        <v/>
      </c>
      <c r="AH657">
        <f>IF($AG657="","",SUMIFS(OPERATING_COEFFS!$C:$C,OPERATING_COEFFS!$A:$A,"DistanceClass",OPERATING_COEFFS!$B:$B,$AG657))</f>
        <v/>
      </c>
      <c r="AJ657">
        <f>IF($AI657="","",SUMIFS(OPERATING_COEFFS!$C:$C,OPERATING_COEFFS!$A:$A,"SeasonClass",OPERATING_COEFFS!$B:$B,$AI657))</f>
        <v/>
      </c>
      <c r="AL657">
        <f>IF($AK657="","",SUMIFS(OPERATING_COEFFS!$C:$C,OPERATING_COEFFS!$A:$A,"UrgencyClass",OPERATING_COEFFS!$B:$B,$AK657))</f>
        <v/>
      </c>
      <c r="AN657">
        <f>IF($AM657="","",INDEX(TAX_MODES!$B:$B,MATCH($AM657,TAX_MODES!$A:$A,0)))</f>
        <v/>
      </c>
    </row>
    <row r="658">
      <c r="X658" s="15" t="n"/>
      <c r="Y658" s="15">
        <f>IF($X658="","",SUMIFS(TARIFF_PROFILES!$D:$D,TARIFF_PROFILES!$A:$A,$X658))</f>
        <v/>
      </c>
      <c r="Z658" s="15">
        <f>IF($X658="","",SUMIFS(TARIFF_PROFILES!$E:$E,TARIFF_PROFILES!$A:$A,$X658))</f>
        <v/>
      </c>
      <c r="AA658" s="15">
        <f>IF($X658="","",SUMIFS(TARIFF_PROFILES!$F:$F,TARIFF_PROFILES!$A:$A,$X658))</f>
        <v/>
      </c>
      <c r="AB658" s="15">
        <f>IF($X658="","",SUMIFS(TARIFF_PROFILES!$G:$G,TARIFF_PROFILES!$A:$A,$X658))</f>
        <v/>
      </c>
      <c r="AC658" s="15">
        <f>IF($X658="","",SUMIFS(TARIFF_PROFILES!$H:$H,TARIFF_PROFILES!$A:$A,$X658))</f>
        <v/>
      </c>
      <c r="AD658" s="15">
        <f>IF($X658="","",INDEX(TARIFF_PROFILES!$J:$J,MATCH($X658,TARIFF_PROFILES!$A:$A,0)))</f>
        <v/>
      </c>
      <c r="AE658" s="15">
        <f>IF($X658="","",INDEX(TARIFF_PROFILES!$K:$K,MATCH($X658,TARIFF_PROFILES!$A:$A,0)))</f>
        <v/>
      </c>
      <c r="AH658">
        <f>IF($AG658="","",SUMIFS(OPERATING_COEFFS!$C:$C,OPERATING_COEFFS!$A:$A,"DistanceClass",OPERATING_COEFFS!$B:$B,$AG658))</f>
        <v/>
      </c>
      <c r="AJ658">
        <f>IF($AI658="","",SUMIFS(OPERATING_COEFFS!$C:$C,OPERATING_COEFFS!$A:$A,"SeasonClass",OPERATING_COEFFS!$B:$B,$AI658))</f>
        <v/>
      </c>
      <c r="AL658">
        <f>IF($AK658="","",SUMIFS(OPERATING_COEFFS!$C:$C,OPERATING_COEFFS!$A:$A,"UrgencyClass",OPERATING_COEFFS!$B:$B,$AK658))</f>
        <v/>
      </c>
      <c r="AN658">
        <f>IF($AM658="","",INDEX(TAX_MODES!$B:$B,MATCH($AM658,TAX_MODES!$A:$A,0)))</f>
        <v/>
      </c>
    </row>
    <row r="659">
      <c r="X659" s="15" t="n"/>
      <c r="Y659" s="15">
        <f>IF($X659="","",SUMIFS(TARIFF_PROFILES!$D:$D,TARIFF_PROFILES!$A:$A,$X659))</f>
        <v/>
      </c>
      <c r="Z659" s="15">
        <f>IF($X659="","",SUMIFS(TARIFF_PROFILES!$E:$E,TARIFF_PROFILES!$A:$A,$X659))</f>
        <v/>
      </c>
      <c r="AA659" s="15">
        <f>IF($X659="","",SUMIFS(TARIFF_PROFILES!$F:$F,TARIFF_PROFILES!$A:$A,$X659))</f>
        <v/>
      </c>
      <c r="AB659" s="15">
        <f>IF($X659="","",SUMIFS(TARIFF_PROFILES!$G:$G,TARIFF_PROFILES!$A:$A,$X659))</f>
        <v/>
      </c>
      <c r="AC659" s="15">
        <f>IF($X659="","",SUMIFS(TARIFF_PROFILES!$H:$H,TARIFF_PROFILES!$A:$A,$X659))</f>
        <v/>
      </c>
      <c r="AD659" s="15">
        <f>IF($X659="","",INDEX(TARIFF_PROFILES!$J:$J,MATCH($X659,TARIFF_PROFILES!$A:$A,0)))</f>
        <v/>
      </c>
      <c r="AE659" s="15">
        <f>IF($X659="","",INDEX(TARIFF_PROFILES!$K:$K,MATCH($X659,TARIFF_PROFILES!$A:$A,0)))</f>
        <v/>
      </c>
      <c r="AH659">
        <f>IF($AG659="","",SUMIFS(OPERATING_COEFFS!$C:$C,OPERATING_COEFFS!$A:$A,"DistanceClass",OPERATING_COEFFS!$B:$B,$AG659))</f>
        <v/>
      </c>
      <c r="AJ659">
        <f>IF($AI659="","",SUMIFS(OPERATING_COEFFS!$C:$C,OPERATING_COEFFS!$A:$A,"SeasonClass",OPERATING_COEFFS!$B:$B,$AI659))</f>
        <v/>
      </c>
      <c r="AL659">
        <f>IF($AK659="","",SUMIFS(OPERATING_COEFFS!$C:$C,OPERATING_COEFFS!$A:$A,"UrgencyClass",OPERATING_COEFFS!$B:$B,$AK659))</f>
        <v/>
      </c>
      <c r="AN659">
        <f>IF($AM659="","",INDEX(TAX_MODES!$B:$B,MATCH($AM659,TAX_MODES!$A:$A,0)))</f>
        <v/>
      </c>
    </row>
    <row r="660">
      <c r="X660" s="15" t="n"/>
      <c r="Y660" s="15">
        <f>IF($X660="","",SUMIFS(TARIFF_PROFILES!$D:$D,TARIFF_PROFILES!$A:$A,$X660))</f>
        <v/>
      </c>
      <c r="Z660" s="15">
        <f>IF($X660="","",SUMIFS(TARIFF_PROFILES!$E:$E,TARIFF_PROFILES!$A:$A,$X660))</f>
        <v/>
      </c>
      <c r="AA660" s="15">
        <f>IF($X660="","",SUMIFS(TARIFF_PROFILES!$F:$F,TARIFF_PROFILES!$A:$A,$X660))</f>
        <v/>
      </c>
      <c r="AB660" s="15">
        <f>IF($X660="","",SUMIFS(TARIFF_PROFILES!$G:$G,TARIFF_PROFILES!$A:$A,$X660))</f>
        <v/>
      </c>
      <c r="AC660" s="15">
        <f>IF($X660="","",SUMIFS(TARIFF_PROFILES!$H:$H,TARIFF_PROFILES!$A:$A,$X660))</f>
        <v/>
      </c>
      <c r="AD660" s="15">
        <f>IF($X660="","",INDEX(TARIFF_PROFILES!$J:$J,MATCH($X660,TARIFF_PROFILES!$A:$A,0)))</f>
        <v/>
      </c>
      <c r="AE660" s="15">
        <f>IF($X660="","",INDEX(TARIFF_PROFILES!$K:$K,MATCH($X660,TARIFF_PROFILES!$A:$A,0)))</f>
        <v/>
      </c>
      <c r="AH660">
        <f>IF($AG660="","",SUMIFS(OPERATING_COEFFS!$C:$C,OPERATING_COEFFS!$A:$A,"DistanceClass",OPERATING_COEFFS!$B:$B,$AG660))</f>
        <v/>
      </c>
      <c r="AJ660">
        <f>IF($AI660="","",SUMIFS(OPERATING_COEFFS!$C:$C,OPERATING_COEFFS!$A:$A,"SeasonClass",OPERATING_COEFFS!$B:$B,$AI660))</f>
        <v/>
      </c>
      <c r="AL660">
        <f>IF($AK660="","",SUMIFS(OPERATING_COEFFS!$C:$C,OPERATING_COEFFS!$A:$A,"UrgencyClass",OPERATING_COEFFS!$B:$B,$AK660))</f>
        <v/>
      </c>
      <c r="AN660">
        <f>IF($AM660="","",INDEX(TAX_MODES!$B:$B,MATCH($AM660,TAX_MODES!$A:$A,0)))</f>
        <v/>
      </c>
    </row>
    <row r="661">
      <c r="X661" s="15" t="n"/>
      <c r="Y661" s="15">
        <f>IF($X661="","",SUMIFS(TARIFF_PROFILES!$D:$D,TARIFF_PROFILES!$A:$A,$X661))</f>
        <v/>
      </c>
      <c r="Z661" s="15">
        <f>IF($X661="","",SUMIFS(TARIFF_PROFILES!$E:$E,TARIFF_PROFILES!$A:$A,$X661))</f>
        <v/>
      </c>
      <c r="AA661" s="15">
        <f>IF($X661="","",SUMIFS(TARIFF_PROFILES!$F:$F,TARIFF_PROFILES!$A:$A,$X661))</f>
        <v/>
      </c>
      <c r="AB661" s="15">
        <f>IF($X661="","",SUMIFS(TARIFF_PROFILES!$G:$G,TARIFF_PROFILES!$A:$A,$X661))</f>
        <v/>
      </c>
      <c r="AC661" s="15">
        <f>IF($X661="","",SUMIFS(TARIFF_PROFILES!$H:$H,TARIFF_PROFILES!$A:$A,$X661))</f>
        <v/>
      </c>
      <c r="AD661" s="15">
        <f>IF($X661="","",INDEX(TARIFF_PROFILES!$J:$J,MATCH($X661,TARIFF_PROFILES!$A:$A,0)))</f>
        <v/>
      </c>
      <c r="AE661" s="15">
        <f>IF($X661="","",INDEX(TARIFF_PROFILES!$K:$K,MATCH($X661,TARIFF_PROFILES!$A:$A,0)))</f>
        <v/>
      </c>
      <c r="AH661">
        <f>IF($AG661="","",SUMIFS(OPERATING_COEFFS!$C:$C,OPERATING_COEFFS!$A:$A,"DistanceClass",OPERATING_COEFFS!$B:$B,$AG661))</f>
        <v/>
      </c>
      <c r="AJ661">
        <f>IF($AI661="","",SUMIFS(OPERATING_COEFFS!$C:$C,OPERATING_COEFFS!$A:$A,"SeasonClass",OPERATING_COEFFS!$B:$B,$AI661))</f>
        <v/>
      </c>
      <c r="AL661">
        <f>IF($AK661="","",SUMIFS(OPERATING_COEFFS!$C:$C,OPERATING_COEFFS!$A:$A,"UrgencyClass",OPERATING_COEFFS!$B:$B,$AK661))</f>
        <v/>
      </c>
      <c r="AN661">
        <f>IF($AM661="","",INDEX(TAX_MODES!$B:$B,MATCH($AM661,TAX_MODES!$A:$A,0)))</f>
        <v/>
      </c>
    </row>
    <row r="662">
      <c r="X662" s="15" t="n"/>
      <c r="Y662" s="15">
        <f>IF($X662="","",SUMIFS(TARIFF_PROFILES!$D:$D,TARIFF_PROFILES!$A:$A,$X662))</f>
        <v/>
      </c>
      <c r="Z662" s="15">
        <f>IF($X662="","",SUMIFS(TARIFF_PROFILES!$E:$E,TARIFF_PROFILES!$A:$A,$X662))</f>
        <v/>
      </c>
      <c r="AA662" s="15">
        <f>IF($X662="","",SUMIFS(TARIFF_PROFILES!$F:$F,TARIFF_PROFILES!$A:$A,$X662))</f>
        <v/>
      </c>
      <c r="AB662" s="15">
        <f>IF($X662="","",SUMIFS(TARIFF_PROFILES!$G:$G,TARIFF_PROFILES!$A:$A,$X662))</f>
        <v/>
      </c>
      <c r="AC662" s="15">
        <f>IF($X662="","",SUMIFS(TARIFF_PROFILES!$H:$H,TARIFF_PROFILES!$A:$A,$X662))</f>
        <v/>
      </c>
      <c r="AD662" s="15">
        <f>IF($X662="","",INDEX(TARIFF_PROFILES!$J:$J,MATCH($X662,TARIFF_PROFILES!$A:$A,0)))</f>
        <v/>
      </c>
      <c r="AE662" s="15">
        <f>IF($X662="","",INDEX(TARIFF_PROFILES!$K:$K,MATCH($X662,TARIFF_PROFILES!$A:$A,0)))</f>
        <v/>
      </c>
      <c r="AH662">
        <f>IF($AG662="","",SUMIFS(OPERATING_COEFFS!$C:$C,OPERATING_COEFFS!$A:$A,"DistanceClass",OPERATING_COEFFS!$B:$B,$AG662))</f>
        <v/>
      </c>
      <c r="AJ662">
        <f>IF($AI662="","",SUMIFS(OPERATING_COEFFS!$C:$C,OPERATING_COEFFS!$A:$A,"SeasonClass",OPERATING_COEFFS!$B:$B,$AI662))</f>
        <v/>
      </c>
      <c r="AL662">
        <f>IF($AK662="","",SUMIFS(OPERATING_COEFFS!$C:$C,OPERATING_COEFFS!$A:$A,"UrgencyClass",OPERATING_COEFFS!$B:$B,$AK662))</f>
        <v/>
      </c>
      <c r="AN662">
        <f>IF($AM662="","",INDEX(TAX_MODES!$B:$B,MATCH($AM662,TAX_MODES!$A:$A,0)))</f>
        <v/>
      </c>
    </row>
    <row r="663">
      <c r="X663" s="15" t="n"/>
      <c r="Y663" s="15">
        <f>IF($X663="","",SUMIFS(TARIFF_PROFILES!$D:$D,TARIFF_PROFILES!$A:$A,$X663))</f>
        <v/>
      </c>
      <c r="Z663" s="15">
        <f>IF($X663="","",SUMIFS(TARIFF_PROFILES!$E:$E,TARIFF_PROFILES!$A:$A,$X663))</f>
        <v/>
      </c>
      <c r="AA663" s="15">
        <f>IF($X663="","",SUMIFS(TARIFF_PROFILES!$F:$F,TARIFF_PROFILES!$A:$A,$X663))</f>
        <v/>
      </c>
      <c r="AB663" s="15">
        <f>IF($X663="","",SUMIFS(TARIFF_PROFILES!$G:$G,TARIFF_PROFILES!$A:$A,$X663))</f>
        <v/>
      </c>
      <c r="AC663" s="15">
        <f>IF($X663="","",SUMIFS(TARIFF_PROFILES!$H:$H,TARIFF_PROFILES!$A:$A,$X663))</f>
        <v/>
      </c>
      <c r="AD663" s="15">
        <f>IF($X663="","",INDEX(TARIFF_PROFILES!$J:$J,MATCH($X663,TARIFF_PROFILES!$A:$A,0)))</f>
        <v/>
      </c>
      <c r="AE663" s="15">
        <f>IF($X663="","",INDEX(TARIFF_PROFILES!$K:$K,MATCH($X663,TARIFF_PROFILES!$A:$A,0)))</f>
        <v/>
      </c>
      <c r="AH663">
        <f>IF($AG663="","",SUMIFS(OPERATING_COEFFS!$C:$C,OPERATING_COEFFS!$A:$A,"DistanceClass",OPERATING_COEFFS!$B:$B,$AG663))</f>
        <v/>
      </c>
      <c r="AJ663">
        <f>IF($AI663="","",SUMIFS(OPERATING_COEFFS!$C:$C,OPERATING_COEFFS!$A:$A,"SeasonClass",OPERATING_COEFFS!$B:$B,$AI663))</f>
        <v/>
      </c>
      <c r="AL663">
        <f>IF($AK663="","",SUMIFS(OPERATING_COEFFS!$C:$C,OPERATING_COEFFS!$A:$A,"UrgencyClass",OPERATING_COEFFS!$B:$B,$AK663))</f>
        <v/>
      </c>
      <c r="AN663">
        <f>IF($AM663="","",INDEX(TAX_MODES!$B:$B,MATCH($AM663,TAX_MODES!$A:$A,0)))</f>
        <v/>
      </c>
    </row>
    <row r="664">
      <c r="X664" s="15" t="n"/>
      <c r="Y664" s="15">
        <f>IF($X664="","",SUMIFS(TARIFF_PROFILES!$D:$D,TARIFF_PROFILES!$A:$A,$X664))</f>
        <v/>
      </c>
      <c r="Z664" s="15">
        <f>IF($X664="","",SUMIFS(TARIFF_PROFILES!$E:$E,TARIFF_PROFILES!$A:$A,$X664))</f>
        <v/>
      </c>
      <c r="AA664" s="15">
        <f>IF($X664="","",SUMIFS(TARIFF_PROFILES!$F:$F,TARIFF_PROFILES!$A:$A,$X664))</f>
        <v/>
      </c>
      <c r="AB664" s="15">
        <f>IF($X664="","",SUMIFS(TARIFF_PROFILES!$G:$G,TARIFF_PROFILES!$A:$A,$X664))</f>
        <v/>
      </c>
      <c r="AC664" s="15">
        <f>IF($X664="","",SUMIFS(TARIFF_PROFILES!$H:$H,TARIFF_PROFILES!$A:$A,$X664))</f>
        <v/>
      </c>
      <c r="AD664" s="15">
        <f>IF($X664="","",INDEX(TARIFF_PROFILES!$J:$J,MATCH($X664,TARIFF_PROFILES!$A:$A,0)))</f>
        <v/>
      </c>
      <c r="AE664" s="15">
        <f>IF($X664="","",INDEX(TARIFF_PROFILES!$K:$K,MATCH($X664,TARIFF_PROFILES!$A:$A,0)))</f>
        <v/>
      </c>
      <c r="AH664">
        <f>IF($AG664="","",SUMIFS(OPERATING_COEFFS!$C:$C,OPERATING_COEFFS!$A:$A,"DistanceClass",OPERATING_COEFFS!$B:$B,$AG664))</f>
        <v/>
      </c>
      <c r="AJ664">
        <f>IF($AI664="","",SUMIFS(OPERATING_COEFFS!$C:$C,OPERATING_COEFFS!$A:$A,"SeasonClass",OPERATING_COEFFS!$B:$B,$AI664))</f>
        <v/>
      </c>
      <c r="AL664">
        <f>IF($AK664="","",SUMIFS(OPERATING_COEFFS!$C:$C,OPERATING_COEFFS!$A:$A,"UrgencyClass",OPERATING_COEFFS!$B:$B,$AK664))</f>
        <v/>
      </c>
      <c r="AN664">
        <f>IF($AM664="","",INDEX(TAX_MODES!$B:$B,MATCH($AM664,TAX_MODES!$A:$A,0)))</f>
        <v/>
      </c>
    </row>
    <row r="665">
      <c r="X665" s="15" t="n"/>
      <c r="Y665" s="15">
        <f>IF($X665="","",SUMIFS(TARIFF_PROFILES!$D:$D,TARIFF_PROFILES!$A:$A,$X665))</f>
        <v/>
      </c>
      <c r="Z665" s="15">
        <f>IF($X665="","",SUMIFS(TARIFF_PROFILES!$E:$E,TARIFF_PROFILES!$A:$A,$X665))</f>
        <v/>
      </c>
      <c r="AA665" s="15">
        <f>IF($X665="","",SUMIFS(TARIFF_PROFILES!$F:$F,TARIFF_PROFILES!$A:$A,$X665))</f>
        <v/>
      </c>
      <c r="AB665" s="15">
        <f>IF($X665="","",SUMIFS(TARIFF_PROFILES!$G:$G,TARIFF_PROFILES!$A:$A,$X665))</f>
        <v/>
      </c>
      <c r="AC665" s="15">
        <f>IF($X665="","",SUMIFS(TARIFF_PROFILES!$H:$H,TARIFF_PROFILES!$A:$A,$X665))</f>
        <v/>
      </c>
      <c r="AD665" s="15">
        <f>IF($X665="","",INDEX(TARIFF_PROFILES!$J:$J,MATCH($X665,TARIFF_PROFILES!$A:$A,0)))</f>
        <v/>
      </c>
      <c r="AE665" s="15">
        <f>IF($X665="","",INDEX(TARIFF_PROFILES!$K:$K,MATCH($X665,TARIFF_PROFILES!$A:$A,0)))</f>
        <v/>
      </c>
      <c r="AH665">
        <f>IF($AG665="","",SUMIFS(OPERATING_COEFFS!$C:$C,OPERATING_COEFFS!$A:$A,"DistanceClass",OPERATING_COEFFS!$B:$B,$AG665))</f>
        <v/>
      </c>
      <c r="AJ665">
        <f>IF($AI665="","",SUMIFS(OPERATING_COEFFS!$C:$C,OPERATING_COEFFS!$A:$A,"SeasonClass",OPERATING_COEFFS!$B:$B,$AI665))</f>
        <v/>
      </c>
      <c r="AL665">
        <f>IF($AK665="","",SUMIFS(OPERATING_COEFFS!$C:$C,OPERATING_COEFFS!$A:$A,"UrgencyClass",OPERATING_COEFFS!$B:$B,$AK665))</f>
        <v/>
      </c>
      <c r="AN665">
        <f>IF($AM665="","",INDEX(TAX_MODES!$B:$B,MATCH($AM665,TAX_MODES!$A:$A,0)))</f>
        <v/>
      </c>
    </row>
    <row r="666">
      <c r="X666" s="15" t="n"/>
      <c r="Y666" s="15">
        <f>IF($X666="","",SUMIFS(TARIFF_PROFILES!$D:$D,TARIFF_PROFILES!$A:$A,$X666))</f>
        <v/>
      </c>
      <c r="Z666" s="15">
        <f>IF($X666="","",SUMIFS(TARIFF_PROFILES!$E:$E,TARIFF_PROFILES!$A:$A,$X666))</f>
        <v/>
      </c>
      <c r="AA666" s="15">
        <f>IF($X666="","",SUMIFS(TARIFF_PROFILES!$F:$F,TARIFF_PROFILES!$A:$A,$X666))</f>
        <v/>
      </c>
      <c r="AB666" s="15">
        <f>IF($X666="","",SUMIFS(TARIFF_PROFILES!$G:$G,TARIFF_PROFILES!$A:$A,$X666))</f>
        <v/>
      </c>
      <c r="AC666" s="15">
        <f>IF($X666="","",SUMIFS(TARIFF_PROFILES!$H:$H,TARIFF_PROFILES!$A:$A,$X666))</f>
        <v/>
      </c>
      <c r="AD666" s="15">
        <f>IF($X666="","",INDEX(TARIFF_PROFILES!$J:$J,MATCH($X666,TARIFF_PROFILES!$A:$A,0)))</f>
        <v/>
      </c>
      <c r="AE666" s="15">
        <f>IF($X666="","",INDEX(TARIFF_PROFILES!$K:$K,MATCH($X666,TARIFF_PROFILES!$A:$A,0)))</f>
        <v/>
      </c>
      <c r="AH666">
        <f>IF($AG666="","",SUMIFS(OPERATING_COEFFS!$C:$C,OPERATING_COEFFS!$A:$A,"DistanceClass",OPERATING_COEFFS!$B:$B,$AG666))</f>
        <v/>
      </c>
      <c r="AJ666">
        <f>IF($AI666="","",SUMIFS(OPERATING_COEFFS!$C:$C,OPERATING_COEFFS!$A:$A,"SeasonClass",OPERATING_COEFFS!$B:$B,$AI666))</f>
        <v/>
      </c>
      <c r="AL666">
        <f>IF($AK666="","",SUMIFS(OPERATING_COEFFS!$C:$C,OPERATING_COEFFS!$A:$A,"UrgencyClass",OPERATING_COEFFS!$B:$B,$AK666))</f>
        <v/>
      </c>
      <c r="AN666">
        <f>IF($AM666="","",INDEX(TAX_MODES!$B:$B,MATCH($AM666,TAX_MODES!$A:$A,0)))</f>
        <v/>
      </c>
    </row>
    <row r="667">
      <c r="X667" s="15" t="n"/>
      <c r="Y667" s="15">
        <f>IF($X667="","",SUMIFS(TARIFF_PROFILES!$D:$D,TARIFF_PROFILES!$A:$A,$X667))</f>
        <v/>
      </c>
      <c r="Z667" s="15">
        <f>IF($X667="","",SUMIFS(TARIFF_PROFILES!$E:$E,TARIFF_PROFILES!$A:$A,$X667))</f>
        <v/>
      </c>
      <c r="AA667" s="15">
        <f>IF($X667="","",SUMIFS(TARIFF_PROFILES!$F:$F,TARIFF_PROFILES!$A:$A,$X667))</f>
        <v/>
      </c>
      <c r="AB667" s="15">
        <f>IF($X667="","",SUMIFS(TARIFF_PROFILES!$G:$G,TARIFF_PROFILES!$A:$A,$X667))</f>
        <v/>
      </c>
      <c r="AC667" s="15">
        <f>IF($X667="","",SUMIFS(TARIFF_PROFILES!$H:$H,TARIFF_PROFILES!$A:$A,$X667))</f>
        <v/>
      </c>
      <c r="AD667" s="15">
        <f>IF($X667="","",INDEX(TARIFF_PROFILES!$J:$J,MATCH($X667,TARIFF_PROFILES!$A:$A,0)))</f>
        <v/>
      </c>
      <c r="AE667" s="15">
        <f>IF($X667="","",INDEX(TARIFF_PROFILES!$K:$K,MATCH($X667,TARIFF_PROFILES!$A:$A,0)))</f>
        <v/>
      </c>
      <c r="AH667">
        <f>IF($AG667="","",SUMIFS(OPERATING_COEFFS!$C:$C,OPERATING_COEFFS!$A:$A,"DistanceClass",OPERATING_COEFFS!$B:$B,$AG667))</f>
        <v/>
      </c>
      <c r="AJ667">
        <f>IF($AI667="","",SUMIFS(OPERATING_COEFFS!$C:$C,OPERATING_COEFFS!$A:$A,"SeasonClass",OPERATING_COEFFS!$B:$B,$AI667))</f>
        <v/>
      </c>
      <c r="AL667">
        <f>IF($AK667="","",SUMIFS(OPERATING_COEFFS!$C:$C,OPERATING_COEFFS!$A:$A,"UrgencyClass",OPERATING_COEFFS!$B:$B,$AK667))</f>
        <v/>
      </c>
      <c r="AN667">
        <f>IF($AM667="","",INDEX(TAX_MODES!$B:$B,MATCH($AM667,TAX_MODES!$A:$A,0)))</f>
        <v/>
      </c>
    </row>
    <row r="668">
      <c r="X668" s="15" t="n"/>
      <c r="Y668" s="15">
        <f>IF($X668="","",SUMIFS(TARIFF_PROFILES!$D:$D,TARIFF_PROFILES!$A:$A,$X668))</f>
        <v/>
      </c>
      <c r="Z668" s="15">
        <f>IF($X668="","",SUMIFS(TARIFF_PROFILES!$E:$E,TARIFF_PROFILES!$A:$A,$X668))</f>
        <v/>
      </c>
      <c r="AA668" s="15">
        <f>IF($X668="","",SUMIFS(TARIFF_PROFILES!$F:$F,TARIFF_PROFILES!$A:$A,$X668))</f>
        <v/>
      </c>
      <c r="AB668" s="15">
        <f>IF($X668="","",SUMIFS(TARIFF_PROFILES!$G:$G,TARIFF_PROFILES!$A:$A,$X668))</f>
        <v/>
      </c>
      <c r="AC668" s="15">
        <f>IF($X668="","",SUMIFS(TARIFF_PROFILES!$H:$H,TARIFF_PROFILES!$A:$A,$X668))</f>
        <v/>
      </c>
      <c r="AD668" s="15">
        <f>IF($X668="","",INDEX(TARIFF_PROFILES!$J:$J,MATCH($X668,TARIFF_PROFILES!$A:$A,0)))</f>
        <v/>
      </c>
      <c r="AE668" s="15">
        <f>IF($X668="","",INDEX(TARIFF_PROFILES!$K:$K,MATCH($X668,TARIFF_PROFILES!$A:$A,0)))</f>
        <v/>
      </c>
      <c r="AH668">
        <f>IF($AG668="","",SUMIFS(OPERATING_COEFFS!$C:$C,OPERATING_COEFFS!$A:$A,"DistanceClass",OPERATING_COEFFS!$B:$B,$AG668))</f>
        <v/>
      </c>
      <c r="AJ668">
        <f>IF($AI668="","",SUMIFS(OPERATING_COEFFS!$C:$C,OPERATING_COEFFS!$A:$A,"SeasonClass",OPERATING_COEFFS!$B:$B,$AI668))</f>
        <v/>
      </c>
      <c r="AL668">
        <f>IF($AK668="","",SUMIFS(OPERATING_COEFFS!$C:$C,OPERATING_COEFFS!$A:$A,"UrgencyClass",OPERATING_COEFFS!$B:$B,$AK668))</f>
        <v/>
      </c>
      <c r="AN668">
        <f>IF($AM668="","",INDEX(TAX_MODES!$B:$B,MATCH($AM668,TAX_MODES!$A:$A,0)))</f>
        <v/>
      </c>
    </row>
    <row r="669">
      <c r="X669" s="15" t="n"/>
      <c r="Y669" s="15">
        <f>IF($X669="","",SUMIFS(TARIFF_PROFILES!$D:$D,TARIFF_PROFILES!$A:$A,$X669))</f>
        <v/>
      </c>
      <c r="Z669" s="15">
        <f>IF($X669="","",SUMIFS(TARIFF_PROFILES!$E:$E,TARIFF_PROFILES!$A:$A,$X669))</f>
        <v/>
      </c>
      <c r="AA669" s="15">
        <f>IF($X669="","",SUMIFS(TARIFF_PROFILES!$F:$F,TARIFF_PROFILES!$A:$A,$X669))</f>
        <v/>
      </c>
      <c r="AB669" s="15">
        <f>IF($X669="","",SUMIFS(TARIFF_PROFILES!$G:$G,TARIFF_PROFILES!$A:$A,$X669))</f>
        <v/>
      </c>
      <c r="AC669" s="15">
        <f>IF($X669="","",SUMIFS(TARIFF_PROFILES!$H:$H,TARIFF_PROFILES!$A:$A,$X669))</f>
        <v/>
      </c>
      <c r="AD669" s="15">
        <f>IF($X669="","",INDEX(TARIFF_PROFILES!$J:$J,MATCH($X669,TARIFF_PROFILES!$A:$A,0)))</f>
        <v/>
      </c>
      <c r="AE669" s="15">
        <f>IF($X669="","",INDEX(TARIFF_PROFILES!$K:$K,MATCH($X669,TARIFF_PROFILES!$A:$A,0)))</f>
        <v/>
      </c>
      <c r="AH669">
        <f>IF($AG669="","",SUMIFS(OPERATING_COEFFS!$C:$C,OPERATING_COEFFS!$A:$A,"DistanceClass",OPERATING_COEFFS!$B:$B,$AG669))</f>
        <v/>
      </c>
      <c r="AJ669">
        <f>IF($AI669="","",SUMIFS(OPERATING_COEFFS!$C:$C,OPERATING_COEFFS!$A:$A,"SeasonClass",OPERATING_COEFFS!$B:$B,$AI669))</f>
        <v/>
      </c>
      <c r="AL669">
        <f>IF($AK669="","",SUMIFS(OPERATING_COEFFS!$C:$C,OPERATING_COEFFS!$A:$A,"UrgencyClass",OPERATING_COEFFS!$B:$B,$AK669))</f>
        <v/>
      </c>
      <c r="AN669">
        <f>IF($AM669="","",INDEX(TAX_MODES!$B:$B,MATCH($AM669,TAX_MODES!$A:$A,0)))</f>
        <v/>
      </c>
    </row>
    <row r="670">
      <c r="X670" s="15" t="n"/>
      <c r="Y670" s="15">
        <f>IF($X670="","",SUMIFS(TARIFF_PROFILES!$D:$D,TARIFF_PROFILES!$A:$A,$X670))</f>
        <v/>
      </c>
      <c r="Z670" s="15">
        <f>IF($X670="","",SUMIFS(TARIFF_PROFILES!$E:$E,TARIFF_PROFILES!$A:$A,$X670))</f>
        <v/>
      </c>
      <c r="AA670" s="15">
        <f>IF($X670="","",SUMIFS(TARIFF_PROFILES!$F:$F,TARIFF_PROFILES!$A:$A,$X670))</f>
        <v/>
      </c>
      <c r="AB670" s="15">
        <f>IF($X670="","",SUMIFS(TARIFF_PROFILES!$G:$G,TARIFF_PROFILES!$A:$A,$X670))</f>
        <v/>
      </c>
      <c r="AC670" s="15">
        <f>IF($X670="","",SUMIFS(TARIFF_PROFILES!$H:$H,TARIFF_PROFILES!$A:$A,$X670))</f>
        <v/>
      </c>
      <c r="AD670" s="15">
        <f>IF($X670="","",INDEX(TARIFF_PROFILES!$J:$J,MATCH($X670,TARIFF_PROFILES!$A:$A,0)))</f>
        <v/>
      </c>
      <c r="AE670" s="15">
        <f>IF($X670="","",INDEX(TARIFF_PROFILES!$K:$K,MATCH($X670,TARIFF_PROFILES!$A:$A,0)))</f>
        <v/>
      </c>
      <c r="AH670">
        <f>IF($AG670="","",SUMIFS(OPERATING_COEFFS!$C:$C,OPERATING_COEFFS!$A:$A,"DistanceClass",OPERATING_COEFFS!$B:$B,$AG670))</f>
        <v/>
      </c>
      <c r="AJ670">
        <f>IF($AI670="","",SUMIFS(OPERATING_COEFFS!$C:$C,OPERATING_COEFFS!$A:$A,"SeasonClass",OPERATING_COEFFS!$B:$B,$AI670))</f>
        <v/>
      </c>
      <c r="AL670">
        <f>IF($AK670="","",SUMIFS(OPERATING_COEFFS!$C:$C,OPERATING_COEFFS!$A:$A,"UrgencyClass",OPERATING_COEFFS!$B:$B,$AK670))</f>
        <v/>
      </c>
      <c r="AN670">
        <f>IF($AM670="","",INDEX(TAX_MODES!$B:$B,MATCH($AM670,TAX_MODES!$A:$A,0)))</f>
        <v/>
      </c>
    </row>
    <row r="671">
      <c r="X671" s="15" t="n"/>
      <c r="Y671" s="15">
        <f>IF($X671="","",SUMIFS(TARIFF_PROFILES!$D:$D,TARIFF_PROFILES!$A:$A,$X671))</f>
        <v/>
      </c>
      <c r="Z671" s="15">
        <f>IF($X671="","",SUMIFS(TARIFF_PROFILES!$E:$E,TARIFF_PROFILES!$A:$A,$X671))</f>
        <v/>
      </c>
      <c r="AA671" s="15">
        <f>IF($X671="","",SUMIFS(TARIFF_PROFILES!$F:$F,TARIFF_PROFILES!$A:$A,$X671))</f>
        <v/>
      </c>
      <c r="AB671" s="15">
        <f>IF($X671="","",SUMIFS(TARIFF_PROFILES!$G:$G,TARIFF_PROFILES!$A:$A,$X671))</f>
        <v/>
      </c>
      <c r="AC671" s="15">
        <f>IF($X671="","",SUMIFS(TARIFF_PROFILES!$H:$H,TARIFF_PROFILES!$A:$A,$X671))</f>
        <v/>
      </c>
      <c r="AD671" s="15">
        <f>IF($X671="","",INDEX(TARIFF_PROFILES!$J:$J,MATCH($X671,TARIFF_PROFILES!$A:$A,0)))</f>
        <v/>
      </c>
      <c r="AE671" s="15">
        <f>IF($X671="","",INDEX(TARIFF_PROFILES!$K:$K,MATCH($X671,TARIFF_PROFILES!$A:$A,0)))</f>
        <v/>
      </c>
      <c r="AH671">
        <f>IF($AG671="","",SUMIFS(OPERATING_COEFFS!$C:$C,OPERATING_COEFFS!$A:$A,"DistanceClass",OPERATING_COEFFS!$B:$B,$AG671))</f>
        <v/>
      </c>
      <c r="AJ671">
        <f>IF($AI671="","",SUMIFS(OPERATING_COEFFS!$C:$C,OPERATING_COEFFS!$A:$A,"SeasonClass",OPERATING_COEFFS!$B:$B,$AI671))</f>
        <v/>
      </c>
      <c r="AL671">
        <f>IF($AK671="","",SUMIFS(OPERATING_COEFFS!$C:$C,OPERATING_COEFFS!$A:$A,"UrgencyClass",OPERATING_COEFFS!$B:$B,$AK671))</f>
        <v/>
      </c>
      <c r="AN671">
        <f>IF($AM671="","",INDEX(TAX_MODES!$B:$B,MATCH($AM671,TAX_MODES!$A:$A,0)))</f>
        <v/>
      </c>
    </row>
    <row r="672">
      <c r="X672" s="15" t="n"/>
      <c r="Y672" s="15">
        <f>IF($X672="","",SUMIFS(TARIFF_PROFILES!$D:$D,TARIFF_PROFILES!$A:$A,$X672))</f>
        <v/>
      </c>
      <c r="Z672" s="15">
        <f>IF($X672="","",SUMIFS(TARIFF_PROFILES!$E:$E,TARIFF_PROFILES!$A:$A,$X672))</f>
        <v/>
      </c>
      <c r="AA672" s="15">
        <f>IF($X672="","",SUMIFS(TARIFF_PROFILES!$F:$F,TARIFF_PROFILES!$A:$A,$X672))</f>
        <v/>
      </c>
      <c r="AB672" s="15">
        <f>IF($X672="","",SUMIFS(TARIFF_PROFILES!$G:$G,TARIFF_PROFILES!$A:$A,$X672))</f>
        <v/>
      </c>
      <c r="AC672" s="15">
        <f>IF($X672="","",SUMIFS(TARIFF_PROFILES!$H:$H,TARIFF_PROFILES!$A:$A,$X672))</f>
        <v/>
      </c>
      <c r="AD672" s="15">
        <f>IF($X672="","",INDEX(TARIFF_PROFILES!$J:$J,MATCH($X672,TARIFF_PROFILES!$A:$A,0)))</f>
        <v/>
      </c>
      <c r="AE672" s="15">
        <f>IF($X672="","",INDEX(TARIFF_PROFILES!$K:$K,MATCH($X672,TARIFF_PROFILES!$A:$A,0)))</f>
        <v/>
      </c>
      <c r="AH672">
        <f>IF($AG672="","",SUMIFS(OPERATING_COEFFS!$C:$C,OPERATING_COEFFS!$A:$A,"DistanceClass",OPERATING_COEFFS!$B:$B,$AG672))</f>
        <v/>
      </c>
      <c r="AJ672">
        <f>IF($AI672="","",SUMIFS(OPERATING_COEFFS!$C:$C,OPERATING_COEFFS!$A:$A,"SeasonClass",OPERATING_COEFFS!$B:$B,$AI672))</f>
        <v/>
      </c>
      <c r="AL672">
        <f>IF($AK672="","",SUMIFS(OPERATING_COEFFS!$C:$C,OPERATING_COEFFS!$A:$A,"UrgencyClass",OPERATING_COEFFS!$B:$B,$AK672))</f>
        <v/>
      </c>
      <c r="AN672">
        <f>IF($AM672="","",INDEX(TAX_MODES!$B:$B,MATCH($AM672,TAX_MODES!$A:$A,0)))</f>
        <v/>
      </c>
    </row>
    <row r="673">
      <c r="X673" s="15" t="n"/>
      <c r="Y673" s="15">
        <f>IF($X673="","",SUMIFS(TARIFF_PROFILES!$D:$D,TARIFF_PROFILES!$A:$A,$X673))</f>
        <v/>
      </c>
      <c r="Z673" s="15">
        <f>IF($X673="","",SUMIFS(TARIFF_PROFILES!$E:$E,TARIFF_PROFILES!$A:$A,$X673))</f>
        <v/>
      </c>
      <c r="AA673" s="15">
        <f>IF($X673="","",SUMIFS(TARIFF_PROFILES!$F:$F,TARIFF_PROFILES!$A:$A,$X673))</f>
        <v/>
      </c>
      <c r="AB673" s="15">
        <f>IF($X673="","",SUMIFS(TARIFF_PROFILES!$G:$G,TARIFF_PROFILES!$A:$A,$X673))</f>
        <v/>
      </c>
      <c r="AC673" s="15">
        <f>IF($X673="","",SUMIFS(TARIFF_PROFILES!$H:$H,TARIFF_PROFILES!$A:$A,$X673))</f>
        <v/>
      </c>
      <c r="AD673" s="15">
        <f>IF($X673="","",INDEX(TARIFF_PROFILES!$J:$J,MATCH($X673,TARIFF_PROFILES!$A:$A,0)))</f>
        <v/>
      </c>
      <c r="AE673" s="15">
        <f>IF($X673="","",INDEX(TARIFF_PROFILES!$K:$K,MATCH($X673,TARIFF_PROFILES!$A:$A,0)))</f>
        <v/>
      </c>
      <c r="AH673">
        <f>IF($AG673="","",SUMIFS(OPERATING_COEFFS!$C:$C,OPERATING_COEFFS!$A:$A,"DistanceClass",OPERATING_COEFFS!$B:$B,$AG673))</f>
        <v/>
      </c>
      <c r="AJ673">
        <f>IF($AI673="","",SUMIFS(OPERATING_COEFFS!$C:$C,OPERATING_COEFFS!$A:$A,"SeasonClass",OPERATING_COEFFS!$B:$B,$AI673))</f>
        <v/>
      </c>
      <c r="AL673">
        <f>IF($AK673="","",SUMIFS(OPERATING_COEFFS!$C:$C,OPERATING_COEFFS!$A:$A,"UrgencyClass",OPERATING_COEFFS!$B:$B,$AK673))</f>
        <v/>
      </c>
      <c r="AN673">
        <f>IF($AM673="","",INDEX(TAX_MODES!$B:$B,MATCH($AM673,TAX_MODES!$A:$A,0)))</f>
        <v/>
      </c>
    </row>
    <row r="674">
      <c r="X674" s="15" t="n"/>
      <c r="Y674" s="15">
        <f>IF($X674="","",SUMIFS(TARIFF_PROFILES!$D:$D,TARIFF_PROFILES!$A:$A,$X674))</f>
        <v/>
      </c>
      <c r="Z674" s="15">
        <f>IF($X674="","",SUMIFS(TARIFF_PROFILES!$E:$E,TARIFF_PROFILES!$A:$A,$X674))</f>
        <v/>
      </c>
      <c r="AA674" s="15">
        <f>IF($X674="","",SUMIFS(TARIFF_PROFILES!$F:$F,TARIFF_PROFILES!$A:$A,$X674))</f>
        <v/>
      </c>
      <c r="AB674" s="15">
        <f>IF($X674="","",SUMIFS(TARIFF_PROFILES!$G:$G,TARIFF_PROFILES!$A:$A,$X674))</f>
        <v/>
      </c>
      <c r="AC674" s="15">
        <f>IF($X674="","",SUMIFS(TARIFF_PROFILES!$H:$H,TARIFF_PROFILES!$A:$A,$X674))</f>
        <v/>
      </c>
      <c r="AD674" s="15">
        <f>IF($X674="","",INDEX(TARIFF_PROFILES!$J:$J,MATCH($X674,TARIFF_PROFILES!$A:$A,0)))</f>
        <v/>
      </c>
      <c r="AE674" s="15">
        <f>IF($X674="","",INDEX(TARIFF_PROFILES!$K:$K,MATCH($X674,TARIFF_PROFILES!$A:$A,0)))</f>
        <v/>
      </c>
      <c r="AH674">
        <f>IF($AG674="","",SUMIFS(OPERATING_COEFFS!$C:$C,OPERATING_COEFFS!$A:$A,"DistanceClass",OPERATING_COEFFS!$B:$B,$AG674))</f>
        <v/>
      </c>
      <c r="AJ674">
        <f>IF($AI674="","",SUMIFS(OPERATING_COEFFS!$C:$C,OPERATING_COEFFS!$A:$A,"SeasonClass",OPERATING_COEFFS!$B:$B,$AI674))</f>
        <v/>
      </c>
      <c r="AL674">
        <f>IF($AK674="","",SUMIFS(OPERATING_COEFFS!$C:$C,OPERATING_COEFFS!$A:$A,"UrgencyClass",OPERATING_COEFFS!$B:$B,$AK674))</f>
        <v/>
      </c>
      <c r="AN674">
        <f>IF($AM674="","",INDEX(TAX_MODES!$B:$B,MATCH($AM674,TAX_MODES!$A:$A,0)))</f>
        <v/>
      </c>
    </row>
    <row r="675">
      <c r="X675" s="15" t="n"/>
      <c r="Y675" s="15">
        <f>IF($X675="","",SUMIFS(TARIFF_PROFILES!$D:$D,TARIFF_PROFILES!$A:$A,$X675))</f>
        <v/>
      </c>
      <c r="Z675" s="15">
        <f>IF($X675="","",SUMIFS(TARIFF_PROFILES!$E:$E,TARIFF_PROFILES!$A:$A,$X675))</f>
        <v/>
      </c>
      <c r="AA675" s="15">
        <f>IF($X675="","",SUMIFS(TARIFF_PROFILES!$F:$F,TARIFF_PROFILES!$A:$A,$X675))</f>
        <v/>
      </c>
      <c r="AB675" s="15">
        <f>IF($X675="","",SUMIFS(TARIFF_PROFILES!$G:$G,TARIFF_PROFILES!$A:$A,$X675))</f>
        <v/>
      </c>
      <c r="AC675" s="15">
        <f>IF($X675="","",SUMIFS(TARIFF_PROFILES!$H:$H,TARIFF_PROFILES!$A:$A,$X675))</f>
        <v/>
      </c>
      <c r="AD675" s="15">
        <f>IF($X675="","",INDEX(TARIFF_PROFILES!$J:$J,MATCH($X675,TARIFF_PROFILES!$A:$A,0)))</f>
        <v/>
      </c>
      <c r="AE675" s="15">
        <f>IF($X675="","",INDEX(TARIFF_PROFILES!$K:$K,MATCH($X675,TARIFF_PROFILES!$A:$A,0)))</f>
        <v/>
      </c>
      <c r="AH675">
        <f>IF($AG675="","",SUMIFS(OPERATING_COEFFS!$C:$C,OPERATING_COEFFS!$A:$A,"DistanceClass",OPERATING_COEFFS!$B:$B,$AG675))</f>
        <v/>
      </c>
      <c r="AJ675">
        <f>IF($AI675="","",SUMIFS(OPERATING_COEFFS!$C:$C,OPERATING_COEFFS!$A:$A,"SeasonClass",OPERATING_COEFFS!$B:$B,$AI675))</f>
        <v/>
      </c>
      <c r="AL675">
        <f>IF($AK675="","",SUMIFS(OPERATING_COEFFS!$C:$C,OPERATING_COEFFS!$A:$A,"UrgencyClass",OPERATING_COEFFS!$B:$B,$AK675))</f>
        <v/>
      </c>
      <c r="AN675">
        <f>IF($AM675="","",INDEX(TAX_MODES!$B:$B,MATCH($AM675,TAX_MODES!$A:$A,0)))</f>
        <v/>
      </c>
    </row>
    <row r="676">
      <c r="X676" s="15" t="n"/>
      <c r="Y676" s="15">
        <f>IF($X676="","",SUMIFS(TARIFF_PROFILES!$D:$D,TARIFF_PROFILES!$A:$A,$X676))</f>
        <v/>
      </c>
      <c r="Z676" s="15">
        <f>IF($X676="","",SUMIFS(TARIFF_PROFILES!$E:$E,TARIFF_PROFILES!$A:$A,$X676))</f>
        <v/>
      </c>
      <c r="AA676" s="15">
        <f>IF($X676="","",SUMIFS(TARIFF_PROFILES!$F:$F,TARIFF_PROFILES!$A:$A,$X676))</f>
        <v/>
      </c>
      <c r="AB676" s="15">
        <f>IF($X676="","",SUMIFS(TARIFF_PROFILES!$G:$G,TARIFF_PROFILES!$A:$A,$X676))</f>
        <v/>
      </c>
      <c r="AC676" s="15">
        <f>IF($X676="","",SUMIFS(TARIFF_PROFILES!$H:$H,TARIFF_PROFILES!$A:$A,$X676))</f>
        <v/>
      </c>
      <c r="AD676" s="15">
        <f>IF($X676="","",INDEX(TARIFF_PROFILES!$J:$J,MATCH($X676,TARIFF_PROFILES!$A:$A,0)))</f>
        <v/>
      </c>
      <c r="AE676" s="15">
        <f>IF($X676="","",INDEX(TARIFF_PROFILES!$K:$K,MATCH($X676,TARIFF_PROFILES!$A:$A,0)))</f>
        <v/>
      </c>
      <c r="AH676">
        <f>IF($AG676="","",SUMIFS(OPERATING_COEFFS!$C:$C,OPERATING_COEFFS!$A:$A,"DistanceClass",OPERATING_COEFFS!$B:$B,$AG676))</f>
        <v/>
      </c>
      <c r="AJ676">
        <f>IF($AI676="","",SUMIFS(OPERATING_COEFFS!$C:$C,OPERATING_COEFFS!$A:$A,"SeasonClass",OPERATING_COEFFS!$B:$B,$AI676))</f>
        <v/>
      </c>
      <c r="AL676">
        <f>IF($AK676="","",SUMIFS(OPERATING_COEFFS!$C:$C,OPERATING_COEFFS!$A:$A,"UrgencyClass",OPERATING_COEFFS!$B:$B,$AK676))</f>
        <v/>
      </c>
      <c r="AN676">
        <f>IF($AM676="","",INDEX(TAX_MODES!$B:$B,MATCH($AM676,TAX_MODES!$A:$A,0)))</f>
        <v/>
      </c>
    </row>
    <row r="677">
      <c r="X677" s="15" t="n"/>
      <c r="Y677" s="15">
        <f>IF($X677="","",SUMIFS(TARIFF_PROFILES!$D:$D,TARIFF_PROFILES!$A:$A,$X677))</f>
        <v/>
      </c>
      <c r="Z677" s="15">
        <f>IF($X677="","",SUMIFS(TARIFF_PROFILES!$E:$E,TARIFF_PROFILES!$A:$A,$X677))</f>
        <v/>
      </c>
      <c r="AA677" s="15">
        <f>IF($X677="","",SUMIFS(TARIFF_PROFILES!$F:$F,TARIFF_PROFILES!$A:$A,$X677))</f>
        <v/>
      </c>
      <c r="AB677" s="15">
        <f>IF($X677="","",SUMIFS(TARIFF_PROFILES!$G:$G,TARIFF_PROFILES!$A:$A,$X677))</f>
        <v/>
      </c>
      <c r="AC677" s="15">
        <f>IF($X677="","",SUMIFS(TARIFF_PROFILES!$H:$H,TARIFF_PROFILES!$A:$A,$X677))</f>
        <v/>
      </c>
      <c r="AD677" s="15">
        <f>IF($X677="","",INDEX(TARIFF_PROFILES!$J:$J,MATCH($X677,TARIFF_PROFILES!$A:$A,0)))</f>
        <v/>
      </c>
      <c r="AE677" s="15">
        <f>IF($X677="","",INDEX(TARIFF_PROFILES!$K:$K,MATCH($X677,TARIFF_PROFILES!$A:$A,0)))</f>
        <v/>
      </c>
      <c r="AH677">
        <f>IF($AG677="","",SUMIFS(OPERATING_COEFFS!$C:$C,OPERATING_COEFFS!$A:$A,"DistanceClass",OPERATING_COEFFS!$B:$B,$AG677))</f>
        <v/>
      </c>
      <c r="AJ677">
        <f>IF($AI677="","",SUMIFS(OPERATING_COEFFS!$C:$C,OPERATING_COEFFS!$A:$A,"SeasonClass",OPERATING_COEFFS!$B:$B,$AI677))</f>
        <v/>
      </c>
      <c r="AL677">
        <f>IF($AK677="","",SUMIFS(OPERATING_COEFFS!$C:$C,OPERATING_COEFFS!$A:$A,"UrgencyClass",OPERATING_COEFFS!$B:$B,$AK677))</f>
        <v/>
      </c>
      <c r="AN677">
        <f>IF($AM677="","",INDEX(TAX_MODES!$B:$B,MATCH($AM677,TAX_MODES!$A:$A,0)))</f>
        <v/>
      </c>
    </row>
    <row r="678">
      <c r="X678" s="15" t="n"/>
      <c r="Y678" s="15">
        <f>IF($X678="","",SUMIFS(TARIFF_PROFILES!$D:$D,TARIFF_PROFILES!$A:$A,$X678))</f>
        <v/>
      </c>
      <c r="Z678" s="15">
        <f>IF($X678="","",SUMIFS(TARIFF_PROFILES!$E:$E,TARIFF_PROFILES!$A:$A,$X678))</f>
        <v/>
      </c>
      <c r="AA678" s="15">
        <f>IF($X678="","",SUMIFS(TARIFF_PROFILES!$F:$F,TARIFF_PROFILES!$A:$A,$X678))</f>
        <v/>
      </c>
      <c r="AB678" s="15">
        <f>IF($X678="","",SUMIFS(TARIFF_PROFILES!$G:$G,TARIFF_PROFILES!$A:$A,$X678))</f>
        <v/>
      </c>
      <c r="AC678" s="15">
        <f>IF($X678="","",SUMIFS(TARIFF_PROFILES!$H:$H,TARIFF_PROFILES!$A:$A,$X678))</f>
        <v/>
      </c>
      <c r="AD678" s="15">
        <f>IF($X678="","",INDEX(TARIFF_PROFILES!$J:$J,MATCH($X678,TARIFF_PROFILES!$A:$A,0)))</f>
        <v/>
      </c>
      <c r="AE678" s="15">
        <f>IF($X678="","",INDEX(TARIFF_PROFILES!$K:$K,MATCH($X678,TARIFF_PROFILES!$A:$A,0)))</f>
        <v/>
      </c>
      <c r="AH678">
        <f>IF($AG678="","",SUMIFS(OPERATING_COEFFS!$C:$C,OPERATING_COEFFS!$A:$A,"DistanceClass",OPERATING_COEFFS!$B:$B,$AG678))</f>
        <v/>
      </c>
      <c r="AJ678">
        <f>IF($AI678="","",SUMIFS(OPERATING_COEFFS!$C:$C,OPERATING_COEFFS!$A:$A,"SeasonClass",OPERATING_COEFFS!$B:$B,$AI678))</f>
        <v/>
      </c>
      <c r="AL678">
        <f>IF($AK678="","",SUMIFS(OPERATING_COEFFS!$C:$C,OPERATING_COEFFS!$A:$A,"UrgencyClass",OPERATING_COEFFS!$B:$B,$AK678))</f>
        <v/>
      </c>
      <c r="AN678">
        <f>IF($AM678="","",INDEX(TAX_MODES!$B:$B,MATCH($AM678,TAX_MODES!$A:$A,0)))</f>
        <v/>
      </c>
    </row>
    <row r="679">
      <c r="X679" s="15" t="n"/>
      <c r="Y679" s="15">
        <f>IF($X679="","",SUMIFS(TARIFF_PROFILES!$D:$D,TARIFF_PROFILES!$A:$A,$X679))</f>
        <v/>
      </c>
      <c r="Z679" s="15">
        <f>IF($X679="","",SUMIFS(TARIFF_PROFILES!$E:$E,TARIFF_PROFILES!$A:$A,$X679))</f>
        <v/>
      </c>
      <c r="AA679" s="15">
        <f>IF($X679="","",SUMIFS(TARIFF_PROFILES!$F:$F,TARIFF_PROFILES!$A:$A,$X679))</f>
        <v/>
      </c>
      <c r="AB679" s="15">
        <f>IF($X679="","",SUMIFS(TARIFF_PROFILES!$G:$G,TARIFF_PROFILES!$A:$A,$X679))</f>
        <v/>
      </c>
      <c r="AC679" s="15">
        <f>IF($X679="","",SUMIFS(TARIFF_PROFILES!$H:$H,TARIFF_PROFILES!$A:$A,$X679))</f>
        <v/>
      </c>
      <c r="AD679" s="15">
        <f>IF($X679="","",INDEX(TARIFF_PROFILES!$J:$J,MATCH($X679,TARIFF_PROFILES!$A:$A,0)))</f>
        <v/>
      </c>
      <c r="AE679" s="15">
        <f>IF($X679="","",INDEX(TARIFF_PROFILES!$K:$K,MATCH($X679,TARIFF_PROFILES!$A:$A,0)))</f>
        <v/>
      </c>
      <c r="AH679">
        <f>IF($AG679="","",SUMIFS(OPERATING_COEFFS!$C:$C,OPERATING_COEFFS!$A:$A,"DistanceClass",OPERATING_COEFFS!$B:$B,$AG679))</f>
        <v/>
      </c>
      <c r="AJ679">
        <f>IF($AI679="","",SUMIFS(OPERATING_COEFFS!$C:$C,OPERATING_COEFFS!$A:$A,"SeasonClass",OPERATING_COEFFS!$B:$B,$AI679))</f>
        <v/>
      </c>
      <c r="AL679">
        <f>IF($AK679="","",SUMIFS(OPERATING_COEFFS!$C:$C,OPERATING_COEFFS!$A:$A,"UrgencyClass",OPERATING_COEFFS!$B:$B,$AK679))</f>
        <v/>
      </c>
      <c r="AN679">
        <f>IF($AM679="","",INDEX(TAX_MODES!$B:$B,MATCH($AM679,TAX_MODES!$A:$A,0)))</f>
        <v/>
      </c>
    </row>
    <row r="680">
      <c r="X680" s="15" t="n"/>
      <c r="Y680" s="15">
        <f>IF($X680="","",SUMIFS(TARIFF_PROFILES!$D:$D,TARIFF_PROFILES!$A:$A,$X680))</f>
        <v/>
      </c>
      <c r="Z680" s="15">
        <f>IF($X680="","",SUMIFS(TARIFF_PROFILES!$E:$E,TARIFF_PROFILES!$A:$A,$X680))</f>
        <v/>
      </c>
      <c r="AA680" s="15">
        <f>IF($X680="","",SUMIFS(TARIFF_PROFILES!$F:$F,TARIFF_PROFILES!$A:$A,$X680))</f>
        <v/>
      </c>
      <c r="AB680" s="15">
        <f>IF($X680="","",SUMIFS(TARIFF_PROFILES!$G:$G,TARIFF_PROFILES!$A:$A,$X680))</f>
        <v/>
      </c>
      <c r="AC680" s="15">
        <f>IF($X680="","",SUMIFS(TARIFF_PROFILES!$H:$H,TARIFF_PROFILES!$A:$A,$X680))</f>
        <v/>
      </c>
      <c r="AD680" s="15">
        <f>IF($X680="","",INDEX(TARIFF_PROFILES!$J:$J,MATCH($X680,TARIFF_PROFILES!$A:$A,0)))</f>
        <v/>
      </c>
      <c r="AE680" s="15">
        <f>IF($X680="","",INDEX(TARIFF_PROFILES!$K:$K,MATCH($X680,TARIFF_PROFILES!$A:$A,0)))</f>
        <v/>
      </c>
      <c r="AH680">
        <f>IF($AG680="","",SUMIFS(OPERATING_COEFFS!$C:$C,OPERATING_COEFFS!$A:$A,"DistanceClass",OPERATING_COEFFS!$B:$B,$AG680))</f>
        <v/>
      </c>
      <c r="AJ680">
        <f>IF($AI680="","",SUMIFS(OPERATING_COEFFS!$C:$C,OPERATING_COEFFS!$A:$A,"SeasonClass",OPERATING_COEFFS!$B:$B,$AI680))</f>
        <v/>
      </c>
      <c r="AL680">
        <f>IF($AK680="","",SUMIFS(OPERATING_COEFFS!$C:$C,OPERATING_COEFFS!$A:$A,"UrgencyClass",OPERATING_COEFFS!$B:$B,$AK680))</f>
        <v/>
      </c>
      <c r="AN680">
        <f>IF($AM680="","",INDEX(TAX_MODES!$B:$B,MATCH($AM680,TAX_MODES!$A:$A,0)))</f>
        <v/>
      </c>
    </row>
    <row r="681">
      <c r="X681" s="15" t="n"/>
      <c r="Y681" s="15">
        <f>IF($X681="","",SUMIFS(TARIFF_PROFILES!$D:$D,TARIFF_PROFILES!$A:$A,$X681))</f>
        <v/>
      </c>
      <c r="Z681" s="15">
        <f>IF($X681="","",SUMIFS(TARIFF_PROFILES!$E:$E,TARIFF_PROFILES!$A:$A,$X681))</f>
        <v/>
      </c>
      <c r="AA681" s="15">
        <f>IF($X681="","",SUMIFS(TARIFF_PROFILES!$F:$F,TARIFF_PROFILES!$A:$A,$X681))</f>
        <v/>
      </c>
      <c r="AB681" s="15">
        <f>IF($X681="","",SUMIFS(TARIFF_PROFILES!$G:$G,TARIFF_PROFILES!$A:$A,$X681))</f>
        <v/>
      </c>
      <c r="AC681" s="15">
        <f>IF($X681="","",SUMIFS(TARIFF_PROFILES!$H:$H,TARIFF_PROFILES!$A:$A,$X681))</f>
        <v/>
      </c>
      <c r="AD681" s="15">
        <f>IF($X681="","",INDEX(TARIFF_PROFILES!$J:$J,MATCH($X681,TARIFF_PROFILES!$A:$A,0)))</f>
        <v/>
      </c>
      <c r="AE681" s="15">
        <f>IF($X681="","",INDEX(TARIFF_PROFILES!$K:$K,MATCH($X681,TARIFF_PROFILES!$A:$A,0)))</f>
        <v/>
      </c>
      <c r="AH681">
        <f>IF($AG681="","",SUMIFS(OPERATING_COEFFS!$C:$C,OPERATING_COEFFS!$A:$A,"DistanceClass",OPERATING_COEFFS!$B:$B,$AG681))</f>
        <v/>
      </c>
      <c r="AJ681">
        <f>IF($AI681="","",SUMIFS(OPERATING_COEFFS!$C:$C,OPERATING_COEFFS!$A:$A,"SeasonClass",OPERATING_COEFFS!$B:$B,$AI681))</f>
        <v/>
      </c>
      <c r="AL681">
        <f>IF($AK681="","",SUMIFS(OPERATING_COEFFS!$C:$C,OPERATING_COEFFS!$A:$A,"UrgencyClass",OPERATING_COEFFS!$B:$B,$AK681))</f>
        <v/>
      </c>
      <c r="AN681">
        <f>IF($AM681="","",INDEX(TAX_MODES!$B:$B,MATCH($AM681,TAX_MODES!$A:$A,0)))</f>
        <v/>
      </c>
    </row>
    <row r="682">
      <c r="X682" s="15" t="n"/>
      <c r="Y682" s="15">
        <f>IF($X682="","",SUMIFS(TARIFF_PROFILES!$D:$D,TARIFF_PROFILES!$A:$A,$X682))</f>
        <v/>
      </c>
      <c r="Z682" s="15">
        <f>IF($X682="","",SUMIFS(TARIFF_PROFILES!$E:$E,TARIFF_PROFILES!$A:$A,$X682))</f>
        <v/>
      </c>
      <c r="AA682" s="15">
        <f>IF($X682="","",SUMIFS(TARIFF_PROFILES!$F:$F,TARIFF_PROFILES!$A:$A,$X682))</f>
        <v/>
      </c>
      <c r="AB682" s="15">
        <f>IF($X682="","",SUMIFS(TARIFF_PROFILES!$G:$G,TARIFF_PROFILES!$A:$A,$X682))</f>
        <v/>
      </c>
      <c r="AC682" s="15">
        <f>IF($X682="","",SUMIFS(TARIFF_PROFILES!$H:$H,TARIFF_PROFILES!$A:$A,$X682))</f>
        <v/>
      </c>
      <c r="AD682" s="15">
        <f>IF($X682="","",INDEX(TARIFF_PROFILES!$J:$J,MATCH($X682,TARIFF_PROFILES!$A:$A,0)))</f>
        <v/>
      </c>
      <c r="AE682" s="15">
        <f>IF($X682="","",INDEX(TARIFF_PROFILES!$K:$K,MATCH($X682,TARIFF_PROFILES!$A:$A,0)))</f>
        <v/>
      </c>
      <c r="AH682">
        <f>IF($AG682="","",SUMIFS(OPERATING_COEFFS!$C:$C,OPERATING_COEFFS!$A:$A,"DistanceClass",OPERATING_COEFFS!$B:$B,$AG682))</f>
        <v/>
      </c>
      <c r="AJ682">
        <f>IF($AI682="","",SUMIFS(OPERATING_COEFFS!$C:$C,OPERATING_COEFFS!$A:$A,"SeasonClass",OPERATING_COEFFS!$B:$B,$AI682))</f>
        <v/>
      </c>
      <c r="AL682">
        <f>IF($AK682="","",SUMIFS(OPERATING_COEFFS!$C:$C,OPERATING_COEFFS!$A:$A,"UrgencyClass",OPERATING_COEFFS!$B:$B,$AK682))</f>
        <v/>
      </c>
      <c r="AN682">
        <f>IF($AM682="","",INDEX(TAX_MODES!$B:$B,MATCH($AM682,TAX_MODES!$A:$A,0)))</f>
        <v/>
      </c>
    </row>
    <row r="683">
      <c r="X683" s="15" t="n"/>
      <c r="Y683" s="15">
        <f>IF($X683="","",SUMIFS(TARIFF_PROFILES!$D:$D,TARIFF_PROFILES!$A:$A,$X683))</f>
        <v/>
      </c>
      <c r="Z683" s="15">
        <f>IF($X683="","",SUMIFS(TARIFF_PROFILES!$E:$E,TARIFF_PROFILES!$A:$A,$X683))</f>
        <v/>
      </c>
      <c r="AA683" s="15">
        <f>IF($X683="","",SUMIFS(TARIFF_PROFILES!$F:$F,TARIFF_PROFILES!$A:$A,$X683))</f>
        <v/>
      </c>
      <c r="AB683" s="15">
        <f>IF($X683="","",SUMIFS(TARIFF_PROFILES!$G:$G,TARIFF_PROFILES!$A:$A,$X683))</f>
        <v/>
      </c>
      <c r="AC683" s="15">
        <f>IF($X683="","",SUMIFS(TARIFF_PROFILES!$H:$H,TARIFF_PROFILES!$A:$A,$X683))</f>
        <v/>
      </c>
      <c r="AD683" s="15">
        <f>IF($X683="","",INDEX(TARIFF_PROFILES!$J:$J,MATCH($X683,TARIFF_PROFILES!$A:$A,0)))</f>
        <v/>
      </c>
      <c r="AE683" s="15">
        <f>IF($X683="","",INDEX(TARIFF_PROFILES!$K:$K,MATCH($X683,TARIFF_PROFILES!$A:$A,0)))</f>
        <v/>
      </c>
      <c r="AH683">
        <f>IF($AG683="","",SUMIFS(OPERATING_COEFFS!$C:$C,OPERATING_COEFFS!$A:$A,"DistanceClass",OPERATING_COEFFS!$B:$B,$AG683))</f>
        <v/>
      </c>
      <c r="AJ683">
        <f>IF($AI683="","",SUMIFS(OPERATING_COEFFS!$C:$C,OPERATING_COEFFS!$A:$A,"SeasonClass",OPERATING_COEFFS!$B:$B,$AI683))</f>
        <v/>
      </c>
      <c r="AL683">
        <f>IF($AK683="","",SUMIFS(OPERATING_COEFFS!$C:$C,OPERATING_COEFFS!$A:$A,"UrgencyClass",OPERATING_COEFFS!$B:$B,$AK683))</f>
        <v/>
      </c>
      <c r="AN683">
        <f>IF($AM683="","",INDEX(TAX_MODES!$B:$B,MATCH($AM683,TAX_MODES!$A:$A,0)))</f>
        <v/>
      </c>
    </row>
    <row r="684">
      <c r="X684" s="15" t="n"/>
      <c r="Y684" s="15">
        <f>IF($X684="","",SUMIFS(TARIFF_PROFILES!$D:$D,TARIFF_PROFILES!$A:$A,$X684))</f>
        <v/>
      </c>
      <c r="Z684" s="15">
        <f>IF($X684="","",SUMIFS(TARIFF_PROFILES!$E:$E,TARIFF_PROFILES!$A:$A,$X684))</f>
        <v/>
      </c>
      <c r="AA684" s="15">
        <f>IF($X684="","",SUMIFS(TARIFF_PROFILES!$F:$F,TARIFF_PROFILES!$A:$A,$X684))</f>
        <v/>
      </c>
      <c r="AB684" s="15">
        <f>IF($X684="","",SUMIFS(TARIFF_PROFILES!$G:$G,TARIFF_PROFILES!$A:$A,$X684))</f>
        <v/>
      </c>
      <c r="AC684" s="15">
        <f>IF($X684="","",SUMIFS(TARIFF_PROFILES!$H:$H,TARIFF_PROFILES!$A:$A,$X684))</f>
        <v/>
      </c>
      <c r="AD684" s="15">
        <f>IF($X684="","",INDEX(TARIFF_PROFILES!$J:$J,MATCH($X684,TARIFF_PROFILES!$A:$A,0)))</f>
        <v/>
      </c>
      <c r="AE684" s="15">
        <f>IF($X684="","",INDEX(TARIFF_PROFILES!$K:$K,MATCH($X684,TARIFF_PROFILES!$A:$A,0)))</f>
        <v/>
      </c>
      <c r="AH684">
        <f>IF($AG684="","",SUMIFS(OPERATING_COEFFS!$C:$C,OPERATING_COEFFS!$A:$A,"DistanceClass",OPERATING_COEFFS!$B:$B,$AG684))</f>
        <v/>
      </c>
      <c r="AJ684">
        <f>IF($AI684="","",SUMIFS(OPERATING_COEFFS!$C:$C,OPERATING_COEFFS!$A:$A,"SeasonClass",OPERATING_COEFFS!$B:$B,$AI684))</f>
        <v/>
      </c>
      <c r="AL684">
        <f>IF($AK684="","",SUMIFS(OPERATING_COEFFS!$C:$C,OPERATING_COEFFS!$A:$A,"UrgencyClass",OPERATING_COEFFS!$B:$B,$AK684))</f>
        <v/>
      </c>
      <c r="AN684">
        <f>IF($AM684="","",INDEX(TAX_MODES!$B:$B,MATCH($AM684,TAX_MODES!$A:$A,0)))</f>
        <v/>
      </c>
    </row>
    <row r="685">
      <c r="X685" s="15" t="n"/>
      <c r="Y685" s="15">
        <f>IF($X685="","",SUMIFS(TARIFF_PROFILES!$D:$D,TARIFF_PROFILES!$A:$A,$X685))</f>
        <v/>
      </c>
      <c r="Z685" s="15">
        <f>IF($X685="","",SUMIFS(TARIFF_PROFILES!$E:$E,TARIFF_PROFILES!$A:$A,$X685))</f>
        <v/>
      </c>
      <c r="AA685" s="15">
        <f>IF($X685="","",SUMIFS(TARIFF_PROFILES!$F:$F,TARIFF_PROFILES!$A:$A,$X685))</f>
        <v/>
      </c>
      <c r="AB685" s="15">
        <f>IF($X685="","",SUMIFS(TARIFF_PROFILES!$G:$G,TARIFF_PROFILES!$A:$A,$X685))</f>
        <v/>
      </c>
      <c r="AC685" s="15">
        <f>IF($X685="","",SUMIFS(TARIFF_PROFILES!$H:$H,TARIFF_PROFILES!$A:$A,$X685))</f>
        <v/>
      </c>
      <c r="AD685" s="15">
        <f>IF($X685="","",INDEX(TARIFF_PROFILES!$J:$J,MATCH($X685,TARIFF_PROFILES!$A:$A,0)))</f>
        <v/>
      </c>
      <c r="AE685" s="15">
        <f>IF($X685="","",INDEX(TARIFF_PROFILES!$K:$K,MATCH($X685,TARIFF_PROFILES!$A:$A,0)))</f>
        <v/>
      </c>
      <c r="AH685">
        <f>IF($AG685="","",SUMIFS(OPERATING_COEFFS!$C:$C,OPERATING_COEFFS!$A:$A,"DistanceClass",OPERATING_COEFFS!$B:$B,$AG685))</f>
        <v/>
      </c>
      <c r="AJ685">
        <f>IF($AI685="","",SUMIFS(OPERATING_COEFFS!$C:$C,OPERATING_COEFFS!$A:$A,"SeasonClass",OPERATING_COEFFS!$B:$B,$AI685))</f>
        <v/>
      </c>
      <c r="AL685">
        <f>IF($AK685="","",SUMIFS(OPERATING_COEFFS!$C:$C,OPERATING_COEFFS!$A:$A,"UrgencyClass",OPERATING_COEFFS!$B:$B,$AK685))</f>
        <v/>
      </c>
      <c r="AN685">
        <f>IF($AM685="","",INDEX(TAX_MODES!$B:$B,MATCH($AM685,TAX_MODES!$A:$A,0)))</f>
        <v/>
      </c>
    </row>
    <row r="686">
      <c r="X686" s="15" t="n"/>
      <c r="Y686" s="15">
        <f>IF($X686="","",SUMIFS(TARIFF_PROFILES!$D:$D,TARIFF_PROFILES!$A:$A,$X686))</f>
        <v/>
      </c>
      <c r="Z686" s="15">
        <f>IF($X686="","",SUMIFS(TARIFF_PROFILES!$E:$E,TARIFF_PROFILES!$A:$A,$X686))</f>
        <v/>
      </c>
      <c r="AA686" s="15">
        <f>IF($X686="","",SUMIFS(TARIFF_PROFILES!$F:$F,TARIFF_PROFILES!$A:$A,$X686))</f>
        <v/>
      </c>
      <c r="AB686" s="15">
        <f>IF($X686="","",SUMIFS(TARIFF_PROFILES!$G:$G,TARIFF_PROFILES!$A:$A,$X686))</f>
        <v/>
      </c>
      <c r="AC686" s="15">
        <f>IF($X686="","",SUMIFS(TARIFF_PROFILES!$H:$H,TARIFF_PROFILES!$A:$A,$X686))</f>
        <v/>
      </c>
      <c r="AD686" s="15">
        <f>IF($X686="","",INDEX(TARIFF_PROFILES!$J:$J,MATCH($X686,TARIFF_PROFILES!$A:$A,0)))</f>
        <v/>
      </c>
      <c r="AE686" s="15">
        <f>IF($X686="","",INDEX(TARIFF_PROFILES!$K:$K,MATCH($X686,TARIFF_PROFILES!$A:$A,0)))</f>
        <v/>
      </c>
      <c r="AH686">
        <f>IF($AG686="","",SUMIFS(OPERATING_COEFFS!$C:$C,OPERATING_COEFFS!$A:$A,"DistanceClass",OPERATING_COEFFS!$B:$B,$AG686))</f>
        <v/>
      </c>
      <c r="AJ686">
        <f>IF($AI686="","",SUMIFS(OPERATING_COEFFS!$C:$C,OPERATING_COEFFS!$A:$A,"SeasonClass",OPERATING_COEFFS!$B:$B,$AI686))</f>
        <v/>
      </c>
      <c r="AL686">
        <f>IF($AK686="","",SUMIFS(OPERATING_COEFFS!$C:$C,OPERATING_COEFFS!$A:$A,"UrgencyClass",OPERATING_COEFFS!$B:$B,$AK686))</f>
        <v/>
      </c>
      <c r="AN686">
        <f>IF($AM686="","",INDEX(TAX_MODES!$B:$B,MATCH($AM686,TAX_MODES!$A:$A,0)))</f>
        <v/>
      </c>
    </row>
    <row r="687">
      <c r="X687" s="15" t="n"/>
      <c r="Y687" s="15">
        <f>IF($X687="","",SUMIFS(TARIFF_PROFILES!$D:$D,TARIFF_PROFILES!$A:$A,$X687))</f>
        <v/>
      </c>
      <c r="Z687" s="15">
        <f>IF($X687="","",SUMIFS(TARIFF_PROFILES!$E:$E,TARIFF_PROFILES!$A:$A,$X687))</f>
        <v/>
      </c>
      <c r="AA687" s="15">
        <f>IF($X687="","",SUMIFS(TARIFF_PROFILES!$F:$F,TARIFF_PROFILES!$A:$A,$X687))</f>
        <v/>
      </c>
      <c r="AB687" s="15">
        <f>IF($X687="","",SUMIFS(TARIFF_PROFILES!$G:$G,TARIFF_PROFILES!$A:$A,$X687))</f>
        <v/>
      </c>
      <c r="AC687" s="15">
        <f>IF($X687="","",SUMIFS(TARIFF_PROFILES!$H:$H,TARIFF_PROFILES!$A:$A,$X687))</f>
        <v/>
      </c>
      <c r="AD687" s="15">
        <f>IF($X687="","",INDEX(TARIFF_PROFILES!$J:$J,MATCH($X687,TARIFF_PROFILES!$A:$A,0)))</f>
        <v/>
      </c>
      <c r="AE687" s="15">
        <f>IF($X687="","",INDEX(TARIFF_PROFILES!$K:$K,MATCH($X687,TARIFF_PROFILES!$A:$A,0)))</f>
        <v/>
      </c>
      <c r="AH687">
        <f>IF($AG687="","",SUMIFS(OPERATING_COEFFS!$C:$C,OPERATING_COEFFS!$A:$A,"DistanceClass",OPERATING_COEFFS!$B:$B,$AG687))</f>
        <v/>
      </c>
      <c r="AJ687">
        <f>IF($AI687="","",SUMIFS(OPERATING_COEFFS!$C:$C,OPERATING_COEFFS!$A:$A,"SeasonClass",OPERATING_COEFFS!$B:$B,$AI687))</f>
        <v/>
      </c>
      <c r="AL687">
        <f>IF($AK687="","",SUMIFS(OPERATING_COEFFS!$C:$C,OPERATING_COEFFS!$A:$A,"UrgencyClass",OPERATING_COEFFS!$B:$B,$AK687))</f>
        <v/>
      </c>
      <c r="AN687">
        <f>IF($AM687="","",INDEX(TAX_MODES!$B:$B,MATCH($AM687,TAX_MODES!$A:$A,0)))</f>
        <v/>
      </c>
    </row>
    <row r="688">
      <c r="X688" s="15" t="n"/>
      <c r="Y688" s="15">
        <f>IF($X688="","",SUMIFS(TARIFF_PROFILES!$D:$D,TARIFF_PROFILES!$A:$A,$X688))</f>
        <v/>
      </c>
      <c r="Z688" s="15">
        <f>IF($X688="","",SUMIFS(TARIFF_PROFILES!$E:$E,TARIFF_PROFILES!$A:$A,$X688))</f>
        <v/>
      </c>
      <c r="AA688" s="15">
        <f>IF($X688="","",SUMIFS(TARIFF_PROFILES!$F:$F,TARIFF_PROFILES!$A:$A,$X688))</f>
        <v/>
      </c>
      <c r="AB688" s="15">
        <f>IF($X688="","",SUMIFS(TARIFF_PROFILES!$G:$G,TARIFF_PROFILES!$A:$A,$X688))</f>
        <v/>
      </c>
      <c r="AC688" s="15">
        <f>IF($X688="","",SUMIFS(TARIFF_PROFILES!$H:$H,TARIFF_PROFILES!$A:$A,$X688))</f>
        <v/>
      </c>
      <c r="AD688" s="15">
        <f>IF($X688="","",INDEX(TARIFF_PROFILES!$J:$J,MATCH($X688,TARIFF_PROFILES!$A:$A,0)))</f>
        <v/>
      </c>
      <c r="AE688" s="15">
        <f>IF($X688="","",INDEX(TARIFF_PROFILES!$K:$K,MATCH($X688,TARIFF_PROFILES!$A:$A,0)))</f>
        <v/>
      </c>
      <c r="AH688">
        <f>IF($AG688="","",SUMIFS(OPERATING_COEFFS!$C:$C,OPERATING_COEFFS!$A:$A,"DistanceClass",OPERATING_COEFFS!$B:$B,$AG688))</f>
        <v/>
      </c>
      <c r="AJ688">
        <f>IF($AI688="","",SUMIFS(OPERATING_COEFFS!$C:$C,OPERATING_COEFFS!$A:$A,"SeasonClass",OPERATING_COEFFS!$B:$B,$AI688))</f>
        <v/>
      </c>
      <c r="AL688">
        <f>IF($AK688="","",SUMIFS(OPERATING_COEFFS!$C:$C,OPERATING_COEFFS!$A:$A,"UrgencyClass",OPERATING_COEFFS!$B:$B,$AK688))</f>
        <v/>
      </c>
      <c r="AN688">
        <f>IF($AM688="","",INDEX(TAX_MODES!$B:$B,MATCH($AM688,TAX_MODES!$A:$A,0)))</f>
        <v/>
      </c>
    </row>
    <row r="689">
      <c r="X689" s="15" t="n"/>
      <c r="Y689" s="15">
        <f>IF($X689="","",SUMIFS(TARIFF_PROFILES!$D:$D,TARIFF_PROFILES!$A:$A,$X689))</f>
        <v/>
      </c>
      <c r="Z689" s="15">
        <f>IF($X689="","",SUMIFS(TARIFF_PROFILES!$E:$E,TARIFF_PROFILES!$A:$A,$X689))</f>
        <v/>
      </c>
      <c r="AA689" s="15">
        <f>IF($X689="","",SUMIFS(TARIFF_PROFILES!$F:$F,TARIFF_PROFILES!$A:$A,$X689))</f>
        <v/>
      </c>
      <c r="AB689" s="15">
        <f>IF($X689="","",SUMIFS(TARIFF_PROFILES!$G:$G,TARIFF_PROFILES!$A:$A,$X689))</f>
        <v/>
      </c>
      <c r="AC689" s="15">
        <f>IF($X689="","",SUMIFS(TARIFF_PROFILES!$H:$H,TARIFF_PROFILES!$A:$A,$X689))</f>
        <v/>
      </c>
      <c r="AD689" s="15">
        <f>IF($X689="","",INDEX(TARIFF_PROFILES!$J:$J,MATCH($X689,TARIFF_PROFILES!$A:$A,0)))</f>
        <v/>
      </c>
      <c r="AE689" s="15">
        <f>IF($X689="","",INDEX(TARIFF_PROFILES!$K:$K,MATCH($X689,TARIFF_PROFILES!$A:$A,0)))</f>
        <v/>
      </c>
      <c r="AH689">
        <f>IF($AG689="","",SUMIFS(OPERATING_COEFFS!$C:$C,OPERATING_COEFFS!$A:$A,"DistanceClass",OPERATING_COEFFS!$B:$B,$AG689))</f>
        <v/>
      </c>
      <c r="AJ689">
        <f>IF($AI689="","",SUMIFS(OPERATING_COEFFS!$C:$C,OPERATING_COEFFS!$A:$A,"SeasonClass",OPERATING_COEFFS!$B:$B,$AI689))</f>
        <v/>
      </c>
      <c r="AL689">
        <f>IF($AK689="","",SUMIFS(OPERATING_COEFFS!$C:$C,OPERATING_COEFFS!$A:$A,"UrgencyClass",OPERATING_COEFFS!$B:$B,$AK689))</f>
        <v/>
      </c>
      <c r="AN689">
        <f>IF($AM689="","",INDEX(TAX_MODES!$B:$B,MATCH($AM689,TAX_MODES!$A:$A,0)))</f>
        <v/>
      </c>
    </row>
    <row r="690">
      <c r="X690" s="15" t="n"/>
      <c r="Y690" s="15">
        <f>IF($X690="","",SUMIFS(TARIFF_PROFILES!$D:$D,TARIFF_PROFILES!$A:$A,$X690))</f>
        <v/>
      </c>
      <c r="Z690" s="15">
        <f>IF($X690="","",SUMIFS(TARIFF_PROFILES!$E:$E,TARIFF_PROFILES!$A:$A,$X690))</f>
        <v/>
      </c>
      <c r="AA690" s="15">
        <f>IF($X690="","",SUMIFS(TARIFF_PROFILES!$F:$F,TARIFF_PROFILES!$A:$A,$X690))</f>
        <v/>
      </c>
      <c r="AB690" s="15">
        <f>IF($X690="","",SUMIFS(TARIFF_PROFILES!$G:$G,TARIFF_PROFILES!$A:$A,$X690))</f>
        <v/>
      </c>
      <c r="AC690" s="15">
        <f>IF($X690="","",SUMIFS(TARIFF_PROFILES!$H:$H,TARIFF_PROFILES!$A:$A,$X690))</f>
        <v/>
      </c>
      <c r="AD690" s="15">
        <f>IF($X690="","",INDEX(TARIFF_PROFILES!$J:$J,MATCH($X690,TARIFF_PROFILES!$A:$A,0)))</f>
        <v/>
      </c>
      <c r="AE690" s="15">
        <f>IF($X690="","",INDEX(TARIFF_PROFILES!$K:$K,MATCH($X690,TARIFF_PROFILES!$A:$A,0)))</f>
        <v/>
      </c>
      <c r="AH690">
        <f>IF($AG690="","",SUMIFS(OPERATING_COEFFS!$C:$C,OPERATING_COEFFS!$A:$A,"DistanceClass",OPERATING_COEFFS!$B:$B,$AG690))</f>
        <v/>
      </c>
      <c r="AJ690">
        <f>IF($AI690="","",SUMIFS(OPERATING_COEFFS!$C:$C,OPERATING_COEFFS!$A:$A,"SeasonClass",OPERATING_COEFFS!$B:$B,$AI690))</f>
        <v/>
      </c>
      <c r="AL690">
        <f>IF($AK690="","",SUMIFS(OPERATING_COEFFS!$C:$C,OPERATING_COEFFS!$A:$A,"UrgencyClass",OPERATING_COEFFS!$B:$B,$AK690))</f>
        <v/>
      </c>
      <c r="AN690">
        <f>IF($AM690="","",INDEX(TAX_MODES!$B:$B,MATCH($AM690,TAX_MODES!$A:$A,0)))</f>
        <v/>
      </c>
    </row>
    <row r="691">
      <c r="X691" s="15" t="n"/>
      <c r="Y691" s="15">
        <f>IF($X691="","",SUMIFS(TARIFF_PROFILES!$D:$D,TARIFF_PROFILES!$A:$A,$X691))</f>
        <v/>
      </c>
      <c r="Z691" s="15">
        <f>IF($X691="","",SUMIFS(TARIFF_PROFILES!$E:$E,TARIFF_PROFILES!$A:$A,$X691))</f>
        <v/>
      </c>
      <c r="AA691" s="15">
        <f>IF($X691="","",SUMIFS(TARIFF_PROFILES!$F:$F,TARIFF_PROFILES!$A:$A,$X691))</f>
        <v/>
      </c>
      <c r="AB691" s="15">
        <f>IF($X691="","",SUMIFS(TARIFF_PROFILES!$G:$G,TARIFF_PROFILES!$A:$A,$X691))</f>
        <v/>
      </c>
      <c r="AC691" s="15">
        <f>IF($X691="","",SUMIFS(TARIFF_PROFILES!$H:$H,TARIFF_PROFILES!$A:$A,$X691))</f>
        <v/>
      </c>
      <c r="AD691" s="15">
        <f>IF($X691="","",INDEX(TARIFF_PROFILES!$J:$J,MATCH($X691,TARIFF_PROFILES!$A:$A,0)))</f>
        <v/>
      </c>
      <c r="AE691" s="15">
        <f>IF($X691="","",INDEX(TARIFF_PROFILES!$K:$K,MATCH($X691,TARIFF_PROFILES!$A:$A,0)))</f>
        <v/>
      </c>
      <c r="AH691">
        <f>IF($AG691="","",SUMIFS(OPERATING_COEFFS!$C:$C,OPERATING_COEFFS!$A:$A,"DistanceClass",OPERATING_COEFFS!$B:$B,$AG691))</f>
        <v/>
      </c>
      <c r="AJ691">
        <f>IF($AI691="","",SUMIFS(OPERATING_COEFFS!$C:$C,OPERATING_COEFFS!$A:$A,"SeasonClass",OPERATING_COEFFS!$B:$B,$AI691))</f>
        <v/>
      </c>
      <c r="AL691">
        <f>IF($AK691="","",SUMIFS(OPERATING_COEFFS!$C:$C,OPERATING_COEFFS!$A:$A,"UrgencyClass",OPERATING_COEFFS!$B:$B,$AK691))</f>
        <v/>
      </c>
      <c r="AN691">
        <f>IF($AM691="","",INDEX(TAX_MODES!$B:$B,MATCH($AM691,TAX_MODES!$A:$A,0)))</f>
        <v/>
      </c>
    </row>
    <row r="692">
      <c r="X692" s="15" t="n"/>
      <c r="Y692" s="15">
        <f>IF($X692="","",SUMIFS(TARIFF_PROFILES!$D:$D,TARIFF_PROFILES!$A:$A,$X692))</f>
        <v/>
      </c>
      <c r="Z692" s="15">
        <f>IF($X692="","",SUMIFS(TARIFF_PROFILES!$E:$E,TARIFF_PROFILES!$A:$A,$X692))</f>
        <v/>
      </c>
      <c r="AA692" s="15">
        <f>IF($X692="","",SUMIFS(TARIFF_PROFILES!$F:$F,TARIFF_PROFILES!$A:$A,$X692))</f>
        <v/>
      </c>
      <c r="AB692" s="15">
        <f>IF($X692="","",SUMIFS(TARIFF_PROFILES!$G:$G,TARIFF_PROFILES!$A:$A,$X692))</f>
        <v/>
      </c>
      <c r="AC692" s="15">
        <f>IF($X692="","",SUMIFS(TARIFF_PROFILES!$H:$H,TARIFF_PROFILES!$A:$A,$X692))</f>
        <v/>
      </c>
      <c r="AD692" s="15">
        <f>IF($X692="","",INDEX(TARIFF_PROFILES!$J:$J,MATCH($X692,TARIFF_PROFILES!$A:$A,0)))</f>
        <v/>
      </c>
      <c r="AE692" s="15">
        <f>IF($X692="","",INDEX(TARIFF_PROFILES!$K:$K,MATCH($X692,TARIFF_PROFILES!$A:$A,0)))</f>
        <v/>
      </c>
      <c r="AH692">
        <f>IF($AG692="","",SUMIFS(OPERATING_COEFFS!$C:$C,OPERATING_COEFFS!$A:$A,"DistanceClass",OPERATING_COEFFS!$B:$B,$AG692))</f>
        <v/>
      </c>
      <c r="AJ692">
        <f>IF($AI692="","",SUMIFS(OPERATING_COEFFS!$C:$C,OPERATING_COEFFS!$A:$A,"SeasonClass",OPERATING_COEFFS!$B:$B,$AI692))</f>
        <v/>
      </c>
      <c r="AL692">
        <f>IF($AK692="","",SUMIFS(OPERATING_COEFFS!$C:$C,OPERATING_COEFFS!$A:$A,"UrgencyClass",OPERATING_COEFFS!$B:$B,$AK692))</f>
        <v/>
      </c>
      <c r="AN692">
        <f>IF($AM692="","",INDEX(TAX_MODES!$B:$B,MATCH($AM692,TAX_MODES!$A:$A,0)))</f>
        <v/>
      </c>
    </row>
    <row r="693">
      <c r="X693" s="15" t="n"/>
      <c r="Y693" s="15">
        <f>IF($X693="","",SUMIFS(TARIFF_PROFILES!$D:$D,TARIFF_PROFILES!$A:$A,$X693))</f>
        <v/>
      </c>
      <c r="Z693" s="15">
        <f>IF($X693="","",SUMIFS(TARIFF_PROFILES!$E:$E,TARIFF_PROFILES!$A:$A,$X693))</f>
        <v/>
      </c>
      <c r="AA693" s="15">
        <f>IF($X693="","",SUMIFS(TARIFF_PROFILES!$F:$F,TARIFF_PROFILES!$A:$A,$X693))</f>
        <v/>
      </c>
      <c r="AB693" s="15">
        <f>IF($X693="","",SUMIFS(TARIFF_PROFILES!$G:$G,TARIFF_PROFILES!$A:$A,$X693))</f>
        <v/>
      </c>
      <c r="AC693" s="15">
        <f>IF($X693="","",SUMIFS(TARIFF_PROFILES!$H:$H,TARIFF_PROFILES!$A:$A,$X693))</f>
        <v/>
      </c>
      <c r="AD693" s="15">
        <f>IF($X693="","",INDEX(TARIFF_PROFILES!$J:$J,MATCH($X693,TARIFF_PROFILES!$A:$A,0)))</f>
        <v/>
      </c>
      <c r="AE693" s="15">
        <f>IF($X693="","",INDEX(TARIFF_PROFILES!$K:$K,MATCH($X693,TARIFF_PROFILES!$A:$A,0)))</f>
        <v/>
      </c>
      <c r="AH693">
        <f>IF($AG693="","",SUMIFS(OPERATING_COEFFS!$C:$C,OPERATING_COEFFS!$A:$A,"DistanceClass",OPERATING_COEFFS!$B:$B,$AG693))</f>
        <v/>
      </c>
      <c r="AJ693">
        <f>IF($AI693="","",SUMIFS(OPERATING_COEFFS!$C:$C,OPERATING_COEFFS!$A:$A,"SeasonClass",OPERATING_COEFFS!$B:$B,$AI693))</f>
        <v/>
      </c>
      <c r="AL693">
        <f>IF($AK693="","",SUMIFS(OPERATING_COEFFS!$C:$C,OPERATING_COEFFS!$A:$A,"UrgencyClass",OPERATING_COEFFS!$B:$B,$AK693))</f>
        <v/>
      </c>
      <c r="AN693">
        <f>IF($AM693="","",INDEX(TAX_MODES!$B:$B,MATCH($AM693,TAX_MODES!$A:$A,0)))</f>
        <v/>
      </c>
    </row>
    <row r="694">
      <c r="X694" s="15" t="n"/>
      <c r="Y694" s="15">
        <f>IF($X694="","",SUMIFS(TARIFF_PROFILES!$D:$D,TARIFF_PROFILES!$A:$A,$X694))</f>
        <v/>
      </c>
      <c r="Z694" s="15">
        <f>IF($X694="","",SUMIFS(TARIFF_PROFILES!$E:$E,TARIFF_PROFILES!$A:$A,$X694))</f>
        <v/>
      </c>
      <c r="AA694" s="15">
        <f>IF($X694="","",SUMIFS(TARIFF_PROFILES!$F:$F,TARIFF_PROFILES!$A:$A,$X694))</f>
        <v/>
      </c>
      <c r="AB694" s="15">
        <f>IF($X694="","",SUMIFS(TARIFF_PROFILES!$G:$G,TARIFF_PROFILES!$A:$A,$X694))</f>
        <v/>
      </c>
      <c r="AC694" s="15">
        <f>IF($X694="","",SUMIFS(TARIFF_PROFILES!$H:$H,TARIFF_PROFILES!$A:$A,$X694))</f>
        <v/>
      </c>
      <c r="AD694" s="15">
        <f>IF($X694="","",INDEX(TARIFF_PROFILES!$J:$J,MATCH($X694,TARIFF_PROFILES!$A:$A,0)))</f>
        <v/>
      </c>
      <c r="AE694" s="15">
        <f>IF($X694="","",INDEX(TARIFF_PROFILES!$K:$K,MATCH($X694,TARIFF_PROFILES!$A:$A,0)))</f>
        <v/>
      </c>
      <c r="AH694">
        <f>IF($AG694="","",SUMIFS(OPERATING_COEFFS!$C:$C,OPERATING_COEFFS!$A:$A,"DistanceClass",OPERATING_COEFFS!$B:$B,$AG694))</f>
        <v/>
      </c>
      <c r="AJ694">
        <f>IF($AI694="","",SUMIFS(OPERATING_COEFFS!$C:$C,OPERATING_COEFFS!$A:$A,"SeasonClass",OPERATING_COEFFS!$B:$B,$AI694))</f>
        <v/>
      </c>
      <c r="AL694">
        <f>IF($AK694="","",SUMIFS(OPERATING_COEFFS!$C:$C,OPERATING_COEFFS!$A:$A,"UrgencyClass",OPERATING_COEFFS!$B:$B,$AK694))</f>
        <v/>
      </c>
      <c r="AN694">
        <f>IF($AM694="","",INDEX(TAX_MODES!$B:$B,MATCH($AM694,TAX_MODES!$A:$A,0)))</f>
        <v/>
      </c>
    </row>
    <row r="695">
      <c r="X695" s="15" t="n"/>
      <c r="Y695" s="15">
        <f>IF($X695="","",SUMIFS(TARIFF_PROFILES!$D:$D,TARIFF_PROFILES!$A:$A,$X695))</f>
        <v/>
      </c>
      <c r="Z695" s="15">
        <f>IF($X695="","",SUMIFS(TARIFF_PROFILES!$E:$E,TARIFF_PROFILES!$A:$A,$X695))</f>
        <v/>
      </c>
      <c r="AA695" s="15">
        <f>IF($X695="","",SUMIFS(TARIFF_PROFILES!$F:$F,TARIFF_PROFILES!$A:$A,$X695))</f>
        <v/>
      </c>
      <c r="AB695" s="15">
        <f>IF($X695="","",SUMIFS(TARIFF_PROFILES!$G:$G,TARIFF_PROFILES!$A:$A,$X695))</f>
        <v/>
      </c>
      <c r="AC695" s="15">
        <f>IF($X695="","",SUMIFS(TARIFF_PROFILES!$H:$H,TARIFF_PROFILES!$A:$A,$X695))</f>
        <v/>
      </c>
      <c r="AD695" s="15">
        <f>IF($X695="","",INDEX(TARIFF_PROFILES!$J:$J,MATCH($X695,TARIFF_PROFILES!$A:$A,0)))</f>
        <v/>
      </c>
      <c r="AE695" s="15">
        <f>IF($X695="","",INDEX(TARIFF_PROFILES!$K:$K,MATCH($X695,TARIFF_PROFILES!$A:$A,0)))</f>
        <v/>
      </c>
      <c r="AH695">
        <f>IF($AG695="","",SUMIFS(OPERATING_COEFFS!$C:$C,OPERATING_COEFFS!$A:$A,"DistanceClass",OPERATING_COEFFS!$B:$B,$AG695))</f>
        <v/>
      </c>
      <c r="AJ695">
        <f>IF($AI695="","",SUMIFS(OPERATING_COEFFS!$C:$C,OPERATING_COEFFS!$A:$A,"SeasonClass",OPERATING_COEFFS!$B:$B,$AI695))</f>
        <v/>
      </c>
      <c r="AL695">
        <f>IF($AK695="","",SUMIFS(OPERATING_COEFFS!$C:$C,OPERATING_COEFFS!$A:$A,"UrgencyClass",OPERATING_COEFFS!$B:$B,$AK695))</f>
        <v/>
      </c>
      <c r="AN695">
        <f>IF($AM695="","",INDEX(TAX_MODES!$B:$B,MATCH($AM695,TAX_MODES!$A:$A,0)))</f>
        <v/>
      </c>
    </row>
    <row r="696">
      <c r="X696" s="15" t="n"/>
      <c r="Y696" s="15">
        <f>IF($X696="","",SUMIFS(TARIFF_PROFILES!$D:$D,TARIFF_PROFILES!$A:$A,$X696))</f>
        <v/>
      </c>
      <c r="Z696" s="15">
        <f>IF($X696="","",SUMIFS(TARIFF_PROFILES!$E:$E,TARIFF_PROFILES!$A:$A,$X696))</f>
        <v/>
      </c>
      <c r="AA696" s="15">
        <f>IF($X696="","",SUMIFS(TARIFF_PROFILES!$F:$F,TARIFF_PROFILES!$A:$A,$X696))</f>
        <v/>
      </c>
      <c r="AB696" s="15">
        <f>IF($X696="","",SUMIFS(TARIFF_PROFILES!$G:$G,TARIFF_PROFILES!$A:$A,$X696))</f>
        <v/>
      </c>
      <c r="AC696" s="15">
        <f>IF($X696="","",SUMIFS(TARIFF_PROFILES!$H:$H,TARIFF_PROFILES!$A:$A,$X696))</f>
        <v/>
      </c>
      <c r="AD696" s="15">
        <f>IF($X696="","",INDEX(TARIFF_PROFILES!$J:$J,MATCH($X696,TARIFF_PROFILES!$A:$A,0)))</f>
        <v/>
      </c>
      <c r="AE696" s="15">
        <f>IF($X696="","",INDEX(TARIFF_PROFILES!$K:$K,MATCH($X696,TARIFF_PROFILES!$A:$A,0)))</f>
        <v/>
      </c>
      <c r="AH696">
        <f>IF($AG696="","",SUMIFS(OPERATING_COEFFS!$C:$C,OPERATING_COEFFS!$A:$A,"DistanceClass",OPERATING_COEFFS!$B:$B,$AG696))</f>
        <v/>
      </c>
      <c r="AJ696">
        <f>IF($AI696="","",SUMIFS(OPERATING_COEFFS!$C:$C,OPERATING_COEFFS!$A:$A,"SeasonClass",OPERATING_COEFFS!$B:$B,$AI696))</f>
        <v/>
      </c>
      <c r="AL696">
        <f>IF($AK696="","",SUMIFS(OPERATING_COEFFS!$C:$C,OPERATING_COEFFS!$A:$A,"UrgencyClass",OPERATING_COEFFS!$B:$B,$AK696))</f>
        <v/>
      </c>
      <c r="AN696">
        <f>IF($AM696="","",INDEX(TAX_MODES!$B:$B,MATCH($AM696,TAX_MODES!$A:$A,0)))</f>
        <v/>
      </c>
    </row>
    <row r="697">
      <c r="X697" s="15" t="n"/>
      <c r="Y697" s="15">
        <f>IF($X697="","",SUMIFS(TARIFF_PROFILES!$D:$D,TARIFF_PROFILES!$A:$A,$X697))</f>
        <v/>
      </c>
      <c r="Z697" s="15">
        <f>IF($X697="","",SUMIFS(TARIFF_PROFILES!$E:$E,TARIFF_PROFILES!$A:$A,$X697))</f>
        <v/>
      </c>
      <c r="AA697" s="15">
        <f>IF($X697="","",SUMIFS(TARIFF_PROFILES!$F:$F,TARIFF_PROFILES!$A:$A,$X697))</f>
        <v/>
      </c>
      <c r="AB697" s="15">
        <f>IF($X697="","",SUMIFS(TARIFF_PROFILES!$G:$G,TARIFF_PROFILES!$A:$A,$X697))</f>
        <v/>
      </c>
      <c r="AC697" s="15">
        <f>IF($X697="","",SUMIFS(TARIFF_PROFILES!$H:$H,TARIFF_PROFILES!$A:$A,$X697))</f>
        <v/>
      </c>
      <c r="AD697" s="15">
        <f>IF($X697="","",INDEX(TARIFF_PROFILES!$J:$J,MATCH($X697,TARIFF_PROFILES!$A:$A,0)))</f>
        <v/>
      </c>
      <c r="AE697" s="15">
        <f>IF($X697="","",INDEX(TARIFF_PROFILES!$K:$K,MATCH($X697,TARIFF_PROFILES!$A:$A,0)))</f>
        <v/>
      </c>
      <c r="AH697">
        <f>IF($AG697="","",SUMIFS(OPERATING_COEFFS!$C:$C,OPERATING_COEFFS!$A:$A,"DistanceClass",OPERATING_COEFFS!$B:$B,$AG697))</f>
        <v/>
      </c>
      <c r="AJ697">
        <f>IF($AI697="","",SUMIFS(OPERATING_COEFFS!$C:$C,OPERATING_COEFFS!$A:$A,"SeasonClass",OPERATING_COEFFS!$B:$B,$AI697))</f>
        <v/>
      </c>
      <c r="AL697">
        <f>IF($AK697="","",SUMIFS(OPERATING_COEFFS!$C:$C,OPERATING_COEFFS!$A:$A,"UrgencyClass",OPERATING_COEFFS!$B:$B,$AK697))</f>
        <v/>
      </c>
      <c r="AN697">
        <f>IF($AM697="","",INDEX(TAX_MODES!$B:$B,MATCH($AM697,TAX_MODES!$A:$A,0)))</f>
        <v/>
      </c>
    </row>
    <row r="698">
      <c r="X698" s="15" t="n"/>
      <c r="Y698" s="15">
        <f>IF($X698="","",SUMIFS(TARIFF_PROFILES!$D:$D,TARIFF_PROFILES!$A:$A,$X698))</f>
        <v/>
      </c>
      <c r="Z698" s="15">
        <f>IF($X698="","",SUMIFS(TARIFF_PROFILES!$E:$E,TARIFF_PROFILES!$A:$A,$X698))</f>
        <v/>
      </c>
      <c r="AA698" s="15">
        <f>IF($X698="","",SUMIFS(TARIFF_PROFILES!$F:$F,TARIFF_PROFILES!$A:$A,$X698))</f>
        <v/>
      </c>
      <c r="AB698" s="15">
        <f>IF($X698="","",SUMIFS(TARIFF_PROFILES!$G:$G,TARIFF_PROFILES!$A:$A,$X698))</f>
        <v/>
      </c>
      <c r="AC698" s="15">
        <f>IF($X698="","",SUMIFS(TARIFF_PROFILES!$H:$H,TARIFF_PROFILES!$A:$A,$X698))</f>
        <v/>
      </c>
      <c r="AD698" s="15">
        <f>IF($X698="","",INDEX(TARIFF_PROFILES!$J:$J,MATCH($X698,TARIFF_PROFILES!$A:$A,0)))</f>
        <v/>
      </c>
      <c r="AE698" s="15">
        <f>IF($X698="","",INDEX(TARIFF_PROFILES!$K:$K,MATCH($X698,TARIFF_PROFILES!$A:$A,0)))</f>
        <v/>
      </c>
      <c r="AH698">
        <f>IF($AG698="","",SUMIFS(OPERATING_COEFFS!$C:$C,OPERATING_COEFFS!$A:$A,"DistanceClass",OPERATING_COEFFS!$B:$B,$AG698))</f>
        <v/>
      </c>
      <c r="AJ698">
        <f>IF($AI698="","",SUMIFS(OPERATING_COEFFS!$C:$C,OPERATING_COEFFS!$A:$A,"SeasonClass",OPERATING_COEFFS!$B:$B,$AI698))</f>
        <v/>
      </c>
      <c r="AL698">
        <f>IF($AK698="","",SUMIFS(OPERATING_COEFFS!$C:$C,OPERATING_COEFFS!$A:$A,"UrgencyClass",OPERATING_COEFFS!$B:$B,$AK698))</f>
        <v/>
      </c>
      <c r="AN698">
        <f>IF($AM698="","",INDEX(TAX_MODES!$B:$B,MATCH($AM698,TAX_MODES!$A:$A,0)))</f>
        <v/>
      </c>
    </row>
    <row r="699">
      <c r="X699" s="15" t="n"/>
      <c r="Y699" s="15">
        <f>IF($X699="","",SUMIFS(TARIFF_PROFILES!$D:$D,TARIFF_PROFILES!$A:$A,$X699))</f>
        <v/>
      </c>
      <c r="Z699" s="15">
        <f>IF($X699="","",SUMIFS(TARIFF_PROFILES!$E:$E,TARIFF_PROFILES!$A:$A,$X699))</f>
        <v/>
      </c>
      <c r="AA699" s="15">
        <f>IF($X699="","",SUMIFS(TARIFF_PROFILES!$F:$F,TARIFF_PROFILES!$A:$A,$X699))</f>
        <v/>
      </c>
      <c r="AB699" s="15">
        <f>IF($X699="","",SUMIFS(TARIFF_PROFILES!$G:$G,TARIFF_PROFILES!$A:$A,$X699))</f>
        <v/>
      </c>
      <c r="AC699" s="15">
        <f>IF($X699="","",SUMIFS(TARIFF_PROFILES!$H:$H,TARIFF_PROFILES!$A:$A,$X699))</f>
        <v/>
      </c>
      <c r="AD699" s="15">
        <f>IF($X699="","",INDEX(TARIFF_PROFILES!$J:$J,MATCH($X699,TARIFF_PROFILES!$A:$A,0)))</f>
        <v/>
      </c>
      <c r="AE699" s="15">
        <f>IF($X699="","",INDEX(TARIFF_PROFILES!$K:$K,MATCH($X699,TARIFF_PROFILES!$A:$A,0)))</f>
        <v/>
      </c>
      <c r="AH699">
        <f>IF($AG699="","",SUMIFS(OPERATING_COEFFS!$C:$C,OPERATING_COEFFS!$A:$A,"DistanceClass",OPERATING_COEFFS!$B:$B,$AG699))</f>
        <v/>
      </c>
      <c r="AJ699">
        <f>IF($AI699="","",SUMIFS(OPERATING_COEFFS!$C:$C,OPERATING_COEFFS!$A:$A,"SeasonClass",OPERATING_COEFFS!$B:$B,$AI699))</f>
        <v/>
      </c>
      <c r="AL699">
        <f>IF($AK699="","",SUMIFS(OPERATING_COEFFS!$C:$C,OPERATING_COEFFS!$A:$A,"UrgencyClass",OPERATING_COEFFS!$B:$B,$AK699))</f>
        <v/>
      </c>
      <c r="AN699">
        <f>IF($AM699="","",INDEX(TAX_MODES!$B:$B,MATCH($AM699,TAX_MODES!$A:$A,0)))</f>
        <v/>
      </c>
    </row>
    <row r="700">
      <c r="X700" s="15" t="n"/>
      <c r="Y700" s="15">
        <f>IF($X700="","",SUMIFS(TARIFF_PROFILES!$D:$D,TARIFF_PROFILES!$A:$A,$X700))</f>
        <v/>
      </c>
      <c r="Z700" s="15">
        <f>IF($X700="","",SUMIFS(TARIFF_PROFILES!$E:$E,TARIFF_PROFILES!$A:$A,$X700))</f>
        <v/>
      </c>
      <c r="AA700" s="15">
        <f>IF($X700="","",SUMIFS(TARIFF_PROFILES!$F:$F,TARIFF_PROFILES!$A:$A,$X700))</f>
        <v/>
      </c>
      <c r="AB700" s="15">
        <f>IF($X700="","",SUMIFS(TARIFF_PROFILES!$G:$G,TARIFF_PROFILES!$A:$A,$X700))</f>
        <v/>
      </c>
      <c r="AC700" s="15">
        <f>IF($X700="","",SUMIFS(TARIFF_PROFILES!$H:$H,TARIFF_PROFILES!$A:$A,$X700))</f>
        <v/>
      </c>
      <c r="AD700" s="15">
        <f>IF($X700="","",INDEX(TARIFF_PROFILES!$J:$J,MATCH($X700,TARIFF_PROFILES!$A:$A,0)))</f>
        <v/>
      </c>
      <c r="AE700" s="15">
        <f>IF($X700="","",INDEX(TARIFF_PROFILES!$K:$K,MATCH($X700,TARIFF_PROFILES!$A:$A,0)))</f>
        <v/>
      </c>
      <c r="AH700">
        <f>IF($AG700="","",SUMIFS(OPERATING_COEFFS!$C:$C,OPERATING_COEFFS!$A:$A,"DistanceClass",OPERATING_COEFFS!$B:$B,$AG700))</f>
        <v/>
      </c>
      <c r="AJ700">
        <f>IF($AI700="","",SUMIFS(OPERATING_COEFFS!$C:$C,OPERATING_COEFFS!$A:$A,"SeasonClass",OPERATING_COEFFS!$B:$B,$AI700))</f>
        <v/>
      </c>
      <c r="AL700">
        <f>IF($AK700="","",SUMIFS(OPERATING_COEFFS!$C:$C,OPERATING_COEFFS!$A:$A,"UrgencyClass",OPERATING_COEFFS!$B:$B,$AK700))</f>
        <v/>
      </c>
      <c r="AN700">
        <f>IF($AM700="","",INDEX(TAX_MODES!$B:$B,MATCH($AM700,TAX_MODES!$A:$A,0)))</f>
        <v/>
      </c>
    </row>
    <row r="701">
      <c r="X701" s="15" t="n"/>
      <c r="Y701" s="15">
        <f>IF($X701="","",SUMIFS(TARIFF_PROFILES!$D:$D,TARIFF_PROFILES!$A:$A,$X701))</f>
        <v/>
      </c>
      <c r="Z701" s="15">
        <f>IF($X701="","",SUMIFS(TARIFF_PROFILES!$E:$E,TARIFF_PROFILES!$A:$A,$X701))</f>
        <v/>
      </c>
      <c r="AA701" s="15">
        <f>IF($X701="","",SUMIFS(TARIFF_PROFILES!$F:$F,TARIFF_PROFILES!$A:$A,$X701))</f>
        <v/>
      </c>
      <c r="AB701" s="15">
        <f>IF($X701="","",SUMIFS(TARIFF_PROFILES!$G:$G,TARIFF_PROFILES!$A:$A,$X701))</f>
        <v/>
      </c>
      <c r="AC701" s="15">
        <f>IF($X701="","",SUMIFS(TARIFF_PROFILES!$H:$H,TARIFF_PROFILES!$A:$A,$X701))</f>
        <v/>
      </c>
      <c r="AD701" s="15">
        <f>IF($X701="","",INDEX(TARIFF_PROFILES!$J:$J,MATCH($X701,TARIFF_PROFILES!$A:$A,0)))</f>
        <v/>
      </c>
      <c r="AE701" s="15">
        <f>IF($X701="","",INDEX(TARIFF_PROFILES!$K:$K,MATCH($X701,TARIFF_PROFILES!$A:$A,0)))</f>
        <v/>
      </c>
      <c r="AH701">
        <f>IF($AG701="","",SUMIFS(OPERATING_COEFFS!$C:$C,OPERATING_COEFFS!$A:$A,"DistanceClass",OPERATING_COEFFS!$B:$B,$AG701))</f>
        <v/>
      </c>
      <c r="AJ701">
        <f>IF($AI701="","",SUMIFS(OPERATING_COEFFS!$C:$C,OPERATING_COEFFS!$A:$A,"SeasonClass",OPERATING_COEFFS!$B:$B,$AI701))</f>
        <v/>
      </c>
      <c r="AL701">
        <f>IF($AK701="","",SUMIFS(OPERATING_COEFFS!$C:$C,OPERATING_COEFFS!$A:$A,"UrgencyClass",OPERATING_COEFFS!$B:$B,$AK701))</f>
        <v/>
      </c>
      <c r="AN701">
        <f>IF($AM701="","",INDEX(TAX_MODES!$B:$B,MATCH($AM701,TAX_MODES!$A:$A,0)))</f>
        <v/>
      </c>
    </row>
    <row r="702">
      <c r="X702" s="15" t="n"/>
      <c r="Y702" s="15">
        <f>IF($X702="","",SUMIFS(TARIFF_PROFILES!$D:$D,TARIFF_PROFILES!$A:$A,$X702))</f>
        <v/>
      </c>
      <c r="Z702" s="15">
        <f>IF($X702="","",SUMIFS(TARIFF_PROFILES!$E:$E,TARIFF_PROFILES!$A:$A,$X702))</f>
        <v/>
      </c>
      <c r="AA702" s="15">
        <f>IF($X702="","",SUMIFS(TARIFF_PROFILES!$F:$F,TARIFF_PROFILES!$A:$A,$X702))</f>
        <v/>
      </c>
      <c r="AB702" s="15">
        <f>IF($X702="","",SUMIFS(TARIFF_PROFILES!$G:$G,TARIFF_PROFILES!$A:$A,$X702))</f>
        <v/>
      </c>
      <c r="AC702" s="15">
        <f>IF($X702="","",SUMIFS(TARIFF_PROFILES!$H:$H,TARIFF_PROFILES!$A:$A,$X702))</f>
        <v/>
      </c>
      <c r="AD702" s="15">
        <f>IF($X702="","",INDEX(TARIFF_PROFILES!$J:$J,MATCH($X702,TARIFF_PROFILES!$A:$A,0)))</f>
        <v/>
      </c>
      <c r="AE702" s="15">
        <f>IF($X702="","",INDEX(TARIFF_PROFILES!$K:$K,MATCH($X702,TARIFF_PROFILES!$A:$A,0)))</f>
        <v/>
      </c>
      <c r="AH702">
        <f>IF($AG702="","",SUMIFS(OPERATING_COEFFS!$C:$C,OPERATING_COEFFS!$A:$A,"DistanceClass",OPERATING_COEFFS!$B:$B,$AG702))</f>
        <v/>
      </c>
      <c r="AJ702">
        <f>IF($AI702="","",SUMIFS(OPERATING_COEFFS!$C:$C,OPERATING_COEFFS!$A:$A,"SeasonClass",OPERATING_COEFFS!$B:$B,$AI702))</f>
        <v/>
      </c>
      <c r="AL702">
        <f>IF($AK702="","",SUMIFS(OPERATING_COEFFS!$C:$C,OPERATING_COEFFS!$A:$A,"UrgencyClass",OPERATING_COEFFS!$B:$B,$AK702))</f>
        <v/>
      </c>
      <c r="AN702">
        <f>IF($AM702="","",INDEX(TAX_MODES!$B:$B,MATCH($AM702,TAX_MODES!$A:$A,0)))</f>
        <v/>
      </c>
    </row>
    <row r="703">
      <c r="X703" s="15" t="n"/>
      <c r="Y703" s="15">
        <f>IF($X703="","",SUMIFS(TARIFF_PROFILES!$D:$D,TARIFF_PROFILES!$A:$A,$X703))</f>
        <v/>
      </c>
      <c r="Z703" s="15">
        <f>IF($X703="","",SUMIFS(TARIFF_PROFILES!$E:$E,TARIFF_PROFILES!$A:$A,$X703))</f>
        <v/>
      </c>
      <c r="AA703" s="15">
        <f>IF($X703="","",SUMIFS(TARIFF_PROFILES!$F:$F,TARIFF_PROFILES!$A:$A,$X703))</f>
        <v/>
      </c>
      <c r="AB703" s="15">
        <f>IF($X703="","",SUMIFS(TARIFF_PROFILES!$G:$G,TARIFF_PROFILES!$A:$A,$X703))</f>
        <v/>
      </c>
      <c r="AC703" s="15">
        <f>IF($X703="","",SUMIFS(TARIFF_PROFILES!$H:$H,TARIFF_PROFILES!$A:$A,$X703))</f>
        <v/>
      </c>
      <c r="AD703" s="15">
        <f>IF($X703="","",INDEX(TARIFF_PROFILES!$J:$J,MATCH($X703,TARIFF_PROFILES!$A:$A,0)))</f>
        <v/>
      </c>
      <c r="AE703" s="15">
        <f>IF($X703="","",INDEX(TARIFF_PROFILES!$K:$K,MATCH($X703,TARIFF_PROFILES!$A:$A,0)))</f>
        <v/>
      </c>
      <c r="AH703">
        <f>IF($AG703="","",SUMIFS(OPERATING_COEFFS!$C:$C,OPERATING_COEFFS!$A:$A,"DistanceClass",OPERATING_COEFFS!$B:$B,$AG703))</f>
        <v/>
      </c>
      <c r="AJ703">
        <f>IF($AI703="","",SUMIFS(OPERATING_COEFFS!$C:$C,OPERATING_COEFFS!$A:$A,"SeasonClass",OPERATING_COEFFS!$B:$B,$AI703))</f>
        <v/>
      </c>
      <c r="AL703">
        <f>IF($AK703="","",SUMIFS(OPERATING_COEFFS!$C:$C,OPERATING_COEFFS!$A:$A,"UrgencyClass",OPERATING_COEFFS!$B:$B,$AK703))</f>
        <v/>
      </c>
      <c r="AN703">
        <f>IF($AM703="","",INDEX(TAX_MODES!$B:$B,MATCH($AM703,TAX_MODES!$A:$A,0)))</f>
        <v/>
      </c>
    </row>
    <row r="704">
      <c r="X704" s="15" t="n"/>
      <c r="Y704" s="15">
        <f>IF($X704="","",SUMIFS(TARIFF_PROFILES!$D:$D,TARIFF_PROFILES!$A:$A,$X704))</f>
        <v/>
      </c>
      <c r="Z704" s="15">
        <f>IF($X704="","",SUMIFS(TARIFF_PROFILES!$E:$E,TARIFF_PROFILES!$A:$A,$X704))</f>
        <v/>
      </c>
      <c r="AA704" s="15">
        <f>IF($X704="","",SUMIFS(TARIFF_PROFILES!$F:$F,TARIFF_PROFILES!$A:$A,$X704))</f>
        <v/>
      </c>
      <c r="AB704" s="15">
        <f>IF($X704="","",SUMIFS(TARIFF_PROFILES!$G:$G,TARIFF_PROFILES!$A:$A,$X704))</f>
        <v/>
      </c>
      <c r="AC704" s="15">
        <f>IF($X704="","",SUMIFS(TARIFF_PROFILES!$H:$H,TARIFF_PROFILES!$A:$A,$X704))</f>
        <v/>
      </c>
      <c r="AD704" s="15">
        <f>IF($X704="","",INDEX(TARIFF_PROFILES!$J:$J,MATCH($X704,TARIFF_PROFILES!$A:$A,0)))</f>
        <v/>
      </c>
      <c r="AE704" s="15">
        <f>IF($X704="","",INDEX(TARIFF_PROFILES!$K:$K,MATCH($X704,TARIFF_PROFILES!$A:$A,0)))</f>
        <v/>
      </c>
      <c r="AH704">
        <f>IF($AG704="","",SUMIFS(OPERATING_COEFFS!$C:$C,OPERATING_COEFFS!$A:$A,"DistanceClass",OPERATING_COEFFS!$B:$B,$AG704))</f>
        <v/>
      </c>
      <c r="AJ704">
        <f>IF($AI704="","",SUMIFS(OPERATING_COEFFS!$C:$C,OPERATING_COEFFS!$A:$A,"SeasonClass",OPERATING_COEFFS!$B:$B,$AI704))</f>
        <v/>
      </c>
      <c r="AL704">
        <f>IF($AK704="","",SUMIFS(OPERATING_COEFFS!$C:$C,OPERATING_COEFFS!$A:$A,"UrgencyClass",OPERATING_COEFFS!$B:$B,$AK704))</f>
        <v/>
      </c>
      <c r="AN704">
        <f>IF($AM704="","",INDEX(TAX_MODES!$B:$B,MATCH($AM704,TAX_MODES!$A:$A,0)))</f>
        <v/>
      </c>
    </row>
    <row r="705">
      <c r="X705" s="15" t="n"/>
      <c r="Y705" s="15">
        <f>IF($X705="","",SUMIFS(TARIFF_PROFILES!$D:$D,TARIFF_PROFILES!$A:$A,$X705))</f>
        <v/>
      </c>
      <c r="Z705" s="15">
        <f>IF($X705="","",SUMIFS(TARIFF_PROFILES!$E:$E,TARIFF_PROFILES!$A:$A,$X705))</f>
        <v/>
      </c>
      <c r="AA705" s="15">
        <f>IF($X705="","",SUMIFS(TARIFF_PROFILES!$F:$F,TARIFF_PROFILES!$A:$A,$X705))</f>
        <v/>
      </c>
      <c r="AB705" s="15">
        <f>IF($X705="","",SUMIFS(TARIFF_PROFILES!$G:$G,TARIFF_PROFILES!$A:$A,$X705))</f>
        <v/>
      </c>
      <c r="AC705" s="15">
        <f>IF($X705="","",SUMIFS(TARIFF_PROFILES!$H:$H,TARIFF_PROFILES!$A:$A,$X705))</f>
        <v/>
      </c>
      <c r="AD705" s="15">
        <f>IF($X705="","",INDEX(TARIFF_PROFILES!$J:$J,MATCH($X705,TARIFF_PROFILES!$A:$A,0)))</f>
        <v/>
      </c>
      <c r="AE705" s="15">
        <f>IF($X705="","",INDEX(TARIFF_PROFILES!$K:$K,MATCH($X705,TARIFF_PROFILES!$A:$A,0)))</f>
        <v/>
      </c>
      <c r="AH705">
        <f>IF($AG705="","",SUMIFS(OPERATING_COEFFS!$C:$C,OPERATING_COEFFS!$A:$A,"DistanceClass",OPERATING_COEFFS!$B:$B,$AG705))</f>
        <v/>
      </c>
      <c r="AJ705">
        <f>IF($AI705="","",SUMIFS(OPERATING_COEFFS!$C:$C,OPERATING_COEFFS!$A:$A,"SeasonClass",OPERATING_COEFFS!$B:$B,$AI705))</f>
        <v/>
      </c>
      <c r="AL705">
        <f>IF($AK705="","",SUMIFS(OPERATING_COEFFS!$C:$C,OPERATING_COEFFS!$A:$A,"UrgencyClass",OPERATING_COEFFS!$B:$B,$AK705))</f>
        <v/>
      </c>
      <c r="AN705">
        <f>IF($AM705="","",INDEX(TAX_MODES!$B:$B,MATCH($AM705,TAX_MODES!$A:$A,0)))</f>
        <v/>
      </c>
    </row>
    <row r="706">
      <c r="X706" s="15" t="n"/>
      <c r="Y706" s="15">
        <f>IF($X706="","",SUMIFS(TARIFF_PROFILES!$D:$D,TARIFF_PROFILES!$A:$A,$X706))</f>
        <v/>
      </c>
      <c r="Z706" s="15">
        <f>IF($X706="","",SUMIFS(TARIFF_PROFILES!$E:$E,TARIFF_PROFILES!$A:$A,$X706))</f>
        <v/>
      </c>
      <c r="AA706" s="15">
        <f>IF($X706="","",SUMIFS(TARIFF_PROFILES!$F:$F,TARIFF_PROFILES!$A:$A,$X706))</f>
        <v/>
      </c>
      <c r="AB706" s="15">
        <f>IF($X706="","",SUMIFS(TARIFF_PROFILES!$G:$G,TARIFF_PROFILES!$A:$A,$X706))</f>
        <v/>
      </c>
      <c r="AC706" s="15">
        <f>IF($X706="","",SUMIFS(TARIFF_PROFILES!$H:$H,TARIFF_PROFILES!$A:$A,$X706))</f>
        <v/>
      </c>
      <c r="AD706" s="15">
        <f>IF($X706="","",INDEX(TARIFF_PROFILES!$J:$J,MATCH($X706,TARIFF_PROFILES!$A:$A,0)))</f>
        <v/>
      </c>
      <c r="AE706" s="15">
        <f>IF($X706="","",INDEX(TARIFF_PROFILES!$K:$K,MATCH($X706,TARIFF_PROFILES!$A:$A,0)))</f>
        <v/>
      </c>
      <c r="AH706">
        <f>IF($AG706="","",SUMIFS(OPERATING_COEFFS!$C:$C,OPERATING_COEFFS!$A:$A,"DistanceClass",OPERATING_COEFFS!$B:$B,$AG706))</f>
        <v/>
      </c>
      <c r="AJ706">
        <f>IF($AI706="","",SUMIFS(OPERATING_COEFFS!$C:$C,OPERATING_COEFFS!$A:$A,"SeasonClass",OPERATING_COEFFS!$B:$B,$AI706))</f>
        <v/>
      </c>
      <c r="AL706">
        <f>IF($AK706="","",SUMIFS(OPERATING_COEFFS!$C:$C,OPERATING_COEFFS!$A:$A,"UrgencyClass",OPERATING_COEFFS!$B:$B,$AK706))</f>
        <v/>
      </c>
      <c r="AN706">
        <f>IF($AM706="","",INDEX(TAX_MODES!$B:$B,MATCH($AM706,TAX_MODES!$A:$A,0)))</f>
        <v/>
      </c>
    </row>
    <row r="707">
      <c r="X707" s="15" t="n"/>
      <c r="Y707" s="15">
        <f>IF($X707="","",SUMIFS(TARIFF_PROFILES!$D:$D,TARIFF_PROFILES!$A:$A,$X707))</f>
        <v/>
      </c>
      <c r="Z707" s="15">
        <f>IF($X707="","",SUMIFS(TARIFF_PROFILES!$E:$E,TARIFF_PROFILES!$A:$A,$X707))</f>
        <v/>
      </c>
      <c r="AA707" s="15">
        <f>IF($X707="","",SUMIFS(TARIFF_PROFILES!$F:$F,TARIFF_PROFILES!$A:$A,$X707))</f>
        <v/>
      </c>
      <c r="AB707" s="15">
        <f>IF($X707="","",SUMIFS(TARIFF_PROFILES!$G:$G,TARIFF_PROFILES!$A:$A,$X707))</f>
        <v/>
      </c>
      <c r="AC707" s="15">
        <f>IF($X707="","",SUMIFS(TARIFF_PROFILES!$H:$H,TARIFF_PROFILES!$A:$A,$X707))</f>
        <v/>
      </c>
      <c r="AD707" s="15">
        <f>IF($X707="","",INDEX(TARIFF_PROFILES!$J:$J,MATCH($X707,TARIFF_PROFILES!$A:$A,0)))</f>
        <v/>
      </c>
      <c r="AE707" s="15">
        <f>IF($X707="","",INDEX(TARIFF_PROFILES!$K:$K,MATCH($X707,TARIFF_PROFILES!$A:$A,0)))</f>
        <v/>
      </c>
      <c r="AH707">
        <f>IF($AG707="","",SUMIFS(OPERATING_COEFFS!$C:$C,OPERATING_COEFFS!$A:$A,"DistanceClass",OPERATING_COEFFS!$B:$B,$AG707))</f>
        <v/>
      </c>
      <c r="AJ707">
        <f>IF($AI707="","",SUMIFS(OPERATING_COEFFS!$C:$C,OPERATING_COEFFS!$A:$A,"SeasonClass",OPERATING_COEFFS!$B:$B,$AI707))</f>
        <v/>
      </c>
      <c r="AL707">
        <f>IF($AK707="","",SUMIFS(OPERATING_COEFFS!$C:$C,OPERATING_COEFFS!$A:$A,"UrgencyClass",OPERATING_COEFFS!$B:$B,$AK707))</f>
        <v/>
      </c>
      <c r="AN707">
        <f>IF($AM707="","",INDEX(TAX_MODES!$B:$B,MATCH($AM707,TAX_MODES!$A:$A,0)))</f>
        <v/>
      </c>
    </row>
    <row r="708">
      <c r="X708" s="15" t="n"/>
      <c r="Y708" s="15">
        <f>IF($X708="","",SUMIFS(TARIFF_PROFILES!$D:$D,TARIFF_PROFILES!$A:$A,$X708))</f>
        <v/>
      </c>
      <c r="Z708" s="15">
        <f>IF($X708="","",SUMIFS(TARIFF_PROFILES!$E:$E,TARIFF_PROFILES!$A:$A,$X708))</f>
        <v/>
      </c>
      <c r="AA708" s="15">
        <f>IF($X708="","",SUMIFS(TARIFF_PROFILES!$F:$F,TARIFF_PROFILES!$A:$A,$X708))</f>
        <v/>
      </c>
      <c r="AB708" s="15">
        <f>IF($X708="","",SUMIFS(TARIFF_PROFILES!$G:$G,TARIFF_PROFILES!$A:$A,$X708))</f>
        <v/>
      </c>
      <c r="AC708" s="15">
        <f>IF($X708="","",SUMIFS(TARIFF_PROFILES!$H:$H,TARIFF_PROFILES!$A:$A,$X708))</f>
        <v/>
      </c>
      <c r="AD708" s="15">
        <f>IF($X708="","",INDEX(TARIFF_PROFILES!$J:$J,MATCH($X708,TARIFF_PROFILES!$A:$A,0)))</f>
        <v/>
      </c>
      <c r="AE708" s="15">
        <f>IF($X708="","",INDEX(TARIFF_PROFILES!$K:$K,MATCH($X708,TARIFF_PROFILES!$A:$A,0)))</f>
        <v/>
      </c>
      <c r="AH708">
        <f>IF($AG708="","",SUMIFS(OPERATING_COEFFS!$C:$C,OPERATING_COEFFS!$A:$A,"DistanceClass",OPERATING_COEFFS!$B:$B,$AG708))</f>
        <v/>
      </c>
      <c r="AJ708">
        <f>IF($AI708="","",SUMIFS(OPERATING_COEFFS!$C:$C,OPERATING_COEFFS!$A:$A,"SeasonClass",OPERATING_COEFFS!$B:$B,$AI708))</f>
        <v/>
      </c>
      <c r="AL708">
        <f>IF($AK708="","",SUMIFS(OPERATING_COEFFS!$C:$C,OPERATING_COEFFS!$A:$A,"UrgencyClass",OPERATING_COEFFS!$B:$B,$AK708))</f>
        <v/>
      </c>
      <c r="AN708">
        <f>IF($AM708="","",INDEX(TAX_MODES!$B:$B,MATCH($AM708,TAX_MODES!$A:$A,0)))</f>
        <v/>
      </c>
    </row>
    <row r="709">
      <c r="X709" s="15" t="n"/>
      <c r="Y709" s="15">
        <f>IF($X709="","",SUMIFS(TARIFF_PROFILES!$D:$D,TARIFF_PROFILES!$A:$A,$X709))</f>
        <v/>
      </c>
      <c r="Z709" s="15">
        <f>IF($X709="","",SUMIFS(TARIFF_PROFILES!$E:$E,TARIFF_PROFILES!$A:$A,$X709))</f>
        <v/>
      </c>
      <c r="AA709" s="15">
        <f>IF($X709="","",SUMIFS(TARIFF_PROFILES!$F:$F,TARIFF_PROFILES!$A:$A,$X709))</f>
        <v/>
      </c>
      <c r="AB709" s="15">
        <f>IF($X709="","",SUMIFS(TARIFF_PROFILES!$G:$G,TARIFF_PROFILES!$A:$A,$X709))</f>
        <v/>
      </c>
      <c r="AC709" s="15">
        <f>IF($X709="","",SUMIFS(TARIFF_PROFILES!$H:$H,TARIFF_PROFILES!$A:$A,$X709))</f>
        <v/>
      </c>
      <c r="AD709" s="15">
        <f>IF($X709="","",INDEX(TARIFF_PROFILES!$J:$J,MATCH($X709,TARIFF_PROFILES!$A:$A,0)))</f>
        <v/>
      </c>
      <c r="AE709" s="15">
        <f>IF($X709="","",INDEX(TARIFF_PROFILES!$K:$K,MATCH($X709,TARIFF_PROFILES!$A:$A,0)))</f>
        <v/>
      </c>
      <c r="AH709">
        <f>IF($AG709="","",SUMIFS(OPERATING_COEFFS!$C:$C,OPERATING_COEFFS!$A:$A,"DistanceClass",OPERATING_COEFFS!$B:$B,$AG709))</f>
        <v/>
      </c>
      <c r="AJ709">
        <f>IF($AI709="","",SUMIFS(OPERATING_COEFFS!$C:$C,OPERATING_COEFFS!$A:$A,"SeasonClass",OPERATING_COEFFS!$B:$B,$AI709))</f>
        <v/>
      </c>
      <c r="AL709">
        <f>IF($AK709="","",SUMIFS(OPERATING_COEFFS!$C:$C,OPERATING_COEFFS!$A:$A,"UrgencyClass",OPERATING_COEFFS!$B:$B,$AK709))</f>
        <v/>
      </c>
      <c r="AN709">
        <f>IF($AM709="","",INDEX(TAX_MODES!$B:$B,MATCH($AM709,TAX_MODES!$A:$A,0)))</f>
        <v/>
      </c>
    </row>
    <row r="710">
      <c r="X710" s="15" t="n"/>
      <c r="Y710" s="15">
        <f>IF($X710="","",SUMIFS(TARIFF_PROFILES!$D:$D,TARIFF_PROFILES!$A:$A,$X710))</f>
        <v/>
      </c>
      <c r="Z710" s="15">
        <f>IF($X710="","",SUMIFS(TARIFF_PROFILES!$E:$E,TARIFF_PROFILES!$A:$A,$X710))</f>
        <v/>
      </c>
      <c r="AA710" s="15">
        <f>IF($X710="","",SUMIFS(TARIFF_PROFILES!$F:$F,TARIFF_PROFILES!$A:$A,$X710))</f>
        <v/>
      </c>
      <c r="AB710" s="15">
        <f>IF($X710="","",SUMIFS(TARIFF_PROFILES!$G:$G,TARIFF_PROFILES!$A:$A,$X710))</f>
        <v/>
      </c>
      <c r="AC710" s="15">
        <f>IF($X710="","",SUMIFS(TARIFF_PROFILES!$H:$H,TARIFF_PROFILES!$A:$A,$X710))</f>
        <v/>
      </c>
      <c r="AD710" s="15">
        <f>IF($X710="","",INDEX(TARIFF_PROFILES!$J:$J,MATCH($X710,TARIFF_PROFILES!$A:$A,0)))</f>
        <v/>
      </c>
      <c r="AE710" s="15">
        <f>IF($X710="","",INDEX(TARIFF_PROFILES!$K:$K,MATCH($X710,TARIFF_PROFILES!$A:$A,0)))</f>
        <v/>
      </c>
      <c r="AH710">
        <f>IF($AG710="","",SUMIFS(OPERATING_COEFFS!$C:$C,OPERATING_COEFFS!$A:$A,"DistanceClass",OPERATING_COEFFS!$B:$B,$AG710))</f>
        <v/>
      </c>
      <c r="AJ710">
        <f>IF($AI710="","",SUMIFS(OPERATING_COEFFS!$C:$C,OPERATING_COEFFS!$A:$A,"SeasonClass",OPERATING_COEFFS!$B:$B,$AI710))</f>
        <v/>
      </c>
      <c r="AL710">
        <f>IF($AK710="","",SUMIFS(OPERATING_COEFFS!$C:$C,OPERATING_COEFFS!$A:$A,"UrgencyClass",OPERATING_COEFFS!$B:$B,$AK710))</f>
        <v/>
      </c>
      <c r="AN710">
        <f>IF($AM710="","",INDEX(TAX_MODES!$B:$B,MATCH($AM710,TAX_MODES!$A:$A,0)))</f>
        <v/>
      </c>
    </row>
    <row r="711">
      <c r="X711" s="15" t="n"/>
      <c r="Y711" s="15">
        <f>IF($X711="","",SUMIFS(TARIFF_PROFILES!$D:$D,TARIFF_PROFILES!$A:$A,$X711))</f>
        <v/>
      </c>
      <c r="Z711" s="15">
        <f>IF($X711="","",SUMIFS(TARIFF_PROFILES!$E:$E,TARIFF_PROFILES!$A:$A,$X711))</f>
        <v/>
      </c>
      <c r="AA711" s="15">
        <f>IF($X711="","",SUMIFS(TARIFF_PROFILES!$F:$F,TARIFF_PROFILES!$A:$A,$X711))</f>
        <v/>
      </c>
      <c r="AB711" s="15">
        <f>IF($X711="","",SUMIFS(TARIFF_PROFILES!$G:$G,TARIFF_PROFILES!$A:$A,$X711))</f>
        <v/>
      </c>
      <c r="AC711" s="15">
        <f>IF($X711="","",SUMIFS(TARIFF_PROFILES!$H:$H,TARIFF_PROFILES!$A:$A,$X711))</f>
        <v/>
      </c>
      <c r="AD711" s="15">
        <f>IF($X711="","",INDEX(TARIFF_PROFILES!$J:$J,MATCH($X711,TARIFF_PROFILES!$A:$A,0)))</f>
        <v/>
      </c>
      <c r="AE711" s="15">
        <f>IF($X711="","",INDEX(TARIFF_PROFILES!$K:$K,MATCH($X711,TARIFF_PROFILES!$A:$A,0)))</f>
        <v/>
      </c>
      <c r="AH711">
        <f>IF($AG711="","",SUMIFS(OPERATING_COEFFS!$C:$C,OPERATING_COEFFS!$A:$A,"DistanceClass",OPERATING_COEFFS!$B:$B,$AG711))</f>
        <v/>
      </c>
      <c r="AJ711">
        <f>IF($AI711="","",SUMIFS(OPERATING_COEFFS!$C:$C,OPERATING_COEFFS!$A:$A,"SeasonClass",OPERATING_COEFFS!$B:$B,$AI711))</f>
        <v/>
      </c>
      <c r="AL711">
        <f>IF($AK711="","",SUMIFS(OPERATING_COEFFS!$C:$C,OPERATING_COEFFS!$A:$A,"UrgencyClass",OPERATING_COEFFS!$B:$B,$AK711))</f>
        <v/>
      </c>
      <c r="AN711">
        <f>IF($AM711="","",INDEX(TAX_MODES!$B:$B,MATCH($AM711,TAX_MODES!$A:$A,0)))</f>
        <v/>
      </c>
    </row>
    <row r="712">
      <c r="X712" s="15" t="n"/>
      <c r="Y712" s="15">
        <f>IF($X712="","",SUMIFS(TARIFF_PROFILES!$D:$D,TARIFF_PROFILES!$A:$A,$X712))</f>
        <v/>
      </c>
      <c r="Z712" s="15">
        <f>IF($X712="","",SUMIFS(TARIFF_PROFILES!$E:$E,TARIFF_PROFILES!$A:$A,$X712))</f>
        <v/>
      </c>
      <c r="AA712" s="15">
        <f>IF($X712="","",SUMIFS(TARIFF_PROFILES!$F:$F,TARIFF_PROFILES!$A:$A,$X712))</f>
        <v/>
      </c>
      <c r="AB712" s="15">
        <f>IF($X712="","",SUMIFS(TARIFF_PROFILES!$G:$G,TARIFF_PROFILES!$A:$A,$X712))</f>
        <v/>
      </c>
      <c r="AC712" s="15">
        <f>IF($X712="","",SUMIFS(TARIFF_PROFILES!$H:$H,TARIFF_PROFILES!$A:$A,$X712))</f>
        <v/>
      </c>
      <c r="AD712" s="15">
        <f>IF($X712="","",INDEX(TARIFF_PROFILES!$J:$J,MATCH($X712,TARIFF_PROFILES!$A:$A,0)))</f>
        <v/>
      </c>
      <c r="AE712" s="15">
        <f>IF($X712="","",INDEX(TARIFF_PROFILES!$K:$K,MATCH($X712,TARIFF_PROFILES!$A:$A,0)))</f>
        <v/>
      </c>
      <c r="AH712">
        <f>IF($AG712="","",SUMIFS(OPERATING_COEFFS!$C:$C,OPERATING_COEFFS!$A:$A,"DistanceClass",OPERATING_COEFFS!$B:$B,$AG712))</f>
        <v/>
      </c>
      <c r="AJ712">
        <f>IF($AI712="","",SUMIFS(OPERATING_COEFFS!$C:$C,OPERATING_COEFFS!$A:$A,"SeasonClass",OPERATING_COEFFS!$B:$B,$AI712))</f>
        <v/>
      </c>
      <c r="AL712">
        <f>IF($AK712="","",SUMIFS(OPERATING_COEFFS!$C:$C,OPERATING_COEFFS!$A:$A,"UrgencyClass",OPERATING_COEFFS!$B:$B,$AK712))</f>
        <v/>
      </c>
      <c r="AN712">
        <f>IF($AM712="","",INDEX(TAX_MODES!$B:$B,MATCH($AM712,TAX_MODES!$A:$A,0)))</f>
        <v/>
      </c>
    </row>
    <row r="713">
      <c r="X713" s="15" t="n"/>
      <c r="Y713" s="15">
        <f>IF($X713="","",SUMIFS(TARIFF_PROFILES!$D:$D,TARIFF_PROFILES!$A:$A,$X713))</f>
        <v/>
      </c>
      <c r="Z713" s="15">
        <f>IF($X713="","",SUMIFS(TARIFF_PROFILES!$E:$E,TARIFF_PROFILES!$A:$A,$X713))</f>
        <v/>
      </c>
      <c r="AA713" s="15">
        <f>IF($X713="","",SUMIFS(TARIFF_PROFILES!$F:$F,TARIFF_PROFILES!$A:$A,$X713))</f>
        <v/>
      </c>
      <c r="AB713" s="15">
        <f>IF($X713="","",SUMIFS(TARIFF_PROFILES!$G:$G,TARIFF_PROFILES!$A:$A,$X713))</f>
        <v/>
      </c>
      <c r="AC713" s="15">
        <f>IF($X713="","",SUMIFS(TARIFF_PROFILES!$H:$H,TARIFF_PROFILES!$A:$A,$X713))</f>
        <v/>
      </c>
      <c r="AD713" s="15">
        <f>IF($X713="","",INDEX(TARIFF_PROFILES!$J:$J,MATCH($X713,TARIFF_PROFILES!$A:$A,0)))</f>
        <v/>
      </c>
      <c r="AE713" s="15">
        <f>IF($X713="","",INDEX(TARIFF_PROFILES!$K:$K,MATCH($X713,TARIFF_PROFILES!$A:$A,0)))</f>
        <v/>
      </c>
      <c r="AH713">
        <f>IF($AG713="","",SUMIFS(OPERATING_COEFFS!$C:$C,OPERATING_COEFFS!$A:$A,"DistanceClass",OPERATING_COEFFS!$B:$B,$AG713))</f>
        <v/>
      </c>
      <c r="AJ713">
        <f>IF($AI713="","",SUMIFS(OPERATING_COEFFS!$C:$C,OPERATING_COEFFS!$A:$A,"SeasonClass",OPERATING_COEFFS!$B:$B,$AI713))</f>
        <v/>
      </c>
      <c r="AL713">
        <f>IF($AK713="","",SUMIFS(OPERATING_COEFFS!$C:$C,OPERATING_COEFFS!$A:$A,"UrgencyClass",OPERATING_COEFFS!$B:$B,$AK713))</f>
        <v/>
      </c>
      <c r="AN713">
        <f>IF($AM713="","",INDEX(TAX_MODES!$B:$B,MATCH($AM713,TAX_MODES!$A:$A,0)))</f>
        <v/>
      </c>
    </row>
    <row r="714">
      <c r="X714" s="15" t="n"/>
      <c r="Y714" s="15">
        <f>IF($X714="","",SUMIFS(TARIFF_PROFILES!$D:$D,TARIFF_PROFILES!$A:$A,$X714))</f>
        <v/>
      </c>
      <c r="Z714" s="15">
        <f>IF($X714="","",SUMIFS(TARIFF_PROFILES!$E:$E,TARIFF_PROFILES!$A:$A,$X714))</f>
        <v/>
      </c>
      <c r="AA714" s="15">
        <f>IF($X714="","",SUMIFS(TARIFF_PROFILES!$F:$F,TARIFF_PROFILES!$A:$A,$X714))</f>
        <v/>
      </c>
      <c r="AB714" s="15">
        <f>IF($X714="","",SUMIFS(TARIFF_PROFILES!$G:$G,TARIFF_PROFILES!$A:$A,$X714))</f>
        <v/>
      </c>
      <c r="AC714" s="15">
        <f>IF($X714="","",SUMIFS(TARIFF_PROFILES!$H:$H,TARIFF_PROFILES!$A:$A,$X714))</f>
        <v/>
      </c>
      <c r="AD714" s="15">
        <f>IF($X714="","",INDEX(TARIFF_PROFILES!$J:$J,MATCH($X714,TARIFF_PROFILES!$A:$A,0)))</f>
        <v/>
      </c>
      <c r="AE714" s="15">
        <f>IF($X714="","",INDEX(TARIFF_PROFILES!$K:$K,MATCH($X714,TARIFF_PROFILES!$A:$A,0)))</f>
        <v/>
      </c>
      <c r="AH714">
        <f>IF($AG714="","",SUMIFS(OPERATING_COEFFS!$C:$C,OPERATING_COEFFS!$A:$A,"DistanceClass",OPERATING_COEFFS!$B:$B,$AG714))</f>
        <v/>
      </c>
      <c r="AJ714">
        <f>IF($AI714="","",SUMIFS(OPERATING_COEFFS!$C:$C,OPERATING_COEFFS!$A:$A,"SeasonClass",OPERATING_COEFFS!$B:$B,$AI714))</f>
        <v/>
      </c>
      <c r="AL714">
        <f>IF($AK714="","",SUMIFS(OPERATING_COEFFS!$C:$C,OPERATING_COEFFS!$A:$A,"UrgencyClass",OPERATING_COEFFS!$B:$B,$AK714))</f>
        <v/>
      </c>
      <c r="AN714">
        <f>IF($AM714="","",INDEX(TAX_MODES!$B:$B,MATCH($AM714,TAX_MODES!$A:$A,0)))</f>
        <v/>
      </c>
    </row>
    <row r="715">
      <c r="X715" s="15" t="n"/>
      <c r="Y715" s="15">
        <f>IF($X715="","",SUMIFS(TARIFF_PROFILES!$D:$D,TARIFF_PROFILES!$A:$A,$X715))</f>
        <v/>
      </c>
      <c r="Z715" s="15">
        <f>IF($X715="","",SUMIFS(TARIFF_PROFILES!$E:$E,TARIFF_PROFILES!$A:$A,$X715))</f>
        <v/>
      </c>
      <c r="AA715" s="15">
        <f>IF($X715="","",SUMIFS(TARIFF_PROFILES!$F:$F,TARIFF_PROFILES!$A:$A,$X715))</f>
        <v/>
      </c>
      <c r="AB715" s="15">
        <f>IF($X715="","",SUMIFS(TARIFF_PROFILES!$G:$G,TARIFF_PROFILES!$A:$A,$X715))</f>
        <v/>
      </c>
      <c r="AC715" s="15">
        <f>IF($X715="","",SUMIFS(TARIFF_PROFILES!$H:$H,TARIFF_PROFILES!$A:$A,$X715))</f>
        <v/>
      </c>
      <c r="AD715" s="15">
        <f>IF($X715="","",INDEX(TARIFF_PROFILES!$J:$J,MATCH($X715,TARIFF_PROFILES!$A:$A,0)))</f>
        <v/>
      </c>
      <c r="AE715" s="15">
        <f>IF($X715="","",INDEX(TARIFF_PROFILES!$K:$K,MATCH($X715,TARIFF_PROFILES!$A:$A,0)))</f>
        <v/>
      </c>
      <c r="AH715">
        <f>IF($AG715="","",SUMIFS(OPERATING_COEFFS!$C:$C,OPERATING_COEFFS!$A:$A,"DistanceClass",OPERATING_COEFFS!$B:$B,$AG715))</f>
        <v/>
      </c>
      <c r="AJ715">
        <f>IF($AI715="","",SUMIFS(OPERATING_COEFFS!$C:$C,OPERATING_COEFFS!$A:$A,"SeasonClass",OPERATING_COEFFS!$B:$B,$AI715))</f>
        <v/>
      </c>
      <c r="AL715">
        <f>IF($AK715="","",SUMIFS(OPERATING_COEFFS!$C:$C,OPERATING_COEFFS!$A:$A,"UrgencyClass",OPERATING_COEFFS!$B:$B,$AK715))</f>
        <v/>
      </c>
      <c r="AN715">
        <f>IF($AM715="","",INDEX(TAX_MODES!$B:$B,MATCH($AM715,TAX_MODES!$A:$A,0)))</f>
        <v/>
      </c>
    </row>
    <row r="716">
      <c r="X716" s="15" t="n"/>
      <c r="Y716" s="15">
        <f>IF($X716="","",SUMIFS(TARIFF_PROFILES!$D:$D,TARIFF_PROFILES!$A:$A,$X716))</f>
        <v/>
      </c>
      <c r="Z716" s="15">
        <f>IF($X716="","",SUMIFS(TARIFF_PROFILES!$E:$E,TARIFF_PROFILES!$A:$A,$X716))</f>
        <v/>
      </c>
      <c r="AA716" s="15">
        <f>IF($X716="","",SUMIFS(TARIFF_PROFILES!$F:$F,TARIFF_PROFILES!$A:$A,$X716))</f>
        <v/>
      </c>
      <c r="AB716" s="15">
        <f>IF($X716="","",SUMIFS(TARIFF_PROFILES!$G:$G,TARIFF_PROFILES!$A:$A,$X716))</f>
        <v/>
      </c>
      <c r="AC716" s="15">
        <f>IF($X716="","",SUMIFS(TARIFF_PROFILES!$H:$H,TARIFF_PROFILES!$A:$A,$X716))</f>
        <v/>
      </c>
      <c r="AD716" s="15">
        <f>IF($X716="","",INDEX(TARIFF_PROFILES!$J:$J,MATCH($X716,TARIFF_PROFILES!$A:$A,0)))</f>
        <v/>
      </c>
      <c r="AE716" s="15">
        <f>IF($X716="","",INDEX(TARIFF_PROFILES!$K:$K,MATCH($X716,TARIFF_PROFILES!$A:$A,0)))</f>
        <v/>
      </c>
      <c r="AH716">
        <f>IF($AG716="","",SUMIFS(OPERATING_COEFFS!$C:$C,OPERATING_COEFFS!$A:$A,"DistanceClass",OPERATING_COEFFS!$B:$B,$AG716))</f>
        <v/>
      </c>
      <c r="AJ716">
        <f>IF($AI716="","",SUMIFS(OPERATING_COEFFS!$C:$C,OPERATING_COEFFS!$A:$A,"SeasonClass",OPERATING_COEFFS!$B:$B,$AI716))</f>
        <v/>
      </c>
      <c r="AL716">
        <f>IF($AK716="","",SUMIFS(OPERATING_COEFFS!$C:$C,OPERATING_COEFFS!$A:$A,"UrgencyClass",OPERATING_COEFFS!$B:$B,$AK716))</f>
        <v/>
      </c>
      <c r="AN716">
        <f>IF($AM716="","",INDEX(TAX_MODES!$B:$B,MATCH($AM716,TAX_MODES!$A:$A,0)))</f>
        <v/>
      </c>
    </row>
    <row r="717">
      <c r="X717" s="15" t="n"/>
      <c r="Y717" s="15">
        <f>IF($X717="","",SUMIFS(TARIFF_PROFILES!$D:$D,TARIFF_PROFILES!$A:$A,$X717))</f>
        <v/>
      </c>
      <c r="Z717" s="15">
        <f>IF($X717="","",SUMIFS(TARIFF_PROFILES!$E:$E,TARIFF_PROFILES!$A:$A,$X717))</f>
        <v/>
      </c>
      <c r="AA717" s="15">
        <f>IF($X717="","",SUMIFS(TARIFF_PROFILES!$F:$F,TARIFF_PROFILES!$A:$A,$X717))</f>
        <v/>
      </c>
      <c r="AB717" s="15">
        <f>IF($X717="","",SUMIFS(TARIFF_PROFILES!$G:$G,TARIFF_PROFILES!$A:$A,$X717))</f>
        <v/>
      </c>
      <c r="AC717" s="15">
        <f>IF($X717="","",SUMIFS(TARIFF_PROFILES!$H:$H,TARIFF_PROFILES!$A:$A,$X717))</f>
        <v/>
      </c>
      <c r="AD717" s="15">
        <f>IF($X717="","",INDEX(TARIFF_PROFILES!$J:$J,MATCH($X717,TARIFF_PROFILES!$A:$A,0)))</f>
        <v/>
      </c>
      <c r="AE717" s="15">
        <f>IF($X717="","",INDEX(TARIFF_PROFILES!$K:$K,MATCH($X717,TARIFF_PROFILES!$A:$A,0)))</f>
        <v/>
      </c>
      <c r="AH717">
        <f>IF($AG717="","",SUMIFS(OPERATING_COEFFS!$C:$C,OPERATING_COEFFS!$A:$A,"DistanceClass",OPERATING_COEFFS!$B:$B,$AG717))</f>
        <v/>
      </c>
      <c r="AJ717">
        <f>IF($AI717="","",SUMIFS(OPERATING_COEFFS!$C:$C,OPERATING_COEFFS!$A:$A,"SeasonClass",OPERATING_COEFFS!$B:$B,$AI717))</f>
        <v/>
      </c>
      <c r="AL717">
        <f>IF($AK717="","",SUMIFS(OPERATING_COEFFS!$C:$C,OPERATING_COEFFS!$A:$A,"UrgencyClass",OPERATING_COEFFS!$B:$B,$AK717))</f>
        <v/>
      </c>
      <c r="AN717">
        <f>IF($AM717="","",INDEX(TAX_MODES!$B:$B,MATCH($AM717,TAX_MODES!$A:$A,0)))</f>
        <v/>
      </c>
    </row>
    <row r="718">
      <c r="X718" s="15" t="n"/>
      <c r="Y718" s="15">
        <f>IF($X718="","",SUMIFS(TARIFF_PROFILES!$D:$D,TARIFF_PROFILES!$A:$A,$X718))</f>
        <v/>
      </c>
      <c r="Z718" s="15">
        <f>IF($X718="","",SUMIFS(TARIFF_PROFILES!$E:$E,TARIFF_PROFILES!$A:$A,$X718))</f>
        <v/>
      </c>
      <c r="AA718" s="15">
        <f>IF($X718="","",SUMIFS(TARIFF_PROFILES!$F:$F,TARIFF_PROFILES!$A:$A,$X718))</f>
        <v/>
      </c>
      <c r="AB718" s="15">
        <f>IF($X718="","",SUMIFS(TARIFF_PROFILES!$G:$G,TARIFF_PROFILES!$A:$A,$X718))</f>
        <v/>
      </c>
      <c r="AC718" s="15">
        <f>IF($X718="","",SUMIFS(TARIFF_PROFILES!$H:$H,TARIFF_PROFILES!$A:$A,$X718))</f>
        <v/>
      </c>
      <c r="AD718" s="15">
        <f>IF($X718="","",INDEX(TARIFF_PROFILES!$J:$J,MATCH($X718,TARIFF_PROFILES!$A:$A,0)))</f>
        <v/>
      </c>
      <c r="AE718" s="15">
        <f>IF($X718="","",INDEX(TARIFF_PROFILES!$K:$K,MATCH($X718,TARIFF_PROFILES!$A:$A,0)))</f>
        <v/>
      </c>
      <c r="AH718">
        <f>IF($AG718="","",SUMIFS(OPERATING_COEFFS!$C:$C,OPERATING_COEFFS!$A:$A,"DistanceClass",OPERATING_COEFFS!$B:$B,$AG718))</f>
        <v/>
      </c>
      <c r="AJ718">
        <f>IF($AI718="","",SUMIFS(OPERATING_COEFFS!$C:$C,OPERATING_COEFFS!$A:$A,"SeasonClass",OPERATING_COEFFS!$B:$B,$AI718))</f>
        <v/>
      </c>
      <c r="AL718">
        <f>IF($AK718="","",SUMIFS(OPERATING_COEFFS!$C:$C,OPERATING_COEFFS!$A:$A,"UrgencyClass",OPERATING_COEFFS!$B:$B,$AK718))</f>
        <v/>
      </c>
      <c r="AN718">
        <f>IF($AM718="","",INDEX(TAX_MODES!$B:$B,MATCH($AM718,TAX_MODES!$A:$A,0)))</f>
        <v/>
      </c>
    </row>
    <row r="719">
      <c r="X719" s="15" t="n"/>
      <c r="Y719" s="15">
        <f>IF($X719="","",SUMIFS(TARIFF_PROFILES!$D:$D,TARIFF_PROFILES!$A:$A,$X719))</f>
        <v/>
      </c>
      <c r="Z719" s="15">
        <f>IF($X719="","",SUMIFS(TARIFF_PROFILES!$E:$E,TARIFF_PROFILES!$A:$A,$X719))</f>
        <v/>
      </c>
      <c r="AA719" s="15">
        <f>IF($X719="","",SUMIFS(TARIFF_PROFILES!$F:$F,TARIFF_PROFILES!$A:$A,$X719))</f>
        <v/>
      </c>
      <c r="AB719" s="15">
        <f>IF($X719="","",SUMIFS(TARIFF_PROFILES!$G:$G,TARIFF_PROFILES!$A:$A,$X719))</f>
        <v/>
      </c>
      <c r="AC719" s="15">
        <f>IF($X719="","",SUMIFS(TARIFF_PROFILES!$H:$H,TARIFF_PROFILES!$A:$A,$X719))</f>
        <v/>
      </c>
      <c r="AD719" s="15">
        <f>IF($X719="","",INDEX(TARIFF_PROFILES!$J:$J,MATCH($X719,TARIFF_PROFILES!$A:$A,0)))</f>
        <v/>
      </c>
      <c r="AE719" s="15">
        <f>IF($X719="","",INDEX(TARIFF_PROFILES!$K:$K,MATCH($X719,TARIFF_PROFILES!$A:$A,0)))</f>
        <v/>
      </c>
      <c r="AH719">
        <f>IF($AG719="","",SUMIFS(OPERATING_COEFFS!$C:$C,OPERATING_COEFFS!$A:$A,"DistanceClass",OPERATING_COEFFS!$B:$B,$AG719))</f>
        <v/>
      </c>
      <c r="AJ719">
        <f>IF($AI719="","",SUMIFS(OPERATING_COEFFS!$C:$C,OPERATING_COEFFS!$A:$A,"SeasonClass",OPERATING_COEFFS!$B:$B,$AI719))</f>
        <v/>
      </c>
      <c r="AL719">
        <f>IF($AK719="","",SUMIFS(OPERATING_COEFFS!$C:$C,OPERATING_COEFFS!$A:$A,"UrgencyClass",OPERATING_COEFFS!$B:$B,$AK719))</f>
        <v/>
      </c>
      <c r="AN719">
        <f>IF($AM719="","",INDEX(TAX_MODES!$B:$B,MATCH($AM719,TAX_MODES!$A:$A,0)))</f>
        <v/>
      </c>
    </row>
    <row r="720">
      <c r="X720" s="15" t="n"/>
      <c r="Y720" s="15">
        <f>IF($X720="","",SUMIFS(TARIFF_PROFILES!$D:$D,TARIFF_PROFILES!$A:$A,$X720))</f>
        <v/>
      </c>
      <c r="Z720" s="15">
        <f>IF($X720="","",SUMIFS(TARIFF_PROFILES!$E:$E,TARIFF_PROFILES!$A:$A,$X720))</f>
        <v/>
      </c>
      <c r="AA720" s="15">
        <f>IF($X720="","",SUMIFS(TARIFF_PROFILES!$F:$F,TARIFF_PROFILES!$A:$A,$X720))</f>
        <v/>
      </c>
      <c r="AB720" s="15">
        <f>IF($X720="","",SUMIFS(TARIFF_PROFILES!$G:$G,TARIFF_PROFILES!$A:$A,$X720))</f>
        <v/>
      </c>
      <c r="AC720" s="15">
        <f>IF($X720="","",SUMIFS(TARIFF_PROFILES!$H:$H,TARIFF_PROFILES!$A:$A,$X720))</f>
        <v/>
      </c>
      <c r="AD720" s="15">
        <f>IF($X720="","",INDEX(TARIFF_PROFILES!$J:$J,MATCH($X720,TARIFF_PROFILES!$A:$A,0)))</f>
        <v/>
      </c>
      <c r="AE720" s="15">
        <f>IF($X720="","",INDEX(TARIFF_PROFILES!$K:$K,MATCH($X720,TARIFF_PROFILES!$A:$A,0)))</f>
        <v/>
      </c>
      <c r="AH720">
        <f>IF($AG720="","",SUMIFS(OPERATING_COEFFS!$C:$C,OPERATING_COEFFS!$A:$A,"DistanceClass",OPERATING_COEFFS!$B:$B,$AG720))</f>
        <v/>
      </c>
      <c r="AJ720">
        <f>IF($AI720="","",SUMIFS(OPERATING_COEFFS!$C:$C,OPERATING_COEFFS!$A:$A,"SeasonClass",OPERATING_COEFFS!$B:$B,$AI720))</f>
        <v/>
      </c>
      <c r="AL720">
        <f>IF($AK720="","",SUMIFS(OPERATING_COEFFS!$C:$C,OPERATING_COEFFS!$A:$A,"UrgencyClass",OPERATING_COEFFS!$B:$B,$AK720))</f>
        <v/>
      </c>
      <c r="AN720">
        <f>IF($AM720="","",INDEX(TAX_MODES!$B:$B,MATCH($AM720,TAX_MODES!$A:$A,0)))</f>
        <v/>
      </c>
    </row>
    <row r="721">
      <c r="X721" s="15" t="n"/>
      <c r="Y721" s="15">
        <f>IF($X721="","",SUMIFS(TARIFF_PROFILES!$D:$D,TARIFF_PROFILES!$A:$A,$X721))</f>
        <v/>
      </c>
      <c r="Z721" s="15">
        <f>IF($X721="","",SUMIFS(TARIFF_PROFILES!$E:$E,TARIFF_PROFILES!$A:$A,$X721))</f>
        <v/>
      </c>
      <c r="AA721" s="15">
        <f>IF($X721="","",SUMIFS(TARIFF_PROFILES!$F:$F,TARIFF_PROFILES!$A:$A,$X721))</f>
        <v/>
      </c>
      <c r="AB721" s="15">
        <f>IF($X721="","",SUMIFS(TARIFF_PROFILES!$G:$G,TARIFF_PROFILES!$A:$A,$X721))</f>
        <v/>
      </c>
      <c r="AC721" s="15">
        <f>IF($X721="","",SUMIFS(TARIFF_PROFILES!$H:$H,TARIFF_PROFILES!$A:$A,$X721))</f>
        <v/>
      </c>
      <c r="AD721" s="15">
        <f>IF($X721="","",INDEX(TARIFF_PROFILES!$J:$J,MATCH($X721,TARIFF_PROFILES!$A:$A,0)))</f>
        <v/>
      </c>
      <c r="AE721" s="15">
        <f>IF($X721="","",INDEX(TARIFF_PROFILES!$K:$K,MATCH($X721,TARIFF_PROFILES!$A:$A,0)))</f>
        <v/>
      </c>
      <c r="AH721">
        <f>IF($AG721="","",SUMIFS(OPERATING_COEFFS!$C:$C,OPERATING_COEFFS!$A:$A,"DistanceClass",OPERATING_COEFFS!$B:$B,$AG721))</f>
        <v/>
      </c>
      <c r="AJ721">
        <f>IF($AI721="","",SUMIFS(OPERATING_COEFFS!$C:$C,OPERATING_COEFFS!$A:$A,"SeasonClass",OPERATING_COEFFS!$B:$B,$AI721))</f>
        <v/>
      </c>
      <c r="AL721">
        <f>IF($AK721="","",SUMIFS(OPERATING_COEFFS!$C:$C,OPERATING_COEFFS!$A:$A,"UrgencyClass",OPERATING_COEFFS!$B:$B,$AK721))</f>
        <v/>
      </c>
      <c r="AN721">
        <f>IF($AM721="","",INDEX(TAX_MODES!$B:$B,MATCH($AM721,TAX_MODES!$A:$A,0)))</f>
        <v/>
      </c>
    </row>
    <row r="722">
      <c r="X722" s="15" t="n"/>
      <c r="Y722" s="15">
        <f>IF($X722="","",SUMIFS(TARIFF_PROFILES!$D:$D,TARIFF_PROFILES!$A:$A,$X722))</f>
        <v/>
      </c>
      <c r="Z722" s="15">
        <f>IF($X722="","",SUMIFS(TARIFF_PROFILES!$E:$E,TARIFF_PROFILES!$A:$A,$X722))</f>
        <v/>
      </c>
      <c r="AA722" s="15">
        <f>IF($X722="","",SUMIFS(TARIFF_PROFILES!$F:$F,TARIFF_PROFILES!$A:$A,$X722))</f>
        <v/>
      </c>
      <c r="AB722" s="15">
        <f>IF($X722="","",SUMIFS(TARIFF_PROFILES!$G:$G,TARIFF_PROFILES!$A:$A,$X722))</f>
        <v/>
      </c>
      <c r="AC722" s="15">
        <f>IF($X722="","",SUMIFS(TARIFF_PROFILES!$H:$H,TARIFF_PROFILES!$A:$A,$X722))</f>
        <v/>
      </c>
      <c r="AD722" s="15">
        <f>IF($X722="","",INDEX(TARIFF_PROFILES!$J:$J,MATCH($X722,TARIFF_PROFILES!$A:$A,0)))</f>
        <v/>
      </c>
      <c r="AE722" s="15">
        <f>IF($X722="","",INDEX(TARIFF_PROFILES!$K:$K,MATCH($X722,TARIFF_PROFILES!$A:$A,0)))</f>
        <v/>
      </c>
      <c r="AH722">
        <f>IF($AG722="","",SUMIFS(OPERATING_COEFFS!$C:$C,OPERATING_COEFFS!$A:$A,"DistanceClass",OPERATING_COEFFS!$B:$B,$AG722))</f>
        <v/>
      </c>
      <c r="AJ722">
        <f>IF($AI722="","",SUMIFS(OPERATING_COEFFS!$C:$C,OPERATING_COEFFS!$A:$A,"SeasonClass",OPERATING_COEFFS!$B:$B,$AI722))</f>
        <v/>
      </c>
      <c r="AL722">
        <f>IF($AK722="","",SUMIFS(OPERATING_COEFFS!$C:$C,OPERATING_COEFFS!$A:$A,"UrgencyClass",OPERATING_COEFFS!$B:$B,$AK722))</f>
        <v/>
      </c>
      <c r="AN722">
        <f>IF($AM722="","",INDEX(TAX_MODES!$B:$B,MATCH($AM722,TAX_MODES!$A:$A,0)))</f>
        <v/>
      </c>
    </row>
    <row r="723">
      <c r="X723" s="15" t="n"/>
      <c r="Y723" s="15">
        <f>IF($X723="","",SUMIFS(TARIFF_PROFILES!$D:$D,TARIFF_PROFILES!$A:$A,$X723))</f>
        <v/>
      </c>
      <c r="Z723" s="15">
        <f>IF($X723="","",SUMIFS(TARIFF_PROFILES!$E:$E,TARIFF_PROFILES!$A:$A,$X723))</f>
        <v/>
      </c>
      <c r="AA723" s="15">
        <f>IF($X723="","",SUMIFS(TARIFF_PROFILES!$F:$F,TARIFF_PROFILES!$A:$A,$X723))</f>
        <v/>
      </c>
      <c r="AB723" s="15">
        <f>IF($X723="","",SUMIFS(TARIFF_PROFILES!$G:$G,TARIFF_PROFILES!$A:$A,$X723))</f>
        <v/>
      </c>
      <c r="AC723" s="15">
        <f>IF($X723="","",SUMIFS(TARIFF_PROFILES!$H:$H,TARIFF_PROFILES!$A:$A,$X723))</f>
        <v/>
      </c>
      <c r="AD723" s="15">
        <f>IF($X723="","",INDEX(TARIFF_PROFILES!$J:$J,MATCH($X723,TARIFF_PROFILES!$A:$A,0)))</f>
        <v/>
      </c>
      <c r="AE723" s="15">
        <f>IF($X723="","",INDEX(TARIFF_PROFILES!$K:$K,MATCH($X723,TARIFF_PROFILES!$A:$A,0)))</f>
        <v/>
      </c>
      <c r="AH723">
        <f>IF($AG723="","",SUMIFS(OPERATING_COEFFS!$C:$C,OPERATING_COEFFS!$A:$A,"DistanceClass",OPERATING_COEFFS!$B:$B,$AG723))</f>
        <v/>
      </c>
      <c r="AJ723">
        <f>IF($AI723="","",SUMIFS(OPERATING_COEFFS!$C:$C,OPERATING_COEFFS!$A:$A,"SeasonClass",OPERATING_COEFFS!$B:$B,$AI723))</f>
        <v/>
      </c>
      <c r="AL723">
        <f>IF($AK723="","",SUMIFS(OPERATING_COEFFS!$C:$C,OPERATING_COEFFS!$A:$A,"UrgencyClass",OPERATING_COEFFS!$B:$B,$AK723))</f>
        <v/>
      </c>
      <c r="AN723">
        <f>IF($AM723="","",INDEX(TAX_MODES!$B:$B,MATCH($AM723,TAX_MODES!$A:$A,0)))</f>
        <v/>
      </c>
    </row>
    <row r="724">
      <c r="X724" s="15" t="n"/>
      <c r="Y724" s="15">
        <f>IF($X724="","",SUMIFS(TARIFF_PROFILES!$D:$D,TARIFF_PROFILES!$A:$A,$X724))</f>
        <v/>
      </c>
      <c r="Z724" s="15">
        <f>IF($X724="","",SUMIFS(TARIFF_PROFILES!$E:$E,TARIFF_PROFILES!$A:$A,$X724))</f>
        <v/>
      </c>
      <c r="AA724" s="15">
        <f>IF($X724="","",SUMIFS(TARIFF_PROFILES!$F:$F,TARIFF_PROFILES!$A:$A,$X724))</f>
        <v/>
      </c>
      <c r="AB724" s="15">
        <f>IF($X724="","",SUMIFS(TARIFF_PROFILES!$G:$G,TARIFF_PROFILES!$A:$A,$X724))</f>
        <v/>
      </c>
      <c r="AC724" s="15">
        <f>IF($X724="","",SUMIFS(TARIFF_PROFILES!$H:$H,TARIFF_PROFILES!$A:$A,$X724))</f>
        <v/>
      </c>
      <c r="AD724" s="15">
        <f>IF($X724="","",INDEX(TARIFF_PROFILES!$J:$J,MATCH($X724,TARIFF_PROFILES!$A:$A,0)))</f>
        <v/>
      </c>
      <c r="AE724" s="15">
        <f>IF($X724="","",INDEX(TARIFF_PROFILES!$K:$K,MATCH($X724,TARIFF_PROFILES!$A:$A,0)))</f>
        <v/>
      </c>
      <c r="AH724">
        <f>IF($AG724="","",SUMIFS(OPERATING_COEFFS!$C:$C,OPERATING_COEFFS!$A:$A,"DistanceClass",OPERATING_COEFFS!$B:$B,$AG724))</f>
        <v/>
      </c>
      <c r="AJ724">
        <f>IF($AI724="","",SUMIFS(OPERATING_COEFFS!$C:$C,OPERATING_COEFFS!$A:$A,"SeasonClass",OPERATING_COEFFS!$B:$B,$AI724))</f>
        <v/>
      </c>
      <c r="AL724">
        <f>IF($AK724="","",SUMIFS(OPERATING_COEFFS!$C:$C,OPERATING_COEFFS!$A:$A,"UrgencyClass",OPERATING_COEFFS!$B:$B,$AK724))</f>
        <v/>
      </c>
      <c r="AN724">
        <f>IF($AM724="","",INDEX(TAX_MODES!$B:$B,MATCH($AM724,TAX_MODES!$A:$A,0)))</f>
        <v/>
      </c>
    </row>
    <row r="725">
      <c r="X725" s="15" t="n"/>
      <c r="Y725" s="15">
        <f>IF($X725="","",SUMIFS(TARIFF_PROFILES!$D:$D,TARIFF_PROFILES!$A:$A,$X725))</f>
        <v/>
      </c>
      <c r="Z725" s="15">
        <f>IF($X725="","",SUMIFS(TARIFF_PROFILES!$E:$E,TARIFF_PROFILES!$A:$A,$X725))</f>
        <v/>
      </c>
      <c r="AA725" s="15">
        <f>IF($X725="","",SUMIFS(TARIFF_PROFILES!$F:$F,TARIFF_PROFILES!$A:$A,$X725))</f>
        <v/>
      </c>
      <c r="AB725" s="15">
        <f>IF($X725="","",SUMIFS(TARIFF_PROFILES!$G:$G,TARIFF_PROFILES!$A:$A,$X725))</f>
        <v/>
      </c>
      <c r="AC725" s="15">
        <f>IF($X725="","",SUMIFS(TARIFF_PROFILES!$H:$H,TARIFF_PROFILES!$A:$A,$X725))</f>
        <v/>
      </c>
      <c r="AD725" s="15">
        <f>IF($X725="","",INDEX(TARIFF_PROFILES!$J:$J,MATCH($X725,TARIFF_PROFILES!$A:$A,0)))</f>
        <v/>
      </c>
      <c r="AE725" s="15">
        <f>IF($X725="","",INDEX(TARIFF_PROFILES!$K:$K,MATCH($X725,TARIFF_PROFILES!$A:$A,0)))</f>
        <v/>
      </c>
      <c r="AH725">
        <f>IF($AG725="","",SUMIFS(OPERATING_COEFFS!$C:$C,OPERATING_COEFFS!$A:$A,"DistanceClass",OPERATING_COEFFS!$B:$B,$AG725))</f>
        <v/>
      </c>
      <c r="AJ725">
        <f>IF($AI725="","",SUMIFS(OPERATING_COEFFS!$C:$C,OPERATING_COEFFS!$A:$A,"SeasonClass",OPERATING_COEFFS!$B:$B,$AI725))</f>
        <v/>
      </c>
      <c r="AL725">
        <f>IF($AK725="","",SUMIFS(OPERATING_COEFFS!$C:$C,OPERATING_COEFFS!$A:$A,"UrgencyClass",OPERATING_COEFFS!$B:$B,$AK725))</f>
        <v/>
      </c>
      <c r="AN725">
        <f>IF($AM725="","",INDEX(TAX_MODES!$B:$B,MATCH($AM725,TAX_MODES!$A:$A,0)))</f>
        <v/>
      </c>
    </row>
    <row r="726">
      <c r="X726" s="15" t="n"/>
      <c r="Y726" s="15">
        <f>IF($X726="","",SUMIFS(TARIFF_PROFILES!$D:$D,TARIFF_PROFILES!$A:$A,$X726))</f>
        <v/>
      </c>
      <c r="Z726" s="15">
        <f>IF($X726="","",SUMIFS(TARIFF_PROFILES!$E:$E,TARIFF_PROFILES!$A:$A,$X726))</f>
        <v/>
      </c>
      <c r="AA726" s="15">
        <f>IF($X726="","",SUMIFS(TARIFF_PROFILES!$F:$F,TARIFF_PROFILES!$A:$A,$X726))</f>
        <v/>
      </c>
      <c r="AB726" s="15">
        <f>IF($X726="","",SUMIFS(TARIFF_PROFILES!$G:$G,TARIFF_PROFILES!$A:$A,$X726))</f>
        <v/>
      </c>
      <c r="AC726" s="15">
        <f>IF($X726="","",SUMIFS(TARIFF_PROFILES!$H:$H,TARIFF_PROFILES!$A:$A,$X726))</f>
        <v/>
      </c>
      <c r="AD726" s="15">
        <f>IF($X726="","",INDEX(TARIFF_PROFILES!$J:$J,MATCH($X726,TARIFF_PROFILES!$A:$A,0)))</f>
        <v/>
      </c>
      <c r="AE726" s="15">
        <f>IF($X726="","",INDEX(TARIFF_PROFILES!$K:$K,MATCH($X726,TARIFF_PROFILES!$A:$A,0)))</f>
        <v/>
      </c>
      <c r="AH726">
        <f>IF($AG726="","",SUMIFS(OPERATING_COEFFS!$C:$C,OPERATING_COEFFS!$A:$A,"DistanceClass",OPERATING_COEFFS!$B:$B,$AG726))</f>
        <v/>
      </c>
      <c r="AJ726">
        <f>IF($AI726="","",SUMIFS(OPERATING_COEFFS!$C:$C,OPERATING_COEFFS!$A:$A,"SeasonClass",OPERATING_COEFFS!$B:$B,$AI726))</f>
        <v/>
      </c>
      <c r="AL726">
        <f>IF($AK726="","",SUMIFS(OPERATING_COEFFS!$C:$C,OPERATING_COEFFS!$A:$A,"UrgencyClass",OPERATING_COEFFS!$B:$B,$AK726))</f>
        <v/>
      </c>
      <c r="AN726">
        <f>IF($AM726="","",INDEX(TAX_MODES!$B:$B,MATCH($AM726,TAX_MODES!$A:$A,0)))</f>
        <v/>
      </c>
    </row>
    <row r="727">
      <c r="X727" s="15" t="n"/>
      <c r="Y727" s="15">
        <f>IF($X727="","",SUMIFS(TARIFF_PROFILES!$D:$D,TARIFF_PROFILES!$A:$A,$X727))</f>
        <v/>
      </c>
      <c r="Z727" s="15">
        <f>IF($X727="","",SUMIFS(TARIFF_PROFILES!$E:$E,TARIFF_PROFILES!$A:$A,$X727))</f>
        <v/>
      </c>
      <c r="AA727" s="15">
        <f>IF($X727="","",SUMIFS(TARIFF_PROFILES!$F:$F,TARIFF_PROFILES!$A:$A,$X727))</f>
        <v/>
      </c>
      <c r="AB727" s="15">
        <f>IF($X727="","",SUMIFS(TARIFF_PROFILES!$G:$G,TARIFF_PROFILES!$A:$A,$X727))</f>
        <v/>
      </c>
      <c r="AC727" s="15">
        <f>IF($X727="","",SUMIFS(TARIFF_PROFILES!$H:$H,TARIFF_PROFILES!$A:$A,$X727))</f>
        <v/>
      </c>
      <c r="AD727" s="15">
        <f>IF($X727="","",INDEX(TARIFF_PROFILES!$J:$J,MATCH($X727,TARIFF_PROFILES!$A:$A,0)))</f>
        <v/>
      </c>
      <c r="AE727" s="15">
        <f>IF($X727="","",INDEX(TARIFF_PROFILES!$K:$K,MATCH($X727,TARIFF_PROFILES!$A:$A,0)))</f>
        <v/>
      </c>
      <c r="AH727">
        <f>IF($AG727="","",SUMIFS(OPERATING_COEFFS!$C:$C,OPERATING_COEFFS!$A:$A,"DistanceClass",OPERATING_COEFFS!$B:$B,$AG727))</f>
        <v/>
      </c>
      <c r="AJ727">
        <f>IF($AI727="","",SUMIFS(OPERATING_COEFFS!$C:$C,OPERATING_COEFFS!$A:$A,"SeasonClass",OPERATING_COEFFS!$B:$B,$AI727))</f>
        <v/>
      </c>
      <c r="AL727">
        <f>IF($AK727="","",SUMIFS(OPERATING_COEFFS!$C:$C,OPERATING_COEFFS!$A:$A,"UrgencyClass",OPERATING_COEFFS!$B:$B,$AK727))</f>
        <v/>
      </c>
      <c r="AN727">
        <f>IF($AM727="","",INDEX(TAX_MODES!$B:$B,MATCH($AM727,TAX_MODES!$A:$A,0)))</f>
        <v/>
      </c>
    </row>
    <row r="728">
      <c r="X728" s="15" t="n"/>
      <c r="Y728" s="15">
        <f>IF($X728="","",SUMIFS(TARIFF_PROFILES!$D:$D,TARIFF_PROFILES!$A:$A,$X728))</f>
        <v/>
      </c>
      <c r="Z728" s="15">
        <f>IF($X728="","",SUMIFS(TARIFF_PROFILES!$E:$E,TARIFF_PROFILES!$A:$A,$X728))</f>
        <v/>
      </c>
      <c r="AA728" s="15">
        <f>IF($X728="","",SUMIFS(TARIFF_PROFILES!$F:$F,TARIFF_PROFILES!$A:$A,$X728))</f>
        <v/>
      </c>
      <c r="AB728" s="15">
        <f>IF($X728="","",SUMIFS(TARIFF_PROFILES!$G:$G,TARIFF_PROFILES!$A:$A,$X728))</f>
        <v/>
      </c>
      <c r="AC728" s="15">
        <f>IF($X728="","",SUMIFS(TARIFF_PROFILES!$H:$H,TARIFF_PROFILES!$A:$A,$X728))</f>
        <v/>
      </c>
      <c r="AD728" s="15">
        <f>IF($X728="","",INDEX(TARIFF_PROFILES!$J:$J,MATCH($X728,TARIFF_PROFILES!$A:$A,0)))</f>
        <v/>
      </c>
      <c r="AE728" s="15">
        <f>IF($X728="","",INDEX(TARIFF_PROFILES!$K:$K,MATCH($X728,TARIFF_PROFILES!$A:$A,0)))</f>
        <v/>
      </c>
      <c r="AH728">
        <f>IF($AG728="","",SUMIFS(OPERATING_COEFFS!$C:$C,OPERATING_COEFFS!$A:$A,"DistanceClass",OPERATING_COEFFS!$B:$B,$AG728))</f>
        <v/>
      </c>
      <c r="AJ728">
        <f>IF($AI728="","",SUMIFS(OPERATING_COEFFS!$C:$C,OPERATING_COEFFS!$A:$A,"SeasonClass",OPERATING_COEFFS!$B:$B,$AI728))</f>
        <v/>
      </c>
      <c r="AL728">
        <f>IF($AK728="","",SUMIFS(OPERATING_COEFFS!$C:$C,OPERATING_COEFFS!$A:$A,"UrgencyClass",OPERATING_COEFFS!$B:$B,$AK728))</f>
        <v/>
      </c>
      <c r="AN728">
        <f>IF($AM728="","",INDEX(TAX_MODES!$B:$B,MATCH($AM728,TAX_MODES!$A:$A,0)))</f>
        <v/>
      </c>
    </row>
    <row r="729">
      <c r="X729" s="15" t="n"/>
      <c r="Y729" s="15">
        <f>IF($X729="","",SUMIFS(TARIFF_PROFILES!$D:$D,TARIFF_PROFILES!$A:$A,$X729))</f>
        <v/>
      </c>
      <c r="Z729" s="15">
        <f>IF($X729="","",SUMIFS(TARIFF_PROFILES!$E:$E,TARIFF_PROFILES!$A:$A,$X729))</f>
        <v/>
      </c>
      <c r="AA729" s="15">
        <f>IF($X729="","",SUMIFS(TARIFF_PROFILES!$F:$F,TARIFF_PROFILES!$A:$A,$X729))</f>
        <v/>
      </c>
      <c r="AB729" s="15">
        <f>IF($X729="","",SUMIFS(TARIFF_PROFILES!$G:$G,TARIFF_PROFILES!$A:$A,$X729))</f>
        <v/>
      </c>
      <c r="AC729" s="15">
        <f>IF($X729="","",SUMIFS(TARIFF_PROFILES!$H:$H,TARIFF_PROFILES!$A:$A,$X729))</f>
        <v/>
      </c>
      <c r="AD729" s="15">
        <f>IF($X729="","",INDEX(TARIFF_PROFILES!$J:$J,MATCH($X729,TARIFF_PROFILES!$A:$A,0)))</f>
        <v/>
      </c>
      <c r="AE729" s="15">
        <f>IF($X729="","",INDEX(TARIFF_PROFILES!$K:$K,MATCH($X729,TARIFF_PROFILES!$A:$A,0)))</f>
        <v/>
      </c>
      <c r="AH729">
        <f>IF($AG729="","",SUMIFS(OPERATING_COEFFS!$C:$C,OPERATING_COEFFS!$A:$A,"DistanceClass",OPERATING_COEFFS!$B:$B,$AG729))</f>
        <v/>
      </c>
      <c r="AJ729">
        <f>IF($AI729="","",SUMIFS(OPERATING_COEFFS!$C:$C,OPERATING_COEFFS!$A:$A,"SeasonClass",OPERATING_COEFFS!$B:$B,$AI729))</f>
        <v/>
      </c>
      <c r="AL729">
        <f>IF($AK729="","",SUMIFS(OPERATING_COEFFS!$C:$C,OPERATING_COEFFS!$A:$A,"UrgencyClass",OPERATING_COEFFS!$B:$B,$AK729))</f>
        <v/>
      </c>
      <c r="AN729">
        <f>IF($AM729="","",INDEX(TAX_MODES!$B:$B,MATCH($AM729,TAX_MODES!$A:$A,0)))</f>
        <v/>
      </c>
    </row>
    <row r="730">
      <c r="X730" s="15" t="n"/>
      <c r="Y730" s="15">
        <f>IF($X730="","",SUMIFS(TARIFF_PROFILES!$D:$D,TARIFF_PROFILES!$A:$A,$X730))</f>
        <v/>
      </c>
      <c r="Z730" s="15">
        <f>IF($X730="","",SUMIFS(TARIFF_PROFILES!$E:$E,TARIFF_PROFILES!$A:$A,$X730))</f>
        <v/>
      </c>
      <c r="AA730" s="15">
        <f>IF($X730="","",SUMIFS(TARIFF_PROFILES!$F:$F,TARIFF_PROFILES!$A:$A,$X730))</f>
        <v/>
      </c>
      <c r="AB730" s="15">
        <f>IF($X730="","",SUMIFS(TARIFF_PROFILES!$G:$G,TARIFF_PROFILES!$A:$A,$X730))</f>
        <v/>
      </c>
      <c r="AC730" s="15">
        <f>IF($X730="","",SUMIFS(TARIFF_PROFILES!$H:$H,TARIFF_PROFILES!$A:$A,$X730))</f>
        <v/>
      </c>
      <c r="AD730" s="15">
        <f>IF($X730="","",INDEX(TARIFF_PROFILES!$J:$J,MATCH($X730,TARIFF_PROFILES!$A:$A,0)))</f>
        <v/>
      </c>
      <c r="AE730" s="15">
        <f>IF($X730="","",INDEX(TARIFF_PROFILES!$K:$K,MATCH($X730,TARIFF_PROFILES!$A:$A,0)))</f>
        <v/>
      </c>
      <c r="AH730">
        <f>IF($AG730="","",SUMIFS(OPERATING_COEFFS!$C:$C,OPERATING_COEFFS!$A:$A,"DistanceClass",OPERATING_COEFFS!$B:$B,$AG730))</f>
        <v/>
      </c>
      <c r="AJ730">
        <f>IF($AI730="","",SUMIFS(OPERATING_COEFFS!$C:$C,OPERATING_COEFFS!$A:$A,"SeasonClass",OPERATING_COEFFS!$B:$B,$AI730))</f>
        <v/>
      </c>
      <c r="AL730">
        <f>IF($AK730="","",SUMIFS(OPERATING_COEFFS!$C:$C,OPERATING_COEFFS!$A:$A,"UrgencyClass",OPERATING_COEFFS!$B:$B,$AK730))</f>
        <v/>
      </c>
      <c r="AN730">
        <f>IF($AM730="","",INDEX(TAX_MODES!$B:$B,MATCH($AM730,TAX_MODES!$A:$A,0)))</f>
        <v/>
      </c>
    </row>
    <row r="731">
      <c r="X731" s="15" t="n"/>
      <c r="Y731" s="15">
        <f>IF($X731="","",SUMIFS(TARIFF_PROFILES!$D:$D,TARIFF_PROFILES!$A:$A,$X731))</f>
        <v/>
      </c>
      <c r="Z731" s="15">
        <f>IF($X731="","",SUMIFS(TARIFF_PROFILES!$E:$E,TARIFF_PROFILES!$A:$A,$X731))</f>
        <v/>
      </c>
      <c r="AA731" s="15">
        <f>IF($X731="","",SUMIFS(TARIFF_PROFILES!$F:$F,TARIFF_PROFILES!$A:$A,$X731))</f>
        <v/>
      </c>
      <c r="AB731" s="15">
        <f>IF($X731="","",SUMIFS(TARIFF_PROFILES!$G:$G,TARIFF_PROFILES!$A:$A,$X731))</f>
        <v/>
      </c>
      <c r="AC731" s="15">
        <f>IF($X731="","",SUMIFS(TARIFF_PROFILES!$H:$H,TARIFF_PROFILES!$A:$A,$X731))</f>
        <v/>
      </c>
      <c r="AD731" s="15">
        <f>IF($X731="","",INDEX(TARIFF_PROFILES!$J:$J,MATCH($X731,TARIFF_PROFILES!$A:$A,0)))</f>
        <v/>
      </c>
      <c r="AE731" s="15">
        <f>IF($X731="","",INDEX(TARIFF_PROFILES!$K:$K,MATCH($X731,TARIFF_PROFILES!$A:$A,0)))</f>
        <v/>
      </c>
      <c r="AH731">
        <f>IF($AG731="","",SUMIFS(OPERATING_COEFFS!$C:$C,OPERATING_COEFFS!$A:$A,"DistanceClass",OPERATING_COEFFS!$B:$B,$AG731))</f>
        <v/>
      </c>
      <c r="AJ731">
        <f>IF($AI731="","",SUMIFS(OPERATING_COEFFS!$C:$C,OPERATING_COEFFS!$A:$A,"SeasonClass",OPERATING_COEFFS!$B:$B,$AI731))</f>
        <v/>
      </c>
      <c r="AL731">
        <f>IF($AK731="","",SUMIFS(OPERATING_COEFFS!$C:$C,OPERATING_COEFFS!$A:$A,"UrgencyClass",OPERATING_COEFFS!$B:$B,$AK731))</f>
        <v/>
      </c>
      <c r="AN731">
        <f>IF($AM731="","",INDEX(TAX_MODES!$B:$B,MATCH($AM731,TAX_MODES!$A:$A,0)))</f>
        <v/>
      </c>
    </row>
    <row r="732">
      <c r="X732" s="15" t="n"/>
      <c r="Y732" s="15">
        <f>IF($X732="","",SUMIFS(TARIFF_PROFILES!$D:$D,TARIFF_PROFILES!$A:$A,$X732))</f>
        <v/>
      </c>
      <c r="Z732" s="15">
        <f>IF($X732="","",SUMIFS(TARIFF_PROFILES!$E:$E,TARIFF_PROFILES!$A:$A,$X732))</f>
        <v/>
      </c>
      <c r="AA732" s="15">
        <f>IF($X732="","",SUMIFS(TARIFF_PROFILES!$F:$F,TARIFF_PROFILES!$A:$A,$X732))</f>
        <v/>
      </c>
      <c r="AB732" s="15">
        <f>IF($X732="","",SUMIFS(TARIFF_PROFILES!$G:$G,TARIFF_PROFILES!$A:$A,$X732))</f>
        <v/>
      </c>
      <c r="AC732" s="15">
        <f>IF($X732="","",SUMIFS(TARIFF_PROFILES!$H:$H,TARIFF_PROFILES!$A:$A,$X732))</f>
        <v/>
      </c>
      <c r="AD732" s="15">
        <f>IF($X732="","",INDEX(TARIFF_PROFILES!$J:$J,MATCH($X732,TARIFF_PROFILES!$A:$A,0)))</f>
        <v/>
      </c>
      <c r="AE732" s="15">
        <f>IF($X732="","",INDEX(TARIFF_PROFILES!$K:$K,MATCH($X732,TARIFF_PROFILES!$A:$A,0)))</f>
        <v/>
      </c>
      <c r="AH732">
        <f>IF($AG732="","",SUMIFS(OPERATING_COEFFS!$C:$C,OPERATING_COEFFS!$A:$A,"DistanceClass",OPERATING_COEFFS!$B:$B,$AG732))</f>
        <v/>
      </c>
      <c r="AJ732">
        <f>IF($AI732="","",SUMIFS(OPERATING_COEFFS!$C:$C,OPERATING_COEFFS!$A:$A,"SeasonClass",OPERATING_COEFFS!$B:$B,$AI732))</f>
        <v/>
      </c>
      <c r="AL732">
        <f>IF($AK732="","",SUMIFS(OPERATING_COEFFS!$C:$C,OPERATING_COEFFS!$A:$A,"UrgencyClass",OPERATING_COEFFS!$B:$B,$AK732))</f>
        <v/>
      </c>
      <c r="AN732">
        <f>IF($AM732="","",INDEX(TAX_MODES!$B:$B,MATCH($AM732,TAX_MODES!$A:$A,0)))</f>
        <v/>
      </c>
    </row>
    <row r="733">
      <c r="X733" s="15" t="n"/>
      <c r="Y733" s="15">
        <f>IF($X733="","",SUMIFS(TARIFF_PROFILES!$D:$D,TARIFF_PROFILES!$A:$A,$X733))</f>
        <v/>
      </c>
      <c r="Z733" s="15">
        <f>IF($X733="","",SUMIFS(TARIFF_PROFILES!$E:$E,TARIFF_PROFILES!$A:$A,$X733))</f>
        <v/>
      </c>
      <c r="AA733" s="15">
        <f>IF($X733="","",SUMIFS(TARIFF_PROFILES!$F:$F,TARIFF_PROFILES!$A:$A,$X733))</f>
        <v/>
      </c>
      <c r="AB733" s="15">
        <f>IF($X733="","",SUMIFS(TARIFF_PROFILES!$G:$G,TARIFF_PROFILES!$A:$A,$X733))</f>
        <v/>
      </c>
      <c r="AC733" s="15">
        <f>IF($X733="","",SUMIFS(TARIFF_PROFILES!$H:$H,TARIFF_PROFILES!$A:$A,$X733))</f>
        <v/>
      </c>
      <c r="AD733" s="15">
        <f>IF($X733="","",INDEX(TARIFF_PROFILES!$J:$J,MATCH($X733,TARIFF_PROFILES!$A:$A,0)))</f>
        <v/>
      </c>
      <c r="AE733" s="15">
        <f>IF($X733="","",INDEX(TARIFF_PROFILES!$K:$K,MATCH($X733,TARIFF_PROFILES!$A:$A,0)))</f>
        <v/>
      </c>
      <c r="AH733">
        <f>IF($AG733="","",SUMIFS(OPERATING_COEFFS!$C:$C,OPERATING_COEFFS!$A:$A,"DistanceClass",OPERATING_COEFFS!$B:$B,$AG733))</f>
        <v/>
      </c>
      <c r="AJ733">
        <f>IF($AI733="","",SUMIFS(OPERATING_COEFFS!$C:$C,OPERATING_COEFFS!$A:$A,"SeasonClass",OPERATING_COEFFS!$B:$B,$AI733))</f>
        <v/>
      </c>
      <c r="AL733">
        <f>IF($AK733="","",SUMIFS(OPERATING_COEFFS!$C:$C,OPERATING_COEFFS!$A:$A,"UrgencyClass",OPERATING_COEFFS!$B:$B,$AK733))</f>
        <v/>
      </c>
      <c r="AN733">
        <f>IF($AM733="","",INDEX(TAX_MODES!$B:$B,MATCH($AM733,TAX_MODES!$A:$A,0)))</f>
        <v/>
      </c>
    </row>
    <row r="734">
      <c r="X734" s="15" t="n"/>
      <c r="Y734" s="15">
        <f>IF($X734="","",SUMIFS(TARIFF_PROFILES!$D:$D,TARIFF_PROFILES!$A:$A,$X734))</f>
        <v/>
      </c>
      <c r="Z734" s="15">
        <f>IF($X734="","",SUMIFS(TARIFF_PROFILES!$E:$E,TARIFF_PROFILES!$A:$A,$X734))</f>
        <v/>
      </c>
      <c r="AA734" s="15">
        <f>IF($X734="","",SUMIFS(TARIFF_PROFILES!$F:$F,TARIFF_PROFILES!$A:$A,$X734))</f>
        <v/>
      </c>
      <c r="AB734" s="15">
        <f>IF($X734="","",SUMIFS(TARIFF_PROFILES!$G:$G,TARIFF_PROFILES!$A:$A,$X734))</f>
        <v/>
      </c>
      <c r="AC734" s="15">
        <f>IF($X734="","",SUMIFS(TARIFF_PROFILES!$H:$H,TARIFF_PROFILES!$A:$A,$X734))</f>
        <v/>
      </c>
      <c r="AD734" s="15">
        <f>IF($X734="","",INDEX(TARIFF_PROFILES!$J:$J,MATCH($X734,TARIFF_PROFILES!$A:$A,0)))</f>
        <v/>
      </c>
      <c r="AE734" s="15">
        <f>IF($X734="","",INDEX(TARIFF_PROFILES!$K:$K,MATCH($X734,TARIFF_PROFILES!$A:$A,0)))</f>
        <v/>
      </c>
      <c r="AH734">
        <f>IF($AG734="","",SUMIFS(OPERATING_COEFFS!$C:$C,OPERATING_COEFFS!$A:$A,"DistanceClass",OPERATING_COEFFS!$B:$B,$AG734))</f>
        <v/>
      </c>
      <c r="AJ734">
        <f>IF($AI734="","",SUMIFS(OPERATING_COEFFS!$C:$C,OPERATING_COEFFS!$A:$A,"SeasonClass",OPERATING_COEFFS!$B:$B,$AI734))</f>
        <v/>
      </c>
      <c r="AL734">
        <f>IF($AK734="","",SUMIFS(OPERATING_COEFFS!$C:$C,OPERATING_COEFFS!$A:$A,"UrgencyClass",OPERATING_COEFFS!$B:$B,$AK734))</f>
        <v/>
      </c>
      <c r="AN734">
        <f>IF($AM734="","",INDEX(TAX_MODES!$B:$B,MATCH($AM734,TAX_MODES!$A:$A,0)))</f>
        <v/>
      </c>
    </row>
    <row r="735">
      <c r="X735" s="15" t="n"/>
      <c r="Y735" s="15">
        <f>IF($X735="","",SUMIFS(TARIFF_PROFILES!$D:$D,TARIFF_PROFILES!$A:$A,$X735))</f>
        <v/>
      </c>
      <c r="Z735" s="15">
        <f>IF($X735="","",SUMIFS(TARIFF_PROFILES!$E:$E,TARIFF_PROFILES!$A:$A,$X735))</f>
        <v/>
      </c>
      <c r="AA735" s="15">
        <f>IF($X735="","",SUMIFS(TARIFF_PROFILES!$F:$F,TARIFF_PROFILES!$A:$A,$X735))</f>
        <v/>
      </c>
      <c r="AB735" s="15">
        <f>IF($X735="","",SUMIFS(TARIFF_PROFILES!$G:$G,TARIFF_PROFILES!$A:$A,$X735))</f>
        <v/>
      </c>
      <c r="AC735" s="15">
        <f>IF($X735="","",SUMIFS(TARIFF_PROFILES!$H:$H,TARIFF_PROFILES!$A:$A,$X735))</f>
        <v/>
      </c>
      <c r="AD735" s="15">
        <f>IF($X735="","",INDEX(TARIFF_PROFILES!$J:$J,MATCH($X735,TARIFF_PROFILES!$A:$A,0)))</f>
        <v/>
      </c>
      <c r="AE735" s="15">
        <f>IF($X735="","",INDEX(TARIFF_PROFILES!$K:$K,MATCH($X735,TARIFF_PROFILES!$A:$A,0)))</f>
        <v/>
      </c>
      <c r="AH735">
        <f>IF($AG735="","",SUMIFS(OPERATING_COEFFS!$C:$C,OPERATING_COEFFS!$A:$A,"DistanceClass",OPERATING_COEFFS!$B:$B,$AG735))</f>
        <v/>
      </c>
      <c r="AJ735">
        <f>IF($AI735="","",SUMIFS(OPERATING_COEFFS!$C:$C,OPERATING_COEFFS!$A:$A,"SeasonClass",OPERATING_COEFFS!$B:$B,$AI735))</f>
        <v/>
      </c>
      <c r="AL735">
        <f>IF($AK735="","",SUMIFS(OPERATING_COEFFS!$C:$C,OPERATING_COEFFS!$A:$A,"UrgencyClass",OPERATING_COEFFS!$B:$B,$AK735))</f>
        <v/>
      </c>
      <c r="AN735">
        <f>IF($AM735="","",INDEX(TAX_MODES!$B:$B,MATCH($AM735,TAX_MODES!$A:$A,0)))</f>
        <v/>
      </c>
    </row>
    <row r="736">
      <c r="X736" s="15" t="n"/>
      <c r="Y736" s="15">
        <f>IF($X736="","",SUMIFS(TARIFF_PROFILES!$D:$D,TARIFF_PROFILES!$A:$A,$X736))</f>
        <v/>
      </c>
      <c r="Z736" s="15">
        <f>IF($X736="","",SUMIFS(TARIFF_PROFILES!$E:$E,TARIFF_PROFILES!$A:$A,$X736))</f>
        <v/>
      </c>
      <c r="AA736" s="15">
        <f>IF($X736="","",SUMIFS(TARIFF_PROFILES!$F:$F,TARIFF_PROFILES!$A:$A,$X736))</f>
        <v/>
      </c>
      <c r="AB736" s="15">
        <f>IF($X736="","",SUMIFS(TARIFF_PROFILES!$G:$G,TARIFF_PROFILES!$A:$A,$X736))</f>
        <v/>
      </c>
      <c r="AC736" s="15">
        <f>IF($X736="","",SUMIFS(TARIFF_PROFILES!$H:$H,TARIFF_PROFILES!$A:$A,$X736))</f>
        <v/>
      </c>
      <c r="AD736" s="15">
        <f>IF($X736="","",INDEX(TARIFF_PROFILES!$J:$J,MATCH($X736,TARIFF_PROFILES!$A:$A,0)))</f>
        <v/>
      </c>
      <c r="AE736" s="15">
        <f>IF($X736="","",INDEX(TARIFF_PROFILES!$K:$K,MATCH($X736,TARIFF_PROFILES!$A:$A,0)))</f>
        <v/>
      </c>
      <c r="AH736">
        <f>IF($AG736="","",SUMIFS(OPERATING_COEFFS!$C:$C,OPERATING_COEFFS!$A:$A,"DistanceClass",OPERATING_COEFFS!$B:$B,$AG736))</f>
        <v/>
      </c>
      <c r="AJ736">
        <f>IF($AI736="","",SUMIFS(OPERATING_COEFFS!$C:$C,OPERATING_COEFFS!$A:$A,"SeasonClass",OPERATING_COEFFS!$B:$B,$AI736))</f>
        <v/>
      </c>
      <c r="AL736">
        <f>IF($AK736="","",SUMIFS(OPERATING_COEFFS!$C:$C,OPERATING_COEFFS!$A:$A,"UrgencyClass",OPERATING_COEFFS!$B:$B,$AK736))</f>
        <v/>
      </c>
      <c r="AN736">
        <f>IF($AM736="","",INDEX(TAX_MODES!$B:$B,MATCH($AM736,TAX_MODES!$A:$A,0)))</f>
        <v/>
      </c>
    </row>
    <row r="737">
      <c r="X737" s="15" t="n"/>
      <c r="Y737" s="15">
        <f>IF($X737="","",SUMIFS(TARIFF_PROFILES!$D:$D,TARIFF_PROFILES!$A:$A,$X737))</f>
        <v/>
      </c>
      <c r="Z737" s="15">
        <f>IF($X737="","",SUMIFS(TARIFF_PROFILES!$E:$E,TARIFF_PROFILES!$A:$A,$X737))</f>
        <v/>
      </c>
      <c r="AA737" s="15">
        <f>IF($X737="","",SUMIFS(TARIFF_PROFILES!$F:$F,TARIFF_PROFILES!$A:$A,$X737))</f>
        <v/>
      </c>
      <c r="AB737" s="15">
        <f>IF($X737="","",SUMIFS(TARIFF_PROFILES!$G:$G,TARIFF_PROFILES!$A:$A,$X737))</f>
        <v/>
      </c>
      <c r="AC737" s="15">
        <f>IF($X737="","",SUMIFS(TARIFF_PROFILES!$H:$H,TARIFF_PROFILES!$A:$A,$X737))</f>
        <v/>
      </c>
      <c r="AD737" s="15">
        <f>IF($X737="","",INDEX(TARIFF_PROFILES!$J:$J,MATCH($X737,TARIFF_PROFILES!$A:$A,0)))</f>
        <v/>
      </c>
      <c r="AE737" s="15">
        <f>IF($X737="","",INDEX(TARIFF_PROFILES!$K:$K,MATCH($X737,TARIFF_PROFILES!$A:$A,0)))</f>
        <v/>
      </c>
      <c r="AH737">
        <f>IF($AG737="","",SUMIFS(OPERATING_COEFFS!$C:$C,OPERATING_COEFFS!$A:$A,"DistanceClass",OPERATING_COEFFS!$B:$B,$AG737))</f>
        <v/>
      </c>
      <c r="AJ737">
        <f>IF($AI737="","",SUMIFS(OPERATING_COEFFS!$C:$C,OPERATING_COEFFS!$A:$A,"SeasonClass",OPERATING_COEFFS!$B:$B,$AI737))</f>
        <v/>
      </c>
      <c r="AL737">
        <f>IF($AK737="","",SUMIFS(OPERATING_COEFFS!$C:$C,OPERATING_COEFFS!$A:$A,"UrgencyClass",OPERATING_COEFFS!$B:$B,$AK737))</f>
        <v/>
      </c>
      <c r="AN737">
        <f>IF($AM737="","",INDEX(TAX_MODES!$B:$B,MATCH($AM737,TAX_MODES!$A:$A,0)))</f>
        <v/>
      </c>
    </row>
    <row r="738">
      <c r="X738" s="15" t="n"/>
      <c r="Y738" s="15">
        <f>IF($X738="","",SUMIFS(TARIFF_PROFILES!$D:$D,TARIFF_PROFILES!$A:$A,$X738))</f>
        <v/>
      </c>
      <c r="Z738" s="15">
        <f>IF($X738="","",SUMIFS(TARIFF_PROFILES!$E:$E,TARIFF_PROFILES!$A:$A,$X738))</f>
        <v/>
      </c>
      <c r="AA738" s="15">
        <f>IF($X738="","",SUMIFS(TARIFF_PROFILES!$F:$F,TARIFF_PROFILES!$A:$A,$X738))</f>
        <v/>
      </c>
      <c r="AB738" s="15">
        <f>IF($X738="","",SUMIFS(TARIFF_PROFILES!$G:$G,TARIFF_PROFILES!$A:$A,$X738))</f>
        <v/>
      </c>
      <c r="AC738" s="15">
        <f>IF($X738="","",SUMIFS(TARIFF_PROFILES!$H:$H,TARIFF_PROFILES!$A:$A,$X738))</f>
        <v/>
      </c>
      <c r="AD738" s="15">
        <f>IF($X738="","",INDEX(TARIFF_PROFILES!$J:$J,MATCH($X738,TARIFF_PROFILES!$A:$A,0)))</f>
        <v/>
      </c>
      <c r="AE738" s="15">
        <f>IF($X738="","",INDEX(TARIFF_PROFILES!$K:$K,MATCH($X738,TARIFF_PROFILES!$A:$A,0)))</f>
        <v/>
      </c>
      <c r="AH738">
        <f>IF($AG738="","",SUMIFS(OPERATING_COEFFS!$C:$C,OPERATING_COEFFS!$A:$A,"DistanceClass",OPERATING_COEFFS!$B:$B,$AG738))</f>
        <v/>
      </c>
      <c r="AJ738">
        <f>IF($AI738="","",SUMIFS(OPERATING_COEFFS!$C:$C,OPERATING_COEFFS!$A:$A,"SeasonClass",OPERATING_COEFFS!$B:$B,$AI738))</f>
        <v/>
      </c>
      <c r="AL738">
        <f>IF($AK738="","",SUMIFS(OPERATING_COEFFS!$C:$C,OPERATING_COEFFS!$A:$A,"UrgencyClass",OPERATING_COEFFS!$B:$B,$AK738))</f>
        <v/>
      </c>
      <c r="AN738">
        <f>IF($AM738="","",INDEX(TAX_MODES!$B:$B,MATCH($AM738,TAX_MODES!$A:$A,0)))</f>
        <v/>
      </c>
    </row>
    <row r="739">
      <c r="X739" s="15" t="n"/>
      <c r="Y739" s="15">
        <f>IF($X739="","",SUMIFS(TARIFF_PROFILES!$D:$D,TARIFF_PROFILES!$A:$A,$X739))</f>
        <v/>
      </c>
      <c r="Z739" s="15">
        <f>IF($X739="","",SUMIFS(TARIFF_PROFILES!$E:$E,TARIFF_PROFILES!$A:$A,$X739))</f>
        <v/>
      </c>
      <c r="AA739" s="15">
        <f>IF($X739="","",SUMIFS(TARIFF_PROFILES!$F:$F,TARIFF_PROFILES!$A:$A,$X739))</f>
        <v/>
      </c>
      <c r="AB739" s="15">
        <f>IF($X739="","",SUMIFS(TARIFF_PROFILES!$G:$G,TARIFF_PROFILES!$A:$A,$X739))</f>
        <v/>
      </c>
      <c r="AC739" s="15">
        <f>IF($X739="","",SUMIFS(TARIFF_PROFILES!$H:$H,TARIFF_PROFILES!$A:$A,$X739))</f>
        <v/>
      </c>
      <c r="AD739" s="15">
        <f>IF($X739="","",INDEX(TARIFF_PROFILES!$J:$J,MATCH($X739,TARIFF_PROFILES!$A:$A,0)))</f>
        <v/>
      </c>
      <c r="AE739" s="15">
        <f>IF($X739="","",INDEX(TARIFF_PROFILES!$K:$K,MATCH($X739,TARIFF_PROFILES!$A:$A,0)))</f>
        <v/>
      </c>
      <c r="AH739">
        <f>IF($AG739="","",SUMIFS(OPERATING_COEFFS!$C:$C,OPERATING_COEFFS!$A:$A,"DistanceClass",OPERATING_COEFFS!$B:$B,$AG739))</f>
        <v/>
      </c>
      <c r="AJ739">
        <f>IF($AI739="","",SUMIFS(OPERATING_COEFFS!$C:$C,OPERATING_COEFFS!$A:$A,"SeasonClass",OPERATING_COEFFS!$B:$B,$AI739))</f>
        <v/>
      </c>
      <c r="AL739">
        <f>IF($AK739="","",SUMIFS(OPERATING_COEFFS!$C:$C,OPERATING_COEFFS!$A:$A,"UrgencyClass",OPERATING_COEFFS!$B:$B,$AK739))</f>
        <v/>
      </c>
      <c r="AN739">
        <f>IF($AM739="","",INDEX(TAX_MODES!$B:$B,MATCH($AM739,TAX_MODES!$A:$A,0)))</f>
        <v/>
      </c>
    </row>
    <row r="740">
      <c r="X740" s="15" t="n"/>
      <c r="Y740" s="15">
        <f>IF($X740="","",SUMIFS(TARIFF_PROFILES!$D:$D,TARIFF_PROFILES!$A:$A,$X740))</f>
        <v/>
      </c>
      <c r="Z740" s="15">
        <f>IF($X740="","",SUMIFS(TARIFF_PROFILES!$E:$E,TARIFF_PROFILES!$A:$A,$X740))</f>
        <v/>
      </c>
      <c r="AA740" s="15">
        <f>IF($X740="","",SUMIFS(TARIFF_PROFILES!$F:$F,TARIFF_PROFILES!$A:$A,$X740))</f>
        <v/>
      </c>
      <c r="AB740" s="15">
        <f>IF($X740="","",SUMIFS(TARIFF_PROFILES!$G:$G,TARIFF_PROFILES!$A:$A,$X740))</f>
        <v/>
      </c>
      <c r="AC740" s="15">
        <f>IF($X740="","",SUMIFS(TARIFF_PROFILES!$H:$H,TARIFF_PROFILES!$A:$A,$X740))</f>
        <v/>
      </c>
      <c r="AD740" s="15">
        <f>IF($X740="","",INDEX(TARIFF_PROFILES!$J:$J,MATCH($X740,TARIFF_PROFILES!$A:$A,0)))</f>
        <v/>
      </c>
      <c r="AE740" s="15">
        <f>IF($X740="","",INDEX(TARIFF_PROFILES!$K:$K,MATCH($X740,TARIFF_PROFILES!$A:$A,0)))</f>
        <v/>
      </c>
      <c r="AH740">
        <f>IF($AG740="","",SUMIFS(OPERATING_COEFFS!$C:$C,OPERATING_COEFFS!$A:$A,"DistanceClass",OPERATING_COEFFS!$B:$B,$AG740))</f>
        <v/>
      </c>
      <c r="AJ740">
        <f>IF($AI740="","",SUMIFS(OPERATING_COEFFS!$C:$C,OPERATING_COEFFS!$A:$A,"SeasonClass",OPERATING_COEFFS!$B:$B,$AI740))</f>
        <v/>
      </c>
      <c r="AL740">
        <f>IF($AK740="","",SUMIFS(OPERATING_COEFFS!$C:$C,OPERATING_COEFFS!$A:$A,"UrgencyClass",OPERATING_COEFFS!$B:$B,$AK740))</f>
        <v/>
      </c>
      <c r="AN740">
        <f>IF($AM740="","",INDEX(TAX_MODES!$B:$B,MATCH($AM740,TAX_MODES!$A:$A,0)))</f>
        <v/>
      </c>
    </row>
    <row r="741">
      <c r="X741" s="15" t="n"/>
      <c r="Y741" s="15">
        <f>IF($X741="","",SUMIFS(TARIFF_PROFILES!$D:$D,TARIFF_PROFILES!$A:$A,$X741))</f>
        <v/>
      </c>
      <c r="Z741" s="15">
        <f>IF($X741="","",SUMIFS(TARIFF_PROFILES!$E:$E,TARIFF_PROFILES!$A:$A,$X741))</f>
        <v/>
      </c>
      <c r="AA741" s="15">
        <f>IF($X741="","",SUMIFS(TARIFF_PROFILES!$F:$F,TARIFF_PROFILES!$A:$A,$X741))</f>
        <v/>
      </c>
      <c r="AB741" s="15">
        <f>IF($X741="","",SUMIFS(TARIFF_PROFILES!$G:$G,TARIFF_PROFILES!$A:$A,$X741))</f>
        <v/>
      </c>
      <c r="AC741" s="15">
        <f>IF($X741="","",SUMIFS(TARIFF_PROFILES!$H:$H,TARIFF_PROFILES!$A:$A,$X741))</f>
        <v/>
      </c>
      <c r="AD741" s="15">
        <f>IF($X741="","",INDEX(TARIFF_PROFILES!$J:$J,MATCH($X741,TARIFF_PROFILES!$A:$A,0)))</f>
        <v/>
      </c>
      <c r="AE741" s="15">
        <f>IF($X741="","",INDEX(TARIFF_PROFILES!$K:$K,MATCH($X741,TARIFF_PROFILES!$A:$A,0)))</f>
        <v/>
      </c>
      <c r="AH741">
        <f>IF($AG741="","",SUMIFS(OPERATING_COEFFS!$C:$C,OPERATING_COEFFS!$A:$A,"DistanceClass",OPERATING_COEFFS!$B:$B,$AG741))</f>
        <v/>
      </c>
      <c r="AJ741">
        <f>IF($AI741="","",SUMIFS(OPERATING_COEFFS!$C:$C,OPERATING_COEFFS!$A:$A,"SeasonClass",OPERATING_COEFFS!$B:$B,$AI741))</f>
        <v/>
      </c>
      <c r="AL741">
        <f>IF($AK741="","",SUMIFS(OPERATING_COEFFS!$C:$C,OPERATING_COEFFS!$A:$A,"UrgencyClass",OPERATING_COEFFS!$B:$B,$AK741))</f>
        <v/>
      </c>
      <c r="AN741">
        <f>IF($AM741="","",INDEX(TAX_MODES!$B:$B,MATCH($AM741,TAX_MODES!$A:$A,0)))</f>
        <v/>
      </c>
    </row>
    <row r="742">
      <c r="X742" s="15" t="n"/>
      <c r="Y742" s="15">
        <f>IF($X742="","",SUMIFS(TARIFF_PROFILES!$D:$D,TARIFF_PROFILES!$A:$A,$X742))</f>
        <v/>
      </c>
      <c r="Z742" s="15">
        <f>IF($X742="","",SUMIFS(TARIFF_PROFILES!$E:$E,TARIFF_PROFILES!$A:$A,$X742))</f>
        <v/>
      </c>
      <c r="AA742" s="15">
        <f>IF($X742="","",SUMIFS(TARIFF_PROFILES!$F:$F,TARIFF_PROFILES!$A:$A,$X742))</f>
        <v/>
      </c>
      <c r="AB742" s="15">
        <f>IF($X742="","",SUMIFS(TARIFF_PROFILES!$G:$G,TARIFF_PROFILES!$A:$A,$X742))</f>
        <v/>
      </c>
      <c r="AC742" s="15">
        <f>IF($X742="","",SUMIFS(TARIFF_PROFILES!$H:$H,TARIFF_PROFILES!$A:$A,$X742))</f>
        <v/>
      </c>
      <c r="AD742" s="15">
        <f>IF($X742="","",INDEX(TARIFF_PROFILES!$J:$J,MATCH($X742,TARIFF_PROFILES!$A:$A,0)))</f>
        <v/>
      </c>
      <c r="AE742" s="15">
        <f>IF($X742="","",INDEX(TARIFF_PROFILES!$K:$K,MATCH($X742,TARIFF_PROFILES!$A:$A,0)))</f>
        <v/>
      </c>
      <c r="AH742">
        <f>IF($AG742="","",SUMIFS(OPERATING_COEFFS!$C:$C,OPERATING_COEFFS!$A:$A,"DistanceClass",OPERATING_COEFFS!$B:$B,$AG742))</f>
        <v/>
      </c>
      <c r="AJ742">
        <f>IF($AI742="","",SUMIFS(OPERATING_COEFFS!$C:$C,OPERATING_COEFFS!$A:$A,"SeasonClass",OPERATING_COEFFS!$B:$B,$AI742))</f>
        <v/>
      </c>
      <c r="AL742">
        <f>IF($AK742="","",SUMIFS(OPERATING_COEFFS!$C:$C,OPERATING_COEFFS!$A:$A,"UrgencyClass",OPERATING_COEFFS!$B:$B,$AK742))</f>
        <v/>
      </c>
      <c r="AN742">
        <f>IF($AM742="","",INDEX(TAX_MODES!$B:$B,MATCH($AM742,TAX_MODES!$A:$A,0)))</f>
        <v/>
      </c>
    </row>
    <row r="743">
      <c r="X743" s="15" t="n"/>
      <c r="Y743" s="15">
        <f>IF($X743="","",SUMIFS(TARIFF_PROFILES!$D:$D,TARIFF_PROFILES!$A:$A,$X743))</f>
        <v/>
      </c>
      <c r="Z743" s="15">
        <f>IF($X743="","",SUMIFS(TARIFF_PROFILES!$E:$E,TARIFF_PROFILES!$A:$A,$X743))</f>
        <v/>
      </c>
      <c r="AA743" s="15">
        <f>IF($X743="","",SUMIFS(TARIFF_PROFILES!$F:$F,TARIFF_PROFILES!$A:$A,$X743))</f>
        <v/>
      </c>
      <c r="AB743" s="15">
        <f>IF($X743="","",SUMIFS(TARIFF_PROFILES!$G:$G,TARIFF_PROFILES!$A:$A,$X743))</f>
        <v/>
      </c>
      <c r="AC743" s="15">
        <f>IF($X743="","",SUMIFS(TARIFF_PROFILES!$H:$H,TARIFF_PROFILES!$A:$A,$X743))</f>
        <v/>
      </c>
      <c r="AD743" s="15">
        <f>IF($X743="","",INDEX(TARIFF_PROFILES!$J:$J,MATCH($X743,TARIFF_PROFILES!$A:$A,0)))</f>
        <v/>
      </c>
      <c r="AE743" s="15">
        <f>IF($X743="","",INDEX(TARIFF_PROFILES!$K:$K,MATCH($X743,TARIFF_PROFILES!$A:$A,0)))</f>
        <v/>
      </c>
      <c r="AH743">
        <f>IF($AG743="","",SUMIFS(OPERATING_COEFFS!$C:$C,OPERATING_COEFFS!$A:$A,"DistanceClass",OPERATING_COEFFS!$B:$B,$AG743))</f>
        <v/>
      </c>
      <c r="AJ743">
        <f>IF($AI743="","",SUMIFS(OPERATING_COEFFS!$C:$C,OPERATING_COEFFS!$A:$A,"SeasonClass",OPERATING_COEFFS!$B:$B,$AI743))</f>
        <v/>
      </c>
      <c r="AL743">
        <f>IF($AK743="","",SUMIFS(OPERATING_COEFFS!$C:$C,OPERATING_COEFFS!$A:$A,"UrgencyClass",OPERATING_COEFFS!$B:$B,$AK743))</f>
        <v/>
      </c>
      <c r="AN743">
        <f>IF($AM743="","",INDEX(TAX_MODES!$B:$B,MATCH($AM743,TAX_MODES!$A:$A,0)))</f>
        <v/>
      </c>
    </row>
    <row r="744">
      <c r="X744" s="15" t="n"/>
      <c r="Y744" s="15">
        <f>IF($X744="","",SUMIFS(TARIFF_PROFILES!$D:$D,TARIFF_PROFILES!$A:$A,$X744))</f>
        <v/>
      </c>
      <c r="Z744" s="15">
        <f>IF($X744="","",SUMIFS(TARIFF_PROFILES!$E:$E,TARIFF_PROFILES!$A:$A,$X744))</f>
        <v/>
      </c>
      <c r="AA744" s="15">
        <f>IF($X744="","",SUMIFS(TARIFF_PROFILES!$F:$F,TARIFF_PROFILES!$A:$A,$X744))</f>
        <v/>
      </c>
      <c r="AB744" s="15">
        <f>IF($X744="","",SUMIFS(TARIFF_PROFILES!$G:$G,TARIFF_PROFILES!$A:$A,$X744))</f>
        <v/>
      </c>
      <c r="AC744" s="15">
        <f>IF($X744="","",SUMIFS(TARIFF_PROFILES!$H:$H,TARIFF_PROFILES!$A:$A,$X744))</f>
        <v/>
      </c>
      <c r="AD744" s="15">
        <f>IF($X744="","",INDEX(TARIFF_PROFILES!$J:$J,MATCH($X744,TARIFF_PROFILES!$A:$A,0)))</f>
        <v/>
      </c>
      <c r="AE744" s="15">
        <f>IF($X744="","",INDEX(TARIFF_PROFILES!$K:$K,MATCH($X744,TARIFF_PROFILES!$A:$A,0)))</f>
        <v/>
      </c>
      <c r="AH744">
        <f>IF($AG744="","",SUMIFS(OPERATING_COEFFS!$C:$C,OPERATING_COEFFS!$A:$A,"DistanceClass",OPERATING_COEFFS!$B:$B,$AG744))</f>
        <v/>
      </c>
      <c r="AJ744">
        <f>IF($AI744="","",SUMIFS(OPERATING_COEFFS!$C:$C,OPERATING_COEFFS!$A:$A,"SeasonClass",OPERATING_COEFFS!$B:$B,$AI744))</f>
        <v/>
      </c>
      <c r="AL744">
        <f>IF($AK744="","",SUMIFS(OPERATING_COEFFS!$C:$C,OPERATING_COEFFS!$A:$A,"UrgencyClass",OPERATING_COEFFS!$B:$B,$AK744))</f>
        <v/>
      </c>
      <c r="AN744">
        <f>IF($AM744="","",INDEX(TAX_MODES!$B:$B,MATCH($AM744,TAX_MODES!$A:$A,0)))</f>
        <v/>
      </c>
    </row>
    <row r="745">
      <c r="X745" s="15" t="n"/>
      <c r="Y745" s="15">
        <f>IF($X745="","",SUMIFS(TARIFF_PROFILES!$D:$D,TARIFF_PROFILES!$A:$A,$X745))</f>
        <v/>
      </c>
      <c r="Z745" s="15">
        <f>IF($X745="","",SUMIFS(TARIFF_PROFILES!$E:$E,TARIFF_PROFILES!$A:$A,$X745))</f>
        <v/>
      </c>
      <c r="AA745" s="15">
        <f>IF($X745="","",SUMIFS(TARIFF_PROFILES!$F:$F,TARIFF_PROFILES!$A:$A,$X745))</f>
        <v/>
      </c>
      <c r="AB745" s="15">
        <f>IF($X745="","",SUMIFS(TARIFF_PROFILES!$G:$G,TARIFF_PROFILES!$A:$A,$X745))</f>
        <v/>
      </c>
      <c r="AC745" s="15">
        <f>IF($X745="","",SUMIFS(TARIFF_PROFILES!$H:$H,TARIFF_PROFILES!$A:$A,$X745))</f>
        <v/>
      </c>
      <c r="AD745" s="15">
        <f>IF($X745="","",INDEX(TARIFF_PROFILES!$J:$J,MATCH($X745,TARIFF_PROFILES!$A:$A,0)))</f>
        <v/>
      </c>
      <c r="AE745" s="15">
        <f>IF($X745="","",INDEX(TARIFF_PROFILES!$K:$K,MATCH($X745,TARIFF_PROFILES!$A:$A,0)))</f>
        <v/>
      </c>
      <c r="AH745">
        <f>IF($AG745="","",SUMIFS(OPERATING_COEFFS!$C:$C,OPERATING_COEFFS!$A:$A,"DistanceClass",OPERATING_COEFFS!$B:$B,$AG745))</f>
        <v/>
      </c>
      <c r="AJ745">
        <f>IF($AI745="","",SUMIFS(OPERATING_COEFFS!$C:$C,OPERATING_COEFFS!$A:$A,"SeasonClass",OPERATING_COEFFS!$B:$B,$AI745))</f>
        <v/>
      </c>
      <c r="AL745">
        <f>IF($AK745="","",SUMIFS(OPERATING_COEFFS!$C:$C,OPERATING_COEFFS!$A:$A,"UrgencyClass",OPERATING_COEFFS!$B:$B,$AK745))</f>
        <v/>
      </c>
      <c r="AN745">
        <f>IF($AM745="","",INDEX(TAX_MODES!$B:$B,MATCH($AM745,TAX_MODES!$A:$A,0)))</f>
        <v/>
      </c>
    </row>
    <row r="746">
      <c r="X746" s="15" t="n"/>
      <c r="Y746" s="15">
        <f>IF($X746="","",SUMIFS(TARIFF_PROFILES!$D:$D,TARIFF_PROFILES!$A:$A,$X746))</f>
        <v/>
      </c>
      <c r="Z746" s="15">
        <f>IF($X746="","",SUMIFS(TARIFF_PROFILES!$E:$E,TARIFF_PROFILES!$A:$A,$X746))</f>
        <v/>
      </c>
      <c r="AA746" s="15">
        <f>IF($X746="","",SUMIFS(TARIFF_PROFILES!$F:$F,TARIFF_PROFILES!$A:$A,$X746))</f>
        <v/>
      </c>
      <c r="AB746" s="15">
        <f>IF($X746="","",SUMIFS(TARIFF_PROFILES!$G:$G,TARIFF_PROFILES!$A:$A,$X746))</f>
        <v/>
      </c>
      <c r="AC746" s="15">
        <f>IF($X746="","",SUMIFS(TARIFF_PROFILES!$H:$H,TARIFF_PROFILES!$A:$A,$X746))</f>
        <v/>
      </c>
      <c r="AD746" s="15">
        <f>IF($X746="","",INDEX(TARIFF_PROFILES!$J:$J,MATCH($X746,TARIFF_PROFILES!$A:$A,0)))</f>
        <v/>
      </c>
      <c r="AE746" s="15">
        <f>IF($X746="","",INDEX(TARIFF_PROFILES!$K:$K,MATCH($X746,TARIFF_PROFILES!$A:$A,0)))</f>
        <v/>
      </c>
      <c r="AH746">
        <f>IF($AG746="","",SUMIFS(OPERATING_COEFFS!$C:$C,OPERATING_COEFFS!$A:$A,"DistanceClass",OPERATING_COEFFS!$B:$B,$AG746))</f>
        <v/>
      </c>
      <c r="AJ746">
        <f>IF($AI746="","",SUMIFS(OPERATING_COEFFS!$C:$C,OPERATING_COEFFS!$A:$A,"SeasonClass",OPERATING_COEFFS!$B:$B,$AI746))</f>
        <v/>
      </c>
      <c r="AL746">
        <f>IF($AK746="","",SUMIFS(OPERATING_COEFFS!$C:$C,OPERATING_COEFFS!$A:$A,"UrgencyClass",OPERATING_COEFFS!$B:$B,$AK746))</f>
        <v/>
      </c>
      <c r="AN746">
        <f>IF($AM746="","",INDEX(TAX_MODES!$B:$B,MATCH($AM746,TAX_MODES!$A:$A,0)))</f>
        <v/>
      </c>
    </row>
    <row r="747">
      <c r="X747" s="15" t="n"/>
      <c r="Y747" s="15">
        <f>IF($X747="","",SUMIFS(TARIFF_PROFILES!$D:$D,TARIFF_PROFILES!$A:$A,$X747))</f>
        <v/>
      </c>
      <c r="Z747" s="15">
        <f>IF($X747="","",SUMIFS(TARIFF_PROFILES!$E:$E,TARIFF_PROFILES!$A:$A,$X747))</f>
        <v/>
      </c>
      <c r="AA747" s="15">
        <f>IF($X747="","",SUMIFS(TARIFF_PROFILES!$F:$F,TARIFF_PROFILES!$A:$A,$X747))</f>
        <v/>
      </c>
      <c r="AB747" s="15">
        <f>IF($X747="","",SUMIFS(TARIFF_PROFILES!$G:$G,TARIFF_PROFILES!$A:$A,$X747))</f>
        <v/>
      </c>
      <c r="AC747" s="15">
        <f>IF($X747="","",SUMIFS(TARIFF_PROFILES!$H:$H,TARIFF_PROFILES!$A:$A,$X747))</f>
        <v/>
      </c>
      <c r="AD747" s="15">
        <f>IF($X747="","",INDEX(TARIFF_PROFILES!$J:$J,MATCH($X747,TARIFF_PROFILES!$A:$A,0)))</f>
        <v/>
      </c>
      <c r="AE747" s="15">
        <f>IF($X747="","",INDEX(TARIFF_PROFILES!$K:$K,MATCH($X747,TARIFF_PROFILES!$A:$A,0)))</f>
        <v/>
      </c>
      <c r="AH747">
        <f>IF($AG747="","",SUMIFS(OPERATING_COEFFS!$C:$C,OPERATING_COEFFS!$A:$A,"DistanceClass",OPERATING_COEFFS!$B:$B,$AG747))</f>
        <v/>
      </c>
      <c r="AJ747">
        <f>IF($AI747="","",SUMIFS(OPERATING_COEFFS!$C:$C,OPERATING_COEFFS!$A:$A,"SeasonClass",OPERATING_COEFFS!$B:$B,$AI747))</f>
        <v/>
      </c>
      <c r="AL747">
        <f>IF($AK747="","",SUMIFS(OPERATING_COEFFS!$C:$C,OPERATING_COEFFS!$A:$A,"UrgencyClass",OPERATING_COEFFS!$B:$B,$AK747))</f>
        <v/>
      </c>
      <c r="AN747">
        <f>IF($AM747="","",INDEX(TAX_MODES!$B:$B,MATCH($AM747,TAX_MODES!$A:$A,0)))</f>
        <v/>
      </c>
    </row>
    <row r="748">
      <c r="X748" s="15" t="n"/>
      <c r="Y748" s="15">
        <f>IF($X748="","",SUMIFS(TARIFF_PROFILES!$D:$D,TARIFF_PROFILES!$A:$A,$X748))</f>
        <v/>
      </c>
      <c r="Z748" s="15">
        <f>IF($X748="","",SUMIFS(TARIFF_PROFILES!$E:$E,TARIFF_PROFILES!$A:$A,$X748))</f>
        <v/>
      </c>
      <c r="AA748" s="15">
        <f>IF($X748="","",SUMIFS(TARIFF_PROFILES!$F:$F,TARIFF_PROFILES!$A:$A,$X748))</f>
        <v/>
      </c>
      <c r="AB748" s="15">
        <f>IF($X748="","",SUMIFS(TARIFF_PROFILES!$G:$G,TARIFF_PROFILES!$A:$A,$X748))</f>
        <v/>
      </c>
      <c r="AC748" s="15">
        <f>IF($X748="","",SUMIFS(TARIFF_PROFILES!$H:$H,TARIFF_PROFILES!$A:$A,$X748))</f>
        <v/>
      </c>
      <c r="AD748" s="15">
        <f>IF($X748="","",INDEX(TARIFF_PROFILES!$J:$J,MATCH($X748,TARIFF_PROFILES!$A:$A,0)))</f>
        <v/>
      </c>
      <c r="AE748" s="15">
        <f>IF($X748="","",INDEX(TARIFF_PROFILES!$K:$K,MATCH($X748,TARIFF_PROFILES!$A:$A,0)))</f>
        <v/>
      </c>
      <c r="AH748">
        <f>IF($AG748="","",SUMIFS(OPERATING_COEFFS!$C:$C,OPERATING_COEFFS!$A:$A,"DistanceClass",OPERATING_COEFFS!$B:$B,$AG748))</f>
        <v/>
      </c>
      <c r="AJ748">
        <f>IF($AI748="","",SUMIFS(OPERATING_COEFFS!$C:$C,OPERATING_COEFFS!$A:$A,"SeasonClass",OPERATING_COEFFS!$B:$B,$AI748))</f>
        <v/>
      </c>
      <c r="AL748">
        <f>IF($AK748="","",SUMIFS(OPERATING_COEFFS!$C:$C,OPERATING_COEFFS!$A:$A,"UrgencyClass",OPERATING_COEFFS!$B:$B,$AK748))</f>
        <v/>
      </c>
      <c r="AN748">
        <f>IF($AM748="","",INDEX(TAX_MODES!$B:$B,MATCH($AM748,TAX_MODES!$A:$A,0)))</f>
        <v/>
      </c>
    </row>
    <row r="749">
      <c r="X749" s="15" t="n"/>
      <c r="Y749" s="15">
        <f>IF($X749="","",SUMIFS(TARIFF_PROFILES!$D:$D,TARIFF_PROFILES!$A:$A,$X749))</f>
        <v/>
      </c>
      <c r="Z749" s="15">
        <f>IF($X749="","",SUMIFS(TARIFF_PROFILES!$E:$E,TARIFF_PROFILES!$A:$A,$X749))</f>
        <v/>
      </c>
      <c r="AA749" s="15">
        <f>IF($X749="","",SUMIFS(TARIFF_PROFILES!$F:$F,TARIFF_PROFILES!$A:$A,$X749))</f>
        <v/>
      </c>
      <c r="AB749" s="15">
        <f>IF($X749="","",SUMIFS(TARIFF_PROFILES!$G:$G,TARIFF_PROFILES!$A:$A,$X749))</f>
        <v/>
      </c>
      <c r="AC749" s="15">
        <f>IF($X749="","",SUMIFS(TARIFF_PROFILES!$H:$H,TARIFF_PROFILES!$A:$A,$X749))</f>
        <v/>
      </c>
      <c r="AD749" s="15">
        <f>IF($X749="","",INDEX(TARIFF_PROFILES!$J:$J,MATCH($X749,TARIFF_PROFILES!$A:$A,0)))</f>
        <v/>
      </c>
      <c r="AE749" s="15">
        <f>IF($X749="","",INDEX(TARIFF_PROFILES!$K:$K,MATCH($X749,TARIFF_PROFILES!$A:$A,0)))</f>
        <v/>
      </c>
      <c r="AH749">
        <f>IF($AG749="","",SUMIFS(OPERATING_COEFFS!$C:$C,OPERATING_COEFFS!$A:$A,"DistanceClass",OPERATING_COEFFS!$B:$B,$AG749))</f>
        <v/>
      </c>
      <c r="AJ749">
        <f>IF($AI749="","",SUMIFS(OPERATING_COEFFS!$C:$C,OPERATING_COEFFS!$A:$A,"SeasonClass",OPERATING_COEFFS!$B:$B,$AI749))</f>
        <v/>
      </c>
      <c r="AL749">
        <f>IF($AK749="","",SUMIFS(OPERATING_COEFFS!$C:$C,OPERATING_COEFFS!$A:$A,"UrgencyClass",OPERATING_COEFFS!$B:$B,$AK749))</f>
        <v/>
      </c>
      <c r="AN749">
        <f>IF($AM749="","",INDEX(TAX_MODES!$B:$B,MATCH($AM749,TAX_MODES!$A:$A,0)))</f>
        <v/>
      </c>
    </row>
    <row r="750">
      <c r="X750" s="15" t="n"/>
      <c r="Y750" s="15">
        <f>IF($X750="","",SUMIFS(TARIFF_PROFILES!$D:$D,TARIFF_PROFILES!$A:$A,$X750))</f>
        <v/>
      </c>
      <c r="Z750" s="15">
        <f>IF($X750="","",SUMIFS(TARIFF_PROFILES!$E:$E,TARIFF_PROFILES!$A:$A,$X750))</f>
        <v/>
      </c>
      <c r="AA750" s="15">
        <f>IF($X750="","",SUMIFS(TARIFF_PROFILES!$F:$F,TARIFF_PROFILES!$A:$A,$X750))</f>
        <v/>
      </c>
      <c r="AB750" s="15">
        <f>IF($X750="","",SUMIFS(TARIFF_PROFILES!$G:$G,TARIFF_PROFILES!$A:$A,$X750))</f>
        <v/>
      </c>
      <c r="AC750" s="15">
        <f>IF($X750="","",SUMIFS(TARIFF_PROFILES!$H:$H,TARIFF_PROFILES!$A:$A,$X750))</f>
        <v/>
      </c>
      <c r="AD750" s="15">
        <f>IF($X750="","",INDEX(TARIFF_PROFILES!$J:$J,MATCH($X750,TARIFF_PROFILES!$A:$A,0)))</f>
        <v/>
      </c>
      <c r="AE750" s="15">
        <f>IF($X750="","",INDEX(TARIFF_PROFILES!$K:$K,MATCH($X750,TARIFF_PROFILES!$A:$A,0)))</f>
        <v/>
      </c>
      <c r="AH750">
        <f>IF($AG750="","",SUMIFS(OPERATING_COEFFS!$C:$C,OPERATING_COEFFS!$A:$A,"DistanceClass",OPERATING_COEFFS!$B:$B,$AG750))</f>
        <v/>
      </c>
      <c r="AJ750">
        <f>IF($AI750="","",SUMIFS(OPERATING_COEFFS!$C:$C,OPERATING_COEFFS!$A:$A,"SeasonClass",OPERATING_COEFFS!$B:$B,$AI750))</f>
        <v/>
      </c>
      <c r="AL750">
        <f>IF($AK750="","",SUMIFS(OPERATING_COEFFS!$C:$C,OPERATING_COEFFS!$A:$A,"UrgencyClass",OPERATING_COEFFS!$B:$B,$AK750))</f>
        <v/>
      </c>
      <c r="AN750">
        <f>IF($AM750="","",INDEX(TAX_MODES!$B:$B,MATCH($AM750,TAX_MODES!$A:$A,0)))</f>
        <v/>
      </c>
    </row>
    <row r="751">
      <c r="X751" s="15" t="n"/>
      <c r="Y751" s="15">
        <f>IF($X751="","",SUMIFS(TARIFF_PROFILES!$D:$D,TARIFF_PROFILES!$A:$A,$X751))</f>
        <v/>
      </c>
      <c r="Z751" s="15">
        <f>IF($X751="","",SUMIFS(TARIFF_PROFILES!$E:$E,TARIFF_PROFILES!$A:$A,$X751))</f>
        <v/>
      </c>
      <c r="AA751" s="15">
        <f>IF($X751="","",SUMIFS(TARIFF_PROFILES!$F:$F,TARIFF_PROFILES!$A:$A,$X751))</f>
        <v/>
      </c>
      <c r="AB751" s="15">
        <f>IF($X751="","",SUMIFS(TARIFF_PROFILES!$G:$G,TARIFF_PROFILES!$A:$A,$X751))</f>
        <v/>
      </c>
      <c r="AC751" s="15">
        <f>IF($X751="","",SUMIFS(TARIFF_PROFILES!$H:$H,TARIFF_PROFILES!$A:$A,$X751))</f>
        <v/>
      </c>
      <c r="AD751" s="15">
        <f>IF($X751="","",INDEX(TARIFF_PROFILES!$J:$J,MATCH($X751,TARIFF_PROFILES!$A:$A,0)))</f>
        <v/>
      </c>
      <c r="AE751" s="15">
        <f>IF($X751="","",INDEX(TARIFF_PROFILES!$K:$K,MATCH($X751,TARIFF_PROFILES!$A:$A,0)))</f>
        <v/>
      </c>
      <c r="AH751">
        <f>IF($AG751="","",SUMIFS(OPERATING_COEFFS!$C:$C,OPERATING_COEFFS!$A:$A,"DistanceClass",OPERATING_COEFFS!$B:$B,$AG751))</f>
        <v/>
      </c>
      <c r="AJ751">
        <f>IF($AI751="","",SUMIFS(OPERATING_COEFFS!$C:$C,OPERATING_COEFFS!$A:$A,"SeasonClass",OPERATING_COEFFS!$B:$B,$AI751))</f>
        <v/>
      </c>
      <c r="AL751">
        <f>IF($AK751="","",SUMIFS(OPERATING_COEFFS!$C:$C,OPERATING_COEFFS!$A:$A,"UrgencyClass",OPERATING_COEFFS!$B:$B,$AK751))</f>
        <v/>
      </c>
      <c r="AN751">
        <f>IF($AM751="","",INDEX(TAX_MODES!$B:$B,MATCH($AM751,TAX_MODES!$A:$A,0)))</f>
        <v/>
      </c>
    </row>
    <row r="752">
      <c r="X752" s="15" t="n"/>
      <c r="Y752" s="15">
        <f>IF($X752="","",SUMIFS(TARIFF_PROFILES!$D:$D,TARIFF_PROFILES!$A:$A,$X752))</f>
        <v/>
      </c>
      <c r="Z752" s="15">
        <f>IF($X752="","",SUMIFS(TARIFF_PROFILES!$E:$E,TARIFF_PROFILES!$A:$A,$X752))</f>
        <v/>
      </c>
      <c r="AA752" s="15">
        <f>IF($X752="","",SUMIFS(TARIFF_PROFILES!$F:$F,TARIFF_PROFILES!$A:$A,$X752))</f>
        <v/>
      </c>
      <c r="AB752" s="15">
        <f>IF($X752="","",SUMIFS(TARIFF_PROFILES!$G:$G,TARIFF_PROFILES!$A:$A,$X752))</f>
        <v/>
      </c>
      <c r="AC752" s="15">
        <f>IF($X752="","",SUMIFS(TARIFF_PROFILES!$H:$H,TARIFF_PROFILES!$A:$A,$X752))</f>
        <v/>
      </c>
      <c r="AD752" s="15">
        <f>IF($X752="","",INDEX(TARIFF_PROFILES!$J:$J,MATCH($X752,TARIFF_PROFILES!$A:$A,0)))</f>
        <v/>
      </c>
      <c r="AE752" s="15">
        <f>IF($X752="","",INDEX(TARIFF_PROFILES!$K:$K,MATCH($X752,TARIFF_PROFILES!$A:$A,0)))</f>
        <v/>
      </c>
      <c r="AH752">
        <f>IF($AG752="","",SUMIFS(OPERATING_COEFFS!$C:$C,OPERATING_COEFFS!$A:$A,"DistanceClass",OPERATING_COEFFS!$B:$B,$AG752))</f>
        <v/>
      </c>
      <c r="AJ752">
        <f>IF($AI752="","",SUMIFS(OPERATING_COEFFS!$C:$C,OPERATING_COEFFS!$A:$A,"SeasonClass",OPERATING_COEFFS!$B:$B,$AI752))</f>
        <v/>
      </c>
      <c r="AL752">
        <f>IF($AK752="","",SUMIFS(OPERATING_COEFFS!$C:$C,OPERATING_COEFFS!$A:$A,"UrgencyClass",OPERATING_COEFFS!$B:$B,$AK752))</f>
        <v/>
      </c>
      <c r="AN752">
        <f>IF($AM752="","",INDEX(TAX_MODES!$B:$B,MATCH($AM752,TAX_MODES!$A:$A,0)))</f>
        <v/>
      </c>
    </row>
    <row r="753">
      <c r="X753" s="15" t="n"/>
      <c r="Y753" s="15">
        <f>IF($X753="","",SUMIFS(TARIFF_PROFILES!$D:$D,TARIFF_PROFILES!$A:$A,$X753))</f>
        <v/>
      </c>
      <c r="Z753" s="15">
        <f>IF($X753="","",SUMIFS(TARIFF_PROFILES!$E:$E,TARIFF_PROFILES!$A:$A,$X753))</f>
        <v/>
      </c>
      <c r="AA753" s="15">
        <f>IF($X753="","",SUMIFS(TARIFF_PROFILES!$F:$F,TARIFF_PROFILES!$A:$A,$X753))</f>
        <v/>
      </c>
      <c r="AB753" s="15">
        <f>IF($X753="","",SUMIFS(TARIFF_PROFILES!$G:$G,TARIFF_PROFILES!$A:$A,$X753))</f>
        <v/>
      </c>
      <c r="AC753" s="15">
        <f>IF($X753="","",SUMIFS(TARIFF_PROFILES!$H:$H,TARIFF_PROFILES!$A:$A,$X753))</f>
        <v/>
      </c>
      <c r="AD753" s="15">
        <f>IF($X753="","",INDEX(TARIFF_PROFILES!$J:$J,MATCH($X753,TARIFF_PROFILES!$A:$A,0)))</f>
        <v/>
      </c>
      <c r="AE753" s="15">
        <f>IF($X753="","",INDEX(TARIFF_PROFILES!$K:$K,MATCH($X753,TARIFF_PROFILES!$A:$A,0)))</f>
        <v/>
      </c>
      <c r="AH753">
        <f>IF($AG753="","",SUMIFS(OPERATING_COEFFS!$C:$C,OPERATING_COEFFS!$A:$A,"DistanceClass",OPERATING_COEFFS!$B:$B,$AG753))</f>
        <v/>
      </c>
      <c r="AJ753">
        <f>IF($AI753="","",SUMIFS(OPERATING_COEFFS!$C:$C,OPERATING_COEFFS!$A:$A,"SeasonClass",OPERATING_COEFFS!$B:$B,$AI753))</f>
        <v/>
      </c>
      <c r="AL753">
        <f>IF($AK753="","",SUMIFS(OPERATING_COEFFS!$C:$C,OPERATING_COEFFS!$A:$A,"UrgencyClass",OPERATING_COEFFS!$B:$B,$AK753))</f>
        <v/>
      </c>
      <c r="AN753">
        <f>IF($AM753="","",INDEX(TAX_MODES!$B:$B,MATCH($AM753,TAX_MODES!$A:$A,0)))</f>
        <v/>
      </c>
    </row>
    <row r="754">
      <c r="X754" s="15" t="n"/>
      <c r="Y754" s="15">
        <f>IF($X754="","",SUMIFS(TARIFF_PROFILES!$D:$D,TARIFF_PROFILES!$A:$A,$X754))</f>
        <v/>
      </c>
      <c r="Z754" s="15">
        <f>IF($X754="","",SUMIFS(TARIFF_PROFILES!$E:$E,TARIFF_PROFILES!$A:$A,$X754))</f>
        <v/>
      </c>
      <c r="AA754" s="15">
        <f>IF($X754="","",SUMIFS(TARIFF_PROFILES!$F:$F,TARIFF_PROFILES!$A:$A,$X754))</f>
        <v/>
      </c>
      <c r="AB754" s="15">
        <f>IF($X754="","",SUMIFS(TARIFF_PROFILES!$G:$G,TARIFF_PROFILES!$A:$A,$X754))</f>
        <v/>
      </c>
      <c r="AC754" s="15">
        <f>IF($X754="","",SUMIFS(TARIFF_PROFILES!$H:$H,TARIFF_PROFILES!$A:$A,$X754))</f>
        <v/>
      </c>
      <c r="AD754" s="15">
        <f>IF($X754="","",INDEX(TARIFF_PROFILES!$J:$J,MATCH($X754,TARIFF_PROFILES!$A:$A,0)))</f>
        <v/>
      </c>
      <c r="AE754" s="15">
        <f>IF($X754="","",INDEX(TARIFF_PROFILES!$K:$K,MATCH($X754,TARIFF_PROFILES!$A:$A,0)))</f>
        <v/>
      </c>
      <c r="AH754">
        <f>IF($AG754="","",SUMIFS(OPERATING_COEFFS!$C:$C,OPERATING_COEFFS!$A:$A,"DistanceClass",OPERATING_COEFFS!$B:$B,$AG754))</f>
        <v/>
      </c>
      <c r="AJ754">
        <f>IF($AI754="","",SUMIFS(OPERATING_COEFFS!$C:$C,OPERATING_COEFFS!$A:$A,"SeasonClass",OPERATING_COEFFS!$B:$B,$AI754))</f>
        <v/>
      </c>
      <c r="AL754">
        <f>IF($AK754="","",SUMIFS(OPERATING_COEFFS!$C:$C,OPERATING_COEFFS!$A:$A,"UrgencyClass",OPERATING_COEFFS!$B:$B,$AK754))</f>
        <v/>
      </c>
      <c r="AN754">
        <f>IF($AM754="","",INDEX(TAX_MODES!$B:$B,MATCH($AM754,TAX_MODES!$A:$A,0)))</f>
        <v/>
      </c>
    </row>
    <row r="755">
      <c r="X755" s="15" t="n"/>
      <c r="Y755" s="15">
        <f>IF($X755="","",SUMIFS(TARIFF_PROFILES!$D:$D,TARIFF_PROFILES!$A:$A,$X755))</f>
        <v/>
      </c>
      <c r="Z755" s="15">
        <f>IF($X755="","",SUMIFS(TARIFF_PROFILES!$E:$E,TARIFF_PROFILES!$A:$A,$X755))</f>
        <v/>
      </c>
      <c r="AA755" s="15">
        <f>IF($X755="","",SUMIFS(TARIFF_PROFILES!$F:$F,TARIFF_PROFILES!$A:$A,$X755))</f>
        <v/>
      </c>
      <c r="AB755" s="15">
        <f>IF($X755="","",SUMIFS(TARIFF_PROFILES!$G:$G,TARIFF_PROFILES!$A:$A,$X755))</f>
        <v/>
      </c>
      <c r="AC755" s="15">
        <f>IF($X755="","",SUMIFS(TARIFF_PROFILES!$H:$H,TARIFF_PROFILES!$A:$A,$X755))</f>
        <v/>
      </c>
      <c r="AD755" s="15">
        <f>IF($X755="","",INDEX(TARIFF_PROFILES!$J:$J,MATCH($X755,TARIFF_PROFILES!$A:$A,0)))</f>
        <v/>
      </c>
      <c r="AE755" s="15">
        <f>IF($X755="","",INDEX(TARIFF_PROFILES!$K:$K,MATCH($X755,TARIFF_PROFILES!$A:$A,0)))</f>
        <v/>
      </c>
      <c r="AH755">
        <f>IF($AG755="","",SUMIFS(OPERATING_COEFFS!$C:$C,OPERATING_COEFFS!$A:$A,"DistanceClass",OPERATING_COEFFS!$B:$B,$AG755))</f>
        <v/>
      </c>
      <c r="AJ755">
        <f>IF($AI755="","",SUMIFS(OPERATING_COEFFS!$C:$C,OPERATING_COEFFS!$A:$A,"SeasonClass",OPERATING_COEFFS!$B:$B,$AI755))</f>
        <v/>
      </c>
      <c r="AL755">
        <f>IF($AK755="","",SUMIFS(OPERATING_COEFFS!$C:$C,OPERATING_COEFFS!$A:$A,"UrgencyClass",OPERATING_COEFFS!$B:$B,$AK755))</f>
        <v/>
      </c>
      <c r="AN755">
        <f>IF($AM755="","",INDEX(TAX_MODES!$B:$B,MATCH($AM755,TAX_MODES!$A:$A,0)))</f>
        <v/>
      </c>
    </row>
    <row r="756">
      <c r="X756" s="15" t="n"/>
      <c r="Y756" s="15">
        <f>IF($X756="","",SUMIFS(TARIFF_PROFILES!$D:$D,TARIFF_PROFILES!$A:$A,$X756))</f>
        <v/>
      </c>
      <c r="Z756" s="15">
        <f>IF($X756="","",SUMIFS(TARIFF_PROFILES!$E:$E,TARIFF_PROFILES!$A:$A,$X756))</f>
        <v/>
      </c>
      <c r="AA756" s="15">
        <f>IF($X756="","",SUMIFS(TARIFF_PROFILES!$F:$F,TARIFF_PROFILES!$A:$A,$X756))</f>
        <v/>
      </c>
      <c r="AB756" s="15">
        <f>IF($X756="","",SUMIFS(TARIFF_PROFILES!$G:$G,TARIFF_PROFILES!$A:$A,$X756))</f>
        <v/>
      </c>
      <c r="AC756" s="15">
        <f>IF($X756="","",SUMIFS(TARIFF_PROFILES!$H:$H,TARIFF_PROFILES!$A:$A,$X756))</f>
        <v/>
      </c>
      <c r="AD756" s="15">
        <f>IF($X756="","",INDEX(TARIFF_PROFILES!$J:$J,MATCH($X756,TARIFF_PROFILES!$A:$A,0)))</f>
        <v/>
      </c>
      <c r="AE756" s="15">
        <f>IF($X756="","",INDEX(TARIFF_PROFILES!$K:$K,MATCH($X756,TARIFF_PROFILES!$A:$A,0)))</f>
        <v/>
      </c>
      <c r="AH756">
        <f>IF($AG756="","",SUMIFS(OPERATING_COEFFS!$C:$C,OPERATING_COEFFS!$A:$A,"DistanceClass",OPERATING_COEFFS!$B:$B,$AG756))</f>
        <v/>
      </c>
      <c r="AJ756">
        <f>IF($AI756="","",SUMIFS(OPERATING_COEFFS!$C:$C,OPERATING_COEFFS!$A:$A,"SeasonClass",OPERATING_COEFFS!$B:$B,$AI756))</f>
        <v/>
      </c>
      <c r="AL756">
        <f>IF($AK756="","",SUMIFS(OPERATING_COEFFS!$C:$C,OPERATING_COEFFS!$A:$A,"UrgencyClass",OPERATING_COEFFS!$B:$B,$AK756))</f>
        <v/>
      </c>
      <c r="AN756">
        <f>IF($AM756="","",INDEX(TAX_MODES!$B:$B,MATCH($AM756,TAX_MODES!$A:$A,0)))</f>
        <v/>
      </c>
    </row>
    <row r="757">
      <c r="X757" s="15" t="n"/>
      <c r="Y757" s="15">
        <f>IF($X757="","",SUMIFS(TARIFF_PROFILES!$D:$D,TARIFF_PROFILES!$A:$A,$X757))</f>
        <v/>
      </c>
      <c r="Z757" s="15">
        <f>IF($X757="","",SUMIFS(TARIFF_PROFILES!$E:$E,TARIFF_PROFILES!$A:$A,$X757))</f>
        <v/>
      </c>
      <c r="AA757" s="15">
        <f>IF($X757="","",SUMIFS(TARIFF_PROFILES!$F:$F,TARIFF_PROFILES!$A:$A,$X757))</f>
        <v/>
      </c>
      <c r="AB757" s="15">
        <f>IF($X757="","",SUMIFS(TARIFF_PROFILES!$G:$G,TARIFF_PROFILES!$A:$A,$X757))</f>
        <v/>
      </c>
      <c r="AC757" s="15">
        <f>IF($X757="","",SUMIFS(TARIFF_PROFILES!$H:$H,TARIFF_PROFILES!$A:$A,$X757))</f>
        <v/>
      </c>
      <c r="AD757" s="15">
        <f>IF($X757="","",INDEX(TARIFF_PROFILES!$J:$J,MATCH($X757,TARIFF_PROFILES!$A:$A,0)))</f>
        <v/>
      </c>
      <c r="AE757" s="15">
        <f>IF($X757="","",INDEX(TARIFF_PROFILES!$K:$K,MATCH($X757,TARIFF_PROFILES!$A:$A,0)))</f>
        <v/>
      </c>
      <c r="AH757">
        <f>IF($AG757="","",SUMIFS(OPERATING_COEFFS!$C:$C,OPERATING_COEFFS!$A:$A,"DistanceClass",OPERATING_COEFFS!$B:$B,$AG757))</f>
        <v/>
      </c>
      <c r="AJ757">
        <f>IF($AI757="","",SUMIFS(OPERATING_COEFFS!$C:$C,OPERATING_COEFFS!$A:$A,"SeasonClass",OPERATING_COEFFS!$B:$B,$AI757))</f>
        <v/>
      </c>
      <c r="AL757">
        <f>IF($AK757="","",SUMIFS(OPERATING_COEFFS!$C:$C,OPERATING_COEFFS!$A:$A,"UrgencyClass",OPERATING_COEFFS!$B:$B,$AK757))</f>
        <v/>
      </c>
      <c r="AN757">
        <f>IF($AM757="","",INDEX(TAX_MODES!$B:$B,MATCH($AM757,TAX_MODES!$A:$A,0)))</f>
        <v/>
      </c>
    </row>
    <row r="758">
      <c r="X758" s="15" t="n"/>
      <c r="Y758" s="15">
        <f>IF($X758="","",SUMIFS(TARIFF_PROFILES!$D:$D,TARIFF_PROFILES!$A:$A,$X758))</f>
        <v/>
      </c>
      <c r="Z758" s="15">
        <f>IF($X758="","",SUMIFS(TARIFF_PROFILES!$E:$E,TARIFF_PROFILES!$A:$A,$X758))</f>
        <v/>
      </c>
      <c r="AA758" s="15">
        <f>IF($X758="","",SUMIFS(TARIFF_PROFILES!$F:$F,TARIFF_PROFILES!$A:$A,$X758))</f>
        <v/>
      </c>
      <c r="AB758" s="15">
        <f>IF($X758="","",SUMIFS(TARIFF_PROFILES!$G:$G,TARIFF_PROFILES!$A:$A,$X758))</f>
        <v/>
      </c>
      <c r="AC758" s="15">
        <f>IF($X758="","",SUMIFS(TARIFF_PROFILES!$H:$H,TARIFF_PROFILES!$A:$A,$X758))</f>
        <v/>
      </c>
      <c r="AD758" s="15">
        <f>IF($X758="","",INDEX(TARIFF_PROFILES!$J:$J,MATCH($X758,TARIFF_PROFILES!$A:$A,0)))</f>
        <v/>
      </c>
      <c r="AE758" s="15">
        <f>IF($X758="","",INDEX(TARIFF_PROFILES!$K:$K,MATCH($X758,TARIFF_PROFILES!$A:$A,0)))</f>
        <v/>
      </c>
      <c r="AH758">
        <f>IF($AG758="","",SUMIFS(OPERATING_COEFFS!$C:$C,OPERATING_COEFFS!$A:$A,"DistanceClass",OPERATING_COEFFS!$B:$B,$AG758))</f>
        <v/>
      </c>
      <c r="AJ758">
        <f>IF($AI758="","",SUMIFS(OPERATING_COEFFS!$C:$C,OPERATING_COEFFS!$A:$A,"SeasonClass",OPERATING_COEFFS!$B:$B,$AI758))</f>
        <v/>
      </c>
      <c r="AL758">
        <f>IF($AK758="","",SUMIFS(OPERATING_COEFFS!$C:$C,OPERATING_COEFFS!$A:$A,"UrgencyClass",OPERATING_COEFFS!$B:$B,$AK758))</f>
        <v/>
      </c>
      <c r="AN758">
        <f>IF($AM758="","",INDEX(TAX_MODES!$B:$B,MATCH($AM758,TAX_MODES!$A:$A,0)))</f>
        <v/>
      </c>
    </row>
    <row r="759">
      <c r="X759" s="15" t="n"/>
      <c r="Y759" s="15">
        <f>IF($X759="","",SUMIFS(TARIFF_PROFILES!$D:$D,TARIFF_PROFILES!$A:$A,$X759))</f>
        <v/>
      </c>
      <c r="Z759" s="15">
        <f>IF($X759="","",SUMIFS(TARIFF_PROFILES!$E:$E,TARIFF_PROFILES!$A:$A,$X759))</f>
        <v/>
      </c>
      <c r="AA759" s="15">
        <f>IF($X759="","",SUMIFS(TARIFF_PROFILES!$F:$F,TARIFF_PROFILES!$A:$A,$X759))</f>
        <v/>
      </c>
      <c r="AB759" s="15">
        <f>IF($X759="","",SUMIFS(TARIFF_PROFILES!$G:$G,TARIFF_PROFILES!$A:$A,$X759))</f>
        <v/>
      </c>
      <c r="AC759" s="15">
        <f>IF($X759="","",SUMIFS(TARIFF_PROFILES!$H:$H,TARIFF_PROFILES!$A:$A,$X759))</f>
        <v/>
      </c>
      <c r="AD759" s="15">
        <f>IF($X759="","",INDEX(TARIFF_PROFILES!$J:$J,MATCH($X759,TARIFF_PROFILES!$A:$A,0)))</f>
        <v/>
      </c>
      <c r="AE759" s="15">
        <f>IF($X759="","",INDEX(TARIFF_PROFILES!$K:$K,MATCH($X759,TARIFF_PROFILES!$A:$A,0)))</f>
        <v/>
      </c>
      <c r="AH759">
        <f>IF($AG759="","",SUMIFS(OPERATING_COEFFS!$C:$C,OPERATING_COEFFS!$A:$A,"DistanceClass",OPERATING_COEFFS!$B:$B,$AG759))</f>
        <v/>
      </c>
      <c r="AJ759">
        <f>IF($AI759="","",SUMIFS(OPERATING_COEFFS!$C:$C,OPERATING_COEFFS!$A:$A,"SeasonClass",OPERATING_COEFFS!$B:$B,$AI759))</f>
        <v/>
      </c>
      <c r="AL759">
        <f>IF($AK759="","",SUMIFS(OPERATING_COEFFS!$C:$C,OPERATING_COEFFS!$A:$A,"UrgencyClass",OPERATING_COEFFS!$B:$B,$AK759))</f>
        <v/>
      </c>
      <c r="AN759">
        <f>IF($AM759="","",INDEX(TAX_MODES!$B:$B,MATCH($AM759,TAX_MODES!$A:$A,0)))</f>
        <v/>
      </c>
    </row>
    <row r="760">
      <c r="X760" s="15" t="n"/>
      <c r="Y760" s="15">
        <f>IF($X760="","",SUMIFS(TARIFF_PROFILES!$D:$D,TARIFF_PROFILES!$A:$A,$X760))</f>
        <v/>
      </c>
      <c r="Z760" s="15">
        <f>IF($X760="","",SUMIFS(TARIFF_PROFILES!$E:$E,TARIFF_PROFILES!$A:$A,$X760))</f>
        <v/>
      </c>
      <c r="AA760" s="15">
        <f>IF($X760="","",SUMIFS(TARIFF_PROFILES!$F:$F,TARIFF_PROFILES!$A:$A,$X760))</f>
        <v/>
      </c>
      <c r="AB760" s="15">
        <f>IF($X760="","",SUMIFS(TARIFF_PROFILES!$G:$G,TARIFF_PROFILES!$A:$A,$X760))</f>
        <v/>
      </c>
      <c r="AC760" s="15">
        <f>IF($X760="","",SUMIFS(TARIFF_PROFILES!$H:$H,TARIFF_PROFILES!$A:$A,$X760))</f>
        <v/>
      </c>
      <c r="AD760" s="15">
        <f>IF($X760="","",INDEX(TARIFF_PROFILES!$J:$J,MATCH($X760,TARIFF_PROFILES!$A:$A,0)))</f>
        <v/>
      </c>
      <c r="AE760" s="15">
        <f>IF($X760="","",INDEX(TARIFF_PROFILES!$K:$K,MATCH($X760,TARIFF_PROFILES!$A:$A,0)))</f>
        <v/>
      </c>
      <c r="AH760">
        <f>IF($AG760="","",SUMIFS(OPERATING_COEFFS!$C:$C,OPERATING_COEFFS!$A:$A,"DistanceClass",OPERATING_COEFFS!$B:$B,$AG760))</f>
        <v/>
      </c>
      <c r="AJ760">
        <f>IF($AI760="","",SUMIFS(OPERATING_COEFFS!$C:$C,OPERATING_COEFFS!$A:$A,"SeasonClass",OPERATING_COEFFS!$B:$B,$AI760))</f>
        <v/>
      </c>
      <c r="AL760">
        <f>IF($AK760="","",SUMIFS(OPERATING_COEFFS!$C:$C,OPERATING_COEFFS!$A:$A,"UrgencyClass",OPERATING_COEFFS!$B:$B,$AK760))</f>
        <v/>
      </c>
      <c r="AN760">
        <f>IF($AM760="","",INDEX(TAX_MODES!$B:$B,MATCH($AM760,TAX_MODES!$A:$A,0)))</f>
        <v/>
      </c>
    </row>
    <row r="761">
      <c r="X761" s="15" t="n"/>
      <c r="Y761" s="15">
        <f>IF($X761="","",SUMIFS(TARIFF_PROFILES!$D:$D,TARIFF_PROFILES!$A:$A,$X761))</f>
        <v/>
      </c>
      <c r="Z761" s="15">
        <f>IF($X761="","",SUMIFS(TARIFF_PROFILES!$E:$E,TARIFF_PROFILES!$A:$A,$X761))</f>
        <v/>
      </c>
      <c r="AA761" s="15">
        <f>IF($X761="","",SUMIFS(TARIFF_PROFILES!$F:$F,TARIFF_PROFILES!$A:$A,$X761))</f>
        <v/>
      </c>
      <c r="AB761" s="15">
        <f>IF($X761="","",SUMIFS(TARIFF_PROFILES!$G:$G,TARIFF_PROFILES!$A:$A,$X761))</f>
        <v/>
      </c>
      <c r="AC761" s="15">
        <f>IF($X761="","",SUMIFS(TARIFF_PROFILES!$H:$H,TARIFF_PROFILES!$A:$A,$X761))</f>
        <v/>
      </c>
      <c r="AD761" s="15">
        <f>IF($X761="","",INDEX(TARIFF_PROFILES!$J:$J,MATCH($X761,TARIFF_PROFILES!$A:$A,0)))</f>
        <v/>
      </c>
      <c r="AE761" s="15">
        <f>IF($X761="","",INDEX(TARIFF_PROFILES!$K:$K,MATCH($X761,TARIFF_PROFILES!$A:$A,0)))</f>
        <v/>
      </c>
      <c r="AH761">
        <f>IF($AG761="","",SUMIFS(OPERATING_COEFFS!$C:$C,OPERATING_COEFFS!$A:$A,"DistanceClass",OPERATING_COEFFS!$B:$B,$AG761))</f>
        <v/>
      </c>
      <c r="AJ761">
        <f>IF($AI761="","",SUMIFS(OPERATING_COEFFS!$C:$C,OPERATING_COEFFS!$A:$A,"SeasonClass",OPERATING_COEFFS!$B:$B,$AI761))</f>
        <v/>
      </c>
      <c r="AL761">
        <f>IF($AK761="","",SUMIFS(OPERATING_COEFFS!$C:$C,OPERATING_COEFFS!$A:$A,"UrgencyClass",OPERATING_COEFFS!$B:$B,$AK761))</f>
        <v/>
      </c>
      <c r="AN761">
        <f>IF($AM761="","",INDEX(TAX_MODES!$B:$B,MATCH($AM761,TAX_MODES!$A:$A,0)))</f>
        <v/>
      </c>
    </row>
    <row r="762">
      <c r="X762" s="15" t="n"/>
      <c r="Y762" s="15">
        <f>IF($X762="","",SUMIFS(TARIFF_PROFILES!$D:$D,TARIFF_PROFILES!$A:$A,$X762))</f>
        <v/>
      </c>
      <c r="Z762" s="15">
        <f>IF($X762="","",SUMIFS(TARIFF_PROFILES!$E:$E,TARIFF_PROFILES!$A:$A,$X762))</f>
        <v/>
      </c>
      <c r="AA762" s="15">
        <f>IF($X762="","",SUMIFS(TARIFF_PROFILES!$F:$F,TARIFF_PROFILES!$A:$A,$X762))</f>
        <v/>
      </c>
      <c r="AB762" s="15">
        <f>IF($X762="","",SUMIFS(TARIFF_PROFILES!$G:$G,TARIFF_PROFILES!$A:$A,$X762))</f>
        <v/>
      </c>
      <c r="AC762" s="15">
        <f>IF($X762="","",SUMIFS(TARIFF_PROFILES!$H:$H,TARIFF_PROFILES!$A:$A,$X762))</f>
        <v/>
      </c>
      <c r="AD762" s="15">
        <f>IF($X762="","",INDEX(TARIFF_PROFILES!$J:$J,MATCH($X762,TARIFF_PROFILES!$A:$A,0)))</f>
        <v/>
      </c>
      <c r="AE762" s="15">
        <f>IF($X762="","",INDEX(TARIFF_PROFILES!$K:$K,MATCH($X762,TARIFF_PROFILES!$A:$A,0)))</f>
        <v/>
      </c>
      <c r="AH762">
        <f>IF($AG762="","",SUMIFS(OPERATING_COEFFS!$C:$C,OPERATING_COEFFS!$A:$A,"DistanceClass",OPERATING_COEFFS!$B:$B,$AG762))</f>
        <v/>
      </c>
      <c r="AJ762">
        <f>IF($AI762="","",SUMIFS(OPERATING_COEFFS!$C:$C,OPERATING_COEFFS!$A:$A,"SeasonClass",OPERATING_COEFFS!$B:$B,$AI762))</f>
        <v/>
      </c>
      <c r="AL762">
        <f>IF($AK762="","",SUMIFS(OPERATING_COEFFS!$C:$C,OPERATING_COEFFS!$A:$A,"UrgencyClass",OPERATING_COEFFS!$B:$B,$AK762))</f>
        <v/>
      </c>
      <c r="AN762">
        <f>IF($AM762="","",INDEX(TAX_MODES!$B:$B,MATCH($AM762,TAX_MODES!$A:$A,0)))</f>
        <v/>
      </c>
    </row>
    <row r="763">
      <c r="X763" s="15" t="n"/>
      <c r="Y763" s="15">
        <f>IF($X763="","",SUMIFS(TARIFF_PROFILES!$D:$D,TARIFF_PROFILES!$A:$A,$X763))</f>
        <v/>
      </c>
      <c r="Z763" s="15">
        <f>IF($X763="","",SUMIFS(TARIFF_PROFILES!$E:$E,TARIFF_PROFILES!$A:$A,$X763))</f>
        <v/>
      </c>
      <c r="AA763" s="15">
        <f>IF($X763="","",SUMIFS(TARIFF_PROFILES!$F:$F,TARIFF_PROFILES!$A:$A,$X763))</f>
        <v/>
      </c>
      <c r="AB763" s="15">
        <f>IF($X763="","",SUMIFS(TARIFF_PROFILES!$G:$G,TARIFF_PROFILES!$A:$A,$X763))</f>
        <v/>
      </c>
      <c r="AC763" s="15">
        <f>IF($X763="","",SUMIFS(TARIFF_PROFILES!$H:$H,TARIFF_PROFILES!$A:$A,$X763))</f>
        <v/>
      </c>
      <c r="AD763" s="15">
        <f>IF($X763="","",INDEX(TARIFF_PROFILES!$J:$J,MATCH($X763,TARIFF_PROFILES!$A:$A,0)))</f>
        <v/>
      </c>
      <c r="AE763" s="15">
        <f>IF($X763="","",INDEX(TARIFF_PROFILES!$K:$K,MATCH($X763,TARIFF_PROFILES!$A:$A,0)))</f>
        <v/>
      </c>
      <c r="AH763">
        <f>IF($AG763="","",SUMIFS(OPERATING_COEFFS!$C:$C,OPERATING_COEFFS!$A:$A,"DistanceClass",OPERATING_COEFFS!$B:$B,$AG763))</f>
        <v/>
      </c>
      <c r="AJ763">
        <f>IF($AI763="","",SUMIFS(OPERATING_COEFFS!$C:$C,OPERATING_COEFFS!$A:$A,"SeasonClass",OPERATING_COEFFS!$B:$B,$AI763))</f>
        <v/>
      </c>
      <c r="AL763">
        <f>IF($AK763="","",SUMIFS(OPERATING_COEFFS!$C:$C,OPERATING_COEFFS!$A:$A,"UrgencyClass",OPERATING_COEFFS!$B:$B,$AK763))</f>
        <v/>
      </c>
      <c r="AN763">
        <f>IF($AM763="","",INDEX(TAX_MODES!$B:$B,MATCH($AM763,TAX_MODES!$A:$A,0)))</f>
        <v/>
      </c>
    </row>
    <row r="764">
      <c r="X764" s="15" t="n"/>
      <c r="Y764" s="15">
        <f>IF($X764="","",SUMIFS(TARIFF_PROFILES!$D:$D,TARIFF_PROFILES!$A:$A,$X764))</f>
        <v/>
      </c>
      <c r="Z764" s="15">
        <f>IF($X764="","",SUMIFS(TARIFF_PROFILES!$E:$E,TARIFF_PROFILES!$A:$A,$X764))</f>
        <v/>
      </c>
      <c r="AA764" s="15">
        <f>IF($X764="","",SUMIFS(TARIFF_PROFILES!$F:$F,TARIFF_PROFILES!$A:$A,$X764))</f>
        <v/>
      </c>
      <c r="AB764" s="15">
        <f>IF($X764="","",SUMIFS(TARIFF_PROFILES!$G:$G,TARIFF_PROFILES!$A:$A,$X764))</f>
        <v/>
      </c>
      <c r="AC764" s="15">
        <f>IF($X764="","",SUMIFS(TARIFF_PROFILES!$H:$H,TARIFF_PROFILES!$A:$A,$X764))</f>
        <v/>
      </c>
      <c r="AD764" s="15">
        <f>IF($X764="","",INDEX(TARIFF_PROFILES!$J:$J,MATCH($X764,TARIFF_PROFILES!$A:$A,0)))</f>
        <v/>
      </c>
      <c r="AE764" s="15">
        <f>IF($X764="","",INDEX(TARIFF_PROFILES!$K:$K,MATCH($X764,TARIFF_PROFILES!$A:$A,0)))</f>
        <v/>
      </c>
      <c r="AH764">
        <f>IF($AG764="","",SUMIFS(OPERATING_COEFFS!$C:$C,OPERATING_COEFFS!$A:$A,"DistanceClass",OPERATING_COEFFS!$B:$B,$AG764))</f>
        <v/>
      </c>
      <c r="AJ764">
        <f>IF($AI764="","",SUMIFS(OPERATING_COEFFS!$C:$C,OPERATING_COEFFS!$A:$A,"SeasonClass",OPERATING_COEFFS!$B:$B,$AI764))</f>
        <v/>
      </c>
      <c r="AL764">
        <f>IF($AK764="","",SUMIFS(OPERATING_COEFFS!$C:$C,OPERATING_COEFFS!$A:$A,"UrgencyClass",OPERATING_COEFFS!$B:$B,$AK764))</f>
        <v/>
      </c>
      <c r="AN764">
        <f>IF($AM764="","",INDEX(TAX_MODES!$B:$B,MATCH($AM764,TAX_MODES!$A:$A,0)))</f>
        <v/>
      </c>
    </row>
    <row r="765">
      <c r="X765" s="15" t="n"/>
      <c r="Y765" s="15">
        <f>IF($X765="","",SUMIFS(TARIFF_PROFILES!$D:$D,TARIFF_PROFILES!$A:$A,$X765))</f>
        <v/>
      </c>
      <c r="Z765" s="15">
        <f>IF($X765="","",SUMIFS(TARIFF_PROFILES!$E:$E,TARIFF_PROFILES!$A:$A,$X765))</f>
        <v/>
      </c>
      <c r="AA765" s="15">
        <f>IF($X765="","",SUMIFS(TARIFF_PROFILES!$F:$F,TARIFF_PROFILES!$A:$A,$X765))</f>
        <v/>
      </c>
      <c r="AB765" s="15">
        <f>IF($X765="","",SUMIFS(TARIFF_PROFILES!$G:$G,TARIFF_PROFILES!$A:$A,$X765))</f>
        <v/>
      </c>
      <c r="AC765" s="15">
        <f>IF($X765="","",SUMIFS(TARIFF_PROFILES!$H:$H,TARIFF_PROFILES!$A:$A,$X765))</f>
        <v/>
      </c>
      <c r="AD765" s="15">
        <f>IF($X765="","",INDEX(TARIFF_PROFILES!$J:$J,MATCH($X765,TARIFF_PROFILES!$A:$A,0)))</f>
        <v/>
      </c>
      <c r="AE765" s="15">
        <f>IF($X765="","",INDEX(TARIFF_PROFILES!$K:$K,MATCH($X765,TARIFF_PROFILES!$A:$A,0)))</f>
        <v/>
      </c>
      <c r="AH765">
        <f>IF($AG765="","",SUMIFS(OPERATING_COEFFS!$C:$C,OPERATING_COEFFS!$A:$A,"DistanceClass",OPERATING_COEFFS!$B:$B,$AG765))</f>
        <v/>
      </c>
      <c r="AJ765">
        <f>IF($AI765="","",SUMIFS(OPERATING_COEFFS!$C:$C,OPERATING_COEFFS!$A:$A,"SeasonClass",OPERATING_COEFFS!$B:$B,$AI765))</f>
        <v/>
      </c>
      <c r="AL765">
        <f>IF($AK765="","",SUMIFS(OPERATING_COEFFS!$C:$C,OPERATING_COEFFS!$A:$A,"UrgencyClass",OPERATING_COEFFS!$B:$B,$AK765))</f>
        <v/>
      </c>
      <c r="AN765">
        <f>IF($AM765="","",INDEX(TAX_MODES!$B:$B,MATCH($AM765,TAX_MODES!$A:$A,0)))</f>
        <v/>
      </c>
    </row>
    <row r="766">
      <c r="X766" s="15" t="n"/>
      <c r="Y766" s="15">
        <f>IF($X766="","",SUMIFS(TARIFF_PROFILES!$D:$D,TARIFF_PROFILES!$A:$A,$X766))</f>
        <v/>
      </c>
      <c r="Z766" s="15">
        <f>IF($X766="","",SUMIFS(TARIFF_PROFILES!$E:$E,TARIFF_PROFILES!$A:$A,$X766))</f>
        <v/>
      </c>
      <c r="AA766" s="15">
        <f>IF($X766="","",SUMIFS(TARIFF_PROFILES!$F:$F,TARIFF_PROFILES!$A:$A,$X766))</f>
        <v/>
      </c>
      <c r="AB766" s="15">
        <f>IF($X766="","",SUMIFS(TARIFF_PROFILES!$G:$G,TARIFF_PROFILES!$A:$A,$X766))</f>
        <v/>
      </c>
      <c r="AC766" s="15">
        <f>IF($X766="","",SUMIFS(TARIFF_PROFILES!$H:$H,TARIFF_PROFILES!$A:$A,$X766))</f>
        <v/>
      </c>
      <c r="AD766" s="15">
        <f>IF($X766="","",INDEX(TARIFF_PROFILES!$J:$J,MATCH($X766,TARIFF_PROFILES!$A:$A,0)))</f>
        <v/>
      </c>
      <c r="AE766" s="15">
        <f>IF($X766="","",INDEX(TARIFF_PROFILES!$K:$K,MATCH($X766,TARIFF_PROFILES!$A:$A,0)))</f>
        <v/>
      </c>
      <c r="AH766">
        <f>IF($AG766="","",SUMIFS(OPERATING_COEFFS!$C:$C,OPERATING_COEFFS!$A:$A,"DistanceClass",OPERATING_COEFFS!$B:$B,$AG766))</f>
        <v/>
      </c>
      <c r="AJ766">
        <f>IF($AI766="","",SUMIFS(OPERATING_COEFFS!$C:$C,OPERATING_COEFFS!$A:$A,"SeasonClass",OPERATING_COEFFS!$B:$B,$AI766))</f>
        <v/>
      </c>
      <c r="AL766">
        <f>IF($AK766="","",SUMIFS(OPERATING_COEFFS!$C:$C,OPERATING_COEFFS!$A:$A,"UrgencyClass",OPERATING_COEFFS!$B:$B,$AK766))</f>
        <v/>
      </c>
      <c r="AN766">
        <f>IF($AM766="","",INDEX(TAX_MODES!$B:$B,MATCH($AM766,TAX_MODES!$A:$A,0)))</f>
        <v/>
      </c>
    </row>
    <row r="767">
      <c r="X767" s="15" t="n"/>
      <c r="Y767" s="15">
        <f>IF($X767="","",SUMIFS(TARIFF_PROFILES!$D:$D,TARIFF_PROFILES!$A:$A,$X767))</f>
        <v/>
      </c>
      <c r="Z767" s="15">
        <f>IF($X767="","",SUMIFS(TARIFF_PROFILES!$E:$E,TARIFF_PROFILES!$A:$A,$X767))</f>
        <v/>
      </c>
      <c r="AA767" s="15">
        <f>IF($X767="","",SUMIFS(TARIFF_PROFILES!$F:$F,TARIFF_PROFILES!$A:$A,$X767))</f>
        <v/>
      </c>
      <c r="AB767" s="15">
        <f>IF($X767="","",SUMIFS(TARIFF_PROFILES!$G:$G,TARIFF_PROFILES!$A:$A,$X767))</f>
        <v/>
      </c>
      <c r="AC767" s="15">
        <f>IF($X767="","",SUMIFS(TARIFF_PROFILES!$H:$H,TARIFF_PROFILES!$A:$A,$X767))</f>
        <v/>
      </c>
      <c r="AD767" s="15">
        <f>IF($X767="","",INDEX(TARIFF_PROFILES!$J:$J,MATCH($X767,TARIFF_PROFILES!$A:$A,0)))</f>
        <v/>
      </c>
      <c r="AE767" s="15">
        <f>IF($X767="","",INDEX(TARIFF_PROFILES!$K:$K,MATCH($X767,TARIFF_PROFILES!$A:$A,0)))</f>
        <v/>
      </c>
      <c r="AH767">
        <f>IF($AG767="","",SUMIFS(OPERATING_COEFFS!$C:$C,OPERATING_COEFFS!$A:$A,"DistanceClass",OPERATING_COEFFS!$B:$B,$AG767))</f>
        <v/>
      </c>
      <c r="AJ767">
        <f>IF($AI767="","",SUMIFS(OPERATING_COEFFS!$C:$C,OPERATING_COEFFS!$A:$A,"SeasonClass",OPERATING_COEFFS!$B:$B,$AI767))</f>
        <v/>
      </c>
      <c r="AL767">
        <f>IF($AK767="","",SUMIFS(OPERATING_COEFFS!$C:$C,OPERATING_COEFFS!$A:$A,"UrgencyClass",OPERATING_COEFFS!$B:$B,$AK767))</f>
        <v/>
      </c>
      <c r="AN767">
        <f>IF($AM767="","",INDEX(TAX_MODES!$B:$B,MATCH($AM767,TAX_MODES!$A:$A,0)))</f>
        <v/>
      </c>
    </row>
    <row r="768">
      <c r="X768" s="15" t="n"/>
      <c r="Y768" s="15">
        <f>IF($X768="","",SUMIFS(TARIFF_PROFILES!$D:$D,TARIFF_PROFILES!$A:$A,$X768))</f>
        <v/>
      </c>
      <c r="Z768" s="15">
        <f>IF($X768="","",SUMIFS(TARIFF_PROFILES!$E:$E,TARIFF_PROFILES!$A:$A,$X768))</f>
        <v/>
      </c>
      <c r="AA768" s="15">
        <f>IF($X768="","",SUMIFS(TARIFF_PROFILES!$F:$F,TARIFF_PROFILES!$A:$A,$X768))</f>
        <v/>
      </c>
      <c r="AB768" s="15">
        <f>IF($X768="","",SUMIFS(TARIFF_PROFILES!$G:$G,TARIFF_PROFILES!$A:$A,$X768))</f>
        <v/>
      </c>
      <c r="AC768" s="15">
        <f>IF($X768="","",SUMIFS(TARIFF_PROFILES!$H:$H,TARIFF_PROFILES!$A:$A,$X768))</f>
        <v/>
      </c>
      <c r="AD768" s="15">
        <f>IF($X768="","",INDEX(TARIFF_PROFILES!$J:$J,MATCH($X768,TARIFF_PROFILES!$A:$A,0)))</f>
        <v/>
      </c>
      <c r="AE768" s="15">
        <f>IF($X768="","",INDEX(TARIFF_PROFILES!$K:$K,MATCH($X768,TARIFF_PROFILES!$A:$A,0)))</f>
        <v/>
      </c>
      <c r="AH768">
        <f>IF($AG768="","",SUMIFS(OPERATING_COEFFS!$C:$C,OPERATING_COEFFS!$A:$A,"DistanceClass",OPERATING_COEFFS!$B:$B,$AG768))</f>
        <v/>
      </c>
      <c r="AJ768">
        <f>IF($AI768="","",SUMIFS(OPERATING_COEFFS!$C:$C,OPERATING_COEFFS!$A:$A,"SeasonClass",OPERATING_COEFFS!$B:$B,$AI768))</f>
        <v/>
      </c>
      <c r="AL768">
        <f>IF($AK768="","",SUMIFS(OPERATING_COEFFS!$C:$C,OPERATING_COEFFS!$A:$A,"UrgencyClass",OPERATING_COEFFS!$B:$B,$AK768))</f>
        <v/>
      </c>
      <c r="AN768">
        <f>IF($AM768="","",INDEX(TAX_MODES!$B:$B,MATCH($AM768,TAX_MODES!$A:$A,0)))</f>
        <v/>
      </c>
    </row>
    <row r="769">
      <c r="X769" s="15" t="n"/>
      <c r="Y769" s="15">
        <f>IF($X769="","",SUMIFS(TARIFF_PROFILES!$D:$D,TARIFF_PROFILES!$A:$A,$X769))</f>
        <v/>
      </c>
      <c r="Z769" s="15">
        <f>IF($X769="","",SUMIFS(TARIFF_PROFILES!$E:$E,TARIFF_PROFILES!$A:$A,$X769))</f>
        <v/>
      </c>
      <c r="AA769" s="15">
        <f>IF($X769="","",SUMIFS(TARIFF_PROFILES!$F:$F,TARIFF_PROFILES!$A:$A,$X769))</f>
        <v/>
      </c>
      <c r="AB769" s="15">
        <f>IF($X769="","",SUMIFS(TARIFF_PROFILES!$G:$G,TARIFF_PROFILES!$A:$A,$X769))</f>
        <v/>
      </c>
      <c r="AC769" s="15">
        <f>IF($X769="","",SUMIFS(TARIFF_PROFILES!$H:$H,TARIFF_PROFILES!$A:$A,$X769))</f>
        <v/>
      </c>
      <c r="AD769" s="15">
        <f>IF($X769="","",INDEX(TARIFF_PROFILES!$J:$J,MATCH($X769,TARIFF_PROFILES!$A:$A,0)))</f>
        <v/>
      </c>
      <c r="AE769" s="15">
        <f>IF($X769="","",INDEX(TARIFF_PROFILES!$K:$K,MATCH($X769,TARIFF_PROFILES!$A:$A,0)))</f>
        <v/>
      </c>
      <c r="AH769">
        <f>IF($AG769="","",SUMIFS(OPERATING_COEFFS!$C:$C,OPERATING_COEFFS!$A:$A,"DistanceClass",OPERATING_COEFFS!$B:$B,$AG769))</f>
        <v/>
      </c>
      <c r="AJ769">
        <f>IF($AI769="","",SUMIFS(OPERATING_COEFFS!$C:$C,OPERATING_COEFFS!$A:$A,"SeasonClass",OPERATING_COEFFS!$B:$B,$AI769))</f>
        <v/>
      </c>
      <c r="AL769">
        <f>IF($AK769="","",SUMIFS(OPERATING_COEFFS!$C:$C,OPERATING_COEFFS!$A:$A,"UrgencyClass",OPERATING_COEFFS!$B:$B,$AK769))</f>
        <v/>
      </c>
      <c r="AN769">
        <f>IF($AM769="","",INDEX(TAX_MODES!$B:$B,MATCH($AM769,TAX_MODES!$A:$A,0)))</f>
        <v/>
      </c>
    </row>
    <row r="770">
      <c r="X770" s="15" t="n"/>
      <c r="Y770" s="15">
        <f>IF($X770="","",SUMIFS(TARIFF_PROFILES!$D:$D,TARIFF_PROFILES!$A:$A,$X770))</f>
        <v/>
      </c>
      <c r="Z770" s="15">
        <f>IF($X770="","",SUMIFS(TARIFF_PROFILES!$E:$E,TARIFF_PROFILES!$A:$A,$X770))</f>
        <v/>
      </c>
      <c r="AA770" s="15">
        <f>IF($X770="","",SUMIFS(TARIFF_PROFILES!$F:$F,TARIFF_PROFILES!$A:$A,$X770))</f>
        <v/>
      </c>
      <c r="AB770" s="15">
        <f>IF($X770="","",SUMIFS(TARIFF_PROFILES!$G:$G,TARIFF_PROFILES!$A:$A,$X770))</f>
        <v/>
      </c>
      <c r="AC770" s="15">
        <f>IF($X770="","",SUMIFS(TARIFF_PROFILES!$H:$H,TARIFF_PROFILES!$A:$A,$X770))</f>
        <v/>
      </c>
      <c r="AD770" s="15">
        <f>IF($X770="","",INDEX(TARIFF_PROFILES!$J:$J,MATCH($X770,TARIFF_PROFILES!$A:$A,0)))</f>
        <v/>
      </c>
      <c r="AE770" s="15">
        <f>IF($X770="","",INDEX(TARIFF_PROFILES!$K:$K,MATCH($X770,TARIFF_PROFILES!$A:$A,0)))</f>
        <v/>
      </c>
      <c r="AH770">
        <f>IF($AG770="","",SUMIFS(OPERATING_COEFFS!$C:$C,OPERATING_COEFFS!$A:$A,"DistanceClass",OPERATING_COEFFS!$B:$B,$AG770))</f>
        <v/>
      </c>
      <c r="AJ770">
        <f>IF($AI770="","",SUMIFS(OPERATING_COEFFS!$C:$C,OPERATING_COEFFS!$A:$A,"SeasonClass",OPERATING_COEFFS!$B:$B,$AI770))</f>
        <v/>
      </c>
      <c r="AL770">
        <f>IF($AK770="","",SUMIFS(OPERATING_COEFFS!$C:$C,OPERATING_COEFFS!$A:$A,"UrgencyClass",OPERATING_COEFFS!$B:$B,$AK770))</f>
        <v/>
      </c>
      <c r="AN770">
        <f>IF($AM770="","",INDEX(TAX_MODES!$B:$B,MATCH($AM770,TAX_MODES!$A:$A,0)))</f>
        <v/>
      </c>
    </row>
    <row r="771">
      <c r="X771" s="15" t="n"/>
      <c r="Y771" s="15">
        <f>IF($X771="","",SUMIFS(TARIFF_PROFILES!$D:$D,TARIFF_PROFILES!$A:$A,$X771))</f>
        <v/>
      </c>
      <c r="Z771" s="15">
        <f>IF($X771="","",SUMIFS(TARIFF_PROFILES!$E:$E,TARIFF_PROFILES!$A:$A,$X771))</f>
        <v/>
      </c>
      <c r="AA771" s="15">
        <f>IF($X771="","",SUMIFS(TARIFF_PROFILES!$F:$F,TARIFF_PROFILES!$A:$A,$X771))</f>
        <v/>
      </c>
      <c r="AB771" s="15">
        <f>IF($X771="","",SUMIFS(TARIFF_PROFILES!$G:$G,TARIFF_PROFILES!$A:$A,$X771))</f>
        <v/>
      </c>
      <c r="AC771" s="15">
        <f>IF($X771="","",SUMIFS(TARIFF_PROFILES!$H:$H,TARIFF_PROFILES!$A:$A,$X771))</f>
        <v/>
      </c>
      <c r="AD771" s="15">
        <f>IF($X771="","",INDEX(TARIFF_PROFILES!$J:$J,MATCH($X771,TARIFF_PROFILES!$A:$A,0)))</f>
        <v/>
      </c>
      <c r="AE771" s="15">
        <f>IF($X771="","",INDEX(TARIFF_PROFILES!$K:$K,MATCH($X771,TARIFF_PROFILES!$A:$A,0)))</f>
        <v/>
      </c>
      <c r="AH771">
        <f>IF($AG771="","",SUMIFS(OPERATING_COEFFS!$C:$C,OPERATING_COEFFS!$A:$A,"DistanceClass",OPERATING_COEFFS!$B:$B,$AG771))</f>
        <v/>
      </c>
      <c r="AJ771">
        <f>IF($AI771="","",SUMIFS(OPERATING_COEFFS!$C:$C,OPERATING_COEFFS!$A:$A,"SeasonClass",OPERATING_COEFFS!$B:$B,$AI771))</f>
        <v/>
      </c>
      <c r="AL771">
        <f>IF($AK771="","",SUMIFS(OPERATING_COEFFS!$C:$C,OPERATING_COEFFS!$A:$A,"UrgencyClass",OPERATING_COEFFS!$B:$B,$AK771))</f>
        <v/>
      </c>
      <c r="AN771">
        <f>IF($AM771="","",INDEX(TAX_MODES!$B:$B,MATCH($AM771,TAX_MODES!$A:$A,0)))</f>
        <v/>
      </c>
    </row>
    <row r="772">
      <c r="X772" s="15" t="n"/>
      <c r="Y772" s="15">
        <f>IF($X772="","",SUMIFS(TARIFF_PROFILES!$D:$D,TARIFF_PROFILES!$A:$A,$X772))</f>
        <v/>
      </c>
      <c r="Z772" s="15">
        <f>IF($X772="","",SUMIFS(TARIFF_PROFILES!$E:$E,TARIFF_PROFILES!$A:$A,$X772))</f>
        <v/>
      </c>
      <c r="AA772" s="15">
        <f>IF($X772="","",SUMIFS(TARIFF_PROFILES!$F:$F,TARIFF_PROFILES!$A:$A,$X772))</f>
        <v/>
      </c>
      <c r="AB772" s="15">
        <f>IF($X772="","",SUMIFS(TARIFF_PROFILES!$G:$G,TARIFF_PROFILES!$A:$A,$X772))</f>
        <v/>
      </c>
      <c r="AC772" s="15">
        <f>IF($X772="","",SUMIFS(TARIFF_PROFILES!$H:$H,TARIFF_PROFILES!$A:$A,$X772))</f>
        <v/>
      </c>
      <c r="AD772" s="15">
        <f>IF($X772="","",INDEX(TARIFF_PROFILES!$J:$J,MATCH($X772,TARIFF_PROFILES!$A:$A,0)))</f>
        <v/>
      </c>
      <c r="AE772" s="15">
        <f>IF($X772="","",INDEX(TARIFF_PROFILES!$K:$K,MATCH($X772,TARIFF_PROFILES!$A:$A,0)))</f>
        <v/>
      </c>
      <c r="AH772">
        <f>IF($AG772="","",SUMIFS(OPERATING_COEFFS!$C:$C,OPERATING_COEFFS!$A:$A,"DistanceClass",OPERATING_COEFFS!$B:$B,$AG772))</f>
        <v/>
      </c>
      <c r="AJ772">
        <f>IF($AI772="","",SUMIFS(OPERATING_COEFFS!$C:$C,OPERATING_COEFFS!$A:$A,"SeasonClass",OPERATING_COEFFS!$B:$B,$AI772))</f>
        <v/>
      </c>
      <c r="AL772">
        <f>IF($AK772="","",SUMIFS(OPERATING_COEFFS!$C:$C,OPERATING_COEFFS!$A:$A,"UrgencyClass",OPERATING_COEFFS!$B:$B,$AK772))</f>
        <v/>
      </c>
      <c r="AN772">
        <f>IF($AM772="","",INDEX(TAX_MODES!$B:$B,MATCH($AM772,TAX_MODES!$A:$A,0)))</f>
        <v/>
      </c>
    </row>
    <row r="773">
      <c r="X773" s="15" t="n"/>
      <c r="Y773" s="15">
        <f>IF($X773="","",SUMIFS(TARIFF_PROFILES!$D:$D,TARIFF_PROFILES!$A:$A,$X773))</f>
        <v/>
      </c>
      <c r="Z773" s="15">
        <f>IF($X773="","",SUMIFS(TARIFF_PROFILES!$E:$E,TARIFF_PROFILES!$A:$A,$X773))</f>
        <v/>
      </c>
      <c r="AA773" s="15">
        <f>IF($X773="","",SUMIFS(TARIFF_PROFILES!$F:$F,TARIFF_PROFILES!$A:$A,$X773))</f>
        <v/>
      </c>
      <c r="AB773" s="15">
        <f>IF($X773="","",SUMIFS(TARIFF_PROFILES!$G:$G,TARIFF_PROFILES!$A:$A,$X773))</f>
        <v/>
      </c>
      <c r="AC773" s="15">
        <f>IF($X773="","",SUMIFS(TARIFF_PROFILES!$H:$H,TARIFF_PROFILES!$A:$A,$X773))</f>
        <v/>
      </c>
      <c r="AD773" s="15">
        <f>IF($X773="","",INDEX(TARIFF_PROFILES!$J:$J,MATCH($X773,TARIFF_PROFILES!$A:$A,0)))</f>
        <v/>
      </c>
      <c r="AE773" s="15">
        <f>IF($X773="","",INDEX(TARIFF_PROFILES!$K:$K,MATCH($X773,TARIFF_PROFILES!$A:$A,0)))</f>
        <v/>
      </c>
      <c r="AH773">
        <f>IF($AG773="","",SUMIFS(OPERATING_COEFFS!$C:$C,OPERATING_COEFFS!$A:$A,"DistanceClass",OPERATING_COEFFS!$B:$B,$AG773))</f>
        <v/>
      </c>
      <c r="AJ773">
        <f>IF($AI773="","",SUMIFS(OPERATING_COEFFS!$C:$C,OPERATING_COEFFS!$A:$A,"SeasonClass",OPERATING_COEFFS!$B:$B,$AI773))</f>
        <v/>
      </c>
      <c r="AL773">
        <f>IF($AK773="","",SUMIFS(OPERATING_COEFFS!$C:$C,OPERATING_COEFFS!$A:$A,"UrgencyClass",OPERATING_COEFFS!$B:$B,$AK773))</f>
        <v/>
      </c>
      <c r="AN773">
        <f>IF($AM773="","",INDEX(TAX_MODES!$B:$B,MATCH($AM773,TAX_MODES!$A:$A,0)))</f>
        <v/>
      </c>
    </row>
    <row r="774">
      <c r="X774" s="15" t="n"/>
      <c r="Y774" s="15">
        <f>IF($X774="","",SUMIFS(TARIFF_PROFILES!$D:$D,TARIFF_PROFILES!$A:$A,$X774))</f>
        <v/>
      </c>
      <c r="Z774" s="15">
        <f>IF($X774="","",SUMIFS(TARIFF_PROFILES!$E:$E,TARIFF_PROFILES!$A:$A,$X774))</f>
        <v/>
      </c>
      <c r="AA774" s="15">
        <f>IF($X774="","",SUMIFS(TARIFF_PROFILES!$F:$F,TARIFF_PROFILES!$A:$A,$X774))</f>
        <v/>
      </c>
      <c r="AB774" s="15">
        <f>IF($X774="","",SUMIFS(TARIFF_PROFILES!$G:$G,TARIFF_PROFILES!$A:$A,$X774))</f>
        <v/>
      </c>
      <c r="AC774" s="15">
        <f>IF($X774="","",SUMIFS(TARIFF_PROFILES!$H:$H,TARIFF_PROFILES!$A:$A,$X774))</f>
        <v/>
      </c>
      <c r="AD774" s="15">
        <f>IF($X774="","",INDEX(TARIFF_PROFILES!$J:$J,MATCH($X774,TARIFF_PROFILES!$A:$A,0)))</f>
        <v/>
      </c>
      <c r="AE774" s="15">
        <f>IF($X774="","",INDEX(TARIFF_PROFILES!$K:$K,MATCH($X774,TARIFF_PROFILES!$A:$A,0)))</f>
        <v/>
      </c>
      <c r="AH774">
        <f>IF($AG774="","",SUMIFS(OPERATING_COEFFS!$C:$C,OPERATING_COEFFS!$A:$A,"DistanceClass",OPERATING_COEFFS!$B:$B,$AG774))</f>
        <v/>
      </c>
      <c r="AJ774">
        <f>IF($AI774="","",SUMIFS(OPERATING_COEFFS!$C:$C,OPERATING_COEFFS!$A:$A,"SeasonClass",OPERATING_COEFFS!$B:$B,$AI774))</f>
        <v/>
      </c>
      <c r="AL774">
        <f>IF($AK774="","",SUMIFS(OPERATING_COEFFS!$C:$C,OPERATING_COEFFS!$A:$A,"UrgencyClass",OPERATING_COEFFS!$B:$B,$AK774))</f>
        <v/>
      </c>
      <c r="AN774">
        <f>IF($AM774="","",INDEX(TAX_MODES!$B:$B,MATCH($AM774,TAX_MODES!$A:$A,0)))</f>
        <v/>
      </c>
    </row>
    <row r="775">
      <c r="X775" s="15" t="n"/>
      <c r="Y775" s="15">
        <f>IF($X775="","",SUMIFS(TARIFF_PROFILES!$D:$D,TARIFF_PROFILES!$A:$A,$X775))</f>
        <v/>
      </c>
      <c r="Z775" s="15">
        <f>IF($X775="","",SUMIFS(TARIFF_PROFILES!$E:$E,TARIFF_PROFILES!$A:$A,$X775))</f>
        <v/>
      </c>
      <c r="AA775" s="15">
        <f>IF($X775="","",SUMIFS(TARIFF_PROFILES!$F:$F,TARIFF_PROFILES!$A:$A,$X775))</f>
        <v/>
      </c>
      <c r="AB775" s="15">
        <f>IF($X775="","",SUMIFS(TARIFF_PROFILES!$G:$G,TARIFF_PROFILES!$A:$A,$X775))</f>
        <v/>
      </c>
      <c r="AC775" s="15">
        <f>IF($X775="","",SUMIFS(TARIFF_PROFILES!$H:$H,TARIFF_PROFILES!$A:$A,$X775))</f>
        <v/>
      </c>
      <c r="AD775" s="15">
        <f>IF($X775="","",INDEX(TARIFF_PROFILES!$J:$J,MATCH($X775,TARIFF_PROFILES!$A:$A,0)))</f>
        <v/>
      </c>
      <c r="AE775" s="15">
        <f>IF($X775="","",INDEX(TARIFF_PROFILES!$K:$K,MATCH($X775,TARIFF_PROFILES!$A:$A,0)))</f>
        <v/>
      </c>
      <c r="AH775">
        <f>IF($AG775="","",SUMIFS(OPERATING_COEFFS!$C:$C,OPERATING_COEFFS!$A:$A,"DistanceClass",OPERATING_COEFFS!$B:$B,$AG775))</f>
        <v/>
      </c>
      <c r="AJ775">
        <f>IF($AI775="","",SUMIFS(OPERATING_COEFFS!$C:$C,OPERATING_COEFFS!$A:$A,"SeasonClass",OPERATING_COEFFS!$B:$B,$AI775))</f>
        <v/>
      </c>
      <c r="AL775">
        <f>IF($AK775="","",SUMIFS(OPERATING_COEFFS!$C:$C,OPERATING_COEFFS!$A:$A,"UrgencyClass",OPERATING_COEFFS!$B:$B,$AK775))</f>
        <v/>
      </c>
      <c r="AN775">
        <f>IF($AM775="","",INDEX(TAX_MODES!$B:$B,MATCH($AM775,TAX_MODES!$A:$A,0)))</f>
        <v/>
      </c>
    </row>
    <row r="776">
      <c r="X776" s="15" t="n"/>
      <c r="Y776" s="15">
        <f>IF($X776="","",SUMIFS(TARIFF_PROFILES!$D:$D,TARIFF_PROFILES!$A:$A,$X776))</f>
        <v/>
      </c>
      <c r="Z776" s="15">
        <f>IF($X776="","",SUMIFS(TARIFF_PROFILES!$E:$E,TARIFF_PROFILES!$A:$A,$X776))</f>
        <v/>
      </c>
      <c r="AA776" s="15">
        <f>IF($X776="","",SUMIFS(TARIFF_PROFILES!$F:$F,TARIFF_PROFILES!$A:$A,$X776))</f>
        <v/>
      </c>
      <c r="AB776" s="15">
        <f>IF($X776="","",SUMIFS(TARIFF_PROFILES!$G:$G,TARIFF_PROFILES!$A:$A,$X776))</f>
        <v/>
      </c>
      <c r="AC776" s="15">
        <f>IF($X776="","",SUMIFS(TARIFF_PROFILES!$H:$H,TARIFF_PROFILES!$A:$A,$X776))</f>
        <v/>
      </c>
      <c r="AD776" s="15">
        <f>IF($X776="","",INDEX(TARIFF_PROFILES!$J:$J,MATCH($X776,TARIFF_PROFILES!$A:$A,0)))</f>
        <v/>
      </c>
      <c r="AE776" s="15">
        <f>IF($X776="","",INDEX(TARIFF_PROFILES!$K:$K,MATCH($X776,TARIFF_PROFILES!$A:$A,0)))</f>
        <v/>
      </c>
      <c r="AH776">
        <f>IF($AG776="","",SUMIFS(OPERATING_COEFFS!$C:$C,OPERATING_COEFFS!$A:$A,"DistanceClass",OPERATING_COEFFS!$B:$B,$AG776))</f>
        <v/>
      </c>
      <c r="AJ776">
        <f>IF($AI776="","",SUMIFS(OPERATING_COEFFS!$C:$C,OPERATING_COEFFS!$A:$A,"SeasonClass",OPERATING_COEFFS!$B:$B,$AI776))</f>
        <v/>
      </c>
      <c r="AL776">
        <f>IF($AK776="","",SUMIFS(OPERATING_COEFFS!$C:$C,OPERATING_COEFFS!$A:$A,"UrgencyClass",OPERATING_COEFFS!$B:$B,$AK776))</f>
        <v/>
      </c>
      <c r="AN776">
        <f>IF($AM776="","",INDEX(TAX_MODES!$B:$B,MATCH($AM776,TAX_MODES!$A:$A,0)))</f>
        <v/>
      </c>
    </row>
    <row r="777">
      <c r="X777" s="15" t="n"/>
      <c r="Y777" s="15">
        <f>IF($X777="","",SUMIFS(TARIFF_PROFILES!$D:$D,TARIFF_PROFILES!$A:$A,$X777))</f>
        <v/>
      </c>
      <c r="Z777" s="15">
        <f>IF($X777="","",SUMIFS(TARIFF_PROFILES!$E:$E,TARIFF_PROFILES!$A:$A,$X777))</f>
        <v/>
      </c>
      <c r="AA777" s="15">
        <f>IF($X777="","",SUMIFS(TARIFF_PROFILES!$F:$F,TARIFF_PROFILES!$A:$A,$X777))</f>
        <v/>
      </c>
      <c r="AB777" s="15">
        <f>IF($X777="","",SUMIFS(TARIFF_PROFILES!$G:$G,TARIFF_PROFILES!$A:$A,$X777))</f>
        <v/>
      </c>
      <c r="AC777" s="15">
        <f>IF($X777="","",SUMIFS(TARIFF_PROFILES!$H:$H,TARIFF_PROFILES!$A:$A,$X777))</f>
        <v/>
      </c>
      <c r="AD777" s="15">
        <f>IF($X777="","",INDEX(TARIFF_PROFILES!$J:$J,MATCH($X777,TARIFF_PROFILES!$A:$A,0)))</f>
        <v/>
      </c>
      <c r="AE777" s="15">
        <f>IF($X777="","",INDEX(TARIFF_PROFILES!$K:$K,MATCH($X777,TARIFF_PROFILES!$A:$A,0)))</f>
        <v/>
      </c>
      <c r="AH777">
        <f>IF($AG777="","",SUMIFS(OPERATING_COEFFS!$C:$C,OPERATING_COEFFS!$A:$A,"DistanceClass",OPERATING_COEFFS!$B:$B,$AG777))</f>
        <v/>
      </c>
      <c r="AJ777">
        <f>IF($AI777="","",SUMIFS(OPERATING_COEFFS!$C:$C,OPERATING_COEFFS!$A:$A,"SeasonClass",OPERATING_COEFFS!$B:$B,$AI777))</f>
        <v/>
      </c>
      <c r="AL777">
        <f>IF($AK777="","",SUMIFS(OPERATING_COEFFS!$C:$C,OPERATING_COEFFS!$A:$A,"UrgencyClass",OPERATING_COEFFS!$B:$B,$AK777))</f>
        <v/>
      </c>
      <c r="AN777">
        <f>IF($AM777="","",INDEX(TAX_MODES!$B:$B,MATCH($AM777,TAX_MODES!$A:$A,0)))</f>
        <v/>
      </c>
    </row>
    <row r="778">
      <c r="X778" s="15" t="n"/>
      <c r="Y778" s="15">
        <f>IF($X778="","",SUMIFS(TARIFF_PROFILES!$D:$D,TARIFF_PROFILES!$A:$A,$X778))</f>
        <v/>
      </c>
      <c r="Z778" s="15">
        <f>IF($X778="","",SUMIFS(TARIFF_PROFILES!$E:$E,TARIFF_PROFILES!$A:$A,$X778))</f>
        <v/>
      </c>
      <c r="AA778" s="15">
        <f>IF($X778="","",SUMIFS(TARIFF_PROFILES!$F:$F,TARIFF_PROFILES!$A:$A,$X778))</f>
        <v/>
      </c>
      <c r="AB778" s="15">
        <f>IF($X778="","",SUMIFS(TARIFF_PROFILES!$G:$G,TARIFF_PROFILES!$A:$A,$X778))</f>
        <v/>
      </c>
      <c r="AC778" s="15">
        <f>IF($X778="","",SUMIFS(TARIFF_PROFILES!$H:$H,TARIFF_PROFILES!$A:$A,$X778))</f>
        <v/>
      </c>
      <c r="AD778" s="15">
        <f>IF($X778="","",INDEX(TARIFF_PROFILES!$J:$J,MATCH($X778,TARIFF_PROFILES!$A:$A,0)))</f>
        <v/>
      </c>
      <c r="AE778" s="15">
        <f>IF($X778="","",INDEX(TARIFF_PROFILES!$K:$K,MATCH($X778,TARIFF_PROFILES!$A:$A,0)))</f>
        <v/>
      </c>
      <c r="AH778">
        <f>IF($AG778="","",SUMIFS(OPERATING_COEFFS!$C:$C,OPERATING_COEFFS!$A:$A,"DistanceClass",OPERATING_COEFFS!$B:$B,$AG778))</f>
        <v/>
      </c>
      <c r="AJ778">
        <f>IF($AI778="","",SUMIFS(OPERATING_COEFFS!$C:$C,OPERATING_COEFFS!$A:$A,"SeasonClass",OPERATING_COEFFS!$B:$B,$AI778))</f>
        <v/>
      </c>
      <c r="AL778">
        <f>IF($AK778="","",SUMIFS(OPERATING_COEFFS!$C:$C,OPERATING_COEFFS!$A:$A,"UrgencyClass",OPERATING_COEFFS!$B:$B,$AK778))</f>
        <v/>
      </c>
      <c r="AN778">
        <f>IF($AM778="","",INDEX(TAX_MODES!$B:$B,MATCH($AM778,TAX_MODES!$A:$A,0)))</f>
        <v/>
      </c>
    </row>
    <row r="779">
      <c r="X779" s="15" t="n"/>
      <c r="Y779" s="15">
        <f>IF($X779="","",SUMIFS(TARIFF_PROFILES!$D:$D,TARIFF_PROFILES!$A:$A,$X779))</f>
        <v/>
      </c>
      <c r="Z779" s="15">
        <f>IF($X779="","",SUMIFS(TARIFF_PROFILES!$E:$E,TARIFF_PROFILES!$A:$A,$X779))</f>
        <v/>
      </c>
      <c r="AA779" s="15">
        <f>IF($X779="","",SUMIFS(TARIFF_PROFILES!$F:$F,TARIFF_PROFILES!$A:$A,$X779))</f>
        <v/>
      </c>
      <c r="AB779" s="15">
        <f>IF($X779="","",SUMIFS(TARIFF_PROFILES!$G:$G,TARIFF_PROFILES!$A:$A,$X779))</f>
        <v/>
      </c>
      <c r="AC779" s="15">
        <f>IF($X779="","",SUMIFS(TARIFF_PROFILES!$H:$H,TARIFF_PROFILES!$A:$A,$X779))</f>
        <v/>
      </c>
      <c r="AD779" s="15">
        <f>IF($X779="","",INDEX(TARIFF_PROFILES!$J:$J,MATCH($X779,TARIFF_PROFILES!$A:$A,0)))</f>
        <v/>
      </c>
      <c r="AE779" s="15">
        <f>IF($X779="","",INDEX(TARIFF_PROFILES!$K:$K,MATCH($X779,TARIFF_PROFILES!$A:$A,0)))</f>
        <v/>
      </c>
      <c r="AH779">
        <f>IF($AG779="","",SUMIFS(OPERATING_COEFFS!$C:$C,OPERATING_COEFFS!$A:$A,"DistanceClass",OPERATING_COEFFS!$B:$B,$AG779))</f>
        <v/>
      </c>
      <c r="AJ779">
        <f>IF($AI779="","",SUMIFS(OPERATING_COEFFS!$C:$C,OPERATING_COEFFS!$A:$A,"SeasonClass",OPERATING_COEFFS!$B:$B,$AI779))</f>
        <v/>
      </c>
      <c r="AL779">
        <f>IF($AK779="","",SUMIFS(OPERATING_COEFFS!$C:$C,OPERATING_COEFFS!$A:$A,"UrgencyClass",OPERATING_COEFFS!$B:$B,$AK779))</f>
        <v/>
      </c>
      <c r="AN779">
        <f>IF($AM779="","",INDEX(TAX_MODES!$B:$B,MATCH($AM779,TAX_MODES!$A:$A,0)))</f>
        <v/>
      </c>
    </row>
    <row r="780">
      <c r="X780" s="15" t="n"/>
      <c r="Y780" s="15">
        <f>IF($X780="","",SUMIFS(TARIFF_PROFILES!$D:$D,TARIFF_PROFILES!$A:$A,$X780))</f>
        <v/>
      </c>
      <c r="Z780" s="15">
        <f>IF($X780="","",SUMIFS(TARIFF_PROFILES!$E:$E,TARIFF_PROFILES!$A:$A,$X780))</f>
        <v/>
      </c>
      <c r="AA780" s="15">
        <f>IF($X780="","",SUMIFS(TARIFF_PROFILES!$F:$F,TARIFF_PROFILES!$A:$A,$X780))</f>
        <v/>
      </c>
      <c r="AB780" s="15">
        <f>IF($X780="","",SUMIFS(TARIFF_PROFILES!$G:$G,TARIFF_PROFILES!$A:$A,$X780))</f>
        <v/>
      </c>
      <c r="AC780" s="15">
        <f>IF($X780="","",SUMIFS(TARIFF_PROFILES!$H:$H,TARIFF_PROFILES!$A:$A,$X780))</f>
        <v/>
      </c>
      <c r="AD780" s="15">
        <f>IF($X780="","",INDEX(TARIFF_PROFILES!$J:$J,MATCH($X780,TARIFF_PROFILES!$A:$A,0)))</f>
        <v/>
      </c>
      <c r="AE780" s="15">
        <f>IF($X780="","",INDEX(TARIFF_PROFILES!$K:$K,MATCH($X780,TARIFF_PROFILES!$A:$A,0)))</f>
        <v/>
      </c>
      <c r="AH780">
        <f>IF($AG780="","",SUMIFS(OPERATING_COEFFS!$C:$C,OPERATING_COEFFS!$A:$A,"DistanceClass",OPERATING_COEFFS!$B:$B,$AG780))</f>
        <v/>
      </c>
      <c r="AJ780">
        <f>IF($AI780="","",SUMIFS(OPERATING_COEFFS!$C:$C,OPERATING_COEFFS!$A:$A,"SeasonClass",OPERATING_COEFFS!$B:$B,$AI780))</f>
        <v/>
      </c>
      <c r="AL780">
        <f>IF($AK780="","",SUMIFS(OPERATING_COEFFS!$C:$C,OPERATING_COEFFS!$A:$A,"UrgencyClass",OPERATING_COEFFS!$B:$B,$AK780))</f>
        <v/>
      </c>
      <c r="AN780">
        <f>IF($AM780="","",INDEX(TAX_MODES!$B:$B,MATCH($AM780,TAX_MODES!$A:$A,0)))</f>
        <v/>
      </c>
    </row>
    <row r="781">
      <c r="X781" s="15" t="n"/>
      <c r="Y781" s="15">
        <f>IF($X781="","",SUMIFS(TARIFF_PROFILES!$D:$D,TARIFF_PROFILES!$A:$A,$X781))</f>
        <v/>
      </c>
      <c r="Z781" s="15">
        <f>IF($X781="","",SUMIFS(TARIFF_PROFILES!$E:$E,TARIFF_PROFILES!$A:$A,$X781))</f>
        <v/>
      </c>
      <c r="AA781" s="15">
        <f>IF($X781="","",SUMIFS(TARIFF_PROFILES!$F:$F,TARIFF_PROFILES!$A:$A,$X781))</f>
        <v/>
      </c>
      <c r="AB781" s="15">
        <f>IF($X781="","",SUMIFS(TARIFF_PROFILES!$G:$G,TARIFF_PROFILES!$A:$A,$X781))</f>
        <v/>
      </c>
      <c r="AC781" s="15">
        <f>IF($X781="","",SUMIFS(TARIFF_PROFILES!$H:$H,TARIFF_PROFILES!$A:$A,$X781))</f>
        <v/>
      </c>
      <c r="AD781" s="15">
        <f>IF($X781="","",INDEX(TARIFF_PROFILES!$J:$J,MATCH($X781,TARIFF_PROFILES!$A:$A,0)))</f>
        <v/>
      </c>
      <c r="AE781" s="15">
        <f>IF($X781="","",INDEX(TARIFF_PROFILES!$K:$K,MATCH($X781,TARIFF_PROFILES!$A:$A,0)))</f>
        <v/>
      </c>
      <c r="AH781">
        <f>IF($AG781="","",SUMIFS(OPERATING_COEFFS!$C:$C,OPERATING_COEFFS!$A:$A,"DistanceClass",OPERATING_COEFFS!$B:$B,$AG781))</f>
        <v/>
      </c>
      <c r="AJ781">
        <f>IF($AI781="","",SUMIFS(OPERATING_COEFFS!$C:$C,OPERATING_COEFFS!$A:$A,"SeasonClass",OPERATING_COEFFS!$B:$B,$AI781))</f>
        <v/>
      </c>
      <c r="AL781">
        <f>IF($AK781="","",SUMIFS(OPERATING_COEFFS!$C:$C,OPERATING_COEFFS!$A:$A,"UrgencyClass",OPERATING_COEFFS!$B:$B,$AK781))</f>
        <v/>
      </c>
      <c r="AN781">
        <f>IF($AM781="","",INDEX(TAX_MODES!$B:$B,MATCH($AM781,TAX_MODES!$A:$A,0)))</f>
        <v/>
      </c>
    </row>
    <row r="782">
      <c r="X782" s="15" t="n"/>
      <c r="Y782" s="15">
        <f>IF($X782="","",SUMIFS(TARIFF_PROFILES!$D:$D,TARIFF_PROFILES!$A:$A,$X782))</f>
        <v/>
      </c>
      <c r="Z782" s="15">
        <f>IF($X782="","",SUMIFS(TARIFF_PROFILES!$E:$E,TARIFF_PROFILES!$A:$A,$X782))</f>
        <v/>
      </c>
      <c r="AA782" s="15">
        <f>IF($X782="","",SUMIFS(TARIFF_PROFILES!$F:$F,TARIFF_PROFILES!$A:$A,$X782))</f>
        <v/>
      </c>
      <c r="AB782" s="15">
        <f>IF($X782="","",SUMIFS(TARIFF_PROFILES!$G:$G,TARIFF_PROFILES!$A:$A,$X782))</f>
        <v/>
      </c>
      <c r="AC782" s="15">
        <f>IF($X782="","",SUMIFS(TARIFF_PROFILES!$H:$H,TARIFF_PROFILES!$A:$A,$X782))</f>
        <v/>
      </c>
      <c r="AD782" s="15">
        <f>IF($X782="","",INDEX(TARIFF_PROFILES!$J:$J,MATCH($X782,TARIFF_PROFILES!$A:$A,0)))</f>
        <v/>
      </c>
      <c r="AE782" s="15">
        <f>IF($X782="","",INDEX(TARIFF_PROFILES!$K:$K,MATCH($X782,TARIFF_PROFILES!$A:$A,0)))</f>
        <v/>
      </c>
      <c r="AH782">
        <f>IF($AG782="","",SUMIFS(OPERATING_COEFFS!$C:$C,OPERATING_COEFFS!$A:$A,"DistanceClass",OPERATING_COEFFS!$B:$B,$AG782))</f>
        <v/>
      </c>
      <c r="AJ782">
        <f>IF($AI782="","",SUMIFS(OPERATING_COEFFS!$C:$C,OPERATING_COEFFS!$A:$A,"SeasonClass",OPERATING_COEFFS!$B:$B,$AI782))</f>
        <v/>
      </c>
      <c r="AL782">
        <f>IF($AK782="","",SUMIFS(OPERATING_COEFFS!$C:$C,OPERATING_COEFFS!$A:$A,"UrgencyClass",OPERATING_COEFFS!$B:$B,$AK782))</f>
        <v/>
      </c>
      <c r="AN782">
        <f>IF($AM782="","",INDEX(TAX_MODES!$B:$B,MATCH($AM782,TAX_MODES!$A:$A,0)))</f>
        <v/>
      </c>
    </row>
    <row r="783">
      <c r="X783" s="15" t="n"/>
      <c r="Y783" s="15">
        <f>IF($X783="","",SUMIFS(TARIFF_PROFILES!$D:$D,TARIFF_PROFILES!$A:$A,$X783))</f>
        <v/>
      </c>
      <c r="Z783" s="15">
        <f>IF($X783="","",SUMIFS(TARIFF_PROFILES!$E:$E,TARIFF_PROFILES!$A:$A,$X783))</f>
        <v/>
      </c>
      <c r="AA783" s="15">
        <f>IF($X783="","",SUMIFS(TARIFF_PROFILES!$F:$F,TARIFF_PROFILES!$A:$A,$X783))</f>
        <v/>
      </c>
      <c r="AB783" s="15">
        <f>IF($X783="","",SUMIFS(TARIFF_PROFILES!$G:$G,TARIFF_PROFILES!$A:$A,$X783))</f>
        <v/>
      </c>
      <c r="AC783" s="15">
        <f>IF($X783="","",SUMIFS(TARIFF_PROFILES!$H:$H,TARIFF_PROFILES!$A:$A,$X783))</f>
        <v/>
      </c>
      <c r="AD783" s="15">
        <f>IF($X783="","",INDEX(TARIFF_PROFILES!$J:$J,MATCH($X783,TARIFF_PROFILES!$A:$A,0)))</f>
        <v/>
      </c>
      <c r="AE783" s="15">
        <f>IF($X783="","",INDEX(TARIFF_PROFILES!$K:$K,MATCH($X783,TARIFF_PROFILES!$A:$A,0)))</f>
        <v/>
      </c>
      <c r="AH783">
        <f>IF($AG783="","",SUMIFS(OPERATING_COEFFS!$C:$C,OPERATING_COEFFS!$A:$A,"DistanceClass",OPERATING_COEFFS!$B:$B,$AG783))</f>
        <v/>
      </c>
      <c r="AJ783">
        <f>IF($AI783="","",SUMIFS(OPERATING_COEFFS!$C:$C,OPERATING_COEFFS!$A:$A,"SeasonClass",OPERATING_COEFFS!$B:$B,$AI783))</f>
        <v/>
      </c>
      <c r="AL783">
        <f>IF($AK783="","",SUMIFS(OPERATING_COEFFS!$C:$C,OPERATING_COEFFS!$A:$A,"UrgencyClass",OPERATING_COEFFS!$B:$B,$AK783))</f>
        <v/>
      </c>
      <c r="AN783">
        <f>IF($AM783="","",INDEX(TAX_MODES!$B:$B,MATCH($AM783,TAX_MODES!$A:$A,0)))</f>
        <v/>
      </c>
    </row>
    <row r="784">
      <c r="X784" s="15" t="n"/>
      <c r="Y784" s="15">
        <f>IF($X784="","",SUMIFS(TARIFF_PROFILES!$D:$D,TARIFF_PROFILES!$A:$A,$X784))</f>
        <v/>
      </c>
      <c r="Z784" s="15">
        <f>IF($X784="","",SUMIFS(TARIFF_PROFILES!$E:$E,TARIFF_PROFILES!$A:$A,$X784))</f>
        <v/>
      </c>
      <c r="AA784" s="15">
        <f>IF($X784="","",SUMIFS(TARIFF_PROFILES!$F:$F,TARIFF_PROFILES!$A:$A,$X784))</f>
        <v/>
      </c>
      <c r="AB784" s="15">
        <f>IF($X784="","",SUMIFS(TARIFF_PROFILES!$G:$G,TARIFF_PROFILES!$A:$A,$X784))</f>
        <v/>
      </c>
      <c r="AC784" s="15">
        <f>IF($X784="","",SUMIFS(TARIFF_PROFILES!$H:$H,TARIFF_PROFILES!$A:$A,$X784))</f>
        <v/>
      </c>
      <c r="AD784" s="15">
        <f>IF($X784="","",INDEX(TARIFF_PROFILES!$J:$J,MATCH($X784,TARIFF_PROFILES!$A:$A,0)))</f>
        <v/>
      </c>
      <c r="AE784" s="15">
        <f>IF($X784="","",INDEX(TARIFF_PROFILES!$K:$K,MATCH($X784,TARIFF_PROFILES!$A:$A,0)))</f>
        <v/>
      </c>
      <c r="AH784">
        <f>IF($AG784="","",SUMIFS(OPERATING_COEFFS!$C:$C,OPERATING_COEFFS!$A:$A,"DistanceClass",OPERATING_COEFFS!$B:$B,$AG784))</f>
        <v/>
      </c>
      <c r="AJ784">
        <f>IF($AI784="","",SUMIFS(OPERATING_COEFFS!$C:$C,OPERATING_COEFFS!$A:$A,"SeasonClass",OPERATING_COEFFS!$B:$B,$AI784))</f>
        <v/>
      </c>
      <c r="AL784">
        <f>IF($AK784="","",SUMIFS(OPERATING_COEFFS!$C:$C,OPERATING_COEFFS!$A:$A,"UrgencyClass",OPERATING_COEFFS!$B:$B,$AK784))</f>
        <v/>
      </c>
      <c r="AN784">
        <f>IF($AM784="","",INDEX(TAX_MODES!$B:$B,MATCH($AM784,TAX_MODES!$A:$A,0)))</f>
        <v/>
      </c>
    </row>
    <row r="785">
      <c r="X785" s="15" t="n"/>
      <c r="Y785" s="15">
        <f>IF($X785="","",SUMIFS(TARIFF_PROFILES!$D:$D,TARIFF_PROFILES!$A:$A,$X785))</f>
        <v/>
      </c>
      <c r="Z785" s="15">
        <f>IF($X785="","",SUMIFS(TARIFF_PROFILES!$E:$E,TARIFF_PROFILES!$A:$A,$X785))</f>
        <v/>
      </c>
      <c r="AA785" s="15">
        <f>IF($X785="","",SUMIFS(TARIFF_PROFILES!$F:$F,TARIFF_PROFILES!$A:$A,$X785))</f>
        <v/>
      </c>
      <c r="AB785" s="15">
        <f>IF($X785="","",SUMIFS(TARIFF_PROFILES!$G:$G,TARIFF_PROFILES!$A:$A,$X785))</f>
        <v/>
      </c>
      <c r="AC785" s="15">
        <f>IF($X785="","",SUMIFS(TARIFF_PROFILES!$H:$H,TARIFF_PROFILES!$A:$A,$X785))</f>
        <v/>
      </c>
      <c r="AD785" s="15">
        <f>IF($X785="","",INDEX(TARIFF_PROFILES!$J:$J,MATCH($X785,TARIFF_PROFILES!$A:$A,0)))</f>
        <v/>
      </c>
      <c r="AE785" s="15">
        <f>IF($X785="","",INDEX(TARIFF_PROFILES!$K:$K,MATCH($X785,TARIFF_PROFILES!$A:$A,0)))</f>
        <v/>
      </c>
      <c r="AH785">
        <f>IF($AG785="","",SUMIFS(OPERATING_COEFFS!$C:$C,OPERATING_COEFFS!$A:$A,"DistanceClass",OPERATING_COEFFS!$B:$B,$AG785))</f>
        <v/>
      </c>
      <c r="AJ785">
        <f>IF($AI785="","",SUMIFS(OPERATING_COEFFS!$C:$C,OPERATING_COEFFS!$A:$A,"SeasonClass",OPERATING_COEFFS!$B:$B,$AI785))</f>
        <v/>
      </c>
      <c r="AL785">
        <f>IF($AK785="","",SUMIFS(OPERATING_COEFFS!$C:$C,OPERATING_COEFFS!$A:$A,"UrgencyClass",OPERATING_COEFFS!$B:$B,$AK785))</f>
        <v/>
      </c>
      <c r="AN785">
        <f>IF($AM785="","",INDEX(TAX_MODES!$B:$B,MATCH($AM785,TAX_MODES!$A:$A,0)))</f>
        <v/>
      </c>
    </row>
    <row r="786">
      <c r="X786" s="15" t="n"/>
      <c r="Y786" s="15">
        <f>IF($X786="","",SUMIFS(TARIFF_PROFILES!$D:$D,TARIFF_PROFILES!$A:$A,$X786))</f>
        <v/>
      </c>
      <c r="Z786" s="15">
        <f>IF($X786="","",SUMIFS(TARIFF_PROFILES!$E:$E,TARIFF_PROFILES!$A:$A,$X786))</f>
        <v/>
      </c>
      <c r="AA786" s="15">
        <f>IF($X786="","",SUMIFS(TARIFF_PROFILES!$F:$F,TARIFF_PROFILES!$A:$A,$X786))</f>
        <v/>
      </c>
      <c r="AB786" s="15">
        <f>IF($X786="","",SUMIFS(TARIFF_PROFILES!$G:$G,TARIFF_PROFILES!$A:$A,$X786))</f>
        <v/>
      </c>
      <c r="AC786" s="15">
        <f>IF($X786="","",SUMIFS(TARIFF_PROFILES!$H:$H,TARIFF_PROFILES!$A:$A,$X786))</f>
        <v/>
      </c>
      <c r="AD786" s="15">
        <f>IF($X786="","",INDEX(TARIFF_PROFILES!$J:$J,MATCH($X786,TARIFF_PROFILES!$A:$A,0)))</f>
        <v/>
      </c>
      <c r="AE786" s="15">
        <f>IF($X786="","",INDEX(TARIFF_PROFILES!$K:$K,MATCH($X786,TARIFF_PROFILES!$A:$A,0)))</f>
        <v/>
      </c>
      <c r="AH786">
        <f>IF($AG786="","",SUMIFS(OPERATING_COEFFS!$C:$C,OPERATING_COEFFS!$A:$A,"DistanceClass",OPERATING_COEFFS!$B:$B,$AG786))</f>
        <v/>
      </c>
      <c r="AJ786">
        <f>IF($AI786="","",SUMIFS(OPERATING_COEFFS!$C:$C,OPERATING_COEFFS!$A:$A,"SeasonClass",OPERATING_COEFFS!$B:$B,$AI786))</f>
        <v/>
      </c>
      <c r="AL786">
        <f>IF($AK786="","",SUMIFS(OPERATING_COEFFS!$C:$C,OPERATING_COEFFS!$A:$A,"UrgencyClass",OPERATING_COEFFS!$B:$B,$AK786))</f>
        <v/>
      </c>
      <c r="AN786">
        <f>IF($AM786="","",INDEX(TAX_MODES!$B:$B,MATCH($AM786,TAX_MODES!$A:$A,0)))</f>
        <v/>
      </c>
    </row>
    <row r="787">
      <c r="X787" s="15" t="n"/>
      <c r="Y787" s="15">
        <f>IF($X787="","",SUMIFS(TARIFF_PROFILES!$D:$D,TARIFF_PROFILES!$A:$A,$X787))</f>
        <v/>
      </c>
      <c r="Z787" s="15">
        <f>IF($X787="","",SUMIFS(TARIFF_PROFILES!$E:$E,TARIFF_PROFILES!$A:$A,$X787))</f>
        <v/>
      </c>
      <c r="AA787" s="15">
        <f>IF($X787="","",SUMIFS(TARIFF_PROFILES!$F:$F,TARIFF_PROFILES!$A:$A,$X787))</f>
        <v/>
      </c>
      <c r="AB787" s="15">
        <f>IF($X787="","",SUMIFS(TARIFF_PROFILES!$G:$G,TARIFF_PROFILES!$A:$A,$X787))</f>
        <v/>
      </c>
      <c r="AC787" s="15">
        <f>IF($X787="","",SUMIFS(TARIFF_PROFILES!$H:$H,TARIFF_PROFILES!$A:$A,$X787))</f>
        <v/>
      </c>
      <c r="AD787" s="15">
        <f>IF($X787="","",INDEX(TARIFF_PROFILES!$J:$J,MATCH($X787,TARIFF_PROFILES!$A:$A,0)))</f>
        <v/>
      </c>
      <c r="AE787" s="15">
        <f>IF($X787="","",INDEX(TARIFF_PROFILES!$K:$K,MATCH($X787,TARIFF_PROFILES!$A:$A,0)))</f>
        <v/>
      </c>
      <c r="AH787">
        <f>IF($AG787="","",SUMIFS(OPERATING_COEFFS!$C:$C,OPERATING_COEFFS!$A:$A,"DistanceClass",OPERATING_COEFFS!$B:$B,$AG787))</f>
        <v/>
      </c>
      <c r="AJ787">
        <f>IF($AI787="","",SUMIFS(OPERATING_COEFFS!$C:$C,OPERATING_COEFFS!$A:$A,"SeasonClass",OPERATING_COEFFS!$B:$B,$AI787))</f>
        <v/>
      </c>
      <c r="AL787">
        <f>IF($AK787="","",SUMIFS(OPERATING_COEFFS!$C:$C,OPERATING_COEFFS!$A:$A,"UrgencyClass",OPERATING_COEFFS!$B:$B,$AK787))</f>
        <v/>
      </c>
      <c r="AN787">
        <f>IF($AM787="","",INDEX(TAX_MODES!$B:$B,MATCH($AM787,TAX_MODES!$A:$A,0)))</f>
        <v/>
      </c>
    </row>
    <row r="788">
      <c r="X788" s="15" t="n"/>
      <c r="Y788" s="15">
        <f>IF($X788="","",SUMIFS(TARIFF_PROFILES!$D:$D,TARIFF_PROFILES!$A:$A,$X788))</f>
        <v/>
      </c>
      <c r="Z788" s="15">
        <f>IF($X788="","",SUMIFS(TARIFF_PROFILES!$E:$E,TARIFF_PROFILES!$A:$A,$X788))</f>
        <v/>
      </c>
      <c r="AA788" s="15">
        <f>IF($X788="","",SUMIFS(TARIFF_PROFILES!$F:$F,TARIFF_PROFILES!$A:$A,$X788))</f>
        <v/>
      </c>
      <c r="AB788" s="15">
        <f>IF($X788="","",SUMIFS(TARIFF_PROFILES!$G:$G,TARIFF_PROFILES!$A:$A,$X788))</f>
        <v/>
      </c>
      <c r="AC788" s="15">
        <f>IF($X788="","",SUMIFS(TARIFF_PROFILES!$H:$H,TARIFF_PROFILES!$A:$A,$X788))</f>
        <v/>
      </c>
      <c r="AD788" s="15">
        <f>IF($X788="","",INDEX(TARIFF_PROFILES!$J:$J,MATCH($X788,TARIFF_PROFILES!$A:$A,0)))</f>
        <v/>
      </c>
      <c r="AE788" s="15">
        <f>IF($X788="","",INDEX(TARIFF_PROFILES!$K:$K,MATCH($X788,TARIFF_PROFILES!$A:$A,0)))</f>
        <v/>
      </c>
      <c r="AH788">
        <f>IF($AG788="","",SUMIFS(OPERATING_COEFFS!$C:$C,OPERATING_COEFFS!$A:$A,"DistanceClass",OPERATING_COEFFS!$B:$B,$AG788))</f>
        <v/>
      </c>
      <c r="AJ788">
        <f>IF($AI788="","",SUMIFS(OPERATING_COEFFS!$C:$C,OPERATING_COEFFS!$A:$A,"SeasonClass",OPERATING_COEFFS!$B:$B,$AI788))</f>
        <v/>
      </c>
      <c r="AL788">
        <f>IF($AK788="","",SUMIFS(OPERATING_COEFFS!$C:$C,OPERATING_COEFFS!$A:$A,"UrgencyClass",OPERATING_COEFFS!$B:$B,$AK788))</f>
        <v/>
      </c>
      <c r="AN788">
        <f>IF($AM788="","",INDEX(TAX_MODES!$B:$B,MATCH($AM788,TAX_MODES!$A:$A,0)))</f>
        <v/>
      </c>
    </row>
    <row r="789">
      <c r="X789" s="15" t="n"/>
      <c r="Y789" s="15">
        <f>IF($X789="","",SUMIFS(TARIFF_PROFILES!$D:$D,TARIFF_PROFILES!$A:$A,$X789))</f>
        <v/>
      </c>
      <c r="Z789" s="15">
        <f>IF($X789="","",SUMIFS(TARIFF_PROFILES!$E:$E,TARIFF_PROFILES!$A:$A,$X789))</f>
        <v/>
      </c>
      <c r="AA789" s="15">
        <f>IF($X789="","",SUMIFS(TARIFF_PROFILES!$F:$F,TARIFF_PROFILES!$A:$A,$X789))</f>
        <v/>
      </c>
      <c r="AB789" s="15">
        <f>IF($X789="","",SUMIFS(TARIFF_PROFILES!$G:$G,TARIFF_PROFILES!$A:$A,$X789))</f>
        <v/>
      </c>
      <c r="AC789" s="15">
        <f>IF($X789="","",SUMIFS(TARIFF_PROFILES!$H:$H,TARIFF_PROFILES!$A:$A,$X789))</f>
        <v/>
      </c>
      <c r="AD789" s="15">
        <f>IF($X789="","",INDEX(TARIFF_PROFILES!$J:$J,MATCH($X789,TARIFF_PROFILES!$A:$A,0)))</f>
        <v/>
      </c>
      <c r="AE789" s="15">
        <f>IF($X789="","",INDEX(TARIFF_PROFILES!$K:$K,MATCH($X789,TARIFF_PROFILES!$A:$A,0)))</f>
        <v/>
      </c>
      <c r="AH789">
        <f>IF($AG789="","",SUMIFS(OPERATING_COEFFS!$C:$C,OPERATING_COEFFS!$A:$A,"DistanceClass",OPERATING_COEFFS!$B:$B,$AG789))</f>
        <v/>
      </c>
      <c r="AJ789">
        <f>IF($AI789="","",SUMIFS(OPERATING_COEFFS!$C:$C,OPERATING_COEFFS!$A:$A,"SeasonClass",OPERATING_COEFFS!$B:$B,$AI789))</f>
        <v/>
      </c>
      <c r="AL789">
        <f>IF($AK789="","",SUMIFS(OPERATING_COEFFS!$C:$C,OPERATING_COEFFS!$A:$A,"UrgencyClass",OPERATING_COEFFS!$B:$B,$AK789))</f>
        <v/>
      </c>
      <c r="AN789">
        <f>IF($AM789="","",INDEX(TAX_MODES!$B:$B,MATCH($AM789,TAX_MODES!$A:$A,0)))</f>
        <v/>
      </c>
    </row>
    <row r="790">
      <c r="X790" s="15" t="n"/>
      <c r="Y790" s="15">
        <f>IF($X790="","",SUMIFS(TARIFF_PROFILES!$D:$D,TARIFF_PROFILES!$A:$A,$X790))</f>
        <v/>
      </c>
      <c r="Z790" s="15">
        <f>IF($X790="","",SUMIFS(TARIFF_PROFILES!$E:$E,TARIFF_PROFILES!$A:$A,$X790))</f>
        <v/>
      </c>
      <c r="AA790" s="15">
        <f>IF($X790="","",SUMIFS(TARIFF_PROFILES!$F:$F,TARIFF_PROFILES!$A:$A,$X790))</f>
        <v/>
      </c>
      <c r="AB790" s="15">
        <f>IF($X790="","",SUMIFS(TARIFF_PROFILES!$G:$G,TARIFF_PROFILES!$A:$A,$X790))</f>
        <v/>
      </c>
      <c r="AC790" s="15">
        <f>IF($X790="","",SUMIFS(TARIFF_PROFILES!$H:$H,TARIFF_PROFILES!$A:$A,$X790))</f>
        <v/>
      </c>
      <c r="AD790" s="15">
        <f>IF($X790="","",INDEX(TARIFF_PROFILES!$J:$J,MATCH($X790,TARIFF_PROFILES!$A:$A,0)))</f>
        <v/>
      </c>
      <c r="AE790" s="15">
        <f>IF($X790="","",INDEX(TARIFF_PROFILES!$K:$K,MATCH($X790,TARIFF_PROFILES!$A:$A,0)))</f>
        <v/>
      </c>
      <c r="AH790">
        <f>IF($AG790="","",SUMIFS(OPERATING_COEFFS!$C:$C,OPERATING_COEFFS!$A:$A,"DistanceClass",OPERATING_COEFFS!$B:$B,$AG790))</f>
        <v/>
      </c>
      <c r="AJ790">
        <f>IF($AI790="","",SUMIFS(OPERATING_COEFFS!$C:$C,OPERATING_COEFFS!$A:$A,"SeasonClass",OPERATING_COEFFS!$B:$B,$AI790))</f>
        <v/>
      </c>
      <c r="AL790">
        <f>IF($AK790="","",SUMIFS(OPERATING_COEFFS!$C:$C,OPERATING_COEFFS!$A:$A,"UrgencyClass",OPERATING_COEFFS!$B:$B,$AK790))</f>
        <v/>
      </c>
      <c r="AN790">
        <f>IF($AM790="","",INDEX(TAX_MODES!$B:$B,MATCH($AM790,TAX_MODES!$A:$A,0)))</f>
        <v/>
      </c>
    </row>
    <row r="791">
      <c r="X791" s="15" t="n"/>
      <c r="Y791" s="15">
        <f>IF($X791="","",SUMIFS(TARIFF_PROFILES!$D:$D,TARIFF_PROFILES!$A:$A,$X791))</f>
        <v/>
      </c>
      <c r="Z791" s="15">
        <f>IF($X791="","",SUMIFS(TARIFF_PROFILES!$E:$E,TARIFF_PROFILES!$A:$A,$X791))</f>
        <v/>
      </c>
      <c r="AA791" s="15">
        <f>IF($X791="","",SUMIFS(TARIFF_PROFILES!$F:$F,TARIFF_PROFILES!$A:$A,$X791))</f>
        <v/>
      </c>
      <c r="AB791" s="15">
        <f>IF($X791="","",SUMIFS(TARIFF_PROFILES!$G:$G,TARIFF_PROFILES!$A:$A,$X791))</f>
        <v/>
      </c>
      <c r="AC791" s="15">
        <f>IF($X791="","",SUMIFS(TARIFF_PROFILES!$H:$H,TARIFF_PROFILES!$A:$A,$X791))</f>
        <v/>
      </c>
      <c r="AD791" s="15">
        <f>IF($X791="","",INDEX(TARIFF_PROFILES!$J:$J,MATCH($X791,TARIFF_PROFILES!$A:$A,0)))</f>
        <v/>
      </c>
      <c r="AE791" s="15">
        <f>IF($X791="","",INDEX(TARIFF_PROFILES!$K:$K,MATCH($X791,TARIFF_PROFILES!$A:$A,0)))</f>
        <v/>
      </c>
      <c r="AH791">
        <f>IF($AG791="","",SUMIFS(OPERATING_COEFFS!$C:$C,OPERATING_COEFFS!$A:$A,"DistanceClass",OPERATING_COEFFS!$B:$B,$AG791))</f>
        <v/>
      </c>
      <c r="AJ791">
        <f>IF($AI791="","",SUMIFS(OPERATING_COEFFS!$C:$C,OPERATING_COEFFS!$A:$A,"SeasonClass",OPERATING_COEFFS!$B:$B,$AI791))</f>
        <v/>
      </c>
      <c r="AL791">
        <f>IF($AK791="","",SUMIFS(OPERATING_COEFFS!$C:$C,OPERATING_COEFFS!$A:$A,"UrgencyClass",OPERATING_COEFFS!$B:$B,$AK791))</f>
        <v/>
      </c>
      <c r="AN791">
        <f>IF($AM791="","",INDEX(TAX_MODES!$B:$B,MATCH($AM791,TAX_MODES!$A:$A,0)))</f>
        <v/>
      </c>
    </row>
    <row r="792">
      <c r="X792" s="15" t="n"/>
      <c r="Y792" s="15">
        <f>IF($X792="","",SUMIFS(TARIFF_PROFILES!$D:$D,TARIFF_PROFILES!$A:$A,$X792))</f>
        <v/>
      </c>
      <c r="Z792" s="15">
        <f>IF($X792="","",SUMIFS(TARIFF_PROFILES!$E:$E,TARIFF_PROFILES!$A:$A,$X792))</f>
        <v/>
      </c>
      <c r="AA792" s="15">
        <f>IF($X792="","",SUMIFS(TARIFF_PROFILES!$F:$F,TARIFF_PROFILES!$A:$A,$X792))</f>
        <v/>
      </c>
      <c r="AB792" s="15">
        <f>IF($X792="","",SUMIFS(TARIFF_PROFILES!$G:$G,TARIFF_PROFILES!$A:$A,$X792))</f>
        <v/>
      </c>
      <c r="AC792" s="15">
        <f>IF($X792="","",SUMIFS(TARIFF_PROFILES!$H:$H,TARIFF_PROFILES!$A:$A,$X792))</f>
        <v/>
      </c>
      <c r="AD792" s="15">
        <f>IF($X792="","",INDEX(TARIFF_PROFILES!$J:$J,MATCH($X792,TARIFF_PROFILES!$A:$A,0)))</f>
        <v/>
      </c>
      <c r="AE792" s="15">
        <f>IF($X792="","",INDEX(TARIFF_PROFILES!$K:$K,MATCH($X792,TARIFF_PROFILES!$A:$A,0)))</f>
        <v/>
      </c>
      <c r="AH792">
        <f>IF($AG792="","",SUMIFS(OPERATING_COEFFS!$C:$C,OPERATING_COEFFS!$A:$A,"DistanceClass",OPERATING_COEFFS!$B:$B,$AG792))</f>
        <v/>
      </c>
      <c r="AJ792">
        <f>IF($AI792="","",SUMIFS(OPERATING_COEFFS!$C:$C,OPERATING_COEFFS!$A:$A,"SeasonClass",OPERATING_COEFFS!$B:$B,$AI792))</f>
        <v/>
      </c>
      <c r="AL792">
        <f>IF($AK792="","",SUMIFS(OPERATING_COEFFS!$C:$C,OPERATING_COEFFS!$A:$A,"UrgencyClass",OPERATING_COEFFS!$B:$B,$AK792))</f>
        <v/>
      </c>
      <c r="AN792">
        <f>IF($AM792="","",INDEX(TAX_MODES!$B:$B,MATCH($AM792,TAX_MODES!$A:$A,0)))</f>
        <v/>
      </c>
    </row>
    <row r="793">
      <c r="X793" s="15" t="n"/>
      <c r="Y793" s="15">
        <f>IF($X793="","",SUMIFS(TARIFF_PROFILES!$D:$D,TARIFF_PROFILES!$A:$A,$X793))</f>
        <v/>
      </c>
      <c r="Z793" s="15">
        <f>IF($X793="","",SUMIFS(TARIFF_PROFILES!$E:$E,TARIFF_PROFILES!$A:$A,$X793))</f>
        <v/>
      </c>
      <c r="AA793" s="15">
        <f>IF($X793="","",SUMIFS(TARIFF_PROFILES!$F:$F,TARIFF_PROFILES!$A:$A,$X793))</f>
        <v/>
      </c>
      <c r="AB793" s="15">
        <f>IF($X793="","",SUMIFS(TARIFF_PROFILES!$G:$G,TARIFF_PROFILES!$A:$A,$X793))</f>
        <v/>
      </c>
      <c r="AC793" s="15">
        <f>IF($X793="","",SUMIFS(TARIFF_PROFILES!$H:$H,TARIFF_PROFILES!$A:$A,$X793))</f>
        <v/>
      </c>
      <c r="AD793" s="15">
        <f>IF($X793="","",INDEX(TARIFF_PROFILES!$J:$J,MATCH($X793,TARIFF_PROFILES!$A:$A,0)))</f>
        <v/>
      </c>
      <c r="AE793" s="15">
        <f>IF($X793="","",INDEX(TARIFF_PROFILES!$K:$K,MATCH($X793,TARIFF_PROFILES!$A:$A,0)))</f>
        <v/>
      </c>
      <c r="AH793">
        <f>IF($AG793="","",SUMIFS(OPERATING_COEFFS!$C:$C,OPERATING_COEFFS!$A:$A,"DistanceClass",OPERATING_COEFFS!$B:$B,$AG793))</f>
        <v/>
      </c>
      <c r="AJ793">
        <f>IF($AI793="","",SUMIFS(OPERATING_COEFFS!$C:$C,OPERATING_COEFFS!$A:$A,"SeasonClass",OPERATING_COEFFS!$B:$B,$AI793))</f>
        <v/>
      </c>
      <c r="AL793">
        <f>IF($AK793="","",SUMIFS(OPERATING_COEFFS!$C:$C,OPERATING_COEFFS!$A:$A,"UrgencyClass",OPERATING_COEFFS!$B:$B,$AK793))</f>
        <v/>
      </c>
      <c r="AN793">
        <f>IF($AM793="","",INDEX(TAX_MODES!$B:$B,MATCH($AM793,TAX_MODES!$A:$A,0)))</f>
        <v/>
      </c>
    </row>
    <row r="794">
      <c r="X794" s="15" t="n"/>
      <c r="Y794" s="15">
        <f>IF($X794="","",SUMIFS(TARIFF_PROFILES!$D:$D,TARIFF_PROFILES!$A:$A,$X794))</f>
        <v/>
      </c>
      <c r="Z794" s="15">
        <f>IF($X794="","",SUMIFS(TARIFF_PROFILES!$E:$E,TARIFF_PROFILES!$A:$A,$X794))</f>
        <v/>
      </c>
      <c r="AA794" s="15">
        <f>IF($X794="","",SUMIFS(TARIFF_PROFILES!$F:$F,TARIFF_PROFILES!$A:$A,$X794))</f>
        <v/>
      </c>
      <c r="AB794" s="15">
        <f>IF($X794="","",SUMIFS(TARIFF_PROFILES!$G:$G,TARIFF_PROFILES!$A:$A,$X794))</f>
        <v/>
      </c>
      <c r="AC794" s="15">
        <f>IF($X794="","",SUMIFS(TARIFF_PROFILES!$H:$H,TARIFF_PROFILES!$A:$A,$X794))</f>
        <v/>
      </c>
      <c r="AD794" s="15">
        <f>IF($X794="","",INDEX(TARIFF_PROFILES!$J:$J,MATCH($X794,TARIFF_PROFILES!$A:$A,0)))</f>
        <v/>
      </c>
      <c r="AE794" s="15">
        <f>IF($X794="","",INDEX(TARIFF_PROFILES!$K:$K,MATCH($X794,TARIFF_PROFILES!$A:$A,0)))</f>
        <v/>
      </c>
      <c r="AH794">
        <f>IF($AG794="","",SUMIFS(OPERATING_COEFFS!$C:$C,OPERATING_COEFFS!$A:$A,"DistanceClass",OPERATING_COEFFS!$B:$B,$AG794))</f>
        <v/>
      </c>
      <c r="AJ794">
        <f>IF($AI794="","",SUMIFS(OPERATING_COEFFS!$C:$C,OPERATING_COEFFS!$A:$A,"SeasonClass",OPERATING_COEFFS!$B:$B,$AI794))</f>
        <v/>
      </c>
      <c r="AL794">
        <f>IF($AK794="","",SUMIFS(OPERATING_COEFFS!$C:$C,OPERATING_COEFFS!$A:$A,"UrgencyClass",OPERATING_COEFFS!$B:$B,$AK794))</f>
        <v/>
      </c>
      <c r="AN794">
        <f>IF($AM794="","",INDEX(TAX_MODES!$B:$B,MATCH($AM794,TAX_MODES!$A:$A,0)))</f>
        <v/>
      </c>
    </row>
    <row r="795">
      <c r="X795" s="15" t="n"/>
      <c r="Y795" s="15">
        <f>IF($X795="","",SUMIFS(TARIFF_PROFILES!$D:$D,TARIFF_PROFILES!$A:$A,$X795))</f>
        <v/>
      </c>
      <c r="Z795" s="15">
        <f>IF($X795="","",SUMIFS(TARIFF_PROFILES!$E:$E,TARIFF_PROFILES!$A:$A,$X795))</f>
        <v/>
      </c>
      <c r="AA795" s="15">
        <f>IF($X795="","",SUMIFS(TARIFF_PROFILES!$F:$F,TARIFF_PROFILES!$A:$A,$X795))</f>
        <v/>
      </c>
      <c r="AB795" s="15">
        <f>IF($X795="","",SUMIFS(TARIFF_PROFILES!$G:$G,TARIFF_PROFILES!$A:$A,$X795))</f>
        <v/>
      </c>
      <c r="AC795" s="15">
        <f>IF($X795="","",SUMIFS(TARIFF_PROFILES!$H:$H,TARIFF_PROFILES!$A:$A,$X795))</f>
        <v/>
      </c>
      <c r="AD795" s="15">
        <f>IF($X795="","",INDEX(TARIFF_PROFILES!$J:$J,MATCH($X795,TARIFF_PROFILES!$A:$A,0)))</f>
        <v/>
      </c>
      <c r="AE795" s="15">
        <f>IF($X795="","",INDEX(TARIFF_PROFILES!$K:$K,MATCH($X795,TARIFF_PROFILES!$A:$A,0)))</f>
        <v/>
      </c>
      <c r="AH795">
        <f>IF($AG795="","",SUMIFS(OPERATING_COEFFS!$C:$C,OPERATING_COEFFS!$A:$A,"DistanceClass",OPERATING_COEFFS!$B:$B,$AG795))</f>
        <v/>
      </c>
      <c r="AJ795">
        <f>IF($AI795="","",SUMIFS(OPERATING_COEFFS!$C:$C,OPERATING_COEFFS!$A:$A,"SeasonClass",OPERATING_COEFFS!$B:$B,$AI795))</f>
        <v/>
      </c>
      <c r="AL795">
        <f>IF($AK795="","",SUMIFS(OPERATING_COEFFS!$C:$C,OPERATING_COEFFS!$A:$A,"UrgencyClass",OPERATING_COEFFS!$B:$B,$AK795))</f>
        <v/>
      </c>
      <c r="AN795">
        <f>IF($AM795="","",INDEX(TAX_MODES!$B:$B,MATCH($AM795,TAX_MODES!$A:$A,0)))</f>
        <v/>
      </c>
    </row>
    <row r="796">
      <c r="X796" s="15" t="n"/>
      <c r="Y796" s="15">
        <f>IF($X796="","",SUMIFS(TARIFF_PROFILES!$D:$D,TARIFF_PROFILES!$A:$A,$X796))</f>
        <v/>
      </c>
      <c r="Z796" s="15">
        <f>IF($X796="","",SUMIFS(TARIFF_PROFILES!$E:$E,TARIFF_PROFILES!$A:$A,$X796))</f>
        <v/>
      </c>
      <c r="AA796" s="15">
        <f>IF($X796="","",SUMIFS(TARIFF_PROFILES!$F:$F,TARIFF_PROFILES!$A:$A,$X796))</f>
        <v/>
      </c>
      <c r="AB796" s="15">
        <f>IF($X796="","",SUMIFS(TARIFF_PROFILES!$G:$G,TARIFF_PROFILES!$A:$A,$X796))</f>
        <v/>
      </c>
      <c r="AC796" s="15">
        <f>IF($X796="","",SUMIFS(TARIFF_PROFILES!$H:$H,TARIFF_PROFILES!$A:$A,$X796))</f>
        <v/>
      </c>
      <c r="AD796" s="15">
        <f>IF($X796="","",INDEX(TARIFF_PROFILES!$J:$J,MATCH($X796,TARIFF_PROFILES!$A:$A,0)))</f>
        <v/>
      </c>
      <c r="AE796" s="15">
        <f>IF($X796="","",INDEX(TARIFF_PROFILES!$K:$K,MATCH($X796,TARIFF_PROFILES!$A:$A,0)))</f>
        <v/>
      </c>
      <c r="AH796">
        <f>IF($AG796="","",SUMIFS(OPERATING_COEFFS!$C:$C,OPERATING_COEFFS!$A:$A,"DistanceClass",OPERATING_COEFFS!$B:$B,$AG796))</f>
        <v/>
      </c>
      <c r="AJ796">
        <f>IF($AI796="","",SUMIFS(OPERATING_COEFFS!$C:$C,OPERATING_COEFFS!$A:$A,"SeasonClass",OPERATING_COEFFS!$B:$B,$AI796))</f>
        <v/>
      </c>
      <c r="AL796">
        <f>IF($AK796="","",SUMIFS(OPERATING_COEFFS!$C:$C,OPERATING_COEFFS!$A:$A,"UrgencyClass",OPERATING_COEFFS!$B:$B,$AK796))</f>
        <v/>
      </c>
      <c r="AN796">
        <f>IF($AM796="","",INDEX(TAX_MODES!$B:$B,MATCH($AM796,TAX_MODES!$A:$A,0)))</f>
        <v/>
      </c>
    </row>
    <row r="797">
      <c r="X797" s="15" t="n"/>
      <c r="Y797" s="15">
        <f>IF($X797="","",SUMIFS(TARIFF_PROFILES!$D:$D,TARIFF_PROFILES!$A:$A,$X797))</f>
        <v/>
      </c>
      <c r="Z797" s="15">
        <f>IF($X797="","",SUMIFS(TARIFF_PROFILES!$E:$E,TARIFF_PROFILES!$A:$A,$X797))</f>
        <v/>
      </c>
      <c r="AA797" s="15">
        <f>IF($X797="","",SUMIFS(TARIFF_PROFILES!$F:$F,TARIFF_PROFILES!$A:$A,$X797))</f>
        <v/>
      </c>
      <c r="AB797" s="15">
        <f>IF($X797="","",SUMIFS(TARIFF_PROFILES!$G:$G,TARIFF_PROFILES!$A:$A,$X797))</f>
        <v/>
      </c>
      <c r="AC797" s="15">
        <f>IF($X797="","",SUMIFS(TARIFF_PROFILES!$H:$H,TARIFF_PROFILES!$A:$A,$X797))</f>
        <v/>
      </c>
      <c r="AD797" s="15">
        <f>IF($X797="","",INDEX(TARIFF_PROFILES!$J:$J,MATCH($X797,TARIFF_PROFILES!$A:$A,0)))</f>
        <v/>
      </c>
      <c r="AE797" s="15">
        <f>IF($X797="","",INDEX(TARIFF_PROFILES!$K:$K,MATCH($X797,TARIFF_PROFILES!$A:$A,0)))</f>
        <v/>
      </c>
      <c r="AH797">
        <f>IF($AG797="","",SUMIFS(OPERATING_COEFFS!$C:$C,OPERATING_COEFFS!$A:$A,"DistanceClass",OPERATING_COEFFS!$B:$B,$AG797))</f>
        <v/>
      </c>
      <c r="AJ797">
        <f>IF($AI797="","",SUMIFS(OPERATING_COEFFS!$C:$C,OPERATING_COEFFS!$A:$A,"SeasonClass",OPERATING_COEFFS!$B:$B,$AI797))</f>
        <v/>
      </c>
      <c r="AL797">
        <f>IF($AK797="","",SUMIFS(OPERATING_COEFFS!$C:$C,OPERATING_COEFFS!$A:$A,"UrgencyClass",OPERATING_COEFFS!$B:$B,$AK797))</f>
        <v/>
      </c>
      <c r="AN797">
        <f>IF($AM797="","",INDEX(TAX_MODES!$B:$B,MATCH($AM797,TAX_MODES!$A:$A,0)))</f>
        <v/>
      </c>
    </row>
    <row r="798">
      <c r="X798" s="15" t="n"/>
      <c r="Y798" s="15">
        <f>IF($X798="","",SUMIFS(TARIFF_PROFILES!$D:$D,TARIFF_PROFILES!$A:$A,$X798))</f>
        <v/>
      </c>
      <c r="Z798" s="15">
        <f>IF($X798="","",SUMIFS(TARIFF_PROFILES!$E:$E,TARIFF_PROFILES!$A:$A,$X798))</f>
        <v/>
      </c>
      <c r="AA798" s="15">
        <f>IF($X798="","",SUMIFS(TARIFF_PROFILES!$F:$F,TARIFF_PROFILES!$A:$A,$X798))</f>
        <v/>
      </c>
      <c r="AB798" s="15">
        <f>IF($X798="","",SUMIFS(TARIFF_PROFILES!$G:$G,TARIFF_PROFILES!$A:$A,$X798))</f>
        <v/>
      </c>
      <c r="AC798" s="15">
        <f>IF($X798="","",SUMIFS(TARIFF_PROFILES!$H:$H,TARIFF_PROFILES!$A:$A,$X798))</f>
        <v/>
      </c>
      <c r="AD798" s="15">
        <f>IF($X798="","",INDEX(TARIFF_PROFILES!$J:$J,MATCH($X798,TARIFF_PROFILES!$A:$A,0)))</f>
        <v/>
      </c>
      <c r="AE798" s="15">
        <f>IF($X798="","",INDEX(TARIFF_PROFILES!$K:$K,MATCH($X798,TARIFF_PROFILES!$A:$A,0)))</f>
        <v/>
      </c>
      <c r="AH798">
        <f>IF($AG798="","",SUMIFS(OPERATING_COEFFS!$C:$C,OPERATING_COEFFS!$A:$A,"DistanceClass",OPERATING_COEFFS!$B:$B,$AG798))</f>
        <v/>
      </c>
      <c r="AJ798">
        <f>IF($AI798="","",SUMIFS(OPERATING_COEFFS!$C:$C,OPERATING_COEFFS!$A:$A,"SeasonClass",OPERATING_COEFFS!$B:$B,$AI798))</f>
        <v/>
      </c>
      <c r="AL798">
        <f>IF($AK798="","",SUMIFS(OPERATING_COEFFS!$C:$C,OPERATING_COEFFS!$A:$A,"UrgencyClass",OPERATING_COEFFS!$B:$B,$AK798))</f>
        <v/>
      </c>
      <c r="AN798">
        <f>IF($AM798="","",INDEX(TAX_MODES!$B:$B,MATCH($AM798,TAX_MODES!$A:$A,0)))</f>
        <v/>
      </c>
    </row>
    <row r="799">
      <c r="X799" s="15" t="n"/>
      <c r="Y799" s="15">
        <f>IF($X799="","",SUMIFS(TARIFF_PROFILES!$D:$D,TARIFF_PROFILES!$A:$A,$X799))</f>
        <v/>
      </c>
      <c r="Z799" s="15">
        <f>IF($X799="","",SUMIFS(TARIFF_PROFILES!$E:$E,TARIFF_PROFILES!$A:$A,$X799))</f>
        <v/>
      </c>
      <c r="AA799" s="15">
        <f>IF($X799="","",SUMIFS(TARIFF_PROFILES!$F:$F,TARIFF_PROFILES!$A:$A,$X799))</f>
        <v/>
      </c>
      <c r="AB799" s="15">
        <f>IF($X799="","",SUMIFS(TARIFF_PROFILES!$G:$G,TARIFF_PROFILES!$A:$A,$X799))</f>
        <v/>
      </c>
      <c r="AC799" s="15">
        <f>IF($X799="","",SUMIFS(TARIFF_PROFILES!$H:$H,TARIFF_PROFILES!$A:$A,$X799))</f>
        <v/>
      </c>
      <c r="AD799" s="15">
        <f>IF($X799="","",INDEX(TARIFF_PROFILES!$J:$J,MATCH($X799,TARIFF_PROFILES!$A:$A,0)))</f>
        <v/>
      </c>
      <c r="AE799" s="15">
        <f>IF($X799="","",INDEX(TARIFF_PROFILES!$K:$K,MATCH($X799,TARIFF_PROFILES!$A:$A,0)))</f>
        <v/>
      </c>
      <c r="AH799">
        <f>IF($AG799="","",SUMIFS(OPERATING_COEFFS!$C:$C,OPERATING_COEFFS!$A:$A,"DistanceClass",OPERATING_COEFFS!$B:$B,$AG799))</f>
        <v/>
      </c>
      <c r="AJ799">
        <f>IF($AI799="","",SUMIFS(OPERATING_COEFFS!$C:$C,OPERATING_COEFFS!$A:$A,"SeasonClass",OPERATING_COEFFS!$B:$B,$AI799))</f>
        <v/>
      </c>
      <c r="AL799">
        <f>IF($AK799="","",SUMIFS(OPERATING_COEFFS!$C:$C,OPERATING_COEFFS!$A:$A,"UrgencyClass",OPERATING_COEFFS!$B:$B,$AK799))</f>
        <v/>
      </c>
      <c r="AN799">
        <f>IF($AM799="","",INDEX(TAX_MODES!$B:$B,MATCH($AM799,TAX_MODES!$A:$A,0)))</f>
        <v/>
      </c>
    </row>
    <row r="800">
      <c r="X800" s="15" t="n"/>
      <c r="Y800" s="15">
        <f>IF($X800="","",SUMIFS(TARIFF_PROFILES!$D:$D,TARIFF_PROFILES!$A:$A,$X800))</f>
        <v/>
      </c>
      <c r="Z800" s="15">
        <f>IF($X800="","",SUMIFS(TARIFF_PROFILES!$E:$E,TARIFF_PROFILES!$A:$A,$X800))</f>
        <v/>
      </c>
      <c r="AA800" s="15">
        <f>IF($X800="","",SUMIFS(TARIFF_PROFILES!$F:$F,TARIFF_PROFILES!$A:$A,$X800))</f>
        <v/>
      </c>
      <c r="AB800" s="15">
        <f>IF($X800="","",SUMIFS(TARIFF_PROFILES!$G:$G,TARIFF_PROFILES!$A:$A,$X800))</f>
        <v/>
      </c>
      <c r="AC800" s="15">
        <f>IF($X800="","",SUMIFS(TARIFF_PROFILES!$H:$H,TARIFF_PROFILES!$A:$A,$X800))</f>
        <v/>
      </c>
      <c r="AD800" s="15">
        <f>IF($X800="","",INDEX(TARIFF_PROFILES!$J:$J,MATCH($X800,TARIFF_PROFILES!$A:$A,0)))</f>
        <v/>
      </c>
      <c r="AE800" s="15">
        <f>IF($X800="","",INDEX(TARIFF_PROFILES!$K:$K,MATCH($X800,TARIFF_PROFILES!$A:$A,0)))</f>
        <v/>
      </c>
      <c r="AH800">
        <f>IF($AG800="","",SUMIFS(OPERATING_COEFFS!$C:$C,OPERATING_COEFFS!$A:$A,"DistanceClass",OPERATING_COEFFS!$B:$B,$AG800))</f>
        <v/>
      </c>
      <c r="AJ800">
        <f>IF($AI800="","",SUMIFS(OPERATING_COEFFS!$C:$C,OPERATING_COEFFS!$A:$A,"SeasonClass",OPERATING_COEFFS!$B:$B,$AI800))</f>
        <v/>
      </c>
      <c r="AL800">
        <f>IF($AK800="","",SUMIFS(OPERATING_COEFFS!$C:$C,OPERATING_COEFFS!$A:$A,"UrgencyClass",OPERATING_COEFFS!$B:$B,$AK800))</f>
        <v/>
      </c>
      <c r="AN800">
        <f>IF($AM800="","",INDEX(TAX_MODES!$B:$B,MATCH($AM800,TAX_MODES!$A:$A,0)))</f>
        <v/>
      </c>
    </row>
    <row r="801">
      <c r="X801" s="15" t="n"/>
      <c r="Y801" s="15">
        <f>IF($X801="","",SUMIFS(TARIFF_PROFILES!$D:$D,TARIFF_PROFILES!$A:$A,$X801))</f>
        <v/>
      </c>
      <c r="Z801" s="15">
        <f>IF($X801="","",SUMIFS(TARIFF_PROFILES!$E:$E,TARIFF_PROFILES!$A:$A,$X801))</f>
        <v/>
      </c>
      <c r="AA801" s="15">
        <f>IF($X801="","",SUMIFS(TARIFF_PROFILES!$F:$F,TARIFF_PROFILES!$A:$A,$X801))</f>
        <v/>
      </c>
      <c r="AB801" s="15">
        <f>IF($X801="","",SUMIFS(TARIFF_PROFILES!$G:$G,TARIFF_PROFILES!$A:$A,$X801))</f>
        <v/>
      </c>
      <c r="AC801" s="15">
        <f>IF($X801="","",SUMIFS(TARIFF_PROFILES!$H:$H,TARIFF_PROFILES!$A:$A,$X801))</f>
        <v/>
      </c>
      <c r="AD801" s="15">
        <f>IF($X801="","",INDEX(TARIFF_PROFILES!$J:$J,MATCH($X801,TARIFF_PROFILES!$A:$A,0)))</f>
        <v/>
      </c>
      <c r="AE801" s="15">
        <f>IF($X801="","",INDEX(TARIFF_PROFILES!$K:$K,MATCH($X801,TARIFF_PROFILES!$A:$A,0)))</f>
        <v/>
      </c>
      <c r="AH801">
        <f>IF($AG801="","",SUMIFS(OPERATING_COEFFS!$C:$C,OPERATING_COEFFS!$A:$A,"DistanceClass",OPERATING_COEFFS!$B:$B,$AG801))</f>
        <v/>
      </c>
      <c r="AJ801">
        <f>IF($AI801="","",SUMIFS(OPERATING_COEFFS!$C:$C,OPERATING_COEFFS!$A:$A,"SeasonClass",OPERATING_COEFFS!$B:$B,$AI801))</f>
        <v/>
      </c>
      <c r="AL801">
        <f>IF($AK801="","",SUMIFS(OPERATING_COEFFS!$C:$C,OPERATING_COEFFS!$A:$A,"UrgencyClass",OPERATING_COEFFS!$B:$B,$AK801))</f>
        <v/>
      </c>
      <c r="AN801">
        <f>IF($AM801="","",INDEX(TAX_MODES!$B:$B,MATCH($AM801,TAX_MODES!$A:$A,0)))</f>
        <v/>
      </c>
    </row>
    <row r="802">
      <c r="X802" s="15" t="n"/>
      <c r="Y802" s="15">
        <f>IF($X802="","",SUMIFS(TARIFF_PROFILES!$D:$D,TARIFF_PROFILES!$A:$A,$X802))</f>
        <v/>
      </c>
      <c r="Z802" s="15">
        <f>IF($X802="","",SUMIFS(TARIFF_PROFILES!$E:$E,TARIFF_PROFILES!$A:$A,$X802))</f>
        <v/>
      </c>
      <c r="AA802" s="15">
        <f>IF($X802="","",SUMIFS(TARIFF_PROFILES!$F:$F,TARIFF_PROFILES!$A:$A,$X802))</f>
        <v/>
      </c>
      <c r="AB802" s="15">
        <f>IF($X802="","",SUMIFS(TARIFF_PROFILES!$G:$G,TARIFF_PROFILES!$A:$A,$X802))</f>
        <v/>
      </c>
      <c r="AC802" s="15">
        <f>IF($X802="","",SUMIFS(TARIFF_PROFILES!$H:$H,TARIFF_PROFILES!$A:$A,$X802))</f>
        <v/>
      </c>
      <c r="AD802" s="15">
        <f>IF($X802="","",INDEX(TARIFF_PROFILES!$J:$J,MATCH($X802,TARIFF_PROFILES!$A:$A,0)))</f>
        <v/>
      </c>
      <c r="AE802" s="15">
        <f>IF($X802="","",INDEX(TARIFF_PROFILES!$K:$K,MATCH($X802,TARIFF_PROFILES!$A:$A,0)))</f>
        <v/>
      </c>
      <c r="AH802">
        <f>IF($AG802="","",SUMIFS(OPERATING_COEFFS!$C:$C,OPERATING_COEFFS!$A:$A,"DistanceClass",OPERATING_COEFFS!$B:$B,$AG802))</f>
        <v/>
      </c>
      <c r="AJ802">
        <f>IF($AI802="","",SUMIFS(OPERATING_COEFFS!$C:$C,OPERATING_COEFFS!$A:$A,"SeasonClass",OPERATING_COEFFS!$B:$B,$AI802))</f>
        <v/>
      </c>
      <c r="AL802">
        <f>IF($AK802="","",SUMIFS(OPERATING_COEFFS!$C:$C,OPERATING_COEFFS!$A:$A,"UrgencyClass",OPERATING_COEFFS!$B:$B,$AK802))</f>
        <v/>
      </c>
      <c r="AN802">
        <f>IF($AM802="","",INDEX(TAX_MODES!$B:$B,MATCH($AM802,TAX_MODES!$A:$A,0)))</f>
        <v/>
      </c>
    </row>
    <row r="803">
      <c r="X803" s="15" t="n"/>
      <c r="Y803" s="15">
        <f>IF($X803="","",SUMIFS(TARIFF_PROFILES!$D:$D,TARIFF_PROFILES!$A:$A,$X803))</f>
        <v/>
      </c>
      <c r="Z803" s="15">
        <f>IF($X803="","",SUMIFS(TARIFF_PROFILES!$E:$E,TARIFF_PROFILES!$A:$A,$X803))</f>
        <v/>
      </c>
      <c r="AA803" s="15">
        <f>IF($X803="","",SUMIFS(TARIFF_PROFILES!$F:$F,TARIFF_PROFILES!$A:$A,$X803))</f>
        <v/>
      </c>
      <c r="AB803" s="15">
        <f>IF($X803="","",SUMIFS(TARIFF_PROFILES!$G:$G,TARIFF_PROFILES!$A:$A,$X803))</f>
        <v/>
      </c>
      <c r="AC803" s="15">
        <f>IF($X803="","",SUMIFS(TARIFF_PROFILES!$H:$H,TARIFF_PROFILES!$A:$A,$X803))</f>
        <v/>
      </c>
      <c r="AD803" s="15">
        <f>IF($X803="","",INDEX(TARIFF_PROFILES!$J:$J,MATCH($X803,TARIFF_PROFILES!$A:$A,0)))</f>
        <v/>
      </c>
      <c r="AE803" s="15">
        <f>IF($X803="","",INDEX(TARIFF_PROFILES!$K:$K,MATCH($X803,TARIFF_PROFILES!$A:$A,0)))</f>
        <v/>
      </c>
      <c r="AH803">
        <f>IF($AG803="","",SUMIFS(OPERATING_COEFFS!$C:$C,OPERATING_COEFFS!$A:$A,"DistanceClass",OPERATING_COEFFS!$B:$B,$AG803))</f>
        <v/>
      </c>
      <c r="AJ803">
        <f>IF($AI803="","",SUMIFS(OPERATING_COEFFS!$C:$C,OPERATING_COEFFS!$A:$A,"SeasonClass",OPERATING_COEFFS!$B:$B,$AI803))</f>
        <v/>
      </c>
      <c r="AL803">
        <f>IF($AK803="","",SUMIFS(OPERATING_COEFFS!$C:$C,OPERATING_COEFFS!$A:$A,"UrgencyClass",OPERATING_COEFFS!$B:$B,$AK803))</f>
        <v/>
      </c>
      <c r="AN803">
        <f>IF($AM803="","",INDEX(TAX_MODES!$B:$B,MATCH($AM803,TAX_MODES!$A:$A,0)))</f>
        <v/>
      </c>
    </row>
    <row r="804">
      <c r="X804" s="15" t="n"/>
      <c r="Y804" s="15">
        <f>IF($X804="","",SUMIFS(TARIFF_PROFILES!$D:$D,TARIFF_PROFILES!$A:$A,$X804))</f>
        <v/>
      </c>
      <c r="Z804" s="15">
        <f>IF($X804="","",SUMIFS(TARIFF_PROFILES!$E:$E,TARIFF_PROFILES!$A:$A,$X804))</f>
        <v/>
      </c>
      <c r="AA804" s="15">
        <f>IF($X804="","",SUMIFS(TARIFF_PROFILES!$F:$F,TARIFF_PROFILES!$A:$A,$X804))</f>
        <v/>
      </c>
      <c r="AB804" s="15">
        <f>IF($X804="","",SUMIFS(TARIFF_PROFILES!$G:$G,TARIFF_PROFILES!$A:$A,$X804))</f>
        <v/>
      </c>
      <c r="AC804" s="15">
        <f>IF($X804="","",SUMIFS(TARIFF_PROFILES!$H:$H,TARIFF_PROFILES!$A:$A,$X804))</f>
        <v/>
      </c>
      <c r="AD804" s="15">
        <f>IF($X804="","",INDEX(TARIFF_PROFILES!$J:$J,MATCH($X804,TARIFF_PROFILES!$A:$A,0)))</f>
        <v/>
      </c>
      <c r="AE804" s="15">
        <f>IF($X804="","",INDEX(TARIFF_PROFILES!$K:$K,MATCH($X804,TARIFF_PROFILES!$A:$A,0)))</f>
        <v/>
      </c>
      <c r="AH804">
        <f>IF($AG804="","",SUMIFS(OPERATING_COEFFS!$C:$C,OPERATING_COEFFS!$A:$A,"DistanceClass",OPERATING_COEFFS!$B:$B,$AG804))</f>
        <v/>
      </c>
      <c r="AJ804">
        <f>IF($AI804="","",SUMIFS(OPERATING_COEFFS!$C:$C,OPERATING_COEFFS!$A:$A,"SeasonClass",OPERATING_COEFFS!$B:$B,$AI804))</f>
        <v/>
      </c>
      <c r="AL804">
        <f>IF($AK804="","",SUMIFS(OPERATING_COEFFS!$C:$C,OPERATING_COEFFS!$A:$A,"UrgencyClass",OPERATING_COEFFS!$B:$B,$AK804))</f>
        <v/>
      </c>
      <c r="AN804">
        <f>IF($AM804="","",INDEX(TAX_MODES!$B:$B,MATCH($AM804,TAX_MODES!$A:$A,0)))</f>
        <v/>
      </c>
    </row>
    <row r="805">
      <c r="X805" s="15" t="n"/>
      <c r="Y805" s="15">
        <f>IF($X805="","",SUMIFS(TARIFF_PROFILES!$D:$D,TARIFF_PROFILES!$A:$A,$X805))</f>
        <v/>
      </c>
      <c r="Z805" s="15">
        <f>IF($X805="","",SUMIFS(TARIFF_PROFILES!$E:$E,TARIFF_PROFILES!$A:$A,$X805))</f>
        <v/>
      </c>
      <c r="AA805" s="15">
        <f>IF($X805="","",SUMIFS(TARIFF_PROFILES!$F:$F,TARIFF_PROFILES!$A:$A,$X805))</f>
        <v/>
      </c>
      <c r="AB805" s="15">
        <f>IF($X805="","",SUMIFS(TARIFF_PROFILES!$G:$G,TARIFF_PROFILES!$A:$A,$X805))</f>
        <v/>
      </c>
      <c r="AC805" s="15">
        <f>IF($X805="","",SUMIFS(TARIFF_PROFILES!$H:$H,TARIFF_PROFILES!$A:$A,$X805))</f>
        <v/>
      </c>
      <c r="AD805" s="15">
        <f>IF($X805="","",INDEX(TARIFF_PROFILES!$J:$J,MATCH($X805,TARIFF_PROFILES!$A:$A,0)))</f>
        <v/>
      </c>
      <c r="AE805" s="15">
        <f>IF($X805="","",INDEX(TARIFF_PROFILES!$K:$K,MATCH($X805,TARIFF_PROFILES!$A:$A,0)))</f>
        <v/>
      </c>
      <c r="AH805">
        <f>IF($AG805="","",SUMIFS(OPERATING_COEFFS!$C:$C,OPERATING_COEFFS!$A:$A,"DistanceClass",OPERATING_COEFFS!$B:$B,$AG805))</f>
        <v/>
      </c>
      <c r="AJ805">
        <f>IF($AI805="","",SUMIFS(OPERATING_COEFFS!$C:$C,OPERATING_COEFFS!$A:$A,"SeasonClass",OPERATING_COEFFS!$B:$B,$AI805))</f>
        <v/>
      </c>
      <c r="AL805">
        <f>IF($AK805="","",SUMIFS(OPERATING_COEFFS!$C:$C,OPERATING_COEFFS!$A:$A,"UrgencyClass",OPERATING_COEFFS!$B:$B,$AK805))</f>
        <v/>
      </c>
      <c r="AN805">
        <f>IF($AM805="","",INDEX(TAX_MODES!$B:$B,MATCH($AM805,TAX_MODES!$A:$A,0)))</f>
        <v/>
      </c>
    </row>
    <row r="806">
      <c r="X806" s="15" t="n"/>
      <c r="Y806" s="15">
        <f>IF($X806="","",SUMIFS(TARIFF_PROFILES!$D:$D,TARIFF_PROFILES!$A:$A,$X806))</f>
        <v/>
      </c>
      <c r="Z806" s="15">
        <f>IF($X806="","",SUMIFS(TARIFF_PROFILES!$E:$E,TARIFF_PROFILES!$A:$A,$X806))</f>
        <v/>
      </c>
      <c r="AA806" s="15">
        <f>IF($X806="","",SUMIFS(TARIFF_PROFILES!$F:$F,TARIFF_PROFILES!$A:$A,$X806))</f>
        <v/>
      </c>
      <c r="AB806" s="15">
        <f>IF($X806="","",SUMIFS(TARIFF_PROFILES!$G:$G,TARIFF_PROFILES!$A:$A,$X806))</f>
        <v/>
      </c>
      <c r="AC806" s="15">
        <f>IF($X806="","",SUMIFS(TARIFF_PROFILES!$H:$H,TARIFF_PROFILES!$A:$A,$X806))</f>
        <v/>
      </c>
      <c r="AD806" s="15">
        <f>IF($X806="","",INDEX(TARIFF_PROFILES!$J:$J,MATCH($X806,TARIFF_PROFILES!$A:$A,0)))</f>
        <v/>
      </c>
      <c r="AE806" s="15">
        <f>IF($X806="","",INDEX(TARIFF_PROFILES!$K:$K,MATCH($X806,TARIFF_PROFILES!$A:$A,0)))</f>
        <v/>
      </c>
      <c r="AH806">
        <f>IF($AG806="","",SUMIFS(OPERATING_COEFFS!$C:$C,OPERATING_COEFFS!$A:$A,"DistanceClass",OPERATING_COEFFS!$B:$B,$AG806))</f>
        <v/>
      </c>
      <c r="AJ806">
        <f>IF($AI806="","",SUMIFS(OPERATING_COEFFS!$C:$C,OPERATING_COEFFS!$A:$A,"SeasonClass",OPERATING_COEFFS!$B:$B,$AI806))</f>
        <v/>
      </c>
      <c r="AL806">
        <f>IF($AK806="","",SUMIFS(OPERATING_COEFFS!$C:$C,OPERATING_COEFFS!$A:$A,"UrgencyClass",OPERATING_COEFFS!$B:$B,$AK806))</f>
        <v/>
      </c>
      <c r="AN806">
        <f>IF($AM806="","",INDEX(TAX_MODES!$B:$B,MATCH($AM806,TAX_MODES!$A:$A,0)))</f>
        <v/>
      </c>
    </row>
    <row r="807">
      <c r="X807" s="15" t="n"/>
      <c r="Y807" s="15">
        <f>IF($X807="","",SUMIFS(TARIFF_PROFILES!$D:$D,TARIFF_PROFILES!$A:$A,$X807))</f>
        <v/>
      </c>
      <c r="Z807" s="15">
        <f>IF($X807="","",SUMIFS(TARIFF_PROFILES!$E:$E,TARIFF_PROFILES!$A:$A,$X807))</f>
        <v/>
      </c>
      <c r="AA807" s="15">
        <f>IF($X807="","",SUMIFS(TARIFF_PROFILES!$F:$F,TARIFF_PROFILES!$A:$A,$X807))</f>
        <v/>
      </c>
      <c r="AB807" s="15">
        <f>IF($X807="","",SUMIFS(TARIFF_PROFILES!$G:$G,TARIFF_PROFILES!$A:$A,$X807))</f>
        <v/>
      </c>
      <c r="AC807" s="15">
        <f>IF($X807="","",SUMIFS(TARIFF_PROFILES!$H:$H,TARIFF_PROFILES!$A:$A,$X807))</f>
        <v/>
      </c>
      <c r="AD807" s="15">
        <f>IF($X807="","",INDEX(TARIFF_PROFILES!$J:$J,MATCH($X807,TARIFF_PROFILES!$A:$A,0)))</f>
        <v/>
      </c>
      <c r="AE807" s="15">
        <f>IF($X807="","",INDEX(TARIFF_PROFILES!$K:$K,MATCH($X807,TARIFF_PROFILES!$A:$A,0)))</f>
        <v/>
      </c>
      <c r="AH807">
        <f>IF($AG807="","",SUMIFS(OPERATING_COEFFS!$C:$C,OPERATING_COEFFS!$A:$A,"DistanceClass",OPERATING_COEFFS!$B:$B,$AG807))</f>
        <v/>
      </c>
      <c r="AJ807">
        <f>IF($AI807="","",SUMIFS(OPERATING_COEFFS!$C:$C,OPERATING_COEFFS!$A:$A,"SeasonClass",OPERATING_COEFFS!$B:$B,$AI807))</f>
        <v/>
      </c>
      <c r="AL807">
        <f>IF($AK807="","",SUMIFS(OPERATING_COEFFS!$C:$C,OPERATING_COEFFS!$A:$A,"UrgencyClass",OPERATING_COEFFS!$B:$B,$AK807))</f>
        <v/>
      </c>
      <c r="AN807">
        <f>IF($AM807="","",INDEX(TAX_MODES!$B:$B,MATCH($AM807,TAX_MODES!$A:$A,0)))</f>
        <v/>
      </c>
    </row>
    <row r="808">
      <c r="X808" s="15" t="n"/>
      <c r="Y808" s="15">
        <f>IF($X808="","",SUMIFS(TARIFF_PROFILES!$D:$D,TARIFF_PROFILES!$A:$A,$X808))</f>
        <v/>
      </c>
      <c r="Z808" s="15">
        <f>IF($X808="","",SUMIFS(TARIFF_PROFILES!$E:$E,TARIFF_PROFILES!$A:$A,$X808))</f>
        <v/>
      </c>
      <c r="AA808" s="15">
        <f>IF($X808="","",SUMIFS(TARIFF_PROFILES!$F:$F,TARIFF_PROFILES!$A:$A,$X808))</f>
        <v/>
      </c>
      <c r="AB808" s="15">
        <f>IF($X808="","",SUMIFS(TARIFF_PROFILES!$G:$G,TARIFF_PROFILES!$A:$A,$X808))</f>
        <v/>
      </c>
      <c r="AC808" s="15">
        <f>IF($X808="","",SUMIFS(TARIFF_PROFILES!$H:$H,TARIFF_PROFILES!$A:$A,$X808))</f>
        <v/>
      </c>
      <c r="AD808" s="15">
        <f>IF($X808="","",INDEX(TARIFF_PROFILES!$J:$J,MATCH($X808,TARIFF_PROFILES!$A:$A,0)))</f>
        <v/>
      </c>
      <c r="AE808" s="15">
        <f>IF($X808="","",INDEX(TARIFF_PROFILES!$K:$K,MATCH($X808,TARIFF_PROFILES!$A:$A,0)))</f>
        <v/>
      </c>
      <c r="AH808">
        <f>IF($AG808="","",SUMIFS(OPERATING_COEFFS!$C:$C,OPERATING_COEFFS!$A:$A,"DistanceClass",OPERATING_COEFFS!$B:$B,$AG808))</f>
        <v/>
      </c>
      <c r="AJ808">
        <f>IF($AI808="","",SUMIFS(OPERATING_COEFFS!$C:$C,OPERATING_COEFFS!$A:$A,"SeasonClass",OPERATING_COEFFS!$B:$B,$AI808))</f>
        <v/>
      </c>
      <c r="AL808">
        <f>IF($AK808="","",SUMIFS(OPERATING_COEFFS!$C:$C,OPERATING_COEFFS!$A:$A,"UrgencyClass",OPERATING_COEFFS!$B:$B,$AK808))</f>
        <v/>
      </c>
      <c r="AN808">
        <f>IF($AM808="","",INDEX(TAX_MODES!$B:$B,MATCH($AM808,TAX_MODES!$A:$A,0)))</f>
        <v/>
      </c>
    </row>
    <row r="809">
      <c r="X809" s="15" t="n"/>
      <c r="Y809" s="15">
        <f>IF($X809="","",SUMIFS(TARIFF_PROFILES!$D:$D,TARIFF_PROFILES!$A:$A,$X809))</f>
        <v/>
      </c>
      <c r="Z809" s="15">
        <f>IF($X809="","",SUMIFS(TARIFF_PROFILES!$E:$E,TARIFF_PROFILES!$A:$A,$X809))</f>
        <v/>
      </c>
      <c r="AA809" s="15">
        <f>IF($X809="","",SUMIFS(TARIFF_PROFILES!$F:$F,TARIFF_PROFILES!$A:$A,$X809))</f>
        <v/>
      </c>
      <c r="AB809" s="15">
        <f>IF($X809="","",SUMIFS(TARIFF_PROFILES!$G:$G,TARIFF_PROFILES!$A:$A,$X809))</f>
        <v/>
      </c>
      <c r="AC809" s="15">
        <f>IF($X809="","",SUMIFS(TARIFF_PROFILES!$H:$H,TARIFF_PROFILES!$A:$A,$X809))</f>
        <v/>
      </c>
      <c r="AD809" s="15">
        <f>IF($X809="","",INDEX(TARIFF_PROFILES!$J:$J,MATCH($X809,TARIFF_PROFILES!$A:$A,0)))</f>
        <v/>
      </c>
      <c r="AE809" s="15">
        <f>IF($X809="","",INDEX(TARIFF_PROFILES!$K:$K,MATCH($X809,TARIFF_PROFILES!$A:$A,0)))</f>
        <v/>
      </c>
      <c r="AH809">
        <f>IF($AG809="","",SUMIFS(OPERATING_COEFFS!$C:$C,OPERATING_COEFFS!$A:$A,"DistanceClass",OPERATING_COEFFS!$B:$B,$AG809))</f>
        <v/>
      </c>
      <c r="AJ809">
        <f>IF($AI809="","",SUMIFS(OPERATING_COEFFS!$C:$C,OPERATING_COEFFS!$A:$A,"SeasonClass",OPERATING_COEFFS!$B:$B,$AI809))</f>
        <v/>
      </c>
      <c r="AL809">
        <f>IF($AK809="","",SUMIFS(OPERATING_COEFFS!$C:$C,OPERATING_COEFFS!$A:$A,"UrgencyClass",OPERATING_COEFFS!$B:$B,$AK809))</f>
        <v/>
      </c>
      <c r="AN809">
        <f>IF($AM809="","",INDEX(TAX_MODES!$B:$B,MATCH($AM809,TAX_MODES!$A:$A,0)))</f>
        <v/>
      </c>
    </row>
    <row r="810">
      <c r="X810" s="15" t="n"/>
      <c r="Y810" s="15">
        <f>IF($X810="","",SUMIFS(TARIFF_PROFILES!$D:$D,TARIFF_PROFILES!$A:$A,$X810))</f>
        <v/>
      </c>
      <c r="Z810" s="15">
        <f>IF($X810="","",SUMIFS(TARIFF_PROFILES!$E:$E,TARIFF_PROFILES!$A:$A,$X810))</f>
        <v/>
      </c>
      <c r="AA810" s="15">
        <f>IF($X810="","",SUMIFS(TARIFF_PROFILES!$F:$F,TARIFF_PROFILES!$A:$A,$X810))</f>
        <v/>
      </c>
      <c r="AB810" s="15">
        <f>IF($X810="","",SUMIFS(TARIFF_PROFILES!$G:$G,TARIFF_PROFILES!$A:$A,$X810))</f>
        <v/>
      </c>
      <c r="AC810" s="15">
        <f>IF($X810="","",SUMIFS(TARIFF_PROFILES!$H:$H,TARIFF_PROFILES!$A:$A,$X810))</f>
        <v/>
      </c>
      <c r="AD810" s="15">
        <f>IF($X810="","",INDEX(TARIFF_PROFILES!$J:$J,MATCH($X810,TARIFF_PROFILES!$A:$A,0)))</f>
        <v/>
      </c>
      <c r="AE810" s="15">
        <f>IF($X810="","",INDEX(TARIFF_PROFILES!$K:$K,MATCH($X810,TARIFF_PROFILES!$A:$A,0)))</f>
        <v/>
      </c>
      <c r="AH810">
        <f>IF($AG810="","",SUMIFS(OPERATING_COEFFS!$C:$C,OPERATING_COEFFS!$A:$A,"DistanceClass",OPERATING_COEFFS!$B:$B,$AG810))</f>
        <v/>
      </c>
      <c r="AJ810">
        <f>IF($AI810="","",SUMIFS(OPERATING_COEFFS!$C:$C,OPERATING_COEFFS!$A:$A,"SeasonClass",OPERATING_COEFFS!$B:$B,$AI810))</f>
        <v/>
      </c>
      <c r="AL810">
        <f>IF($AK810="","",SUMIFS(OPERATING_COEFFS!$C:$C,OPERATING_COEFFS!$A:$A,"UrgencyClass",OPERATING_COEFFS!$B:$B,$AK810))</f>
        <v/>
      </c>
      <c r="AN810">
        <f>IF($AM810="","",INDEX(TAX_MODES!$B:$B,MATCH($AM810,TAX_MODES!$A:$A,0)))</f>
        <v/>
      </c>
    </row>
    <row r="811">
      <c r="X811" s="15" t="n"/>
      <c r="Y811" s="15">
        <f>IF($X811="","",SUMIFS(TARIFF_PROFILES!$D:$D,TARIFF_PROFILES!$A:$A,$X811))</f>
        <v/>
      </c>
      <c r="Z811" s="15">
        <f>IF($X811="","",SUMIFS(TARIFF_PROFILES!$E:$E,TARIFF_PROFILES!$A:$A,$X811))</f>
        <v/>
      </c>
      <c r="AA811" s="15">
        <f>IF($X811="","",SUMIFS(TARIFF_PROFILES!$F:$F,TARIFF_PROFILES!$A:$A,$X811))</f>
        <v/>
      </c>
      <c r="AB811" s="15">
        <f>IF($X811="","",SUMIFS(TARIFF_PROFILES!$G:$G,TARIFF_PROFILES!$A:$A,$X811))</f>
        <v/>
      </c>
      <c r="AC811" s="15">
        <f>IF($X811="","",SUMIFS(TARIFF_PROFILES!$H:$H,TARIFF_PROFILES!$A:$A,$X811))</f>
        <v/>
      </c>
      <c r="AD811" s="15">
        <f>IF($X811="","",INDEX(TARIFF_PROFILES!$J:$J,MATCH($X811,TARIFF_PROFILES!$A:$A,0)))</f>
        <v/>
      </c>
      <c r="AE811" s="15">
        <f>IF($X811="","",INDEX(TARIFF_PROFILES!$K:$K,MATCH($X811,TARIFF_PROFILES!$A:$A,0)))</f>
        <v/>
      </c>
      <c r="AH811">
        <f>IF($AG811="","",SUMIFS(OPERATING_COEFFS!$C:$C,OPERATING_COEFFS!$A:$A,"DistanceClass",OPERATING_COEFFS!$B:$B,$AG811))</f>
        <v/>
      </c>
      <c r="AJ811">
        <f>IF($AI811="","",SUMIFS(OPERATING_COEFFS!$C:$C,OPERATING_COEFFS!$A:$A,"SeasonClass",OPERATING_COEFFS!$B:$B,$AI811))</f>
        <v/>
      </c>
      <c r="AL811">
        <f>IF($AK811="","",SUMIFS(OPERATING_COEFFS!$C:$C,OPERATING_COEFFS!$A:$A,"UrgencyClass",OPERATING_COEFFS!$B:$B,$AK811))</f>
        <v/>
      </c>
      <c r="AN811">
        <f>IF($AM811="","",INDEX(TAX_MODES!$B:$B,MATCH($AM811,TAX_MODES!$A:$A,0)))</f>
        <v/>
      </c>
    </row>
    <row r="812">
      <c r="X812" s="15" t="n"/>
      <c r="Y812" s="15">
        <f>IF($X812="","",SUMIFS(TARIFF_PROFILES!$D:$D,TARIFF_PROFILES!$A:$A,$X812))</f>
        <v/>
      </c>
      <c r="Z812" s="15">
        <f>IF($X812="","",SUMIFS(TARIFF_PROFILES!$E:$E,TARIFF_PROFILES!$A:$A,$X812))</f>
        <v/>
      </c>
      <c r="AA812" s="15">
        <f>IF($X812="","",SUMIFS(TARIFF_PROFILES!$F:$F,TARIFF_PROFILES!$A:$A,$X812))</f>
        <v/>
      </c>
      <c r="AB812" s="15">
        <f>IF($X812="","",SUMIFS(TARIFF_PROFILES!$G:$G,TARIFF_PROFILES!$A:$A,$X812))</f>
        <v/>
      </c>
      <c r="AC812" s="15">
        <f>IF($X812="","",SUMIFS(TARIFF_PROFILES!$H:$H,TARIFF_PROFILES!$A:$A,$X812))</f>
        <v/>
      </c>
      <c r="AD812" s="15">
        <f>IF($X812="","",INDEX(TARIFF_PROFILES!$J:$J,MATCH($X812,TARIFF_PROFILES!$A:$A,0)))</f>
        <v/>
      </c>
      <c r="AE812" s="15">
        <f>IF($X812="","",INDEX(TARIFF_PROFILES!$K:$K,MATCH($X812,TARIFF_PROFILES!$A:$A,0)))</f>
        <v/>
      </c>
      <c r="AH812">
        <f>IF($AG812="","",SUMIFS(OPERATING_COEFFS!$C:$C,OPERATING_COEFFS!$A:$A,"DistanceClass",OPERATING_COEFFS!$B:$B,$AG812))</f>
        <v/>
      </c>
      <c r="AJ812">
        <f>IF($AI812="","",SUMIFS(OPERATING_COEFFS!$C:$C,OPERATING_COEFFS!$A:$A,"SeasonClass",OPERATING_COEFFS!$B:$B,$AI812))</f>
        <v/>
      </c>
      <c r="AL812">
        <f>IF($AK812="","",SUMIFS(OPERATING_COEFFS!$C:$C,OPERATING_COEFFS!$A:$A,"UrgencyClass",OPERATING_COEFFS!$B:$B,$AK812))</f>
        <v/>
      </c>
      <c r="AN812">
        <f>IF($AM812="","",INDEX(TAX_MODES!$B:$B,MATCH($AM812,TAX_MODES!$A:$A,0)))</f>
        <v/>
      </c>
    </row>
    <row r="813">
      <c r="X813" s="15" t="n"/>
      <c r="Y813" s="15">
        <f>IF($X813="","",SUMIFS(TARIFF_PROFILES!$D:$D,TARIFF_PROFILES!$A:$A,$X813))</f>
        <v/>
      </c>
      <c r="Z813" s="15">
        <f>IF($X813="","",SUMIFS(TARIFF_PROFILES!$E:$E,TARIFF_PROFILES!$A:$A,$X813))</f>
        <v/>
      </c>
      <c r="AA813" s="15">
        <f>IF($X813="","",SUMIFS(TARIFF_PROFILES!$F:$F,TARIFF_PROFILES!$A:$A,$X813))</f>
        <v/>
      </c>
      <c r="AB813" s="15">
        <f>IF($X813="","",SUMIFS(TARIFF_PROFILES!$G:$G,TARIFF_PROFILES!$A:$A,$X813))</f>
        <v/>
      </c>
      <c r="AC813" s="15">
        <f>IF($X813="","",SUMIFS(TARIFF_PROFILES!$H:$H,TARIFF_PROFILES!$A:$A,$X813))</f>
        <v/>
      </c>
      <c r="AD813" s="15">
        <f>IF($X813="","",INDEX(TARIFF_PROFILES!$J:$J,MATCH($X813,TARIFF_PROFILES!$A:$A,0)))</f>
        <v/>
      </c>
      <c r="AE813" s="15">
        <f>IF($X813="","",INDEX(TARIFF_PROFILES!$K:$K,MATCH($X813,TARIFF_PROFILES!$A:$A,0)))</f>
        <v/>
      </c>
      <c r="AH813">
        <f>IF($AG813="","",SUMIFS(OPERATING_COEFFS!$C:$C,OPERATING_COEFFS!$A:$A,"DistanceClass",OPERATING_COEFFS!$B:$B,$AG813))</f>
        <v/>
      </c>
      <c r="AJ813">
        <f>IF($AI813="","",SUMIFS(OPERATING_COEFFS!$C:$C,OPERATING_COEFFS!$A:$A,"SeasonClass",OPERATING_COEFFS!$B:$B,$AI813))</f>
        <v/>
      </c>
      <c r="AL813">
        <f>IF($AK813="","",SUMIFS(OPERATING_COEFFS!$C:$C,OPERATING_COEFFS!$A:$A,"UrgencyClass",OPERATING_COEFFS!$B:$B,$AK813))</f>
        <v/>
      </c>
      <c r="AN813">
        <f>IF($AM813="","",INDEX(TAX_MODES!$B:$B,MATCH($AM813,TAX_MODES!$A:$A,0)))</f>
        <v/>
      </c>
    </row>
    <row r="814">
      <c r="X814" s="15" t="n"/>
      <c r="Y814" s="15">
        <f>IF($X814="","",SUMIFS(TARIFF_PROFILES!$D:$D,TARIFF_PROFILES!$A:$A,$X814))</f>
        <v/>
      </c>
      <c r="Z814" s="15">
        <f>IF($X814="","",SUMIFS(TARIFF_PROFILES!$E:$E,TARIFF_PROFILES!$A:$A,$X814))</f>
        <v/>
      </c>
      <c r="AA814" s="15">
        <f>IF($X814="","",SUMIFS(TARIFF_PROFILES!$F:$F,TARIFF_PROFILES!$A:$A,$X814))</f>
        <v/>
      </c>
      <c r="AB814" s="15">
        <f>IF($X814="","",SUMIFS(TARIFF_PROFILES!$G:$G,TARIFF_PROFILES!$A:$A,$X814))</f>
        <v/>
      </c>
      <c r="AC814" s="15">
        <f>IF($X814="","",SUMIFS(TARIFF_PROFILES!$H:$H,TARIFF_PROFILES!$A:$A,$X814))</f>
        <v/>
      </c>
      <c r="AD814" s="15">
        <f>IF($X814="","",INDEX(TARIFF_PROFILES!$J:$J,MATCH($X814,TARIFF_PROFILES!$A:$A,0)))</f>
        <v/>
      </c>
      <c r="AE814" s="15">
        <f>IF($X814="","",INDEX(TARIFF_PROFILES!$K:$K,MATCH($X814,TARIFF_PROFILES!$A:$A,0)))</f>
        <v/>
      </c>
      <c r="AH814">
        <f>IF($AG814="","",SUMIFS(OPERATING_COEFFS!$C:$C,OPERATING_COEFFS!$A:$A,"DistanceClass",OPERATING_COEFFS!$B:$B,$AG814))</f>
        <v/>
      </c>
      <c r="AJ814">
        <f>IF($AI814="","",SUMIFS(OPERATING_COEFFS!$C:$C,OPERATING_COEFFS!$A:$A,"SeasonClass",OPERATING_COEFFS!$B:$B,$AI814))</f>
        <v/>
      </c>
      <c r="AL814">
        <f>IF($AK814="","",SUMIFS(OPERATING_COEFFS!$C:$C,OPERATING_COEFFS!$A:$A,"UrgencyClass",OPERATING_COEFFS!$B:$B,$AK814))</f>
        <v/>
      </c>
      <c r="AN814">
        <f>IF($AM814="","",INDEX(TAX_MODES!$B:$B,MATCH($AM814,TAX_MODES!$A:$A,0)))</f>
        <v/>
      </c>
    </row>
    <row r="815">
      <c r="X815" s="15" t="n"/>
      <c r="Y815" s="15">
        <f>IF($X815="","",SUMIFS(TARIFF_PROFILES!$D:$D,TARIFF_PROFILES!$A:$A,$X815))</f>
        <v/>
      </c>
      <c r="Z815" s="15">
        <f>IF($X815="","",SUMIFS(TARIFF_PROFILES!$E:$E,TARIFF_PROFILES!$A:$A,$X815))</f>
        <v/>
      </c>
      <c r="AA815" s="15">
        <f>IF($X815="","",SUMIFS(TARIFF_PROFILES!$F:$F,TARIFF_PROFILES!$A:$A,$X815))</f>
        <v/>
      </c>
      <c r="AB815" s="15">
        <f>IF($X815="","",SUMIFS(TARIFF_PROFILES!$G:$G,TARIFF_PROFILES!$A:$A,$X815))</f>
        <v/>
      </c>
      <c r="AC815" s="15">
        <f>IF($X815="","",SUMIFS(TARIFF_PROFILES!$H:$H,TARIFF_PROFILES!$A:$A,$X815))</f>
        <v/>
      </c>
      <c r="AD815" s="15">
        <f>IF($X815="","",INDEX(TARIFF_PROFILES!$J:$J,MATCH($X815,TARIFF_PROFILES!$A:$A,0)))</f>
        <v/>
      </c>
      <c r="AE815" s="15">
        <f>IF($X815="","",INDEX(TARIFF_PROFILES!$K:$K,MATCH($X815,TARIFF_PROFILES!$A:$A,0)))</f>
        <v/>
      </c>
      <c r="AH815">
        <f>IF($AG815="","",SUMIFS(OPERATING_COEFFS!$C:$C,OPERATING_COEFFS!$A:$A,"DistanceClass",OPERATING_COEFFS!$B:$B,$AG815))</f>
        <v/>
      </c>
      <c r="AJ815">
        <f>IF($AI815="","",SUMIFS(OPERATING_COEFFS!$C:$C,OPERATING_COEFFS!$A:$A,"SeasonClass",OPERATING_COEFFS!$B:$B,$AI815))</f>
        <v/>
      </c>
      <c r="AL815">
        <f>IF($AK815="","",SUMIFS(OPERATING_COEFFS!$C:$C,OPERATING_COEFFS!$A:$A,"UrgencyClass",OPERATING_COEFFS!$B:$B,$AK815))</f>
        <v/>
      </c>
      <c r="AN815">
        <f>IF($AM815="","",INDEX(TAX_MODES!$B:$B,MATCH($AM815,TAX_MODES!$A:$A,0)))</f>
        <v/>
      </c>
    </row>
    <row r="816">
      <c r="X816" s="15" t="n"/>
      <c r="Y816" s="15">
        <f>IF($X816="","",SUMIFS(TARIFF_PROFILES!$D:$D,TARIFF_PROFILES!$A:$A,$X816))</f>
        <v/>
      </c>
      <c r="Z816" s="15">
        <f>IF($X816="","",SUMIFS(TARIFF_PROFILES!$E:$E,TARIFF_PROFILES!$A:$A,$X816))</f>
        <v/>
      </c>
      <c r="AA816" s="15">
        <f>IF($X816="","",SUMIFS(TARIFF_PROFILES!$F:$F,TARIFF_PROFILES!$A:$A,$X816))</f>
        <v/>
      </c>
      <c r="AB816" s="15">
        <f>IF($X816="","",SUMIFS(TARIFF_PROFILES!$G:$G,TARIFF_PROFILES!$A:$A,$X816))</f>
        <v/>
      </c>
      <c r="AC816" s="15">
        <f>IF($X816="","",SUMIFS(TARIFF_PROFILES!$H:$H,TARIFF_PROFILES!$A:$A,$X816))</f>
        <v/>
      </c>
      <c r="AD816" s="15">
        <f>IF($X816="","",INDEX(TARIFF_PROFILES!$J:$J,MATCH($X816,TARIFF_PROFILES!$A:$A,0)))</f>
        <v/>
      </c>
      <c r="AE816" s="15">
        <f>IF($X816="","",INDEX(TARIFF_PROFILES!$K:$K,MATCH($X816,TARIFF_PROFILES!$A:$A,0)))</f>
        <v/>
      </c>
      <c r="AH816">
        <f>IF($AG816="","",SUMIFS(OPERATING_COEFFS!$C:$C,OPERATING_COEFFS!$A:$A,"DistanceClass",OPERATING_COEFFS!$B:$B,$AG816))</f>
        <v/>
      </c>
      <c r="AJ816">
        <f>IF($AI816="","",SUMIFS(OPERATING_COEFFS!$C:$C,OPERATING_COEFFS!$A:$A,"SeasonClass",OPERATING_COEFFS!$B:$B,$AI816))</f>
        <v/>
      </c>
      <c r="AL816">
        <f>IF($AK816="","",SUMIFS(OPERATING_COEFFS!$C:$C,OPERATING_COEFFS!$A:$A,"UrgencyClass",OPERATING_COEFFS!$B:$B,$AK816))</f>
        <v/>
      </c>
      <c r="AN816">
        <f>IF($AM816="","",INDEX(TAX_MODES!$B:$B,MATCH($AM816,TAX_MODES!$A:$A,0)))</f>
        <v/>
      </c>
    </row>
    <row r="817">
      <c r="X817" s="15" t="n"/>
      <c r="Y817" s="15">
        <f>IF($X817="","",SUMIFS(TARIFF_PROFILES!$D:$D,TARIFF_PROFILES!$A:$A,$X817))</f>
        <v/>
      </c>
      <c r="Z817" s="15">
        <f>IF($X817="","",SUMIFS(TARIFF_PROFILES!$E:$E,TARIFF_PROFILES!$A:$A,$X817))</f>
        <v/>
      </c>
      <c r="AA817" s="15">
        <f>IF($X817="","",SUMIFS(TARIFF_PROFILES!$F:$F,TARIFF_PROFILES!$A:$A,$X817))</f>
        <v/>
      </c>
      <c r="AB817" s="15">
        <f>IF($X817="","",SUMIFS(TARIFF_PROFILES!$G:$G,TARIFF_PROFILES!$A:$A,$X817))</f>
        <v/>
      </c>
      <c r="AC817" s="15">
        <f>IF($X817="","",SUMIFS(TARIFF_PROFILES!$H:$H,TARIFF_PROFILES!$A:$A,$X817))</f>
        <v/>
      </c>
      <c r="AD817" s="15">
        <f>IF($X817="","",INDEX(TARIFF_PROFILES!$J:$J,MATCH($X817,TARIFF_PROFILES!$A:$A,0)))</f>
        <v/>
      </c>
      <c r="AE817" s="15">
        <f>IF($X817="","",INDEX(TARIFF_PROFILES!$K:$K,MATCH($X817,TARIFF_PROFILES!$A:$A,0)))</f>
        <v/>
      </c>
      <c r="AH817">
        <f>IF($AG817="","",SUMIFS(OPERATING_COEFFS!$C:$C,OPERATING_COEFFS!$A:$A,"DistanceClass",OPERATING_COEFFS!$B:$B,$AG817))</f>
        <v/>
      </c>
      <c r="AJ817">
        <f>IF($AI817="","",SUMIFS(OPERATING_COEFFS!$C:$C,OPERATING_COEFFS!$A:$A,"SeasonClass",OPERATING_COEFFS!$B:$B,$AI817))</f>
        <v/>
      </c>
      <c r="AL817">
        <f>IF($AK817="","",SUMIFS(OPERATING_COEFFS!$C:$C,OPERATING_COEFFS!$A:$A,"UrgencyClass",OPERATING_COEFFS!$B:$B,$AK817))</f>
        <v/>
      </c>
      <c r="AN817">
        <f>IF($AM817="","",INDEX(TAX_MODES!$B:$B,MATCH($AM817,TAX_MODES!$A:$A,0)))</f>
        <v/>
      </c>
    </row>
    <row r="818">
      <c r="X818" s="15" t="n"/>
      <c r="Y818" s="15">
        <f>IF($X818="","",SUMIFS(TARIFF_PROFILES!$D:$D,TARIFF_PROFILES!$A:$A,$X818))</f>
        <v/>
      </c>
      <c r="Z818" s="15">
        <f>IF($X818="","",SUMIFS(TARIFF_PROFILES!$E:$E,TARIFF_PROFILES!$A:$A,$X818))</f>
        <v/>
      </c>
      <c r="AA818" s="15">
        <f>IF($X818="","",SUMIFS(TARIFF_PROFILES!$F:$F,TARIFF_PROFILES!$A:$A,$X818))</f>
        <v/>
      </c>
      <c r="AB818" s="15">
        <f>IF($X818="","",SUMIFS(TARIFF_PROFILES!$G:$G,TARIFF_PROFILES!$A:$A,$X818))</f>
        <v/>
      </c>
      <c r="AC818" s="15">
        <f>IF($X818="","",SUMIFS(TARIFF_PROFILES!$H:$H,TARIFF_PROFILES!$A:$A,$X818))</f>
        <v/>
      </c>
      <c r="AD818" s="15">
        <f>IF($X818="","",INDEX(TARIFF_PROFILES!$J:$J,MATCH($X818,TARIFF_PROFILES!$A:$A,0)))</f>
        <v/>
      </c>
      <c r="AE818" s="15">
        <f>IF($X818="","",INDEX(TARIFF_PROFILES!$K:$K,MATCH($X818,TARIFF_PROFILES!$A:$A,0)))</f>
        <v/>
      </c>
      <c r="AH818">
        <f>IF($AG818="","",SUMIFS(OPERATING_COEFFS!$C:$C,OPERATING_COEFFS!$A:$A,"DistanceClass",OPERATING_COEFFS!$B:$B,$AG818))</f>
        <v/>
      </c>
      <c r="AJ818">
        <f>IF($AI818="","",SUMIFS(OPERATING_COEFFS!$C:$C,OPERATING_COEFFS!$A:$A,"SeasonClass",OPERATING_COEFFS!$B:$B,$AI818))</f>
        <v/>
      </c>
      <c r="AL818">
        <f>IF($AK818="","",SUMIFS(OPERATING_COEFFS!$C:$C,OPERATING_COEFFS!$A:$A,"UrgencyClass",OPERATING_COEFFS!$B:$B,$AK818))</f>
        <v/>
      </c>
      <c r="AN818">
        <f>IF($AM818="","",INDEX(TAX_MODES!$B:$B,MATCH($AM818,TAX_MODES!$A:$A,0)))</f>
        <v/>
      </c>
    </row>
    <row r="819">
      <c r="X819" s="15" t="n"/>
      <c r="Y819" s="15">
        <f>IF($X819="","",SUMIFS(TARIFF_PROFILES!$D:$D,TARIFF_PROFILES!$A:$A,$X819))</f>
        <v/>
      </c>
      <c r="Z819" s="15">
        <f>IF($X819="","",SUMIFS(TARIFF_PROFILES!$E:$E,TARIFF_PROFILES!$A:$A,$X819))</f>
        <v/>
      </c>
      <c r="AA819" s="15">
        <f>IF($X819="","",SUMIFS(TARIFF_PROFILES!$F:$F,TARIFF_PROFILES!$A:$A,$X819))</f>
        <v/>
      </c>
      <c r="AB819" s="15">
        <f>IF($X819="","",SUMIFS(TARIFF_PROFILES!$G:$G,TARIFF_PROFILES!$A:$A,$X819))</f>
        <v/>
      </c>
      <c r="AC819" s="15">
        <f>IF($X819="","",SUMIFS(TARIFF_PROFILES!$H:$H,TARIFF_PROFILES!$A:$A,$X819))</f>
        <v/>
      </c>
      <c r="AD819" s="15">
        <f>IF($X819="","",INDEX(TARIFF_PROFILES!$J:$J,MATCH($X819,TARIFF_PROFILES!$A:$A,0)))</f>
        <v/>
      </c>
      <c r="AE819" s="15">
        <f>IF($X819="","",INDEX(TARIFF_PROFILES!$K:$K,MATCH($X819,TARIFF_PROFILES!$A:$A,0)))</f>
        <v/>
      </c>
      <c r="AH819">
        <f>IF($AG819="","",SUMIFS(OPERATING_COEFFS!$C:$C,OPERATING_COEFFS!$A:$A,"DistanceClass",OPERATING_COEFFS!$B:$B,$AG819))</f>
        <v/>
      </c>
      <c r="AJ819">
        <f>IF($AI819="","",SUMIFS(OPERATING_COEFFS!$C:$C,OPERATING_COEFFS!$A:$A,"SeasonClass",OPERATING_COEFFS!$B:$B,$AI819))</f>
        <v/>
      </c>
      <c r="AL819">
        <f>IF($AK819="","",SUMIFS(OPERATING_COEFFS!$C:$C,OPERATING_COEFFS!$A:$A,"UrgencyClass",OPERATING_COEFFS!$B:$B,$AK819))</f>
        <v/>
      </c>
      <c r="AN819">
        <f>IF($AM819="","",INDEX(TAX_MODES!$B:$B,MATCH($AM819,TAX_MODES!$A:$A,0)))</f>
        <v/>
      </c>
    </row>
    <row r="820">
      <c r="X820" s="15" t="n"/>
      <c r="Y820" s="15">
        <f>IF($X820="","",SUMIFS(TARIFF_PROFILES!$D:$D,TARIFF_PROFILES!$A:$A,$X820))</f>
        <v/>
      </c>
      <c r="Z820" s="15">
        <f>IF($X820="","",SUMIFS(TARIFF_PROFILES!$E:$E,TARIFF_PROFILES!$A:$A,$X820))</f>
        <v/>
      </c>
      <c r="AA820" s="15">
        <f>IF($X820="","",SUMIFS(TARIFF_PROFILES!$F:$F,TARIFF_PROFILES!$A:$A,$X820))</f>
        <v/>
      </c>
      <c r="AB820" s="15">
        <f>IF($X820="","",SUMIFS(TARIFF_PROFILES!$G:$G,TARIFF_PROFILES!$A:$A,$X820))</f>
        <v/>
      </c>
      <c r="AC820" s="15">
        <f>IF($X820="","",SUMIFS(TARIFF_PROFILES!$H:$H,TARIFF_PROFILES!$A:$A,$X820))</f>
        <v/>
      </c>
      <c r="AD820" s="15">
        <f>IF($X820="","",INDEX(TARIFF_PROFILES!$J:$J,MATCH($X820,TARIFF_PROFILES!$A:$A,0)))</f>
        <v/>
      </c>
      <c r="AE820" s="15">
        <f>IF($X820="","",INDEX(TARIFF_PROFILES!$K:$K,MATCH($X820,TARIFF_PROFILES!$A:$A,0)))</f>
        <v/>
      </c>
      <c r="AH820">
        <f>IF($AG820="","",SUMIFS(OPERATING_COEFFS!$C:$C,OPERATING_COEFFS!$A:$A,"DistanceClass",OPERATING_COEFFS!$B:$B,$AG820))</f>
        <v/>
      </c>
      <c r="AJ820">
        <f>IF($AI820="","",SUMIFS(OPERATING_COEFFS!$C:$C,OPERATING_COEFFS!$A:$A,"SeasonClass",OPERATING_COEFFS!$B:$B,$AI820))</f>
        <v/>
      </c>
      <c r="AL820">
        <f>IF($AK820="","",SUMIFS(OPERATING_COEFFS!$C:$C,OPERATING_COEFFS!$A:$A,"UrgencyClass",OPERATING_COEFFS!$B:$B,$AK820))</f>
        <v/>
      </c>
      <c r="AN820">
        <f>IF($AM820="","",INDEX(TAX_MODES!$B:$B,MATCH($AM820,TAX_MODES!$A:$A,0)))</f>
        <v/>
      </c>
    </row>
    <row r="821">
      <c r="X821" s="15" t="n"/>
      <c r="Y821" s="15">
        <f>IF($X821="","",SUMIFS(TARIFF_PROFILES!$D:$D,TARIFF_PROFILES!$A:$A,$X821))</f>
        <v/>
      </c>
      <c r="Z821" s="15">
        <f>IF($X821="","",SUMIFS(TARIFF_PROFILES!$E:$E,TARIFF_PROFILES!$A:$A,$X821))</f>
        <v/>
      </c>
      <c r="AA821" s="15">
        <f>IF($X821="","",SUMIFS(TARIFF_PROFILES!$F:$F,TARIFF_PROFILES!$A:$A,$X821))</f>
        <v/>
      </c>
      <c r="AB821" s="15">
        <f>IF($X821="","",SUMIFS(TARIFF_PROFILES!$G:$G,TARIFF_PROFILES!$A:$A,$X821))</f>
        <v/>
      </c>
      <c r="AC821" s="15">
        <f>IF($X821="","",SUMIFS(TARIFF_PROFILES!$H:$H,TARIFF_PROFILES!$A:$A,$X821))</f>
        <v/>
      </c>
      <c r="AD821" s="15">
        <f>IF($X821="","",INDEX(TARIFF_PROFILES!$J:$J,MATCH($X821,TARIFF_PROFILES!$A:$A,0)))</f>
        <v/>
      </c>
      <c r="AE821" s="15">
        <f>IF($X821="","",INDEX(TARIFF_PROFILES!$K:$K,MATCH($X821,TARIFF_PROFILES!$A:$A,0)))</f>
        <v/>
      </c>
      <c r="AH821">
        <f>IF($AG821="","",SUMIFS(OPERATING_COEFFS!$C:$C,OPERATING_COEFFS!$A:$A,"DistanceClass",OPERATING_COEFFS!$B:$B,$AG821))</f>
        <v/>
      </c>
      <c r="AJ821">
        <f>IF($AI821="","",SUMIFS(OPERATING_COEFFS!$C:$C,OPERATING_COEFFS!$A:$A,"SeasonClass",OPERATING_COEFFS!$B:$B,$AI821))</f>
        <v/>
      </c>
      <c r="AL821">
        <f>IF($AK821="","",SUMIFS(OPERATING_COEFFS!$C:$C,OPERATING_COEFFS!$A:$A,"UrgencyClass",OPERATING_COEFFS!$B:$B,$AK821))</f>
        <v/>
      </c>
      <c r="AN821">
        <f>IF($AM821="","",INDEX(TAX_MODES!$B:$B,MATCH($AM821,TAX_MODES!$A:$A,0)))</f>
        <v/>
      </c>
    </row>
    <row r="822">
      <c r="X822" s="15" t="n"/>
      <c r="Y822" s="15">
        <f>IF($X822="","",SUMIFS(TARIFF_PROFILES!$D:$D,TARIFF_PROFILES!$A:$A,$X822))</f>
        <v/>
      </c>
      <c r="Z822" s="15">
        <f>IF($X822="","",SUMIFS(TARIFF_PROFILES!$E:$E,TARIFF_PROFILES!$A:$A,$X822))</f>
        <v/>
      </c>
      <c r="AA822" s="15">
        <f>IF($X822="","",SUMIFS(TARIFF_PROFILES!$F:$F,TARIFF_PROFILES!$A:$A,$X822))</f>
        <v/>
      </c>
      <c r="AB822" s="15">
        <f>IF($X822="","",SUMIFS(TARIFF_PROFILES!$G:$G,TARIFF_PROFILES!$A:$A,$X822))</f>
        <v/>
      </c>
      <c r="AC822" s="15">
        <f>IF($X822="","",SUMIFS(TARIFF_PROFILES!$H:$H,TARIFF_PROFILES!$A:$A,$X822))</f>
        <v/>
      </c>
      <c r="AD822" s="15">
        <f>IF($X822="","",INDEX(TARIFF_PROFILES!$J:$J,MATCH($X822,TARIFF_PROFILES!$A:$A,0)))</f>
        <v/>
      </c>
      <c r="AE822" s="15">
        <f>IF($X822="","",INDEX(TARIFF_PROFILES!$K:$K,MATCH($X822,TARIFF_PROFILES!$A:$A,0)))</f>
        <v/>
      </c>
      <c r="AH822">
        <f>IF($AG822="","",SUMIFS(OPERATING_COEFFS!$C:$C,OPERATING_COEFFS!$A:$A,"DistanceClass",OPERATING_COEFFS!$B:$B,$AG822))</f>
        <v/>
      </c>
      <c r="AJ822">
        <f>IF($AI822="","",SUMIFS(OPERATING_COEFFS!$C:$C,OPERATING_COEFFS!$A:$A,"SeasonClass",OPERATING_COEFFS!$B:$B,$AI822))</f>
        <v/>
      </c>
      <c r="AL822">
        <f>IF($AK822="","",SUMIFS(OPERATING_COEFFS!$C:$C,OPERATING_COEFFS!$A:$A,"UrgencyClass",OPERATING_COEFFS!$B:$B,$AK822))</f>
        <v/>
      </c>
      <c r="AN822">
        <f>IF($AM822="","",INDEX(TAX_MODES!$B:$B,MATCH($AM822,TAX_MODES!$A:$A,0)))</f>
        <v/>
      </c>
    </row>
    <row r="823">
      <c r="X823" s="15" t="n"/>
      <c r="Y823" s="15">
        <f>IF($X823="","",SUMIFS(TARIFF_PROFILES!$D:$D,TARIFF_PROFILES!$A:$A,$X823))</f>
        <v/>
      </c>
      <c r="Z823" s="15">
        <f>IF($X823="","",SUMIFS(TARIFF_PROFILES!$E:$E,TARIFF_PROFILES!$A:$A,$X823))</f>
        <v/>
      </c>
      <c r="AA823" s="15">
        <f>IF($X823="","",SUMIFS(TARIFF_PROFILES!$F:$F,TARIFF_PROFILES!$A:$A,$X823))</f>
        <v/>
      </c>
      <c r="AB823" s="15">
        <f>IF($X823="","",SUMIFS(TARIFF_PROFILES!$G:$G,TARIFF_PROFILES!$A:$A,$X823))</f>
        <v/>
      </c>
      <c r="AC823" s="15">
        <f>IF($X823="","",SUMIFS(TARIFF_PROFILES!$H:$H,TARIFF_PROFILES!$A:$A,$X823))</f>
        <v/>
      </c>
      <c r="AD823" s="15">
        <f>IF($X823="","",INDEX(TARIFF_PROFILES!$J:$J,MATCH($X823,TARIFF_PROFILES!$A:$A,0)))</f>
        <v/>
      </c>
      <c r="AE823" s="15">
        <f>IF($X823="","",INDEX(TARIFF_PROFILES!$K:$K,MATCH($X823,TARIFF_PROFILES!$A:$A,0)))</f>
        <v/>
      </c>
      <c r="AH823">
        <f>IF($AG823="","",SUMIFS(OPERATING_COEFFS!$C:$C,OPERATING_COEFFS!$A:$A,"DistanceClass",OPERATING_COEFFS!$B:$B,$AG823))</f>
        <v/>
      </c>
      <c r="AJ823">
        <f>IF($AI823="","",SUMIFS(OPERATING_COEFFS!$C:$C,OPERATING_COEFFS!$A:$A,"SeasonClass",OPERATING_COEFFS!$B:$B,$AI823))</f>
        <v/>
      </c>
      <c r="AL823">
        <f>IF($AK823="","",SUMIFS(OPERATING_COEFFS!$C:$C,OPERATING_COEFFS!$A:$A,"UrgencyClass",OPERATING_COEFFS!$B:$B,$AK823))</f>
        <v/>
      </c>
      <c r="AN823">
        <f>IF($AM823="","",INDEX(TAX_MODES!$B:$B,MATCH($AM823,TAX_MODES!$A:$A,0)))</f>
        <v/>
      </c>
    </row>
    <row r="824">
      <c r="X824" s="15" t="n"/>
      <c r="Y824" s="15">
        <f>IF($X824="","",SUMIFS(TARIFF_PROFILES!$D:$D,TARIFF_PROFILES!$A:$A,$X824))</f>
        <v/>
      </c>
      <c r="Z824" s="15">
        <f>IF($X824="","",SUMIFS(TARIFF_PROFILES!$E:$E,TARIFF_PROFILES!$A:$A,$X824))</f>
        <v/>
      </c>
      <c r="AA824" s="15">
        <f>IF($X824="","",SUMIFS(TARIFF_PROFILES!$F:$F,TARIFF_PROFILES!$A:$A,$X824))</f>
        <v/>
      </c>
      <c r="AB824" s="15">
        <f>IF($X824="","",SUMIFS(TARIFF_PROFILES!$G:$G,TARIFF_PROFILES!$A:$A,$X824))</f>
        <v/>
      </c>
      <c r="AC824" s="15">
        <f>IF($X824="","",SUMIFS(TARIFF_PROFILES!$H:$H,TARIFF_PROFILES!$A:$A,$X824))</f>
        <v/>
      </c>
      <c r="AD824" s="15">
        <f>IF($X824="","",INDEX(TARIFF_PROFILES!$J:$J,MATCH($X824,TARIFF_PROFILES!$A:$A,0)))</f>
        <v/>
      </c>
      <c r="AE824" s="15">
        <f>IF($X824="","",INDEX(TARIFF_PROFILES!$K:$K,MATCH($X824,TARIFF_PROFILES!$A:$A,0)))</f>
        <v/>
      </c>
      <c r="AH824">
        <f>IF($AG824="","",SUMIFS(OPERATING_COEFFS!$C:$C,OPERATING_COEFFS!$A:$A,"DistanceClass",OPERATING_COEFFS!$B:$B,$AG824))</f>
        <v/>
      </c>
      <c r="AJ824">
        <f>IF($AI824="","",SUMIFS(OPERATING_COEFFS!$C:$C,OPERATING_COEFFS!$A:$A,"SeasonClass",OPERATING_COEFFS!$B:$B,$AI824))</f>
        <v/>
      </c>
      <c r="AL824">
        <f>IF($AK824="","",SUMIFS(OPERATING_COEFFS!$C:$C,OPERATING_COEFFS!$A:$A,"UrgencyClass",OPERATING_COEFFS!$B:$B,$AK824))</f>
        <v/>
      </c>
      <c r="AN824">
        <f>IF($AM824="","",INDEX(TAX_MODES!$B:$B,MATCH($AM824,TAX_MODES!$A:$A,0)))</f>
        <v/>
      </c>
    </row>
    <row r="825">
      <c r="X825" s="15" t="n"/>
      <c r="Y825" s="15">
        <f>IF($X825="","",SUMIFS(TARIFF_PROFILES!$D:$D,TARIFF_PROFILES!$A:$A,$X825))</f>
        <v/>
      </c>
      <c r="Z825" s="15">
        <f>IF($X825="","",SUMIFS(TARIFF_PROFILES!$E:$E,TARIFF_PROFILES!$A:$A,$X825))</f>
        <v/>
      </c>
      <c r="AA825" s="15">
        <f>IF($X825="","",SUMIFS(TARIFF_PROFILES!$F:$F,TARIFF_PROFILES!$A:$A,$X825))</f>
        <v/>
      </c>
      <c r="AB825" s="15">
        <f>IF($X825="","",SUMIFS(TARIFF_PROFILES!$G:$G,TARIFF_PROFILES!$A:$A,$X825))</f>
        <v/>
      </c>
      <c r="AC825" s="15">
        <f>IF($X825="","",SUMIFS(TARIFF_PROFILES!$H:$H,TARIFF_PROFILES!$A:$A,$X825))</f>
        <v/>
      </c>
      <c r="AD825" s="15">
        <f>IF($X825="","",INDEX(TARIFF_PROFILES!$J:$J,MATCH($X825,TARIFF_PROFILES!$A:$A,0)))</f>
        <v/>
      </c>
      <c r="AE825" s="15">
        <f>IF($X825="","",INDEX(TARIFF_PROFILES!$K:$K,MATCH($X825,TARIFF_PROFILES!$A:$A,0)))</f>
        <v/>
      </c>
      <c r="AH825">
        <f>IF($AG825="","",SUMIFS(OPERATING_COEFFS!$C:$C,OPERATING_COEFFS!$A:$A,"DistanceClass",OPERATING_COEFFS!$B:$B,$AG825))</f>
        <v/>
      </c>
      <c r="AJ825">
        <f>IF($AI825="","",SUMIFS(OPERATING_COEFFS!$C:$C,OPERATING_COEFFS!$A:$A,"SeasonClass",OPERATING_COEFFS!$B:$B,$AI825))</f>
        <v/>
      </c>
      <c r="AL825">
        <f>IF($AK825="","",SUMIFS(OPERATING_COEFFS!$C:$C,OPERATING_COEFFS!$A:$A,"UrgencyClass",OPERATING_COEFFS!$B:$B,$AK825))</f>
        <v/>
      </c>
      <c r="AN825">
        <f>IF($AM825="","",INDEX(TAX_MODES!$B:$B,MATCH($AM825,TAX_MODES!$A:$A,0)))</f>
        <v/>
      </c>
    </row>
    <row r="826">
      <c r="X826" s="15" t="n"/>
      <c r="Y826" s="15">
        <f>IF($X826="","",SUMIFS(TARIFF_PROFILES!$D:$D,TARIFF_PROFILES!$A:$A,$X826))</f>
        <v/>
      </c>
      <c r="Z826" s="15">
        <f>IF($X826="","",SUMIFS(TARIFF_PROFILES!$E:$E,TARIFF_PROFILES!$A:$A,$X826))</f>
        <v/>
      </c>
      <c r="AA826" s="15">
        <f>IF($X826="","",SUMIFS(TARIFF_PROFILES!$F:$F,TARIFF_PROFILES!$A:$A,$X826))</f>
        <v/>
      </c>
      <c r="AB826" s="15">
        <f>IF($X826="","",SUMIFS(TARIFF_PROFILES!$G:$G,TARIFF_PROFILES!$A:$A,$X826))</f>
        <v/>
      </c>
      <c r="AC826" s="15">
        <f>IF($X826="","",SUMIFS(TARIFF_PROFILES!$H:$H,TARIFF_PROFILES!$A:$A,$X826))</f>
        <v/>
      </c>
      <c r="AD826" s="15">
        <f>IF($X826="","",INDEX(TARIFF_PROFILES!$J:$J,MATCH($X826,TARIFF_PROFILES!$A:$A,0)))</f>
        <v/>
      </c>
      <c r="AE826" s="15">
        <f>IF($X826="","",INDEX(TARIFF_PROFILES!$K:$K,MATCH($X826,TARIFF_PROFILES!$A:$A,0)))</f>
        <v/>
      </c>
      <c r="AH826">
        <f>IF($AG826="","",SUMIFS(OPERATING_COEFFS!$C:$C,OPERATING_COEFFS!$A:$A,"DistanceClass",OPERATING_COEFFS!$B:$B,$AG826))</f>
        <v/>
      </c>
      <c r="AJ826">
        <f>IF($AI826="","",SUMIFS(OPERATING_COEFFS!$C:$C,OPERATING_COEFFS!$A:$A,"SeasonClass",OPERATING_COEFFS!$B:$B,$AI826))</f>
        <v/>
      </c>
      <c r="AL826">
        <f>IF($AK826="","",SUMIFS(OPERATING_COEFFS!$C:$C,OPERATING_COEFFS!$A:$A,"UrgencyClass",OPERATING_COEFFS!$B:$B,$AK826))</f>
        <v/>
      </c>
      <c r="AN826">
        <f>IF($AM826="","",INDEX(TAX_MODES!$B:$B,MATCH($AM826,TAX_MODES!$A:$A,0)))</f>
        <v/>
      </c>
    </row>
    <row r="827">
      <c r="X827" s="15" t="n"/>
      <c r="Y827" s="15">
        <f>IF($X827="","",SUMIFS(TARIFF_PROFILES!$D:$D,TARIFF_PROFILES!$A:$A,$X827))</f>
        <v/>
      </c>
      <c r="Z827" s="15">
        <f>IF($X827="","",SUMIFS(TARIFF_PROFILES!$E:$E,TARIFF_PROFILES!$A:$A,$X827))</f>
        <v/>
      </c>
      <c r="AA827" s="15">
        <f>IF($X827="","",SUMIFS(TARIFF_PROFILES!$F:$F,TARIFF_PROFILES!$A:$A,$X827))</f>
        <v/>
      </c>
      <c r="AB827" s="15">
        <f>IF($X827="","",SUMIFS(TARIFF_PROFILES!$G:$G,TARIFF_PROFILES!$A:$A,$X827))</f>
        <v/>
      </c>
      <c r="AC827" s="15">
        <f>IF($X827="","",SUMIFS(TARIFF_PROFILES!$H:$H,TARIFF_PROFILES!$A:$A,$X827))</f>
        <v/>
      </c>
      <c r="AD827" s="15">
        <f>IF($X827="","",INDEX(TARIFF_PROFILES!$J:$J,MATCH($X827,TARIFF_PROFILES!$A:$A,0)))</f>
        <v/>
      </c>
      <c r="AE827" s="15">
        <f>IF($X827="","",INDEX(TARIFF_PROFILES!$K:$K,MATCH($X827,TARIFF_PROFILES!$A:$A,0)))</f>
        <v/>
      </c>
      <c r="AH827">
        <f>IF($AG827="","",SUMIFS(OPERATING_COEFFS!$C:$C,OPERATING_COEFFS!$A:$A,"DistanceClass",OPERATING_COEFFS!$B:$B,$AG827))</f>
        <v/>
      </c>
      <c r="AJ827">
        <f>IF($AI827="","",SUMIFS(OPERATING_COEFFS!$C:$C,OPERATING_COEFFS!$A:$A,"SeasonClass",OPERATING_COEFFS!$B:$B,$AI827))</f>
        <v/>
      </c>
      <c r="AL827">
        <f>IF($AK827="","",SUMIFS(OPERATING_COEFFS!$C:$C,OPERATING_COEFFS!$A:$A,"UrgencyClass",OPERATING_COEFFS!$B:$B,$AK827))</f>
        <v/>
      </c>
      <c r="AN827">
        <f>IF($AM827="","",INDEX(TAX_MODES!$B:$B,MATCH($AM827,TAX_MODES!$A:$A,0)))</f>
        <v/>
      </c>
    </row>
    <row r="828">
      <c r="X828" s="15" t="n"/>
      <c r="Y828" s="15">
        <f>IF($X828="","",SUMIFS(TARIFF_PROFILES!$D:$D,TARIFF_PROFILES!$A:$A,$X828))</f>
        <v/>
      </c>
      <c r="Z828" s="15">
        <f>IF($X828="","",SUMIFS(TARIFF_PROFILES!$E:$E,TARIFF_PROFILES!$A:$A,$X828))</f>
        <v/>
      </c>
      <c r="AA828" s="15">
        <f>IF($X828="","",SUMIFS(TARIFF_PROFILES!$F:$F,TARIFF_PROFILES!$A:$A,$X828))</f>
        <v/>
      </c>
      <c r="AB828" s="15">
        <f>IF($X828="","",SUMIFS(TARIFF_PROFILES!$G:$G,TARIFF_PROFILES!$A:$A,$X828))</f>
        <v/>
      </c>
      <c r="AC828" s="15">
        <f>IF($X828="","",SUMIFS(TARIFF_PROFILES!$H:$H,TARIFF_PROFILES!$A:$A,$X828))</f>
        <v/>
      </c>
      <c r="AD828" s="15">
        <f>IF($X828="","",INDEX(TARIFF_PROFILES!$J:$J,MATCH($X828,TARIFF_PROFILES!$A:$A,0)))</f>
        <v/>
      </c>
      <c r="AE828" s="15">
        <f>IF($X828="","",INDEX(TARIFF_PROFILES!$K:$K,MATCH($X828,TARIFF_PROFILES!$A:$A,0)))</f>
        <v/>
      </c>
      <c r="AH828">
        <f>IF($AG828="","",SUMIFS(OPERATING_COEFFS!$C:$C,OPERATING_COEFFS!$A:$A,"DistanceClass",OPERATING_COEFFS!$B:$B,$AG828))</f>
        <v/>
      </c>
      <c r="AJ828">
        <f>IF($AI828="","",SUMIFS(OPERATING_COEFFS!$C:$C,OPERATING_COEFFS!$A:$A,"SeasonClass",OPERATING_COEFFS!$B:$B,$AI828))</f>
        <v/>
      </c>
      <c r="AL828">
        <f>IF($AK828="","",SUMIFS(OPERATING_COEFFS!$C:$C,OPERATING_COEFFS!$A:$A,"UrgencyClass",OPERATING_COEFFS!$B:$B,$AK828))</f>
        <v/>
      </c>
      <c r="AN828">
        <f>IF($AM828="","",INDEX(TAX_MODES!$B:$B,MATCH($AM828,TAX_MODES!$A:$A,0)))</f>
        <v/>
      </c>
    </row>
    <row r="829">
      <c r="X829" s="15" t="n"/>
      <c r="Y829" s="15">
        <f>IF($X829="","",SUMIFS(TARIFF_PROFILES!$D:$D,TARIFF_PROFILES!$A:$A,$X829))</f>
        <v/>
      </c>
      <c r="Z829" s="15">
        <f>IF($X829="","",SUMIFS(TARIFF_PROFILES!$E:$E,TARIFF_PROFILES!$A:$A,$X829))</f>
        <v/>
      </c>
      <c r="AA829" s="15">
        <f>IF($X829="","",SUMIFS(TARIFF_PROFILES!$F:$F,TARIFF_PROFILES!$A:$A,$X829))</f>
        <v/>
      </c>
      <c r="AB829" s="15">
        <f>IF($X829="","",SUMIFS(TARIFF_PROFILES!$G:$G,TARIFF_PROFILES!$A:$A,$X829))</f>
        <v/>
      </c>
      <c r="AC829" s="15">
        <f>IF($X829="","",SUMIFS(TARIFF_PROFILES!$H:$H,TARIFF_PROFILES!$A:$A,$X829))</f>
        <v/>
      </c>
      <c r="AD829" s="15">
        <f>IF($X829="","",INDEX(TARIFF_PROFILES!$J:$J,MATCH($X829,TARIFF_PROFILES!$A:$A,0)))</f>
        <v/>
      </c>
      <c r="AE829" s="15">
        <f>IF($X829="","",INDEX(TARIFF_PROFILES!$K:$K,MATCH($X829,TARIFF_PROFILES!$A:$A,0)))</f>
        <v/>
      </c>
      <c r="AH829">
        <f>IF($AG829="","",SUMIFS(OPERATING_COEFFS!$C:$C,OPERATING_COEFFS!$A:$A,"DistanceClass",OPERATING_COEFFS!$B:$B,$AG829))</f>
        <v/>
      </c>
      <c r="AJ829">
        <f>IF($AI829="","",SUMIFS(OPERATING_COEFFS!$C:$C,OPERATING_COEFFS!$A:$A,"SeasonClass",OPERATING_COEFFS!$B:$B,$AI829))</f>
        <v/>
      </c>
      <c r="AL829">
        <f>IF($AK829="","",SUMIFS(OPERATING_COEFFS!$C:$C,OPERATING_COEFFS!$A:$A,"UrgencyClass",OPERATING_COEFFS!$B:$B,$AK829))</f>
        <v/>
      </c>
      <c r="AN829">
        <f>IF($AM829="","",INDEX(TAX_MODES!$B:$B,MATCH($AM829,TAX_MODES!$A:$A,0)))</f>
        <v/>
      </c>
    </row>
    <row r="830">
      <c r="X830" s="15" t="n"/>
      <c r="Y830" s="15">
        <f>IF($X830="","",SUMIFS(TARIFF_PROFILES!$D:$D,TARIFF_PROFILES!$A:$A,$X830))</f>
        <v/>
      </c>
      <c r="Z830" s="15">
        <f>IF($X830="","",SUMIFS(TARIFF_PROFILES!$E:$E,TARIFF_PROFILES!$A:$A,$X830))</f>
        <v/>
      </c>
      <c r="AA830" s="15">
        <f>IF($X830="","",SUMIFS(TARIFF_PROFILES!$F:$F,TARIFF_PROFILES!$A:$A,$X830))</f>
        <v/>
      </c>
      <c r="AB830" s="15">
        <f>IF($X830="","",SUMIFS(TARIFF_PROFILES!$G:$G,TARIFF_PROFILES!$A:$A,$X830))</f>
        <v/>
      </c>
      <c r="AC830" s="15">
        <f>IF($X830="","",SUMIFS(TARIFF_PROFILES!$H:$H,TARIFF_PROFILES!$A:$A,$X830))</f>
        <v/>
      </c>
      <c r="AD830" s="15">
        <f>IF($X830="","",INDEX(TARIFF_PROFILES!$J:$J,MATCH($X830,TARIFF_PROFILES!$A:$A,0)))</f>
        <v/>
      </c>
      <c r="AE830" s="15">
        <f>IF($X830="","",INDEX(TARIFF_PROFILES!$K:$K,MATCH($X830,TARIFF_PROFILES!$A:$A,0)))</f>
        <v/>
      </c>
      <c r="AH830">
        <f>IF($AG830="","",SUMIFS(OPERATING_COEFFS!$C:$C,OPERATING_COEFFS!$A:$A,"DistanceClass",OPERATING_COEFFS!$B:$B,$AG830))</f>
        <v/>
      </c>
      <c r="AJ830">
        <f>IF($AI830="","",SUMIFS(OPERATING_COEFFS!$C:$C,OPERATING_COEFFS!$A:$A,"SeasonClass",OPERATING_COEFFS!$B:$B,$AI830))</f>
        <v/>
      </c>
      <c r="AL830">
        <f>IF($AK830="","",SUMIFS(OPERATING_COEFFS!$C:$C,OPERATING_COEFFS!$A:$A,"UrgencyClass",OPERATING_COEFFS!$B:$B,$AK830))</f>
        <v/>
      </c>
      <c r="AN830">
        <f>IF($AM830="","",INDEX(TAX_MODES!$B:$B,MATCH($AM830,TAX_MODES!$A:$A,0)))</f>
        <v/>
      </c>
    </row>
    <row r="831">
      <c r="X831" s="15" t="n"/>
      <c r="Y831" s="15">
        <f>IF($X831="","",SUMIFS(TARIFF_PROFILES!$D:$D,TARIFF_PROFILES!$A:$A,$X831))</f>
        <v/>
      </c>
      <c r="Z831" s="15">
        <f>IF($X831="","",SUMIFS(TARIFF_PROFILES!$E:$E,TARIFF_PROFILES!$A:$A,$X831))</f>
        <v/>
      </c>
      <c r="AA831" s="15">
        <f>IF($X831="","",SUMIFS(TARIFF_PROFILES!$F:$F,TARIFF_PROFILES!$A:$A,$X831))</f>
        <v/>
      </c>
      <c r="AB831" s="15">
        <f>IF($X831="","",SUMIFS(TARIFF_PROFILES!$G:$G,TARIFF_PROFILES!$A:$A,$X831))</f>
        <v/>
      </c>
      <c r="AC831" s="15">
        <f>IF($X831="","",SUMIFS(TARIFF_PROFILES!$H:$H,TARIFF_PROFILES!$A:$A,$X831))</f>
        <v/>
      </c>
      <c r="AD831" s="15">
        <f>IF($X831="","",INDEX(TARIFF_PROFILES!$J:$J,MATCH($X831,TARIFF_PROFILES!$A:$A,0)))</f>
        <v/>
      </c>
      <c r="AE831" s="15">
        <f>IF($X831="","",INDEX(TARIFF_PROFILES!$K:$K,MATCH($X831,TARIFF_PROFILES!$A:$A,0)))</f>
        <v/>
      </c>
      <c r="AH831">
        <f>IF($AG831="","",SUMIFS(OPERATING_COEFFS!$C:$C,OPERATING_COEFFS!$A:$A,"DistanceClass",OPERATING_COEFFS!$B:$B,$AG831))</f>
        <v/>
      </c>
      <c r="AJ831">
        <f>IF($AI831="","",SUMIFS(OPERATING_COEFFS!$C:$C,OPERATING_COEFFS!$A:$A,"SeasonClass",OPERATING_COEFFS!$B:$B,$AI831))</f>
        <v/>
      </c>
      <c r="AL831">
        <f>IF($AK831="","",SUMIFS(OPERATING_COEFFS!$C:$C,OPERATING_COEFFS!$A:$A,"UrgencyClass",OPERATING_COEFFS!$B:$B,$AK831))</f>
        <v/>
      </c>
      <c r="AN831">
        <f>IF($AM831="","",INDEX(TAX_MODES!$B:$B,MATCH($AM831,TAX_MODES!$A:$A,0)))</f>
        <v/>
      </c>
    </row>
    <row r="832">
      <c r="X832" s="15" t="n"/>
      <c r="Y832" s="15">
        <f>IF($X832="","",SUMIFS(TARIFF_PROFILES!$D:$D,TARIFF_PROFILES!$A:$A,$X832))</f>
        <v/>
      </c>
      <c r="Z832" s="15">
        <f>IF($X832="","",SUMIFS(TARIFF_PROFILES!$E:$E,TARIFF_PROFILES!$A:$A,$X832))</f>
        <v/>
      </c>
      <c r="AA832" s="15">
        <f>IF($X832="","",SUMIFS(TARIFF_PROFILES!$F:$F,TARIFF_PROFILES!$A:$A,$X832))</f>
        <v/>
      </c>
      <c r="AB832" s="15">
        <f>IF($X832="","",SUMIFS(TARIFF_PROFILES!$G:$G,TARIFF_PROFILES!$A:$A,$X832))</f>
        <v/>
      </c>
      <c r="AC832" s="15">
        <f>IF($X832="","",SUMIFS(TARIFF_PROFILES!$H:$H,TARIFF_PROFILES!$A:$A,$X832))</f>
        <v/>
      </c>
      <c r="AD832" s="15">
        <f>IF($X832="","",INDEX(TARIFF_PROFILES!$J:$J,MATCH($X832,TARIFF_PROFILES!$A:$A,0)))</f>
        <v/>
      </c>
      <c r="AE832" s="15">
        <f>IF($X832="","",INDEX(TARIFF_PROFILES!$K:$K,MATCH($X832,TARIFF_PROFILES!$A:$A,0)))</f>
        <v/>
      </c>
      <c r="AH832">
        <f>IF($AG832="","",SUMIFS(OPERATING_COEFFS!$C:$C,OPERATING_COEFFS!$A:$A,"DistanceClass",OPERATING_COEFFS!$B:$B,$AG832))</f>
        <v/>
      </c>
      <c r="AJ832">
        <f>IF($AI832="","",SUMIFS(OPERATING_COEFFS!$C:$C,OPERATING_COEFFS!$A:$A,"SeasonClass",OPERATING_COEFFS!$B:$B,$AI832))</f>
        <v/>
      </c>
      <c r="AL832">
        <f>IF($AK832="","",SUMIFS(OPERATING_COEFFS!$C:$C,OPERATING_COEFFS!$A:$A,"UrgencyClass",OPERATING_COEFFS!$B:$B,$AK832))</f>
        <v/>
      </c>
      <c r="AN832">
        <f>IF($AM832="","",INDEX(TAX_MODES!$B:$B,MATCH($AM832,TAX_MODES!$A:$A,0)))</f>
        <v/>
      </c>
    </row>
    <row r="833">
      <c r="X833" s="15" t="n"/>
      <c r="Y833" s="15">
        <f>IF($X833="","",SUMIFS(TARIFF_PROFILES!$D:$D,TARIFF_PROFILES!$A:$A,$X833))</f>
        <v/>
      </c>
      <c r="Z833" s="15">
        <f>IF($X833="","",SUMIFS(TARIFF_PROFILES!$E:$E,TARIFF_PROFILES!$A:$A,$X833))</f>
        <v/>
      </c>
      <c r="AA833" s="15">
        <f>IF($X833="","",SUMIFS(TARIFF_PROFILES!$F:$F,TARIFF_PROFILES!$A:$A,$X833))</f>
        <v/>
      </c>
      <c r="AB833" s="15">
        <f>IF($X833="","",SUMIFS(TARIFF_PROFILES!$G:$G,TARIFF_PROFILES!$A:$A,$X833))</f>
        <v/>
      </c>
      <c r="AC833" s="15">
        <f>IF($X833="","",SUMIFS(TARIFF_PROFILES!$H:$H,TARIFF_PROFILES!$A:$A,$X833))</f>
        <v/>
      </c>
      <c r="AD833" s="15">
        <f>IF($X833="","",INDEX(TARIFF_PROFILES!$J:$J,MATCH($X833,TARIFF_PROFILES!$A:$A,0)))</f>
        <v/>
      </c>
      <c r="AE833" s="15">
        <f>IF($X833="","",INDEX(TARIFF_PROFILES!$K:$K,MATCH($X833,TARIFF_PROFILES!$A:$A,0)))</f>
        <v/>
      </c>
      <c r="AH833">
        <f>IF($AG833="","",SUMIFS(OPERATING_COEFFS!$C:$C,OPERATING_COEFFS!$A:$A,"DistanceClass",OPERATING_COEFFS!$B:$B,$AG833))</f>
        <v/>
      </c>
      <c r="AJ833">
        <f>IF($AI833="","",SUMIFS(OPERATING_COEFFS!$C:$C,OPERATING_COEFFS!$A:$A,"SeasonClass",OPERATING_COEFFS!$B:$B,$AI833))</f>
        <v/>
      </c>
      <c r="AL833">
        <f>IF($AK833="","",SUMIFS(OPERATING_COEFFS!$C:$C,OPERATING_COEFFS!$A:$A,"UrgencyClass",OPERATING_COEFFS!$B:$B,$AK833))</f>
        <v/>
      </c>
      <c r="AN833">
        <f>IF($AM833="","",INDEX(TAX_MODES!$B:$B,MATCH($AM833,TAX_MODES!$A:$A,0)))</f>
        <v/>
      </c>
    </row>
    <row r="834">
      <c r="X834" s="15" t="n"/>
      <c r="Y834" s="15">
        <f>IF($X834="","",SUMIFS(TARIFF_PROFILES!$D:$D,TARIFF_PROFILES!$A:$A,$X834))</f>
        <v/>
      </c>
      <c r="Z834" s="15">
        <f>IF($X834="","",SUMIFS(TARIFF_PROFILES!$E:$E,TARIFF_PROFILES!$A:$A,$X834))</f>
        <v/>
      </c>
      <c r="AA834" s="15">
        <f>IF($X834="","",SUMIFS(TARIFF_PROFILES!$F:$F,TARIFF_PROFILES!$A:$A,$X834))</f>
        <v/>
      </c>
      <c r="AB834" s="15">
        <f>IF($X834="","",SUMIFS(TARIFF_PROFILES!$G:$G,TARIFF_PROFILES!$A:$A,$X834))</f>
        <v/>
      </c>
      <c r="AC834" s="15">
        <f>IF($X834="","",SUMIFS(TARIFF_PROFILES!$H:$H,TARIFF_PROFILES!$A:$A,$X834))</f>
        <v/>
      </c>
      <c r="AD834" s="15">
        <f>IF($X834="","",INDEX(TARIFF_PROFILES!$J:$J,MATCH($X834,TARIFF_PROFILES!$A:$A,0)))</f>
        <v/>
      </c>
      <c r="AE834" s="15">
        <f>IF($X834="","",INDEX(TARIFF_PROFILES!$K:$K,MATCH($X834,TARIFF_PROFILES!$A:$A,0)))</f>
        <v/>
      </c>
      <c r="AH834">
        <f>IF($AG834="","",SUMIFS(OPERATING_COEFFS!$C:$C,OPERATING_COEFFS!$A:$A,"DistanceClass",OPERATING_COEFFS!$B:$B,$AG834))</f>
        <v/>
      </c>
      <c r="AJ834">
        <f>IF($AI834="","",SUMIFS(OPERATING_COEFFS!$C:$C,OPERATING_COEFFS!$A:$A,"SeasonClass",OPERATING_COEFFS!$B:$B,$AI834))</f>
        <v/>
      </c>
      <c r="AL834">
        <f>IF($AK834="","",SUMIFS(OPERATING_COEFFS!$C:$C,OPERATING_COEFFS!$A:$A,"UrgencyClass",OPERATING_COEFFS!$B:$B,$AK834))</f>
        <v/>
      </c>
      <c r="AN834">
        <f>IF($AM834="","",INDEX(TAX_MODES!$B:$B,MATCH($AM834,TAX_MODES!$A:$A,0)))</f>
        <v/>
      </c>
    </row>
    <row r="835">
      <c r="X835" s="15" t="n"/>
      <c r="Y835" s="15">
        <f>IF($X835="","",SUMIFS(TARIFF_PROFILES!$D:$D,TARIFF_PROFILES!$A:$A,$X835))</f>
        <v/>
      </c>
      <c r="Z835" s="15">
        <f>IF($X835="","",SUMIFS(TARIFF_PROFILES!$E:$E,TARIFF_PROFILES!$A:$A,$X835))</f>
        <v/>
      </c>
      <c r="AA835" s="15">
        <f>IF($X835="","",SUMIFS(TARIFF_PROFILES!$F:$F,TARIFF_PROFILES!$A:$A,$X835))</f>
        <v/>
      </c>
      <c r="AB835" s="15">
        <f>IF($X835="","",SUMIFS(TARIFF_PROFILES!$G:$G,TARIFF_PROFILES!$A:$A,$X835))</f>
        <v/>
      </c>
      <c r="AC835" s="15">
        <f>IF($X835="","",SUMIFS(TARIFF_PROFILES!$H:$H,TARIFF_PROFILES!$A:$A,$X835))</f>
        <v/>
      </c>
      <c r="AD835" s="15">
        <f>IF($X835="","",INDEX(TARIFF_PROFILES!$J:$J,MATCH($X835,TARIFF_PROFILES!$A:$A,0)))</f>
        <v/>
      </c>
      <c r="AE835" s="15">
        <f>IF($X835="","",INDEX(TARIFF_PROFILES!$K:$K,MATCH($X835,TARIFF_PROFILES!$A:$A,0)))</f>
        <v/>
      </c>
      <c r="AH835">
        <f>IF($AG835="","",SUMIFS(OPERATING_COEFFS!$C:$C,OPERATING_COEFFS!$A:$A,"DistanceClass",OPERATING_COEFFS!$B:$B,$AG835))</f>
        <v/>
      </c>
      <c r="AJ835">
        <f>IF($AI835="","",SUMIFS(OPERATING_COEFFS!$C:$C,OPERATING_COEFFS!$A:$A,"SeasonClass",OPERATING_COEFFS!$B:$B,$AI835))</f>
        <v/>
      </c>
      <c r="AL835">
        <f>IF($AK835="","",SUMIFS(OPERATING_COEFFS!$C:$C,OPERATING_COEFFS!$A:$A,"UrgencyClass",OPERATING_COEFFS!$B:$B,$AK835))</f>
        <v/>
      </c>
      <c r="AN835">
        <f>IF($AM835="","",INDEX(TAX_MODES!$B:$B,MATCH($AM835,TAX_MODES!$A:$A,0)))</f>
        <v/>
      </c>
    </row>
    <row r="836">
      <c r="X836" s="15" t="n"/>
      <c r="Y836" s="15">
        <f>IF($X836="","",SUMIFS(TARIFF_PROFILES!$D:$D,TARIFF_PROFILES!$A:$A,$X836))</f>
        <v/>
      </c>
      <c r="Z836" s="15">
        <f>IF($X836="","",SUMIFS(TARIFF_PROFILES!$E:$E,TARIFF_PROFILES!$A:$A,$X836))</f>
        <v/>
      </c>
      <c r="AA836" s="15">
        <f>IF($X836="","",SUMIFS(TARIFF_PROFILES!$F:$F,TARIFF_PROFILES!$A:$A,$X836))</f>
        <v/>
      </c>
      <c r="AB836" s="15">
        <f>IF($X836="","",SUMIFS(TARIFF_PROFILES!$G:$G,TARIFF_PROFILES!$A:$A,$X836))</f>
        <v/>
      </c>
      <c r="AC836" s="15">
        <f>IF($X836="","",SUMIFS(TARIFF_PROFILES!$H:$H,TARIFF_PROFILES!$A:$A,$X836))</f>
        <v/>
      </c>
      <c r="AD836" s="15">
        <f>IF($X836="","",INDEX(TARIFF_PROFILES!$J:$J,MATCH($X836,TARIFF_PROFILES!$A:$A,0)))</f>
        <v/>
      </c>
      <c r="AE836" s="15">
        <f>IF($X836="","",INDEX(TARIFF_PROFILES!$K:$K,MATCH($X836,TARIFF_PROFILES!$A:$A,0)))</f>
        <v/>
      </c>
      <c r="AH836">
        <f>IF($AG836="","",SUMIFS(OPERATING_COEFFS!$C:$C,OPERATING_COEFFS!$A:$A,"DistanceClass",OPERATING_COEFFS!$B:$B,$AG836))</f>
        <v/>
      </c>
      <c r="AJ836">
        <f>IF($AI836="","",SUMIFS(OPERATING_COEFFS!$C:$C,OPERATING_COEFFS!$A:$A,"SeasonClass",OPERATING_COEFFS!$B:$B,$AI836))</f>
        <v/>
      </c>
      <c r="AL836">
        <f>IF($AK836="","",SUMIFS(OPERATING_COEFFS!$C:$C,OPERATING_COEFFS!$A:$A,"UrgencyClass",OPERATING_COEFFS!$B:$B,$AK836))</f>
        <v/>
      </c>
      <c r="AN836">
        <f>IF($AM836="","",INDEX(TAX_MODES!$B:$B,MATCH($AM836,TAX_MODES!$A:$A,0)))</f>
        <v/>
      </c>
    </row>
    <row r="837">
      <c r="X837" s="15" t="n"/>
      <c r="Y837" s="15">
        <f>IF($X837="","",SUMIFS(TARIFF_PROFILES!$D:$D,TARIFF_PROFILES!$A:$A,$X837))</f>
        <v/>
      </c>
      <c r="Z837" s="15">
        <f>IF($X837="","",SUMIFS(TARIFF_PROFILES!$E:$E,TARIFF_PROFILES!$A:$A,$X837))</f>
        <v/>
      </c>
      <c r="AA837" s="15">
        <f>IF($X837="","",SUMIFS(TARIFF_PROFILES!$F:$F,TARIFF_PROFILES!$A:$A,$X837))</f>
        <v/>
      </c>
      <c r="AB837" s="15">
        <f>IF($X837="","",SUMIFS(TARIFF_PROFILES!$G:$G,TARIFF_PROFILES!$A:$A,$X837))</f>
        <v/>
      </c>
      <c r="AC837" s="15">
        <f>IF($X837="","",SUMIFS(TARIFF_PROFILES!$H:$H,TARIFF_PROFILES!$A:$A,$X837))</f>
        <v/>
      </c>
      <c r="AD837" s="15">
        <f>IF($X837="","",INDEX(TARIFF_PROFILES!$J:$J,MATCH($X837,TARIFF_PROFILES!$A:$A,0)))</f>
        <v/>
      </c>
      <c r="AE837" s="15">
        <f>IF($X837="","",INDEX(TARIFF_PROFILES!$K:$K,MATCH($X837,TARIFF_PROFILES!$A:$A,0)))</f>
        <v/>
      </c>
      <c r="AH837">
        <f>IF($AG837="","",SUMIFS(OPERATING_COEFFS!$C:$C,OPERATING_COEFFS!$A:$A,"DistanceClass",OPERATING_COEFFS!$B:$B,$AG837))</f>
        <v/>
      </c>
      <c r="AJ837">
        <f>IF($AI837="","",SUMIFS(OPERATING_COEFFS!$C:$C,OPERATING_COEFFS!$A:$A,"SeasonClass",OPERATING_COEFFS!$B:$B,$AI837))</f>
        <v/>
      </c>
      <c r="AL837">
        <f>IF($AK837="","",SUMIFS(OPERATING_COEFFS!$C:$C,OPERATING_COEFFS!$A:$A,"UrgencyClass",OPERATING_COEFFS!$B:$B,$AK837))</f>
        <v/>
      </c>
      <c r="AN837">
        <f>IF($AM837="","",INDEX(TAX_MODES!$B:$B,MATCH($AM837,TAX_MODES!$A:$A,0)))</f>
        <v/>
      </c>
    </row>
    <row r="838">
      <c r="X838" s="15" t="n"/>
      <c r="Y838" s="15">
        <f>IF($X838="","",SUMIFS(TARIFF_PROFILES!$D:$D,TARIFF_PROFILES!$A:$A,$X838))</f>
        <v/>
      </c>
      <c r="Z838" s="15">
        <f>IF($X838="","",SUMIFS(TARIFF_PROFILES!$E:$E,TARIFF_PROFILES!$A:$A,$X838))</f>
        <v/>
      </c>
      <c r="AA838" s="15">
        <f>IF($X838="","",SUMIFS(TARIFF_PROFILES!$F:$F,TARIFF_PROFILES!$A:$A,$X838))</f>
        <v/>
      </c>
      <c r="AB838" s="15">
        <f>IF($X838="","",SUMIFS(TARIFF_PROFILES!$G:$G,TARIFF_PROFILES!$A:$A,$X838))</f>
        <v/>
      </c>
      <c r="AC838" s="15">
        <f>IF($X838="","",SUMIFS(TARIFF_PROFILES!$H:$H,TARIFF_PROFILES!$A:$A,$X838))</f>
        <v/>
      </c>
      <c r="AD838" s="15">
        <f>IF($X838="","",INDEX(TARIFF_PROFILES!$J:$J,MATCH($X838,TARIFF_PROFILES!$A:$A,0)))</f>
        <v/>
      </c>
      <c r="AE838" s="15">
        <f>IF($X838="","",INDEX(TARIFF_PROFILES!$K:$K,MATCH($X838,TARIFF_PROFILES!$A:$A,0)))</f>
        <v/>
      </c>
      <c r="AH838">
        <f>IF($AG838="","",SUMIFS(OPERATING_COEFFS!$C:$C,OPERATING_COEFFS!$A:$A,"DistanceClass",OPERATING_COEFFS!$B:$B,$AG838))</f>
        <v/>
      </c>
      <c r="AJ838">
        <f>IF($AI838="","",SUMIFS(OPERATING_COEFFS!$C:$C,OPERATING_COEFFS!$A:$A,"SeasonClass",OPERATING_COEFFS!$B:$B,$AI838))</f>
        <v/>
      </c>
      <c r="AL838">
        <f>IF($AK838="","",SUMIFS(OPERATING_COEFFS!$C:$C,OPERATING_COEFFS!$A:$A,"UrgencyClass",OPERATING_COEFFS!$B:$B,$AK838))</f>
        <v/>
      </c>
      <c r="AN838">
        <f>IF($AM838="","",INDEX(TAX_MODES!$B:$B,MATCH($AM838,TAX_MODES!$A:$A,0)))</f>
        <v/>
      </c>
    </row>
    <row r="839">
      <c r="X839" s="15" t="n"/>
      <c r="Y839" s="15">
        <f>IF($X839="","",SUMIFS(TARIFF_PROFILES!$D:$D,TARIFF_PROFILES!$A:$A,$X839))</f>
        <v/>
      </c>
      <c r="Z839" s="15">
        <f>IF($X839="","",SUMIFS(TARIFF_PROFILES!$E:$E,TARIFF_PROFILES!$A:$A,$X839))</f>
        <v/>
      </c>
      <c r="AA839" s="15">
        <f>IF($X839="","",SUMIFS(TARIFF_PROFILES!$F:$F,TARIFF_PROFILES!$A:$A,$X839))</f>
        <v/>
      </c>
      <c r="AB839" s="15">
        <f>IF($X839="","",SUMIFS(TARIFF_PROFILES!$G:$G,TARIFF_PROFILES!$A:$A,$X839))</f>
        <v/>
      </c>
      <c r="AC839" s="15">
        <f>IF($X839="","",SUMIFS(TARIFF_PROFILES!$H:$H,TARIFF_PROFILES!$A:$A,$X839))</f>
        <v/>
      </c>
      <c r="AD839" s="15">
        <f>IF($X839="","",INDEX(TARIFF_PROFILES!$J:$J,MATCH($X839,TARIFF_PROFILES!$A:$A,0)))</f>
        <v/>
      </c>
      <c r="AE839" s="15">
        <f>IF($X839="","",INDEX(TARIFF_PROFILES!$K:$K,MATCH($X839,TARIFF_PROFILES!$A:$A,0)))</f>
        <v/>
      </c>
      <c r="AH839">
        <f>IF($AG839="","",SUMIFS(OPERATING_COEFFS!$C:$C,OPERATING_COEFFS!$A:$A,"DistanceClass",OPERATING_COEFFS!$B:$B,$AG839))</f>
        <v/>
      </c>
      <c r="AJ839">
        <f>IF($AI839="","",SUMIFS(OPERATING_COEFFS!$C:$C,OPERATING_COEFFS!$A:$A,"SeasonClass",OPERATING_COEFFS!$B:$B,$AI839))</f>
        <v/>
      </c>
      <c r="AL839">
        <f>IF($AK839="","",SUMIFS(OPERATING_COEFFS!$C:$C,OPERATING_COEFFS!$A:$A,"UrgencyClass",OPERATING_COEFFS!$B:$B,$AK839))</f>
        <v/>
      </c>
      <c r="AN839">
        <f>IF($AM839="","",INDEX(TAX_MODES!$B:$B,MATCH($AM839,TAX_MODES!$A:$A,0)))</f>
        <v/>
      </c>
    </row>
    <row r="840">
      <c r="X840" s="15" t="n"/>
      <c r="Y840" s="15">
        <f>IF($X840="","",SUMIFS(TARIFF_PROFILES!$D:$D,TARIFF_PROFILES!$A:$A,$X840))</f>
        <v/>
      </c>
      <c r="Z840" s="15">
        <f>IF($X840="","",SUMIFS(TARIFF_PROFILES!$E:$E,TARIFF_PROFILES!$A:$A,$X840))</f>
        <v/>
      </c>
      <c r="AA840" s="15">
        <f>IF($X840="","",SUMIFS(TARIFF_PROFILES!$F:$F,TARIFF_PROFILES!$A:$A,$X840))</f>
        <v/>
      </c>
      <c r="AB840" s="15">
        <f>IF($X840="","",SUMIFS(TARIFF_PROFILES!$G:$G,TARIFF_PROFILES!$A:$A,$X840))</f>
        <v/>
      </c>
      <c r="AC840" s="15">
        <f>IF($X840="","",SUMIFS(TARIFF_PROFILES!$H:$H,TARIFF_PROFILES!$A:$A,$X840))</f>
        <v/>
      </c>
      <c r="AD840" s="15">
        <f>IF($X840="","",INDEX(TARIFF_PROFILES!$J:$J,MATCH($X840,TARIFF_PROFILES!$A:$A,0)))</f>
        <v/>
      </c>
      <c r="AE840" s="15">
        <f>IF($X840="","",INDEX(TARIFF_PROFILES!$K:$K,MATCH($X840,TARIFF_PROFILES!$A:$A,0)))</f>
        <v/>
      </c>
      <c r="AH840">
        <f>IF($AG840="","",SUMIFS(OPERATING_COEFFS!$C:$C,OPERATING_COEFFS!$A:$A,"DistanceClass",OPERATING_COEFFS!$B:$B,$AG840))</f>
        <v/>
      </c>
      <c r="AJ840">
        <f>IF($AI840="","",SUMIFS(OPERATING_COEFFS!$C:$C,OPERATING_COEFFS!$A:$A,"SeasonClass",OPERATING_COEFFS!$B:$B,$AI840))</f>
        <v/>
      </c>
      <c r="AL840">
        <f>IF($AK840="","",SUMIFS(OPERATING_COEFFS!$C:$C,OPERATING_COEFFS!$A:$A,"UrgencyClass",OPERATING_COEFFS!$B:$B,$AK840))</f>
        <v/>
      </c>
      <c r="AN840">
        <f>IF($AM840="","",INDEX(TAX_MODES!$B:$B,MATCH($AM840,TAX_MODES!$A:$A,0)))</f>
        <v/>
      </c>
    </row>
    <row r="841">
      <c r="X841" s="15" t="n"/>
      <c r="Y841" s="15">
        <f>IF($X841="","",SUMIFS(TARIFF_PROFILES!$D:$D,TARIFF_PROFILES!$A:$A,$X841))</f>
        <v/>
      </c>
      <c r="Z841" s="15">
        <f>IF($X841="","",SUMIFS(TARIFF_PROFILES!$E:$E,TARIFF_PROFILES!$A:$A,$X841))</f>
        <v/>
      </c>
      <c r="AA841" s="15">
        <f>IF($X841="","",SUMIFS(TARIFF_PROFILES!$F:$F,TARIFF_PROFILES!$A:$A,$X841))</f>
        <v/>
      </c>
      <c r="AB841" s="15">
        <f>IF($X841="","",SUMIFS(TARIFF_PROFILES!$G:$G,TARIFF_PROFILES!$A:$A,$X841))</f>
        <v/>
      </c>
      <c r="AC841" s="15">
        <f>IF($X841="","",SUMIFS(TARIFF_PROFILES!$H:$H,TARIFF_PROFILES!$A:$A,$X841))</f>
        <v/>
      </c>
      <c r="AD841" s="15">
        <f>IF($X841="","",INDEX(TARIFF_PROFILES!$J:$J,MATCH($X841,TARIFF_PROFILES!$A:$A,0)))</f>
        <v/>
      </c>
      <c r="AE841" s="15">
        <f>IF($X841="","",INDEX(TARIFF_PROFILES!$K:$K,MATCH($X841,TARIFF_PROFILES!$A:$A,0)))</f>
        <v/>
      </c>
      <c r="AH841">
        <f>IF($AG841="","",SUMIFS(OPERATING_COEFFS!$C:$C,OPERATING_COEFFS!$A:$A,"DistanceClass",OPERATING_COEFFS!$B:$B,$AG841))</f>
        <v/>
      </c>
      <c r="AJ841">
        <f>IF($AI841="","",SUMIFS(OPERATING_COEFFS!$C:$C,OPERATING_COEFFS!$A:$A,"SeasonClass",OPERATING_COEFFS!$B:$B,$AI841))</f>
        <v/>
      </c>
      <c r="AL841">
        <f>IF($AK841="","",SUMIFS(OPERATING_COEFFS!$C:$C,OPERATING_COEFFS!$A:$A,"UrgencyClass",OPERATING_COEFFS!$B:$B,$AK841))</f>
        <v/>
      </c>
      <c r="AN841">
        <f>IF($AM841="","",INDEX(TAX_MODES!$B:$B,MATCH($AM841,TAX_MODES!$A:$A,0)))</f>
        <v/>
      </c>
    </row>
    <row r="842">
      <c r="X842" s="15" t="n"/>
      <c r="Y842" s="15">
        <f>IF($X842="","",SUMIFS(TARIFF_PROFILES!$D:$D,TARIFF_PROFILES!$A:$A,$X842))</f>
        <v/>
      </c>
      <c r="Z842" s="15">
        <f>IF($X842="","",SUMIFS(TARIFF_PROFILES!$E:$E,TARIFF_PROFILES!$A:$A,$X842))</f>
        <v/>
      </c>
      <c r="AA842" s="15">
        <f>IF($X842="","",SUMIFS(TARIFF_PROFILES!$F:$F,TARIFF_PROFILES!$A:$A,$X842))</f>
        <v/>
      </c>
      <c r="AB842" s="15">
        <f>IF($X842="","",SUMIFS(TARIFF_PROFILES!$G:$G,TARIFF_PROFILES!$A:$A,$X842))</f>
        <v/>
      </c>
      <c r="AC842" s="15">
        <f>IF($X842="","",SUMIFS(TARIFF_PROFILES!$H:$H,TARIFF_PROFILES!$A:$A,$X842))</f>
        <v/>
      </c>
      <c r="AD842" s="15">
        <f>IF($X842="","",INDEX(TARIFF_PROFILES!$J:$J,MATCH($X842,TARIFF_PROFILES!$A:$A,0)))</f>
        <v/>
      </c>
      <c r="AE842" s="15">
        <f>IF($X842="","",INDEX(TARIFF_PROFILES!$K:$K,MATCH($X842,TARIFF_PROFILES!$A:$A,0)))</f>
        <v/>
      </c>
      <c r="AH842">
        <f>IF($AG842="","",SUMIFS(OPERATING_COEFFS!$C:$C,OPERATING_COEFFS!$A:$A,"DistanceClass",OPERATING_COEFFS!$B:$B,$AG842))</f>
        <v/>
      </c>
      <c r="AJ842">
        <f>IF($AI842="","",SUMIFS(OPERATING_COEFFS!$C:$C,OPERATING_COEFFS!$A:$A,"SeasonClass",OPERATING_COEFFS!$B:$B,$AI842))</f>
        <v/>
      </c>
      <c r="AL842">
        <f>IF($AK842="","",SUMIFS(OPERATING_COEFFS!$C:$C,OPERATING_COEFFS!$A:$A,"UrgencyClass",OPERATING_COEFFS!$B:$B,$AK842))</f>
        <v/>
      </c>
      <c r="AN842">
        <f>IF($AM842="","",INDEX(TAX_MODES!$B:$B,MATCH($AM842,TAX_MODES!$A:$A,0)))</f>
        <v/>
      </c>
    </row>
    <row r="843">
      <c r="X843" s="15" t="n"/>
      <c r="Y843" s="15">
        <f>IF($X843="","",SUMIFS(TARIFF_PROFILES!$D:$D,TARIFF_PROFILES!$A:$A,$X843))</f>
        <v/>
      </c>
      <c r="Z843" s="15">
        <f>IF($X843="","",SUMIFS(TARIFF_PROFILES!$E:$E,TARIFF_PROFILES!$A:$A,$X843))</f>
        <v/>
      </c>
      <c r="AA843" s="15">
        <f>IF($X843="","",SUMIFS(TARIFF_PROFILES!$F:$F,TARIFF_PROFILES!$A:$A,$X843))</f>
        <v/>
      </c>
      <c r="AB843" s="15">
        <f>IF($X843="","",SUMIFS(TARIFF_PROFILES!$G:$G,TARIFF_PROFILES!$A:$A,$X843))</f>
        <v/>
      </c>
      <c r="AC843" s="15">
        <f>IF($X843="","",SUMIFS(TARIFF_PROFILES!$H:$H,TARIFF_PROFILES!$A:$A,$X843))</f>
        <v/>
      </c>
      <c r="AD843" s="15">
        <f>IF($X843="","",INDEX(TARIFF_PROFILES!$J:$J,MATCH($X843,TARIFF_PROFILES!$A:$A,0)))</f>
        <v/>
      </c>
      <c r="AE843" s="15">
        <f>IF($X843="","",INDEX(TARIFF_PROFILES!$K:$K,MATCH($X843,TARIFF_PROFILES!$A:$A,0)))</f>
        <v/>
      </c>
      <c r="AH843">
        <f>IF($AG843="","",SUMIFS(OPERATING_COEFFS!$C:$C,OPERATING_COEFFS!$A:$A,"DistanceClass",OPERATING_COEFFS!$B:$B,$AG843))</f>
        <v/>
      </c>
      <c r="AJ843">
        <f>IF($AI843="","",SUMIFS(OPERATING_COEFFS!$C:$C,OPERATING_COEFFS!$A:$A,"SeasonClass",OPERATING_COEFFS!$B:$B,$AI843))</f>
        <v/>
      </c>
      <c r="AL843">
        <f>IF($AK843="","",SUMIFS(OPERATING_COEFFS!$C:$C,OPERATING_COEFFS!$A:$A,"UrgencyClass",OPERATING_COEFFS!$B:$B,$AK843))</f>
        <v/>
      </c>
      <c r="AN843">
        <f>IF($AM843="","",INDEX(TAX_MODES!$B:$B,MATCH($AM843,TAX_MODES!$A:$A,0)))</f>
        <v/>
      </c>
    </row>
    <row r="844">
      <c r="X844" s="15" t="n"/>
      <c r="Y844" s="15">
        <f>IF($X844="","",SUMIFS(TARIFF_PROFILES!$D:$D,TARIFF_PROFILES!$A:$A,$X844))</f>
        <v/>
      </c>
      <c r="Z844" s="15">
        <f>IF($X844="","",SUMIFS(TARIFF_PROFILES!$E:$E,TARIFF_PROFILES!$A:$A,$X844))</f>
        <v/>
      </c>
      <c r="AA844" s="15">
        <f>IF($X844="","",SUMIFS(TARIFF_PROFILES!$F:$F,TARIFF_PROFILES!$A:$A,$X844))</f>
        <v/>
      </c>
      <c r="AB844" s="15">
        <f>IF($X844="","",SUMIFS(TARIFF_PROFILES!$G:$G,TARIFF_PROFILES!$A:$A,$X844))</f>
        <v/>
      </c>
      <c r="AC844" s="15">
        <f>IF($X844="","",SUMIFS(TARIFF_PROFILES!$H:$H,TARIFF_PROFILES!$A:$A,$X844))</f>
        <v/>
      </c>
      <c r="AD844" s="15">
        <f>IF($X844="","",INDEX(TARIFF_PROFILES!$J:$J,MATCH($X844,TARIFF_PROFILES!$A:$A,0)))</f>
        <v/>
      </c>
      <c r="AE844" s="15">
        <f>IF($X844="","",INDEX(TARIFF_PROFILES!$K:$K,MATCH($X844,TARIFF_PROFILES!$A:$A,0)))</f>
        <v/>
      </c>
      <c r="AH844">
        <f>IF($AG844="","",SUMIFS(OPERATING_COEFFS!$C:$C,OPERATING_COEFFS!$A:$A,"DistanceClass",OPERATING_COEFFS!$B:$B,$AG844))</f>
        <v/>
      </c>
      <c r="AJ844">
        <f>IF($AI844="","",SUMIFS(OPERATING_COEFFS!$C:$C,OPERATING_COEFFS!$A:$A,"SeasonClass",OPERATING_COEFFS!$B:$B,$AI844))</f>
        <v/>
      </c>
      <c r="AL844">
        <f>IF($AK844="","",SUMIFS(OPERATING_COEFFS!$C:$C,OPERATING_COEFFS!$A:$A,"UrgencyClass",OPERATING_COEFFS!$B:$B,$AK844))</f>
        <v/>
      </c>
      <c r="AN844">
        <f>IF($AM844="","",INDEX(TAX_MODES!$B:$B,MATCH($AM844,TAX_MODES!$A:$A,0)))</f>
        <v/>
      </c>
    </row>
    <row r="845">
      <c r="X845" s="15" t="n"/>
      <c r="Y845" s="15">
        <f>IF($X845="","",SUMIFS(TARIFF_PROFILES!$D:$D,TARIFF_PROFILES!$A:$A,$X845))</f>
        <v/>
      </c>
      <c r="Z845" s="15">
        <f>IF($X845="","",SUMIFS(TARIFF_PROFILES!$E:$E,TARIFF_PROFILES!$A:$A,$X845))</f>
        <v/>
      </c>
      <c r="AA845" s="15">
        <f>IF($X845="","",SUMIFS(TARIFF_PROFILES!$F:$F,TARIFF_PROFILES!$A:$A,$X845))</f>
        <v/>
      </c>
      <c r="AB845" s="15">
        <f>IF($X845="","",SUMIFS(TARIFF_PROFILES!$G:$G,TARIFF_PROFILES!$A:$A,$X845))</f>
        <v/>
      </c>
      <c r="AC845" s="15">
        <f>IF($X845="","",SUMIFS(TARIFF_PROFILES!$H:$H,TARIFF_PROFILES!$A:$A,$X845))</f>
        <v/>
      </c>
      <c r="AD845" s="15">
        <f>IF($X845="","",INDEX(TARIFF_PROFILES!$J:$J,MATCH($X845,TARIFF_PROFILES!$A:$A,0)))</f>
        <v/>
      </c>
      <c r="AE845" s="15">
        <f>IF($X845="","",INDEX(TARIFF_PROFILES!$K:$K,MATCH($X845,TARIFF_PROFILES!$A:$A,0)))</f>
        <v/>
      </c>
      <c r="AH845">
        <f>IF($AG845="","",SUMIFS(OPERATING_COEFFS!$C:$C,OPERATING_COEFFS!$A:$A,"DistanceClass",OPERATING_COEFFS!$B:$B,$AG845))</f>
        <v/>
      </c>
      <c r="AJ845">
        <f>IF($AI845="","",SUMIFS(OPERATING_COEFFS!$C:$C,OPERATING_COEFFS!$A:$A,"SeasonClass",OPERATING_COEFFS!$B:$B,$AI845))</f>
        <v/>
      </c>
      <c r="AL845">
        <f>IF($AK845="","",SUMIFS(OPERATING_COEFFS!$C:$C,OPERATING_COEFFS!$A:$A,"UrgencyClass",OPERATING_COEFFS!$B:$B,$AK845))</f>
        <v/>
      </c>
      <c r="AN845">
        <f>IF($AM845="","",INDEX(TAX_MODES!$B:$B,MATCH($AM845,TAX_MODES!$A:$A,0)))</f>
        <v/>
      </c>
    </row>
    <row r="846">
      <c r="X846" s="15" t="n"/>
      <c r="Y846" s="15">
        <f>IF($X846="","",SUMIFS(TARIFF_PROFILES!$D:$D,TARIFF_PROFILES!$A:$A,$X846))</f>
        <v/>
      </c>
      <c r="Z846" s="15">
        <f>IF($X846="","",SUMIFS(TARIFF_PROFILES!$E:$E,TARIFF_PROFILES!$A:$A,$X846))</f>
        <v/>
      </c>
      <c r="AA846" s="15">
        <f>IF($X846="","",SUMIFS(TARIFF_PROFILES!$F:$F,TARIFF_PROFILES!$A:$A,$X846))</f>
        <v/>
      </c>
      <c r="AB846" s="15">
        <f>IF($X846="","",SUMIFS(TARIFF_PROFILES!$G:$G,TARIFF_PROFILES!$A:$A,$X846))</f>
        <v/>
      </c>
      <c r="AC846" s="15">
        <f>IF($X846="","",SUMIFS(TARIFF_PROFILES!$H:$H,TARIFF_PROFILES!$A:$A,$X846))</f>
        <v/>
      </c>
      <c r="AD846" s="15">
        <f>IF($X846="","",INDEX(TARIFF_PROFILES!$J:$J,MATCH($X846,TARIFF_PROFILES!$A:$A,0)))</f>
        <v/>
      </c>
      <c r="AE846" s="15">
        <f>IF($X846="","",INDEX(TARIFF_PROFILES!$K:$K,MATCH($X846,TARIFF_PROFILES!$A:$A,0)))</f>
        <v/>
      </c>
      <c r="AH846">
        <f>IF($AG846="","",SUMIFS(OPERATING_COEFFS!$C:$C,OPERATING_COEFFS!$A:$A,"DistanceClass",OPERATING_COEFFS!$B:$B,$AG846))</f>
        <v/>
      </c>
      <c r="AJ846">
        <f>IF($AI846="","",SUMIFS(OPERATING_COEFFS!$C:$C,OPERATING_COEFFS!$A:$A,"SeasonClass",OPERATING_COEFFS!$B:$B,$AI846))</f>
        <v/>
      </c>
      <c r="AL846">
        <f>IF($AK846="","",SUMIFS(OPERATING_COEFFS!$C:$C,OPERATING_COEFFS!$A:$A,"UrgencyClass",OPERATING_COEFFS!$B:$B,$AK846))</f>
        <v/>
      </c>
      <c r="AN846">
        <f>IF($AM846="","",INDEX(TAX_MODES!$B:$B,MATCH($AM846,TAX_MODES!$A:$A,0)))</f>
        <v/>
      </c>
    </row>
    <row r="847">
      <c r="X847" s="15" t="n"/>
      <c r="Y847" s="15">
        <f>IF($X847="","",SUMIFS(TARIFF_PROFILES!$D:$D,TARIFF_PROFILES!$A:$A,$X847))</f>
        <v/>
      </c>
      <c r="Z847" s="15">
        <f>IF($X847="","",SUMIFS(TARIFF_PROFILES!$E:$E,TARIFF_PROFILES!$A:$A,$X847))</f>
        <v/>
      </c>
      <c r="AA847" s="15">
        <f>IF($X847="","",SUMIFS(TARIFF_PROFILES!$F:$F,TARIFF_PROFILES!$A:$A,$X847))</f>
        <v/>
      </c>
      <c r="AB847" s="15">
        <f>IF($X847="","",SUMIFS(TARIFF_PROFILES!$G:$G,TARIFF_PROFILES!$A:$A,$X847))</f>
        <v/>
      </c>
      <c r="AC847" s="15">
        <f>IF($X847="","",SUMIFS(TARIFF_PROFILES!$H:$H,TARIFF_PROFILES!$A:$A,$X847))</f>
        <v/>
      </c>
      <c r="AD847" s="15">
        <f>IF($X847="","",INDEX(TARIFF_PROFILES!$J:$J,MATCH($X847,TARIFF_PROFILES!$A:$A,0)))</f>
        <v/>
      </c>
      <c r="AE847" s="15">
        <f>IF($X847="","",INDEX(TARIFF_PROFILES!$K:$K,MATCH($X847,TARIFF_PROFILES!$A:$A,0)))</f>
        <v/>
      </c>
      <c r="AH847">
        <f>IF($AG847="","",SUMIFS(OPERATING_COEFFS!$C:$C,OPERATING_COEFFS!$A:$A,"DistanceClass",OPERATING_COEFFS!$B:$B,$AG847))</f>
        <v/>
      </c>
      <c r="AJ847">
        <f>IF($AI847="","",SUMIFS(OPERATING_COEFFS!$C:$C,OPERATING_COEFFS!$A:$A,"SeasonClass",OPERATING_COEFFS!$B:$B,$AI847))</f>
        <v/>
      </c>
      <c r="AL847">
        <f>IF($AK847="","",SUMIFS(OPERATING_COEFFS!$C:$C,OPERATING_COEFFS!$A:$A,"UrgencyClass",OPERATING_COEFFS!$B:$B,$AK847))</f>
        <v/>
      </c>
      <c r="AN847">
        <f>IF($AM847="","",INDEX(TAX_MODES!$B:$B,MATCH($AM847,TAX_MODES!$A:$A,0)))</f>
        <v/>
      </c>
    </row>
    <row r="848">
      <c r="X848" s="15" t="n"/>
      <c r="Y848" s="15">
        <f>IF($X848="","",SUMIFS(TARIFF_PROFILES!$D:$D,TARIFF_PROFILES!$A:$A,$X848))</f>
        <v/>
      </c>
      <c r="Z848" s="15">
        <f>IF($X848="","",SUMIFS(TARIFF_PROFILES!$E:$E,TARIFF_PROFILES!$A:$A,$X848))</f>
        <v/>
      </c>
      <c r="AA848" s="15">
        <f>IF($X848="","",SUMIFS(TARIFF_PROFILES!$F:$F,TARIFF_PROFILES!$A:$A,$X848))</f>
        <v/>
      </c>
      <c r="AB848" s="15">
        <f>IF($X848="","",SUMIFS(TARIFF_PROFILES!$G:$G,TARIFF_PROFILES!$A:$A,$X848))</f>
        <v/>
      </c>
      <c r="AC848" s="15">
        <f>IF($X848="","",SUMIFS(TARIFF_PROFILES!$H:$H,TARIFF_PROFILES!$A:$A,$X848))</f>
        <v/>
      </c>
      <c r="AD848" s="15">
        <f>IF($X848="","",INDEX(TARIFF_PROFILES!$J:$J,MATCH($X848,TARIFF_PROFILES!$A:$A,0)))</f>
        <v/>
      </c>
      <c r="AE848" s="15">
        <f>IF($X848="","",INDEX(TARIFF_PROFILES!$K:$K,MATCH($X848,TARIFF_PROFILES!$A:$A,0)))</f>
        <v/>
      </c>
      <c r="AH848">
        <f>IF($AG848="","",SUMIFS(OPERATING_COEFFS!$C:$C,OPERATING_COEFFS!$A:$A,"DistanceClass",OPERATING_COEFFS!$B:$B,$AG848))</f>
        <v/>
      </c>
      <c r="AJ848">
        <f>IF($AI848="","",SUMIFS(OPERATING_COEFFS!$C:$C,OPERATING_COEFFS!$A:$A,"SeasonClass",OPERATING_COEFFS!$B:$B,$AI848))</f>
        <v/>
      </c>
      <c r="AL848">
        <f>IF($AK848="","",SUMIFS(OPERATING_COEFFS!$C:$C,OPERATING_COEFFS!$A:$A,"UrgencyClass",OPERATING_COEFFS!$B:$B,$AK848))</f>
        <v/>
      </c>
      <c r="AN848">
        <f>IF($AM848="","",INDEX(TAX_MODES!$B:$B,MATCH($AM848,TAX_MODES!$A:$A,0)))</f>
        <v/>
      </c>
    </row>
    <row r="849">
      <c r="X849" s="15" t="n"/>
      <c r="Y849" s="15">
        <f>IF($X849="","",SUMIFS(TARIFF_PROFILES!$D:$D,TARIFF_PROFILES!$A:$A,$X849))</f>
        <v/>
      </c>
      <c r="Z849" s="15">
        <f>IF($X849="","",SUMIFS(TARIFF_PROFILES!$E:$E,TARIFF_PROFILES!$A:$A,$X849))</f>
        <v/>
      </c>
      <c r="AA849" s="15">
        <f>IF($X849="","",SUMIFS(TARIFF_PROFILES!$F:$F,TARIFF_PROFILES!$A:$A,$X849))</f>
        <v/>
      </c>
      <c r="AB849" s="15">
        <f>IF($X849="","",SUMIFS(TARIFF_PROFILES!$G:$G,TARIFF_PROFILES!$A:$A,$X849))</f>
        <v/>
      </c>
      <c r="AC849" s="15">
        <f>IF($X849="","",SUMIFS(TARIFF_PROFILES!$H:$H,TARIFF_PROFILES!$A:$A,$X849))</f>
        <v/>
      </c>
      <c r="AD849" s="15">
        <f>IF($X849="","",INDEX(TARIFF_PROFILES!$J:$J,MATCH($X849,TARIFF_PROFILES!$A:$A,0)))</f>
        <v/>
      </c>
      <c r="AE849" s="15">
        <f>IF($X849="","",INDEX(TARIFF_PROFILES!$K:$K,MATCH($X849,TARIFF_PROFILES!$A:$A,0)))</f>
        <v/>
      </c>
      <c r="AH849">
        <f>IF($AG849="","",SUMIFS(OPERATING_COEFFS!$C:$C,OPERATING_COEFFS!$A:$A,"DistanceClass",OPERATING_COEFFS!$B:$B,$AG849))</f>
        <v/>
      </c>
      <c r="AJ849">
        <f>IF($AI849="","",SUMIFS(OPERATING_COEFFS!$C:$C,OPERATING_COEFFS!$A:$A,"SeasonClass",OPERATING_COEFFS!$B:$B,$AI849))</f>
        <v/>
      </c>
      <c r="AL849">
        <f>IF($AK849="","",SUMIFS(OPERATING_COEFFS!$C:$C,OPERATING_COEFFS!$A:$A,"UrgencyClass",OPERATING_COEFFS!$B:$B,$AK849))</f>
        <v/>
      </c>
      <c r="AN849">
        <f>IF($AM849="","",INDEX(TAX_MODES!$B:$B,MATCH($AM849,TAX_MODES!$A:$A,0)))</f>
        <v/>
      </c>
    </row>
    <row r="850">
      <c r="X850" s="15" t="n"/>
      <c r="Y850" s="15">
        <f>IF($X850="","",SUMIFS(TARIFF_PROFILES!$D:$D,TARIFF_PROFILES!$A:$A,$X850))</f>
        <v/>
      </c>
      <c r="Z850" s="15">
        <f>IF($X850="","",SUMIFS(TARIFF_PROFILES!$E:$E,TARIFF_PROFILES!$A:$A,$X850))</f>
        <v/>
      </c>
      <c r="AA850" s="15">
        <f>IF($X850="","",SUMIFS(TARIFF_PROFILES!$F:$F,TARIFF_PROFILES!$A:$A,$X850))</f>
        <v/>
      </c>
      <c r="AB850" s="15">
        <f>IF($X850="","",SUMIFS(TARIFF_PROFILES!$G:$G,TARIFF_PROFILES!$A:$A,$X850))</f>
        <v/>
      </c>
      <c r="AC850" s="15">
        <f>IF($X850="","",SUMIFS(TARIFF_PROFILES!$H:$H,TARIFF_PROFILES!$A:$A,$X850))</f>
        <v/>
      </c>
      <c r="AD850" s="15">
        <f>IF($X850="","",INDEX(TARIFF_PROFILES!$J:$J,MATCH($X850,TARIFF_PROFILES!$A:$A,0)))</f>
        <v/>
      </c>
      <c r="AE850" s="15">
        <f>IF($X850="","",INDEX(TARIFF_PROFILES!$K:$K,MATCH($X850,TARIFF_PROFILES!$A:$A,0)))</f>
        <v/>
      </c>
      <c r="AH850">
        <f>IF($AG850="","",SUMIFS(OPERATING_COEFFS!$C:$C,OPERATING_COEFFS!$A:$A,"DistanceClass",OPERATING_COEFFS!$B:$B,$AG850))</f>
        <v/>
      </c>
      <c r="AJ850">
        <f>IF($AI850="","",SUMIFS(OPERATING_COEFFS!$C:$C,OPERATING_COEFFS!$A:$A,"SeasonClass",OPERATING_COEFFS!$B:$B,$AI850))</f>
        <v/>
      </c>
      <c r="AL850">
        <f>IF($AK850="","",SUMIFS(OPERATING_COEFFS!$C:$C,OPERATING_COEFFS!$A:$A,"UrgencyClass",OPERATING_COEFFS!$B:$B,$AK850))</f>
        <v/>
      </c>
      <c r="AN850">
        <f>IF($AM850="","",INDEX(TAX_MODES!$B:$B,MATCH($AM850,TAX_MODES!$A:$A,0)))</f>
        <v/>
      </c>
    </row>
    <row r="851">
      <c r="X851" s="15" t="n"/>
      <c r="Y851" s="15">
        <f>IF($X851="","",SUMIFS(TARIFF_PROFILES!$D:$D,TARIFF_PROFILES!$A:$A,$X851))</f>
        <v/>
      </c>
      <c r="Z851" s="15">
        <f>IF($X851="","",SUMIFS(TARIFF_PROFILES!$E:$E,TARIFF_PROFILES!$A:$A,$X851))</f>
        <v/>
      </c>
      <c r="AA851" s="15">
        <f>IF($X851="","",SUMIFS(TARIFF_PROFILES!$F:$F,TARIFF_PROFILES!$A:$A,$X851))</f>
        <v/>
      </c>
      <c r="AB851" s="15">
        <f>IF($X851="","",SUMIFS(TARIFF_PROFILES!$G:$G,TARIFF_PROFILES!$A:$A,$X851))</f>
        <v/>
      </c>
      <c r="AC851" s="15">
        <f>IF($X851="","",SUMIFS(TARIFF_PROFILES!$H:$H,TARIFF_PROFILES!$A:$A,$X851))</f>
        <v/>
      </c>
      <c r="AD851" s="15">
        <f>IF($X851="","",INDEX(TARIFF_PROFILES!$J:$J,MATCH($X851,TARIFF_PROFILES!$A:$A,0)))</f>
        <v/>
      </c>
      <c r="AE851" s="15">
        <f>IF($X851="","",INDEX(TARIFF_PROFILES!$K:$K,MATCH($X851,TARIFF_PROFILES!$A:$A,0)))</f>
        <v/>
      </c>
      <c r="AH851">
        <f>IF($AG851="","",SUMIFS(OPERATING_COEFFS!$C:$C,OPERATING_COEFFS!$A:$A,"DistanceClass",OPERATING_COEFFS!$B:$B,$AG851))</f>
        <v/>
      </c>
      <c r="AJ851">
        <f>IF($AI851="","",SUMIFS(OPERATING_COEFFS!$C:$C,OPERATING_COEFFS!$A:$A,"SeasonClass",OPERATING_COEFFS!$B:$B,$AI851))</f>
        <v/>
      </c>
      <c r="AL851">
        <f>IF($AK851="","",SUMIFS(OPERATING_COEFFS!$C:$C,OPERATING_COEFFS!$A:$A,"UrgencyClass",OPERATING_COEFFS!$B:$B,$AK851))</f>
        <v/>
      </c>
      <c r="AN851">
        <f>IF($AM851="","",INDEX(TAX_MODES!$B:$B,MATCH($AM851,TAX_MODES!$A:$A,0)))</f>
        <v/>
      </c>
    </row>
    <row r="852">
      <c r="X852" s="15" t="n"/>
      <c r="Y852" s="15">
        <f>IF($X852="","",SUMIFS(TARIFF_PROFILES!$D:$D,TARIFF_PROFILES!$A:$A,$X852))</f>
        <v/>
      </c>
      <c r="Z852" s="15">
        <f>IF($X852="","",SUMIFS(TARIFF_PROFILES!$E:$E,TARIFF_PROFILES!$A:$A,$X852))</f>
        <v/>
      </c>
      <c r="AA852" s="15">
        <f>IF($X852="","",SUMIFS(TARIFF_PROFILES!$F:$F,TARIFF_PROFILES!$A:$A,$X852))</f>
        <v/>
      </c>
      <c r="AB852" s="15">
        <f>IF($X852="","",SUMIFS(TARIFF_PROFILES!$G:$G,TARIFF_PROFILES!$A:$A,$X852))</f>
        <v/>
      </c>
      <c r="AC852" s="15">
        <f>IF($X852="","",SUMIFS(TARIFF_PROFILES!$H:$H,TARIFF_PROFILES!$A:$A,$X852))</f>
        <v/>
      </c>
      <c r="AD852" s="15">
        <f>IF($X852="","",INDEX(TARIFF_PROFILES!$J:$J,MATCH($X852,TARIFF_PROFILES!$A:$A,0)))</f>
        <v/>
      </c>
      <c r="AE852" s="15">
        <f>IF($X852="","",INDEX(TARIFF_PROFILES!$K:$K,MATCH($X852,TARIFF_PROFILES!$A:$A,0)))</f>
        <v/>
      </c>
      <c r="AH852">
        <f>IF($AG852="","",SUMIFS(OPERATING_COEFFS!$C:$C,OPERATING_COEFFS!$A:$A,"DistanceClass",OPERATING_COEFFS!$B:$B,$AG852))</f>
        <v/>
      </c>
      <c r="AJ852">
        <f>IF($AI852="","",SUMIFS(OPERATING_COEFFS!$C:$C,OPERATING_COEFFS!$A:$A,"SeasonClass",OPERATING_COEFFS!$B:$B,$AI852))</f>
        <v/>
      </c>
      <c r="AL852">
        <f>IF($AK852="","",SUMIFS(OPERATING_COEFFS!$C:$C,OPERATING_COEFFS!$A:$A,"UrgencyClass",OPERATING_COEFFS!$B:$B,$AK852))</f>
        <v/>
      </c>
      <c r="AN852">
        <f>IF($AM852="","",INDEX(TAX_MODES!$B:$B,MATCH($AM852,TAX_MODES!$A:$A,0)))</f>
        <v/>
      </c>
    </row>
    <row r="853">
      <c r="X853" s="15" t="n"/>
      <c r="Y853" s="15">
        <f>IF($X853="","",SUMIFS(TARIFF_PROFILES!$D:$D,TARIFF_PROFILES!$A:$A,$X853))</f>
        <v/>
      </c>
      <c r="Z853" s="15">
        <f>IF($X853="","",SUMIFS(TARIFF_PROFILES!$E:$E,TARIFF_PROFILES!$A:$A,$X853))</f>
        <v/>
      </c>
      <c r="AA853" s="15">
        <f>IF($X853="","",SUMIFS(TARIFF_PROFILES!$F:$F,TARIFF_PROFILES!$A:$A,$X853))</f>
        <v/>
      </c>
      <c r="AB853" s="15">
        <f>IF($X853="","",SUMIFS(TARIFF_PROFILES!$G:$G,TARIFF_PROFILES!$A:$A,$X853))</f>
        <v/>
      </c>
      <c r="AC853" s="15">
        <f>IF($X853="","",SUMIFS(TARIFF_PROFILES!$H:$H,TARIFF_PROFILES!$A:$A,$X853))</f>
        <v/>
      </c>
      <c r="AD853" s="15">
        <f>IF($X853="","",INDEX(TARIFF_PROFILES!$J:$J,MATCH($X853,TARIFF_PROFILES!$A:$A,0)))</f>
        <v/>
      </c>
      <c r="AE853" s="15">
        <f>IF($X853="","",INDEX(TARIFF_PROFILES!$K:$K,MATCH($X853,TARIFF_PROFILES!$A:$A,0)))</f>
        <v/>
      </c>
      <c r="AH853">
        <f>IF($AG853="","",SUMIFS(OPERATING_COEFFS!$C:$C,OPERATING_COEFFS!$A:$A,"DistanceClass",OPERATING_COEFFS!$B:$B,$AG853))</f>
        <v/>
      </c>
      <c r="AJ853">
        <f>IF($AI853="","",SUMIFS(OPERATING_COEFFS!$C:$C,OPERATING_COEFFS!$A:$A,"SeasonClass",OPERATING_COEFFS!$B:$B,$AI853))</f>
        <v/>
      </c>
      <c r="AL853">
        <f>IF($AK853="","",SUMIFS(OPERATING_COEFFS!$C:$C,OPERATING_COEFFS!$A:$A,"UrgencyClass",OPERATING_COEFFS!$B:$B,$AK853))</f>
        <v/>
      </c>
      <c r="AN853">
        <f>IF($AM853="","",INDEX(TAX_MODES!$B:$B,MATCH($AM853,TAX_MODES!$A:$A,0)))</f>
        <v/>
      </c>
    </row>
    <row r="854">
      <c r="X854" s="15" t="n"/>
      <c r="Y854" s="15">
        <f>IF($X854="","",SUMIFS(TARIFF_PROFILES!$D:$D,TARIFF_PROFILES!$A:$A,$X854))</f>
        <v/>
      </c>
      <c r="Z854" s="15">
        <f>IF($X854="","",SUMIFS(TARIFF_PROFILES!$E:$E,TARIFF_PROFILES!$A:$A,$X854))</f>
        <v/>
      </c>
      <c r="AA854" s="15">
        <f>IF($X854="","",SUMIFS(TARIFF_PROFILES!$F:$F,TARIFF_PROFILES!$A:$A,$X854))</f>
        <v/>
      </c>
      <c r="AB854" s="15">
        <f>IF($X854="","",SUMIFS(TARIFF_PROFILES!$G:$G,TARIFF_PROFILES!$A:$A,$X854))</f>
        <v/>
      </c>
      <c r="AC854" s="15">
        <f>IF($X854="","",SUMIFS(TARIFF_PROFILES!$H:$H,TARIFF_PROFILES!$A:$A,$X854))</f>
        <v/>
      </c>
      <c r="AD854" s="15">
        <f>IF($X854="","",INDEX(TARIFF_PROFILES!$J:$J,MATCH($X854,TARIFF_PROFILES!$A:$A,0)))</f>
        <v/>
      </c>
      <c r="AE854" s="15">
        <f>IF($X854="","",INDEX(TARIFF_PROFILES!$K:$K,MATCH($X854,TARIFF_PROFILES!$A:$A,0)))</f>
        <v/>
      </c>
      <c r="AH854">
        <f>IF($AG854="","",SUMIFS(OPERATING_COEFFS!$C:$C,OPERATING_COEFFS!$A:$A,"DistanceClass",OPERATING_COEFFS!$B:$B,$AG854))</f>
        <v/>
      </c>
      <c r="AJ854">
        <f>IF($AI854="","",SUMIFS(OPERATING_COEFFS!$C:$C,OPERATING_COEFFS!$A:$A,"SeasonClass",OPERATING_COEFFS!$B:$B,$AI854))</f>
        <v/>
      </c>
      <c r="AL854">
        <f>IF($AK854="","",SUMIFS(OPERATING_COEFFS!$C:$C,OPERATING_COEFFS!$A:$A,"UrgencyClass",OPERATING_COEFFS!$B:$B,$AK854))</f>
        <v/>
      </c>
      <c r="AN854">
        <f>IF($AM854="","",INDEX(TAX_MODES!$B:$B,MATCH($AM854,TAX_MODES!$A:$A,0)))</f>
        <v/>
      </c>
    </row>
    <row r="855">
      <c r="X855" s="15" t="n"/>
      <c r="Y855" s="15">
        <f>IF($X855="","",SUMIFS(TARIFF_PROFILES!$D:$D,TARIFF_PROFILES!$A:$A,$X855))</f>
        <v/>
      </c>
      <c r="Z855" s="15">
        <f>IF($X855="","",SUMIFS(TARIFF_PROFILES!$E:$E,TARIFF_PROFILES!$A:$A,$X855))</f>
        <v/>
      </c>
      <c r="AA855" s="15">
        <f>IF($X855="","",SUMIFS(TARIFF_PROFILES!$F:$F,TARIFF_PROFILES!$A:$A,$X855))</f>
        <v/>
      </c>
      <c r="AB855" s="15">
        <f>IF($X855="","",SUMIFS(TARIFF_PROFILES!$G:$G,TARIFF_PROFILES!$A:$A,$X855))</f>
        <v/>
      </c>
      <c r="AC855" s="15">
        <f>IF($X855="","",SUMIFS(TARIFF_PROFILES!$H:$H,TARIFF_PROFILES!$A:$A,$X855))</f>
        <v/>
      </c>
      <c r="AD855" s="15">
        <f>IF($X855="","",INDEX(TARIFF_PROFILES!$J:$J,MATCH($X855,TARIFF_PROFILES!$A:$A,0)))</f>
        <v/>
      </c>
      <c r="AE855" s="15">
        <f>IF($X855="","",INDEX(TARIFF_PROFILES!$K:$K,MATCH($X855,TARIFF_PROFILES!$A:$A,0)))</f>
        <v/>
      </c>
      <c r="AH855">
        <f>IF($AG855="","",SUMIFS(OPERATING_COEFFS!$C:$C,OPERATING_COEFFS!$A:$A,"DistanceClass",OPERATING_COEFFS!$B:$B,$AG855))</f>
        <v/>
      </c>
      <c r="AJ855">
        <f>IF($AI855="","",SUMIFS(OPERATING_COEFFS!$C:$C,OPERATING_COEFFS!$A:$A,"SeasonClass",OPERATING_COEFFS!$B:$B,$AI855))</f>
        <v/>
      </c>
      <c r="AL855">
        <f>IF($AK855="","",SUMIFS(OPERATING_COEFFS!$C:$C,OPERATING_COEFFS!$A:$A,"UrgencyClass",OPERATING_COEFFS!$B:$B,$AK855))</f>
        <v/>
      </c>
      <c r="AN855">
        <f>IF($AM855="","",INDEX(TAX_MODES!$B:$B,MATCH($AM855,TAX_MODES!$A:$A,0)))</f>
        <v/>
      </c>
    </row>
    <row r="856">
      <c r="X856" s="15" t="n"/>
      <c r="Y856" s="15">
        <f>IF($X856="","",SUMIFS(TARIFF_PROFILES!$D:$D,TARIFF_PROFILES!$A:$A,$X856))</f>
        <v/>
      </c>
      <c r="Z856" s="15">
        <f>IF($X856="","",SUMIFS(TARIFF_PROFILES!$E:$E,TARIFF_PROFILES!$A:$A,$X856))</f>
        <v/>
      </c>
      <c r="AA856" s="15">
        <f>IF($X856="","",SUMIFS(TARIFF_PROFILES!$F:$F,TARIFF_PROFILES!$A:$A,$X856))</f>
        <v/>
      </c>
      <c r="AB856" s="15">
        <f>IF($X856="","",SUMIFS(TARIFF_PROFILES!$G:$G,TARIFF_PROFILES!$A:$A,$X856))</f>
        <v/>
      </c>
      <c r="AC856" s="15">
        <f>IF($X856="","",SUMIFS(TARIFF_PROFILES!$H:$H,TARIFF_PROFILES!$A:$A,$X856))</f>
        <v/>
      </c>
      <c r="AD856" s="15">
        <f>IF($X856="","",INDEX(TARIFF_PROFILES!$J:$J,MATCH($X856,TARIFF_PROFILES!$A:$A,0)))</f>
        <v/>
      </c>
      <c r="AE856" s="15">
        <f>IF($X856="","",INDEX(TARIFF_PROFILES!$K:$K,MATCH($X856,TARIFF_PROFILES!$A:$A,0)))</f>
        <v/>
      </c>
      <c r="AH856">
        <f>IF($AG856="","",SUMIFS(OPERATING_COEFFS!$C:$C,OPERATING_COEFFS!$A:$A,"DistanceClass",OPERATING_COEFFS!$B:$B,$AG856))</f>
        <v/>
      </c>
      <c r="AJ856">
        <f>IF($AI856="","",SUMIFS(OPERATING_COEFFS!$C:$C,OPERATING_COEFFS!$A:$A,"SeasonClass",OPERATING_COEFFS!$B:$B,$AI856))</f>
        <v/>
      </c>
      <c r="AL856">
        <f>IF($AK856="","",SUMIFS(OPERATING_COEFFS!$C:$C,OPERATING_COEFFS!$A:$A,"UrgencyClass",OPERATING_COEFFS!$B:$B,$AK856))</f>
        <v/>
      </c>
      <c r="AN856">
        <f>IF($AM856="","",INDEX(TAX_MODES!$B:$B,MATCH($AM856,TAX_MODES!$A:$A,0)))</f>
        <v/>
      </c>
    </row>
    <row r="857">
      <c r="X857" s="15" t="n"/>
      <c r="Y857" s="15">
        <f>IF($X857="","",SUMIFS(TARIFF_PROFILES!$D:$D,TARIFF_PROFILES!$A:$A,$X857))</f>
        <v/>
      </c>
      <c r="Z857" s="15">
        <f>IF($X857="","",SUMIFS(TARIFF_PROFILES!$E:$E,TARIFF_PROFILES!$A:$A,$X857))</f>
        <v/>
      </c>
      <c r="AA857" s="15">
        <f>IF($X857="","",SUMIFS(TARIFF_PROFILES!$F:$F,TARIFF_PROFILES!$A:$A,$X857))</f>
        <v/>
      </c>
      <c r="AB857" s="15">
        <f>IF($X857="","",SUMIFS(TARIFF_PROFILES!$G:$G,TARIFF_PROFILES!$A:$A,$X857))</f>
        <v/>
      </c>
      <c r="AC857" s="15">
        <f>IF($X857="","",SUMIFS(TARIFF_PROFILES!$H:$H,TARIFF_PROFILES!$A:$A,$X857))</f>
        <v/>
      </c>
      <c r="AD857" s="15">
        <f>IF($X857="","",INDEX(TARIFF_PROFILES!$J:$J,MATCH($X857,TARIFF_PROFILES!$A:$A,0)))</f>
        <v/>
      </c>
      <c r="AE857" s="15">
        <f>IF($X857="","",INDEX(TARIFF_PROFILES!$K:$K,MATCH($X857,TARIFF_PROFILES!$A:$A,0)))</f>
        <v/>
      </c>
      <c r="AH857">
        <f>IF($AG857="","",SUMIFS(OPERATING_COEFFS!$C:$C,OPERATING_COEFFS!$A:$A,"DistanceClass",OPERATING_COEFFS!$B:$B,$AG857))</f>
        <v/>
      </c>
      <c r="AJ857">
        <f>IF($AI857="","",SUMIFS(OPERATING_COEFFS!$C:$C,OPERATING_COEFFS!$A:$A,"SeasonClass",OPERATING_COEFFS!$B:$B,$AI857))</f>
        <v/>
      </c>
      <c r="AL857">
        <f>IF($AK857="","",SUMIFS(OPERATING_COEFFS!$C:$C,OPERATING_COEFFS!$A:$A,"UrgencyClass",OPERATING_COEFFS!$B:$B,$AK857))</f>
        <v/>
      </c>
      <c r="AN857">
        <f>IF($AM857="","",INDEX(TAX_MODES!$B:$B,MATCH($AM857,TAX_MODES!$A:$A,0)))</f>
        <v/>
      </c>
    </row>
    <row r="858">
      <c r="X858" s="15" t="n"/>
      <c r="Y858" s="15">
        <f>IF($X858="","",SUMIFS(TARIFF_PROFILES!$D:$D,TARIFF_PROFILES!$A:$A,$X858))</f>
        <v/>
      </c>
      <c r="Z858" s="15">
        <f>IF($X858="","",SUMIFS(TARIFF_PROFILES!$E:$E,TARIFF_PROFILES!$A:$A,$X858))</f>
        <v/>
      </c>
      <c r="AA858" s="15">
        <f>IF($X858="","",SUMIFS(TARIFF_PROFILES!$F:$F,TARIFF_PROFILES!$A:$A,$X858))</f>
        <v/>
      </c>
      <c r="AB858" s="15">
        <f>IF($X858="","",SUMIFS(TARIFF_PROFILES!$G:$G,TARIFF_PROFILES!$A:$A,$X858))</f>
        <v/>
      </c>
      <c r="AC858" s="15">
        <f>IF($X858="","",SUMIFS(TARIFF_PROFILES!$H:$H,TARIFF_PROFILES!$A:$A,$X858))</f>
        <v/>
      </c>
      <c r="AD858" s="15">
        <f>IF($X858="","",INDEX(TARIFF_PROFILES!$J:$J,MATCH($X858,TARIFF_PROFILES!$A:$A,0)))</f>
        <v/>
      </c>
      <c r="AE858" s="15">
        <f>IF($X858="","",INDEX(TARIFF_PROFILES!$K:$K,MATCH($X858,TARIFF_PROFILES!$A:$A,0)))</f>
        <v/>
      </c>
      <c r="AH858">
        <f>IF($AG858="","",SUMIFS(OPERATING_COEFFS!$C:$C,OPERATING_COEFFS!$A:$A,"DistanceClass",OPERATING_COEFFS!$B:$B,$AG858))</f>
        <v/>
      </c>
      <c r="AJ858">
        <f>IF($AI858="","",SUMIFS(OPERATING_COEFFS!$C:$C,OPERATING_COEFFS!$A:$A,"SeasonClass",OPERATING_COEFFS!$B:$B,$AI858))</f>
        <v/>
      </c>
      <c r="AL858">
        <f>IF($AK858="","",SUMIFS(OPERATING_COEFFS!$C:$C,OPERATING_COEFFS!$A:$A,"UrgencyClass",OPERATING_COEFFS!$B:$B,$AK858))</f>
        <v/>
      </c>
      <c r="AN858">
        <f>IF($AM858="","",INDEX(TAX_MODES!$B:$B,MATCH($AM858,TAX_MODES!$A:$A,0)))</f>
        <v/>
      </c>
    </row>
    <row r="859">
      <c r="X859" s="15" t="n"/>
      <c r="Y859" s="15">
        <f>IF($X859="","",SUMIFS(TARIFF_PROFILES!$D:$D,TARIFF_PROFILES!$A:$A,$X859))</f>
        <v/>
      </c>
      <c r="Z859" s="15">
        <f>IF($X859="","",SUMIFS(TARIFF_PROFILES!$E:$E,TARIFF_PROFILES!$A:$A,$X859))</f>
        <v/>
      </c>
      <c r="AA859" s="15">
        <f>IF($X859="","",SUMIFS(TARIFF_PROFILES!$F:$F,TARIFF_PROFILES!$A:$A,$X859))</f>
        <v/>
      </c>
      <c r="AB859" s="15">
        <f>IF($X859="","",SUMIFS(TARIFF_PROFILES!$G:$G,TARIFF_PROFILES!$A:$A,$X859))</f>
        <v/>
      </c>
      <c r="AC859" s="15">
        <f>IF($X859="","",SUMIFS(TARIFF_PROFILES!$H:$H,TARIFF_PROFILES!$A:$A,$X859))</f>
        <v/>
      </c>
      <c r="AD859" s="15">
        <f>IF($X859="","",INDEX(TARIFF_PROFILES!$J:$J,MATCH($X859,TARIFF_PROFILES!$A:$A,0)))</f>
        <v/>
      </c>
      <c r="AE859" s="15">
        <f>IF($X859="","",INDEX(TARIFF_PROFILES!$K:$K,MATCH($X859,TARIFF_PROFILES!$A:$A,0)))</f>
        <v/>
      </c>
      <c r="AH859">
        <f>IF($AG859="","",SUMIFS(OPERATING_COEFFS!$C:$C,OPERATING_COEFFS!$A:$A,"DistanceClass",OPERATING_COEFFS!$B:$B,$AG859))</f>
        <v/>
      </c>
      <c r="AJ859">
        <f>IF($AI859="","",SUMIFS(OPERATING_COEFFS!$C:$C,OPERATING_COEFFS!$A:$A,"SeasonClass",OPERATING_COEFFS!$B:$B,$AI859))</f>
        <v/>
      </c>
      <c r="AL859">
        <f>IF($AK859="","",SUMIFS(OPERATING_COEFFS!$C:$C,OPERATING_COEFFS!$A:$A,"UrgencyClass",OPERATING_COEFFS!$B:$B,$AK859))</f>
        <v/>
      </c>
      <c r="AN859">
        <f>IF($AM859="","",INDEX(TAX_MODES!$B:$B,MATCH($AM859,TAX_MODES!$A:$A,0)))</f>
        <v/>
      </c>
    </row>
    <row r="860">
      <c r="X860" s="15" t="n"/>
      <c r="Y860" s="15">
        <f>IF($X860="","",SUMIFS(TARIFF_PROFILES!$D:$D,TARIFF_PROFILES!$A:$A,$X860))</f>
        <v/>
      </c>
      <c r="Z860" s="15">
        <f>IF($X860="","",SUMIFS(TARIFF_PROFILES!$E:$E,TARIFF_PROFILES!$A:$A,$X860))</f>
        <v/>
      </c>
      <c r="AA860" s="15">
        <f>IF($X860="","",SUMIFS(TARIFF_PROFILES!$F:$F,TARIFF_PROFILES!$A:$A,$X860))</f>
        <v/>
      </c>
      <c r="AB860" s="15">
        <f>IF($X860="","",SUMIFS(TARIFF_PROFILES!$G:$G,TARIFF_PROFILES!$A:$A,$X860))</f>
        <v/>
      </c>
      <c r="AC860" s="15">
        <f>IF($X860="","",SUMIFS(TARIFF_PROFILES!$H:$H,TARIFF_PROFILES!$A:$A,$X860))</f>
        <v/>
      </c>
      <c r="AD860" s="15">
        <f>IF($X860="","",INDEX(TARIFF_PROFILES!$J:$J,MATCH($X860,TARIFF_PROFILES!$A:$A,0)))</f>
        <v/>
      </c>
      <c r="AE860" s="15">
        <f>IF($X860="","",INDEX(TARIFF_PROFILES!$K:$K,MATCH($X860,TARIFF_PROFILES!$A:$A,0)))</f>
        <v/>
      </c>
      <c r="AH860">
        <f>IF($AG860="","",SUMIFS(OPERATING_COEFFS!$C:$C,OPERATING_COEFFS!$A:$A,"DistanceClass",OPERATING_COEFFS!$B:$B,$AG860))</f>
        <v/>
      </c>
      <c r="AJ860">
        <f>IF($AI860="","",SUMIFS(OPERATING_COEFFS!$C:$C,OPERATING_COEFFS!$A:$A,"SeasonClass",OPERATING_COEFFS!$B:$B,$AI860))</f>
        <v/>
      </c>
      <c r="AL860">
        <f>IF($AK860="","",SUMIFS(OPERATING_COEFFS!$C:$C,OPERATING_COEFFS!$A:$A,"UrgencyClass",OPERATING_COEFFS!$B:$B,$AK860))</f>
        <v/>
      </c>
      <c r="AN860">
        <f>IF($AM860="","",INDEX(TAX_MODES!$B:$B,MATCH($AM860,TAX_MODES!$A:$A,0)))</f>
        <v/>
      </c>
    </row>
    <row r="861">
      <c r="X861" s="15" t="n"/>
      <c r="Y861" s="15">
        <f>IF($X861="","",SUMIFS(TARIFF_PROFILES!$D:$D,TARIFF_PROFILES!$A:$A,$X861))</f>
        <v/>
      </c>
      <c r="Z861" s="15">
        <f>IF($X861="","",SUMIFS(TARIFF_PROFILES!$E:$E,TARIFF_PROFILES!$A:$A,$X861))</f>
        <v/>
      </c>
      <c r="AA861" s="15">
        <f>IF($X861="","",SUMIFS(TARIFF_PROFILES!$F:$F,TARIFF_PROFILES!$A:$A,$X861))</f>
        <v/>
      </c>
      <c r="AB861" s="15">
        <f>IF($X861="","",SUMIFS(TARIFF_PROFILES!$G:$G,TARIFF_PROFILES!$A:$A,$X861))</f>
        <v/>
      </c>
      <c r="AC861" s="15">
        <f>IF($X861="","",SUMIFS(TARIFF_PROFILES!$H:$H,TARIFF_PROFILES!$A:$A,$X861))</f>
        <v/>
      </c>
      <c r="AD861" s="15">
        <f>IF($X861="","",INDEX(TARIFF_PROFILES!$J:$J,MATCH($X861,TARIFF_PROFILES!$A:$A,0)))</f>
        <v/>
      </c>
      <c r="AE861" s="15">
        <f>IF($X861="","",INDEX(TARIFF_PROFILES!$K:$K,MATCH($X861,TARIFF_PROFILES!$A:$A,0)))</f>
        <v/>
      </c>
      <c r="AH861">
        <f>IF($AG861="","",SUMIFS(OPERATING_COEFFS!$C:$C,OPERATING_COEFFS!$A:$A,"DistanceClass",OPERATING_COEFFS!$B:$B,$AG861))</f>
        <v/>
      </c>
      <c r="AJ861">
        <f>IF($AI861="","",SUMIFS(OPERATING_COEFFS!$C:$C,OPERATING_COEFFS!$A:$A,"SeasonClass",OPERATING_COEFFS!$B:$B,$AI861))</f>
        <v/>
      </c>
      <c r="AL861">
        <f>IF($AK861="","",SUMIFS(OPERATING_COEFFS!$C:$C,OPERATING_COEFFS!$A:$A,"UrgencyClass",OPERATING_COEFFS!$B:$B,$AK861))</f>
        <v/>
      </c>
      <c r="AN861">
        <f>IF($AM861="","",INDEX(TAX_MODES!$B:$B,MATCH($AM861,TAX_MODES!$A:$A,0)))</f>
        <v/>
      </c>
    </row>
    <row r="862">
      <c r="X862" s="15" t="n"/>
      <c r="Y862" s="15">
        <f>IF($X862="","",SUMIFS(TARIFF_PROFILES!$D:$D,TARIFF_PROFILES!$A:$A,$X862))</f>
        <v/>
      </c>
      <c r="Z862" s="15">
        <f>IF($X862="","",SUMIFS(TARIFF_PROFILES!$E:$E,TARIFF_PROFILES!$A:$A,$X862))</f>
        <v/>
      </c>
      <c r="AA862" s="15">
        <f>IF($X862="","",SUMIFS(TARIFF_PROFILES!$F:$F,TARIFF_PROFILES!$A:$A,$X862))</f>
        <v/>
      </c>
      <c r="AB862" s="15">
        <f>IF($X862="","",SUMIFS(TARIFF_PROFILES!$G:$G,TARIFF_PROFILES!$A:$A,$X862))</f>
        <v/>
      </c>
      <c r="AC862" s="15">
        <f>IF($X862="","",SUMIFS(TARIFF_PROFILES!$H:$H,TARIFF_PROFILES!$A:$A,$X862))</f>
        <v/>
      </c>
      <c r="AD862" s="15">
        <f>IF($X862="","",INDEX(TARIFF_PROFILES!$J:$J,MATCH($X862,TARIFF_PROFILES!$A:$A,0)))</f>
        <v/>
      </c>
      <c r="AE862" s="15">
        <f>IF($X862="","",INDEX(TARIFF_PROFILES!$K:$K,MATCH($X862,TARIFF_PROFILES!$A:$A,0)))</f>
        <v/>
      </c>
      <c r="AH862">
        <f>IF($AG862="","",SUMIFS(OPERATING_COEFFS!$C:$C,OPERATING_COEFFS!$A:$A,"DistanceClass",OPERATING_COEFFS!$B:$B,$AG862))</f>
        <v/>
      </c>
      <c r="AJ862">
        <f>IF($AI862="","",SUMIFS(OPERATING_COEFFS!$C:$C,OPERATING_COEFFS!$A:$A,"SeasonClass",OPERATING_COEFFS!$B:$B,$AI862))</f>
        <v/>
      </c>
      <c r="AL862">
        <f>IF($AK862="","",SUMIFS(OPERATING_COEFFS!$C:$C,OPERATING_COEFFS!$A:$A,"UrgencyClass",OPERATING_COEFFS!$B:$B,$AK862))</f>
        <v/>
      </c>
      <c r="AN862">
        <f>IF($AM862="","",INDEX(TAX_MODES!$B:$B,MATCH($AM862,TAX_MODES!$A:$A,0)))</f>
        <v/>
      </c>
    </row>
    <row r="863">
      <c r="X863" s="15" t="n"/>
      <c r="Y863" s="15">
        <f>IF($X863="","",SUMIFS(TARIFF_PROFILES!$D:$D,TARIFF_PROFILES!$A:$A,$X863))</f>
        <v/>
      </c>
      <c r="Z863" s="15">
        <f>IF($X863="","",SUMIFS(TARIFF_PROFILES!$E:$E,TARIFF_PROFILES!$A:$A,$X863))</f>
        <v/>
      </c>
      <c r="AA863" s="15">
        <f>IF($X863="","",SUMIFS(TARIFF_PROFILES!$F:$F,TARIFF_PROFILES!$A:$A,$X863))</f>
        <v/>
      </c>
      <c r="AB863" s="15">
        <f>IF($X863="","",SUMIFS(TARIFF_PROFILES!$G:$G,TARIFF_PROFILES!$A:$A,$X863))</f>
        <v/>
      </c>
      <c r="AC863" s="15">
        <f>IF($X863="","",SUMIFS(TARIFF_PROFILES!$H:$H,TARIFF_PROFILES!$A:$A,$X863))</f>
        <v/>
      </c>
      <c r="AD863" s="15">
        <f>IF($X863="","",INDEX(TARIFF_PROFILES!$J:$J,MATCH($X863,TARIFF_PROFILES!$A:$A,0)))</f>
        <v/>
      </c>
      <c r="AE863" s="15">
        <f>IF($X863="","",INDEX(TARIFF_PROFILES!$K:$K,MATCH($X863,TARIFF_PROFILES!$A:$A,0)))</f>
        <v/>
      </c>
      <c r="AH863">
        <f>IF($AG863="","",SUMIFS(OPERATING_COEFFS!$C:$C,OPERATING_COEFFS!$A:$A,"DistanceClass",OPERATING_COEFFS!$B:$B,$AG863))</f>
        <v/>
      </c>
      <c r="AJ863">
        <f>IF($AI863="","",SUMIFS(OPERATING_COEFFS!$C:$C,OPERATING_COEFFS!$A:$A,"SeasonClass",OPERATING_COEFFS!$B:$B,$AI863))</f>
        <v/>
      </c>
      <c r="AL863">
        <f>IF($AK863="","",SUMIFS(OPERATING_COEFFS!$C:$C,OPERATING_COEFFS!$A:$A,"UrgencyClass",OPERATING_COEFFS!$B:$B,$AK863))</f>
        <v/>
      </c>
      <c r="AN863">
        <f>IF($AM863="","",INDEX(TAX_MODES!$B:$B,MATCH($AM863,TAX_MODES!$A:$A,0)))</f>
        <v/>
      </c>
    </row>
    <row r="864">
      <c r="X864" s="15" t="n"/>
      <c r="Y864" s="15">
        <f>IF($X864="","",SUMIFS(TARIFF_PROFILES!$D:$D,TARIFF_PROFILES!$A:$A,$X864))</f>
        <v/>
      </c>
      <c r="Z864" s="15">
        <f>IF($X864="","",SUMIFS(TARIFF_PROFILES!$E:$E,TARIFF_PROFILES!$A:$A,$X864))</f>
        <v/>
      </c>
      <c r="AA864" s="15">
        <f>IF($X864="","",SUMIFS(TARIFF_PROFILES!$F:$F,TARIFF_PROFILES!$A:$A,$X864))</f>
        <v/>
      </c>
      <c r="AB864" s="15">
        <f>IF($X864="","",SUMIFS(TARIFF_PROFILES!$G:$G,TARIFF_PROFILES!$A:$A,$X864))</f>
        <v/>
      </c>
      <c r="AC864" s="15">
        <f>IF($X864="","",SUMIFS(TARIFF_PROFILES!$H:$H,TARIFF_PROFILES!$A:$A,$X864))</f>
        <v/>
      </c>
      <c r="AD864" s="15">
        <f>IF($X864="","",INDEX(TARIFF_PROFILES!$J:$J,MATCH($X864,TARIFF_PROFILES!$A:$A,0)))</f>
        <v/>
      </c>
      <c r="AE864" s="15">
        <f>IF($X864="","",INDEX(TARIFF_PROFILES!$K:$K,MATCH($X864,TARIFF_PROFILES!$A:$A,0)))</f>
        <v/>
      </c>
      <c r="AH864">
        <f>IF($AG864="","",SUMIFS(OPERATING_COEFFS!$C:$C,OPERATING_COEFFS!$A:$A,"DistanceClass",OPERATING_COEFFS!$B:$B,$AG864))</f>
        <v/>
      </c>
      <c r="AJ864">
        <f>IF($AI864="","",SUMIFS(OPERATING_COEFFS!$C:$C,OPERATING_COEFFS!$A:$A,"SeasonClass",OPERATING_COEFFS!$B:$B,$AI864))</f>
        <v/>
      </c>
      <c r="AL864">
        <f>IF($AK864="","",SUMIFS(OPERATING_COEFFS!$C:$C,OPERATING_COEFFS!$A:$A,"UrgencyClass",OPERATING_COEFFS!$B:$B,$AK864))</f>
        <v/>
      </c>
      <c r="AN864">
        <f>IF($AM864="","",INDEX(TAX_MODES!$B:$B,MATCH($AM864,TAX_MODES!$A:$A,0)))</f>
        <v/>
      </c>
    </row>
    <row r="865">
      <c r="X865" s="15" t="n"/>
      <c r="Y865" s="15">
        <f>IF($X865="","",SUMIFS(TARIFF_PROFILES!$D:$D,TARIFF_PROFILES!$A:$A,$X865))</f>
        <v/>
      </c>
      <c r="Z865" s="15">
        <f>IF($X865="","",SUMIFS(TARIFF_PROFILES!$E:$E,TARIFF_PROFILES!$A:$A,$X865))</f>
        <v/>
      </c>
      <c r="AA865" s="15">
        <f>IF($X865="","",SUMIFS(TARIFF_PROFILES!$F:$F,TARIFF_PROFILES!$A:$A,$X865))</f>
        <v/>
      </c>
      <c r="AB865" s="15">
        <f>IF($X865="","",SUMIFS(TARIFF_PROFILES!$G:$G,TARIFF_PROFILES!$A:$A,$X865))</f>
        <v/>
      </c>
      <c r="AC865" s="15">
        <f>IF($X865="","",SUMIFS(TARIFF_PROFILES!$H:$H,TARIFF_PROFILES!$A:$A,$X865))</f>
        <v/>
      </c>
      <c r="AD865" s="15">
        <f>IF($X865="","",INDEX(TARIFF_PROFILES!$J:$J,MATCH($X865,TARIFF_PROFILES!$A:$A,0)))</f>
        <v/>
      </c>
      <c r="AE865" s="15">
        <f>IF($X865="","",INDEX(TARIFF_PROFILES!$K:$K,MATCH($X865,TARIFF_PROFILES!$A:$A,0)))</f>
        <v/>
      </c>
      <c r="AH865">
        <f>IF($AG865="","",SUMIFS(OPERATING_COEFFS!$C:$C,OPERATING_COEFFS!$A:$A,"DistanceClass",OPERATING_COEFFS!$B:$B,$AG865))</f>
        <v/>
      </c>
      <c r="AJ865">
        <f>IF($AI865="","",SUMIFS(OPERATING_COEFFS!$C:$C,OPERATING_COEFFS!$A:$A,"SeasonClass",OPERATING_COEFFS!$B:$B,$AI865))</f>
        <v/>
      </c>
      <c r="AL865">
        <f>IF($AK865="","",SUMIFS(OPERATING_COEFFS!$C:$C,OPERATING_COEFFS!$A:$A,"UrgencyClass",OPERATING_COEFFS!$B:$B,$AK865))</f>
        <v/>
      </c>
      <c r="AN865">
        <f>IF($AM865="","",INDEX(TAX_MODES!$B:$B,MATCH($AM865,TAX_MODES!$A:$A,0)))</f>
        <v/>
      </c>
    </row>
    <row r="866">
      <c r="X866" s="15" t="n"/>
      <c r="Y866" s="15">
        <f>IF($X866="","",SUMIFS(TARIFF_PROFILES!$D:$D,TARIFF_PROFILES!$A:$A,$X866))</f>
        <v/>
      </c>
      <c r="Z866" s="15">
        <f>IF($X866="","",SUMIFS(TARIFF_PROFILES!$E:$E,TARIFF_PROFILES!$A:$A,$X866))</f>
        <v/>
      </c>
      <c r="AA866" s="15">
        <f>IF($X866="","",SUMIFS(TARIFF_PROFILES!$F:$F,TARIFF_PROFILES!$A:$A,$X866))</f>
        <v/>
      </c>
      <c r="AB866" s="15">
        <f>IF($X866="","",SUMIFS(TARIFF_PROFILES!$G:$G,TARIFF_PROFILES!$A:$A,$X866))</f>
        <v/>
      </c>
      <c r="AC866" s="15">
        <f>IF($X866="","",SUMIFS(TARIFF_PROFILES!$H:$H,TARIFF_PROFILES!$A:$A,$X866))</f>
        <v/>
      </c>
      <c r="AD866" s="15">
        <f>IF($X866="","",INDEX(TARIFF_PROFILES!$J:$J,MATCH($X866,TARIFF_PROFILES!$A:$A,0)))</f>
        <v/>
      </c>
      <c r="AE866" s="15">
        <f>IF($X866="","",INDEX(TARIFF_PROFILES!$K:$K,MATCH($X866,TARIFF_PROFILES!$A:$A,0)))</f>
        <v/>
      </c>
      <c r="AH866">
        <f>IF($AG866="","",SUMIFS(OPERATING_COEFFS!$C:$C,OPERATING_COEFFS!$A:$A,"DistanceClass",OPERATING_COEFFS!$B:$B,$AG866))</f>
        <v/>
      </c>
      <c r="AJ866">
        <f>IF($AI866="","",SUMIFS(OPERATING_COEFFS!$C:$C,OPERATING_COEFFS!$A:$A,"SeasonClass",OPERATING_COEFFS!$B:$B,$AI866))</f>
        <v/>
      </c>
      <c r="AL866">
        <f>IF($AK866="","",SUMIFS(OPERATING_COEFFS!$C:$C,OPERATING_COEFFS!$A:$A,"UrgencyClass",OPERATING_COEFFS!$B:$B,$AK866))</f>
        <v/>
      </c>
      <c r="AN866">
        <f>IF($AM866="","",INDEX(TAX_MODES!$B:$B,MATCH($AM866,TAX_MODES!$A:$A,0)))</f>
        <v/>
      </c>
    </row>
    <row r="867">
      <c r="X867" s="15" t="n"/>
      <c r="Y867" s="15">
        <f>IF($X867="","",SUMIFS(TARIFF_PROFILES!$D:$D,TARIFF_PROFILES!$A:$A,$X867))</f>
        <v/>
      </c>
      <c r="Z867" s="15">
        <f>IF($X867="","",SUMIFS(TARIFF_PROFILES!$E:$E,TARIFF_PROFILES!$A:$A,$X867))</f>
        <v/>
      </c>
      <c r="AA867" s="15">
        <f>IF($X867="","",SUMIFS(TARIFF_PROFILES!$F:$F,TARIFF_PROFILES!$A:$A,$X867))</f>
        <v/>
      </c>
      <c r="AB867" s="15">
        <f>IF($X867="","",SUMIFS(TARIFF_PROFILES!$G:$G,TARIFF_PROFILES!$A:$A,$X867))</f>
        <v/>
      </c>
      <c r="AC867" s="15">
        <f>IF($X867="","",SUMIFS(TARIFF_PROFILES!$H:$H,TARIFF_PROFILES!$A:$A,$X867))</f>
        <v/>
      </c>
      <c r="AD867" s="15">
        <f>IF($X867="","",INDEX(TARIFF_PROFILES!$J:$J,MATCH($X867,TARIFF_PROFILES!$A:$A,0)))</f>
        <v/>
      </c>
      <c r="AE867" s="15">
        <f>IF($X867="","",INDEX(TARIFF_PROFILES!$K:$K,MATCH($X867,TARIFF_PROFILES!$A:$A,0)))</f>
        <v/>
      </c>
      <c r="AH867">
        <f>IF($AG867="","",SUMIFS(OPERATING_COEFFS!$C:$C,OPERATING_COEFFS!$A:$A,"DistanceClass",OPERATING_COEFFS!$B:$B,$AG867))</f>
        <v/>
      </c>
      <c r="AJ867">
        <f>IF($AI867="","",SUMIFS(OPERATING_COEFFS!$C:$C,OPERATING_COEFFS!$A:$A,"SeasonClass",OPERATING_COEFFS!$B:$B,$AI867))</f>
        <v/>
      </c>
      <c r="AL867">
        <f>IF($AK867="","",SUMIFS(OPERATING_COEFFS!$C:$C,OPERATING_COEFFS!$A:$A,"UrgencyClass",OPERATING_COEFFS!$B:$B,$AK867))</f>
        <v/>
      </c>
      <c r="AN867">
        <f>IF($AM867="","",INDEX(TAX_MODES!$B:$B,MATCH($AM867,TAX_MODES!$A:$A,0)))</f>
        <v/>
      </c>
    </row>
    <row r="868">
      <c r="X868" s="15" t="n"/>
      <c r="Y868" s="15">
        <f>IF($X868="","",SUMIFS(TARIFF_PROFILES!$D:$D,TARIFF_PROFILES!$A:$A,$X868))</f>
        <v/>
      </c>
      <c r="Z868" s="15">
        <f>IF($X868="","",SUMIFS(TARIFF_PROFILES!$E:$E,TARIFF_PROFILES!$A:$A,$X868))</f>
        <v/>
      </c>
      <c r="AA868" s="15">
        <f>IF($X868="","",SUMIFS(TARIFF_PROFILES!$F:$F,TARIFF_PROFILES!$A:$A,$X868))</f>
        <v/>
      </c>
      <c r="AB868" s="15">
        <f>IF($X868="","",SUMIFS(TARIFF_PROFILES!$G:$G,TARIFF_PROFILES!$A:$A,$X868))</f>
        <v/>
      </c>
      <c r="AC868" s="15">
        <f>IF($X868="","",SUMIFS(TARIFF_PROFILES!$H:$H,TARIFF_PROFILES!$A:$A,$X868))</f>
        <v/>
      </c>
      <c r="AD868" s="15">
        <f>IF($X868="","",INDEX(TARIFF_PROFILES!$J:$J,MATCH($X868,TARIFF_PROFILES!$A:$A,0)))</f>
        <v/>
      </c>
      <c r="AE868" s="15">
        <f>IF($X868="","",INDEX(TARIFF_PROFILES!$K:$K,MATCH($X868,TARIFF_PROFILES!$A:$A,0)))</f>
        <v/>
      </c>
      <c r="AH868">
        <f>IF($AG868="","",SUMIFS(OPERATING_COEFFS!$C:$C,OPERATING_COEFFS!$A:$A,"DistanceClass",OPERATING_COEFFS!$B:$B,$AG868))</f>
        <v/>
      </c>
      <c r="AJ868">
        <f>IF($AI868="","",SUMIFS(OPERATING_COEFFS!$C:$C,OPERATING_COEFFS!$A:$A,"SeasonClass",OPERATING_COEFFS!$B:$B,$AI868))</f>
        <v/>
      </c>
      <c r="AL868">
        <f>IF($AK868="","",SUMIFS(OPERATING_COEFFS!$C:$C,OPERATING_COEFFS!$A:$A,"UrgencyClass",OPERATING_COEFFS!$B:$B,$AK868))</f>
        <v/>
      </c>
      <c r="AN868">
        <f>IF($AM868="","",INDEX(TAX_MODES!$B:$B,MATCH($AM868,TAX_MODES!$A:$A,0)))</f>
        <v/>
      </c>
    </row>
    <row r="869">
      <c r="X869" s="15" t="n"/>
      <c r="Y869" s="15">
        <f>IF($X869="","",SUMIFS(TARIFF_PROFILES!$D:$D,TARIFF_PROFILES!$A:$A,$X869))</f>
        <v/>
      </c>
      <c r="Z869" s="15">
        <f>IF($X869="","",SUMIFS(TARIFF_PROFILES!$E:$E,TARIFF_PROFILES!$A:$A,$X869))</f>
        <v/>
      </c>
      <c r="AA869" s="15">
        <f>IF($X869="","",SUMIFS(TARIFF_PROFILES!$F:$F,TARIFF_PROFILES!$A:$A,$X869))</f>
        <v/>
      </c>
      <c r="AB869" s="15">
        <f>IF($X869="","",SUMIFS(TARIFF_PROFILES!$G:$G,TARIFF_PROFILES!$A:$A,$X869))</f>
        <v/>
      </c>
      <c r="AC869" s="15">
        <f>IF($X869="","",SUMIFS(TARIFF_PROFILES!$H:$H,TARIFF_PROFILES!$A:$A,$X869))</f>
        <v/>
      </c>
      <c r="AD869" s="15">
        <f>IF($X869="","",INDEX(TARIFF_PROFILES!$J:$J,MATCH($X869,TARIFF_PROFILES!$A:$A,0)))</f>
        <v/>
      </c>
      <c r="AE869" s="15">
        <f>IF($X869="","",INDEX(TARIFF_PROFILES!$K:$K,MATCH($X869,TARIFF_PROFILES!$A:$A,0)))</f>
        <v/>
      </c>
      <c r="AH869">
        <f>IF($AG869="","",SUMIFS(OPERATING_COEFFS!$C:$C,OPERATING_COEFFS!$A:$A,"DistanceClass",OPERATING_COEFFS!$B:$B,$AG869))</f>
        <v/>
      </c>
      <c r="AJ869">
        <f>IF($AI869="","",SUMIFS(OPERATING_COEFFS!$C:$C,OPERATING_COEFFS!$A:$A,"SeasonClass",OPERATING_COEFFS!$B:$B,$AI869))</f>
        <v/>
      </c>
      <c r="AL869">
        <f>IF($AK869="","",SUMIFS(OPERATING_COEFFS!$C:$C,OPERATING_COEFFS!$A:$A,"UrgencyClass",OPERATING_COEFFS!$B:$B,$AK869))</f>
        <v/>
      </c>
      <c r="AN869">
        <f>IF($AM869="","",INDEX(TAX_MODES!$B:$B,MATCH($AM869,TAX_MODES!$A:$A,0)))</f>
        <v/>
      </c>
    </row>
    <row r="870">
      <c r="X870" s="15" t="n"/>
      <c r="Y870" s="15">
        <f>IF($X870="","",SUMIFS(TARIFF_PROFILES!$D:$D,TARIFF_PROFILES!$A:$A,$X870))</f>
        <v/>
      </c>
      <c r="Z870" s="15">
        <f>IF($X870="","",SUMIFS(TARIFF_PROFILES!$E:$E,TARIFF_PROFILES!$A:$A,$X870))</f>
        <v/>
      </c>
      <c r="AA870" s="15">
        <f>IF($X870="","",SUMIFS(TARIFF_PROFILES!$F:$F,TARIFF_PROFILES!$A:$A,$X870))</f>
        <v/>
      </c>
      <c r="AB870" s="15">
        <f>IF($X870="","",SUMIFS(TARIFF_PROFILES!$G:$G,TARIFF_PROFILES!$A:$A,$X870))</f>
        <v/>
      </c>
      <c r="AC870" s="15">
        <f>IF($X870="","",SUMIFS(TARIFF_PROFILES!$H:$H,TARIFF_PROFILES!$A:$A,$X870))</f>
        <v/>
      </c>
      <c r="AD870" s="15">
        <f>IF($X870="","",INDEX(TARIFF_PROFILES!$J:$J,MATCH($X870,TARIFF_PROFILES!$A:$A,0)))</f>
        <v/>
      </c>
      <c r="AE870" s="15">
        <f>IF($X870="","",INDEX(TARIFF_PROFILES!$K:$K,MATCH($X870,TARIFF_PROFILES!$A:$A,0)))</f>
        <v/>
      </c>
      <c r="AH870">
        <f>IF($AG870="","",SUMIFS(OPERATING_COEFFS!$C:$C,OPERATING_COEFFS!$A:$A,"DistanceClass",OPERATING_COEFFS!$B:$B,$AG870))</f>
        <v/>
      </c>
      <c r="AJ870">
        <f>IF($AI870="","",SUMIFS(OPERATING_COEFFS!$C:$C,OPERATING_COEFFS!$A:$A,"SeasonClass",OPERATING_COEFFS!$B:$B,$AI870))</f>
        <v/>
      </c>
      <c r="AL870">
        <f>IF($AK870="","",SUMIFS(OPERATING_COEFFS!$C:$C,OPERATING_COEFFS!$A:$A,"UrgencyClass",OPERATING_COEFFS!$B:$B,$AK870))</f>
        <v/>
      </c>
      <c r="AN870">
        <f>IF($AM870="","",INDEX(TAX_MODES!$B:$B,MATCH($AM870,TAX_MODES!$A:$A,0)))</f>
        <v/>
      </c>
    </row>
    <row r="871">
      <c r="X871" s="15" t="n"/>
      <c r="Y871" s="15">
        <f>IF($X871="","",SUMIFS(TARIFF_PROFILES!$D:$D,TARIFF_PROFILES!$A:$A,$X871))</f>
        <v/>
      </c>
      <c r="Z871" s="15">
        <f>IF($X871="","",SUMIFS(TARIFF_PROFILES!$E:$E,TARIFF_PROFILES!$A:$A,$X871))</f>
        <v/>
      </c>
      <c r="AA871" s="15">
        <f>IF($X871="","",SUMIFS(TARIFF_PROFILES!$F:$F,TARIFF_PROFILES!$A:$A,$X871))</f>
        <v/>
      </c>
      <c r="AB871" s="15">
        <f>IF($X871="","",SUMIFS(TARIFF_PROFILES!$G:$G,TARIFF_PROFILES!$A:$A,$X871))</f>
        <v/>
      </c>
      <c r="AC871" s="15">
        <f>IF($X871="","",SUMIFS(TARIFF_PROFILES!$H:$H,TARIFF_PROFILES!$A:$A,$X871))</f>
        <v/>
      </c>
      <c r="AD871" s="15">
        <f>IF($X871="","",INDEX(TARIFF_PROFILES!$J:$J,MATCH($X871,TARIFF_PROFILES!$A:$A,0)))</f>
        <v/>
      </c>
      <c r="AE871" s="15">
        <f>IF($X871="","",INDEX(TARIFF_PROFILES!$K:$K,MATCH($X871,TARIFF_PROFILES!$A:$A,0)))</f>
        <v/>
      </c>
      <c r="AH871">
        <f>IF($AG871="","",SUMIFS(OPERATING_COEFFS!$C:$C,OPERATING_COEFFS!$A:$A,"DistanceClass",OPERATING_COEFFS!$B:$B,$AG871))</f>
        <v/>
      </c>
      <c r="AJ871">
        <f>IF($AI871="","",SUMIFS(OPERATING_COEFFS!$C:$C,OPERATING_COEFFS!$A:$A,"SeasonClass",OPERATING_COEFFS!$B:$B,$AI871))</f>
        <v/>
      </c>
      <c r="AL871">
        <f>IF($AK871="","",SUMIFS(OPERATING_COEFFS!$C:$C,OPERATING_COEFFS!$A:$A,"UrgencyClass",OPERATING_COEFFS!$B:$B,$AK871))</f>
        <v/>
      </c>
      <c r="AN871">
        <f>IF($AM871="","",INDEX(TAX_MODES!$B:$B,MATCH($AM871,TAX_MODES!$A:$A,0)))</f>
        <v/>
      </c>
    </row>
    <row r="872">
      <c r="X872" s="15" t="n"/>
      <c r="Y872" s="15">
        <f>IF($X872="","",SUMIFS(TARIFF_PROFILES!$D:$D,TARIFF_PROFILES!$A:$A,$X872))</f>
        <v/>
      </c>
      <c r="Z872" s="15">
        <f>IF($X872="","",SUMIFS(TARIFF_PROFILES!$E:$E,TARIFF_PROFILES!$A:$A,$X872))</f>
        <v/>
      </c>
      <c r="AA872" s="15">
        <f>IF($X872="","",SUMIFS(TARIFF_PROFILES!$F:$F,TARIFF_PROFILES!$A:$A,$X872))</f>
        <v/>
      </c>
      <c r="AB872" s="15">
        <f>IF($X872="","",SUMIFS(TARIFF_PROFILES!$G:$G,TARIFF_PROFILES!$A:$A,$X872))</f>
        <v/>
      </c>
      <c r="AC872" s="15">
        <f>IF($X872="","",SUMIFS(TARIFF_PROFILES!$H:$H,TARIFF_PROFILES!$A:$A,$X872))</f>
        <v/>
      </c>
      <c r="AD872" s="15">
        <f>IF($X872="","",INDEX(TARIFF_PROFILES!$J:$J,MATCH($X872,TARIFF_PROFILES!$A:$A,0)))</f>
        <v/>
      </c>
      <c r="AE872" s="15">
        <f>IF($X872="","",INDEX(TARIFF_PROFILES!$K:$K,MATCH($X872,TARIFF_PROFILES!$A:$A,0)))</f>
        <v/>
      </c>
      <c r="AH872">
        <f>IF($AG872="","",SUMIFS(OPERATING_COEFFS!$C:$C,OPERATING_COEFFS!$A:$A,"DistanceClass",OPERATING_COEFFS!$B:$B,$AG872))</f>
        <v/>
      </c>
      <c r="AJ872">
        <f>IF($AI872="","",SUMIFS(OPERATING_COEFFS!$C:$C,OPERATING_COEFFS!$A:$A,"SeasonClass",OPERATING_COEFFS!$B:$B,$AI872))</f>
        <v/>
      </c>
      <c r="AL872">
        <f>IF($AK872="","",SUMIFS(OPERATING_COEFFS!$C:$C,OPERATING_COEFFS!$A:$A,"UrgencyClass",OPERATING_COEFFS!$B:$B,$AK872))</f>
        <v/>
      </c>
      <c r="AN872">
        <f>IF($AM872="","",INDEX(TAX_MODES!$B:$B,MATCH($AM872,TAX_MODES!$A:$A,0)))</f>
        <v/>
      </c>
    </row>
    <row r="873">
      <c r="X873" s="15" t="n"/>
      <c r="Y873" s="15">
        <f>IF($X873="","",SUMIFS(TARIFF_PROFILES!$D:$D,TARIFF_PROFILES!$A:$A,$X873))</f>
        <v/>
      </c>
      <c r="Z873" s="15">
        <f>IF($X873="","",SUMIFS(TARIFF_PROFILES!$E:$E,TARIFF_PROFILES!$A:$A,$X873))</f>
        <v/>
      </c>
      <c r="AA873" s="15">
        <f>IF($X873="","",SUMIFS(TARIFF_PROFILES!$F:$F,TARIFF_PROFILES!$A:$A,$X873))</f>
        <v/>
      </c>
      <c r="AB873" s="15">
        <f>IF($X873="","",SUMIFS(TARIFF_PROFILES!$G:$G,TARIFF_PROFILES!$A:$A,$X873))</f>
        <v/>
      </c>
      <c r="AC873" s="15">
        <f>IF($X873="","",SUMIFS(TARIFF_PROFILES!$H:$H,TARIFF_PROFILES!$A:$A,$X873))</f>
        <v/>
      </c>
      <c r="AD873" s="15">
        <f>IF($X873="","",INDEX(TARIFF_PROFILES!$J:$J,MATCH($X873,TARIFF_PROFILES!$A:$A,0)))</f>
        <v/>
      </c>
      <c r="AE873" s="15">
        <f>IF($X873="","",INDEX(TARIFF_PROFILES!$K:$K,MATCH($X873,TARIFF_PROFILES!$A:$A,0)))</f>
        <v/>
      </c>
      <c r="AH873">
        <f>IF($AG873="","",SUMIFS(OPERATING_COEFFS!$C:$C,OPERATING_COEFFS!$A:$A,"DistanceClass",OPERATING_COEFFS!$B:$B,$AG873))</f>
        <v/>
      </c>
      <c r="AJ873">
        <f>IF($AI873="","",SUMIFS(OPERATING_COEFFS!$C:$C,OPERATING_COEFFS!$A:$A,"SeasonClass",OPERATING_COEFFS!$B:$B,$AI873))</f>
        <v/>
      </c>
      <c r="AL873">
        <f>IF($AK873="","",SUMIFS(OPERATING_COEFFS!$C:$C,OPERATING_COEFFS!$A:$A,"UrgencyClass",OPERATING_COEFFS!$B:$B,$AK873))</f>
        <v/>
      </c>
      <c r="AN873">
        <f>IF($AM873="","",INDEX(TAX_MODES!$B:$B,MATCH($AM873,TAX_MODES!$A:$A,0)))</f>
        <v/>
      </c>
    </row>
    <row r="874">
      <c r="X874" s="15" t="n"/>
      <c r="Y874" s="15">
        <f>IF($X874="","",SUMIFS(TARIFF_PROFILES!$D:$D,TARIFF_PROFILES!$A:$A,$X874))</f>
        <v/>
      </c>
      <c r="Z874" s="15">
        <f>IF($X874="","",SUMIFS(TARIFF_PROFILES!$E:$E,TARIFF_PROFILES!$A:$A,$X874))</f>
        <v/>
      </c>
      <c r="AA874" s="15">
        <f>IF($X874="","",SUMIFS(TARIFF_PROFILES!$F:$F,TARIFF_PROFILES!$A:$A,$X874))</f>
        <v/>
      </c>
      <c r="AB874" s="15">
        <f>IF($X874="","",SUMIFS(TARIFF_PROFILES!$G:$G,TARIFF_PROFILES!$A:$A,$X874))</f>
        <v/>
      </c>
      <c r="AC874" s="15">
        <f>IF($X874="","",SUMIFS(TARIFF_PROFILES!$H:$H,TARIFF_PROFILES!$A:$A,$X874))</f>
        <v/>
      </c>
      <c r="AD874" s="15">
        <f>IF($X874="","",INDEX(TARIFF_PROFILES!$J:$J,MATCH($X874,TARIFF_PROFILES!$A:$A,0)))</f>
        <v/>
      </c>
      <c r="AE874" s="15">
        <f>IF($X874="","",INDEX(TARIFF_PROFILES!$K:$K,MATCH($X874,TARIFF_PROFILES!$A:$A,0)))</f>
        <v/>
      </c>
      <c r="AH874">
        <f>IF($AG874="","",SUMIFS(OPERATING_COEFFS!$C:$C,OPERATING_COEFFS!$A:$A,"DistanceClass",OPERATING_COEFFS!$B:$B,$AG874))</f>
        <v/>
      </c>
      <c r="AJ874">
        <f>IF($AI874="","",SUMIFS(OPERATING_COEFFS!$C:$C,OPERATING_COEFFS!$A:$A,"SeasonClass",OPERATING_COEFFS!$B:$B,$AI874))</f>
        <v/>
      </c>
      <c r="AL874">
        <f>IF($AK874="","",SUMIFS(OPERATING_COEFFS!$C:$C,OPERATING_COEFFS!$A:$A,"UrgencyClass",OPERATING_COEFFS!$B:$B,$AK874))</f>
        <v/>
      </c>
      <c r="AN874">
        <f>IF($AM874="","",INDEX(TAX_MODES!$B:$B,MATCH($AM874,TAX_MODES!$A:$A,0)))</f>
        <v/>
      </c>
    </row>
    <row r="875">
      <c r="X875" s="15" t="n"/>
      <c r="Y875" s="15">
        <f>IF($X875="","",SUMIFS(TARIFF_PROFILES!$D:$D,TARIFF_PROFILES!$A:$A,$X875))</f>
        <v/>
      </c>
      <c r="Z875" s="15">
        <f>IF($X875="","",SUMIFS(TARIFF_PROFILES!$E:$E,TARIFF_PROFILES!$A:$A,$X875))</f>
        <v/>
      </c>
      <c r="AA875" s="15">
        <f>IF($X875="","",SUMIFS(TARIFF_PROFILES!$F:$F,TARIFF_PROFILES!$A:$A,$X875))</f>
        <v/>
      </c>
      <c r="AB875" s="15">
        <f>IF($X875="","",SUMIFS(TARIFF_PROFILES!$G:$G,TARIFF_PROFILES!$A:$A,$X875))</f>
        <v/>
      </c>
      <c r="AC875" s="15">
        <f>IF($X875="","",SUMIFS(TARIFF_PROFILES!$H:$H,TARIFF_PROFILES!$A:$A,$X875))</f>
        <v/>
      </c>
      <c r="AD875" s="15">
        <f>IF($X875="","",INDEX(TARIFF_PROFILES!$J:$J,MATCH($X875,TARIFF_PROFILES!$A:$A,0)))</f>
        <v/>
      </c>
      <c r="AE875" s="15">
        <f>IF($X875="","",INDEX(TARIFF_PROFILES!$K:$K,MATCH($X875,TARIFF_PROFILES!$A:$A,0)))</f>
        <v/>
      </c>
      <c r="AH875">
        <f>IF($AG875="","",SUMIFS(OPERATING_COEFFS!$C:$C,OPERATING_COEFFS!$A:$A,"DistanceClass",OPERATING_COEFFS!$B:$B,$AG875))</f>
        <v/>
      </c>
      <c r="AJ875">
        <f>IF($AI875="","",SUMIFS(OPERATING_COEFFS!$C:$C,OPERATING_COEFFS!$A:$A,"SeasonClass",OPERATING_COEFFS!$B:$B,$AI875))</f>
        <v/>
      </c>
      <c r="AL875">
        <f>IF($AK875="","",SUMIFS(OPERATING_COEFFS!$C:$C,OPERATING_COEFFS!$A:$A,"UrgencyClass",OPERATING_COEFFS!$B:$B,$AK875))</f>
        <v/>
      </c>
      <c r="AN875">
        <f>IF($AM875="","",INDEX(TAX_MODES!$B:$B,MATCH($AM875,TAX_MODES!$A:$A,0)))</f>
        <v/>
      </c>
    </row>
    <row r="876">
      <c r="X876" s="15" t="n"/>
      <c r="Y876" s="15">
        <f>IF($X876="","",SUMIFS(TARIFF_PROFILES!$D:$D,TARIFF_PROFILES!$A:$A,$X876))</f>
        <v/>
      </c>
      <c r="Z876" s="15">
        <f>IF($X876="","",SUMIFS(TARIFF_PROFILES!$E:$E,TARIFF_PROFILES!$A:$A,$X876))</f>
        <v/>
      </c>
      <c r="AA876" s="15">
        <f>IF($X876="","",SUMIFS(TARIFF_PROFILES!$F:$F,TARIFF_PROFILES!$A:$A,$X876))</f>
        <v/>
      </c>
      <c r="AB876" s="15">
        <f>IF($X876="","",SUMIFS(TARIFF_PROFILES!$G:$G,TARIFF_PROFILES!$A:$A,$X876))</f>
        <v/>
      </c>
      <c r="AC876" s="15">
        <f>IF($X876="","",SUMIFS(TARIFF_PROFILES!$H:$H,TARIFF_PROFILES!$A:$A,$X876))</f>
        <v/>
      </c>
      <c r="AD876" s="15">
        <f>IF($X876="","",INDEX(TARIFF_PROFILES!$J:$J,MATCH($X876,TARIFF_PROFILES!$A:$A,0)))</f>
        <v/>
      </c>
      <c r="AE876" s="15">
        <f>IF($X876="","",INDEX(TARIFF_PROFILES!$K:$K,MATCH($X876,TARIFF_PROFILES!$A:$A,0)))</f>
        <v/>
      </c>
      <c r="AH876">
        <f>IF($AG876="","",SUMIFS(OPERATING_COEFFS!$C:$C,OPERATING_COEFFS!$A:$A,"DistanceClass",OPERATING_COEFFS!$B:$B,$AG876))</f>
        <v/>
      </c>
      <c r="AJ876">
        <f>IF($AI876="","",SUMIFS(OPERATING_COEFFS!$C:$C,OPERATING_COEFFS!$A:$A,"SeasonClass",OPERATING_COEFFS!$B:$B,$AI876))</f>
        <v/>
      </c>
      <c r="AL876">
        <f>IF($AK876="","",SUMIFS(OPERATING_COEFFS!$C:$C,OPERATING_COEFFS!$A:$A,"UrgencyClass",OPERATING_COEFFS!$B:$B,$AK876))</f>
        <v/>
      </c>
      <c r="AN876">
        <f>IF($AM876="","",INDEX(TAX_MODES!$B:$B,MATCH($AM876,TAX_MODES!$A:$A,0)))</f>
        <v/>
      </c>
    </row>
    <row r="877">
      <c r="X877" s="15" t="n"/>
      <c r="Y877" s="15">
        <f>IF($X877="","",SUMIFS(TARIFF_PROFILES!$D:$D,TARIFF_PROFILES!$A:$A,$X877))</f>
        <v/>
      </c>
      <c r="Z877" s="15">
        <f>IF($X877="","",SUMIFS(TARIFF_PROFILES!$E:$E,TARIFF_PROFILES!$A:$A,$X877))</f>
        <v/>
      </c>
      <c r="AA877" s="15">
        <f>IF($X877="","",SUMIFS(TARIFF_PROFILES!$F:$F,TARIFF_PROFILES!$A:$A,$X877))</f>
        <v/>
      </c>
      <c r="AB877" s="15">
        <f>IF($X877="","",SUMIFS(TARIFF_PROFILES!$G:$G,TARIFF_PROFILES!$A:$A,$X877))</f>
        <v/>
      </c>
      <c r="AC877" s="15">
        <f>IF($X877="","",SUMIFS(TARIFF_PROFILES!$H:$H,TARIFF_PROFILES!$A:$A,$X877))</f>
        <v/>
      </c>
      <c r="AD877" s="15">
        <f>IF($X877="","",INDEX(TARIFF_PROFILES!$J:$J,MATCH($X877,TARIFF_PROFILES!$A:$A,0)))</f>
        <v/>
      </c>
      <c r="AE877" s="15">
        <f>IF($X877="","",INDEX(TARIFF_PROFILES!$K:$K,MATCH($X877,TARIFF_PROFILES!$A:$A,0)))</f>
        <v/>
      </c>
      <c r="AH877">
        <f>IF($AG877="","",SUMIFS(OPERATING_COEFFS!$C:$C,OPERATING_COEFFS!$A:$A,"DistanceClass",OPERATING_COEFFS!$B:$B,$AG877))</f>
        <v/>
      </c>
      <c r="AJ877">
        <f>IF($AI877="","",SUMIFS(OPERATING_COEFFS!$C:$C,OPERATING_COEFFS!$A:$A,"SeasonClass",OPERATING_COEFFS!$B:$B,$AI877))</f>
        <v/>
      </c>
      <c r="AL877">
        <f>IF($AK877="","",SUMIFS(OPERATING_COEFFS!$C:$C,OPERATING_COEFFS!$A:$A,"UrgencyClass",OPERATING_COEFFS!$B:$B,$AK877))</f>
        <v/>
      </c>
      <c r="AN877">
        <f>IF($AM877="","",INDEX(TAX_MODES!$B:$B,MATCH($AM877,TAX_MODES!$A:$A,0)))</f>
        <v/>
      </c>
    </row>
    <row r="878">
      <c r="X878" s="15" t="n"/>
      <c r="Y878" s="15">
        <f>IF($X878="","",SUMIFS(TARIFF_PROFILES!$D:$D,TARIFF_PROFILES!$A:$A,$X878))</f>
        <v/>
      </c>
      <c r="Z878" s="15">
        <f>IF($X878="","",SUMIFS(TARIFF_PROFILES!$E:$E,TARIFF_PROFILES!$A:$A,$X878))</f>
        <v/>
      </c>
      <c r="AA878" s="15">
        <f>IF($X878="","",SUMIFS(TARIFF_PROFILES!$F:$F,TARIFF_PROFILES!$A:$A,$X878))</f>
        <v/>
      </c>
      <c r="AB878" s="15">
        <f>IF($X878="","",SUMIFS(TARIFF_PROFILES!$G:$G,TARIFF_PROFILES!$A:$A,$X878))</f>
        <v/>
      </c>
      <c r="AC878" s="15">
        <f>IF($X878="","",SUMIFS(TARIFF_PROFILES!$H:$H,TARIFF_PROFILES!$A:$A,$X878))</f>
        <v/>
      </c>
      <c r="AD878" s="15">
        <f>IF($X878="","",INDEX(TARIFF_PROFILES!$J:$J,MATCH($X878,TARIFF_PROFILES!$A:$A,0)))</f>
        <v/>
      </c>
      <c r="AE878" s="15">
        <f>IF($X878="","",INDEX(TARIFF_PROFILES!$K:$K,MATCH($X878,TARIFF_PROFILES!$A:$A,0)))</f>
        <v/>
      </c>
      <c r="AH878">
        <f>IF($AG878="","",SUMIFS(OPERATING_COEFFS!$C:$C,OPERATING_COEFFS!$A:$A,"DistanceClass",OPERATING_COEFFS!$B:$B,$AG878))</f>
        <v/>
      </c>
      <c r="AJ878">
        <f>IF($AI878="","",SUMIFS(OPERATING_COEFFS!$C:$C,OPERATING_COEFFS!$A:$A,"SeasonClass",OPERATING_COEFFS!$B:$B,$AI878))</f>
        <v/>
      </c>
      <c r="AL878">
        <f>IF($AK878="","",SUMIFS(OPERATING_COEFFS!$C:$C,OPERATING_COEFFS!$A:$A,"UrgencyClass",OPERATING_COEFFS!$B:$B,$AK878))</f>
        <v/>
      </c>
      <c r="AN878">
        <f>IF($AM878="","",INDEX(TAX_MODES!$B:$B,MATCH($AM878,TAX_MODES!$A:$A,0)))</f>
        <v/>
      </c>
    </row>
    <row r="879">
      <c r="X879" s="15" t="n"/>
      <c r="Y879" s="15">
        <f>IF($X879="","",SUMIFS(TARIFF_PROFILES!$D:$D,TARIFF_PROFILES!$A:$A,$X879))</f>
        <v/>
      </c>
      <c r="Z879" s="15">
        <f>IF($X879="","",SUMIFS(TARIFF_PROFILES!$E:$E,TARIFF_PROFILES!$A:$A,$X879))</f>
        <v/>
      </c>
      <c r="AA879" s="15">
        <f>IF($X879="","",SUMIFS(TARIFF_PROFILES!$F:$F,TARIFF_PROFILES!$A:$A,$X879))</f>
        <v/>
      </c>
      <c r="AB879" s="15">
        <f>IF($X879="","",SUMIFS(TARIFF_PROFILES!$G:$G,TARIFF_PROFILES!$A:$A,$X879))</f>
        <v/>
      </c>
      <c r="AC879" s="15">
        <f>IF($X879="","",SUMIFS(TARIFF_PROFILES!$H:$H,TARIFF_PROFILES!$A:$A,$X879))</f>
        <v/>
      </c>
      <c r="AD879" s="15">
        <f>IF($X879="","",INDEX(TARIFF_PROFILES!$J:$J,MATCH($X879,TARIFF_PROFILES!$A:$A,0)))</f>
        <v/>
      </c>
      <c r="AE879" s="15">
        <f>IF($X879="","",INDEX(TARIFF_PROFILES!$K:$K,MATCH($X879,TARIFF_PROFILES!$A:$A,0)))</f>
        <v/>
      </c>
      <c r="AH879">
        <f>IF($AG879="","",SUMIFS(OPERATING_COEFFS!$C:$C,OPERATING_COEFFS!$A:$A,"DistanceClass",OPERATING_COEFFS!$B:$B,$AG879))</f>
        <v/>
      </c>
      <c r="AJ879">
        <f>IF($AI879="","",SUMIFS(OPERATING_COEFFS!$C:$C,OPERATING_COEFFS!$A:$A,"SeasonClass",OPERATING_COEFFS!$B:$B,$AI879))</f>
        <v/>
      </c>
      <c r="AL879">
        <f>IF($AK879="","",SUMIFS(OPERATING_COEFFS!$C:$C,OPERATING_COEFFS!$A:$A,"UrgencyClass",OPERATING_COEFFS!$B:$B,$AK879))</f>
        <v/>
      </c>
      <c r="AN879">
        <f>IF($AM879="","",INDEX(TAX_MODES!$B:$B,MATCH($AM879,TAX_MODES!$A:$A,0)))</f>
        <v/>
      </c>
    </row>
    <row r="880">
      <c r="X880" s="15" t="n"/>
      <c r="Y880" s="15">
        <f>IF($X880="","",SUMIFS(TARIFF_PROFILES!$D:$D,TARIFF_PROFILES!$A:$A,$X880))</f>
        <v/>
      </c>
      <c r="Z880" s="15">
        <f>IF($X880="","",SUMIFS(TARIFF_PROFILES!$E:$E,TARIFF_PROFILES!$A:$A,$X880))</f>
        <v/>
      </c>
      <c r="AA880" s="15">
        <f>IF($X880="","",SUMIFS(TARIFF_PROFILES!$F:$F,TARIFF_PROFILES!$A:$A,$X880))</f>
        <v/>
      </c>
      <c r="AB880" s="15">
        <f>IF($X880="","",SUMIFS(TARIFF_PROFILES!$G:$G,TARIFF_PROFILES!$A:$A,$X880))</f>
        <v/>
      </c>
      <c r="AC880" s="15">
        <f>IF($X880="","",SUMIFS(TARIFF_PROFILES!$H:$H,TARIFF_PROFILES!$A:$A,$X880))</f>
        <v/>
      </c>
      <c r="AD880" s="15">
        <f>IF($X880="","",INDEX(TARIFF_PROFILES!$J:$J,MATCH($X880,TARIFF_PROFILES!$A:$A,0)))</f>
        <v/>
      </c>
      <c r="AE880" s="15">
        <f>IF($X880="","",INDEX(TARIFF_PROFILES!$K:$K,MATCH($X880,TARIFF_PROFILES!$A:$A,0)))</f>
        <v/>
      </c>
      <c r="AH880">
        <f>IF($AG880="","",SUMIFS(OPERATING_COEFFS!$C:$C,OPERATING_COEFFS!$A:$A,"DistanceClass",OPERATING_COEFFS!$B:$B,$AG880))</f>
        <v/>
      </c>
      <c r="AJ880">
        <f>IF($AI880="","",SUMIFS(OPERATING_COEFFS!$C:$C,OPERATING_COEFFS!$A:$A,"SeasonClass",OPERATING_COEFFS!$B:$B,$AI880))</f>
        <v/>
      </c>
      <c r="AL880">
        <f>IF($AK880="","",SUMIFS(OPERATING_COEFFS!$C:$C,OPERATING_COEFFS!$A:$A,"UrgencyClass",OPERATING_COEFFS!$B:$B,$AK880))</f>
        <v/>
      </c>
      <c r="AN880">
        <f>IF($AM880="","",INDEX(TAX_MODES!$B:$B,MATCH($AM880,TAX_MODES!$A:$A,0)))</f>
        <v/>
      </c>
    </row>
    <row r="881">
      <c r="X881" s="15" t="n"/>
      <c r="Y881" s="15">
        <f>IF($X881="","",SUMIFS(TARIFF_PROFILES!$D:$D,TARIFF_PROFILES!$A:$A,$X881))</f>
        <v/>
      </c>
      <c r="Z881" s="15">
        <f>IF($X881="","",SUMIFS(TARIFF_PROFILES!$E:$E,TARIFF_PROFILES!$A:$A,$X881))</f>
        <v/>
      </c>
      <c r="AA881" s="15">
        <f>IF($X881="","",SUMIFS(TARIFF_PROFILES!$F:$F,TARIFF_PROFILES!$A:$A,$X881))</f>
        <v/>
      </c>
      <c r="AB881" s="15">
        <f>IF($X881="","",SUMIFS(TARIFF_PROFILES!$G:$G,TARIFF_PROFILES!$A:$A,$X881))</f>
        <v/>
      </c>
      <c r="AC881" s="15">
        <f>IF($X881="","",SUMIFS(TARIFF_PROFILES!$H:$H,TARIFF_PROFILES!$A:$A,$X881))</f>
        <v/>
      </c>
      <c r="AD881" s="15">
        <f>IF($X881="","",INDEX(TARIFF_PROFILES!$J:$J,MATCH($X881,TARIFF_PROFILES!$A:$A,0)))</f>
        <v/>
      </c>
      <c r="AE881" s="15">
        <f>IF($X881="","",INDEX(TARIFF_PROFILES!$K:$K,MATCH($X881,TARIFF_PROFILES!$A:$A,0)))</f>
        <v/>
      </c>
      <c r="AH881">
        <f>IF($AG881="","",SUMIFS(OPERATING_COEFFS!$C:$C,OPERATING_COEFFS!$A:$A,"DistanceClass",OPERATING_COEFFS!$B:$B,$AG881))</f>
        <v/>
      </c>
      <c r="AJ881">
        <f>IF($AI881="","",SUMIFS(OPERATING_COEFFS!$C:$C,OPERATING_COEFFS!$A:$A,"SeasonClass",OPERATING_COEFFS!$B:$B,$AI881))</f>
        <v/>
      </c>
      <c r="AL881">
        <f>IF($AK881="","",SUMIFS(OPERATING_COEFFS!$C:$C,OPERATING_COEFFS!$A:$A,"UrgencyClass",OPERATING_COEFFS!$B:$B,$AK881))</f>
        <v/>
      </c>
      <c r="AN881">
        <f>IF($AM881="","",INDEX(TAX_MODES!$B:$B,MATCH($AM881,TAX_MODES!$A:$A,0)))</f>
        <v/>
      </c>
    </row>
    <row r="882">
      <c r="X882" s="15" t="n"/>
      <c r="Y882" s="15">
        <f>IF($X882="","",SUMIFS(TARIFF_PROFILES!$D:$D,TARIFF_PROFILES!$A:$A,$X882))</f>
        <v/>
      </c>
      <c r="Z882" s="15">
        <f>IF($X882="","",SUMIFS(TARIFF_PROFILES!$E:$E,TARIFF_PROFILES!$A:$A,$X882))</f>
        <v/>
      </c>
      <c r="AA882" s="15">
        <f>IF($X882="","",SUMIFS(TARIFF_PROFILES!$F:$F,TARIFF_PROFILES!$A:$A,$X882))</f>
        <v/>
      </c>
      <c r="AB882" s="15">
        <f>IF($X882="","",SUMIFS(TARIFF_PROFILES!$G:$G,TARIFF_PROFILES!$A:$A,$X882))</f>
        <v/>
      </c>
      <c r="AC882" s="15">
        <f>IF($X882="","",SUMIFS(TARIFF_PROFILES!$H:$H,TARIFF_PROFILES!$A:$A,$X882))</f>
        <v/>
      </c>
      <c r="AD882" s="15">
        <f>IF($X882="","",INDEX(TARIFF_PROFILES!$J:$J,MATCH($X882,TARIFF_PROFILES!$A:$A,0)))</f>
        <v/>
      </c>
      <c r="AE882" s="15">
        <f>IF($X882="","",INDEX(TARIFF_PROFILES!$K:$K,MATCH($X882,TARIFF_PROFILES!$A:$A,0)))</f>
        <v/>
      </c>
      <c r="AH882">
        <f>IF($AG882="","",SUMIFS(OPERATING_COEFFS!$C:$C,OPERATING_COEFFS!$A:$A,"DistanceClass",OPERATING_COEFFS!$B:$B,$AG882))</f>
        <v/>
      </c>
      <c r="AJ882">
        <f>IF($AI882="","",SUMIFS(OPERATING_COEFFS!$C:$C,OPERATING_COEFFS!$A:$A,"SeasonClass",OPERATING_COEFFS!$B:$B,$AI882))</f>
        <v/>
      </c>
      <c r="AL882">
        <f>IF($AK882="","",SUMIFS(OPERATING_COEFFS!$C:$C,OPERATING_COEFFS!$A:$A,"UrgencyClass",OPERATING_COEFFS!$B:$B,$AK882))</f>
        <v/>
      </c>
      <c r="AN882">
        <f>IF($AM882="","",INDEX(TAX_MODES!$B:$B,MATCH($AM882,TAX_MODES!$A:$A,0)))</f>
        <v/>
      </c>
    </row>
    <row r="883">
      <c r="X883" s="15" t="n"/>
      <c r="Y883" s="15">
        <f>IF($X883="","",SUMIFS(TARIFF_PROFILES!$D:$D,TARIFF_PROFILES!$A:$A,$X883))</f>
        <v/>
      </c>
      <c r="Z883" s="15">
        <f>IF($X883="","",SUMIFS(TARIFF_PROFILES!$E:$E,TARIFF_PROFILES!$A:$A,$X883))</f>
        <v/>
      </c>
      <c r="AA883" s="15">
        <f>IF($X883="","",SUMIFS(TARIFF_PROFILES!$F:$F,TARIFF_PROFILES!$A:$A,$X883))</f>
        <v/>
      </c>
      <c r="AB883" s="15">
        <f>IF($X883="","",SUMIFS(TARIFF_PROFILES!$G:$G,TARIFF_PROFILES!$A:$A,$X883))</f>
        <v/>
      </c>
      <c r="AC883" s="15">
        <f>IF($X883="","",SUMIFS(TARIFF_PROFILES!$H:$H,TARIFF_PROFILES!$A:$A,$X883))</f>
        <v/>
      </c>
      <c r="AD883" s="15">
        <f>IF($X883="","",INDEX(TARIFF_PROFILES!$J:$J,MATCH($X883,TARIFF_PROFILES!$A:$A,0)))</f>
        <v/>
      </c>
      <c r="AE883" s="15">
        <f>IF($X883="","",INDEX(TARIFF_PROFILES!$K:$K,MATCH($X883,TARIFF_PROFILES!$A:$A,0)))</f>
        <v/>
      </c>
      <c r="AH883">
        <f>IF($AG883="","",SUMIFS(OPERATING_COEFFS!$C:$C,OPERATING_COEFFS!$A:$A,"DistanceClass",OPERATING_COEFFS!$B:$B,$AG883))</f>
        <v/>
      </c>
      <c r="AJ883">
        <f>IF($AI883="","",SUMIFS(OPERATING_COEFFS!$C:$C,OPERATING_COEFFS!$A:$A,"SeasonClass",OPERATING_COEFFS!$B:$B,$AI883))</f>
        <v/>
      </c>
      <c r="AL883">
        <f>IF($AK883="","",SUMIFS(OPERATING_COEFFS!$C:$C,OPERATING_COEFFS!$A:$A,"UrgencyClass",OPERATING_COEFFS!$B:$B,$AK883))</f>
        <v/>
      </c>
      <c r="AN883">
        <f>IF($AM883="","",INDEX(TAX_MODES!$B:$B,MATCH($AM883,TAX_MODES!$A:$A,0)))</f>
        <v/>
      </c>
    </row>
    <row r="884">
      <c r="X884" s="15" t="n"/>
      <c r="Y884" s="15">
        <f>IF($X884="","",SUMIFS(TARIFF_PROFILES!$D:$D,TARIFF_PROFILES!$A:$A,$X884))</f>
        <v/>
      </c>
      <c r="Z884" s="15">
        <f>IF($X884="","",SUMIFS(TARIFF_PROFILES!$E:$E,TARIFF_PROFILES!$A:$A,$X884))</f>
        <v/>
      </c>
      <c r="AA884" s="15">
        <f>IF($X884="","",SUMIFS(TARIFF_PROFILES!$F:$F,TARIFF_PROFILES!$A:$A,$X884))</f>
        <v/>
      </c>
      <c r="AB884" s="15">
        <f>IF($X884="","",SUMIFS(TARIFF_PROFILES!$G:$G,TARIFF_PROFILES!$A:$A,$X884))</f>
        <v/>
      </c>
      <c r="AC884" s="15">
        <f>IF($X884="","",SUMIFS(TARIFF_PROFILES!$H:$H,TARIFF_PROFILES!$A:$A,$X884))</f>
        <v/>
      </c>
      <c r="AD884" s="15">
        <f>IF($X884="","",INDEX(TARIFF_PROFILES!$J:$J,MATCH($X884,TARIFF_PROFILES!$A:$A,0)))</f>
        <v/>
      </c>
      <c r="AE884" s="15">
        <f>IF($X884="","",INDEX(TARIFF_PROFILES!$K:$K,MATCH($X884,TARIFF_PROFILES!$A:$A,0)))</f>
        <v/>
      </c>
      <c r="AH884">
        <f>IF($AG884="","",SUMIFS(OPERATING_COEFFS!$C:$C,OPERATING_COEFFS!$A:$A,"DistanceClass",OPERATING_COEFFS!$B:$B,$AG884))</f>
        <v/>
      </c>
      <c r="AJ884">
        <f>IF($AI884="","",SUMIFS(OPERATING_COEFFS!$C:$C,OPERATING_COEFFS!$A:$A,"SeasonClass",OPERATING_COEFFS!$B:$B,$AI884))</f>
        <v/>
      </c>
      <c r="AL884">
        <f>IF($AK884="","",SUMIFS(OPERATING_COEFFS!$C:$C,OPERATING_COEFFS!$A:$A,"UrgencyClass",OPERATING_COEFFS!$B:$B,$AK884))</f>
        <v/>
      </c>
      <c r="AN884">
        <f>IF($AM884="","",INDEX(TAX_MODES!$B:$B,MATCH($AM884,TAX_MODES!$A:$A,0)))</f>
        <v/>
      </c>
    </row>
    <row r="885">
      <c r="X885" s="15" t="n"/>
      <c r="Y885" s="15">
        <f>IF($X885="","",SUMIFS(TARIFF_PROFILES!$D:$D,TARIFF_PROFILES!$A:$A,$X885))</f>
        <v/>
      </c>
      <c r="Z885" s="15">
        <f>IF($X885="","",SUMIFS(TARIFF_PROFILES!$E:$E,TARIFF_PROFILES!$A:$A,$X885))</f>
        <v/>
      </c>
      <c r="AA885" s="15">
        <f>IF($X885="","",SUMIFS(TARIFF_PROFILES!$F:$F,TARIFF_PROFILES!$A:$A,$X885))</f>
        <v/>
      </c>
      <c r="AB885" s="15">
        <f>IF($X885="","",SUMIFS(TARIFF_PROFILES!$G:$G,TARIFF_PROFILES!$A:$A,$X885))</f>
        <v/>
      </c>
      <c r="AC885" s="15">
        <f>IF($X885="","",SUMIFS(TARIFF_PROFILES!$H:$H,TARIFF_PROFILES!$A:$A,$X885))</f>
        <v/>
      </c>
      <c r="AD885" s="15">
        <f>IF($X885="","",INDEX(TARIFF_PROFILES!$J:$J,MATCH($X885,TARIFF_PROFILES!$A:$A,0)))</f>
        <v/>
      </c>
      <c r="AE885" s="15">
        <f>IF($X885="","",INDEX(TARIFF_PROFILES!$K:$K,MATCH($X885,TARIFF_PROFILES!$A:$A,0)))</f>
        <v/>
      </c>
      <c r="AH885">
        <f>IF($AG885="","",SUMIFS(OPERATING_COEFFS!$C:$C,OPERATING_COEFFS!$A:$A,"DistanceClass",OPERATING_COEFFS!$B:$B,$AG885))</f>
        <v/>
      </c>
      <c r="AJ885">
        <f>IF($AI885="","",SUMIFS(OPERATING_COEFFS!$C:$C,OPERATING_COEFFS!$A:$A,"SeasonClass",OPERATING_COEFFS!$B:$B,$AI885))</f>
        <v/>
      </c>
      <c r="AL885">
        <f>IF($AK885="","",SUMIFS(OPERATING_COEFFS!$C:$C,OPERATING_COEFFS!$A:$A,"UrgencyClass",OPERATING_COEFFS!$B:$B,$AK885))</f>
        <v/>
      </c>
      <c r="AN885">
        <f>IF($AM885="","",INDEX(TAX_MODES!$B:$B,MATCH($AM885,TAX_MODES!$A:$A,0)))</f>
        <v/>
      </c>
    </row>
    <row r="886">
      <c r="X886" s="15" t="n"/>
      <c r="Y886" s="15">
        <f>IF($X886="","",SUMIFS(TARIFF_PROFILES!$D:$D,TARIFF_PROFILES!$A:$A,$X886))</f>
        <v/>
      </c>
      <c r="Z886" s="15">
        <f>IF($X886="","",SUMIFS(TARIFF_PROFILES!$E:$E,TARIFF_PROFILES!$A:$A,$X886))</f>
        <v/>
      </c>
      <c r="AA886" s="15">
        <f>IF($X886="","",SUMIFS(TARIFF_PROFILES!$F:$F,TARIFF_PROFILES!$A:$A,$X886))</f>
        <v/>
      </c>
      <c r="AB886" s="15">
        <f>IF($X886="","",SUMIFS(TARIFF_PROFILES!$G:$G,TARIFF_PROFILES!$A:$A,$X886))</f>
        <v/>
      </c>
      <c r="AC886" s="15">
        <f>IF($X886="","",SUMIFS(TARIFF_PROFILES!$H:$H,TARIFF_PROFILES!$A:$A,$X886))</f>
        <v/>
      </c>
      <c r="AD886" s="15">
        <f>IF($X886="","",INDEX(TARIFF_PROFILES!$J:$J,MATCH($X886,TARIFF_PROFILES!$A:$A,0)))</f>
        <v/>
      </c>
      <c r="AE886" s="15">
        <f>IF($X886="","",INDEX(TARIFF_PROFILES!$K:$K,MATCH($X886,TARIFF_PROFILES!$A:$A,0)))</f>
        <v/>
      </c>
      <c r="AH886">
        <f>IF($AG886="","",SUMIFS(OPERATING_COEFFS!$C:$C,OPERATING_COEFFS!$A:$A,"DistanceClass",OPERATING_COEFFS!$B:$B,$AG886))</f>
        <v/>
      </c>
      <c r="AJ886">
        <f>IF($AI886="","",SUMIFS(OPERATING_COEFFS!$C:$C,OPERATING_COEFFS!$A:$A,"SeasonClass",OPERATING_COEFFS!$B:$B,$AI886))</f>
        <v/>
      </c>
      <c r="AL886">
        <f>IF($AK886="","",SUMIFS(OPERATING_COEFFS!$C:$C,OPERATING_COEFFS!$A:$A,"UrgencyClass",OPERATING_COEFFS!$B:$B,$AK886))</f>
        <v/>
      </c>
      <c r="AN886">
        <f>IF($AM886="","",INDEX(TAX_MODES!$B:$B,MATCH($AM886,TAX_MODES!$A:$A,0)))</f>
        <v/>
      </c>
    </row>
    <row r="887">
      <c r="X887" s="15" t="n"/>
      <c r="Y887" s="15">
        <f>IF($X887="","",SUMIFS(TARIFF_PROFILES!$D:$D,TARIFF_PROFILES!$A:$A,$X887))</f>
        <v/>
      </c>
      <c r="Z887" s="15">
        <f>IF($X887="","",SUMIFS(TARIFF_PROFILES!$E:$E,TARIFF_PROFILES!$A:$A,$X887))</f>
        <v/>
      </c>
      <c r="AA887" s="15">
        <f>IF($X887="","",SUMIFS(TARIFF_PROFILES!$F:$F,TARIFF_PROFILES!$A:$A,$X887))</f>
        <v/>
      </c>
      <c r="AB887" s="15">
        <f>IF($X887="","",SUMIFS(TARIFF_PROFILES!$G:$G,TARIFF_PROFILES!$A:$A,$X887))</f>
        <v/>
      </c>
      <c r="AC887" s="15">
        <f>IF($X887="","",SUMIFS(TARIFF_PROFILES!$H:$H,TARIFF_PROFILES!$A:$A,$X887))</f>
        <v/>
      </c>
      <c r="AD887" s="15">
        <f>IF($X887="","",INDEX(TARIFF_PROFILES!$J:$J,MATCH($X887,TARIFF_PROFILES!$A:$A,0)))</f>
        <v/>
      </c>
      <c r="AE887" s="15">
        <f>IF($X887="","",INDEX(TARIFF_PROFILES!$K:$K,MATCH($X887,TARIFF_PROFILES!$A:$A,0)))</f>
        <v/>
      </c>
      <c r="AH887">
        <f>IF($AG887="","",SUMIFS(OPERATING_COEFFS!$C:$C,OPERATING_COEFFS!$A:$A,"DistanceClass",OPERATING_COEFFS!$B:$B,$AG887))</f>
        <v/>
      </c>
      <c r="AJ887">
        <f>IF($AI887="","",SUMIFS(OPERATING_COEFFS!$C:$C,OPERATING_COEFFS!$A:$A,"SeasonClass",OPERATING_COEFFS!$B:$B,$AI887))</f>
        <v/>
      </c>
      <c r="AL887">
        <f>IF($AK887="","",SUMIFS(OPERATING_COEFFS!$C:$C,OPERATING_COEFFS!$A:$A,"UrgencyClass",OPERATING_COEFFS!$B:$B,$AK887))</f>
        <v/>
      </c>
      <c r="AN887">
        <f>IF($AM887="","",INDEX(TAX_MODES!$B:$B,MATCH($AM887,TAX_MODES!$A:$A,0)))</f>
        <v/>
      </c>
    </row>
    <row r="888">
      <c r="X888" s="15" t="n"/>
      <c r="Y888" s="15">
        <f>IF($X888="","",SUMIFS(TARIFF_PROFILES!$D:$D,TARIFF_PROFILES!$A:$A,$X888))</f>
        <v/>
      </c>
      <c r="Z888" s="15">
        <f>IF($X888="","",SUMIFS(TARIFF_PROFILES!$E:$E,TARIFF_PROFILES!$A:$A,$X888))</f>
        <v/>
      </c>
      <c r="AA888" s="15">
        <f>IF($X888="","",SUMIFS(TARIFF_PROFILES!$F:$F,TARIFF_PROFILES!$A:$A,$X888))</f>
        <v/>
      </c>
      <c r="AB888" s="15">
        <f>IF($X888="","",SUMIFS(TARIFF_PROFILES!$G:$G,TARIFF_PROFILES!$A:$A,$X888))</f>
        <v/>
      </c>
      <c r="AC888" s="15">
        <f>IF($X888="","",SUMIFS(TARIFF_PROFILES!$H:$H,TARIFF_PROFILES!$A:$A,$X888))</f>
        <v/>
      </c>
      <c r="AD888" s="15">
        <f>IF($X888="","",INDEX(TARIFF_PROFILES!$J:$J,MATCH($X888,TARIFF_PROFILES!$A:$A,0)))</f>
        <v/>
      </c>
      <c r="AE888" s="15">
        <f>IF($X888="","",INDEX(TARIFF_PROFILES!$K:$K,MATCH($X888,TARIFF_PROFILES!$A:$A,0)))</f>
        <v/>
      </c>
      <c r="AH888">
        <f>IF($AG888="","",SUMIFS(OPERATING_COEFFS!$C:$C,OPERATING_COEFFS!$A:$A,"DistanceClass",OPERATING_COEFFS!$B:$B,$AG888))</f>
        <v/>
      </c>
      <c r="AJ888">
        <f>IF($AI888="","",SUMIFS(OPERATING_COEFFS!$C:$C,OPERATING_COEFFS!$A:$A,"SeasonClass",OPERATING_COEFFS!$B:$B,$AI888))</f>
        <v/>
      </c>
      <c r="AL888">
        <f>IF($AK888="","",SUMIFS(OPERATING_COEFFS!$C:$C,OPERATING_COEFFS!$A:$A,"UrgencyClass",OPERATING_COEFFS!$B:$B,$AK888))</f>
        <v/>
      </c>
      <c r="AN888">
        <f>IF($AM888="","",INDEX(TAX_MODES!$B:$B,MATCH($AM888,TAX_MODES!$A:$A,0)))</f>
        <v/>
      </c>
    </row>
    <row r="889">
      <c r="X889" s="15" t="n"/>
      <c r="Y889" s="15">
        <f>IF($X889="","",SUMIFS(TARIFF_PROFILES!$D:$D,TARIFF_PROFILES!$A:$A,$X889))</f>
        <v/>
      </c>
      <c r="Z889" s="15">
        <f>IF($X889="","",SUMIFS(TARIFF_PROFILES!$E:$E,TARIFF_PROFILES!$A:$A,$X889))</f>
        <v/>
      </c>
      <c r="AA889" s="15">
        <f>IF($X889="","",SUMIFS(TARIFF_PROFILES!$F:$F,TARIFF_PROFILES!$A:$A,$X889))</f>
        <v/>
      </c>
      <c r="AB889" s="15">
        <f>IF($X889="","",SUMIFS(TARIFF_PROFILES!$G:$G,TARIFF_PROFILES!$A:$A,$X889))</f>
        <v/>
      </c>
      <c r="AC889" s="15">
        <f>IF($X889="","",SUMIFS(TARIFF_PROFILES!$H:$H,TARIFF_PROFILES!$A:$A,$X889))</f>
        <v/>
      </c>
      <c r="AD889" s="15">
        <f>IF($X889="","",INDEX(TARIFF_PROFILES!$J:$J,MATCH($X889,TARIFF_PROFILES!$A:$A,0)))</f>
        <v/>
      </c>
      <c r="AE889" s="15">
        <f>IF($X889="","",INDEX(TARIFF_PROFILES!$K:$K,MATCH($X889,TARIFF_PROFILES!$A:$A,0)))</f>
        <v/>
      </c>
      <c r="AH889">
        <f>IF($AG889="","",SUMIFS(OPERATING_COEFFS!$C:$C,OPERATING_COEFFS!$A:$A,"DistanceClass",OPERATING_COEFFS!$B:$B,$AG889))</f>
        <v/>
      </c>
      <c r="AJ889">
        <f>IF($AI889="","",SUMIFS(OPERATING_COEFFS!$C:$C,OPERATING_COEFFS!$A:$A,"SeasonClass",OPERATING_COEFFS!$B:$B,$AI889))</f>
        <v/>
      </c>
      <c r="AL889">
        <f>IF($AK889="","",SUMIFS(OPERATING_COEFFS!$C:$C,OPERATING_COEFFS!$A:$A,"UrgencyClass",OPERATING_COEFFS!$B:$B,$AK889))</f>
        <v/>
      </c>
      <c r="AN889">
        <f>IF($AM889="","",INDEX(TAX_MODES!$B:$B,MATCH($AM889,TAX_MODES!$A:$A,0)))</f>
        <v/>
      </c>
    </row>
    <row r="890">
      <c r="X890" s="15" t="n"/>
      <c r="Y890" s="15">
        <f>IF($X890="","",SUMIFS(TARIFF_PROFILES!$D:$D,TARIFF_PROFILES!$A:$A,$X890))</f>
        <v/>
      </c>
      <c r="Z890" s="15">
        <f>IF($X890="","",SUMIFS(TARIFF_PROFILES!$E:$E,TARIFF_PROFILES!$A:$A,$X890))</f>
        <v/>
      </c>
      <c r="AA890" s="15">
        <f>IF($X890="","",SUMIFS(TARIFF_PROFILES!$F:$F,TARIFF_PROFILES!$A:$A,$X890))</f>
        <v/>
      </c>
      <c r="AB890" s="15">
        <f>IF($X890="","",SUMIFS(TARIFF_PROFILES!$G:$G,TARIFF_PROFILES!$A:$A,$X890))</f>
        <v/>
      </c>
      <c r="AC890" s="15">
        <f>IF($X890="","",SUMIFS(TARIFF_PROFILES!$H:$H,TARIFF_PROFILES!$A:$A,$X890))</f>
        <v/>
      </c>
      <c r="AD890" s="15">
        <f>IF($X890="","",INDEX(TARIFF_PROFILES!$J:$J,MATCH($X890,TARIFF_PROFILES!$A:$A,0)))</f>
        <v/>
      </c>
      <c r="AE890" s="15">
        <f>IF($X890="","",INDEX(TARIFF_PROFILES!$K:$K,MATCH($X890,TARIFF_PROFILES!$A:$A,0)))</f>
        <v/>
      </c>
      <c r="AH890">
        <f>IF($AG890="","",SUMIFS(OPERATING_COEFFS!$C:$C,OPERATING_COEFFS!$A:$A,"DistanceClass",OPERATING_COEFFS!$B:$B,$AG890))</f>
        <v/>
      </c>
      <c r="AJ890">
        <f>IF($AI890="","",SUMIFS(OPERATING_COEFFS!$C:$C,OPERATING_COEFFS!$A:$A,"SeasonClass",OPERATING_COEFFS!$B:$B,$AI890))</f>
        <v/>
      </c>
      <c r="AL890">
        <f>IF($AK890="","",SUMIFS(OPERATING_COEFFS!$C:$C,OPERATING_COEFFS!$A:$A,"UrgencyClass",OPERATING_COEFFS!$B:$B,$AK890))</f>
        <v/>
      </c>
      <c r="AN890">
        <f>IF($AM890="","",INDEX(TAX_MODES!$B:$B,MATCH($AM890,TAX_MODES!$A:$A,0)))</f>
        <v/>
      </c>
    </row>
    <row r="891">
      <c r="X891" s="15" t="n"/>
      <c r="Y891" s="15">
        <f>IF($X891="","",SUMIFS(TARIFF_PROFILES!$D:$D,TARIFF_PROFILES!$A:$A,$X891))</f>
        <v/>
      </c>
      <c r="Z891" s="15">
        <f>IF($X891="","",SUMIFS(TARIFF_PROFILES!$E:$E,TARIFF_PROFILES!$A:$A,$X891))</f>
        <v/>
      </c>
      <c r="AA891" s="15">
        <f>IF($X891="","",SUMIFS(TARIFF_PROFILES!$F:$F,TARIFF_PROFILES!$A:$A,$X891))</f>
        <v/>
      </c>
      <c r="AB891" s="15">
        <f>IF($X891="","",SUMIFS(TARIFF_PROFILES!$G:$G,TARIFF_PROFILES!$A:$A,$X891))</f>
        <v/>
      </c>
      <c r="AC891" s="15">
        <f>IF($X891="","",SUMIFS(TARIFF_PROFILES!$H:$H,TARIFF_PROFILES!$A:$A,$X891))</f>
        <v/>
      </c>
      <c r="AD891" s="15">
        <f>IF($X891="","",INDEX(TARIFF_PROFILES!$J:$J,MATCH($X891,TARIFF_PROFILES!$A:$A,0)))</f>
        <v/>
      </c>
      <c r="AE891" s="15">
        <f>IF($X891="","",INDEX(TARIFF_PROFILES!$K:$K,MATCH($X891,TARIFF_PROFILES!$A:$A,0)))</f>
        <v/>
      </c>
      <c r="AH891">
        <f>IF($AG891="","",SUMIFS(OPERATING_COEFFS!$C:$C,OPERATING_COEFFS!$A:$A,"DistanceClass",OPERATING_COEFFS!$B:$B,$AG891))</f>
        <v/>
      </c>
      <c r="AJ891">
        <f>IF($AI891="","",SUMIFS(OPERATING_COEFFS!$C:$C,OPERATING_COEFFS!$A:$A,"SeasonClass",OPERATING_COEFFS!$B:$B,$AI891))</f>
        <v/>
      </c>
      <c r="AL891">
        <f>IF($AK891="","",SUMIFS(OPERATING_COEFFS!$C:$C,OPERATING_COEFFS!$A:$A,"UrgencyClass",OPERATING_COEFFS!$B:$B,$AK891))</f>
        <v/>
      </c>
      <c r="AN891">
        <f>IF($AM891="","",INDEX(TAX_MODES!$B:$B,MATCH($AM891,TAX_MODES!$A:$A,0)))</f>
        <v/>
      </c>
    </row>
    <row r="892">
      <c r="X892" s="15" t="n"/>
      <c r="Y892" s="15">
        <f>IF($X892="","",SUMIFS(TARIFF_PROFILES!$D:$D,TARIFF_PROFILES!$A:$A,$X892))</f>
        <v/>
      </c>
      <c r="Z892" s="15">
        <f>IF($X892="","",SUMIFS(TARIFF_PROFILES!$E:$E,TARIFF_PROFILES!$A:$A,$X892))</f>
        <v/>
      </c>
      <c r="AA892" s="15">
        <f>IF($X892="","",SUMIFS(TARIFF_PROFILES!$F:$F,TARIFF_PROFILES!$A:$A,$X892))</f>
        <v/>
      </c>
      <c r="AB892" s="15">
        <f>IF($X892="","",SUMIFS(TARIFF_PROFILES!$G:$G,TARIFF_PROFILES!$A:$A,$X892))</f>
        <v/>
      </c>
      <c r="AC892" s="15">
        <f>IF($X892="","",SUMIFS(TARIFF_PROFILES!$H:$H,TARIFF_PROFILES!$A:$A,$X892))</f>
        <v/>
      </c>
      <c r="AD892" s="15">
        <f>IF($X892="","",INDEX(TARIFF_PROFILES!$J:$J,MATCH($X892,TARIFF_PROFILES!$A:$A,0)))</f>
        <v/>
      </c>
      <c r="AE892" s="15">
        <f>IF($X892="","",INDEX(TARIFF_PROFILES!$K:$K,MATCH($X892,TARIFF_PROFILES!$A:$A,0)))</f>
        <v/>
      </c>
      <c r="AH892">
        <f>IF($AG892="","",SUMIFS(OPERATING_COEFFS!$C:$C,OPERATING_COEFFS!$A:$A,"DistanceClass",OPERATING_COEFFS!$B:$B,$AG892))</f>
        <v/>
      </c>
      <c r="AJ892">
        <f>IF($AI892="","",SUMIFS(OPERATING_COEFFS!$C:$C,OPERATING_COEFFS!$A:$A,"SeasonClass",OPERATING_COEFFS!$B:$B,$AI892))</f>
        <v/>
      </c>
      <c r="AL892">
        <f>IF($AK892="","",SUMIFS(OPERATING_COEFFS!$C:$C,OPERATING_COEFFS!$A:$A,"UrgencyClass",OPERATING_COEFFS!$B:$B,$AK892))</f>
        <v/>
      </c>
      <c r="AN892">
        <f>IF($AM892="","",INDEX(TAX_MODES!$B:$B,MATCH($AM892,TAX_MODES!$A:$A,0)))</f>
        <v/>
      </c>
    </row>
    <row r="893">
      <c r="X893" s="15" t="n"/>
      <c r="Y893" s="15">
        <f>IF($X893="","",SUMIFS(TARIFF_PROFILES!$D:$D,TARIFF_PROFILES!$A:$A,$X893))</f>
        <v/>
      </c>
      <c r="Z893" s="15">
        <f>IF($X893="","",SUMIFS(TARIFF_PROFILES!$E:$E,TARIFF_PROFILES!$A:$A,$X893))</f>
        <v/>
      </c>
      <c r="AA893" s="15">
        <f>IF($X893="","",SUMIFS(TARIFF_PROFILES!$F:$F,TARIFF_PROFILES!$A:$A,$X893))</f>
        <v/>
      </c>
      <c r="AB893" s="15">
        <f>IF($X893="","",SUMIFS(TARIFF_PROFILES!$G:$G,TARIFF_PROFILES!$A:$A,$X893))</f>
        <v/>
      </c>
      <c r="AC893" s="15">
        <f>IF($X893="","",SUMIFS(TARIFF_PROFILES!$H:$H,TARIFF_PROFILES!$A:$A,$X893))</f>
        <v/>
      </c>
      <c r="AD893" s="15">
        <f>IF($X893="","",INDEX(TARIFF_PROFILES!$J:$J,MATCH($X893,TARIFF_PROFILES!$A:$A,0)))</f>
        <v/>
      </c>
      <c r="AE893" s="15">
        <f>IF($X893="","",INDEX(TARIFF_PROFILES!$K:$K,MATCH($X893,TARIFF_PROFILES!$A:$A,0)))</f>
        <v/>
      </c>
      <c r="AH893">
        <f>IF($AG893="","",SUMIFS(OPERATING_COEFFS!$C:$C,OPERATING_COEFFS!$A:$A,"DistanceClass",OPERATING_COEFFS!$B:$B,$AG893))</f>
        <v/>
      </c>
      <c r="AJ893">
        <f>IF($AI893="","",SUMIFS(OPERATING_COEFFS!$C:$C,OPERATING_COEFFS!$A:$A,"SeasonClass",OPERATING_COEFFS!$B:$B,$AI893))</f>
        <v/>
      </c>
      <c r="AL893">
        <f>IF($AK893="","",SUMIFS(OPERATING_COEFFS!$C:$C,OPERATING_COEFFS!$A:$A,"UrgencyClass",OPERATING_COEFFS!$B:$B,$AK893))</f>
        <v/>
      </c>
      <c r="AN893">
        <f>IF($AM893="","",INDEX(TAX_MODES!$B:$B,MATCH($AM893,TAX_MODES!$A:$A,0)))</f>
        <v/>
      </c>
    </row>
    <row r="894">
      <c r="X894" s="15" t="n"/>
      <c r="Y894" s="15">
        <f>IF($X894="","",SUMIFS(TARIFF_PROFILES!$D:$D,TARIFF_PROFILES!$A:$A,$X894))</f>
        <v/>
      </c>
      <c r="Z894" s="15">
        <f>IF($X894="","",SUMIFS(TARIFF_PROFILES!$E:$E,TARIFF_PROFILES!$A:$A,$X894))</f>
        <v/>
      </c>
      <c r="AA894" s="15">
        <f>IF($X894="","",SUMIFS(TARIFF_PROFILES!$F:$F,TARIFF_PROFILES!$A:$A,$X894))</f>
        <v/>
      </c>
      <c r="AB894" s="15">
        <f>IF($X894="","",SUMIFS(TARIFF_PROFILES!$G:$G,TARIFF_PROFILES!$A:$A,$X894))</f>
        <v/>
      </c>
      <c r="AC894" s="15">
        <f>IF($X894="","",SUMIFS(TARIFF_PROFILES!$H:$H,TARIFF_PROFILES!$A:$A,$X894))</f>
        <v/>
      </c>
      <c r="AD894" s="15">
        <f>IF($X894="","",INDEX(TARIFF_PROFILES!$J:$J,MATCH($X894,TARIFF_PROFILES!$A:$A,0)))</f>
        <v/>
      </c>
      <c r="AE894" s="15">
        <f>IF($X894="","",INDEX(TARIFF_PROFILES!$K:$K,MATCH($X894,TARIFF_PROFILES!$A:$A,0)))</f>
        <v/>
      </c>
      <c r="AH894">
        <f>IF($AG894="","",SUMIFS(OPERATING_COEFFS!$C:$C,OPERATING_COEFFS!$A:$A,"DistanceClass",OPERATING_COEFFS!$B:$B,$AG894))</f>
        <v/>
      </c>
      <c r="AJ894">
        <f>IF($AI894="","",SUMIFS(OPERATING_COEFFS!$C:$C,OPERATING_COEFFS!$A:$A,"SeasonClass",OPERATING_COEFFS!$B:$B,$AI894))</f>
        <v/>
      </c>
      <c r="AL894">
        <f>IF($AK894="","",SUMIFS(OPERATING_COEFFS!$C:$C,OPERATING_COEFFS!$A:$A,"UrgencyClass",OPERATING_COEFFS!$B:$B,$AK894))</f>
        <v/>
      </c>
      <c r="AN894">
        <f>IF($AM894="","",INDEX(TAX_MODES!$B:$B,MATCH($AM894,TAX_MODES!$A:$A,0)))</f>
        <v/>
      </c>
    </row>
    <row r="895">
      <c r="X895" s="15" t="n"/>
      <c r="Y895" s="15">
        <f>IF($X895="","",SUMIFS(TARIFF_PROFILES!$D:$D,TARIFF_PROFILES!$A:$A,$X895))</f>
        <v/>
      </c>
      <c r="Z895" s="15">
        <f>IF($X895="","",SUMIFS(TARIFF_PROFILES!$E:$E,TARIFF_PROFILES!$A:$A,$X895))</f>
        <v/>
      </c>
      <c r="AA895" s="15">
        <f>IF($X895="","",SUMIFS(TARIFF_PROFILES!$F:$F,TARIFF_PROFILES!$A:$A,$X895))</f>
        <v/>
      </c>
      <c r="AB895" s="15">
        <f>IF($X895="","",SUMIFS(TARIFF_PROFILES!$G:$G,TARIFF_PROFILES!$A:$A,$X895))</f>
        <v/>
      </c>
      <c r="AC895" s="15">
        <f>IF($X895="","",SUMIFS(TARIFF_PROFILES!$H:$H,TARIFF_PROFILES!$A:$A,$X895))</f>
        <v/>
      </c>
      <c r="AD895" s="15">
        <f>IF($X895="","",INDEX(TARIFF_PROFILES!$J:$J,MATCH($X895,TARIFF_PROFILES!$A:$A,0)))</f>
        <v/>
      </c>
      <c r="AE895" s="15">
        <f>IF($X895="","",INDEX(TARIFF_PROFILES!$K:$K,MATCH($X895,TARIFF_PROFILES!$A:$A,0)))</f>
        <v/>
      </c>
      <c r="AH895">
        <f>IF($AG895="","",SUMIFS(OPERATING_COEFFS!$C:$C,OPERATING_COEFFS!$A:$A,"DistanceClass",OPERATING_COEFFS!$B:$B,$AG895))</f>
        <v/>
      </c>
      <c r="AJ895">
        <f>IF($AI895="","",SUMIFS(OPERATING_COEFFS!$C:$C,OPERATING_COEFFS!$A:$A,"SeasonClass",OPERATING_COEFFS!$B:$B,$AI895))</f>
        <v/>
      </c>
      <c r="AL895">
        <f>IF($AK895="","",SUMIFS(OPERATING_COEFFS!$C:$C,OPERATING_COEFFS!$A:$A,"UrgencyClass",OPERATING_COEFFS!$B:$B,$AK895))</f>
        <v/>
      </c>
      <c r="AN895">
        <f>IF($AM895="","",INDEX(TAX_MODES!$B:$B,MATCH($AM895,TAX_MODES!$A:$A,0)))</f>
        <v/>
      </c>
    </row>
    <row r="896">
      <c r="X896" s="15" t="n"/>
      <c r="Y896" s="15">
        <f>IF($X896="","",SUMIFS(TARIFF_PROFILES!$D:$D,TARIFF_PROFILES!$A:$A,$X896))</f>
        <v/>
      </c>
      <c r="Z896" s="15">
        <f>IF($X896="","",SUMIFS(TARIFF_PROFILES!$E:$E,TARIFF_PROFILES!$A:$A,$X896))</f>
        <v/>
      </c>
      <c r="AA896" s="15">
        <f>IF($X896="","",SUMIFS(TARIFF_PROFILES!$F:$F,TARIFF_PROFILES!$A:$A,$X896))</f>
        <v/>
      </c>
      <c r="AB896" s="15">
        <f>IF($X896="","",SUMIFS(TARIFF_PROFILES!$G:$G,TARIFF_PROFILES!$A:$A,$X896))</f>
        <v/>
      </c>
      <c r="AC896" s="15">
        <f>IF($X896="","",SUMIFS(TARIFF_PROFILES!$H:$H,TARIFF_PROFILES!$A:$A,$X896))</f>
        <v/>
      </c>
      <c r="AD896" s="15">
        <f>IF($X896="","",INDEX(TARIFF_PROFILES!$J:$J,MATCH($X896,TARIFF_PROFILES!$A:$A,0)))</f>
        <v/>
      </c>
      <c r="AE896" s="15">
        <f>IF($X896="","",INDEX(TARIFF_PROFILES!$K:$K,MATCH($X896,TARIFF_PROFILES!$A:$A,0)))</f>
        <v/>
      </c>
      <c r="AH896">
        <f>IF($AG896="","",SUMIFS(OPERATING_COEFFS!$C:$C,OPERATING_COEFFS!$A:$A,"DistanceClass",OPERATING_COEFFS!$B:$B,$AG896))</f>
        <v/>
      </c>
      <c r="AJ896">
        <f>IF($AI896="","",SUMIFS(OPERATING_COEFFS!$C:$C,OPERATING_COEFFS!$A:$A,"SeasonClass",OPERATING_COEFFS!$B:$B,$AI896))</f>
        <v/>
      </c>
      <c r="AL896">
        <f>IF($AK896="","",SUMIFS(OPERATING_COEFFS!$C:$C,OPERATING_COEFFS!$A:$A,"UrgencyClass",OPERATING_COEFFS!$B:$B,$AK896))</f>
        <v/>
      </c>
      <c r="AN896">
        <f>IF($AM896="","",INDEX(TAX_MODES!$B:$B,MATCH($AM896,TAX_MODES!$A:$A,0)))</f>
        <v/>
      </c>
    </row>
    <row r="897">
      <c r="X897" s="15" t="n"/>
      <c r="Y897" s="15">
        <f>IF($X897="","",SUMIFS(TARIFF_PROFILES!$D:$D,TARIFF_PROFILES!$A:$A,$X897))</f>
        <v/>
      </c>
      <c r="Z897" s="15">
        <f>IF($X897="","",SUMIFS(TARIFF_PROFILES!$E:$E,TARIFF_PROFILES!$A:$A,$X897))</f>
        <v/>
      </c>
      <c r="AA897" s="15">
        <f>IF($X897="","",SUMIFS(TARIFF_PROFILES!$F:$F,TARIFF_PROFILES!$A:$A,$X897))</f>
        <v/>
      </c>
      <c r="AB897" s="15">
        <f>IF($X897="","",SUMIFS(TARIFF_PROFILES!$G:$G,TARIFF_PROFILES!$A:$A,$X897))</f>
        <v/>
      </c>
      <c r="AC897" s="15">
        <f>IF($X897="","",SUMIFS(TARIFF_PROFILES!$H:$H,TARIFF_PROFILES!$A:$A,$X897))</f>
        <v/>
      </c>
      <c r="AD897" s="15">
        <f>IF($X897="","",INDEX(TARIFF_PROFILES!$J:$J,MATCH($X897,TARIFF_PROFILES!$A:$A,0)))</f>
        <v/>
      </c>
      <c r="AE897" s="15">
        <f>IF($X897="","",INDEX(TARIFF_PROFILES!$K:$K,MATCH($X897,TARIFF_PROFILES!$A:$A,0)))</f>
        <v/>
      </c>
      <c r="AH897">
        <f>IF($AG897="","",SUMIFS(OPERATING_COEFFS!$C:$C,OPERATING_COEFFS!$A:$A,"DistanceClass",OPERATING_COEFFS!$B:$B,$AG897))</f>
        <v/>
      </c>
      <c r="AJ897">
        <f>IF($AI897="","",SUMIFS(OPERATING_COEFFS!$C:$C,OPERATING_COEFFS!$A:$A,"SeasonClass",OPERATING_COEFFS!$B:$B,$AI897))</f>
        <v/>
      </c>
      <c r="AL897">
        <f>IF($AK897="","",SUMIFS(OPERATING_COEFFS!$C:$C,OPERATING_COEFFS!$A:$A,"UrgencyClass",OPERATING_COEFFS!$B:$B,$AK897))</f>
        <v/>
      </c>
      <c r="AN897">
        <f>IF($AM897="","",INDEX(TAX_MODES!$B:$B,MATCH($AM897,TAX_MODES!$A:$A,0)))</f>
        <v/>
      </c>
    </row>
    <row r="898">
      <c r="X898" s="15" t="n"/>
      <c r="Y898" s="15">
        <f>IF($X898="","",SUMIFS(TARIFF_PROFILES!$D:$D,TARIFF_PROFILES!$A:$A,$X898))</f>
        <v/>
      </c>
      <c r="Z898" s="15">
        <f>IF($X898="","",SUMIFS(TARIFF_PROFILES!$E:$E,TARIFF_PROFILES!$A:$A,$X898))</f>
        <v/>
      </c>
      <c r="AA898" s="15">
        <f>IF($X898="","",SUMIFS(TARIFF_PROFILES!$F:$F,TARIFF_PROFILES!$A:$A,$X898))</f>
        <v/>
      </c>
      <c r="AB898" s="15">
        <f>IF($X898="","",SUMIFS(TARIFF_PROFILES!$G:$G,TARIFF_PROFILES!$A:$A,$X898))</f>
        <v/>
      </c>
      <c r="AC898" s="15">
        <f>IF($X898="","",SUMIFS(TARIFF_PROFILES!$H:$H,TARIFF_PROFILES!$A:$A,$X898))</f>
        <v/>
      </c>
      <c r="AD898" s="15">
        <f>IF($X898="","",INDEX(TARIFF_PROFILES!$J:$J,MATCH($X898,TARIFF_PROFILES!$A:$A,0)))</f>
        <v/>
      </c>
      <c r="AE898" s="15">
        <f>IF($X898="","",INDEX(TARIFF_PROFILES!$K:$K,MATCH($X898,TARIFF_PROFILES!$A:$A,0)))</f>
        <v/>
      </c>
      <c r="AH898">
        <f>IF($AG898="","",SUMIFS(OPERATING_COEFFS!$C:$C,OPERATING_COEFFS!$A:$A,"DistanceClass",OPERATING_COEFFS!$B:$B,$AG898))</f>
        <v/>
      </c>
      <c r="AJ898">
        <f>IF($AI898="","",SUMIFS(OPERATING_COEFFS!$C:$C,OPERATING_COEFFS!$A:$A,"SeasonClass",OPERATING_COEFFS!$B:$B,$AI898))</f>
        <v/>
      </c>
      <c r="AL898">
        <f>IF($AK898="","",SUMIFS(OPERATING_COEFFS!$C:$C,OPERATING_COEFFS!$A:$A,"UrgencyClass",OPERATING_COEFFS!$B:$B,$AK898))</f>
        <v/>
      </c>
      <c r="AN898">
        <f>IF($AM898="","",INDEX(TAX_MODES!$B:$B,MATCH($AM898,TAX_MODES!$A:$A,0)))</f>
        <v/>
      </c>
    </row>
    <row r="899">
      <c r="X899" s="15" t="n"/>
      <c r="Y899" s="15">
        <f>IF($X899="","",SUMIFS(TARIFF_PROFILES!$D:$D,TARIFF_PROFILES!$A:$A,$X899))</f>
        <v/>
      </c>
      <c r="Z899" s="15">
        <f>IF($X899="","",SUMIFS(TARIFF_PROFILES!$E:$E,TARIFF_PROFILES!$A:$A,$X899))</f>
        <v/>
      </c>
      <c r="AA899" s="15">
        <f>IF($X899="","",SUMIFS(TARIFF_PROFILES!$F:$F,TARIFF_PROFILES!$A:$A,$X899))</f>
        <v/>
      </c>
      <c r="AB899" s="15">
        <f>IF($X899="","",SUMIFS(TARIFF_PROFILES!$G:$G,TARIFF_PROFILES!$A:$A,$X899))</f>
        <v/>
      </c>
      <c r="AC899" s="15">
        <f>IF($X899="","",SUMIFS(TARIFF_PROFILES!$H:$H,TARIFF_PROFILES!$A:$A,$X899))</f>
        <v/>
      </c>
      <c r="AD899" s="15">
        <f>IF($X899="","",INDEX(TARIFF_PROFILES!$J:$J,MATCH($X899,TARIFF_PROFILES!$A:$A,0)))</f>
        <v/>
      </c>
      <c r="AE899" s="15">
        <f>IF($X899="","",INDEX(TARIFF_PROFILES!$K:$K,MATCH($X899,TARIFF_PROFILES!$A:$A,0)))</f>
        <v/>
      </c>
      <c r="AH899">
        <f>IF($AG899="","",SUMIFS(OPERATING_COEFFS!$C:$C,OPERATING_COEFFS!$A:$A,"DistanceClass",OPERATING_COEFFS!$B:$B,$AG899))</f>
        <v/>
      </c>
      <c r="AJ899">
        <f>IF($AI899="","",SUMIFS(OPERATING_COEFFS!$C:$C,OPERATING_COEFFS!$A:$A,"SeasonClass",OPERATING_COEFFS!$B:$B,$AI899))</f>
        <v/>
      </c>
      <c r="AL899">
        <f>IF($AK899="","",SUMIFS(OPERATING_COEFFS!$C:$C,OPERATING_COEFFS!$A:$A,"UrgencyClass",OPERATING_COEFFS!$B:$B,$AK899))</f>
        <v/>
      </c>
      <c r="AN899">
        <f>IF($AM899="","",INDEX(TAX_MODES!$B:$B,MATCH($AM899,TAX_MODES!$A:$A,0)))</f>
        <v/>
      </c>
    </row>
    <row r="900">
      <c r="X900" s="15" t="n"/>
      <c r="Y900" s="15">
        <f>IF($X900="","",SUMIFS(TARIFF_PROFILES!$D:$D,TARIFF_PROFILES!$A:$A,$X900))</f>
        <v/>
      </c>
      <c r="Z900" s="15">
        <f>IF($X900="","",SUMIFS(TARIFF_PROFILES!$E:$E,TARIFF_PROFILES!$A:$A,$X900))</f>
        <v/>
      </c>
      <c r="AA900" s="15">
        <f>IF($X900="","",SUMIFS(TARIFF_PROFILES!$F:$F,TARIFF_PROFILES!$A:$A,$X900))</f>
        <v/>
      </c>
      <c r="AB900" s="15">
        <f>IF($X900="","",SUMIFS(TARIFF_PROFILES!$G:$G,TARIFF_PROFILES!$A:$A,$X900))</f>
        <v/>
      </c>
      <c r="AC900" s="15">
        <f>IF($X900="","",SUMIFS(TARIFF_PROFILES!$H:$H,TARIFF_PROFILES!$A:$A,$X900))</f>
        <v/>
      </c>
      <c r="AD900" s="15">
        <f>IF($X900="","",INDEX(TARIFF_PROFILES!$J:$J,MATCH($X900,TARIFF_PROFILES!$A:$A,0)))</f>
        <v/>
      </c>
      <c r="AE900" s="15">
        <f>IF($X900="","",INDEX(TARIFF_PROFILES!$K:$K,MATCH($X900,TARIFF_PROFILES!$A:$A,0)))</f>
        <v/>
      </c>
      <c r="AH900">
        <f>IF($AG900="","",SUMIFS(OPERATING_COEFFS!$C:$C,OPERATING_COEFFS!$A:$A,"DistanceClass",OPERATING_COEFFS!$B:$B,$AG900))</f>
        <v/>
      </c>
      <c r="AJ900">
        <f>IF($AI900="","",SUMIFS(OPERATING_COEFFS!$C:$C,OPERATING_COEFFS!$A:$A,"SeasonClass",OPERATING_COEFFS!$B:$B,$AI900))</f>
        <v/>
      </c>
      <c r="AL900">
        <f>IF($AK900="","",SUMIFS(OPERATING_COEFFS!$C:$C,OPERATING_COEFFS!$A:$A,"UrgencyClass",OPERATING_COEFFS!$B:$B,$AK900))</f>
        <v/>
      </c>
      <c r="AN900">
        <f>IF($AM900="","",INDEX(TAX_MODES!$B:$B,MATCH($AM900,TAX_MODES!$A:$A,0)))</f>
        <v/>
      </c>
    </row>
    <row r="901">
      <c r="X901" s="15" t="n"/>
      <c r="Y901" s="15">
        <f>IF($X901="","",SUMIFS(TARIFF_PROFILES!$D:$D,TARIFF_PROFILES!$A:$A,$X901))</f>
        <v/>
      </c>
      <c r="Z901" s="15">
        <f>IF($X901="","",SUMIFS(TARIFF_PROFILES!$E:$E,TARIFF_PROFILES!$A:$A,$X901))</f>
        <v/>
      </c>
      <c r="AA901" s="15">
        <f>IF($X901="","",SUMIFS(TARIFF_PROFILES!$F:$F,TARIFF_PROFILES!$A:$A,$X901))</f>
        <v/>
      </c>
      <c r="AB901" s="15">
        <f>IF($X901="","",SUMIFS(TARIFF_PROFILES!$G:$G,TARIFF_PROFILES!$A:$A,$X901))</f>
        <v/>
      </c>
      <c r="AC901" s="15">
        <f>IF($X901="","",SUMIFS(TARIFF_PROFILES!$H:$H,TARIFF_PROFILES!$A:$A,$X901))</f>
        <v/>
      </c>
      <c r="AD901" s="15">
        <f>IF($X901="","",INDEX(TARIFF_PROFILES!$J:$J,MATCH($X901,TARIFF_PROFILES!$A:$A,0)))</f>
        <v/>
      </c>
      <c r="AE901" s="15">
        <f>IF($X901="","",INDEX(TARIFF_PROFILES!$K:$K,MATCH($X901,TARIFF_PROFILES!$A:$A,0)))</f>
        <v/>
      </c>
      <c r="AH901">
        <f>IF($AG901="","",SUMIFS(OPERATING_COEFFS!$C:$C,OPERATING_COEFFS!$A:$A,"DistanceClass",OPERATING_COEFFS!$B:$B,$AG901))</f>
        <v/>
      </c>
      <c r="AJ901">
        <f>IF($AI901="","",SUMIFS(OPERATING_COEFFS!$C:$C,OPERATING_COEFFS!$A:$A,"SeasonClass",OPERATING_COEFFS!$B:$B,$AI901))</f>
        <v/>
      </c>
      <c r="AL901">
        <f>IF($AK901="","",SUMIFS(OPERATING_COEFFS!$C:$C,OPERATING_COEFFS!$A:$A,"UrgencyClass",OPERATING_COEFFS!$B:$B,$AK901))</f>
        <v/>
      </c>
      <c r="AN901">
        <f>IF($AM901="","",INDEX(TAX_MODES!$B:$B,MATCH($AM901,TAX_MODES!$A:$A,0)))</f>
        <v/>
      </c>
    </row>
    <row r="902">
      <c r="X902" s="15" t="n"/>
      <c r="Y902" s="15">
        <f>IF($X902="","",SUMIFS(TARIFF_PROFILES!$D:$D,TARIFF_PROFILES!$A:$A,$X902))</f>
        <v/>
      </c>
      <c r="Z902" s="15">
        <f>IF($X902="","",SUMIFS(TARIFF_PROFILES!$E:$E,TARIFF_PROFILES!$A:$A,$X902))</f>
        <v/>
      </c>
      <c r="AA902" s="15">
        <f>IF($X902="","",SUMIFS(TARIFF_PROFILES!$F:$F,TARIFF_PROFILES!$A:$A,$X902))</f>
        <v/>
      </c>
      <c r="AB902" s="15">
        <f>IF($X902="","",SUMIFS(TARIFF_PROFILES!$G:$G,TARIFF_PROFILES!$A:$A,$X902))</f>
        <v/>
      </c>
      <c r="AC902" s="15">
        <f>IF($X902="","",SUMIFS(TARIFF_PROFILES!$H:$H,TARIFF_PROFILES!$A:$A,$X902))</f>
        <v/>
      </c>
      <c r="AD902" s="15">
        <f>IF($X902="","",INDEX(TARIFF_PROFILES!$J:$J,MATCH($X902,TARIFF_PROFILES!$A:$A,0)))</f>
        <v/>
      </c>
      <c r="AE902" s="15">
        <f>IF($X902="","",INDEX(TARIFF_PROFILES!$K:$K,MATCH($X902,TARIFF_PROFILES!$A:$A,0)))</f>
        <v/>
      </c>
      <c r="AH902">
        <f>IF($AG902="","",SUMIFS(OPERATING_COEFFS!$C:$C,OPERATING_COEFFS!$A:$A,"DistanceClass",OPERATING_COEFFS!$B:$B,$AG902))</f>
        <v/>
      </c>
      <c r="AJ902">
        <f>IF($AI902="","",SUMIFS(OPERATING_COEFFS!$C:$C,OPERATING_COEFFS!$A:$A,"SeasonClass",OPERATING_COEFFS!$B:$B,$AI902))</f>
        <v/>
      </c>
      <c r="AL902">
        <f>IF($AK902="","",SUMIFS(OPERATING_COEFFS!$C:$C,OPERATING_COEFFS!$A:$A,"UrgencyClass",OPERATING_COEFFS!$B:$B,$AK902))</f>
        <v/>
      </c>
      <c r="AN902">
        <f>IF($AM902="","",INDEX(TAX_MODES!$B:$B,MATCH($AM902,TAX_MODES!$A:$A,0)))</f>
        <v/>
      </c>
    </row>
    <row r="903">
      <c r="X903" s="15" t="n"/>
      <c r="Y903" s="15">
        <f>IF($X903="","",SUMIFS(TARIFF_PROFILES!$D:$D,TARIFF_PROFILES!$A:$A,$X903))</f>
        <v/>
      </c>
      <c r="Z903" s="15">
        <f>IF($X903="","",SUMIFS(TARIFF_PROFILES!$E:$E,TARIFF_PROFILES!$A:$A,$X903))</f>
        <v/>
      </c>
      <c r="AA903" s="15">
        <f>IF($X903="","",SUMIFS(TARIFF_PROFILES!$F:$F,TARIFF_PROFILES!$A:$A,$X903))</f>
        <v/>
      </c>
      <c r="AB903" s="15">
        <f>IF($X903="","",SUMIFS(TARIFF_PROFILES!$G:$G,TARIFF_PROFILES!$A:$A,$X903))</f>
        <v/>
      </c>
      <c r="AC903" s="15">
        <f>IF($X903="","",SUMIFS(TARIFF_PROFILES!$H:$H,TARIFF_PROFILES!$A:$A,$X903))</f>
        <v/>
      </c>
      <c r="AD903" s="15">
        <f>IF($X903="","",INDEX(TARIFF_PROFILES!$J:$J,MATCH($X903,TARIFF_PROFILES!$A:$A,0)))</f>
        <v/>
      </c>
      <c r="AE903" s="15">
        <f>IF($X903="","",INDEX(TARIFF_PROFILES!$K:$K,MATCH($X903,TARIFF_PROFILES!$A:$A,0)))</f>
        <v/>
      </c>
      <c r="AH903">
        <f>IF($AG903="","",SUMIFS(OPERATING_COEFFS!$C:$C,OPERATING_COEFFS!$A:$A,"DistanceClass",OPERATING_COEFFS!$B:$B,$AG903))</f>
        <v/>
      </c>
      <c r="AJ903">
        <f>IF($AI903="","",SUMIFS(OPERATING_COEFFS!$C:$C,OPERATING_COEFFS!$A:$A,"SeasonClass",OPERATING_COEFFS!$B:$B,$AI903))</f>
        <v/>
      </c>
      <c r="AL903">
        <f>IF($AK903="","",SUMIFS(OPERATING_COEFFS!$C:$C,OPERATING_COEFFS!$A:$A,"UrgencyClass",OPERATING_COEFFS!$B:$B,$AK903))</f>
        <v/>
      </c>
      <c r="AN903">
        <f>IF($AM903="","",INDEX(TAX_MODES!$B:$B,MATCH($AM903,TAX_MODES!$A:$A,0)))</f>
        <v/>
      </c>
    </row>
    <row r="904">
      <c r="X904" s="15" t="n"/>
      <c r="Y904" s="15">
        <f>IF($X904="","",SUMIFS(TARIFF_PROFILES!$D:$D,TARIFF_PROFILES!$A:$A,$X904))</f>
        <v/>
      </c>
      <c r="Z904" s="15">
        <f>IF($X904="","",SUMIFS(TARIFF_PROFILES!$E:$E,TARIFF_PROFILES!$A:$A,$X904))</f>
        <v/>
      </c>
      <c r="AA904" s="15">
        <f>IF($X904="","",SUMIFS(TARIFF_PROFILES!$F:$F,TARIFF_PROFILES!$A:$A,$X904))</f>
        <v/>
      </c>
      <c r="AB904" s="15">
        <f>IF($X904="","",SUMIFS(TARIFF_PROFILES!$G:$G,TARIFF_PROFILES!$A:$A,$X904))</f>
        <v/>
      </c>
      <c r="AC904" s="15">
        <f>IF($X904="","",SUMIFS(TARIFF_PROFILES!$H:$H,TARIFF_PROFILES!$A:$A,$X904))</f>
        <v/>
      </c>
      <c r="AD904" s="15">
        <f>IF($X904="","",INDEX(TARIFF_PROFILES!$J:$J,MATCH($X904,TARIFF_PROFILES!$A:$A,0)))</f>
        <v/>
      </c>
      <c r="AE904" s="15">
        <f>IF($X904="","",INDEX(TARIFF_PROFILES!$K:$K,MATCH($X904,TARIFF_PROFILES!$A:$A,0)))</f>
        <v/>
      </c>
      <c r="AH904">
        <f>IF($AG904="","",SUMIFS(OPERATING_COEFFS!$C:$C,OPERATING_COEFFS!$A:$A,"DistanceClass",OPERATING_COEFFS!$B:$B,$AG904))</f>
        <v/>
      </c>
      <c r="AJ904">
        <f>IF($AI904="","",SUMIFS(OPERATING_COEFFS!$C:$C,OPERATING_COEFFS!$A:$A,"SeasonClass",OPERATING_COEFFS!$B:$B,$AI904))</f>
        <v/>
      </c>
      <c r="AL904">
        <f>IF($AK904="","",SUMIFS(OPERATING_COEFFS!$C:$C,OPERATING_COEFFS!$A:$A,"UrgencyClass",OPERATING_COEFFS!$B:$B,$AK904))</f>
        <v/>
      </c>
      <c r="AN904">
        <f>IF($AM904="","",INDEX(TAX_MODES!$B:$B,MATCH($AM904,TAX_MODES!$A:$A,0)))</f>
        <v/>
      </c>
    </row>
    <row r="905">
      <c r="X905" s="15" t="n"/>
      <c r="Y905" s="15">
        <f>IF($X905="","",SUMIFS(TARIFF_PROFILES!$D:$D,TARIFF_PROFILES!$A:$A,$X905))</f>
        <v/>
      </c>
      <c r="Z905" s="15">
        <f>IF($X905="","",SUMIFS(TARIFF_PROFILES!$E:$E,TARIFF_PROFILES!$A:$A,$X905))</f>
        <v/>
      </c>
      <c r="AA905" s="15">
        <f>IF($X905="","",SUMIFS(TARIFF_PROFILES!$F:$F,TARIFF_PROFILES!$A:$A,$X905))</f>
        <v/>
      </c>
      <c r="AB905" s="15">
        <f>IF($X905="","",SUMIFS(TARIFF_PROFILES!$G:$G,TARIFF_PROFILES!$A:$A,$X905))</f>
        <v/>
      </c>
      <c r="AC905" s="15">
        <f>IF($X905="","",SUMIFS(TARIFF_PROFILES!$H:$H,TARIFF_PROFILES!$A:$A,$X905))</f>
        <v/>
      </c>
      <c r="AD905" s="15">
        <f>IF($X905="","",INDEX(TARIFF_PROFILES!$J:$J,MATCH($X905,TARIFF_PROFILES!$A:$A,0)))</f>
        <v/>
      </c>
      <c r="AE905" s="15">
        <f>IF($X905="","",INDEX(TARIFF_PROFILES!$K:$K,MATCH($X905,TARIFF_PROFILES!$A:$A,0)))</f>
        <v/>
      </c>
      <c r="AH905">
        <f>IF($AG905="","",SUMIFS(OPERATING_COEFFS!$C:$C,OPERATING_COEFFS!$A:$A,"DistanceClass",OPERATING_COEFFS!$B:$B,$AG905))</f>
        <v/>
      </c>
      <c r="AJ905">
        <f>IF($AI905="","",SUMIFS(OPERATING_COEFFS!$C:$C,OPERATING_COEFFS!$A:$A,"SeasonClass",OPERATING_COEFFS!$B:$B,$AI905))</f>
        <v/>
      </c>
      <c r="AL905">
        <f>IF($AK905="","",SUMIFS(OPERATING_COEFFS!$C:$C,OPERATING_COEFFS!$A:$A,"UrgencyClass",OPERATING_COEFFS!$B:$B,$AK905))</f>
        <v/>
      </c>
      <c r="AN905">
        <f>IF($AM905="","",INDEX(TAX_MODES!$B:$B,MATCH($AM905,TAX_MODES!$A:$A,0)))</f>
        <v/>
      </c>
    </row>
    <row r="906">
      <c r="X906" s="15" t="n"/>
      <c r="Y906" s="15">
        <f>IF($X906="","",SUMIFS(TARIFF_PROFILES!$D:$D,TARIFF_PROFILES!$A:$A,$X906))</f>
        <v/>
      </c>
      <c r="Z906" s="15">
        <f>IF($X906="","",SUMIFS(TARIFF_PROFILES!$E:$E,TARIFF_PROFILES!$A:$A,$X906))</f>
        <v/>
      </c>
      <c r="AA906" s="15">
        <f>IF($X906="","",SUMIFS(TARIFF_PROFILES!$F:$F,TARIFF_PROFILES!$A:$A,$X906))</f>
        <v/>
      </c>
      <c r="AB906" s="15">
        <f>IF($X906="","",SUMIFS(TARIFF_PROFILES!$G:$G,TARIFF_PROFILES!$A:$A,$X906))</f>
        <v/>
      </c>
      <c r="AC906" s="15">
        <f>IF($X906="","",SUMIFS(TARIFF_PROFILES!$H:$H,TARIFF_PROFILES!$A:$A,$X906))</f>
        <v/>
      </c>
      <c r="AD906" s="15">
        <f>IF($X906="","",INDEX(TARIFF_PROFILES!$J:$J,MATCH($X906,TARIFF_PROFILES!$A:$A,0)))</f>
        <v/>
      </c>
      <c r="AE906" s="15">
        <f>IF($X906="","",INDEX(TARIFF_PROFILES!$K:$K,MATCH($X906,TARIFF_PROFILES!$A:$A,0)))</f>
        <v/>
      </c>
      <c r="AH906">
        <f>IF($AG906="","",SUMIFS(OPERATING_COEFFS!$C:$C,OPERATING_COEFFS!$A:$A,"DistanceClass",OPERATING_COEFFS!$B:$B,$AG906))</f>
        <v/>
      </c>
      <c r="AJ906">
        <f>IF($AI906="","",SUMIFS(OPERATING_COEFFS!$C:$C,OPERATING_COEFFS!$A:$A,"SeasonClass",OPERATING_COEFFS!$B:$B,$AI906))</f>
        <v/>
      </c>
      <c r="AL906">
        <f>IF($AK906="","",SUMIFS(OPERATING_COEFFS!$C:$C,OPERATING_COEFFS!$A:$A,"UrgencyClass",OPERATING_COEFFS!$B:$B,$AK906))</f>
        <v/>
      </c>
      <c r="AN906">
        <f>IF($AM906="","",INDEX(TAX_MODES!$B:$B,MATCH($AM906,TAX_MODES!$A:$A,0)))</f>
        <v/>
      </c>
    </row>
    <row r="907">
      <c r="X907" s="15" t="n"/>
      <c r="Y907" s="15">
        <f>IF($X907="","",SUMIFS(TARIFF_PROFILES!$D:$D,TARIFF_PROFILES!$A:$A,$X907))</f>
        <v/>
      </c>
      <c r="Z907" s="15">
        <f>IF($X907="","",SUMIFS(TARIFF_PROFILES!$E:$E,TARIFF_PROFILES!$A:$A,$X907))</f>
        <v/>
      </c>
      <c r="AA907" s="15">
        <f>IF($X907="","",SUMIFS(TARIFF_PROFILES!$F:$F,TARIFF_PROFILES!$A:$A,$X907))</f>
        <v/>
      </c>
      <c r="AB907" s="15">
        <f>IF($X907="","",SUMIFS(TARIFF_PROFILES!$G:$G,TARIFF_PROFILES!$A:$A,$X907))</f>
        <v/>
      </c>
      <c r="AC907" s="15">
        <f>IF($X907="","",SUMIFS(TARIFF_PROFILES!$H:$H,TARIFF_PROFILES!$A:$A,$X907))</f>
        <v/>
      </c>
      <c r="AD907" s="15">
        <f>IF($X907="","",INDEX(TARIFF_PROFILES!$J:$J,MATCH($X907,TARIFF_PROFILES!$A:$A,0)))</f>
        <v/>
      </c>
      <c r="AE907" s="15">
        <f>IF($X907="","",INDEX(TARIFF_PROFILES!$K:$K,MATCH($X907,TARIFF_PROFILES!$A:$A,0)))</f>
        <v/>
      </c>
      <c r="AH907">
        <f>IF($AG907="","",SUMIFS(OPERATING_COEFFS!$C:$C,OPERATING_COEFFS!$A:$A,"DistanceClass",OPERATING_COEFFS!$B:$B,$AG907))</f>
        <v/>
      </c>
      <c r="AJ907">
        <f>IF($AI907="","",SUMIFS(OPERATING_COEFFS!$C:$C,OPERATING_COEFFS!$A:$A,"SeasonClass",OPERATING_COEFFS!$B:$B,$AI907))</f>
        <v/>
      </c>
      <c r="AL907">
        <f>IF($AK907="","",SUMIFS(OPERATING_COEFFS!$C:$C,OPERATING_COEFFS!$A:$A,"UrgencyClass",OPERATING_COEFFS!$B:$B,$AK907))</f>
        <v/>
      </c>
      <c r="AN907">
        <f>IF($AM907="","",INDEX(TAX_MODES!$B:$B,MATCH($AM907,TAX_MODES!$A:$A,0)))</f>
        <v/>
      </c>
    </row>
    <row r="908">
      <c r="X908" s="15" t="n"/>
      <c r="Y908" s="15">
        <f>IF($X908="","",SUMIFS(TARIFF_PROFILES!$D:$D,TARIFF_PROFILES!$A:$A,$X908))</f>
        <v/>
      </c>
      <c r="Z908" s="15">
        <f>IF($X908="","",SUMIFS(TARIFF_PROFILES!$E:$E,TARIFF_PROFILES!$A:$A,$X908))</f>
        <v/>
      </c>
      <c r="AA908" s="15">
        <f>IF($X908="","",SUMIFS(TARIFF_PROFILES!$F:$F,TARIFF_PROFILES!$A:$A,$X908))</f>
        <v/>
      </c>
      <c r="AB908" s="15">
        <f>IF($X908="","",SUMIFS(TARIFF_PROFILES!$G:$G,TARIFF_PROFILES!$A:$A,$X908))</f>
        <v/>
      </c>
      <c r="AC908" s="15">
        <f>IF($X908="","",SUMIFS(TARIFF_PROFILES!$H:$H,TARIFF_PROFILES!$A:$A,$X908))</f>
        <v/>
      </c>
      <c r="AD908" s="15">
        <f>IF($X908="","",INDEX(TARIFF_PROFILES!$J:$J,MATCH($X908,TARIFF_PROFILES!$A:$A,0)))</f>
        <v/>
      </c>
      <c r="AE908" s="15">
        <f>IF($X908="","",INDEX(TARIFF_PROFILES!$K:$K,MATCH($X908,TARIFF_PROFILES!$A:$A,0)))</f>
        <v/>
      </c>
      <c r="AH908">
        <f>IF($AG908="","",SUMIFS(OPERATING_COEFFS!$C:$C,OPERATING_COEFFS!$A:$A,"DistanceClass",OPERATING_COEFFS!$B:$B,$AG908))</f>
        <v/>
      </c>
      <c r="AJ908">
        <f>IF($AI908="","",SUMIFS(OPERATING_COEFFS!$C:$C,OPERATING_COEFFS!$A:$A,"SeasonClass",OPERATING_COEFFS!$B:$B,$AI908))</f>
        <v/>
      </c>
      <c r="AL908">
        <f>IF($AK908="","",SUMIFS(OPERATING_COEFFS!$C:$C,OPERATING_COEFFS!$A:$A,"UrgencyClass",OPERATING_COEFFS!$B:$B,$AK908))</f>
        <v/>
      </c>
      <c r="AN908">
        <f>IF($AM908="","",INDEX(TAX_MODES!$B:$B,MATCH($AM908,TAX_MODES!$A:$A,0)))</f>
        <v/>
      </c>
    </row>
    <row r="909">
      <c r="X909" s="15" t="n"/>
      <c r="Y909" s="15">
        <f>IF($X909="","",SUMIFS(TARIFF_PROFILES!$D:$D,TARIFF_PROFILES!$A:$A,$X909))</f>
        <v/>
      </c>
      <c r="Z909" s="15">
        <f>IF($X909="","",SUMIFS(TARIFF_PROFILES!$E:$E,TARIFF_PROFILES!$A:$A,$X909))</f>
        <v/>
      </c>
      <c r="AA909" s="15">
        <f>IF($X909="","",SUMIFS(TARIFF_PROFILES!$F:$F,TARIFF_PROFILES!$A:$A,$X909))</f>
        <v/>
      </c>
      <c r="AB909" s="15">
        <f>IF($X909="","",SUMIFS(TARIFF_PROFILES!$G:$G,TARIFF_PROFILES!$A:$A,$X909))</f>
        <v/>
      </c>
      <c r="AC909" s="15">
        <f>IF($X909="","",SUMIFS(TARIFF_PROFILES!$H:$H,TARIFF_PROFILES!$A:$A,$X909))</f>
        <v/>
      </c>
      <c r="AD909" s="15">
        <f>IF($X909="","",INDEX(TARIFF_PROFILES!$J:$J,MATCH($X909,TARIFF_PROFILES!$A:$A,0)))</f>
        <v/>
      </c>
      <c r="AE909" s="15">
        <f>IF($X909="","",INDEX(TARIFF_PROFILES!$K:$K,MATCH($X909,TARIFF_PROFILES!$A:$A,0)))</f>
        <v/>
      </c>
      <c r="AH909">
        <f>IF($AG909="","",SUMIFS(OPERATING_COEFFS!$C:$C,OPERATING_COEFFS!$A:$A,"DistanceClass",OPERATING_COEFFS!$B:$B,$AG909))</f>
        <v/>
      </c>
      <c r="AJ909">
        <f>IF($AI909="","",SUMIFS(OPERATING_COEFFS!$C:$C,OPERATING_COEFFS!$A:$A,"SeasonClass",OPERATING_COEFFS!$B:$B,$AI909))</f>
        <v/>
      </c>
      <c r="AL909">
        <f>IF($AK909="","",SUMIFS(OPERATING_COEFFS!$C:$C,OPERATING_COEFFS!$A:$A,"UrgencyClass",OPERATING_COEFFS!$B:$B,$AK909))</f>
        <v/>
      </c>
      <c r="AN909">
        <f>IF($AM909="","",INDEX(TAX_MODES!$B:$B,MATCH($AM909,TAX_MODES!$A:$A,0)))</f>
        <v/>
      </c>
    </row>
    <row r="910">
      <c r="X910" s="15" t="n"/>
      <c r="Y910" s="15">
        <f>IF($X910="","",SUMIFS(TARIFF_PROFILES!$D:$D,TARIFF_PROFILES!$A:$A,$X910))</f>
        <v/>
      </c>
      <c r="Z910" s="15">
        <f>IF($X910="","",SUMIFS(TARIFF_PROFILES!$E:$E,TARIFF_PROFILES!$A:$A,$X910))</f>
        <v/>
      </c>
      <c r="AA910" s="15">
        <f>IF($X910="","",SUMIFS(TARIFF_PROFILES!$F:$F,TARIFF_PROFILES!$A:$A,$X910))</f>
        <v/>
      </c>
      <c r="AB910" s="15">
        <f>IF($X910="","",SUMIFS(TARIFF_PROFILES!$G:$G,TARIFF_PROFILES!$A:$A,$X910))</f>
        <v/>
      </c>
      <c r="AC910" s="15">
        <f>IF($X910="","",SUMIFS(TARIFF_PROFILES!$H:$H,TARIFF_PROFILES!$A:$A,$X910))</f>
        <v/>
      </c>
      <c r="AD910" s="15">
        <f>IF($X910="","",INDEX(TARIFF_PROFILES!$J:$J,MATCH($X910,TARIFF_PROFILES!$A:$A,0)))</f>
        <v/>
      </c>
      <c r="AE910" s="15">
        <f>IF($X910="","",INDEX(TARIFF_PROFILES!$K:$K,MATCH($X910,TARIFF_PROFILES!$A:$A,0)))</f>
        <v/>
      </c>
      <c r="AH910">
        <f>IF($AG910="","",SUMIFS(OPERATING_COEFFS!$C:$C,OPERATING_COEFFS!$A:$A,"DistanceClass",OPERATING_COEFFS!$B:$B,$AG910))</f>
        <v/>
      </c>
      <c r="AJ910">
        <f>IF($AI910="","",SUMIFS(OPERATING_COEFFS!$C:$C,OPERATING_COEFFS!$A:$A,"SeasonClass",OPERATING_COEFFS!$B:$B,$AI910))</f>
        <v/>
      </c>
      <c r="AL910">
        <f>IF($AK910="","",SUMIFS(OPERATING_COEFFS!$C:$C,OPERATING_COEFFS!$A:$A,"UrgencyClass",OPERATING_COEFFS!$B:$B,$AK910))</f>
        <v/>
      </c>
      <c r="AN910">
        <f>IF($AM910="","",INDEX(TAX_MODES!$B:$B,MATCH($AM910,TAX_MODES!$A:$A,0)))</f>
        <v/>
      </c>
    </row>
    <row r="911">
      <c r="X911" s="15" t="n"/>
      <c r="Y911" s="15">
        <f>IF($X911="","",SUMIFS(TARIFF_PROFILES!$D:$D,TARIFF_PROFILES!$A:$A,$X911))</f>
        <v/>
      </c>
      <c r="Z911" s="15">
        <f>IF($X911="","",SUMIFS(TARIFF_PROFILES!$E:$E,TARIFF_PROFILES!$A:$A,$X911))</f>
        <v/>
      </c>
      <c r="AA911" s="15">
        <f>IF($X911="","",SUMIFS(TARIFF_PROFILES!$F:$F,TARIFF_PROFILES!$A:$A,$X911))</f>
        <v/>
      </c>
      <c r="AB911" s="15">
        <f>IF($X911="","",SUMIFS(TARIFF_PROFILES!$G:$G,TARIFF_PROFILES!$A:$A,$X911))</f>
        <v/>
      </c>
      <c r="AC911" s="15">
        <f>IF($X911="","",SUMIFS(TARIFF_PROFILES!$H:$H,TARIFF_PROFILES!$A:$A,$X911))</f>
        <v/>
      </c>
      <c r="AD911" s="15">
        <f>IF($X911="","",INDEX(TARIFF_PROFILES!$J:$J,MATCH($X911,TARIFF_PROFILES!$A:$A,0)))</f>
        <v/>
      </c>
      <c r="AE911" s="15">
        <f>IF($X911="","",INDEX(TARIFF_PROFILES!$K:$K,MATCH($X911,TARIFF_PROFILES!$A:$A,0)))</f>
        <v/>
      </c>
      <c r="AH911">
        <f>IF($AG911="","",SUMIFS(OPERATING_COEFFS!$C:$C,OPERATING_COEFFS!$A:$A,"DistanceClass",OPERATING_COEFFS!$B:$B,$AG911))</f>
        <v/>
      </c>
      <c r="AJ911">
        <f>IF($AI911="","",SUMIFS(OPERATING_COEFFS!$C:$C,OPERATING_COEFFS!$A:$A,"SeasonClass",OPERATING_COEFFS!$B:$B,$AI911))</f>
        <v/>
      </c>
      <c r="AL911">
        <f>IF($AK911="","",SUMIFS(OPERATING_COEFFS!$C:$C,OPERATING_COEFFS!$A:$A,"UrgencyClass",OPERATING_COEFFS!$B:$B,$AK911))</f>
        <v/>
      </c>
      <c r="AN911">
        <f>IF($AM911="","",INDEX(TAX_MODES!$B:$B,MATCH($AM911,TAX_MODES!$A:$A,0)))</f>
        <v/>
      </c>
    </row>
    <row r="912">
      <c r="X912" s="15" t="n"/>
      <c r="Y912" s="15">
        <f>IF($X912="","",SUMIFS(TARIFF_PROFILES!$D:$D,TARIFF_PROFILES!$A:$A,$X912))</f>
        <v/>
      </c>
      <c r="Z912" s="15">
        <f>IF($X912="","",SUMIFS(TARIFF_PROFILES!$E:$E,TARIFF_PROFILES!$A:$A,$X912))</f>
        <v/>
      </c>
      <c r="AA912" s="15">
        <f>IF($X912="","",SUMIFS(TARIFF_PROFILES!$F:$F,TARIFF_PROFILES!$A:$A,$X912))</f>
        <v/>
      </c>
      <c r="AB912" s="15">
        <f>IF($X912="","",SUMIFS(TARIFF_PROFILES!$G:$G,TARIFF_PROFILES!$A:$A,$X912))</f>
        <v/>
      </c>
      <c r="AC912" s="15">
        <f>IF($X912="","",SUMIFS(TARIFF_PROFILES!$H:$H,TARIFF_PROFILES!$A:$A,$X912))</f>
        <v/>
      </c>
      <c r="AD912" s="15">
        <f>IF($X912="","",INDEX(TARIFF_PROFILES!$J:$J,MATCH($X912,TARIFF_PROFILES!$A:$A,0)))</f>
        <v/>
      </c>
      <c r="AE912" s="15">
        <f>IF($X912="","",INDEX(TARIFF_PROFILES!$K:$K,MATCH($X912,TARIFF_PROFILES!$A:$A,0)))</f>
        <v/>
      </c>
      <c r="AH912">
        <f>IF($AG912="","",SUMIFS(OPERATING_COEFFS!$C:$C,OPERATING_COEFFS!$A:$A,"DistanceClass",OPERATING_COEFFS!$B:$B,$AG912))</f>
        <v/>
      </c>
      <c r="AJ912">
        <f>IF($AI912="","",SUMIFS(OPERATING_COEFFS!$C:$C,OPERATING_COEFFS!$A:$A,"SeasonClass",OPERATING_COEFFS!$B:$B,$AI912))</f>
        <v/>
      </c>
      <c r="AL912">
        <f>IF($AK912="","",SUMIFS(OPERATING_COEFFS!$C:$C,OPERATING_COEFFS!$A:$A,"UrgencyClass",OPERATING_COEFFS!$B:$B,$AK912))</f>
        <v/>
      </c>
      <c r="AN912">
        <f>IF($AM912="","",INDEX(TAX_MODES!$B:$B,MATCH($AM912,TAX_MODES!$A:$A,0)))</f>
        <v/>
      </c>
    </row>
    <row r="913">
      <c r="X913" s="15" t="n"/>
      <c r="Y913" s="15">
        <f>IF($X913="","",SUMIFS(TARIFF_PROFILES!$D:$D,TARIFF_PROFILES!$A:$A,$X913))</f>
        <v/>
      </c>
      <c r="Z913" s="15">
        <f>IF($X913="","",SUMIFS(TARIFF_PROFILES!$E:$E,TARIFF_PROFILES!$A:$A,$X913))</f>
        <v/>
      </c>
      <c r="AA913" s="15">
        <f>IF($X913="","",SUMIFS(TARIFF_PROFILES!$F:$F,TARIFF_PROFILES!$A:$A,$X913))</f>
        <v/>
      </c>
      <c r="AB913" s="15">
        <f>IF($X913="","",SUMIFS(TARIFF_PROFILES!$G:$G,TARIFF_PROFILES!$A:$A,$X913))</f>
        <v/>
      </c>
      <c r="AC913" s="15">
        <f>IF($X913="","",SUMIFS(TARIFF_PROFILES!$H:$H,TARIFF_PROFILES!$A:$A,$X913))</f>
        <v/>
      </c>
      <c r="AD913" s="15">
        <f>IF($X913="","",INDEX(TARIFF_PROFILES!$J:$J,MATCH($X913,TARIFF_PROFILES!$A:$A,0)))</f>
        <v/>
      </c>
      <c r="AE913" s="15">
        <f>IF($X913="","",INDEX(TARIFF_PROFILES!$K:$K,MATCH($X913,TARIFF_PROFILES!$A:$A,0)))</f>
        <v/>
      </c>
      <c r="AH913">
        <f>IF($AG913="","",SUMIFS(OPERATING_COEFFS!$C:$C,OPERATING_COEFFS!$A:$A,"DistanceClass",OPERATING_COEFFS!$B:$B,$AG913))</f>
        <v/>
      </c>
      <c r="AJ913">
        <f>IF($AI913="","",SUMIFS(OPERATING_COEFFS!$C:$C,OPERATING_COEFFS!$A:$A,"SeasonClass",OPERATING_COEFFS!$B:$B,$AI913))</f>
        <v/>
      </c>
      <c r="AL913">
        <f>IF($AK913="","",SUMIFS(OPERATING_COEFFS!$C:$C,OPERATING_COEFFS!$A:$A,"UrgencyClass",OPERATING_COEFFS!$B:$B,$AK913))</f>
        <v/>
      </c>
      <c r="AN913">
        <f>IF($AM913="","",INDEX(TAX_MODES!$B:$B,MATCH($AM913,TAX_MODES!$A:$A,0)))</f>
        <v/>
      </c>
    </row>
    <row r="914">
      <c r="X914" s="15" t="n"/>
      <c r="Y914" s="15">
        <f>IF($X914="","",SUMIFS(TARIFF_PROFILES!$D:$D,TARIFF_PROFILES!$A:$A,$X914))</f>
        <v/>
      </c>
      <c r="Z914" s="15">
        <f>IF($X914="","",SUMIFS(TARIFF_PROFILES!$E:$E,TARIFF_PROFILES!$A:$A,$X914))</f>
        <v/>
      </c>
      <c r="AA914" s="15">
        <f>IF($X914="","",SUMIFS(TARIFF_PROFILES!$F:$F,TARIFF_PROFILES!$A:$A,$X914))</f>
        <v/>
      </c>
      <c r="AB914" s="15">
        <f>IF($X914="","",SUMIFS(TARIFF_PROFILES!$G:$G,TARIFF_PROFILES!$A:$A,$X914))</f>
        <v/>
      </c>
      <c r="AC914" s="15">
        <f>IF($X914="","",SUMIFS(TARIFF_PROFILES!$H:$H,TARIFF_PROFILES!$A:$A,$X914))</f>
        <v/>
      </c>
      <c r="AD914" s="15">
        <f>IF($X914="","",INDEX(TARIFF_PROFILES!$J:$J,MATCH($X914,TARIFF_PROFILES!$A:$A,0)))</f>
        <v/>
      </c>
      <c r="AE914" s="15">
        <f>IF($X914="","",INDEX(TARIFF_PROFILES!$K:$K,MATCH($X914,TARIFF_PROFILES!$A:$A,0)))</f>
        <v/>
      </c>
      <c r="AH914">
        <f>IF($AG914="","",SUMIFS(OPERATING_COEFFS!$C:$C,OPERATING_COEFFS!$A:$A,"DistanceClass",OPERATING_COEFFS!$B:$B,$AG914))</f>
        <v/>
      </c>
      <c r="AJ914">
        <f>IF($AI914="","",SUMIFS(OPERATING_COEFFS!$C:$C,OPERATING_COEFFS!$A:$A,"SeasonClass",OPERATING_COEFFS!$B:$B,$AI914))</f>
        <v/>
      </c>
      <c r="AL914">
        <f>IF($AK914="","",SUMIFS(OPERATING_COEFFS!$C:$C,OPERATING_COEFFS!$A:$A,"UrgencyClass",OPERATING_COEFFS!$B:$B,$AK914))</f>
        <v/>
      </c>
      <c r="AN914">
        <f>IF($AM914="","",INDEX(TAX_MODES!$B:$B,MATCH($AM914,TAX_MODES!$A:$A,0)))</f>
        <v/>
      </c>
    </row>
    <row r="915">
      <c r="X915" s="15" t="n"/>
      <c r="Y915" s="15">
        <f>IF($X915="","",SUMIFS(TARIFF_PROFILES!$D:$D,TARIFF_PROFILES!$A:$A,$X915))</f>
        <v/>
      </c>
      <c r="Z915" s="15">
        <f>IF($X915="","",SUMIFS(TARIFF_PROFILES!$E:$E,TARIFF_PROFILES!$A:$A,$X915))</f>
        <v/>
      </c>
      <c r="AA915" s="15">
        <f>IF($X915="","",SUMIFS(TARIFF_PROFILES!$F:$F,TARIFF_PROFILES!$A:$A,$X915))</f>
        <v/>
      </c>
      <c r="AB915" s="15">
        <f>IF($X915="","",SUMIFS(TARIFF_PROFILES!$G:$G,TARIFF_PROFILES!$A:$A,$X915))</f>
        <v/>
      </c>
      <c r="AC915" s="15">
        <f>IF($X915="","",SUMIFS(TARIFF_PROFILES!$H:$H,TARIFF_PROFILES!$A:$A,$X915))</f>
        <v/>
      </c>
      <c r="AD915" s="15">
        <f>IF($X915="","",INDEX(TARIFF_PROFILES!$J:$J,MATCH($X915,TARIFF_PROFILES!$A:$A,0)))</f>
        <v/>
      </c>
      <c r="AE915" s="15">
        <f>IF($X915="","",INDEX(TARIFF_PROFILES!$K:$K,MATCH($X915,TARIFF_PROFILES!$A:$A,0)))</f>
        <v/>
      </c>
      <c r="AH915">
        <f>IF($AG915="","",SUMIFS(OPERATING_COEFFS!$C:$C,OPERATING_COEFFS!$A:$A,"DistanceClass",OPERATING_COEFFS!$B:$B,$AG915))</f>
        <v/>
      </c>
      <c r="AJ915">
        <f>IF($AI915="","",SUMIFS(OPERATING_COEFFS!$C:$C,OPERATING_COEFFS!$A:$A,"SeasonClass",OPERATING_COEFFS!$B:$B,$AI915))</f>
        <v/>
      </c>
      <c r="AL915">
        <f>IF($AK915="","",SUMIFS(OPERATING_COEFFS!$C:$C,OPERATING_COEFFS!$A:$A,"UrgencyClass",OPERATING_COEFFS!$B:$B,$AK915))</f>
        <v/>
      </c>
      <c r="AN915">
        <f>IF($AM915="","",INDEX(TAX_MODES!$B:$B,MATCH($AM915,TAX_MODES!$A:$A,0)))</f>
        <v/>
      </c>
    </row>
    <row r="916">
      <c r="X916" s="15" t="n"/>
      <c r="Y916" s="15">
        <f>IF($X916="","",SUMIFS(TARIFF_PROFILES!$D:$D,TARIFF_PROFILES!$A:$A,$X916))</f>
        <v/>
      </c>
      <c r="Z916" s="15">
        <f>IF($X916="","",SUMIFS(TARIFF_PROFILES!$E:$E,TARIFF_PROFILES!$A:$A,$X916))</f>
        <v/>
      </c>
      <c r="AA916" s="15">
        <f>IF($X916="","",SUMIFS(TARIFF_PROFILES!$F:$F,TARIFF_PROFILES!$A:$A,$X916))</f>
        <v/>
      </c>
      <c r="AB916" s="15">
        <f>IF($X916="","",SUMIFS(TARIFF_PROFILES!$G:$G,TARIFF_PROFILES!$A:$A,$X916))</f>
        <v/>
      </c>
      <c r="AC916" s="15">
        <f>IF($X916="","",SUMIFS(TARIFF_PROFILES!$H:$H,TARIFF_PROFILES!$A:$A,$X916))</f>
        <v/>
      </c>
      <c r="AD916" s="15">
        <f>IF($X916="","",INDEX(TARIFF_PROFILES!$J:$J,MATCH($X916,TARIFF_PROFILES!$A:$A,0)))</f>
        <v/>
      </c>
      <c r="AE916" s="15">
        <f>IF($X916="","",INDEX(TARIFF_PROFILES!$K:$K,MATCH($X916,TARIFF_PROFILES!$A:$A,0)))</f>
        <v/>
      </c>
      <c r="AH916">
        <f>IF($AG916="","",SUMIFS(OPERATING_COEFFS!$C:$C,OPERATING_COEFFS!$A:$A,"DistanceClass",OPERATING_COEFFS!$B:$B,$AG916))</f>
        <v/>
      </c>
      <c r="AJ916">
        <f>IF($AI916="","",SUMIFS(OPERATING_COEFFS!$C:$C,OPERATING_COEFFS!$A:$A,"SeasonClass",OPERATING_COEFFS!$B:$B,$AI916))</f>
        <v/>
      </c>
      <c r="AL916">
        <f>IF($AK916="","",SUMIFS(OPERATING_COEFFS!$C:$C,OPERATING_COEFFS!$A:$A,"UrgencyClass",OPERATING_COEFFS!$B:$B,$AK916))</f>
        <v/>
      </c>
      <c r="AN916">
        <f>IF($AM916="","",INDEX(TAX_MODES!$B:$B,MATCH($AM916,TAX_MODES!$A:$A,0)))</f>
        <v/>
      </c>
    </row>
    <row r="917">
      <c r="X917" s="15" t="n"/>
      <c r="Y917" s="15">
        <f>IF($X917="","",SUMIFS(TARIFF_PROFILES!$D:$D,TARIFF_PROFILES!$A:$A,$X917))</f>
        <v/>
      </c>
      <c r="Z917" s="15">
        <f>IF($X917="","",SUMIFS(TARIFF_PROFILES!$E:$E,TARIFF_PROFILES!$A:$A,$X917))</f>
        <v/>
      </c>
      <c r="AA917" s="15">
        <f>IF($X917="","",SUMIFS(TARIFF_PROFILES!$F:$F,TARIFF_PROFILES!$A:$A,$X917))</f>
        <v/>
      </c>
      <c r="AB917" s="15">
        <f>IF($X917="","",SUMIFS(TARIFF_PROFILES!$G:$G,TARIFF_PROFILES!$A:$A,$X917))</f>
        <v/>
      </c>
      <c r="AC917" s="15">
        <f>IF($X917="","",SUMIFS(TARIFF_PROFILES!$H:$H,TARIFF_PROFILES!$A:$A,$X917))</f>
        <v/>
      </c>
      <c r="AD917" s="15">
        <f>IF($X917="","",INDEX(TARIFF_PROFILES!$J:$J,MATCH($X917,TARIFF_PROFILES!$A:$A,0)))</f>
        <v/>
      </c>
      <c r="AE917" s="15">
        <f>IF($X917="","",INDEX(TARIFF_PROFILES!$K:$K,MATCH($X917,TARIFF_PROFILES!$A:$A,0)))</f>
        <v/>
      </c>
      <c r="AH917">
        <f>IF($AG917="","",SUMIFS(OPERATING_COEFFS!$C:$C,OPERATING_COEFFS!$A:$A,"DistanceClass",OPERATING_COEFFS!$B:$B,$AG917))</f>
        <v/>
      </c>
      <c r="AJ917">
        <f>IF($AI917="","",SUMIFS(OPERATING_COEFFS!$C:$C,OPERATING_COEFFS!$A:$A,"SeasonClass",OPERATING_COEFFS!$B:$B,$AI917))</f>
        <v/>
      </c>
      <c r="AL917">
        <f>IF($AK917="","",SUMIFS(OPERATING_COEFFS!$C:$C,OPERATING_COEFFS!$A:$A,"UrgencyClass",OPERATING_COEFFS!$B:$B,$AK917))</f>
        <v/>
      </c>
      <c r="AN917">
        <f>IF($AM917="","",INDEX(TAX_MODES!$B:$B,MATCH($AM917,TAX_MODES!$A:$A,0)))</f>
        <v/>
      </c>
    </row>
    <row r="918">
      <c r="X918" s="15" t="n"/>
      <c r="Y918" s="15">
        <f>IF($X918="","",SUMIFS(TARIFF_PROFILES!$D:$D,TARIFF_PROFILES!$A:$A,$X918))</f>
        <v/>
      </c>
      <c r="Z918" s="15">
        <f>IF($X918="","",SUMIFS(TARIFF_PROFILES!$E:$E,TARIFF_PROFILES!$A:$A,$X918))</f>
        <v/>
      </c>
      <c r="AA918" s="15">
        <f>IF($X918="","",SUMIFS(TARIFF_PROFILES!$F:$F,TARIFF_PROFILES!$A:$A,$X918))</f>
        <v/>
      </c>
      <c r="AB918" s="15">
        <f>IF($X918="","",SUMIFS(TARIFF_PROFILES!$G:$G,TARIFF_PROFILES!$A:$A,$X918))</f>
        <v/>
      </c>
      <c r="AC918" s="15">
        <f>IF($X918="","",SUMIFS(TARIFF_PROFILES!$H:$H,TARIFF_PROFILES!$A:$A,$X918))</f>
        <v/>
      </c>
      <c r="AD918" s="15">
        <f>IF($X918="","",INDEX(TARIFF_PROFILES!$J:$J,MATCH($X918,TARIFF_PROFILES!$A:$A,0)))</f>
        <v/>
      </c>
      <c r="AE918" s="15">
        <f>IF($X918="","",INDEX(TARIFF_PROFILES!$K:$K,MATCH($X918,TARIFF_PROFILES!$A:$A,0)))</f>
        <v/>
      </c>
      <c r="AH918">
        <f>IF($AG918="","",SUMIFS(OPERATING_COEFFS!$C:$C,OPERATING_COEFFS!$A:$A,"DistanceClass",OPERATING_COEFFS!$B:$B,$AG918))</f>
        <v/>
      </c>
      <c r="AJ918">
        <f>IF($AI918="","",SUMIFS(OPERATING_COEFFS!$C:$C,OPERATING_COEFFS!$A:$A,"SeasonClass",OPERATING_COEFFS!$B:$B,$AI918))</f>
        <v/>
      </c>
      <c r="AL918">
        <f>IF($AK918="","",SUMIFS(OPERATING_COEFFS!$C:$C,OPERATING_COEFFS!$A:$A,"UrgencyClass",OPERATING_COEFFS!$B:$B,$AK918))</f>
        <v/>
      </c>
      <c r="AN918">
        <f>IF($AM918="","",INDEX(TAX_MODES!$B:$B,MATCH($AM918,TAX_MODES!$A:$A,0)))</f>
        <v/>
      </c>
    </row>
    <row r="919">
      <c r="X919" s="15" t="n"/>
      <c r="Y919" s="15">
        <f>IF($X919="","",SUMIFS(TARIFF_PROFILES!$D:$D,TARIFF_PROFILES!$A:$A,$X919))</f>
        <v/>
      </c>
      <c r="Z919" s="15">
        <f>IF($X919="","",SUMIFS(TARIFF_PROFILES!$E:$E,TARIFF_PROFILES!$A:$A,$X919))</f>
        <v/>
      </c>
      <c r="AA919" s="15">
        <f>IF($X919="","",SUMIFS(TARIFF_PROFILES!$F:$F,TARIFF_PROFILES!$A:$A,$X919))</f>
        <v/>
      </c>
      <c r="AB919" s="15">
        <f>IF($X919="","",SUMIFS(TARIFF_PROFILES!$G:$G,TARIFF_PROFILES!$A:$A,$X919))</f>
        <v/>
      </c>
      <c r="AC919" s="15">
        <f>IF($X919="","",SUMIFS(TARIFF_PROFILES!$H:$H,TARIFF_PROFILES!$A:$A,$X919))</f>
        <v/>
      </c>
      <c r="AD919" s="15">
        <f>IF($X919="","",INDEX(TARIFF_PROFILES!$J:$J,MATCH($X919,TARIFF_PROFILES!$A:$A,0)))</f>
        <v/>
      </c>
      <c r="AE919" s="15">
        <f>IF($X919="","",INDEX(TARIFF_PROFILES!$K:$K,MATCH($X919,TARIFF_PROFILES!$A:$A,0)))</f>
        <v/>
      </c>
      <c r="AH919">
        <f>IF($AG919="","",SUMIFS(OPERATING_COEFFS!$C:$C,OPERATING_COEFFS!$A:$A,"DistanceClass",OPERATING_COEFFS!$B:$B,$AG919))</f>
        <v/>
      </c>
      <c r="AJ919">
        <f>IF($AI919="","",SUMIFS(OPERATING_COEFFS!$C:$C,OPERATING_COEFFS!$A:$A,"SeasonClass",OPERATING_COEFFS!$B:$B,$AI919))</f>
        <v/>
      </c>
      <c r="AL919">
        <f>IF($AK919="","",SUMIFS(OPERATING_COEFFS!$C:$C,OPERATING_COEFFS!$A:$A,"UrgencyClass",OPERATING_COEFFS!$B:$B,$AK919))</f>
        <v/>
      </c>
      <c r="AN919">
        <f>IF($AM919="","",INDEX(TAX_MODES!$B:$B,MATCH($AM919,TAX_MODES!$A:$A,0)))</f>
        <v/>
      </c>
    </row>
    <row r="920">
      <c r="X920" s="15" t="n"/>
      <c r="Y920" s="15">
        <f>IF($X920="","",SUMIFS(TARIFF_PROFILES!$D:$D,TARIFF_PROFILES!$A:$A,$X920))</f>
        <v/>
      </c>
      <c r="Z920" s="15">
        <f>IF($X920="","",SUMIFS(TARIFF_PROFILES!$E:$E,TARIFF_PROFILES!$A:$A,$X920))</f>
        <v/>
      </c>
      <c r="AA920" s="15">
        <f>IF($X920="","",SUMIFS(TARIFF_PROFILES!$F:$F,TARIFF_PROFILES!$A:$A,$X920))</f>
        <v/>
      </c>
      <c r="AB920" s="15">
        <f>IF($X920="","",SUMIFS(TARIFF_PROFILES!$G:$G,TARIFF_PROFILES!$A:$A,$X920))</f>
        <v/>
      </c>
      <c r="AC920" s="15">
        <f>IF($X920="","",SUMIFS(TARIFF_PROFILES!$H:$H,TARIFF_PROFILES!$A:$A,$X920))</f>
        <v/>
      </c>
      <c r="AD920" s="15">
        <f>IF($X920="","",INDEX(TARIFF_PROFILES!$J:$J,MATCH($X920,TARIFF_PROFILES!$A:$A,0)))</f>
        <v/>
      </c>
      <c r="AE920" s="15">
        <f>IF($X920="","",INDEX(TARIFF_PROFILES!$K:$K,MATCH($X920,TARIFF_PROFILES!$A:$A,0)))</f>
        <v/>
      </c>
      <c r="AH920">
        <f>IF($AG920="","",SUMIFS(OPERATING_COEFFS!$C:$C,OPERATING_COEFFS!$A:$A,"DistanceClass",OPERATING_COEFFS!$B:$B,$AG920))</f>
        <v/>
      </c>
      <c r="AJ920">
        <f>IF($AI920="","",SUMIFS(OPERATING_COEFFS!$C:$C,OPERATING_COEFFS!$A:$A,"SeasonClass",OPERATING_COEFFS!$B:$B,$AI920))</f>
        <v/>
      </c>
      <c r="AL920">
        <f>IF($AK920="","",SUMIFS(OPERATING_COEFFS!$C:$C,OPERATING_COEFFS!$A:$A,"UrgencyClass",OPERATING_COEFFS!$B:$B,$AK920))</f>
        <v/>
      </c>
      <c r="AN920">
        <f>IF($AM920="","",INDEX(TAX_MODES!$B:$B,MATCH($AM920,TAX_MODES!$A:$A,0)))</f>
        <v/>
      </c>
    </row>
    <row r="921">
      <c r="X921" s="15" t="n"/>
      <c r="Y921" s="15">
        <f>IF($X921="","",SUMIFS(TARIFF_PROFILES!$D:$D,TARIFF_PROFILES!$A:$A,$X921))</f>
        <v/>
      </c>
      <c r="Z921" s="15">
        <f>IF($X921="","",SUMIFS(TARIFF_PROFILES!$E:$E,TARIFF_PROFILES!$A:$A,$X921))</f>
        <v/>
      </c>
      <c r="AA921" s="15">
        <f>IF($X921="","",SUMIFS(TARIFF_PROFILES!$F:$F,TARIFF_PROFILES!$A:$A,$X921))</f>
        <v/>
      </c>
      <c r="AB921" s="15">
        <f>IF($X921="","",SUMIFS(TARIFF_PROFILES!$G:$G,TARIFF_PROFILES!$A:$A,$X921))</f>
        <v/>
      </c>
      <c r="AC921" s="15">
        <f>IF($X921="","",SUMIFS(TARIFF_PROFILES!$H:$H,TARIFF_PROFILES!$A:$A,$X921))</f>
        <v/>
      </c>
      <c r="AD921" s="15">
        <f>IF($X921="","",INDEX(TARIFF_PROFILES!$J:$J,MATCH($X921,TARIFF_PROFILES!$A:$A,0)))</f>
        <v/>
      </c>
      <c r="AE921" s="15">
        <f>IF($X921="","",INDEX(TARIFF_PROFILES!$K:$K,MATCH($X921,TARIFF_PROFILES!$A:$A,0)))</f>
        <v/>
      </c>
      <c r="AH921">
        <f>IF($AG921="","",SUMIFS(OPERATING_COEFFS!$C:$C,OPERATING_COEFFS!$A:$A,"DistanceClass",OPERATING_COEFFS!$B:$B,$AG921))</f>
        <v/>
      </c>
      <c r="AJ921">
        <f>IF($AI921="","",SUMIFS(OPERATING_COEFFS!$C:$C,OPERATING_COEFFS!$A:$A,"SeasonClass",OPERATING_COEFFS!$B:$B,$AI921))</f>
        <v/>
      </c>
      <c r="AL921">
        <f>IF($AK921="","",SUMIFS(OPERATING_COEFFS!$C:$C,OPERATING_COEFFS!$A:$A,"UrgencyClass",OPERATING_COEFFS!$B:$B,$AK921))</f>
        <v/>
      </c>
      <c r="AN921">
        <f>IF($AM921="","",INDEX(TAX_MODES!$B:$B,MATCH($AM921,TAX_MODES!$A:$A,0)))</f>
        <v/>
      </c>
    </row>
    <row r="922">
      <c r="X922" s="15" t="n"/>
      <c r="Y922" s="15">
        <f>IF($X922="","",SUMIFS(TARIFF_PROFILES!$D:$D,TARIFF_PROFILES!$A:$A,$X922))</f>
        <v/>
      </c>
      <c r="Z922" s="15">
        <f>IF($X922="","",SUMIFS(TARIFF_PROFILES!$E:$E,TARIFF_PROFILES!$A:$A,$X922))</f>
        <v/>
      </c>
      <c r="AA922" s="15">
        <f>IF($X922="","",SUMIFS(TARIFF_PROFILES!$F:$F,TARIFF_PROFILES!$A:$A,$X922))</f>
        <v/>
      </c>
      <c r="AB922" s="15">
        <f>IF($X922="","",SUMIFS(TARIFF_PROFILES!$G:$G,TARIFF_PROFILES!$A:$A,$X922))</f>
        <v/>
      </c>
      <c r="AC922" s="15">
        <f>IF($X922="","",SUMIFS(TARIFF_PROFILES!$H:$H,TARIFF_PROFILES!$A:$A,$X922))</f>
        <v/>
      </c>
      <c r="AD922" s="15">
        <f>IF($X922="","",INDEX(TARIFF_PROFILES!$J:$J,MATCH($X922,TARIFF_PROFILES!$A:$A,0)))</f>
        <v/>
      </c>
      <c r="AE922" s="15">
        <f>IF($X922="","",INDEX(TARIFF_PROFILES!$K:$K,MATCH($X922,TARIFF_PROFILES!$A:$A,0)))</f>
        <v/>
      </c>
      <c r="AH922">
        <f>IF($AG922="","",SUMIFS(OPERATING_COEFFS!$C:$C,OPERATING_COEFFS!$A:$A,"DistanceClass",OPERATING_COEFFS!$B:$B,$AG922))</f>
        <v/>
      </c>
      <c r="AJ922">
        <f>IF($AI922="","",SUMIFS(OPERATING_COEFFS!$C:$C,OPERATING_COEFFS!$A:$A,"SeasonClass",OPERATING_COEFFS!$B:$B,$AI922))</f>
        <v/>
      </c>
      <c r="AL922">
        <f>IF($AK922="","",SUMIFS(OPERATING_COEFFS!$C:$C,OPERATING_COEFFS!$A:$A,"UrgencyClass",OPERATING_COEFFS!$B:$B,$AK922))</f>
        <v/>
      </c>
      <c r="AN922">
        <f>IF($AM922="","",INDEX(TAX_MODES!$B:$B,MATCH($AM922,TAX_MODES!$A:$A,0)))</f>
        <v/>
      </c>
    </row>
    <row r="923">
      <c r="X923" s="15" t="n"/>
      <c r="Y923" s="15">
        <f>IF($X923="","",SUMIFS(TARIFF_PROFILES!$D:$D,TARIFF_PROFILES!$A:$A,$X923))</f>
        <v/>
      </c>
      <c r="Z923" s="15">
        <f>IF($X923="","",SUMIFS(TARIFF_PROFILES!$E:$E,TARIFF_PROFILES!$A:$A,$X923))</f>
        <v/>
      </c>
      <c r="AA923" s="15">
        <f>IF($X923="","",SUMIFS(TARIFF_PROFILES!$F:$F,TARIFF_PROFILES!$A:$A,$X923))</f>
        <v/>
      </c>
      <c r="AB923" s="15">
        <f>IF($X923="","",SUMIFS(TARIFF_PROFILES!$G:$G,TARIFF_PROFILES!$A:$A,$X923))</f>
        <v/>
      </c>
      <c r="AC923" s="15">
        <f>IF($X923="","",SUMIFS(TARIFF_PROFILES!$H:$H,TARIFF_PROFILES!$A:$A,$X923))</f>
        <v/>
      </c>
      <c r="AD923" s="15">
        <f>IF($X923="","",INDEX(TARIFF_PROFILES!$J:$J,MATCH($X923,TARIFF_PROFILES!$A:$A,0)))</f>
        <v/>
      </c>
      <c r="AE923" s="15">
        <f>IF($X923="","",INDEX(TARIFF_PROFILES!$K:$K,MATCH($X923,TARIFF_PROFILES!$A:$A,0)))</f>
        <v/>
      </c>
      <c r="AH923">
        <f>IF($AG923="","",SUMIFS(OPERATING_COEFFS!$C:$C,OPERATING_COEFFS!$A:$A,"DistanceClass",OPERATING_COEFFS!$B:$B,$AG923))</f>
        <v/>
      </c>
      <c r="AJ923">
        <f>IF($AI923="","",SUMIFS(OPERATING_COEFFS!$C:$C,OPERATING_COEFFS!$A:$A,"SeasonClass",OPERATING_COEFFS!$B:$B,$AI923))</f>
        <v/>
      </c>
      <c r="AL923">
        <f>IF($AK923="","",SUMIFS(OPERATING_COEFFS!$C:$C,OPERATING_COEFFS!$A:$A,"UrgencyClass",OPERATING_COEFFS!$B:$B,$AK923))</f>
        <v/>
      </c>
      <c r="AN923">
        <f>IF($AM923="","",INDEX(TAX_MODES!$B:$B,MATCH($AM923,TAX_MODES!$A:$A,0)))</f>
        <v/>
      </c>
    </row>
    <row r="924">
      <c r="X924" s="15" t="n"/>
      <c r="Y924" s="15">
        <f>IF($X924="","",SUMIFS(TARIFF_PROFILES!$D:$D,TARIFF_PROFILES!$A:$A,$X924))</f>
        <v/>
      </c>
      <c r="Z924" s="15">
        <f>IF($X924="","",SUMIFS(TARIFF_PROFILES!$E:$E,TARIFF_PROFILES!$A:$A,$X924))</f>
        <v/>
      </c>
      <c r="AA924" s="15">
        <f>IF($X924="","",SUMIFS(TARIFF_PROFILES!$F:$F,TARIFF_PROFILES!$A:$A,$X924))</f>
        <v/>
      </c>
      <c r="AB924" s="15">
        <f>IF($X924="","",SUMIFS(TARIFF_PROFILES!$G:$G,TARIFF_PROFILES!$A:$A,$X924))</f>
        <v/>
      </c>
      <c r="AC924" s="15">
        <f>IF($X924="","",SUMIFS(TARIFF_PROFILES!$H:$H,TARIFF_PROFILES!$A:$A,$X924))</f>
        <v/>
      </c>
      <c r="AD924" s="15">
        <f>IF($X924="","",INDEX(TARIFF_PROFILES!$J:$J,MATCH($X924,TARIFF_PROFILES!$A:$A,0)))</f>
        <v/>
      </c>
      <c r="AE924" s="15">
        <f>IF($X924="","",INDEX(TARIFF_PROFILES!$K:$K,MATCH($X924,TARIFF_PROFILES!$A:$A,0)))</f>
        <v/>
      </c>
      <c r="AH924">
        <f>IF($AG924="","",SUMIFS(OPERATING_COEFFS!$C:$C,OPERATING_COEFFS!$A:$A,"DistanceClass",OPERATING_COEFFS!$B:$B,$AG924))</f>
        <v/>
      </c>
      <c r="AJ924">
        <f>IF($AI924="","",SUMIFS(OPERATING_COEFFS!$C:$C,OPERATING_COEFFS!$A:$A,"SeasonClass",OPERATING_COEFFS!$B:$B,$AI924))</f>
        <v/>
      </c>
      <c r="AL924">
        <f>IF($AK924="","",SUMIFS(OPERATING_COEFFS!$C:$C,OPERATING_COEFFS!$A:$A,"UrgencyClass",OPERATING_COEFFS!$B:$B,$AK924))</f>
        <v/>
      </c>
      <c r="AN924">
        <f>IF($AM924="","",INDEX(TAX_MODES!$B:$B,MATCH($AM924,TAX_MODES!$A:$A,0)))</f>
        <v/>
      </c>
    </row>
    <row r="925">
      <c r="X925" s="15" t="n"/>
      <c r="Y925" s="15">
        <f>IF($X925="","",SUMIFS(TARIFF_PROFILES!$D:$D,TARIFF_PROFILES!$A:$A,$X925))</f>
        <v/>
      </c>
      <c r="Z925" s="15">
        <f>IF($X925="","",SUMIFS(TARIFF_PROFILES!$E:$E,TARIFF_PROFILES!$A:$A,$X925))</f>
        <v/>
      </c>
      <c r="AA925" s="15">
        <f>IF($X925="","",SUMIFS(TARIFF_PROFILES!$F:$F,TARIFF_PROFILES!$A:$A,$X925))</f>
        <v/>
      </c>
      <c r="AB925" s="15">
        <f>IF($X925="","",SUMIFS(TARIFF_PROFILES!$G:$G,TARIFF_PROFILES!$A:$A,$X925))</f>
        <v/>
      </c>
      <c r="AC925" s="15">
        <f>IF($X925="","",SUMIFS(TARIFF_PROFILES!$H:$H,TARIFF_PROFILES!$A:$A,$X925))</f>
        <v/>
      </c>
      <c r="AD925" s="15">
        <f>IF($X925="","",INDEX(TARIFF_PROFILES!$J:$J,MATCH($X925,TARIFF_PROFILES!$A:$A,0)))</f>
        <v/>
      </c>
      <c r="AE925" s="15">
        <f>IF($X925="","",INDEX(TARIFF_PROFILES!$K:$K,MATCH($X925,TARIFF_PROFILES!$A:$A,0)))</f>
        <v/>
      </c>
      <c r="AH925">
        <f>IF($AG925="","",SUMIFS(OPERATING_COEFFS!$C:$C,OPERATING_COEFFS!$A:$A,"DistanceClass",OPERATING_COEFFS!$B:$B,$AG925))</f>
        <v/>
      </c>
      <c r="AJ925">
        <f>IF($AI925="","",SUMIFS(OPERATING_COEFFS!$C:$C,OPERATING_COEFFS!$A:$A,"SeasonClass",OPERATING_COEFFS!$B:$B,$AI925))</f>
        <v/>
      </c>
      <c r="AL925">
        <f>IF($AK925="","",SUMIFS(OPERATING_COEFFS!$C:$C,OPERATING_COEFFS!$A:$A,"UrgencyClass",OPERATING_COEFFS!$B:$B,$AK925))</f>
        <v/>
      </c>
      <c r="AN925">
        <f>IF($AM925="","",INDEX(TAX_MODES!$B:$B,MATCH($AM925,TAX_MODES!$A:$A,0)))</f>
        <v/>
      </c>
    </row>
    <row r="926">
      <c r="X926" s="15" t="n"/>
      <c r="Y926" s="15">
        <f>IF($X926="","",SUMIFS(TARIFF_PROFILES!$D:$D,TARIFF_PROFILES!$A:$A,$X926))</f>
        <v/>
      </c>
      <c r="Z926" s="15">
        <f>IF($X926="","",SUMIFS(TARIFF_PROFILES!$E:$E,TARIFF_PROFILES!$A:$A,$X926))</f>
        <v/>
      </c>
      <c r="AA926" s="15">
        <f>IF($X926="","",SUMIFS(TARIFF_PROFILES!$F:$F,TARIFF_PROFILES!$A:$A,$X926))</f>
        <v/>
      </c>
      <c r="AB926" s="15">
        <f>IF($X926="","",SUMIFS(TARIFF_PROFILES!$G:$G,TARIFF_PROFILES!$A:$A,$X926))</f>
        <v/>
      </c>
      <c r="AC926" s="15">
        <f>IF($X926="","",SUMIFS(TARIFF_PROFILES!$H:$H,TARIFF_PROFILES!$A:$A,$X926))</f>
        <v/>
      </c>
      <c r="AD926" s="15">
        <f>IF($X926="","",INDEX(TARIFF_PROFILES!$J:$J,MATCH($X926,TARIFF_PROFILES!$A:$A,0)))</f>
        <v/>
      </c>
      <c r="AE926" s="15">
        <f>IF($X926="","",INDEX(TARIFF_PROFILES!$K:$K,MATCH($X926,TARIFF_PROFILES!$A:$A,0)))</f>
        <v/>
      </c>
      <c r="AH926">
        <f>IF($AG926="","",SUMIFS(OPERATING_COEFFS!$C:$C,OPERATING_COEFFS!$A:$A,"DistanceClass",OPERATING_COEFFS!$B:$B,$AG926))</f>
        <v/>
      </c>
      <c r="AJ926">
        <f>IF($AI926="","",SUMIFS(OPERATING_COEFFS!$C:$C,OPERATING_COEFFS!$A:$A,"SeasonClass",OPERATING_COEFFS!$B:$B,$AI926))</f>
        <v/>
      </c>
      <c r="AL926">
        <f>IF($AK926="","",SUMIFS(OPERATING_COEFFS!$C:$C,OPERATING_COEFFS!$A:$A,"UrgencyClass",OPERATING_COEFFS!$B:$B,$AK926))</f>
        <v/>
      </c>
      <c r="AN926">
        <f>IF($AM926="","",INDEX(TAX_MODES!$B:$B,MATCH($AM926,TAX_MODES!$A:$A,0)))</f>
        <v/>
      </c>
    </row>
    <row r="927">
      <c r="X927" s="15" t="n"/>
      <c r="Y927" s="15">
        <f>IF($X927="","",SUMIFS(TARIFF_PROFILES!$D:$D,TARIFF_PROFILES!$A:$A,$X927))</f>
        <v/>
      </c>
      <c r="Z927" s="15">
        <f>IF($X927="","",SUMIFS(TARIFF_PROFILES!$E:$E,TARIFF_PROFILES!$A:$A,$X927))</f>
        <v/>
      </c>
      <c r="AA927" s="15">
        <f>IF($X927="","",SUMIFS(TARIFF_PROFILES!$F:$F,TARIFF_PROFILES!$A:$A,$X927))</f>
        <v/>
      </c>
      <c r="AB927" s="15">
        <f>IF($X927="","",SUMIFS(TARIFF_PROFILES!$G:$G,TARIFF_PROFILES!$A:$A,$X927))</f>
        <v/>
      </c>
      <c r="AC927" s="15">
        <f>IF($X927="","",SUMIFS(TARIFF_PROFILES!$H:$H,TARIFF_PROFILES!$A:$A,$X927))</f>
        <v/>
      </c>
      <c r="AD927" s="15">
        <f>IF($X927="","",INDEX(TARIFF_PROFILES!$J:$J,MATCH($X927,TARIFF_PROFILES!$A:$A,0)))</f>
        <v/>
      </c>
      <c r="AE927" s="15">
        <f>IF($X927="","",INDEX(TARIFF_PROFILES!$K:$K,MATCH($X927,TARIFF_PROFILES!$A:$A,0)))</f>
        <v/>
      </c>
      <c r="AH927">
        <f>IF($AG927="","",SUMIFS(OPERATING_COEFFS!$C:$C,OPERATING_COEFFS!$A:$A,"DistanceClass",OPERATING_COEFFS!$B:$B,$AG927))</f>
        <v/>
      </c>
      <c r="AJ927">
        <f>IF($AI927="","",SUMIFS(OPERATING_COEFFS!$C:$C,OPERATING_COEFFS!$A:$A,"SeasonClass",OPERATING_COEFFS!$B:$B,$AI927))</f>
        <v/>
      </c>
      <c r="AL927">
        <f>IF($AK927="","",SUMIFS(OPERATING_COEFFS!$C:$C,OPERATING_COEFFS!$A:$A,"UrgencyClass",OPERATING_COEFFS!$B:$B,$AK927))</f>
        <v/>
      </c>
      <c r="AN927">
        <f>IF($AM927="","",INDEX(TAX_MODES!$B:$B,MATCH($AM927,TAX_MODES!$A:$A,0)))</f>
        <v/>
      </c>
    </row>
    <row r="928">
      <c r="X928" s="15" t="n"/>
      <c r="Y928" s="15">
        <f>IF($X928="","",SUMIFS(TARIFF_PROFILES!$D:$D,TARIFF_PROFILES!$A:$A,$X928))</f>
        <v/>
      </c>
      <c r="Z928" s="15">
        <f>IF($X928="","",SUMIFS(TARIFF_PROFILES!$E:$E,TARIFF_PROFILES!$A:$A,$X928))</f>
        <v/>
      </c>
      <c r="AA928" s="15">
        <f>IF($X928="","",SUMIFS(TARIFF_PROFILES!$F:$F,TARIFF_PROFILES!$A:$A,$X928))</f>
        <v/>
      </c>
      <c r="AB928" s="15">
        <f>IF($X928="","",SUMIFS(TARIFF_PROFILES!$G:$G,TARIFF_PROFILES!$A:$A,$X928))</f>
        <v/>
      </c>
      <c r="AC928" s="15">
        <f>IF($X928="","",SUMIFS(TARIFF_PROFILES!$H:$H,TARIFF_PROFILES!$A:$A,$X928))</f>
        <v/>
      </c>
      <c r="AD928" s="15">
        <f>IF($X928="","",INDEX(TARIFF_PROFILES!$J:$J,MATCH($X928,TARIFF_PROFILES!$A:$A,0)))</f>
        <v/>
      </c>
      <c r="AE928" s="15">
        <f>IF($X928="","",INDEX(TARIFF_PROFILES!$K:$K,MATCH($X928,TARIFF_PROFILES!$A:$A,0)))</f>
        <v/>
      </c>
      <c r="AH928">
        <f>IF($AG928="","",SUMIFS(OPERATING_COEFFS!$C:$C,OPERATING_COEFFS!$A:$A,"DistanceClass",OPERATING_COEFFS!$B:$B,$AG928))</f>
        <v/>
      </c>
      <c r="AJ928">
        <f>IF($AI928="","",SUMIFS(OPERATING_COEFFS!$C:$C,OPERATING_COEFFS!$A:$A,"SeasonClass",OPERATING_COEFFS!$B:$B,$AI928))</f>
        <v/>
      </c>
      <c r="AL928">
        <f>IF($AK928="","",SUMIFS(OPERATING_COEFFS!$C:$C,OPERATING_COEFFS!$A:$A,"UrgencyClass",OPERATING_COEFFS!$B:$B,$AK928))</f>
        <v/>
      </c>
      <c r="AN928">
        <f>IF($AM928="","",INDEX(TAX_MODES!$B:$B,MATCH($AM928,TAX_MODES!$A:$A,0)))</f>
        <v/>
      </c>
    </row>
    <row r="929">
      <c r="X929" s="15" t="n"/>
      <c r="Y929" s="15">
        <f>IF($X929="","",SUMIFS(TARIFF_PROFILES!$D:$D,TARIFF_PROFILES!$A:$A,$X929))</f>
        <v/>
      </c>
      <c r="Z929" s="15">
        <f>IF($X929="","",SUMIFS(TARIFF_PROFILES!$E:$E,TARIFF_PROFILES!$A:$A,$X929))</f>
        <v/>
      </c>
      <c r="AA929" s="15">
        <f>IF($X929="","",SUMIFS(TARIFF_PROFILES!$F:$F,TARIFF_PROFILES!$A:$A,$X929))</f>
        <v/>
      </c>
      <c r="AB929" s="15">
        <f>IF($X929="","",SUMIFS(TARIFF_PROFILES!$G:$G,TARIFF_PROFILES!$A:$A,$X929))</f>
        <v/>
      </c>
      <c r="AC929" s="15">
        <f>IF($X929="","",SUMIFS(TARIFF_PROFILES!$H:$H,TARIFF_PROFILES!$A:$A,$X929))</f>
        <v/>
      </c>
      <c r="AD929" s="15">
        <f>IF($X929="","",INDEX(TARIFF_PROFILES!$J:$J,MATCH($X929,TARIFF_PROFILES!$A:$A,0)))</f>
        <v/>
      </c>
      <c r="AE929" s="15">
        <f>IF($X929="","",INDEX(TARIFF_PROFILES!$K:$K,MATCH($X929,TARIFF_PROFILES!$A:$A,0)))</f>
        <v/>
      </c>
      <c r="AH929">
        <f>IF($AG929="","",SUMIFS(OPERATING_COEFFS!$C:$C,OPERATING_COEFFS!$A:$A,"DistanceClass",OPERATING_COEFFS!$B:$B,$AG929))</f>
        <v/>
      </c>
      <c r="AJ929">
        <f>IF($AI929="","",SUMIFS(OPERATING_COEFFS!$C:$C,OPERATING_COEFFS!$A:$A,"SeasonClass",OPERATING_COEFFS!$B:$B,$AI929))</f>
        <v/>
      </c>
      <c r="AL929">
        <f>IF($AK929="","",SUMIFS(OPERATING_COEFFS!$C:$C,OPERATING_COEFFS!$A:$A,"UrgencyClass",OPERATING_COEFFS!$B:$B,$AK929))</f>
        <v/>
      </c>
      <c r="AN929">
        <f>IF($AM929="","",INDEX(TAX_MODES!$B:$B,MATCH($AM929,TAX_MODES!$A:$A,0)))</f>
        <v/>
      </c>
    </row>
    <row r="930">
      <c r="X930" s="15" t="n"/>
      <c r="Y930" s="15">
        <f>IF($X930="","",SUMIFS(TARIFF_PROFILES!$D:$D,TARIFF_PROFILES!$A:$A,$X930))</f>
        <v/>
      </c>
      <c r="Z930" s="15">
        <f>IF($X930="","",SUMIFS(TARIFF_PROFILES!$E:$E,TARIFF_PROFILES!$A:$A,$X930))</f>
        <v/>
      </c>
      <c r="AA930" s="15">
        <f>IF($X930="","",SUMIFS(TARIFF_PROFILES!$F:$F,TARIFF_PROFILES!$A:$A,$X930))</f>
        <v/>
      </c>
      <c r="AB930" s="15">
        <f>IF($X930="","",SUMIFS(TARIFF_PROFILES!$G:$G,TARIFF_PROFILES!$A:$A,$X930))</f>
        <v/>
      </c>
      <c r="AC930" s="15">
        <f>IF($X930="","",SUMIFS(TARIFF_PROFILES!$H:$H,TARIFF_PROFILES!$A:$A,$X930))</f>
        <v/>
      </c>
      <c r="AD930" s="15">
        <f>IF($X930="","",INDEX(TARIFF_PROFILES!$J:$J,MATCH($X930,TARIFF_PROFILES!$A:$A,0)))</f>
        <v/>
      </c>
      <c r="AE930" s="15">
        <f>IF($X930="","",INDEX(TARIFF_PROFILES!$K:$K,MATCH($X930,TARIFF_PROFILES!$A:$A,0)))</f>
        <v/>
      </c>
      <c r="AH930">
        <f>IF($AG930="","",SUMIFS(OPERATING_COEFFS!$C:$C,OPERATING_COEFFS!$A:$A,"DistanceClass",OPERATING_COEFFS!$B:$B,$AG930))</f>
        <v/>
      </c>
      <c r="AJ930">
        <f>IF($AI930="","",SUMIFS(OPERATING_COEFFS!$C:$C,OPERATING_COEFFS!$A:$A,"SeasonClass",OPERATING_COEFFS!$B:$B,$AI930))</f>
        <v/>
      </c>
      <c r="AL930">
        <f>IF($AK930="","",SUMIFS(OPERATING_COEFFS!$C:$C,OPERATING_COEFFS!$A:$A,"UrgencyClass",OPERATING_COEFFS!$B:$B,$AK930))</f>
        <v/>
      </c>
      <c r="AN930">
        <f>IF($AM930="","",INDEX(TAX_MODES!$B:$B,MATCH($AM930,TAX_MODES!$A:$A,0)))</f>
        <v/>
      </c>
    </row>
    <row r="931">
      <c r="X931" s="15" t="n"/>
      <c r="Y931" s="15">
        <f>IF($X931="","",SUMIFS(TARIFF_PROFILES!$D:$D,TARIFF_PROFILES!$A:$A,$X931))</f>
        <v/>
      </c>
      <c r="Z931" s="15">
        <f>IF($X931="","",SUMIFS(TARIFF_PROFILES!$E:$E,TARIFF_PROFILES!$A:$A,$X931))</f>
        <v/>
      </c>
      <c r="AA931" s="15">
        <f>IF($X931="","",SUMIFS(TARIFF_PROFILES!$F:$F,TARIFF_PROFILES!$A:$A,$X931))</f>
        <v/>
      </c>
      <c r="AB931" s="15">
        <f>IF($X931="","",SUMIFS(TARIFF_PROFILES!$G:$G,TARIFF_PROFILES!$A:$A,$X931))</f>
        <v/>
      </c>
      <c r="AC931" s="15">
        <f>IF($X931="","",SUMIFS(TARIFF_PROFILES!$H:$H,TARIFF_PROFILES!$A:$A,$X931))</f>
        <v/>
      </c>
      <c r="AD931" s="15">
        <f>IF($X931="","",INDEX(TARIFF_PROFILES!$J:$J,MATCH($X931,TARIFF_PROFILES!$A:$A,0)))</f>
        <v/>
      </c>
      <c r="AE931" s="15">
        <f>IF($X931="","",INDEX(TARIFF_PROFILES!$K:$K,MATCH($X931,TARIFF_PROFILES!$A:$A,0)))</f>
        <v/>
      </c>
      <c r="AH931">
        <f>IF($AG931="","",SUMIFS(OPERATING_COEFFS!$C:$C,OPERATING_COEFFS!$A:$A,"DistanceClass",OPERATING_COEFFS!$B:$B,$AG931))</f>
        <v/>
      </c>
      <c r="AJ931">
        <f>IF($AI931="","",SUMIFS(OPERATING_COEFFS!$C:$C,OPERATING_COEFFS!$A:$A,"SeasonClass",OPERATING_COEFFS!$B:$B,$AI931))</f>
        <v/>
      </c>
      <c r="AL931">
        <f>IF($AK931="","",SUMIFS(OPERATING_COEFFS!$C:$C,OPERATING_COEFFS!$A:$A,"UrgencyClass",OPERATING_COEFFS!$B:$B,$AK931))</f>
        <v/>
      </c>
      <c r="AN931">
        <f>IF($AM931="","",INDEX(TAX_MODES!$B:$B,MATCH($AM931,TAX_MODES!$A:$A,0)))</f>
        <v/>
      </c>
    </row>
    <row r="932">
      <c r="X932" s="15" t="n"/>
      <c r="Y932" s="15">
        <f>IF($X932="","",SUMIFS(TARIFF_PROFILES!$D:$D,TARIFF_PROFILES!$A:$A,$X932))</f>
        <v/>
      </c>
      <c r="Z932" s="15">
        <f>IF($X932="","",SUMIFS(TARIFF_PROFILES!$E:$E,TARIFF_PROFILES!$A:$A,$X932))</f>
        <v/>
      </c>
      <c r="AA932" s="15">
        <f>IF($X932="","",SUMIFS(TARIFF_PROFILES!$F:$F,TARIFF_PROFILES!$A:$A,$X932))</f>
        <v/>
      </c>
      <c r="AB932" s="15">
        <f>IF($X932="","",SUMIFS(TARIFF_PROFILES!$G:$G,TARIFF_PROFILES!$A:$A,$X932))</f>
        <v/>
      </c>
      <c r="AC932" s="15">
        <f>IF($X932="","",SUMIFS(TARIFF_PROFILES!$H:$H,TARIFF_PROFILES!$A:$A,$X932))</f>
        <v/>
      </c>
      <c r="AD932" s="15">
        <f>IF($X932="","",INDEX(TARIFF_PROFILES!$J:$J,MATCH($X932,TARIFF_PROFILES!$A:$A,0)))</f>
        <v/>
      </c>
      <c r="AE932" s="15">
        <f>IF($X932="","",INDEX(TARIFF_PROFILES!$K:$K,MATCH($X932,TARIFF_PROFILES!$A:$A,0)))</f>
        <v/>
      </c>
      <c r="AH932">
        <f>IF($AG932="","",SUMIFS(OPERATING_COEFFS!$C:$C,OPERATING_COEFFS!$A:$A,"DistanceClass",OPERATING_COEFFS!$B:$B,$AG932))</f>
        <v/>
      </c>
      <c r="AJ932">
        <f>IF($AI932="","",SUMIFS(OPERATING_COEFFS!$C:$C,OPERATING_COEFFS!$A:$A,"SeasonClass",OPERATING_COEFFS!$B:$B,$AI932))</f>
        <v/>
      </c>
      <c r="AL932">
        <f>IF($AK932="","",SUMIFS(OPERATING_COEFFS!$C:$C,OPERATING_COEFFS!$A:$A,"UrgencyClass",OPERATING_COEFFS!$B:$B,$AK932))</f>
        <v/>
      </c>
      <c r="AN932">
        <f>IF($AM932="","",INDEX(TAX_MODES!$B:$B,MATCH($AM932,TAX_MODES!$A:$A,0)))</f>
        <v/>
      </c>
    </row>
    <row r="933">
      <c r="X933" s="15" t="n"/>
      <c r="Y933" s="15">
        <f>IF($X933="","",SUMIFS(TARIFF_PROFILES!$D:$D,TARIFF_PROFILES!$A:$A,$X933))</f>
        <v/>
      </c>
      <c r="Z933" s="15">
        <f>IF($X933="","",SUMIFS(TARIFF_PROFILES!$E:$E,TARIFF_PROFILES!$A:$A,$X933))</f>
        <v/>
      </c>
      <c r="AA933" s="15">
        <f>IF($X933="","",SUMIFS(TARIFF_PROFILES!$F:$F,TARIFF_PROFILES!$A:$A,$X933))</f>
        <v/>
      </c>
      <c r="AB933" s="15">
        <f>IF($X933="","",SUMIFS(TARIFF_PROFILES!$G:$G,TARIFF_PROFILES!$A:$A,$X933))</f>
        <v/>
      </c>
      <c r="AC933" s="15">
        <f>IF($X933="","",SUMIFS(TARIFF_PROFILES!$H:$H,TARIFF_PROFILES!$A:$A,$X933))</f>
        <v/>
      </c>
      <c r="AD933" s="15">
        <f>IF($X933="","",INDEX(TARIFF_PROFILES!$J:$J,MATCH($X933,TARIFF_PROFILES!$A:$A,0)))</f>
        <v/>
      </c>
      <c r="AE933" s="15">
        <f>IF($X933="","",INDEX(TARIFF_PROFILES!$K:$K,MATCH($X933,TARIFF_PROFILES!$A:$A,0)))</f>
        <v/>
      </c>
      <c r="AH933">
        <f>IF($AG933="","",SUMIFS(OPERATING_COEFFS!$C:$C,OPERATING_COEFFS!$A:$A,"DistanceClass",OPERATING_COEFFS!$B:$B,$AG933))</f>
        <v/>
      </c>
      <c r="AJ933">
        <f>IF($AI933="","",SUMIFS(OPERATING_COEFFS!$C:$C,OPERATING_COEFFS!$A:$A,"SeasonClass",OPERATING_COEFFS!$B:$B,$AI933))</f>
        <v/>
      </c>
      <c r="AL933">
        <f>IF($AK933="","",SUMIFS(OPERATING_COEFFS!$C:$C,OPERATING_COEFFS!$A:$A,"UrgencyClass",OPERATING_COEFFS!$B:$B,$AK933))</f>
        <v/>
      </c>
      <c r="AN933">
        <f>IF($AM933="","",INDEX(TAX_MODES!$B:$B,MATCH($AM933,TAX_MODES!$A:$A,0)))</f>
        <v/>
      </c>
    </row>
    <row r="934">
      <c r="X934" s="15" t="n"/>
      <c r="Y934" s="15">
        <f>IF($X934="","",SUMIFS(TARIFF_PROFILES!$D:$D,TARIFF_PROFILES!$A:$A,$X934))</f>
        <v/>
      </c>
      <c r="Z934" s="15">
        <f>IF($X934="","",SUMIFS(TARIFF_PROFILES!$E:$E,TARIFF_PROFILES!$A:$A,$X934))</f>
        <v/>
      </c>
      <c r="AA934" s="15">
        <f>IF($X934="","",SUMIFS(TARIFF_PROFILES!$F:$F,TARIFF_PROFILES!$A:$A,$X934))</f>
        <v/>
      </c>
      <c r="AB934" s="15">
        <f>IF($X934="","",SUMIFS(TARIFF_PROFILES!$G:$G,TARIFF_PROFILES!$A:$A,$X934))</f>
        <v/>
      </c>
      <c r="AC934" s="15">
        <f>IF($X934="","",SUMIFS(TARIFF_PROFILES!$H:$H,TARIFF_PROFILES!$A:$A,$X934))</f>
        <v/>
      </c>
      <c r="AD934" s="15">
        <f>IF($X934="","",INDEX(TARIFF_PROFILES!$J:$J,MATCH($X934,TARIFF_PROFILES!$A:$A,0)))</f>
        <v/>
      </c>
      <c r="AE934" s="15">
        <f>IF($X934="","",INDEX(TARIFF_PROFILES!$K:$K,MATCH($X934,TARIFF_PROFILES!$A:$A,0)))</f>
        <v/>
      </c>
      <c r="AH934">
        <f>IF($AG934="","",SUMIFS(OPERATING_COEFFS!$C:$C,OPERATING_COEFFS!$A:$A,"DistanceClass",OPERATING_COEFFS!$B:$B,$AG934))</f>
        <v/>
      </c>
      <c r="AJ934">
        <f>IF($AI934="","",SUMIFS(OPERATING_COEFFS!$C:$C,OPERATING_COEFFS!$A:$A,"SeasonClass",OPERATING_COEFFS!$B:$B,$AI934))</f>
        <v/>
      </c>
      <c r="AL934">
        <f>IF($AK934="","",SUMIFS(OPERATING_COEFFS!$C:$C,OPERATING_COEFFS!$A:$A,"UrgencyClass",OPERATING_COEFFS!$B:$B,$AK934))</f>
        <v/>
      </c>
      <c r="AN934">
        <f>IF($AM934="","",INDEX(TAX_MODES!$B:$B,MATCH($AM934,TAX_MODES!$A:$A,0)))</f>
        <v/>
      </c>
    </row>
    <row r="935">
      <c r="X935" s="15" t="n"/>
      <c r="Y935" s="15">
        <f>IF($X935="","",SUMIFS(TARIFF_PROFILES!$D:$D,TARIFF_PROFILES!$A:$A,$X935))</f>
        <v/>
      </c>
      <c r="Z935" s="15">
        <f>IF($X935="","",SUMIFS(TARIFF_PROFILES!$E:$E,TARIFF_PROFILES!$A:$A,$X935))</f>
        <v/>
      </c>
      <c r="AA935" s="15">
        <f>IF($X935="","",SUMIFS(TARIFF_PROFILES!$F:$F,TARIFF_PROFILES!$A:$A,$X935))</f>
        <v/>
      </c>
      <c r="AB935" s="15">
        <f>IF($X935="","",SUMIFS(TARIFF_PROFILES!$G:$G,TARIFF_PROFILES!$A:$A,$X935))</f>
        <v/>
      </c>
      <c r="AC935" s="15">
        <f>IF($X935="","",SUMIFS(TARIFF_PROFILES!$H:$H,TARIFF_PROFILES!$A:$A,$X935))</f>
        <v/>
      </c>
      <c r="AD935" s="15">
        <f>IF($X935="","",INDEX(TARIFF_PROFILES!$J:$J,MATCH($X935,TARIFF_PROFILES!$A:$A,0)))</f>
        <v/>
      </c>
      <c r="AE935" s="15">
        <f>IF($X935="","",INDEX(TARIFF_PROFILES!$K:$K,MATCH($X935,TARIFF_PROFILES!$A:$A,0)))</f>
        <v/>
      </c>
      <c r="AH935">
        <f>IF($AG935="","",SUMIFS(OPERATING_COEFFS!$C:$C,OPERATING_COEFFS!$A:$A,"DistanceClass",OPERATING_COEFFS!$B:$B,$AG935))</f>
        <v/>
      </c>
      <c r="AJ935">
        <f>IF($AI935="","",SUMIFS(OPERATING_COEFFS!$C:$C,OPERATING_COEFFS!$A:$A,"SeasonClass",OPERATING_COEFFS!$B:$B,$AI935))</f>
        <v/>
      </c>
      <c r="AL935">
        <f>IF($AK935="","",SUMIFS(OPERATING_COEFFS!$C:$C,OPERATING_COEFFS!$A:$A,"UrgencyClass",OPERATING_COEFFS!$B:$B,$AK935))</f>
        <v/>
      </c>
      <c r="AN935">
        <f>IF($AM935="","",INDEX(TAX_MODES!$B:$B,MATCH($AM935,TAX_MODES!$A:$A,0)))</f>
        <v/>
      </c>
    </row>
    <row r="936">
      <c r="X936" s="15" t="n"/>
      <c r="Y936" s="15">
        <f>IF($X936="","",SUMIFS(TARIFF_PROFILES!$D:$D,TARIFF_PROFILES!$A:$A,$X936))</f>
        <v/>
      </c>
      <c r="Z936" s="15">
        <f>IF($X936="","",SUMIFS(TARIFF_PROFILES!$E:$E,TARIFF_PROFILES!$A:$A,$X936))</f>
        <v/>
      </c>
      <c r="AA936" s="15">
        <f>IF($X936="","",SUMIFS(TARIFF_PROFILES!$F:$F,TARIFF_PROFILES!$A:$A,$X936))</f>
        <v/>
      </c>
      <c r="AB936" s="15">
        <f>IF($X936="","",SUMIFS(TARIFF_PROFILES!$G:$G,TARIFF_PROFILES!$A:$A,$X936))</f>
        <v/>
      </c>
      <c r="AC936" s="15">
        <f>IF($X936="","",SUMIFS(TARIFF_PROFILES!$H:$H,TARIFF_PROFILES!$A:$A,$X936))</f>
        <v/>
      </c>
      <c r="AD936" s="15">
        <f>IF($X936="","",INDEX(TARIFF_PROFILES!$J:$J,MATCH($X936,TARIFF_PROFILES!$A:$A,0)))</f>
        <v/>
      </c>
      <c r="AE936" s="15">
        <f>IF($X936="","",INDEX(TARIFF_PROFILES!$K:$K,MATCH($X936,TARIFF_PROFILES!$A:$A,0)))</f>
        <v/>
      </c>
      <c r="AH936">
        <f>IF($AG936="","",SUMIFS(OPERATING_COEFFS!$C:$C,OPERATING_COEFFS!$A:$A,"DistanceClass",OPERATING_COEFFS!$B:$B,$AG936))</f>
        <v/>
      </c>
      <c r="AJ936">
        <f>IF($AI936="","",SUMIFS(OPERATING_COEFFS!$C:$C,OPERATING_COEFFS!$A:$A,"SeasonClass",OPERATING_COEFFS!$B:$B,$AI936))</f>
        <v/>
      </c>
      <c r="AL936">
        <f>IF($AK936="","",SUMIFS(OPERATING_COEFFS!$C:$C,OPERATING_COEFFS!$A:$A,"UrgencyClass",OPERATING_COEFFS!$B:$B,$AK936))</f>
        <v/>
      </c>
      <c r="AN936">
        <f>IF($AM936="","",INDEX(TAX_MODES!$B:$B,MATCH($AM936,TAX_MODES!$A:$A,0)))</f>
        <v/>
      </c>
    </row>
    <row r="937">
      <c r="X937" s="15" t="n"/>
      <c r="Y937" s="15">
        <f>IF($X937="","",SUMIFS(TARIFF_PROFILES!$D:$D,TARIFF_PROFILES!$A:$A,$X937))</f>
        <v/>
      </c>
      <c r="Z937" s="15">
        <f>IF($X937="","",SUMIFS(TARIFF_PROFILES!$E:$E,TARIFF_PROFILES!$A:$A,$X937))</f>
        <v/>
      </c>
      <c r="AA937" s="15">
        <f>IF($X937="","",SUMIFS(TARIFF_PROFILES!$F:$F,TARIFF_PROFILES!$A:$A,$X937))</f>
        <v/>
      </c>
      <c r="AB937" s="15">
        <f>IF($X937="","",SUMIFS(TARIFF_PROFILES!$G:$G,TARIFF_PROFILES!$A:$A,$X937))</f>
        <v/>
      </c>
      <c r="AC937" s="15">
        <f>IF($X937="","",SUMIFS(TARIFF_PROFILES!$H:$H,TARIFF_PROFILES!$A:$A,$X937))</f>
        <v/>
      </c>
      <c r="AD937" s="15">
        <f>IF($X937="","",INDEX(TARIFF_PROFILES!$J:$J,MATCH($X937,TARIFF_PROFILES!$A:$A,0)))</f>
        <v/>
      </c>
      <c r="AE937" s="15">
        <f>IF($X937="","",INDEX(TARIFF_PROFILES!$K:$K,MATCH($X937,TARIFF_PROFILES!$A:$A,0)))</f>
        <v/>
      </c>
      <c r="AH937">
        <f>IF($AG937="","",SUMIFS(OPERATING_COEFFS!$C:$C,OPERATING_COEFFS!$A:$A,"DistanceClass",OPERATING_COEFFS!$B:$B,$AG937))</f>
        <v/>
      </c>
      <c r="AJ937">
        <f>IF($AI937="","",SUMIFS(OPERATING_COEFFS!$C:$C,OPERATING_COEFFS!$A:$A,"SeasonClass",OPERATING_COEFFS!$B:$B,$AI937))</f>
        <v/>
      </c>
      <c r="AL937">
        <f>IF($AK937="","",SUMIFS(OPERATING_COEFFS!$C:$C,OPERATING_COEFFS!$A:$A,"UrgencyClass",OPERATING_COEFFS!$B:$B,$AK937))</f>
        <v/>
      </c>
      <c r="AN937">
        <f>IF($AM937="","",INDEX(TAX_MODES!$B:$B,MATCH($AM937,TAX_MODES!$A:$A,0)))</f>
        <v/>
      </c>
    </row>
    <row r="938">
      <c r="X938" s="15" t="n"/>
      <c r="Y938" s="15">
        <f>IF($X938="","",SUMIFS(TARIFF_PROFILES!$D:$D,TARIFF_PROFILES!$A:$A,$X938))</f>
        <v/>
      </c>
      <c r="Z938" s="15">
        <f>IF($X938="","",SUMIFS(TARIFF_PROFILES!$E:$E,TARIFF_PROFILES!$A:$A,$X938))</f>
        <v/>
      </c>
      <c r="AA938" s="15">
        <f>IF($X938="","",SUMIFS(TARIFF_PROFILES!$F:$F,TARIFF_PROFILES!$A:$A,$X938))</f>
        <v/>
      </c>
      <c r="AB938" s="15">
        <f>IF($X938="","",SUMIFS(TARIFF_PROFILES!$G:$G,TARIFF_PROFILES!$A:$A,$X938))</f>
        <v/>
      </c>
      <c r="AC938" s="15">
        <f>IF($X938="","",SUMIFS(TARIFF_PROFILES!$H:$H,TARIFF_PROFILES!$A:$A,$X938))</f>
        <v/>
      </c>
      <c r="AD938" s="15">
        <f>IF($X938="","",INDEX(TARIFF_PROFILES!$J:$J,MATCH($X938,TARIFF_PROFILES!$A:$A,0)))</f>
        <v/>
      </c>
      <c r="AE938" s="15">
        <f>IF($X938="","",INDEX(TARIFF_PROFILES!$K:$K,MATCH($X938,TARIFF_PROFILES!$A:$A,0)))</f>
        <v/>
      </c>
      <c r="AH938">
        <f>IF($AG938="","",SUMIFS(OPERATING_COEFFS!$C:$C,OPERATING_COEFFS!$A:$A,"DistanceClass",OPERATING_COEFFS!$B:$B,$AG938))</f>
        <v/>
      </c>
      <c r="AJ938">
        <f>IF($AI938="","",SUMIFS(OPERATING_COEFFS!$C:$C,OPERATING_COEFFS!$A:$A,"SeasonClass",OPERATING_COEFFS!$B:$B,$AI938))</f>
        <v/>
      </c>
      <c r="AL938">
        <f>IF($AK938="","",SUMIFS(OPERATING_COEFFS!$C:$C,OPERATING_COEFFS!$A:$A,"UrgencyClass",OPERATING_COEFFS!$B:$B,$AK938))</f>
        <v/>
      </c>
      <c r="AN938">
        <f>IF($AM938="","",INDEX(TAX_MODES!$B:$B,MATCH($AM938,TAX_MODES!$A:$A,0)))</f>
        <v/>
      </c>
    </row>
    <row r="939">
      <c r="X939" s="15" t="n"/>
      <c r="Y939" s="15">
        <f>IF($X939="","",SUMIFS(TARIFF_PROFILES!$D:$D,TARIFF_PROFILES!$A:$A,$X939))</f>
        <v/>
      </c>
      <c r="Z939" s="15">
        <f>IF($X939="","",SUMIFS(TARIFF_PROFILES!$E:$E,TARIFF_PROFILES!$A:$A,$X939))</f>
        <v/>
      </c>
      <c r="AA939" s="15">
        <f>IF($X939="","",SUMIFS(TARIFF_PROFILES!$F:$F,TARIFF_PROFILES!$A:$A,$X939))</f>
        <v/>
      </c>
      <c r="AB939" s="15">
        <f>IF($X939="","",SUMIFS(TARIFF_PROFILES!$G:$G,TARIFF_PROFILES!$A:$A,$X939))</f>
        <v/>
      </c>
      <c r="AC939" s="15">
        <f>IF($X939="","",SUMIFS(TARIFF_PROFILES!$H:$H,TARIFF_PROFILES!$A:$A,$X939))</f>
        <v/>
      </c>
      <c r="AD939" s="15">
        <f>IF($X939="","",INDEX(TARIFF_PROFILES!$J:$J,MATCH($X939,TARIFF_PROFILES!$A:$A,0)))</f>
        <v/>
      </c>
      <c r="AE939" s="15">
        <f>IF($X939="","",INDEX(TARIFF_PROFILES!$K:$K,MATCH($X939,TARIFF_PROFILES!$A:$A,0)))</f>
        <v/>
      </c>
      <c r="AH939">
        <f>IF($AG939="","",SUMIFS(OPERATING_COEFFS!$C:$C,OPERATING_COEFFS!$A:$A,"DistanceClass",OPERATING_COEFFS!$B:$B,$AG939))</f>
        <v/>
      </c>
      <c r="AJ939">
        <f>IF($AI939="","",SUMIFS(OPERATING_COEFFS!$C:$C,OPERATING_COEFFS!$A:$A,"SeasonClass",OPERATING_COEFFS!$B:$B,$AI939))</f>
        <v/>
      </c>
      <c r="AL939">
        <f>IF($AK939="","",SUMIFS(OPERATING_COEFFS!$C:$C,OPERATING_COEFFS!$A:$A,"UrgencyClass",OPERATING_COEFFS!$B:$B,$AK939))</f>
        <v/>
      </c>
      <c r="AN939">
        <f>IF($AM939="","",INDEX(TAX_MODES!$B:$B,MATCH($AM939,TAX_MODES!$A:$A,0)))</f>
        <v/>
      </c>
    </row>
    <row r="940">
      <c r="X940" s="15" t="n"/>
      <c r="Y940" s="15">
        <f>IF($X940="","",SUMIFS(TARIFF_PROFILES!$D:$D,TARIFF_PROFILES!$A:$A,$X940))</f>
        <v/>
      </c>
      <c r="Z940" s="15">
        <f>IF($X940="","",SUMIFS(TARIFF_PROFILES!$E:$E,TARIFF_PROFILES!$A:$A,$X940))</f>
        <v/>
      </c>
      <c r="AA940" s="15">
        <f>IF($X940="","",SUMIFS(TARIFF_PROFILES!$F:$F,TARIFF_PROFILES!$A:$A,$X940))</f>
        <v/>
      </c>
      <c r="AB940" s="15">
        <f>IF($X940="","",SUMIFS(TARIFF_PROFILES!$G:$G,TARIFF_PROFILES!$A:$A,$X940))</f>
        <v/>
      </c>
      <c r="AC940" s="15">
        <f>IF($X940="","",SUMIFS(TARIFF_PROFILES!$H:$H,TARIFF_PROFILES!$A:$A,$X940))</f>
        <v/>
      </c>
      <c r="AD940" s="15">
        <f>IF($X940="","",INDEX(TARIFF_PROFILES!$J:$J,MATCH($X940,TARIFF_PROFILES!$A:$A,0)))</f>
        <v/>
      </c>
      <c r="AE940" s="15">
        <f>IF($X940="","",INDEX(TARIFF_PROFILES!$K:$K,MATCH($X940,TARIFF_PROFILES!$A:$A,0)))</f>
        <v/>
      </c>
      <c r="AH940">
        <f>IF($AG940="","",SUMIFS(OPERATING_COEFFS!$C:$C,OPERATING_COEFFS!$A:$A,"DistanceClass",OPERATING_COEFFS!$B:$B,$AG940))</f>
        <v/>
      </c>
      <c r="AJ940">
        <f>IF($AI940="","",SUMIFS(OPERATING_COEFFS!$C:$C,OPERATING_COEFFS!$A:$A,"SeasonClass",OPERATING_COEFFS!$B:$B,$AI940))</f>
        <v/>
      </c>
      <c r="AL940">
        <f>IF($AK940="","",SUMIFS(OPERATING_COEFFS!$C:$C,OPERATING_COEFFS!$A:$A,"UrgencyClass",OPERATING_COEFFS!$B:$B,$AK940))</f>
        <v/>
      </c>
      <c r="AN940">
        <f>IF($AM940="","",INDEX(TAX_MODES!$B:$B,MATCH($AM940,TAX_MODES!$A:$A,0)))</f>
        <v/>
      </c>
    </row>
    <row r="941">
      <c r="X941" s="15" t="n"/>
      <c r="Y941" s="15">
        <f>IF($X941="","",SUMIFS(TARIFF_PROFILES!$D:$D,TARIFF_PROFILES!$A:$A,$X941))</f>
        <v/>
      </c>
      <c r="Z941" s="15">
        <f>IF($X941="","",SUMIFS(TARIFF_PROFILES!$E:$E,TARIFF_PROFILES!$A:$A,$X941))</f>
        <v/>
      </c>
      <c r="AA941" s="15">
        <f>IF($X941="","",SUMIFS(TARIFF_PROFILES!$F:$F,TARIFF_PROFILES!$A:$A,$X941))</f>
        <v/>
      </c>
      <c r="AB941" s="15">
        <f>IF($X941="","",SUMIFS(TARIFF_PROFILES!$G:$G,TARIFF_PROFILES!$A:$A,$X941))</f>
        <v/>
      </c>
      <c r="AC941" s="15">
        <f>IF($X941="","",SUMIFS(TARIFF_PROFILES!$H:$H,TARIFF_PROFILES!$A:$A,$X941))</f>
        <v/>
      </c>
      <c r="AD941" s="15">
        <f>IF($X941="","",INDEX(TARIFF_PROFILES!$J:$J,MATCH($X941,TARIFF_PROFILES!$A:$A,0)))</f>
        <v/>
      </c>
      <c r="AE941" s="15">
        <f>IF($X941="","",INDEX(TARIFF_PROFILES!$K:$K,MATCH($X941,TARIFF_PROFILES!$A:$A,0)))</f>
        <v/>
      </c>
      <c r="AH941">
        <f>IF($AG941="","",SUMIFS(OPERATING_COEFFS!$C:$C,OPERATING_COEFFS!$A:$A,"DistanceClass",OPERATING_COEFFS!$B:$B,$AG941))</f>
        <v/>
      </c>
      <c r="AJ941">
        <f>IF($AI941="","",SUMIFS(OPERATING_COEFFS!$C:$C,OPERATING_COEFFS!$A:$A,"SeasonClass",OPERATING_COEFFS!$B:$B,$AI941))</f>
        <v/>
      </c>
      <c r="AL941">
        <f>IF($AK941="","",SUMIFS(OPERATING_COEFFS!$C:$C,OPERATING_COEFFS!$A:$A,"UrgencyClass",OPERATING_COEFFS!$B:$B,$AK941))</f>
        <v/>
      </c>
      <c r="AN941">
        <f>IF($AM941="","",INDEX(TAX_MODES!$B:$B,MATCH($AM941,TAX_MODES!$A:$A,0)))</f>
        <v/>
      </c>
    </row>
    <row r="942">
      <c r="X942" s="15" t="n"/>
      <c r="Y942" s="15">
        <f>IF($X942="","",SUMIFS(TARIFF_PROFILES!$D:$D,TARIFF_PROFILES!$A:$A,$X942))</f>
        <v/>
      </c>
      <c r="Z942" s="15">
        <f>IF($X942="","",SUMIFS(TARIFF_PROFILES!$E:$E,TARIFF_PROFILES!$A:$A,$X942))</f>
        <v/>
      </c>
      <c r="AA942" s="15">
        <f>IF($X942="","",SUMIFS(TARIFF_PROFILES!$F:$F,TARIFF_PROFILES!$A:$A,$X942))</f>
        <v/>
      </c>
      <c r="AB942" s="15">
        <f>IF($X942="","",SUMIFS(TARIFF_PROFILES!$G:$G,TARIFF_PROFILES!$A:$A,$X942))</f>
        <v/>
      </c>
      <c r="AC942" s="15">
        <f>IF($X942="","",SUMIFS(TARIFF_PROFILES!$H:$H,TARIFF_PROFILES!$A:$A,$X942))</f>
        <v/>
      </c>
      <c r="AD942" s="15">
        <f>IF($X942="","",INDEX(TARIFF_PROFILES!$J:$J,MATCH($X942,TARIFF_PROFILES!$A:$A,0)))</f>
        <v/>
      </c>
      <c r="AE942" s="15">
        <f>IF($X942="","",INDEX(TARIFF_PROFILES!$K:$K,MATCH($X942,TARIFF_PROFILES!$A:$A,0)))</f>
        <v/>
      </c>
      <c r="AH942">
        <f>IF($AG942="","",SUMIFS(OPERATING_COEFFS!$C:$C,OPERATING_COEFFS!$A:$A,"DistanceClass",OPERATING_COEFFS!$B:$B,$AG942))</f>
        <v/>
      </c>
      <c r="AJ942">
        <f>IF($AI942="","",SUMIFS(OPERATING_COEFFS!$C:$C,OPERATING_COEFFS!$A:$A,"SeasonClass",OPERATING_COEFFS!$B:$B,$AI942))</f>
        <v/>
      </c>
      <c r="AL942">
        <f>IF($AK942="","",SUMIFS(OPERATING_COEFFS!$C:$C,OPERATING_COEFFS!$A:$A,"UrgencyClass",OPERATING_COEFFS!$B:$B,$AK942))</f>
        <v/>
      </c>
      <c r="AN942">
        <f>IF($AM942="","",INDEX(TAX_MODES!$B:$B,MATCH($AM942,TAX_MODES!$A:$A,0)))</f>
        <v/>
      </c>
    </row>
    <row r="943">
      <c r="X943" s="15" t="n"/>
      <c r="Y943" s="15">
        <f>IF($X943="","",SUMIFS(TARIFF_PROFILES!$D:$D,TARIFF_PROFILES!$A:$A,$X943))</f>
        <v/>
      </c>
      <c r="Z943" s="15">
        <f>IF($X943="","",SUMIFS(TARIFF_PROFILES!$E:$E,TARIFF_PROFILES!$A:$A,$X943))</f>
        <v/>
      </c>
      <c r="AA943" s="15">
        <f>IF($X943="","",SUMIFS(TARIFF_PROFILES!$F:$F,TARIFF_PROFILES!$A:$A,$X943))</f>
        <v/>
      </c>
      <c r="AB943" s="15">
        <f>IF($X943="","",SUMIFS(TARIFF_PROFILES!$G:$G,TARIFF_PROFILES!$A:$A,$X943))</f>
        <v/>
      </c>
      <c r="AC943" s="15">
        <f>IF($X943="","",SUMIFS(TARIFF_PROFILES!$H:$H,TARIFF_PROFILES!$A:$A,$X943))</f>
        <v/>
      </c>
      <c r="AD943" s="15">
        <f>IF($X943="","",INDEX(TARIFF_PROFILES!$J:$J,MATCH($X943,TARIFF_PROFILES!$A:$A,0)))</f>
        <v/>
      </c>
      <c r="AE943" s="15">
        <f>IF($X943="","",INDEX(TARIFF_PROFILES!$K:$K,MATCH($X943,TARIFF_PROFILES!$A:$A,0)))</f>
        <v/>
      </c>
      <c r="AH943">
        <f>IF($AG943="","",SUMIFS(OPERATING_COEFFS!$C:$C,OPERATING_COEFFS!$A:$A,"DistanceClass",OPERATING_COEFFS!$B:$B,$AG943))</f>
        <v/>
      </c>
      <c r="AJ943">
        <f>IF($AI943="","",SUMIFS(OPERATING_COEFFS!$C:$C,OPERATING_COEFFS!$A:$A,"SeasonClass",OPERATING_COEFFS!$B:$B,$AI943))</f>
        <v/>
      </c>
      <c r="AL943">
        <f>IF($AK943="","",SUMIFS(OPERATING_COEFFS!$C:$C,OPERATING_COEFFS!$A:$A,"UrgencyClass",OPERATING_COEFFS!$B:$B,$AK943))</f>
        <v/>
      </c>
      <c r="AN943">
        <f>IF($AM943="","",INDEX(TAX_MODES!$B:$B,MATCH($AM943,TAX_MODES!$A:$A,0)))</f>
        <v/>
      </c>
    </row>
    <row r="944">
      <c r="X944" s="15" t="n"/>
      <c r="Y944" s="15">
        <f>IF($X944="","",SUMIFS(TARIFF_PROFILES!$D:$D,TARIFF_PROFILES!$A:$A,$X944))</f>
        <v/>
      </c>
      <c r="Z944" s="15">
        <f>IF($X944="","",SUMIFS(TARIFF_PROFILES!$E:$E,TARIFF_PROFILES!$A:$A,$X944))</f>
        <v/>
      </c>
      <c r="AA944" s="15">
        <f>IF($X944="","",SUMIFS(TARIFF_PROFILES!$F:$F,TARIFF_PROFILES!$A:$A,$X944))</f>
        <v/>
      </c>
      <c r="AB944" s="15">
        <f>IF($X944="","",SUMIFS(TARIFF_PROFILES!$G:$G,TARIFF_PROFILES!$A:$A,$X944))</f>
        <v/>
      </c>
      <c r="AC944" s="15">
        <f>IF($X944="","",SUMIFS(TARIFF_PROFILES!$H:$H,TARIFF_PROFILES!$A:$A,$X944))</f>
        <v/>
      </c>
      <c r="AD944" s="15">
        <f>IF($X944="","",INDEX(TARIFF_PROFILES!$J:$J,MATCH($X944,TARIFF_PROFILES!$A:$A,0)))</f>
        <v/>
      </c>
      <c r="AE944" s="15">
        <f>IF($X944="","",INDEX(TARIFF_PROFILES!$K:$K,MATCH($X944,TARIFF_PROFILES!$A:$A,0)))</f>
        <v/>
      </c>
      <c r="AH944">
        <f>IF($AG944="","",SUMIFS(OPERATING_COEFFS!$C:$C,OPERATING_COEFFS!$A:$A,"DistanceClass",OPERATING_COEFFS!$B:$B,$AG944))</f>
        <v/>
      </c>
      <c r="AJ944">
        <f>IF($AI944="","",SUMIFS(OPERATING_COEFFS!$C:$C,OPERATING_COEFFS!$A:$A,"SeasonClass",OPERATING_COEFFS!$B:$B,$AI944))</f>
        <v/>
      </c>
      <c r="AL944">
        <f>IF($AK944="","",SUMIFS(OPERATING_COEFFS!$C:$C,OPERATING_COEFFS!$A:$A,"UrgencyClass",OPERATING_COEFFS!$B:$B,$AK944))</f>
        <v/>
      </c>
      <c r="AN944">
        <f>IF($AM944="","",INDEX(TAX_MODES!$B:$B,MATCH($AM944,TAX_MODES!$A:$A,0)))</f>
        <v/>
      </c>
    </row>
    <row r="945">
      <c r="X945" s="15" t="n"/>
      <c r="Y945" s="15">
        <f>IF($X945="","",SUMIFS(TARIFF_PROFILES!$D:$D,TARIFF_PROFILES!$A:$A,$X945))</f>
        <v/>
      </c>
      <c r="Z945" s="15">
        <f>IF($X945="","",SUMIFS(TARIFF_PROFILES!$E:$E,TARIFF_PROFILES!$A:$A,$X945))</f>
        <v/>
      </c>
      <c r="AA945" s="15">
        <f>IF($X945="","",SUMIFS(TARIFF_PROFILES!$F:$F,TARIFF_PROFILES!$A:$A,$X945))</f>
        <v/>
      </c>
      <c r="AB945" s="15">
        <f>IF($X945="","",SUMIFS(TARIFF_PROFILES!$G:$G,TARIFF_PROFILES!$A:$A,$X945))</f>
        <v/>
      </c>
      <c r="AC945" s="15">
        <f>IF($X945="","",SUMIFS(TARIFF_PROFILES!$H:$H,TARIFF_PROFILES!$A:$A,$X945))</f>
        <v/>
      </c>
      <c r="AD945" s="15">
        <f>IF($X945="","",INDEX(TARIFF_PROFILES!$J:$J,MATCH($X945,TARIFF_PROFILES!$A:$A,0)))</f>
        <v/>
      </c>
      <c r="AE945" s="15">
        <f>IF($X945="","",INDEX(TARIFF_PROFILES!$K:$K,MATCH($X945,TARIFF_PROFILES!$A:$A,0)))</f>
        <v/>
      </c>
      <c r="AH945">
        <f>IF($AG945="","",SUMIFS(OPERATING_COEFFS!$C:$C,OPERATING_COEFFS!$A:$A,"DistanceClass",OPERATING_COEFFS!$B:$B,$AG945))</f>
        <v/>
      </c>
      <c r="AJ945">
        <f>IF($AI945="","",SUMIFS(OPERATING_COEFFS!$C:$C,OPERATING_COEFFS!$A:$A,"SeasonClass",OPERATING_COEFFS!$B:$B,$AI945))</f>
        <v/>
      </c>
      <c r="AL945">
        <f>IF($AK945="","",SUMIFS(OPERATING_COEFFS!$C:$C,OPERATING_COEFFS!$A:$A,"UrgencyClass",OPERATING_COEFFS!$B:$B,$AK945))</f>
        <v/>
      </c>
      <c r="AN945">
        <f>IF($AM945="","",INDEX(TAX_MODES!$B:$B,MATCH($AM945,TAX_MODES!$A:$A,0)))</f>
        <v/>
      </c>
    </row>
    <row r="946">
      <c r="X946" s="15" t="n"/>
      <c r="Y946" s="15">
        <f>IF($X946="","",SUMIFS(TARIFF_PROFILES!$D:$D,TARIFF_PROFILES!$A:$A,$X946))</f>
        <v/>
      </c>
      <c r="Z946" s="15">
        <f>IF($X946="","",SUMIFS(TARIFF_PROFILES!$E:$E,TARIFF_PROFILES!$A:$A,$X946))</f>
        <v/>
      </c>
      <c r="AA946" s="15">
        <f>IF($X946="","",SUMIFS(TARIFF_PROFILES!$F:$F,TARIFF_PROFILES!$A:$A,$X946))</f>
        <v/>
      </c>
      <c r="AB946" s="15">
        <f>IF($X946="","",SUMIFS(TARIFF_PROFILES!$G:$G,TARIFF_PROFILES!$A:$A,$X946))</f>
        <v/>
      </c>
      <c r="AC946" s="15">
        <f>IF($X946="","",SUMIFS(TARIFF_PROFILES!$H:$H,TARIFF_PROFILES!$A:$A,$X946))</f>
        <v/>
      </c>
      <c r="AD946" s="15">
        <f>IF($X946="","",INDEX(TARIFF_PROFILES!$J:$J,MATCH($X946,TARIFF_PROFILES!$A:$A,0)))</f>
        <v/>
      </c>
      <c r="AE946" s="15">
        <f>IF($X946="","",INDEX(TARIFF_PROFILES!$K:$K,MATCH($X946,TARIFF_PROFILES!$A:$A,0)))</f>
        <v/>
      </c>
      <c r="AH946">
        <f>IF($AG946="","",SUMIFS(OPERATING_COEFFS!$C:$C,OPERATING_COEFFS!$A:$A,"DistanceClass",OPERATING_COEFFS!$B:$B,$AG946))</f>
        <v/>
      </c>
      <c r="AJ946">
        <f>IF($AI946="","",SUMIFS(OPERATING_COEFFS!$C:$C,OPERATING_COEFFS!$A:$A,"SeasonClass",OPERATING_COEFFS!$B:$B,$AI946))</f>
        <v/>
      </c>
      <c r="AL946">
        <f>IF($AK946="","",SUMIFS(OPERATING_COEFFS!$C:$C,OPERATING_COEFFS!$A:$A,"UrgencyClass",OPERATING_COEFFS!$B:$B,$AK946))</f>
        <v/>
      </c>
      <c r="AN946">
        <f>IF($AM946="","",INDEX(TAX_MODES!$B:$B,MATCH($AM946,TAX_MODES!$A:$A,0)))</f>
        <v/>
      </c>
    </row>
    <row r="947">
      <c r="X947" s="15" t="n"/>
      <c r="Y947" s="15">
        <f>IF($X947="","",SUMIFS(TARIFF_PROFILES!$D:$D,TARIFF_PROFILES!$A:$A,$X947))</f>
        <v/>
      </c>
      <c r="Z947" s="15">
        <f>IF($X947="","",SUMIFS(TARIFF_PROFILES!$E:$E,TARIFF_PROFILES!$A:$A,$X947))</f>
        <v/>
      </c>
      <c r="AA947" s="15">
        <f>IF($X947="","",SUMIFS(TARIFF_PROFILES!$F:$F,TARIFF_PROFILES!$A:$A,$X947))</f>
        <v/>
      </c>
      <c r="AB947" s="15">
        <f>IF($X947="","",SUMIFS(TARIFF_PROFILES!$G:$G,TARIFF_PROFILES!$A:$A,$X947))</f>
        <v/>
      </c>
      <c r="AC947" s="15">
        <f>IF($X947="","",SUMIFS(TARIFF_PROFILES!$H:$H,TARIFF_PROFILES!$A:$A,$X947))</f>
        <v/>
      </c>
      <c r="AD947" s="15">
        <f>IF($X947="","",INDEX(TARIFF_PROFILES!$J:$J,MATCH($X947,TARIFF_PROFILES!$A:$A,0)))</f>
        <v/>
      </c>
      <c r="AE947" s="15">
        <f>IF($X947="","",INDEX(TARIFF_PROFILES!$K:$K,MATCH($X947,TARIFF_PROFILES!$A:$A,0)))</f>
        <v/>
      </c>
      <c r="AH947">
        <f>IF($AG947="","",SUMIFS(OPERATING_COEFFS!$C:$C,OPERATING_COEFFS!$A:$A,"DistanceClass",OPERATING_COEFFS!$B:$B,$AG947))</f>
        <v/>
      </c>
      <c r="AJ947">
        <f>IF($AI947="","",SUMIFS(OPERATING_COEFFS!$C:$C,OPERATING_COEFFS!$A:$A,"SeasonClass",OPERATING_COEFFS!$B:$B,$AI947))</f>
        <v/>
      </c>
      <c r="AL947">
        <f>IF($AK947="","",SUMIFS(OPERATING_COEFFS!$C:$C,OPERATING_COEFFS!$A:$A,"UrgencyClass",OPERATING_COEFFS!$B:$B,$AK947))</f>
        <v/>
      </c>
      <c r="AN947">
        <f>IF($AM947="","",INDEX(TAX_MODES!$B:$B,MATCH($AM947,TAX_MODES!$A:$A,0)))</f>
        <v/>
      </c>
    </row>
    <row r="948">
      <c r="X948" s="15" t="n"/>
      <c r="Y948" s="15">
        <f>IF($X948="","",SUMIFS(TARIFF_PROFILES!$D:$D,TARIFF_PROFILES!$A:$A,$X948))</f>
        <v/>
      </c>
      <c r="Z948" s="15">
        <f>IF($X948="","",SUMIFS(TARIFF_PROFILES!$E:$E,TARIFF_PROFILES!$A:$A,$X948))</f>
        <v/>
      </c>
      <c r="AA948" s="15">
        <f>IF($X948="","",SUMIFS(TARIFF_PROFILES!$F:$F,TARIFF_PROFILES!$A:$A,$X948))</f>
        <v/>
      </c>
      <c r="AB948" s="15">
        <f>IF($X948="","",SUMIFS(TARIFF_PROFILES!$G:$G,TARIFF_PROFILES!$A:$A,$X948))</f>
        <v/>
      </c>
      <c r="AC948" s="15">
        <f>IF($X948="","",SUMIFS(TARIFF_PROFILES!$H:$H,TARIFF_PROFILES!$A:$A,$X948))</f>
        <v/>
      </c>
      <c r="AD948" s="15">
        <f>IF($X948="","",INDEX(TARIFF_PROFILES!$J:$J,MATCH($X948,TARIFF_PROFILES!$A:$A,0)))</f>
        <v/>
      </c>
      <c r="AE948" s="15">
        <f>IF($X948="","",INDEX(TARIFF_PROFILES!$K:$K,MATCH($X948,TARIFF_PROFILES!$A:$A,0)))</f>
        <v/>
      </c>
      <c r="AH948">
        <f>IF($AG948="","",SUMIFS(OPERATING_COEFFS!$C:$C,OPERATING_COEFFS!$A:$A,"DistanceClass",OPERATING_COEFFS!$B:$B,$AG948))</f>
        <v/>
      </c>
      <c r="AJ948">
        <f>IF($AI948="","",SUMIFS(OPERATING_COEFFS!$C:$C,OPERATING_COEFFS!$A:$A,"SeasonClass",OPERATING_COEFFS!$B:$B,$AI948))</f>
        <v/>
      </c>
      <c r="AL948">
        <f>IF($AK948="","",SUMIFS(OPERATING_COEFFS!$C:$C,OPERATING_COEFFS!$A:$A,"UrgencyClass",OPERATING_COEFFS!$B:$B,$AK948))</f>
        <v/>
      </c>
      <c r="AN948">
        <f>IF($AM948="","",INDEX(TAX_MODES!$B:$B,MATCH($AM948,TAX_MODES!$A:$A,0)))</f>
        <v/>
      </c>
    </row>
    <row r="949">
      <c r="X949" s="15" t="n"/>
      <c r="Y949" s="15">
        <f>IF($X949="","",SUMIFS(TARIFF_PROFILES!$D:$D,TARIFF_PROFILES!$A:$A,$X949))</f>
        <v/>
      </c>
      <c r="Z949" s="15">
        <f>IF($X949="","",SUMIFS(TARIFF_PROFILES!$E:$E,TARIFF_PROFILES!$A:$A,$X949))</f>
        <v/>
      </c>
      <c r="AA949" s="15">
        <f>IF($X949="","",SUMIFS(TARIFF_PROFILES!$F:$F,TARIFF_PROFILES!$A:$A,$X949))</f>
        <v/>
      </c>
      <c r="AB949" s="15">
        <f>IF($X949="","",SUMIFS(TARIFF_PROFILES!$G:$G,TARIFF_PROFILES!$A:$A,$X949))</f>
        <v/>
      </c>
      <c r="AC949" s="15">
        <f>IF($X949="","",SUMIFS(TARIFF_PROFILES!$H:$H,TARIFF_PROFILES!$A:$A,$X949))</f>
        <v/>
      </c>
      <c r="AD949" s="15">
        <f>IF($X949="","",INDEX(TARIFF_PROFILES!$J:$J,MATCH($X949,TARIFF_PROFILES!$A:$A,0)))</f>
        <v/>
      </c>
      <c r="AE949" s="15">
        <f>IF($X949="","",INDEX(TARIFF_PROFILES!$K:$K,MATCH($X949,TARIFF_PROFILES!$A:$A,0)))</f>
        <v/>
      </c>
      <c r="AH949">
        <f>IF($AG949="","",SUMIFS(OPERATING_COEFFS!$C:$C,OPERATING_COEFFS!$A:$A,"DistanceClass",OPERATING_COEFFS!$B:$B,$AG949))</f>
        <v/>
      </c>
      <c r="AJ949">
        <f>IF($AI949="","",SUMIFS(OPERATING_COEFFS!$C:$C,OPERATING_COEFFS!$A:$A,"SeasonClass",OPERATING_COEFFS!$B:$B,$AI949))</f>
        <v/>
      </c>
      <c r="AL949">
        <f>IF($AK949="","",SUMIFS(OPERATING_COEFFS!$C:$C,OPERATING_COEFFS!$A:$A,"UrgencyClass",OPERATING_COEFFS!$B:$B,$AK949))</f>
        <v/>
      </c>
      <c r="AN949">
        <f>IF($AM949="","",INDEX(TAX_MODES!$B:$B,MATCH($AM949,TAX_MODES!$A:$A,0)))</f>
        <v/>
      </c>
    </row>
    <row r="950">
      <c r="X950" s="15" t="n"/>
      <c r="Y950" s="15">
        <f>IF($X950="","",SUMIFS(TARIFF_PROFILES!$D:$D,TARIFF_PROFILES!$A:$A,$X950))</f>
        <v/>
      </c>
      <c r="Z950" s="15">
        <f>IF($X950="","",SUMIFS(TARIFF_PROFILES!$E:$E,TARIFF_PROFILES!$A:$A,$X950))</f>
        <v/>
      </c>
      <c r="AA950" s="15">
        <f>IF($X950="","",SUMIFS(TARIFF_PROFILES!$F:$F,TARIFF_PROFILES!$A:$A,$X950))</f>
        <v/>
      </c>
      <c r="AB950" s="15">
        <f>IF($X950="","",SUMIFS(TARIFF_PROFILES!$G:$G,TARIFF_PROFILES!$A:$A,$X950))</f>
        <v/>
      </c>
      <c r="AC950" s="15">
        <f>IF($X950="","",SUMIFS(TARIFF_PROFILES!$H:$H,TARIFF_PROFILES!$A:$A,$X950))</f>
        <v/>
      </c>
      <c r="AD950" s="15">
        <f>IF($X950="","",INDEX(TARIFF_PROFILES!$J:$J,MATCH($X950,TARIFF_PROFILES!$A:$A,0)))</f>
        <v/>
      </c>
      <c r="AE950" s="15">
        <f>IF($X950="","",INDEX(TARIFF_PROFILES!$K:$K,MATCH($X950,TARIFF_PROFILES!$A:$A,0)))</f>
        <v/>
      </c>
      <c r="AH950">
        <f>IF($AG950="","",SUMIFS(OPERATING_COEFFS!$C:$C,OPERATING_COEFFS!$A:$A,"DistanceClass",OPERATING_COEFFS!$B:$B,$AG950))</f>
        <v/>
      </c>
      <c r="AJ950">
        <f>IF($AI950="","",SUMIFS(OPERATING_COEFFS!$C:$C,OPERATING_COEFFS!$A:$A,"SeasonClass",OPERATING_COEFFS!$B:$B,$AI950))</f>
        <v/>
      </c>
      <c r="AL950">
        <f>IF($AK950="","",SUMIFS(OPERATING_COEFFS!$C:$C,OPERATING_COEFFS!$A:$A,"UrgencyClass",OPERATING_COEFFS!$B:$B,$AK950))</f>
        <v/>
      </c>
      <c r="AN950">
        <f>IF($AM950="","",INDEX(TAX_MODES!$B:$B,MATCH($AM950,TAX_MODES!$A:$A,0)))</f>
        <v/>
      </c>
    </row>
    <row r="951">
      <c r="X951" s="15" t="n"/>
      <c r="Y951" s="15">
        <f>IF($X951="","",SUMIFS(TARIFF_PROFILES!$D:$D,TARIFF_PROFILES!$A:$A,$X951))</f>
        <v/>
      </c>
      <c r="Z951" s="15">
        <f>IF($X951="","",SUMIFS(TARIFF_PROFILES!$E:$E,TARIFF_PROFILES!$A:$A,$X951))</f>
        <v/>
      </c>
      <c r="AA951" s="15">
        <f>IF($X951="","",SUMIFS(TARIFF_PROFILES!$F:$F,TARIFF_PROFILES!$A:$A,$X951))</f>
        <v/>
      </c>
      <c r="AB951" s="15">
        <f>IF($X951="","",SUMIFS(TARIFF_PROFILES!$G:$G,TARIFF_PROFILES!$A:$A,$X951))</f>
        <v/>
      </c>
      <c r="AC951" s="15">
        <f>IF($X951="","",SUMIFS(TARIFF_PROFILES!$H:$H,TARIFF_PROFILES!$A:$A,$X951))</f>
        <v/>
      </c>
      <c r="AD951" s="15">
        <f>IF($X951="","",INDEX(TARIFF_PROFILES!$J:$J,MATCH($X951,TARIFF_PROFILES!$A:$A,0)))</f>
        <v/>
      </c>
      <c r="AE951" s="15">
        <f>IF($X951="","",INDEX(TARIFF_PROFILES!$K:$K,MATCH($X951,TARIFF_PROFILES!$A:$A,0)))</f>
        <v/>
      </c>
      <c r="AH951">
        <f>IF($AG951="","",SUMIFS(OPERATING_COEFFS!$C:$C,OPERATING_COEFFS!$A:$A,"DistanceClass",OPERATING_COEFFS!$B:$B,$AG951))</f>
        <v/>
      </c>
      <c r="AJ951">
        <f>IF($AI951="","",SUMIFS(OPERATING_COEFFS!$C:$C,OPERATING_COEFFS!$A:$A,"SeasonClass",OPERATING_COEFFS!$B:$B,$AI951))</f>
        <v/>
      </c>
      <c r="AL951">
        <f>IF($AK951="","",SUMIFS(OPERATING_COEFFS!$C:$C,OPERATING_COEFFS!$A:$A,"UrgencyClass",OPERATING_COEFFS!$B:$B,$AK951))</f>
        <v/>
      </c>
      <c r="AN951">
        <f>IF($AM951="","",INDEX(TAX_MODES!$B:$B,MATCH($AM951,TAX_MODES!$A:$A,0)))</f>
        <v/>
      </c>
    </row>
    <row r="952">
      <c r="X952" s="15" t="n"/>
      <c r="Y952" s="15">
        <f>IF($X952="","",SUMIFS(TARIFF_PROFILES!$D:$D,TARIFF_PROFILES!$A:$A,$X952))</f>
        <v/>
      </c>
      <c r="Z952" s="15">
        <f>IF($X952="","",SUMIFS(TARIFF_PROFILES!$E:$E,TARIFF_PROFILES!$A:$A,$X952))</f>
        <v/>
      </c>
      <c r="AA952" s="15">
        <f>IF($X952="","",SUMIFS(TARIFF_PROFILES!$F:$F,TARIFF_PROFILES!$A:$A,$X952))</f>
        <v/>
      </c>
      <c r="AB952" s="15">
        <f>IF($X952="","",SUMIFS(TARIFF_PROFILES!$G:$G,TARIFF_PROFILES!$A:$A,$X952))</f>
        <v/>
      </c>
      <c r="AC952" s="15">
        <f>IF($X952="","",SUMIFS(TARIFF_PROFILES!$H:$H,TARIFF_PROFILES!$A:$A,$X952))</f>
        <v/>
      </c>
      <c r="AD952" s="15">
        <f>IF($X952="","",INDEX(TARIFF_PROFILES!$J:$J,MATCH($X952,TARIFF_PROFILES!$A:$A,0)))</f>
        <v/>
      </c>
      <c r="AE952" s="15">
        <f>IF($X952="","",INDEX(TARIFF_PROFILES!$K:$K,MATCH($X952,TARIFF_PROFILES!$A:$A,0)))</f>
        <v/>
      </c>
      <c r="AH952">
        <f>IF($AG952="","",SUMIFS(OPERATING_COEFFS!$C:$C,OPERATING_COEFFS!$A:$A,"DistanceClass",OPERATING_COEFFS!$B:$B,$AG952))</f>
        <v/>
      </c>
      <c r="AJ952">
        <f>IF($AI952="","",SUMIFS(OPERATING_COEFFS!$C:$C,OPERATING_COEFFS!$A:$A,"SeasonClass",OPERATING_COEFFS!$B:$B,$AI952))</f>
        <v/>
      </c>
      <c r="AL952">
        <f>IF($AK952="","",SUMIFS(OPERATING_COEFFS!$C:$C,OPERATING_COEFFS!$A:$A,"UrgencyClass",OPERATING_COEFFS!$B:$B,$AK952))</f>
        <v/>
      </c>
      <c r="AN952">
        <f>IF($AM952="","",INDEX(TAX_MODES!$B:$B,MATCH($AM952,TAX_MODES!$A:$A,0)))</f>
        <v/>
      </c>
    </row>
    <row r="953">
      <c r="X953" s="15" t="n"/>
      <c r="Y953" s="15">
        <f>IF($X953="","",SUMIFS(TARIFF_PROFILES!$D:$D,TARIFF_PROFILES!$A:$A,$X953))</f>
        <v/>
      </c>
      <c r="Z953" s="15">
        <f>IF($X953="","",SUMIFS(TARIFF_PROFILES!$E:$E,TARIFF_PROFILES!$A:$A,$X953))</f>
        <v/>
      </c>
      <c r="AA953" s="15">
        <f>IF($X953="","",SUMIFS(TARIFF_PROFILES!$F:$F,TARIFF_PROFILES!$A:$A,$X953))</f>
        <v/>
      </c>
      <c r="AB953" s="15">
        <f>IF($X953="","",SUMIFS(TARIFF_PROFILES!$G:$G,TARIFF_PROFILES!$A:$A,$X953))</f>
        <v/>
      </c>
      <c r="AC953" s="15">
        <f>IF($X953="","",SUMIFS(TARIFF_PROFILES!$H:$H,TARIFF_PROFILES!$A:$A,$X953))</f>
        <v/>
      </c>
      <c r="AD953" s="15">
        <f>IF($X953="","",INDEX(TARIFF_PROFILES!$J:$J,MATCH($X953,TARIFF_PROFILES!$A:$A,0)))</f>
        <v/>
      </c>
      <c r="AE953" s="15">
        <f>IF($X953="","",INDEX(TARIFF_PROFILES!$K:$K,MATCH($X953,TARIFF_PROFILES!$A:$A,0)))</f>
        <v/>
      </c>
      <c r="AH953">
        <f>IF($AG953="","",SUMIFS(OPERATING_COEFFS!$C:$C,OPERATING_COEFFS!$A:$A,"DistanceClass",OPERATING_COEFFS!$B:$B,$AG953))</f>
        <v/>
      </c>
      <c r="AJ953">
        <f>IF($AI953="","",SUMIFS(OPERATING_COEFFS!$C:$C,OPERATING_COEFFS!$A:$A,"SeasonClass",OPERATING_COEFFS!$B:$B,$AI953))</f>
        <v/>
      </c>
      <c r="AL953">
        <f>IF($AK953="","",SUMIFS(OPERATING_COEFFS!$C:$C,OPERATING_COEFFS!$A:$A,"UrgencyClass",OPERATING_COEFFS!$B:$B,$AK953))</f>
        <v/>
      </c>
      <c r="AN953">
        <f>IF($AM953="","",INDEX(TAX_MODES!$B:$B,MATCH($AM953,TAX_MODES!$A:$A,0)))</f>
        <v/>
      </c>
    </row>
    <row r="954">
      <c r="X954" s="15" t="n"/>
      <c r="Y954" s="15">
        <f>IF($X954="","",SUMIFS(TARIFF_PROFILES!$D:$D,TARIFF_PROFILES!$A:$A,$X954))</f>
        <v/>
      </c>
      <c r="Z954" s="15">
        <f>IF($X954="","",SUMIFS(TARIFF_PROFILES!$E:$E,TARIFF_PROFILES!$A:$A,$X954))</f>
        <v/>
      </c>
      <c r="AA954" s="15">
        <f>IF($X954="","",SUMIFS(TARIFF_PROFILES!$F:$F,TARIFF_PROFILES!$A:$A,$X954))</f>
        <v/>
      </c>
      <c r="AB954" s="15">
        <f>IF($X954="","",SUMIFS(TARIFF_PROFILES!$G:$G,TARIFF_PROFILES!$A:$A,$X954))</f>
        <v/>
      </c>
      <c r="AC954" s="15">
        <f>IF($X954="","",SUMIFS(TARIFF_PROFILES!$H:$H,TARIFF_PROFILES!$A:$A,$X954))</f>
        <v/>
      </c>
      <c r="AD954" s="15">
        <f>IF($X954="","",INDEX(TARIFF_PROFILES!$J:$J,MATCH($X954,TARIFF_PROFILES!$A:$A,0)))</f>
        <v/>
      </c>
      <c r="AE954" s="15">
        <f>IF($X954="","",INDEX(TARIFF_PROFILES!$K:$K,MATCH($X954,TARIFF_PROFILES!$A:$A,0)))</f>
        <v/>
      </c>
      <c r="AH954">
        <f>IF($AG954="","",SUMIFS(OPERATING_COEFFS!$C:$C,OPERATING_COEFFS!$A:$A,"DistanceClass",OPERATING_COEFFS!$B:$B,$AG954))</f>
        <v/>
      </c>
      <c r="AJ954">
        <f>IF($AI954="","",SUMIFS(OPERATING_COEFFS!$C:$C,OPERATING_COEFFS!$A:$A,"SeasonClass",OPERATING_COEFFS!$B:$B,$AI954))</f>
        <v/>
      </c>
      <c r="AL954">
        <f>IF($AK954="","",SUMIFS(OPERATING_COEFFS!$C:$C,OPERATING_COEFFS!$A:$A,"UrgencyClass",OPERATING_COEFFS!$B:$B,$AK954))</f>
        <v/>
      </c>
      <c r="AN954">
        <f>IF($AM954="","",INDEX(TAX_MODES!$B:$B,MATCH($AM954,TAX_MODES!$A:$A,0)))</f>
        <v/>
      </c>
    </row>
    <row r="955">
      <c r="X955" s="15" t="n"/>
      <c r="Y955" s="15">
        <f>IF($X955="","",SUMIFS(TARIFF_PROFILES!$D:$D,TARIFF_PROFILES!$A:$A,$X955))</f>
        <v/>
      </c>
      <c r="Z955" s="15">
        <f>IF($X955="","",SUMIFS(TARIFF_PROFILES!$E:$E,TARIFF_PROFILES!$A:$A,$X955))</f>
        <v/>
      </c>
      <c r="AA955" s="15">
        <f>IF($X955="","",SUMIFS(TARIFF_PROFILES!$F:$F,TARIFF_PROFILES!$A:$A,$X955))</f>
        <v/>
      </c>
      <c r="AB955" s="15">
        <f>IF($X955="","",SUMIFS(TARIFF_PROFILES!$G:$G,TARIFF_PROFILES!$A:$A,$X955))</f>
        <v/>
      </c>
      <c r="AC955" s="15">
        <f>IF($X955="","",SUMIFS(TARIFF_PROFILES!$H:$H,TARIFF_PROFILES!$A:$A,$X955))</f>
        <v/>
      </c>
      <c r="AD955" s="15">
        <f>IF($X955="","",INDEX(TARIFF_PROFILES!$J:$J,MATCH($X955,TARIFF_PROFILES!$A:$A,0)))</f>
        <v/>
      </c>
      <c r="AE955" s="15">
        <f>IF($X955="","",INDEX(TARIFF_PROFILES!$K:$K,MATCH($X955,TARIFF_PROFILES!$A:$A,0)))</f>
        <v/>
      </c>
      <c r="AH955">
        <f>IF($AG955="","",SUMIFS(OPERATING_COEFFS!$C:$C,OPERATING_COEFFS!$A:$A,"DistanceClass",OPERATING_COEFFS!$B:$B,$AG955))</f>
        <v/>
      </c>
      <c r="AJ955">
        <f>IF($AI955="","",SUMIFS(OPERATING_COEFFS!$C:$C,OPERATING_COEFFS!$A:$A,"SeasonClass",OPERATING_COEFFS!$B:$B,$AI955))</f>
        <v/>
      </c>
      <c r="AL955">
        <f>IF($AK955="","",SUMIFS(OPERATING_COEFFS!$C:$C,OPERATING_COEFFS!$A:$A,"UrgencyClass",OPERATING_COEFFS!$B:$B,$AK955))</f>
        <v/>
      </c>
      <c r="AN955">
        <f>IF($AM955="","",INDEX(TAX_MODES!$B:$B,MATCH($AM955,TAX_MODES!$A:$A,0)))</f>
        <v/>
      </c>
    </row>
    <row r="956">
      <c r="X956" s="15" t="n"/>
      <c r="Y956" s="15">
        <f>IF($X956="","",SUMIFS(TARIFF_PROFILES!$D:$D,TARIFF_PROFILES!$A:$A,$X956))</f>
        <v/>
      </c>
      <c r="Z956" s="15">
        <f>IF($X956="","",SUMIFS(TARIFF_PROFILES!$E:$E,TARIFF_PROFILES!$A:$A,$X956))</f>
        <v/>
      </c>
      <c r="AA956" s="15">
        <f>IF($X956="","",SUMIFS(TARIFF_PROFILES!$F:$F,TARIFF_PROFILES!$A:$A,$X956))</f>
        <v/>
      </c>
      <c r="AB956" s="15">
        <f>IF($X956="","",SUMIFS(TARIFF_PROFILES!$G:$G,TARIFF_PROFILES!$A:$A,$X956))</f>
        <v/>
      </c>
      <c r="AC956" s="15">
        <f>IF($X956="","",SUMIFS(TARIFF_PROFILES!$H:$H,TARIFF_PROFILES!$A:$A,$X956))</f>
        <v/>
      </c>
      <c r="AD956" s="15">
        <f>IF($X956="","",INDEX(TARIFF_PROFILES!$J:$J,MATCH($X956,TARIFF_PROFILES!$A:$A,0)))</f>
        <v/>
      </c>
      <c r="AE956" s="15">
        <f>IF($X956="","",INDEX(TARIFF_PROFILES!$K:$K,MATCH($X956,TARIFF_PROFILES!$A:$A,0)))</f>
        <v/>
      </c>
      <c r="AH956">
        <f>IF($AG956="","",SUMIFS(OPERATING_COEFFS!$C:$C,OPERATING_COEFFS!$A:$A,"DistanceClass",OPERATING_COEFFS!$B:$B,$AG956))</f>
        <v/>
      </c>
      <c r="AJ956">
        <f>IF($AI956="","",SUMIFS(OPERATING_COEFFS!$C:$C,OPERATING_COEFFS!$A:$A,"SeasonClass",OPERATING_COEFFS!$B:$B,$AI956))</f>
        <v/>
      </c>
      <c r="AL956">
        <f>IF($AK956="","",SUMIFS(OPERATING_COEFFS!$C:$C,OPERATING_COEFFS!$A:$A,"UrgencyClass",OPERATING_COEFFS!$B:$B,$AK956))</f>
        <v/>
      </c>
      <c r="AN956">
        <f>IF($AM956="","",INDEX(TAX_MODES!$B:$B,MATCH($AM956,TAX_MODES!$A:$A,0)))</f>
        <v/>
      </c>
    </row>
    <row r="957">
      <c r="X957" s="15" t="n"/>
      <c r="Y957" s="15">
        <f>IF($X957="","",SUMIFS(TARIFF_PROFILES!$D:$D,TARIFF_PROFILES!$A:$A,$X957))</f>
        <v/>
      </c>
      <c r="Z957" s="15">
        <f>IF($X957="","",SUMIFS(TARIFF_PROFILES!$E:$E,TARIFF_PROFILES!$A:$A,$X957))</f>
        <v/>
      </c>
      <c r="AA957" s="15">
        <f>IF($X957="","",SUMIFS(TARIFF_PROFILES!$F:$F,TARIFF_PROFILES!$A:$A,$X957))</f>
        <v/>
      </c>
      <c r="AB957" s="15">
        <f>IF($X957="","",SUMIFS(TARIFF_PROFILES!$G:$G,TARIFF_PROFILES!$A:$A,$X957))</f>
        <v/>
      </c>
      <c r="AC957" s="15">
        <f>IF($X957="","",SUMIFS(TARIFF_PROFILES!$H:$H,TARIFF_PROFILES!$A:$A,$X957))</f>
        <v/>
      </c>
      <c r="AD957" s="15">
        <f>IF($X957="","",INDEX(TARIFF_PROFILES!$J:$J,MATCH($X957,TARIFF_PROFILES!$A:$A,0)))</f>
        <v/>
      </c>
      <c r="AE957" s="15">
        <f>IF($X957="","",INDEX(TARIFF_PROFILES!$K:$K,MATCH($X957,TARIFF_PROFILES!$A:$A,0)))</f>
        <v/>
      </c>
      <c r="AH957">
        <f>IF($AG957="","",SUMIFS(OPERATING_COEFFS!$C:$C,OPERATING_COEFFS!$A:$A,"DistanceClass",OPERATING_COEFFS!$B:$B,$AG957))</f>
        <v/>
      </c>
      <c r="AJ957">
        <f>IF($AI957="","",SUMIFS(OPERATING_COEFFS!$C:$C,OPERATING_COEFFS!$A:$A,"SeasonClass",OPERATING_COEFFS!$B:$B,$AI957))</f>
        <v/>
      </c>
      <c r="AL957">
        <f>IF($AK957="","",SUMIFS(OPERATING_COEFFS!$C:$C,OPERATING_COEFFS!$A:$A,"UrgencyClass",OPERATING_COEFFS!$B:$B,$AK957))</f>
        <v/>
      </c>
      <c r="AN957">
        <f>IF($AM957="","",INDEX(TAX_MODES!$B:$B,MATCH($AM957,TAX_MODES!$A:$A,0)))</f>
        <v/>
      </c>
    </row>
    <row r="958">
      <c r="X958" s="15" t="n"/>
      <c r="Y958" s="15">
        <f>IF($X958="","",SUMIFS(TARIFF_PROFILES!$D:$D,TARIFF_PROFILES!$A:$A,$X958))</f>
        <v/>
      </c>
      <c r="Z958" s="15">
        <f>IF($X958="","",SUMIFS(TARIFF_PROFILES!$E:$E,TARIFF_PROFILES!$A:$A,$X958))</f>
        <v/>
      </c>
      <c r="AA958" s="15">
        <f>IF($X958="","",SUMIFS(TARIFF_PROFILES!$F:$F,TARIFF_PROFILES!$A:$A,$X958))</f>
        <v/>
      </c>
      <c r="AB958" s="15">
        <f>IF($X958="","",SUMIFS(TARIFF_PROFILES!$G:$G,TARIFF_PROFILES!$A:$A,$X958))</f>
        <v/>
      </c>
      <c r="AC958" s="15">
        <f>IF($X958="","",SUMIFS(TARIFF_PROFILES!$H:$H,TARIFF_PROFILES!$A:$A,$X958))</f>
        <v/>
      </c>
      <c r="AD958" s="15">
        <f>IF($X958="","",INDEX(TARIFF_PROFILES!$J:$J,MATCH($X958,TARIFF_PROFILES!$A:$A,0)))</f>
        <v/>
      </c>
      <c r="AE958" s="15">
        <f>IF($X958="","",INDEX(TARIFF_PROFILES!$K:$K,MATCH($X958,TARIFF_PROFILES!$A:$A,0)))</f>
        <v/>
      </c>
      <c r="AH958">
        <f>IF($AG958="","",SUMIFS(OPERATING_COEFFS!$C:$C,OPERATING_COEFFS!$A:$A,"DistanceClass",OPERATING_COEFFS!$B:$B,$AG958))</f>
        <v/>
      </c>
      <c r="AJ958">
        <f>IF($AI958="","",SUMIFS(OPERATING_COEFFS!$C:$C,OPERATING_COEFFS!$A:$A,"SeasonClass",OPERATING_COEFFS!$B:$B,$AI958))</f>
        <v/>
      </c>
      <c r="AL958">
        <f>IF($AK958="","",SUMIFS(OPERATING_COEFFS!$C:$C,OPERATING_COEFFS!$A:$A,"UrgencyClass",OPERATING_COEFFS!$B:$B,$AK958))</f>
        <v/>
      </c>
      <c r="AN958">
        <f>IF($AM958="","",INDEX(TAX_MODES!$B:$B,MATCH($AM958,TAX_MODES!$A:$A,0)))</f>
        <v/>
      </c>
    </row>
    <row r="959">
      <c r="X959" s="15" t="n"/>
      <c r="Y959" s="15">
        <f>IF($X959="","",SUMIFS(TARIFF_PROFILES!$D:$D,TARIFF_PROFILES!$A:$A,$X959))</f>
        <v/>
      </c>
      <c r="Z959" s="15">
        <f>IF($X959="","",SUMIFS(TARIFF_PROFILES!$E:$E,TARIFF_PROFILES!$A:$A,$X959))</f>
        <v/>
      </c>
      <c r="AA959" s="15">
        <f>IF($X959="","",SUMIFS(TARIFF_PROFILES!$F:$F,TARIFF_PROFILES!$A:$A,$X959))</f>
        <v/>
      </c>
      <c r="AB959" s="15">
        <f>IF($X959="","",SUMIFS(TARIFF_PROFILES!$G:$G,TARIFF_PROFILES!$A:$A,$X959))</f>
        <v/>
      </c>
      <c r="AC959" s="15">
        <f>IF($X959="","",SUMIFS(TARIFF_PROFILES!$H:$H,TARIFF_PROFILES!$A:$A,$X959))</f>
        <v/>
      </c>
      <c r="AD959" s="15">
        <f>IF($X959="","",INDEX(TARIFF_PROFILES!$J:$J,MATCH($X959,TARIFF_PROFILES!$A:$A,0)))</f>
        <v/>
      </c>
      <c r="AE959" s="15">
        <f>IF($X959="","",INDEX(TARIFF_PROFILES!$K:$K,MATCH($X959,TARIFF_PROFILES!$A:$A,0)))</f>
        <v/>
      </c>
      <c r="AH959">
        <f>IF($AG959="","",SUMIFS(OPERATING_COEFFS!$C:$C,OPERATING_COEFFS!$A:$A,"DistanceClass",OPERATING_COEFFS!$B:$B,$AG959))</f>
        <v/>
      </c>
      <c r="AJ959">
        <f>IF($AI959="","",SUMIFS(OPERATING_COEFFS!$C:$C,OPERATING_COEFFS!$A:$A,"SeasonClass",OPERATING_COEFFS!$B:$B,$AI959))</f>
        <v/>
      </c>
      <c r="AL959">
        <f>IF($AK959="","",SUMIFS(OPERATING_COEFFS!$C:$C,OPERATING_COEFFS!$A:$A,"UrgencyClass",OPERATING_COEFFS!$B:$B,$AK959))</f>
        <v/>
      </c>
      <c r="AN959">
        <f>IF($AM959="","",INDEX(TAX_MODES!$B:$B,MATCH($AM959,TAX_MODES!$A:$A,0)))</f>
        <v/>
      </c>
    </row>
    <row r="960">
      <c r="X960" s="15" t="n"/>
      <c r="Y960" s="15">
        <f>IF($X960="","",SUMIFS(TARIFF_PROFILES!$D:$D,TARIFF_PROFILES!$A:$A,$X960))</f>
        <v/>
      </c>
      <c r="Z960" s="15">
        <f>IF($X960="","",SUMIFS(TARIFF_PROFILES!$E:$E,TARIFF_PROFILES!$A:$A,$X960))</f>
        <v/>
      </c>
      <c r="AA960" s="15">
        <f>IF($X960="","",SUMIFS(TARIFF_PROFILES!$F:$F,TARIFF_PROFILES!$A:$A,$X960))</f>
        <v/>
      </c>
      <c r="AB960" s="15">
        <f>IF($X960="","",SUMIFS(TARIFF_PROFILES!$G:$G,TARIFF_PROFILES!$A:$A,$X960))</f>
        <v/>
      </c>
      <c r="AC960" s="15">
        <f>IF($X960="","",SUMIFS(TARIFF_PROFILES!$H:$H,TARIFF_PROFILES!$A:$A,$X960))</f>
        <v/>
      </c>
      <c r="AD960" s="15">
        <f>IF($X960="","",INDEX(TARIFF_PROFILES!$J:$J,MATCH($X960,TARIFF_PROFILES!$A:$A,0)))</f>
        <v/>
      </c>
      <c r="AE960" s="15">
        <f>IF($X960="","",INDEX(TARIFF_PROFILES!$K:$K,MATCH($X960,TARIFF_PROFILES!$A:$A,0)))</f>
        <v/>
      </c>
      <c r="AH960">
        <f>IF($AG960="","",SUMIFS(OPERATING_COEFFS!$C:$C,OPERATING_COEFFS!$A:$A,"DistanceClass",OPERATING_COEFFS!$B:$B,$AG960))</f>
        <v/>
      </c>
      <c r="AJ960">
        <f>IF($AI960="","",SUMIFS(OPERATING_COEFFS!$C:$C,OPERATING_COEFFS!$A:$A,"SeasonClass",OPERATING_COEFFS!$B:$B,$AI960))</f>
        <v/>
      </c>
      <c r="AL960">
        <f>IF($AK960="","",SUMIFS(OPERATING_COEFFS!$C:$C,OPERATING_COEFFS!$A:$A,"UrgencyClass",OPERATING_COEFFS!$B:$B,$AK960))</f>
        <v/>
      </c>
      <c r="AN960">
        <f>IF($AM960="","",INDEX(TAX_MODES!$B:$B,MATCH($AM960,TAX_MODES!$A:$A,0)))</f>
        <v/>
      </c>
    </row>
    <row r="961">
      <c r="X961" s="15" t="n"/>
      <c r="Y961" s="15">
        <f>IF($X961="","",SUMIFS(TARIFF_PROFILES!$D:$D,TARIFF_PROFILES!$A:$A,$X961))</f>
        <v/>
      </c>
      <c r="Z961" s="15">
        <f>IF($X961="","",SUMIFS(TARIFF_PROFILES!$E:$E,TARIFF_PROFILES!$A:$A,$X961))</f>
        <v/>
      </c>
      <c r="AA961" s="15">
        <f>IF($X961="","",SUMIFS(TARIFF_PROFILES!$F:$F,TARIFF_PROFILES!$A:$A,$X961))</f>
        <v/>
      </c>
      <c r="AB961" s="15">
        <f>IF($X961="","",SUMIFS(TARIFF_PROFILES!$G:$G,TARIFF_PROFILES!$A:$A,$X961))</f>
        <v/>
      </c>
      <c r="AC961" s="15">
        <f>IF($X961="","",SUMIFS(TARIFF_PROFILES!$H:$H,TARIFF_PROFILES!$A:$A,$X961))</f>
        <v/>
      </c>
      <c r="AD961" s="15">
        <f>IF($X961="","",INDEX(TARIFF_PROFILES!$J:$J,MATCH($X961,TARIFF_PROFILES!$A:$A,0)))</f>
        <v/>
      </c>
      <c r="AE961" s="15">
        <f>IF($X961="","",INDEX(TARIFF_PROFILES!$K:$K,MATCH($X961,TARIFF_PROFILES!$A:$A,0)))</f>
        <v/>
      </c>
      <c r="AH961">
        <f>IF($AG961="","",SUMIFS(OPERATING_COEFFS!$C:$C,OPERATING_COEFFS!$A:$A,"DistanceClass",OPERATING_COEFFS!$B:$B,$AG961))</f>
        <v/>
      </c>
      <c r="AJ961">
        <f>IF($AI961="","",SUMIFS(OPERATING_COEFFS!$C:$C,OPERATING_COEFFS!$A:$A,"SeasonClass",OPERATING_COEFFS!$B:$B,$AI961))</f>
        <v/>
      </c>
      <c r="AL961">
        <f>IF($AK961="","",SUMIFS(OPERATING_COEFFS!$C:$C,OPERATING_COEFFS!$A:$A,"UrgencyClass",OPERATING_COEFFS!$B:$B,$AK961))</f>
        <v/>
      </c>
      <c r="AN961">
        <f>IF($AM961="","",INDEX(TAX_MODES!$B:$B,MATCH($AM961,TAX_MODES!$A:$A,0)))</f>
        <v/>
      </c>
    </row>
    <row r="962">
      <c r="X962" s="15" t="n"/>
      <c r="Y962" s="15">
        <f>IF($X962="","",SUMIFS(TARIFF_PROFILES!$D:$D,TARIFF_PROFILES!$A:$A,$X962))</f>
        <v/>
      </c>
      <c r="Z962" s="15">
        <f>IF($X962="","",SUMIFS(TARIFF_PROFILES!$E:$E,TARIFF_PROFILES!$A:$A,$X962))</f>
        <v/>
      </c>
      <c r="AA962" s="15">
        <f>IF($X962="","",SUMIFS(TARIFF_PROFILES!$F:$F,TARIFF_PROFILES!$A:$A,$X962))</f>
        <v/>
      </c>
      <c r="AB962" s="15">
        <f>IF($X962="","",SUMIFS(TARIFF_PROFILES!$G:$G,TARIFF_PROFILES!$A:$A,$X962))</f>
        <v/>
      </c>
      <c r="AC962" s="15">
        <f>IF($X962="","",SUMIFS(TARIFF_PROFILES!$H:$H,TARIFF_PROFILES!$A:$A,$X962))</f>
        <v/>
      </c>
      <c r="AD962" s="15">
        <f>IF($X962="","",INDEX(TARIFF_PROFILES!$J:$J,MATCH($X962,TARIFF_PROFILES!$A:$A,0)))</f>
        <v/>
      </c>
      <c r="AE962" s="15">
        <f>IF($X962="","",INDEX(TARIFF_PROFILES!$K:$K,MATCH($X962,TARIFF_PROFILES!$A:$A,0)))</f>
        <v/>
      </c>
      <c r="AH962">
        <f>IF($AG962="","",SUMIFS(OPERATING_COEFFS!$C:$C,OPERATING_COEFFS!$A:$A,"DistanceClass",OPERATING_COEFFS!$B:$B,$AG962))</f>
        <v/>
      </c>
      <c r="AJ962">
        <f>IF($AI962="","",SUMIFS(OPERATING_COEFFS!$C:$C,OPERATING_COEFFS!$A:$A,"SeasonClass",OPERATING_COEFFS!$B:$B,$AI962))</f>
        <v/>
      </c>
      <c r="AL962">
        <f>IF($AK962="","",SUMIFS(OPERATING_COEFFS!$C:$C,OPERATING_COEFFS!$A:$A,"UrgencyClass",OPERATING_COEFFS!$B:$B,$AK962))</f>
        <v/>
      </c>
      <c r="AN962">
        <f>IF($AM962="","",INDEX(TAX_MODES!$B:$B,MATCH($AM962,TAX_MODES!$A:$A,0)))</f>
        <v/>
      </c>
    </row>
    <row r="963">
      <c r="X963" s="15" t="n"/>
      <c r="Y963" s="15">
        <f>IF($X963="","",SUMIFS(TARIFF_PROFILES!$D:$D,TARIFF_PROFILES!$A:$A,$X963))</f>
        <v/>
      </c>
      <c r="Z963" s="15">
        <f>IF($X963="","",SUMIFS(TARIFF_PROFILES!$E:$E,TARIFF_PROFILES!$A:$A,$X963))</f>
        <v/>
      </c>
      <c r="AA963" s="15">
        <f>IF($X963="","",SUMIFS(TARIFF_PROFILES!$F:$F,TARIFF_PROFILES!$A:$A,$X963))</f>
        <v/>
      </c>
      <c r="AB963" s="15">
        <f>IF($X963="","",SUMIFS(TARIFF_PROFILES!$G:$G,TARIFF_PROFILES!$A:$A,$X963))</f>
        <v/>
      </c>
      <c r="AC963" s="15">
        <f>IF($X963="","",SUMIFS(TARIFF_PROFILES!$H:$H,TARIFF_PROFILES!$A:$A,$X963))</f>
        <v/>
      </c>
      <c r="AD963" s="15">
        <f>IF($X963="","",INDEX(TARIFF_PROFILES!$J:$J,MATCH($X963,TARIFF_PROFILES!$A:$A,0)))</f>
        <v/>
      </c>
      <c r="AE963" s="15">
        <f>IF($X963="","",INDEX(TARIFF_PROFILES!$K:$K,MATCH($X963,TARIFF_PROFILES!$A:$A,0)))</f>
        <v/>
      </c>
      <c r="AH963">
        <f>IF($AG963="","",SUMIFS(OPERATING_COEFFS!$C:$C,OPERATING_COEFFS!$A:$A,"DistanceClass",OPERATING_COEFFS!$B:$B,$AG963))</f>
        <v/>
      </c>
      <c r="AJ963">
        <f>IF($AI963="","",SUMIFS(OPERATING_COEFFS!$C:$C,OPERATING_COEFFS!$A:$A,"SeasonClass",OPERATING_COEFFS!$B:$B,$AI963))</f>
        <v/>
      </c>
      <c r="AL963">
        <f>IF($AK963="","",SUMIFS(OPERATING_COEFFS!$C:$C,OPERATING_COEFFS!$A:$A,"UrgencyClass",OPERATING_COEFFS!$B:$B,$AK963))</f>
        <v/>
      </c>
      <c r="AN963">
        <f>IF($AM963="","",INDEX(TAX_MODES!$B:$B,MATCH($AM963,TAX_MODES!$A:$A,0)))</f>
        <v/>
      </c>
    </row>
    <row r="964">
      <c r="X964" s="15" t="n"/>
      <c r="Y964" s="15">
        <f>IF($X964="","",SUMIFS(TARIFF_PROFILES!$D:$D,TARIFF_PROFILES!$A:$A,$X964))</f>
        <v/>
      </c>
      <c r="Z964" s="15">
        <f>IF($X964="","",SUMIFS(TARIFF_PROFILES!$E:$E,TARIFF_PROFILES!$A:$A,$X964))</f>
        <v/>
      </c>
      <c r="AA964" s="15">
        <f>IF($X964="","",SUMIFS(TARIFF_PROFILES!$F:$F,TARIFF_PROFILES!$A:$A,$X964))</f>
        <v/>
      </c>
      <c r="AB964" s="15">
        <f>IF($X964="","",SUMIFS(TARIFF_PROFILES!$G:$G,TARIFF_PROFILES!$A:$A,$X964))</f>
        <v/>
      </c>
      <c r="AC964" s="15">
        <f>IF($X964="","",SUMIFS(TARIFF_PROFILES!$H:$H,TARIFF_PROFILES!$A:$A,$X964))</f>
        <v/>
      </c>
      <c r="AD964" s="15">
        <f>IF($X964="","",INDEX(TARIFF_PROFILES!$J:$J,MATCH($X964,TARIFF_PROFILES!$A:$A,0)))</f>
        <v/>
      </c>
      <c r="AE964" s="15">
        <f>IF($X964="","",INDEX(TARIFF_PROFILES!$K:$K,MATCH($X964,TARIFF_PROFILES!$A:$A,0)))</f>
        <v/>
      </c>
      <c r="AH964">
        <f>IF($AG964="","",SUMIFS(OPERATING_COEFFS!$C:$C,OPERATING_COEFFS!$A:$A,"DistanceClass",OPERATING_COEFFS!$B:$B,$AG964))</f>
        <v/>
      </c>
      <c r="AJ964">
        <f>IF($AI964="","",SUMIFS(OPERATING_COEFFS!$C:$C,OPERATING_COEFFS!$A:$A,"SeasonClass",OPERATING_COEFFS!$B:$B,$AI964))</f>
        <v/>
      </c>
      <c r="AL964">
        <f>IF($AK964="","",SUMIFS(OPERATING_COEFFS!$C:$C,OPERATING_COEFFS!$A:$A,"UrgencyClass",OPERATING_COEFFS!$B:$B,$AK964))</f>
        <v/>
      </c>
      <c r="AN964">
        <f>IF($AM964="","",INDEX(TAX_MODES!$B:$B,MATCH($AM964,TAX_MODES!$A:$A,0)))</f>
        <v/>
      </c>
    </row>
    <row r="965">
      <c r="X965" s="15" t="n"/>
      <c r="Y965" s="15">
        <f>IF($X965="","",SUMIFS(TARIFF_PROFILES!$D:$D,TARIFF_PROFILES!$A:$A,$X965))</f>
        <v/>
      </c>
      <c r="Z965" s="15">
        <f>IF($X965="","",SUMIFS(TARIFF_PROFILES!$E:$E,TARIFF_PROFILES!$A:$A,$X965))</f>
        <v/>
      </c>
      <c r="AA965" s="15">
        <f>IF($X965="","",SUMIFS(TARIFF_PROFILES!$F:$F,TARIFF_PROFILES!$A:$A,$X965))</f>
        <v/>
      </c>
      <c r="AB965" s="15">
        <f>IF($X965="","",SUMIFS(TARIFF_PROFILES!$G:$G,TARIFF_PROFILES!$A:$A,$X965))</f>
        <v/>
      </c>
      <c r="AC965" s="15">
        <f>IF($X965="","",SUMIFS(TARIFF_PROFILES!$H:$H,TARIFF_PROFILES!$A:$A,$X965))</f>
        <v/>
      </c>
      <c r="AD965" s="15">
        <f>IF($X965="","",INDEX(TARIFF_PROFILES!$J:$J,MATCH($X965,TARIFF_PROFILES!$A:$A,0)))</f>
        <v/>
      </c>
      <c r="AE965" s="15">
        <f>IF($X965="","",INDEX(TARIFF_PROFILES!$K:$K,MATCH($X965,TARIFF_PROFILES!$A:$A,0)))</f>
        <v/>
      </c>
      <c r="AH965">
        <f>IF($AG965="","",SUMIFS(OPERATING_COEFFS!$C:$C,OPERATING_COEFFS!$A:$A,"DistanceClass",OPERATING_COEFFS!$B:$B,$AG965))</f>
        <v/>
      </c>
      <c r="AJ965">
        <f>IF($AI965="","",SUMIFS(OPERATING_COEFFS!$C:$C,OPERATING_COEFFS!$A:$A,"SeasonClass",OPERATING_COEFFS!$B:$B,$AI965))</f>
        <v/>
      </c>
      <c r="AL965">
        <f>IF($AK965="","",SUMIFS(OPERATING_COEFFS!$C:$C,OPERATING_COEFFS!$A:$A,"UrgencyClass",OPERATING_COEFFS!$B:$B,$AK965))</f>
        <v/>
      </c>
      <c r="AN965">
        <f>IF($AM965="","",INDEX(TAX_MODES!$B:$B,MATCH($AM965,TAX_MODES!$A:$A,0)))</f>
        <v/>
      </c>
    </row>
    <row r="966">
      <c r="X966" s="15" t="n"/>
      <c r="Y966" s="15">
        <f>IF($X966="","",SUMIFS(TARIFF_PROFILES!$D:$D,TARIFF_PROFILES!$A:$A,$X966))</f>
        <v/>
      </c>
      <c r="Z966" s="15">
        <f>IF($X966="","",SUMIFS(TARIFF_PROFILES!$E:$E,TARIFF_PROFILES!$A:$A,$X966))</f>
        <v/>
      </c>
      <c r="AA966" s="15">
        <f>IF($X966="","",SUMIFS(TARIFF_PROFILES!$F:$F,TARIFF_PROFILES!$A:$A,$X966))</f>
        <v/>
      </c>
      <c r="AB966" s="15">
        <f>IF($X966="","",SUMIFS(TARIFF_PROFILES!$G:$G,TARIFF_PROFILES!$A:$A,$X966))</f>
        <v/>
      </c>
      <c r="AC966" s="15">
        <f>IF($X966="","",SUMIFS(TARIFF_PROFILES!$H:$H,TARIFF_PROFILES!$A:$A,$X966))</f>
        <v/>
      </c>
      <c r="AD966" s="15">
        <f>IF($X966="","",INDEX(TARIFF_PROFILES!$J:$J,MATCH($X966,TARIFF_PROFILES!$A:$A,0)))</f>
        <v/>
      </c>
      <c r="AE966" s="15">
        <f>IF($X966="","",INDEX(TARIFF_PROFILES!$K:$K,MATCH($X966,TARIFF_PROFILES!$A:$A,0)))</f>
        <v/>
      </c>
      <c r="AH966">
        <f>IF($AG966="","",SUMIFS(OPERATING_COEFFS!$C:$C,OPERATING_COEFFS!$A:$A,"DistanceClass",OPERATING_COEFFS!$B:$B,$AG966))</f>
        <v/>
      </c>
      <c r="AJ966">
        <f>IF($AI966="","",SUMIFS(OPERATING_COEFFS!$C:$C,OPERATING_COEFFS!$A:$A,"SeasonClass",OPERATING_COEFFS!$B:$B,$AI966))</f>
        <v/>
      </c>
      <c r="AL966">
        <f>IF($AK966="","",SUMIFS(OPERATING_COEFFS!$C:$C,OPERATING_COEFFS!$A:$A,"UrgencyClass",OPERATING_COEFFS!$B:$B,$AK966))</f>
        <v/>
      </c>
      <c r="AN966">
        <f>IF($AM966="","",INDEX(TAX_MODES!$B:$B,MATCH($AM966,TAX_MODES!$A:$A,0)))</f>
        <v/>
      </c>
    </row>
    <row r="967">
      <c r="X967" s="15" t="n"/>
      <c r="Y967" s="15">
        <f>IF($X967="","",SUMIFS(TARIFF_PROFILES!$D:$D,TARIFF_PROFILES!$A:$A,$X967))</f>
        <v/>
      </c>
      <c r="Z967" s="15">
        <f>IF($X967="","",SUMIFS(TARIFF_PROFILES!$E:$E,TARIFF_PROFILES!$A:$A,$X967))</f>
        <v/>
      </c>
      <c r="AA967" s="15">
        <f>IF($X967="","",SUMIFS(TARIFF_PROFILES!$F:$F,TARIFF_PROFILES!$A:$A,$X967))</f>
        <v/>
      </c>
      <c r="AB967" s="15">
        <f>IF($X967="","",SUMIFS(TARIFF_PROFILES!$G:$G,TARIFF_PROFILES!$A:$A,$X967))</f>
        <v/>
      </c>
      <c r="AC967" s="15">
        <f>IF($X967="","",SUMIFS(TARIFF_PROFILES!$H:$H,TARIFF_PROFILES!$A:$A,$X967))</f>
        <v/>
      </c>
      <c r="AD967" s="15">
        <f>IF($X967="","",INDEX(TARIFF_PROFILES!$J:$J,MATCH($X967,TARIFF_PROFILES!$A:$A,0)))</f>
        <v/>
      </c>
      <c r="AE967" s="15">
        <f>IF($X967="","",INDEX(TARIFF_PROFILES!$K:$K,MATCH($X967,TARIFF_PROFILES!$A:$A,0)))</f>
        <v/>
      </c>
      <c r="AH967">
        <f>IF($AG967="","",SUMIFS(OPERATING_COEFFS!$C:$C,OPERATING_COEFFS!$A:$A,"DistanceClass",OPERATING_COEFFS!$B:$B,$AG967))</f>
        <v/>
      </c>
      <c r="AJ967">
        <f>IF($AI967="","",SUMIFS(OPERATING_COEFFS!$C:$C,OPERATING_COEFFS!$A:$A,"SeasonClass",OPERATING_COEFFS!$B:$B,$AI967))</f>
        <v/>
      </c>
      <c r="AL967">
        <f>IF($AK967="","",SUMIFS(OPERATING_COEFFS!$C:$C,OPERATING_COEFFS!$A:$A,"UrgencyClass",OPERATING_COEFFS!$B:$B,$AK967))</f>
        <v/>
      </c>
      <c r="AN967">
        <f>IF($AM967="","",INDEX(TAX_MODES!$B:$B,MATCH($AM967,TAX_MODES!$A:$A,0)))</f>
        <v/>
      </c>
    </row>
    <row r="968">
      <c r="X968" s="15" t="n"/>
      <c r="Y968" s="15">
        <f>IF($X968="","",SUMIFS(TARIFF_PROFILES!$D:$D,TARIFF_PROFILES!$A:$A,$X968))</f>
        <v/>
      </c>
      <c r="Z968" s="15">
        <f>IF($X968="","",SUMIFS(TARIFF_PROFILES!$E:$E,TARIFF_PROFILES!$A:$A,$X968))</f>
        <v/>
      </c>
      <c r="AA968" s="15">
        <f>IF($X968="","",SUMIFS(TARIFF_PROFILES!$F:$F,TARIFF_PROFILES!$A:$A,$X968))</f>
        <v/>
      </c>
      <c r="AB968" s="15">
        <f>IF($X968="","",SUMIFS(TARIFF_PROFILES!$G:$G,TARIFF_PROFILES!$A:$A,$X968))</f>
        <v/>
      </c>
      <c r="AC968" s="15">
        <f>IF($X968="","",SUMIFS(TARIFF_PROFILES!$H:$H,TARIFF_PROFILES!$A:$A,$X968))</f>
        <v/>
      </c>
      <c r="AD968" s="15">
        <f>IF($X968="","",INDEX(TARIFF_PROFILES!$J:$J,MATCH($X968,TARIFF_PROFILES!$A:$A,0)))</f>
        <v/>
      </c>
      <c r="AE968" s="15">
        <f>IF($X968="","",INDEX(TARIFF_PROFILES!$K:$K,MATCH($X968,TARIFF_PROFILES!$A:$A,0)))</f>
        <v/>
      </c>
      <c r="AH968">
        <f>IF($AG968="","",SUMIFS(OPERATING_COEFFS!$C:$C,OPERATING_COEFFS!$A:$A,"DistanceClass",OPERATING_COEFFS!$B:$B,$AG968))</f>
        <v/>
      </c>
      <c r="AJ968">
        <f>IF($AI968="","",SUMIFS(OPERATING_COEFFS!$C:$C,OPERATING_COEFFS!$A:$A,"SeasonClass",OPERATING_COEFFS!$B:$B,$AI968))</f>
        <v/>
      </c>
      <c r="AL968">
        <f>IF($AK968="","",SUMIFS(OPERATING_COEFFS!$C:$C,OPERATING_COEFFS!$A:$A,"UrgencyClass",OPERATING_COEFFS!$B:$B,$AK968))</f>
        <v/>
      </c>
      <c r="AN968">
        <f>IF($AM968="","",INDEX(TAX_MODES!$B:$B,MATCH($AM968,TAX_MODES!$A:$A,0)))</f>
        <v/>
      </c>
    </row>
    <row r="969">
      <c r="X969" s="15" t="n"/>
      <c r="Y969" s="15">
        <f>IF($X969="","",SUMIFS(TARIFF_PROFILES!$D:$D,TARIFF_PROFILES!$A:$A,$X969))</f>
        <v/>
      </c>
      <c r="Z969" s="15">
        <f>IF($X969="","",SUMIFS(TARIFF_PROFILES!$E:$E,TARIFF_PROFILES!$A:$A,$X969))</f>
        <v/>
      </c>
      <c r="AA969" s="15">
        <f>IF($X969="","",SUMIFS(TARIFF_PROFILES!$F:$F,TARIFF_PROFILES!$A:$A,$X969))</f>
        <v/>
      </c>
      <c r="AB969" s="15">
        <f>IF($X969="","",SUMIFS(TARIFF_PROFILES!$G:$G,TARIFF_PROFILES!$A:$A,$X969))</f>
        <v/>
      </c>
      <c r="AC969" s="15">
        <f>IF($X969="","",SUMIFS(TARIFF_PROFILES!$H:$H,TARIFF_PROFILES!$A:$A,$X969))</f>
        <v/>
      </c>
      <c r="AD969" s="15">
        <f>IF($X969="","",INDEX(TARIFF_PROFILES!$J:$J,MATCH($X969,TARIFF_PROFILES!$A:$A,0)))</f>
        <v/>
      </c>
      <c r="AE969" s="15">
        <f>IF($X969="","",INDEX(TARIFF_PROFILES!$K:$K,MATCH($X969,TARIFF_PROFILES!$A:$A,0)))</f>
        <v/>
      </c>
      <c r="AH969">
        <f>IF($AG969="","",SUMIFS(OPERATING_COEFFS!$C:$C,OPERATING_COEFFS!$A:$A,"DistanceClass",OPERATING_COEFFS!$B:$B,$AG969))</f>
        <v/>
      </c>
      <c r="AJ969">
        <f>IF($AI969="","",SUMIFS(OPERATING_COEFFS!$C:$C,OPERATING_COEFFS!$A:$A,"SeasonClass",OPERATING_COEFFS!$B:$B,$AI969))</f>
        <v/>
      </c>
      <c r="AL969">
        <f>IF($AK969="","",SUMIFS(OPERATING_COEFFS!$C:$C,OPERATING_COEFFS!$A:$A,"UrgencyClass",OPERATING_COEFFS!$B:$B,$AK969))</f>
        <v/>
      </c>
      <c r="AN969">
        <f>IF($AM969="","",INDEX(TAX_MODES!$B:$B,MATCH($AM969,TAX_MODES!$A:$A,0)))</f>
        <v/>
      </c>
    </row>
    <row r="970">
      <c r="X970" s="15" t="n"/>
      <c r="Y970" s="15">
        <f>IF($X970="","",SUMIFS(TARIFF_PROFILES!$D:$D,TARIFF_PROFILES!$A:$A,$X970))</f>
        <v/>
      </c>
      <c r="Z970" s="15">
        <f>IF($X970="","",SUMIFS(TARIFF_PROFILES!$E:$E,TARIFF_PROFILES!$A:$A,$X970))</f>
        <v/>
      </c>
      <c r="AA970" s="15">
        <f>IF($X970="","",SUMIFS(TARIFF_PROFILES!$F:$F,TARIFF_PROFILES!$A:$A,$X970))</f>
        <v/>
      </c>
      <c r="AB970" s="15">
        <f>IF($X970="","",SUMIFS(TARIFF_PROFILES!$G:$G,TARIFF_PROFILES!$A:$A,$X970))</f>
        <v/>
      </c>
      <c r="AC970" s="15">
        <f>IF($X970="","",SUMIFS(TARIFF_PROFILES!$H:$H,TARIFF_PROFILES!$A:$A,$X970))</f>
        <v/>
      </c>
      <c r="AD970" s="15">
        <f>IF($X970="","",INDEX(TARIFF_PROFILES!$J:$J,MATCH($X970,TARIFF_PROFILES!$A:$A,0)))</f>
        <v/>
      </c>
      <c r="AE970" s="15">
        <f>IF($X970="","",INDEX(TARIFF_PROFILES!$K:$K,MATCH($X970,TARIFF_PROFILES!$A:$A,0)))</f>
        <v/>
      </c>
      <c r="AH970">
        <f>IF($AG970="","",SUMIFS(OPERATING_COEFFS!$C:$C,OPERATING_COEFFS!$A:$A,"DistanceClass",OPERATING_COEFFS!$B:$B,$AG970))</f>
        <v/>
      </c>
      <c r="AJ970">
        <f>IF($AI970="","",SUMIFS(OPERATING_COEFFS!$C:$C,OPERATING_COEFFS!$A:$A,"SeasonClass",OPERATING_COEFFS!$B:$B,$AI970))</f>
        <v/>
      </c>
      <c r="AL970">
        <f>IF($AK970="","",SUMIFS(OPERATING_COEFFS!$C:$C,OPERATING_COEFFS!$A:$A,"UrgencyClass",OPERATING_COEFFS!$B:$B,$AK970))</f>
        <v/>
      </c>
      <c r="AN970">
        <f>IF($AM970="","",INDEX(TAX_MODES!$B:$B,MATCH($AM970,TAX_MODES!$A:$A,0)))</f>
        <v/>
      </c>
    </row>
    <row r="971">
      <c r="X971" s="15" t="n"/>
      <c r="Y971" s="15">
        <f>IF($X971="","",SUMIFS(TARIFF_PROFILES!$D:$D,TARIFF_PROFILES!$A:$A,$X971))</f>
        <v/>
      </c>
      <c r="Z971" s="15">
        <f>IF($X971="","",SUMIFS(TARIFF_PROFILES!$E:$E,TARIFF_PROFILES!$A:$A,$X971))</f>
        <v/>
      </c>
      <c r="AA971" s="15">
        <f>IF($X971="","",SUMIFS(TARIFF_PROFILES!$F:$F,TARIFF_PROFILES!$A:$A,$X971))</f>
        <v/>
      </c>
      <c r="AB971" s="15">
        <f>IF($X971="","",SUMIFS(TARIFF_PROFILES!$G:$G,TARIFF_PROFILES!$A:$A,$X971))</f>
        <v/>
      </c>
      <c r="AC971" s="15">
        <f>IF($X971="","",SUMIFS(TARIFF_PROFILES!$H:$H,TARIFF_PROFILES!$A:$A,$X971))</f>
        <v/>
      </c>
      <c r="AD971" s="15">
        <f>IF($X971="","",INDEX(TARIFF_PROFILES!$J:$J,MATCH($X971,TARIFF_PROFILES!$A:$A,0)))</f>
        <v/>
      </c>
      <c r="AE971" s="15">
        <f>IF($X971="","",INDEX(TARIFF_PROFILES!$K:$K,MATCH($X971,TARIFF_PROFILES!$A:$A,0)))</f>
        <v/>
      </c>
      <c r="AH971">
        <f>IF($AG971="","",SUMIFS(OPERATING_COEFFS!$C:$C,OPERATING_COEFFS!$A:$A,"DistanceClass",OPERATING_COEFFS!$B:$B,$AG971))</f>
        <v/>
      </c>
      <c r="AJ971">
        <f>IF($AI971="","",SUMIFS(OPERATING_COEFFS!$C:$C,OPERATING_COEFFS!$A:$A,"SeasonClass",OPERATING_COEFFS!$B:$B,$AI971))</f>
        <v/>
      </c>
      <c r="AL971">
        <f>IF($AK971="","",SUMIFS(OPERATING_COEFFS!$C:$C,OPERATING_COEFFS!$A:$A,"UrgencyClass",OPERATING_COEFFS!$B:$B,$AK971))</f>
        <v/>
      </c>
      <c r="AN971">
        <f>IF($AM971="","",INDEX(TAX_MODES!$B:$B,MATCH($AM971,TAX_MODES!$A:$A,0)))</f>
        <v/>
      </c>
    </row>
    <row r="972">
      <c r="X972" s="15" t="n"/>
      <c r="Y972" s="15">
        <f>IF($X972="","",SUMIFS(TARIFF_PROFILES!$D:$D,TARIFF_PROFILES!$A:$A,$X972))</f>
        <v/>
      </c>
      <c r="Z972" s="15">
        <f>IF($X972="","",SUMIFS(TARIFF_PROFILES!$E:$E,TARIFF_PROFILES!$A:$A,$X972))</f>
        <v/>
      </c>
      <c r="AA972" s="15">
        <f>IF($X972="","",SUMIFS(TARIFF_PROFILES!$F:$F,TARIFF_PROFILES!$A:$A,$X972))</f>
        <v/>
      </c>
      <c r="AB972" s="15">
        <f>IF($X972="","",SUMIFS(TARIFF_PROFILES!$G:$G,TARIFF_PROFILES!$A:$A,$X972))</f>
        <v/>
      </c>
      <c r="AC972" s="15">
        <f>IF($X972="","",SUMIFS(TARIFF_PROFILES!$H:$H,TARIFF_PROFILES!$A:$A,$X972))</f>
        <v/>
      </c>
      <c r="AD972" s="15">
        <f>IF($X972="","",INDEX(TARIFF_PROFILES!$J:$J,MATCH($X972,TARIFF_PROFILES!$A:$A,0)))</f>
        <v/>
      </c>
      <c r="AE972" s="15">
        <f>IF($X972="","",INDEX(TARIFF_PROFILES!$K:$K,MATCH($X972,TARIFF_PROFILES!$A:$A,0)))</f>
        <v/>
      </c>
      <c r="AH972">
        <f>IF($AG972="","",SUMIFS(OPERATING_COEFFS!$C:$C,OPERATING_COEFFS!$A:$A,"DistanceClass",OPERATING_COEFFS!$B:$B,$AG972))</f>
        <v/>
      </c>
      <c r="AJ972">
        <f>IF($AI972="","",SUMIFS(OPERATING_COEFFS!$C:$C,OPERATING_COEFFS!$A:$A,"SeasonClass",OPERATING_COEFFS!$B:$B,$AI972))</f>
        <v/>
      </c>
      <c r="AL972">
        <f>IF($AK972="","",SUMIFS(OPERATING_COEFFS!$C:$C,OPERATING_COEFFS!$A:$A,"UrgencyClass",OPERATING_COEFFS!$B:$B,$AK972))</f>
        <v/>
      </c>
      <c r="AN972">
        <f>IF($AM972="","",INDEX(TAX_MODES!$B:$B,MATCH($AM972,TAX_MODES!$A:$A,0)))</f>
        <v/>
      </c>
    </row>
    <row r="973">
      <c r="X973" s="15" t="n"/>
      <c r="Y973" s="15">
        <f>IF($X973="","",SUMIFS(TARIFF_PROFILES!$D:$D,TARIFF_PROFILES!$A:$A,$X973))</f>
        <v/>
      </c>
      <c r="Z973" s="15">
        <f>IF($X973="","",SUMIFS(TARIFF_PROFILES!$E:$E,TARIFF_PROFILES!$A:$A,$X973))</f>
        <v/>
      </c>
      <c r="AA973" s="15">
        <f>IF($X973="","",SUMIFS(TARIFF_PROFILES!$F:$F,TARIFF_PROFILES!$A:$A,$X973))</f>
        <v/>
      </c>
      <c r="AB973" s="15">
        <f>IF($X973="","",SUMIFS(TARIFF_PROFILES!$G:$G,TARIFF_PROFILES!$A:$A,$X973))</f>
        <v/>
      </c>
      <c r="AC973" s="15">
        <f>IF($X973="","",SUMIFS(TARIFF_PROFILES!$H:$H,TARIFF_PROFILES!$A:$A,$X973))</f>
        <v/>
      </c>
      <c r="AD973" s="15">
        <f>IF($X973="","",INDEX(TARIFF_PROFILES!$J:$J,MATCH($X973,TARIFF_PROFILES!$A:$A,0)))</f>
        <v/>
      </c>
      <c r="AE973" s="15">
        <f>IF($X973="","",INDEX(TARIFF_PROFILES!$K:$K,MATCH($X973,TARIFF_PROFILES!$A:$A,0)))</f>
        <v/>
      </c>
      <c r="AH973">
        <f>IF($AG973="","",SUMIFS(OPERATING_COEFFS!$C:$C,OPERATING_COEFFS!$A:$A,"DistanceClass",OPERATING_COEFFS!$B:$B,$AG973))</f>
        <v/>
      </c>
      <c r="AJ973">
        <f>IF($AI973="","",SUMIFS(OPERATING_COEFFS!$C:$C,OPERATING_COEFFS!$A:$A,"SeasonClass",OPERATING_COEFFS!$B:$B,$AI973))</f>
        <v/>
      </c>
      <c r="AL973">
        <f>IF($AK973="","",SUMIFS(OPERATING_COEFFS!$C:$C,OPERATING_COEFFS!$A:$A,"UrgencyClass",OPERATING_COEFFS!$B:$B,$AK973))</f>
        <v/>
      </c>
      <c r="AN973">
        <f>IF($AM973="","",INDEX(TAX_MODES!$B:$B,MATCH($AM973,TAX_MODES!$A:$A,0)))</f>
        <v/>
      </c>
    </row>
    <row r="974">
      <c r="X974" s="15" t="n"/>
      <c r="Y974" s="15">
        <f>IF($X974="","",SUMIFS(TARIFF_PROFILES!$D:$D,TARIFF_PROFILES!$A:$A,$X974))</f>
        <v/>
      </c>
      <c r="Z974" s="15">
        <f>IF($X974="","",SUMIFS(TARIFF_PROFILES!$E:$E,TARIFF_PROFILES!$A:$A,$X974))</f>
        <v/>
      </c>
      <c r="AA974" s="15">
        <f>IF($X974="","",SUMIFS(TARIFF_PROFILES!$F:$F,TARIFF_PROFILES!$A:$A,$X974))</f>
        <v/>
      </c>
      <c r="AB974" s="15">
        <f>IF($X974="","",SUMIFS(TARIFF_PROFILES!$G:$G,TARIFF_PROFILES!$A:$A,$X974))</f>
        <v/>
      </c>
      <c r="AC974" s="15">
        <f>IF($X974="","",SUMIFS(TARIFF_PROFILES!$H:$H,TARIFF_PROFILES!$A:$A,$X974))</f>
        <v/>
      </c>
      <c r="AD974" s="15">
        <f>IF($X974="","",INDEX(TARIFF_PROFILES!$J:$J,MATCH($X974,TARIFF_PROFILES!$A:$A,0)))</f>
        <v/>
      </c>
      <c r="AE974" s="15">
        <f>IF($X974="","",INDEX(TARIFF_PROFILES!$K:$K,MATCH($X974,TARIFF_PROFILES!$A:$A,0)))</f>
        <v/>
      </c>
      <c r="AH974">
        <f>IF($AG974="","",SUMIFS(OPERATING_COEFFS!$C:$C,OPERATING_COEFFS!$A:$A,"DistanceClass",OPERATING_COEFFS!$B:$B,$AG974))</f>
        <v/>
      </c>
      <c r="AJ974">
        <f>IF($AI974="","",SUMIFS(OPERATING_COEFFS!$C:$C,OPERATING_COEFFS!$A:$A,"SeasonClass",OPERATING_COEFFS!$B:$B,$AI974))</f>
        <v/>
      </c>
      <c r="AL974">
        <f>IF($AK974="","",SUMIFS(OPERATING_COEFFS!$C:$C,OPERATING_COEFFS!$A:$A,"UrgencyClass",OPERATING_COEFFS!$B:$B,$AK974))</f>
        <v/>
      </c>
      <c r="AN974">
        <f>IF($AM974="","",INDEX(TAX_MODES!$B:$B,MATCH($AM974,TAX_MODES!$A:$A,0)))</f>
        <v/>
      </c>
    </row>
    <row r="975">
      <c r="X975" s="15" t="n"/>
      <c r="Y975" s="15">
        <f>IF($X975="","",SUMIFS(TARIFF_PROFILES!$D:$D,TARIFF_PROFILES!$A:$A,$X975))</f>
        <v/>
      </c>
      <c r="Z975" s="15">
        <f>IF($X975="","",SUMIFS(TARIFF_PROFILES!$E:$E,TARIFF_PROFILES!$A:$A,$X975))</f>
        <v/>
      </c>
      <c r="AA975" s="15">
        <f>IF($X975="","",SUMIFS(TARIFF_PROFILES!$F:$F,TARIFF_PROFILES!$A:$A,$X975))</f>
        <v/>
      </c>
      <c r="AB975" s="15">
        <f>IF($X975="","",SUMIFS(TARIFF_PROFILES!$G:$G,TARIFF_PROFILES!$A:$A,$X975))</f>
        <v/>
      </c>
      <c r="AC975" s="15">
        <f>IF($X975="","",SUMIFS(TARIFF_PROFILES!$H:$H,TARIFF_PROFILES!$A:$A,$X975))</f>
        <v/>
      </c>
      <c r="AD975" s="15">
        <f>IF($X975="","",INDEX(TARIFF_PROFILES!$J:$J,MATCH($X975,TARIFF_PROFILES!$A:$A,0)))</f>
        <v/>
      </c>
      <c r="AE975" s="15">
        <f>IF($X975="","",INDEX(TARIFF_PROFILES!$K:$K,MATCH($X975,TARIFF_PROFILES!$A:$A,0)))</f>
        <v/>
      </c>
      <c r="AH975">
        <f>IF($AG975="","",SUMIFS(OPERATING_COEFFS!$C:$C,OPERATING_COEFFS!$A:$A,"DistanceClass",OPERATING_COEFFS!$B:$B,$AG975))</f>
        <v/>
      </c>
      <c r="AJ975">
        <f>IF($AI975="","",SUMIFS(OPERATING_COEFFS!$C:$C,OPERATING_COEFFS!$A:$A,"SeasonClass",OPERATING_COEFFS!$B:$B,$AI975))</f>
        <v/>
      </c>
      <c r="AL975">
        <f>IF($AK975="","",SUMIFS(OPERATING_COEFFS!$C:$C,OPERATING_COEFFS!$A:$A,"UrgencyClass",OPERATING_COEFFS!$B:$B,$AK975))</f>
        <v/>
      </c>
      <c r="AN975">
        <f>IF($AM975="","",INDEX(TAX_MODES!$B:$B,MATCH($AM975,TAX_MODES!$A:$A,0)))</f>
        <v/>
      </c>
    </row>
    <row r="976">
      <c r="X976" s="15" t="n"/>
      <c r="Y976" s="15">
        <f>IF($X976="","",SUMIFS(TARIFF_PROFILES!$D:$D,TARIFF_PROFILES!$A:$A,$X976))</f>
        <v/>
      </c>
      <c r="Z976" s="15">
        <f>IF($X976="","",SUMIFS(TARIFF_PROFILES!$E:$E,TARIFF_PROFILES!$A:$A,$X976))</f>
        <v/>
      </c>
      <c r="AA976" s="15">
        <f>IF($X976="","",SUMIFS(TARIFF_PROFILES!$F:$F,TARIFF_PROFILES!$A:$A,$X976))</f>
        <v/>
      </c>
      <c r="AB976" s="15">
        <f>IF($X976="","",SUMIFS(TARIFF_PROFILES!$G:$G,TARIFF_PROFILES!$A:$A,$X976))</f>
        <v/>
      </c>
      <c r="AC976" s="15">
        <f>IF($X976="","",SUMIFS(TARIFF_PROFILES!$H:$H,TARIFF_PROFILES!$A:$A,$X976))</f>
        <v/>
      </c>
      <c r="AD976" s="15">
        <f>IF($X976="","",INDEX(TARIFF_PROFILES!$J:$J,MATCH($X976,TARIFF_PROFILES!$A:$A,0)))</f>
        <v/>
      </c>
      <c r="AE976" s="15">
        <f>IF($X976="","",INDEX(TARIFF_PROFILES!$K:$K,MATCH($X976,TARIFF_PROFILES!$A:$A,0)))</f>
        <v/>
      </c>
      <c r="AH976">
        <f>IF($AG976="","",SUMIFS(OPERATING_COEFFS!$C:$C,OPERATING_COEFFS!$A:$A,"DistanceClass",OPERATING_COEFFS!$B:$B,$AG976))</f>
        <v/>
      </c>
      <c r="AJ976">
        <f>IF($AI976="","",SUMIFS(OPERATING_COEFFS!$C:$C,OPERATING_COEFFS!$A:$A,"SeasonClass",OPERATING_COEFFS!$B:$B,$AI976))</f>
        <v/>
      </c>
      <c r="AL976">
        <f>IF($AK976="","",SUMIFS(OPERATING_COEFFS!$C:$C,OPERATING_COEFFS!$A:$A,"UrgencyClass",OPERATING_COEFFS!$B:$B,$AK976))</f>
        <v/>
      </c>
      <c r="AN976">
        <f>IF($AM976="","",INDEX(TAX_MODES!$B:$B,MATCH($AM976,TAX_MODES!$A:$A,0)))</f>
        <v/>
      </c>
    </row>
    <row r="977">
      <c r="X977" s="15" t="n"/>
      <c r="Y977" s="15">
        <f>IF($X977="","",SUMIFS(TARIFF_PROFILES!$D:$D,TARIFF_PROFILES!$A:$A,$X977))</f>
        <v/>
      </c>
      <c r="Z977" s="15">
        <f>IF($X977="","",SUMIFS(TARIFF_PROFILES!$E:$E,TARIFF_PROFILES!$A:$A,$X977))</f>
        <v/>
      </c>
      <c r="AA977" s="15">
        <f>IF($X977="","",SUMIFS(TARIFF_PROFILES!$F:$F,TARIFF_PROFILES!$A:$A,$X977))</f>
        <v/>
      </c>
      <c r="AB977" s="15">
        <f>IF($X977="","",SUMIFS(TARIFF_PROFILES!$G:$G,TARIFF_PROFILES!$A:$A,$X977))</f>
        <v/>
      </c>
      <c r="AC977" s="15">
        <f>IF($X977="","",SUMIFS(TARIFF_PROFILES!$H:$H,TARIFF_PROFILES!$A:$A,$X977))</f>
        <v/>
      </c>
      <c r="AD977" s="15">
        <f>IF($X977="","",INDEX(TARIFF_PROFILES!$J:$J,MATCH($X977,TARIFF_PROFILES!$A:$A,0)))</f>
        <v/>
      </c>
      <c r="AE977" s="15">
        <f>IF($X977="","",INDEX(TARIFF_PROFILES!$K:$K,MATCH($X977,TARIFF_PROFILES!$A:$A,0)))</f>
        <v/>
      </c>
      <c r="AH977">
        <f>IF($AG977="","",SUMIFS(OPERATING_COEFFS!$C:$C,OPERATING_COEFFS!$A:$A,"DistanceClass",OPERATING_COEFFS!$B:$B,$AG977))</f>
        <v/>
      </c>
      <c r="AJ977">
        <f>IF($AI977="","",SUMIFS(OPERATING_COEFFS!$C:$C,OPERATING_COEFFS!$A:$A,"SeasonClass",OPERATING_COEFFS!$B:$B,$AI977))</f>
        <v/>
      </c>
      <c r="AL977">
        <f>IF($AK977="","",SUMIFS(OPERATING_COEFFS!$C:$C,OPERATING_COEFFS!$A:$A,"UrgencyClass",OPERATING_COEFFS!$B:$B,$AK977))</f>
        <v/>
      </c>
      <c r="AN977">
        <f>IF($AM977="","",INDEX(TAX_MODES!$B:$B,MATCH($AM977,TAX_MODES!$A:$A,0)))</f>
        <v/>
      </c>
    </row>
    <row r="978">
      <c r="X978" s="15" t="n"/>
      <c r="Y978" s="15">
        <f>IF($X978="","",SUMIFS(TARIFF_PROFILES!$D:$D,TARIFF_PROFILES!$A:$A,$X978))</f>
        <v/>
      </c>
      <c r="Z978" s="15">
        <f>IF($X978="","",SUMIFS(TARIFF_PROFILES!$E:$E,TARIFF_PROFILES!$A:$A,$X978))</f>
        <v/>
      </c>
      <c r="AA978" s="15">
        <f>IF($X978="","",SUMIFS(TARIFF_PROFILES!$F:$F,TARIFF_PROFILES!$A:$A,$X978))</f>
        <v/>
      </c>
      <c r="AB978" s="15">
        <f>IF($X978="","",SUMIFS(TARIFF_PROFILES!$G:$G,TARIFF_PROFILES!$A:$A,$X978))</f>
        <v/>
      </c>
      <c r="AC978" s="15">
        <f>IF($X978="","",SUMIFS(TARIFF_PROFILES!$H:$H,TARIFF_PROFILES!$A:$A,$X978))</f>
        <v/>
      </c>
      <c r="AD978" s="15">
        <f>IF($X978="","",INDEX(TARIFF_PROFILES!$J:$J,MATCH($X978,TARIFF_PROFILES!$A:$A,0)))</f>
        <v/>
      </c>
      <c r="AE978" s="15">
        <f>IF($X978="","",INDEX(TARIFF_PROFILES!$K:$K,MATCH($X978,TARIFF_PROFILES!$A:$A,0)))</f>
        <v/>
      </c>
      <c r="AH978">
        <f>IF($AG978="","",SUMIFS(OPERATING_COEFFS!$C:$C,OPERATING_COEFFS!$A:$A,"DistanceClass",OPERATING_COEFFS!$B:$B,$AG978))</f>
        <v/>
      </c>
      <c r="AJ978">
        <f>IF($AI978="","",SUMIFS(OPERATING_COEFFS!$C:$C,OPERATING_COEFFS!$A:$A,"SeasonClass",OPERATING_COEFFS!$B:$B,$AI978))</f>
        <v/>
      </c>
      <c r="AL978">
        <f>IF($AK978="","",SUMIFS(OPERATING_COEFFS!$C:$C,OPERATING_COEFFS!$A:$A,"UrgencyClass",OPERATING_COEFFS!$B:$B,$AK978))</f>
        <v/>
      </c>
      <c r="AN978">
        <f>IF($AM978="","",INDEX(TAX_MODES!$B:$B,MATCH($AM978,TAX_MODES!$A:$A,0)))</f>
        <v/>
      </c>
    </row>
    <row r="979">
      <c r="X979" s="15" t="n"/>
      <c r="Y979" s="15">
        <f>IF($X979="","",SUMIFS(TARIFF_PROFILES!$D:$D,TARIFF_PROFILES!$A:$A,$X979))</f>
        <v/>
      </c>
      <c r="Z979" s="15">
        <f>IF($X979="","",SUMIFS(TARIFF_PROFILES!$E:$E,TARIFF_PROFILES!$A:$A,$X979))</f>
        <v/>
      </c>
      <c r="AA979" s="15">
        <f>IF($X979="","",SUMIFS(TARIFF_PROFILES!$F:$F,TARIFF_PROFILES!$A:$A,$X979))</f>
        <v/>
      </c>
      <c r="AB979" s="15">
        <f>IF($X979="","",SUMIFS(TARIFF_PROFILES!$G:$G,TARIFF_PROFILES!$A:$A,$X979))</f>
        <v/>
      </c>
      <c r="AC979" s="15">
        <f>IF($X979="","",SUMIFS(TARIFF_PROFILES!$H:$H,TARIFF_PROFILES!$A:$A,$X979))</f>
        <v/>
      </c>
      <c r="AD979" s="15">
        <f>IF($X979="","",INDEX(TARIFF_PROFILES!$J:$J,MATCH($X979,TARIFF_PROFILES!$A:$A,0)))</f>
        <v/>
      </c>
      <c r="AE979" s="15">
        <f>IF($X979="","",INDEX(TARIFF_PROFILES!$K:$K,MATCH($X979,TARIFF_PROFILES!$A:$A,0)))</f>
        <v/>
      </c>
      <c r="AH979">
        <f>IF($AG979="","",SUMIFS(OPERATING_COEFFS!$C:$C,OPERATING_COEFFS!$A:$A,"DistanceClass",OPERATING_COEFFS!$B:$B,$AG979))</f>
        <v/>
      </c>
      <c r="AJ979">
        <f>IF($AI979="","",SUMIFS(OPERATING_COEFFS!$C:$C,OPERATING_COEFFS!$A:$A,"SeasonClass",OPERATING_COEFFS!$B:$B,$AI979))</f>
        <v/>
      </c>
      <c r="AL979">
        <f>IF($AK979="","",SUMIFS(OPERATING_COEFFS!$C:$C,OPERATING_COEFFS!$A:$A,"UrgencyClass",OPERATING_COEFFS!$B:$B,$AK979))</f>
        <v/>
      </c>
      <c r="AN979">
        <f>IF($AM979="","",INDEX(TAX_MODES!$B:$B,MATCH($AM979,TAX_MODES!$A:$A,0)))</f>
        <v/>
      </c>
    </row>
    <row r="980">
      <c r="X980" s="15" t="n"/>
      <c r="Y980" s="15">
        <f>IF($X980="","",SUMIFS(TARIFF_PROFILES!$D:$D,TARIFF_PROFILES!$A:$A,$X980))</f>
        <v/>
      </c>
      <c r="Z980" s="15">
        <f>IF($X980="","",SUMIFS(TARIFF_PROFILES!$E:$E,TARIFF_PROFILES!$A:$A,$X980))</f>
        <v/>
      </c>
      <c r="AA980" s="15">
        <f>IF($X980="","",SUMIFS(TARIFF_PROFILES!$F:$F,TARIFF_PROFILES!$A:$A,$X980))</f>
        <v/>
      </c>
      <c r="AB980" s="15">
        <f>IF($X980="","",SUMIFS(TARIFF_PROFILES!$G:$G,TARIFF_PROFILES!$A:$A,$X980))</f>
        <v/>
      </c>
      <c r="AC980" s="15">
        <f>IF($X980="","",SUMIFS(TARIFF_PROFILES!$H:$H,TARIFF_PROFILES!$A:$A,$X980))</f>
        <v/>
      </c>
      <c r="AD980" s="15">
        <f>IF($X980="","",INDEX(TARIFF_PROFILES!$J:$J,MATCH($X980,TARIFF_PROFILES!$A:$A,0)))</f>
        <v/>
      </c>
      <c r="AE980" s="15">
        <f>IF($X980="","",INDEX(TARIFF_PROFILES!$K:$K,MATCH($X980,TARIFF_PROFILES!$A:$A,0)))</f>
        <v/>
      </c>
      <c r="AH980">
        <f>IF($AG980="","",SUMIFS(OPERATING_COEFFS!$C:$C,OPERATING_COEFFS!$A:$A,"DistanceClass",OPERATING_COEFFS!$B:$B,$AG980))</f>
        <v/>
      </c>
      <c r="AJ980">
        <f>IF($AI980="","",SUMIFS(OPERATING_COEFFS!$C:$C,OPERATING_COEFFS!$A:$A,"SeasonClass",OPERATING_COEFFS!$B:$B,$AI980))</f>
        <v/>
      </c>
      <c r="AL980">
        <f>IF($AK980="","",SUMIFS(OPERATING_COEFFS!$C:$C,OPERATING_COEFFS!$A:$A,"UrgencyClass",OPERATING_COEFFS!$B:$B,$AK980))</f>
        <v/>
      </c>
      <c r="AN980">
        <f>IF($AM980="","",INDEX(TAX_MODES!$B:$B,MATCH($AM980,TAX_MODES!$A:$A,0)))</f>
        <v/>
      </c>
    </row>
    <row r="981">
      <c r="X981" s="15" t="n"/>
      <c r="Y981" s="15">
        <f>IF($X981="","",SUMIFS(TARIFF_PROFILES!$D:$D,TARIFF_PROFILES!$A:$A,$X981))</f>
        <v/>
      </c>
      <c r="Z981" s="15">
        <f>IF($X981="","",SUMIFS(TARIFF_PROFILES!$E:$E,TARIFF_PROFILES!$A:$A,$X981))</f>
        <v/>
      </c>
      <c r="AA981" s="15">
        <f>IF($X981="","",SUMIFS(TARIFF_PROFILES!$F:$F,TARIFF_PROFILES!$A:$A,$X981))</f>
        <v/>
      </c>
      <c r="AB981" s="15">
        <f>IF($X981="","",SUMIFS(TARIFF_PROFILES!$G:$G,TARIFF_PROFILES!$A:$A,$X981))</f>
        <v/>
      </c>
      <c r="AC981" s="15">
        <f>IF($X981="","",SUMIFS(TARIFF_PROFILES!$H:$H,TARIFF_PROFILES!$A:$A,$X981))</f>
        <v/>
      </c>
      <c r="AD981" s="15">
        <f>IF($X981="","",INDEX(TARIFF_PROFILES!$J:$J,MATCH($X981,TARIFF_PROFILES!$A:$A,0)))</f>
        <v/>
      </c>
      <c r="AE981" s="15">
        <f>IF($X981="","",INDEX(TARIFF_PROFILES!$K:$K,MATCH($X981,TARIFF_PROFILES!$A:$A,0)))</f>
        <v/>
      </c>
      <c r="AH981">
        <f>IF($AG981="","",SUMIFS(OPERATING_COEFFS!$C:$C,OPERATING_COEFFS!$A:$A,"DistanceClass",OPERATING_COEFFS!$B:$B,$AG981))</f>
        <v/>
      </c>
      <c r="AJ981">
        <f>IF($AI981="","",SUMIFS(OPERATING_COEFFS!$C:$C,OPERATING_COEFFS!$A:$A,"SeasonClass",OPERATING_COEFFS!$B:$B,$AI981))</f>
        <v/>
      </c>
      <c r="AL981">
        <f>IF($AK981="","",SUMIFS(OPERATING_COEFFS!$C:$C,OPERATING_COEFFS!$A:$A,"UrgencyClass",OPERATING_COEFFS!$B:$B,$AK981))</f>
        <v/>
      </c>
      <c r="AN981">
        <f>IF($AM981="","",INDEX(TAX_MODES!$B:$B,MATCH($AM981,TAX_MODES!$A:$A,0)))</f>
        <v/>
      </c>
    </row>
    <row r="982">
      <c r="X982" s="15" t="n"/>
      <c r="Y982" s="15">
        <f>IF($X982="","",SUMIFS(TARIFF_PROFILES!$D:$D,TARIFF_PROFILES!$A:$A,$X982))</f>
        <v/>
      </c>
      <c r="Z982" s="15">
        <f>IF($X982="","",SUMIFS(TARIFF_PROFILES!$E:$E,TARIFF_PROFILES!$A:$A,$X982))</f>
        <v/>
      </c>
      <c r="AA982" s="15">
        <f>IF($X982="","",SUMIFS(TARIFF_PROFILES!$F:$F,TARIFF_PROFILES!$A:$A,$X982))</f>
        <v/>
      </c>
      <c r="AB982" s="15">
        <f>IF($X982="","",SUMIFS(TARIFF_PROFILES!$G:$G,TARIFF_PROFILES!$A:$A,$X982))</f>
        <v/>
      </c>
      <c r="AC982" s="15">
        <f>IF($X982="","",SUMIFS(TARIFF_PROFILES!$H:$H,TARIFF_PROFILES!$A:$A,$X982))</f>
        <v/>
      </c>
      <c r="AD982" s="15">
        <f>IF($X982="","",INDEX(TARIFF_PROFILES!$J:$J,MATCH($X982,TARIFF_PROFILES!$A:$A,0)))</f>
        <v/>
      </c>
      <c r="AE982" s="15">
        <f>IF($X982="","",INDEX(TARIFF_PROFILES!$K:$K,MATCH($X982,TARIFF_PROFILES!$A:$A,0)))</f>
        <v/>
      </c>
      <c r="AH982">
        <f>IF($AG982="","",SUMIFS(OPERATING_COEFFS!$C:$C,OPERATING_COEFFS!$A:$A,"DistanceClass",OPERATING_COEFFS!$B:$B,$AG982))</f>
        <v/>
      </c>
      <c r="AJ982">
        <f>IF($AI982="","",SUMIFS(OPERATING_COEFFS!$C:$C,OPERATING_COEFFS!$A:$A,"SeasonClass",OPERATING_COEFFS!$B:$B,$AI982))</f>
        <v/>
      </c>
      <c r="AL982">
        <f>IF($AK982="","",SUMIFS(OPERATING_COEFFS!$C:$C,OPERATING_COEFFS!$A:$A,"UrgencyClass",OPERATING_COEFFS!$B:$B,$AK982))</f>
        <v/>
      </c>
      <c r="AN982">
        <f>IF($AM982="","",INDEX(TAX_MODES!$B:$B,MATCH($AM982,TAX_MODES!$A:$A,0)))</f>
        <v/>
      </c>
    </row>
    <row r="983">
      <c r="X983" s="15" t="n"/>
      <c r="Y983" s="15">
        <f>IF($X983="","",SUMIFS(TARIFF_PROFILES!$D:$D,TARIFF_PROFILES!$A:$A,$X983))</f>
        <v/>
      </c>
      <c r="Z983" s="15">
        <f>IF($X983="","",SUMIFS(TARIFF_PROFILES!$E:$E,TARIFF_PROFILES!$A:$A,$X983))</f>
        <v/>
      </c>
      <c r="AA983" s="15">
        <f>IF($X983="","",SUMIFS(TARIFF_PROFILES!$F:$F,TARIFF_PROFILES!$A:$A,$X983))</f>
        <v/>
      </c>
      <c r="AB983" s="15">
        <f>IF($X983="","",SUMIFS(TARIFF_PROFILES!$G:$G,TARIFF_PROFILES!$A:$A,$X983))</f>
        <v/>
      </c>
      <c r="AC983" s="15">
        <f>IF($X983="","",SUMIFS(TARIFF_PROFILES!$H:$H,TARIFF_PROFILES!$A:$A,$X983))</f>
        <v/>
      </c>
      <c r="AD983" s="15">
        <f>IF($X983="","",INDEX(TARIFF_PROFILES!$J:$J,MATCH($X983,TARIFF_PROFILES!$A:$A,0)))</f>
        <v/>
      </c>
      <c r="AE983" s="15">
        <f>IF($X983="","",INDEX(TARIFF_PROFILES!$K:$K,MATCH($X983,TARIFF_PROFILES!$A:$A,0)))</f>
        <v/>
      </c>
      <c r="AH983">
        <f>IF($AG983="","",SUMIFS(OPERATING_COEFFS!$C:$C,OPERATING_COEFFS!$A:$A,"DistanceClass",OPERATING_COEFFS!$B:$B,$AG983))</f>
        <v/>
      </c>
      <c r="AJ983">
        <f>IF($AI983="","",SUMIFS(OPERATING_COEFFS!$C:$C,OPERATING_COEFFS!$A:$A,"SeasonClass",OPERATING_COEFFS!$B:$B,$AI983))</f>
        <v/>
      </c>
      <c r="AL983">
        <f>IF($AK983="","",SUMIFS(OPERATING_COEFFS!$C:$C,OPERATING_COEFFS!$A:$A,"UrgencyClass",OPERATING_COEFFS!$B:$B,$AK983))</f>
        <v/>
      </c>
      <c r="AN983">
        <f>IF($AM983="","",INDEX(TAX_MODES!$B:$B,MATCH($AM983,TAX_MODES!$A:$A,0)))</f>
        <v/>
      </c>
    </row>
    <row r="984">
      <c r="X984" s="15" t="n"/>
      <c r="Y984" s="15">
        <f>IF($X984="","",SUMIFS(TARIFF_PROFILES!$D:$D,TARIFF_PROFILES!$A:$A,$X984))</f>
        <v/>
      </c>
      <c r="Z984" s="15">
        <f>IF($X984="","",SUMIFS(TARIFF_PROFILES!$E:$E,TARIFF_PROFILES!$A:$A,$X984))</f>
        <v/>
      </c>
      <c r="AA984" s="15">
        <f>IF($X984="","",SUMIFS(TARIFF_PROFILES!$F:$F,TARIFF_PROFILES!$A:$A,$X984))</f>
        <v/>
      </c>
      <c r="AB984" s="15">
        <f>IF($X984="","",SUMIFS(TARIFF_PROFILES!$G:$G,TARIFF_PROFILES!$A:$A,$X984))</f>
        <v/>
      </c>
      <c r="AC984" s="15">
        <f>IF($X984="","",SUMIFS(TARIFF_PROFILES!$H:$H,TARIFF_PROFILES!$A:$A,$X984))</f>
        <v/>
      </c>
      <c r="AD984" s="15">
        <f>IF($X984="","",INDEX(TARIFF_PROFILES!$J:$J,MATCH($X984,TARIFF_PROFILES!$A:$A,0)))</f>
        <v/>
      </c>
      <c r="AE984" s="15">
        <f>IF($X984="","",INDEX(TARIFF_PROFILES!$K:$K,MATCH($X984,TARIFF_PROFILES!$A:$A,0)))</f>
        <v/>
      </c>
      <c r="AH984">
        <f>IF($AG984="","",SUMIFS(OPERATING_COEFFS!$C:$C,OPERATING_COEFFS!$A:$A,"DistanceClass",OPERATING_COEFFS!$B:$B,$AG984))</f>
        <v/>
      </c>
      <c r="AJ984">
        <f>IF($AI984="","",SUMIFS(OPERATING_COEFFS!$C:$C,OPERATING_COEFFS!$A:$A,"SeasonClass",OPERATING_COEFFS!$B:$B,$AI984))</f>
        <v/>
      </c>
      <c r="AL984">
        <f>IF($AK984="","",SUMIFS(OPERATING_COEFFS!$C:$C,OPERATING_COEFFS!$A:$A,"UrgencyClass",OPERATING_COEFFS!$B:$B,$AK984))</f>
        <v/>
      </c>
      <c r="AN984">
        <f>IF($AM984="","",INDEX(TAX_MODES!$B:$B,MATCH($AM984,TAX_MODES!$A:$A,0)))</f>
        <v/>
      </c>
    </row>
    <row r="985">
      <c r="X985" s="15" t="n"/>
      <c r="Y985" s="15">
        <f>IF($X985="","",SUMIFS(TARIFF_PROFILES!$D:$D,TARIFF_PROFILES!$A:$A,$X985))</f>
        <v/>
      </c>
      <c r="Z985" s="15">
        <f>IF($X985="","",SUMIFS(TARIFF_PROFILES!$E:$E,TARIFF_PROFILES!$A:$A,$X985))</f>
        <v/>
      </c>
      <c r="AA985" s="15">
        <f>IF($X985="","",SUMIFS(TARIFF_PROFILES!$F:$F,TARIFF_PROFILES!$A:$A,$X985))</f>
        <v/>
      </c>
      <c r="AB985" s="15">
        <f>IF($X985="","",SUMIFS(TARIFF_PROFILES!$G:$G,TARIFF_PROFILES!$A:$A,$X985))</f>
        <v/>
      </c>
      <c r="AC985" s="15">
        <f>IF($X985="","",SUMIFS(TARIFF_PROFILES!$H:$H,TARIFF_PROFILES!$A:$A,$X985))</f>
        <v/>
      </c>
      <c r="AD985" s="15">
        <f>IF($X985="","",INDEX(TARIFF_PROFILES!$J:$J,MATCH($X985,TARIFF_PROFILES!$A:$A,0)))</f>
        <v/>
      </c>
      <c r="AE985" s="15">
        <f>IF($X985="","",INDEX(TARIFF_PROFILES!$K:$K,MATCH($X985,TARIFF_PROFILES!$A:$A,0)))</f>
        <v/>
      </c>
      <c r="AH985">
        <f>IF($AG985="","",SUMIFS(OPERATING_COEFFS!$C:$C,OPERATING_COEFFS!$A:$A,"DistanceClass",OPERATING_COEFFS!$B:$B,$AG985))</f>
        <v/>
      </c>
      <c r="AJ985">
        <f>IF($AI985="","",SUMIFS(OPERATING_COEFFS!$C:$C,OPERATING_COEFFS!$A:$A,"SeasonClass",OPERATING_COEFFS!$B:$B,$AI985))</f>
        <v/>
      </c>
      <c r="AL985">
        <f>IF($AK985="","",SUMIFS(OPERATING_COEFFS!$C:$C,OPERATING_COEFFS!$A:$A,"UrgencyClass",OPERATING_COEFFS!$B:$B,$AK985))</f>
        <v/>
      </c>
      <c r="AN985">
        <f>IF($AM985="","",INDEX(TAX_MODES!$B:$B,MATCH($AM985,TAX_MODES!$A:$A,0)))</f>
        <v/>
      </c>
    </row>
    <row r="986">
      <c r="X986" s="15" t="n"/>
      <c r="Y986" s="15">
        <f>IF($X986="","",SUMIFS(TARIFF_PROFILES!$D:$D,TARIFF_PROFILES!$A:$A,$X986))</f>
        <v/>
      </c>
      <c r="Z986" s="15">
        <f>IF($X986="","",SUMIFS(TARIFF_PROFILES!$E:$E,TARIFF_PROFILES!$A:$A,$X986))</f>
        <v/>
      </c>
      <c r="AA986" s="15">
        <f>IF($X986="","",SUMIFS(TARIFF_PROFILES!$F:$F,TARIFF_PROFILES!$A:$A,$X986))</f>
        <v/>
      </c>
      <c r="AB986" s="15">
        <f>IF($X986="","",SUMIFS(TARIFF_PROFILES!$G:$G,TARIFF_PROFILES!$A:$A,$X986))</f>
        <v/>
      </c>
      <c r="AC986" s="15">
        <f>IF($X986="","",SUMIFS(TARIFF_PROFILES!$H:$H,TARIFF_PROFILES!$A:$A,$X986))</f>
        <v/>
      </c>
      <c r="AD986" s="15">
        <f>IF($X986="","",INDEX(TARIFF_PROFILES!$J:$J,MATCH($X986,TARIFF_PROFILES!$A:$A,0)))</f>
        <v/>
      </c>
      <c r="AE986" s="15">
        <f>IF($X986="","",INDEX(TARIFF_PROFILES!$K:$K,MATCH($X986,TARIFF_PROFILES!$A:$A,0)))</f>
        <v/>
      </c>
      <c r="AH986">
        <f>IF($AG986="","",SUMIFS(OPERATING_COEFFS!$C:$C,OPERATING_COEFFS!$A:$A,"DistanceClass",OPERATING_COEFFS!$B:$B,$AG986))</f>
        <v/>
      </c>
      <c r="AJ986">
        <f>IF($AI986="","",SUMIFS(OPERATING_COEFFS!$C:$C,OPERATING_COEFFS!$A:$A,"SeasonClass",OPERATING_COEFFS!$B:$B,$AI986))</f>
        <v/>
      </c>
      <c r="AL986">
        <f>IF($AK986="","",SUMIFS(OPERATING_COEFFS!$C:$C,OPERATING_COEFFS!$A:$A,"UrgencyClass",OPERATING_COEFFS!$B:$B,$AK986))</f>
        <v/>
      </c>
      <c r="AN986">
        <f>IF($AM986="","",INDEX(TAX_MODES!$B:$B,MATCH($AM986,TAX_MODES!$A:$A,0)))</f>
        <v/>
      </c>
    </row>
    <row r="987">
      <c r="X987" s="15" t="n"/>
      <c r="Y987" s="15">
        <f>IF($X987="","",SUMIFS(TARIFF_PROFILES!$D:$D,TARIFF_PROFILES!$A:$A,$X987))</f>
        <v/>
      </c>
      <c r="Z987" s="15">
        <f>IF($X987="","",SUMIFS(TARIFF_PROFILES!$E:$E,TARIFF_PROFILES!$A:$A,$X987))</f>
        <v/>
      </c>
      <c r="AA987" s="15">
        <f>IF($X987="","",SUMIFS(TARIFF_PROFILES!$F:$F,TARIFF_PROFILES!$A:$A,$X987))</f>
        <v/>
      </c>
      <c r="AB987" s="15">
        <f>IF($X987="","",SUMIFS(TARIFF_PROFILES!$G:$G,TARIFF_PROFILES!$A:$A,$X987))</f>
        <v/>
      </c>
      <c r="AC987" s="15">
        <f>IF($X987="","",SUMIFS(TARIFF_PROFILES!$H:$H,TARIFF_PROFILES!$A:$A,$X987))</f>
        <v/>
      </c>
      <c r="AD987" s="15">
        <f>IF($X987="","",INDEX(TARIFF_PROFILES!$J:$J,MATCH($X987,TARIFF_PROFILES!$A:$A,0)))</f>
        <v/>
      </c>
      <c r="AE987" s="15">
        <f>IF($X987="","",INDEX(TARIFF_PROFILES!$K:$K,MATCH($X987,TARIFF_PROFILES!$A:$A,0)))</f>
        <v/>
      </c>
      <c r="AH987">
        <f>IF($AG987="","",SUMIFS(OPERATING_COEFFS!$C:$C,OPERATING_COEFFS!$A:$A,"DistanceClass",OPERATING_COEFFS!$B:$B,$AG987))</f>
        <v/>
      </c>
      <c r="AJ987">
        <f>IF($AI987="","",SUMIFS(OPERATING_COEFFS!$C:$C,OPERATING_COEFFS!$A:$A,"SeasonClass",OPERATING_COEFFS!$B:$B,$AI987))</f>
        <v/>
      </c>
      <c r="AL987">
        <f>IF($AK987="","",SUMIFS(OPERATING_COEFFS!$C:$C,OPERATING_COEFFS!$A:$A,"UrgencyClass",OPERATING_COEFFS!$B:$B,$AK987))</f>
        <v/>
      </c>
      <c r="AN987">
        <f>IF($AM987="","",INDEX(TAX_MODES!$B:$B,MATCH($AM987,TAX_MODES!$A:$A,0)))</f>
        <v/>
      </c>
    </row>
    <row r="988">
      <c r="X988" s="15" t="n"/>
      <c r="Y988" s="15">
        <f>IF($X988="","",SUMIFS(TARIFF_PROFILES!$D:$D,TARIFF_PROFILES!$A:$A,$X988))</f>
        <v/>
      </c>
      <c r="Z988" s="15">
        <f>IF($X988="","",SUMIFS(TARIFF_PROFILES!$E:$E,TARIFF_PROFILES!$A:$A,$X988))</f>
        <v/>
      </c>
      <c r="AA988" s="15">
        <f>IF($X988="","",SUMIFS(TARIFF_PROFILES!$F:$F,TARIFF_PROFILES!$A:$A,$X988))</f>
        <v/>
      </c>
      <c r="AB988" s="15">
        <f>IF($X988="","",SUMIFS(TARIFF_PROFILES!$G:$G,TARIFF_PROFILES!$A:$A,$X988))</f>
        <v/>
      </c>
      <c r="AC988" s="15">
        <f>IF($X988="","",SUMIFS(TARIFF_PROFILES!$H:$H,TARIFF_PROFILES!$A:$A,$X988))</f>
        <v/>
      </c>
      <c r="AD988" s="15">
        <f>IF($X988="","",INDEX(TARIFF_PROFILES!$J:$J,MATCH($X988,TARIFF_PROFILES!$A:$A,0)))</f>
        <v/>
      </c>
      <c r="AE988" s="15">
        <f>IF($X988="","",INDEX(TARIFF_PROFILES!$K:$K,MATCH($X988,TARIFF_PROFILES!$A:$A,0)))</f>
        <v/>
      </c>
      <c r="AH988">
        <f>IF($AG988="","",SUMIFS(OPERATING_COEFFS!$C:$C,OPERATING_COEFFS!$A:$A,"DistanceClass",OPERATING_COEFFS!$B:$B,$AG988))</f>
        <v/>
      </c>
      <c r="AJ988">
        <f>IF($AI988="","",SUMIFS(OPERATING_COEFFS!$C:$C,OPERATING_COEFFS!$A:$A,"SeasonClass",OPERATING_COEFFS!$B:$B,$AI988))</f>
        <v/>
      </c>
      <c r="AL988">
        <f>IF($AK988="","",SUMIFS(OPERATING_COEFFS!$C:$C,OPERATING_COEFFS!$A:$A,"UrgencyClass",OPERATING_COEFFS!$B:$B,$AK988))</f>
        <v/>
      </c>
      <c r="AN988">
        <f>IF($AM988="","",INDEX(TAX_MODES!$B:$B,MATCH($AM988,TAX_MODES!$A:$A,0)))</f>
        <v/>
      </c>
    </row>
    <row r="989">
      <c r="X989" s="15" t="n"/>
      <c r="Y989" s="15">
        <f>IF($X989="","",SUMIFS(TARIFF_PROFILES!$D:$D,TARIFF_PROFILES!$A:$A,$X989))</f>
        <v/>
      </c>
      <c r="Z989" s="15">
        <f>IF($X989="","",SUMIFS(TARIFF_PROFILES!$E:$E,TARIFF_PROFILES!$A:$A,$X989))</f>
        <v/>
      </c>
      <c r="AA989" s="15">
        <f>IF($X989="","",SUMIFS(TARIFF_PROFILES!$F:$F,TARIFF_PROFILES!$A:$A,$X989))</f>
        <v/>
      </c>
      <c r="AB989" s="15">
        <f>IF($X989="","",SUMIFS(TARIFF_PROFILES!$G:$G,TARIFF_PROFILES!$A:$A,$X989))</f>
        <v/>
      </c>
      <c r="AC989" s="15">
        <f>IF($X989="","",SUMIFS(TARIFF_PROFILES!$H:$H,TARIFF_PROFILES!$A:$A,$X989))</f>
        <v/>
      </c>
      <c r="AD989" s="15">
        <f>IF($X989="","",INDEX(TARIFF_PROFILES!$J:$J,MATCH($X989,TARIFF_PROFILES!$A:$A,0)))</f>
        <v/>
      </c>
      <c r="AE989" s="15">
        <f>IF($X989="","",INDEX(TARIFF_PROFILES!$K:$K,MATCH($X989,TARIFF_PROFILES!$A:$A,0)))</f>
        <v/>
      </c>
      <c r="AH989">
        <f>IF($AG989="","",SUMIFS(OPERATING_COEFFS!$C:$C,OPERATING_COEFFS!$A:$A,"DistanceClass",OPERATING_COEFFS!$B:$B,$AG989))</f>
        <v/>
      </c>
      <c r="AJ989">
        <f>IF($AI989="","",SUMIFS(OPERATING_COEFFS!$C:$C,OPERATING_COEFFS!$A:$A,"SeasonClass",OPERATING_COEFFS!$B:$B,$AI989))</f>
        <v/>
      </c>
      <c r="AL989">
        <f>IF($AK989="","",SUMIFS(OPERATING_COEFFS!$C:$C,OPERATING_COEFFS!$A:$A,"UrgencyClass",OPERATING_COEFFS!$B:$B,$AK989))</f>
        <v/>
      </c>
      <c r="AN989">
        <f>IF($AM989="","",INDEX(TAX_MODES!$B:$B,MATCH($AM989,TAX_MODES!$A:$A,0)))</f>
        <v/>
      </c>
    </row>
    <row r="990">
      <c r="X990" s="15" t="n"/>
      <c r="Y990" s="15">
        <f>IF($X990="","",SUMIFS(TARIFF_PROFILES!$D:$D,TARIFF_PROFILES!$A:$A,$X990))</f>
        <v/>
      </c>
      <c r="Z990" s="15">
        <f>IF($X990="","",SUMIFS(TARIFF_PROFILES!$E:$E,TARIFF_PROFILES!$A:$A,$X990))</f>
        <v/>
      </c>
      <c r="AA990" s="15">
        <f>IF($X990="","",SUMIFS(TARIFF_PROFILES!$F:$F,TARIFF_PROFILES!$A:$A,$X990))</f>
        <v/>
      </c>
      <c r="AB990" s="15">
        <f>IF($X990="","",SUMIFS(TARIFF_PROFILES!$G:$G,TARIFF_PROFILES!$A:$A,$X990))</f>
        <v/>
      </c>
      <c r="AC990" s="15">
        <f>IF($X990="","",SUMIFS(TARIFF_PROFILES!$H:$H,TARIFF_PROFILES!$A:$A,$X990))</f>
        <v/>
      </c>
      <c r="AD990" s="15">
        <f>IF($X990="","",INDEX(TARIFF_PROFILES!$J:$J,MATCH($X990,TARIFF_PROFILES!$A:$A,0)))</f>
        <v/>
      </c>
      <c r="AE990" s="15">
        <f>IF($X990="","",INDEX(TARIFF_PROFILES!$K:$K,MATCH($X990,TARIFF_PROFILES!$A:$A,0)))</f>
        <v/>
      </c>
      <c r="AH990">
        <f>IF($AG990="","",SUMIFS(OPERATING_COEFFS!$C:$C,OPERATING_COEFFS!$A:$A,"DistanceClass",OPERATING_COEFFS!$B:$B,$AG990))</f>
        <v/>
      </c>
      <c r="AJ990">
        <f>IF($AI990="","",SUMIFS(OPERATING_COEFFS!$C:$C,OPERATING_COEFFS!$A:$A,"SeasonClass",OPERATING_COEFFS!$B:$B,$AI990))</f>
        <v/>
      </c>
      <c r="AL990">
        <f>IF($AK990="","",SUMIFS(OPERATING_COEFFS!$C:$C,OPERATING_COEFFS!$A:$A,"UrgencyClass",OPERATING_COEFFS!$B:$B,$AK990))</f>
        <v/>
      </c>
      <c r="AN990">
        <f>IF($AM990="","",INDEX(TAX_MODES!$B:$B,MATCH($AM990,TAX_MODES!$A:$A,0)))</f>
        <v/>
      </c>
    </row>
    <row r="991">
      <c r="X991" s="15" t="n"/>
      <c r="Y991" s="15">
        <f>IF($X991="","",SUMIFS(TARIFF_PROFILES!$D:$D,TARIFF_PROFILES!$A:$A,$X991))</f>
        <v/>
      </c>
      <c r="Z991" s="15">
        <f>IF($X991="","",SUMIFS(TARIFF_PROFILES!$E:$E,TARIFF_PROFILES!$A:$A,$X991))</f>
        <v/>
      </c>
      <c r="AA991" s="15">
        <f>IF($X991="","",SUMIFS(TARIFF_PROFILES!$F:$F,TARIFF_PROFILES!$A:$A,$X991))</f>
        <v/>
      </c>
      <c r="AB991" s="15">
        <f>IF($X991="","",SUMIFS(TARIFF_PROFILES!$G:$G,TARIFF_PROFILES!$A:$A,$X991))</f>
        <v/>
      </c>
      <c r="AC991" s="15">
        <f>IF($X991="","",SUMIFS(TARIFF_PROFILES!$H:$H,TARIFF_PROFILES!$A:$A,$X991))</f>
        <v/>
      </c>
      <c r="AD991" s="15">
        <f>IF($X991="","",INDEX(TARIFF_PROFILES!$J:$J,MATCH($X991,TARIFF_PROFILES!$A:$A,0)))</f>
        <v/>
      </c>
      <c r="AE991" s="15">
        <f>IF($X991="","",INDEX(TARIFF_PROFILES!$K:$K,MATCH($X991,TARIFF_PROFILES!$A:$A,0)))</f>
        <v/>
      </c>
      <c r="AH991">
        <f>IF($AG991="","",SUMIFS(OPERATING_COEFFS!$C:$C,OPERATING_COEFFS!$A:$A,"DistanceClass",OPERATING_COEFFS!$B:$B,$AG991))</f>
        <v/>
      </c>
      <c r="AJ991">
        <f>IF($AI991="","",SUMIFS(OPERATING_COEFFS!$C:$C,OPERATING_COEFFS!$A:$A,"SeasonClass",OPERATING_COEFFS!$B:$B,$AI991))</f>
        <v/>
      </c>
      <c r="AL991">
        <f>IF($AK991="","",SUMIFS(OPERATING_COEFFS!$C:$C,OPERATING_COEFFS!$A:$A,"UrgencyClass",OPERATING_COEFFS!$B:$B,$AK991))</f>
        <v/>
      </c>
      <c r="AN991">
        <f>IF($AM991="","",INDEX(TAX_MODES!$B:$B,MATCH($AM991,TAX_MODES!$A:$A,0)))</f>
        <v/>
      </c>
    </row>
    <row r="992">
      <c r="X992" s="15" t="n"/>
      <c r="Y992" s="15">
        <f>IF($X992="","",SUMIFS(TARIFF_PROFILES!$D:$D,TARIFF_PROFILES!$A:$A,$X992))</f>
        <v/>
      </c>
      <c r="Z992" s="15">
        <f>IF($X992="","",SUMIFS(TARIFF_PROFILES!$E:$E,TARIFF_PROFILES!$A:$A,$X992))</f>
        <v/>
      </c>
      <c r="AA992" s="15">
        <f>IF($X992="","",SUMIFS(TARIFF_PROFILES!$F:$F,TARIFF_PROFILES!$A:$A,$X992))</f>
        <v/>
      </c>
      <c r="AB992" s="15">
        <f>IF($X992="","",SUMIFS(TARIFF_PROFILES!$G:$G,TARIFF_PROFILES!$A:$A,$X992))</f>
        <v/>
      </c>
      <c r="AC992" s="15">
        <f>IF($X992="","",SUMIFS(TARIFF_PROFILES!$H:$H,TARIFF_PROFILES!$A:$A,$X992))</f>
        <v/>
      </c>
      <c r="AD992" s="15">
        <f>IF($X992="","",INDEX(TARIFF_PROFILES!$J:$J,MATCH($X992,TARIFF_PROFILES!$A:$A,0)))</f>
        <v/>
      </c>
      <c r="AE992" s="15">
        <f>IF($X992="","",INDEX(TARIFF_PROFILES!$K:$K,MATCH($X992,TARIFF_PROFILES!$A:$A,0)))</f>
        <v/>
      </c>
      <c r="AH992">
        <f>IF($AG992="","",SUMIFS(OPERATING_COEFFS!$C:$C,OPERATING_COEFFS!$A:$A,"DistanceClass",OPERATING_COEFFS!$B:$B,$AG992))</f>
        <v/>
      </c>
      <c r="AJ992">
        <f>IF($AI992="","",SUMIFS(OPERATING_COEFFS!$C:$C,OPERATING_COEFFS!$A:$A,"SeasonClass",OPERATING_COEFFS!$B:$B,$AI992))</f>
        <v/>
      </c>
      <c r="AL992">
        <f>IF($AK992="","",SUMIFS(OPERATING_COEFFS!$C:$C,OPERATING_COEFFS!$A:$A,"UrgencyClass",OPERATING_COEFFS!$B:$B,$AK992))</f>
        <v/>
      </c>
      <c r="AN992">
        <f>IF($AM992="","",INDEX(TAX_MODES!$B:$B,MATCH($AM992,TAX_MODES!$A:$A,0)))</f>
        <v/>
      </c>
    </row>
    <row r="993">
      <c r="X993" s="15" t="n"/>
      <c r="Y993" s="15">
        <f>IF($X993="","",SUMIFS(TARIFF_PROFILES!$D:$D,TARIFF_PROFILES!$A:$A,$X993))</f>
        <v/>
      </c>
      <c r="Z993" s="15">
        <f>IF($X993="","",SUMIFS(TARIFF_PROFILES!$E:$E,TARIFF_PROFILES!$A:$A,$X993))</f>
        <v/>
      </c>
      <c r="AA993" s="15">
        <f>IF($X993="","",SUMIFS(TARIFF_PROFILES!$F:$F,TARIFF_PROFILES!$A:$A,$X993))</f>
        <v/>
      </c>
      <c r="AB993" s="15">
        <f>IF($X993="","",SUMIFS(TARIFF_PROFILES!$G:$G,TARIFF_PROFILES!$A:$A,$X993))</f>
        <v/>
      </c>
      <c r="AC993" s="15">
        <f>IF($X993="","",SUMIFS(TARIFF_PROFILES!$H:$H,TARIFF_PROFILES!$A:$A,$X993))</f>
        <v/>
      </c>
      <c r="AD993" s="15">
        <f>IF($X993="","",INDEX(TARIFF_PROFILES!$J:$J,MATCH($X993,TARIFF_PROFILES!$A:$A,0)))</f>
        <v/>
      </c>
      <c r="AE993" s="15">
        <f>IF($X993="","",INDEX(TARIFF_PROFILES!$K:$K,MATCH($X993,TARIFF_PROFILES!$A:$A,0)))</f>
        <v/>
      </c>
      <c r="AH993">
        <f>IF($AG993="","",SUMIFS(OPERATING_COEFFS!$C:$C,OPERATING_COEFFS!$A:$A,"DistanceClass",OPERATING_COEFFS!$B:$B,$AG993))</f>
        <v/>
      </c>
      <c r="AJ993">
        <f>IF($AI993="","",SUMIFS(OPERATING_COEFFS!$C:$C,OPERATING_COEFFS!$A:$A,"SeasonClass",OPERATING_COEFFS!$B:$B,$AI993))</f>
        <v/>
      </c>
      <c r="AL993">
        <f>IF($AK993="","",SUMIFS(OPERATING_COEFFS!$C:$C,OPERATING_COEFFS!$A:$A,"UrgencyClass",OPERATING_COEFFS!$B:$B,$AK993))</f>
        <v/>
      </c>
      <c r="AN993">
        <f>IF($AM993="","",INDEX(TAX_MODES!$B:$B,MATCH($AM993,TAX_MODES!$A:$A,0)))</f>
        <v/>
      </c>
    </row>
    <row r="994">
      <c r="X994" s="15" t="n"/>
      <c r="Y994" s="15">
        <f>IF($X994="","",SUMIFS(TARIFF_PROFILES!$D:$D,TARIFF_PROFILES!$A:$A,$X994))</f>
        <v/>
      </c>
      <c r="Z994" s="15">
        <f>IF($X994="","",SUMIFS(TARIFF_PROFILES!$E:$E,TARIFF_PROFILES!$A:$A,$X994))</f>
        <v/>
      </c>
      <c r="AA994" s="15">
        <f>IF($X994="","",SUMIFS(TARIFF_PROFILES!$F:$F,TARIFF_PROFILES!$A:$A,$X994))</f>
        <v/>
      </c>
      <c r="AB994" s="15">
        <f>IF($X994="","",SUMIFS(TARIFF_PROFILES!$G:$G,TARIFF_PROFILES!$A:$A,$X994))</f>
        <v/>
      </c>
      <c r="AC994" s="15">
        <f>IF($X994="","",SUMIFS(TARIFF_PROFILES!$H:$H,TARIFF_PROFILES!$A:$A,$X994))</f>
        <v/>
      </c>
      <c r="AD994" s="15">
        <f>IF($X994="","",INDEX(TARIFF_PROFILES!$J:$J,MATCH($X994,TARIFF_PROFILES!$A:$A,0)))</f>
        <v/>
      </c>
      <c r="AE994" s="15">
        <f>IF($X994="","",INDEX(TARIFF_PROFILES!$K:$K,MATCH($X994,TARIFF_PROFILES!$A:$A,0)))</f>
        <v/>
      </c>
      <c r="AH994">
        <f>IF($AG994="","",SUMIFS(OPERATING_COEFFS!$C:$C,OPERATING_COEFFS!$A:$A,"DistanceClass",OPERATING_COEFFS!$B:$B,$AG994))</f>
        <v/>
      </c>
      <c r="AJ994">
        <f>IF($AI994="","",SUMIFS(OPERATING_COEFFS!$C:$C,OPERATING_COEFFS!$A:$A,"SeasonClass",OPERATING_COEFFS!$B:$B,$AI994))</f>
        <v/>
      </c>
      <c r="AL994">
        <f>IF($AK994="","",SUMIFS(OPERATING_COEFFS!$C:$C,OPERATING_COEFFS!$A:$A,"UrgencyClass",OPERATING_COEFFS!$B:$B,$AK994))</f>
        <v/>
      </c>
      <c r="AN994">
        <f>IF($AM994="","",INDEX(TAX_MODES!$B:$B,MATCH($AM994,TAX_MODES!$A:$A,0)))</f>
        <v/>
      </c>
    </row>
    <row r="995">
      <c r="X995" s="15" t="n"/>
      <c r="Y995" s="15">
        <f>IF($X995="","",SUMIFS(TARIFF_PROFILES!$D:$D,TARIFF_PROFILES!$A:$A,$X995))</f>
        <v/>
      </c>
      <c r="Z995" s="15">
        <f>IF($X995="","",SUMIFS(TARIFF_PROFILES!$E:$E,TARIFF_PROFILES!$A:$A,$X995))</f>
        <v/>
      </c>
      <c r="AA995" s="15">
        <f>IF($X995="","",SUMIFS(TARIFF_PROFILES!$F:$F,TARIFF_PROFILES!$A:$A,$X995))</f>
        <v/>
      </c>
      <c r="AB995" s="15">
        <f>IF($X995="","",SUMIFS(TARIFF_PROFILES!$G:$G,TARIFF_PROFILES!$A:$A,$X995))</f>
        <v/>
      </c>
      <c r="AC995" s="15">
        <f>IF($X995="","",SUMIFS(TARIFF_PROFILES!$H:$H,TARIFF_PROFILES!$A:$A,$X995))</f>
        <v/>
      </c>
      <c r="AD995" s="15">
        <f>IF($X995="","",INDEX(TARIFF_PROFILES!$J:$J,MATCH($X995,TARIFF_PROFILES!$A:$A,0)))</f>
        <v/>
      </c>
      <c r="AE995" s="15">
        <f>IF($X995="","",INDEX(TARIFF_PROFILES!$K:$K,MATCH($X995,TARIFF_PROFILES!$A:$A,0)))</f>
        <v/>
      </c>
      <c r="AH995">
        <f>IF($AG995="","",SUMIFS(OPERATING_COEFFS!$C:$C,OPERATING_COEFFS!$A:$A,"DistanceClass",OPERATING_COEFFS!$B:$B,$AG995))</f>
        <v/>
      </c>
      <c r="AJ995">
        <f>IF($AI995="","",SUMIFS(OPERATING_COEFFS!$C:$C,OPERATING_COEFFS!$A:$A,"SeasonClass",OPERATING_COEFFS!$B:$B,$AI995))</f>
        <v/>
      </c>
      <c r="AL995">
        <f>IF($AK995="","",SUMIFS(OPERATING_COEFFS!$C:$C,OPERATING_COEFFS!$A:$A,"UrgencyClass",OPERATING_COEFFS!$B:$B,$AK995))</f>
        <v/>
      </c>
      <c r="AN995">
        <f>IF($AM995="","",INDEX(TAX_MODES!$B:$B,MATCH($AM995,TAX_MODES!$A:$A,0)))</f>
        <v/>
      </c>
    </row>
    <row r="996">
      <c r="X996" s="15" t="n"/>
      <c r="Y996" s="15">
        <f>IF($X996="","",SUMIFS(TARIFF_PROFILES!$D:$D,TARIFF_PROFILES!$A:$A,$X996))</f>
        <v/>
      </c>
      <c r="Z996" s="15">
        <f>IF($X996="","",SUMIFS(TARIFF_PROFILES!$E:$E,TARIFF_PROFILES!$A:$A,$X996))</f>
        <v/>
      </c>
      <c r="AA996" s="15">
        <f>IF($X996="","",SUMIFS(TARIFF_PROFILES!$F:$F,TARIFF_PROFILES!$A:$A,$X996))</f>
        <v/>
      </c>
      <c r="AB996" s="15">
        <f>IF($X996="","",SUMIFS(TARIFF_PROFILES!$G:$G,TARIFF_PROFILES!$A:$A,$X996))</f>
        <v/>
      </c>
      <c r="AC996" s="15">
        <f>IF($X996="","",SUMIFS(TARIFF_PROFILES!$H:$H,TARIFF_PROFILES!$A:$A,$X996))</f>
        <v/>
      </c>
      <c r="AD996" s="15">
        <f>IF($X996="","",INDEX(TARIFF_PROFILES!$J:$J,MATCH($X996,TARIFF_PROFILES!$A:$A,0)))</f>
        <v/>
      </c>
      <c r="AE996" s="15">
        <f>IF($X996="","",INDEX(TARIFF_PROFILES!$K:$K,MATCH($X996,TARIFF_PROFILES!$A:$A,0)))</f>
        <v/>
      </c>
      <c r="AH996">
        <f>IF($AG996="","",SUMIFS(OPERATING_COEFFS!$C:$C,OPERATING_COEFFS!$A:$A,"DistanceClass",OPERATING_COEFFS!$B:$B,$AG996))</f>
        <v/>
      </c>
      <c r="AJ996">
        <f>IF($AI996="","",SUMIFS(OPERATING_COEFFS!$C:$C,OPERATING_COEFFS!$A:$A,"SeasonClass",OPERATING_COEFFS!$B:$B,$AI996))</f>
        <v/>
      </c>
      <c r="AL996">
        <f>IF($AK996="","",SUMIFS(OPERATING_COEFFS!$C:$C,OPERATING_COEFFS!$A:$A,"UrgencyClass",OPERATING_COEFFS!$B:$B,$AK996))</f>
        <v/>
      </c>
      <c r="AN996">
        <f>IF($AM996="","",INDEX(TAX_MODES!$B:$B,MATCH($AM996,TAX_MODES!$A:$A,0)))</f>
        <v/>
      </c>
    </row>
    <row r="997">
      <c r="X997" s="15" t="n"/>
      <c r="Y997" s="15">
        <f>IF($X997="","",SUMIFS(TARIFF_PROFILES!$D:$D,TARIFF_PROFILES!$A:$A,$X997))</f>
        <v/>
      </c>
      <c r="Z997" s="15">
        <f>IF($X997="","",SUMIFS(TARIFF_PROFILES!$E:$E,TARIFF_PROFILES!$A:$A,$X997))</f>
        <v/>
      </c>
      <c r="AA997" s="15">
        <f>IF($X997="","",SUMIFS(TARIFF_PROFILES!$F:$F,TARIFF_PROFILES!$A:$A,$X997))</f>
        <v/>
      </c>
      <c r="AB997" s="15">
        <f>IF($X997="","",SUMIFS(TARIFF_PROFILES!$G:$G,TARIFF_PROFILES!$A:$A,$X997))</f>
        <v/>
      </c>
      <c r="AC997" s="15">
        <f>IF($X997="","",SUMIFS(TARIFF_PROFILES!$H:$H,TARIFF_PROFILES!$A:$A,$X997))</f>
        <v/>
      </c>
      <c r="AD997" s="15">
        <f>IF($X997="","",INDEX(TARIFF_PROFILES!$J:$J,MATCH($X997,TARIFF_PROFILES!$A:$A,0)))</f>
        <v/>
      </c>
      <c r="AE997" s="15">
        <f>IF($X997="","",INDEX(TARIFF_PROFILES!$K:$K,MATCH($X997,TARIFF_PROFILES!$A:$A,0)))</f>
        <v/>
      </c>
      <c r="AH997">
        <f>IF($AG997="","",SUMIFS(OPERATING_COEFFS!$C:$C,OPERATING_COEFFS!$A:$A,"DistanceClass",OPERATING_COEFFS!$B:$B,$AG997))</f>
        <v/>
      </c>
      <c r="AJ997">
        <f>IF($AI997="","",SUMIFS(OPERATING_COEFFS!$C:$C,OPERATING_COEFFS!$A:$A,"SeasonClass",OPERATING_COEFFS!$B:$B,$AI997))</f>
        <v/>
      </c>
      <c r="AL997">
        <f>IF($AK997="","",SUMIFS(OPERATING_COEFFS!$C:$C,OPERATING_COEFFS!$A:$A,"UrgencyClass",OPERATING_COEFFS!$B:$B,$AK997))</f>
        <v/>
      </c>
      <c r="AN997">
        <f>IF($AM997="","",INDEX(TAX_MODES!$B:$B,MATCH($AM997,TAX_MODES!$A:$A,0)))</f>
        <v/>
      </c>
    </row>
    <row r="998">
      <c r="X998" s="15" t="n"/>
      <c r="Y998" s="15">
        <f>IF($X998="","",SUMIFS(TARIFF_PROFILES!$D:$D,TARIFF_PROFILES!$A:$A,$X998))</f>
        <v/>
      </c>
      <c r="Z998" s="15">
        <f>IF($X998="","",SUMIFS(TARIFF_PROFILES!$E:$E,TARIFF_PROFILES!$A:$A,$X998))</f>
        <v/>
      </c>
      <c r="AA998" s="15">
        <f>IF($X998="","",SUMIFS(TARIFF_PROFILES!$F:$F,TARIFF_PROFILES!$A:$A,$X998))</f>
        <v/>
      </c>
      <c r="AB998" s="15">
        <f>IF($X998="","",SUMIFS(TARIFF_PROFILES!$G:$G,TARIFF_PROFILES!$A:$A,$X998))</f>
        <v/>
      </c>
      <c r="AC998" s="15">
        <f>IF($X998="","",SUMIFS(TARIFF_PROFILES!$H:$H,TARIFF_PROFILES!$A:$A,$X998))</f>
        <v/>
      </c>
      <c r="AD998" s="15">
        <f>IF($X998="","",INDEX(TARIFF_PROFILES!$J:$J,MATCH($X998,TARIFF_PROFILES!$A:$A,0)))</f>
        <v/>
      </c>
      <c r="AE998" s="15">
        <f>IF($X998="","",INDEX(TARIFF_PROFILES!$K:$K,MATCH($X998,TARIFF_PROFILES!$A:$A,0)))</f>
        <v/>
      </c>
      <c r="AH998">
        <f>IF($AG998="","",SUMIFS(OPERATING_COEFFS!$C:$C,OPERATING_COEFFS!$A:$A,"DistanceClass",OPERATING_COEFFS!$B:$B,$AG998))</f>
        <v/>
      </c>
      <c r="AJ998">
        <f>IF($AI998="","",SUMIFS(OPERATING_COEFFS!$C:$C,OPERATING_COEFFS!$A:$A,"SeasonClass",OPERATING_COEFFS!$B:$B,$AI998))</f>
        <v/>
      </c>
      <c r="AL998">
        <f>IF($AK998="","",SUMIFS(OPERATING_COEFFS!$C:$C,OPERATING_COEFFS!$A:$A,"UrgencyClass",OPERATING_COEFFS!$B:$B,$AK998))</f>
        <v/>
      </c>
      <c r="AN998">
        <f>IF($AM998="","",INDEX(TAX_MODES!$B:$B,MATCH($AM998,TAX_MODES!$A:$A,0)))</f>
        <v/>
      </c>
    </row>
    <row r="999">
      <c r="X999" s="15" t="n"/>
      <c r="Y999" s="15">
        <f>IF($X999="","",SUMIFS(TARIFF_PROFILES!$D:$D,TARIFF_PROFILES!$A:$A,$X999))</f>
        <v/>
      </c>
      <c r="Z999" s="15">
        <f>IF($X999="","",SUMIFS(TARIFF_PROFILES!$E:$E,TARIFF_PROFILES!$A:$A,$X999))</f>
        <v/>
      </c>
      <c r="AA999" s="15">
        <f>IF($X999="","",SUMIFS(TARIFF_PROFILES!$F:$F,TARIFF_PROFILES!$A:$A,$X999))</f>
        <v/>
      </c>
      <c r="AB999" s="15">
        <f>IF($X999="","",SUMIFS(TARIFF_PROFILES!$G:$G,TARIFF_PROFILES!$A:$A,$X999))</f>
        <v/>
      </c>
      <c r="AC999" s="15">
        <f>IF($X999="","",SUMIFS(TARIFF_PROFILES!$H:$H,TARIFF_PROFILES!$A:$A,$X999))</f>
        <v/>
      </c>
      <c r="AD999" s="15">
        <f>IF($X999="","",INDEX(TARIFF_PROFILES!$J:$J,MATCH($X999,TARIFF_PROFILES!$A:$A,0)))</f>
        <v/>
      </c>
      <c r="AE999" s="15">
        <f>IF($X999="","",INDEX(TARIFF_PROFILES!$K:$K,MATCH($X999,TARIFF_PROFILES!$A:$A,0)))</f>
        <v/>
      </c>
      <c r="AH999">
        <f>IF($AG999="","",SUMIFS(OPERATING_COEFFS!$C:$C,OPERATING_COEFFS!$A:$A,"DistanceClass",OPERATING_COEFFS!$B:$B,$AG999))</f>
        <v/>
      </c>
      <c r="AJ999">
        <f>IF($AI999="","",SUMIFS(OPERATING_COEFFS!$C:$C,OPERATING_COEFFS!$A:$A,"SeasonClass",OPERATING_COEFFS!$B:$B,$AI999))</f>
        <v/>
      </c>
      <c r="AL999">
        <f>IF($AK999="","",SUMIFS(OPERATING_COEFFS!$C:$C,OPERATING_COEFFS!$A:$A,"UrgencyClass",OPERATING_COEFFS!$B:$B,$AK999))</f>
        <v/>
      </c>
      <c r="AN999">
        <f>IF($AM999="","",INDEX(TAX_MODES!$B:$B,MATCH($AM999,TAX_MODES!$A:$A,0)))</f>
        <v/>
      </c>
    </row>
    <row r="1000">
      <c r="X1000" s="15" t="n"/>
      <c r="Y1000" s="15">
        <f>IF($X1000="","",SUMIFS(TARIFF_PROFILES!$D:$D,TARIFF_PROFILES!$A:$A,$X1000))</f>
        <v/>
      </c>
      <c r="Z1000" s="15">
        <f>IF($X1000="","",SUMIFS(TARIFF_PROFILES!$E:$E,TARIFF_PROFILES!$A:$A,$X1000))</f>
        <v/>
      </c>
      <c r="AA1000" s="15">
        <f>IF($X1000="","",SUMIFS(TARIFF_PROFILES!$F:$F,TARIFF_PROFILES!$A:$A,$X1000))</f>
        <v/>
      </c>
      <c r="AB1000" s="15">
        <f>IF($X1000="","",SUMIFS(TARIFF_PROFILES!$G:$G,TARIFF_PROFILES!$A:$A,$X1000))</f>
        <v/>
      </c>
      <c r="AC1000" s="15">
        <f>IF($X1000="","",SUMIFS(TARIFF_PROFILES!$H:$H,TARIFF_PROFILES!$A:$A,$X1000))</f>
        <v/>
      </c>
      <c r="AD1000" s="15">
        <f>IF($X1000="","",INDEX(TARIFF_PROFILES!$J:$J,MATCH($X1000,TARIFF_PROFILES!$A:$A,0)))</f>
        <v/>
      </c>
      <c r="AE1000" s="15">
        <f>IF($X1000="","",INDEX(TARIFF_PROFILES!$K:$K,MATCH($X1000,TARIFF_PROFILES!$A:$A,0)))</f>
        <v/>
      </c>
      <c r="AH1000">
        <f>IF($AG1000="","",SUMIFS(OPERATING_COEFFS!$C:$C,OPERATING_COEFFS!$A:$A,"DistanceClass",OPERATING_COEFFS!$B:$B,$AG1000))</f>
        <v/>
      </c>
      <c r="AJ1000">
        <f>IF($AI1000="","",SUMIFS(OPERATING_COEFFS!$C:$C,OPERATING_COEFFS!$A:$A,"SeasonClass",OPERATING_COEFFS!$B:$B,$AI1000))</f>
        <v/>
      </c>
      <c r="AL1000">
        <f>IF($AK1000="","",SUMIFS(OPERATING_COEFFS!$C:$C,OPERATING_COEFFS!$A:$A,"UrgencyClass",OPERATING_COEFFS!$B:$B,$AK1000))</f>
        <v/>
      </c>
      <c r="AN1000">
        <f>IF($AM1000="","",INDEX(TAX_MODES!$B:$B,MATCH($AM1000,TAX_MODES!$A:$A,0)))</f>
        <v/>
      </c>
    </row>
  </sheetData>
  <autoFilter ref="A1:AP1000"/>
  <dataValidations count="15">
    <dataValidation sqref="C2:C1000" showDropDown="0" showInputMessage="0" showErrorMessage="0" allowBlank="1" type="list">
      <formula1>='DICTIONARIES'!$P$2:$P$5</formula1>
    </dataValidation>
    <dataValidation sqref="E2:E1000" showDropDown="0" showInputMessage="0" showErrorMessage="0" allowBlank="1" type="list">
      <formula1>='DICTIONARIES'!$Q$2:$Q$5</formula1>
    </dataValidation>
    <dataValidation sqref="G2:G1000" showDropDown="0" showInputMessage="0" showErrorMessage="0" allowBlank="1" type="list">
      <formula1>='DICTIONARIES'!$R$2:$R$4</formula1>
    </dataValidation>
    <dataValidation sqref="I2:I1000" showDropDown="0" showInputMessage="0" showErrorMessage="0" allowBlank="1" type="list">
      <formula1>='DICTIONARIES'!$S$2:$S$5</formula1>
    </dataValidation>
    <dataValidation sqref="K2:K1000" showDropDown="0" showInputMessage="0" showErrorMessage="0" allowBlank="1" type="list">
      <formula1>='DICTIONARIES'!$T$2:$T$4</formula1>
    </dataValidation>
    <dataValidation sqref="M2:M1000" showDropDown="0" showInputMessage="0" showErrorMessage="0" allowBlank="1" type="list">
      <formula1>='DICTIONARIES'!$U$2:$U$4</formula1>
    </dataValidation>
    <dataValidation sqref="O2:O1000" showDropDown="0" showInputMessage="0" showErrorMessage="0" allowBlank="1" type="list">
      <formula1>='DICTIONARIES'!$V$2:$V$4</formula1>
    </dataValidation>
    <dataValidation sqref="Q2:Q1000" showDropDown="0" showInputMessage="0" showErrorMessage="0" allowBlank="1" type="list">
      <formula1>='DICTIONARIES'!$W$2:$W$4</formula1>
    </dataValidation>
    <dataValidation sqref="S2:S1000" showDropDown="0" showInputMessage="0" showErrorMessage="0" allowBlank="1" type="list">
      <formula1>='DICTIONARIES'!$X$2:$X$4</formula1>
    </dataValidation>
    <dataValidation sqref="V2:V1000" showDropDown="0" showInputMessage="0" showErrorMessage="0" allowBlank="1" type="list">
      <formula1>='DICTIONARIES'!$AF$2:$AF$5</formula1>
    </dataValidation>
    <dataValidation sqref="X2:X1000" showDropDown="0" showInputMessage="0" showErrorMessage="0" allowBlank="1" type="list">
      <formula1>='DICTIONARIES'!$AJ$2:$AJ$4</formula1>
    </dataValidation>
    <dataValidation sqref="AG2:AG1000" showDropDown="0" showInputMessage="0" showErrorMessage="0" allowBlank="1" type="list">
      <formula1>=DICTIONARIES!$AO$2:$AO$5</formula1>
    </dataValidation>
    <dataValidation sqref="AI2:AI1000" showDropDown="0" showInputMessage="0" showErrorMessage="0" allowBlank="1" type="list">
      <formula1>=DICTIONARIES!$AM$2:$AM$5</formula1>
    </dataValidation>
    <dataValidation sqref="AK2:AK1000" showDropDown="0" showInputMessage="0" showErrorMessage="0" allowBlank="1" type="list">
      <formula1>=DICTIONARIES!$AN$2:$AN$4</formula1>
    </dataValidation>
    <dataValidation sqref="AM2:AM1000" showDropDown="0" showInputMessage="0" showErrorMessage="0" allowBlank="1" type="list">
      <formula1>=DICTIONARIES!$AP$2:$AP$4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34" customWidth="1" min="4" max="4"/>
    <col width="44" customWidth="1" min="5" max="5"/>
  </cols>
  <sheetData>
    <row r="1">
      <c r="A1" s="4" t="inlineStr">
        <is>
          <t>FactorType</t>
        </is>
      </c>
      <c r="B1" s="4" t="inlineStr">
        <is>
          <t>FactorClass</t>
        </is>
      </c>
      <c r="C1" s="4" t="inlineStr">
        <is>
          <t>Coefficient</t>
        </is>
      </c>
      <c r="D1" s="4" t="inlineStr">
        <is>
          <t>UseCase</t>
        </is>
      </c>
      <c r="E1" s="4" t="inlineStr">
        <is>
          <t>Notes</t>
        </is>
      </c>
    </row>
    <row r="2">
      <c r="A2" s="15" t="inlineStr">
        <is>
          <t>SoilWorkability</t>
        </is>
      </c>
      <c r="B2" s="15" t="inlineStr">
        <is>
          <t>Лёгкая</t>
        </is>
      </c>
      <c r="C2" s="23" t="n">
        <v>0.95</v>
      </c>
      <c r="D2" s="15" t="inlineStr">
        <is>
          <t>Песок, лёгкая супесь</t>
        </is>
      </c>
      <c r="E2" s="15" t="inlineStr">
        <is>
          <t>Стартовая гипотеза; обычно работать легче</t>
        </is>
      </c>
    </row>
    <row r="3">
      <c r="A3" s="15" t="inlineStr">
        <is>
          <t>SoilWorkability</t>
        </is>
      </c>
      <c r="B3" s="15" t="inlineStr">
        <is>
          <t>Средняя</t>
        </is>
      </c>
      <c r="C3" s="23" t="n">
        <v>1</v>
      </c>
      <c r="D3" s="15" t="inlineStr">
        <is>
          <t>Супесь / суглинок средней плотности</t>
        </is>
      </c>
      <c r="E3" s="15" t="inlineStr">
        <is>
          <t>Базовый класс участка</t>
        </is>
      </c>
    </row>
    <row r="4">
      <c r="A4" s="15" t="inlineStr">
        <is>
          <t>SoilWorkability</t>
        </is>
      </c>
      <c r="B4" s="15" t="inlineStr">
        <is>
          <t>Тяжёлая</t>
        </is>
      </c>
      <c r="C4" s="23" t="n">
        <v>1.12</v>
      </c>
      <c r="D4" s="15" t="inlineStr">
        <is>
          <t>Тяжёлый суглинок / глина</t>
        </is>
      </c>
      <c r="E4" s="15" t="inlineStr">
        <is>
          <t>Ожидаемое снижение производительности</t>
        </is>
      </c>
    </row>
    <row r="5">
      <c r="A5" s="15" t="inlineStr">
        <is>
          <t>SoilWorkability</t>
        </is>
      </c>
      <c r="B5" s="15" t="inlineStr">
        <is>
          <t>Очень тяжёлая</t>
        </is>
      </c>
      <c r="C5" s="23" t="n">
        <v>1.22</v>
      </c>
      <c r="D5" s="15" t="inlineStr">
        <is>
          <t>Плотная глина, смешанный грунт, камни</t>
        </is>
      </c>
      <c r="E5" s="15" t="inlineStr">
        <is>
          <t>Требует ручной доработки и/или спецтехники</t>
        </is>
      </c>
    </row>
    <row r="6">
      <c r="A6" s="15" t="inlineStr">
        <is>
          <t>SoilMoisture</t>
        </is>
      </c>
      <c r="B6" s="15" t="inlineStr">
        <is>
          <t>Сухая</t>
        </is>
      </c>
      <c r="C6" s="23" t="n">
        <v>0.98</v>
      </c>
      <c r="D6" s="15" t="inlineStr">
        <is>
          <t>Подсушенный грунт</t>
        </is>
      </c>
      <c r="E6" s="15" t="inlineStr">
        <is>
          <t>Часто работать чуть легче</t>
        </is>
      </c>
    </row>
    <row r="7">
      <c r="A7" s="15" t="inlineStr">
        <is>
          <t>SoilMoisture</t>
        </is>
      </c>
      <c r="B7" s="15" t="inlineStr">
        <is>
          <t>Нормальная</t>
        </is>
      </c>
      <c r="C7" s="23" t="n">
        <v>1</v>
      </c>
      <c r="D7" s="15" t="inlineStr">
        <is>
          <t>Нормальные условия</t>
        </is>
      </c>
      <c r="E7" s="15" t="inlineStr">
        <is>
          <t>Базовый класс</t>
        </is>
      </c>
    </row>
    <row r="8">
      <c r="A8" s="15" t="inlineStr">
        <is>
          <t>SoilMoisture</t>
        </is>
      </c>
      <c r="B8" s="15" t="inlineStr">
        <is>
          <t>Влажная</t>
        </is>
      </c>
      <c r="C8" s="23" t="n">
        <v>1.06</v>
      </c>
      <c r="D8" s="15" t="inlineStr">
        <is>
          <t>Повышенная влажность</t>
        </is>
      </c>
      <c r="E8" s="15" t="inlineStr">
        <is>
          <t>Риск замедления и налипания</t>
        </is>
      </c>
    </row>
    <row r="9">
      <c r="A9" s="15" t="inlineStr">
        <is>
          <t>SoilMoisture</t>
        </is>
      </c>
      <c r="B9" s="15" t="inlineStr">
        <is>
          <t>Переувлажнённая</t>
        </is>
      </c>
      <c r="C9" s="23" t="n">
        <v>1.15</v>
      </c>
      <c r="D9" s="15" t="inlineStr">
        <is>
          <t>Очень мокрый грунт</t>
        </is>
      </c>
      <c r="E9" s="15" t="inlineStr">
        <is>
          <t>Часто меняет и цену, и состав решения</t>
        </is>
      </c>
    </row>
    <row r="10">
      <c r="A10" s="15" t="inlineStr">
        <is>
          <t>DebrisLevel</t>
        </is>
      </c>
      <c r="B10" s="15" t="inlineStr">
        <is>
          <t>Нет</t>
        </is>
      </c>
      <c r="C10" s="23" t="n">
        <v>1</v>
      </c>
      <c r="D10" s="15" t="inlineStr">
        <is>
          <t>Чистый грунт</t>
        </is>
      </c>
      <c r="E10" s="15" t="inlineStr">
        <is>
          <t>Базовый класс</t>
        </is>
      </c>
    </row>
    <row r="11">
      <c r="A11" s="15" t="inlineStr">
        <is>
          <t>DebrisLevel</t>
        </is>
      </c>
      <c r="B11" s="15" t="inlineStr">
        <is>
          <t>Умеренно</t>
        </is>
      </c>
      <c r="C11" s="23" t="n">
        <v>1.08</v>
      </c>
      <c r="D11" s="15" t="inlineStr">
        <is>
          <t>Местами корни, мусор, камни</t>
        </is>
      </c>
      <c r="E11" s="15" t="inlineStr">
        <is>
          <t>Умеренное усложнение разработки</t>
        </is>
      </c>
    </row>
    <row r="12">
      <c r="A12" s="15" t="inlineStr">
        <is>
          <t>DebrisLevel</t>
        </is>
      </c>
      <c r="B12" s="15" t="inlineStr">
        <is>
          <t>Высоко</t>
        </is>
      </c>
      <c r="C12" s="23" t="n">
        <v>1.18</v>
      </c>
      <c r="D12" s="15" t="inlineStr">
        <is>
          <t>Строительный мусор, много корней, камни</t>
        </is>
      </c>
      <c r="E12" s="15" t="inlineStr">
        <is>
          <t>Сильное удорожание ручных операций</t>
        </is>
      </c>
    </row>
    <row r="13">
      <c r="A13" s="15" t="inlineStr">
        <is>
          <t>SlopeClass</t>
        </is>
      </c>
      <c r="B13" s="15" t="inlineStr">
        <is>
          <t>0-3%</t>
        </is>
      </c>
      <c r="C13" s="23" t="n">
        <v>1</v>
      </c>
      <c r="D13" s="15" t="inlineStr">
        <is>
          <t>Почти ровно</t>
        </is>
      </c>
      <c r="E13" s="15" t="inlineStr">
        <is>
          <t>Базовый класс</t>
        </is>
      </c>
    </row>
    <row r="14">
      <c r="A14" s="15" t="inlineStr">
        <is>
          <t>SlopeClass</t>
        </is>
      </c>
      <c r="B14" s="15" t="inlineStr">
        <is>
          <t>3-8%</t>
        </is>
      </c>
      <c r="C14" s="23" t="n">
        <v>1.05</v>
      </c>
      <c r="D14" s="15" t="inlineStr">
        <is>
          <t>Умеренный уклон</t>
        </is>
      </c>
      <c r="E14" s="15" t="inlineStr">
        <is>
          <t>Частичное снижение темпа</t>
        </is>
      </c>
    </row>
    <row r="15">
      <c r="A15" s="15" t="inlineStr">
        <is>
          <t>SlopeClass</t>
        </is>
      </c>
      <c r="B15" s="15" t="inlineStr">
        <is>
          <t>8-15%</t>
        </is>
      </c>
      <c r="C15" s="23" t="n">
        <v>1.12</v>
      </c>
      <c r="D15" s="15" t="inlineStr">
        <is>
          <t>Сложный уклон</t>
        </is>
      </c>
      <c r="E15" s="15" t="inlineStr">
        <is>
          <t>Нужна точная планировка и контроль геометрии</t>
        </is>
      </c>
    </row>
    <row r="16">
      <c r="A16" s="15" t="inlineStr">
        <is>
          <t>SlopeClass</t>
        </is>
      </c>
      <c r="B16" s="15" t="inlineStr">
        <is>
          <t>&gt;15%</t>
        </is>
      </c>
      <c r="C16" s="23" t="n">
        <v>1.2</v>
      </c>
      <c r="D16" s="15" t="inlineStr">
        <is>
          <t>Крутой уклон</t>
        </is>
      </c>
      <c r="E16" s="15" t="inlineStr">
        <is>
          <t>Риск ручной доработки и удерживающих решений</t>
        </is>
      </c>
    </row>
    <row r="17">
      <c r="A17" s="15" t="inlineStr">
        <is>
          <t>SurfaceUnevenness</t>
        </is>
      </c>
      <c r="B17" s="15" t="inlineStr">
        <is>
          <t>Низкая</t>
        </is>
      </c>
      <c r="C17" s="23" t="n">
        <v>1</v>
      </c>
      <c r="D17" s="15" t="inlineStr">
        <is>
          <t>Почти ровная поверхность</t>
        </is>
      </c>
      <c r="E17" s="15" t="inlineStr">
        <is>
          <t>Базовый класс</t>
        </is>
      </c>
    </row>
    <row r="18">
      <c r="A18" s="15" t="inlineStr">
        <is>
          <t>SurfaceUnevenness</t>
        </is>
      </c>
      <c r="B18" s="15" t="inlineStr">
        <is>
          <t>Средняя</t>
        </is>
      </c>
      <c r="C18" s="23" t="n">
        <v>1.05</v>
      </c>
      <c r="D18" s="15" t="inlineStr">
        <is>
          <t>Заметные неровности</t>
        </is>
      </c>
      <c r="E18" s="15" t="inlineStr">
        <is>
          <t>Потери на выравнивание и геометрию</t>
        </is>
      </c>
    </row>
    <row r="19">
      <c r="A19" s="15" t="inlineStr">
        <is>
          <t>SurfaceUnevenness</t>
        </is>
      </c>
      <c r="B19" s="15" t="inlineStr">
        <is>
          <t>Высокая</t>
        </is>
      </c>
      <c r="C19" s="23" t="n">
        <v>1.12</v>
      </c>
      <c r="D19" s="15" t="inlineStr">
        <is>
          <t>Сильные перепады</t>
        </is>
      </c>
      <c r="E19" s="15" t="inlineStr">
        <is>
          <t>Часто требует доп. планировки</t>
        </is>
      </c>
    </row>
    <row r="20">
      <c r="A20" s="15" t="inlineStr">
        <is>
          <t>AccessClass</t>
        </is>
      </c>
      <c r="B20" s="15" t="inlineStr">
        <is>
          <t>Свободный</t>
        </is>
      </c>
      <c r="C20" s="23" t="n">
        <v>1</v>
      </c>
      <c r="D20" s="15" t="inlineStr">
        <is>
          <t>Нормальный подъезд и манёвр</t>
        </is>
      </c>
      <c r="E20" s="15" t="inlineStr">
        <is>
          <t>Базовый класс</t>
        </is>
      </c>
    </row>
    <row r="21">
      <c r="A21" s="15" t="inlineStr">
        <is>
          <t>AccessClass</t>
        </is>
      </c>
      <c r="B21" s="15" t="inlineStr">
        <is>
          <t>Ограниченный</t>
        </is>
      </c>
      <c r="C21" s="23" t="n">
        <v>1.08</v>
      </c>
      <c r="D21" s="15" t="inlineStr">
        <is>
          <t>Частично стеснённый доступ</t>
        </is>
      </c>
      <c r="E21" s="15" t="inlineStr">
        <is>
          <t>Потери времени на подачу и развороты</t>
        </is>
      </c>
    </row>
    <row r="22">
      <c r="A22" s="15" t="inlineStr">
        <is>
          <t>AccessClass</t>
        </is>
      </c>
      <c r="B22" s="15" t="inlineStr">
        <is>
          <t>Очень стеснённый</t>
        </is>
      </c>
      <c r="C22" s="23" t="n">
        <v>1.18</v>
      </c>
      <c r="D22" s="15" t="inlineStr">
        <is>
          <t>Проходы узкие, техника ограничена</t>
        </is>
      </c>
      <c r="E22" s="15" t="inlineStr">
        <is>
          <t>Часть операций становится ручной</t>
        </is>
      </c>
    </row>
    <row r="23">
      <c r="A23" s="15" t="inlineStr">
        <is>
          <t>TurnSpace</t>
        </is>
      </c>
      <c r="B23" s="15" t="inlineStr">
        <is>
          <t>Достаточно</t>
        </is>
      </c>
      <c r="C23" s="23" t="n">
        <v>1</v>
      </c>
      <c r="D23" s="15" t="inlineStr">
        <is>
          <t>Есть место для разворота</t>
        </is>
      </c>
      <c r="E23" s="15" t="inlineStr">
        <is>
          <t>Базовый класс</t>
        </is>
      </c>
    </row>
    <row r="24">
      <c r="A24" s="15" t="inlineStr">
        <is>
          <t>TurnSpace</t>
        </is>
      </c>
      <c r="B24" s="15" t="inlineStr">
        <is>
          <t>Ограниченно</t>
        </is>
      </c>
      <c r="C24" s="23" t="n">
        <v>1.06</v>
      </c>
      <c r="D24" s="15" t="inlineStr">
        <is>
          <t>Разворот затруднён</t>
        </is>
      </c>
      <c r="E24" s="15" t="inlineStr">
        <is>
          <t>Доп. потери времени</t>
        </is>
      </c>
    </row>
    <row r="25">
      <c r="A25" s="15" t="inlineStr">
        <is>
          <t>TurnSpace</t>
        </is>
      </c>
      <c r="B25" s="15" t="inlineStr">
        <is>
          <t>Нет</t>
        </is>
      </c>
      <c r="C25" s="23" t="n">
        <v>1.14</v>
      </c>
      <c r="D25" s="15" t="inlineStr">
        <is>
          <t>Разворот почти невозможен</t>
        </is>
      </c>
      <c r="E25" s="15" t="inlineStr">
        <is>
          <t>Риск мелкой техники и ручной логистики</t>
        </is>
      </c>
    </row>
    <row r="26">
      <c r="A26" s="15" t="inlineStr">
        <is>
          <t>ProximityToBuildings</t>
        </is>
      </c>
      <c r="B26" s="15" t="inlineStr">
        <is>
          <t>Нет влияния</t>
        </is>
      </c>
      <c r="C26" s="23" t="n">
        <v>1</v>
      </c>
      <c r="D26" s="15" t="inlineStr">
        <is>
          <t>Постройки не мешают</t>
        </is>
      </c>
      <c r="E26" s="15" t="inlineStr">
        <is>
          <t>Базовый класс</t>
        </is>
      </c>
    </row>
    <row r="27">
      <c r="A27" s="15" t="inlineStr">
        <is>
          <t>ProximityToBuildings</t>
        </is>
      </c>
      <c r="B27" s="15" t="inlineStr">
        <is>
          <t>Близко</t>
        </is>
      </c>
      <c r="C27" s="23" t="n">
        <v>1.06</v>
      </c>
      <c r="D27" s="15" t="inlineStr">
        <is>
          <t>Работа рядом со строениями</t>
        </is>
      </c>
      <c r="E27" s="15" t="inlineStr">
        <is>
          <t>Требуется аккуратная подработка</t>
        </is>
      </c>
    </row>
    <row r="28">
      <c r="A28" s="15" t="inlineStr">
        <is>
          <t>ProximityToBuildings</t>
        </is>
      </c>
      <c r="B28" s="15" t="inlineStr">
        <is>
          <t>Очень близко</t>
        </is>
      </c>
      <c r="C28" s="23" t="n">
        <v>1.15</v>
      </c>
      <c r="D28" s="15" t="inlineStr">
        <is>
          <t>Деликатная зона рядом с фундаментом/отделкой</t>
        </is>
      </c>
      <c r="E28" s="15" t="inlineStr">
        <is>
          <t>Часто нужна ручная доработка и защита</t>
        </is>
      </c>
    </row>
    <row r="29">
      <c r="A29" s="15" t="inlineStr">
        <is>
          <t>MachineryAllowed</t>
        </is>
      </c>
      <c r="B29" s="15" t="inlineStr">
        <is>
          <t>Да</t>
        </is>
      </c>
      <c r="C29" s="23" t="n">
        <v>1</v>
      </c>
      <c r="D29" s="15" t="inlineStr">
        <is>
          <t>Техника допустима</t>
        </is>
      </c>
      <c r="E29" s="15" t="inlineStr">
        <is>
          <t>Базовый класс</t>
        </is>
      </c>
    </row>
    <row r="30">
      <c r="A30" s="15" t="inlineStr">
        <is>
          <t>MachineryAllowed</t>
        </is>
      </c>
      <c r="B30" s="15" t="inlineStr">
        <is>
          <t>Частично</t>
        </is>
      </c>
      <c r="C30" s="23" t="n">
        <v>1.1</v>
      </c>
      <c r="D30" s="15" t="inlineStr">
        <is>
          <t>Техника допустима не везде</t>
        </is>
      </c>
      <c r="E30" s="15" t="inlineStr">
        <is>
          <t>Смешанный сценарий работ</t>
        </is>
      </c>
    </row>
    <row r="31">
      <c r="A31" s="15" t="inlineStr">
        <is>
          <t>MachineryAllowed</t>
        </is>
      </c>
      <c r="B31" s="15" t="inlineStr">
        <is>
          <t>Нет</t>
        </is>
      </c>
      <c r="C31" s="23" t="n">
        <v>1.25</v>
      </c>
      <c r="D31" s="15" t="inlineStr">
        <is>
          <t>Механизация невозможна</t>
        </is>
      </c>
      <c r="E31" s="15" t="inlineStr">
        <is>
          <t>Сильный сдвиг в сторону ручного труда</t>
        </is>
      </c>
    </row>
    <row r="32">
      <c r="A32" s="15" t="inlineStr">
        <is>
          <t>GeometryComplexity</t>
        </is>
      </c>
      <c r="B32" s="15" t="inlineStr">
        <is>
          <t>Простая</t>
        </is>
      </c>
      <c r="C32" s="23" t="n">
        <v>1</v>
      </c>
      <c r="D32" s="15" t="inlineStr">
        <is>
          <t>Прямые и простые контуры</t>
        </is>
      </c>
      <c r="E32" s="15" t="inlineStr">
        <is>
          <t>Базовый класс для материалов с подрезкой</t>
        </is>
      </c>
    </row>
    <row r="33">
      <c r="A33" s="15" t="inlineStr">
        <is>
          <t>GeometryComplexity</t>
        </is>
      </c>
      <c r="B33" s="15" t="inlineStr">
        <is>
          <t>Средняя</t>
        </is>
      </c>
      <c r="C33" s="23" t="n">
        <v>1.03</v>
      </c>
      <c r="D33" s="15" t="inlineStr">
        <is>
          <t>Есть отдельные подрезки и повороты</t>
        </is>
      </c>
      <c r="E33" s="15" t="inlineStr">
        <is>
          <t>Умеренный рост запаса</t>
        </is>
      </c>
    </row>
    <row r="34">
      <c r="A34" s="15" t="inlineStr">
        <is>
          <t>GeometryComplexity</t>
        </is>
      </c>
      <c r="B34" s="15" t="inlineStr">
        <is>
          <t>Сложная</t>
        </is>
      </c>
      <c r="C34" s="23" t="n">
        <v>1.07</v>
      </c>
      <c r="D34" s="15" t="inlineStr">
        <is>
          <t>Много примыканий, радиусов и подрезок</t>
        </is>
      </c>
      <c r="E34" s="15" t="inlineStr">
        <is>
          <t>Запас по рулонным и штучным материалам заметно растёт</t>
        </is>
      </c>
    </row>
    <row r="35">
      <c r="A35" s="15" t="inlineStr">
        <is>
          <t>GeometryComplexity</t>
        </is>
      </c>
      <c r="B35" s="15" t="inlineStr">
        <is>
          <t>Очень сложная</t>
        </is>
      </c>
      <c r="C35" s="23" t="n">
        <v>1.12</v>
      </c>
      <c r="D35" s="15" t="inlineStr">
        <is>
          <t>Ломаная геометрия, много обходов и узлов</t>
        </is>
      </c>
      <c r="E35" s="15" t="inlineStr">
        <is>
          <t>Высокий риск перерасхода на подгонку</t>
        </is>
      </c>
    </row>
    <row r="36">
      <c r="A36" s="15" t="n"/>
      <c r="B36" s="15" t="n"/>
      <c r="C36" s="23" t="n"/>
      <c r="D36" s="15" t="n"/>
      <c r="E36" s="15" t="n"/>
    </row>
    <row r="37">
      <c r="A37" s="15" t="n"/>
      <c r="B37" s="15" t="n"/>
      <c r="C37" s="23" t="n"/>
      <c r="D37" s="15" t="n"/>
      <c r="E37" s="15" t="n"/>
    </row>
    <row r="38">
      <c r="A38" s="15" t="n"/>
      <c r="B38" s="15" t="n"/>
      <c r="C38" s="23" t="n"/>
      <c r="D38" s="15" t="n"/>
      <c r="E38" s="15" t="n"/>
    </row>
    <row r="39">
      <c r="A39" s="15" t="n"/>
      <c r="B39" s="15" t="n"/>
      <c r="C39" s="23" t="n"/>
      <c r="D39" s="15" t="n"/>
      <c r="E39" s="15" t="n"/>
    </row>
    <row r="40">
      <c r="A40" s="15" t="n"/>
      <c r="B40" s="15" t="n"/>
      <c r="C40" s="23" t="n"/>
      <c r="D40" s="15" t="n"/>
      <c r="E40" s="15" t="n"/>
    </row>
    <row r="41">
      <c r="A41" s="15" t="n"/>
      <c r="B41" s="15" t="n"/>
      <c r="C41" s="23" t="n"/>
      <c r="D41" s="15" t="n"/>
      <c r="E41" s="15" t="n"/>
    </row>
    <row r="42">
      <c r="A42" s="15" t="n"/>
      <c r="B42" s="15" t="n"/>
      <c r="C42" s="23" t="n"/>
      <c r="D42" s="15" t="n"/>
      <c r="E42" s="15" t="n"/>
    </row>
    <row r="43">
      <c r="A43" s="15" t="n"/>
      <c r="B43" s="15" t="n"/>
      <c r="C43" s="23" t="n"/>
      <c r="D43" s="15" t="n"/>
      <c r="E43" s="15" t="n"/>
    </row>
    <row r="44">
      <c r="A44" s="15" t="n"/>
      <c r="B44" s="15" t="n"/>
      <c r="C44" s="23" t="n"/>
      <c r="D44" s="15" t="n"/>
      <c r="E44" s="15" t="n"/>
    </row>
    <row r="45">
      <c r="A45" s="15" t="n"/>
      <c r="B45" s="15" t="n"/>
      <c r="C45" s="23" t="n"/>
      <c r="D45" s="15" t="n"/>
      <c r="E45" s="15" t="n"/>
    </row>
    <row r="46">
      <c r="A46" s="15" t="n"/>
      <c r="B46" s="15" t="n"/>
      <c r="C46" s="23" t="n"/>
      <c r="D46" s="15" t="n"/>
      <c r="E46" s="15" t="n"/>
    </row>
    <row r="47">
      <c r="A47" s="15" t="n"/>
      <c r="B47" s="15" t="n"/>
      <c r="C47" s="23" t="n"/>
      <c r="D47" s="15" t="n"/>
      <c r="E47" s="15" t="n"/>
    </row>
    <row r="48">
      <c r="A48" s="15" t="n"/>
      <c r="B48" s="15" t="n"/>
      <c r="C48" s="23" t="n"/>
      <c r="D48" s="15" t="n"/>
      <c r="E48" s="15" t="n"/>
    </row>
    <row r="49">
      <c r="A49" s="15" t="n"/>
      <c r="B49" s="15" t="n"/>
      <c r="C49" s="23" t="n"/>
      <c r="D49" s="15" t="n"/>
      <c r="E49" s="15" t="n"/>
    </row>
    <row r="50">
      <c r="A50" s="15" t="n"/>
      <c r="B50" s="15" t="n"/>
      <c r="C50" s="23" t="n"/>
      <c r="D50" s="15" t="n"/>
      <c r="E50" s="15" t="n"/>
    </row>
    <row r="51">
      <c r="A51" s="15" t="n"/>
      <c r="B51" s="15" t="n"/>
      <c r="C51" s="23" t="n"/>
      <c r="D51" s="15" t="n"/>
      <c r="E51" s="15" t="n"/>
    </row>
    <row r="52">
      <c r="A52" s="15" t="n"/>
      <c r="B52" s="15" t="n"/>
      <c r="C52" s="23" t="n"/>
      <c r="D52" s="15" t="n"/>
      <c r="E52" s="15" t="n"/>
    </row>
    <row r="53">
      <c r="A53" s="15" t="n"/>
      <c r="B53" s="15" t="n"/>
      <c r="C53" s="23" t="n"/>
      <c r="D53" s="15" t="n"/>
      <c r="E53" s="15" t="n"/>
    </row>
    <row r="54">
      <c r="A54" s="15" t="n"/>
      <c r="B54" s="15" t="n"/>
      <c r="C54" s="23" t="n"/>
      <c r="D54" s="15" t="n"/>
      <c r="E54" s="15" t="n"/>
    </row>
    <row r="55">
      <c r="A55" s="15" t="n"/>
      <c r="B55" s="15" t="n"/>
      <c r="C55" s="23" t="n"/>
      <c r="D55" s="15" t="n"/>
      <c r="E55" s="15" t="n"/>
    </row>
    <row r="56">
      <c r="A56" s="15" t="n"/>
      <c r="B56" s="15" t="n"/>
      <c r="C56" s="23" t="n"/>
      <c r="D56" s="15" t="n"/>
      <c r="E56" s="15" t="n"/>
    </row>
    <row r="57">
      <c r="A57" s="15" t="n"/>
      <c r="B57" s="15" t="n"/>
      <c r="C57" s="23" t="n"/>
      <c r="D57" s="15" t="n"/>
      <c r="E57" s="15" t="n"/>
    </row>
    <row r="58">
      <c r="A58" s="15" t="n"/>
      <c r="B58" s="15" t="n"/>
      <c r="C58" s="23" t="n"/>
      <c r="D58" s="15" t="n"/>
      <c r="E58" s="15" t="n"/>
    </row>
    <row r="59">
      <c r="A59" s="15" t="n"/>
      <c r="B59" s="15" t="n"/>
      <c r="C59" s="23" t="n"/>
      <c r="D59" s="15" t="n"/>
      <c r="E59" s="15" t="n"/>
    </row>
    <row r="60">
      <c r="A60" s="15" t="n"/>
      <c r="B60" s="15" t="n"/>
      <c r="C60" s="23" t="n"/>
      <c r="D60" s="15" t="n"/>
      <c r="E60" s="15" t="n"/>
    </row>
    <row r="61">
      <c r="A61" s="15" t="n"/>
      <c r="B61" s="15" t="n"/>
      <c r="C61" s="23" t="n"/>
      <c r="D61" s="15" t="n"/>
      <c r="E61" s="15" t="n"/>
    </row>
    <row r="62">
      <c r="A62" s="15" t="n"/>
      <c r="B62" s="15" t="n"/>
      <c r="C62" s="23" t="n"/>
      <c r="D62" s="15" t="n"/>
      <c r="E62" s="15" t="n"/>
    </row>
    <row r="63">
      <c r="A63" s="15" t="n"/>
      <c r="B63" s="15" t="n"/>
      <c r="C63" s="23" t="n"/>
      <c r="D63" s="15" t="n"/>
      <c r="E63" s="15" t="n"/>
    </row>
    <row r="64">
      <c r="A64" s="15" t="n"/>
      <c r="B64" s="15" t="n"/>
      <c r="C64" s="23" t="n"/>
      <c r="D64" s="15" t="n"/>
      <c r="E64" s="15" t="n"/>
    </row>
    <row r="65">
      <c r="A65" s="15" t="n"/>
      <c r="B65" s="15" t="n"/>
      <c r="C65" s="23" t="n"/>
      <c r="D65" s="15" t="n"/>
      <c r="E65" s="15" t="n"/>
    </row>
    <row r="66">
      <c r="A66" s="15" t="n"/>
      <c r="B66" s="15" t="n"/>
      <c r="C66" s="23" t="n"/>
      <c r="D66" s="15" t="n"/>
      <c r="E66" s="15" t="n"/>
    </row>
    <row r="67">
      <c r="A67" s="15" t="n"/>
      <c r="B67" s="15" t="n"/>
      <c r="C67" s="23" t="n"/>
      <c r="D67" s="15" t="n"/>
      <c r="E67" s="15" t="n"/>
    </row>
    <row r="68">
      <c r="A68" s="15" t="n"/>
      <c r="B68" s="15" t="n"/>
      <c r="C68" s="23" t="n"/>
      <c r="D68" s="15" t="n"/>
      <c r="E68" s="15" t="n"/>
    </row>
    <row r="69">
      <c r="A69" s="15" t="n"/>
      <c r="B69" s="15" t="n"/>
      <c r="C69" s="23" t="n"/>
      <c r="D69" s="15" t="n"/>
      <c r="E69" s="15" t="n"/>
    </row>
    <row r="70">
      <c r="A70" s="15" t="n"/>
      <c r="B70" s="15" t="n"/>
      <c r="C70" s="23" t="n"/>
      <c r="D70" s="15" t="n"/>
      <c r="E70" s="15" t="n"/>
    </row>
    <row r="71">
      <c r="A71" s="15" t="n"/>
      <c r="B71" s="15" t="n"/>
      <c r="C71" s="23" t="n"/>
      <c r="D71" s="15" t="n"/>
      <c r="E71" s="15" t="n"/>
    </row>
    <row r="72">
      <c r="A72" s="15" t="n"/>
      <c r="B72" s="15" t="n"/>
      <c r="C72" s="23" t="n"/>
      <c r="D72" s="15" t="n"/>
      <c r="E72" s="15" t="n"/>
    </row>
    <row r="73">
      <c r="A73" s="15" t="n"/>
      <c r="B73" s="15" t="n"/>
      <c r="C73" s="23" t="n"/>
      <c r="D73" s="15" t="n"/>
      <c r="E73" s="15" t="n"/>
    </row>
    <row r="74">
      <c r="A74" s="15" t="n"/>
      <c r="B74" s="15" t="n"/>
      <c r="C74" s="23" t="n"/>
      <c r="D74" s="15" t="n"/>
      <c r="E74" s="15" t="n"/>
    </row>
    <row r="75">
      <c r="A75" s="15" t="n"/>
      <c r="B75" s="15" t="n"/>
      <c r="C75" s="23" t="n"/>
      <c r="D75" s="15" t="n"/>
      <c r="E75" s="15" t="n"/>
    </row>
    <row r="76">
      <c r="A76" s="15" t="n"/>
      <c r="B76" s="15" t="n"/>
      <c r="C76" s="23" t="n"/>
      <c r="D76" s="15" t="n"/>
      <c r="E76" s="15" t="n"/>
    </row>
    <row r="77">
      <c r="A77" s="15" t="n"/>
      <c r="B77" s="15" t="n"/>
      <c r="C77" s="23" t="n"/>
      <c r="D77" s="15" t="n"/>
      <c r="E77" s="15" t="n"/>
    </row>
    <row r="78">
      <c r="A78" s="15" t="n"/>
      <c r="B78" s="15" t="n"/>
      <c r="C78" s="23" t="n"/>
      <c r="D78" s="15" t="n"/>
      <c r="E78" s="15" t="n"/>
    </row>
    <row r="79">
      <c r="A79" s="15" t="n"/>
      <c r="B79" s="15" t="n"/>
      <c r="C79" s="23" t="n"/>
      <c r="D79" s="15" t="n"/>
      <c r="E79" s="15" t="n"/>
    </row>
    <row r="80">
      <c r="A80" s="15" t="n"/>
      <c r="B80" s="15" t="n"/>
      <c r="C80" s="23" t="n"/>
      <c r="D80" s="15" t="n"/>
      <c r="E80" s="15" t="n"/>
    </row>
    <row r="81">
      <c r="A81" s="15" t="n"/>
      <c r="B81" s="15" t="n"/>
      <c r="C81" s="23" t="n"/>
      <c r="D81" s="15" t="n"/>
      <c r="E81" s="15" t="n"/>
    </row>
    <row r="82">
      <c r="A82" s="15" t="n"/>
      <c r="B82" s="15" t="n"/>
      <c r="C82" s="23" t="n"/>
      <c r="D82" s="15" t="n"/>
      <c r="E82" s="15" t="n"/>
    </row>
    <row r="83">
      <c r="A83" s="15" t="n"/>
      <c r="B83" s="15" t="n"/>
      <c r="C83" s="23" t="n"/>
      <c r="D83" s="15" t="n"/>
      <c r="E83" s="15" t="n"/>
    </row>
    <row r="84">
      <c r="A84" s="15" t="n"/>
      <c r="B84" s="15" t="n"/>
      <c r="C84" s="23" t="n"/>
      <c r="D84" s="15" t="n"/>
      <c r="E84" s="15" t="n"/>
    </row>
    <row r="85">
      <c r="A85" s="15" t="n"/>
      <c r="B85" s="15" t="n"/>
      <c r="C85" s="23" t="n"/>
      <c r="D85" s="15" t="n"/>
      <c r="E85" s="15" t="n"/>
    </row>
    <row r="86">
      <c r="A86" s="15" t="n"/>
      <c r="B86" s="15" t="n"/>
      <c r="C86" s="23" t="n"/>
      <c r="D86" s="15" t="n"/>
      <c r="E86" s="15" t="n"/>
    </row>
    <row r="87">
      <c r="A87" s="15" t="n"/>
      <c r="B87" s="15" t="n"/>
      <c r="C87" s="23" t="n"/>
      <c r="D87" s="15" t="n"/>
      <c r="E87" s="15" t="n"/>
    </row>
    <row r="88">
      <c r="A88" s="15" t="n"/>
      <c r="B88" s="15" t="n"/>
      <c r="C88" s="23" t="n"/>
      <c r="D88" s="15" t="n"/>
      <c r="E88" s="15" t="n"/>
    </row>
    <row r="89">
      <c r="A89" s="15" t="n"/>
      <c r="B89" s="15" t="n"/>
      <c r="C89" s="23" t="n"/>
      <c r="D89" s="15" t="n"/>
      <c r="E89" s="15" t="n"/>
    </row>
    <row r="90">
      <c r="A90" s="15" t="n"/>
      <c r="B90" s="15" t="n"/>
      <c r="C90" s="23" t="n"/>
      <c r="D90" s="15" t="n"/>
      <c r="E90" s="15" t="n"/>
    </row>
    <row r="91">
      <c r="A91" s="15" t="n"/>
      <c r="B91" s="15" t="n"/>
      <c r="C91" s="23" t="n"/>
      <c r="D91" s="15" t="n"/>
      <c r="E91" s="15" t="n"/>
    </row>
    <row r="92">
      <c r="A92" s="15" t="n"/>
      <c r="B92" s="15" t="n"/>
      <c r="C92" s="23" t="n"/>
      <c r="D92" s="15" t="n"/>
      <c r="E92" s="15" t="n"/>
    </row>
    <row r="93">
      <c r="A93" s="15" t="n"/>
      <c r="B93" s="15" t="n"/>
      <c r="C93" s="23" t="n"/>
      <c r="D93" s="15" t="n"/>
      <c r="E93" s="15" t="n"/>
    </row>
    <row r="94">
      <c r="A94" s="15" t="n"/>
      <c r="B94" s="15" t="n"/>
      <c r="C94" s="23" t="n"/>
      <c r="D94" s="15" t="n"/>
      <c r="E94" s="15" t="n"/>
    </row>
    <row r="95">
      <c r="A95" s="15" t="n"/>
      <c r="B95" s="15" t="n"/>
      <c r="C95" s="23" t="n"/>
      <c r="D95" s="15" t="n"/>
      <c r="E95" s="15" t="n"/>
    </row>
    <row r="96">
      <c r="A96" s="15" t="n"/>
      <c r="B96" s="15" t="n"/>
      <c r="C96" s="23" t="n"/>
      <c r="D96" s="15" t="n"/>
      <c r="E96" s="15" t="n"/>
    </row>
    <row r="97">
      <c r="A97" s="15" t="n"/>
      <c r="B97" s="15" t="n"/>
      <c r="C97" s="23" t="n"/>
      <c r="D97" s="15" t="n"/>
      <c r="E97" s="15" t="n"/>
    </row>
    <row r="98">
      <c r="A98" s="15" t="n"/>
      <c r="B98" s="15" t="n"/>
      <c r="C98" s="23" t="n"/>
      <c r="D98" s="15" t="n"/>
      <c r="E98" s="15" t="n"/>
    </row>
    <row r="99">
      <c r="A99" s="15" t="n"/>
      <c r="B99" s="15" t="n"/>
      <c r="C99" s="23" t="n"/>
      <c r="D99" s="15" t="n"/>
      <c r="E99" s="15" t="n"/>
    </row>
    <row r="100">
      <c r="A100" s="15" t="n"/>
      <c r="B100" s="15" t="n"/>
      <c r="C100" s="23" t="n"/>
      <c r="D100" s="15" t="n"/>
      <c r="E100" s="15" t="n"/>
    </row>
    <row r="101">
      <c r="A101" s="15" t="n"/>
      <c r="B101" s="15" t="n"/>
      <c r="C101" s="23" t="n"/>
      <c r="D101" s="15" t="n"/>
      <c r="E101" s="15" t="n"/>
    </row>
    <row r="102">
      <c r="A102" s="15" t="n"/>
      <c r="B102" s="15" t="n"/>
      <c r="C102" s="23" t="n"/>
      <c r="D102" s="15" t="n"/>
      <c r="E102" s="15" t="n"/>
    </row>
    <row r="103">
      <c r="A103" s="15" t="n"/>
      <c r="B103" s="15" t="n"/>
      <c r="C103" s="23" t="n"/>
      <c r="D103" s="15" t="n"/>
      <c r="E103" s="15" t="n"/>
    </row>
    <row r="104">
      <c r="A104" s="15" t="n"/>
      <c r="B104" s="15" t="n"/>
      <c r="C104" s="23" t="n"/>
      <c r="D104" s="15" t="n"/>
      <c r="E104" s="15" t="n"/>
    </row>
    <row r="105">
      <c r="A105" s="15" t="n"/>
      <c r="B105" s="15" t="n"/>
      <c r="C105" s="23" t="n"/>
      <c r="D105" s="15" t="n"/>
      <c r="E105" s="15" t="n"/>
    </row>
    <row r="106">
      <c r="A106" s="15" t="n"/>
      <c r="B106" s="15" t="n"/>
      <c r="C106" s="23" t="n"/>
      <c r="D106" s="15" t="n"/>
      <c r="E106" s="15" t="n"/>
    </row>
    <row r="107">
      <c r="A107" s="15" t="n"/>
      <c r="B107" s="15" t="n"/>
      <c r="C107" s="23" t="n"/>
      <c r="D107" s="15" t="n"/>
      <c r="E107" s="15" t="n"/>
    </row>
    <row r="108">
      <c r="A108" s="15" t="n"/>
      <c r="B108" s="15" t="n"/>
      <c r="C108" s="23" t="n"/>
      <c r="D108" s="15" t="n"/>
      <c r="E108" s="15" t="n"/>
    </row>
    <row r="109">
      <c r="A109" s="15" t="n"/>
      <c r="B109" s="15" t="n"/>
      <c r="C109" s="23" t="n"/>
      <c r="D109" s="15" t="n"/>
      <c r="E109" s="15" t="n"/>
    </row>
    <row r="110">
      <c r="A110" s="15" t="n"/>
      <c r="B110" s="15" t="n"/>
      <c r="C110" s="23" t="n"/>
      <c r="D110" s="15" t="n"/>
      <c r="E110" s="15" t="n"/>
    </row>
    <row r="111">
      <c r="A111" s="15" t="n"/>
      <c r="B111" s="15" t="n"/>
      <c r="C111" s="23" t="n"/>
      <c r="D111" s="15" t="n"/>
      <c r="E111" s="15" t="n"/>
    </row>
    <row r="112">
      <c r="A112" s="15" t="n"/>
      <c r="B112" s="15" t="n"/>
      <c r="C112" s="23" t="n"/>
      <c r="D112" s="15" t="n"/>
      <c r="E112" s="15" t="n"/>
    </row>
    <row r="113">
      <c r="A113" s="15" t="n"/>
      <c r="B113" s="15" t="n"/>
      <c r="C113" s="23" t="n"/>
      <c r="D113" s="15" t="n"/>
      <c r="E113" s="15" t="n"/>
    </row>
    <row r="114">
      <c r="A114" s="15" t="n"/>
      <c r="B114" s="15" t="n"/>
      <c r="C114" s="23" t="n"/>
      <c r="D114" s="15" t="n"/>
      <c r="E114" s="15" t="n"/>
    </row>
    <row r="115">
      <c r="A115" s="15" t="n"/>
      <c r="B115" s="15" t="n"/>
      <c r="C115" s="23" t="n"/>
      <c r="D115" s="15" t="n"/>
      <c r="E115" s="15" t="n"/>
    </row>
    <row r="116">
      <c r="A116" s="15" t="n"/>
      <c r="B116" s="15" t="n"/>
      <c r="C116" s="23" t="n"/>
      <c r="D116" s="15" t="n"/>
      <c r="E116" s="15" t="n"/>
    </row>
    <row r="117">
      <c r="A117" s="15" t="n"/>
      <c r="B117" s="15" t="n"/>
      <c r="C117" s="23" t="n"/>
      <c r="D117" s="15" t="n"/>
      <c r="E117" s="15" t="n"/>
    </row>
    <row r="118">
      <c r="A118" s="15" t="n"/>
      <c r="B118" s="15" t="n"/>
      <c r="C118" s="23" t="n"/>
      <c r="D118" s="15" t="n"/>
      <c r="E118" s="15" t="n"/>
    </row>
    <row r="119">
      <c r="A119" s="15" t="n"/>
      <c r="B119" s="15" t="n"/>
      <c r="C119" s="23" t="n"/>
      <c r="D119" s="15" t="n"/>
      <c r="E119" s="15" t="n"/>
    </row>
    <row r="120">
      <c r="A120" s="15" t="n"/>
      <c r="B120" s="15" t="n"/>
      <c r="C120" s="23" t="n"/>
      <c r="D120" s="15" t="n"/>
      <c r="E120" s="15" t="n"/>
    </row>
    <row r="121">
      <c r="A121" s="15" t="n"/>
      <c r="B121" s="15" t="n"/>
      <c r="C121" s="23" t="n"/>
      <c r="D121" s="15" t="n"/>
      <c r="E121" s="15" t="n"/>
    </row>
    <row r="122">
      <c r="A122" s="15" t="n"/>
      <c r="B122" s="15" t="n"/>
      <c r="C122" s="23" t="n"/>
      <c r="D122" s="15" t="n"/>
      <c r="E122" s="15" t="n"/>
    </row>
    <row r="123">
      <c r="A123" s="15" t="n"/>
      <c r="B123" s="15" t="n"/>
      <c r="C123" s="23" t="n"/>
      <c r="D123" s="15" t="n"/>
      <c r="E123" s="15" t="n"/>
    </row>
    <row r="124">
      <c r="A124" s="15" t="n"/>
      <c r="B124" s="15" t="n"/>
      <c r="C124" s="23" t="n"/>
      <c r="D124" s="15" t="n"/>
      <c r="E124" s="15" t="n"/>
    </row>
    <row r="125">
      <c r="A125" s="15" t="n"/>
      <c r="B125" s="15" t="n"/>
      <c r="C125" s="23" t="n"/>
      <c r="D125" s="15" t="n"/>
      <c r="E125" s="15" t="n"/>
    </row>
    <row r="126">
      <c r="A126" s="15" t="n"/>
      <c r="B126" s="15" t="n"/>
      <c r="C126" s="23" t="n"/>
      <c r="D126" s="15" t="n"/>
      <c r="E126" s="15" t="n"/>
    </row>
    <row r="127">
      <c r="A127" s="15" t="n"/>
      <c r="B127" s="15" t="n"/>
      <c r="C127" s="23" t="n"/>
      <c r="D127" s="15" t="n"/>
      <c r="E127" s="15" t="n"/>
    </row>
    <row r="128">
      <c r="A128" s="15" t="n"/>
      <c r="B128" s="15" t="n"/>
      <c r="C128" s="23" t="n"/>
      <c r="D128" s="15" t="n"/>
      <c r="E128" s="15" t="n"/>
    </row>
    <row r="129">
      <c r="A129" s="15" t="n"/>
      <c r="B129" s="15" t="n"/>
      <c r="C129" s="23" t="n"/>
      <c r="D129" s="15" t="n"/>
      <c r="E129" s="15" t="n"/>
    </row>
    <row r="130">
      <c r="A130" s="15" t="n"/>
      <c r="B130" s="15" t="n"/>
      <c r="C130" s="23" t="n"/>
      <c r="D130" s="15" t="n"/>
      <c r="E130" s="15" t="n"/>
    </row>
    <row r="131">
      <c r="A131" s="15" t="n"/>
      <c r="B131" s="15" t="n"/>
      <c r="C131" s="23" t="n"/>
      <c r="D131" s="15" t="n"/>
      <c r="E131" s="15" t="n"/>
    </row>
    <row r="132">
      <c r="A132" s="15" t="n"/>
      <c r="B132" s="15" t="n"/>
      <c r="C132" s="23" t="n"/>
      <c r="D132" s="15" t="n"/>
      <c r="E132" s="15" t="n"/>
    </row>
    <row r="133">
      <c r="A133" s="15" t="n"/>
      <c r="B133" s="15" t="n"/>
      <c r="C133" s="23" t="n"/>
      <c r="D133" s="15" t="n"/>
      <c r="E133" s="15" t="n"/>
    </row>
    <row r="134">
      <c r="A134" s="15" t="n"/>
      <c r="B134" s="15" t="n"/>
      <c r="C134" s="23" t="n"/>
      <c r="D134" s="15" t="n"/>
      <c r="E134" s="15" t="n"/>
    </row>
    <row r="135">
      <c r="A135" s="15" t="n"/>
      <c r="B135" s="15" t="n"/>
      <c r="C135" s="23" t="n"/>
      <c r="D135" s="15" t="n"/>
      <c r="E135" s="15" t="n"/>
    </row>
    <row r="136">
      <c r="A136" s="15" t="n"/>
      <c r="B136" s="15" t="n"/>
      <c r="C136" s="23" t="n"/>
      <c r="D136" s="15" t="n"/>
      <c r="E136" s="15" t="n"/>
    </row>
    <row r="137">
      <c r="A137" s="15" t="n"/>
      <c r="B137" s="15" t="n"/>
      <c r="C137" s="23" t="n"/>
      <c r="D137" s="15" t="n"/>
      <c r="E137" s="15" t="n"/>
    </row>
    <row r="138">
      <c r="A138" s="15" t="n"/>
      <c r="B138" s="15" t="n"/>
      <c r="C138" s="23" t="n"/>
      <c r="D138" s="15" t="n"/>
      <c r="E138" s="15" t="n"/>
    </row>
    <row r="139">
      <c r="A139" s="15" t="n"/>
      <c r="B139" s="15" t="n"/>
      <c r="C139" s="23" t="n"/>
      <c r="D139" s="15" t="n"/>
      <c r="E139" s="15" t="n"/>
    </row>
    <row r="140">
      <c r="A140" s="15" t="n"/>
      <c r="B140" s="15" t="n"/>
      <c r="C140" s="23" t="n"/>
      <c r="D140" s="15" t="n"/>
      <c r="E140" s="15" t="n"/>
    </row>
    <row r="141">
      <c r="A141" s="15" t="n"/>
      <c r="B141" s="15" t="n"/>
      <c r="C141" s="23" t="n"/>
      <c r="D141" s="15" t="n"/>
      <c r="E141" s="15" t="n"/>
    </row>
    <row r="142">
      <c r="A142" s="15" t="n"/>
      <c r="B142" s="15" t="n"/>
      <c r="C142" s="23" t="n"/>
      <c r="D142" s="15" t="n"/>
      <c r="E142" s="15" t="n"/>
    </row>
    <row r="143">
      <c r="A143" s="15" t="n"/>
      <c r="B143" s="15" t="n"/>
      <c r="C143" s="23" t="n"/>
      <c r="D143" s="15" t="n"/>
      <c r="E143" s="15" t="n"/>
    </row>
    <row r="144">
      <c r="A144" s="15" t="n"/>
      <c r="B144" s="15" t="n"/>
      <c r="C144" s="23" t="n"/>
      <c r="D144" s="15" t="n"/>
      <c r="E144" s="15" t="n"/>
    </row>
    <row r="145">
      <c r="A145" s="15" t="n"/>
      <c r="B145" s="15" t="n"/>
      <c r="C145" s="23" t="n"/>
      <c r="D145" s="15" t="n"/>
      <c r="E145" s="15" t="n"/>
    </row>
    <row r="146">
      <c r="A146" s="15" t="n"/>
      <c r="B146" s="15" t="n"/>
      <c r="C146" s="23" t="n"/>
      <c r="D146" s="15" t="n"/>
      <c r="E146" s="15" t="n"/>
    </row>
    <row r="147">
      <c r="A147" s="15" t="n"/>
      <c r="B147" s="15" t="n"/>
      <c r="C147" s="23" t="n"/>
      <c r="D147" s="15" t="n"/>
      <c r="E147" s="15" t="n"/>
    </row>
    <row r="148">
      <c r="A148" s="15" t="n"/>
      <c r="B148" s="15" t="n"/>
      <c r="C148" s="23" t="n"/>
      <c r="D148" s="15" t="n"/>
      <c r="E148" s="15" t="n"/>
    </row>
    <row r="149">
      <c r="A149" s="15" t="n"/>
      <c r="B149" s="15" t="n"/>
      <c r="C149" s="23" t="n"/>
      <c r="D149" s="15" t="n"/>
      <c r="E149" s="15" t="n"/>
    </row>
    <row r="150">
      <c r="A150" s="15" t="n"/>
      <c r="B150" s="15" t="n"/>
      <c r="C150" s="15" t="n"/>
      <c r="D150" s="15" t="n"/>
      <c r="E150" s="15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6" customWidth="1" min="4" max="4"/>
    <col width="18" customWidth="1" min="5" max="5"/>
    <col width="24" customWidth="1" min="6" max="6"/>
  </cols>
  <sheetData>
    <row r="1">
      <c r="A1" s="4" t="inlineStr">
        <is>
          <t>FactorType</t>
        </is>
      </c>
      <c r="B1" s="4" t="inlineStr">
        <is>
          <t>FactorClass</t>
        </is>
      </c>
      <c r="C1" s="4" t="inlineStr">
        <is>
          <t>Coefficient</t>
        </is>
      </c>
      <c r="D1" s="4" t="inlineStr">
        <is>
          <t>AppliesTo</t>
        </is>
      </c>
      <c r="E1" s="4" t="inlineStr">
        <is>
          <t>UseCase</t>
        </is>
      </c>
      <c r="F1" s="4" t="inlineStr">
        <is>
          <t>Notes</t>
        </is>
      </c>
    </row>
    <row r="2">
      <c r="A2" s="19" t="inlineStr">
        <is>
          <t>DistanceClass</t>
        </is>
      </c>
      <c r="B2" s="19" t="inlineStr">
        <is>
          <t>До 10 км</t>
        </is>
      </c>
      <c r="C2" s="33" t="n">
        <v>1</v>
      </c>
      <c r="D2" s="19" t="inlineStr">
        <is>
          <t>Логистика/выезд</t>
        </is>
      </c>
      <c r="E2" s="19" t="inlineStr">
        <is>
          <t>Базовая зона</t>
        </is>
      </c>
      <c r="F2" s="19" t="inlineStr"/>
    </row>
    <row r="3">
      <c r="A3" s="19" t="inlineStr">
        <is>
          <t>DistanceClass</t>
        </is>
      </c>
      <c r="B3" s="19" t="inlineStr">
        <is>
          <t>10-30 км</t>
        </is>
      </c>
      <c r="C3" s="33" t="n">
        <v>1.05</v>
      </c>
      <c r="D3" s="19" t="inlineStr">
        <is>
          <t>Логистика/выезд</t>
        </is>
      </c>
      <c r="E3" s="19" t="inlineStr">
        <is>
          <t>Умеренное плечо</t>
        </is>
      </c>
      <c r="F3" s="19" t="inlineStr"/>
    </row>
    <row r="4">
      <c r="A4" s="19" t="inlineStr">
        <is>
          <t>DistanceClass</t>
        </is>
      </c>
      <c r="B4" s="19" t="inlineStr">
        <is>
          <t>30-60 км</t>
        </is>
      </c>
      <c r="C4" s="33" t="n">
        <v>1.12</v>
      </c>
      <c r="D4" s="19" t="inlineStr">
        <is>
          <t>Логистика/выезд</t>
        </is>
      </c>
      <c r="E4" s="19" t="inlineStr">
        <is>
          <t>Дальняя доставка</t>
        </is>
      </c>
      <c r="F4" s="19" t="inlineStr"/>
    </row>
    <row r="5">
      <c r="A5" s="19" t="inlineStr">
        <is>
          <t>DistanceClass</t>
        </is>
      </c>
      <c r="B5" s="19" t="inlineStr">
        <is>
          <t>60+ км</t>
        </is>
      </c>
      <c r="C5" s="33" t="n">
        <v>1.22</v>
      </c>
      <c r="D5" s="19" t="inlineStr">
        <is>
          <t>Логистика/выезд</t>
        </is>
      </c>
      <c r="E5" s="19" t="inlineStr">
        <is>
          <t>Очень дальняя зона</t>
        </is>
      </c>
      <c r="F5" s="19" t="inlineStr"/>
    </row>
    <row r="6">
      <c r="A6" s="19" t="inlineStr">
        <is>
          <t>SeasonClass</t>
        </is>
      </c>
      <c r="B6" s="19" t="inlineStr">
        <is>
          <t>Базовый сезон</t>
        </is>
      </c>
      <c r="C6" s="33" t="n">
        <v>1</v>
      </c>
      <c r="D6" s="19" t="inlineStr">
        <is>
          <t>Работы</t>
        </is>
      </c>
      <c r="E6" s="19" t="inlineStr">
        <is>
          <t>Типовой период</t>
        </is>
      </c>
      <c r="F6" s="19" t="inlineStr"/>
    </row>
    <row r="7">
      <c r="A7" s="19" t="inlineStr">
        <is>
          <t>SeasonClass</t>
        </is>
      </c>
      <c r="B7" s="19" t="inlineStr">
        <is>
          <t>Низкий сезон</t>
        </is>
      </c>
      <c r="C7" s="33" t="n">
        <v>0.97</v>
      </c>
      <c r="D7" s="19" t="inlineStr">
        <is>
          <t>Работы</t>
        </is>
      </c>
      <c r="E7" s="19" t="inlineStr">
        <is>
          <t>Стимулирующий период</t>
        </is>
      </c>
      <c r="F7" s="19" t="inlineStr"/>
    </row>
    <row r="8">
      <c r="A8" s="19" t="inlineStr">
        <is>
          <t>SeasonClass</t>
        </is>
      </c>
      <c r="B8" s="19" t="inlineStr">
        <is>
          <t>Высокий сезон</t>
        </is>
      </c>
      <c r="C8" s="33" t="n">
        <v>1.08</v>
      </c>
      <c r="D8" s="19" t="inlineStr">
        <is>
          <t>Работы</t>
        </is>
      </c>
      <c r="E8" s="19" t="inlineStr">
        <is>
          <t>Пиковая загрузка</t>
        </is>
      </c>
      <c r="F8" s="19" t="inlineStr"/>
    </row>
    <row r="9">
      <c r="A9" s="19" t="inlineStr">
        <is>
          <t>SeasonClass</t>
        </is>
      </c>
      <c r="B9" s="19" t="inlineStr">
        <is>
          <t>Зимние условия</t>
        </is>
      </c>
      <c r="C9" s="33" t="n">
        <v>1.18</v>
      </c>
      <c r="D9" s="19" t="inlineStr">
        <is>
          <t>Работы</t>
        </is>
      </c>
      <c r="E9" s="19" t="inlineStr">
        <is>
          <t>Сложность производства</t>
        </is>
      </c>
      <c r="F9" s="19" t="inlineStr"/>
    </row>
    <row r="10">
      <c r="A10" s="19" t="inlineStr">
        <is>
          <t>UrgencyClass</t>
        </is>
      </c>
      <c r="B10" s="19" t="inlineStr">
        <is>
          <t>Планово</t>
        </is>
      </c>
      <c r="C10" s="33" t="n">
        <v>1</v>
      </c>
      <c r="D10" s="19" t="inlineStr">
        <is>
          <t>Работы/логистика</t>
        </is>
      </c>
      <c r="E10" s="19" t="inlineStr">
        <is>
          <t>Нормальное планирование</t>
        </is>
      </c>
      <c r="F10" s="19" t="inlineStr"/>
    </row>
    <row r="11">
      <c r="A11" s="19" t="inlineStr">
        <is>
          <t>UrgencyClass</t>
        </is>
      </c>
      <c r="B11" s="19" t="inlineStr">
        <is>
          <t>Ускоренно</t>
        </is>
      </c>
      <c r="C11" s="33" t="n">
        <v>1.07</v>
      </c>
      <c r="D11" s="19" t="inlineStr">
        <is>
          <t>Работы/логистика</t>
        </is>
      </c>
      <c r="E11" s="19" t="inlineStr">
        <is>
          <t>Сжатые сроки</t>
        </is>
      </c>
      <c r="F11" s="19" t="inlineStr"/>
    </row>
    <row r="12">
      <c r="A12" s="19" t="inlineStr">
        <is>
          <t>UrgencyClass</t>
        </is>
      </c>
      <c r="B12" s="19" t="inlineStr">
        <is>
          <t>Срочно</t>
        </is>
      </c>
      <c r="C12" s="33" t="n">
        <v>1.15</v>
      </c>
      <c r="D12" s="19" t="inlineStr">
        <is>
          <t>Работы/логистика</t>
        </is>
      </c>
      <c r="E12" s="19" t="inlineStr">
        <is>
          <t>Срочная мобилизация</t>
        </is>
      </c>
      <c r="F12" s="19" t="inlineStr"/>
    </row>
  </sheetData>
  <autoFilter ref="A1:F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24" customWidth="1" min="4" max="4"/>
  </cols>
  <sheetData>
    <row r="1">
      <c r="A1" s="4" t="inlineStr">
        <is>
          <t>TaxMode</t>
        </is>
      </c>
      <c r="B1" s="4" t="inlineStr">
        <is>
          <t>VATRate</t>
        </is>
      </c>
      <c r="C1" s="4" t="inlineStr">
        <is>
          <t>PricePresentation</t>
        </is>
      </c>
      <c r="D1" s="4" t="inlineStr">
        <is>
          <t>Notes</t>
        </is>
      </c>
    </row>
    <row r="2">
      <c r="A2" s="19" t="inlineStr">
        <is>
          <t>Без НДС</t>
        </is>
      </c>
      <c r="B2" s="37" t="n">
        <v>0</v>
      </c>
      <c r="C2" s="19" t="inlineStr">
        <is>
          <t>Цена без НДС = цена для клиента</t>
        </is>
      </c>
      <c r="D2" s="19" t="inlineStr">
        <is>
          <t>УСН/без НДС</t>
        </is>
      </c>
    </row>
    <row r="3">
      <c r="A3" s="19" t="inlineStr">
        <is>
          <t>С НДС 20%</t>
        </is>
      </c>
      <c r="B3" s="37" t="n">
        <v>0.2</v>
      </c>
      <c r="C3" s="19" t="inlineStr">
        <is>
          <t>Показывать цену с НДС 20%</t>
        </is>
      </c>
      <c r="D3" s="19" t="inlineStr">
        <is>
          <t>Стандартный режим</t>
        </is>
      </c>
    </row>
    <row r="4">
      <c r="A4" s="19" t="inlineStr">
        <is>
          <t>С НДС 10%</t>
        </is>
      </c>
      <c r="B4" s="37" t="n">
        <v>0.1</v>
      </c>
      <c r="C4" s="19" t="inlineStr">
        <is>
          <t>Показывать цену с НДС 10%</t>
        </is>
      </c>
      <c r="D4" s="19" t="inlineStr">
        <is>
          <t>Редкий кейс для отдельных товаров/услуг</t>
        </is>
      </c>
    </row>
  </sheetData>
  <autoFilter ref="A1:D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1" customWidth="1" min="3" max="3"/>
    <col width="13" customWidth="1" min="4" max="4"/>
    <col width="11" customWidth="1" min="5" max="5"/>
    <col width="11" customWidth="1" min="6" max="6"/>
    <col width="15" customWidth="1" min="7" max="7"/>
    <col width="12" customWidth="1" min="8" max="8"/>
    <col width="14" customWidth="1" min="9" max="9"/>
    <col width="14" customWidth="1" min="10" max="10"/>
    <col width="14" customWidth="1" min="11" max="11"/>
    <col width="15" customWidth="1" min="12" max="12"/>
    <col width="18" customWidth="1" min="13" max="13"/>
    <col width="14" customWidth="1" min="14" max="14"/>
    <col width="15" customWidth="1" min="15" max="15"/>
    <col width="38" customWidth="1" min="16" max="16"/>
  </cols>
  <sheetData>
    <row r="1">
      <c r="A1" s="4" t="inlineStr">
        <is>
          <t>WorkID</t>
        </is>
      </c>
      <c r="B1" s="4" t="inlineStr">
        <is>
          <t>CanonicalWork</t>
        </is>
      </c>
      <c r="C1" s="4" t="inlineStr">
        <is>
          <t>SoilWeight</t>
        </is>
      </c>
      <c r="D1" s="4" t="inlineStr">
        <is>
          <t>MoistureWeight</t>
        </is>
      </c>
      <c r="E1" s="4" t="inlineStr">
        <is>
          <t>DebrisWeight</t>
        </is>
      </c>
      <c r="F1" s="4" t="inlineStr">
        <is>
          <t>SlopeWeight</t>
        </is>
      </c>
      <c r="G1" s="4" t="inlineStr">
        <is>
          <t>UnevennessWeight</t>
        </is>
      </c>
      <c r="H1" s="4" t="inlineStr">
        <is>
          <t>AccessWeight</t>
        </is>
      </c>
      <c r="I1" s="4" t="inlineStr">
        <is>
          <t>TurnSpaceWeight</t>
        </is>
      </c>
      <c r="J1" s="4" t="inlineStr">
        <is>
          <t>ProximityWeight</t>
        </is>
      </c>
      <c r="K1" s="4" t="inlineStr">
        <is>
          <t>MachineryWeight</t>
        </is>
      </c>
      <c r="L1" s="4" t="inlineStr">
        <is>
          <t>PriceRuleEnabled</t>
        </is>
      </c>
      <c r="M1" s="4" t="inlineStr">
        <is>
          <t>CompositionRuleEnabled</t>
        </is>
      </c>
      <c r="N1" s="4" t="inlineStr">
        <is>
          <t>SampleObjectID</t>
        </is>
      </c>
      <c r="O1" s="4" t="inlineStr">
        <is>
          <t>SiteCoeffExample</t>
        </is>
      </c>
      <c r="P1" s="4" t="inlineStr">
        <is>
          <t>Notes</t>
        </is>
      </c>
    </row>
    <row r="2">
      <c r="A2" s="15" t="inlineStr">
        <is>
          <t>WORK-0001</t>
        </is>
      </c>
      <c r="B2" s="15" t="inlineStr">
        <is>
          <t>Выборка ложа</t>
        </is>
      </c>
      <c r="C2" s="17" t="n">
        <v>0.9</v>
      </c>
      <c r="D2" s="17" t="n">
        <v>0.7</v>
      </c>
      <c r="E2" s="17" t="n">
        <v>0.6</v>
      </c>
      <c r="F2" s="17" t="n">
        <v>0.5</v>
      </c>
      <c r="G2" s="17" t="n">
        <v>0.4</v>
      </c>
      <c r="H2" s="17" t="n">
        <v>0.4</v>
      </c>
      <c r="I2" s="17" t="n">
        <v>0.3</v>
      </c>
      <c r="J2" s="17" t="n">
        <v>0.3</v>
      </c>
      <c r="K2" s="17" t="n">
        <v>0.5</v>
      </c>
      <c r="L2" s="15" t="inlineStr">
        <is>
          <t>Да</t>
        </is>
      </c>
      <c r="M2" s="15" t="inlineStr">
        <is>
          <t>Да</t>
        </is>
      </c>
      <c r="N2" s="15" t="inlineStr">
        <is>
          <t>OBJ-0001</t>
        </is>
      </c>
      <c r="O2" s="16">
        <f>IF($N2="","",ROUND(1+($C2*(SUMIFS(OBJECT_CONDITIONS!$D:$D,OBJECT_CONDITIONS!$A:$A,$N2)-1))+($D2*(SUMIFS(OBJECT_CONDITIONS!$F:$F,OBJECT_CONDITIONS!$A:$A,$N2)-1))+($E2*(SUMIFS(OBJECT_CONDITIONS!$H:$H,OBJECT_CONDITIONS!$A:$A,$N2)-1))+($F2*(SUMIFS(OBJECT_CONDITIONS!$J:$J,OBJECT_CONDITIONS!$A:$A,$N2)-1))+($G2*(SUMIFS(OBJECT_CONDITIONS!$L:$L,OBJECT_CONDITIONS!$A:$A,$N2)-1))+($H2*(SUMIFS(OBJECT_CONDITIONS!$N:$N,OBJECT_CONDITIONS!$A:$A,$N2)-1))+($I2*(SUMIFS(OBJECT_CONDITIONS!$P:$P,OBJECT_CONDITIONS!$A:$A,$N2)-1))+($J2*(SUMIFS(OBJECT_CONDITIONS!$R:$R,OBJECT_CONDITIONS!$A:$A,$N2)-1))+($K2*(SUMIFS(OBJECT_CONDITIONS!$T:$T,OBJECT_CONDITIONS!$A:$A,$N2)-1)),3))</f>
        <v/>
      </c>
      <c r="P2" s="15" t="inlineStr">
        <is>
          <t>Высокая чувствительность к грунту и механизации</t>
        </is>
      </c>
    </row>
    <row r="3">
      <c r="A3" s="15" t="inlineStr">
        <is>
          <t>WORK-0002</t>
        </is>
      </c>
      <c r="B3" s="15" t="inlineStr">
        <is>
          <t>Устройство газонного ложа</t>
        </is>
      </c>
      <c r="C3" s="17" t="n">
        <v>0.7</v>
      </c>
      <c r="D3" s="17" t="n">
        <v>0.5</v>
      </c>
      <c r="E3" s="17" t="n">
        <v>0.3</v>
      </c>
      <c r="F3" s="17" t="n">
        <v>0.4</v>
      </c>
      <c r="G3" s="17" t="n">
        <v>0.4</v>
      </c>
      <c r="H3" s="17" t="n">
        <v>0.3</v>
      </c>
      <c r="I3" s="17" t="n">
        <v>0.2</v>
      </c>
      <c r="J3" s="17" t="n">
        <v>0.1</v>
      </c>
      <c r="K3" s="17" t="n">
        <v>0.3</v>
      </c>
      <c r="L3" s="15" t="inlineStr">
        <is>
          <t>Да</t>
        </is>
      </c>
      <c r="M3" s="15" t="inlineStr">
        <is>
          <t>Да</t>
        </is>
      </c>
      <c r="N3" s="15" t="inlineStr">
        <is>
          <t>OBJ-0001</t>
        </is>
      </c>
      <c r="O3" s="16">
        <f>IF($N3="","",ROUND(1+($C3*(SUMIFS(OBJECT_CONDITIONS!$D:$D,OBJECT_CONDITIONS!$A:$A,$N3)-1))+($D3*(SUMIFS(OBJECT_CONDITIONS!$F:$F,OBJECT_CONDITIONS!$A:$A,$N3)-1))+($E3*(SUMIFS(OBJECT_CONDITIONS!$H:$H,OBJECT_CONDITIONS!$A:$A,$N3)-1))+($F3*(SUMIFS(OBJECT_CONDITIONS!$J:$J,OBJECT_CONDITIONS!$A:$A,$N3)-1))+($G3*(SUMIFS(OBJECT_CONDITIONS!$L:$L,OBJECT_CONDITIONS!$A:$A,$N3)-1))+($H3*(SUMIFS(OBJECT_CONDITIONS!$N:$N,OBJECT_CONDITIONS!$A:$A,$N3)-1))+($I3*(SUMIFS(OBJECT_CONDITIONS!$P:$P,OBJECT_CONDITIONS!$A:$A,$N3)-1))+($J3*(SUMIFS(OBJECT_CONDITIONS!$R:$R,OBJECT_CONDITIONS!$A:$A,$N3)-1))+($K3*(SUMIFS(OBJECT_CONDITIONS!$T:$T,OBJECT_CONDITIONS!$A:$A,$N3)-1)),3))</f>
        <v/>
      </c>
      <c r="P3" s="15" t="inlineStr">
        <is>
          <t>Сильнее реагирует на грунт и рельеф, чем на близость построек</t>
        </is>
      </c>
    </row>
    <row r="4">
      <c r="A4" s="15" t="inlineStr">
        <is>
          <t>WORK-0003</t>
        </is>
      </c>
      <c r="B4" s="15" t="inlineStr">
        <is>
          <t>Копка траншеи</t>
        </is>
      </c>
      <c r="C4" s="17" t="n">
        <v>0.9</v>
      </c>
      <c r="D4" s="17" t="n">
        <v>0.8</v>
      </c>
      <c r="E4" s="17" t="n">
        <v>0.6</v>
      </c>
      <c r="F4" s="17" t="n">
        <v>0.3</v>
      </c>
      <c r="G4" s="17" t="n">
        <v>0.2</v>
      </c>
      <c r="H4" s="17" t="n">
        <v>0.6</v>
      </c>
      <c r="I4" s="17" t="n">
        <v>0.5</v>
      </c>
      <c r="J4" s="17" t="n">
        <v>0.6</v>
      </c>
      <c r="K4" s="17" t="n">
        <v>0.7</v>
      </c>
      <c r="L4" s="15" t="inlineStr">
        <is>
          <t>Да</t>
        </is>
      </c>
      <c r="M4" s="15" t="inlineStr">
        <is>
          <t>Да</t>
        </is>
      </c>
      <c r="N4" s="15" t="inlineStr">
        <is>
          <t>OBJ-0001</t>
        </is>
      </c>
      <c r="O4" s="16">
        <f>IF($N4="","",ROUND(1+($C4*(SUMIFS(OBJECT_CONDITIONS!$D:$D,OBJECT_CONDITIONS!$A:$A,$N4)-1))+($D4*(SUMIFS(OBJECT_CONDITIONS!$F:$F,OBJECT_CONDITIONS!$A:$A,$N4)-1))+($E4*(SUMIFS(OBJECT_CONDITIONS!$H:$H,OBJECT_CONDITIONS!$A:$A,$N4)-1))+($F4*(SUMIFS(OBJECT_CONDITIONS!$J:$J,OBJECT_CONDITIONS!$A:$A,$N4)-1))+($G4*(SUMIFS(OBJECT_CONDITIONS!$L:$L,OBJECT_CONDITIONS!$A:$A,$N4)-1))+($H4*(SUMIFS(OBJECT_CONDITIONS!$N:$N,OBJECT_CONDITIONS!$A:$A,$N4)-1))+($I4*(SUMIFS(OBJECT_CONDITIONS!$P:$P,OBJECT_CONDITIONS!$A:$A,$N4)-1))+($J4*(SUMIFS(OBJECT_CONDITIONS!$R:$R,OBJECT_CONDITIONS!$A:$A,$N4)-1))+($K4*(SUMIFS(OBJECT_CONDITIONS!$T:$T,OBJECT_CONDITIONS!$A:$A,$N4)-1)),3))</f>
        <v/>
      </c>
      <c r="P4" s="15" t="inlineStr">
        <is>
          <t>Очень чувствительна к доступу, грунту и близости построек</t>
        </is>
      </c>
    </row>
    <row r="5">
      <c r="A5" s="15" t="inlineStr">
        <is>
          <t>WORK-0004</t>
        </is>
      </c>
      <c r="B5" s="15" t="inlineStr">
        <is>
          <t>Монтаж бордюра бетонного</t>
        </is>
      </c>
      <c r="C5" s="17" t="n">
        <v>0.1</v>
      </c>
      <c r="D5" s="17" t="n">
        <v>0.1</v>
      </c>
      <c r="E5" s="17" t="n">
        <v>0.1</v>
      </c>
      <c r="F5" s="17" t="n">
        <v>0.4</v>
      </c>
      <c r="G5" s="17" t="n">
        <v>0.3</v>
      </c>
      <c r="H5" s="17" t="n">
        <v>0.2</v>
      </c>
      <c r="I5" s="17" t="n">
        <v>0.1</v>
      </c>
      <c r="J5" s="17" t="n">
        <v>0.2</v>
      </c>
      <c r="K5" s="17" t="n">
        <v>0.1</v>
      </c>
      <c r="L5" s="15" t="inlineStr">
        <is>
          <t>Да</t>
        </is>
      </c>
      <c r="M5" s="15" t="inlineStr">
        <is>
          <t>Нет</t>
        </is>
      </c>
      <c r="N5" s="15" t="inlineStr">
        <is>
          <t>OBJ-0001</t>
        </is>
      </c>
      <c r="O5" s="16">
        <f>IF($N5="","",ROUND(1+($C5*(SUMIFS(OBJECT_CONDITIONS!$D:$D,OBJECT_CONDITIONS!$A:$A,$N5)-1))+($D5*(SUMIFS(OBJECT_CONDITIONS!$F:$F,OBJECT_CONDITIONS!$A:$A,$N5)-1))+($E5*(SUMIFS(OBJECT_CONDITIONS!$H:$H,OBJECT_CONDITIONS!$A:$A,$N5)-1))+($F5*(SUMIFS(OBJECT_CONDITIONS!$J:$J,OBJECT_CONDITIONS!$A:$A,$N5)-1))+($G5*(SUMIFS(OBJECT_CONDITIONS!$L:$L,OBJECT_CONDITIONS!$A:$A,$N5)-1))+($H5*(SUMIFS(OBJECT_CONDITIONS!$N:$N,OBJECT_CONDITIONS!$A:$A,$N5)-1))+($I5*(SUMIFS(OBJECT_CONDITIONS!$P:$P,OBJECT_CONDITIONS!$A:$A,$N5)-1))+($J5*(SUMIFS(OBJECT_CONDITIONS!$R:$R,OBJECT_CONDITIONS!$A:$A,$N5)-1))+($K5*(SUMIFS(OBJECT_CONDITIONS!$T:$T,OBJECT_CONDITIONS!$A:$A,$N5)-1)),3))</f>
        <v/>
      </c>
      <c r="P5" s="15" t="inlineStr">
        <is>
          <t>Больше зависит от геометрии и рельефа, чем от типа грунта</t>
        </is>
      </c>
    </row>
    <row r="6">
      <c r="A6" s="15" t="n"/>
      <c r="B6" s="15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5" t="n"/>
      <c r="M6" s="15" t="n"/>
      <c r="N6" s="15" t="n"/>
      <c r="O6" s="16">
        <f>IF($N6="","",ROUND(1+($C6*(SUMIFS(OBJECT_CONDITIONS!$D:$D,OBJECT_CONDITIONS!$A:$A,$N6)-1))+($D6*(SUMIFS(OBJECT_CONDITIONS!$F:$F,OBJECT_CONDITIONS!$A:$A,$N6)-1))+($E6*(SUMIFS(OBJECT_CONDITIONS!$H:$H,OBJECT_CONDITIONS!$A:$A,$N6)-1))+($F6*(SUMIFS(OBJECT_CONDITIONS!$J:$J,OBJECT_CONDITIONS!$A:$A,$N6)-1))+($G6*(SUMIFS(OBJECT_CONDITIONS!$L:$L,OBJECT_CONDITIONS!$A:$A,$N6)-1))+($H6*(SUMIFS(OBJECT_CONDITIONS!$N:$N,OBJECT_CONDITIONS!$A:$A,$N6)-1))+($I6*(SUMIFS(OBJECT_CONDITIONS!$P:$P,OBJECT_CONDITIONS!$A:$A,$N6)-1))+($J6*(SUMIFS(OBJECT_CONDITIONS!$R:$R,OBJECT_CONDITIONS!$A:$A,$N6)-1))+($K6*(SUMIFS(OBJECT_CONDITIONS!$T:$T,OBJECT_CONDITIONS!$A:$A,$N6)-1)),3))</f>
        <v/>
      </c>
      <c r="P6" s="15" t="n"/>
    </row>
    <row r="7">
      <c r="A7" s="15" t="n"/>
      <c r="B7" s="15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5" t="n"/>
      <c r="M7" s="15" t="n"/>
      <c r="N7" s="15" t="n"/>
      <c r="O7" s="16">
        <f>IF($N7="","",ROUND(1+($C7*(SUMIFS(OBJECT_CONDITIONS!$D:$D,OBJECT_CONDITIONS!$A:$A,$N7)-1))+($D7*(SUMIFS(OBJECT_CONDITIONS!$F:$F,OBJECT_CONDITIONS!$A:$A,$N7)-1))+($E7*(SUMIFS(OBJECT_CONDITIONS!$H:$H,OBJECT_CONDITIONS!$A:$A,$N7)-1))+($F7*(SUMIFS(OBJECT_CONDITIONS!$J:$J,OBJECT_CONDITIONS!$A:$A,$N7)-1))+($G7*(SUMIFS(OBJECT_CONDITIONS!$L:$L,OBJECT_CONDITIONS!$A:$A,$N7)-1))+($H7*(SUMIFS(OBJECT_CONDITIONS!$N:$N,OBJECT_CONDITIONS!$A:$A,$N7)-1))+($I7*(SUMIFS(OBJECT_CONDITIONS!$P:$P,OBJECT_CONDITIONS!$A:$A,$N7)-1))+($J7*(SUMIFS(OBJECT_CONDITIONS!$R:$R,OBJECT_CONDITIONS!$A:$A,$N7)-1))+($K7*(SUMIFS(OBJECT_CONDITIONS!$T:$T,OBJECT_CONDITIONS!$A:$A,$N7)-1)),3))</f>
        <v/>
      </c>
      <c r="P7" s="15" t="n"/>
    </row>
    <row r="8">
      <c r="A8" s="15" t="n"/>
      <c r="B8" s="15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5" t="n"/>
      <c r="M8" s="15" t="n"/>
      <c r="N8" s="15" t="n"/>
      <c r="O8" s="16">
        <f>IF($N8="","",ROUND(1+($C8*(SUMIFS(OBJECT_CONDITIONS!$D:$D,OBJECT_CONDITIONS!$A:$A,$N8)-1))+($D8*(SUMIFS(OBJECT_CONDITIONS!$F:$F,OBJECT_CONDITIONS!$A:$A,$N8)-1))+($E8*(SUMIFS(OBJECT_CONDITIONS!$H:$H,OBJECT_CONDITIONS!$A:$A,$N8)-1))+($F8*(SUMIFS(OBJECT_CONDITIONS!$J:$J,OBJECT_CONDITIONS!$A:$A,$N8)-1))+($G8*(SUMIFS(OBJECT_CONDITIONS!$L:$L,OBJECT_CONDITIONS!$A:$A,$N8)-1))+($H8*(SUMIFS(OBJECT_CONDITIONS!$N:$N,OBJECT_CONDITIONS!$A:$A,$N8)-1))+($I8*(SUMIFS(OBJECT_CONDITIONS!$P:$P,OBJECT_CONDITIONS!$A:$A,$N8)-1))+($J8*(SUMIFS(OBJECT_CONDITIONS!$R:$R,OBJECT_CONDITIONS!$A:$A,$N8)-1))+($K8*(SUMIFS(OBJECT_CONDITIONS!$T:$T,OBJECT_CONDITIONS!$A:$A,$N8)-1)),3))</f>
        <v/>
      </c>
      <c r="P8" s="15" t="n"/>
    </row>
    <row r="9">
      <c r="A9" s="15" t="n"/>
      <c r="B9" s="15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5" t="n"/>
      <c r="M9" s="15" t="n"/>
      <c r="N9" s="15" t="n"/>
      <c r="O9" s="16">
        <f>IF($N9="","",ROUND(1+($C9*(SUMIFS(OBJECT_CONDITIONS!$D:$D,OBJECT_CONDITIONS!$A:$A,$N9)-1))+($D9*(SUMIFS(OBJECT_CONDITIONS!$F:$F,OBJECT_CONDITIONS!$A:$A,$N9)-1))+($E9*(SUMIFS(OBJECT_CONDITIONS!$H:$H,OBJECT_CONDITIONS!$A:$A,$N9)-1))+($F9*(SUMIFS(OBJECT_CONDITIONS!$J:$J,OBJECT_CONDITIONS!$A:$A,$N9)-1))+($G9*(SUMIFS(OBJECT_CONDITIONS!$L:$L,OBJECT_CONDITIONS!$A:$A,$N9)-1))+($H9*(SUMIFS(OBJECT_CONDITIONS!$N:$N,OBJECT_CONDITIONS!$A:$A,$N9)-1))+($I9*(SUMIFS(OBJECT_CONDITIONS!$P:$P,OBJECT_CONDITIONS!$A:$A,$N9)-1))+($J9*(SUMIFS(OBJECT_CONDITIONS!$R:$R,OBJECT_CONDITIONS!$A:$A,$N9)-1))+($K9*(SUMIFS(OBJECT_CONDITIONS!$T:$T,OBJECT_CONDITIONS!$A:$A,$N9)-1)),3))</f>
        <v/>
      </c>
      <c r="P9" s="15" t="n"/>
    </row>
    <row r="10">
      <c r="A10" s="15" t="n"/>
      <c r="B10" s="15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5" t="n"/>
      <c r="M10" s="15" t="n"/>
      <c r="N10" s="15" t="n"/>
      <c r="O10" s="16">
        <f>IF($N10="","",ROUND(1+($C10*(SUMIFS(OBJECT_CONDITIONS!$D:$D,OBJECT_CONDITIONS!$A:$A,$N10)-1))+($D10*(SUMIFS(OBJECT_CONDITIONS!$F:$F,OBJECT_CONDITIONS!$A:$A,$N10)-1))+($E10*(SUMIFS(OBJECT_CONDITIONS!$H:$H,OBJECT_CONDITIONS!$A:$A,$N10)-1))+($F10*(SUMIFS(OBJECT_CONDITIONS!$J:$J,OBJECT_CONDITIONS!$A:$A,$N10)-1))+($G10*(SUMIFS(OBJECT_CONDITIONS!$L:$L,OBJECT_CONDITIONS!$A:$A,$N10)-1))+($H10*(SUMIFS(OBJECT_CONDITIONS!$N:$N,OBJECT_CONDITIONS!$A:$A,$N10)-1))+($I10*(SUMIFS(OBJECT_CONDITIONS!$P:$P,OBJECT_CONDITIONS!$A:$A,$N10)-1))+($J10*(SUMIFS(OBJECT_CONDITIONS!$R:$R,OBJECT_CONDITIONS!$A:$A,$N10)-1))+($K10*(SUMIFS(OBJECT_CONDITIONS!$T:$T,OBJECT_CONDITIONS!$A:$A,$N10)-1)),3))</f>
        <v/>
      </c>
      <c r="P10" s="15" t="n"/>
    </row>
    <row r="11">
      <c r="A11" s="15" t="n"/>
      <c r="B11" s="15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5" t="n"/>
      <c r="M11" s="15" t="n"/>
      <c r="N11" s="15" t="n"/>
      <c r="O11" s="16">
        <f>IF($N11="","",ROUND(1+($C11*(SUMIFS(OBJECT_CONDITIONS!$D:$D,OBJECT_CONDITIONS!$A:$A,$N11)-1))+($D11*(SUMIFS(OBJECT_CONDITIONS!$F:$F,OBJECT_CONDITIONS!$A:$A,$N11)-1))+($E11*(SUMIFS(OBJECT_CONDITIONS!$H:$H,OBJECT_CONDITIONS!$A:$A,$N11)-1))+($F11*(SUMIFS(OBJECT_CONDITIONS!$J:$J,OBJECT_CONDITIONS!$A:$A,$N11)-1))+($G11*(SUMIFS(OBJECT_CONDITIONS!$L:$L,OBJECT_CONDITIONS!$A:$A,$N11)-1))+($H11*(SUMIFS(OBJECT_CONDITIONS!$N:$N,OBJECT_CONDITIONS!$A:$A,$N11)-1))+($I11*(SUMIFS(OBJECT_CONDITIONS!$P:$P,OBJECT_CONDITIONS!$A:$A,$N11)-1))+($J11*(SUMIFS(OBJECT_CONDITIONS!$R:$R,OBJECT_CONDITIONS!$A:$A,$N11)-1))+($K11*(SUMIFS(OBJECT_CONDITIONS!$T:$T,OBJECT_CONDITIONS!$A:$A,$N11)-1)),3))</f>
        <v/>
      </c>
      <c r="P11" s="15" t="n"/>
    </row>
    <row r="12">
      <c r="A12" s="15" t="n"/>
      <c r="B12" s="15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5" t="n"/>
      <c r="M12" s="15" t="n"/>
      <c r="N12" s="15" t="n"/>
      <c r="O12" s="16">
        <f>IF($N12="","",ROUND(1+($C12*(SUMIFS(OBJECT_CONDITIONS!$D:$D,OBJECT_CONDITIONS!$A:$A,$N12)-1))+($D12*(SUMIFS(OBJECT_CONDITIONS!$F:$F,OBJECT_CONDITIONS!$A:$A,$N12)-1))+($E12*(SUMIFS(OBJECT_CONDITIONS!$H:$H,OBJECT_CONDITIONS!$A:$A,$N12)-1))+($F12*(SUMIFS(OBJECT_CONDITIONS!$J:$J,OBJECT_CONDITIONS!$A:$A,$N12)-1))+($G12*(SUMIFS(OBJECT_CONDITIONS!$L:$L,OBJECT_CONDITIONS!$A:$A,$N12)-1))+($H12*(SUMIFS(OBJECT_CONDITIONS!$N:$N,OBJECT_CONDITIONS!$A:$A,$N12)-1))+($I12*(SUMIFS(OBJECT_CONDITIONS!$P:$P,OBJECT_CONDITIONS!$A:$A,$N12)-1))+($J12*(SUMIFS(OBJECT_CONDITIONS!$R:$R,OBJECT_CONDITIONS!$A:$A,$N12)-1))+($K12*(SUMIFS(OBJECT_CONDITIONS!$T:$T,OBJECT_CONDITIONS!$A:$A,$N12)-1)),3))</f>
        <v/>
      </c>
      <c r="P12" s="15" t="n"/>
    </row>
    <row r="13">
      <c r="A13" s="15" t="n"/>
      <c r="B13" s="15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5" t="n"/>
      <c r="M13" s="15" t="n"/>
      <c r="N13" s="15" t="n"/>
      <c r="O13" s="16">
        <f>IF($N13="","",ROUND(1+($C13*(SUMIFS(OBJECT_CONDITIONS!$D:$D,OBJECT_CONDITIONS!$A:$A,$N13)-1))+($D13*(SUMIFS(OBJECT_CONDITIONS!$F:$F,OBJECT_CONDITIONS!$A:$A,$N13)-1))+($E13*(SUMIFS(OBJECT_CONDITIONS!$H:$H,OBJECT_CONDITIONS!$A:$A,$N13)-1))+($F13*(SUMIFS(OBJECT_CONDITIONS!$J:$J,OBJECT_CONDITIONS!$A:$A,$N13)-1))+($G13*(SUMIFS(OBJECT_CONDITIONS!$L:$L,OBJECT_CONDITIONS!$A:$A,$N13)-1))+($H13*(SUMIFS(OBJECT_CONDITIONS!$N:$N,OBJECT_CONDITIONS!$A:$A,$N13)-1))+($I13*(SUMIFS(OBJECT_CONDITIONS!$P:$P,OBJECT_CONDITIONS!$A:$A,$N13)-1))+($J13*(SUMIFS(OBJECT_CONDITIONS!$R:$R,OBJECT_CONDITIONS!$A:$A,$N13)-1))+($K13*(SUMIFS(OBJECT_CONDITIONS!$T:$T,OBJECT_CONDITIONS!$A:$A,$N13)-1)),3))</f>
        <v/>
      </c>
      <c r="P13" s="15" t="n"/>
    </row>
    <row r="14">
      <c r="A14" s="15" t="n"/>
      <c r="B14" s="15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5" t="n"/>
      <c r="M14" s="15" t="n"/>
      <c r="N14" s="15" t="n"/>
      <c r="O14" s="16">
        <f>IF($N14="","",ROUND(1+($C14*(SUMIFS(OBJECT_CONDITIONS!$D:$D,OBJECT_CONDITIONS!$A:$A,$N14)-1))+($D14*(SUMIFS(OBJECT_CONDITIONS!$F:$F,OBJECT_CONDITIONS!$A:$A,$N14)-1))+($E14*(SUMIFS(OBJECT_CONDITIONS!$H:$H,OBJECT_CONDITIONS!$A:$A,$N14)-1))+($F14*(SUMIFS(OBJECT_CONDITIONS!$J:$J,OBJECT_CONDITIONS!$A:$A,$N14)-1))+($G14*(SUMIFS(OBJECT_CONDITIONS!$L:$L,OBJECT_CONDITIONS!$A:$A,$N14)-1))+($H14*(SUMIFS(OBJECT_CONDITIONS!$N:$N,OBJECT_CONDITIONS!$A:$A,$N14)-1))+($I14*(SUMIFS(OBJECT_CONDITIONS!$P:$P,OBJECT_CONDITIONS!$A:$A,$N14)-1))+($J14*(SUMIFS(OBJECT_CONDITIONS!$R:$R,OBJECT_CONDITIONS!$A:$A,$N14)-1))+($K14*(SUMIFS(OBJECT_CONDITIONS!$T:$T,OBJECT_CONDITIONS!$A:$A,$N14)-1)),3))</f>
        <v/>
      </c>
      <c r="P14" s="15" t="n"/>
    </row>
    <row r="15">
      <c r="A15" s="15" t="n"/>
      <c r="B15" s="15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5" t="n"/>
      <c r="M15" s="15" t="n"/>
      <c r="N15" s="15" t="n"/>
      <c r="O15" s="16">
        <f>IF($N15="","",ROUND(1+($C15*(SUMIFS(OBJECT_CONDITIONS!$D:$D,OBJECT_CONDITIONS!$A:$A,$N15)-1))+($D15*(SUMIFS(OBJECT_CONDITIONS!$F:$F,OBJECT_CONDITIONS!$A:$A,$N15)-1))+($E15*(SUMIFS(OBJECT_CONDITIONS!$H:$H,OBJECT_CONDITIONS!$A:$A,$N15)-1))+($F15*(SUMIFS(OBJECT_CONDITIONS!$J:$J,OBJECT_CONDITIONS!$A:$A,$N15)-1))+($G15*(SUMIFS(OBJECT_CONDITIONS!$L:$L,OBJECT_CONDITIONS!$A:$A,$N15)-1))+($H15*(SUMIFS(OBJECT_CONDITIONS!$N:$N,OBJECT_CONDITIONS!$A:$A,$N15)-1))+($I15*(SUMIFS(OBJECT_CONDITIONS!$P:$P,OBJECT_CONDITIONS!$A:$A,$N15)-1))+($J15*(SUMIFS(OBJECT_CONDITIONS!$R:$R,OBJECT_CONDITIONS!$A:$A,$N15)-1))+($K15*(SUMIFS(OBJECT_CONDITIONS!$T:$T,OBJECT_CONDITIONS!$A:$A,$N15)-1)),3))</f>
        <v/>
      </c>
      <c r="P15" s="15" t="n"/>
    </row>
    <row r="16">
      <c r="A16" s="15" t="n"/>
      <c r="B16" s="15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5" t="n"/>
      <c r="M16" s="15" t="n"/>
      <c r="N16" s="15" t="n"/>
      <c r="O16" s="16">
        <f>IF($N16="","",ROUND(1+($C16*(SUMIFS(OBJECT_CONDITIONS!$D:$D,OBJECT_CONDITIONS!$A:$A,$N16)-1))+($D16*(SUMIFS(OBJECT_CONDITIONS!$F:$F,OBJECT_CONDITIONS!$A:$A,$N16)-1))+($E16*(SUMIFS(OBJECT_CONDITIONS!$H:$H,OBJECT_CONDITIONS!$A:$A,$N16)-1))+($F16*(SUMIFS(OBJECT_CONDITIONS!$J:$J,OBJECT_CONDITIONS!$A:$A,$N16)-1))+($G16*(SUMIFS(OBJECT_CONDITIONS!$L:$L,OBJECT_CONDITIONS!$A:$A,$N16)-1))+($H16*(SUMIFS(OBJECT_CONDITIONS!$N:$N,OBJECT_CONDITIONS!$A:$A,$N16)-1))+($I16*(SUMIFS(OBJECT_CONDITIONS!$P:$P,OBJECT_CONDITIONS!$A:$A,$N16)-1))+($J16*(SUMIFS(OBJECT_CONDITIONS!$R:$R,OBJECT_CONDITIONS!$A:$A,$N16)-1))+($K16*(SUMIFS(OBJECT_CONDITIONS!$T:$T,OBJECT_CONDITIONS!$A:$A,$N16)-1)),3))</f>
        <v/>
      </c>
      <c r="P16" s="15" t="n"/>
    </row>
    <row r="17">
      <c r="A17" s="15" t="n"/>
      <c r="B17" s="15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5" t="n"/>
      <c r="M17" s="15" t="n"/>
      <c r="N17" s="15" t="n"/>
      <c r="O17" s="16">
        <f>IF($N17="","",ROUND(1+($C17*(SUMIFS(OBJECT_CONDITIONS!$D:$D,OBJECT_CONDITIONS!$A:$A,$N17)-1))+($D17*(SUMIFS(OBJECT_CONDITIONS!$F:$F,OBJECT_CONDITIONS!$A:$A,$N17)-1))+($E17*(SUMIFS(OBJECT_CONDITIONS!$H:$H,OBJECT_CONDITIONS!$A:$A,$N17)-1))+($F17*(SUMIFS(OBJECT_CONDITIONS!$J:$J,OBJECT_CONDITIONS!$A:$A,$N17)-1))+($G17*(SUMIFS(OBJECT_CONDITIONS!$L:$L,OBJECT_CONDITIONS!$A:$A,$N17)-1))+($H17*(SUMIFS(OBJECT_CONDITIONS!$N:$N,OBJECT_CONDITIONS!$A:$A,$N17)-1))+($I17*(SUMIFS(OBJECT_CONDITIONS!$P:$P,OBJECT_CONDITIONS!$A:$A,$N17)-1))+($J17*(SUMIFS(OBJECT_CONDITIONS!$R:$R,OBJECT_CONDITIONS!$A:$A,$N17)-1))+($K17*(SUMIFS(OBJECT_CONDITIONS!$T:$T,OBJECT_CONDITIONS!$A:$A,$N17)-1)),3))</f>
        <v/>
      </c>
      <c r="P17" s="15" t="n"/>
    </row>
    <row r="18">
      <c r="A18" s="15" t="n"/>
      <c r="B18" s="15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5" t="n"/>
      <c r="M18" s="15" t="n"/>
      <c r="N18" s="15" t="n"/>
      <c r="O18" s="16">
        <f>IF($N18="","",ROUND(1+($C18*(SUMIFS(OBJECT_CONDITIONS!$D:$D,OBJECT_CONDITIONS!$A:$A,$N18)-1))+($D18*(SUMIFS(OBJECT_CONDITIONS!$F:$F,OBJECT_CONDITIONS!$A:$A,$N18)-1))+($E18*(SUMIFS(OBJECT_CONDITIONS!$H:$H,OBJECT_CONDITIONS!$A:$A,$N18)-1))+($F18*(SUMIFS(OBJECT_CONDITIONS!$J:$J,OBJECT_CONDITIONS!$A:$A,$N18)-1))+($G18*(SUMIFS(OBJECT_CONDITIONS!$L:$L,OBJECT_CONDITIONS!$A:$A,$N18)-1))+($H18*(SUMIFS(OBJECT_CONDITIONS!$N:$N,OBJECT_CONDITIONS!$A:$A,$N18)-1))+($I18*(SUMIFS(OBJECT_CONDITIONS!$P:$P,OBJECT_CONDITIONS!$A:$A,$N18)-1))+($J18*(SUMIFS(OBJECT_CONDITIONS!$R:$R,OBJECT_CONDITIONS!$A:$A,$N18)-1))+($K18*(SUMIFS(OBJECT_CONDITIONS!$T:$T,OBJECT_CONDITIONS!$A:$A,$N18)-1)),3))</f>
        <v/>
      </c>
      <c r="P18" s="15" t="n"/>
    </row>
    <row r="19">
      <c r="A19" s="15" t="n"/>
      <c r="B19" s="15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5" t="n"/>
      <c r="M19" s="15" t="n"/>
      <c r="N19" s="15" t="n"/>
      <c r="O19" s="16">
        <f>IF($N19="","",ROUND(1+($C19*(SUMIFS(OBJECT_CONDITIONS!$D:$D,OBJECT_CONDITIONS!$A:$A,$N19)-1))+($D19*(SUMIFS(OBJECT_CONDITIONS!$F:$F,OBJECT_CONDITIONS!$A:$A,$N19)-1))+($E19*(SUMIFS(OBJECT_CONDITIONS!$H:$H,OBJECT_CONDITIONS!$A:$A,$N19)-1))+($F19*(SUMIFS(OBJECT_CONDITIONS!$J:$J,OBJECT_CONDITIONS!$A:$A,$N19)-1))+($G19*(SUMIFS(OBJECT_CONDITIONS!$L:$L,OBJECT_CONDITIONS!$A:$A,$N19)-1))+($H19*(SUMIFS(OBJECT_CONDITIONS!$N:$N,OBJECT_CONDITIONS!$A:$A,$N19)-1))+($I19*(SUMIFS(OBJECT_CONDITIONS!$P:$P,OBJECT_CONDITIONS!$A:$A,$N19)-1))+($J19*(SUMIFS(OBJECT_CONDITIONS!$R:$R,OBJECT_CONDITIONS!$A:$A,$N19)-1))+($K19*(SUMIFS(OBJECT_CONDITIONS!$T:$T,OBJECT_CONDITIONS!$A:$A,$N19)-1)),3))</f>
        <v/>
      </c>
      <c r="P19" s="15" t="n"/>
    </row>
    <row r="20">
      <c r="A20" s="15" t="n"/>
      <c r="B20" s="15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5" t="n"/>
      <c r="M20" s="15" t="n"/>
      <c r="N20" s="15" t="n"/>
      <c r="O20" s="16">
        <f>IF($N20="","",ROUND(1+($C20*(SUMIFS(OBJECT_CONDITIONS!$D:$D,OBJECT_CONDITIONS!$A:$A,$N20)-1))+($D20*(SUMIFS(OBJECT_CONDITIONS!$F:$F,OBJECT_CONDITIONS!$A:$A,$N20)-1))+($E20*(SUMIFS(OBJECT_CONDITIONS!$H:$H,OBJECT_CONDITIONS!$A:$A,$N20)-1))+($F20*(SUMIFS(OBJECT_CONDITIONS!$J:$J,OBJECT_CONDITIONS!$A:$A,$N20)-1))+($G20*(SUMIFS(OBJECT_CONDITIONS!$L:$L,OBJECT_CONDITIONS!$A:$A,$N20)-1))+($H20*(SUMIFS(OBJECT_CONDITIONS!$N:$N,OBJECT_CONDITIONS!$A:$A,$N20)-1))+($I20*(SUMIFS(OBJECT_CONDITIONS!$P:$P,OBJECT_CONDITIONS!$A:$A,$N20)-1))+($J20*(SUMIFS(OBJECT_CONDITIONS!$R:$R,OBJECT_CONDITIONS!$A:$A,$N20)-1))+($K20*(SUMIFS(OBJECT_CONDITIONS!$T:$T,OBJECT_CONDITIONS!$A:$A,$N20)-1)),3))</f>
        <v/>
      </c>
      <c r="P20" s="15" t="n"/>
    </row>
    <row r="21">
      <c r="A21" s="15" t="n"/>
      <c r="B21" s="15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5" t="n"/>
      <c r="M21" s="15" t="n"/>
      <c r="N21" s="15" t="n"/>
      <c r="O21" s="16">
        <f>IF($N21="","",ROUND(1+($C21*(SUMIFS(OBJECT_CONDITIONS!$D:$D,OBJECT_CONDITIONS!$A:$A,$N21)-1))+($D21*(SUMIFS(OBJECT_CONDITIONS!$F:$F,OBJECT_CONDITIONS!$A:$A,$N21)-1))+($E21*(SUMIFS(OBJECT_CONDITIONS!$H:$H,OBJECT_CONDITIONS!$A:$A,$N21)-1))+($F21*(SUMIFS(OBJECT_CONDITIONS!$J:$J,OBJECT_CONDITIONS!$A:$A,$N21)-1))+($G21*(SUMIFS(OBJECT_CONDITIONS!$L:$L,OBJECT_CONDITIONS!$A:$A,$N21)-1))+($H21*(SUMIFS(OBJECT_CONDITIONS!$N:$N,OBJECT_CONDITIONS!$A:$A,$N21)-1))+($I21*(SUMIFS(OBJECT_CONDITIONS!$P:$P,OBJECT_CONDITIONS!$A:$A,$N21)-1))+($J21*(SUMIFS(OBJECT_CONDITIONS!$R:$R,OBJECT_CONDITIONS!$A:$A,$N21)-1))+($K21*(SUMIFS(OBJECT_CONDITIONS!$T:$T,OBJECT_CONDITIONS!$A:$A,$N21)-1)),3))</f>
        <v/>
      </c>
      <c r="P21" s="15" t="n"/>
    </row>
    <row r="22">
      <c r="A22" s="15" t="n"/>
      <c r="B22" s="15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5" t="n"/>
      <c r="M22" s="15" t="n"/>
      <c r="N22" s="15" t="n"/>
      <c r="O22" s="16">
        <f>IF($N22="","",ROUND(1+($C22*(SUMIFS(OBJECT_CONDITIONS!$D:$D,OBJECT_CONDITIONS!$A:$A,$N22)-1))+($D22*(SUMIFS(OBJECT_CONDITIONS!$F:$F,OBJECT_CONDITIONS!$A:$A,$N22)-1))+($E22*(SUMIFS(OBJECT_CONDITIONS!$H:$H,OBJECT_CONDITIONS!$A:$A,$N22)-1))+($F22*(SUMIFS(OBJECT_CONDITIONS!$J:$J,OBJECT_CONDITIONS!$A:$A,$N22)-1))+($G22*(SUMIFS(OBJECT_CONDITIONS!$L:$L,OBJECT_CONDITIONS!$A:$A,$N22)-1))+($H22*(SUMIFS(OBJECT_CONDITIONS!$N:$N,OBJECT_CONDITIONS!$A:$A,$N22)-1))+($I22*(SUMIFS(OBJECT_CONDITIONS!$P:$P,OBJECT_CONDITIONS!$A:$A,$N22)-1))+($J22*(SUMIFS(OBJECT_CONDITIONS!$R:$R,OBJECT_CONDITIONS!$A:$A,$N22)-1))+($K22*(SUMIFS(OBJECT_CONDITIONS!$T:$T,OBJECT_CONDITIONS!$A:$A,$N22)-1)),3))</f>
        <v/>
      </c>
      <c r="P22" s="15" t="n"/>
    </row>
    <row r="23">
      <c r="A23" s="15" t="n"/>
      <c r="B23" s="15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5" t="n"/>
      <c r="M23" s="15" t="n"/>
      <c r="N23" s="15" t="n"/>
      <c r="O23" s="16">
        <f>IF($N23="","",ROUND(1+($C23*(SUMIFS(OBJECT_CONDITIONS!$D:$D,OBJECT_CONDITIONS!$A:$A,$N23)-1))+($D23*(SUMIFS(OBJECT_CONDITIONS!$F:$F,OBJECT_CONDITIONS!$A:$A,$N23)-1))+($E23*(SUMIFS(OBJECT_CONDITIONS!$H:$H,OBJECT_CONDITIONS!$A:$A,$N23)-1))+($F23*(SUMIFS(OBJECT_CONDITIONS!$J:$J,OBJECT_CONDITIONS!$A:$A,$N23)-1))+($G23*(SUMIFS(OBJECT_CONDITIONS!$L:$L,OBJECT_CONDITIONS!$A:$A,$N23)-1))+($H23*(SUMIFS(OBJECT_CONDITIONS!$N:$N,OBJECT_CONDITIONS!$A:$A,$N23)-1))+($I23*(SUMIFS(OBJECT_CONDITIONS!$P:$P,OBJECT_CONDITIONS!$A:$A,$N23)-1))+($J23*(SUMIFS(OBJECT_CONDITIONS!$R:$R,OBJECT_CONDITIONS!$A:$A,$N23)-1))+($K23*(SUMIFS(OBJECT_CONDITIONS!$T:$T,OBJECT_CONDITIONS!$A:$A,$N23)-1)),3))</f>
        <v/>
      </c>
      <c r="P23" s="15" t="n"/>
    </row>
    <row r="24">
      <c r="A24" s="15" t="n"/>
      <c r="B24" s="15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5" t="n"/>
      <c r="M24" s="15" t="n"/>
      <c r="N24" s="15" t="n"/>
      <c r="O24" s="16">
        <f>IF($N24="","",ROUND(1+($C24*(SUMIFS(OBJECT_CONDITIONS!$D:$D,OBJECT_CONDITIONS!$A:$A,$N24)-1))+($D24*(SUMIFS(OBJECT_CONDITIONS!$F:$F,OBJECT_CONDITIONS!$A:$A,$N24)-1))+($E24*(SUMIFS(OBJECT_CONDITIONS!$H:$H,OBJECT_CONDITIONS!$A:$A,$N24)-1))+($F24*(SUMIFS(OBJECT_CONDITIONS!$J:$J,OBJECT_CONDITIONS!$A:$A,$N24)-1))+($G24*(SUMIFS(OBJECT_CONDITIONS!$L:$L,OBJECT_CONDITIONS!$A:$A,$N24)-1))+($H24*(SUMIFS(OBJECT_CONDITIONS!$N:$N,OBJECT_CONDITIONS!$A:$A,$N24)-1))+($I24*(SUMIFS(OBJECT_CONDITIONS!$P:$P,OBJECT_CONDITIONS!$A:$A,$N24)-1))+($J24*(SUMIFS(OBJECT_CONDITIONS!$R:$R,OBJECT_CONDITIONS!$A:$A,$N24)-1))+($K24*(SUMIFS(OBJECT_CONDITIONS!$T:$T,OBJECT_CONDITIONS!$A:$A,$N24)-1)),3))</f>
        <v/>
      </c>
      <c r="P24" s="15" t="n"/>
    </row>
    <row r="25">
      <c r="A25" s="15" t="n"/>
      <c r="B25" s="15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5" t="n"/>
      <c r="M25" s="15" t="n"/>
      <c r="N25" s="15" t="n"/>
      <c r="O25" s="16">
        <f>IF($N25="","",ROUND(1+($C25*(SUMIFS(OBJECT_CONDITIONS!$D:$D,OBJECT_CONDITIONS!$A:$A,$N25)-1))+($D25*(SUMIFS(OBJECT_CONDITIONS!$F:$F,OBJECT_CONDITIONS!$A:$A,$N25)-1))+($E25*(SUMIFS(OBJECT_CONDITIONS!$H:$H,OBJECT_CONDITIONS!$A:$A,$N25)-1))+($F25*(SUMIFS(OBJECT_CONDITIONS!$J:$J,OBJECT_CONDITIONS!$A:$A,$N25)-1))+($G25*(SUMIFS(OBJECT_CONDITIONS!$L:$L,OBJECT_CONDITIONS!$A:$A,$N25)-1))+($H25*(SUMIFS(OBJECT_CONDITIONS!$N:$N,OBJECT_CONDITIONS!$A:$A,$N25)-1))+($I25*(SUMIFS(OBJECT_CONDITIONS!$P:$P,OBJECT_CONDITIONS!$A:$A,$N25)-1))+($J25*(SUMIFS(OBJECT_CONDITIONS!$R:$R,OBJECT_CONDITIONS!$A:$A,$N25)-1))+($K25*(SUMIFS(OBJECT_CONDITIONS!$T:$T,OBJECT_CONDITIONS!$A:$A,$N25)-1)),3))</f>
        <v/>
      </c>
      <c r="P25" s="15" t="n"/>
    </row>
    <row r="26">
      <c r="A26" s="15" t="n"/>
      <c r="B26" s="15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5" t="n"/>
      <c r="M26" s="15" t="n"/>
      <c r="N26" s="15" t="n"/>
      <c r="O26" s="16">
        <f>IF($N26="","",ROUND(1+($C26*(SUMIFS(OBJECT_CONDITIONS!$D:$D,OBJECT_CONDITIONS!$A:$A,$N26)-1))+($D26*(SUMIFS(OBJECT_CONDITIONS!$F:$F,OBJECT_CONDITIONS!$A:$A,$N26)-1))+($E26*(SUMIFS(OBJECT_CONDITIONS!$H:$H,OBJECT_CONDITIONS!$A:$A,$N26)-1))+($F26*(SUMIFS(OBJECT_CONDITIONS!$J:$J,OBJECT_CONDITIONS!$A:$A,$N26)-1))+($G26*(SUMIFS(OBJECT_CONDITIONS!$L:$L,OBJECT_CONDITIONS!$A:$A,$N26)-1))+($H26*(SUMIFS(OBJECT_CONDITIONS!$N:$N,OBJECT_CONDITIONS!$A:$A,$N26)-1))+($I26*(SUMIFS(OBJECT_CONDITIONS!$P:$P,OBJECT_CONDITIONS!$A:$A,$N26)-1))+($J26*(SUMIFS(OBJECT_CONDITIONS!$R:$R,OBJECT_CONDITIONS!$A:$A,$N26)-1))+($K26*(SUMIFS(OBJECT_CONDITIONS!$T:$T,OBJECT_CONDITIONS!$A:$A,$N26)-1)),3))</f>
        <v/>
      </c>
      <c r="P26" s="15" t="n"/>
    </row>
    <row r="27">
      <c r="A27" s="15" t="n"/>
      <c r="B27" s="15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5" t="n"/>
      <c r="M27" s="15" t="n"/>
      <c r="N27" s="15" t="n"/>
      <c r="O27" s="16">
        <f>IF($N27="","",ROUND(1+($C27*(SUMIFS(OBJECT_CONDITIONS!$D:$D,OBJECT_CONDITIONS!$A:$A,$N27)-1))+($D27*(SUMIFS(OBJECT_CONDITIONS!$F:$F,OBJECT_CONDITIONS!$A:$A,$N27)-1))+($E27*(SUMIFS(OBJECT_CONDITIONS!$H:$H,OBJECT_CONDITIONS!$A:$A,$N27)-1))+($F27*(SUMIFS(OBJECT_CONDITIONS!$J:$J,OBJECT_CONDITIONS!$A:$A,$N27)-1))+($G27*(SUMIFS(OBJECT_CONDITIONS!$L:$L,OBJECT_CONDITIONS!$A:$A,$N27)-1))+($H27*(SUMIFS(OBJECT_CONDITIONS!$N:$N,OBJECT_CONDITIONS!$A:$A,$N27)-1))+($I27*(SUMIFS(OBJECT_CONDITIONS!$P:$P,OBJECT_CONDITIONS!$A:$A,$N27)-1))+($J27*(SUMIFS(OBJECT_CONDITIONS!$R:$R,OBJECT_CONDITIONS!$A:$A,$N27)-1))+($K27*(SUMIFS(OBJECT_CONDITIONS!$T:$T,OBJECT_CONDITIONS!$A:$A,$N27)-1)),3))</f>
        <v/>
      </c>
      <c r="P27" s="15" t="n"/>
    </row>
    <row r="28">
      <c r="A28" s="15" t="n"/>
      <c r="B28" s="15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5" t="n"/>
      <c r="M28" s="15" t="n"/>
      <c r="N28" s="15" t="n"/>
      <c r="O28" s="16">
        <f>IF($N28="","",ROUND(1+($C28*(SUMIFS(OBJECT_CONDITIONS!$D:$D,OBJECT_CONDITIONS!$A:$A,$N28)-1))+($D28*(SUMIFS(OBJECT_CONDITIONS!$F:$F,OBJECT_CONDITIONS!$A:$A,$N28)-1))+($E28*(SUMIFS(OBJECT_CONDITIONS!$H:$H,OBJECT_CONDITIONS!$A:$A,$N28)-1))+($F28*(SUMIFS(OBJECT_CONDITIONS!$J:$J,OBJECT_CONDITIONS!$A:$A,$N28)-1))+($G28*(SUMIFS(OBJECT_CONDITIONS!$L:$L,OBJECT_CONDITIONS!$A:$A,$N28)-1))+($H28*(SUMIFS(OBJECT_CONDITIONS!$N:$N,OBJECT_CONDITIONS!$A:$A,$N28)-1))+($I28*(SUMIFS(OBJECT_CONDITIONS!$P:$P,OBJECT_CONDITIONS!$A:$A,$N28)-1))+($J28*(SUMIFS(OBJECT_CONDITIONS!$R:$R,OBJECT_CONDITIONS!$A:$A,$N28)-1))+($K28*(SUMIFS(OBJECT_CONDITIONS!$T:$T,OBJECT_CONDITIONS!$A:$A,$N28)-1)),3))</f>
        <v/>
      </c>
      <c r="P28" s="15" t="n"/>
    </row>
    <row r="29">
      <c r="A29" s="15" t="n"/>
      <c r="B29" s="15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5" t="n"/>
      <c r="M29" s="15" t="n"/>
      <c r="N29" s="15" t="n"/>
      <c r="O29" s="16">
        <f>IF($N29="","",ROUND(1+($C29*(SUMIFS(OBJECT_CONDITIONS!$D:$D,OBJECT_CONDITIONS!$A:$A,$N29)-1))+($D29*(SUMIFS(OBJECT_CONDITIONS!$F:$F,OBJECT_CONDITIONS!$A:$A,$N29)-1))+($E29*(SUMIFS(OBJECT_CONDITIONS!$H:$H,OBJECT_CONDITIONS!$A:$A,$N29)-1))+($F29*(SUMIFS(OBJECT_CONDITIONS!$J:$J,OBJECT_CONDITIONS!$A:$A,$N29)-1))+($G29*(SUMIFS(OBJECT_CONDITIONS!$L:$L,OBJECT_CONDITIONS!$A:$A,$N29)-1))+($H29*(SUMIFS(OBJECT_CONDITIONS!$N:$N,OBJECT_CONDITIONS!$A:$A,$N29)-1))+($I29*(SUMIFS(OBJECT_CONDITIONS!$P:$P,OBJECT_CONDITIONS!$A:$A,$N29)-1))+($J29*(SUMIFS(OBJECT_CONDITIONS!$R:$R,OBJECT_CONDITIONS!$A:$A,$N29)-1))+($K29*(SUMIFS(OBJECT_CONDITIONS!$T:$T,OBJECT_CONDITIONS!$A:$A,$N29)-1)),3))</f>
        <v/>
      </c>
      <c r="P29" s="15" t="n"/>
    </row>
    <row r="30">
      <c r="A30" s="15" t="n"/>
      <c r="B30" s="15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5" t="n"/>
      <c r="M30" s="15" t="n"/>
      <c r="N30" s="15" t="n"/>
      <c r="O30" s="16">
        <f>IF($N30="","",ROUND(1+($C30*(SUMIFS(OBJECT_CONDITIONS!$D:$D,OBJECT_CONDITIONS!$A:$A,$N30)-1))+($D30*(SUMIFS(OBJECT_CONDITIONS!$F:$F,OBJECT_CONDITIONS!$A:$A,$N30)-1))+($E30*(SUMIFS(OBJECT_CONDITIONS!$H:$H,OBJECT_CONDITIONS!$A:$A,$N30)-1))+($F30*(SUMIFS(OBJECT_CONDITIONS!$J:$J,OBJECT_CONDITIONS!$A:$A,$N30)-1))+($G30*(SUMIFS(OBJECT_CONDITIONS!$L:$L,OBJECT_CONDITIONS!$A:$A,$N30)-1))+($H30*(SUMIFS(OBJECT_CONDITIONS!$N:$N,OBJECT_CONDITIONS!$A:$A,$N30)-1))+($I30*(SUMIFS(OBJECT_CONDITIONS!$P:$P,OBJECT_CONDITIONS!$A:$A,$N30)-1))+($J30*(SUMIFS(OBJECT_CONDITIONS!$R:$R,OBJECT_CONDITIONS!$A:$A,$N30)-1))+($K30*(SUMIFS(OBJECT_CONDITIONS!$T:$T,OBJECT_CONDITIONS!$A:$A,$N30)-1)),3))</f>
        <v/>
      </c>
      <c r="P30" s="15" t="n"/>
    </row>
    <row r="31">
      <c r="A31" s="15" t="n"/>
      <c r="B31" s="15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5" t="n"/>
      <c r="M31" s="15" t="n"/>
      <c r="N31" s="15" t="n"/>
      <c r="O31" s="16">
        <f>IF($N31="","",ROUND(1+($C31*(SUMIFS(OBJECT_CONDITIONS!$D:$D,OBJECT_CONDITIONS!$A:$A,$N31)-1))+($D31*(SUMIFS(OBJECT_CONDITIONS!$F:$F,OBJECT_CONDITIONS!$A:$A,$N31)-1))+($E31*(SUMIFS(OBJECT_CONDITIONS!$H:$H,OBJECT_CONDITIONS!$A:$A,$N31)-1))+($F31*(SUMIFS(OBJECT_CONDITIONS!$J:$J,OBJECT_CONDITIONS!$A:$A,$N31)-1))+($G31*(SUMIFS(OBJECT_CONDITIONS!$L:$L,OBJECT_CONDITIONS!$A:$A,$N31)-1))+($H31*(SUMIFS(OBJECT_CONDITIONS!$N:$N,OBJECT_CONDITIONS!$A:$A,$N31)-1))+($I31*(SUMIFS(OBJECT_CONDITIONS!$P:$P,OBJECT_CONDITIONS!$A:$A,$N31)-1))+($J31*(SUMIFS(OBJECT_CONDITIONS!$R:$R,OBJECT_CONDITIONS!$A:$A,$N31)-1))+($K31*(SUMIFS(OBJECT_CONDITIONS!$T:$T,OBJECT_CONDITIONS!$A:$A,$N31)-1)),3))</f>
        <v/>
      </c>
      <c r="P31" s="15" t="n"/>
    </row>
    <row r="32">
      <c r="A32" s="15" t="n"/>
      <c r="B32" s="15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5" t="n"/>
      <c r="M32" s="15" t="n"/>
      <c r="N32" s="15" t="n"/>
      <c r="O32" s="16">
        <f>IF($N32="","",ROUND(1+($C32*(SUMIFS(OBJECT_CONDITIONS!$D:$D,OBJECT_CONDITIONS!$A:$A,$N32)-1))+($D32*(SUMIFS(OBJECT_CONDITIONS!$F:$F,OBJECT_CONDITIONS!$A:$A,$N32)-1))+($E32*(SUMIFS(OBJECT_CONDITIONS!$H:$H,OBJECT_CONDITIONS!$A:$A,$N32)-1))+($F32*(SUMIFS(OBJECT_CONDITIONS!$J:$J,OBJECT_CONDITIONS!$A:$A,$N32)-1))+($G32*(SUMIFS(OBJECT_CONDITIONS!$L:$L,OBJECT_CONDITIONS!$A:$A,$N32)-1))+($H32*(SUMIFS(OBJECT_CONDITIONS!$N:$N,OBJECT_CONDITIONS!$A:$A,$N32)-1))+($I32*(SUMIFS(OBJECT_CONDITIONS!$P:$P,OBJECT_CONDITIONS!$A:$A,$N32)-1))+($J32*(SUMIFS(OBJECT_CONDITIONS!$R:$R,OBJECT_CONDITIONS!$A:$A,$N32)-1))+($K32*(SUMIFS(OBJECT_CONDITIONS!$T:$T,OBJECT_CONDITIONS!$A:$A,$N32)-1)),3))</f>
        <v/>
      </c>
      <c r="P32" s="15" t="n"/>
    </row>
    <row r="33">
      <c r="A33" s="15" t="n"/>
      <c r="B33" s="15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5" t="n"/>
      <c r="M33" s="15" t="n"/>
      <c r="N33" s="15" t="n"/>
      <c r="O33" s="16">
        <f>IF($N33="","",ROUND(1+($C33*(SUMIFS(OBJECT_CONDITIONS!$D:$D,OBJECT_CONDITIONS!$A:$A,$N33)-1))+($D33*(SUMIFS(OBJECT_CONDITIONS!$F:$F,OBJECT_CONDITIONS!$A:$A,$N33)-1))+($E33*(SUMIFS(OBJECT_CONDITIONS!$H:$H,OBJECT_CONDITIONS!$A:$A,$N33)-1))+($F33*(SUMIFS(OBJECT_CONDITIONS!$J:$J,OBJECT_CONDITIONS!$A:$A,$N33)-1))+($G33*(SUMIFS(OBJECT_CONDITIONS!$L:$L,OBJECT_CONDITIONS!$A:$A,$N33)-1))+($H33*(SUMIFS(OBJECT_CONDITIONS!$N:$N,OBJECT_CONDITIONS!$A:$A,$N33)-1))+($I33*(SUMIFS(OBJECT_CONDITIONS!$P:$P,OBJECT_CONDITIONS!$A:$A,$N33)-1))+($J33*(SUMIFS(OBJECT_CONDITIONS!$R:$R,OBJECT_CONDITIONS!$A:$A,$N33)-1))+($K33*(SUMIFS(OBJECT_CONDITIONS!$T:$T,OBJECT_CONDITIONS!$A:$A,$N33)-1)),3))</f>
        <v/>
      </c>
      <c r="P33" s="15" t="n"/>
    </row>
    <row r="34">
      <c r="A34" s="15" t="n"/>
      <c r="B34" s="15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5" t="n"/>
      <c r="M34" s="15" t="n"/>
      <c r="N34" s="15" t="n"/>
      <c r="O34" s="16">
        <f>IF($N34="","",ROUND(1+($C34*(SUMIFS(OBJECT_CONDITIONS!$D:$D,OBJECT_CONDITIONS!$A:$A,$N34)-1))+($D34*(SUMIFS(OBJECT_CONDITIONS!$F:$F,OBJECT_CONDITIONS!$A:$A,$N34)-1))+($E34*(SUMIFS(OBJECT_CONDITIONS!$H:$H,OBJECT_CONDITIONS!$A:$A,$N34)-1))+($F34*(SUMIFS(OBJECT_CONDITIONS!$J:$J,OBJECT_CONDITIONS!$A:$A,$N34)-1))+($G34*(SUMIFS(OBJECT_CONDITIONS!$L:$L,OBJECT_CONDITIONS!$A:$A,$N34)-1))+($H34*(SUMIFS(OBJECT_CONDITIONS!$N:$N,OBJECT_CONDITIONS!$A:$A,$N34)-1))+($I34*(SUMIFS(OBJECT_CONDITIONS!$P:$P,OBJECT_CONDITIONS!$A:$A,$N34)-1))+($J34*(SUMIFS(OBJECT_CONDITIONS!$R:$R,OBJECT_CONDITIONS!$A:$A,$N34)-1))+($K34*(SUMIFS(OBJECT_CONDITIONS!$T:$T,OBJECT_CONDITIONS!$A:$A,$N34)-1)),3))</f>
        <v/>
      </c>
      <c r="P34" s="15" t="n"/>
    </row>
    <row r="35">
      <c r="A35" s="15" t="n"/>
      <c r="B35" s="15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5" t="n"/>
      <c r="M35" s="15" t="n"/>
      <c r="N35" s="15" t="n"/>
      <c r="O35" s="16">
        <f>IF($N35="","",ROUND(1+($C35*(SUMIFS(OBJECT_CONDITIONS!$D:$D,OBJECT_CONDITIONS!$A:$A,$N35)-1))+($D35*(SUMIFS(OBJECT_CONDITIONS!$F:$F,OBJECT_CONDITIONS!$A:$A,$N35)-1))+($E35*(SUMIFS(OBJECT_CONDITIONS!$H:$H,OBJECT_CONDITIONS!$A:$A,$N35)-1))+($F35*(SUMIFS(OBJECT_CONDITIONS!$J:$J,OBJECT_CONDITIONS!$A:$A,$N35)-1))+($G35*(SUMIFS(OBJECT_CONDITIONS!$L:$L,OBJECT_CONDITIONS!$A:$A,$N35)-1))+($H35*(SUMIFS(OBJECT_CONDITIONS!$N:$N,OBJECT_CONDITIONS!$A:$A,$N35)-1))+($I35*(SUMIFS(OBJECT_CONDITIONS!$P:$P,OBJECT_CONDITIONS!$A:$A,$N35)-1))+($J35*(SUMIFS(OBJECT_CONDITIONS!$R:$R,OBJECT_CONDITIONS!$A:$A,$N35)-1))+($K35*(SUMIFS(OBJECT_CONDITIONS!$T:$T,OBJECT_CONDITIONS!$A:$A,$N35)-1)),3))</f>
        <v/>
      </c>
      <c r="P35" s="15" t="n"/>
    </row>
    <row r="36">
      <c r="A36" s="15" t="n"/>
      <c r="B36" s="15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5" t="n"/>
      <c r="M36" s="15" t="n"/>
      <c r="N36" s="15" t="n"/>
      <c r="O36" s="16">
        <f>IF($N36="","",ROUND(1+($C36*(SUMIFS(OBJECT_CONDITIONS!$D:$D,OBJECT_CONDITIONS!$A:$A,$N36)-1))+($D36*(SUMIFS(OBJECT_CONDITIONS!$F:$F,OBJECT_CONDITIONS!$A:$A,$N36)-1))+($E36*(SUMIFS(OBJECT_CONDITIONS!$H:$H,OBJECT_CONDITIONS!$A:$A,$N36)-1))+($F36*(SUMIFS(OBJECT_CONDITIONS!$J:$J,OBJECT_CONDITIONS!$A:$A,$N36)-1))+($G36*(SUMIFS(OBJECT_CONDITIONS!$L:$L,OBJECT_CONDITIONS!$A:$A,$N36)-1))+($H36*(SUMIFS(OBJECT_CONDITIONS!$N:$N,OBJECT_CONDITIONS!$A:$A,$N36)-1))+($I36*(SUMIFS(OBJECT_CONDITIONS!$P:$P,OBJECT_CONDITIONS!$A:$A,$N36)-1))+($J36*(SUMIFS(OBJECT_CONDITIONS!$R:$R,OBJECT_CONDITIONS!$A:$A,$N36)-1))+($K36*(SUMIFS(OBJECT_CONDITIONS!$T:$T,OBJECT_CONDITIONS!$A:$A,$N36)-1)),3))</f>
        <v/>
      </c>
      <c r="P36" s="15" t="n"/>
    </row>
    <row r="37">
      <c r="A37" s="15" t="n"/>
      <c r="B37" s="15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5" t="n"/>
      <c r="M37" s="15" t="n"/>
      <c r="N37" s="15" t="n"/>
      <c r="O37" s="16">
        <f>IF($N37="","",ROUND(1+($C37*(SUMIFS(OBJECT_CONDITIONS!$D:$D,OBJECT_CONDITIONS!$A:$A,$N37)-1))+($D37*(SUMIFS(OBJECT_CONDITIONS!$F:$F,OBJECT_CONDITIONS!$A:$A,$N37)-1))+($E37*(SUMIFS(OBJECT_CONDITIONS!$H:$H,OBJECT_CONDITIONS!$A:$A,$N37)-1))+($F37*(SUMIFS(OBJECT_CONDITIONS!$J:$J,OBJECT_CONDITIONS!$A:$A,$N37)-1))+($G37*(SUMIFS(OBJECT_CONDITIONS!$L:$L,OBJECT_CONDITIONS!$A:$A,$N37)-1))+($H37*(SUMIFS(OBJECT_CONDITIONS!$N:$N,OBJECT_CONDITIONS!$A:$A,$N37)-1))+($I37*(SUMIFS(OBJECT_CONDITIONS!$P:$P,OBJECT_CONDITIONS!$A:$A,$N37)-1))+($J37*(SUMIFS(OBJECT_CONDITIONS!$R:$R,OBJECT_CONDITIONS!$A:$A,$N37)-1))+($K37*(SUMIFS(OBJECT_CONDITIONS!$T:$T,OBJECT_CONDITIONS!$A:$A,$N37)-1)),3))</f>
        <v/>
      </c>
      <c r="P37" s="15" t="n"/>
    </row>
    <row r="38">
      <c r="A38" s="15" t="n"/>
      <c r="B38" s="15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5" t="n"/>
      <c r="M38" s="15" t="n"/>
      <c r="N38" s="15" t="n"/>
      <c r="O38" s="16">
        <f>IF($N38="","",ROUND(1+($C38*(SUMIFS(OBJECT_CONDITIONS!$D:$D,OBJECT_CONDITIONS!$A:$A,$N38)-1))+($D38*(SUMIFS(OBJECT_CONDITIONS!$F:$F,OBJECT_CONDITIONS!$A:$A,$N38)-1))+($E38*(SUMIFS(OBJECT_CONDITIONS!$H:$H,OBJECT_CONDITIONS!$A:$A,$N38)-1))+($F38*(SUMIFS(OBJECT_CONDITIONS!$J:$J,OBJECT_CONDITIONS!$A:$A,$N38)-1))+($G38*(SUMIFS(OBJECT_CONDITIONS!$L:$L,OBJECT_CONDITIONS!$A:$A,$N38)-1))+($H38*(SUMIFS(OBJECT_CONDITIONS!$N:$N,OBJECT_CONDITIONS!$A:$A,$N38)-1))+($I38*(SUMIFS(OBJECT_CONDITIONS!$P:$P,OBJECT_CONDITIONS!$A:$A,$N38)-1))+($J38*(SUMIFS(OBJECT_CONDITIONS!$R:$R,OBJECT_CONDITIONS!$A:$A,$N38)-1))+($K38*(SUMIFS(OBJECT_CONDITIONS!$T:$T,OBJECT_CONDITIONS!$A:$A,$N38)-1)),3))</f>
        <v/>
      </c>
      <c r="P38" s="15" t="n"/>
    </row>
    <row r="39">
      <c r="A39" s="15" t="n"/>
      <c r="B39" s="15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5" t="n"/>
      <c r="M39" s="15" t="n"/>
      <c r="N39" s="15" t="n"/>
      <c r="O39" s="16">
        <f>IF($N39="","",ROUND(1+($C39*(SUMIFS(OBJECT_CONDITIONS!$D:$D,OBJECT_CONDITIONS!$A:$A,$N39)-1))+($D39*(SUMIFS(OBJECT_CONDITIONS!$F:$F,OBJECT_CONDITIONS!$A:$A,$N39)-1))+($E39*(SUMIFS(OBJECT_CONDITIONS!$H:$H,OBJECT_CONDITIONS!$A:$A,$N39)-1))+($F39*(SUMIFS(OBJECT_CONDITIONS!$J:$J,OBJECT_CONDITIONS!$A:$A,$N39)-1))+($G39*(SUMIFS(OBJECT_CONDITIONS!$L:$L,OBJECT_CONDITIONS!$A:$A,$N39)-1))+($H39*(SUMIFS(OBJECT_CONDITIONS!$N:$N,OBJECT_CONDITIONS!$A:$A,$N39)-1))+($I39*(SUMIFS(OBJECT_CONDITIONS!$P:$P,OBJECT_CONDITIONS!$A:$A,$N39)-1))+($J39*(SUMIFS(OBJECT_CONDITIONS!$R:$R,OBJECT_CONDITIONS!$A:$A,$N39)-1))+($K39*(SUMIFS(OBJECT_CONDITIONS!$T:$T,OBJECT_CONDITIONS!$A:$A,$N39)-1)),3))</f>
        <v/>
      </c>
      <c r="P39" s="15" t="n"/>
    </row>
    <row r="40">
      <c r="A40" s="15" t="n"/>
      <c r="B40" s="15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5" t="n"/>
      <c r="M40" s="15" t="n"/>
      <c r="N40" s="15" t="n"/>
      <c r="O40" s="16">
        <f>IF($N40="","",ROUND(1+($C40*(SUMIFS(OBJECT_CONDITIONS!$D:$D,OBJECT_CONDITIONS!$A:$A,$N40)-1))+($D40*(SUMIFS(OBJECT_CONDITIONS!$F:$F,OBJECT_CONDITIONS!$A:$A,$N40)-1))+($E40*(SUMIFS(OBJECT_CONDITIONS!$H:$H,OBJECT_CONDITIONS!$A:$A,$N40)-1))+($F40*(SUMIFS(OBJECT_CONDITIONS!$J:$J,OBJECT_CONDITIONS!$A:$A,$N40)-1))+($G40*(SUMIFS(OBJECT_CONDITIONS!$L:$L,OBJECT_CONDITIONS!$A:$A,$N40)-1))+($H40*(SUMIFS(OBJECT_CONDITIONS!$N:$N,OBJECT_CONDITIONS!$A:$A,$N40)-1))+($I40*(SUMIFS(OBJECT_CONDITIONS!$P:$P,OBJECT_CONDITIONS!$A:$A,$N40)-1))+($J40*(SUMIFS(OBJECT_CONDITIONS!$R:$R,OBJECT_CONDITIONS!$A:$A,$N40)-1))+($K40*(SUMIFS(OBJECT_CONDITIONS!$T:$T,OBJECT_CONDITIONS!$A:$A,$N40)-1)),3))</f>
        <v/>
      </c>
      <c r="P40" s="15" t="n"/>
    </row>
    <row r="41">
      <c r="A41" s="15" t="n"/>
      <c r="B41" s="15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5" t="n"/>
      <c r="M41" s="15" t="n"/>
      <c r="N41" s="15" t="n"/>
      <c r="O41" s="16">
        <f>IF($N41="","",ROUND(1+($C41*(SUMIFS(OBJECT_CONDITIONS!$D:$D,OBJECT_CONDITIONS!$A:$A,$N41)-1))+($D41*(SUMIFS(OBJECT_CONDITIONS!$F:$F,OBJECT_CONDITIONS!$A:$A,$N41)-1))+($E41*(SUMIFS(OBJECT_CONDITIONS!$H:$H,OBJECT_CONDITIONS!$A:$A,$N41)-1))+($F41*(SUMIFS(OBJECT_CONDITIONS!$J:$J,OBJECT_CONDITIONS!$A:$A,$N41)-1))+($G41*(SUMIFS(OBJECT_CONDITIONS!$L:$L,OBJECT_CONDITIONS!$A:$A,$N41)-1))+($H41*(SUMIFS(OBJECT_CONDITIONS!$N:$N,OBJECT_CONDITIONS!$A:$A,$N41)-1))+($I41*(SUMIFS(OBJECT_CONDITIONS!$P:$P,OBJECT_CONDITIONS!$A:$A,$N41)-1))+($J41*(SUMIFS(OBJECT_CONDITIONS!$R:$R,OBJECT_CONDITIONS!$A:$A,$N41)-1))+($K41*(SUMIFS(OBJECT_CONDITIONS!$T:$T,OBJECT_CONDITIONS!$A:$A,$N41)-1)),3))</f>
        <v/>
      </c>
      <c r="P41" s="15" t="n"/>
    </row>
    <row r="42">
      <c r="A42" s="15" t="n"/>
      <c r="B42" s="15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5" t="n"/>
      <c r="M42" s="15" t="n"/>
      <c r="N42" s="15" t="n"/>
      <c r="O42" s="16">
        <f>IF($N42="","",ROUND(1+($C42*(SUMIFS(OBJECT_CONDITIONS!$D:$D,OBJECT_CONDITIONS!$A:$A,$N42)-1))+($D42*(SUMIFS(OBJECT_CONDITIONS!$F:$F,OBJECT_CONDITIONS!$A:$A,$N42)-1))+($E42*(SUMIFS(OBJECT_CONDITIONS!$H:$H,OBJECT_CONDITIONS!$A:$A,$N42)-1))+($F42*(SUMIFS(OBJECT_CONDITIONS!$J:$J,OBJECT_CONDITIONS!$A:$A,$N42)-1))+($G42*(SUMIFS(OBJECT_CONDITIONS!$L:$L,OBJECT_CONDITIONS!$A:$A,$N42)-1))+($H42*(SUMIFS(OBJECT_CONDITIONS!$N:$N,OBJECT_CONDITIONS!$A:$A,$N42)-1))+($I42*(SUMIFS(OBJECT_CONDITIONS!$P:$P,OBJECT_CONDITIONS!$A:$A,$N42)-1))+($J42*(SUMIFS(OBJECT_CONDITIONS!$R:$R,OBJECT_CONDITIONS!$A:$A,$N42)-1))+($K42*(SUMIFS(OBJECT_CONDITIONS!$T:$T,OBJECT_CONDITIONS!$A:$A,$N42)-1)),3))</f>
        <v/>
      </c>
      <c r="P42" s="15" t="n"/>
    </row>
    <row r="43">
      <c r="A43" s="15" t="n"/>
      <c r="B43" s="15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5" t="n"/>
      <c r="M43" s="15" t="n"/>
      <c r="N43" s="15" t="n"/>
      <c r="O43" s="16">
        <f>IF($N43="","",ROUND(1+($C43*(SUMIFS(OBJECT_CONDITIONS!$D:$D,OBJECT_CONDITIONS!$A:$A,$N43)-1))+($D43*(SUMIFS(OBJECT_CONDITIONS!$F:$F,OBJECT_CONDITIONS!$A:$A,$N43)-1))+($E43*(SUMIFS(OBJECT_CONDITIONS!$H:$H,OBJECT_CONDITIONS!$A:$A,$N43)-1))+($F43*(SUMIFS(OBJECT_CONDITIONS!$J:$J,OBJECT_CONDITIONS!$A:$A,$N43)-1))+($G43*(SUMIFS(OBJECT_CONDITIONS!$L:$L,OBJECT_CONDITIONS!$A:$A,$N43)-1))+($H43*(SUMIFS(OBJECT_CONDITIONS!$N:$N,OBJECT_CONDITIONS!$A:$A,$N43)-1))+($I43*(SUMIFS(OBJECT_CONDITIONS!$P:$P,OBJECT_CONDITIONS!$A:$A,$N43)-1))+($J43*(SUMIFS(OBJECT_CONDITIONS!$R:$R,OBJECT_CONDITIONS!$A:$A,$N43)-1))+($K43*(SUMIFS(OBJECT_CONDITIONS!$T:$T,OBJECT_CONDITIONS!$A:$A,$N43)-1)),3))</f>
        <v/>
      </c>
      <c r="P43" s="15" t="n"/>
    </row>
    <row r="44">
      <c r="A44" s="15" t="n"/>
      <c r="B44" s="15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5" t="n"/>
      <c r="M44" s="15" t="n"/>
      <c r="N44" s="15" t="n"/>
      <c r="O44" s="16">
        <f>IF($N44="","",ROUND(1+($C44*(SUMIFS(OBJECT_CONDITIONS!$D:$D,OBJECT_CONDITIONS!$A:$A,$N44)-1))+($D44*(SUMIFS(OBJECT_CONDITIONS!$F:$F,OBJECT_CONDITIONS!$A:$A,$N44)-1))+($E44*(SUMIFS(OBJECT_CONDITIONS!$H:$H,OBJECT_CONDITIONS!$A:$A,$N44)-1))+($F44*(SUMIFS(OBJECT_CONDITIONS!$J:$J,OBJECT_CONDITIONS!$A:$A,$N44)-1))+($G44*(SUMIFS(OBJECT_CONDITIONS!$L:$L,OBJECT_CONDITIONS!$A:$A,$N44)-1))+($H44*(SUMIFS(OBJECT_CONDITIONS!$N:$N,OBJECT_CONDITIONS!$A:$A,$N44)-1))+($I44*(SUMIFS(OBJECT_CONDITIONS!$P:$P,OBJECT_CONDITIONS!$A:$A,$N44)-1))+($J44*(SUMIFS(OBJECT_CONDITIONS!$R:$R,OBJECT_CONDITIONS!$A:$A,$N44)-1))+($K44*(SUMIFS(OBJECT_CONDITIONS!$T:$T,OBJECT_CONDITIONS!$A:$A,$N44)-1)),3))</f>
        <v/>
      </c>
      <c r="P44" s="15" t="n"/>
    </row>
    <row r="45">
      <c r="A45" s="15" t="n"/>
      <c r="B45" s="15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5" t="n"/>
      <c r="M45" s="15" t="n"/>
      <c r="N45" s="15" t="n"/>
      <c r="O45" s="16">
        <f>IF($N45="","",ROUND(1+($C45*(SUMIFS(OBJECT_CONDITIONS!$D:$D,OBJECT_CONDITIONS!$A:$A,$N45)-1))+($D45*(SUMIFS(OBJECT_CONDITIONS!$F:$F,OBJECT_CONDITIONS!$A:$A,$N45)-1))+($E45*(SUMIFS(OBJECT_CONDITIONS!$H:$H,OBJECT_CONDITIONS!$A:$A,$N45)-1))+($F45*(SUMIFS(OBJECT_CONDITIONS!$J:$J,OBJECT_CONDITIONS!$A:$A,$N45)-1))+($G45*(SUMIFS(OBJECT_CONDITIONS!$L:$L,OBJECT_CONDITIONS!$A:$A,$N45)-1))+($H45*(SUMIFS(OBJECT_CONDITIONS!$N:$N,OBJECT_CONDITIONS!$A:$A,$N45)-1))+($I45*(SUMIFS(OBJECT_CONDITIONS!$P:$P,OBJECT_CONDITIONS!$A:$A,$N45)-1))+($J45*(SUMIFS(OBJECT_CONDITIONS!$R:$R,OBJECT_CONDITIONS!$A:$A,$N45)-1))+($K45*(SUMIFS(OBJECT_CONDITIONS!$T:$T,OBJECT_CONDITIONS!$A:$A,$N45)-1)),3))</f>
        <v/>
      </c>
      <c r="P45" s="15" t="n"/>
    </row>
    <row r="46">
      <c r="A46" s="15" t="n"/>
      <c r="B46" s="15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5" t="n"/>
      <c r="M46" s="15" t="n"/>
      <c r="N46" s="15" t="n"/>
      <c r="O46" s="16">
        <f>IF($N46="","",ROUND(1+($C46*(SUMIFS(OBJECT_CONDITIONS!$D:$D,OBJECT_CONDITIONS!$A:$A,$N46)-1))+($D46*(SUMIFS(OBJECT_CONDITIONS!$F:$F,OBJECT_CONDITIONS!$A:$A,$N46)-1))+($E46*(SUMIFS(OBJECT_CONDITIONS!$H:$H,OBJECT_CONDITIONS!$A:$A,$N46)-1))+($F46*(SUMIFS(OBJECT_CONDITIONS!$J:$J,OBJECT_CONDITIONS!$A:$A,$N46)-1))+($G46*(SUMIFS(OBJECT_CONDITIONS!$L:$L,OBJECT_CONDITIONS!$A:$A,$N46)-1))+($H46*(SUMIFS(OBJECT_CONDITIONS!$N:$N,OBJECT_CONDITIONS!$A:$A,$N46)-1))+($I46*(SUMIFS(OBJECT_CONDITIONS!$P:$P,OBJECT_CONDITIONS!$A:$A,$N46)-1))+($J46*(SUMIFS(OBJECT_CONDITIONS!$R:$R,OBJECT_CONDITIONS!$A:$A,$N46)-1))+($K46*(SUMIFS(OBJECT_CONDITIONS!$T:$T,OBJECT_CONDITIONS!$A:$A,$N46)-1)),3))</f>
        <v/>
      </c>
      <c r="P46" s="15" t="n"/>
    </row>
    <row r="47">
      <c r="A47" s="15" t="n"/>
      <c r="B47" s="15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5" t="n"/>
      <c r="M47" s="15" t="n"/>
      <c r="N47" s="15" t="n"/>
      <c r="O47" s="16">
        <f>IF($N47="","",ROUND(1+($C47*(SUMIFS(OBJECT_CONDITIONS!$D:$D,OBJECT_CONDITIONS!$A:$A,$N47)-1))+($D47*(SUMIFS(OBJECT_CONDITIONS!$F:$F,OBJECT_CONDITIONS!$A:$A,$N47)-1))+($E47*(SUMIFS(OBJECT_CONDITIONS!$H:$H,OBJECT_CONDITIONS!$A:$A,$N47)-1))+($F47*(SUMIFS(OBJECT_CONDITIONS!$J:$J,OBJECT_CONDITIONS!$A:$A,$N47)-1))+($G47*(SUMIFS(OBJECT_CONDITIONS!$L:$L,OBJECT_CONDITIONS!$A:$A,$N47)-1))+($H47*(SUMIFS(OBJECT_CONDITIONS!$N:$N,OBJECT_CONDITIONS!$A:$A,$N47)-1))+($I47*(SUMIFS(OBJECT_CONDITIONS!$P:$P,OBJECT_CONDITIONS!$A:$A,$N47)-1))+($J47*(SUMIFS(OBJECT_CONDITIONS!$R:$R,OBJECT_CONDITIONS!$A:$A,$N47)-1))+($K47*(SUMIFS(OBJECT_CONDITIONS!$T:$T,OBJECT_CONDITIONS!$A:$A,$N47)-1)),3))</f>
        <v/>
      </c>
      <c r="P47" s="15" t="n"/>
    </row>
    <row r="48">
      <c r="A48" s="15" t="n"/>
      <c r="B48" s="15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5" t="n"/>
      <c r="M48" s="15" t="n"/>
      <c r="N48" s="15" t="n"/>
      <c r="O48" s="16">
        <f>IF($N48="","",ROUND(1+($C48*(SUMIFS(OBJECT_CONDITIONS!$D:$D,OBJECT_CONDITIONS!$A:$A,$N48)-1))+($D48*(SUMIFS(OBJECT_CONDITIONS!$F:$F,OBJECT_CONDITIONS!$A:$A,$N48)-1))+($E48*(SUMIFS(OBJECT_CONDITIONS!$H:$H,OBJECT_CONDITIONS!$A:$A,$N48)-1))+($F48*(SUMIFS(OBJECT_CONDITIONS!$J:$J,OBJECT_CONDITIONS!$A:$A,$N48)-1))+($G48*(SUMIFS(OBJECT_CONDITIONS!$L:$L,OBJECT_CONDITIONS!$A:$A,$N48)-1))+($H48*(SUMIFS(OBJECT_CONDITIONS!$N:$N,OBJECT_CONDITIONS!$A:$A,$N48)-1))+($I48*(SUMIFS(OBJECT_CONDITIONS!$P:$P,OBJECT_CONDITIONS!$A:$A,$N48)-1))+($J48*(SUMIFS(OBJECT_CONDITIONS!$R:$R,OBJECT_CONDITIONS!$A:$A,$N48)-1))+($K48*(SUMIFS(OBJECT_CONDITIONS!$T:$T,OBJECT_CONDITIONS!$A:$A,$N48)-1)),3))</f>
        <v/>
      </c>
      <c r="P48" s="15" t="n"/>
    </row>
    <row r="49">
      <c r="A49" s="15" t="n"/>
      <c r="B49" s="15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5" t="n"/>
      <c r="M49" s="15" t="n"/>
      <c r="N49" s="15" t="n"/>
      <c r="O49" s="16">
        <f>IF($N49="","",ROUND(1+($C49*(SUMIFS(OBJECT_CONDITIONS!$D:$D,OBJECT_CONDITIONS!$A:$A,$N49)-1))+($D49*(SUMIFS(OBJECT_CONDITIONS!$F:$F,OBJECT_CONDITIONS!$A:$A,$N49)-1))+($E49*(SUMIFS(OBJECT_CONDITIONS!$H:$H,OBJECT_CONDITIONS!$A:$A,$N49)-1))+($F49*(SUMIFS(OBJECT_CONDITIONS!$J:$J,OBJECT_CONDITIONS!$A:$A,$N49)-1))+($G49*(SUMIFS(OBJECT_CONDITIONS!$L:$L,OBJECT_CONDITIONS!$A:$A,$N49)-1))+($H49*(SUMIFS(OBJECT_CONDITIONS!$N:$N,OBJECT_CONDITIONS!$A:$A,$N49)-1))+($I49*(SUMIFS(OBJECT_CONDITIONS!$P:$P,OBJECT_CONDITIONS!$A:$A,$N49)-1))+($J49*(SUMIFS(OBJECT_CONDITIONS!$R:$R,OBJECT_CONDITIONS!$A:$A,$N49)-1))+($K49*(SUMIFS(OBJECT_CONDITIONS!$T:$T,OBJECT_CONDITIONS!$A:$A,$N49)-1)),3))</f>
        <v/>
      </c>
      <c r="P49" s="15" t="n"/>
    </row>
    <row r="50">
      <c r="A50" s="15" t="n"/>
      <c r="B50" s="15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5" t="n"/>
      <c r="M50" s="15" t="n"/>
      <c r="N50" s="15" t="n"/>
      <c r="O50" s="16">
        <f>IF($N50="","",ROUND(1+($C50*(SUMIFS(OBJECT_CONDITIONS!$D:$D,OBJECT_CONDITIONS!$A:$A,$N50)-1))+($D50*(SUMIFS(OBJECT_CONDITIONS!$F:$F,OBJECT_CONDITIONS!$A:$A,$N50)-1))+($E50*(SUMIFS(OBJECT_CONDITIONS!$H:$H,OBJECT_CONDITIONS!$A:$A,$N50)-1))+($F50*(SUMIFS(OBJECT_CONDITIONS!$J:$J,OBJECT_CONDITIONS!$A:$A,$N50)-1))+($G50*(SUMIFS(OBJECT_CONDITIONS!$L:$L,OBJECT_CONDITIONS!$A:$A,$N50)-1))+($H50*(SUMIFS(OBJECT_CONDITIONS!$N:$N,OBJECT_CONDITIONS!$A:$A,$N50)-1))+($I50*(SUMIFS(OBJECT_CONDITIONS!$P:$P,OBJECT_CONDITIONS!$A:$A,$N50)-1))+($J50*(SUMIFS(OBJECT_CONDITIONS!$R:$R,OBJECT_CONDITIONS!$A:$A,$N50)-1))+($K50*(SUMIFS(OBJECT_CONDITIONS!$T:$T,OBJECT_CONDITIONS!$A:$A,$N50)-1)),3))</f>
        <v/>
      </c>
      <c r="P50" s="15" t="n"/>
    </row>
    <row r="51">
      <c r="A51" s="15" t="n"/>
      <c r="B51" s="15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5" t="n"/>
      <c r="M51" s="15" t="n"/>
      <c r="N51" s="15" t="n"/>
      <c r="O51" s="16">
        <f>IF($N51="","",ROUND(1+($C51*(SUMIFS(OBJECT_CONDITIONS!$D:$D,OBJECT_CONDITIONS!$A:$A,$N51)-1))+($D51*(SUMIFS(OBJECT_CONDITIONS!$F:$F,OBJECT_CONDITIONS!$A:$A,$N51)-1))+($E51*(SUMIFS(OBJECT_CONDITIONS!$H:$H,OBJECT_CONDITIONS!$A:$A,$N51)-1))+($F51*(SUMIFS(OBJECT_CONDITIONS!$J:$J,OBJECT_CONDITIONS!$A:$A,$N51)-1))+($G51*(SUMIFS(OBJECT_CONDITIONS!$L:$L,OBJECT_CONDITIONS!$A:$A,$N51)-1))+($H51*(SUMIFS(OBJECT_CONDITIONS!$N:$N,OBJECT_CONDITIONS!$A:$A,$N51)-1))+($I51*(SUMIFS(OBJECT_CONDITIONS!$P:$P,OBJECT_CONDITIONS!$A:$A,$N51)-1))+($J51*(SUMIFS(OBJECT_CONDITIONS!$R:$R,OBJECT_CONDITIONS!$A:$A,$N51)-1))+($K51*(SUMIFS(OBJECT_CONDITIONS!$T:$T,OBJECT_CONDITIONS!$A:$A,$N51)-1)),3))</f>
        <v/>
      </c>
      <c r="P51" s="15" t="n"/>
    </row>
    <row r="52">
      <c r="A52" s="15" t="n"/>
      <c r="B52" s="15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5" t="n"/>
      <c r="M52" s="15" t="n"/>
      <c r="N52" s="15" t="n"/>
      <c r="O52" s="16">
        <f>IF($N52="","",ROUND(1+($C52*(SUMIFS(OBJECT_CONDITIONS!$D:$D,OBJECT_CONDITIONS!$A:$A,$N52)-1))+($D52*(SUMIFS(OBJECT_CONDITIONS!$F:$F,OBJECT_CONDITIONS!$A:$A,$N52)-1))+($E52*(SUMIFS(OBJECT_CONDITIONS!$H:$H,OBJECT_CONDITIONS!$A:$A,$N52)-1))+($F52*(SUMIFS(OBJECT_CONDITIONS!$J:$J,OBJECT_CONDITIONS!$A:$A,$N52)-1))+($G52*(SUMIFS(OBJECT_CONDITIONS!$L:$L,OBJECT_CONDITIONS!$A:$A,$N52)-1))+($H52*(SUMIFS(OBJECT_CONDITIONS!$N:$N,OBJECT_CONDITIONS!$A:$A,$N52)-1))+($I52*(SUMIFS(OBJECT_CONDITIONS!$P:$P,OBJECT_CONDITIONS!$A:$A,$N52)-1))+($J52*(SUMIFS(OBJECT_CONDITIONS!$R:$R,OBJECT_CONDITIONS!$A:$A,$N52)-1))+($K52*(SUMIFS(OBJECT_CONDITIONS!$T:$T,OBJECT_CONDITIONS!$A:$A,$N52)-1)),3))</f>
        <v/>
      </c>
      <c r="P52" s="15" t="n"/>
    </row>
    <row r="53">
      <c r="A53" s="15" t="n"/>
      <c r="B53" s="15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5" t="n"/>
      <c r="M53" s="15" t="n"/>
      <c r="N53" s="15" t="n"/>
      <c r="O53" s="16">
        <f>IF($N53="","",ROUND(1+($C53*(SUMIFS(OBJECT_CONDITIONS!$D:$D,OBJECT_CONDITIONS!$A:$A,$N53)-1))+($D53*(SUMIFS(OBJECT_CONDITIONS!$F:$F,OBJECT_CONDITIONS!$A:$A,$N53)-1))+($E53*(SUMIFS(OBJECT_CONDITIONS!$H:$H,OBJECT_CONDITIONS!$A:$A,$N53)-1))+($F53*(SUMIFS(OBJECT_CONDITIONS!$J:$J,OBJECT_CONDITIONS!$A:$A,$N53)-1))+($G53*(SUMIFS(OBJECT_CONDITIONS!$L:$L,OBJECT_CONDITIONS!$A:$A,$N53)-1))+($H53*(SUMIFS(OBJECT_CONDITIONS!$N:$N,OBJECT_CONDITIONS!$A:$A,$N53)-1))+($I53*(SUMIFS(OBJECT_CONDITIONS!$P:$P,OBJECT_CONDITIONS!$A:$A,$N53)-1))+($J53*(SUMIFS(OBJECT_CONDITIONS!$R:$R,OBJECT_CONDITIONS!$A:$A,$N53)-1))+($K53*(SUMIFS(OBJECT_CONDITIONS!$T:$T,OBJECT_CONDITIONS!$A:$A,$N53)-1)),3))</f>
        <v/>
      </c>
      <c r="P53" s="15" t="n"/>
    </row>
    <row r="54">
      <c r="A54" s="15" t="n"/>
      <c r="B54" s="15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5" t="n"/>
      <c r="M54" s="15" t="n"/>
      <c r="N54" s="15" t="n"/>
      <c r="O54" s="16">
        <f>IF($N54="","",ROUND(1+($C54*(SUMIFS(OBJECT_CONDITIONS!$D:$D,OBJECT_CONDITIONS!$A:$A,$N54)-1))+($D54*(SUMIFS(OBJECT_CONDITIONS!$F:$F,OBJECT_CONDITIONS!$A:$A,$N54)-1))+($E54*(SUMIFS(OBJECT_CONDITIONS!$H:$H,OBJECT_CONDITIONS!$A:$A,$N54)-1))+($F54*(SUMIFS(OBJECT_CONDITIONS!$J:$J,OBJECT_CONDITIONS!$A:$A,$N54)-1))+($G54*(SUMIFS(OBJECT_CONDITIONS!$L:$L,OBJECT_CONDITIONS!$A:$A,$N54)-1))+($H54*(SUMIFS(OBJECT_CONDITIONS!$N:$N,OBJECT_CONDITIONS!$A:$A,$N54)-1))+($I54*(SUMIFS(OBJECT_CONDITIONS!$P:$P,OBJECT_CONDITIONS!$A:$A,$N54)-1))+($J54*(SUMIFS(OBJECT_CONDITIONS!$R:$R,OBJECT_CONDITIONS!$A:$A,$N54)-1))+($K54*(SUMIFS(OBJECT_CONDITIONS!$T:$T,OBJECT_CONDITIONS!$A:$A,$N54)-1)),3))</f>
        <v/>
      </c>
      <c r="P54" s="15" t="n"/>
    </row>
    <row r="55">
      <c r="A55" s="15" t="n"/>
      <c r="B55" s="15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5" t="n"/>
      <c r="M55" s="15" t="n"/>
      <c r="N55" s="15" t="n"/>
      <c r="O55" s="16">
        <f>IF($N55="","",ROUND(1+($C55*(SUMIFS(OBJECT_CONDITIONS!$D:$D,OBJECT_CONDITIONS!$A:$A,$N55)-1))+($D55*(SUMIFS(OBJECT_CONDITIONS!$F:$F,OBJECT_CONDITIONS!$A:$A,$N55)-1))+($E55*(SUMIFS(OBJECT_CONDITIONS!$H:$H,OBJECT_CONDITIONS!$A:$A,$N55)-1))+($F55*(SUMIFS(OBJECT_CONDITIONS!$J:$J,OBJECT_CONDITIONS!$A:$A,$N55)-1))+($G55*(SUMIFS(OBJECT_CONDITIONS!$L:$L,OBJECT_CONDITIONS!$A:$A,$N55)-1))+($H55*(SUMIFS(OBJECT_CONDITIONS!$N:$N,OBJECT_CONDITIONS!$A:$A,$N55)-1))+($I55*(SUMIFS(OBJECT_CONDITIONS!$P:$P,OBJECT_CONDITIONS!$A:$A,$N55)-1))+($J55*(SUMIFS(OBJECT_CONDITIONS!$R:$R,OBJECT_CONDITIONS!$A:$A,$N55)-1))+($K55*(SUMIFS(OBJECT_CONDITIONS!$T:$T,OBJECT_CONDITIONS!$A:$A,$N55)-1)),3))</f>
        <v/>
      </c>
      <c r="P55" s="15" t="n"/>
    </row>
    <row r="56">
      <c r="A56" s="15" t="n"/>
      <c r="B56" s="15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5" t="n"/>
      <c r="M56" s="15" t="n"/>
      <c r="N56" s="15" t="n"/>
      <c r="O56" s="16">
        <f>IF($N56="","",ROUND(1+($C56*(SUMIFS(OBJECT_CONDITIONS!$D:$D,OBJECT_CONDITIONS!$A:$A,$N56)-1))+($D56*(SUMIFS(OBJECT_CONDITIONS!$F:$F,OBJECT_CONDITIONS!$A:$A,$N56)-1))+($E56*(SUMIFS(OBJECT_CONDITIONS!$H:$H,OBJECT_CONDITIONS!$A:$A,$N56)-1))+($F56*(SUMIFS(OBJECT_CONDITIONS!$J:$J,OBJECT_CONDITIONS!$A:$A,$N56)-1))+($G56*(SUMIFS(OBJECT_CONDITIONS!$L:$L,OBJECT_CONDITIONS!$A:$A,$N56)-1))+($H56*(SUMIFS(OBJECT_CONDITIONS!$N:$N,OBJECT_CONDITIONS!$A:$A,$N56)-1))+($I56*(SUMIFS(OBJECT_CONDITIONS!$P:$P,OBJECT_CONDITIONS!$A:$A,$N56)-1))+($J56*(SUMIFS(OBJECT_CONDITIONS!$R:$R,OBJECT_CONDITIONS!$A:$A,$N56)-1))+($K56*(SUMIFS(OBJECT_CONDITIONS!$T:$T,OBJECT_CONDITIONS!$A:$A,$N56)-1)),3))</f>
        <v/>
      </c>
      <c r="P56" s="15" t="n"/>
    </row>
    <row r="57">
      <c r="A57" s="15" t="n"/>
      <c r="B57" s="15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5" t="n"/>
      <c r="M57" s="15" t="n"/>
      <c r="N57" s="15" t="n"/>
      <c r="O57" s="16">
        <f>IF($N57="","",ROUND(1+($C57*(SUMIFS(OBJECT_CONDITIONS!$D:$D,OBJECT_CONDITIONS!$A:$A,$N57)-1))+($D57*(SUMIFS(OBJECT_CONDITIONS!$F:$F,OBJECT_CONDITIONS!$A:$A,$N57)-1))+($E57*(SUMIFS(OBJECT_CONDITIONS!$H:$H,OBJECT_CONDITIONS!$A:$A,$N57)-1))+($F57*(SUMIFS(OBJECT_CONDITIONS!$J:$J,OBJECT_CONDITIONS!$A:$A,$N57)-1))+($G57*(SUMIFS(OBJECT_CONDITIONS!$L:$L,OBJECT_CONDITIONS!$A:$A,$N57)-1))+($H57*(SUMIFS(OBJECT_CONDITIONS!$N:$N,OBJECT_CONDITIONS!$A:$A,$N57)-1))+($I57*(SUMIFS(OBJECT_CONDITIONS!$P:$P,OBJECT_CONDITIONS!$A:$A,$N57)-1))+($J57*(SUMIFS(OBJECT_CONDITIONS!$R:$R,OBJECT_CONDITIONS!$A:$A,$N57)-1))+($K57*(SUMIFS(OBJECT_CONDITIONS!$T:$T,OBJECT_CONDITIONS!$A:$A,$N57)-1)),3))</f>
        <v/>
      </c>
      <c r="P57" s="15" t="n"/>
    </row>
    <row r="58">
      <c r="A58" s="15" t="n"/>
      <c r="B58" s="15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5" t="n"/>
      <c r="M58" s="15" t="n"/>
      <c r="N58" s="15" t="n"/>
      <c r="O58" s="16">
        <f>IF($N58="","",ROUND(1+($C58*(SUMIFS(OBJECT_CONDITIONS!$D:$D,OBJECT_CONDITIONS!$A:$A,$N58)-1))+($D58*(SUMIFS(OBJECT_CONDITIONS!$F:$F,OBJECT_CONDITIONS!$A:$A,$N58)-1))+($E58*(SUMIFS(OBJECT_CONDITIONS!$H:$H,OBJECT_CONDITIONS!$A:$A,$N58)-1))+($F58*(SUMIFS(OBJECT_CONDITIONS!$J:$J,OBJECT_CONDITIONS!$A:$A,$N58)-1))+($G58*(SUMIFS(OBJECT_CONDITIONS!$L:$L,OBJECT_CONDITIONS!$A:$A,$N58)-1))+($H58*(SUMIFS(OBJECT_CONDITIONS!$N:$N,OBJECT_CONDITIONS!$A:$A,$N58)-1))+($I58*(SUMIFS(OBJECT_CONDITIONS!$P:$P,OBJECT_CONDITIONS!$A:$A,$N58)-1))+($J58*(SUMIFS(OBJECT_CONDITIONS!$R:$R,OBJECT_CONDITIONS!$A:$A,$N58)-1))+($K58*(SUMIFS(OBJECT_CONDITIONS!$T:$T,OBJECT_CONDITIONS!$A:$A,$N58)-1)),3))</f>
        <v/>
      </c>
      <c r="P58" s="15" t="n"/>
    </row>
    <row r="59">
      <c r="A59" s="15" t="n"/>
      <c r="B59" s="15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5" t="n"/>
      <c r="M59" s="15" t="n"/>
      <c r="N59" s="15" t="n"/>
      <c r="O59" s="16">
        <f>IF($N59="","",ROUND(1+($C59*(SUMIFS(OBJECT_CONDITIONS!$D:$D,OBJECT_CONDITIONS!$A:$A,$N59)-1))+($D59*(SUMIFS(OBJECT_CONDITIONS!$F:$F,OBJECT_CONDITIONS!$A:$A,$N59)-1))+($E59*(SUMIFS(OBJECT_CONDITIONS!$H:$H,OBJECT_CONDITIONS!$A:$A,$N59)-1))+($F59*(SUMIFS(OBJECT_CONDITIONS!$J:$J,OBJECT_CONDITIONS!$A:$A,$N59)-1))+($G59*(SUMIFS(OBJECT_CONDITIONS!$L:$L,OBJECT_CONDITIONS!$A:$A,$N59)-1))+($H59*(SUMIFS(OBJECT_CONDITIONS!$N:$N,OBJECT_CONDITIONS!$A:$A,$N59)-1))+($I59*(SUMIFS(OBJECT_CONDITIONS!$P:$P,OBJECT_CONDITIONS!$A:$A,$N59)-1))+($J59*(SUMIFS(OBJECT_CONDITIONS!$R:$R,OBJECT_CONDITIONS!$A:$A,$N59)-1))+($K59*(SUMIFS(OBJECT_CONDITIONS!$T:$T,OBJECT_CONDITIONS!$A:$A,$N59)-1)),3))</f>
        <v/>
      </c>
      <c r="P59" s="15" t="n"/>
    </row>
    <row r="60">
      <c r="A60" s="15" t="n"/>
      <c r="B60" s="15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5" t="n"/>
      <c r="M60" s="15" t="n"/>
      <c r="N60" s="15" t="n"/>
      <c r="O60" s="16">
        <f>IF($N60="","",ROUND(1+($C60*(SUMIFS(OBJECT_CONDITIONS!$D:$D,OBJECT_CONDITIONS!$A:$A,$N60)-1))+($D60*(SUMIFS(OBJECT_CONDITIONS!$F:$F,OBJECT_CONDITIONS!$A:$A,$N60)-1))+($E60*(SUMIFS(OBJECT_CONDITIONS!$H:$H,OBJECT_CONDITIONS!$A:$A,$N60)-1))+($F60*(SUMIFS(OBJECT_CONDITIONS!$J:$J,OBJECT_CONDITIONS!$A:$A,$N60)-1))+($G60*(SUMIFS(OBJECT_CONDITIONS!$L:$L,OBJECT_CONDITIONS!$A:$A,$N60)-1))+($H60*(SUMIFS(OBJECT_CONDITIONS!$N:$N,OBJECT_CONDITIONS!$A:$A,$N60)-1))+($I60*(SUMIFS(OBJECT_CONDITIONS!$P:$P,OBJECT_CONDITIONS!$A:$A,$N60)-1))+($J60*(SUMIFS(OBJECT_CONDITIONS!$R:$R,OBJECT_CONDITIONS!$A:$A,$N60)-1))+($K60*(SUMIFS(OBJECT_CONDITIONS!$T:$T,OBJECT_CONDITIONS!$A:$A,$N60)-1)),3))</f>
        <v/>
      </c>
      <c r="P60" s="15" t="n"/>
    </row>
    <row r="61">
      <c r="A61" s="15" t="n"/>
      <c r="B61" s="15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5" t="n"/>
      <c r="M61" s="15" t="n"/>
      <c r="N61" s="15" t="n"/>
      <c r="O61" s="16">
        <f>IF($N61="","",ROUND(1+($C61*(SUMIFS(OBJECT_CONDITIONS!$D:$D,OBJECT_CONDITIONS!$A:$A,$N61)-1))+($D61*(SUMIFS(OBJECT_CONDITIONS!$F:$F,OBJECT_CONDITIONS!$A:$A,$N61)-1))+($E61*(SUMIFS(OBJECT_CONDITIONS!$H:$H,OBJECT_CONDITIONS!$A:$A,$N61)-1))+($F61*(SUMIFS(OBJECT_CONDITIONS!$J:$J,OBJECT_CONDITIONS!$A:$A,$N61)-1))+($G61*(SUMIFS(OBJECT_CONDITIONS!$L:$L,OBJECT_CONDITIONS!$A:$A,$N61)-1))+($H61*(SUMIFS(OBJECT_CONDITIONS!$N:$N,OBJECT_CONDITIONS!$A:$A,$N61)-1))+($I61*(SUMIFS(OBJECT_CONDITIONS!$P:$P,OBJECT_CONDITIONS!$A:$A,$N61)-1))+($J61*(SUMIFS(OBJECT_CONDITIONS!$R:$R,OBJECT_CONDITIONS!$A:$A,$N61)-1))+($K61*(SUMIFS(OBJECT_CONDITIONS!$T:$T,OBJECT_CONDITIONS!$A:$A,$N61)-1)),3))</f>
        <v/>
      </c>
      <c r="P61" s="15" t="n"/>
    </row>
    <row r="62">
      <c r="A62" s="15" t="n"/>
      <c r="B62" s="15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5" t="n"/>
      <c r="M62" s="15" t="n"/>
      <c r="N62" s="15" t="n"/>
      <c r="O62" s="16">
        <f>IF($N62="","",ROUND(1+($C62*(SUMIFS(OBJECT_CONDITIONS!$D:$D,OBJECT_CONDITIONS!$A:$A,$N62)-1))+($D62*(SUMIFS(OBJECT_CONDITIONS!$F:$F,OBJECT_CONDITIONS!$A:$A,$N62)-1))+($E62*(SUMIFS(OBJECT_CONDITIONS!$H:$H,OBJECT_CONDITIONS!$A:$A,$N62)-1))+($F62*(SUMIFS(OBJECT_CONDITIONS!$J:$J,OBJECT_CONDITIONS!$A:$A,$N62)-1))+($G62*(SUMIFS(OBJECT_CONDITIONS!$L:$L,OBJECT_CONDITIONS!$A:$A,$N62)-1))+($H62*(SUMIFS(OBJECT_CONDITIONS!$N:$N,OBJECT_CONDITIONS!$A:$A,$N62)-1))+($I62*(SUMIFS(OBJECT_CONDITIONS!$P:$P,OBJECT_CONDITIONS!$A:$A,$N62)-1))+($J62*(SUMIFS(OBJECT_CONDITIONS!$R:$R,OBJECT_CONDITIONS!$A:$A,$N62)-1))+($K62*(SUMIFS(OBJECT_CONDITIONS!$T:$T,OBJECT_CONDITIONS!$A:$A,$N62)-1)),3))</f>
        <v/>
      </c>
      <c r="P62" s="15" t="n"/>
    </row>
    <row r="63">
      <c r="A63" s="15" t="n"/>
      <c r="B63" s="15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5" t="n"/>
      <c r="M63" s="15" t="n"/>
      <c r="N63" s="15" t="n"/>
      <c r="O63" s="16">
        <f>IF($N63="","",ROUND(1+($C63*(SUMIFS(OBJECT_CONDITIONS!$D:$D,OBJECT_CONDITIONS!$A:$A,$N63)-1))+($D63*(SUMIFS(OBJECT_CONDITIONS!$F:$F,OBJECT_CONDITIONS!$A:$A,$N63)-1))+($E63*(SUMIFS(OBJECT_CONDITIONS!$H:$H,OBJECT_CONDITIONS!$A:$A,$N63)-1))+($F63*(SUMIFS(OBJECT_CONDITIONS!$J:$J,OBJECT_CONDITIONS!$A:$A,$N63)-1))+($G63*(SUMIFS(OBJECT_CONDITIONS!$L:$L,OBJECT_CONDITIONS!$A:$A,$N63)-1))+($H63*(SUMIFS(OBJECT_CONDITIONS!$N:$N,OBJECT_CONDITIONS!$A:$A,$N63)-1))+($I63*(SUMIFS(OBJECT_CONDITIONS!$P:$P,OBJECT_CONDITIONS!$A:$A,$N63)-1))+($J63*(SUMIFS(OBJECT_CONDITIONS!$R:$R,OBJECT_CONDITIONS!$A:$A,$N63)-1))+($K63*(SUMIFS(OBJECT_CONDITIONS!$T:$T,OBJECT_CONDITIONS!$A:$A,$N63)-1)),3))</f>
        <v/>
      </c>
      <c r="P63" s="15" t="n"/>
    </row>
    <row r="64">
      <c r="A64" s="15" t="n"/>
      <c r="B64" s="15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5" t="n"/>
      <c r="M64" s="15" t="n"/>
      <c r="N64" s="15" t="n"/>
      <c r="O64" s="16">
        <f>IF($N64="","",ROUND(1+($C64*(SUMIFS(OBJECT_CONDITIONS!$D:$D,OBJECT_CONDITIONS!$A:$A,$N64)-1))+($D64*(SUMIFS(OBJECT_CONDITIONS!$F:$F,OBJECT_CONDITIONS!$A:$A,$N64)-1))+($E64*(SUMIFS(OBJECT_CONDITIONS!$H:$H,OBJECT_CONDITIONS!$A:$A,$N64)-1))+($F64*(SUMIFS(OBJECT_CONDITIONS!$J:$J,OBJECT_CONDITIONS!$A:$A,$N64)-1))+($G64*(SUMIFS(OBJECT_CONDITIONS!$L:$L,OBJECT_CONDITIONS!$A:$A,$N64)-1))+($H64*(SUMIFS(OBJECT_CONDITIONS!$N:$N,OBJECT_CONDITIONS!$A:$A,$N64)-1))+($I64*(SUMIFS(OBJECT_CONDITIONS!$P:$P,OBJECT_CONDITIONS!$A:$A,$N64)-1))+($J64*(SUMIFS(OBJECT_CONDITIONS!$R:$R,OBJECT_CONDITIONS!$A:$A,$N64)-1))+($K64*(SUMIFS(OBJECT_CONDITIONS!$T:$T,OBJECT_CONDITIONS!$A:$A,$N64)-1)),3))</f>
        <v/>
      </c>
      <c r="P64" s="15" t="n"/>
    </row>
    <row r="65">
      <c r="A65" s="15" t="n"/>
      <c r="B65" s="15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5" t="n"/>
      <c r="M65" s="15" t="n"/>
      <c r="N65" s="15" t="n"/>
      <c r="O65" s="16">
        <f>IF($N65="","",ROUND(1+($C65*(SUMIFS(OBJECT_CONDITIONS!$D:$D,OBJECT_CONDITIONS!$A:$A,$N65)-1))+($D65*(SUMIFS(OBJECT_CONDITIONS!$F:$F,OBJECT_CONDITIONS!$A:$A,$N65)-1))+($E65*(SUMIFS(OBJECT_CONDITIONS!$H:$H,OBJECT_CONDITIONS!$A:$A,$N65)-1))+($F65*(SUMIFS(OBJECT_CONDITIONS!$J:$J,OBJECT_CONDITIONS!$A:$A,$N65)-1))+($G65*(SUMIFS(OBJECT_CONDITIONS!$L:$L,OBJECT_CONDITIONS!$A:$A,$N65)-1))+($H65*(SUMIFS(OBJECT_CONDITIONS!$N:$N,OBJECT_CONDITIONS!$A:$A,$N65)-1))+($I65*(SUMIFS(OBJECT_CONDITIONS!$P:$P,OBJECT_CONDITIONS!$A:$A,$N65)-1))+($J65*(SUMIFS(OBJECT_CONDITIONS!$R:$R,OBJECT_CONDITIONS!$A:$A,$N65)-1))+($K65*(SUMIFS(OBJECT_CONDITIONS!$T:$T,OBJECT_CONDITIONS!$A:$A,$N65)-1)),3))</f>
        <v/>
      </c>
      <c r="P65" s="15" t="n"/>
    </row>
    <row r="66">
      <c r="A66" s="15" t="n"/>
      <c r="B66" s="15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5" t="n"/>
      <c r="M66" s="15" t="n"/>
      <c r="N66" s="15" t="n"/>
      <c r="O66" s="16">
        <f>IF($N66="","",ROUND(1+($C66*(SUMIFS(OBJECT_CONDITIONS!$D:$D,OBJECT_CONDITIONS!$A:$A,$N66)-1))+($D66*(SUMIFS(OBJECT_CONDITIONS!$F:$F,OBJECT_CONDITIONS!$A:$A,$N66)-1))+($E66*(SUMIFS(OBJECT_CONDITIONS!$H:$H,OBJECT_CONDITIONS!$A:$A,$N66)-1))+($F66*(SUMIFS(OBJECT_CONDITIONS!$J:$J,OBJECT_CONDITIONS!$A:$A,$N66)-1))+($G66*(SUMIFS(OBJECT_CONDITIONS!$L:$L,OBJECT_CONDITIONS!$A:$A,$N66)-1))+($H66*(SUMIFS(OBJECT_CONDITIONS!$N:$N,OBJECT_CONDITIONS!$A:$A,$N66)-1))+($I66*(SUMIFS(OBJECT_CONDITIONS!$P:$P,OBJECT_CONDITIONS!$A:$A,$N66)-1))+($J66*(SUMIFS(OBJECT_CONDITIONS!$R:$R,OBJECT_CONDITIONS!$A:$A,$N66)-1))+($K66*(SUMIFS(OBJECT_CONDITIONS!$T:$T,OBJECT_CONDITIONS!$A:$A,$N66)-1)),3))</f>
        <v/>
      </c>
      <c r="P66" s="15" t="n"/>
    </row>
    <row r="67">
      <c r="A67" s="15" t="n"/>
      <c r="B67" s="15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5" t="n"/>
      <c r="M67" s="15" t="n"/>
      <c r="N67" s="15" t="n"/>
      <c r="O67" s="16">
        <f>IF($N67="","",ROUND(1+($C67*(SUMIFS(OBJECT_CONDITIONS!$D:$D,OBJECT_CONDITIONS!$A:$A,$N67)-1))+($D67*(SUMIFS(OBJECT_CONDITIONS!$F:$F,OBJECT_CONDITIONS!$A:$A,$N67)-1))+($E67*(SUMIFS(OBJECT_CONDITIONS!$H:$H,OBJECT_CONDITIONS!$A:$A,$N67)-1))+($F67*(SUMIFS(OBJECT_CONDITIONS!$J:$J,OBJECT_CONDITIONS!$A:$A,$N67)-1))+($G67*(SUMIFS(OBJECT_CONDITIONS!$L:$L,OBJECT_CONDITIONS!$A:$A,$N67)-1))+($H67*(SUMIFS(OBJECT_CONDITIONS!$N:$N,OBJECT_CONDITIONS!$A:$A,$N67)-1))+($I67*(SUMIFS(OBJECT_CONDITIONS!$P:$P,OBJECT_CONDITIONS!$A:$A,$N67)-1))+($J67*(SUMIFS(OBJECT_CONDITIONS!$R:$R,OBJECT_CONDITIONS!$A:$A,$N67)-1))+($K67*(SUMIFS(OBJECT_CONDITIONS!$T:$T,OBJECT_CONDITIONS!$A:$A,$N67)-1)),3))</f>
        <v/>
      </c>
      <c r="P67" s="15" t="n"/>
    </row>
    <row r="68">
      <c r="A68" s="15" t="n"/>
      <c r="B68" s="15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5" t="n"/>
      <c r="M68" s="15" t="n"/>
      <c r="N68" s="15" t="n"/>
      <c r="O68" s="16">
        <f>IF($N68="","",ROUND(1+($C68*(SUMIFS(OBJECT_CONDITIONS!$D:$D,OBJECT_CONDITIONS!$A:$A,$N68)-1))+($D68*(SUMIFS(OBJECT_CONDITIONS!$F:$F,OBJECT_CONDITIONS!$A:$A,$N68)-1))+($E68*(SUMIFS(OBJECT_CONDITIONS!$H:$H,OBJECT_CONDITIONS!$A:$A,$N68)-1))+($F68*(SUMIFS(OBJECT_CONDITIONS!$J:$J,OBJECT_CONDITIONS!$A:$A,$N68)-1))+($G68*(SUMIFS(OBJECT_CONDITIONS!$L:$L,OBJECT_CONDITIONS!$A:$A,$N68)-1))+($H68*(SUMIFS(OBJECT_CONDITIONS!$N:$N,OBJECT_CONDITIONS!$A:$A,$N68)-1))+($I68*(SUMIFS(OBJECT_CONDITIONS!$P:$P,OBJECT_CONDITIONS!$A:$A,$N68)-1))+($J68*(SUMIFS(OBJECT_CONDITIONS!$R:$R,OBJECT_CONDITIONS!$A:$A,$N68)-1))+($K68*(SUMIFS(OBJECT_CONDITIONS!$T:$T,OBJECT_CONDITIONS!$A:$A,$N68)-1)),3))</f>
        <v/>
      </c>
      <c r="P68" s="15" t="n"/>
    </row>
    <row r="69">
      <c r="A69" s="15" t="n"/>
      <c r="B69" s="15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5" t="n"/>
      <c r="M69" s="15" t="n"/>
      <c r="N69" s="15" t="n"/>
      <c r="O69" s="16">
        <f>IF($N69="","",ROUND(1+($C69*(SUMIFS(OBJECT_CONDITIONS!$D:$D,OBJECT_CONDITIONS!$A:$A,$N69)-1))+($D69*(SUMIFS(OBJECT_CONDITIONS!$F:$F,OBJECT_CONDITIONS!$A:$A,$N69)-1))+($E69*(SUMIFS(OBJECT_CONDITIONS!$H:$H,OBJECT_CONDITIONS!$A:$A,$N69)-1))+($F69*(SUMIFS(OBJECT_CONDITIONS!$J:$J,OBJECT_CONDITIONS!$A:$A,$N69)-1))+($G69*(SUMIFS(OBJECT_CONDITIONS!$L:$L,OBJECT_CONDITIONS!$A:$A,$N69)-1))+($H69*(SUMIFS(OBJECT_CONDITIONS!$N:$N,OBJECT_CONDITIONS!$A:$A,$N69)-1))+($I69*(SUMIFS(OBJECT_CONDITIONS!$P:$P,OBJECT_CONDITIONS!$A:$A,$N69)-1))+($J69*(SUMIFS(OBJECT_CONDITIONS!$R:$R,OBJECT_CONDITIONS!$A:$A,$N69)-1))+($K69*(SUMIFS(OBJECT_CONDITIONS!$T:$T,OBJECT_CONDITIONS!$A:$A,$N69)-1)),3))</f>
        <v/>
      </c>
      <c r="P69" s="15" t="n"/>
    </row>
    <row r="70">
      <c r="A70" s="15" t="n"/>
      <c r="B70" s="15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5" t="n"/>
      <c r="M70" s="15" t="n"/>
      <c r="N70" s="15" t="n"/>
      <c r="O70" s="16">
        <f>IF($N70="","",ROUND(1+($C70*(SUMIFS(OBJECT_CONDITIONS!$D:$D,OBJECT_CONDITIONS!$A:$A,$N70)-1))+($D70*(SUMIFS(OBJECT_CONDITIONS!$F:$F,OBJECT_CONDITIONS!$A:$A,$N70)-1))+($E70*(SUMIFS(OBJECT_CONDITIONS!$H:$H,OBJECT_CONDITIONS!$A:$A,$N70)-1))+($F70*(SUMIFS(OBJECT_CONDITIONS!$J:$J,OBJECT_CONDITIONS!$A:$A,$N70)-1))+($G70*(SUMIFS(OBJECT_CONDITIONS!$L:$L,OBJECT_CONDITIONS!$A:$A,$N70)-1))+($H70*(SUMIFS(OBJECT_CONDITIONS!$N:$N,OBJECT_CONDITIONS!$A:$A,$N70)-1))+($I70*(SUMIFS(OBJECT_CONDITIONS!$P:$P,OBJECT_CONDITIONS!$A:$A,$N70)-1))+($J70*(SUMIFS(OBJECT_CONDITIONS!$R:$R,OBJECT_CONDITIONS!$A:$A,$N70)-1))+($K70*(SUMIFS(OBJECT_CONDITIONS!$T:$T,OBJECT_CONDITIONS!$A:$A,$N70)-1)),3))</f>
        <v/>
      </c>
      <c r="P70" s="15" t="n"/>
    </row>
    <row r="71">
      <c r="A71" s="15" t="n"/>
      <c r="B71" s="15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5" t="n"/>
      <c r="M71" s="15" t="n"/>
      <c r="N71" s="15" t="n"/>
      <c r="O71" s="16">
        <f>IF($N71="","",ROUND(1+($C71*(SUMIFS(OBJECT_CONDITIONS!$D:$D,OBJECT_CONDITIONS!$A:$A,$N71)-1))+($D71*(SUMIFS(OBJECT_CONDITIONS!$F:$F,OBJECT_CONDITIONS!$A:$A,$N71)-1))+($E71*(SUMIFS(OBJECT_CONDITIONS!$H:$H,OBJECT_CONDITIONS!$A:$A,$N71)-1))+($F71*(SUMIFS(OBJECT_CONDITIONS!$J:$J,OBJECT_CONDITIONS!$A:$A,$N71)-1))+($G71*(SUMIFS(OBJECT_CONDITIONS!$L:$L,OBJECT_CONDITIONS!$A:$A,$N71)-1))+($H71*(SUMIFS(OBJECT_CONDITIONS!$N:$N,OBJECT_CONDITIONS!$A:$A,$N71)-1))+($I71*(SUMIFS(OBJECT_CONDITIONS!$P:$P,OBJECT_CONDITIONS!$A:$A,$N71)-1))+($J71*(SUMIFS(OBJECT_CONDITIONS!$R:$R,OBJECT_CONDITIONS!$A:$A,$N71)-1))+($K71*(SUMIFS(OBJECT_CONDITIONS!$T:$T,OBJECT_CONDITIONS!$A:$A,$N71)-1)),3))</f>
        <v/>
      </c>
      <c r="P71" s="15" t="n"/>
    </row>
    <row r="72">
      <c r="A72" s="15" t="n"/>
      <c r="B72" s="15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5" t="n"/>
      <c r="M72" s="15" t="n"/>
      <c r="N72" s="15" t="n"/>
      <c r="O72" s="16">
        <f>IF($N72="","",ROUND(1+($C72*(SUMIFS(OBJECT_CONDITIONS!$D:$D,OBJECT_CONDITIONS!$A:$A,$N72)-1))+($D72*(SUMIFS(OBJECT_CONDITIONS!$F:$F,OBJECT_CONDITIONS!$A:$A,$N72)-1))+($E72*(SUMIFS(OBJECT_CONDITIONS!$H:$H,OBJECT_CONDITIONS!$A:$A,$N72)-1))+($F72*(SUMIFS(OBJECT_CONDITIONS!$J:$J,OBJECT_CONDITIONS!$A:$A,$N72)-1))+($G72*(SUMIFS(OBJECT_CONDITIONS!$L:$L,OBJECT_CONDITIONS!$A:$A,$N72)-1))+($H72*(SUMIFS(OBJECT_CONDITIONS!$N:$N,OBJECT_CONDITIONS!$A:$A,$N72)-1))+($I72*(SUMIFS(OBJECT_CONDITIONS!$P:$P,OBJECT_CONDITIONS!$A:$A,$N72)-1))+($J72*(SUMIFS(OBJECT_CONDITIONS!$R:$R,OBJECT_CONDITIONS!$A:$A,$N72)-1))+($K72*(SUMIFS(OBJECT_CONDITIONS!$T:$T,OBJECT_CONDITIONS!$A:$A,$N72)-1)),3))</f>
        <v/>
      </c>
      <c r="P72" s="15" t="n"/>
    </row>
    <row r="73">
      <c r="A73" s="15" t="n"/>
      <c r="B73" s="15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5" t="n"/>
      <c r="M73" s="15" t="n"/>
      <c r="N73" s="15" t="n"/>
      <c r="O73" s="16">
        <f>IF($N73="","",ROUND(1+($C73*(SUMIFS(OBJECT_CONDITIONS!$D:$D,OBJECT_CONDITIONS!$A:$A,$N73)-1))+($D73*(SUMIFS(OBJECT_CONDITIONS!$F:$F,OBJECT_CONDITIONS!$A:$A,$N73)-1))+($E73*(SUMIFS(OBJECT_CONDITIONS!$H:$H,OBJECT_CONDITIONS!$A:$A,$N73)-1))+($F73*(SUMIFS(OBJECT_CONDITIONS!$J:$J,OBJECT_CONDITIONS!$A:$A,$N73)-1))+($G73*(SUMIFS(OBJECT_CONDITIONS!$L:$L,OBJECT_CONDITIONS!$A:$A,$N73)-1))+($H73*(SUMIFS(OBJECT_CONDITIONS!$N:$N,OBJECT_CONDITIONS!$A:$A,$N73)-1))+($I73*(SUMIFS(OBJECT_CONDITIONS!$P:$P,OBJECT_CONDITIONS!$A:$A,$N73)-1))+($J73*(SUMIFS(OBJECT_CONDITIONS!$R:$R,OBJECT_CONDITIONS!$A:$A,$N73)-1))+($K73*(SUMIFS(OBJECT_CONDITIONS!$T:$T,OBJECT_CONDITIONS!$A:$A,$N73)-1)),3))</f>
        <v/>
      </c>
      <c r="P73" s="15" t="n"/>
    </row>
    <row r="74">
      <c r="A74" s="15" t="n"/>
      <c r="B74" s="15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5" t="n"/>
      <c r="M74" s="15" t="n"/>
      <c r="N74" s="15" t="n"/>
      <c r="O74" s="16">
        <f>IF($N74="","",ROUND(1+($C74*(SUMIFS(OBJECT_CONDITIONS!$D:$D,OBJECT_CONDITIONS!$A:$A,$N74)-1))+($D74*(SUMIFS(OBJECT_CONDITIONS!$F:$F,OBJECT_CONDITIONS!$A:$A,$N74)-1))+($E74*(SUMIFS(OBJECT_CONDITIONS!$H:$H,OBJECT_CONDITIONS!$A:$A,$N74)-1))+($F74*(SUMIFS(OBJECT_CONDITIONS!$J:$J,OBJECT_CONDITIONS!$A:$A,$N74)-1))+($G74*(SUMIFS(OBJECT_CONDITIONS!$L:$L,OBJECT_CONDITIONS!$A:$A,$N74)-1))+($H74*(SUMIFS(OBJECT_CONDITIONS!$N:$N,OBJECT_CONDITIONS!$A:$A,$N74)-1))+($I74*(SUMIFS(OBJECT_CONDITIONS!$P:$P,OBJECT_CONDITIONS!$A:$A,$N74)-1))+($J74*(SUMIFS(OBJECT_CONDITIONS!$R:$R,OBJECT_CONDITIONS!$A:$A,$N74)-1))+($K74*(SUMIFS(OBJECT_CONDITIONS!$T:$T,OBJECT_CONDITIONS!$A:$A,$N74)-1)),3))</f>
        <v/>
      </c>
      <c r="P74" s="15" t="n"/>
    </row>
    <row r="75">
      <c r="A75" s="15" t="n"/>
      <c r="B75" s="15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5" t="n"/>
      <c r="M75" s="15" t="n"/>
      <c r="N75" s="15" t="n"/>
      <c r="O75" s="16">
        <f>IF($N75="","",ROUND(1+($C75*(SUMIFS(OBJECT_CONDITIONS!$D:$D,OBJECT_CONDITIONS!$A:$A,$N75)-1))+($D75*(SUMIFS(OBJECT_CONDITIONS!$F:$F,OBJECT_CONDITIONS!$A:$A,$N75)-1))+($E75*(SUMIFS(OBJECT_CONDITIONS!$H:$H,OBJECT_CONDITIONS!$A:$A,$N75)-1))+($F75*(SUMIFS(OBJECT_CONDITIONS!$J:$J,OBJECT_CONDITIONS!$A:$A,$N75)-1))+($G75*(SUMIFS(OBJECT_CONDITIONS!$L:$L,OBJECT_CONDITIONS!$A:$A,$N75)-1))+($H75*(SUMIFS(OBJECT_CONDITIONS!$N:$N,OBJECT_CONDITIONS!$A:$A,$N75)-1))+($I75*(SUMIFS(OBJECT_CONDITIONS!$P:$P,OBJECT_CONDITIONS!$A:$A,$N75)-1))+($J75*(SUMIFS(OBJECT_CONDITIONS!$R:$R,OBJECT_CONDITIONS!$A:$A,$N75)-1))+($K75*(SUMIFS(OBJECT_CONDITIONS!$T:$T,OBJECT_CONDITIONS!$A:$A,$N75)-1)),3))</f>
        <v/>
      </c>
      <c r="P75" s="15" t="n"/>
    </row>
    <row r="76">
      <c r="A76" s="15" t="n"/>
      <c r="B76" s="15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5" t="n"/>
      <c r="M76" s="15" t="n"/>
      <c r="N76" s="15" t="n"/>
      <c r="O76" s="16">
        <f>IF($N76="","",ROUND(1+($C76*(SUMIFS(OBJECT_CONDITIONS!$D:$D,OBJECT_CONDITIONS!$A:$A,$N76)-1))+($D76*(SUMIFS(OBJECT_CONDITIONS!$F:$F,OBJECT_CONDITIONS!$A:$A,$N76)-1))+($E76*(SUMIFS(OBJECT_CONDITIONS!$H:$H,OBJECT_CONDITIONS!$A:$A,$N76)-1))+($F76*(SUMIFS(OBJECT_CONDITIONS!$J:$J,OBJECT_CONDITIONS!$A:$A,$N76)-1))+($G76*(SUMIFS(OBJECT_CONDITIONS!$L:$L,OBJECT_CONDITIONS!$A:$A,$N76)-1))+($H76*(SUMIFS(OBJECT_CONDITIONS!$N:$N,OBJECT_CONDITIONS!$A:$A,$N76)-1))+($I76*(SUMIFS(OBJECT_CONDITIONS!$P:$P,OBJECT_CONDITIONS!$A:$A,$N76)-1))+($J76*(SUMIFS(OBJECT_CONDITIONS!$R:$R,OBJECT_CONDITIONS!$A:$A,$N76)-1))+($K76*(SUMIFS(OBJECT_CONDITIONS!$T:$T,OBJECT_CONDITIONS!$A:$A,$N76)-1)),3))</f>
        <v/>
      </c>
      <c r="P76" s="15" t="n"/>
    </row>
    <row r="77">
      <c r="A77" s="15" t="n"/>
      <c r="B77" s="15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5" t="n"/>
      <c r="M77" s="15" t="n"/>
      <c r="N77" s="15" t="n"/>
      <c r="O77" s="16">
        <f>IF($N77="","",ROUND(1+($C77*(SUMIFS(OBJECT_CONDITIONS!$D:$D,OBJECT_CONDITIONS!$A:$A,$N77)-1))+($D77*(SUMIFS(OBJECT_CONDITIONS!$F:$F,OBJECT_CONDITIONS!$A:$A,$N77)-1))+($E77*(SUMIFS(OBJECT_CONDITIONS!$H:$H,OBJECT_CONDITIONS!$A:$A,$N77)-1))+($F77*(SUMIFS(OBJECT_CONDITIONS!$J:$J,OBJECT_CONDITIONS!$A:$A,$N77)-1))+($G77*(SUMIFS(OBJECT_CONDITIONS!$L:$L,OBJECT_CONDITIONS!$A:$A,$N77)-1))+($H77*(SUMIFS(OBJECT_CONDITIONS!$N:$N,OBJECT_CONDITIONS!$A:$A,$N77)-1))+($I77*(SUMIFS(OBJECT_CONDITIONS!$P:$P,OBJECT_CONDITIONS!$A:$A,$N77)-1))+($J77*(SUMIFS(OBJECT_CONDITIONS!$R:$R,OBJECT_CONDITIONS!$A:$A,$N77)-1))+($K77*(SUMIFS(OBJECT_CONDITIONS!$T:$T,OBJECT_CONDITIONS!$A:$A,$N77)-1)),3))</f>
        <v/>
      </c>
      <c r="P77" s="15" t="n"/>
    </row>
    <row r="78">
      <c r="A78" s="15" t="n"/>
      <c r="B78" s="15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5" t="n"/>
      <c r="M78" s="15" t="n"/>
      <c r="N78" s="15" t="n"/>
      <c r="O78" s="16">
        <f>IF($N78="","",ROUND(1+($C78*(SUMIFS(OBJECT_CONDITIONS!$D:$D,OBJECT_CONDITIONS!$A:$A,$N78)-1))+($D78*(SUMIFS(OBJECT_CONDITIONS!$F:$F,OBJECT_CONDITIONS!$A:$A,$N78)-1))+($E78*(SUMIFS(OBJECT_CONDITIONS!$H:$H,OBJECT_CONDITIONS!$A:$A,$N78)-1))+($F78*(SUMIFS(OBJECT_CONDITIONS!$J:$J,OBJECT_CONDITIONS!$A:$A,$N78)-1))+($G78*(SUMIFS(OBJECT_CONDITIONS!$L:$L,OBJECT_CONDITIONS!$A:$A,$N78)-1))+($H78*(SUMIFS(OBJECT_CONDITIONS!$N:$N,OBJECT_CONDITIONS!$A:$A,$N78)-1))+($I78*(SUMIFS(OBJECT_CONDITIONS!$P:$P,OBJECT_CONDITIONS!$A:$A,$N78)-1))+($J78*(SUMIFS(OBJECT_CONDITIONS!$R:$R,OBJECT_CONDITIONS!$A:$A,$N78)-1))+($K78*(SUMIFS(OBJECT_CONDITIONS!$T:$T,OBJECT_CONDITIONS!$A:$A,$N78)-1)),3))</f>
        <v/>
      </c>
      <c r="P78" s="15" t="n"/>
    </row>
    <row r="79">
      <c r="A79" s="15" t="n"/>
      <c r="B79" s="15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5" t="n"/>
      <c r="M79" s="15" t="n"/>
      <c r="N79" s="15" t="n"/>
      <c r="O79" s="16">
        <f>IF($N79="","",ROUND(1+($C79*(SUMIFS(OBJECT_CONDITIONS!$D:$D,OBJECT_CONDITIONS!$A:$A,$N79)-1))+($D79*(SUMIFS(OBJECT_CONDITIONS!$F:$F,OBJECT_CONDITIONS!$A:$A,$N79)-1))+($E79*(SUMIFS(OBJECT_CONDITIONS!$H:$H,OBJECT_CONDITIONS!$A:$A,$N79)-1))+($F79*(SUMIFS(OBJECT_CONDITIONS!$J:$J,OBJECT_CONDITIONS!$A:$A,$N79)-1))+($G79*(SUMIFS(OBJECT_CONDITIONS!$L:$L,OBJECT_CONDITIONS!$A:$A,$N79)-1))+($H79*(SUMIFS(OBJECT_CONDITIONS!$N:$N,OBJECT_CONDITIONS!$A:$A,$N79)-1))+($I79*(SUMIFS(OBJECT_CONDITIONS!$P:$P,OBJECT_CONDITIONS!$A:$A,$N79)-1))+($J79*(SUMIFS(OBJECT_CONDITIONS!$R:$R,OBJECT_CONDITIONS!$A:$A,$N79)-1))+($K79*(SUMIFS(OBJECT_CONDITIONS!$T:$T,OBJECT_CONDITIONS!$A:$A,$N79)-1)),3))</f>
        <v/>
      </c>
      <c r="P79" s="15" t="n"/>
    </row>
    <row r="80">
      <c r="A80" s="15" t="n"/>
      <c r="B80" s="15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5" t="n"/>
      <c r="M80" s="15" t="n"/>
      <c r="N80" s="15" t="n"/>
      <c r="O80" s="16">
        <f>IF($N80="","",ROUND(1+($C80*(SUMIFS(OBJECT_CONDITIONS!$D:$D,OBJECT_CONDITIONS!$A:$A,$N80)-1))+($D80*(SUMIFS(OBJECT_CONDITIONS!$F:$F,OBJECT_CONDITIONS!$A:$A,$N80)-1))+($E80*(SUMIFS(OBJECT_CONDITIONS!$H:$H,OBJECT_CONDITIONS!$A:$A,$N80)-1))+($F80*(SUMIFS(OBJECT_CONDITIONS!$J:$J,OBJECT_CONDITIONS!$A:$A,$N80)-1))+($G80*(SUMIFS(OBJECT_CONDITIONS!$L:$L,OBJECT_CONDITIONS!$A:$A,$N80)-1))+($H80*(SUMIFS(OBJECT_CONDITIONS!$N:$N,OBJECT_CONDITIONS!$A:$A,$N80)-1))+($I80*(SUMIFS(OBJECT_CONDITIONS!$P:$P,OBJECT_CONDITIONS!$A:$A,$N80)-1))+($J80*(SUMIFS(OBJECT_CONDITIONS!$R:$R,OBJECT_CONDITIONS!$A:$A,$N80)-1))+($K80*(SUMIFS(OBJECT_CONDITIONS!$T:$T,OBJECT_CONDITIONS!$A:$A,$N80)-1)),3))</f>
        <v/>
      </c>
      <c r="P80" s="15" t="n"/>
    </row>
    <row r="81">
      <c r="A81" s="15" t="n"/>
      <c r="B81" s="15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5" t="n"/>
      <c r="M81" s="15" t="n"/>
      <c r="N81" s="15" t="n"/>
      <c r="O81" s="16">
        <f>IF($N81="","",ROUND(1+($C81*(SUMIFS(OBJECT_CONDITIONS!$D:$D,OBJECT_CONDITIONS!$A:$A,$N81)-1))+($D81*(SUMIFS(OBJECT_CONDITIONS!$F:$F,OBJECT_CONDITIONS!$A:$A,$N81)-1))+($E81*(SUMIFS(OBJECT_CONDITIONS!$H:$H,OBJECT_CONDITIONS!$A:$A,$N81)-1))+($F81*(SUMIFS(OBJECT_CONDITIONS!$J:$J,OBJECT_CONDITIONS!$A:$A,$N81)-1))+($G81*(SUMIFS(OBJECT_CONDITIONS!$L:$L,OBJECT_CONDITIONS!$A:$A,$N81)-1))+($H81*(SUMIFS(OBJECT_CONDITIONS!$N:$N,OBJECT_CONDITIONS!$A:$A,$N81)-1))+($I81*(SUMIFS(OBJECT_CONDITIONS!$P:$P,OBJECT_CONDITIONS!$A:$A,$N81)-1))+($J81*(SUMIFS(OBJECT_CONDITIONS!$R:$R,OBJECT_CONDITIONS!$A:$A,$N81)-1))+($K81*(SUMIFS(OBJECT_CONDITIONS!$T:$T,OBJECT_CONDITIONS!$A:$A,$N81)-1)),3))</f>
        <v/>
      </c>
      <c r="P81" s="15" t="n"/>
    </row>
    <row r="82">
      <c r="A82" s="15" t="n"/>
      <c r="B82" s="15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5" t="n"/>
      <c r="M82" s="15" t="n"/>
      <c r="N82" s="15" t="n"/>
      <c r="O82" s="16">
        <f>IF($N82="","",ROUND(1+($C82*(SUMIFS(OBJECT_CONDITIONS!$D:$D,OBJECT_CONDITIONS!$A:$A,$N82)-1))+($D82*(SUMIFS(OBJECT_CONDITIONS!$F:$F,OBJECT_CONDITIONS!$A:$A,$N82)-1))+($E82*(SUMIFS(OBJECT_CONDITIONS!$H:$H,OBJECT_CONDITIONS!$A:$A,$N82)-1))+($F82*(SUMIFS(OBJECT_CONDITIONS!$J:$J,OBJECT_CONDITIONS!$A:$A,$N82)-1))+($G82*(SUMIFS(OBJECT_CONDITIONS!$L:$L,OBJECT_CONDITIONS!$A:$A,$N82)-1))+($H82*(SUMIFS(OBJECT_CONDITIONS!$N:$N,OBJECT_CONDITIONS!$A:$A,$N82)-1))+($I82*(SUMIFS(OBJECT_CONDITIONS!$P:$P,OBJECT_CONDITIONS!$A:$A,$N82)-1))+($J82*(SUMIFS(OBJECT_CONDITIONS!$R:$R,OBJECT_CONDITIONS!$A:$A,$N82)-1))+($K82*(SUMIFS(OBJECT_CONDITIONS!$T:$T,OBJECT_CONDITIONS!$A:$A,$N82)-1)),3))</f>
        <v/>
      </c>
      <c r="P82" s="15" t="n"/>
    </row>
    <row r="83">
      <c r="A83" s="15" t="n"/>
      <c r="B83" s="15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5" t="n"/>
      <c r="M83" s="15" t="n"/>
      <c r="N83" s="15" t="n"/>
      <c r="O83" s="16">
        <f>IF($N83="","",ROUND(1+($C83*(SUMIFS(OBJECT_CONDITIONS!$D:$D,OBJECT_CONDITIONS!$A:$A,$N83)-1))+($D83*(SUMIFS(OBJECT_CONDITIONS!$F:$F,OBJECT_CONDITIONS!$A:$A,$N83)-1))+($E83*(SUMIFS(OBJECT_CONDITIONS!$H:$H,OBJECT_CONDITIONS!$A:$A,$N83)-1))+($F83*(SUMIFS(OBJECT_CONDITIONS!$J:$J,OBJECT_CONDITIONS!$A:$A,$N83)-1))+($G83*(SUMIFS(OBJECT_CONDITIONS!$L:$L,OBJECT_CONDITIONS!$A:$A,$N83)-1))+($H83*(SUMIFS(OBJECT_CONDITIONS!$N:$N,OBJECT_CONDITIONS!$A:$A,$N83)-1))+($I83*(SUMIFS(OBJECT_CONDITIONS!$P:$P,OBJECT_CONDITIONS!$A:$A,$N83)-1))+($J83*(SUMIFS(OBJECT_CONDITIONS!$R:$R,OBJECT_CONDITIONS!$A:$A,$N83)-1))+($K83*(SUMIFS(OBJECT_CONDITIONS!$T:$T,OBJECT_CONDITIONS!$A:$A,$N83)-1)),3))</f>
        <v/>
      </c>
      <c r="P83" s="15" t="n"/>
    </row>
    <row r="84">
      <c r="A84" s="15" t="n"/>
      <c r="B84" s="15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5" t="n"/>
      <c r="M84" s="15" t="n"/>
      <c r="N84" s="15" t="n"/>
      <c r="O84" s="16">
        <f>IF($N84="","",ROUND(1+($C84*(SUMIFS(OBJECT_CONDITIONS!$D:$D,OBJECT_CONDITIONS!$A:$A,$N84)-1))+($D84*(SUMIFS(OBJECT_CONDITIONS!$F:$F,OBJECT_CONDITIONS!$A:$A,$N84)-1))+($E84*(SUMIFS(OBJECT_CONDITIONS!$H:$H,OBJECT_CONDITIONS!$A:$A,$N84)-1))+($F84*(SUMIFS(OBJECT_CONDITIONS!$J:$J,OBJECT_CONDITIONS!$A:$A,$N84)-1))+($G84*(SUMIFS(OBJECT_CONDITIONS!$L:$L,OBJECT_CONDITIONS!$A:$A,$N84)-1))+($H84*(SUMIFS(OBJECT_CONDITIONS!$N:$N,OBJECT_CONDITIONS!$A:$A,$N84)-1))+($I84*(SUMIFS(OBJECT_CONDITIONS!$P:$P,OBJECT_CONDITIONS!$A:$A,$N84)-1))+($J84*(SUMIFS(OBJECT_CONDITIONS!$R:$R,OBJECT_CONDITIONS!$A:$A,$N84)-1))+($K84*(SUMIFS(OBJECT_CONDITIONS!$T:$T,OBJECT_CONDITIONS!$A:$A,$N84)-1)),3))</f>
        <v/>
      </c>
      <c r="P84" s="15" t="n"/>
    </row>
    <row r="85">
      <c r="A85" s="15" t="n"/>
      <c r="B85" s="15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5" t="n"/>
      <c r="M85" s="15" t="n"/>
      <c r="N85" s="15" t="n"/>
      <c r="O85" s="16">
        <f>IF($N85="","",ROUND(1+($C85*(SUMIFS(OBJECT_CONDITIONS!$D:$D,OBJECT_CONDITIONS!$A:$A,$N85)-1))+($D85*(SUMIFS(OBJECT_CONDITIONS!$F:$F,OBJECT_CONDITIONS!$A:$A,$N85)-1))+($E85*(SUMIFS(OBJECT_CONDITIONS!$H:$H,OBJECT_CONDITIONS!$A:$A,$N85)-1))+($F85*(SUMIFS(OBJECT_CONDITIONS!$J:$J,OBJECT_CONDITIONS!$A:$A,$N85)-1))+($G85*(SUMIFS(OBJECT_CONDITIONS!$L:$L,OBJECT_CONDITIONS!$A:$A,$N85)-1))+($H85*(SUMIFS(OBJECT_CONDITIONS!$N:$N,OBJECT_CONDITIONS!$A:$A,$N85)-1))+($I85*(SUMIFS(OBJECT_CONDITIONS!$P:$P,OBJECT_CONDITIONS!$A:$A,$N85)-1))+($J85*(SUMIFS(OBJECT_CONDITIONS!$R:$R,OBJECT_CONDITIONS!$A:$A,$N85)-1))+($K85*(SUMIFS(OBJECT_CONDITIONS!$T:$T,OBJECT_CONDITIONS!$A:$A,$N85)-1)),3))</f>
        <v/>
      </c>
      <c r="P85" s="15" t="n"/>
    </row>
    <row r="86">
      <c r="A86" s="15" t="n"/>
      <c r="B86" s="15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5" t="n"/>
      <c r="M86" s="15" t="n"/>
      <c r="N86" s="15" t="n"/>
      <c r="O86" s="16">
        <f>IF($N86="","",ROUND(1+($C86*(SUMIFS(OBJECT_CONDITIONS!$D:$D,OBJECT_CONDITIONS!$A:$A,$N86)-1))+($D86*(SUMIFS(OBJECT_CONDITIONS!$F:$F,OBJECT_CONDITIONS!$A:$A,$N86)-1))+($E86*(SUMIFS(OBJECT_CONDITIONS!$H:$H,OBJECT_CONDITIONS!$A:$A,$N86)-1))+($F86*(SUMIFS(OBJECT_CONDITIONS!$J:$J,OBJECT_CONDITIONS!$A:$A,$N86)-1))+($G86*(SUMIFS(OBJECT_CONDITIONS!$L:$L,OBJECT_CONDITIONS!$A:$A,$N86)-1))+($H86*(SUMIFS(OBJECT_CONDITIONS!$N:$N,OBJECT_CONDITIONS!$A:$A,$N86)-1))+($I86*(SUMIFS(OBJECT_CONDITIONS!$P:$P,OBJECT_CONDITIONS!$A:$A,$N86)-1))+($J86*(SUMIFS(OBJECT_CONDITIONS!$R:$R,OBJECT_CONDITIONS!$A:$A,$N86)-1))+($K86*(SUMIFS(OBJECT_CONDITIONS!$T:$T,OBJECT_CONDITIONS!$A:$A,$N86)-1)),3))</f>
        <v/>
      </c>
      <c r="P86" s="15" t="n"/>
    </row>
    <row r="87">
      <c r="A87" s="15" t="n"/>
      <c r="B87" s="15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5" t="n"/>
      <c r="M87" s="15" t="n"/>
      <c r="N87" s="15" t="n"/>
      <c r="O87" s="16">
        <f>IF($N87="","",ROUND(1+($C87*(SUMIFS(OBJECT_CONDITIONS!$D:$D,OBJECT_CONDITIONS!$A:$A,$N87)-1))+($D87*(SUMIFS(OBJECT_CONDITIONS!$F:$F,OBJECT_CONDITIONS!$A:$A,$N87)-1))+($E87*(SUMIFS(OBJECT_CONDITIONS!$H:$H,OBJECT_CONDITIONS!$A:$A,$N87)-1))+($F87*(SUMIFS(OBJECT_CONDITIONS!$J:$J,OBJECT_CONDITIONS!$A:$A,$N87)-1))+($G87*(SUMIFS(OBJECT_CONDITIONS!$L:$L,OBJECT_CONDITIONS!$A:$A,$N87)-1))+($H87*(SUMIFS(OBJECT_CONDITIONS!$N:$N,OBJECT_CONDITIONS!$A:$A,$N87)-1))+($I87*(SUMIFS(OBJECT_CONDITIONS!$P:$P,OBJECT_CONDITIONS!$A:$A,$N87)-1))+($J87*(SUMIFS(OBJECT_CONDITIONS!$R:$R,OBJECT_CONDITIONS!$A:$A,$N87)-1))+($K87*(SUMIFS(OBJECT_CONDITIONS!$T:$T,OBJECT_CONDITIONS!$A:$A,$N87)-1)),3))</f>
        <v/>
      </c>
      <c r="P87" s="15" t="n"/>
    </row>
    <row r="88">
      <c r="A88" s="15" t="n"/>
      <c r="B88" s="15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5" t="n"/>
      <c r="M88" s="15" t="n"/>
      <c r="N88" s="15" t="n"/>
      <c r="O88" s="16">
        <f>IF($N88="","",ROUND(1+($C88*(SUMIFS(OBJECT_CONDITIONS!$D:$D,OBJECT_CONDITIONS!$A:$A,$N88)-1))+($D88*(SUMIFS(OBJECT_CONDITIONS!$F:$F,OBJECT_CONDITIONS!$A:$A,$N88)-1))+($E88*(SUMIFS(OBJECT_CONDITIONS!$H:$H,OBJECT_CONDITIONS!$A:$A,$N88)-1))+($F88*(SUMIFS(OBJECT_CONDITIONS!$J:$J,OBJECT_CONDITIONS!$A:$A,$N88)-1))+($G88*(SUMIFS(OBJECT_CONDITIONS!$L:$L,OBJECT_CONDITIONS!$A:$A,$N88)-1))+($H88*(SUMIFS(OBJECT_CONDITIONS!$N:$N,OBJECT_CONDITIONS!$A:$A,$N88)-1))+($I88*(SUMIFS(OBJECT_CONDITIONS!$P:$P,OBJECT_CONDITIONS!$A:$A,$N88)-1))+($J88*(SUMIFS(OBJECT_CONDITIONS!$R:$R,OBJECT_CONDITIONS!$A:$A,$N88)-1))+($K88*(SUMIFS(OBJECT_CONDITIONS!$T:$T,OBJECT_CONDITIONS!$A:$A,$N88)-1)),3))</f>
        <v/>
      </c>
      <c r="P88" s="15" t="n"/>
    </row>
    <row r="89">
      <c r="A89" s="15" t="n"/>
      <c r="B89" s="15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5" t="n"/>
      <c r="M89" s="15" t="n"/>
      <c r="N89" s="15" t="n"/>
      <c r="O89" s="16">
        <f>IF($N89="","",ROUND(1+($C89*(SUMIFS(OBJECT_CONDITIONS!$D:$D,OBJECT_CONDITIONS!$A:$A,$N89)-1))+($D89*(SUMIFS(OBJECT_CONDITIONS!$F:$F,OBJECT_CONDITIONS!$A:$A,$N89)-1))+($E89*(SUMIFS(OBJECT_CONDITIONS!$H:$H,OBJECT_CONDITIONS!$A:$A,$N89)-1))+($F89*(SUMIFS(OBJECT_CONDITIONS!$J:$J,OBJECT_CONDITIONS!$A:$A,$N89)-1))+($G89*(SUMIFS(OBJECT_CONDITIONS!$L:$L,OBJECT_CONDITIONS!$A:$A,$N89)-1))+($H89*(SUMIFS(OBJECT_CONDITIONS!$N:$N,OBJECT_CONDITIONS!$A:$A,$N89)-1))+($I89*(SUMIFS(OBJECT_CONDITIONS!$P:$P,OBJECT_CONDITIONS!$A:$A,$N89)-1))+($J89*(SUMIFS(OBJECT_CONDITIONS!$R:$R,OBJECT_CONDITIONS!$A:$A,$N89)-1))+($K89*(SUMIFS(OBJECT_CONDITIONS!$T:$T,OBJECT_CONDITIONS!$A:$A,$N89)-1)),3))</f>
        <v/>
      </c>
      <c r="P89" s="15" t="n"/>
    </row>
    <row r="90">
      <c r="A90" s="15" t="n"/>
      <c r="B90" s="15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5" t="n"/>
      <c r="M90" s="15" t="n"/>
      <c r="N90" s="15" t="n"/>
      <c r="O90" s="16">
        <f>IF($N90="","",ROUND(1+($C90*(SUMIFS(OBJECT_CONDITIONS!$D:$D,OBJECT_CONDITIONS!$A:$A,$N90)-1))+($D90*(SUMIFS(OBJECT_CONDITIONS!$F:$F,OBJECT_CONDITIONS!$A:$A,$N90)-1))+($E90*(SUMIFS(OBJECT_CONDITIONS!$H:$H,OBJECT_CONDITIONS!$A:$A,$N90)-1))+($F90*(SUMIFS(OBJECT_CONDITIONS!$J:$J,OBJECT_CONDITIONS!$A:$A,$N90)-1))+($G90*(SUMIFS(OBJECT_CONDITIONS!$L:$L,OBJECT_CONDITIONS!$A:$A,$N90)-1))+($H90*(SUMIFS(OBJECT_CONDITIONS!$N:$N,OBJECT_CONDITIONS!$A:$A,$N90)-1))+($I90*(SUMIFS(OBJECT_CONDITIONS!$P:$P,OBJECT_CONDITIONS!$A:$A,$N90)-1))+($J90*(SUMIFS(OBJECT_CONDITIONS!$R:$R,OBJECT_CONDITIONS!$A:$A,$N90)-1))+($K90*(SUMIFS(OBJECT_CONDITIONS!$T:$T,OBJECT_CONDITIONS!$A:$A,$N90)-1)),3))</f>
        <v/>
      </c>
      <c r="P90" s="15" t="n"/>
    </row>
    <row r="91">
      <c r="A91" s="15" t="n"/>
      <c r="B91" s="15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5" t="n"/>
      <c r="M91" s="15" t="n"/>
      <c r="N91" s="15" t="n"/>
      <c r="O91" s="16">
        <f>IF($N91="","",ROUND(1+($C91*(SUMIFS(OBJECT_CONDITIONS!$D:$D,OBJECT_CONDITIONS!$A:$A,$N91)-1))+($D91*(SUMIFS(OBJECT_CONDITIONS!$F:$F,OBJECT_CONDITIONS!$A:$A,$N91)-1))+($E91*(SUMIFS(OBJECT_CONDITIONS!$H:$H,OBJECT_CONDITIONS!$A:$A,$N91)-1))+($F91*(SUMIFS(OBJECT_CONDITIONS!$J:$J,OBJECT_CONDITIONS!$A:$A,$N91)-1))+($G91*(SUMIFS(OBJECT_CONDITIONS!$L:$L,OBJECT_CONDITIONS!$A:$A,$N91)-1))+($H91*(SUMIFS(OBJECT_CONDITIONS!$N:$N,OBJECT_CONDITIONS!$A:$A,$N91)-1))+($I91*(SUMIFS(OBJECT_CONDITIONS!$P:$P,OBJECT_CONDITIONS!$A:$A,$N91)-1))+($J91*(SUMIFS(OBJECT_CONDITIONS!$R:$R,OBJECT_CONDITIONS!$A:$A,$N91)-1))+($K91*(SUMIFS(OBJECT_CONDITIONS!$T:$T,OBJECT_CONDITIONS!$A:$A,$N91)-1)),3))</f>
        <v/>
      </c>
      <c r="P91" s="15" t="n"/>
    </row>
    <row r="92">
      <c r="A92" s="15" t="n"/>
      <c r="B92" s="15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5" t="n"/>
      <c r="M92" s="15" t="n"/>
      <c r="N92" s="15" t="n"/>
      <c r="O92" s="16">
        <f>IF($N92="","",ROUND(1+($C92*(SUMIFS(OBJECT_CONDITIONS!$D:$D,OBJECT_CONDITIONS!$A:$A,$N92)-1))+($D92*(SUMIFS(OBJECT_CONDITIONS!$F:$F,OBJECT_CONDITIONS!$A:$A,$N92)-1))+($E92*(SUMIFS(OBJECT_CONDITIONS!$H:$H,OBJECT_CONDITIONS!$A:$A,$N92)-1))+($F92*(SUMIFS(OBJECT_CONDITIONS!$J:$J,OBJECT_CONDITIONS!$A:$A,$N92)-1))+($G92*(SUMIFS(OBJECT_CONDITIONS!$L:$L,OBJECT_CONDITIONS!$A:$A,$N92)-1))+($H92*(SUMIFS(OBJECT_CONDITIONS!$N:$N,OBJECT_CONDITIONS!$A:$A,$N92)-1))+($I92*(SUMIFS(OBJECT_CONDITIONS!$P:$P,OBJECT_CONDITIONS!$A:$A,$N92)-1))+($J92*(SUMIFS(OBJECT_CONDITIONS!$R:$R,OBJECT_CONDITIONS!$A:$A,$N92)-1))+($K92*(SUMIFS(OBJECT_CONDITIONS!$T:$T,OBJECT_CONDITIONS!$A:$A,$N92)-1)),3))</f>
        <v/>
      </c>
      <c r="P92" s="15" t="n"/>
    </row>
    <row r="93">
      <c r="A93" s="15" t="n"/>
      <c r="B93" s="15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5" t="n"/>
      <c r="M93" s="15" t="n"/>
      <c r="N93" s="15" t="n"/>
      <c r="O93" s="16">
        <f>IF($N93="","",ROUND(1+($C93*(SUMIFS(OBJECT_CONDITIONS!$D:$D,OBJECT_CONDITIONS!$A:$A,$N93)-1))+($D93*(SUMIFS(OBJECT_CONDITIONS!$F:$F,OBJECT_CONDITIONS!$A:$A,$N93)-1))+($E93*(SUMIFS(OBJECT_CONDITIONS!$H:$H,OBJECT_CONDITIONS!$A:$A,$N93)-1))+($F93*(SUMIFS(OBJECT_CONDITIONS!$J:$J,OBJECT_CONDITIONS!$A:$A,$N93)-1))+($G93*(SUMIFS(OBJECT_CONDITIONS!$L:$L,OBJECT_CONDITIONS!$A:$A,$N93)-1))+($H93*(SUMIFS(OBJECT_CONDITIONS!$N:$N,OBJECT_CONDITIONS!$A:$A,$N93)-1))+($I93*(SUMIFS(OBJECT_CONDITIONS!$P:$P,OBJECT_CONDITIONS!$A:$A,$N93)-1))+($J93*(SUMIFS(OBJECT_CONDITIONS!$R:$R,OBJECT_CONDITIONS!$A:$A,$N93)-1))+($K93*(SUMIFS(OBJECT_CONDITIONS!$T:$T,OBJECT_CONDITIONS!$A:$A,$N93)-1)),3))</f>
        <v/>
      </c>
      <c r="P93" s="15" t="n"/>
    </row>
    <row r="94">
      <c r="A94" s="15" t="n"/>
      <c r="B94" s="15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5" t="n"/>
      <c r="M94" s="15" t="n"/>
      <c r="N94" s="15" t="n"/>
      <c r="O94" s="16">
        <f>IF($N94="","",ROUND(1+($C94*(SUMIFS(OBJECT_CONDITIONS!$D:$D,OBJECT_CONDITIONS!$A:$A,$N94)-1))+($D94*(SUMIFS(OBJECT_CONDITIONS!$F:$F,OBJECT_CONDITIONS!$A:$A,$N94)-1))+($E94*(SUMIFS(OBJECT_CONDITIONS!$H:$H,OBJECT_CONDITIONS!$A:$A,$N94)-1))+($F94*(SUMIFS(OBJECT_CONDITIONS!$J:$J,OBJECT_CONDITIONS!$A:$A,$N94)-1))+($G94*(SUMIFS(OBJECT_CONDITIONS!$L:$L,OBJECT_CONDITIONS!$A:$A,$N94)-1))+($H94*(SUMIFS(OBJECT_CONDITIONS!$N:$N,OBJECT_CONDITIONS!$A:$A,$N94)-1))+($I94*(SUMIFS(OBJECT_CONDITIONS!$P:$P,OBJECT_CONDITIONS!$A:$A,$N94)-1))+($J94*(SUMIFS(OBJECT_CONDITIONS!$R:$R,OBJECT_CONDITIONS!$A:$A,$N94)-1))+($K94*(SUMIFS(OBJECT_CONDITIONS!$T:$T,OBJECT_CONDITIONS!$A:$A,$N94)-1)),3))</f>
        <v/>
      </c>
      <c r="P94" s="15" t="n"/>
    </row>
    <row r="95">
      <c r="A95" s="15" t="n"/>
      <c r="B95" s="15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5" t="n"/>
      <c r="M95" s="15" t="n"/>
      <c r="N95" s="15" t="n"/>
      <c r="O95" s="16">
        <f>IF($N95="","",ROUND(1+($C95*(SUMIFS(OBJECT_CONDITIONS!$D:$D,OBJECT_CONDITIONS!$A:$A,$N95)-1))+($D95*(SUMIFS(OBJECT_CONDITIONS!$F:$F,OBJECT_CONDITIONS!$A:$A,$N95)-1))+($E95*(SUMIFS(OBJECT_CONDITIONS!$H:$H,OBJECT_CONDITIONS!$A:$A,$N95)-1))+($F95*(SUMIFS(OBJECT_CONDITIONS!$J:$J,OBJECT_CONDITIONS!$A:$A,$N95)-1))+($G95*(SUMIFS(OBJECT_CONDITIONS!$L:$L,OBJECT_CONDITIONS!$A:$A,$N95)-1))+($H95*(SUMIFS(OBJECT_CONDITIONS!$N:$N,OBJECT_CONDITIONS!$A:$A,$N95)-1))+($I95*(SUMIFS(OBJECT_CONDITIONS!$P:$P,OBJECT_CONDITIONS!$A:$A,$N95)-1))+($J95*(SUMIFS(OBJECT_CONDITIONS!$R:$R,OBJECT_CONDITIONS!$A:$A,$N95)-1))+($K95*(SUMIFS(OBJECT_CONDITIONS!$T:$T,OBJECT_CONDITIONS!$A:$A,$N95)-1)),3))</f>
        <v/>
      </c>
      <c r="P95" s="15" t="n"/>
    </row>
    <row r="96">
      <c r="A96" s="15" t="n"/>
      <c r="B96" s="15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5" t="n"/>
      <c r="M96" s="15" t="n"/>
      <c r="N96" s="15" t="n"/>
      <c r="O96" s="16">
        <f>IF($N96="","",ROUND(1+($C96*(SUMIFS(OBJECT_CONDITIONS!$D:$D,OBJECT_CONDITIONS!$A:$A,$N96)-1))+($D96*(SUMIFS(OBJECT_CONDITIONS!$F:$F,OBJECT_CONDITIONS!$A:$A,$N96)-1))+($E96*(SUMIFS(OBJECT_CONDITIONS!$H:$H,OBJECT_CONDITIONS!$A:$A,$N96)-1))+($F96*(SUMIFS(OBJECT_CONDITIONS!$J:$J,OBJECT_CONDITIONS!$A:$A,$N96)-1))+($G96*(SUMIFS(OBJECT_CONDITIONS!$L:$L,OBJECT_CONDITIONS!$A:$A,$N96)-1))+($H96*(SUMIFS(OBJECT_CONDITIONS!$N:$N,OBJECT_CONDITIONS!$A:$A,$N96)-1))+($I96*(SUMIFS(OBJECT_CONDITIONS!$P:$P,OBJECT_CONDITIONS!$A:$A,$N96)-1))+($J96*(SUMIFS(OBJECT_CONDITIONS!$R:$R,OBJECT_CONDITIONS!$A:$A,$N96)-1))+($K96*(SUMIFS(OBJECT_CONDITIONS!$T:$T,OBJECT_CONDITIONS!$A:$A,$N96)-1)),3))</f>
        <v/>
      </c>
      <c r="P96" s="15" t="n"/>
    </row>
    <row r="97">
      <c r="A97" s="15" t="n"/>
      <c r="B97" s="15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5" t="n"/>
      <c r="M97" s="15" t="n"/>
      <c r="N97" s="15" t="n"/>
      <c r="O97" s="16">
        <f>IF($N97="","",ROUND(1+($C97*(SUMIFS(OBJECT_CONDITIONS!$D:$D,OBJECT_CONDITIONS!$A:$A,$N97)-1))+($D97*(SUMIFS(OBJECT_CONDITIONS!$F:$F,OBJECT_CONDITIONS!$A:$A,$N97)-1))+($E97*(SUMIFS(OBJECT_CONDITIONS!$H:$H,OBJECT_CONDITIONS!$A:$A,$N97)-1))+($F97*(SUMIFS(OBJECT_CONDITIONS!$J:$J,OBJECT_CONDITIONS!$A:$A,$N97)-1))+($G97*(SUMIFS(OBJECT_CONDITIONS!$L:$L,OBJECT_CONDITIONS!$A:$A,$N97)-1))+($H97*(SUMIFS(OBJECT_CONDITIONS!$N:$N,OBJECT_CONDITIONS!$A:$A,$N97)-1))+($I97*(SUMIFS(OBJECT_CONDITIONS!$P:$P,OBJECT_CONDITIONS!$A:$A,$N97)-1))+($J97*(SUMIFS(OBJECT_CONDITIONS!$R:$R,OBJECT_CONDITIONS!$A:$A,$N97)-1))+($K97*(SUMIFS(OBJECT_CONDITIONS!$T:$T,OBJECT_CONDITIONS!$A:$A,$N97)-1)),3))</f>
        <v/>
      </c>
      <c r="P97" s="15" t="n"/>
    </row>
    <row r="98">
      <c r="A98" s="15" t="n"/>
      <c r="B98" s="15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5" t="n"/>
      <c r="M98" s="15" t="n"/>
      <c r="N98" s="15" t="n"/>
      <c r="O98" s="16">
        <f>IF($N98="","",ROUND(1+($C98*(SUMIFS(OBJECT_CONDITIONS!$D:$D,OBJECT_CONDITIONS!$A:$A,$N98)-1))+($D98*(SUMIFS(OBJECT_CONDITIONS!$F:$F,OBJECT_CONDITIONS!$A:$A,$N98)-1))+($E98*(SUMIFS(OBJECT_CONDITIONS!$H:$H,OBJECT_CONDITIONS!$A:$A,$N98)-1))+($F98*(SUMIFS(OBJECT_CONDITIONS!$J:$J,OBJECT_CONDITIONS!$A:$A,$N98)-1))+($G98*(SUMIFS(OBJECT_CONDITIONS!$L:$L,OBJECT_CONDITIONS!$A:$A,$N98)-1))+($H98*(SUMIFS(OBJECT_CONDITIONS!$N:$N,OBJECT_CONDITIONS!$A:$A,$N98)-1))+($I98*(SUMIFS(OBJECT_CONDITIONS!$P:$P,OBJECT_CONDITIONS!$A:$A,$N98)-1))+($J98*(SUMIFS(OBJECT_CONDITIONS!$R:$R,OBJECT_CONDITIONS!$A:$A,$N98)-1))+($K98*(SUMIFS(OBJECT_CONDITIONS!$T:$T,OBJECT_CONDITIONS!$A:$A,$N98)-1)),3))</f>
        <v/>
      </c>
      <c r="P98" s="15" t="n"/>
    </row>
    <row r="99">
      <c r="A99" s="15" t="n"/>
      <c r="B99" s="15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5" t="n"/>
      <c r="M99" s="15" t="n"/>
      <c r="N99" s="15" t="n"/>
      <c r="O99" s="16">
        <f>IF($N99="","",ROUND(1+($C99*(SUMIFS(OBJECT_CONDITIONS!$D:$D,OBJECT_CONDITIONS!$A:$A,$N99)-1))+($D99*(SUMIFS(OBJECT_CONDITIONS!$F:$F,OBJECT_CONDITIONS!$A:$A,$N99)-1))+($E99*(SUMIFS(OBJECT_CONDITIONS!$H:$H,OBJECT_CONDITIONS!$A:$A,$N99)-1))+($F99*(SUMIFS(OBJECT_CONDITIONS!$J:$J,OBJECT_CONDITIONS!$A:$A,$N99)-1))+($G99*(SUMIFS(OBJECT_CONDITIONS!$L:$L,OBJECT_CONDITIONS!$A:$A,$N99)-1))+($H99*(SUMIFS(OBJECT_CONDITIONS!$N:$N,OBJECT_CONDITIONS!$A:$A,$N99)-1))+($I99*(SUMIFS(OBJECT_CONDITIONS!$P:$P,OBJECT_CONDITIONS!$A:$A,$N99)-1))+($J99*(SUMIFS(OBJECT_CONDITIONS!$R:$R,OBJECT_CONDITIONS!$A:$A,$N99)-1))+($K99*(SUMIFS(OBJECT_CONDITIONS!$T:$T,OBJECT_CONDITIONS!$A:$A,$N99)-1)),3))</f>
        <v/>
      </c>
      <c r="P99" s="15" t="n"/>
    </row>
    <row r="100">
      <c r="A100" s="15" t="n"/>
      <c r="B100" s="15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5" t="n"/>
      <c r="M100" s="15" t="n"/>
      <c r="N100" s="15" t="n"/>
      <c r="O100" s="16">
        <f>IF($N100="","",ROUND(1+($C100*(SUMIFS(OBJECT_CONDITIONS!$D:$D,OBJECT_CONDITIONS!$A:$A,$N100)-1))+($D100*(SUMIFS(OBJECT_CONDITIONS!$F:$F,OBJECT_CONDITIONS!$A:$A,$N100)-1))+($E100*(SUMIFS(OBJECT_CONDITIONS!$H:$H,OBJECT_CONDITIONS!$A:$A,$N100)-1))+($F100*(SUMIFS(OBJECT_CONDITIONS!$J:$J,OBJECT_CONDITIONS!$A:$A,$N100)-1))+($G100*(SUMIFS(OBJECT_CONDITIONS!$L:$L,OBJECT_CONDITIONS!$A:$A,$N100)-1))+($H100*(SUMIFS(OBJECT_CONDITIONS!$N:$N,OBJECT_CONDITIONS!$A:$A,$N100)-1))+($I100*(SUMIFS(OBJECT_CONDITIONS!$P:$P,OBJECT_CONDITIONS!$A:$A,$N100)-1))+($J100*(SUMIFS(OBJECT_CONDITIONS!$R:$R,OBJECT_CONDITIONS!$A:$A,$N100)-1))+($K100*(SUMIFS(OBJECT_CONDITIONS!$T:$T,OBJECT_CONDITIONS!$A:$A,$N100)-1)),3))</f>
        <v/>
      </c>
      <c r="P100" s="15" t="n"/>
    </row>
    <row r="101">
      <c r="A101" s="15" t="n"/>
      <c r="B101" s="15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5" t="n"/>
      <c r="M101" s="15" t="n"/>
      <c r="N101" s="15" t="n"/>
      <c r="O101" s="16">
        <f>IF($N101="","",ROUND(1+($C101*(SUMIFS(OBJECT_CONDITIONS!$D:$D,OBJECT_CONDITIONS!$A:$A,$N101)-1))+($D101*(SUMIFS(OBJECT_CONDITIONS!$F:$F,OBJECT_CONDITIONS!$A:$A,$N101)-1))+($E101*(SUMIFS(OBJECT_CONDITIONS!$H:$H,OBJECT_CONDITIONS!$A:$A,$N101)-1))+($F101*(SUMIFS(OBJECT_CONDITIONS!$J:$J,OBJECT_CONDITIONS!$A:$A,$N101)-1))+($G101*(SUMIFS(OBJECT_CONDITIONS!$L:$L,OBJECT_CONDITIONS!$A:$A,$N101)-1))+($H101*(SUMIFS(OBJECT_CONDITIONS!$N:$N,OBJECT_CONDITIONS!$A:$A,$N101)-1))+($I101*(SUMIFS(OBJECT_CONDITIONS!$P:$P,OBJECT_CONDITIONS!$A:$A,$N101)-1))+($J101*(SUMIFS(OBJECT_CONDITIONS!$R:$R,OBJECT_CONDITIONS!$A:$A,$N101)-1))+($K101*(SUMIFS(OBJECT_CONDITIONS!$T:$T,OBJECT_CONDITIONS!$A:$A,$N101)-1)),3))</f>
        <v/>
      </c>
      <c r="P101" s="15" t="n"/>
    </row>
    <row r="102">
      <c r="A102" s="15" t="n"/>
      <c r="B102" s="15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5" t="n"/>
      <c r="M102" s="15" t="n"/>
      <c r="N102" s="15" t="n"/>
      <c r="O102" s="16">
        <f>IF($N102="","",ROUND(1+($C102*(SUMIFS(OBJECT_CONDITIONS!$D:$D,OBJECT_CONDITIONS!$A:$A,$N102)-1))+($D102*(SUMIFS(OBJECT_CONDITIONS!$F:$F,OBJECT_CONDITIONS!$A:$A,$N102)-1))+($E102*(SUMIFS(OBJECT_CONDITIONS!$H:$H,OBJECT_CONDITIONS!$A:$A,$N102)-1))+($F102*(SUMIFS(OBJECT_CONDITIONS!$J:$J,OBJECT_CONDITIONS!$A:$A,$N102)-1))+($G102*(SUMIFS(OBJECT_CONDITIONS!$L:$L,OBJECT_CONDITIONS!$A:$A,$N102)-1))+($H102*(SUMIFS(OBJECT_CONDITIONS!$N:$N,OBJECT_CONDITIONS!$A:$A,$N102)-1))+($I102*(SUMIFS(OBJECT_CONDITIONS!$P:$P,OBJECT_CONDITIONS!$A:$A,$N102)-1))+($J102*(SUMIFS(OBJECT_CONDITIONS!$R:$R,OBJECT_CONDITIONS!$A:$A,$N102)-1))+($K102*(SUMIFS(OBJECT_CONDITIONS!$T:$T,OBJECT_CONDITIONS!$A:$A,$N102)-1)),3))</f>
        <v/>
      </c>
      <c r="P102" s="15" t="n"/>
    </row>
    <row r="103">
      <c r="A103" s="15" t="n"/>
      <c r="B103" s="15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5" t="n"/>
      <c r="M103" s="15" t="n"/>
      <c r="N103" s="15" t="n"/>
      <c r="O103" s="16">
        <f>IF($N103="","",ROUND(1+($C103*(SUMIFS(OBJECT_CONDITIONS!$D:$D,OBJECT_CONDITIONS!$A:$A,$N103)-1))+($D103*(SUMIFS(OBJECT_CONDITIONS!$F:$F,OBJECT_CONDITIONS!$A:$A,$N103)-1))+($E103*(SUMIFS(OBJECT_CONDITIONS!$H:$H,OBJECT_CONDITIONS!$A:$A,$N103)-1))+($F103*(SUMIFS(OBJECT_CONDITIONS!$J:$J,OBJECT_CONDITIONS!$A:$A,$N103)-1))+($G103*(SUMIFS(OBJECT_CONDITIONS!$L:$L,OBJECT_CONDITIONS!$A:$A,$N103)-1))+($H103*(SUMIFS(OBJECT_CONDITIONS!$N:$N,OBJECT_CONDITIONS!$A:$A,$N103)-1))+($I103*(SUMIFS(OBJECT_CONDITIONS!$P:$P,OBJECT_CONDITIONS!$A:$A,$N103)-1))+($J103*(SUMIFS(OBJECT_CONDITIONS!$R:$R,OBJECT_CONDITIONS!$A:$A,$N103)-1))+($K103*(SUMIFS(OBJECT_CONDITIONS!$T:$T,OBJECT_CONDITIONS!$A:$A,$N103)-1)),3))</f>
        <v/>
      </c>
      <c r="P103" s="15" t="n"/>
    </row>
    <row r="104">
      <c r="A104" s="15" t="n"/>
      <c r="B104" s="15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5" t="n"/>
      <c r="M104" s="15" t="n"/>
      <c r="N104" s="15" t="n"/>
      <c r="O104" s="16">
        <f>IF($N104="","",ROUND(1+($C104*(SUMIFS(OBJECT_CONDITIONS!$D:$D,OBJECT_CONDITIONS!$A:$A,$N104)-1))+($D104*(SUMIFS(OBJECT_CONDITIONS!$F:$F,OBJECT_CONDITIONS!$A:$A,$N104)-1))+($E104*(SUMIFS(OBJECT_CONDITIONS!$H:$H,OBJECT_CONDITIONS!$A:$A,$N104)-1))+($F104*(SUMIFS(OBJECT_CONDITIONS!$J:$J,OBJECT_CONDITIONS!$A:$A,$N104)-1))+($G104*(SUMIFS(OBJECT_CONDITIONS!$L:$L,OBJECT_CONDITIONS!$A:$A,$N104)-1))+($H104*(SUMIFS(OBJECT_CONDITIONS!$N:$N,OBJECT_CONDITIONS!$A:$A,$N104)-1))+($I104*(SUMIFS(OBJECT_CONDITIONS!$P:$P,OBJECT_CONDITIONS!$A:$A,$N104)-1))+($J104*(SUMIFS(OBJECT_CONDITIONS!$R:$R,OBJECT_CONDITIONS!$A:$A,$N104)-1))+($K104*(SUMIFS(OBJECT_CONDITIONS!$T:$T,OBJECT_CONDITIONS!$A:$A,$N104)-1)),3))</f>
        <v/>
      </c>
      <c r="P104" s="15" t="n"/>
    </row>
    <row r="105">
      <c r="A105" s="15" t="n"/>
      <c r="B105" s="15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5" t="n"/>
      <c r="M105" s="15" t="n"/>
      <c r="N105" s="15" t="n"/>
      <c r="O105" s="16">
        <f>IF($N105="","",ROUND(1+($C105*(SUMIFS(OBJECT_CONDITIONS!$D:$D,OBJECT_CONDITIONS!$A:$A,$N105)-1))+($D105*(SUMIFS(OBJECT_CONDITIONS!$F:$F,OBJECT_CONDITIONS!$A:$A,$N105)-1))+($E105*(SUMIFS(OBJECT_CONDITIONS!$H:$H,OBJECT_CONDITIONS!$A:$A,$N105)-1))+($F105*(SUMIFS(OBJECT_CONDITIONS!$J:$J,OBJECT_CONDITIONS!$A:$A,$N105)-1))+($G105*(SUMIFS(OBJECT_CONDITIONS!$L:$L,OBJECT_CONDITIONS!$A:$A,$N105)-1))+($H105*(SUMIFS(OBJECT_CONDITIONS!$N:$N,OBJECT_CONDITIONS!$A:$A,$N105)-1))+($I105*(SUMIFS(OBJECT_CONDITIONS!$P:$P,OBJECT_CONDITIONS!$A:$A,$N105)-1))+($J105*(SUMIFS(OBJECT_CONDITIONS!$R:$R,OBJECT_CONDITIONS!$A:$A,$N105)-1))+($K105*(SUMIFS(OBJECT_CONDITIONS!$T:$T,OBJECT_CONDITIONS!$A:$A,$N105)-1)),3))</f>
        <v/>
      </c>
      <c r="P105" s="15" t="n"/>
    </row>
    <row r="106">
      <c r="A106" s="15" t="n"/>
      <c r="B106" s="15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5" t="n"/>
      <c r="M106" s="15" t="n"/>
      <c r="N106" s="15" t="n"/>
      <c r="O106" s="16">
        <f>IF($N106="","",ROUND(1+($C106*(SUMIFS(OBJECT_CONDITIONS!$D:$D,OBJECT_CONDITIONS!$A:$A,$N106)-1))+($D106*(SUMIFS(OBJECT_CONDITIONS!$F:$F,OBJECT_CONDITIONS!$A:$A,$N106)-1))+($E106*(SUMIFS(OBJECT_CONDITIONS!$H:$H,OBJECT_CONDITIONS!$A:$A,$N106)-1))+($F106*(SUMIFS(OBJECT_CONDITIONS!$J:$J,OBJECT_CONDITIONS!$A:$A,$N106)-1))+($G106*(SUMIFS(OBJECT_CONDITIONS!$L:$L,OBJECT_CONDITIONS!$A:$A,$N106)-1))+($H106*(SUMIFS(OBJECT_CONDITIONS!$N:$N,OBJECT_CONDITIONS!$A:$A,$N106)-1))+($I106*(SUMIFS(OBJECT_CONDITIONS!$P:$P,OBJECT_CONDITIONS!$A:$A,$N106)-1))+($J106*(SUMIFS(OBJECT_CONDITIONS!$R:$R,OBJECT_CONDITIONS!$A:$A,$N106)-1))+($K106*(SUMIFS(OBJECT_CONDITIONS!$T:$T,OBJECT_CONDITIONS!$A:$A,$N106)-1)),3))</f>
        <v/>
      </c>
      <c r="P106" s="15" t="n"/>
    </row>
    <row r="107">
      <c r="A107" s="15" t="n"/>
      <c r="B107" s="15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5" t="n"/>
      <c r="M107" s="15" t="n"/>
      <c r="N107" s="15" t="n"/>
      <c r="O107" s="16">
        <f>IF($N107="","",ROUND(1+($C107*(SUMIFS(OBJECT_CONDITIONS!$D:$D,OBJECT_CONDITIONS!$A:$A,$N107)-1))+($D107*(SUMIFS(OBJECT_CONDITIONS!$F:$F,OBJECT_CONDITIONS!$A:$A,$N107)-1))+($E107*(SUMIFS(OBJECT_CONDITIONS!$H:$H,OBJECT_CONDITIONS!$A:$A,$N107)-1))+($F107*(SUMIFS(OBJECT_CONDITIONS!$J:$J,OBJECT_CONDITIONS!$A:$A,$N107)-1))+($G107*(SUMIFS(OBJECT_CONDITIONS!$L:$L,OBJECT_CONDITIONS!$A:$A,$N107)-1))+($H107*(SUMIFS(OBJECT_CONDITIONS!$N:$N,OBJECT_CONDITIONS!$A:$A,$N107)-1))+($I107*(SUMIFS(OBJECT_CONDITIONS!$P:$P,OBJECT_CONDITIONS!$A:$A,$N107)-1))+($J107*(SUMIFS(OBJECT_CONDITIONS!$R:$R,OBJECT_CONDITIONS!$A:$A,$N107)-1))+($K107*(SUMIFS(OBJECT_CONDITIONS!$T:$T,OBJECT_CONDITIONS!$A:$A,$N107)-1)),3))</f>
        <v/>
      </c>
      <c r="P107" s="15" t="n"/>
    </row>
    <row r="108">
      <c r="A108" s="15" t="n"/>
      <c r="B108" s="15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5" t="n"/>
      <c r="M108" s="15" t="n"/>
      <c r="N108" s="15" t="n"/>
      <c r="O108" s="16">
        <f>IF($N108="","",ROUND(1+($C108*(SUMIFS(OBJECT_CONDITIONS!$D:$D,OBJECT_CONDITIONS!$A:$A,$N108)-1))+($D108*(SUMIFS(OBJECT_CONDITIONS!$F:$F,OBJECT_CONDITIONS!$A:$A,$N108)-1))+($E108*(SUMIFS(OBJECT_CONDITIONS!$H:$H,OBJECT_CONDITIONS!$A:$A,$N108)-1))+($F108*(SUMIFS(OBJECT_CONDITIONS!$J:$J,OBJECT_CONDITIONS!$A:$A,$N108)-1))+($G108*(SUMIFS(OBJECT_CONDITIONS!$L:$L,OBJECT_CONDITIONS!$A:$A,$N108)-1))+($H108*(SUMIFS(OBJECT_CONDITIONS!$N:$N,OBJECT_CONDITIONS!$A:$A,$N108)-1))+($I108*(SUMIFS(OBJECT_CONDITIONS!$P:$P,OBJECT_CONDITIONS!$A:$A,$N108)-1))+($J108*(SUMIFS(OBJECT_CONDITIONS!$R:$R,OBJECT_CONDITIONS!$A:$A,$N108)-1))+($K108*(SUMIFS(OBJECT_CONDITIONS!$T:$T,OBJECT_CONDITIONS!$A:$A,$N108)-1)),3))</f>
        <v/>
      </c>
      <c r="P108" s="15" t="n"/>
    </row>
    <row r="109">
      <c r="A109" s="15" t="n"/>
      <c r="B109" s="15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5" t="n"/>
      <c r="M109" s="15" t="n"/>
      <c r="N109" s="15" t="n"/>
      <c r="O109" s="16">
        <f>IF($N109="","",ROUND(1+($C109*(SUMIFS(OBJECT_CONDITIONS!$D:$D,OBJECT_CONDITIONS!$A:$A,$N109)-1))+($D109*(SUMIFS(OBJECT_CONDITIONS!$F:$F,OBJECT_CONDITIONS!$A:$A,$N109)-1))+($E109*(SUMIFS(OBJECT_CONDITIONS!$H:$H,OBJECT_CONDITIONS!$A:$A,$N109)-1))+($F109*(SUMIFS(OBJECT_CONDITIONS!$J:$J,OBJECT_CONDITIONS!$A:$A,$N109)-1))+($G109*(SUMIFS(OBJECT_CONDITIONS!$L:$L,OBJECT_CONDITIONS!$A:$A,$N109)-1))+($H109*(SUMIFS(OBJECT_CONDITIONS!$N:$N,OBJECT_CONDITIONS!$A:$A,$N109)-1))+($I109*(SUMIFS(OBJECT_CONDITIONS!$P:$P,OBJECT_CONDITIONS!$A:$A,$N109)-1))+($J109*(SUMIFS(OBJECT_CONDITIONS!$R:$R,OBJECT_CONDITIONS!$A:$A,$N109)-1))+($K109*(SUMIFS(OBJECT_CONDITIONS!$T:$T,OBJECT_CONDITIONS!$A:$A,$N109)-1)),3))</f>
        <v/>
      </c>
      <c r="P109" s="15" t="n"/>
    </row>
    <row r="110">
      <c r="A110" s="15" t="n"/>
      <c r="B110" s="15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5" t="n"/>
      <c r="M110" s="15" t="n"/>
      <c r="N110" s="15" t="n"/>
      <c r="O110" s="16">
        <f>IF($N110="","",ROUND(1+($C110*(SUMIFS(OBJECT_CONDITIONS!$D:$D,OBJECT_CONDITIONS!$A:$A,$N110)-1))+($D110*(SUMIFS(OBJECT_CONDITIONS!$F:$F,OBJECT_CONDITIONS!$A:$A,$N110)-1))+($E110*(SUMIFS(OBJECT_CONDITIONS!$H:$H,OBJECT_CONDITIONS!$A:$A,$N110)-1))+($F110*(SUMIFS(OBJECT_CONDITIONS!$J:$J,OBJECT_CONDITIONS!$A:$A,$N110)-1))+($G110*(SUMIFS(OBJECT_CONDITIONS!$L:$L,OBJECT_CONDITIONS!$A:$A,$N110)-1))+($H110*(SUMIFS(OBJECT_CONDITIONS!$N:$N,OBJECT_CONDITIONS!$A:$A,$N110)-1))+($I110*(SUMIFS(OBJECT_CONDITIONS!$P:$P,OBJECT_CONDITIONS!$A:$A,$N110)-1))+($J110*(SUMIFS(OBJECT_CONDITIONS!$R:$R,OBJECT_CONDITIONS!$A:$A,$N110)-1))+($K110*(SUMIFS(OBJECT_CONDITIONS!$T:$T,OBJECT_CONDITIONS!$A:$A,$N110)-1)),3))</f>
        <v/>
      </c>
      <c r="P110" s="15" t="n"/>
    </row>
    <row r="111">
      <c r="A111" s="15" t="n"/>
      <c r="B111" s="15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5" t="n"/>
      <c r="M111" s="15" t="n"/>
      <c r="N111" s="15" t="n"/>
      <c r="O111" s="16">
        <f>IF($N111="","",ROUND(1+($C111*(SUMIFS(OBJECT_CONDITIONS!$D:$D,OBJECT_CONDITIONS!$A:$A,$N111)-1))+($D111*(SUMIFS(OBJECT_CONDITIONS!$F:$F,OBJECT_CONDITIONS!$A:$A,$N111)-1))+($E111*(SUMIFS(OBJECT_CONDITIONS!$H:$H,OBJECT_CONDITIONS!$A:$A,$N111)-1))+($F111*(SUMIFS(OBJECT_CONDITIONS!$J:$J,OBJECT_CONDITIONS!$A:$A,$N111)-1))+($G111*(SUMIFS(OBJECT_CONDITIONS!$L:$L,OBJECT_CONDITIONS!$A:$A,$N111)-1))+($H111*(SUMIFS(OBJECT_CONDITIONS!$N:$N,OBJECT_CONDITIONS!$A:$A,$N111)-1))+($I111*(SUMIFS(OBJECT_CONDITIONS!$P:$P,OBJECT_CONDITIONS!$A:$A,$N111)-1))+($J111*(SUMIFS(OBJECT_CONDITIONS!$R:$R,OBJECT_CONDITIONS!$A:$A,$N111)-1))+($K111*(SUMIFS(OBJECT_CONDITIONS!$T:$T,OBJECT_CONDITIONS!$A:$A,$N111)-1)),3))</f>
        <v/>
      </c>
      <c r="P111" s="15" t="n"/>
    </row>
    <row r="112">
      <c r="A112" s="15" t="n"/>
      <c r="B112" s="15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5" t="n"/>
      <c r="M112" s="15" t="n"/>
      <c r="N112" s="15" t="n"/>
      <c r="O112" s="16">
        <f>IF($N112="","",ROUND(1+($C112*(SUMIFS(OBJECT_CONDITIONS!$D:$D,OBJECT_CONDITIONS!$A:$A,$N112)-1))+($D112*(SUMIFS(OBJECT_CONDITIONS!$F:$F,OBJECT_CONDITIONS!$A:$A,$N112)-1))+($E112*(SUMIFS(OBJECT_CONDITIONS!$H:$H,OBJECT_CONDITIONS!$A:$A,$N112)-1))+($F112*(SUMIFS(OBJECT_CONDITIONS!$J:$J,OBJECT_CONDITIONS!$A:$A,$N112)-1))+($G112*(SUMIFS(OBJECT_CONDITIONS!$L:$L,OBJECT_CONDITIONS!$A:$A,$N112)-1))+($H112*(SUMIFS(OBJECT_CONDITIONS!$N:$N,OBJECT_CONDITIONS!$A:$A,$N112)-1))+($I112*(SUMIFS(OBJECT_CONDITIONS!$P:$P,OBJECT_CONDITIONS!$A:$A,$N112)-1))+($J112*(SUMIFS(OBJECT_CONDITIONS!$R:$R,OBJECT_CONDITIONS!$A:$A,$N112)-1))+($K112*(SUMIFS(OBJECT_CONDITIONS!$T:$T,OBJECT_CONDITIONS!$A:$A,$N112)-1)),3))</f>
        <v/>
      </c>
      <c r="P112" s="15" t="n"/>
    </row>
    <row r="113">
      <c r="A113" s="15" t="n"/>
      <c r="B113" s="15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5" t="n"/>
      <c r="M113" s="15" t="n"/>
      <c r="N113" s="15" t="n"/>
      <c r="O113" s="16">
        <f>IF($N113="","",ROUND(1+($C113*(SUMIFS(OBJECT_CONDITIONS!$D:$D,OBJECT_CONDITIONS!$A:$A,$N113)-1))+($D113*(SUMIFS(OBJECT_CONDITIONS!$F:$F,OBJECT_CONDITIONS!$A:$A,$N113)-1))+($E113*(SUMIFS(OBJECT_CONDITIONS!$H:$H,OBJECT_CONDITIONS!$A:$A,$N113)-1))+($F113*(SUMIFS(OBJECT_CONDITIONS!$J:$J,OBJECT_CONDITIONS!$A:$A,$N113)-1))+($G113*(SUMIFS(OBJECT_CONDITIONS!$L:$L,OBJECT_CONDITIONS!$A:$A,$N113)-1))+($H113*(SUMIFS(OBJECT_CONDITIONS!$N:$N,OBJECT_CONDITIONS!$A:$A,$N113)-1))+($I113*(SUMIFS(OBJECT_CONDITIONS!$P:$P,OBJECT_CONDITIONS!$A:$A,$N113)-1))+($J113*(SUMIFS(OBJECT_CONDITIONS!$R:$R,OBJECT_CONDITIONS!$A:$A,$N113)-1))+($K113*(SUMIFS(OBJECT_CONDITIONS!$T:$T,OBJECT_CONDITIONS!$A:$A,$N113)-1)),3))</f>
        <v/>
      </c>
      <c r="P113" s="15" t="n"/>
    </row>
    <row r="114">
      <c r="A114" s="15" t="n"/>
      <c r="B114" s="15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5" t="n"/>
      <c r="M114" s="15" t="n"/>
      <c r="N114" s="15" t="n"/>
      <c r="O114" s="16">
        <f>IF($N114="","",ROUND(1+($C114*(SUMIFS(OBJECT_CONDITIONS!$D:$D,OBJECT_CONDITIONS!$A:$A,$N114)-1))+($D114*(SUMIFS(OBJECT_CONDITIONS!$F:$F,OBJECT_CONDITIONS!$A:$A,$N114)-1))+($E114*(SUMIFS(OBJECT_CONDITIONS!$H:$H,OBJECT_CONDITIONS!$A:$A,$N114)-1))+($F114*(SUMIFS(OBJECT_CONDITIONS!$J:$J,OBJECT_CONDITIONS!$A:$A,$N114)-1))+($G114*(SUMIFS(OBJECT_CONDITIONS!$L:$L,OBJECT_CONDITIONS!$A:$A,$N114)-1))+($H114*(SUMIFS(OBJECT_CONDITIONS!$N:$N,OBJECT_CONDITIONS!$A:$A,$N114)-1))+($I114*(SUMIFS(OBJECT_CONDITIONS!$P:$P,OBJECT_CONDITIONS!$A:$A,$N114)-1))+($J114*(SUMIFS(OBJECT_CONDITIONS!$R:$R,OBJECT_CONDITIONS!$A:$A,$N114)-1))+($K114*(SUMIFS(OBJECT_CONDITIONS!$T:$T,OBJECT_CONDITIONS!$A:$A,$N114)-1)),3))</f>
        <v/>
      </c>
      <c r="P114" s="15" t="n"/>
    </row>
    <row r="115">
      <c r="A115" s="15" t="n"/>
      <c r="B115" s="15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5" t="n"/>
      <c r="M115" s="15" t="n"/>
      <c r="N115" s="15" t="n"/>
      <c r="O115" s="16">
        <f>IF($N115="","",ROUND(1+($C115*(SUMIFS(OBJECT_CONDITIONS!$D:$D,OBJECT_CONDITIONS!$A:$A,$N115)-1))+($D115*(SUMIFS(OBJECT_CONDITIONS!$F:$F,OBJECT_CONDITIONS!$A:$A,$N115)-1))+($E115*(SUMIFS(OBJECT_CONDITIONS!$H:$H,OBJECT_CONDITIONS!$A:$A,$N115)-1))+($F115*(SUMIFS(OBJECT_CONDITIONS!$J:$J,OBJECT_CONDITIONS!$A:$A,$N115)-1))+($G115*(SUMIFS(OBJECT_CONDITIONS!$L:$L,OBJECT_CONDITIONS!$A:$A,$N115)-1))+($H115*(SUMIFS(OBJECT_CONDITIONS!$N:$N,OBJECT_CONDITIONS!$A:$A,$N115)-1))+($I115*(SUMIFS(OBJECT_CONDITIONS!$P:$P,OBJECT_CONDITIONS!$A:$A,$N115)-1))+($J115*(SUMIFS(OBJECT_CONDITIONS!$R:$R,OBJECT_CONDITIONS!$A:$A,$N115)-1))+($K115*(SUMIFS(OBJECT_CONDITIONS!$T:$T,OBJECT_CONDITIONS!$A:$A,$N115)-1)),3))</f>
        <v/>
      </c>
      <c r="P115" s="15" t="n"/>
    </row>
    <row r="116">
      <c r="A116" s="15" t="n"/>
      <c r="B116" s="15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5" t="n"/>
      <c r="M116" s="15" t="n"/>
      <c r="N116" s="15" t="n"/>
      <c r="O116" s="16">
        <f>IF($N116="","",ROUND(1+($C116*(SUMIFS(OBJECT_CONDITIONS!$D:$D,OBJECT_CONDITIONS!$A:$A,$N116)-1))+($D116*(SUMIFS(OBJECT_CONDITIONS!$F:$F,OBJECT_CONDITIONS!$A:$A,$N116)-1))+($E116*(SUMIFS(OBJECT_CONDITIONS!$H:$H,OBJECT_CONDITIONS!$A:$A,$N116)-1))+($F116*(SUMIFS(OBJECT_CONDITIONS!$J:$J,OBJECT_CONDITIONS!$A:$A,$N116)-1))+($G116*(SUMIFS(OBJECT_CONDITIONS!$L:$L,OBJECT_CONDITIONS!$A:$A,$N116)-1))+($H116*(SUMIFS(OBJECT_CONDITIONS!$N:$N,OBJECT_CONDITIONS!$A:$A,$N116)-1))+($I116*(SUMIFS(OBJECT_CONDITIONS!$P:$P,OBJECT_CONDITIONS!$A:$A,$N116)-1))+($J116*(SUMIFS(OBJECT_CONDITIONS!$R:$R,OBJECT_CONDITIONS!$A:$A,$N116)-1))+($K116*(SUMIFS(OBJECT_CONDITIONS!$T:$T,OBJECT_CONDITIONS!$A:$A,$N116)-1)),3))</f>
        <v/>
      </c>
      <c r="P116" s="15" t="n"/>
    </row>
    <row r="117">
      <c r="A117" s="15" t="n"/>
      <c r="B117" s="15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5" t="n"/>
      <c r="M117" s="15" t="n"/>
      <c r="N117" s="15" t="n"/>
      <c r="O117" s="16">
        <f>IF($N117="","",ROUND(1+($C117*(SUMIFS(OBJECT_CONDITIONS!$D:$D,OBJECT_CONDITIONS!$A:$A,$N117)-1))+($D117*(SUMIFS(OBJECT_CONDITIONS!$F:$F,OBJECT_CONDITIONS!$A:$A,$N117)-1))+($E117*(SUMIFS(OBJECT_CONDITIONS!$H:$H,OBJECT_CONDITIONS!$A:$A,$N117)-1))+($F117*(SUMIFS(OBJECT_CONDITIONS!$J:$J,OBJECT_CONDITIONS!$A:$A,$N117)-1))+($G117*(SUMIFS(OBJECT_CONDITIONS!$L:$L,OBJECT_CONDITIONS!$A:$A,$N117)-1))+($H117*(SUMIFS(OBJECT_CONDITIONS!$N:$N,OBJECT_CONDITIONS!$A:$A,$N117)-1))+($I117*(SUMIFS(OBJECT_CONDITIONS!$P:$P,OBJECT_CONDITIONS!$A:$A,$N117)-1))+($J117*(SUMIFS(OBJECT_CONDITIONS!$R:$R,OBJECT_CONDITIONS!$A:$A,$N117)-1))+($K117*(SUMIFS(OBJECT_CONDITIONS!$T:$T,OBJECT_CONDITIONS!$A:$A,$N117)-1)),3))</f>
        <v/>
      </c>
      <c r="P117" s="15" t="n"/>
    </row>
    <row r="118">
      <c r="A118" s="15" t="n"/>
      <c r="B118" s="15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5" t="n"/>
      <c r="M118" s="15" t="n"/>
      <c r="N118" s="15" t="n"/>
      <c r="O118" s="16">
        <f>IF($N118="","",ROUND(1+($C118*(SUMIFS(OBJECT_CONDITIONS!$D:$D,OBJECT_CONDITIONS!$A:$A,$N118)-1))+($D118*(SUMIFS(OBJECT_CONDITIONS!$F:$F,OBJECT_CONDITIONS!$A:$A,$N118)-1))+($E118*(SUMIFS(OBJECT_CONDITIONS!$H:$H,OBJECT_CONDITIONS!$A:$A,$N118)-1))+($F118*(SUMIFS(OBJECT_CONDITIONS!$J:$J,OBJECT_CONDITIONS!$A:$A,$N118)-1))+($G118*(SUMIFS(OBJECT_CONDITIONS!$L:$L,OBJECT_CONDITIONS!$A:$A,$N118)-1))+($H118*(SUMIFS(OBJECT_CONDITIONS!$N:$N,OBJECT_CONDITIONS!$A:$A,$N118)-1))+($I118*(SUMIFS(OBJECT_CONDITIONS!$P:$P,OBJECT_CONDITIONS!$A:$A,$N118)-1))+($J118*(SUMIFS(OBJECT_CONDITIONS!$R:$R,OBJECT_CONDITIONS!$A:$A,$N118)-1))+($K118*(SUMIFS(OBJECT_CONDITIONS!$T:$T,OBJECT_CONDITIONS!$A:$A,$N118)-1)),3))</f>
        <v/>
      </c>
      <c r="P118" s="15" t="n"/>
    </row>
    <row r="119">
      <c r="A119" s="15" t="n"/>
      <c r="B119" s="15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5" t="n"/>
      <c r="M119" s="15" t="n"/>
      <c r="N119" s="15" t="n"/>
      <c r="O119" s="16">
        <f>IF($N119="","",ROUND(1+($C119*(SUMIFS(OBJECT_CONDITIONS!$D:$D,OBJECT_CONDITIONS!$A:$A,$N119)-1))+($D119*(SUMIFS(OBJECT_CONDITIONS!$F:$F,OBJECT_CONDITIONS!$A:$A,$N119)-1))+($E119*(SUMIFS(OBJECT_CONDITIONS!$H:$H,OBJECT_CONDITIONS!$A:$A,$N119)-1))+($F119*(SUMIFS(OBJECT_CONDITIONS!$J:$J,OBJECT_CONDITIONS!$A:$A,$N119)-1))+($G119*(SUMIFS(OBJECT_CONDITIONS!$L:$L,OBJECT_CONDITIONS!$A:$A,$N119)-1))+($H119*(SUMIFS(OBJECT_CONDITIONS!$N:$N,OBJECT_CONDITIONS!$A:$A,$N119)-1))+($I119*(SUMIFS(OBJECT_CONDITIONS!$P:$P,OBJECT_CONDITIONS!$A:$A,$N119)-1))+($J119*(SUMIFS(OBJECT_CONDITIONS!$R:$R,OBJECT_CONDITIONS!$A:$A,$N119)-1))+($K119*(SUMIFS(OBJECT_CONDITIONS!$T:$T,OBJECT_CONDITIONS!$A:$A,$N119)-1)),3))</f>
        <v/>
      </c>
      <c r="P119" s="15" t="n"/>
    </row>
    <row r="120">
      <c r="A120" s="15" t="n"/>
      <c r="B120" s="15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5" t="n"/>
      <c r="M120" s="15" t="n"/>
      <c r="N120" s="15" t="n"/>
      <c r="O120" s="16">
        <f>IF($N120="","",ROUND(1+($C120*(SUMIFS(OBJECT_CONDITIONS!$D:$D,OBJECT_CONDITIONS!$A:$A,$N120)-1))+($D120*(SUMIFS(OBJECT_CONDITIONS!$F:$F,OBJECT_CONDITIONS!$A:$A,$N120)-1))+($E120*(SUMIFS(OBJECT_CONDITIONS!$H:$H,OBJECT_CONDITIONS!$A:$A,$N120)-1))+($F120*(SUMIFS(OBJECT_CONDITIONS!$J:$J,OBJECT_CONDITIONS!$A:$A,$N120)-1))+($G120*(SUMIFS(OBJECT_CONDITIONS!$L:$L,OBJECT_CONDITIONS!$A:$A,$N120)-1))+($H120*(SUMIFS(OBJECT_CONDITIONS!$N:$N,OBJECT_CONDITIONS!$A:$A,$N120)-1))+($I120*(SUMIFS(OBJECT_CONDITIONS!$P:$P,OBJECT_CONDITIONS!$A:$A,$N120)-1))+($J120*(SUMIFS(OBJECT_CONDITIONS!$R:$R,OBJECT_CONDITIONS!$A:$A,$N120)-1))+($K120*(SUMIFS(OBJECT_CONDITIONS!$T:$T,OBJECT_CONDITIONS!$A:$A,$N120)-1)),3))</f>
        <v/>
      </c>
      <c r="P120" s="15" t="n"/>
    </row>
    <row r="121">
      <c r="A121" s="15" t="n"/>
      <c r="B121" s="15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5" t="n"/>
      <c r="M121" s="15" t="n"/>
      <c r="N121" s="15" t="n"/>
      <c r="O121" s="16">
        <f>IF($N121="","",ROUND(1+($C121*(SUMIFS(OBJECT_CONDITIONS!$D:$D,OBJECT_CONDITIONS!$A:$A,$N121)-1))+($D121*(SUMIFS(OBJECT_CONDITIONS!$F:$F,OBJECT_CONDITIONS!$A:$A,$N121)-1))+($E121*(SUMIFS(OBJECT_CONDITIONS!$H:$H,OBJECT_CONDITIONS!$A:$A,$N121)-1))+($F121*(SUMIFS(OBJECT_CONDITIONS!$J:$J,OBJECT_CONDITIONS!$A:$A,$N121)-1))+($G121*(SUMIFS(OBJECT_CONDITIONS!$L:$L,OBJECT_CONDITIONS!$A:$A,$N121)-1))+($H121*(SUMIFS(OBJECT_CONDITIONS!$N:$N,OBJECT_CONDITIONS!$A:$A,$N121)-1))+($I121*(SUMIFS(OBJECT_CONDITIONS!$P:$P,OBJECT_CONDITIONS!$A:$A,$N121)-1))+($J121*(SUMIFS(OBJECT_CONDITIONS!$R:$R,OBJECT_CONDITIONS!$A:$A,$N121)-1))+($K121*(SUMIFS(OBJECT_CONDITIONS!$T:$T,OBJECT_CONDITIONS!$A:$A,$N121)-1)),3))</f>
        <v/>
      </c>
      <c r="P121" s="15" t="n"/>
    </row>
    <row r="122">
      <c r="A122" s="15" t="n"/>
      <c r="B122" s="15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5" t="n"/>
      <c r="M122" s="15" t="n"/>
      <c r="N122" s="15" t="n"/>
      <c r="O122" s="16">
        <f>IF($N122="","",ROUND(1+($C122*(SUMIFS(OBJECT_CONDITIONS!$D:$D,OBJECT_CONDITIONS!$A:$A,$N122)-1))+($D122*(SUMIFS(OBJECT_CONDITIONS!$F:$F,OBJECT_CONDITIONS!$A:$A,$N122)-1))+($E122*(SUMIFS(OBJECT_CONDITIONS!$H:$H,OBJECT_CONDITIONS!$A:$A,$N122)-1))+($F122*(SUMIFS(OBJECT_CONDITIONS!$J:$J,OBJECT_CONDITIONS!$A:$A,$N122)-1))+($G122*(SUMIFS(OBJECT_CONDITIONS!$L:$L,OBJECT_CONDITIONS!$A:$A,$N122)-1))+($H122*(SUMIFS(OBJECT_CONDITIONS!$N:$N,OBJECT_CONDITIONS!$A:$A,$N122)-1))+($I122*(SUMIFS(OBJECT_CONDITIONS!$P:$P,OBJECT_CONDITIONS!$A:$A,$N122)-1))+($J122*(SUMIFS(OBJECT_CONDITIONS!$R:$R,OBJECT_CONDITIONS!$A:$A,$N122)-1))+($K122*(SUMIFS(OBJECT_CONDITIONS!$T:$T,OBJECT_CONDITIONS!$A:$A,$N122)-1)),3))</f>
        <v/>
      </c>
      <c r="P122" s="15" t="n"/>
    </row>
    <row r="123">
      <c r="A123" s="15" t="n"/>
      <c r="B123" s="15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5" t="n"/>
      <c r="M123" s="15" t="n"/>
      <c r="N123" s="15" t="n"/>
      <c r="O123" s="16">
        <f>IF($N123="","",ROUND(1+($C123*(SUMIFS(OBJECT_CONDITIONS!$D:$D,OBJECT_CONDITIONS!$A:$A,$N123)-1))+($D123*(SUMIFS(OBJECT_CONDITIONS!$F:$F,OBJECT_CONDITIONS!$A:$A,$N123)-1))+($E123*(SUMIFS(OBJECT_CONDITIONS!$H:$H,OBJECT_CONDITIONS!$A:$A,$N123)-1))+($F123*(SUMIFS(OBJECT_CONDITIONS!$J:$J,OBJECT_CONDITIONS!$A:$A,$N123)-1))+($G123*(SUMIFS(OBJECT_CONDITIONS!$L:$L,OBJECT_CONDITIONS!$A:$A,$N123)-1))+($H123*(SUMIFS(OBJECT_CONDITIONS!$N:$N,OBJECT_CONDITIONS!$A:$A,$N123)-1))+($I123*(SUMIFS(OBJECT_CONDITIONS!$P:$P,OBJECT_CONDITIONS!$A:$A,$N123)-1))+($J123*(SUMIFS(OBJECT_CONDITIONS!$R:$R,OBJECT_CONDITIONS!$A:$A,$N123)-1))+($K123*(SUMIFS(OBJECT_CONDITIONS!$T:$T,OBJECT_CONDITIONS!$A:$A,$N123)-1)),3))</f>
        <v/>
      </c>
      <c r="P123" s="15" t="n"/>
    </row>
    <row r="124">
      <c r="A124" s="15" t="n"/>
      <c r="B124" s="15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5" t="n"/>
      <c r="M124" s="15" t="n"/>
      <c r="N124" s="15" t="n"/>
      <c r="O124" s="16">
        <f>IF($N124="","",ROUND(1+($C124*(SUMIFS(OBJECT_CONDITIONS!$D:$D,OBJECT_CONDITIONS!$A:$A,$N124)-1))+($D124*(SUMIFS(OBJECT_CONDITIONS!$F:$F,OBJECT_CONDITIONS!$A:$A,$N124)-1))+($E124*(SUMIFS(OBJECT_CONDITIONS!$H:$H,OBJECT_CONDITIONS!$A:$A,$N124)-1))+($F124*(SUMIFS(OBJECT_CONDITIONS!$J:$J,OBJECT_CONDITIONS!$A:$A,$N124)-1))+($G124*(SUMIFS(OBJECT_CONDITIONS!$L:$L,OBJECT_CONDITIONS!$A:$A,$N124)-1))+($H124*(SUMIFS(OBJECT_CONDITIONS!$N:$N,OBJECT_CONDITIONS!$A:$A,$N124)-1))+($I124*(SUMIFS(OBJECT_CONDITIONS!$P:$P,OBJECT_CONDITIONS!$A:$A,$N124)-1))+($J124*(SUMIFS(OBJECT_CONDITIONS!$R:$R,OBJECT_CONDITIONS!$A:$A,$N124)-1))+($K124*(SUMIFS(OBJECT_CONDITIONS!$T:$T,OBJECT_CONDITIONS!$A:$A,$N124)-1)),3))</f>
        <v/>
      </c>
      <c r="P124" s="15" t="n"/>
    </row>
    <row r="125">
      <c r="A125" s="15" t="n"/>
      <c r="B125" s="15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5" t="n"/>
      <c r="M125" s="15" t="n"/>
      <c r="N125" s="15" t="n"/>
      <c r="O125" s="16">
        <f>IF($N125="","",ROUND(1+($C125*(SUMIFS(OBJECT_CONDITIONS!$D:$D,OBJECT_CONDITIONS!$A:$A,$N125)-1))+($D125*(SUMIFS(OBJECT_CONDITIONS!$F:$F,OBJECT_CONDITIONS!$A:$A,$N125)-1))+($E125*(SUMIFS(OBJECT_CONDITIONS!$H:$H,OBJECT_CONDITIONS!$A:$A,$N125)-1))+($F125*(SUMIFS(OBJECT_CONDITIONS!$J:$J,OBJECT_CONDITIONS!$A:$A,$N125)-1))+($G125*(SUMIFS(OBJECT_CONDITIONS!$L:$L,OBJECT_CONDITIONS!$A:$A,$N125)-1))+($H125*(SUMIFS(OBJECT_CONDITIONS!$N:$N,OBJECT_CONDITIONS!$A:$A,$N125)-1))+($I125*(SUMIFS(OBJECT_CONDITIONS!$P:$P,OBJECT_CONDITIONS!$A:$A,$N125)-1))+($J125*(SUMIFS(OBJECT_CONDITIONS!$R:$R,OBJECT_CONDITIONS!$A:$A,$N125)-1))+($K125*(SUMIFS(OBJECT_CONDITIONS!$T:$T,OBJECT_CONDITIONS!$A:$A,$N125)-1)),3))</f>
        <v/>
      </c>
      <c r="P125" s="15" t="n"/>
    </row>
    <row r="126">
      <c r="A126" s="15" t="n"/>
      <c r="B126" s="15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5" t="n"/>
      <c r="M126" s="15" t="n"/>
      <c r="N126" s="15" t="n"/>
      <c r="O126" s="16">
        <f>IF($N126="","",ROUND(1+($C126*(SUMIFS(OBJECT_CONDITIONS!$D:$D,OBJECT_CONDITIONS!$A:$A,$N126)-1))+($D126*(SUMIFS(OBJECT_CONDITIONS!$F:$F,OBJECT_CONDITIONS!$A:$A,$N126)-1))+($E126*(SUMIFS(OBJECT_CONDITIONS!$H:$H,OBJECT_CONDITIONS!$A:$A,$N126)-1))+($F126*(SUMIFS(OBJECT_CONDITIONS!$J:$J,OBJECT_CONDITIONS!$A:$A,$N126)-1))+($G126*(SUMIFS(OBJECT_CONDITIONS!$L:$L,OBJECT_CONDITIONS!$A:$A,$N126)-1))+($H126*(SUMIFS(OBJECT_CONDITIONS!$N:$N,OBJECT_CONDITIONS!$A:$A,$N126)-1))+($I126*(SUMIFS(OBJECT_CONDITIONS!$P:$P,OBJECT_CONDITIONS!$A:$A,$N126)-1))+($J126*(SUMIFS(OBJECT_CONDITIONS!$R:$R,OBJECT_CONDITIONS!$A:$A,$N126)-1))+($K126*(SUMIFS(OBJECT_CONDITIONS!$T:$T,OBJECT_CONDITIONS!$A:$A,$N126)-1)),3))</f>
        <v/>
      </c>
      <c r="P126" s="15" t="n"/>
    </row>
    <row r="127">
      <c r="A127" s="15" t="n"/>
      <c r="B127" s="15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5" t="n"/>
      <c r="M127" s="15" t="n"/>
      <c r="N127" s="15" t="n"/>
      <c r="O127" s="16">
        <f>IF($N127="","",ROUND(1+($C127*(SUMIFS(OBJECT_CONDITIONS!$D:$D,OBJECT_CONDITIONS!$A:$A,$N127)-1))+($D127*(SUMIFS(OBJECT_CONDITIONS!$F:$F,OBJECT_CONDITIONS!$A:$A,$N127)-1))+($E127*(SUMIFS(OBJECT_CONDITIONS!$H:$H,OBJECT_CONDITIONS!$A:$A,$N127)-1))+($F127*(SUMIFS(OBJECT_CONDITIONS!$J:$J,OBJECT_CONDITIONS!$A:$A,$N127)-1))+($G127*(SUMIFS(OBJECT_CONDITIONS!$L:$L,OBJECT_CONDITIONS!$A:$A,$N127)-1))+($H127*(SUMIFS(OBJECT_CONDITIONS!$N:$N,OBJECT_CONDITIONS!$A:$A,$N127)-1))+($I127*(SUMIFS(OBJECT_CONDITIONS!$P:$P,OBJECT_CONDITIONS!$A:$A,$N127)-1))+($J127*(SUMIFS(OBJECT_CONDITIONS!$R:$R,OBJECT_CONDITIONS!$A:$A,$N127)-1))+($K127*(SUMIFS(OBJECT_CONDITIONS!$T:$T,OBJECT_CONDITIONS!$A:$A,$N127)-1)),3))</f>
        <v/>
      </c>
      <c r="P127" s="15" t="n"/>
    </row>
    <row r="128">
      <c r="A128" s="15" t="n"/>
      <c r="B128" s="15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5" t="n"/>
      <c r="M128" s="15" t="n"/>
      <c r="N128" s="15" t="n"/>
      <c r="O128" s="16">
        <f>IF($N128="","",ROUND(1+($C128*(SUMIFS(OBJECT_CONDITIONS!$D:$D,OBJECT_CONDITIONS!$A:$A,$N128)-1))+($D128*(SUMIFS(OBJECT_CONDITIONS!$F:$F,OBJECT_CONDITIONS!$A:$A,$N128)-1))+($E128*(SUMIFS(OBJECT_CONDITIONS!$H:$H,OBJECT_CONDITIONS!$A:$A,$N128)-1))+($F128*(SUMIFS(OBJECT_CONDITIONS!$J:$J,OBJECT_CONDITIONS!$A:$A,$N128)-1))+($G128*(SUMIFS(OBJECT_CONDITIONS!$L:$L,OBJECT_CONDITIONS!$A:$A,$N128)-1))+($H128*(SUMIFS(OBJECT_CONDITIONS!$N:$N,OBJECT_CONDITIONS!$A:$A,$N128)-1))+($I128*(SUMIFS(OBJECT_CONDITIONS!$P:$P,OBJECT_CONDITIONS!$A:$A,$N128)-1))+($J128*(SUMIFS(OBJECT_CONDITIONS!$R:$R,OBJECT_CONDITIONS!$A:$A,$N128)-1))+($K128*(SUMIFS(OBJECT_CONDITIONS!$T:$T,OBJECT_CONDITIONS!$A:$A,$N128)-1)),3))</f>
        <v/>
      </c>
      <c r="P128" s="15" t="n"/>
    </row>
    <row r="129">
      <c r="A129" s="15" t="n"/>
      <c r="B129" s="15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5" t="n"/>
      <c r="M129" s="15" t="n"/>
      <c r="N129" s="15" t="n"/>
      <c r="O129" s="16">
        <f>IF($N129="","",ROUND(1+($C129*(SUMIFS(OBJECT_CONDITIONS!$D:$D,OBJECT_CONDITIONS!$A:$A,$N129)-1))+($D129*(SUMIFS(OBJECT_CONDITIONS!$F:$F,OBJECT_CONDITIONS!$A:$A,$N129)-1))+($E129*(SUMIFS(OBJECT_CONDITIONS!$H:$H,OBJECT_CONDITIONS!$A:$A,$N129)-1))+($F129*(SUMIFS(OBJECT_CONDITIONS!$J:$J,OBJECT_CONDITIONS!$A:$A,$N129)-1))+($G129*(SUMIFS(OBJECT_CONDITIONS!$L:$L,OBJECT_CONDITIONS!$A:$A,$N129)-1))+($H129*(SUMIFS(OBJECT_CONDITIONS!$N:$N,OBJECT_CONDITIONS!$A:$A,$N129)-1))+($I129*(SUMIFS(OBJECT_CONDITIONS!$P:$P,OBJECT_CONDITIONS!$A:$A,$N129)-1))+($J129*(SUMIFS(OBJECT_CONDITIONS!$R:$R,OBJECT_CONDITIONS!$A:$A,$N129)-1))+($K129*(SUMIFS(OBJECT_CONDITIONS!$T:$T,OBJECT_CONDITIONS!$A:$A,$N129)-1)),3))</f>
        <v/>
      </c>
      <c r="P129" s="15" t="n"/>
    </row>
    <row r="130">
      <c r="A130" s="15" t="n"/>
      <c r="B130" s="15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5" t="n"/>
      <c r="M130" s="15" t="n"/>
      <c r="N130" s="15" t="n"/>
      <c r="O130" s="16">
        <f>IF($N130="","",ROUND(1+($C130*(SUMIFS(OBJECT_CONDITIONS!$D:$D,OBJECT_CONDITIONS!$A:$A,$N130)-1))+($D130*(SUMIFS(OBJECT_CONDITIONS!$F:$F,OBJECT_CONDITIONS!$A:$A,$N130)-1))+($E130*(SUMIFS(OBJECT_CONDITIONS!$H:$H,OBJECT_CONDITIONS!$A:$A,$N130)-1))+($F130*(SUMIFS(OBJECT_CONDITIONS!$J:$J,OBJECT_CONDITIONS!$A:$A,$N130)-1))+($G130*(SUMIFS(OBJECT_CONDITIONS!$L:$L,OBJECT_CONDITIONS!$A:$A,$N130)-1))+($H130*(SUMIFS(OBJECT_CONDITIONS!$N:$N,OBJECT_CONDITIONS!$A:$A,$N130)-1))+($I130*(SUMIFS(OBJECT_CONDITIONS!$P:$P,OBJECT_CONDITIONS!$A:$A,$N130)-1))+($J130*(SUMIFS(OBJECT_CONDITIONS!$R:$R,OBJECT_CONDITIONS!$A:$A,$N130)-1))+($K130*(SUMIFS(OBJECT_CONDITIONS!$T:$T,OBJECT_CONDITIONS!$A:$A,$N130)-1)),3))</f>
        <v/>
      </c>
      <c r="P130" s="15" t="n"/>
    </row>
    <row r="131">
      <c r="A131" s="15" t="n"/>
      <c r="B131" s="15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5" t="n"/>
      <c r="M131" s="15" t="n"/>
      <c r="N131" s="15" t="n"/>
      <c r="O131" s="16">
        <f>IF($N131="","",ROUND(1+($C131*(SUMIFS(OBJECT_CONDITIONS!$D:$D,OBJECT_CONDITIONS!$A:$A,$N131)-1))+($D131*(SUMIFS(OBJECT_CONDITIONS!$F:$F,OBJECT_CONDITIONS!$A:$A,$N131)-1))+($E131*(SUMIFS(OBJECT_CONDITIONS!$H:$H,OBJECT_CONDITIONS!$A:$A,$N131)-1))+($F131*(SUMIFS(OBJECT_CONDITIONS!$J:$J,OBJECT_CONDITIONS!$A:$A,$N131)-1))+($G131*(SUMIFS(OBJECT_CONDITIONS!$L:$L,OBJECT_CONDITIONS!$A:$A,$N131)-1))+($H131*(SUMIFS(OBJECT_CONDITIONS!$N:$N,OBJECT_CONDITIONS!$A:$A,$N131)-1))+($I131*(SUMIFS(OBJECT_CONDITIONS!$P:$P,OBJECT_CONDITIONS!$A:$A,$N131)-1))+($J131*(SUMIFS(OBJECT_CONDITIONS!$R:$R,OBJECT_CONDITIONS!$A:$A,$N131)-1))+($K131*(SUMIFS(OBJECT_CONDITIONS!$T:$T,OBJECT_CONDITIONS!$A:$A,$N131)-1)),3))</f>
        <v/>
      </c>
      <c r="P131" s="15" t="n"/>
    </row>
    <row r="132">
      <c r="A132" s="15" t="n"/>
      <c r="B132" s="15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5" t="n"/>
      <c r="M132" s="15" t="n"/>
      <c r="N132" s="15" t="n"/>
      <c r="O132" s="16">
        <f>IF($N132="","",ROUND(1+($C132*(SUMIFS(OBJECT_CONDITIONS!$D:$D,OBJECT_CONDITIONS!$A:$A,$N132)-1))+($D132*(SUMIFS(OBJECT_CONDITIONS!$F:$F,OBJECT_CONDITIONS!$A:$A,$N132)-1))+($E132*(SUMIFS(OBJECT_CONDITIONS!$H:$H,OBJECT_CONDITIONS!$A:$A,$N132)-1))+($F132*(SUMIFS(OBJECT_CONDITIONS!$J:$J,OBJECT_CONDITIONS!$A:$A,$N132)-1))+($G132*(SUMIFS(OBJECT_CONDITIONS!$L:$L,OBJECT_CONDITIONS!$A:$A,$N132)-1))+($H132*(SUMIFS(OBJECT_CONDITIONS!$N:$N,OBJECT_CONDITIONS!$A:$A,$N132)-1))+($I132*(SUMIFS(OBJECT_CONDITIONS!$P:$P,OBJECT_CONDITIONS!$A:$A,$N132)-1))+($J132*(SUMIFS(OBJECT_CONDITIONS!$R:$R,OBJECT_CONDITIONS!$A:$A,$N132)-1))+($K132*(SUMIFS(OBJECT_CONDITIONS!$T:$T,OBJECT_CONDITIONS!$A:$A,$N132)-1)),3))</f>
        <v/>
      </c>
      <c r="P132" s="15" t="n"/>
    </row>
    <row r="133">
      <c r="A133" s="15" t="n"/>
      <c r="B133" s="15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5" t="n"/>
      <c r="M133" s="15" t="n"/>
      <c r="N133" s="15" t="n"/>
      <c r="O133" s="16">
        <f>IF($N133="","",ROUND(1+($C133*(SUMIFS(OBJECT_CONDITIONS!$D:$D,OBJECT_CONDITIONS!$A:$A,$N133)-1))+($D133*(SUMIFS(OBJECT_CONDITIONS!$F:$F,OBJECT_CONDITIONS!$A:$A,$N133)-1))+($E133*(SUMIFS(OBJECT_CONDITIONS!$H:$H,OBJECT_CONDITIONS!$A:$A,$N133)-1))+($F133*(SUMIFS(OBJECT_CONDITIONS!$J:$J,OBJECT_CONDITIONS!$A:$A,$N133)-1))+($G133*(SUMIFS(OBJECT_CONDITIONS!$L:$L,OBJECT_CONDITIONS!$A:$A,$N133)-1))+($H133*(SUMIFS(OBJECT_CONDITIONS!$N:$N,OBJECT_CONDITIONS!$A:$A,$N133)-1))+($I133*(SUMIFS(OBJECT_CONDITIONS!$P:$P,OBJECT_CONDITIONS!$A:$A,$N133)-1))+($J133*(SUMIFS(OBJECT_CONDITIONS!$R:$R,OBJECT_CONDITIONS!$A:$A,$N133)-1))+($K133*(SUMIFS(OBJECT_CONDITIONS!$T:$T,OBJECT_CONDITIONS!$A:$A,$N133)-1)),3))</f>
        <v/>
      </c>
      <c r="P133" s="15" t="n"/>
    </row>
    <row r="134">
      <c r="A134" s="15" t="n"/>
      <c r="B134" s="15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5" t="n"/>
      <c r="M134" s="15" t="n"/>
      <c r="N134" s="15" t="n"/>
      <c r="O134" s="16">
        <f>IF($N134="","",ROUND(1+($C134*(SUMIFS(OBJECT_CONDITIONS!$D:$D,OBJECT_CONDITIONS!$A:$A,$N134)-1))+($D134*(SUMIFS(OBJECT_CONDITIONS!$F:$F,OBJECT_CONDITIONS!$A:$A,$N134)-1))+($E134*(SUMIFS(OBJECT_CONDITIONS!$H:$H,OBJECT_CONDITIONS!$A:$A,$N134)-1))+($F134*(SUMIFS(OBJECT_CONDITIONS!$J:$J,OBJECT_CONDITIONS!$A:$A,$N134)-1))+($G134*(SUMIFS(OBJECT_CONDITIONS!$L:$L,OBJECT_CONDITIONS!$A:$A,$N134)-1))+($H134*(SUMIFS(OBJECT_CONDITIONS!$N:$N,OBJECT_CONDITIONS!$A:$A,$N134)-1))+($I134*(SUMIFS(OBJECT_CONDITIONS!$P:$P,OBJECT_CONDITIONS!$A:$A,$N134)-1))+($J134*(SUMIFS(OBJECT_CONDITIONS!$R:$R,OBJECT_CONDITIONS!$A:$A,$N134)-1))+($K134*(SUMIFS(OBJECT_CONDITIONS!$T:$T,OBJECT_CONDITIONS!$A:$A,$N134)-1)),3))</f>
        <v/>
      </c>
      <c r="P134" s="15" t="n"/>
    </row>
    <row r="135">
      <c r="A135" s="15" t="n"/>
      <c r="B135" s="15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5" t="n"/>
      <c r="M135" s="15" t="n"/>
      <c r="N135" s="15" t="n"/>
      <c r="O135" s="16">
        <f>IF($N135="","",ROUND(1+($C135*(SUMIFS(OBJECT_CONDITIONS!$D:$D,OBJECT_CONDITIONS!$A:$A,$N135)-1))+($D135*(SUMIFS(OBJECT_CONDITIONS!$F:$F,OBJECT_CONDITIONS!$A:$A,$N135)-1))+($E135*(SUMIFS(OBJECT_CONDITIONS!$H:$H,OBJECT_CONDITIONS!$A:$A,$N135)-1))+($F135*(SUMIFS(OBJECT_CONDITIONS!$J:$J,OBJECT_CONDITIONS!$A:$A,$N135)-1))+($G135*(SUMIFS(OBJECT_CONDITIONS!$L:$L,OBJECT_CONDITIONS!$A:$A,$N135)-1))+($H135*(SUMIFS(OBJECT_CONDITIONS!$N:$N,OBJECT_CONDITIONS!$A:$A,$N135)-1))+($I135*(SUMIFS(OBJECT_CONDITIONS!$P:$P,OBJECT_CONDITIONS!$A:$A,$N135)-1))+($J135*(SUMIFS(OBJECT_CONDITIONS!$R:$R,OBJECT_CONDITIONS!$A:$A,$N135)-1))+($K135*(SUMIFS(OBJECT_CONDITIONS!$T:$T,OBJECT_CONDITIONS!$A:$A,$N135)-1)),3))</f>
        <v/>
      </c>
      <c r="P135" s="15" t="n"/>
    </row>
    <row r="136">
      <c r="A136" s="15" t="n"/>
      <c r="B136" s="15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5" t="n"/>
      <c r="M136" s="15" t="n"/>
      <c r="N136" s="15" t="n"/>
      <c r="O136" s="16">
        <f>IF($N136="","",ROUND(1+($C136*(SUMIFS(OBJECT_CONDITIONS!$D:$D,OBJECT_CONDITIONS!$A:$A,$N136)-1))+($D136*(SUMIFS(OBJECT_CONDITIONS!$F:$F,OBJECT_CONDITIONS!$A:$A,$N136)-1))+($E136*(SUMIFS(OBJECT_CONDITIONS!$H:$H,OBJECT_CONDITIONS!$A:$A,$N136)-1))+($F136*(SUMIFS(OBJECT_CONDITIONS!$J:$J,OBJECT_CONDITIONS!$A:$A,$N136)-1))+($G136*(SUMIFS(OBJECT_CONDITIONS!$L:$L,OBJECT_CONDITIONS!$A:$A,$N136)-1))+($H136*(SUMIFS(OBJECT_CONDITIONS!$N:$N,OBJECT_CONDITIONS!$A:$A,$N136)-1))+($I136*(SUMIFS(OBJECT_CONDITIONS!$P:$P,OBJECT_CONDITIONS!$A:$A,$N136)-1))+($J136*(SUMIFS(OBJECT_CONDITIONS!$R:$R,OBJECT_CONDITIONS!$A:$A,$N136)-1))+($K136*(SUMIFS(OBJECT_CONDITIONS!$T:$T,OBJECT_CONDITIONS!$A:$A,$N136)-1)),3))</f>
        <v/>
      </c>
      <c r="P136" s="15" t="n"/>
    </row>
    <row r="137">
      <c r="A137" s="15" t="n"/>
      <c r="B137" s="15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5" t="n"/>
      <c r="M137" s="15" t="n"/>
      <c r="N137" s="15" t="n"/>
      <c r="O137" s="16">
        <f>IF($N137="","",ROUND(1+($C137*(SUMIFS(OBJECT_CONDITIONS!$D:$D,OBJECT_CONDITIONS!$A:$A,$N137)-1))+($D137*(SUMIFS(OBJECT_CONDITIONS!$F:$F,OBJECT_CONDITIONS!$A:$A,$N137)-1))+($E137*(SUMIFS(OBJECT_CONDITIONS!$H:$H,OBJECT_CONDITIONS!$A:$A,$N137)-1))+($F137*(SUMIFS(OBJECT_CONDITIONS!$J:$J,OBJECT_CONDITIONS!$A:$A,$N137)-1))+($G137*(SUMIFS(OBJECT_CONDITIONS!$L:$L,OBJECT_CONDITIONS!$A:$A,$N137)-1))+($H137*(SUMIFS(OBJECT_CONDITIONS!$N:$N,OBJECT_CONDITIONS!$A:$A,$N137)-1))+($I137*(SUMIFS(OBJECT_CONDITIONS!$P:$P,OBJECT_CONDITIONS!$A:$A,$N137)-1))+($J137*(SUMIFS(OBJECT_CONDITIONS!$R:$R,OBJECT_CONDITIONS!$A:$A,$N137)-1))+($K137*(SUMIFS(OBJECT_CONDITIONS!$T:$T,OBJECT_CONDITIONS!$A:$A,$N137)-1)),3))</f>
        <v/>
      </c>
      <c r="P137" s="15" t="n"/>
    </row>
    <row r="138">
      <c r="A138" s="15" t="n"/>
      <c r="B138" s="15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5" t="n"/>
      <c r="M138" s="15" t="n"/>
      <c r="N138" s="15" t="n"/>
      <c r="O138" s="16">
        <f>IF($N138="","",ROUND(1+($C138*(SUMIFS(OBJECT_CONDITIONS!$D:$D,OBJECT_CONDITIONS!$A:$A,$N138)-1))+($D138*(SUMIFS(OBJECT_CONDITIONS!$F:$F,OBJECT_CONDITIONS!$A:$A,$N138)-1))+($E138*(SUMIFS(OBJECT_CONDITIONS!$H:$H,OBJECT_CONDITIONS!$A:$A,$N138)-1))+($F138*(SUMIFS(OBJECT_CONDITIONS!$J:$J,OBJECT_CONDITIONS!$A:$A,$N138)-1))+($G138*(SUMIFS(OBJECT_CONDITIONS!$L:$L,OBJECT_CONDITIONS!$A:$A,$N138)-1))+($H138*(SUMIFS(OBJECT_CONDITIONS!$N:$N,OBJECT_CONDITIONS!$A:$A,$N138)-1))+($I138*(SUMIFS(OBJECT_CONDITIONS!$P:$P,OBJECT_CONDITIONS!$A:$A,$N138)-1))+($J138*(SUMIFS(OBJECT_CONDITIONS!$R:$R,OBJECT_CONDITIONS!$A:$A,$N138)-1))+($K138*(SUMIFS(OBJECT_CONDITIONS!$T:$T,OBJECT_CONDITIONS!$A:$A,$N138)-1)),3))</f>
        <v/>
      </c>
      <c r="P138" s="15" t="n"/>
    </row>
    <row r="139">
      <c r="A139" s="15" t="n"/>
      <c r="B139" s="15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5" t="n"/>
      <c r="M139" s="15" t="n"/>
      <c r="N139" s="15" t="n"/>
      <c r="O139" s="16">
        <f>IF($N139="","",ROUND(1+($C139*(SUMIFS(OBJECT_CONDITIONS!$D:$D,OBJECT_CONDITIONS!$A:$A,$N139)-1))+($D139*(SUMIFS(OBJECT_CONDITIONS!$F:$F,OBJECT_CONDITIONS!$A:$A,$N139)-1))+($E139*(SUMIFS(OBJECT_CONDITIONS!$H:$H,OBJECT_CONDITIONS!$A:$A,$N139)-1))+($F139*(SUMIFS(OBJECT_CONDITIONS!$J:$J,OBJECT_CONDITIONS!$A:$A,$N139)-1))+($G139*(SUMIFS(OBJECT_CONDITIONS!$L:$L,OBJECT_CONDITIONS!$A:$A,$N139)-1))+($H139*(SUMIFS(OBJECT_CONDITIONS!$N:$N,OBJECT_CONDITIONS!$A:$A,$N139)-1))+($I139*(SUMIFS(OBJECT_CONDITIONS!$P:$P,OBJECT_CONDITIONS!$A:$A,$N139)-1))+($J139*(SUMIFS(OBJECT_CONDITIONS!$R:$R,OBJECT_CONDITIONS!$A:$A,$N139)-1))+($K139*(SUMIFS(OBJECT_CONDITIONS!$T:$T,OBJECT_CONDITIONS!$A:$A,$N139)-1)),3))</f>
        <v/>
      </c>
      <c r="P139" s="15" t="n"/>
    </row>
    <row r="140">
      <c r="A140" s="15" t="n"/>
      <c r="B140" s="15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5" t="n"/>
      <c r="M140" s="15" t="n"/>
      <c r="N140" s="15" t="n"/>
      <c r="O140" s="16">
        <f>IF($N140="","",ROUND(1+($C140*(SUMIFS(OBJECT_CONDITIONS!$D:$D,OBJECT_CONDITIONS!$A:$A,$N140)-1))+($D140*(SUMIFS(OBJECT_CONDITIONS!$F:$F,OBJECT_CONDITIONS!$A:$A,$N140)-1))+($E140*(SUMIFS(OBJECT_CONDITIONS!$H:$H,OBJECT_CONDITIONS!$A:$A,$N140)-1))+($F140*(SUMIFS(OBJECT_CONDITIONS!$J:$J,OBJECT_CONDITIONS!$A:$A,$N140)-1))+($G140*(SUMIFS(OBJECT_CONDITIONS!$L:$L,OBJECT_CONDITIONS!$A:$A,$N140)-1))+($H140*(SUMIFS(OBJECT_CONDITIONS!$N:$N,OBJECT_CONDITIONS!$A:$A,$N140)-1))+($I140*(SUMIFS(OBJECT_CONDITIONS!$P:$P,OBJECT_CONDITIONS!$A:$A,$N140)-1))+($J140*(SUMIFS(OBJECT_CONDITIONS!$R:$R,OBJECT_CONDITIONS!$A:$A,$N140)-1))+($K140*(SUMIFS(OBJECT_CONDITIONS!$T:$T,OBJECT_CONDITIONS!$A:$A,$N140)-1)),3))</f>
        <v/>
      </c>
      <c r="P140" s="15" t="n"/>
    </row>
    <row r="141">
      <c r="A141" s="15" t="n"/>
      <c r="B141" s="15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5" t="n"/>
      <c r="M141" s="15" t="n"/>
      <c r="N141" s="15" t="n"/>
      <c r="O141" s="16">
        <f>IF($N141="","",ROUND(1+($C141*(SUMIFS(OBJECT_CONDITIONS!$D:$D,OBJECT_CONDITIONS!$A:$A,$N141)-1))+($D141*(SUMIFS(OBJECT_CONDITIONS!$F:$F,OBJECT_CONDITIONS!$A:$A,$N141)-1))+($E141*(SUMIFS(OBJECT_CONDITIONS!$H:$H,OBJECT_CONDITIONS!$A:$A,$N141)-1))+($F141*(SUMIFS(OBJECT_CONDITIONS!$J:$J,OBJECT_CONDITIONS!$A:$A,$N141)-1))+($G141*(SUMIFS(OBJECT_CONDITIONS!$L:$L,OBJECT_CONDITIONS!$A:$A,$N141)-1))+($H141*(SUMIFS(OBJECT_CONDITIONS!$N:$N,OBJECT_CONDITIONS!$A:$A,$N141)-1))+($I141*(SUMIFS(OBJECT_CONDITIONS!$P:$P,OBJECT_CONDITIONS!$A:$A,$N141)-1))+($J141*(SUMIFS(OBJECT_CONDITIONS!$R:$R,OBJECT_CONDITIONS!$A:$A,$N141)-1))+($K141*(SUMIFS(OBJECT_CONDITIONS!$T:$T,OBJECT_CONDITIONS!$A:$A,$N141)-1)),3))</f>
        <v/>
      </c>
      <c r="P141" s="15" t="n"/>
    </row>
    <row r="142">
      <c r="A142" s="15" t="n"/>
      <c r="B142" s="15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5" t="n"/>
      <c r="M142" s="15" t="n"/>
      <c r="N142" s="15" t="n"/>
      <c r="O142" s="16">
        <f>IF($N142="","",ROUND(1+($C142*(SUMIFS(OBJECT_CONDITIONS!$D:$D,OBJECT_CONDITIONS!$A:$A,$N142)-1))+($D142*(SUMIFS(OBJECT_CONDITIONS!$F:$F,OBJECT_CONDITIONS!$A:$A,$N142)-1))+($E142*(SUMIFS(OBJECT_CONDITIONS!$H:$H,OBJECT_CONDITIONS!$A:$A,$N142)-1))+($F142*(SUMIFS(OBJECT_CONDITIONS!$J:$J,OBJECT_CONDITIONS!$A:$A,$N142)-1))+($G142*(SUMIFS(OBJECT_CONDITIONS!$L:$L,OBJECT_CONDITIONS!$A:$A,$N142)-1))+($H142*(SUMIFS(OBJECT_CONDITIONS!$N:$N,OBJECT_CONDITIONS!$A:$A,$N142)-1))+($I142*(SUMIFS(OBJECT_CONDITIONS!$P:$P,OBJECT_CONDITIONS!$A:$A,$N142)-1))+($J142*(SUMIFS(OBJECT_CONDITIONS!$R:$R,OBJECT_CONDITIONS!$A:$A,$N142)-1))+($K142*(SUMIFS(OBJECT_CONDITIONS!$T:$T,OBJECT_CONDITIONS!$A:$A,$N142)-1)),3))</f>
        <v/>
      </c>
      <c r="P142" s="15" t="n"/>
    </row>
    <row r="143">
      <c r="A143" s="15" t="n"/>
      <c r="B143" s="15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5" t="n"/>
      <c r="M143" s="15" t="n"/>
      <c r="N143" s="15" t="n"/>
      <c r="O143" s="16">
        <f>IF($N143="","",ROUND(1+($C143*(SUMIFS(OBJECT_CONDITIONS!$D:$D,OBJECT_CONDITIONS!$A:$A,$N143)-1))+($D143*(SUMIFS(OBJECT_CONDITIONS!$F:$F,OBJECT_CONDITIONS!$A:$A,$N143)-1))+($E143*(SUMIFS(OBJECT_CONDITIONS!$H:$H,OBJECT_CONDITIONS!$A:$A,$N143)-1))+($F143*(SUMIFS(OBJECT_CONDITIONS!$J:$J,OBJECT_CONDITIONS!$A:$A,$N143)-1))+($G143*(SUMIFS(OBJECT_CONDITIONS!$L:$L,OBJECT_CONDITIONS!$A:$A,$N143)-1))+($H143*(SUMIFS(OBJECT_CONDITIONS!$N:$N,OBJECT_CONDITIONS!$A:$A,$N143)-1))+($I143*(SUMIFS(OBJECT_CONDITIONS!$P:$P,OBJECT_CONDITIONS!$A:$A,$N143)-1))+($J143*(SUMIFS(OBJECT_CONDITIONS!$R:$R,OBJECT_CONDITIONS!$A:$A,$N143)-1))+($K143*(SUMIFS(OBJECT_CONDITIONS!$T:$T,OBJECT_CONDITIONS!$A:$A,$N143)-1)),3))</f>
        <v/>
      </c>
      <c r="P143" s="15" t="n"/>
    </row>
    <row r="144">
      <c r="A144" s="15" t="n"/>
      <c r="B144" s="15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5" t="n"/>
      <c r="M144" s="15" t="n"/>
      <c r="N144" s="15" t="n"/>
      <c r="O144" s="16">
        <f>IF($N144="","",ROUND(1+($C144*(SUMIFS(OBJECT_CONDITIONS!$D:$D,OBJECT_CONDITIONS!$A:$A,$N144)-1))+($D144*(SUMIFS(OBJECT_CONDITIONS!$F:$F,OBJECT_CONDITIONS!$A:$A,$N144)-1))+($E144*(SUMIFS(OBJECT_CONDITIONS!$H:$H,OBJECT_CONDITIONS!$A:$A,$N144)-1))+($F144*(SUMIFS(OBJECT_CONDITIONS!$J:$J,OBJECT_CONDITIONS!$A:$A,$N144)-1))+($G144*(SUMIFS(OBJECT_CONDITIONS!$L:$L,OBJECT_CONDITIONS!$A:$A,$N144)-1))+($H144*(SUMIFS(OBJECT_CONDITIONS!$N:$N,OBJECT_CONDITIONS!$A:$A,$N144)-1))+($I144*(SUMIFS(OBJECT_CONDITIONS!$P:$P,OBJECT_CONDITIONS!$A:$A,$N144)-1))+($J144*(SUMIFS(OBJECT_CONDITIONS!$R:$R,OBJECT_CONDITIONS!$A:$A,$N144)-1))+($K144*(SUMIFS(OBJECT_CONDITIONS!$T:$T,OBJECT_CONDITIONS!$A:$A,$N144)-1)),3))</f>
        <v/>
      </c>
      <c r="P144" s="15" t="n"/>
    </row>
    <row r="145">
      <c r="A145" s="15" t="n"/>
      <c r="B145" s="15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5" t="n"/>
      <c r="M145" s="15" t="n"/>
      <c r="N145" s="15" t="n"/>
      <c r="O145" s="16">
        <f>IF($N145="","",ROUND(1+($C145*(SUMIFS(OBJECT_CONDITIONS!$D:$D,OBJECT_CONDITIONS!$A:$A,$N145)-1))+($D145*(SUMIFS(OBJECT_CONDITIONS!$F:$F,OBJECT_CONDITIONS!$A:$A,$N145)-1))+($E145*(SUMIFS(OBJECT_CONDITIONS!$H:$H,OBJECT_CONDITIONS!$A:$A,$N145)-1))+($F145*(SUMIFS(OBJECT_CONDITIONS!$J:$J,OBJECT_CONDITIONS!$A:$A,$N145)-1))+($G145*(SUMIFS(OBJECT_CONDITIONS!$L:$L,OBJECT_CONDITIONS!$A:$A,$N145)-1))+($H145*(SUMIFS(OBJECT_CONDITIONS!$N:$N,OBJECT_CONDITIONS!$A:$A,$N145)-1))+($I145*(SUMIFS(OBJECT_CONDITIONS!$P:$P,OBJECT_CONDITIONS!$A:$A,$N145)-1))+($J145*(SUMIFS(OBJECT_CONDITIONS!$R:$R,OBJECT_CONDITIONS!$A:$A,$N145)-1))+($K145*(SUMIFS(OBJECT_CONDITIONS!$T:$T,OBJECT_CONDITIONS!$A:$A,$N145)-1)),3))</f>
        <v/>
      </c>
      <c r="P145" s="15" t="n"/>
    </row>
    <row r="146">
      <c r="A146" s="15" t="n"/>
      <c r="B146" s="15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5" t="n"/>
      <c r="M146" s="15" t="n"/>
      <c r="N146" s="15" t="n"/>
      <c r="O146" s="16">
        <f>IF($N146="","",ROUND(1+($C146*(SUMIFS(OBJECT_CONDITIONS!$D:$D,OBJECT_CONDITIONS!$A:$A,$N146)-1))+($D146*(SUMIFS(OBJECT_CONDITIONS!$F:$F,OBJECT_CONDITIONS!$A:$A,$N146)-1))+($E146*(SUMIFS(OBJECT_CONDITIONS!$H:$H,OBJECT_CONDITIONS!$A:$A,$N146)-1))+($F146*(SUMIFS(OBJECT_CONDITIONS!$J:$J,OBJECT_CONDITIONS!$A:$A,$N146)-1))+($G146*(SUMIFS(OBJECT_CONDITIONS!$L:$L,OBJECT_CONDITIONS!$A:$A,$N146)-1))+($H146*(SUMIFS(OBJECT_CONDITIONS!$N:$N,OBJECT_CONDITIONS!$A:$A,$N146)-1))+($I146*(SUMIFS(OBJECT_CONDITIONS!$P:$P,OBJECT_CONDITIONS!$A:$A,$N146)-1))+($J146*(SUMIFS(OBJECT_CONDITIONS!$R:$R,OBJECT_CONDITIONS!$A:$A,$N146)-1))+($K146*(SUMIFS(OBJECT_CONDITIONS!$T:$T,OBJECT_CONDITIONS!$A:$A,$N146)-1)),3))</f>
        <v/>
      </c>
      <c r="P146" s="15" t="n"/>
    </row>
    <row r="147">
      <c r="A147" s="15" t="n"/>
      <c r="B147" s="15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5" t="n"/>
      <c r="M147" s="15" t="n"/>
      <c r="N147" s="15" t="n"/>
      <c r="O147" s="16">
        <f>IF($N147="","",ROUND(1+($C147*(SUMIFS(OBJECT_CONDITIONS!$D:$D,OBJECT_CONDITIONS!$A:$A,$N147)-1))+($D147*(SUMIFS(OBJECT_CONDITIONS!$F:$F,OBJECT_CONDITIONS!$A:$A,$N147)-1))+($E147*(SUMIFS(OBJECT_CONDITIONS!$H:$H,OBJECT_CONDITIONS!$A:$A,$N147)-1))+($F147*(SUMIFS(OBJECT_CONDITIONS!$J:$J,OBJECT_CONDITIONS!$A:$A,$N147)-1))+($G147*(SUMIFS(OBJECT_CONDITIONS!$L:$L,OBJECT_CONDITIONS!$A:$A,$N147)-1))+($H147*(SUMIFS(OBJECT_CONDITIONS!$N:$N,OBJECT_CONDITIONS!$A:$A,$N147)-1))+($I147*(SUMIFS(OBJECT_CONDITIONS!$P:$P,OBJECT_CONDITIONS!$A:$A,$N147)-1))+($J147*(SUMIFS(OBJECT_CONDITIONS!$R:$R,OBJECT_CONDITIONS!$A:$A,$N147)-1))+($K147*(SUMIFS(OBJECT_CONDITIONS!$T:$T,OBJECT_CONDITIONS!$A:$A,$N147)-1)),3))</f>
        <v/>
      </c>
      <c r="P147" s="15" t="n"/>
    </row>
    <row r="148">
      <c r="A148" s="15" t="n"/>
      <c r="B148" s="15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5" t="n"/>
      <c r="M148" s="15" t="n"/>
      <c r="N148" s="15" t="n"/>
      <c r="O148" s="16">
        <f>IF($N148="","",ROUND(1+($C148*(SUMIFS(OBJECT_CONDITIONS!$D:$D,OBJECT_CONDITIONS!$A:$A,$N148)-1))+($D148*(SUMIFS(OBJECT_CONDITIONS!$F:$F,OBJECT_CONDITIONS!$A:$A,$N148)-1))+($E148*(SUMIFS(OBJECT_CONDITIONS!$H:$H,OBJECT_CONDITIONS!$A:$A,$N148)-1))+($F148*(SUMIFS(OBJECT_CONDITIONS!$J:$J,OBJECT_CONDITIONS!$A:$A,$N148)-1))+($G148*(SUMIFS(OBJECT_CONDITIONS!$L:$L,OBJECT_CONDITIONS!$A:$A,$N148)-1))+($H148*(SUMIFS(OBJECT_CONDITIONS!$N:$N,OBJECT_CONDITIONS!$A:$A,$N148)-1))+($I148*(SUMIFS(OBJECT_CONDITIONS!$P:$P,OBJECT_CONDITIONS!$A:$A,$N148)-1))+($J148*(SUMIFS(OBJECT_CONDITIONS!$R:$R,OBJECT_CONDITIONS!$A:$A,$N148)-1))+($K148*(SUMIFS(OBJECT_CONDITIONS!$T:$T,OBJECT_CONDITIONS!$A:$A,$N148)-1)),3))</f>
        <v/>
      </c>
      <c r="P148" s="15" t="n"/>
    </row>
    <row r="149">
      <c r="A149" s="15" t="n"/>
      <c r="B149" s="15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5" t="n"/>
      <c r="M149" s="15" t="n"/>
      <c r="N149" s="15" t="n"/>
      <c r="O149" s="16">
        <f>IF($N149="","",ROUND(1+($C149*(SUMIFS(OBJECT_CONDITIONS!$D:$D,OBJECT_CONDITIONS!$A:$A,$N149)-1))+($D149*(SUMIFS(OBJECT_CONDITIONS!$F:$F,OBJECT_CONDITIONS!$A:$A,$N149)-1))+($E149*(SUMIFS(OBJECT_CONDITIONS!$H:$H,OBJECT_CONDITIONS!$A:$A,$N149)-1))+($F149*(SUMIFS(OBJECT_CONDITIONS!$J:$J,OBJECT_CONDITIONS!$A:$A,$N149)-1))+($G149*(SUMIFS(OBJECT_CONDITIONS!$L:$L,OBJECT_CONDITIONS!$A:$A,$N149)-1))+($H149*(SUMIFS(OBJECT_CONDITIONS!$N:$N,OBJECT_CONDITIONS!$A:$A,$N149)-1))+($I149*(SUMIFS(OBJECT_CONDITIONS!$P:$P,OBJECT_CONDITIONS!$A:$A,$N149)-1))+($J149*(SUMIFS(OBJECT_CONDITIONS!$R:$R,OBJECT_CONDITIONS!$A:$A,$N149)-1))+($K149*(SUMIFS(OBJECT_CONDITIONS!$T:$T,OBJECT_CONDITIONS!$A:$A,$N149)-1)),3))</f>
        <v/>
      </c>
      <c r="P149" s="15" t="n"/>
    </row>
    <row r="150">
      <c r="A150" s="15" t="n"/>
      <c r="B150" s="15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5" t="n"/>
      <c r="M150" s="15" t="n"/>
      <c r="N150" s="15" t="n"/>
      <c r="O150" s="16">
        <f>IF($N150="","",ROUND(1+($C150*(SUMIFS(OBJECT_CONDITIONS!$D:$D,OBJECT_CONDITIONS!$A:$A,$N150)-1))+($D150*(SUMIFS(OBJECT_CONDITIONS!$F:$F,OBJECT_CONDITIONS!$A:$A,$N150)-1))+($E150*(SUMIFS(OBJECT_CONDITIONS!$H:$H,OBJECT_CONDITIONS!$A:$A,$N150)-1))+($F150*(SUMIFS(OBJECT_CONDITIONS!$J:$J,OBJECT_CONDITIONS!$A:$A,$N150)-1))+($G150*(SUMIFS(OBJECT_CONDITIONS!$L:$L,OBJECT_CONDITIONS!$A:$A,$N150)-1))+($H150*(SUMIFS(OBJECT_CONDITIONS!$N:$N,OBJECT_CONDITIONS!$A:$A,$N150)-1))+($I150*(SUMIFS(OBJECT_CONDITIONS!$P:$P,OBJECT_CONDITIONS!$A:$A,$N150)-1))+($J150*(SUMIFS(OBJECT_CONDITIONS!$R:$R,OBJECT_CONDITIONS!$A:$A,$N150)-1))+($K150*(SUMIFS(OBJECT_CONDITIONS!$T:$T,OBJECT_CONDITIONS!$A:$A,$N150)-1)),3))</f>
        <v/>
      </c>
      <c r="P150" s="15" t="n"/>
    </row>
  </sheetData>
  <dataValidations count="2">
    <dataValidation sqref="L2:L1000" showDropDown="0" showInputMessage="0" showErrorMessage="0" allowBlank="1" type="list">
      <formula1>='DICTIONARIES'!$G$2:$G$3</formula1>
    </dataValidation>
    <dataValidation sqref="M2:M1000" showDropDown="0" showInputMessage="0" showErrorMessage="0" allowBlank="1" type="list">
      <formula1>='DICTIONARIES'!$G$2:$G$3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8" max="8"/>
    <col width="30" customWidth="1" min="9" max="9"/>
    <col width="16" customWidth="1" min="10" max="10"/>
    <col width="14" customWidth="1" min="11" max="11"/>
    <col width="10" customWidth="1" min="12" max="12"/>
    <col width="10" customWidth="1" min="13" max="13"/>
    <col width="42" customWidth="1" min="14" max="14"/>
  </cols>
  <sheetData>
    <row r="1">
      <c r="A1" s="4" t="inlineStr">
        <is>
          <t>RuleID</t>
        </is>
      </c>
      <c r="B1" s="4" t="inlineStr">
        <is>
          <t>ScopeType</t>
        </is>
      </c>
      <c r="C1" s="4" t="inlineStr">
        <is>
          <t>ScopeValue</t>
        </is>
      </c>
      <c r="D1" s="4" t="inlineStr">
        <is>
          <t>ConditionField1</t>
        </is>
      </c>
      <c r="E1" s="4" t="inlineStr">
        <is>
          <t>ConditionValue1</t>
        </is>
      </c>
      <c r="F1" s="4" t="inlineStr">
        <is>
          <t>ConditionField2</t>
        </is>
      </c>
      <c r="G1" s="4" t="inlineStr">
        <is>
          <t>ConditionValue2</t>
        </is>
      </c>
      <c r="H1" s="4" t="inlineStr">
        <is>
          <t>ActionType</t>
        </is>
      </c>
      <c r="I1" s="4" t="inlineStr">
        <is>
          <t>ActionValue</t>
        </is>
      </c>
      <c r="J1" s="4" t="inlineStr">
        <is>
          <t>TargetEntityType</t>
        </is>
      </c>
      <c r="K1" s="4" t="inlineStr">
        <is>
          <t>TargetID</t>
        </is>
      </c>
      <c r="L1" s="4" t="inlineStr">
        <is>
          <t>Priority</t>
        </is>
      </c>
      <c r="M1" s="4" t="inlineStr">
        <is>
          <t>IsActive</t>
        </is>
      </c>
      <c r="N1" s="4" t="inlineStr">
        <is>
          <t>Notes</t>
        </is>
      </c>
    </row>
    <row r="2">
      <c r="A2" s="5" t="inlineStr">
        <is>
          <t>CR-0001</t>
        </is>
      </c>
      <c r="B2" s="5" t="inlineStr">
        <is>
          <t>Work</t>
        </is>
      </c>
      <c r="C2" s="5" t="inlineStr">
        <is>
          <t>WORK-0001</t>
        </is>
      </c>
      <c r="D2" s="5" t="inlineStr">
        <is>
          <t>MachineryAllowed</t>
        </is>
      </c>
      <c r="E2" s="5" t="inlineStr">
        <is>
          <t>Нет</t>
        </is>
      </c>
      <c r="F2" s="5" t="inlineStr"/>
      <c r="G2" s="5" t="inlineStr"/>
      <c r="H2" s="5" t="inlineStr">
        <is>
          <t>ForceMethod</t>
        </is>
      </c>
      <c r="I2" s="5" t="inlineStr">
        <is>
          <t>Ручной</t>
        </is>
      </c>
      <c r="J2" s="5" t="inlineStr">
        <is>
          <t>Work</t>
        </is>
      </c>
      <c r="K2" s="5" t="inlineStr">
        <is>
          <t>WORK-0001</t>
        </is>
      </c>
      <c r="L2" s="5" t="n">
        <v>1</v>
      </c>
      <c r="M2" s="5" t="inlineStr">
        <is>
          <t>Да</t>
        </is>
      </c>
      <c r="N2" s="5" t="inlineStr">
        <is>
          <t>Если механизация невозможна, вариант принудительно становится ручным</t>
        </is>
      </c>
    </row>
    <row r="3">
      <c r="A3" s="5" t="inlineStr">
        <is>
          <t>CR-0002</t>
        </is>
      </c>
      <c r="B3" s="5" t="inlineStr">
        <is>
          <t>Work</t>
        </is>
      </c>
      <c r="C3" s="5" t="inlineStr">
        <is>
          <t>WORK-0001</t>
        </is>
      </c>
      <c r="D3" s="5" t="inlineStr">
        <is>
          <t>AccessClass</t>
        </is>
      </c>
      <c r="E3" s="5" t="inlineStr">
        <is>
          <t>Свободный</t>
        </is>
      </c>
      <c r="F3" s="5" t="inlineStr">
        <is>
          <t>MachineryAllowed</t>
        </is>
      </c>
      <c r="G3" s="5" t="inlineStr">
        <is>
          <t>Да</t>
        </is>
      </c>
      <c r="H3" s="5" t="inlineStr">
        <is>
          <t>PreferMethod</t>
        </is>
      </c>
      <c r="I3" s="5" t="inlineStr">
        <is>
          <t>Механизированный</t>
        </is>
      </c>
      <c r="J3" s="5" t="inlineStr">
        <is>
          <t>Work</t>
        </is>
      </c>
      <c r="K3" s="5" t="inlineStr">
        <is>
          <t>WORK-0001</t>
        </is>
      </c>
      <c r="L3" s="5" t="n">
        <v>2</v>
      </c>
      <c r="M3" s="5" t="inlineStr">
        <is>
          <t>Да</t>
        </is>
      </c>
      <c r="N3" s="5" t="inlineStr">
        <is>
          <t>При хорошем доступе механизированный способ предпочтителен</t>
        </is>
      </c>
    </row>
    <row r="4">
      <c r="A4" s="5" t="inlineStr">
        <is>
          <t>CR-0003</t>
        </is>
      </c>
      <c r="B4" s="5" t="inlineStr">
        <is>
          <t>Section</t>
        </is>
      </c>
      <c r="C4" s="5" t="inlineStr">
        <is>
          <t>Мощение</t>
        </is>
      </c>
      <c r="D4" s="5" t="inlineStr">
        <is>
          <t>SoilMoisture</t>
        </is>
      </c>
      <c r="E4" s="5" t="inlineStr">
        <is>
          <t>Переувлажнённая</t>
        </is>
      </c>
      <c r="F4" s="5" t="inlineStr">
        <is>
          <t>SoilWorkability</t>
        </is>
      </c>
      <c r="G4" s="5" t="inlineStr">
        <is>
          <t>Тяжёлая</t>
        </is>
      </c>
      <c r="H4" s="5" t="inlineStr">
        <is>
          <t>AddNote</t>
        </is>
      </c>
      <c r="I4" s="5" t="inlineStr">
        <is>
          <t>Проверить усиление основания, геотекстиль и дренаж</t>
        </is>
      </c>
      <c r="J4" s="5" t="inlineStr">
        <is>
          <t>Work</t>
        </is>
      </c>
      <c r="K4" s="5" t="inlineStr"/>
      <c r="L4" s="5" t="n">
        <v>3</v>
      </c>
      <c r="M4" s="5" t="inlineStr">
        <is>
          <t>Да</t>
        </is>
      </c>
      <c r="N4" s="5" t="inlineStr">
        <is>
          <t>Не только цена, но и состав решения требуют пересмотра</t>
        </is>
      </c>
    </row>
    <row r="5">
      <c r="A5" s="5" t="inlineStr">
        <is>
          <t>CR-0004</t>
        </is>
      </c>
      <c r="B5" s="5" t="inlineStr">
        <is>
          <t>Section</t>
        </is>
      </c>
      <c r="C5" s="5" t="inlineStr">
        <is>
          <t>Мощение</t>
        </is>
      </c>
      <c r="D5" s="5" t="inlineStr">
        <is>
          <t>SlopeClass</t>
        </is>
      </c>
      <c r="E5" s="5" t="inlineStr">
        <is>
          <t>8-15%</t>
        </is>
      </c>
      <c r="F5" s="5" t="inlineStr"/>
      <c r="G5" s="5" t="inlineStr"/>
      <c r="H5" s="5" t="inlineStr">
        <is>
          <t>AddNote</t>
        </is>
      </c>
      <c r="I5" s="5" t="inlineStr">
        <is>
          <t>Проверить ручную подработку, удержание кромки и геометрию покрытия</t>
        </is>
      </c>
      <c r="J5" s="5" t="inlineStr">
        <is>
          <t>Work</t>
        </is>
      </c>
      <c r="K5" s="5" t="inlineStr"/>
      <c r="L5" s="5" t="n">
        <v>4</v>
      </c>
      <c r="M5" s="5" t="inlineStr">
        <is>
          <t>Да</t>
        </is>
      </c>
      <c r="N5" s="5" t="inlineStr">
        <is>
          <t>Уклон выше стандартного часто меняет трудоёмкость</t>
        </is>
      </c>
    </row>
    <row r="6">
      <c r="A6" s="5" t="inlineStr">
        <is>
          <t>CR-0005</t>
        </is>
      </c>
      <c r="B6" s="5" t="inlineStr">
        <is>
          <t>Work</t>
        </is>
      </c>
      <c r="C6" s="5" t="inlineStr">
        <is>
          <t>WORK-0004</t>
        </is>
      </c>
      <c r="D6" s="5" t="inlineStr">
        <is>
          <t>ProximityToBuildings</t>
        </is>
      </c>
      <c r="E6" s="5" t="inlineStr">
        <is>
          <t>Очень близко</t>
        </is>
      </c>
      <c r="F6" s="5" t="inlineStr">
        <is>
          <t>MachineryAllowed</t>
        </is>
      </c>
      <c r="G6" s="5" t="inlineStr">
        <is>
          <t>Частично</t>
        </is>
      </c>
      <c r="H6" s="5" t="inlineStr">
        <is>
          <t>AddNote</t>
        </is>
      </c>
      <c r="I6" s="5" t="inlineStr">
        <is>
          <t>Уточнить деликатную разработку и ручные подрезки вдоль построек</t>
        </is>
      </c>
      <c r="J6" s="5" t="inlineStr">
        <is>
          <t>Work</t>
        </is>
      </c>
      <c r="K6" s="5" t="inlineStr">
        <is>
          <t>WORK-0004</t>
        </is>
      </c>
      <c r="L6" s="5" t="n">
        <v>5</v>
      </c>
      <c r="M6" s="5" t="inlineStr">
        <is>
          <t>Да</t>
        </is>
      </c>
      <c r="N6" s="5" t="inlineStr">
        <is>
          <t>Близость построек повышает риск повреждений и снижает темп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</sheetData>
  <dataValidations count="5">
    <dataValidation sqref="B2:B1000" showDropDown="0" showInputMessage="0" showErrorMessage="0" allowBlank="1" type="list">
      <formula1>='DICTIONARIES'!$Z$2:$Z$4</formula1>
    </dataValidation>
    <dataValidation sqref="H2:H1000" showDropDown="0" showInputMessage="0" showErrorMessage="0" allowBlank="1" type="list">
      <formula1>='DICTIONARIES'!$Y$2:$Y$6</formula1>
    </dataValidation>
    <dataValidation sqref="J2:J1000" showDropDown="0" showInputMessage="0" showErrorMessage="0" allowBlank="1" type="list">
      <formula1>='DICTIONARIES'!$H$2:$H$3</formula1>
    </dataValidation>
    <dataValidation sqref="M2:M1000" showDropDown="0" showInputMessage="0" showErrorMessage="0" allowBlank="1" type="list">
      <formula1>='DICTIONARIES'!$G$2:$G$3</formula1>
    </dataValidation>
    <dataValidation sqref="D2:D1000 F2:F1000" showDropDown="0" showInputMessage="0" showErrorMessage="0" allowBlank="1" type="list">
      <formula1>='DICTIONARIES'!$AB$2:$AB$10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16" customWidth="1" min="8" max="8"/>
    <col width="12" customWidth="1" min="9" max="9"/>
    <col width="10" customWidth="1" min="10" max="10"/>
    <col width="10" customWidth="1" min="11" max="11"/>
    <col width="34" customWidth="1" min="12" max="12"/>
  </cols>
  <sheetData>
    <row r="1">
      <c r="A1" s="4" t="inlineStr">
        <is>
          <t>RuleID</t>
        </is>
      </c>
      <c r="B1" s="4" t="inlineStr">
        <is>
          <t>TriggerType</t>
        </is>
      </c>
      <c r="C1" s="4" t="inlineStr">
        <is>
          <t>TriggerID</t>
        </is>
      </c>
      <c r="D1" s="4" t="inlineStr">
        <is>
          <t>ConditionField</t>
        </is>
      </c>
      <c r="E1" s="4" t="inlineStr">
        <is>
          <t>ConditionValue</t>
        </is>
      </c>
      <c r="F1" s="4" t="inlineStr">
        <is>
          <t>ActionType</t>
        </is>
      </c>
      <c r="G1" s="4" t="inlineStr">
        <is>
          <t>TargetType</t>
        </is>
      </c>
      <c r="H1" s="4" t="inlineStr">
        <is>
          <t>TargetID</t>
        </is>
      </c>
      <c r="I1" s="4" t="inlineStr">
        <is>
          <t>QtyLogic</t>
        </is>
      </c>
      <c r="J1" s="4" t="inlineStr">
        <is>
          <t>Priority</t>
        </is>
      </c>
      <c r="K1" s="4" t="inlineStr">
        <is>
          <t>IsActive</t>
        </is>
      </c>
      <c r="L1" s="4" t="inlineStr">
        <is>
          <t>Notes</t>
        </is>
      </c>
    </row>
    <row r="2">
      <c r="A2" s="19" t="inlineStr">
        <is>
          <t>DR-0001</t>
        </is>
      </c>
      <c r="B2" s="19" t="inlineStr">
        <is>
          <t>Work</t>
        </is>
      </c>
      <c r="C2" s="19" t="inlineStr">
        <is>
          <t>WORK-0001</t>
        </is>
      </c>
      <c r="D2" s="19" t="inlineStr">
        <is>
          <t>MachineryAllowed</t>
        </is>
      </c>
      <c r="E2" s="19" t="inlineStr">
        <is>
          <t>Нет</t>
        </is>
      </c>
      <c r="F2" s="19" t="inlineStr">
        <is>
          <t>ForceMethod</t>
        </is>
      </c>
      <c r="G2" s="19" t="inlineStr">
        <is>
          <t>Work</t>
        </is>
      </c>
      <c r="H2" s="19" t="inlineStr">
        <is>
          <t>Ручной</t>
        </is>
      </c>
      <c r="I2" s="19" t="inlineStr">
        <is>
          <t>1:1</t>
        </is>
      </c>
      <c r="J2" s="19" t="inlineStr">
        <is>
          <t>High</t>
        </is>
      </c>
      <c r="K2" s="19" t="inlineStr">
        <is>
          <t>Да</t>
        </is>
      </c>
      <c r="L2" s="19" t="inlineStr">
        <is>
          <t>Если механизация невозможна, ручной способ обязателен</t>
        </is>
      </c>
    </row>
    <row r="3">
      <c r="A3" s="19" t="inlineStr">
        <is>
          <t>DR-0002</t>
        </is>
      </c>
      <c r="B3" s="19" t="inlineStr">
        <is>
          <t>Material</t>
        </is>
      </c>
      <c r="C3" s="19" t="inlineStr">
        <is>
          <t>MAT-0001</t>
        </is>
      </c>
      <c r="D3" s="19" t="inlineStr">
        <is>
          <t>SelectedTariff</t>
        </is>
      </c>
      <c r="E3" s="19" t="inlineStr">
        <is>
          <t>Премиум</t>
        </is>
      </c>
      <c r="F3" s="19" t="inlineStr">
        <is>
          <t>PreferVariant</t>
        </is>
      </c>
      <c r="G3" s="19" t="inlineStr">
        <is>
          <t>Material</t>
        </is>
      </c>
      <c r="H3" s="19" t="inlineStr">
        <is>
          <t>MV-0003</t>
        </is>
      </c>
      <c r="I3" s="19" t="inlineStr">
        <is>
          <t>1:1</t>
        </is>
      </c>
      <c r="J3" s="19" t="inlineStr">
        <is>
          <t>Medium</t>
        </is>
      </c>
      <c r="K3" s="19" t="inlineStr">
        <is>
          <t>Да</t>
        </is>
      </c>
      <c r="L3" s="19" t="inlineStr">
        <is>
          <t>Премиум чаще тянет лучший вариант покрытия</t>
        </is>
      </c>
    </row>
    <row r="4">
      <c r="A4" s="19" t="inlineStr">
        <is>
          <t>DR-0003</t>
        </is>
      </c>
      <c r="B4" s="19" t="inlineStr">
        <is>
          <t>Material</t>
        </is>
      </c>
      <c r="C4" s="19" t="inlineStr">
        <is>
          <t>MAT-0001</t>
        </is>
      </c>
      <c r="D4" s="19" t="inlineStr">
        <is>
          <t>LoadClass</t>
        </is>
      </c>
      <c r="E4" s="19" t="inlineStr">
        <is>
          <t>Легковой транспорт</t>
        </is>
      </c>
      <c r="F4" s="19" t="inlineStr">
        <is>
          <t>FlagIfBelow</t>
        </is>
      </c>
      <c r="G4" s="19" t="inlineStr">
        <is>
          <t>Material</t>
        </is>
      </c>
      <c r="H4" s="19" t="inlineStr">
        <is>
          <t>Thickness&gt;=60</t>
        </is>
      </c>
      <c r="I4" s="19" t="inlineStr">
        <is>
          <t>-</t>
        </is>
      </c>
      <c r="J4" s="19" t="inlineStr">
        <is>
          <t>High</t>
        </is>
      </c>
      <c r="K4" s="19" t="inlineStr">
        <is>
          <t>Да</t>
        </is>
      </c>
      <c r="L4" s="19" t="inlineStr">
        <is>
          <t>Не позволять пешеходный вариант на въезде</t>
        </is>
      </c>
    </row>
    <row r="5">
      <c r="A5" s="19" t="inlineStr">
        <is>
          <t>DR-0004</t>
        </is>
      </c>
      <c r="B5" s="19" t="inlineStr">
        <is>
          <t>Work</t>
        </is>
      </c>
      <c r="C5" s="19" t="inlineStr">
        <is>
          <t>WORK-0002</t>
        </is>
      </c>
      <c r="D5" s="19" t="inlineStr">
        <is>
          <t>SlopeClass</t>
        </is>
      </c>
      <c r="E5" s="19" t="inlineStr">
        <is>
          <t>8-15%</t>
        </is>
      </c>
      <c r="F5" s="19" t="inlineStr">
        <is>
          <t>AddWork</t>
        </is>
      </c>
      <c r="G5" s="19" t="inlineStr">
        <is>
          <t>Work</t>
        </is>
      </c>
      <c r="H5" s="19" t="inlineStr">
        <is>
          <t>WORK-0001</t>
        </is>
      </c>
      <c r="I5" s="19" t="inlineStr">
        <is>
          <t>0.15 x area</t>
        </is>
      </c>
      <c r="J5" s="19" t="inlineStr">
        <is>
          <t>Medium</t>
        </is>
      </c>
      <c r="K5" s="19" t="inlineStr">
        <is>
          <t>Да</t>
        </is>
      </c>
      <c r="L5" s="19" t="inlineStr">
        <is>
          <t>При уклоне усиливаем подготовку</t>
        </is>
      </c>
    </row>
    <row r="6">
      <c r="A6" s="19" t="inlineStr">
        <is>
          <t>DR-0005</t>
        </is>
      </c>
      <c r="B6" s="19" t="inlineStr">
        <is>
          <t>Material</t>
        </is>
      </c>
      <c r="C6" s="19" t="inlineStr">
        <is>
          <t>MAT-0003</t>
        </is>
      </c>
      <c r="D6" s="19" t="inlineStr">
        <is>
          <t>GeometryComplexity</t>
        </is>
      </c>
      <c r="E6" s="19" t="inlineStr">
        <is>
          <t>Сложная</t>
        </is>
      </c>
      <c r="F6" s="19" t="inlineStr">
        <is>
          <t>AddMaterial</t>
        </is>
      </c>
      <c r="G6" s="19" t="inlineStr">
        <is>
          <t>Material</t>
        </is>
      </c>
      <c r="H6" s="19" t="inlineStr">
        <is>
          <t>MAT-0004</t>
        </is>
      </c>
      <c r="I6" s="19" t="inlineStr">
        <is>
          <t>0.03 x area</t>
        </is>
      </c>
      <c r="J6" s="19" t="inlineStr">
        <is>
          <t>Low</t>
        </is>
      </c>
      <c r="K6" s="19" t="inlineStr">
        <is>
          <t>Да</t>
        </is>
      </c>
      <c r="L6" s="19" t="inlineStr">
        <is>
          <t>Пример добавления вспомогательного материала</t>
        </is>
      </c>
    </row>
  </sheetData>
  <autoFilter ref="A1:L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6" customWidth="1" min="4" max="4"/>
    <col width="26" customWidth="1" min="5" max="5"/>
    <col width="16" customWidth="1" min="6" max="6"/>
    <col width="18" customWidth="1" min="7" max="7"/>
    <col width="28" customWidth="1" min="8" max="8"/>
    <col width="40" customWidth="1" min="9" max="9"/>
  </cols>
  <sheetData>
    <row r="1">
      <c r="A1" s="4" t="inlineStr">
        <is>
          <t>RuleID</t>
        </is>
      </c>
      <c r="B1" s="4" t="inlineStr">
        <is>
          <t>AllowanceGroup</t>
        </is>
      </c>
      <c r="C1" s="4" t="inlineStr">
        <is>
          <t>AllowanceType</t>
        </is>
      </c>
      <c r="D1" s="4" t="inlineStr">
        <is>
          <t>ScopeType</t>
        </is>
      </c>
      <c r="E1" s="4" t="inlineStr">
        <is>
          <t>ScopeValue</t>
        </is>
      </c>
      <c r="F1" s="4" t="inlineStr">
        <is>
          <t>ComponentCoeff</t>
        </is>
      </c>
      <c r="G1" s="4" t="inlineStr">
        <is>
          <t>IncludedInBaseCoeff</t>
        </is>
      </c>
      <c r="H1" s="4" t="inlineStr">
        <is>
          <t>ExampleUse</t>
        </is>
      </c>
      <c r="I1" s="4" t="inlineStr">
        <is>
          <t>Notes</t>
        </is>
      </c>
    </row>
    <row r="2">
      <c r="A2" s="5" t="inlineStr">
        <is>
          <t>MA-0001</t>
        </is>
      </c>
      <c r="B2" s="5" t="inlineStr">
        <is>
          <t>Сыпучие с уплотнением</t>
        </is>
      </c>
      <c r="C2" s="5" t="inlineStr">
        <is>
          <t>Разрыхление/уплотнение</t>
        </is>
      </c>
      <c r="D2" s="5" t="inlineStr">
        <is>
          <t>MaterialType</t>
        </is>
      </c>
      <c r="E2" s="5" t="inlineStr">
        <is>
          <t>Сыпучий материал</t>
        </is>
      </c>
      <c r="F2" s="24" t="n">
        <v>1.18</v>
      </c>
      <c r="G2" s="5" t="inlineStr">
        <is>
          <t>Да</t>
        </is>
      </c>
      <c r="H2" s="5" t="inlineStr">
        <is>
          <t>Щебень, песок, отсев от проектного уплотненного объема</t>
        </is>
      </c>
      <c r="I2" s="5" t="inlineStr">
        <is>
          <t>Коэффициент уже включает переход от проектного объема к закупке</t>
        </is>
      </c>
    </row>
    <row r="3">
      <c r="A3" s="5" t="inlineStr">
        <is>
          <t>MA-0002</t>
        </is>
      </c>
      <c r="B3" s="5" t="inlineStr">
        <is>
          <t>Штучное покрытие</t>
        </is>
      </c>
      <c r="C3" s="5" t="inlineStr">
        <is>
          <t>Запас на подрезку</t>
        </is>
      </c>
      <c r="D3" s="5" t="inlineStr">
        <is>
          <t>MaterialFamily</t>
        </is>
      </c>
      <c r="E3" s="5" t="inlineStr">
        <is>
          <t>Брусчатка бетонная</t>
        </is>
      </c>
      <c r="F3" s="24" t="n">
        <v>1.05</v>
      </c>
      <c r="G3" s="5" t="inlineStr">
        <is>
          <t>Да</t>
        </is>
      </c>
      <c r="H3" s="5" t="inlineStr">
        <is>
          <t>Брусчатка и схожие штучные покрытия</t>
        </is>
      </c>
      <c r="I3" s="5" t="inlineStr">
        <is>
          <t>Стартовая гипотеза; для сложной геометрии доп. запас даёт SiteReserveCoeff</t>
        </is>
      </c>
    </row>
    <row r="4">
      <c r="A4" s="5" t="inlineStr">
        <is>
          <t>MA-0003</t>
        </is>
      </c>
      <c r="B4" s="5" t="inlineStr">
        <is>
          <t>Рулонный текстиль</t>
        </is>
      </c>
      <c r="C4" s="5" t="inlineStr">
        <is>
          <t>Запас на нахлест</t>
        </is>
      </c>
      <c r="D4" s="5" t="inlineStr">
        <is>
          <t>MaterialType</t>
        </is>
      </c>
      <c r="E4" s="5" t="inlineStr">
        <is>
          <t>Сетка / текстиль</t>
        </is>
      </c>
      <c r="F4" s="24" t="n">
        <v>1.1</v>
      </c>
      <c r="G4" s="5" t="inlineStr">
        <is>
          <t>Да</t>
        </is>
      </c>
      <c r="H4" s="5" t="inlineStr">
        <is>
          <t>Геотекстиль, геосетка</t>
        </is>
      </c>
      <c r="I4" s="5" t="inlineStr">
        <is>
          <t>Отдельный компонент базового коэффициента</t>
        </is>
      </c>
    </row>
    <row r="5">
      <c r="A5" s="5" t="inlineStr">
        <is>
          <t>MA-0004</t>
        </is>
      </c>
      <c r="B5" s="5" t="inlineStr">
        <is>
          <t>Рулонный текстиль</t>
        </is>
      </c>
      <c r="C5" s="5" t="inlineStr">
        <is>
          <t>Запас на подрезку</t>
        </is>
      </c>
      <c r="D5" s="5" t="inlineStr">
        <is>
          <t>MaterialType</t>
        </is>
      </c>
      <c r="E5" s="5" t="inlineStr">
        <is>
          <t>Сетка / текстиль</t>
        </is>
      </c>
      <c r="F5" s="24" t="n">
        <v>1.03</v>
      </c>
      <c r="G5" s="5" t="inlineStr">
        <is>
          <t>Да</t>
        </is>
      </c>
      <c r="H5" s="5" t="inlineStr">
        <is>
          <t>Геотекстиль, геосетка</t>
        </is>
      </c>
      <c r="I5" s="5" t="inlineStr">
        <is>
          <t>В сумме с нахлестом даёт базовый коэффициент 1.133</t>
        </is>
      </c>
    </row>
    <row r="6">
      <c r="A6" s="5" t="inlineStr">
        <is>
          <t>MA-0005</t>
        </is>
      </c>
      <c r="B6" s="5" t="inlineStr">
        <is>
          <t>Рулонный газон / турф</t>
        </is>
      </c>
      <c r="C6" s="5" t="inlineStr">
        <is>
          <t>Запас на стыковку/подгонку</t>
        </is>
      </c>
      <c r="D6" s="5" t="inlineStr">
        <is>
          <t>MaterialFamily</t>
        </is>
      </c>
      <c r="E6" s="5" t="inlineStr">
        <is>
          <t>Газон рулонный</t>
        </is>
      </c>
      <c r="F6" s="24" t="n">
        <v>1.05</v>
      </c>
      <c r="G6" s="5" t="inlineStr">
        <is>
          <t>Да</t>
        </is>
      </c>
      <c r="H6" s="5" t="inlineStr">
        <is>
          <t>Рулонный газон / turf</t>
        </is>
      </c>
      <c r="I6" s="5" t="inlineStr">
        <is>
          <t>Обычно зависит от геометрии участка и примыканий</t>
        </is>
      </c>
    </row>
    <row r="7">
      <c r="A7" s="5" t="inlineStr">
        <is>
          <t>MA-0006</t>
        </is>
      </c>
      <c r="B7" s="5" t="inlineStr">
        <is>
          <t>Пленка / мембрана</t>
        </is>
      </c>
      <c r="C7" s="5" t="inlineStr">
        <is>
          <t>Запас на нахлест</t>
        </is>
      </c>
      <c r="D7" s="5" t="inlineStr">
        <is>
          <t>MaterialType</t>
        </is>
      </c>
      <c r="E7" s="5" t="inlineStr">
        <is>
          <t>Пленка / мембрана</t>
        </is>
      </c>
      <c r="F7" s="24" t="n">
        <v>1.12</v>
      </c>
      <c r="G7" s="5" t="inlineStr">
        <is>
          <t>Да</t>
        </is>
      </c>
      <c r="H7" s="5" t="inlineStr">
        <is>
          <t>Пленки, мембраны, изоляция</t>
        </is>
      </c>
      <c r="I7" s="5" t="inlineStr">
        <is>
          <t>Ширина нахлеста зависит от материала и производителя</t>
        </is>
      </c>
    </row>
    <row r="8">
      <c r="A8" s="5" t="inlineStr">
        <is>
          <t>MA-0007</t>
        </is>
      </c>
      <c r="B8" s="5" t="inlineStr">
        <is>
          <t>Пленка / мембрана</t>
        </is>
      </c>
      <c r="C8" s="5" t="inlineStr">
        <is>
          <t>Запас на подрезку</t>
        </is>
      </c>
      <c r="D8" s="5" t="inlineStr">
        <is>
          <t>MaterialType</t>
        </is>
      </c>
      <c r="E8" s="5" t="inlineStr">
        <is>
          <t>Пленка / мембрана</t>
        </is>
      </c>
      <c r="F8" s="24" t="n">
        <v>1.03</v>
      </c>
      <c r="G8" s="5" t="inlineStr">
        <is>
          <t>Да</t>
        </is>
      </c>
      <c r="H8" s="5" t="inlineStr">
        <is>
          <t>Пленки, мембраны, изоляция</t>
        </is>
      </c>
      <c r="I8" s="5" t="inlineStr">
        <is>
          <t>В сумме с нахлестом даёт базовый коэффициент 1.154</t>
        </is>
      </c>
    </row>
    <row r="9">
      <c r="A9" s="5" t="inlineStr">
        <is>
          <t>MA-0008</t>
        </is>
      </c>
      <c r="B9" s="5" t="inlineStr">
        <is>
          <t>Погонаж / доска</t>
        </is>
      </c>
      <c r="C9" s="5" t="inlineStr">
        <is>
          <t>Торцовка/раскрой</t>
        </is>
      </c>
      <c r="D9" s="5" t="inlineStr">
        <is>
          <t>MaterialType</t>
        </is>
      </c>
      <c r="E9" s="5" t="inlineStr">
        <is>
          <t>Погонаж / доска</t>
        </is>
      </c>
      <c r="F9" s="24" t="n">
        <v>1.1</v>
      </c>
      <c r="G9" s="5" t="inlineStr">
        <is>
          <t>Да</t>
        </is>
      </c>
      <c r="H9" s="5" t="inlineStr">
        <is>
          <t>Террасная доска, доска настила</t>
        </is>
      </c>
      <c r="I9" s="5" t="inlineStr">
        <is>
          <t>На узких и ломаных зонах запас растёт</t>
        </is>
      </c>
    </row>
    <row r="10">
      <c r="A10" s="5" t="inlineStr">
        <is>
          <t>MA-0009</t>
        </is>
      </c>
      <c r="B10" s="5" t="inlineStr">
        <is>
          <t>Линейный / штучный без существенной подрезки</t>
        </is>
      </c>
      <c r="C10" s="5" t="inlineStr">
        <is>
          <t>Технологический запас</t>
        </is>
      </c>
      <c r="D10" s="5" t="inlineStr">
        <is>
          <t>MaterialFamily</t>
        </is>
      </c>
      <c r="E10" s="5" t="inlineStr">
        <is>
          <t>Бордюр бетонный</t>
        </is>
      </c>
      <c r="F10" s="24" t="n">
        <v>1.02</v>
      </c>
      <c r="G10" s="5" t="inlineStr">
        <is>
          <t>Да</t>
        </is>
      </c>
      <c r="H10" s="5" t="inlineStr">
        <is>
          <t>Бордюр, некоторые линейные элементы</t>
        </is>
      </c>
      <c r="I10" s="5" t="inlineStr">
        <is>
          <t>Минимальный запас на бой/добор</t>
        </is>
      </c>
    </row>
    <row r="11">
      <c r="A11" s="5" t="n"/>
      <c r="B11" s="5" t="n"/>
      <c r="C11" s="5" t="n"/>
      <c r="D11" s="5" t="n"/>
      <c r="E11" s="5" t="n"/>
      <c r="F11" s="24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24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24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24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24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24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24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24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24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24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24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24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24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24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24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24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24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24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24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24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24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24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24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24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24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24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24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24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24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24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24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24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24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24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24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24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24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24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24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24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24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24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24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24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24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24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24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24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24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24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24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24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24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24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24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24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24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24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24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24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24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24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24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24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24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24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24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24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24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24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24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24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24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24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24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24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24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24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24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24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24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24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24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24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24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24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24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24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24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24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24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24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24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24" t="n"/>
      <c r="G104" s="5" t="n"/>
      <c r="H104" s="5" t="n"/>
      <c r="I104" s="5" t="n"/>
    </row>
    <row r="105">
      <c r="A105" s="5" t="n"/>
      <c r="B105" s="5" t="n"/>
      <c r="C105" s="5" t="n"/>
      <c r="D105" s="5" t="n"/>
      <c r="E105" s="5" t="n"/>
      <c r="F105" s="24" t="n"/>
      <c r="G105" s="5" t="n"/>
      <c r="H105" s="5" t="n"/>
      <c r="I105" s="5" t="n"/>
    </row>
    <row r="106">
      <c r="A106" s="5" t="n"/>
      <c r="B106" s="5" t="n"/>
      <c r="C106" s="5" t="n"/>
      <c r="D106" s="5" t="n"/>
      <c r="E106" s="5" t="n"/>
      <c r="F106" s="24" t="n"/>
      <c r="G106" s="5" t="n"/>
      <c r="H106" s="5" t="n"/>
      <c r="I106" s="5" t="n"/>
    </row>
    <row r="107">
      <c r="A107" s="5" t="n"/>
      <c r="B107" s="5" t="n"/>
      <c r="C107" s="5" t="n"/>
      <c r="D107" s="5" t="n"/>
      <c r="E107" s="5" t="n"/>
      <c r="F107" s="24" t="n"/>
      <c r="G107" s="5" t="n"/>
      <c r="H107" s="5" t="n"/>
      <c r="I107" s="5" t="n"/>
    </row>
    <row r="108">
      <c r="A108" s="5" t="n"/>
      <c r="B108" s="5" t="n"/>
      <c r="C108" s="5" t="n"/>
      <c r="D108" s="5" t="n"/>
      <c r="E108" s="5" t="n"/>
      <c r="F108" s="24" t="n"/>
      <c r="G108" s="5" t="n"/>
      <c r="H108" s="5" t="n"/>
      <c r="I108" s="5" t="n"/>
    </row>
    <row r="109">
      <c r="A109" s="5" t="n"/>
      <c r="B109" s="5" t="n"/>
      <c r="C109" s="5" t="n"/>
      <c r="D109" s="5" t="n"/>
      <c r="E109" s="5" t="n"/>
      <c r="F109" s="24" t="n"/>
      <c r="G109" s="5" t="n"/>
      <c r="H109" s="5" t="n"/>
      <c r="I109" s="5" t="n"/>
    </row>
    <row r="110">
      <c r="A110" s="5" t="n"/>
      <c r="B110" s="5" t="n"/>
      <c r="C110" s="5" t="n"/>
      <c r="D110" s="5" t="n"/>
      <c r="E110" s="5" t="n"/>
      <c r="F110" s="24" t="n"/>
      <c r="G110" s="5" t="n"/>
      <c r="H110" s="5" t="n"/>
      <c r="I110" s="5" t="n"/>
    </row>
    <row r="111">
      <c r="A111" s="5" t="n"/>
      <c r="B111" s="5" t="n"/>
      <c r="C111" s="5" t="n"/>
      <c r="D111" s="5" t="n"/>
      <c r="E111" s="5" t="n"/>
      <c r="F111" s="24" t="n"/>
      <c r="G111" s="5" t="n"/>
      <c r="H111" s="5" t="n"/>
      <c r="I111" s="5" t="n"/>
    </row>
    <row r="112">
      <c r="A112" s="5" t="n"/>
      <c r="B112" s="5" t="n"/>
      <c r="C112" s="5" t="n"/>
      <c r="D112" s="5" t="n"/>
      <c r="E112" s="5" t="n"/>
      <c r="F112" s="24" t="n"/>
      <c r="G112" s="5" t="n"/>
      <c r="H112" s="5" t="n"/>
      <c r="I112" s="5" t="n"/>
    </row>
    <row r="113">
      <c r="A113" s="5" t="n"/>
      <c r="B113" s="5" t="n"/>
      <c r="C113" s="5" t="n"/>
      <c r="D113" s="5" t="n"/>
      <c r="E113" s="5" t="n"/>
      <c r="F113" s="24" t="n"/>
      <c r="G113" s="5" t="n"/>
      <c r="H113" s="5" t="n"/>
      <c r="I113" s="5" t="n"/>
    </row>
    <row r="114">
      <c r="A114" s="5" t="n"/>
      <c r="B114" s="5" t="n"/>
      <c r="C114" s="5" t="n"/>
      <c r="D114" s="5" t="n"/>
      <c r="E114" s="5" t="n"/>
      <c r="F114" s="24" t="n"/>
      <c r="G114" s="5" t="n"/>
      <c r="H114" s="5" t="n"/>
      <c r="I114" s="5" t="n"/>
    </row>
    <row r="115">
      <c r="A115" s="5" t="n"/>
      <c r="B115" s="5" t="n"/>
      <c r="C115" s="5" t="n"/>
      <c r="D115" s="5" t="n"/>
      <c r="E115" s="5" t="n"/>
      <c r="F115" s="24" t="n"/>
      <c r="G115" s="5" t="n"/>
      <c r="H115" s="5" t="n"/>
      <c r="I115" s="5" t="n"/>
    </row>
    <row r="116">
      <c r="A116" s="5" t="n"/>
      <c r="B116" s="5" t="n"/>
      <c r="C116" s="5" t="n"/>
      <c r="D116" s="5" t="n"/>
      <c r="E116" s="5" t="n"/>
      <c r="F116" s="24" t="n"/>
      <c r="G116" s="5" t="n"/>
      <c r="H116" s="5" t="n"/>
      <c r="I116" s="5" t="n"/>
    </row>
    <row r="117">
      <c r="A117" s="5" t="n"/>
      <c r="B117" s="5" t="n"/>
      <c r="C117" s="5" t="n"/>
      <c r="D117" s="5" t="n"/>
      <c r="E117" s="5" t="n"/>
      <c r="F117" s="24" t="n"/>
      <c r="G117" s="5" t="n"/>
      <c r="H117" s="5" t="n"/>
      <c r="I117" s="5" t="n"/>
    </row>
    <row r="118">
      <c r="A118" s="5" t="n"/>
      <c r="B118" s="5" t="n"/>
      <c r="C118" s="5" t="n"/>
      <c r="D118" s="5" t="n"/>
      <c r="E118" s="5" t="n"/>
      <c r="F118" s="24" t="n"/>
      <c r="G118" s="5" t="n"/>
      <c r="H118" s="5" t="n"/>
      <c r="I118" s="5" t="n"/>
    </row>
    <row r="119">
      <c r="A119" s="5" t="n"/>
      <c r="B119" s="5" t="n"/>
      <c r="C119" s="5" t="n"/>
      <c r="D119" s="5" t="n"/>
      <c r="E119" s="5" t="n"/>
      <c r="F119" s="24" t="n"/>
      <c r="G119" s="5" t="n"/>
      <c r="H119" s="5" t="n"/>
      <c r="I119" s="5" t="n"/>
    </row>
    <row r="120">
      <c r="A120" s="5" t="n"/>
      <c r="B120" s="5" t="n"/>
      <c r="C120" s="5" t="n"/>
      <c r="D120" s="5" t="n"/>
      <c r="E120" s="5" t="n"/>
      <c r="F120" s="24" t="n"/>
      <c r="G120" s="5" t="n"/>
      <c r="H120" s="5" t="n"/>
      <c r="I120" s="5" t="n"/>
    </row>
    <row r="121">
      <c r="A121" s="5" t="n"/>
      <c r="B121" s="5" t="n"/>
      <c r="C121" s="5" t="n"/>
      <c r="D121" s="5" t="n"/>
      <c r="E121" s="5" t="n"/>
      <c r="F121" s="24" t="n"/>
      <c r="G121" s="5" t="n"/>
      <c r="H121" s="5" t="n"/>
      <c r="I121" s="5" t="n"/>
    </row>
    <row r="122">
      <c r="A122" s="5" t="n"/>
      <c r="B122" s="5" t="n"/>
      <c r="C122" s="5" t="n"/>
      <c r="D122" s="5" t="n"/>
      <c r="E122" s="5" t="n"/>
      <c r="F122" s="24" t="n"/>
      <c r="G122" s="5" t="n"/>
      <c r="H122" s="5" t="n"/>
      <c r="I122" s="5" t="n"/>
    </row>
    <row r="123">
      <c r="A123" s="5" t="n"/>
      <c r="B123" s="5" t="n"/>
      <c r="C123" s="5" t="n"/>
      <c r="D123" s="5" t="n"/>
      <c r="E123" s="5" t="n"/>
      <c r="F123" s="24" t="n"/>
      <c r="G123" s="5" t="n"/>
      <c r="H123" s="5" t="n"/>
      <c r="I123" s="5" t="n"/>
    </row>
    <row r="124">
      <c r="A124" s="5" t="n"/>
      <c r="B124" s="5" t="n"/>
      <c r="C124" s="5" t="n"/>
      <c r="D124" s="5" t="n"/>
      <c r="E124" s="5" t="n"/>
      <c r="F124" s="24" t="n"/>
      <c r="G124" s="5" t="n"/>
      <c r="H124" s="5" t="n"/>
      <c r="I124" s="5" t="n"/>
    </row>
    <row r="125">
      <c r="A125" s="5" t="n"/>
      <c r="B125" s="5" t="n"/>
      <c r="C125" s="5" t="n"/>
      <c r="D125" s="5" t="n"/>
      <c r="E125" s="5" t="n"/>
      <c r="F125" s="24" t="n"/>
      <c r="G125" s="5" t="n"/>
      <c r="H125" s="5" t="n"/>
      <c r="I125" s="5" t="n"/>
    </row>
    <row r="126">
      <c r="A126" s="5" t="n"/>
      <c r="B126" s="5" t="n"/>
      <c r="C126" s="5" t="n"/>
      <c r="D126" s="5" t="n"/>
      <c r="E126" s="5" t="n"/>
      <c r="F126" s="24" t="n"/>
      <c r="G126" s="5" t="n"/>
      <c r="H126" s="5" t="n"/>
      <c r="I126" s="5" t="n"/>
    </row>
    <row r="127">
      <c r="A127" s="5" t="n"/>
      <c r="B127" s="5" t="n"/>
      <c r="C127" s="5" t="n"/>
      <c r="D127" s="5" t="n"/>
      <c r="E127" s="5" t="n"/>
      <c r="F127" s="24" t="n"/>
      <c r="G127" s="5" t="n"/>
      <c r="H127" s="5" t="n"/>
      <c r="I127" s="5" t="n"/>
    </row>
    <row r="128">
      <c r="A128" s="5" t="n"/>
      <c r="B128" s="5" t="n"/>
      <c r="C128" s="5" t="n"/>
      <c r="D128" s="5" t="n"/>
      <c r="E128" s="5" t="n"/>
      <c r="F128" s="24" t="n"/>
      <c r="G128" s="5" t="n"/>
      <c r="H128" s="5" t="n"/>
      <c r="I128" s="5" t="n"/>
    </row>
    <row r="129">
      <c r="A129" s="5" t="n"/>
      <c r="B129" s="5" t="n"/>
      <c r="C129" s="5" t="n"/>
      <c r="D129" s="5" t="n"/>
      <c r="E129" s="5" t="n"/>
      <c r="F129" s="24" t="n"/>
      <c r="G129" s="5" t="n"/>
      <c r="H129" s="5" t="n"/>
      <c r="I129" s="5" t="n"/>
    </row>
    <row r="130">
      <c r="A130" s="5" t="n"/>
      <c r="B130" s="5" t="n"/>
      <c r="C130" s="5" t="n"/>
      <c r="D130" s="5" t="n"/>
      <c r="E130" s="5" t="n"/>
      <c r="F130" s="24" t="n"/>
      <c r="G130" s="5" t="n"/>
      <c r="H130" s="5" t="n"/>
      <c r="I130" s="5" t="n"/>
    </row>
    <row r="131">
      <c r="A131" s="5" t="n"/>
      <c r="B131" s="5" t="n"/>
      <c r="C131" s="5" t="n"/>
      <c r="D131" s="5" t="n"/>
      <c r="E131" s="5" t="n"/>
      <c r="F131" s="24" t="n"/>
      <c r="G131" s="5" t="n"/>
      <c r="H131" s="5" t="n"/>
      <c r="I131" s="5" t="n"/>
    </row>
    <row r="132">
      <c r="A132" s="5" t="n"/>
      <c r="B132" s="5" t="n"/>
      <c r="C132" s="5" t="n"/>
      <c r="D132" s="5" t="n"/>
      <c r="E132" s="5" t="n"/>
      <c r="F132" s="24" t="n"/>
      <c r="G132" s="5" t="n"/>
      <c r="H132" s="5" t="n"/>
      <c r="I132" s="5" t="n"/>
    </row>
    <row r="133">
      <c r="A133" s="5" t="n"/>
      <c r="B133" s="5" t="n"/>
      <c r="C133" s="5" t="n"/>
      <c r="D133" s="5" t="n"/>
      <c r="E133" s="5" t="n"/>
      <c r="F133" s="24" t="n"/>
      <c r="G133" s="5" t="n"/>
      <c r="H133" s="5" t="n"/>
      <c r="I133" s="5" t="n"/>
    </row>
    <row r="134">
      <c r="A134" s="5" t="n"/>
      <c r="B134" s="5" t="n"/>
      <c r="C134" s="5" t="n"/>
      <c r="D134" s="5" t="n"/>
      <c r="E134" s="5" t="n"/>
      <c r="F134" s="24" t="n"/>
      <c r="G134" s="5" t="n"/>
      <c r="H134" s="5" t="n"/>
      <c r="I134" s="5" t="n"/>
    </row>
    <row r="135">
      <c r="A135" s="5" t="n"/>
      <c r="B135" s="5" t="n"/>
      <c r="C135" s="5" t="n"/>
      <c r="D135" s="5" t="n"/>
      <c r="E135" s="5" t="n"/>
      <c r="F135" s="24" t="n"/>
      <c r="G135" s="5" t="n"/>
      <c r="H135" s="5" t="n"/>
      <c r="I135" s="5" t="n"/>
    </row>
    <row r="136">
      <c r="A136" s="5" t="n"/>
      <c r="B136" s="5" t="n"/>
      <c r="C136" s="5" t="n"/>
      <c r="D136" s="5" t="n"/>
      <c r="E136" s="5" t="n"/>
      <c r="F136" s="24" t="n"/>
      <c r="G136" s="5" t="n"/>
      <c r="H136" s="5" t="n"/>
      <c r="I136" s="5" t="n"/>
    </row>
    <row r="137">
      <c r="A137" s="5" t="n"/>
      <c r="B137" s="5" t="n"/>
      <c r="C137" s="5" t="n"/>
      <c r="D137" s="5" t="n"/>
      <c r="E137" s="5" t="n"/>
      <c r="F137" s="24" t="n"/>
      <c r="G137" s="5" t="n"/>
      <c r="H137" s="5" t="n"/>
      <c r="I137" s="5" t="n"/>
    </row>
    <row r="138">
      <c r="A138" s="5" t="n"/>
      <c r="B138" s="5" t="n"/>
      <c r="C138" s="5" t="n"/>
      <c r="D138" s="5" t="n"/>
      <c r="E138" s="5" t="n"/>
      <c r="F138" s="24" t="n"/>
      <c r="G138" s="5" t="n"/>
      <c r="H138" s="5" t="n"/>
      <c r="I138" s="5" t="n"/>
    </row>
    <row r="139">
      <c r="A139" s="5" t="n"/>
      <c r="B139" s="5" t="n"/>
      <c r="C139" s="5" t="n"/>
      <c r="D139" s="5" t="n"/>
      <c r="E139" s="5" t="n"/>
      <c r="F139" s="24" t="n"/>
      <c r="G139" s="5" t="n"/>
      <c r="H139" s="5" t="n"/>
      <c r="I139" s="5" t="n"/>
    </row>
    <row r="140">
      <c r="A140" s="5" t="n"/>
      <c r="B140" s="5" t="n"/>
      <c r="C140" s="5" t="n"/>
      <c r="D140" s="5" t="n"/>
      <c r="E140" s="5" t="n"/>
      <c r="F140" s="24" t="n"/>
      <c r="G140" s="5" t="n"/>
      <c r="H140" s="5" t="n"/>
      <c r="I140" s="5" t="n"/>
    </row>
    <row r="141">
      <c r="A141" s="5" t="n"/>
      <c r="B141" s="5" t="n"/>
      <c r="C141" s="5" t="n"/>
      <c r="D141" s="5" t="n"/>
      <c r="E141" s="5" t="n"/>
      <c r="F141" s="24" t="n"/>
      <c r="G141" s="5" t="n"/>
      <c r="H141" s="5" t="n"/>
      <c r="I141" s="5" t="n"/>
    </row>
    <row r="142">
      <c r="A142" s="5" t="n"/>
      <c r="B142" s="5" t="n"/>
      <c r="C142" s="5" t="n"/>
      <c r="D142" s="5" t="n"/>
      <c r="E142" s="5" t="n"/>
      <c r="F142" s="24" t="n"/>
      <c r="G142" s="5" t="n"/>
      <c r="H142" s="5" t="n"/>
      <c r="I142" s="5" t="n"/>
    </row>
    <row r="143">
      <c r="A143" s="5" t="n"/>
      <c r="B143" s="5" t="n"/>
      <c r="C143" s="5" t="n"/>
      <c r="D143" s="5" t="n"/>
      <c r="E143" s="5" t="n"/>
      <c r="F143" s="24" t="n"/>
      <c r="G143" s="5" t="n"/>
      <c r="H143" s="5" t="n"/>
      <c r="I143" s="5" t="n"/>
    </row>
    <row r="144">
      <c r="A144" s="5" t="n"/>
      <c r="B144" s="5" t="n"/>
      <c r="C144" s="5" t="n"/>
      <c r="D144" s="5" t="n"/>
      <c r="E144" s="5" t="n"/>
      <c r="F144" s="24" t="n"/>
      <c r="G144" s="5" t="n"/>
      <c r="H144" s="5" t="n"/>
      <c r="I144" s="5" t="n"/>
    </row>
    <row r="145">
      <c r="A145" s="5" t="n"/>
      <c r="B145" s="5" t="n"/>
      <c r="C145" s="5" t="n"/>
      <c r="D145" s="5" t="n"/>
      <c r="E145" s="5" t="n"/>
      <c r="F145" s="24" t="n"/>
      <c r="G145" s="5" t="n"/>
      <c r="H145" s="5" t="n"/>
      <c r="I145" s="5" t="n"/>
    </row>
    <row r="146">
      <c r="A146" s="5" t="n"/>
      <c r="B146" s="5" t="n"/>
      <c r="C146" s="5" t="n"/>
      <c r="D146" s="5" t="n"/>
      <c r="E146" s="5" t="n"/>
      <c r="F146" s="24" t="n"/>
      <c r="G146" s="5" t="n"/>
      <c r="H146" s="5" t="n"/>
      <c r="I146" s="5" t="n"/>
    </row>
    <row r="147">
      <c r="A147" s="5" t="n"/>
      <c r="B147" s="5" t="n"/>
      <c r="C147" s="5" t="n"/>
      <c r="D147" s="5" t="n"/>
      <c r="E147" s="5" t="n"/>
      <c r="F147" s="24" t="n"/>
      <c r="G147" s="5" t="n"/>
      <c r="H147" s="5" t="n"/>
      <c r="I147" s="5" t="n"/>
    </row>
    <row r="148">
      <c r="A148" s="5" t="n"/>
      <c r="B148" s="5" t="n"/>
      <c r="C148" s="5" t="n"/>
      <c r="D148" s="5" t="n"/>
      <c r="E148" s="5" t="n"/>
      <c r="F148" s="24" t="n"/>
      <c r="G148" s="5" t="n"/>
      <c r="H148" s="5" t="n"/>
      <c r="I148" s="5" t="n"/>
    </row>
    <row r="149">
      <c r="A149" s="5" t="n"/>
      <c r="B149" s="5" t="n"/>
      <c r="C149" s="5" t="n"/>
      <c r="D149" s="5" t="n"/>
      <c r="E149" s="5" t="n"/>
      <c r="F149" s="24" t="n"/>
      <c r="G149" s="5" t="n"/>
      <c r="H149" s="5" t="n"/>
      <c r="I149" s="5" t="n"/>
    </row>
    <row r="150">
      <c r="A150" s="5" t="n"/>
      <c r="B150" s="5" t="n"/>
      <c r="C150" s="5" t="n"/>
      <c r="D150" s="5" t="n"/>
      <c r="E150" s="5" t="n"/>
      <c r="F150" s="24" t="n"/>
      <c r="G150" s="5" t="n"/>
      <c r="H150" s="5" t="n"/>
      <c r="I150" s="5" t="n"/>
    </row>
  </sheetData>
  <dataValidations count="4">
    <dataValidation sqref="B2:B1000" showDropDown="0" showInputMessage="0" showErrorMessage="0" allowBlank="1" type="list">
      <formula1>='DICTIONARIES'!$AC$2:$AC$9</formula1>
    </dataValidation>
    <dataValidation sqref="C2:C1000" showDropDown="0" showInputMessage="0" showErrorMessage="0" allowBlank="1" type="list">
      <formula1>='DICTIONARIES'!$AD$2:$AD$8</formula1>
    </dataValidation>
    <dataValidation sqref="D2:D1000" showDropDown="0" showInputMessage="0" showErrorMessage="0" allowBlank="1" type="list">
      <formula1>='DICTIONARIES'!$AI$2:$AI$5</formula1>
    </dataValidation>
    <dataValidation sqref="G2:G1000" showDropDown="0" showInputMessage="0" showErrorMessage="0" allowBlank="1" type="list">
      <formula1>='DICTIONARIES'!$G$2:$G$3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4" customWidth="1" min="4" max="4"/>
    <col width="12" customWidth="1" min="5" max="5"/>
    <col width="18" customWidth="1" min="6" max="6"/>
    <col width="10" customWidth="1" min="7" max="7"/>
    <col width="12" customWidth="1" min="8" max="8"/>
    <col width="12" customWidth="1" min="9" max="9"/>
    <col width="10" customWidth="1" min="10" max="10"/>
    <col width="20" customWidth="1" min="11" max="11"/>
    <col width="14" customWidth="1" min="12" max="12"/>
    <col width="12" customWidth="1" min="13" max="13"/>
    <col width="30" customWidth="1" min="14" max="14"/>
  </cols>
  <sheetData>
    <row r="1">
      <c r="A1" s="4" t="inlineStr">
        <is>
          <t>RuleID</t>
        </is>
      </c>
      <c r="B1" s="4" t="inlineStr">
        <is>
          <t>ScopeType</t>
        </is>
      </c>
      <c r="C1" s="4" t="inlineStr">
        <is>
          <t>ScopeValue</t>
        </is>
      </c>
      <c r="D1" s="4" t="inlineStr">
        <is>
          <t>PurchaseUnit</t>
        </is>
      </c>
      <c r="E1" s="4" t="inlineStr">
        <is>
          <t>RoundMode</t>
        </is>
      </c>
      <c r="F1" s="4" t="inlineStr">
        <is>
          <t>RoundBasis</t>
        </is>
      </c>
      <c r="G1" s="4" t="inlineStr">
        <is>
          <t>PackSize</t>
        </is>
      </c>
      <c r="H1" s="4" t="inlineStr">
        <is>
          <t>MinOrderQty</t>
        </is>
      </c>
      <c r="I1" s="4" t="inlineStr">
        <is>
          <t>OrderStepQty</t>
        </is>
      </c>
      <c r="J1" s="4" t="inlineStr">
        <is>
          <t>PalletQty</t>
        </is>
      </c>
      <c r="K1" s="4" t="inlineStr">
        <is>
          <t>ReserveAppliedBeforeRounding</t>
        </is>
      </c>
      <c r="L1" s="4" t="inlineStr">
        <is>
          <t>FreeSpareCoeff</t>
        </is>
      </c>
      <c r="M1" s="4" t="inlineStr">
        <is>
          <t>LeadTimeDays</t>
        </is>
      </c>
      <c r="N1" s="4" t="inlineStr">
        <is>
          <t>Notes</t>
        </is>
      </c>
    </row>
    <row r="2">
      <c r="A2" s="19" t="inlineStr">
        <is>
          <t>PR-0001</t>
        </is>
      </c>
      <c r="B2" s="19" t="inlineStr">
        <is>
          <t>AllowanceGroup</t>
        </is>
      </c>
      <c r="C2" s="19" t="inlineStr">
        <is>
          <t>Сыпучие / с разрыхлением</t>
        </is>
      </c>
      <c r="D2" s="19" t="inlineStr">
        <is>
          <t>м3</t>
        </is>
      </c>
      <c r="E2" s="19" t="inlineStr">
        <is>
          <t>UP</t>
        </is>
      </c>
      <c r="F2" s="19" t="inlineStr">
        <is>
          <t>Без округления</t>
        </is>
      </c>
      <c r="G2" s="19" t="n">
        <v>1</v>
      </c>
      <c r="H2" s="19" t="n">
        <v>0</v>
      </c>
      <c r="I2" s="19" t="n">
        <v>0.1</v>
      </c>
      <c r="J2" s="19" t="n">
        <v>0</v>
      </c>
      <c r="K2" s="19" t="inlineStr">
        <is>
          <t>Да</t>
        </is>
      </c>
      <c r="L2" s="19" t="n">
        <v>0</v>
      </c>
      <c r="M2" s="19" t="n">
        <v>2</v>
      </c>
      <c r="N2" s="19" t="inlineStr">
        <is>
          <t>Закупка по м3 с округлением вверх до 0,1 м3</t>
        </is>
      </c>
    </row>
    <row r="3">
      <c r="A3" s="19" t="inlineStr">
        <is>
          <t>PR-0002</t>
        </is>
      </c>
      <c r="B3" s="19" t="inlineStr">
        <is>
          <t>AllowanceGroup</t>
        </is>
      </c>
      <c r="C3" s="19" t="inlineStr">
        <is>
          <t>Рулон / лист / нахлест</t>
        </is>
      </c>
      <c r="D3" s="19" t="inlineStr">
        <is>
          <t>рулон</t>
        </is>
      </c>
      <c r="E3" s="19" t="inlineStr">
        <is>
          <t>UP</t>
        </is>
      </c>
      <c r="F3" s="19" t="inlineStr">
        <is>
          <t>По рулону/листу</t>
        </is>
      </c>
      <c r="G3" s="19" t="n">
        <v>1</v>
      </c>
      <c r="H3" s="19" t="n">
        <v>1</v>
      </c>
      <c r="I3" s="19" t="n">
        <v>1</v>
      </c>
      <c r="J3" s="19" t="n">
        <v>0</v>
      </c>
      <c r="K3" s="19" t="inlineStr">
        <is>
          <t>Да</t>
        </is>
      </c>
      <c r="L3" s="19" t="n">
        <v>0</v>
      </c>
      <c r="M3" s="19" t="n">
        <v>3</v>
      </c>
      <c r="N3" s="19" t="inlineStr">
        <is>
          <t>Сначала площадь с запасом, потом округление в целые рулоны</t>
        </is>
      </c>
    </row>
    <row r="4">
      <c r="A4" s="19" t="inlineStr">
        <is>
          <t>PR-0003</t>
        </is>
      </c>
      <c r="B4" s="19" t="inlineStr">
        <is>
          <t>AllowanceGroup</t>
        </is>
      </c>
      <c r="C4" s="19" t="inlineStr">
        <is>
          <t>Штучный материал / подрезка</t>
        </is>
      </c>
      <c r="D4" s="19" t="inlineStr">
        <is>
          <t>м2</t>
        </is>
      </c>
      <c r="E4" s="19" t="inlineStr">
        <is>
          <t>UP</t>
        </is>
      </c>
      <c r="F4" s="19" t="inlineStr">
        <is>
          <t>По паллете</t>
        </is>
      </c>
      <c r="G4" s="19" t="n">
        <v>1</v>
      </c>
      <c r="H4" s="19" t="n">
        <v>0</v>
      </c>
      <c r="I4" s="19" t="n">
        <v>1</v>
      </c>
      <c r="J4" s="19" t="n">
        <v>12</v>
      </c>
      <c r="K4" s="19" t="inlineStr">
        <is>
          <t>Да</t>
        </is>
      </c>
      <c r="L4" s="19" t="n">
        <v>0.01</v>
      </c>
      <c r="M4" s="19" t="n">
        <v>5</v>
      </c>
      <c r="N4" s="19" t="inlineStr">
        <is>
          <t>Подрезка + технологический запас + округление к паллете</t>
        </is>
      </c>
    </row>
    <row r="5">
      <c r="A5" s="19" t="inlineStr">
        <is>
          <t>PR-0004</t>
        </is>
      </c>
      <c r="B5" s="19" t="inlineStr">
        <is>
          <t>AllowanceGroup</t>
        </is>
      </c>
      <c r="C5" s="19" t="inlineStr">
        <is>
          <t>Погонаж / доска / раскрой</t>
        </is>
      </c>
      <c r="D5" s="19" t="inlineStr">
        <is>
          <t>шт</t>
        </is>
      </c>
      <c r="E5" s="19" t="inlineStr">
        <is>
          <t>UP</t>
        </is>
      </c>
      <c r="F5" s="19" t="inlineStr">
        <is>
          <t>По упаковке</t>
        </is>
      </c>
      <c r="G5" s="19" t="n">
        <v>1</v>
      </c>
      <c r="H5" s="19" t="n">
        <v>0</v>
      </c>
      <c r="I5" s="19" t="n">
        <v>5</v>
      </c>
      <c r="J5" s="19" t="n">
        <v>0</v>
      </c>
      <c r="K5" s="19" t="inlineStr">
        <is>
          <t>Да</t>
        </is>
      </c>
      <c r="L5" s="19" t="n">
        <v>0.03</v>
      </c>
      <c r="M5" s="19" t="n">
        <v>4</v>
      </c>
      <c r="N5" s="19" t="inlineStr">
        <is>
          <t>Запас на раскрой и торцовку</t>
        </is>
      </c>
    </row>
    <row r="6">
      <c r="A6" s="19" t="inlineStr">
        <is>
          <t>PR-0005</t>
        </is>
      </c>
      <c r="B6" s="19" t="inlineStr">
        <is>
          <t>ScopeType</t>
        </is>
      </c>
      <c r="C6" s="19" t="inlineStr">
        <is>
          <t>MV-0003</t>
        </is>
      </c>
      <c r="D6" s="19" t="inlineStr">
        <is>
          <t>м2</t>
        </is>
      </c>
      <c r="E6" s="19" t="inlineStr">
        <is>
          <t>UP</t>
        </is>
      </c>
      <c r="F6" s="19" t="inlineStr">
        <is>
          <t>По паллете</t>
        </is>
      </c>
      <c r="G6" s="19" t="n">
        <v>1</v>
      </c>
      <c r="H6" s="19" t="n">
        <v>0</v>
      </c>
      <c r="I6" s="19" t="n">
        <v>1</v>
      </c>
      <c r="J6" s="19" t="n">
        <v>12</v>
      </c>
      <c r="K6" s="19" t="inlineStr">
        <is>
          <t>Да</t>
        </is>
      </c>
      <c r="L6" s="19" t="n">
        <v>0.02</v>
      </c>
      <c r="M6" s="19" t="n">
        <v>5</v>
      </c>
      <c r="N6" s="19" t="inlineStr">
        <is>
          <t>Пример точечного правила на конкретный вариант</t>
        </is>
      </c>
    </row>
  </sheetData>
  <autoFilter ref="A1:N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14" customWidth="1" min="4" max="4"/>
    <col width="12" customWidth="1" min="5" max="5"/>
    <col width="16" customWidth="1" min="6" max="6"/>
    <col width="12" customWidth="1" min="7" max="7"/>
    <col width="14" customWidth="1" min="8" max="8"/>
    <col width="16" customWidth="1" min="9" max="9"/>
    <col width="18" customWidth="1" min="10" max="10"/>
    <col width="42" customWidth="1" min="11" max="11"/>
  </cols>
  <sheetData>
    <row r="1">
      <c r="A1" s="4" t="inlineStr">
        <is>
          <t>MaterialID</t>
        </is>
      </c>
      <c r="B1" s="4" t="inlineStr">
        <is>
          <t>CanonicalMaterial</t>
        </is>
      </c>
      <c r="C1" s="4" t="inlineStr">
        <is>
          <t>AllowanceGroup</t>
        </is>
      </c>
      <c r="D1" s="4" t="inlineStr">
        <is>
          <t>GeometryWeight</t>
        </is>
      </c>
      <c r="E1" s="4" t="inlineStr">
        <is>
          <t>SlopeWeight</t>
        </is>
      </c>
      <c r="F1" s="4" t="inlineStr">
        <is>
          <t>UnevennessWeight</t>
        </is>
      </c>
      <c r="G1" s="4" t="inlineStr">
        <is>
          <t>AccessWeight</t>
        </is>
      </c>
      <c r="H1" s="4" t="inlineStr">
        <is>
          <t>ProximityWeight</t>
        </is>
      </c>
      <c r="I1" s="4" t="inlineStr">
        <is>
          <t>ExampleObjectID</t>
        </is>
      </c>
      <c r="J1" s="4" t="inlineStr">
        <is>
          <t>SiteReserveCoeffExample</t>
        </is>
      </c>
      <c r="K1" s="4" t="inlineStr">
        <is>
          <t>Notes</t>
        </is>
      </c>
    </row>
    <row r="2">
      <c r="A2" s="5" t="inlineStr">
        <is>
          <t>MAT-0001</t>
        </is>
      </c>
      <c r="B2" s="5" t="inlineStr">
        <is>
          <t>Брусчатка бетонная 200x100</t>
        </is>
      </c>
      <c r="C2" s="5" t="inlineStr">
        <is>
          <t>Штучное покрытие</t>
        </is>
      </c>
      <c r="D2" s="24" t="n">
        <v>0.6</v>
      </c>
      <c r="E2" s="24" t="n">
        <v>0.1</v>
      </c>
      <c r="F2" s="24" t="n">
        <v>0.1</v>
      </c>
      <c r="G2" s="24" t="n">
        <v>0</v>
      </c>
      <c r="H2" s="24" t="n">
        <v>0</v>
      </c>
      <c r="I2" s="5" t="inlineStr">
        <is>
          <t>OBJ-0001</t>
        </is>
      </c>
      <c r="J2" s="24">
        <f>IF($I2="","",ROUND(1+($D2*(SUMIFS(OBJECT_CONDITIONS!$W:$W,OBJECT_CONDITIONS!$A:$A,$I2)-1))+($E2*(SUMIFS(OBJECT_CONDITIONS!$J:$J,OBJECT_CONDITIONS!$A:$A,$I2)-1))+($F2*(SUMIFS(OBJECT_CONDITIONS!$L:$L,OBJECT_CONDITIONS!$A:$A,$I2)-1))+($G2*(SUMIFS(OBJECT_CONDITIONS!$N:$N,OBJECT_CONDITIONS!$A:$A,$I2)-1))+($H2*(SUMIFS(OBJECT_CONDITIONS!$R:$R,OBJECT_CONDITIONS!$A:$A,$I2)-1)),3))</f>
        <v/>
      </c>
      <c r="K2" s="5" t="inlineStr">
        <is>
          <t>Подрезка зависит в первую очередь от геометрии рисунка и контуров</t>
        </is>
      </c>
    </row>
    <row r="3">
      <c r="A3" s="5" t="inlineStr">
        <is>
          <t>MAT-0002</t>
        </is>
      </c>
      <c r="B3" s="5" t="inlineStr">
        <is>
          <t>Бордюр бетонный 1000x200x80</t>
        </is>
      </c>
      <c r="C3" s="5" t="inlineStr">
        <is>
          <t>Линейный / штучный без существенной подрезки</t>
        </is>
      </c>
      <c r="D3" s="24" t="n">
        <v>0.3</v>
      </c>
      <c r="E3" s="24" t="n">
        <v>0.1</v>
      </c>
      <c r="F3" s="24" t="n">
        <v>0.1</v>
      </c>
      <c r="G3" s="24" t="n">
        <v>0</v>
      </c>
      <c r="H3" s="24" t="n">
        <v>0</v>
      </c>
      <c r="I3" s="5" t="inlineStr">
        <is>
          <t>OBJ-0001</t>
        </is>
      </c>
      <c r="J3" s="24">
        <f>IF($I3="","",ROUND(1+($D3*(SUMIFS(OBJECT_CONDITIONS!$W:$W,OBJECT_CONDITIONS!$A:$A,$I3)-1))+($E3*(SUMIFS(OBJECT_CONDITIONS!$J:$J,OBJECT_CONDITIONS!$A:$A,$I3)-1))+($F3*(SUMIFS(OBJECT_CONDITIONS!$L:$L,OBJECT_CONDITIONS!$A:$A,$I3)-1))+($G3*(SUMIFS(OBJECT_CONDITIONS!$N:$N,OBJECT_CONDITIONS!$A:$A,$I3)-1))+($H3*(SUMIFS(OBJECT_CONDITIONS!$R:$R,OBJECT_CONDITIONS!$A:$A,$I3)-1)),3))</f>
        <v/>
      </c>
      <c r="K3" s="5" t="inlineStr">
        <is>
          <t>Небольшой рост запаса на ломаных контурах и доборах</t>
        </is>
      </c>
    </row>
    <row r="4">
      <c r="A4" s="5" t="inlineStr">
        <is>
          <t>MAT-0003</t>
        </is>
      </c>
      <c r="B4" s="5" t="inlineStr">
        <is>
          <t>Геотекстиль 200 г/м2</t>
        </is>
      </c>
      <c r="C4" s="5" t="inlineStr">
        <is>
          <t>Рулонный текстиль</t>
        </is>
      </c>
      <c r="D4" s="24" t="n">
        <v>0.8</v>
      </c>
      <c r="E4" s="24" t="n">
        <v>0.2</v>
      </c>
      <c r="F4" s="24" t="n">
        <v>0.4</v>
      </c>
      <c r="G4" s="24" t="n">
        <v>0.1</v>
      </c>
      <c r="H4" s="24" t="n">
        <v>0</v>
      </c>
      <c r="I4" s="5" t="inlineStr">
        <is>
          <t>OBJ-0001</t>
        </is>
      </c>
      <c r="J4" s="24">
        <f>IF($I4="","",ROUND(1+($D4*(SUMIFS(OBJECT_CONDITIONS!$W:$W,OBJECT_CONDITIONS!$A:$A,$I4)-1))+($E4*(SUMIFS(OBJECT_CONDITIONS!$J:$J,OBJECT_CONDITIONS!$A:$A,$I4)-1))+($F4*(SUMIFS(OBJECT_CONDITIONS!$L:$L,OBJECT_CONDITIONS!$A:$A,$I4)-1))+($G4*(SUMIFS(OBJECT_CONDITIONS!$N:$N,OBJECT_CONDITIONS!$A:$A,$I4)-1))+($H4*(SUMIFS(OBJECT_CONDITIONS!$R:$R,OBJECT_CONDITIONS!$A:$A,$I4)-1)),3))</f>
        <v/>
      </c>
      <c r="K4" s="5" t="inlineStr">
        <is>
          <t>Сильная зависимость от геометрии, нахлестов и неровностей</t>
        </is>
      </c>
    </row>
    <row r="5">
      <c r="A5" s="5" t="inlineStr">
        <is>
          <t>MAT-0004</t>
        </is>
      </c>
      <c r="B5" s="5" t="inlineStr">
        <is>
          <t>Газон рулонный стандарт</t>
        </is>
      </c>
      <c r="C5" s="5" t="inlineStr">
        <is>
          <t>Рулонный газон / турф</t>
        </is>
      </c>
      <c r="D5" s="24" t="n">
        <v>0.9</v>
      </c>
      <c r="E5" s="24" t="n">
        <v>0.3</v>
      </c>
      <c r="F5" s="24" t="n">
        <v>0.3</v>
      </c>
      <c r="G5" s="24" t="n">
        <v>0.1</v>
      </c>
      <c r="H5" s="24" t="n">
        <v>0</v>
      </c>
      <c r="I5" s="5" t="inlineStr">
        <is>
          <t>OBJ-0001</t>
        </is>
      </c>
      <c r="J5" s="24">
        <f>IF($I5="","",ROUND(1+($D5*(SUMIFS(OBJECT_CONDITIONS!$W:$W,OBJECT_CONDITIONS!$A:$A,$I5)-1))+($E5*(SUMIFS(OBJECT_CONDITIONS!$J:$J,OBJECT_CONDITIONS!$A:$A,$I5)-1))+($F5*(SUMIFS(OBJECT_CONDITIONS!$L:$L,OBJECT_CONDITIONS!$A:$A,$I5)-1))+($G5*(SUMIFS(OBJECT_CONDITIONS!$N:$N,OBJECT_CONDITIONS!$A:$A,$I5)-1))+($H5*(SUMIFS(OBJECT_CONDITIONS!$R:$R,OBJECT_CONDITIONS!$A:$A,$I5)-1)),3))</f>
        <v/>
      </c>
      <c r="K5" s="5" t="inlineStr">
        <is>
          <t>Сложные контуры и уклон заметно увеличивают подрезку</t>
        </is>
      </c>
    </row>
    <row r="6">
      <c r="A6" s="5" t="inlineStr">
        <is>
          <t>MAT-0005</t>
        </is>
      </c>
      <c r="B6" s="5" t="inlineStr">
        <is>
          <t>Пленка / мембрана защитная</t>
        </is>
      </c>
      <c r="C6" s="5" t="inlineStr">
        <is>
          <t>Пленка / мембрана</t>
        </is>
      </c>
      <c r="D6" s="24" t="n">
        <v>0.8</v>
      </c>
      <c r="E6" s="24" t="n">
        <v>0.4</v>
      </c>
      <c r="F6" s="24" t="n">
        <v>0.3</v>
      </c>
      <c r="G6" s="24" t="n">
        <v>0.1</v>
      </c>
      <c r="H6" s="24" t="n">
        <v>0</v>
      </c>
      <c r="I6" s="5" t="inlineStr">
        <is>
          <t>OBJ-0001</t>
        </is>
      </c>
      <c r="J6" s="24">
        <f>IF($I6="","",ROUND(1+($D6*(SUMIFS(OBJECT_CONDITIONS!$W:$W,OBJECT_CONDITIONS!$A:$A,$I6)-1))+($E6*(SUMIFS(OBJECT_CONDITIONS!$J:$J,OBJECT_CONDITIONS!$A:$A,$I6)-1))+($F6*(SUMIFS(OBJECT_CONDITIONS!$L:$L,OBJECT_CONDITIONS!$A:$A,$I6)-1))+($G6*(SUMIFS(OBJECT_CONDITIONS!$N:$N,OBJECT_CONDITIONS!$A:$A,$I6)-1))+($H6*(SUMIFS(OBJECT_CONDITIONS!$R:$R,OBJECT_CONDITIONS!$A:$A,$I6)-1)),3))</f>
        <v/>
      </c>
      <c r="K6" s="5" t="inlineStr">
        <is>
          <t>Рост нахлестов и подрезки на сложных зонах</t>
        </is>
      </c>
    </row>
    <row r="7">
      <c r="A7" s="5" t="inlineStr">
        <is>
          <t>MAT-0006</t>
        </is>
      </c>
      <c r="B7" s="5" t="inlineStr">
        <is>
          <t>Террасная доска стандарт</t>
        </is>
      </c>
      <c r="C7" s="5" t="inlineStr">
        <is>
          <t>Погонаж / доска</t>
        </is>
      </c>
      <c r="D7" s="24" t="n">
        <v>0.7</v>
      </c>
      <c r="E7" s="24" t="n">
        <v>0.2</v>
      </c>
      <c r="F7" s="24" t="n">
        <v>0.2</v>
      </c>
      <c r="G7" s="24" t="n">
        <v>0.1</v>
      </c>
      <c r="H7" s="24" t="n">
        <v>0</v>
      </c>
      <c r="I7" s="5" t="inlineStr">
        <is>
          <t>OBJ-0001</t>
        </is>
      </c>
      <c r="J7" s="24">
        <f>IF($I7="","",ROUND(1+($D7*(SUMIFS(OBJECT_CONDITIONS!$W:$W,OBJECT_CONDITIONS!$A:$A,$I7)-1))+($E7*(SUMIFS(OBJECT_CONDITIONS!$J:$J,OBJECT_CONDITIONS!$A:$A,$I7)-1))+($F7*(SUMIFS(OBJECT_CONDITIONS!$L:$L,OBJECT_CONDITIONS!$A:$A,$I7)-1))+($G7*(SUMIFS(OBJECT_CONDITIONS!$N:$N,OBJECT_CONDITIONS!$A:$A,$I7)-1))+($H7*(SUMIFS(OBJECT_CONDITIONS!$R:$R,OBJECT_CONDITIONS!$A:$A,$I7)-1)),3))</f>
        <v/>
      </c>
      <c r="K7" s="5" t="inlineStr">
        <is>
          <t>Торцовка и доборы сильнее зависят от контуров, чем от уклона</t>
        </is>
      </c>
    </row>
    <row r="8">
      <c r="A8" s="5" t="inlineStr">
        <is>
          <t>MAT-0007</t>
        </is>
      </c>
      <c r="B8" s="5" t="inlineStr">
        <is>
          <t>Щебень фр. 20-40</t>
        </is>
      </c>
      <c r="C8" s="5" t="inlineStr">
        <is>
          <t>Сыпучие с уплотнением</t>
        </is>
      </c>
      <c r="D8" s="24" t="n">
        <v>0.1</v>
      </c>
      <c r="E8" s="24" t="n">
        <v>0.3</v>
      </c>
      <c r="F8" s="24" t="n">
        <v>0.2</v>
      </c>
      <c r="G8" s="24" t="n">
        <v>0.2</v>
      </c>
      <c r="H8" s="24" t="n">
        <v>0</v>
      </c>
      <c r="I8" s="5" t="inlineStr">
        <is>
          <t>OBJ-0001</t>
        </is>
      </c>
      <c r="J8" s="24">
        <f>IF($I8="","",ROUND(1+($D8*(SUMIFS(OBJECT_CONDITIONS!$W:$W,OBJECT_CONDITIONS!$A:$A,$I8)-1))+($E8*(SUMIFS(OBJECT_CONDITIONS!$J:$J,OBJECT_CONDITIONS!$A:$A,$I8)-1))+($F8*(SUMIFS(OBJECT_CONDITIONS!$L:$L,OBJECT_CONDITIONS!$A:$A,$I8)-1))+($G8*(SUMIFS(OBJECT_CONDITIONS!$N:$N,OBJECT_CONDITIONS!$A:$A,$I8)-1))+($H8*(SUMIFS(OBJECT_CONDITIONS!$R:$R,OBJECT_CONDITIONS!$A:$A,$I8)-1)),3))</f>
        <v/>
      </c>
      <c r="K8" s="5" t="inlineStr">
        <is>
          <t>Для сыпучих важнее уклон, потери на подачу и условия разгрузки</t>
        </is>
      </c>
    </row>
    <row r="9">
      <c r="A9" s="5" t="n"/>
      <c r="B9" s="5" t="n"/>
      <c r="C9" s="5" t="n"/>
      <c r="D9" s="24" t="n"/>
      <c r="E9" s="24" t="n"/>
      <c r="F9" s="24" t="n"/>
      <c r="G9" s="24" t="n"/>
      <c r="H9" s="24" t="n"/>
      <c r="I9" s="5" t="n"/>
      <c r="J9" s="24">
        <f>IF($I9="","",ROUND(1+($D9*(SUMIFS(OBJECT_CONDITIONS!$W:$W,OBJECT_CONDITIONS!$A:$A,$I9)-1))+($E9*(SUMIFS(OBJECT_CONDITIONS!$J:$J,OBJECT_CONDITIONS!$A:$A,$I9)-1))+($F9*(SUMIFS(OBJECT_CONDITIONS!$L:$L,OBJECT_CONDITIONS!$A:$A,$I9)-1))+($G9*(SUMIFS(OBJECT_CONDITIONS!$N:$N,OBJECT_CONDITIONS!$A:$A,$I9)-1))+($H9*(SUMIFS(OBJECT_CONDITIONS!$R:$R,OBJECT_CONDITIONS!$A:$A,$I9)-1)),3))</f>
        <v/>
      </c>
      <c r="K9" s="5" t="n"/>
    </row>
    <row r="10">
      <c r="A10" s="5" t="n"/>
      <c r="B10" s="5" t="n"/>
      <c r="C10" s="5" t="n"/>
      <c r="D10" s="24" t="n"/>
      <c r="E10" s="24" t="n"/>
      <c r="F10" s="24" t="n"/>
      <c r="G10" s="24" t="n"/>
      <c r="H10" s="24" t="n"/>
      <c r="I10" s="5" t="n"/>
      <c r="J10" s="24">
        <f>IF($I10="","",ROUND(1+($D10*(SUMIFS(OBJECT_CONDITIONS!$W:$W,OBJECT_CONDITIONS!$A:$A,$I10)-1))+($E10*(SUMIFS(OBJECT_CONDITIONS!$J:$J,OBJECT_CONDITIONS!$A:$A,$I10)-1))+($F10*(SUMIFS(OBJECT_CONDITIONS!$L:$L,OBJECT_CONDITIONS!$A:$A,$I10)-1))+($G10*(SUMIFS(OBJECT_CONDITIONS!$N:$N,OBJECT_CONDITIONS!$A:$A,$I10)-1))+($H10*(SUMIFS(OBJECT_CONDITIONS!$R:$R,OBJECT_CONDITIONS!$A:$A,$I10)-1)),3))</f>
        <v/>
      </c>
      <c r="K10" s="5" t="n"/>
    </row>
    <row r="11">
      <c r="A11" s="5" t="n"/>
      <c r="B11" s="5" t="n"/>
      <c r="C11" s="5" t="n"/>
      <c r="D11" s="24" t="n"/>
      <c r="E11" s="24" t="n"/>
      <c r="F11" s="24" t="n"/>
      <c r="G11" s="24" t="n"/>
      <c r="H11" s="24" t="n"/>
      <c r="I11" s="5" t="n"/>
      <c r="J11" s="24">
        <f>IF($I11="","",ROUND(1+($D11*(SUMIFS(OBJECT_CONDITIONS!$W:$W,OBJECT_CONDITIONS!$A:$A,$I11)-1))+($E11*(SUMIFS(OBJECT_CONDITIONS!$J:$J,OBJECT_CONDITIONS!$A:$A,$I11)-1))+($F11*(SUMIFS(OBJECT_CONDITIONS!$L:$L,OBJECT_CONDITIONS!$A:$A,$I11)-1))+($G11*(SUMIFS(OBJECT_CONDITIONS!$N:$N,OBJECT_CONDITIONS!$A:$A,$I11)-1))+($H11*(SUMIFS(OBJECT_CONDITIONS!$R:$R,OBJECT_CONDITIONS!$A:$A,$I11)-1)),3))</f>
        <v/>
      </c>
      <c r="K11" s="5" t="n"/>
    </row>
    <row r="12">
      <c r="A12" s="5" t="n"/>
      <c r="B12" s="5" t="n"/>
      <c r="C12" s="5" t="n"/>
      <c r="D12" s="24" t="n"/>
      <c r="E12" s="24" t="n"/>
      <c r="F12" s="24" t="n"/>
      <c r="G12" s="24" t="n"/>
      <c r="H12" s="24" t="n"/>
      <c r="I12" s="5" t="n"/>
      <c r="J12" s="24">
        <f>IF($I12="","",ROUND(1+($D12*(SUMIFS(OBJECT_CONDITIONS!$W:$W,OBJECT_CONDITIONS!$A:$A,$I12)-1))+($E12*(SUMIFS(OBJECT_CONDITIONS!$J:$J,OBJECT_CONDITIONS!$A:$A,$I12)-1))+($F12*(SUMIFS(OBJECT_CONDITIONS!$L:$L,OBJECT_CONDITIONS!$A:$A,$I12)-1))+($G12*(SUMIFS(OBJECT_CONDITIONS!$N:$N,OBJECT_CONDITIONS!$A:$A,$I12)-1))+($H12*(SUMIFS(OBJECT_CONDITIONS!$R:$R,OBJECT_CONDITIONS!$A:$A,$I12)-1)),3))</f>
        <v/>
      </c>
      <c r="K12" s="5" t="n"/>
    </row>
    <row r="13">
      <c r="A13" s="5" t="n"/>
      <c r="B13" s="5" t="n"/>
      <c r="C13" s="5" t="n"/>
      <c r="D13" s="24" t="n"/>
      <c r="E13" s="24" t="n"/>
      <c r="F13" s="24" t="n"/>
      <c r="G13" s="24" t="n"/>
      <c r="H13" s="24" t="n"/>
      <c r="I13" s="5" t="n"/>
      <c r="J13" s="24">
        <f>IF($I13="","",ROUND(1+($D13*(SUMIFS(OBJECT_CONDITIONS!$W:$W,OBJECT_CONDITIONS!$A:$A,$I13)-1))+($E13*(SUMIFS(OBJECT_CONDITIONS!$J:$J,OBJECT_CONDITIONS!$A:$A,$I13)-1))+($F13*(SUMIFS(OBJECT_CONDITIONS!$L:$L,OBJECT_CONDITIONS!$A:$A,$I13)-1))+($G13*(SUMIFS(OBJECT_CONDITIONS!$N:$N,OBJECT_CONDITIONS!$A:$A,$I13)-1))+($H13*(SUMIFS(OBJECT_CONDITIONS!$R:$R,OBJECT_CONDITIONS!$A:$A,$I13)-1)),3))</f>
        <v/>
      </c>
      <c r="K13" s="5" t="n"/>
    </row>
    <row r="14">
      <c r="A14" s="5" t="n"/>
      <c r="B14" s="5" t="n"/>
      <c r="C14" s="5" t="n"/>
      <c r="D14" s="24" t="n"/>
      <c r="E14" s="24" t="n"/>
      <c r="F14" s="24" t="n"/>
      <c r="G14" s="24" t="n"/>
      <c r="H14" s="24" t="n"/>
      <c r="I14" s="5" t="n"/>
      <c r="J14" s="24">
        <f>IF($I14="","",ROUND(1+($D14*(SUMIFS(OBJECT_CONDITIONS!$W:$W,OBJECT_CONDITIONS!$A:$A,$I14)-1))+($E14*(SUMIFS(OBJECT_CONDITIONS!$J:$J,OBJECT_CONDITIONS!$A:$A,$I14)-1))+($F14*(SUMIFS(OBJECT_CONDITIONS!$L:$L,OBJECT_CONDITIONS!$A:$A,$I14)-1))+($G14*(SUMIFS(OBJECT_CONDITIONS!$N:$N,OBJECT_CONDITIONS!$A:$A,$I14)-1))+($H14*(SUMIFS(OBJECT_CONDITIONS!$R:$R,OBJECT_CONDITIONS!$A:$A,$I14)-1)),3))</f>
        <v/>
      </c>
      <c r="K14" s="5" t="n"/>
    </row>
    <row r="15">
      <c r="A15" s="5" t="n"/>
      <c r="B15" s="5" t="n"/>
      <c r="C15" s="5" t="n"/>
      <c r="D15" s="24" t="n"/>
      <c r="E15" s="24" t="n"/>
      <c r="F15" s="24" t="n"/>
      <c r="G15" s="24" t="n"/>
      <c r="H15" s="24" t="n"/>
      <c r="I15" s="5" t="n"/>
      <c r="J15" s="24">
        <f>IF($I15="","",ROUND(1+($D15*(SUMIFS(OBJECT_CONDITIONS!$W:$W,OBJECT_CONDITIONS!$A:$A,$I15)-1))+($E15*(SUMIFS(OBJECT_CONDITIONS!$J:$J,OBJECT_CONDITIONS!$A:$A,$I15)-1))+($F15*(SUMIFS(OBJECT_CONDITIONS!$L:$L,OBJECT_CONDITIONS!$A:$A,$I15)-1))+($G15*(SUMIFS(OBJECT_CONDITIONS!$N:$N,OBJECT_CONDITIONS!$A:$A,$I15)-1))+($H15*(SUMIFS(OBJECT_CONDITIONS!$R:$R,OBJECT_CONDITIONS!$A:$A,$I15)-1)),3))</f>
        <v/>
      </c>
      <c r="K15" s="5" t="n"/>
    </row>
    <row r="16">
      <c r="A16" s="5" t="n"/>
      <c r="B16" s="5" t="n"/>
      <c r="C16" s="5" t="n"/>
      <c r="D16" s="24" t="n"/>
      <c r="E16" s="24" t="n"/>
      <c r="F16" s="24" t="n"/>
      <c r="G16" s="24" t="n"/>
      <c r="H16" s="24" t="n"/>
      <c r="I16" s="5" t="n"/>
      <c r="J16" s="24">
        <f>IF($I16="","",ROUND(1+($D16*(SUMIFS(OBJECT_CONDITIONS!$W:$W,OBJECT_CONDITIONS!$A:$A,$I16)-1))+($E16*(SUMIFS(OBJECT_CONDITIONS!$J:$J,OBJECT_CONDITIONS!$A:$A,$I16)-1))+($F16*(SUMIFS(OBJECT_CONDITIONS!$L:$L,OBJECT_CONDITIONS!$A:$A,$I16)-1))+($G16*(SUMIFS(OBJECT_CONDITIONS!$N:$N,OBJECT_CONDITIONS!$A:$A,$I16)-1))+($H16*(SUMIFS(OBJECT_CONDITIONS!$R:$R,OBJECT_CONDITIONS!$A:$A,$I16)-1)),3))</f>
        <v/>
      </c>
      <c r="K16" s="5" t="n"/>
    </row>
    <row r="17">
      <c r="A17" s="5" t="n"/>
      <c r="B17" s="5" t="n"/>
      <c r="C17" s="5" t="n"/>
      <c r="D17" s="24" t="n"/>
      <c r="E17" s="24" t="n"/>
      <c r="F17" s="24" t="n"/>
      <c r="G17" s="24" t="n"/>
      <c r="H17" s="24" t="n"/>
      <c r="I17" s="5" t="n"/>
      <c r="J17" s="24">
        <f>IF($I17="","",ROUND(1+($D17*(SUMIFS(OBJECT_CONDITIONS!$W:$W,OBJECT_CONDITIONS!$A:$A,$I17)-1))+($E17*(SUMIFS(OBJECT_CONDITIONS!$J:$J,OBJECT_CONDITIONS!$A:$A,$I17)-1))+($F17*(SUMIFS(OBJECT_CONDITIONS!$L:$L,OBJECT_CONDITIONS!$A:$A,$I17)-1))+($G17*(SUMIFS(OBJECT_CONDITIONS!$N:$N,OBJECT_CONDITIONS!$A:$A,$I17)-1))+($H17*(SUMIFS(OBJECT_CONDITIONS!$R:$R,OBJECT_CONDITIONS!$A:$A,$I17)-1)),3))</f>
        <v/>
      </c>
      <c r="K17" s="5" t="n"/>
    </row>
    <row r="18">
      <c r="A18" s="5" t="n"/>
      <c r="B18" s="5" t="n"/>
      <c r="C18" s="5" t="n"/>
      <c r="D18" s="24" t="n"/>
      <c r="E18" s="24" t="n"/>
      <c r="F18" s="24" t="n"/>
      <c r="G18" s="24" t="n"/>
      <c r="H18" s="24" t="n"/>
      <c r="I18" s="5" t="n"/>
      <c r="J18" s="24">
        <f>IF($I18="","",ROUND(1+($D18*(SUMIFS(OBJECT_CONDITIONS!$W:$W,OBJECT_CONDITIONS!$A:$A,$I18)-1))+($E18*(SUMIFS(OBJECT_CONDITIONS!$J:$J,OBJECT_CONDITIONS!$A:$A,$I18)-1))+($F18*(SUMIFS(OBJECT_CONDITIONS!$L:$L,OBJECT_CONDITIONS!$A:$A,$I18)-1))+($G18*(SUMIFS(OBJECT_CONDITIONS!$N:$N,OBJECT_CONDITIONS!$A:$A,$I18)-1))+($H18*(SUMIFS(OBJECT_CONDITIONS!$R:$R,OBJECT_CONDITIONS!$A:$A,$I18)-1)),3))</f>
        <v/>
      </c>
      <c r="K18" s="5" t="n"/>
    </row>
    <row r="19">
      <c r="A19" s="5" t="n"/>
      <c r="B19" s="5" t="n"/>
      <c r="C19" s="5" t="n"/>
      <c r="D19" s="24" t="n"/>
      <c r="E19" s="24" t="n"/>
      <c r="F19" s="24" t="n"/>
      <c r="G19" s="24" t="n"/>
      <c r="H19" s="24" t="n"/>
      <c r="I19" s="5" t="n"/>
      <c r="J19" s="24">
        <f>IF($I19="","",ROUND(1+($D19*(SUMIFS(OBJECT_CONDITIONS!$W:$W,OBJECT_CONDITIONS!$A:$A,$I19)-1))+($E19*(SUMIFS(OBJECT_CONDITIONS!$J:$J,OBJECT_CONDITIONS!$A:$A,$I19)-1))+($F19*(SUMIFS(OBJECT_CONDITIONS!$L:$L,OBJECT_CONDITIONS!$A:$A,$I19)-1))+($G19*(SUMIFS(OBJECT_CONDITIONS!$N:$N,OBJECT_CONDITIONS!$A:$A,$I19)-1))+($H19*(SUMIFS(OBJECT_CONDITIONS!$R:$R,OBJECT_CONDITIONS!$A:$A,$I19)-1)),3))</f>
        <v/>
      </c>
      <c r="K19" s="5" t="n"/>
    </row>
    <row r="20">
      <c r="A20" s="5" t="n"/>
      <c r="B20" s="5" t="n"/>
      <c r="C20" s="5" t="n"/>
      <c r="D20" s="24" t="n"/>
      <c r="E20" s="24" t="n"/>
      <c r="F20" s="24" t="n"/>
      <c r="G20" s="24" t="n"/>
      <c r="H20" s="24" t="n"/>
      <c r="I20" s="5" t="n"/>
      <c r="J20" s="24">
        <f>IF($I20="","",ROUND(1+($D20*(SUMIFS(OBJECT_CONDITIONS!$W:$W,OBJECT_CONDITIONS!$A:$A,$I20)-1))+($E20*(SUMIFS(OBJECT_CONDITIONS!$J:$J,OBJECT_CONDITIONS!$A:$A,$I20)-1))+($F20*(SUMIFS(OBJECT_CONDITIONS!$L:$L,OBJECT_CONDITIONS!$A:$A,$I20)-1))+($G20*(SUMIFS(OBJECT_CONDITIONS!$N:$N,OBJECT_CONDITIONS!$A:$A,$I20)-1))+($H20*(SUMIFS(OBJECT_CONDITIONS!$R:$R,OBJECT_CONDITIONS!$A:$A,$I20)-1)),3))</f>
        <v/>
      </c>
      <c r="K20" s="5" t="n"/>
    </row>
    <row r="21">
      <c r="A21" s="5" t="n"/>
      <c r="B21" s="5" t="n"/>
      <c r="C21" s="5" t="n"/>
      <c r="D21" s="24" t="n"/>
      <c r="E21" s="24" t="n"/>
      <c r="F21" s="24" t="n"/>
      <c r="G21" s="24" t="n"/>
      <c r="H21" s="24" t="n"/>
      <c r="I21" s="5" t="n"/>
      <c r="J21" s="24">
        <f>IF($I21="","",ROUND(1+($D21*(SUMIFS(OBJECT_CONDITIONS!$W:$W,OBJECT_CONDITIONS!$A:$A,$I21)-1))+($E21*(SUMIFS(OBJECT_CONDITIONS!$J:$J,OBJECT_CONDITIONS!$A:$A,$I21)-1))+($F21*(SUMIFS(OBJECT_CONDITIONS!$L:$L,OBJECT_CONDITIONS!$A:$A,$I21)-1))+($G21*(SUMIFS(OBJECT_CONDITIONS!$N:$N,OBJECT_CONDITIONS!$A:$A,$I21)-1))+($H21*(SUMIFS(OBJECT_CONDITIONS!$R:$R,OBJECT_CONDITIONS!$A:$A,$I21)-1)),3))</f>
        <v/>
      </c>
      <c r="K21" s="5" t="n"/>
    </row>
    <row r="22">
      <c r="A22" s="5" t="n"/>
      <c r="B22" s="5" t="n"/>
      <c r="C22" s="5" t="n"/>
      <c r="D22" s="24" t="n"/>
      <c r="E22" s="24" t="n"/>
      <c r="F22" s="24" t="n"/>
      <c r="G22" s="24" t="n"/>
      <c r="H22" s="24" t="n"/>
      <c r="I22" s="5" t="n"/>
      <c r="J22" s="24">
        <f>IF($I22="","",ROUND(1+($D22*(SUMIFS(OBJECT_CONDITIONS!$W:$W,OBJECT_CONDITIONS!$A:$A,$I22)-1))+($E22*(SUMIFS(OBJECT_CONDITIONS!$J:$J,OBJECT_CONDITIONS!$A:$A,$I22)-1))+($F22*(SUMIFS(OBJECT_CONDITIONS!$L:$L,OBJECT_CONDITIONS!$A:$A,$I22)-1))+($G22*(SUMIFS(OBJECT_CONDITIONS!$N:$N,OBJECT_CONDITIONS!$A:$A,$I22)-1))+($H22*(SUMIFS(OBJECT_CONDITIONS!$R:$R,OBJECT_CONDITIONS!$A:$A,$I22)-1)),3))</f>
        <v/>
      </c>
      <c r="K22" s="5" t="n"/>
    </row>
    <row r="23">
      <c r="A23" s="5" t="n"/>
      <c r="B23" s="5" t="n"/>
      <c r="C23" s="5" t="n"/>
      <c r="D23" s="24" t="n"/>
      <c r="E23" s="24" t="n"/>
      <c r="F23" s="24" t="n"/>
      <c r="G23" s="24" t="n"/>
      <c r="H23" s="24" t="n"/>
      <c r="I23" s="5" t="n"/>
      <c r="J23" s="24">
        <f>IF($I23="","",ROUND(1+($D23*(SUMIFS(OBJECT_CONDITIONS!$W:$W,OBJECT_CONDITIONS!$A:$A,$I23)-1))+($E23*(SUMIFS(OBJECT_CONDITIONS!$J:$J,OBJECT_CONDITIONS!$A:$A,$I23)-1))+($F23*(SUMIFS(OBJECT_CONDITIONS!$L:$L,OBJECT_CONDITIONS!$A:$A,$I23)-1))+($G23*(SUMIFS(OBJECT_CONDITIONS!$N:$N,OBJECT_CONDITIONS!$A:$A,$I23)-1))+($H23*(SUMIFS(OBJECT_CONDITIONS!$R:$R,OBJECT_CONDITIONS!$A:$A,$I23)-1)),3))</f>
        <v/>
      </c>
      <c r="K23" s="5" t="n"/>
    </row>
    <row r="24">
      <c r="A24" s="5" t="n"/>
      <c r="B24" s="5" t="n"/>
      <c r="C24" s="5" t="n"/>
      <c r="D24" s="24" t="n"/>
      <c r="E24" s="24" t="n"/>
      <c r="F24" s="24" t="n"/>
      <c r="G24" s="24" t="n"/>
      <c r="H24" s="24" t="n"/>
      <c r="I24" s="5" t="n"/>
      <c r="J24" s="24">
        <f>IF($I24="","",ROUND(1+($D24*(SUMIFS(OBJECT_CONDITIONS!$W:$W,OBJECT_CONDITIONS!$A:$A,$I24)-1))+($E24*(SUMIFS(OBJECT_CONDITIONS!$J:$J,OBJECT_CONDITIONS!$A:$A,$I24)-1))+($F24*(SUMIFS(OBJECT_CONDITIONS!$L:$L,OBJECT_CONDITIONS!$A:$A,$I24)-1))+($G24*(SUMIFS(OBJECT_CONDITIONS!$N:$N,OBJECT_CONDITIONS!$A:$A,$I24)-1))+($H24*(SUMIFS(OBJECT_CONDITIONS!$R:$R,OBJECT_CONDITIONS!$A:$A,$I24)-1)),3))</f>
        <v/>
      </c>
      <c r="K24" s="5" t="n"/>
    </row>
    <row r="25">
      <c r="A25" s="5" t="n"/>
      <c r="B25" s="5" t="n"/>
      <c r="C25" s="5" t="n"/>
      <c r="D25" s="24" t="n"/>
      <c r="E25" s="24" t="n"/>
      <c r="F25" s="24" t="n"/>
      <c r="G25" s="24" t="n"/>
      <c r="H25" s="24" t="n"/>
      <c r="I25" s="5" t="n"/>
      <c r="J25" s="24">
        <f>IF($I25="","",ROUND(1+($D25*(SUMIFS(OBJECT_CONDITIONS!$W:$W,OBJECT_CONDITIONS!$A:$A,$I25)-1))+($E25*(SUMIFS(OBJECT_CONDITIONS!$J:$J,OBJECT_CONDITIONS!$A:$A,$I25)-1))+($F25*(SUMIFS(OBJECT_CONDITIONS!$L:$L,OBJECT_CONDITIONS!$A:$A,$I25)-1))+($G25*(SUMIFS(OBJECT_CONDITIONS!$N:$N,OBJECT_CONDITIONS!$A:$A,$I25)-1))+($H25*(SUMIFS(OBJECT_CONDITIONS!$R:$R,OBJECT_CONDITIONS!$A:$A,$I25)-1)),3))</f>
        <v/>
      </c>
      <c r="K25" s="5" t="n"/>
    </row>
    <row r="26">
      <c r="A26" s="5" t="n"/>
      <c r="B26" s="5" t="n"/>
      <c r="C26" s="5" t="n"/>
      <c r="D26" s="24" t="n"/>
      <c r="E26" s="24" t="n"/>
      <c r="F26" s="24" t="n"/>
      <c r="G26" s="24" t="n"/>
      <c r="H26" s="24" t="n"/>
      <c r="I26" s="5" t="n"/>
      <c r="J26" s="24">
        <f>IF($I26="","",ROUND(1+($D26*(SUMIFS(OBJECT_CONDITIONS!$W:$W,OBJECT_CONDITIONS!$A:$A,$I26)-1))+($E26*(SUMIFS(OBJECT_CONDITIONS!$J:$J,OBJECT_CONDITIONS!$A:$A,$I26)-1))+($F26*(SUMIFS(OBJECT_CONDITIONS!$L:$L,OBJECT_CONDITIONS!$A:$A,$I26)-1))+($G26*(SUMIFS(OBJECT_CONDITIONS!$N:$N,OBJECT_CONDITIONS!$A:$A,$I26)-1))+($H26*(SUMIFS(OBJECT_CONDITIONS!$R:$R,OBJECT_CONDITIONS!$A:$A,$I26)-1)),3))</f>
        <v/>
      </c>
      <c r="K26" s="5" t="n"/>
    </row>
    <row r="27">
      <c r="A27" s="5" t="n"/>
      <c r="B27" s="5" t="n"/>
      <c r="C27" s="5" t="n"/>
      <c r="D27" s="24" t="n"/>
      <c r="E27" s="24" t="n"/>
      <c r="F27" s="24" t="n"/>
      <c r="G27" s="24" t="n"/>
      <c r="H27" s="24" t="n"/>
      <c r="I27" s="5" t="n"/>
      <c r="J27" s="24">
        <f>IF($I27="","",ROUND(1+($D27*(SUMIFS(OBJECT_CONDITIONS!$W:$W,OBJECT_CONDITIONS!$A:$A,$I27)-1))+($E27*(SUMIFS(OBJECT_CONDITIONS!$J:$J,OBJECT_CONDITIONS!$A:$A,$I27)-1))+($F27*(SUMIFS(OBJECT_CONDITIONS!$L:$L,OBJECT_CONDITIONS!$A:$A,$I27)-1))+($G27*(SUMIFS(OBJECT_CONDITIONS!$N:$N,OBJECT_CONDITIONS!$A:$A,$I27)-1))+($H27*(SUMIFS(OBJECT_CONDITIONS!$R:$R,OBJECT_CONDITIONS!$A:$A,$I27)-1)),3))</f>
        <v/>
      </c>
      <c r="K27" s="5" t="n"/>
    </row>
    <row r="28">
      <c r="A28" s="5" t="n"/>
      <c r="B28" s="5" t="n"/>
      <c r="C28" s="5" t="n"/>
      <c r="D28" s="24" t="n"/>
      <c r="E28" s="24" t="n"/>
      <c r="F28" s="24" t="n"/>
      <c r="G28" s="24" t="n"/>
      <c r="H28" s="24" t="n"/>
      <c r="I28" s="5" t="n"/>
      <c r="J28" s="24">
        <f>IF($I28="","",ROUND(1+($D28*(SUMIFS(OBJECT_CONDITIONS!$W:$W,OBJECT_CONDITIONS!$A:$A,$I28)-1))+($E28*(SUMIFS(OBJECT_CONDITIONS!$J:$J,OBJECT_CONDITIONS!$A:$A,$I28)-1))+($F28*(SUMIFS(OBJECT_CONDITIONS!$L:$L,OBJECT_CONDITIONS!$A:$A,$I28)-1))+($G28*(SUMIFS(OBJECT_CONDITIONS!$N:$N,OBJECT_CONDITIONS!$A:$A,$I28)-1))+($H28*(SUMIFS(OBJECT_CONDITIONS!$R:$R,OBJECT_CONDITIONS!$A:$A,$I28)-1)),3))</f>
        <v/>
      </c>
      <c r="K28" s="5" t="n"/>
    </row>
    <row r="29">
      <c r="A29" s="5" t="n"/>
      <c r="B29" s="5" t="n"/>
      <c r="C29" s="5" t="n"/>
      <c r="D29" s="24" t="n"/>
      <c r="E29" s="24" t="n"/>
      <c r="F29" s="24" t="n"/>
      <c r="G29" s="24" t="n"/>
      <c r="H29" s="24" t="n"/>
      <c r="I29" s="5" t="n"/>
      <c r="J29" s="24">
        <f>IF($I29="","",ROUND(1+($D29*(SUMIFS(OBJECT_CONDITIONS!$W:$W,OBJECT_CONDITIONS!$A:$A,$I29)-1))+($E29*(SUMIFS(OBJECT_CONDITIONS!$J:$J,OBJECT_CONDITIONS!$A:$A,$I29)-1))+($F29*(SUMIFS(OBJECT_CONDITIONS!$L:$L,OBJECT_CONDITIONS!$A:$A,$I29)-1))+($G29*(SUMIFS(OBJECT_CONDITIONS!$N:$N,OBJECT_CONDITIONS!$A:$A,$I29)-1))+($H29*(SUMIFS(OBJECT_CONDITIONS!$R:$R,OBJECT_CONDITIONS!$A:$A,$I29)-1)),3))</f>
        <v/>
      </c>
      <c r="K29" s="5" t="n"/>
    </row>
    <row r="30">
      <c r="A30" s="5" t="n"/>
      <c r="B30" s="5" t="n"/>
      <c r="C30" s="5" t="n"/>
      <c r="D30" s="24" t="n"/>
      <c r="E30" s="24" t="n"/>
      <c r="F30" s="24" t="n"/>
      <c r="G30" s="24" t="n"/>
      <c r="H30" s="24" t="n"/>
      <c r="I30" s="5" t="n"/>
      <c r="J30" s="24">
        <f>IF($I30="","",ROUND(1+($D30*(SUMIFS(OBJECT_CONDITIONS!$W:$W,OBJECT_CONDITIONS!$A:$A,$I30)-1))+($E30*(SUMIFS(OBJECT_CONDITIONS!$J:$J,OBJECT_CONDITIONS!$A:$A,$I30)-1))+($F30*(SUMIFS(OBJECT_CONDITIONS!$L:$L,OBJECT_CONDITIONS!$A:$A,$I30)-1))+($G30*(SUMIFS(OBJECT_CONDITIONS!$N:$N,OBJECT_CONDITIONS!$A:$A,$I30)-1))+($H30*(SUMIFS(OBJECT_CONDITIONS!$R:$R,OBJECT_CONDITIONS!$A:$A,$I30)-1)),3))</f>
        <v/>
      </c>
      <c r="K30" s="5" t="n"/>
    </row>
    <row r="31">
      <c r="A31" s="5" t="n"/>
      <c r="B31" s="5" t="n"/>
      <c r="C31" s="5" t="n"/>
      <c r="D31" s="24" t="n"/>
      <c r="E31" s="24" t="n"/>
      <c r="F31" s="24" t="n"/>
      <c r="G31" s="24" t="n"/>
      <c r="H31" s="24" t="n"/>
      <c r="I31" s="5" t="n"/>
      <c r="J31" s="24">
        <f>IF($I31="","",ROUND(1+($D31*(SUMIFS(OBJECT_CONDITIONS!$W:$W,OBJECT_CONDITIONS!$A:$A,$I31)-1))+($E31*(SUMIFS(OBJECT_CONDITIONS!$J:$J,OBJECT_CONDITIONS!$A:$A,$I31)-1))+($F31*(SUMIFS(OBJECT_CONDITIONS!$L:$L,OBJECT_CONDITIONS!$A:$A,$I31)-1))+($G31*(SUMIFS(OBJECT_CONDITIONS!$N:$N,OBJECT_CONDITIONS!$A:$A,$I31)-1))+($H31*(SUMIFS(OBJECT_CONDITIONS!$R:$R,OBJECT_CONDITIONS!$A:$A,$I31)-1)),3))</f>
        <v/>
      </c>
      <c r="K31" s="5" t="n"/>
    </row>
    <row r="32">
      <c r="A32" s="5" t="n"/>
      <c r="B32" s="5" t="n"/>
      <c r="C32" s="5" t="n"/>
      <c r="D32" s="24" t="n"/>
      <c r="E32" s="24" t="n"/>
      <c r="F32" s="24" t="n"/>
      <c r="G32" s="24" t="n"/>
      <c r="H32" s="24" t="n"/>
      <c r="I32" s="5" t="n"/>
      <c r="J32" s="24">
        <f>IF($I32="","",ROUND(1+($D32*(SUMIFS(OBJECT_CONDITIONS!$W:$W,OBJECT_CONDITIONS!$A:$A,$I32)-1))+($E32*(SUMIFS(OBJECT_CONDITIONS!$J:$J,OBJECT_CONDITIONS!$A:$A,$I32)-1))+($F32*(SUMIFS(OBJECT_CONDITIONS!$L:$L,OBJECT_CONDITIONS!$A:$A,$I32)-1))+($G32*(SUMIFS(OBJECT_CONDITIONS!$N:$N,OBJECT_CONDITIONS!$A:$A,$I32)-1))+($H32*(SUMIFS(OBJECT_CONDITIONS!$R:$R,OBJECT_CONDITIONS!$A:$A,$I32)-1)),3))</f>
        <v/>
      </c>
      <c r="K32" s="5" t="n"/>
    </row>
    <row r="33">
      <c r="A33" s="5" t="n"/>
      <c r="B33" s="5" t="n"/>
      <c r="C33" s="5" t="n"/>
      <c r="D33" s="24" t="n"/>
      <c r="E33" s="24" t="n"/>
      <c r="F33" s="24" t="n"/>
      <c r="G33" s="24" t="n"/>
      <c r="H33" s="24" t="n"/>
      <c r="I33" s="5" t="n"/>
      <c r="J33" s="24">
        <f>IF($I33="","",ROUND(1+($D33*(SUMIFS(OBJECT_CONDITIONS!$W:$W,OBJECT_CONDITIONS!$A:$A,$I33)-1))+($E33*(SUMIFS(OBJECT_CONDITIONS!$J:$J,OBJECT_CONDITIONS!$A:$A,$I33)-1))+($F33*(SUMIFS(OBJECT_CONDITIONS!$L:$L,OBJECT_CONDITIONS!$A:$A,$I33)-1))+($G33*(SUMIFS(OBJECT_CONDITIONS!$N:$N,OBJECT_CONDITIONS!$A:$A,$I33)-1))+($H33*(SUMIFS(OBJECT_CONDITIONS!$R:$R,OBJECT_CONDITIONS!$A:$A,$I33)-1)),3))</f>
        <v/>
      </c>
      <c r="K33" s="5" t="n"/>
    </row>
    <row r="34">
      <c r="A34" s="5" t="n"/>
      <c r="B34" s="5" t="n"/>
      <c r="C34" s="5" t="n"/>
      <c r="D34" s="24" t="n"/>
      <c r="E34" s="24" t="n"/>
      <c r="F34" s="24" t="n"/>
      <c r="G34" s="24" t="n"/>
      <c r="H34" s="24" t="n"/>
      <c r="I34" s="5" t="n"/>
      <c r="J34" s="24">
        <f>IF($I34="","",ROUND(1+($D34*(SUMIFS(OBJECT_CONDITIONS!$W:$W,OBJECT_CONDITIONS!$A:$A,$I34)-1))+($E34*(SUMIFS(OBJECT_CONDITIONS!$J:$J,OBJECT_CONDITIONS!$A:$A,$I34)-1))+($F34*(SUMIFS(OBJECT_CONDITIONS!$L:$L,OBJECT_CONDITIONS!$A:$A,$I34)-1))+($G34*(SUMIFS(OBJECT_CONDITIONS!$N:$N,OBJECT_CONDITIONS!$A:$A,$I34)-1))+($H34*(SUMIFS(OBJECT_CONDITIONS!$R:$R,OBJECT_CONDITIONS!$A:$A,$I34)-1)),3))</f>
        <v/>
      </c>
      <c r="K34" s="5" t="n"/>
    </row>
    <row r="35">
      <c r="A35" s="5" t="n"/>
      <c r="B35" s="5" t="n"/>
      <c r="C35" s="5" t="n"/>
      <c r="D35" s="24" t="n"/>
      <c r="E35" s="24" t="n"/>
      <c r="F35" s="24" t="n"/>
      <c r="G35" s="24" t="n"/>
      <c r="H35" s="24" t="n"/>
      <c r="I35" s="5" t="n"/>
      <c r="J35" s="24">
        <f>IF($I35="","",ROUND(1+($D35*(SUMIFS(OBJECT_CONDITIONS!$W:$W,OBJECT_CONDITIONS!$A:$A,$I35)-1))+($E35*(SUMIFS(OBJECT_CONDITIONS!$J:$J,OBJECT_CONDITIONS!$A:$A,$I35)-1))+($F35*(SUMIFS(OBJECT_CONDITIONS!$L:$L,OBJECT_CONDITIONS!$A:$A,$I35)-1))+($G35*(SUMIFS(OBJECT_CONDITIONS!$N:$N,OBJECT_CONDITIONS!$A:$A,$I35)-1))+($H35*(SUMIFS(OBJECT_CONDITIONS!$R:$R,OBJECT_CONDITIONS!$A:$A,$I35)-1)),3))</f>
        <v/>
      </c>
      <c r="K35" s="5" t="n"/>
    </row>
    <row r="36">
      <c r="A36" s="5" t="n"/>
      <c r="B36" s="5" t="n"/>
      <c r="C36" s="5" t="n"/>
      <c r="D36" s="24" t="n"/>
      <c r="E36" s="24" t="n"/>
      <c r="F36" s="24" t="n"/>
      <c r="G36" s="24" t="n"/>
      <c r="H36" s="24" t="n"/>
      <c r="I36" s="5" t="n"/>
      <c r="J36" s="24">
        <f>IF($I36="","",ROUND(1+($D36*(SUMIFS(OBJECT_CONDITIONS!$W:$W,OBJECT_CONDITIONS!$A:$A,$I36)-1))+($E36*(SUMIFS(OBJECT_CONDITIONS!$J:$J,OBJECT_CONDITIONS!$A:$A,$I36)-1))+($F36*(SUMIFS(OBJECT_CONDITIONS!$L:$L,OBJECT_CONDITIONS!$A:$A,$I36)-1))+($G36*(SUMIFS(OBJECT_CONDITIONS!$N:$N,OBJECT_CONDITIONS!$A:$A,$I36)-1))+($H36*(SUMIFS(OBJECT_CONDITIONS!$R:$R,OBJECT_CONDITIONS!$A:$A,$I36)-1)),3))</f>
        <v/>
      </c>
      <c r="K36" s="5" t="n"/>
    </row>
    <row r="37">
      <c r="A37" s="5" t="n"/>
      <c r="B37" s="5" t="n"/>
      <c r="C37" s="5" t="n"/>
      <c r="D37" s="24" t="n"/>
      <c r="E37" s="24" t="n"/>
      <c r="F37" s="24" t="n"/>
      <c r="G37" s="24" t="n"/>
      <c r="H37" s="24" t="n"/>
      <c r="I37" s="5" t="n"/>
      <c r="J37" s="24">
        <f>IF($I37="","",ROUND(1+($D37*(SUMIFS(OBJECT_CONDITIONS!$W:$W,OBJECT_CONDITIONS!$A:$A,$I37)-1))+($E37*(SUMIFS(OBJECT_CONDITIONS!$J:$J,OBJECT_CONDITIONS!$A:$A,$I37)-1))+($F37*(SUMIFS(OBJECT_CONDITIONS!$L:$L,OBJECT_CONDITIONS!$A:$A,$I37)-1))+($G37*(SUMIFS(OBJECT_CONDITIONS!$N:$N,OBJECT_CONDITIONS!$A:$A,$I37)-1))+($H37*(SUMIFS(OBJECT_CONDITIONS!$R:$R,OBJECT_CONDITIONS!$A:$A,$I37)-1)),3))</f>
        <v/>
      </c>
      <c r="K37" s="5" t="n"/>
    </row>
    <row r="38">
      <c r="A38" s="5" t="n"/>
      <c r="B38" s="5" t="n"/>
      <c r="C38" s="5" t="n"/>
      <c r="D38" s="24" t="n"/>
      <c r="E38" s="24" t="n"/>
      <c r="F38" s="24" t="n"/>
      <c r="G38" s="24" t="n"/>
      <c r="H38" s="24" t="n"/>
      <c r="I38" s="5" t="n"/>
      <c r="J38" s="24">
        <f>IF($I38="","",ROUND(1+($D38*(SUMIFS(OBJECT_CONDITIONS!$W:$W,OBJECT_CONDITIONS!$A:$A,$I38)-1))+($E38*(SUMIFS(OBJECT_CONDITIONS!$J:$J,OBJECT_CONDITIONS!$A:$A,$I38)-1))+($F38*(SUMIFS(OBJECT_CONDITIONS!$L:$L,OBJECT_CONDITIONS!$A:$A,$I38)-1))+($G38*(SUMIFS(OBJECT_CONDITIONS!$N:$N,OBJECT_CONDITIONS!$A:$A,$I38)-1))+($H38*(SUMIFS(OBJECT_CONDITIONS!$R:$R,OBJECT_CONDITIONS!$A:$A,$I38)-1)),3))</f>
        <v/>
      </c>
      <c r="K38" s="5" t="n"/>
    </row>
    <row r="39">
      <c r="A39" s="5" t="n"/>
      <c r="B39" s="5" t="n"/>
      <c r="C39" s="5" t="n"/>
      <c r="D39" s="24" t="n"/>
      <c r="E39" s="24" t="n"/>
      <c r="F39" s="24" t="n"/>
      <c r="G39" s="24" t="n"/>
      <c r="H39" s="24" t="n"/>
      <c r="I39" s="5" t="n"/>
      <c r="J39" s="24">
        <f>IF($I39="","",ROUND(1+($D39*(SUMIFS(OBJECT_CONDITIONS!$W:$W,OBJECT_CONDITIONS!$A:$A,$I39)-1))+($E39*(SUMIFS(OBJECT_CONDITIONS!$J:$J,OBJECT_CONDITIONS!$A:$A,$I39)-1))+($F39*(SUMIFS(OBJECT_CONDITIONS!$L:$L,OBJECT_CONDITIONS!$A:$A,$I39)-1))+($G39*(SUMIFS(OBJECT_CONDITIONS!$N:$N,OBJECT_CONDITIONS!$A:$A,$I39)-1))+($H39*(SUMIFS(OBJECT_CONDITIONS!$R:$R,OBJECT_CONDITIONS!$A:$A,$I39)-1)),3))</f>
        <v/>
      </c>
      <c r="K39" s="5" t="n"/>
    </row>
    <row r="40">
      <c r="A40" s="5" t="n"/>
      <c r="B40" s="5" t="n"/>
      <c r="C40" s="5" t="n"/>
      <c r="D40" s="24" t="n"/>
      <c r="E40" s="24" t="n"/>
      <c r="F40" s="24" t="n"/>
      <c r="G40" s="24" t="n"/>
      <c r="H40" s="24" t="n"/>
      <c r="I40" s="5" t="n"/>
      <c r="J40" s="24">
        <f>IF($I40="","",ROUND(1+($D40*(SUMIFS(OBJECT_CONDITIONS!$W:$W,OBJECT_CONDITIONS!$A:$A,$I40)-1))+($E40*(SUMIFS(OBJECT_CONDITIONS!$J:$J,OBJECT_CONDITIONS!$A:$A,$I40)-1))+($F40*(SUMIFS(OBJECT_CONDITIONS!$L:$L,OBJECT_CONDITIONS!$A:$A,$I40)-1))+($G40*(SUMIFS(OBJECT_CONDITIONS!$N:$N,OBJECT_CONDITIONS!$A:$A,$I40)-1))+($H40*(SUMIFS(OBJECT_CONDITIONS!$R:$R,OBJECT_CONDITIONS!$A:$A,$I40)-1)),3))</f>
        <v/>
      </c>
      <c r="K40" s="5" t="n"/>
    </row>
    <row r="41">
      <c r="A41" s="5" t="n"/>
      <c r="B41" s="5" t="n"/>
      <c r="C41" s="5" t="n"/>
      <c r="D41" s="24" t="n"/>
      <c r="E41" s="24" t="n"/>
      <c r="F41" s="24" t="n"/>
      <c r="G41" s="24" t="n"/>
      <c r="H41" s="24" t="n"/>
      <c r="I41" s="5" t="n"/>
      <c r="J41" s="24">
        <f>IF($I41="","",ROUND(1+($D41*(SUMIFS(OBJECT_CONDITIONS!$W:$W,OBJECT_CONDITIONS!$A:$A,$I41)-1))+($E41*(SUMIFS(OBJECT_CONDITIONS!$J:$J,OBJECT_CONDITIONS!$A:$A,$I41)-1))+($F41*(SUMIFS(OBJECT_CONDITIONS!$L:$L,OBJECT_CONDITIONS!$A:$A,$I41)-1))+($G41*(SUMIFS(OBJECT_CONDITIONS!$N:$N,OBJECT_CONDITIONS!$A:$A,$I41)-1))+($H41*(SUMIFS(OBJECT_CONDITIONS!$R:$R,OBJECT_CONDITIONS!$A:$A,$I41)-1)),3))</f>
        <v/>
      </c>
      <c r="K41" s="5" t="n"/>
    </row>
    <row r="42">
      <c r="A42" s="5" t="n"/>
      <c r="B42" s="5" t="n"/>
      <c r="C42" s="5" t="n"/>
      <c r="D42" s="24" t="n"/>
      <c r="E42" s="24" t="n"/>
      <c r="F42" s="24" t="n"/>
      <c r="G42" s="24" t="n"/>
      <c r="H42" s="24" t="n"/>
      <c r="I42" s="5" t="n"/>
      <c r="J42" s="24">
        <f>IF($I42="","",ROUND(1+($D42*(SUMIFS(OBJECT_CONDITIONS!$W:$W,OBJECT_CONDITIONS!$A:$A,$I42)-1))+($E42*(SUMIFS(OBJECT_CONDITIONS!$J:$J,OBJECT_CONDITIONS!$A:$A,$I42)-1))+($F42*(SUMIFS(OBJECT_CONDITIONS!$L:$L,OBJECT_CONDITIONS!$A:$A,$I42)-1))+($G42*(SUMIFS(OBJECT_CONDITIONS!$N:$N,OBJECT_CONDITIONS!$A:$A,$I42)-1))+($H42*(SUMIFS(OBJECT_CONDITIONS!$R:$R,OBJECT_CONDITIONS!$A:$A,$I42)-1)),3))</f>
        <v/>
      </c>
      <c r="K42" s="5" t="n"/>
    </row>
    <row r="43">
      <c r="A43" s="5" t="n"/>
      <c r="B43" s="5" t="n"/>
      <c r="C43" s="5" t="n"/>
      <c r="D43" s="24" t="n"/>
      <c r="E43" s="24" t="n"/>
      <c r="F43" s="24" t="n"/>
      <c r="G43" s="24" t="n"/>
      <c r="H43" s="24" t="n"/>
      <c r="I43" s="5" t="n"/>
      <c r="J43" s="24">
        <f>IF($I43="","",ROUND(1+($D43*(SUMIFS(OBJECT_CONDITIONS!$W:$W,OBJECT_CONDITIONS!$A:$A,$I43)-1))+($E43*(SUMIFS(OBJECT_CONDITIONS!$J:$J,OBJECT_CONDITIONS!$A:$A,$I43)-1))+($F43*(SUMIFS(OBJECT_CONDITIONS!$L:$L,OBJECT_CONDITIONS!$A:$A,$I43)-1))+($G43*(SUMIFS(OBJECT_CONDITIONS!$N:$N,OBJECT_CONDITIONS!$A:$A,$I43)-1))+($H43*(SUMIFS(OBJECT_CONDITIONS!$R:$R,OBJECT_CONDITIONS!$A:$A,$I43)-1)),3))</f>
        <v/>
      </c>
      <c r="K43" s="5" t="n"/>
    </row>
    <row r="44">
      <c r="A44" s="5" t="n"/>
      <c r="B44" s="5" t="n"/>
      <c r="C44" s="5" t="n"/>
      <c r="D44" s="24" t="n"/>
      <c r="E44" s="24" t="n"/>
      <c r="F44" s="24" t="n"/>
      <c r="G44" s="24" t="n"/>
      <c r="H44" s="24" t="n"/>
      <c r="I44" s="5" t="n"/>
      <c r="J44" s="24">
        <f>IF($I44="","",ROUND(1+($D44*(SUMIFS(OBJECT_CONDITIONS!$W:$W,OBJECT_CONDITIONS!$A:$A,$I44)-1))+($E44*(SUMIFS(OBJECT_CONDITIONS!$J:$J,OBJECT_CONDITIONS!$A:$A,$I44)-1))+($F44*(SUMIFS(OBJECT_CONDITIONS!$L:$L,OBJECT_CONDITIONS!$A:$A,$I44)-1))+($G44*(SUMIFS(OBJECT_CONDITIONS!$N:$N,OBJECT_CONDITIONS!$A:$A,$I44)-1))+($H44*(SUMIFS(OBJECT_CONDITIONS!$R:$R,OBJECT_CONDITIONS!$A:$A,$I44)-1)),3))</f>
        <v/>
      </c>
      <c r="K44" s="5" t="n"/>
    </row>
    <row r="45">
      <c r="A45" s="5" t="n"/>
      <c r="B45" s="5" t="n"/>
      <c r="C45" s="5" t="n"/>
      <c r="D45" s="24" t="n"/>
      <c r="E45" s="24" t="n"/>
      <c r="F45" s="24" t="n"/>
      <c r="G45" s="24" t="n"/>
      <c r="H45" s="24" t="n"/>
      <c r="I45" s="5" t="n"/>
      <c r="J45" s="24">
        <f>IF($I45="","",ROUND(1+($D45*(SUMIFS(OBJECT_CONDITIONS!$W:$W,OBJECT_CONDITIONS!$A:$A,$I45)-1))+($E45*(SUMIFS(OBJECT_CONDITIONS!$J:$J,OBJECT_CONDITIONS!$A:$A,$I45)-1))+($F45*(SUMIFS(OBJECT_CONDITIONS!$L:$L,OBJECT_CONDITIONS!$A:$A,$I45)-1))+($G45*(SUMIFS(OBJECT_CONDITIONS!$N:$N,OBJECT_CONDITIONS!$A:$A,$I45)-1))+($H45*(SUMIFS(OBJECT_CONDITIONS!$R:$R,OBJECT_CONDITIONS!$A:$A,$I45)-1)),3))</f>
        <v/>
      </c>
      <c r="K45" s="5" t="n"/>
    </row>
    <row r="46">
      <c r="A46" s="5" t="n"/>
      <c r="B46" s="5" t="n"/>
      <c r="C46" s="5" t="n"/>
      <c r="D46" s="24" t="n"/>
      <c r="E46" s="24" t="n"/>
      <c r="F46" s="24" t="n"/>
      <c r="G46" s="24" t="n"/>
      <c r="H46" s="24" t="n"/>
      <c r="I46" s="5" t="n"/>
      <c r="J46" s="24">
        <f>IF($I46="","",ROUND(1+($D46*(SUMIFS(OBJECT_CONDITIONS!$W:$W,OBJECT_CONDITIONS!$A:$A,$I46)-1))+($E46*(SUMIFS(OBJECT_CONDITIONS!$J:$J,OBJECT_CONDITIONS!$A:$A,$I46)-1))+($F46*(SUMIFS(OBJECT_CONDITIONS!$L:$L,OBJECT_CONDITIONS!$A:$A,$I46)-1))+($G46*(SUMIFS(OBJECT_CONDITIONS!$N:$N,OBJECT_CONDITIONS!$A:$A,$I46)-1))+($H46*(SUMIFS(OBJECT_CONDITIONS!$R:$R,OBJECT_CONDITIONS!$A:$A,$I46)-1)),3))</f>
        <v/>
      </c>
      <c r="K46" s="5" t="n"/>
    </row>
    <row r="47">
      <c r="A47" s="5" t="n"/>
      <c r="B47" s="5" t="n"/>
      <c r="C47" s="5" t="n"/>
      <c r="D47" s="24" t="n"/>
      <c r="E47" s="24" t="n"/>
      <c r="F47" s="24" t="n"/>
      <c r="G47" s="24" t="n"/>
      <c r="H47" s="24" t="n"/>
      <c r="I47" s="5" t="n"/>
      <c r="J47" s="24">
        <f>IF($I47="","",ROUND(1+($D47*(SUMIFS(OBJECT_CONDITIONS!$W:$W,OBJECT_CONDITIONS!$A:$A,$I47)-1))+($E47*(SUMIFS(OBJECT_CONDITIONS!$J:$J,OBJECT_CONDITIONS!$A:$A,$I47)-1))+($F47*(SUMIFS(OBJECT_CONDITIONS!$L:$L,OBJECT_CONDITIONS!$A:$A,$I47)-1))+($G47*(SUMIFS(OBJECT_CONDITIONS!$N:$N,OBJECT_CONDITIONS!$A:$A,$I47)-1))+($H47*(SUMIFS(OBJECT_CONDITIONS!$R:$R,OBJECT_CONDITIONS!$A:$A,$I47)-1)),3))</f>
        <v/>
      </c>
      <c r="K47" s="5" t="n"/>
    </row>
    <row r="48">
      <c r="A48" s="5" t="n"/>
      <c r="B48" s="5" t="n"/>
      <c r="C48" s="5" t="n"/>
      <c r="D48" s="24" t="n"/>
      <c r="E48" s="24" t="n"/>
      <c r="F48" s="24" t="n"/>
      <c r="G48" s="24" t="n"/>
      <c r="H48" s="24" t="n"/>
      <c r="I48" s="5" t="n"/>
      <c r="J48" s="24">
        <f>IF($I48="","",ROUND(1+($D48*(SUMIFS(OBJECT_CONDITIONS!$W:$W,OBJECT_CONDITIONS!$A:$A,$I48)-1))+($E48*(SUMIFS(OBJECT_CONDITIONS!$J:$J,OBJECT_CONDITIONS!$A:$A,$I48)-1))+($F48*(SUMIFS(OBJECT_CONDITIONS!$L:$L,OBJECT_CONDITIONS!$A:$A,$I48)-1))+($G48*(SUMIFS(OBJECT_CONDITIONS!$N:$N,OBJECT_CONDITIONS!$A:$A,$I48)-1))+($H48*(SUMIFS(OBJECT_CONDITIONS!$R:$R,OBJECT_CONDITIONS!$A:$A,$I48)-1)),3))</f>
        <v/>
      </c>
      <c r="K48" s="5" t="n"/>
    </row>
    <row r="49">
      <c r="A49" s="5" t="n"/>
      <c r="B49" s="5" t="n"/>
      <c r="C49" s="5" t="n"/>
      <c r="D49" s="24" t="n"/>
      <c r="E49" s="24" t="n"/>
      <c r="F49" s="24" t="n"/>
      <c r="G49" s="24" t="n"/>
      <c r="H49" s="24" t="n"/>
      <c r="I49" s="5" t="n"/>
      <c r="J49" s="24">
        <f>IF($I49="","",ROUND(1+($D49*(SUMIFS(OBJECT_CONDITIONS!$W:$W,OBJECT_CONDITIONS!$A:$A,$I49)-1))+($E49*(SUMIFS(OBJECT_CONDITIONS!$J:$J,OBJECT_CONDITIONS!$A:$A,$I49)-1))+($F49*(SUMIFS(OBJECT_CONDITIONS!$L:$L,OBJECT_CONDITIONS!$A:$A,$I49)-1))+($G49*(SUMIFS(OBJECT_CONDITIONS!$N:$N,OBJECT_CONDITIONS!$A:$A,$I49)-1))+($H49*(SUMIFS(OBJECT_CONDITIONS!$R:$R,OBJECT_CONDITIONS!$A:$A,$I49)-1)),3))</f>
        <v/>
      </c>
      <c r="K49" s="5" t="n"/>
    </row>
    <row r="50">
      <c r="A50" s="5" t="n"/>
      <c r="B50" s="5" t="n"/>
      <c r="C50" s="5" t="n"/>
      <c r="D50" s="24" t="n"/>
      <c r="E50" s="24" t="n"/>
      <c r="F50" s="24" t="n"/>
      <c r="G50" s="24" t="n"/>
      <c r="H50" s="24" t="n"/>
      <c r="I50" s="5" t="n"/>
      <c r="J50" s="24">
        <f>IF($I50="","",ROUND(1+($D50*(SUMIFS(OBJECT_CONDITIONS!$W:$W,OBJECT_CONDITIONS!$A:$A,$I50)-1))+($E50*(SUMIFS(OBJECT_CONDITIONS!$J:$J,OBJECT_CONDITIONS!$A:$A,$I50)-1))+($F50*(SUMIFS(OBJECT_CONDITIONS!$L:$L,OBJECT_CONDITIONS!$A:$A,$I50)-1))+($G50*(SUMIFS(OBJECT_CONDITIONS!$N:$N,OBJECT_CONDITIONS!$A:$A,$I50)-1))+($H50*(SUMIFS(OBJECT_CONDITIONS!$R:$R,OBJECT_CONDITIONS!$A:$A,$I50)-1)),3))</f>
        <v/>
      </c>
      <c r="K50" s="5" t="n"/>
    </row>
    <row r="51">
      <c r="A51" s="5" t="n"/>
      <c r="B51" s="5" t="n"/>
      <c r="C51" s="5" t="n"/>
      <c r="D51" s="24" t="n"/>
      <c r="E51" s="24" t="n"/>
      <c r="F51" s="24" t="n"/>
      <c r="G51" s="24" t="n"/>
      <c r="H51" s="24" t="n"/>
      <c r="I51" s="5" t="n"/>
      <c r="J51" s="24">
        <f>IF($I51="","",ROUND(1+($D51*(SUMIFS(OBJECT_CONDITIONS!$W:$W,OBJECT_CONDITIONS!$A:$A,$I51)-1))+($E51*(SUMIFS(OBJECT_CONDITIONS!$J:$J,OBJECT_CONDITIONS!$A:$A,$I51)-1))+($F51*(SUMIFS(OBJECT_CONDITIONS!$L:$L,OBJECT_CONDITIONS!$A:$A,$I51)-1))+($G51*(SUMIFS(OBJECT_CONDITIONS!$N:$N,OBJECT_CONDITIONS!$A:$A,$I51)-1))+($H51*(SUMIFS(OBJECT_CONDITIONS!$R:$R,OBJECT_CONDITIONS!$A:$A,$I51)-1)),3))</f>
        <v/>
      </c>
      <c r="K51" s="5" t="n"/>
    </row>
    <row r="52">
      <c r="A52" s="5" t="n"/>
      <c r="B52" s="5" t="n"/>
      <c r="C52" s="5" t="n"/>
      <c r="D52" s="24" t="n"/>
      <c r="E52" s="24" t="n"/>
      <c r="F52" s="24" t="n"/>
      <c r="G52" s="24" t="n"/>
      <c r="H52" s="24" t="n"/>
      <c r="I52" s="5" t="n"/>
      <c r="J52" s="24">
        <f>IF($I52="","",ROUND(1+($D52*(SUMIFS(OBJECT_CONDITIONS!$W:$W,OBJECT_CONDITIONS!$A:$A,$I52)-1))+($E52*(SUMIFS(OBJECT_CONDITIONS!$J:$J,OBJECT_CONDITIONS!$A:$A,$I52)-1))+($F52*(SUMIFS(OBJECT_CONDITIONS!$L:$L,OBJECT_CONDITIONS!$A:$A,$I52)-1))+($G52*(SUMIFS(OBJECT_CONDITIONS!$N:$N,OBJECT_CONDITIONS!$A:$A,$I52)-1))+($H52*(SUMIFS(OBJECT_CONDITIONS!$R:$R,OBJECT_CONDITIONS!$A:$A,$I52)-1)),3))</f>
        <v/>
      </c>
      <c r="K52" s="5" t="n"/>
    </row>
    <row r="53">
      <c r="A53" s="5" t="n"/>
      <c r="B53" s="5" t="n"/>
      <c r="C53" s="5" t="n"/>
      <c r="D53" s="24" t="n"/>
      <c r="E53" s="24" t="n"/>
      <c r="F53" s="24" t="n"/>
      <c r="G53" s="24" t="n"/>
      <c r="H53" s="24" t="n"/>
      <c r="I53" s="5" t="n"/>
      <c r="J53" s="24">
        <f>IF($I53="","",ROUND(1+($D53*(SUMIFS(OBJECT_CONDITIONS!$W:$W,OBJECT_CONDITIONS!$A:$A,$I53)-1))+($E53*(SUMIFS(OBJECT_CONDITIONS!$J:$J,OBJECT_CONDITIONS!$A:$A,$I53)-1))+($F53*(SUMIFS(OBJECT_CONDITIONS!$L:$L,OBJECT_CONDITIONS!$A:$A,$I53)-1))+($G53*(SUMIFS(OBJECT_CONDITIONS!$N:$N,OBJECT_CONDITIONS!$A:$A,$I53)-1))+($H53*(SUMIFS(OBJECT_CONDITIONS!$R:$R,OBJECT_CONDITIONS!$A:$A,$I53)-1)),3))</f>
        <v/>
      </c>
      <c r="K53" s="5" t="n"/>
    </row>
    <row r="54">
      <c r="A54" s="5" t="n"/>
      <c r="B54" s="5" t="n"/>
      <c r="C54" s="5" t="n"/>
      <c r="D54" s="24" t="n"/>
      <c r="E54" s="24" t="n"/>
      <c r="F54" s="24" t="n"/>
      <c r="G54" s="24" t="n"/>
      <c r="H54" s="24" t="n"/>
      <c r="I54" s="5" t="n"/>
      <c r="J54" s="24">
        <f>IF($I54="","",ROUND(1+($D54*(SUMIFS(OBJECT_CONDITIONS!$W:$W,OBJECT_CONDITIONS!$A:$A,$I54)-1))+($E54*(SUMIFS(OBJECT_CONDITIONS!$J:$J,OBJECT_CONDITIONS!$A:$A,$I54)-1))+($F54*(SUMIFS(OBJECT_CONDITIONS!$L:$L,OBJECT_CONDITIONS!$A:$A,$I54)-1))+($G54*(SUMIFS(OBJECT_CONDITIONS!$N:$N,OBJECT_CONDITIONS!$A:$A,$I54)-1))+($H54*(SUMIFS(OBJECT_CONDITIONS!$R:$R,OBJECT_CONDITIONS!$A:$A,$I54)-1)),3))</f>
        <v/>
      </c>
      <c r="K54" s="5" t="n"/>
    </row>
    <row r="55">
      <c r="A55" s="5" t="n"/>
      <c r="B55" s="5" t="n"/>
      <c r="C55" s="5" t="n"/>
      <c r="D55" s="24" t="n"/>
      <c r="E55" s="24" t="n"/>
      <c r="F55" s="24" t="n"/>
      <c r="G55" s="24" t="n"/>
      <c r="H55" s="24" t="n"/>
      <c r="I55" s="5" t="n"/>
      <c r="J55" s="24">
        <f>IF($I55="","",ROUND(1+($D55*(SUMIFS(OBJECT_CONDITIONS!$W:$W,OBJECT_CONDITIONS!$A:$A,$I55)-1))+($E55*(SUMIFS(OBJECT_CONDITIONS!$J:$J,OBJECT_CONDITIONS!$A:$A,$I55)-1))+($F55*(SUMIFS(OBJECT_CONDITIONS!$L:$L,OBJECT_CONDITIONS!$A:$A,$I55)-1))+($G55*(SUMIFS(OBJECT_CONDITIONS!$N:$N,OBJECT_CONDITIONS!$A:$A,$I55)-1))+($H55*(SUMIFS(OBJECT_CONDITIONS!$R:$R,OBJECT_CONDITIONS!$A:$A,$I55)-1)),3))</f>
        <v/>
      </c>
      <c r="K55" s="5" t="n"/>
    </row>
    <row r="56">
      <c r="A56" s="5" t="n"/>
      <c r="B56" s="5" t="n"/>
      <c r="C56" s="5" t="n"/>
      <c r="D56" s="24" t="n"/>
      <c r="E56" s="24" t="n"/>
      <c r="F56" s="24" t="n"/>
      <c r="G56" s="24" t="n"/>
      <c r="H56" s="24" t="n"/>
      <c r="I56" s="5" t="n"/>
      <c r="J56" s="24">
        <f>IF($I56="","",ROUND(1+($D56*(SUMIFS(OBJECT_CONDITIONS!$W:$W,OBJECT_CONDITIONS!$A:$A,$I56)-1))+($E56*(SUMIFS(OBJECT_CONDITIONS!$J:$J,OBJECT_CONDITIONS!$A:$A,$I56)-1))+($F56*(SUMIFS(OBJECT_CONDITIONS!$L:$L,OBJECT_CONDITIONS!$A:$A,$I56)-1))+($G56*(SUMIFS(OBJECT_CONDITIONS!$N:$N,OBJECT_CONDITIONS!$A:$A,$I56)-1))+($H56*(SUMIFS(OBJECT_CONDITIONS!$R:$R,OBJECT_CONDITIONS!$A:$A,$I56)-1)),3))</f>
        <v/>
      </c>
      <c r="K56" s="5" t="n"/>
    </row>
    <row r="57">
      <c r="A57" s="5" t="n"/>
      <c r="B57" s="5" t="n"/>
      <c r="C57" s="5" t="n"/>
      <c r="D57" s="24" t="n"/>
      <c r="E57" s="24" t="n"/>
      <c r="F57" s="24" t="n"/>
      <c r="G57" s="24" t="n"/>
      <c r="H57" s="24" t="n"/>
      <c r="I57" s="5" t="n"/>
      <c r="J57" s="24">
        <f>IF($I57="","",ROUND(1+($D57*(SUMIFS(OBJECT_CONDITIONS!$W:$W,OBJECT_CONDITIONS!$A:$A,$I57)-1))+($E57*(SUMIFS(OBJECT_CONDITIONS!$J:$J,OBJECT_CONDITIONS!$A:$A,$I57)-1))+($F57*(SUMIFS(OBJECT_CONDITIONS!$L:$L,OBJECT_CONDITIONS!$A:$A,$I57)-1))+($G57*(SUMIFS(OBJECT_CONDITIONS!$N:$N,OBJECT_CONDITIONS!$A:$A,$I57)-1))+($H57*(SUMIFS(OBJECT_CONDITIONS!$R:$R,OBJECT_CONDITIONS!$A:$A,$I57)-1)),3))</f>
        <v/>
      </c>
      <c r="K57" s="5" t="n"/>
    </row>
    <row r="58">
      <c r="A58" s="5" t="n"/>
      <c r="B58" s="5" t="n"/>
      <c r="C58" s="5" t="n"/>
      <c r="D58" s="24" t="n"/>
      <c r="E58" s="24" t="n"/>
      <c r="F58" s="24" t="n"/>
      <c r="G58" s="24" t="n"/>
      <c r="H58" s="24" t="n"/>
      <c r="I58" s="5" t="n"/>
      <c r="J58" s="24">
        <f>IF($I58="","",ROUND(1+($D58*(SUMIFS(OBJECT_CONDITIONS!$W:$W,OBJECT_CONDITIONS!$A:$A,$I58)-1))+($E58*(SUMIFS(OBJECT_CONDITIONS!$J:$J,OBJECT_CONDITIONS!$A:$A,$I58)-1))+($F58*(SUMIFS(OBJECT_CONDITIONS!$L:$L,OBJECT_CONDITIONS!$A:$A,$I58)-1))+($G58*(SUMIFS(OBJECT_CONDITIONS!$N:$N,OBJECT_CONDITIONS!$A:$A,$I58)-1))+($H58*(SUMIFS(OBJECT_CONDITIONS!$R:$R,OBJECT_CONDITIONS!$A:$A,$I58)-1)),3))</f>
        <v/>
      </c>
      <c r="K58" s="5" t="n"/>
    </row>
    <row r="59">
      <c r="A59" s="5" t="n"/>
      <c r="B59" s="5" t="n"/>
      <c r="C59" s="5" t="n"/>
      <c r="D59" s="24" t="n"/>
      <c r="E59" s="24" t="n"/>
      <c r="F59" s="24" t="n"/>
      <c r="G59" s="24" t="n"/>
      <c r="H59" s="24" t="n"/>
      <c r="I59" s="5" t="n"/>
      <c r="J59" s="24">
        <f>IF($I59="","",ROUND(1+($D59*(SUMIFS(OBJECT_CONDITIONS!$W:$W,OBJECT_CONDITIONS!$A:$A,$I59)-1))+($E59*(SUMIFS(OBJECT_CONDITIONS!$J:$J,OBJECT_CONDITIONS!$A:$A,$I59)-1))+($F59*(SUMIFS(OBJECT_CONDITIONS!$L:$L,OBJECT_CONDITIONS!$A:$A,$I59)-1))+($G59*(SUMIFS(OBJECT_CONDITIONS!$N:$N,OBJECT_CONDITIONS!$A:$A,$I59)-1))+($H59*(SUMIFS(OBJECT_CONDITIONS!$R:$R,OBJECT_CONDITIONS!$A:$A,$I59)-1)),3))</f>
        <v/>
      </c>
      <c r="K59" s="5" t="n"/>
    </row>
    <row r="60">
      <c r="A60" s="5" t="n"/>
      <c r="B60" s="5" t="n"/>
      <c r="C60" s="5" t="n"/>
      <c r="D60" s="24" t="n"/>
      <c r="E60" s="24" t="n"/>
      <c r="F60" s="24" t="n"/>
      <c r="G60" s="24" t="n"/>
      <c r="H60" s="24" t="n"/>
      <c r="I60" s="5" t="n"/>
      <c r="J60" s="24">
        <f>IF($I60="","",ROUND(1+($D60*(SUMIFS(OBJECT_CONDITIONS!$W:$W,OBJECT_CONDITIONS!$A:$A,$I60)-1))+($E60*(SUMIFS(OBJECT_CONDITIONS!$J:$J,OBJECT_CONDITIONS!$A:$A,$I60)-1))+($F60*(SUMIFS(OBJECT_CONDITIONS!$L:$L,OBJECT_CONDITIONS!$A:$A,$I60)-1))+($G60*(SUMIFS(OBJECT_CONDITIONS!$N:$N,OBJECT_CONDITIONS!$A:$A,$I60)-1))+($H60*(SUMIFS(OBJECT_CONDITIONS!$R:$R,OBJECT_CONDITIONS!$A:$A,$I60)-1)),3))</f>
        <v/>
      </c>
      <c r="K60" s="5" t="n"/>
    </row>
    <row r="61">
      <c r="A61" s="5" t="n"/>
      <c r="B61" s="5" t="n"/>
      <c r="C61" s="5" t="n"/>
      <c r="D61" s="24" t="n"/>
      <c r="E61" s="24" t="n"/>
      <c r="F61" s="24" t="n"/>
      <c r="G61" s="24" t="n"/>
      <c r="H61" s="24" t="n"/>
      <c r="I61" s="5" t="n"/>
      <c r="J61" s="24">
        <f>IF($I61="","",ROUND(1+($D61*(SUMIFS(OBJECT_CONDITIONS!$W:$W,OBJECT_CONDITIONS!$A:$A,$I61)-1))+($E61*(SUMIFS(OBJECT_CONDITIONS!$J:$J,OBJECT_CONDITIONS!$A:$A,$I61)-1))+($F61*(SUMIFS(OBJECT_CONDITIONS!$L:$L,OBJECT_CONDITIONS!$A:$A,$I61)-1))+($G61*(SUMIFS(OBJECT_CONDITIONS!$N:$N,OBJECT_CONDITIONS!$A:$A,$I61)-1))+($H61*(SUMIFS(OBJECT_CONDITIONS!$R:$R,OBJECT_CONDITIONS!$A:$A,$I61)-1)),3))</f>
        <v/>
      </c>
      <c r="K61" s="5" t="n"/>
    </row>
    <row r="62">
      <c r="A62" s="5" t="n"/>
      <c r="B62" s="5" t="n"/>
      <c r="C62" s="5" t="n"/>
      <c r="D62" s="24" t="n"/>
      <c r="E62" s="24" t="n"/>
      <c r="F62" s="24" t="n"/>
      <c r="G62" s="24" t="n"/>
      <c r="H62" s="24" t="n"/>
      <c r="I62" s="5" t="n"/>
      <c r="J62" s="24">
        <f>IF($I62="","",ROUND(1+($D62*(SUMIFS(OBJECT_CONDITIONS!$W:$W,OBJECT_CONDITIONS!$A:$A,$I62)-1))+($E62*(SUMIFS(OBJECT_CONDITIONS!$J:$J,OBJECT_CONDITIONS!$A:$A,$I62)-1))+($F62*(SUMIFS(OBJECT_CONDITIONS!$L:$L,OBJECT_CONDITIONS!$A:$A,$I62)-1))+($G62*(SUMIFS(OBJECT_CONDITIONS!$N:$N,OBJECT_CONDITIONS!$A:$A,$I62)-1))+($H62*(SUMIFS(OBJECT_CONDITIONS!$R:$R,OBJECT_CONDITIONS!$A:$A,$I62)-1)),3))</f>
        <v/>
      </c>
      <c r="K62" s="5" t="n"/>
    </row>
    <row r="63">
      <c r="A63" s="5" t="n"/>
      <c r="B63" s="5" t="n"/>
      <c r="C63" s="5" t="n"/>
      <c r="D63" s="24" t="n"/>
      <c r="E63" s="24" t="n"/>
      <c r="F63" s="24" t="n"/>
      <c r="G63" s="24" t="n"/>
      <c r="H63" s="24" t="n"/>
      <c r="I63" s="5" t="n"/>
      <c r="J63" s="24">
        <f>IF($I63="","",ROUND(1+($D63*(SUMIFS(OBJECT_CONDITIONS!$W:$W,OBJECT_CONDITIONS!$A:$A,$I63)-1))+($E63*(SUMIFS(OBJECT_CONDITIONS!$J:$J,OBJECT_CONDITIONS!$A:$A,$I63)-1))+($F63*(SUMIFS(OBJECT_CONDITIONS!$L:$L,OBJECT_CONDITIONS!$A:$A,$I63)-1))+($G63*(SUMIFS(OBJECT_CONDITIONS!$N:$N,OBJECT_CONDITIONS!$A:$A,$I63)-1))+($H63*(SUMIFS(OBJECT_CONDITIONS!$R:$R,OBJECT_CONDITIONS!$A:$A,$I63)-1)),3))</f>
        <v/>
      </c>
      <c r="K63" s="5" t="n"/>
    </row>
    <row r="64">
      <c r="A64" s="5" t="n"/>
      <c r="B64" s="5" t="n"/>
      <c r="C64" s="5" t="n"/>
      <c r="D64" s="24" t="n"/>
      <c r="E64" s="24" t="n"/>
      <c r="F64" s="24" t="n"/>
      <c r="G64" s="24" t="n"/>
      <c r="H64" s="24" t="n"/>
      <c r="I64" s="5" t="n"/>
      <c r="J64" s="24">
        <f>IF($I64="","",ROUND(1+($D64*(SUMIFS(OBJECT_CONDITIONS!$W:$W,OBJECT_CONDITIONS!$A:$A,$I64)-1))+($E64*(SUMIFS(OBJECT_CONDITIONS!$J:$J,OBJECT_CONDITIONS!$A:$A,$I64)-1))+($F64*(SUMIFS(OBJECT_CONDITIONS!$L:$L,OBJECT_CONDITIONS!$A:$A,$I64)-1))+($G64*(SUMIFS(OBJECT_CONDITIONS!$N:$N,OBJECT_CONDITIONS!$A:$A,$I64)-1))+($H64*(SUMIFS(OBJECT_CONDITIONS!$R:$R,OBJECT_CONDITIONS!$A:$A,$I64)-1)),3))</f>
        <v/>
      </c>
      <c r="K64" s="5" t="n"/>
    </row>
    <row r="65">
      <c r="A65" s="5" t="n"/>
      <c r="B65" s="5" t="n"/>
      <c r="C65" s="5" t="n"/>
      <c r="D65" s="24" t="n"/>
      <c r="E65" s="24" t="n"/>
      <c r="F65" s="24" t="n"/>
      <c r="G65" s="24" t="n"/>
      <c r="H65" s="24" t="n"/>
      <c r="I65" s="5" t="n"/>
      <c r="J65" s="24">
        <f>IF($I65="","",ROUND(1+($D65*(SUMIFS(OBJECT_CONDITIONS!$W:$W,OBJECT_CONDITIONS!$A:$A,$I65)-1))+($E65*(SUMIFS(OBJECT_CONDITIONS!$J:$J,OBJECT_CONDITIONS!$A:$A,$I65)-1))+($F65*(SUMIFS(OBJECT_CONDITIONS!$L:$L,OBJECT_CONDITIONS!$A:$A,$I65)-1))+($G65*(SUMIFS(OBJECT_CONDITIONS!$N:$N,OBJECT_CONDITIONS!$A:$A,$I65)-1))+($H65*(SUMIFS(OBJECT_CONDITIONS!$R:$R,OBJECT_CONDITIONS!$A:$A,$I65)-1)),3))</f>
        <v/>
      </c>
      <c r="K65" s="5" t="n"/>
    </row>
    <row r="66">
      <c r="A66" s="5" t="n"/>
      <c r="B66" s="5" t="n"/>
      <c r="C66" s="5" t="n"/>
      <c r="D66" s="24" t="n"/>
      <c r="E66" s="24" t="n"/>
      <c r="F66" s="24" t="n"/>
      <c r="G66" s="24" t="n"/>
      <c r="H66" s="24" t="n"/>
      <c r="I66" s="5" t="n"/>
      <c r="J66" s="24">
        <f>IF($I66="","",ROUND(1+($D66*(SUMIFS(OBJECT_CONDITIONS!$W:$W,OBJECT_CONDITIONS!$A:$A,$I66)-1))+($E66*(SUMIFS(OBJECT_CONDITIONS!$J:$J,OBJECT_CONDITIONS!$A:$A,$I66)-1))+($F66*(SUMIFS(OBJECT_CONDITIONS!$L:$L,OBJECT_CONDITIONS!$A:$A,$I66)-1))+($G66*(SUMIFS(OBJECT_CONDITIONS!$N:$N,OBJECT_CONDITIONS!$A:$A,$I66)-1))+($H66*(SUMIFS(OBJECT_CONDITIONS!$R:$R,OBJECT_CONDITIONS!$A:$A,$I66)-1)),3))</f>
        <v/>
      </c>
      <c r="K66" s="5" t="n"/>
    </row>
    <row r="67">
      <c r="A67" s="5" t="n"/>
      <c r="B67" s="5" t="n"/>
      <c r="C67" s="5" t="n"/>
      <c r="D67" s="24" t="n"/>
      <c r="E67" s="24" t="n"/>
      <c r="F67" s="24" t="n"/>
      <c r="G67" s="24" t="n"/>
      <c r="H67" s="24" t="n"/>
      <c r="I67" s="5" t="n"/>
      <c r="J67" s="24">
        <f>IF($I67="","",ROUND(1+($D67*(SUMIFS(OBJECT_CONDITIONS!$W:$W,OBJECT_CONDITIONS!$A:$A,$I67)-1))+($E67*(SUMIFS(OBJECT_CONDITIONS!$J:$J,OBJECT_CONDITIONS!$A:$A,$I67)-1))+($F67*(SUMIFS(OBJECT_CONDITIONS!$L:$L,OBJECT_CONDITIONS!$A:$A,$I67)-1))+($G67*(SUMIFS(OBJECT_CONDITIONS!$N:$N,OBJECT_CONDITIONS!$A:$A,$I67)-1))+($H67*(SUMIFS(OBJECT_CONDITIONS!$R:$R,OBJECT_CONDITIONS!$A:$A,$I67)-1)),3))</f>
        <v/>
      </c>
      <c r="K67" s="5" t="n"/>
    </row>
    <row r="68">
      <c r="A68" s="5" t="n"/>
      <c r="B68" s="5" t="n"/>
      <c r="C68" s="5" t="n"/>
      <c r="D68" s="24" t="n"/>
      <c r="E68" s="24" t="n"/>
      <c r="F68" s="24" t="n"/>
      <c r="G68" s="24" t="n"/>
      <c r="H68" s="24" t="n"/>
      <c r="I68" s="5" t="n"/>
      <c r="J68" s="24">
        <f>IF($I68="","",ROUND(1+($D68*(SUMIFS(OBJECT_CONDITIONS!$W:$W,OBJECT_CONDITIONS!$A:$A,$I68)-1))+($E68*(SUMIFS(OBJECT_CONDITIONS!$J:$J,OBJECT_CONDITIONS!$A:$A,$I68)-1))+($F68*(SUMIFS(OBJECT_CONDITIONS!$L:$L,OBJECT_CONDITIONS!$A:$A,$I68)-1))+($G68*(SUMIFS(OBJECT_CONDITIONS!$N:$N,OBJECT_CONDITIONS!$A:$A,$I68)-1))+($H68*(SUMIFS(OBJECT_CONDITIONS!$R:$R,OBJECT_CONDITIONS!$A:$A,$I68)-1)),3))</f>
        <v/>
      </c>
      <c r="K68" s="5" t="n"/>
    </row>
    <row r="69">
      <c r="A69" s="5" t="n"/>
      <c r="B69" s="5" t="n"/>
      <c r="C69" s="5" t="n"/>
      <c r="D69" s="24" t="n"/>
      <c r="E69" s="24" t="n"/>
      <c r="F69" s="24" t="n"/>
      <c r="G69" s="24" t="n"/>
      <c r="H69" s="24" t="n"/>
      <c r="I69" s="5" t="n"/>
      <c r="J69" s="24">
        <f>IF($I69="","",ROUND(1+($D69*(SUMIFS(OBJECT_CONDITIONS!$W:$W,OBJECT_CONDITIONS!$A:$A,$I69)-1))+($E69*(SUMIFS(OBJECT_CONDITIONS!$J:$J,OBJECT_CONDITIONS!$A:$A,$I69)-1))+($F69*(SUMIFS(OBJECT_CONDITIONS!$L:$L,OBJECT_CONDITIONS!$A:$A,$I69)-1))+($G69*(SUMIFS(OBJECT_CONDITIONS!$N:$N,OBJECT_CONDITIONS!$A:$A,$I69)-1))+($H69*(SUMIFS(OBJECT_CONDITIONS!$R:$R,OBJECT_CONDITIONS!$A:$A,$I69)-1)),3))</f>
        <v/>
      </c>
      <c r="K69" s="5" t="n"/>
    </row>
    <row r="70">
      <c r="A70" s="5" t="n"/>
      <c r="B70" s="5" t="n"/>
      <c r="C70" s="5" t="n"/>
      <c r="D70" s="24" t="n"/>
      <c r="E70" s="24" t="n"/>
      <c r="F70" s="24" t="n"/>
      <c r="G70" s="24" t="n"/>
      <c r="H70" s="24" t="n"/>
      <c r="I70" s="5" t="n"/>
      <c r="J70" s="24">
        <f>IF($I70="","",ROUND(1+($D70*(SUMIFS(OBJECT_CONDITIONS!$W:$W,OBJECT_CONDITIONS!$A:$A,$I70)-1))+($E70*(SUMIFS(OBJECT_CONDITIONS!$J:$J,OBJECT_CONDITIONS!$A:$A,$I70)-1))+($F70*(SUMIFS(OBJECT_CONDITIONS!$L:$L,OBJECT_CONDITIONS!$A:$A,$I70)-1))+($G70*(SUMIFS(OBJECT_CONDITIONS!$N:$N,OBJECT_CONDITIONS!$A:$A,$I70)-1))+($H70*(SUMIFS(OBJECT_CONDITIONS!$R:$R,OBJECT_CONDITIONS!$A:$A,$I70)-1)),3))</f>
        <v/>
      </c>
      <c r="K70" s="5" t="n"/>
    </row>
    <row r="71">
      <c r="A71" s="5" t="n"/>
      <c r="B71" s="5" t="n"/>
      <c r="C71" s="5" t="n"/>
      <c r="D71" s="24" t="n"/>
      <c r="E71" s="24" t="n"/>
      <c r="F71" s="24" t="n"/>
      <c r="G71" s="24" t="n"/>
      <c r="H71" s="24" t="n"/>
      <c r="I71" s="5" t="n"/>
      <c r="J71" s="24">
        <f>IF($I71="","",ROUND(1+($D71*(SUMIFS(OBJECT_CONDITIONS!$W:$W,OBJECT_CONDITIONS!$A:$A,$I71)-1))+($E71*(SUMIFS(OBJECT_CONDITIONS!$J:$J,OBJECT_CONDITIONS!$A:$A,$I71)-1))+($F71*(SUMIFS(OBJECT_CONDITIONS!$L:$L,OBJECT_CONDITIONS!$A:$A,$I71)-1))+($G71*(SUMIFS(OBJECT_CONDITIONS!$N:$N,OBJECT_CONDITIONS!$A:$A,$I71)-1))+($H71*(SUMIFS(OBJECT_CONDITIONS!$R:$R,OBJECT_CONDITIONS!$A:$A,$I71)-1)),3))</f>
        <v/>
      </c>
      <c r="K71" s="5" t="n"/>
    </row>
    <row r="72">
      <c r="A72" s="5" t="n"/>
      <c r="B72" s="5" t="n"/>
      <c r="C72" s="5" t="n"/>
      <c r="D72" s="24" t="n"/>
      <c r="E72" s="24" t="n"/>
      <c r="F72" s="24" t="n"/>
      <c r="G72" s="24" t="n"/>
      <c r="H72" s="24" t="n"/>
      <c r="I72" s="5" t="n"/>
      <c r="J72" s="24">
        <f>IF($I72="","",ROUND(1+($D72*(SUMIFS(OBJECT_CONDITIONS!$W:$W,OBJECT_CONDITIONS!$A:$A,$I72)-1))+($E72*(SUMIFS(OBJECT_CONDITIONS!$J:$J,OBJECT_CONDITIONS!$A:$A,$I72)-1))+($F72*(SUMIFS(OBJECT_CONDITIONS!$L:$L,OBJECT_CONDITIONS!$A:$A,$I72)-1))+($G72*(SUMIFS(OBJECT_CONDITIONS!$N:$N,OBJECT_CONDITIONS!$A:$A,$I72)-1))+($H72*(SUMIFS(OBJECT_CONDITIONS!$R:$R,OBJECT_CONDITIONS!$A:$A,$I72)-1)),3))</f>
        <v/>
      </c>
      <c r="K72" s="5" t="n"/>
    </row>
    <row r="73">
      <c r="A73" s="5" t="n"/>
      <c r="B73" s="5" t="n"/>
      <c r="C73" s="5" t="n"/>
      <c r="D73" s="24" t="n"/>
      <c r="E73" s="24" t="n"/>
      <c r="F73" s="24" t="n"/>
      <c r="G73" s="24" t="n"/>
      <c r="H73" s="24" t="n"/>
      <c r="I73" s="5" t="n"/>
      <c r="J73" s="24">
        <f>IF($I73="","",ROUND(1+($D73*(SUMIFS(OBJECT_CONDITIONS!$W:$W,OBJECT_CONDITIONS!$A:$A,$I73)-1))+($E73*(SUMIFS(OBJECT_CONDITIONS!$J:$J,OBJECT_CONDITIONS!$A:$A,$I73)-1))+($F73*(SUMIFS(OBJECT_CONDITIONS!$L:$L,OBJECT_CONDITIONS!$A:$A,$I73)-1))+($G73*(SUMIFS(OBJECT_CONDITIONS!$N:$N,OBJECT_CONDITIONS!$A:$A,$I73)-1))+($H73*(SUMIFS(OBJECT_CONDITIONS!$R:$R,OBJECT_CONDITIONS!$A:$A,$I73)-1)),3))</f>
        <v/>
      </c>
      <c r="K73" s="5" t="n"/>
    </row>
    <row r="74">
      <c r="A74" s="5" t="n"/>
      <c r="B74" s="5" t="n"/>
      <c r="C74" s="5" t="n"/>
      <c r="D74" s="24" t="n"/>
      <c r="E74" s="24" t="n"/>
      <c r="F74" s="24" t="n"/>
      <c r="G74" s="24" t="n"/>
      <c r="H74" s="24" t="n"/>
      <c r="I74" s="5" t="n"/>
      <c r="J74" s="24">
        <f>IF($I74="","",ROUND(1+($D74*(SUMIFS(OBJECT_CONDITIONS!$W:$W,OBJECT_CONDITIONS!$A:$A,$I74)-1))+($E74*(SUMIFS(OBJECT_CONDITIONS!$J:$J,OBJECT_CONDITIONS!$A:$A,$I74)-1))+($F74*(SUMIFS(OBJECT_CONDITIONS!$L:$L,OBJECT_CONDITIONS!$A:$A,$I74)-1))+($G74*(SUMIFS(OBJECT_CONDITIONS!$N:$N,OBJECT_CONDITIONS!$A:$A,$I74)-1))+($H74*(SUMIFS(OBJECT_CONDITIONS!$R:$R,OBJECT_CONDITIONS!$A:$A,$I74)-1)),3))</f>
        <v/>
      </c>
      <c r="K74" s="5" t="n"/>
    </row>
    <row r="75">
      <c r="A75" s="5" t="n"/>
      <c r="B75" s="5" t="n"/>
      <c r="C75" s="5" t="n"/>
      <c r="D75" s="24" t="n"/>
      <c r="E75" s="24" t="n"/>
      <c r="F75" s="24" t="n"/>
      <c r="G75" s="24" t="n"/>
      <c r="H75" s="24" t="n"/>
      <c r="I75" s="5" t="n"/>
      <c r="J75" s="24">
        <f>IF($I75="","",ROUND(1+($D75*(SUMIFS(OBJECT_CONDITIONS!$W:$W,OBJECT_CONDITIONS!$A:$A,$I75)-1))+($E75*(SUMIFS(OBJECT_CONDITIONS!$J:$J,OBJECT_CONDITIONS!$A:$A,$I75)-1))+($F75*(SUMIFS(OBJECT_CONDITIONS!$L:$L,OBJECT_CONDITIONS!$A:$A,$I75)-1))+($G75*(SUMIFS(OBJECT_CONDITIONS!$N:$N,OBJECT_CONDITIONS!$A:$A,$I75)-1))+($H75*(SUMIFS(OBJECT_CONDITIONS!$R:$R,OBJECT_CONDITIONS!$A:$A,$I75)-1)),3))</f>
        <v/>
      </c>
      <c r="K75" s="5" t="n"/>
    </row>
    <row r="76">
      <c r="A76" s="5" t="n"/>
      <c r="B76" s="5" t="n"/>
      <c r="C76" s="5" t="n"/>
      <c r="D76" s="24" t="n"/>
      <c r="E76" s="24" t="n"/>
      <c r="F76" s="24" t="n"/>
      <c r="G76" s="24" t="n"/>
      <c r="H76" s="24" t="n"/>
      <c r="I76" s="5" t="n"/>
      <c r="J76" s="24">
        <f>IF($I76="","",ROUND(1+($D76*(SUMIFS(OBJECT_CONDITIONS!$W:$W,OBJECT_CONDITIONS!$A:$A,$I76)-1))+($E76*(SUMIFS(OBJECT_CONDITIONS!$J:$J,OBJECT_CONDITIONS!$A:$A,$I76)-1))+($F76*(SUMIFS(OBJECT_CONDITIONS!$L:$L,OBJECT_CONDITIONS!$A:$A,$I76)-1))+($G76*(SUMIFS(OBJECT_CONDITIONS!$N:$N,OBJECT_CONDITIONS!$A:$A,$I76)-1))+($H76*(SUMIFS(OBJECT_CONDITIONS!$R:$R,OBJECT_CONDITIONS!$A:$A,$I76)-1)),3))</f>
        <v/>
      </c>
      <c r="K76" s="5" t="n"/>
    </row>
    <row r="77">
      <c r="A77" s="5" t="n"/>
      <c r="B77" s="5" t="n"/>
      <c r="C77" s="5" t="n"/>
      <c r="D77" s="24" t="n"/>
      <c r="E77" s="24" t="n"/>
      <c r="F77" s="24" t="n"/>
      <c r="G77" s="24" t="n"/>
      <c r="H77" s="24" t="n"/>
      <c r="I77" s="5" t="n"/>
      <c r="J77" s="24">
        <f>IF($I77="","",ROUND(1+($D77*(SUMIFS(OBJECT_CONDITIONS!$W:$W,OBJECT_CONDITIONS!$A:$A,$I77)-1))+($E77*(SUMIFS(OBJECT_CONDITIONS!$J:$J,OBJECT_CONDITIONS!$A:$A,$I77)-1))+($F77*(SUMIFS(OBJECT_CONDITIONS!$L:$L,OBJECT_CONDITIONS!$A:$A,$I77)-1))+($G77*(SUMIFS(OBJECT_CONDITIONS!$N:$N,OBJECT_CONDITIONS!$A:$A,$I77)-1))+($H77*(SUMIFS(OBJECT_CONDITIONS!$R:$R,OBJECT_CONDITIONS!$A:$A,$I77)-1)),3))</f>
        <v/>
      </c>
      <c r="K77" s="5" t="n"/>
    </row>
    <row r="78">
      <c r="A78" s="5" t="n"/>
      <c r="B78" s="5" t="n"/>
      <c r="C78" s="5" t="n"/>
      <c r="D78" s="24" t="n"/>
      <c r="E78" s="24" t="n"/>
      <c r="F78" s="24" t="n"/>
      <c r="G78" s="24" t="n"/>
      <c r="H78" s="24" t="n"/>
      <c r="I78" s="5" t="n"/>
      <c r="J78" s="24">
        <f>IF($I78="","",ROUND(1+($D78*(SUMIFS(OBJECT_CONDITIONS!$W:$W,OBJECT_CONDITIONS!$A:$A,$I78)-1))+($E78*(SUMIFS(OBJECT_CONDITIONS!$J:$J,OBJECT_CONDITIONS!$A:$A,$I78)-1))+($F78*(SUMIFS(OBJECT_CONDITIONS!$L:$L,OBJECT_CONDITIONS!$A:$A,$I78)-1))+($G78*(SUMIFS(OBJECT_CONDITIONS!$N:$N,OBJECT_CONDITIONS!$A:$A,$I78)-1))+($H78*(SUMIFS(OBJECT_CONDITIONS!$R:$R,OBJECT_CONDITIONS!$A:$A,$I78)-1)),3))</f>
        <v/>
      </c>
      <c r="K78" s="5" t="n"/>
    </row>
    <row r="79">
      <c r="A79" s="5" t="n"/>
      <c r="B79" s="5" t="n"/>
      <c r="C79" s="5" t="n"/>
      <c r="D79" s="24" t="n"/>
      <c r="E79" s="24" t="n"/>
      <c r="F79" s="24" t="n"/>
      <c r="G79" s="24" t="n"/>
      <c r="H79" s="24" t="n"/>
      <c r="I79" s="5" t="n"/>
      <c r="J79" s="24">
        <f>IF($I79="","",ROUND(1+($D79*(SUMIFS(OBJECT_CONDITIONS!$W:$W,OBJECT_CONDITIONS!$A:$A,$I79)-1))+($E79*(SUMIFS(OBJECT_CONDITIONS!$J:$J,OBJECT_CONDITIONS!$A:$A,$I79)-1))+($F79*(SUMIFS(OBJECT_CONDITIONS!$L:$L,OBJECT_CONDITIONS!$A:$A,$I79)-1))+($G79*(SUMIFS(OBJECT_CONDITIONS!$N:$N,OBJECT_CONDITIONS!$A:$A,$I79)-1))+($H79*(SUMIFS(OBJECT_CONDITIONS!$R:$R,OBJECT_CONDITIONS!$A:$A,$I79)-1)),3))</f>
        <v/>
      </c>
      <c r="K79" s="5" t="n"/>
    </row>
    <row r="80">
      <c r="A80" s="5" t="n"/>
      <c r="B80" s="5" t="n"/>
      <c r="C80" s="5" t="n"/>
      <c r="D80" s="24" t="n"/>
      <c r="E80" s="24" t="n"/>
      <c r="F80" s="24" t="n"/>
      <c r="G80" s="24" t="n"/>
      <c r="H80" s="24" t="n"/>
      <c r="I80" s="5" t="n"/>
      <c r="J80" s="24">
        <f>IF($I80="","",ROUND(1+($D80*(SUMIFS(OBJECT_CONDITIONS!$W:$W,OBJECT_CONDITIONS!$A:$A,$I80)-1))+($E80*(SUMIFS(OBJECT_CONDITIONS!$J:$J,OBJECT_CONDITIONS!$A:$A,$I80)-1))+($F80*(SUMIFS(OBJECT_CONDITIONS!$L:$L,OBJECT_CONDITIONS!$A:$A,$I80)-1))+($G80*(SUMIFS(OBJECT_CONDITIONS!$N:$N,OBJECT_CONDITIONS!$A:$A,$I80)-1))+($H80*(SUMIFS(OBJECT_CONDITIONS!$R:$R,OBJECT_CONDITIONS!$A:$A,$I80)-1)),3))</f>
        <v/>
      </c>
      <c r="K80" s="5" t="n"/>
    </row>
    <row r="81">
      <c r="A81" s="5" t="n"/>
      <c r="B81" s="5" t="n"/>
      <c r="C81" s="5" t="n"/>
      <c r="D81" s="24" t="n"/>
      <c r="E81" s="24" t="n"/>
      <c r="F81" s="24" t="n"/>
      <c r="G81" s="24" t="n"/>
      <c r="H81" s="24" t="n"/>
      <c r="I81" s="5" t="n"/>
      <c r="J81" s="24">
        <f>IF($I81="","",ROUND(1+($D81*(SUMIFS(OBJECT_CONDITIONS!$W:$W,OBJECT_CONDITIONS!$A:$A,$I81)-1))+($E81*(SUMIFS(OBJECT_CONDITIONS!$J:$J,OBJECT_CONDITIONS!$A:$A,$I81)-1))+($F81*(SUMIFS(OBJECT_CONDITIONS!$L:$L,OBJECT_CONDITIONS!$A:$A,$I81)-1))+($G81*(SUMIFS(OBJECT_CONDITIONS!$N:$N,OBJECT_CONDITIONS!$A:$A,$I81)-1))+($H81*(SUMIFS(OBJECT_CONDITIONS!$R:$R,OBJECT_CONDITIONS!$A:$A,$I81)-1)),3))</f>
        <v/>
      </c>
      <c r="K81" s="5" t="n"/>
    </row>
    <row r="82">
      <c r="A82" s="5" t="n"/>
      <c r="B82" s="5" t="n"/>
      <c r="C82" s="5" t="n"/>
      <c r="D82" s="24" t="n"/>
      <c r="E82" s="24" t="n"/>
      <c r="F82" s="24" t="n"/>
      <c r="G82" s="24" t="n"/>
      <c r="H82" s="24" t="n"/>
      <c r="I82" s="5" t="n"/>
      <c r="J82" s="24">
        <f>IF($I82="","",ROUND(1+($D82*(SUMIFS(OBJECT_CONDITIONS!$W:$W,OBJECT_CONDITIONS!$A:$A,$I82)-1))+($E82*(SUMIFS(OBJECT_CONDITIONS!$J:$J,OBJECT_CONDITIONS!$A:$A,$I82)-1))+($F82*(SUMIFS(OBJECT_CONDITIONS!$L:$L,OBJECT_CONDITIONS!$A:$A,$I82)-1))+($G82*(SUMIFS(OBJECT_CONDITIONS!$N:$N,OBJECT_CONDITIONS!$A:$A,$I82)-1))+($H82*(SUMIFS(OBJECT_CONDITIONS!$R:$R,OBJECT_CONDITIONS!$A:$A,$I82)-1)),3))</f>
        <v/>
      </c>
      <c r="K82" s="5" t="n"/>
    </row>
    <row r="83">
      <c r="A83" s="5" t="n"/>
      <c r="B83" s="5" t="n"/>
      <c r="C83" s="5" t="n"/>
      <c r="D83" s="24" t="n"/>
      <c r="E83" s="24" t="n"/>
      <c r="F83" s="24" t="n"/>
      <c r="G83" s="24" t="n"/>
      <c r="H83" s="24" t="n"/>
      <c r="I83" s="5" t="n"/>
      <c r="J83" s="24">
        <f>IF($I83="","",ROUND(1+($D83*(SUMIFS(OBJECT_CONDITIONS!$W:$W,OBJECT_CONDITIONS!$A:$A,$I83)-1))+($E83*(SUMIFS(OBJECT_CONDITIONS!$J:$J,OBJECT_CONDITIONS!$A:$A,$I83)-1))+($F83*(SUMIFS(OBJECT_CONDITIONS!$L:$L,OBJECT_CONDITIONS!$A:$A,$I83)-1))+($G83*(SUMIFS(OBJECT_CONDITIONS!$N:$N,OBJECT_CONDITIONS!$A:$A,$I83)-1))+($H83*(SUMIFS(OBJECT_CONDITIONS!$R:$R,OBJECT_CONDITIONS!$A:$A,$I83)-1)),3))</f>
        <v/>
      </c>
      <c r="K83" s="5" t="n"/>
    </row>
    <row r="84">
      <c r="A84" s="5" t="n"/>
      <c r="B84" s="5" t="n"/>
      <c r="C84" s="5" t="n"/>
      <c r="D84" s="24" t="n"/>
      <c r="E84" s="24" t="n"/>
      <c r="F84" s="24" t="n"/>
      <c r="G84" s="24" t="n"/>
      <c r="H84" s="24" t="n"/>
      <c r="I84" s="5" t="n"/>
      <c r="J84" s="24">
        <f>IF($I84="","",ROUND(1+($D84*(SUMIFS(OBJECT_CONDITIONS!$W:$W,OBJECT_CONDITIONS!$A:$A,$I84)-1))+($E84*(SUMIFS(OBJECT_CONDITIONS!$J:$J,OBJECT_CONDITIONS!$A:$A,$I84)-1))+($F84*(SUMIFS(OBJECT_CONDITIONS!$L:$L,OBJECT_CONDITIONS!$A:$A,$I84)-1))+($G84*(SUMIFS(OBJECT_CONDITIONS!$N:$N,OBJECT_CONDITIONS!$A:$A,$I84)-1))+($H84*(SUMIFS(OBJECT_CONDITIONS!$R:$R,OBJECT_CONDITIONS!$A:$A,$I84)-1)),3))</f>
        <v/>
      </c>
      <c r="K84" s="5" t="n"/>
    </row>
    <row r="85">
      <c r="A85" s="5" t="n"/>
      <c r="B85" s="5" t="n"/>
      <c r="C85" s="5" t="n"/>
      <c r="D85" s="24" t="n"/>
      <c r="E85" s="24" t="n"/>
      <c r="F85" s="24" t="n"/>
      <c r="G85" s="24" t="n"/>
      <c r="H85" s="24" t="n"/>
      <c r="I85" s="5" t="n"/>
      <c r="J85" s="24">
        <f>IF($I85="","",ROUND(1+($D85*(SUMIFS(OBJECT_CONDITIONS!$W:$W,OBJECT_CONDITIONS!$A:$A,$I85)-1))+($E85*(SUMIFS(OBJECT_CONDITIONS!$J:$J,OBJECT_CONDITIONS!$A:$A,$I85)-1))+($F85*(SUMIFS(OBJECT_CONDITIONS!$L:$L,OBJECT_CONDITIONS!$A:$A,$I85)-1))+($G85*(SUMIFS(OBJECT_CONDITIONS!$N:$N,OBJECT_CONDITIONS!$A:$A,$I85)-1))+($H85*(SUMIFS(OBJECT_CONDITIONS!$R:$R,OBJECT_CONDITIONS!$A:$A,$I85)-1)),3))</f>
        <v/>
      </c>
      <c r="K85" s="5" t="n"/>
    </row>
    <row r="86">
      <c r="A86" s="5" t="n"/>
      <c r="B86" s="5" t="n"/>
      <c r="C86" s="5" t="n"/>
      <c r="D86" s="24" t="n"/>
      <c r="E86" s="24" t="n"/>
      <c r="F86" s="24" t="n"/>
      <c r="G86" s="24" t="n"/>
      <c r="H86" s="24" t="n"/>
      <c r="I86" s="5" t="n"/>
      <c r="J86" s="24">
        <f>IF($I86="","",ROUND(1+($D86*(SUMIFS(OBJECT_CONDITIONS!$W:$W,OBJECT_CONDITIONS!$A:$A,$I86)-1))+($E86*(SUMIFS(OBJECT_CONDITIONS!$J:$J,OBJECT_CONDITIONS!$A:$A,$I86)-1))+($F86*(SUMIFS(OBJECT_CONDITIONS!$L:$L,OBJECT_CONDITIONS!$A:$A,$I86)-1))+($G86*(SUMIFS(OBJECT_CONDITIONS!$N:$N,OBJECT_CONDITIONS!$A:$A,$I86)-1))+($H86*(SUMIFS(OBJECT_CONDITIONS!$R:$R,OBJECT_CONDITIONS!$A:$A,$I86)-1)),3))</f>
        <v/>
      </c>
      <c r="K86" s="5" t="n"/>
    </row>
    <row r="87">
      <c r="A87" s="5" t="n"/>
      <c r="B87" s="5" t="n"/>
      <c r="C87" s="5" t="n"/>
      <c r="D87" s="24" t="n"/>
      <c r="E87" s="24" t="n"/>
      <c r="F87" s="24" t="n"/>
      <c r="G87" s="24" t="n"/>
      <c r="H87" s="24" t="n"/>
      <c r="I87" s="5" t="n"/>
      <c r="J87" s="24">
        <f>IF($I87="","",ROUND(1+($D87*(SUMIFS(OBJECT_CONDITIONS!$W:$W,OBJECT_CONDITIONS!$A:$A,$I87)-1))+($E87*(SUMIFS(OBJECT_CONDITIONS!$J:$J,OBJECT_CONDITIONS!$A:$A,$I87)-1))+($F87*(SUMIFS(OBJECT_CONDITIONS!$L:$L,OBJECT_CONDITIONS!$A:$A,$I87)-1))+($G87*(SUMIFS(OBJECT_CONDITIONS!$N:$N,OBJECT_CONDITIONS!$A:$A,$I87)-1))+($H87*(SUMIFS(OBJECT_CONDITIONS!$R:$R,OBJECT_CONDITIONS!$A:$A,$I87)-1)),3))</f>
        <v/>
      </c>
      <c r="K87" s="5" t="n"/>
    </row>
    <row r="88">
      <c r="A88" s="5" t="n"/>
      <c r="B88" s="5" t="n"/>
      <c r="C88" s="5" t="n"/>
      <c r="D88" s="24" t="n"/>
      <c r="E88" s="24" t="n"/>
      <c r="F88" s="24" t="n"/>
      <c r="G88" s="24" t="n"/>
      <c r="H88" s="24" t="n"/>
      <c r="I88" s="5" t="n"/>
      <c r="J88" s="24">
        <f>IF($I88="","",ROUND(1+($D88*(SUMIFS(OBJECT_CONDITIONS!$W:$W,OBJECT_CONDITIONS!$A:$A,$I88)-1))+($E88*(SUMIFS(OBJECT_CONDITIONS!$J:$J,OBJECT_CONDITIONS!$A:$A,$I88)-1))+($F88*(SUMIFS(OBJECT_CONDITIONS!$L:$L,OBJECT_CONDITIONS!$A:$A,$I88)-1))+($G88*(SUMIFS(OBJECT_CONDITIONS!$N:$N,OBJECT_CONDITIONS!$A:$A,$I88)-1))+($H88*(SUMIFS(OBJECT_CONDITIONS!$R:$R,OBJECT_CONDITIONS!$A:$A,$I88)-1)),3))</f>
        <v/>
      </c>
      <c r="K88" s="5" t="n"/>
    </row>
    <row r="89">
      <c r="A89" s="5" t="n"/>
      <c r="B89" s="5" t="n"/>
      <c r="C89" s="5" t="n"/>
      <c r="D89" s="24" t="n"/>
      <c r="E89" s="24" t="n"/>
      <c r="F89" s="24" t="n"/>
      <c r="G89" s="24" t="n"/>
      <c r="H89" s="24" t="n"/>
      <c r="I89" s="5" t="n"/>
      <c r="J89" s="24">
        <f>IF($I89="","",ROUND(1+($D89*(SUMIFS(OBJECT_CONDITIONS!$W:$W,OBJECT_CONDITIONS!$A:$A,$I89)-1))+($E89*(SUMIFS(OBJECT_CONDITIONS!$J:$J,OBJECT_CONDITIONS!$A:$A,$I89)-1))+($F89*(SUMIFS(OBJECT_CONDITIONS!$L:$L,OBJECT_CONDITIONS!$A:$A,$I89)-1))+($G89*(SUMIFS(OBJECT_CONDITIONS!$N:$N,OBJECT_CONDITIONS!$A:$A,$I89)-1))+($H89*(SUMIFS(OBJECT_CONDITIONS!$R:$R,OBJECT_CONDITIONS!$A:$A,$I89)-1)),3))</f>
        <v/>
      </c>
      <c r="K89" s="5" t="n"/>
    </row>
    <row r="90">
      <c r="A90" s="5" t="n"/>
      <c r="B90" s="5" t="n"/>
      <c r="C90" s="5" t="n"/>
      <c r="D90" s="24" t="n"/>
      <c r="E90" s="24" t="n"/>
      <c r="F90" s="24" t="n"/>
      <c r="G90" s="24" t="n"/>
      <c r="H90" s="24" t="n"/>
      <c r="I90" s="5" t="n"/>
      <c r="J90" s="24">
        <f>IF($I90="","",ROUND(1+($D90*(SUMIFS(OBJECT_CONDITIONS!$W:$W,OBJECT_CONDITIONS!$A:$A,$I90)-1))+($E90*(SUMIFS(OBJECT_CONDITIONS!$J:$J,OBJECT_CONDITIONS!$A:$A,$I90)-1))+($F90*(SUMIFS(OBJECT_CONDITIONS!$L:$L,OBJECT_CONDITIONS!$A:$A,$I90)-1))+($G90*(SUMIFS(OBJECT_CONDITIONS!$N:$N,OBJECT_CONDITIONS!$A:$A,$I90)-1))+($H90*(SUMIFS(OBJECT_CONDITIONS!$R:$R,OBJECT_CONDITIONS!$A:$A,$I90)-1)),3))</f>
        <v/>
      </c>
      <c r="K90" s="5" t="n"/>
    </row>
    <row r="91">
      <c r="A91" s="5" t="n"/>
      <c r="B91" s="5" t="n"/>
      <c r="C91" s="5" t="n"/>
      <c r="D91" s="24" t="n"/>
      <c r="E91" s="24" t="n"/>
      <c r="F91" s="24" t="n"/>
      <c r="G91" s="24" t="n"/>
      <c r="H91" s="24" t="n"/>
      <c r="I91" s="5" t="n"/>
      <c r="J91" s="24">
        <f>IF($I91="","",ROUND(1+($D91*(SUMIFS(OBJECT_CONDITIONS!$W:$W,OBJECT_CONDITIONS!$A:$A,$I91)-1))+($E91*(SUMIFS(OBJECT_CONDITIONS!$J:$J,OBJECT_CONDITIONS!$A:$A,$I91)-1))+($F91*(SUMIFS(OBJECT_CONDITIONS!$L:$L,OBJECT_CONDITIONS!$A:$A,$I91)-1))+($G91*(SUMIFS(OBJECT_CONDITIONS!$N:$N,OBJECT_CONDITIONS!$A:$A,$I91)-1))+($H91*(SUMIFS(OBJECT_CONDITIONS!$R:$R,OBJECT_CONDITIONS!$A:$A,$I91)-1)),3))</f>
        <v/>
      </c>
      <c r="K91" s="5" t="n"/>
    </row>
    <row r="92">
      <c r="A92" s="5" t="n"/>
      <c r="B92" s="5" t="n"/>
      <c r="C92" s="5" t="n"/>
      <c r="D92" s="24" t="n"/>
      <c r="E92" s="24" t="n"/>
      <c r="F92" s="24" t="n"/>
      <c r="G92" s="24" t="n"/>
      <c r="H92" s="24" t="n"/>
      <c r="I92" s="5" t="n"/>
      <c r="J92" s="24">
        <f>IF($I92="","",ROUND(1+($D92*(SUMIFS(OBJECT_CONDITIONS!$W:$W,OBJECT_CONDITIONS!$A:$A,$I92)-1))+($E92*(SUMIFS(OBJECT_CONDITIONS!$J:$J,OBJECT_CONDITIONS!$A:$A,$I92)-1))+($F92*(SUMIFS(OBJECT_CONDITIONS!$L:$L,OBJECT_CONDITIONS!$A:$A,$I92)-1))+($G92*(SUMIFS(OBJECT_CONDITIONS!$N:$N,OBJECT_CONDITIONS!$A:$A,$I92)-1))+($H92*(SUMIFS(OBJECT_CONDITIONS!$R:$R,OBJECT_CONDITIONS!$A:$A,$I92)-1)),3))</f>
        <v/>
      </c>
      <c r="K92" s="5" t="n"/>
    </row>
    <row r="93">
      <c r="A93" s="5" t="n"/>
      <c r="B93" s="5" t="n"/>
      <c r="C93" s="5" t="n"/>
      <c r="D93" s="24" t="n"/>
      <c r="E93" s="24" t="n"/>
      <c r="F93" s="24" t="n"/>
      <c r="G93" s="24" t="n"/>
      <c r="H93" s="24" t="n"/>
      <c r="I93" s="5" t="n"/>
      <c r="J93" s="24">
        <f>IF($I93="","",ROUND(1+($D93*(SUMIFS(OBJECT_CONDITIONS!$W:$W,OBJECT_CONDITIONS!$A:$A,$I93)-1))+($E93*(SUMIFS(OBJECT_CONDITIONS!$J:$J,OBJECT_CONDITIONS!$A:$A,$I93)-1))+($F93*(SUMIFS(OBJECT_CONDITIONS!$L:$L,OBJECT_CONDITIONS!$A:$A,$I93)-1))+($G93*(SUMIFS(OBJECT_CONDITIONS!$N:$N,OBJECT_CONDITIONS!$A:$A,$I93)-1))+($H93*(SUMIFS(OBJECT_CONDITIONS!$R:$R,OBJECT_CONDITIONS!$A:$A,$I93)-1)),3))</f>
        <v/>
      </c>
      <c r="K93" s="5" t="n"/>
    </row>
    <row r="94">
      <c r="A94" s="5" t="n"/>
      <c r="B94" s="5" t="n"/>
      <c r="C94" s="5" t="n"/>
      <c r="D94" s="24" t="n"/>
      <c r="E94" s="24" t="n"/>
      <c r="F94" s="24" t="n"/>
      <c r="G94" s="24" t="n"/>
      <c r="H94" s="24" t="n"/>
      <c r="I94" s="5" t="n"/>
      <c r="J94" s="24">
        <f>IF($I94="","",ROUND(1+($D94*(SUMIFS(OBJECT_CONDITIONS!$W:$W,OBJECT_CONDITIONS!$A:$A,$I94)-1))+($E94*(SUMIFS(OBJECT_CONDITIONS!$J:$J,OBJECT_CONDITIONS!$A:$A,$I94)-1))+($F94*(SUMIFS(OBJECT_CONDITIONS!$L:$L,OBJECT_CONDITIONS!$A:$A,$I94)-1))+($G94*(SUMIFS(OBJECT_CONDITIONS!$N:$N,OBJECT_CONDITIONS!$A:$A,$I94)-1))+($H94*(SUMIFS(OBJECT_CONDITIONS!$R:$R,OBJECT_CONDITIONS!$A:$A,$I94)-1)),3))</f>
        <v/>
      </c>
      <c r="K94" s="5" t="n"/>
    </row>
    <row r="95">
      <c r="A95" s="5" t="n"/>
      <c r="B95" s="5" t="n"/>
      <c r="C95" s="5" t="n"/>
      <c r="D95" s="24" t="n"/>
      <c r="E95" s="24" t="n"/>
      <c r="F95" s="24" t="n"/>
      <c r="G95" s="24" t="n"/>
      <c r="H95" s="24" t="n"/>
      <c r="I95" s="5" t="n"/>
      <c r="J95" s="24">
        <f>IF($I95="","",ROUND(1+($D95*(SUMIFS(OBJECT_CONDITIONS!$W:$W,OBJECT_CONDITIONS!$A:$A,$I95)-1))+($E95*(SUMIFS(OBJECT_CONDITIONS!$J:$J,OBJECT_CONDITIONS!$A:$A,$I95)-1))+($F95*(SUMIFS(OBJECT_CONDITIONS!$L:$L,OBJECT_CONDITIONS!$A:$A,$I95)-1))+($G95*(SUMIFS(OBJECT_CONDITIONS!$N:$N,OBJECT_CONDITIONS!$A:$A,$I95)-1))+($H95*(SUMIFS(OBJECT_CONDITIONS!$R:$R,OBJECT_CONDITIONS!$A:$A,$I95)-1)),3))</f>
        <v/>
      </c>
      <c r="K95" s="5" t="n"/>
    </row>
    <row r="96">
      <c r="A96" s="5" t="n"/>
      <c r="B96" s="5" t="n"/>
      <c r="C96" s="5" t="n"/>
      <c r="D96" s="24" t="n"/>
      <c r="E96" s="24" t="n"/>
      <c r="F96" s="24" t="n"/>
      <c r="G96" s="24" t="n"/>
      <c r="H96" s="24" t="n"/>
      <c r="I96" s="5" t="n"/>
      <c r="J96" s="24">
        <f>IF($I96="","",ROUND(1+($D96*(SUMIFS(OBJECT_CONDITIONS!$W:$W,OBJECT_CONDITIONS!$A:$A,$I96)-1))+($E96*(SUMIFS(OBJECT_CONDITIONS!$J:$J,OBJECT_CONDITIONS!$A:$A,$I96)-1))+($F96*(SUMIFS(OBJECT_CONDITIONS!$L:$L,OBJECT_CONDITIONS!$A:$A,$I96)-1))+($G96*(SUMIFS(OBJECT_CONDITIONS!$N:$N,OBJECT_CONDITIONS!$A:$A,$I96)-1))+($H96*(SUMIFS(OBJECT_CONDITIONS!$R:$R,OBJECT_CONDITIONS!$A:$A,$I96)-1)),3))</f>
        <v/>
      </c>
      <c r="K96" s="5" t="n"/>
    </row>
    <row r="97">
      <c r="A97" s="5" t="n"/>
      <c r="B97" s="5" t="n"/>
      <c r="C97" s="5" t="n"/>
      <c r="D97" s="24" t="n"/>
      <c r="E97" s="24" t="n"/>
      <c r="F97" s="24" t="n"/>
      <c r="G97" s="24" t="n"/>
      <c r="H97" s="24" t="n"/>
      <c r="I97" s="5" t="n"/>
      <c r="J97" s="24">
        <f>IF($I97="","",ROUND(1+($D97*(SUMIFS(OBJECT_CONDITIONS!$W:$W,OBJECT_CONDITIONS!$A:$A,$I97)-1))+($E97*(SUMIFS(OBJECT_CONDITIONS!$J:$J,OBJECT_CONDITIONS!$A:$A,$I97)-1))+($F97*(SUMIFS(OBJECT_CONDITIONS!$L:$L,OBJECT_CONDITIONS!$A:$A,$I97)-1))+($G97*(SUMIFS(OBJECT_CONDITIONS!$N:$N,OBJECT_CONDITIONS!$A:$A,$I97)-1))+($H97*(SUMIFS(OBJECT_CONDITIONS!$R:$R,OBJECT_CONDITIONS!$A:$A,$I97)-1)),3))</f>
        <v/>
      </c>
      <c r="K97" s="5" t="n"/>
    </row>
    <row r="98">
      <c r="A98" s="5" t="n"/>
      <c r="B98" s="5" t="n"/>
      <c r="C98" s="5" t="n"/>
      <c r="D98" s="24" t="n"/>
      <c r="E98" s="24" t="n"/>
      <c r="F98" s="24" t="n"/>
      <c r="G98" s="24" t="n"/>
      <c r="H98" s="24" t="n"/>
      <c r="I98" s="5" t="n"/>
      <c r="J98" s="24">
        <f>IF($I98="","",ROUND(1+($D98*(SUMIFS(OBJECT_CONDITIONS!$W:$W,OBJECT_CONDITIONS!$A:$A,$I98)-1))+($E98*(SUMIFS(OBJECT_CONDITIONS!$J:$J,OBJECT_CONDITIONS!$A:$A,$I98)-1))+($F98*(SUMIFS(OBJECT_CONDITIONS!$L:$L,OBJECT_CONDITIONS!$A:$A,$I98)-1))+($G98*(SUMIFS(OBJECT_CONDITIONS!$N:$N,OBJECT_CONDITIONS!$A:$A,$I98)-1))+($H98*(SUMIFS(OBJECT_CONDITIONS!$R:$R,OBJECT_CONDITIONS!$A:$A,$I98)-1)),3))</f>
        <v/>
      </c>
      <c r="K98" s="5" t="n"/>
    </row>
    <row r="99">
      <c r="A99" s="5" t="n"/>
      <c r="B99" s="5" t="n"/>
      <c r="C99" s="5" t="n"/>
      <c r="D99" s="24" t="n"/>
      <c r="E99" s="24" t="n"/>
      <c r="F99" s="24" t="n"/>
      <c r="G99" s="24" t="n"/>
      <c r="H99" s="24" t="n"/>
      <c r="I99" s="5" t="n"/>
      <c r="J99" s="24">
        <f>IF($I99="","",ROUND(1+($D99*(SUMIFS(OBJECT_CONDITIONS!$W:$W,OBJECT_CONDITIONS!$A:$A,$I99)-1))+($E99*(SUMIFS(OBJECT_CONDITIONS!$J:$J,OBJECT_CONDITIONS!$A:$A,$I99)-1))+($F99*(SUMIFS(OBJECT_CONDITIONS!$L:$L,OBJECT_CONDITIONS!$A:$A,$I99)-1))+($G99*(SUMIFS(OBJECT_CONDITIONS!$N:$N,OBJECT_CONDITIONS!$A:$A,$I99)-1))+($H99*(SUMIFS(OBJECT_CONDITIONS!$R:$R,OBJECT_CONDITIONS!$A:$A,$I99)-1)),3))</f>
        <v/>
      </c>
      <c r="K99" s="5" t="n"/>
    </row>
    <row r="100">
      <c r="A100" s="5" t="n"/>
      <c r="B100" s="5" t="n"/>
      <c r="C100" s="5" t="n"/>
      <c r="D100" s="24" t="n"/>
      <c r="E100" s="24" t="n"/>
      <c r="F100" s="24" t="n"/>
      <c r="G100" s="24" t="n"/>
      <c r="H100" s="24" t="n"/>
      <c r="I100" s="5" t="n"/>
      <c r="J100" s="24">
        <f>IF($I100="","",ROUND(1+($D100*(SUMIFS(OBJECT_CONDITIONS!$W:$W,OBJECT_CONDITIONS!$A:$A,$I100)-1))+($E100*(SUMIFS(OBJECT_CONDITIONS!$J:$J,OBJECT_CONDITIONS!$A:$A,$I100)-1))+($F100*(SUMIFS(OBJECT_CONDITIONS!$L:$L,OBJECT_CONDITIONS!$A:$A,$I100)-1))+($G100*(SUMIFS(OBJECT_CONDITIONS!$N:$N,OBJECT_CONDITIONS!$A:$A,$I100)-1))+($H100*(SUMIFS(OBJECT_CONDITIONS!$R:$R,OBJECT_CONDITIONS!$A:$A,$I100)-1)),3))</f>
        <v/>
      </c>
      <c r="K100" s="5" t="n"/>
    </row>
    <row r="101">
      <c r="A101" s="5" t="n"/>
      <c r="B101" s="5" t="n"/>
      <c r="C101" s="5" t="n"/>
      <c r="D101" s="24" t="n"/>
      <c r="E101" s="24" t="n"/>
      <c r="F101" s="24" t="n"/>
      <c r="G101" s="24" t="n"/>
      <c r="H101" s="24" t="n"/>
      <c r="I101" s="5" t="n"/>
      <c r="J101" s="24">
        <f>IF($I101="","",ROUND(1+($D101*(SUMIFS(OBJECT_CONDITIONS!$W:$W,OBJECT_CONDITIONS!$A:$A,$I101)-1))+($E101*(SUMIFS(OBJECT_CONDITIONS!$J:$J,OBJECT_CONDITIONS!$A:$A,$I101)-1))+($F101*(SUMIFS(OBJECT_CONDITIONS!$L:$L,OBJECT_CONDITIONS!$A:$A,$I101)-1))+($G101*(SUMIFS(OBJECT_CONDITIONS!$N:$N,OBJECT_CONDITIONS!$A:$A,$I101)-1))+($H101*(SUMIFS(OBJECT_CONDITIONS!$R:$R,OBJECT_CONDITIONS!$A:$A,$I101)-1)),3))</f>
        <v/>
      </c>
      <c r="K101" s="5" t="n"/>
    </row>
    <row r="102">
      <c r="A102" s="5" t="n"/>
      <c r="B102" s="5" t="n"/>
      <c r="C102" s="5" t="n"/>
      <c r="D102" s="24" t="n"/>
      <c r="E102" s="24" t="n"/>
      <c r="F102" s="24" t="n"/>
      <c r="G102" s="24" t="n"/>
      <c r="H102" s="24" t="n"/>
      <c r="I102" s="5" t="n"/>
      <c r="J102" s="24">
        <f>IF($I102="","",ROUND(1+($D102*(SUMIFS(OBJECT_CONDITIONS!$W:$W,OBJECT_CONDITIONS!$A:$A,$I102)-1))+($E102*(SUMIFS(OBJECT_CONDITIONS!$J:$J,OBJECT_CONDITIONS!$A:$A,$I102)-1))+($F102*(SUMIFS(OBJECT_CONDITIONS!$L:$L,OBJECT_CONDITIONS!$A:$A,$I102)-1))+($G102*(SUMIFS(OBJECT_CONDITIONS!$N:$N,OBJECT_CONDITIONS!$A:$A,$I102)-1))+($H102*(SUMIFS(OBJECT_CONDITIONS!$R:$R,OBJECT_CONDITIONS!$A:$A,$I102)-1)),3))</f>
        <v/>
      </c>
      <c r="K102" s="5" t="n"/>
    </row>
    <row r="103">
      <c r="A103" s="5" t="n"/>
      <c r="B103" s="5" t="n"/>
      <c r="C103" s="5" t="n"/>
      <c r="D103" s="24" t="n"/>
      <c r="E103" s="24" t="n"/>
      <c r="F103" s="24" t="n"/>
      <c r="G103" s="24" t="n"/>
      <c r="H103" s="24" t="n"/>
      <c r="I103" s="5" t="n"/>
      <c r="J103" s="24">
        <f>IF($I103="","",ROUND(1+($D103*(SUMIFS(OBJECT_CONDITIONS!$W:$W,OBJECT_CONDITIONS!$A:$A,$I103)-1))+($E103*(SUMIFS(OBJECT_CONDITIONS!$J:$J,OBJECT_CONDITIONS!$A:$A,$I103)-1))+($F103*(SUMIFS(OBJECT_CONDITIONS!$L:$L,OBJECT_CONDITIONS!$A:$A,$I103)-1))+($G103*(SUMIFS(OBJECT_CONDITIONS!$N:$N,OBJECT_CONDITIONS!$A:$A,$I103)-1))+($H103*(SUMIFS(OBJECT_CONDITIONS!$R:$R,OBJECT_CONDITIONS!$A:$A,$I103)-1)),3))</f>
        <v/>
      </c>
      <c r="K103" s="5" t="n"/>
    </row>
    <row r="104">
      <c r="A104" s="5" t="n"/>
      <c r="B104" s="5" t="n"/>
      <c r="C104" s="5" t="n"/>
      <c r="D104" s="24" t="n"/>
      <c r="E104" s="24" t="n"/>
      <c r="F104" s="24" t="n"/>
      <c r="G104" s="24" t="n"/>
      <c r="H104" s="24" t="n"/>
      <c r="I104" s="5" t="n"/>
      <c r="J104" s="24">
        <f>IF($I104="","",ROUND(1+($D104*(SUMIFS(OBJECT_CONDITIONS!$W:$W,OBJECT_CONDITIONS!$A:$A,$I104)-1))+($E104*(SUMIFS(OBJECT_CONDITIONS!$J:$J,OBJECT_CONDITIONS!$A:$A,$I104)-1))+($F104*(SUMIFS(OBJECT_CONDITIONS!$L:$L,OBJECT_CONDITIONS!$A:$A,$I104)-1))+($G104*(SUMIFS(OBJECT_CONDITIONS!$N:$N,OBJECT_CONDITIONS!$A:$A,$I104)-1))+($H104*(SUMIFS(OBJECT_CONDITIONS!$R:$R,OBJECT_CONDITIONS!$A:$A,$I104)-1)),3))</f>
        <v/>
      </c>
      <c r="K104" s="5" t="n"/>
    </row>
    <row r="105">
      <c r="A105" s="5" t="n"/>
      <c r="B105" s="5" t="n"/>
      <c r="C105" s="5" t="n"/>
      <c r="D105" s="24" t="n"/>
      <c r="E105" s="24" t="n"/>
      <c r="F105" s="24" t="n"/>
      <c r="G105" s="24" t="n"/>
      <c r="H105" s="24" t="n"/>
      <c r="I105" s="5" t="n"/>
      <c r="J105" s="24">
        <f>IF($I105="","",ROUND(1+($D105*(SUMIFS(OBJECT_CONDITIONS!$W:$W,OBJECT_CONDITIONS!$A:$A,$I105)-1))+($E105*(SUMIFS(OBJECT_CONDITIONS!$J:$J,OBJECT_CONDITIONS!$A:$A,$I105)-1))+($F105*(SUMIFS(OBJECT_CONDITIONS!$L:$L,OBJECT_CONDITIONS!$A:$A,$I105)-1))+($G105*(SUMIFS(OBJECT_CONDITIONS!$N:$N,OBJECT_CONDITIONS!$A:$A,$I105)-1))+($H105*(SUMIFS(OBJECT_CONDITIONS!$R:$R,OBJECT_CONDITIONS!$A:$A,$I105)-1)),3))</f>
        <v/>
      </c>
      <c r="K105" s="5" t="n"/>
    </row>
    <row r="106">
      <c r="A106" s="5" t="n"/>
      <c r="B106" s="5" t="n"/>
      <c r="C106" s="5" t="n"/>
      <c r="D106" s="24" t="n"/>
      <c r="E106" s="24" t="n"/>
      <c r="F106" s="24" t="n"/>
      <c r="G106" s="24" t="n"/>
      <c r="H106" s="24" t="n"/>
      <c r="I106" s="5" t="n"/>
      <c r="J106" s="24">
        <f>IF($I106="","",ROUND(1+($D106*(SUMIFS(OBJECT_CONDITIONS!$W:$W,OBJECT_CONDITIONS!$A:$A,$I106)-1))+($E106*(SUMIFS(OBJECT_CONDITIONS!$J:$J,OBJECT_CONDITIONS!$A:$A,$I106)-1))+($F106*(SUMIFS(OBJECT_CONDITIONS!$L:$L,OBJECT_CONDITIONS!$A:$A,$I106)-1))+($G106*(SUMIFS(OBJECT_CONDITIONS!$N:$N,OBJECT_CONDITIONS!$A:$A,$I106)-1))+($H106*(SUMIFS(OBJECT_CONDITIONS!$R:$R,OBJECT_CONDITIONS!$A:$A,$I106)-1)),3))</f>
        <v/>
      </c>
      <c r="K106" s="5" t="n"/>
    </row>
    <row r="107">
      <c r="A107" s="5" t="n"/>
      <c r="B107" s="5" t="n"/>
      <c r="C107" s="5" t="n"/>
      <c r="D107" s="24" t="n"/>
      <c r="E107" s="24" t="n"/>
      <c r="F107" s="24" t="n"/>
      <c r="G107" s="24" t="n"/>
      <c r="H107" s="24" t="n"/>
      <c r="I107" s="5" t="n"/>
      <c r="J107" s="24">
        <f>IF($I107="","",ROUND(1+($D107*(SUMIFS(OBJECT_CONDITIONS!$W:$W,OBJECT_CONDITIONS!$A:$A,$I107)-1))+($E107*(SUMIFS(OBJECT_CONDITIONS!$J:$J,OBJECT_CONDITIONS!$A:$A,$I107)-1))+($F107*(SUMIFS(OBJECT_CONDITIONS!$L:$L,OBJECT_CONDITIONS!$A:$A,$I107)-1))+($G107*(SUMIFS(OBJECT_CONDITIONS!$N:$N,OBJECT_CONDITIONS!$A:$A,$I107)-1))+($H107*(SUMIFS(OBJECT_CONDITIONS!$R:$R,OBJECT_CONDITIONS!$A:$A,$I107)-1)),3))</f>
        <v/>
      </c>
      <c r="K107" s="5" t="n"/>
    </row>
    <row r="108">
      <c r="A108" s="5" t="n"/>
      <c r="B108" s="5" t="n"/>
      <c r="C108" s="5" t="n"/>
      <c r="D108" s="24" t="n"/>
      <c r="E108" s="24" t="n"/>
      <c r="F108" s="24" t="n"/>
      <c r="G108" s="24" t="n"/>
      <c r="H108" s="24" t="n"/>
      <c r="I108" s="5" t="n"/>
      <c r="J108" s="24">
        <f>IF($I108="","",ROUND(1+($D108*(SUMIFS(OBJECT_CONDITIONS!$W:$W,OBJECT_CONDITIONS!$A:$A,$I108)-1))+($E108*(SUMIFS(OBJECT_CONDITIONS!$J:$J,OBJECT_CONDITIONS!$A:$A,$I108)-1))+($F108*(SUMIFS(OBJECT_CONDITIONS!$L:$L,OBJECT_CONDITIONS!$A:$A,$I108)-1))+($G108*(SUMIFS(OBJECT_CONDITIONS!$N:$N,OBJECT_CONDITIONS!$A:$A,$I108)-1))+($H108*(SUMIFS(OBJECT_CONDITIONS!$R:$R,OBJECT_CONDITIONS!$A:$A,$I108)-1)),3))</f>
        <v/>
      </c>
      <c r="K108" s="5" t="n"/>
    </row>
    <row r="109">
      <c r="A109" s="5" t="n"/>
      <c r="B109" s="5" t="n"/>
      <c r="C109" s="5" t="n"/>
      <c r="D109" s="24" t="n"/>
      <c r="E109" s="24" t="n"/>
      <c r="F109" s="24" t="n"/>
      <c r="G109" s="24" t="n"/>
      <c r="H109" s="24" t="n"/>
      <c r="I109" s="5" t="n"/>
      <c r="J109" s="24">
        <f>IF($I109="","",ROUND(1+($D109*(SUMIFS(OBJECT_CONDITIONS!$W:$W,OBJECT_CONDITIONS!$A:$A,$I109)-1))+($E109*(SUMIFS(OBJECT_CONDITIONS!$J:$J,OBJECT_CONDITIONS!$A:$A,$I109)-1))+($F109*(SUMIFS(OBJECT_CONDITIONS!$L:$L,OBJECT_CONDITIONS!$A:$A,$I109)-1))+($G109*(SUMIFS(OBJECT_CONDITIONS!$N:$N,OBJECT_CONDITIONS!$A:$A,$I109)-1))+($H109*(SUMIFS(OBJECT_CONDITIONS!$R:$R,OBJECT_CONDITIONS!$A:$A,$I109)-1)),3))</f>
        <v/>
      </c>
      <c r="K109" s="5" t="n"/>
    </row>
    <row r="110">
      <c r="A110" s="5" t="n"/>
      <c r="B110" s="5" t="n"/>
      <c r="C110" s="5" t="n"/>
      <c r="D110" s="24" t="n"/>
      <c r="E110" s="24" t="n"/>
      <c r="F110" s="24" t="n"/>
      <c r="G110" s="24" t="n"/>
      <c r="H110" s="24" t="n"/>
      <c r="I110" s="5" t="n"/>
      <c r="J110" s="24">
        <f>IF($I110="","",ROUND(1+($D110*(SUMIFS(OBJECT_CONDITIONS!$W:$W,OBJECT_CONDITIONS!$A:$A,$I110)-1))+($E110*(SUMIFS(OBJECT_CONDITIONS!$J:$J,OBJECT_CONDITIONS!$A:$A,$I110)-1))+($F110*(SUMIFS(OBJECT_CONDITIONS!$L:$L,OBJECT_CONDITIONS!$A:$A,$I110)-1))+($G110*(SUMIFS(OBJECT_CONDITIONS!$N:$N,OBJECT_CONDITIONS!$A:$A,$I110)-1))+($H110*(SUMIFS(OBJECT_CONDITIONS!$R:$R,OBJECT_CONDITIONS!$A:$A,$I110)-1)),3))</f>
        <v/>
      </c>
      <c r="K110" s="5" t="n"/>
    </row>
    <row r="111">
      <c r="A111" s="5" t="n"/>
      <c r="B111" s="5" t="n"/>
      <c r="C111" s="5" t="n"/>
      <c r="D111" s="24" t="n"/>
      <c r="E111" s="24" t="n"/>
      <c r="F111" s="24" t="n"/>
      <c r="G111" s="24" t="n"/>
      <c r="H111" s="24" t="n"/>
      <c r="I111" s="5" t="n"/>
      <c r="J111" s="24">
        <f>IF($I111="","",ROUND(1+($D111*(SUMIFS(OBJECT_CONDITIONS!$W:$W,OBJECT_CONDITIONS!$A:$A,$I111)-1))+($E111*(SUMIFS(OBJECT_CONDITIONS!$J:$J,OBJECT_CONDITIONS!$A:$A,$I111)-1))+($F111*(SUMIFS(OBJECT_CONDITIONS!$L:$L,OBJECT_CONDITIONS!$A:$A,$I111)-1))+($G111*(SUMIFS(OBJECT_CONDITIONS!$N:$N,OBJECT_CONDITIONS!$A:$A,$I111)-1))+($H111*(SUMIFS(OBJECT_CONDITIONS!$R:$R,OBJECT_CONDITIONS!$A:$A,$I111)-1)),3))</f>
        <v/>
      </c>
      <c r="K111" s="5" t="n"/>
    </row>
    <row r="112">
      <c r="A112" s="5" t="n"/>
      <c r="B112" s="5" t="n"/>
      <c r="C112" s="5" t="n"/>
      <c r="D112" s="24" t="n"/>
      <c r="E112" s="24" t="n"/>
      <c r="F112" s="24" t="n"/>
      <c r="G112" s="24" t="n"/>
      <c r="H112" s="24" t="n"/>
      <c r="I112" s="5" t="n"/>
      <c r="J112" s="24">
        <f>IF($I112="","",ROUND(1+($D112*(SUMIFS(OBJECT_CONDITIONS!$W:$W,OBJECT_CONDITIONS!$A:$A,$I112)-1))+($E112*(SUMIFS(OBJECT_CONDITIONS!$J:$J,OBJECT_CONDITIONS!$A:$A,$I112)-1))+($F112*(SUMIFS(OBJECT_CONDITIONS!$L:$L,OBJECT_CONDITIONS!$A:$A,$I112)-1))+($G112*(SUMIFS(OBJECT_CONDITIONS!$N:$N,OBJECT_CONDITIONS!$A:$A,$I112)-1))+($H112*(SUMIFS(OBJECT_CONDITIONS!$R:$R,OBJECT_CONDITIONS!$A:$A,$I112)-1)),3))</f>
        <v/>
      </c>
      <c r="K112" s="5" t="n"/>
    </row>
    <row r="113">
      <c r="A113" s="5" t="n"/>
      <c r="B113" s="5" t="n"/>
      <c r="C113" s="5" t="n"/>
      <c r="D113" s="24" t="n"/>
      <c r="E113" s="24" t="n"/>
      <c r="F113" s="24" t="n"/>
      <c r="G113" s="24" t="n"/>
      <c r="H113" s="24" t="n"/>
      <c r="I113" s="5" t="n"/>
      <c r="J113" s="24">
        <f>IF($I113="","",ROUND(1+($D113*(SUMIFS(OBJECT_CONDITIONS!$W:$W,OBJECT_CONDITIONS!$A:$A,$I113)-1))+($E113*(SUMIFS(OBJECT_CONDITIONS!$J:$J,OBJECT_CONDITIONS!$A:$A,$I113)-1))+($F113*(SUMIFS(OBJECT_CONDITIONS!$L:$L,OBJECT_CONDITIONS!$A:$A,$I113)-1))+($G113*(SUMIFS(OBJECT_CONDITIONS!$N:$N,OBJECT_CONDITIONS!$A:$A,$I113)-1))+($H113*(SUMIFS(OBJECT_CONDITIONS!$R:$R,OBJECT_CONDITIONS!$A:$A,$I113)-1)),3))</f>
        <v/>
      </c>
      <c r="K113" s="5" t="n"/>
    </row>
    <row r="114">
      <c r="A114" s="5" t="n"/>
      <c r="B114" s="5" t="n"/>
      <c r="C114" s="5" t="n"/>
      <c r="D114" s="24" t="n"/>
      <c r="E114" s="24" t="n"/>
      <c r="F114" s="24" t="n"/>
      <c r="G114" s="24" t="n"/>
      <c r="H114" s="24" t="n"/>
      <c r="I114" s="5" t="n"/>
      <c r="J114" s="24">
        <f>IF($I114="","",ROUND(1+($D114*(SUMIFS(OBJECT_CONDITIONS!$W:$W,OBJECT_CONDITIONS!$A:$A,$I114)-1))+($E114*(SUMIFS(OBJECT_CONDITIONS!$J:$J,OBJECT_CONDITIONS!$A:$A,$I114)-1))+($F114*(SUMIFS(OBJECT_CONDITIONS!$L:$L,OBJECT_CONDITIONS!$A:$A,$I114)-1))+($G114*(SUMIFS(OBJECT_CONDITIONS!$N:$N,OBJECT_CONDITIONS!$A:$A,$I114)-1))+($H114*(SUMIFS(OBJECT_CONDITIONS!$R:$R,OBJECT_CONDITIONS!$A:$A,$I114)-1)),3))</f>
        <v/>
      </c>
      <c r="K114" s="5" t="n"/>
    </row>
    <row r="115">
      <c r="A115" s="5" t="n"/>
      <c r="B115" s="5" t="n"/>
      <c r="C115" s="5" t="n"/>
      <c r="D115" s="24" t="n"/>
      <c r="E115" s="24" t="n"/>
      <c r="F115" s="24" t="n"/>
      <c r="G115" s="24" t="n"/>
      <c r="H115" s="24" t="n"/>
      <c r="I115" s="5" t="n"/>
      <c r="J115" s="24">
        <f>IF($I115="","",ROUND(1+($D115*(SUMIFS(OBJECT_CONDITIONS!$W:$W,OBJECT_CONDITIONS!$A:$A,$I115)-1))+($E115*(SUMIFS(OBJECT_CONDITIONS!$J:$J,OBJECT_CONDITIONS!$A:$A,$I115)-1))+($F115*(SUMIFS(OBJECT_CONDITIONS!$L:$L,OBJECT_CONDITIONS!$A:$A,$I115)-1))+($G115*(SUMIFS(OBJECT_CONDITIONS!$N:$N,OBJECT_CONDITIONS!$A:$A,$I115)-1))+($H115*(SUMIFS(OBJECT_CONDITIONS!$R:$R,OBJECT_CONDITIONS!$A:$A,$I115)-1)),3))</f>
        <v/>
      </c>
      <c r="K115" s="5" t="n"/>
    </row>
    <row r="116">
      <c r="A116" s="5" t="n"/>
      <c r="B116" s="5" t="n"/>
      <c r="C116" s="5" t="n"/>
      <c r="D116" s="24" t="n"/>
      <c r="E116" s="24" t="n"/>
      <c r="F116" s="24" t="n"/>
      <c r="G116" s="24" t="n"/>
      <c r="H116" s="24" t="n"/>
      <c r="I116" s="5" t="n"/>
      <c r="J116" s="24">
        <f>IF($I116="","",ROUND(1+($D116*(SUMIFS(OBJECT_CONDITIONS!$W:$W,OBJECT_CONDITIONS!$A:$A,$I116)-1))+($E116*(SUMIFS(OBJECT_CONDITIONS!$J:$J,OBJECT_CONDITIONS!$A:$A,$I116)-1))+($F116*(SUMIFS(OBJECT_CONDITIONS!$L:$L,OBJECT_CONDITIONS!$A:$A,$I116)-1))+($G116*(SUMIFS(OBJECT_CONDITIONS!$N:$N,OBJECT_CONDITIONS!$A:$A,$I116)-1))+($H116*(SUMIFS(OBJECT_CONDITIONS!$R:$R,OBJECT_CONDITIONS!$A:$A,$I116)-1)),3))</f>
        <v/>
      </c>
      <c r="K116" s="5" t="n"/>
    </row>
    <row r="117">
      <c r="A117" s="5" t="n"/>
      <c r="B117" s="5" t="n"/>
      <c r="C117" s="5" t="n"/>
      <c r="D117" s="24" t="n"/>
      <c r="E117" s="24" t="n"/>
      <c r="F117" s="24" t="n"/>
      <c r="G117" s="24" t="n"/>
      <c r="H117" s="24" t="n"/>
      <c r="I117" s="5" t="n"/>
      <c r="J117" s="24">
        <f>IF($I117="","",ROUND(1+($D117*(SUMIFS(OBJECT_CONDITIONS!$W:$W,OBJECT_CONDITIONS!$A:$A,$I117)-1))+($E117*(SUMIFS(OBJECT_CONDITIONS!$J:$J,OBJECT_CONDITIONS!$A:$A,$I117)-1))+($F117*(SUMIFS(OBJECT_CONDITIONS!$L:$L,OBJECT_CONDITIONS!$A:$A,$I117)-1))+($G117*(SUMIFS(OBJECT_CONDITIONS!$N:$N,OBJECT_CONDITIONS!$A:$A,$I117)-1))+($H117*(SUMIFS(OBJECT_CONDITIONS!$R:$R,OBJECT_CONDITIONS!$A:$A,$I117)-1)),3))</f>
        <v/>
      </c>
      <c r="K117" s="5" t="n"/>
    </row>
    <row r="118">
      <c r="A118" s="5" t="n"/>
      <c r="B118" s="5" t="n"/>
      <c r="C118" s="5" t="n"/>
      <c r="D118" s="24" t="n"/>
      <c r="E118" s="24" t="n"/>
      <c r="F118" s="24" t="n"/>
      <c r="G118" s="24" t="n"/>
      <c r="H118" s="24" t="n"/>
      <c r="I118" s="5" t="n"/>
      <c r="J118" s="24">
        <f>IF($I118="","",ROUND(1+($D118*(SUMIFS(OBJECT_CONDITIONS!$W:$W,OBJECT_CONDITIONS!$A:$A,$I118)-1))+($E118*(SUMIFS(OBJECT_CONDITIONS!$J:$J,OBJECT_CONDITIONS!$A:$A,$I118)-1))+($F118*(SUMIFS(OBJECT_CONDITIONS!$L:$L,OBJECT_CONDITIONS!$A:$A,$I118)-1))+($G118*(SUMIFS(OBJECT_CONDITIONS!$N:$N,OBJECT_CONDITIONS!$A:$A,$I118)-1))+($H118*(SUMIFS(OBJECT_CONDITIONS!$R:$R,OBJECT_CONDITIONS!$A:$A,$I118)-1)),3))</f>
        <v/>
      </c>
      <c r="K118" s="5" t="n"/>
    </row>
    <row r="119">
      <c r="A119" s="5" t="n"/>
      <c r="B119" s="5" t="n"/>
      <c r="C119" s="5" t="n"/>
      <c r="D119" s="24" t="n"/>
      <c r="E119" s="24" t="n"/>
      <c r="F119" s="24" t="n"/>
      <c r="G119" s="24" t="n"/>
      <c r="H119" s="24" t="n"/>
      <c r="I119" s="5" t="n"/>
      <c r="J119" s="24">
        <f>IF($I119="","",ROUND(1+($D119*(SUMIFS(OBJECT_CONDITIONS!$W:$W,OBJECT_CONDITIONS!$A:$A,$I119)-1))+($E119*(SUMIFS(OBJECT_CONDITIONS!$J:$J,OBJECT_CONDITIONS!$A:$A,$I119)-1))+($F119*(SUMIFS(OBJECT_CONDITIONS!$L:$L,OBJECT_CONDITIONS!$A:$A,$I119)-1))+($G119*(SUMIFS(OBJECT_CONDITIONS!$N:$N,OBJECT_CONDITIONS!$A:$A,$I119)-1))+($H119*(SUMIFS(OBJECT_CONDITIONS!$R:$R,OBJECT_CONDITIONS!$A:$A,$I119)-1)),3))</f>
        <v/>
      </c>
      <c r="K119" s="5" t="n"/>
    </row>
    <row r="120">
      <c r="A120" s="5" t="n"/>
      <c r="B120" s="5" t="n"/>
      <c r="C120" s="5" t="n"/>
      <c r="D120" s="24" t="n"/>
      <c r="E120" s="24" t="n"/>
      <c r="F120" s="24" t="n"/>
      <c r="G120" s="24" t="n"/>
      <c r="H120" s="24" t="n"/>
      <c r="I120" s="5" t="n"/>
      <c r="J120" s="24">
        <f>IF($I120="","",ROUND(1+($D120*(SUMIFS(OBJECT_CONDITIONS!$W:$W,OBJECT_CONDITIONS!$A:$A,$I120)-1))+($E120*(SUMIFS(OBJECT_CONDITIONS!$J:$J,OBJECT_CONDITIONS!$A:$A,$I120)-1))+($F120*(SUMIFS(OBJECT_CONDITIONS!$L:$L,OBJECT_CONDITIONS!$A:$A,$I120)-1))+($G120*(SUMIFS(OBJECT_CONDITIONS!$N:$N,OBJECT_CONDITIONS!$A:$A,$I120)-1))+($H120*(SUMIFS(OBJECT_CONDITIONS!$R:$R,OBJECT_CONDITIONS!$A:$A,$I120)-1)),3))</f>
        <v/>
      </c>
      <c r="K120" s="5" t="n"/>
    </row>
    <row r="121">
      <c r="A121" s="5" t="n"/>
      <c r="B121" s="5" t="n"/>
      <c r="C121" s="5" t="n"/>
      <c r="D121" s="24" t="n"/>
      <c r="E121" s="24" t="n"/>
      <c r="F121" s="24" t="n"/>
      <c r="G121" s="24" t="n"/>
      <c r="H121" s="24" t="n"/>
      <c r="I121" s="5" t="n"/>
      <c r="J121" s="24">
        <f>IF($I121="","",ROUND(1+($D121*(SUMIFS(OBJECT_CONDITIONS!$W:$W,OBJECT_CONDITIONS!$A:$A,$I121)-1))+($E121*(SUMIFS(OBJECT_CONDITIONS!$J:$J,OBJECT_CONDITIONS!$A:$A,$I121)-1))+($F121*(SUMIFS(OBJECT_CONDITIONS!$L:$L,OBJECT_CONDITIONS!$A:$A,$I121)-1))+($G121*(SUMIFS(OBJECT_CONDITIONS!$N:$N,OBJECT_CONDITIONS!$A:$A,$I121)-1))+($H121*(SUMIFS(OBJECT_CONDITIONS!$R:$R,OBJECT_CONDITIONS!$A:$A,$I121)-1)),3))</f>
        <v/>
      </c>
      <c r="K121" s="5" t="n"/>
    </row>
    <row r="122">
      <c r="A122" s="5" t="n"/>
      <c r="B122" s="5" t="n"/>
      <c r="C122" s="5" t="n"/>
      <c r="D122" s="24" t="n"/>
      <c r="E122" s="24" t="n"/>
      <c r="F122" s="24" t="n"/>
      <c r="G122" s="24" t="n"/>
      <c r="H122" s="24" t="n"/>
      <c r="I122" s="5" t="n"/>
      <c r="J122" s="24">
        <f>IF($I122="","",ROUND(1+($D122*(SUMIFS(OBJECT_CONDITIONS!$W:$W,OBJECT_CONDITIONS!$A:$A,$I122)-1))+($E122*(SUMIFS(OBJECT_CONDITIONS!$J:$J,OBJECT_CONDITIONS!$A:$A,$I122)-1))+($F122*(SUMIFS(OBJECT_CONDITIONS!$L:$L,OBJECT_CONDITIONS!$A:$A,$I122)-1))+($G122*(SUMIFS(OBJECT_CONDITIONS!$N:$N,OBJECT_CONDITIONS!$A:$A,$I122)-1))+($H122*(SUMIFS(OBJECT_CONDITIONS!$R:$R,OBJECT_CONDITIONS!$A:$A,$I122)-1)),3))</f>
        <v/>
      </c>
      <c r="K122" s="5" t="n"/>
    </row>
    <row r="123">
      <c r="A123" s="5" t="n"/>
      <c r="B123" s="5" t="n"/>
      <c r="C123" s="5" t="n"/>
      <c r="D123" s="24" t="n"/>
      <c r="E123" s="24" t="n"/>
      <c r="F123" s="24" t="n"/>
      <c r="G123" s="24" t="n"/>
      <c r="H123" s="24" t="n"/>
      <c r="I123" s="5" t="n"/>
      <c r="J123" s="24">
        <f>IF($I123="","",ROUND(1+($D123*(SUMIFS(OBJECT_CONDITIONS!$W:$W,OBJECT_CONDITIONS!$A:$A,$I123)-1))+($E123*(SUMIFS(OBJECT_CONDITIONS!$J:$J,OBJECT_CONDITIONS!$A:$A,$I123)-1))+($F123*(SUMIFS(OBJECT_CONDITIONS!$L:$L,OBJECT_CONDITIONS!$A:$A,$I123)-1))+($G123*(SUMIFS(OBJECT_CONDITIONS!$N:$N,OBJECT_CONDITIONS!$A:$A,$I123)-1))+($H123*(SUMIFS(OBJECT_CONDITIONS!$R:$R,OBJECT_CONDITIONS!$A:$A,$I123)-1)),3))</f>
        <v/>
      </c>
      <c r="K123" s="5" t="n"/>
    </row>
    <row r="124">
      <c r="A124" s="5" t="n"/>
      <c r="B124" s="5" t="n"/>
      <c r="C124" s="5" t="n"/>
      <c r="D124" s="24" t="n"/>
      <c r="E124" s="24" t="n"/>
      <c r="F124" s="24" t="n"/>
      <c r="G124" s="24" t="n"/>
      <c r="H124" s="24" t="n"/>
      <c r="I124" s="5" t="n"/>
      <c r="J124" s="24">
        <f>IF($I124="","",ROUND(1+($D124*(SUMIFS(OBJECT_CONDITIONS!$W:$W,OBJECT_CONDITIONS!$A:$A,$I124)-1))+($E124*(SUMIFS(OBJECT_CONDITIONS!$J:$J,OBJECT_CONDITIONS!$A:$A,$I124)-1))+($F124*(SUMIFS(OBJECT_CONDITIONS!$L:$L,OBJECT_CONDITIONS!$A:$A,$I124)-1))+($G124*(SUMIFS(OBJECT_CONDITIONS!$N:$N,OBJECT_CONDITIONS!$A:$A,$I124)-1))+($H124*(SUMIFS(OBJECT_CONDITIONS!$R:$R,OBJECT_CONDITIONS!$A:$A,$I124)-1)),3))</f>
        <v/>
      </c>
      <c r="K124" s="5" t="n"/>
    </row>
    <row r="125">
      <c r="A125" s="5" t="n"/>
      <c r="B125" s="5" t="n"/>
      <c r="C125" s="5" t="n"/>
      <c r="D125" s="24" t="n"/>
      <c r="E125" s="24" t="n"/>
      <c r="F125" s="24" t="n"/>
      <c r="G125" s="24" t="n"/>
      <c r="H125" s="24" t="n"/>
      <c r="I125" s="5" t="n"/>
      <c r="J125" s="24">
        <f>IF($I125="","",ROUND(1+($D125*(SUMIFS(OBJECT_CONDITIONS!$W:$W,OBJECT_CONDITIONS!$A:$A,$I125)-1))+($E125*(SUMIFS(OBJECT_CONDITIONS!$J:$J,OBJECT_CONDITIONS!$A:$A,$I125)-1))+($F125*(SUMIFS(OBJECT_CONDITIONS!$L:$L,OBJECT_CONDITIONS!$A:$A,$I125)-1))+($G125*(SUMIFS(OBJECT_CONDITIONS!$N:$N,OBJECT_CONDITIONS!$A:$A,$I125)-1))+($H125*(SUMIFS(OBJECT_CONDITIONS!$R:$R,OBJECT_CONDITIONS!$A:$A,$I125)-1)),3))</f>
        <v/>
      </c>
      <c r="K125" s="5" t="n"/>
    </row>
    <row r="126">
      <c r="A126" s="5" t="n"/>
      <c r="B126" s="5" t="n"/>
      <c r="C126" s="5" t="n"/>
      <c r="D126" s="24" t="n"/>
      <c r="E126" s="24" t="n"/>
      <c r="F126" s="24" t="n"/>
      <c r="G126" s="24" t="n"/>
      <c r="H126" s="24" t="n"/>
      <c r="I126" s="5" t="n"/>
      <c r="J126" s="24">
        <f>IF($I126="","",ROUND(1+($D126*(SUMIFS(OBJECT_CONDITIONS!$W:$W,OBJECT_CONDITIONS!$A:$A,$I126)-1))+($E126*(SUMIFS(OBJECT_CONDITIONS!$J:$J,OBJECT_CONDITIONS!$A:$A,$I126)-1))+($F126*(SUMIFS(OBJECT_CONDITIONS!$L:$L,OBJECT_CONDITIONS!$A:$A,$I126)-1))+($G126*(SUMIFS(OBJECT_CONDITIONS!$N:$N,OBJECT_CONDITIONS!$A:$A,$I126)-1))+($H126*(SUMIFS(OBJECT_CONDITIONS!$R:$R,OBJECT_CONDITIONS!$A:$A,$I126)-1)),3))</f>
        <v/>
      </c>
      <c r="K126" s="5" t="n"/>
    </row>
    <row r="127">
      <c r="A127" s="5" t="n"/>
      <c r="B127" s="5" t="n"/>
      <c r="C127" s="5" t="n"/>
      <c r="D127" s="24" t="n"/>
      <c r="E127" s="24" t="n"/>
      <c r="F127" s="24" t="n"/>
      <c r="G127" s="24" t="n"/>
      <c r="H127" s="24" t="n"/>
      <c r="I127" s="5" t="n"/>
      <c r="J127" s="24">
        <f>IF($I127="","",ROUND(1+($D127*(SUMIFS(OBJECT_CONDITIONS!$W:$W,OBJECT_CONDITIONS!$A:$A,$I127)-1))+($E127*(SUMIFS(OBJECT_CONDITIONS!$J:$J,OBJECT_CONDITIONS!$A:$A,$I127)-1))+($F127*(SUMIFS(OBJECT_CONDITIONS!$L:$L,OBJECT_CONDITIONS!$A:$A,$I127)-1))+($G127*(SUMIFS(OBJECT_CONDITIONS!$N:$N,OBJECT_CONDITIONS!$A:$A,$I127)-1))+($H127*(SUMIFS(OBJECT_CONDITIONS!$R:$R,OBJECT_CONDITIONS!$A:$A,$I127)-1)),3))</f>
        <v/>
      </c>
      <c r="K127" s="5" t="n"/>
    </row>
    <row r="128">
      <c r="A128" s="5" t="n"/>
      <c r="B128" s="5" t="n"/>
      <c r="C128" s="5" t="n"/>
      <c r="D128" s="24" t="n"/>
      <c r="E128" s="24" t="n"/>
      <c r="F128" s="24" t="n"/>
      <c r="G128" s="24" t="n"/>
      <c r="H128" s="24" t="n"/>
      <c r="I128" s="5" t="n"/>
      <c r="J128" s="24">
        <f>IF($I128="","",ROUND(1+($D128*(SUMIFS(OBJECT_CONDITIONS!$W:$W,OBJECT_CONDITIONS!$A:$A,$I128)-1))+($E128*(SUMIFS(OBJECT_CONDITIONS!$J:$J,OBJECT_CONDITIONS!$A:$A,$I128)-1))+($F128*(SUMIFS(OBJECT_CONDITIONS!$L:$L,OBJECT_CONDITIONS!$A:$A,$I128)-1))+($G128*(SUMIFS(OBJECT_CONDITIONS!$N:$N,OBJECT_CONDITIONS!$A:$A,$I128)-1))+($H128*(SUMIFS(OBJECT_CONDITIONS!$R:$R,OBJECT_CONDITIONS!$A:$A,$I128)-1)),3))</f>
        <v/>
      </c>
      <c r="K128" s="5" t="n"/>
    </row>
    <row r="129">
      <c r="A129" s="5" t="n"/>
      <c r="B129" s="5" t="n"/>
      <c r="C129" s="5" t="n"/>
      <c r="D129" s="24" t="n"/>
      <c r="E129" s="24" t="n"/>
      <c r="F129" s="24" t="n"/>
      <c r="G129" s="24" t="n"/>
      <c r="H129" s="24" t="n"/>
      <c r="I129" s="5" t="n"/>
      <c r="J129" s="24">
        <f>IF($I129="","",ROUND(1+($D129*(SUMIFS(OBJECT_CONDITIONS!$W:$W,OBJECT_CONDITIONS!$A:$A,$I129)-1))+($E129*(SUMIFS(OBJECT_CONDITIONS!$J:$J,OBJECT_CONDITIONS!$A:$A,$I129)-1))+($F129*(SUMIFS(OBJECT_CONDITIONS!$L:$L,OBJECT_CONDITIONS!$A:$A,$I129)-1))+($G129*(SUMIFS(OBJECT_CONDITIONS!$N:$N,OBJECT_CONDITIONS!$A:$A,$I129)-1))+($H129*(SUMIFS(OBJECT_CONDITIONS!$R:$R,OBJECT_CONDITIONS!$A:$A,$I129)-1)),3))</f>
        <v/>
      </c>
      <c r="K129" s="5" t="n"/>
    </row>
    <row r="130">
      <c r="A130" s="5" t="n"/>
      <c r="B130" s="5" t="n"/>
      <c r="C130" s="5" t="n"/>
      <c r="D130" s="24" t="n"/>
      <c r="E130" s="24" t="n"/>
      <c r="F130" s="24" t="n"/>
      <c r="G130" s="24" t="n"/>
      <c r="H130" s="24" t="n"/>
      <c r="I130" s="5" t="n"/>
      <c r="J130" s="24">
        <f>IF($I130="","",ROUND(1+($D130*(SUMIFS(OBJECT_CONDITIONS!$W:$W,OBJECT_CONDITIONS!$A:$A,$I130)-1))+($E130*(SUMIFS(OBJECT_CONDITIONS!$J:$J,OBJECT_CONDITIONS!$A:$A,$I130)-1))+($F130*(SUMIFS(OBJECT_CONDITIONS!$L:$L,OBJECT_CONDITIONS!$A:$A,$I130)-1))+($G130*(SUMIFS(OBJECT_CONDITIONS!$N:$N,OBJECT_CONDITIONS!$A:$A,$I130)-1))+($H130*(SUMIFS(OBJECT_CONDITIONS!$R:$R,OBJECT_CONDITIONS!$A:$A,$I130)-1)),3))</f>
        <v/>
      </c>
      <c r="K130" s="5" t="n"/>
    </row>
    <row r="131">
      <c r="A131" s="5" t="n"/>
      <c r="B131" s="5" t="n"/>
      <c r="C131" s="5" t="n"/>
      <c r="D131" s="24" t="n"/>
      <c r="E131" s="24" t="n"/>
      <c r="F131" s="24" t="n"/>
      <c r="G131" s="24" t="n"/>
      <c r="H131" s="24" t="n"/>
      <c r="I131" s="5" t="n"/>
      <c r="J131" s="24">
        <f>IF($I131="","",ROUND(1+($D131*(SUMIFS(OBJECT_CONDITIONS!$W:$W,OBJECT_CONDITIONS!$A:$A,$I131)-1))+($E131*(SUMIFS(OBJECT_CONDITIONS!$J:$J,OBJECT_CONDITIONS!$A:$A,$I131)-1))+($F131*(SUMIFS(OBJECT_CONDITIONS!$L:$L,OBJECT_CONDITIONS!$A:$A,$I131)-1))+($G131*(SUMIFS(OBJECT_CONDITIONS!$N:$N,OBJECT_CONDITIONS!$A:$A,$I131)-1))+($H131*(SUMIFS(OBJECT_CONDITIONS!$R:$R,OBJECT_CONDITIONS!$A:$A,$I131)-1)),3))</f>
        <v/>
      </c>
      <c r="K131" s="5" t="n"/>
    </row>
    <row r="132">
      <c r="A132" s="5" t="n"/>
      <c r="B132" s="5" t="n"/>
      <c r="C132" s="5" t="n"/>
      <c r="D132" s="24" t="n"/>
      <c r="E132" s="24" t="n"/>
      <c r="F132" s="24" t="n"/>
      <c r="G132" s="24" t="n"/>
      <c r="H132" s="24" t="n"/>
      <c r="I132" s="5" t="n"/>
      <c r="J132" s="24">
        <f>IF($I132="","",ROUND(1+($D132*(SUMIFS(OBJECT_CONDITIONS!$W:$W,OBJECT_CONDITIONS!$A:$A,$I132)-1))+($E132*(SUMIFS(OBJECT_CONDITIONS!$J:$J,OBJECT_CONDITIONS!$A:$A,$I132)-1))+($F132*(SUMIFS(OBJECT_CONDITIONS!$L:$L,OBJECT_CONDITIONS!$A:$A,$I132)-1))+($G132*(SUMIFS(OBJECT_CONDITIONS!$N:$N,OBJECT_CONDITIONS!$A:$A,$I132)-1))+($H132*(SUMIFS(OBJECT_CONDITIONS!$R:$R,OBJECT_CONDITIONS!$A:$A,$I132)-1)),3))</f>
        <v/>
      </c>
      <c r="K132" s="5" t="n"/>
    </row>
    <row r="133">
      <c r="A133" s="5" t="n"/>
      <c r="B133" s="5" t="n"/>
      <c r="C133" s="5" t="n"/>
      <c r="D133" s="24" t="n"/>
      <c r="E133" s="24" t="n"/>
      <c r="F133" s="24" t="n"/>
      <c r="G133" s="24" t="n"/>
      <c r="H133" s="24" t="n"/>
      <c r="I133" s="5" t="n"/>
      <c r="J133" s="24">
        <f>IF($I133="","",ROUND(1+($D133*(SUMIFS(OBJECT_CONDITIONS!$W:$W,OBJECT_CONDITIONS!$A:$A,$I133)-1))+($E133*(SUMIFS(OBJECT_CONDITIONS!$J:$J,OBJECT_CONDITIONS!$A:$A,$I133)-1))+($F133*(SUMIFS(OBJECT_CONDITIONS!$L:$L,OBJECT_CONDITIONS!$A:$A,$I133)-1))+($G133*(SUMIFS(OBJECT_CONDITIONS!$N:$N,OBJECT_CONDITIONS!$A:$A,$I133)-1))+($H133*(SUMIFS(OBJECT_CONDITIONS!$R:$R,OBJECT_CONDITIONS!$A:$A,$I133)-1)),3))</f>
        <v/>
      </c>
      <c r="K133" s="5" t="n"/>
    </row>
    <row r="134">
      <c r="A134" s="5" t="n"/>
      <c r="B134" s="5" t="n"/>
      <c r="C134" s="5" t="n"/>
      <c r="D134" s="24" t="n"/>
      <c r="E134" s="24" t="n"/>
      <c r="F134" s="24" t="n"/>
      <c r="G134" s="24" t="n"/>
      <c r="H134" s="24" t="n"/>
      <c r="I134" s="5" t="n"/>
      <c r="J134" s="24">
        <f>IF($I134="","",ROUND(1+($D134*(SUMIFS(OBJECT_CONDITIONS!$W:$W,OBJECT_CONDITIONS!$A:$A,$I134)-1))+($E134*(SUMIFS(OBJECT_CONDITIONS!$J:$J,OBJECT_CONDITIONS!$A:$A,$I134)-1))+($F134*(SUMIFS(OBJECT_CONDITIONS!$L:$L,OBJECT_CONDITIONS!$A:$A,$I134)-1))+($G134*(SUMIFS(OBJECT_CONDITIONS!$N:$N,OBJECT_CONDITIONS!$A:$A,$I134)-1))+($H134*(SUMIFS(OBJECT_CONDITIONS!$R:$R,OBJECT_CONDITIONS!$A:$A,$I134)-1)),3))</f>
        <v/>
      </c>
      <c r="K134" s="5" t="n"/>
    </row>
    <row r="135">
      <c r="A135" s="5" t="n"/>
      <c r="B135" s="5" t="n"/>
      <c r="C135" s="5" t="n"/>
      <c r="D135" s="24" t="n"/>
      <c r="E135" s="24" t="n"/>
      <c r="F135" s="24" t="n"/>
      <c r="G135" s="24" t="n"/>
      <c r="H135" s="24" t="n"/>
      <c r="I135" s="5" t="n"/>
      <c r="J135" s="24">
        <f>IF($I135="","",ROUND(1+($D135*(SUMIFS(OBJECT_CONDITIONS!$W:$W,OBJECT_CONDITIONS!$A:$A,$I135)-1))+($E135*(SUMIFS(OBJECT_CONDITIONS!$J:$J,OBJECT_CONDITIONS!$A:$A,$I135)-1))+($F135*(SUMIFS(OBJECT_CONDITIONS!$L:$L,OBJECT_CONDITIONS!$A:$A,$I135)-1))+($G135*(SUMIFS(OBJECT_CONDITIONS!$N:$N,OBJECT_CONDITIONS!$A:$A,$I135)-1))+($H135*(SUMIFS(OBJECT_CONDITIONS!$R:$R,OBJECT_CONDITIONS!$A:$A,$I135)-1)),3))</f>
        <v/>
      </c>
      <c r="K135" s="5" t="n"/>
    </row>
    <row r="136">
      <c r="A136" s="5" t="n"/>
      <c r="B136" s="5" t="n"/>
      <c r="C136" s="5" t="n"/>
      <c r="D136" s="24" t="n"/>
      <c r="E136" s="24" t="n"/>
      <c r="F136" s="24" t="n"/>
      <c r="G136" s="24" t="n"/>
      <c r="H136" s="24" t="n"/>
      <c r="I136" s="5" t="n"/>
      <c r="J136" s="24">
        <f>IF($I136="","",ROUND(1+($D136*(SUMIFS(OBJECT_CONDITIONS!$W:$W,OBJECT_CONDITIONS!$A:$A,$I136)-1))+($E136*(SUMIFS(OBJECT_CONDITIONS!$J:$J,OBJECT_CONDITIONS!$A:$A,$I136)-1))+($F136*(SUMIFS(OBJECT_CONDITIONS!$L:$L,OBJECT_CONDITIONS!$A:$A,$I136)-1))+($G136*(SUMIFS(OBJECT_CONDITIONS!$N:$N,OBJECT_CONDITIONS!$A:$A,$I136)-1))+($H136*(SUMIFS(OBJECT_CONDITIONS!$R:$R,OBJECT_CONDITIONS!$A:$A,$I136)-1)),3))</f>
        <v/>
      </c>
      <c r="K136" s="5" t="n"/>
    </row>
    <row r="137">
      <c r="A137" s="5" t="n"/>
      <c r="B137" s="5" t="n"/>
      <c r="C137" s="5" t="n"/>
      <c r="D137" s="24" t="n"/>
      <c r="E137" s="24" t="n"/>
      <c r="F137" s="24" t="n"/>
      <c r="G137" s="24" t="n"/>
      <c r="H137" s="24" t="n"/>
      <c r="I137" s="5" t="n"/>
      <c r="J137" s="24">
        <f>IF($I137="","",ROUND(1+($D137*(SUMIFS(OBJECT_CONDITIONS!$W:$W,OBJECT_CONDITIONS!$A:$A,$I137)-1))+($E137*(SUMIFS(OBJECT_CONDITIONS!$J:$J,OBJECT_CONDITIONS!$A:$A,$I137)-1))+($F137*(SUMIFS(OBJECT_CONDITIONS!$L:$L,OBJECT_CONDITIONS!$A:$A,$I137)-1))+($G137*(SUMIFS(OBJECT_CONDITIONS!$N:$N,OBJECT_CONDITIONS!$A:$A,$I137)-1))+($H137*(SUMIFS(OBJECT_CONDITIONS!$R:$R,OBJECT_CONDITIONS!$A:$A,$I137)-1)),3))</f>
        <v/>
      </c>
      <c r="K137" s="5" t="n"/>
    </row>
    <row r="138">
      <c r="A138" s="5" t="n"/>
      <c r="B138" s="5" t="n"/>
      <c r="C138" s="5" t="n"/>
      <c r="D138" s="24" t="n"/>
      <c r="E138" s="24" t="n"/>
      <c r="F138" s="24" t="n"/>
      <c r="G138" s="24" t="n"/>
      <c r="H138" s="24" t="n"/>
      <c r="I138" s="5" t="n"/>
      <c r="J138" s="24">
        <f>IF($I138="","",ROUND(1+($D138*(SUMIFS(OBJECT_CONDITIONS!$W:$W,OBJECT_CONDITIONS!$A:$A,$I138)-1))+($E138*(SUMIFS(OBJECT_CONDITIONS!$J:$J,OBJECT_CONDITIONS!$A:$A,$I138)-1))+($F138*(SUMIFS(OBJECT_CONDITIONS!$L:$L,OBJECT_CONDITIONS!$A:$A,$I138)-1))+($G138*(SUMIFS(OBJECT_CONDITIONS!$N:$N,OBJECT_CONDITIONS!$A:$A,$I138)-1))+($H138*(SUMIFS(OBJECT_CONDITIONS!$R:$R,OBJECT_CONDITIONS!$A:$A,$I138)-1)),3))</f>
        <v/>
      </c>
      <c r="K138" s="5" t="n"/>
    </row>
    <row r="139">
      <c r="A139" s="5" t="n"/>
      <c r="B139" s="5" t="n"/>
      <c r="C139" s="5" t="n"/>
      <c r="D139" s="24" t="n"/>
      <c r="E139" s="24" t="n"/>
      <c r="F139" s="24" t="n"/>
      <c r="G139" s="24" t="n"/>
      <c r="H139" s="24" t="n"/>
      <c r="I139" s="5" t="n"/>
      <c r="J139" s="24">
        <f>IF($I139="","",ROUND(1+($D139*(SUMIFS(OBJECT_CONDITIONS!$W:$W,OBJECT_CONDITIONS!$A:$A,$I139)-1))+($E139*(SUMIFS(OBJECT_CONDITIONS!$J:$J,OBJECT_CONDITIONS!$A:$A,$I139)-1))+($F139*(SUMIFS(OBJECT_CONDITIONS!$L:$L,OBJECT_CONDITIONS!$A:$A,$I139)-1))+($G139*(SUMIFS(OBJECT_CONDITIONS!$N:$N,OBJECT_CONDITIONS!$A:$A,$I139)-1))+($H139*(SUMIFS(OBJECT_CONDITIONS!$R:$R,OBJECT_CONDITIONS!$A:$A,$I139)-1)),3))</f>
        <v/>
      </c>
      <c r="K139" s="5" t="n"/>
    </row>
    <row r="140">
      <c r="A140" s="5" t="n"/>
      <c r="B140" s="5" t="n"/>
      <c r="C140" s="5" t="n"/>
      <c r="D140" s="24" t="n"/>
      <c r="E140" s="24" t="n"/>
      <c r="F140" s="24" t="n"/>
      <c r="G140" s="24" t="n"/>
      <c r="H140" s="24" t="n"/>
      <c r="I140" s="5" t="n"/>
      <c r="J140" s="24">
        <f>IF($I140="","",ROUND(1+($D140*(SUMIFS(OBJECT_CONDITIONS!$W:$W,OBJECT_CONDITIONS!$A:$A,$I140)-1))+($E140*(SUMIFS(OBJECT_CONDITIONS!$J:$J,OBJECT_CONDITIONS!$A:$A,$I140)-1))+($F140*(SUMIFS(OBJECT_CONDITIONS!$L:$L,OBJECT_CONDITIONS!$A:$A,$I140)-1))+($G140*(SUMIFS(OBJECT_CONDITIONS!$N:$N,OBJECT_CONDITIONS!$A:$A,$I140)-1))+($H140*(SUMIFS(OBJECT_CONDITIONS!$R:$R,OBJECT_CONDITIONS!$A:$A,$I140)-1)),3))</f>
        <v/>
      </c>
      <c r="K140" s="5" t="n"/>
    </row>
    <row r="141">
      <c r="A141" s="5" t="n"/>
      <c r="B141" s="5" t="n"/>
      <c r="C141" s="5" t="n"/>
      <c r="D141" s="24" t="n"/>
      <c r="E141" s="24" t="n"/>
      <c r="F141" s="24" t="n"/>
      <c r="G141" s="24" t="n"/>
      <c r="H141" s="24" t="n"/>
      <c r="I141" s="5" t="n"/>
      <c r="J141" s="24">
        <f>IF($I141="","",ROUND(1+($D141*(SUMIFS(OBJECT_CONDITIONS!$W:$W,OBJECT_CONDITIONS!$A:$A,$I141)-1))+($E141*(SUMIFS(OBJECT_CONDITIONS!$J:$J,OBJECT_CONDITIONS!$A:$A,$I141)-1))+($F141*(SUMIFS(OBJECT_CONDITIONS!$L:$L,OBJECT_CONDITIONS!$A:$A,$I141)-1))+($G141*(SUMIFS(OBJECT_CONDITIONS!$N:$N,OBJECT_CONDITIONS!$A:$A,$I141)-1))+($H141*(SUMIFS(OBJECT_CONDITIONS!$R:$R,OBJECT_CONDITIONS!$A:$A,$I141)-1)),3))</f>
        <v/>
      </c>
      <c r="K141" s="5" t="n"/>
    </row>
    <row r="142">
      <c r="A142" s="5" t="n"/>
      <c r="B142" s="5" t="n"/>
      <c r="C142" s="5" t="n"/>
      <c r="D142" s="24" t="n"/>
      <c r="E142" s="24" t="n"/>
      <c r="F142" s="24" t="n"/>
      <c r="G142" s="24" t="n"/>
      <c r="H142" s="24" t="n"/>
      <c r="I142" s="5" t="n"/>
      <c r="J142" s="24">
        <f>IF($I142="","",ROUND(1+($D142*(SUMIFS(OBJECT_CONDITIONS!$W:$W,OBJECT_CONDITIONS!$A:$A,$I142)-1))+($E142*(SUMIFS(OBJECT_CONDITIONS!$J:$J,OBJECT_CONDITIONS!$A:$A,$I142)-1))+($F142*(SUMIFS(OBJECT_CONDITIONS!$L:$L,OBJECT_CONDITIONS!$A:$A,$I142)-1))+($G142*(SUMIFS(OBJECT_CONDITIONS!$N:$N,OBJECT_CONDITIONS!$A:$A,$I142)-1))+($H142*(SUMIFS(OBJECT_CONDITIONS!$R:$R,OBJECT_CONDITIONS!$A:$A,$I142)-1)),3))</f>
        <v/>
      </c>
      <c r="K142" s="5" t="n"/>
    </row>
    <row r="143">
      <c r="A143" s="5" t="n"/>
      <c r="B143" s="5" t="n"/>
      <c r="C143" s="5" t="n"/>
      <c r="D143" s="24" t="n"/>
      <c r="E143" s="24" t="n"/>
      <c r="F143" s="24" t="n"/>
      <c r="G143" s="24" t="n"/>
      <c r="H143" s="24" t="n"/>
      <c r="I143" s="5" t="n"/>
      <c r="J143" s="24">
        <f>IF($I143="","",ROUND(1+($D143*(SUMIFS(OBJECT_CONDITIONS!$W:$W,OBJECT_CONDITIONS!$A:$A,$I143)-1))+($E143*(SUMIFS(OBJECT_CONDITIONS!$J:$J,OBJECT_CONDITIONS!$A:$A,$I143)-1))+($F143*(SUMIFS(OBJECT_CONDITIONS!$L:$L,OBJECT_CONDITIONS!$A:$A,$I143)-1))+($G143*(SUMIFS(OBJECT_CONDITIONS!$N:$N,OBJECT_CONDITIONS!$A:$A,$I143)-1))+($H143*(SUMIFS(OBJECT_CONDITIONS!$R:$R,OBJECT_CONDITIONS!$A:$A,$I143)-1)),3))</f>
        <v/>
      </c>
      <c r="K143" s="5" t="n"/>
    </row>
    <row r="144">
      <c r="A144" s="5" t="n"/>
      <c r="B144" s="5" t="n"/>
      <c r="C144" s="5" t="n"/>
      <c r="D144" s="24" t="n"/>
      <c r="E144" s="24" t="n"/>
      <c r="F144" s="24" t="n"/>
      <c r="G144" s="24" t="n"/>
      <c r="H144" s="24" t="n"/>
      <c r="I144" s="5" t="n"/>
      <c r="J144" s="24">
        <f>IF($I144="","",ROUND(1+($D144*(SUMIFS(OBJECT_CONDITIONS!$W:$W,OBJECT_CONDITIONS!$A:$A,$I144)-1))+($E144*(SUMIFS(OBJECT_CONDITIONS!$J:$J,OBJECT_CONDITIONS!$A:$A,$I144)-1))+($F144*(SUMIFS(OBJECT_CONDITIONS!$L:$L,OBJECT_CONDITIONS!$A:$A,$I144)-1))+($G144*(SUMIFS(OBJECT_CONDITIONS!$N:$N,OBJECT_CONDITIONS!$A:$A,$I144)-1))+($H144*(SUMIFS(OBJECT_CONDITIONS!$R:$R,OBJECT_CONDITIONS!$A:$A,$I144)-1)),3))</f>
        <v/>
      </c>
      <c r="K144" s="5" t="n"/>
    </row>
    <row r="145">
      <c r="A145" s="5" t="n"/>
      <c r="B145" s="5" t="n"/>
      <c r="C145" s="5" t="n"/>
      <c r="D145" s="24" t="n"/>
      <c r="E145" s="24" t="n"/>
      <c r="F145" s="24" t="n"/>
      <c r="G145" s="24" t="n"/>
      <c r="H145" s="24" t="n"/>
      <c r="I145" s="5" t="n"/>
      <c r="J145" s="24">
        <f>IF($I145="","",ROUND(1+($D145*(SUMIFS(OBJECT_CONDITIONS!$W:$W,OBJECT_CONDITIONS!$A:$A,$I145)-1))+($E145*(SUMIFS(OBJECT_CONDITIONS!$J:$J,OBJECT_CONDITIONS!$A:$A,$I145)-1))+($F145*(SUMIFS(OBJECT_CONDITIONS!$L:$L,OBJECT_CONDITIONS!$A:$A,$I145)-1))+($G145*(SUMIFS(OBJECT_CONDITIONS!$N:$N,OBJECT_CONDITIONS!$A:$A,$I145)-1))+($H145*(SUMIFS(OBJECT_CONDITIONS!$R:$R,OBJECT_CONDITIONS!$A:$A,$I145)-1)),3))</f>
        <v/>
      </c>
      <c r="K145" s="5" t="n"/>
    </row>
    <row r="146">
      <c r="A146" s="5" t="n"/>
      <c r="B146" s="5" t="n"/>
      <c r="C146" s="5" t="n"/>
      <c r="D146" s="24" t="n"/>
      <c r="E146" s="24" t="n"/>
      <c r="F146" s="24" t="n"/>
      <c r="G146" s="24" t="n"/>
      <c r="H146" s="24" t="n"/>
      <c r="I146" s="5" t="n"/>
      <c r="J146" s="24">
        <f>IF($I146="","",ROUND(1+($D146*(SUMIFS(OBJECT_CONDITIONS!$W:$W,OBJECT_CONDITIONS!$A:$A,$I146)-1))+($E146*(SUMIFS(OBJECT_CONDITIONS!$J:$J,OBJECT_CONDITIONS!$A:$A,$I146)-1))+($F146*(SUMIFS(OBJECT_CONDITIONS!$L:$L,OBJECT_CONDITIONS!$A:$A,$I146)-1))+($G146*(SUMIFS(OBJECT_CONDITIONS!$N:$N,OBJECT_CONDITIONS!$A:$A,$I146)-1))+($H146*(SUMIFS(OBJECT_CONDITIONS!$R:$R,OBJECT_CONDITIONS!$A:$A,$I146)-1)),3))</f>
        <v/>
      </c>
      <c r="K146" s="5" t="n"/>
    </row>
    <row r="147">
      <c r="A147" s="5" t="n"/>
      <c r="B147" s="5" t="n"/>
      <c r="C147" s="5" t="n"/>
      <c r="D147" s="24" t="n"/>
      <c r="E147" s="24" t="n"/>
      <c r="F147" s="24" t="n"/>
      <c r="G147" s="24" t="n"/>
      <c r="H147" s="24" t="n"/>
      <c r="I147" s="5" t="n"/>
      <c r="J147" s="24">
        <f>IF($I147="","",ROUND(1+($D147*(SUMIFS(OBJECT_CONDITIONS!$W:$W,OBJECT_CONDITIONS!$A:$A,$I147)-1))+($E147*(SUMIFS(OBJECT_CONDITIONS!$J:$J,OBJECT_CONDITIONS!$A:$A,$I147)-1))+($F147*(SUMIFS(OBJECT_CONDITIONS!$L:$L,OBJECT_CONDITIONS!$A:$A,$I147)-1))+($G147*(SUMIFS(OBJECT_CONDITIONS!$N:$N,OBJECT_CONDITIONS!$A:$A,$I147)-1))+($H147*(SUMIFS(OBJECT_CONDITIONS!$R:$R,OBJECT_CONDITIONS!$A:$A,$I147)-1)),3))</f>
        <v/>
      </c>
      <c r="K147" s="5" t="n"/>
    </row>
    <row r="148">
      <c r="A148" s="5" t="n"/>
      <c r="B148" s="5" t="n"/>
      <c r="C148" s="5" t="n"/>
      <c r="D148" s="24" t="n"/>
      <c r="E148" s="24" t="n"/>
      <c r="F148" s="24" t="n"/>
      <c r="G148" s="24" t="n"/>
      <c r="H148" s="24" t="n"/>
      <c r="I148" s="5" t="n"/>
      <c r="J148" s="24">
        <f>IF($I148="","",ROUND(1+($D148*(SUMIFS(OBJECT_CONDITIONS!$W:$W,OBJECT_CONDITIONS!$A:$A,$I148)-1))+($E148*(SUMIFS(OBJECT_CONDITIONS!$J:$J,OBJECT_CONDITIONS!$A:$A,$I148)-1))+($F148*(SUMIFS(OBJECT_CONDITIONS!$L:$L,OBJECT_CONDITIONS!$A:$A,$I148)-1))+($G148*(SUMIFS(OBJECT_CONDITIONS!$N:$N,OBJECT_CONDITIONS!$A:$A,$I148)-1))+($H148*(SUMIFS(OBJECT_CONDITIONS!$R:$R,OBJECT_CONDITIONS!$A:$A,$I148)-1)),3))</f>
        <v/>
      </c>
      <c r="K148" s="5" t="n"/>
    </row>
    <row r="149">
      <c r="A149" s="5" t="n"/>
      <c r="B149" s="5" t="n"/>
      <c r="C149" s="5" t="n"/>
      <c r="D149" s="24" t="n"/>
      <c r="E149" s="24" t="n"/>
      <c r="F149" s="24" t="n"/>
      <c r="G149" s="24" t="n"/>
      <c r="H149" s="24" t="n"/>
      <c r="I149" s="5" t="n"/>
      <c r="J149" s="24">
        <f>IF($I149="","",ROUND(1+($D149*(SUMIFS(OBJECT_CONDITIONS!$W:$W,OBJECT_CONDITIONS!$A:$A,$I149)-1))+($E149*(SUMIFS(OBJECT_CONDITIONS!$J:$J,OBJECT_CONDITIONS!$A:$A,$I149)-1))+($F149*(SUMIFS(OBJECT_CONDITIONS!$L:$L,OBJECT_CONDITIONS!$A:$A,$I149)-1))+($G149*(SUMIFS(OBJECT_CONDITIONS!$N:$N,OBJECT_CONDITIONS!$A:$A,$I149)-1))+($H149*(SUMIFS(OBJECT_CONDITIONS!$R:$R,OBJECT_CONDITIONS!$A:$A,$I149)-1)),3))</f>
        <v/>
      </c>
      <c r="K149" s="5" t="n"/>
    </row>
    <row r="150">
      <c r="A150" s="5" t="n"/>
      <c r="B150" s="5" t="n"/>
      <c r="C150" s="5" t="n"/>
      <c r="D150" s="24" t="n"/>
      <c r="E150" s="24" t="n"/>
      <c r="F150" s="24" t="n"/>
      <c r="G150" s="24" t="n"/>
      <c r="H150" s="24" t="n"/>
      <c r="I150" s="5" t="n"/>
      <c r="J150" s="24">
        <f>IF($I150="","",ROUND(1+($D150*(SUMIFS(OBJECT_CONDITIONS!$W:$W,OBJECT_CONDITIONS!$A:$A,$I150)-1))+($E150*(SUMIFS(OBJECT_CONDITIONS!$J:$J,OBJECT_CONDITIONS!$A:$A,$I150)-1))+($F150*(SUMIFS(OBJECT_CONDITIONS!$L:$L,OBJECT_CONDITIONS!$A:$A,$I150)-1))+($G150*(SUMIFS(OBJECT_CONDITIONS!$N:$N,OBJECT_CONDITIONS!$A:$A,$I150)-1))+($H150*(SUMIFS(OBJECT_CONDITIONS!$R:$R,OBJECT_CONDITIONS!$A:$A,$I150)-1)),3))</f>
        <v/>
      </c>
      <c r="K150" s="5" t="n"/>
    </row>
  </sheetData>
  <dataValidations count="3">
    <dataValidation sqref="A2:A1000" showDropDown="0" showInputMessage="0" showErrorMessage="0" allowBlank="1" type="list">
      <formula1>='MATERIAL_MASTER'!$A$2:$A$1000</formula1>
    </dataValidation>
    <dataValidation sqref="C2:C1000" showDropDown="0" showInputMessage="0" showErrorMessage="0" allowBlank="1" type="list">
      <formula1>='DICTIONARIES'!$AC$2:$AC$9</formula1>
    </dataValidation>
    <dataValidation sqref="I2:I1000" showDropDown="0" showInputMessage="0" showErrorMessage="0" allowBlank="1" type="list">
      <formula1>='OBJECT_CONDITIONS'!$A$2:$A$1000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28" customWidth="1" min="7" max="7"/>
    <col width="16" customWidth="1" min="8" max="8"/>
    <col width="14" customWidth="1" min="9" max="9"/>
    <col width="12" customWidth="1" min="10" max="10"/>
    <col width="16" customWidth="1" min="11" max="11"/>
    <col width="12" customWidth="1" min="12" max="12"/>
    <col width="14" customWidth="1" min="13" max="13"/>
    <col width="16" customWidth="1" min="14" max="14"/>
    <col width="14" customWidth="1" min="15" max="15"/>
    <col width="16" customWidth="1" min="16" max="16"/>
    <col width="12" customWidth="1" min="17" max="17"/>
    <col width="14" customWidth="1" min="18" max="18"/>
    <col width="22" customWidth="1" min="19" max="19"/>
    <col width="12" customWidth="1" min="20" max="20"/>
    <col width="40" customWidth="1" min="21" max="21"/>
  </cols>
  <sheetData>
    <row r="1">
      <c r="A1" s="4" t="inlineStr">
        <is>
          <t>CalcID</t>
        </is>
      </c>
      <c r="B1" s="4" t="inlineStr">
        <is>
          <t>ObjectID</t>
        </is>
      </c>
      <c r="C1" s="4" t="inlineStr">
        <is>
          <t>MaterialID</t>
        </is>
      </c>
      <c r="D1" s="4" t="inlineStr">
        <is>
          <t>VariantID</t>
        </is>
      </c>
      <c r="E1" s="4" t="inlineStr">
        <is>
          <t>NetQty</t>
        </is>
      </c>
      <c r="F1" s="4" t="inlineStr">
        <is>
          <t>NetUnit</t>
        </is>
      </c>
      <c r="G1" s="4" t="inlineStr">
        <is>
          <t>AllowanceGroup</t>
        </is>
      </c>
      <c r="H1" s="4" t="inlineStr">
        <is>
          <t>BaseReserveCoeff</t>
        </is>
      </c>
      <c r="I1" s="4" t="inlineStr">
        <is>
          <t>GeometryWeight</t>
        </is>
      </c>
      <c r="J1" s="4" t="inlineStr">
        <is>
          <t>SlopeWeight</t>
        </is>
      </c>
      <c r="K1" s="4" t="inlineStr">
        <is>
          <t>UnevennessWeight</t>
        </is>
      </c>
      <c r="L1" s="4" t="inlineStr">
        <is>
          <t>AccessWeight</t>
        </is>
      </c>
      <c r="M1" s="4" t="inlineStr">
        <is>
          <t>ProximityWeight</t>
        </is>
      </c>
      <c r="N1" s="4" t="inlineStr">
        <is>
          <t>SiteReserveCoeff</t>
        </is>
      </c>
      <c r="O1" s="4" t="inlineStr">
        <is>
          <t>ManualAdjCoeff</t>
        </is>
      </c>
      <c r="P1" s="4" t="inlineStr">
        <is>
          <t>FinalReserveCoeff</t>
        </is>
      </c>
      <c r="Q1" s="4" t="inlineStr">
        <is>
          <t>FinalQty</t>
        </is>
      </c>
      <c r="R1" s="4" t="inlineStr">
        <is>
          <t>PurchaseUnit</t>
        </is>
      </c>
      <c r="S1" s="4" t="inlineStr">
        <is>
          <t>CoveragePerPurchaseUnit</t>
        </is>
      </c>
      <c r="T1" s="4" t="inlineStr">
        <is>
          <t>PurchaseQty</t>
        </is>
      </c>
      <c r="U1" s="4" t="inlineStr">
        <is>
          <t>Notes</t>
        </is>
      </c>
    </row>
    <row r="2">
      <c r="A2" s="5" t="inlineStr">
        <is>
          <t>MC-0001</t>
        </is>
      </c>
      <c r="B2" s="5" t="inlineStr">
        <is>
          <t>OBJ-0001</t>
        </is>
      </c>
      <c r="C2" s="5" t="inlineStr">
        <is>
          <t>MAT-0003</t>
        </is>
      </c>
      <c r="D2" s="5" t="inlineStr">
        <is>
          <t>MV-0004</t>
        </is>
      </c>
      <c r="E2" s="5" t="n">
        <v>180</v>
      </c>
      <c r="F2" s="5" t="inlineStr">
        <is>
          <t>м2</t>
        </is>
      </c>
      <c r="G2" s="5">
        <f>IF($C2="","",INDEX(MATERIAL_MASTER!$O:$O,MATCH($C2,MATERIAL_MASTER!$A:$A,0)))</f>
        <v/>
      </c>
      <c r="H2" s="24">
        <f>IF($C2="","",INDEX(MATERIAL_MASTER!$P:$P,MATCH($C2,MATERIAL_MASTER!$A:$A,0)))</f>
        <v/>
      </c>
      <c r="I2" s="24">
        <f>IF($C2="","",INDEX(MATERIAL_FACTOR_APPLICABILITY!$D:$D,MATCH($C2,MATERIAL_FACTOR_APPLICABILITY!$A:$A,0)))</f>
        <v/>
      </c>
      <c r="J2" s="24">
        <f>IF($C2="","",INDEX(MATERIAL_FACTOR_APPLICABILITY!$E:$E,MATCH($C2,MATERIAL_FACTOR_APPLICABILITY!$A:$A,0)))</f>
        <v/>
      </c>
      <c r="K2" s="24">
        <f>IF($C2="","",INDEX(MATERIAL_FACTOR_APPLICABILITY!$F:$F,MATCH($C2,MATERIAL_FACTOR_APPLICABILITY!$A:$A,0)))</f>
        <v/>
      </c>
      <c r="L2" s="24">
        <f>IF($C2="","",INDEX(MATERIAL_FACTOR_APPLICABILITY!$G:$G,MATCH($C2,MATERIAL_FACTOR_APPLICABILITY!$A:$A,0)))</f>
        <v/>
      </c>
      <c r="M2" s="24">
        <f>IF($C2="","",INDEX(MATERIAL_FACTOR_APPLICABILITY!$H:$H,MATCH($C2,MATERIAL_FACTOR_APPLICABILITY!$A:$A,0)))</f>
        <v/>
      </c>
      <c r="N2" s="24">
        <f>IF($B2="","",ROUND(1+($I2*(SUMIFS(OBJECT_CONDITIONS!$W:$W,OBJECT_CONDITIONS!$A:$A,$B2)-1))+($J2*(SUMIFS(OBJECT_CONDITIONS!$J:$J,OBJECT_CONDITIONS!$A:$A,$B2)-1))+($K2*(SUMIFS(OBJECT_CONDITIONS!$L:$L,OBJECT_CONDITIONS!$A:$A,$B2)-1))+($L2*(SUMIFS(OBJECT_CONDITIONS!$N:$N,OBJECT_CONDITIONS!$A:$A,$B2)-1))+($M2*(SUMIFS(OBJECT_CONDITIONS!$R:$R,OBJECT_CONDITIONS!$A:$A,$B2)-1)),3))</f>
        <v/>
      </c>
      <c r="O2" s="24" t="n">
        <v>1</v>
      </c>
      <c r="P2" s="24">
        <f>IF(OR($H2="",$N2=""),"",ROUND($H2*$N2*IF($O2="",1,$O2),3))</f>
        <v/>
      </c>
      <c r="Q2" s="24">
        <f>IF(OR($E2="",$P2=""),"",ROUND($E2*$P2,3))</f>
        <v/>
      </c>
      <c r="R2" s="5">
        <f>IF($D2="","",IFERROR(INDEX(MATERIAL_VARIANTS!$O:$O,MATCH($D2,MATERIAL_VARIANTS!$A:$A,0)),""))</f>
        <v/>
      </c>
      <c r="S2" s="24">
        <f>IF($D2="","",IFERROR(INDEX(MATERIAL_VARIANTS!$P:$P,MATCH($D2,MATERIAL_VARIANTS!$A:$A,0)),""))</f>
        <v/>
      </c>
      <c r="T2" s="5">
        <f>IF(OR($Q2="",$S2="",$S2=0),"",ROUNDUP($Q2/$S2,0))</f>
        <v/>
      </c>
      <c r="U2" s="5" t="inlineStr">
        <is>
          <t>Геотекстиль на сложном участке</t>
        </is>
      </c>
    </row>
    <row r="3">
      <c r="A3" s="5" t="inlineStr">
        <is>
          <t>MC-0002</t>
        </is>
      </c>
      <c r="B3" s="5" t="inlineStr">
        <is>
          <t>OBJ-0001</t>
        </is>
      </c>
      <c r="C3" s="5" t="inlineStr">
        <is>
          <t>MAT-0004</t>
        </is>
      </c>
      <c r="D3" s="5" t="inlineStr">
        <is>
          <t>MV-0005</t>
        </is>
      </c>
      <c r="E3" s="5" t="n">
        <v>240</v>
      </c>
      <c r="F3" s="5" t="inlineStr">
        <is>
          <t>м2</t>
        </is>
      </c>
      <c r="G3" s="5">
        <f>IF($C3="","",INDEX(MATERIAL_MASTER!$O:$O,MATCH($C3,MATERIAL_MASTER!$A:$A,0)))</f>
        <v/>
      </c>
      <c r="H3" s="24">
        <f>IF($C3="","",INDEX(MATERIAL_MASTER!$P:$P,MATCH($C3,MATERIAL_MASTER!$A:$A,0)))</f>
        <v/>
      </c>
      <c r="I3" s="24">
        <f>IF($C3="","",INDEX(MATERIAL_FACTOR_APPLICABILITY!$D:$D,MATCH($C3,MATERIAL_FACTOR_APPLICABILITY!$A:$A,0)))</f>
        <v/>
      </c>
      <c r="J3" s="24">
        <f>IF($C3="","",INDEX(MATERIAL_FACTOR_APPLICABILITY!$E:$E,MATCH($C3,MATERIAL_FACTOR_APPLICABILITY!$A:$A,0)))</f>
        <v/>
      </c>
      <c r="K3" s="24">
        <f>IF($C3="","",INDEX(MATERIAL_FACTOR_APPLICABILITY!$F:$F,MATCH($C3,MATERIAL_FACTOR_APPLICABILITY!$A:$A,0)))</f>
        <v/>
      </c>
      <c r="L3" s="24">
        <f>IF($C3="","",INDEX(MATERIAL_FACTOR_APPLICABILITY!$G:$G,MATCH($C3,MATERIAL_FACTOR_APPLICABILITY!$A:$A,0)))</f>
        <v/>
      </c>
      <c r="M3" s="24">
        <f>IF($C3="","",INDEX(MATERIAL_FACTOR_APPLICABILITY!$H:$H,MATCH($C3,MATERIAL_FACTOR_APPLICABILITY!$A:$A,0)))</f>
        <v/>
      </c>
      <c r="N3" s="24">
        <f>IF($B3="","",ROUND(1+($I3*(SUMIFS(OBJECT_CONDITIONS!$W:$W,OBJECT_CONDITIONS!$A:$A,$B3)-1))+($J3*(SUMIFS(OBJECT_CONDITIONS!$J:$J,OBJECT_CONDITIONS!$A:$A,$B3)-1))+($K3*(SUMIFS(OBJECT_CONDITIONS!$L:$L,OBJECT_CONDITIONS!$A:$A,$B3)-1))+($L3*(SUMIFS(OBJECT_CONDITIONS!$N:$N,OBJECT_CONDITIONS!$A:$A,$B3)-1))+($M3*(SUMIFS(OBJECT_CONDITIONS!$R:$R,OBJECT_CONDITIONS!$A:$A,$B3)-1)),3))</f>
        <v/>
      </c>
      <c r="O3" s="24" t="n">
        <v>1</v>
      </c>
      <c r="P3" s="24">
        <f>IF(OR($H3="",$N3=""),"",ROUND($H3*$N3*IF($O3="",1,$O3),3))</f>
        <v/>
      </c>
      <c r="Q3" s="24">
        <f>IF(OR($E3="",$P3=""),"",ROUND($E3*$P3,3))</f>
        <v/>
      </c>
      <c r="R3" s="5">
        <f>IF($D3="","",IFERROR(INDEX(MATERIAL_VARIANTS!$O:$O,MATCH($D3,MATERIAL_VARIANTS!$A:$A,0)),""))</f>
        <v/>
      </c>
      <c r="S3" s="24">
        <f>IF($D3="","",IFERROR(INDEX(MATERIAL_VARIANTS!$P:$P,MATCH($D3,MATERIAL_VARIANTS!$A:$A,0)),""))</f>
        <v/>
      </c>
      <c r="T3" s="5">
        <f>IF(OR($Q3="",$S3="",$S3=0),"",ROUNDUP($Q3/$S3,0))</f>
        <v/>
      </c>
      <c r="U3" s="5" t="inlineStr">
        <is>
          <t>Рулонный газон на сложном участке</t>
        </is>
      </c>
    </row>
    <row r="4">
      <c r="A4" s="5" t="inlineStr">
        <is>
          <t>MC-0003</t>
        </is>
      </c>
      <c r="B4" s="5" t="inlineStr">
        <is>
          <t>OBJ-0001</t>
        </is>
      </c>
      <c r="C4" s="5" t="inlineStr">
        <is>
          <t>MAT-0001</t>
        </is>
      </c>
      <c r="D4" s="5" t="inlineStr">
        <is>
          <t>MV-0002</t>
        </is>
      </c>
      <c r="E4" s="5" t="n">
        <v>95</v>
      </c>
      <c r="F4" s="5" t="inlineStr">
        <is>
          <t>м2</t>
        </is>
      </c>
      <c r="G4" s="5">
        <f>IF($C4="","",INDEX(MATERIAL_MASTER!$O:$O,MATCH($C4,MATERIAL_MASTER!$A:$A,0)))</f>
        <v/>
      </c>
      <c r="H4" s="24">
        <f>IF($C4="","",INDEX(MATERIAL_MASTER!$P:$P,MATCH($C4,MATERIAL_MASTER!$A:$A,0)))</f>
        <v/>
      </c>
      <c r="I4" s="24">
        <f>IF($C4="","",INDEX(MATERIAL_FACTOR_APPLICABILITY!$D:$D,MATCH($C4,MATERIAL_FACTOR_APPLICABILITY!$A:$A,0)))</f>
        <v/>
      </c>
      <c r="J4" s="24">
        <f>IF($C4="","",INDEX(MATERIAL_FACTOR_APPLICABILITY!$E:$E,MATCH($C4,MATERIAL_FACTOR_APPLICABILITY!$A:$A,0)))</f>
        <v/>
      </c>
      <c r="K4" s="24">
        <f>IF($C4="","",INDEX(MATERIAL_FACTOR_APPLICABILITY!$F:$F,MATCH($C4,MATERIAL_FACTOR_APPLICABILITY!$A:$A,0)))</f>
        <v/>
      </c>
      <c r="L4" s="24">
        <f>IF($C4="","",INDEX(MATERIAL_FACTOR_APPLICABILITY!$G:$G,MATCH($C4,MATERIAL_FACTOR_APPLICABILITY!$A:$A,0)))</f>
        <v/>
      </c>
      <c r="M4" s="24">
        <f>IF($C4="","",INDEX(MATERIAL_FACTOR_APPLICABILITY!$H:$H,MATCH($C4,MATERIAL_FACTOR_APPLICABILITY!$A:$A,0)))</f>
        <v/>
      </c>
      <c r="N4" s="24">
        <f>IF($B4="","",ROUND(1+($I4*(SUMIFS(OBJECT_CONDITIONS!$W:$W,OBJECT_CONDITIONS!$A:$A,$B4)-1))+($J4*(SUMIFS(OBJECT_CONDITIONS!$J:$J,OBJECT_CONDITIONS!$A:$A,$B4)-1))+($K4*(SUMIFS(OBJECT_CONDITIONS!$L:$L,OBJECT_CONDITIONS!$A:$A,$B4)-1))+($L4*(SUMIFS(OBJECT_CONDITIONS!$N:$N,OBJECT_CONDITIONS!$A:$A,$B4)-1))+($M4*(SUMIFS(OBJECT_CONDITIONS!$R:$R,OBJECT_CONDITIONS!$A:$A,$B4)-1)),3))</f>
        <v/>
      </c>
      <c r="O4" s="24" t="n">
        <v>1</v>
      </c>
      <c r="P4" s="24">
        <f>IF(OR($H4="",$N4=""),"",ROUND($H4*$N4*IF($O4="",1,$O4),3))</f>
        <v/>
      </c>
      <c r="Q4" s="24">
        <f>IF(OR($E4="",$P4=""),"",ROUND($E4*$P4,3))</f>
        <v/>
      </c>
      <c r="R4" s="5">
        <f>IF($D4="","",IFERROR(INDEX(MATERIAL_VARIANTS!$O:$O,MATCH($D4,MATERIAL_VARIANTS!$A:$A,0)),""))</f>
        <v/>
      </c>
      <c r="S4" s="24">
        <f>IF($D4="","",IFERROR(INDEX(MATERIAL_VARIANTS!$P:$P,MATCH($D4,MATERIAL_VARIANTS!$A:$A,0)),""))</f>
        <v/>
      </c>
      <c r="T4" s="5">
        <f>IF(OR($Q4="",$S4="",$S4=0),"",ROUNDUP($Q4/$S4,0))</f>
        <v/>
      </c>
      <c r="U4" s="5" t="inlineStr">
        <is>
          <t>Брусчатка с подрезкой по контурам</t>
        </is>
      </c>
    </row>
    <row r="5">
      <c r="A5" s="5" t="inlineStr">
        <is>
          <t>MC-0004</t>
        </is>
      </c>
      <c r="B5" s="5" t="inlineStr">
        <is>
          <t>OBJ-0001</t>
        </is>
      </c>
      <c r="C5" s="5" t="inlineStr">
        <is>
          <t>MAT-0007</t>
        </is>
      </c>
      <c r="D5" s="5" t="inlineStr">
        <is>
          <t>MV-0008</t>
        </is>
      </c>
      <c r="E5" s="5" t="n">
        <v>32</v>
      </c>
      <c r="F5" s="5" t="inlineStr">
        <is>
          <t>м3</t>
        </is>
      </c>
      <c r="G5" s="5">
        <f>IF($C5="","",INDEX(MATERIAL_MASTER!$O:$O,MATCH($C5,MATERIAL_MASTER!$A:$A,0)))</f>
        <v/>
      </c>
      <c r="H5" s="24">
        <f>IF($C5="","",INDEX(MATERIAL_MASTER!$P:$P,MATCH($C5,MATERIAL_MASTER!$A:$A,0)))</f>
        <v/>
      </c>
      <c r="I5" s="24">
        <f>IF($C5="","",INDEX(MATERIAL_FACTOR_APPLICABILITY!$D:$D,MATCH($C5,MATERIAL_FACTOR_APPLICABILITY!$A:$A,0)))</f>
        <v/>
      </c>
      <c r="J5" s="24">
        <f>IF($C5="","",INDEX(MATERIAL_FACTOR_APPLICABILITY!$E:$E,MATCH($C5,MATERIAL_FACTOR_APPLICABILITY!$A:$A,0)))</f>
        <v/>
      </c>
      <c r="K5" s="24">
        <f>IF($C5="","",INDEX(MATERIAL_FACTOR_APPLICABILITY!$F:$F,MATCH($C5,MATERIAL_FACTOR_APPLICABILITY!$A:$A,0)))</f>
        <v/>
      </c>
      <c r="L5" s="24">
        <f>IF($C5="","",INDEX(MATERIAL_FACTOR_APPLICABILITY!$G:$G,MATCH($C5,MATERIAL_FACTOR_APPLICABILITY!$A:$A,0)))</f>
        <v/>
      </c>
      <c r="M5" s="24">
        <f>IF($C5="","",INDEX(MATERIAL_FACTOR_APPLICABILITY!$H:$H,MATCH($C5,MATERIAL_FACTOR_APPLICABILITY!$A:$A,0)))</f>
        <v/>
      </c>
      <c r="N5" s="24">
        <f>IF($B5="","",ROUND(1+($I5*(SUMIFS(OBJECT_CONDITIONS!$W:$W,OBJECT_CONDITIONS!$A:$A,$B5)-1))+($J5*(SUMIFS(OBJECT_CONDITIONS!$J:$J,OBJECT_CONDITIONS!$A:$A,$B5)-1))+($K5*(SUMIFS(OBJECT_CONDITIONS!$L:$L,OBJECT_CONDITIONS!$A:$A,$B5)-1))+($L5*(SUMIFS(OBJECT_CONDITIONS!$N:$N,OBJECT_CONDITIONS!$A:$A,$B5)-1))+($M5*(SUMIFS(OBJECT_CONDITIONS!$R:$R,OBJECT_CONDITIONS!$A:$A,$B5)-1)),3))</f>
        <v/>
      </c>
      <c r="O5" s="24" t="n">
        <v>1</v>
      </c>
      <c r="P5" s="24">
        <f>IF(OR($H5="",$N5=""),"",ROUND($H5*$N5*IF($O5="",1,$O5),3))</f>
        <v/>
      </c>
      <c r="Q5" s="24">
        <f>IF(OR($E5="",$P5=""),"",ROUND($E5*$P5,3))</f>
        <v/>
      </c>
      <c r="R5" s="5">
        <f>IF($D5="","",IFERROR(INDEX(MATERIAL_VARIANTS!$O:$O,MATCH($D5,MATERIAL_VARIANTS!$A:$A,0)),""))</f>
        <v/>
      </c>
      <c r="S5" s="24">
        <f>IF($D5="","",IFERROR(INDEX(MATERIAL_VARIANTS!$P:$P,MATCH($D5,MATERIAL_VARIANTS!$A:$A,0)),""))</f>
        <v/>
      </c>
      <c r="T5" s="5">
        <f>IF(OR($Q5="",$S5="",$S5=0),"",ROUNDUP($Q5/$S5,0))</f>
        <v/>
      </c>
      <c r="U5" s="5" t="inlineStr">
        <is>
          <t>Щебень от проектного уплотненного объема</t>
        </is>
      </c>
    </row>
    <row r="6">
      <c r="A6" s="5" t="n"/>
      <c r="B6" s="5" t="n"/>
      <c r="C6" s="5" t="n"/>
      <c r="D6" s="5" t="n"/>
      <c r="E6" s="5" t="n"/>
      <c r="F6" s="5" t="n"/>
      <c r="G6" s="5">
        <f>IF($C6="","",INDEX(MATERIAL_MASTER!$O:$O,MATCH($C6,MATERIAL_MASTER!$A:$A,0)))</f>
        <v/>
      </c>
      <c r="H6" s="24">
        <f>IF($C6="","",INDEX(MATERIAL_MASTER!$P:$P,MATCH($C6,MATERIAL_MASTER!$A:$A,0)))</f>
        <v/>
      </c>
      <c r="I6" s="24">
        <f>IF($C6="","",INDEX(MATERIAL_FACTOR_APPLICABILITY!$D:$D,MATCH($C6,MATERIAL_FACTOR_APPLICABILITY!$A:$A,0)))</f>
        <v/>
      </c>
      <c r="J6" s="24">
        <f>IF($C6="","",INDEX(MATERIAL_FACTOR_APPLICABILITY!$E:$E,MATCH($C6,MATERIAL_FACTOR_APPLICABILITY!$A:$A,0)))</f>
        <v/>
      </c>
      <c r="K6" s="24">
        <f>IF($C6="","",INDEX(MATERIAL_FACTOR_APPLICABILITY!$F:$F,MATCH($C6,MATERIAL_FACTOR_APPLICABILITY!$A:$A,0)))</f>
        <v/>
      </c>
      <c r="L6" s="24">
        <f>IF($C6="","",INDEX(MATERIAL_FACTOR_APPLICABILITY!$G:$G,MATCH($C6,MATERIAL_FACTOR_APPLICABILITY!$A:$A,0)))</f>
        <v/>
      </c>
      <c r="M6" s="24">
        <f>IF($C6="","",INDEX(MATERIAL_FACTOR_APPLICABILITY!$H:$H,MATCH($C6,MATERIAL_FACTOR_APPLICABILITY!$A:$A,0)))</f>
        <v/>
      </c>
      <c r="N6" s="24">
        <f>IF($B6="","",ROUND(1+($I6*(SUMIFS(OBJECT_CONDITIONS!$W:$W,OBJECT_CONDITIONS!$A:$A,$B6)-1))+($J6*(SUMIFS(OBJECT_CONDITIONS!$J:$J,OBJECT_CONDITIONS!$A:$A,$B6)-1))+($K6*(SUMIFS(OBJECT_CONDITIONS!$L:$L,OBJECT_CONDITIONS!$A:$A,$B6)-1))+($L6*(SUMIFS(OBJECT_CONDITIONS!$N:$N,OBJECT_CONDITIONS!$A:$A,$B6)-1))+($M6*(SUMIFS(OBJECT_CONDITIONS!$R:$R,OBJECT_CONDITIONS!$A:$A,$B6)-1)),3))</f>
        <v/>
      </c>
      <c r="O6" s="24" t="n"/>
      <c r="P6" s="24">
        <f>IF(OR($H6="",$N6=""),"",ROUND($H6*$N6*IF($O6="",1,$O6),3))</f>
        <v/>
      </c>
      <c r="Q6" s="24">
        <f>IF(OR($E6="",$P6=""),"",ROUND($E6*$P6,3))</f>
        <v/>
      </c>
      <c r="R6" s="5">
        <f>IF($D6="","",IFERROR(INDEX(MATERIAL_VARIANTS!$O:$O,MATCH($D6,MATERIAL_VARIANTS!$A:$A,0)),""))</f>
        <v/>
      </c>
      <c r="S6" s="24">
        <f>IF($D6="","",IFERROR(INDEX(MATERIAL_VARIANTS!$P:$P,MATCH($D6,MATERIAL_VARIANTS!$A:$A,0)),""))</f>
        <v/>
      </c>
      <c r="T6" s="5">
        <f>IF(OR($Q6="",$S6="",$S6=0),"",ROUNDUP($Q6/$S6,0))</f>
        <v/>
      </c>
      <c r="U6" s="5" t="n"/>
    </row>
    <row r="7">
      <c r="A7" s="5" t="n"/>
      <c r="B7" s="5" t="n"/>
      <c r="C7" s="5" t="n"/>
      <c r="D7" s="5" t="n"/>
      <c r="E7" s="5" t="n"/>
      <c r="F7" s="5" t="n"/>
      <c r="G7" s="5">
        <f>IF($C7="","",INDEX(MATERIAL_MASTER!$O:$O,MATCH($C7,MATERIAL_MASTER!$A:$A,0)))</f>
        <v/>
      </c>
      <c r="H7" s="24">
        <f>IF($C7="","",INDEX(MATERIAL_MASTER!$P:$P,MATCH($C7,MATERIAL_MASTER!$A:$A,0)))</f>
        <v/>
      </c>
      <c r="I7" s="24">
        <f>IF($C7="","",INDEX(MATERIAL_FACTOR_APPLICABILITY!$D:$D,MATCH($C7,MATERIAL_FACTOR_APPLICABILITY!$A:$A,0)))</f>
        <v/>
      </c>
      <c r="J7" s="24">
        <f>IF($C7="","",INDEX(MATERIAL_FACTOR_APPLICABILITY!$E:$E,MATCH($C7,MATERIAL_FACTOR_APPLICABILITY!$A:$A,0)))</f>
        <v/>
      </c>
      <c r="K7" s="24">
        <f>IF($C7="","",INDEX(MATERIAL_FACTOR_APPLICABILITY!$F:$F,MATCH($C7,MATERIAL_FACTOR_APPLICABILITY!$A:$A,0)))</f>
        <v/>
      </c>
      <c r="L7" s="24">
        <f>IF($C7="","",INDEX(MATERIAL_FACTOR_APPLICABILITY!$G:$G,MATCH($C7,MATERIAL_FACTOR_APPLICABILITY!$A:$A,0)))</f>
        <v/>
      </c>
      <c r="M7" s="24">
        <f>IF($C7="","",INDEX(MATERIAL_FACTOR_APPLICABILITY!$H:$H,MATCH($C7,MATERIAL_FACTOR_APPLICABILITY!$A:$A,0)))</f>
        <v/>
      </c>
      <c r="N7" s="24">
        <f>IF($B7="","",ROUND(1+($I7*(SUMIFS(OBJECT_CONDITIONS!$W:$W,OBJECT_CONDITIONS!$A:$A,$B7)-1))+($J7*(SUMIFS(OBJECT_CONDITIONS!$J:$J,OBJECT_CONDITIONS!$A:$A,$B7)-1))+($K7*(SUMIFS(OBJECT_CONDITIONS!$L:$L,OBJECT_CONDITIONS!$A:$A,$B7)-1))+($L7*(SUMIFS(OBJECT_CONDITIONS!$N:$N,OBJECT_CONDITIONS!$A:$A,$B7)-1))+($M7*(SUMIFS(OBJECT_CONDITIONS!$R:$R,OBJECT_CONDITIONS!$A:$A,$B7)-1)),3))</f>
        <v/>
      </c>
      <c r="O7" s="24" t="n"/>
      <c r="P7" s="24">
        <f>IF(OR($H7="",$N7=""),"",ROUND($H7*$N7*IF($O7="",1,$O7),3))</f>
        <v/>
      </c>
      <c r="Q7" s="24">
        <f>IF(OR($E7="",$P7=""),"",ROUND($E7*$P7,3))</f>
        <v/>
      </c>
      <c r="R7" s="5">
        <f>IF($D7="","",IFERROR(INDEX(MATERIAL_VARIANTS!$O:$O,MATCH($D7,MATERIAL_VARIANTS!$A:$A,0)),""))</f>
        <v/>
      </c>
      <c r="S7" s="24">
        <f>IF($D7="","",IFERROR(INDEX(MATERIAL_VARIANTS!$P:$P,MATCH($D7,MATERIAL_VARIANTS!$A:$A,0)),""))</f>
        <v/>
      </c>
      <c r="T7" s="5">
        <f>IF(OR($Q7="",$S7="",$S7=0),"",ROUNDUP($Q7/$S7,0))</f>
        <v/>
      </c>
      <c r="U7" s="5" t="n"/>
    </row>
    <row r="8">
      <c r="A8" s="5" t="n"/>
      <c r="B8" s="5" t="n"/>
      <c r="C8" s="5" t="n"/>
      <c r="D8" s="5" t="n"/>
      <c r="E8" s="5" t="n"/>
      <c r="F8" s="5" t="n"/>
      <c r="G8" s="5">
        <f>IF($C8="","",INDEX(MATERIAL_MASTER!$O:$O,MATCH($C8,MATERIAL_MASTER!$A:$A,0)))</f>
        <v/>
      </c>
      <c r="H8" s="24">
        <f>IF($C8="","",INDEX(MATERIAL_MASTER!$P:$P,MATCH($C8,MATERIAL_MASTER!$A:$A,0)))</f>
        <v/>
      </c>
      <c r="I8" s="24">
        <f>IF($C8="","",INDEX(MATERIAL_FACTOR_APPLICABILITY!$D:$D,MATCH($C8,MATERIAL_FACTOR_APPLICABILITY!$A:$A,0)))</f>
        <v/>
      </c>
      <c r="J8" s="24">
        <f>IF($C8="","",INDEX(MATERIAL_FACTOR_APPLICABILITY!$E:$E,MATCH($C8,MATERIAL_FACTOR_APPLICABILITY!$A:$A,0)))</f>
        <v/>
      </c>
      <c r="K8" s="24">
        <f>IF($C8="","",INDEX(MATERIAL_FACTOR_APPLICABILITY!$F:$F,MATCH($C8,MATERIAL_FACTOR_APPLICABILITY!$A:$A,0)))</f>
        <v/>
      </c>
      <c r="L8" s="24">
        <f>IF($C8="","",INDEX(MATERIAL_FACTOR_APPLICABILITY!$G:$G,MATCH($C8,MATERIAL_FACTOR_APPLICABILITY!$A:$A,0)))</f>
        <v/>
      </c>
      <c r="M8" s="24">
        <f>IF($C8="","",INDEX(MATERIAL_FACTOR_APPLICABILITY!$H:$H,MATCH($C8,MATERIAL_FACTOR_APPLICABILITY!$A:$A,0)))</f>
        <v/>
      </c>
      <c r="N8" s="24">
        <f>IF($B8="","",ROUND(1+($I8*(SUMIFS(OBJECT_CONDITIONS!$W:$W,OBJECT_CONDITIONS!$A:$A,$B8)-1))+($J8*(SUMIFS(OBJECT_CONDITIONS!$J:$J,OBJECT_CONDITIONS!$A:$A,$B8)-1))+($K8*(SUMIFS(OBJECT_CONDITIONS!$L:$L,OBJECT_CONDITIONS!$A:$A,$B8)-1))+($L8*(SUMIFS(OBJECT_CONDITIONS!$N:$N,OBJECT_CONDITIONS!$A:$A,$B8)-1))+($M8*(SUMIFS(OBJECT_CONDITIONS!$R:$R,OBJECT_CONDITIONS!$A:$A,$B8)-1)),3))</f>
        <v/>
      </c>
      <c r="O8" s="24" t="n"/>
      <c r="P8" s="24">
        <f>IF(OR($H8="",$N8=""),"",ROUND($H8*$N8*IF($O8="",1,$O8),3))</f>
        <v/>
      </c>
      <c r="Q8" s="24">
        <f>IF(OR($E8="",$P8=""),"",ROUND($E8*$P8,3))</f>
        <v/>
      </c>
      <c r="R8" s="5">
        <f>IF($D8="","",IFERROR(INDEX(MATERIAL_VARIANTS!$O:$O,MATCH($D8,MATERIAL_VARIANTS!$A:$A,0)),""))</f>
        <v/>
      </c>
      <c r="S8" s="24">
        <f>IF($D8="","",IFERROR(INDEX(MATERIAL_VARIANTS!$P:$P,MATCH($D8,MATERIAL_VARIANTS!$A:$A,0)),""))</f>
        <v/>
      </c>
      <c r="T8" s="5">
        <f>IF(OR($Q8="",$S8="",$S8=0),"",ROUNDUP($Q8/$S8,0))</f>
        <v/>
      </c>
      <c r="U8" s="5" t="n"/>
    </row>
    <row r="9">
      <c r="A9" s="5" t="n"/>
      <c r="B9" s="5" t="n"/>
      <c r="C9" s="5" t="n"/>
      <c r="D9" s="5" t="n"/>
      <c r="E9" s="5" t="n"/>
      <c r="F9" s="5" t="n"/>
      <c r="G9" s="5">
        <f>IF($C9="","",INDEX(MATERIAL_MASTER!$O:$O,MATCH($C9,MATERIAL_MASTER!$A:$A,0)))</f>
        <v/>
      </c>
      <c r="H9" s="24">
        <f>IF($C9="","",INDEX(MATERIAL_MASTER!$P:$P,MATCH($C9,MATERIAL_MASTER!$A:$A,0)))</f>
        <v/>
      </c>
      <c r="I9" s="24">
        <f>IF($C9="","",INDEX(MATERIAL_FACTOR_APPLICABILITY!$D:$D,MATCH($C9,MATERIAL_FACTOR_APPLICABILITY!$A:$A,0)))</f>
        <v/>
      </c>
      <c r="J9" s="24">
        <f>IF($C9="","",INDEX(MATERIAL_FACTOR_APPLICABILITY!$E:$E,MATCH($C9,MATERIAL_FACTOR_APPLICABILITY!$A:$A,0)))</f>
        <v/>
      </c>
      <c r="K9" s="24">
        <f>IF($C9="","",INDEX(MATERIAL_FACTOR_APPLICABILITY!$F:$F,MATCH($C9,MATERIAL_FACTOR_APPLICABILITY!$A:$A,0)))</f>
        <v/>
      </c>
      <c r="L9" s="24">
        <f>IF($C9="","",INDEX(MATERIAL_FACTOR_APPLICABILITY!$G:$G,MATCH($C9,MATERIAL_FACTOR_APPLICABILITY!$A:$A,0)))</f>
        <v/>
      </c>
      <c r="M9" s="24">
        <f>IF($C9="","",INDEX(MATERIAL_FACTOR_APPLICABILITY!$H:$H,MATCH($C9,MATERIAL_FACTOR_APPLICABILITY!$A:$A,0)))</f>
        <v/>
      </c>
      <c r="N9" s="24">
        <f>IF($B9="","",ROUND(1+($I9*(SUMIFS(OBJECT_CONDITIONS!$W:$W,OBJECT_CONDITIONS!$A:$A,$B9)-1))+($J9*(SUMIFS(OBJECT_CONDITIONS!$J:$J,OBJECT_CONDITIONS!$A:$A,$B9)-1))+($K9*(SUMIFS(OBJECT_CONDITIONS!$L:$L,OBJECT_CONDITIONS!$A:$A,$B9)-1))+($L9*(SUMIFS(OBJECT_CONDITIONS!$N:$N,OBJECT_CONDITIONS!$A:$A,$B9)-1))+($M9*(SUMIFS(OBJECT_CONDITIONS!$R:$R,OBJECT_CONDITIONS!$A:$A,$B9)-1)),3))</f>
        <v/>
      </c>
      <c r="O9" s="24" t="n"/>
      <c r="P9" s="24">
        <f>IF(OR($H9="",$N9=""),"",ROUND($H9*$N9*IF($O9="",1,$O9),3))</f>
        <v/>
      </c>
      <c r="Q9" s="24">
        <f>IF(OR($E9="",$P9=""),"",ROUND($E9*$P9,3))</f>
        <v/>
      </c>
      <c r="R9" s="5">
        <f>IF($D9="","",IFERROR(INDEX(MATERIAL_VARIANTS!$O:$O,MATCH($D9,MATERIAL_VARIANTS!$A:$A,0)),""))</f>
        <v/>
      </c>
      <c r="S9" s="24">
        <f>IF($D9="","",IFERROR(INDEX(MATERIAL_VARIANTS!$P:$P,MATCH($D9,MATERIAL_VARIANTS!$A:$A,0)),""))</f>
        <v/>
      </c>
      <c r="T9" s="5">
        <f>IF(OR($Q9="",$S9="",$S9=0),"",ROUNDUP($Q9/$S9,0))</f>
        <v/>
      </c>
      <c r="U9" s="5" t="n"/>
    </row>
    <row r="10">
      <c r="A10" s="5" t="n"/>
      <c r="B10" s="5" t="n"/>
      <c r="C10" s="5" t="n"/>
      <c r="D10" s="5" t="n"/>
      <c r="E10" s="5" t="n"/>
      <c r="F10" s="5" t="n"/>
      <c r="G10" s="5">
        <f>IF($C10="","",INDEX(MATERIAL_MASTER!$O:$O,MATCH($C10,MATERIAL_MASTER!$A:$A,0)))</f>
        <v/>
      </c>
      <c r="H10" s="24">
        <f>IF($C10="","",INDEX(MATERIAL_MASTER!$P:$P,MATCH($C10,MATERIAL_MASTER!$A:$A,0)))</f>
        <v/>
      </c>
      <c r="I10" s="24">
        <f>IF($C10="","",INDEX(MATERIAL_FACTOR_APPLICABILITY!$D:$D,MATCH($C10,MATERIAL_FACTOR_APPLICABILITY!$A:$A,0)))</f>
        <v/>
      </c>
      <c r="J10" s="24">
        <f>IF($C10="","",INDEX(MATERIAL_FACTOR_APPLICABILITY!$E:$E,MATCH($C10,MATERIAL_FACTOR_APPLICABILITY!$A:$A,0)))</f>
        <v/>
      </c>
      <c r="K10" s="24">
        <f>IF($C10="","",INDEX(MATERIAL_FACTOR_APPLICABILITY!$F:$F,MATCH($C10,MATERIAL_FACTOR_APPLICABILITY!$A:$A,0)))</f>
        <v/>
      </c>
      <c r="L10" s="24">
        <f>IF($C10="","",INDEX(MATERIAL_FACTOR_APPLICABILITY!$G:$G,MATCH($C10,MATERIAL_FACTOR_APPLICABILITY!$A:$A,0)))</f>
        <v/>
      </c>
      <c r="M10" s="24">
        <f>IF($C10="","",INDEX(MATERIAL_FACTOR_APPLICABILITY!$H:$H,MATCH($C10,MATERIAL_FACTOR_APPLICABILITY!$A:$A,0)))</f>
        <v/>
      </c>
      <c r="N10" s="24">
        <f>IF($B10="","",ROUND(1+($I10*(SUMIFS(OBJECT_CONDITIONS!$W:$W,OBJECT_CONDITIONS!$A:$A,$B10)-1))+($J10*(SUMIFS(OBJECT_CONDITIONS!$J:$J,OBJECT_CONDITIONS!$A:$A,$B10)-1))+($K10*(SUMIFS(OBJECT_CONDITIONS!$L:$L,OBJECT_CONDITIONS!$A:$A,$B10)-1))+($L10*(SUMIFS(OBJECT_CONDITIONS!$N:$N,OBJECT_CONDITIONS!$A:$A,$B10)-1))+($M10*(SUMIFS(OBJECT_CONDITIONS!$R:$R,OBJECT_CONDITIONS!$A:$A,$B10)-1)),3))</f>
        <v/>
      </c>
      <c r="O10" s="24" t="n"/>
      <c r="P10" s="24">
        <f>IF(OR($H10="",$N10=""),"",ROUND($H10*$N10*IF($O10="",1,$O10),3))</f>
        <v/>
      </c>
      <c r="Q10" s="24">
        <f>IF(OR($E10="",$P10=""),"",ROUND($E10*$P10,3))</f>
        <v/>
      </c>
      <c r="R10" s="5">
        <f>IF($D10="","",IFERROR(INDEX(MATERIAL_VARIANTS!$O:$O,MATCH($D10,MATERIAL_VARIANTS!$A:$A,0)),""))</f>
        <v/>
      </c>
      <c r="S10" s="24">
        <f>IF($D10="","",IFERROR(INDEX(MATERIAL_VARIANTS!$P:$P,MATCH($D10,MATERIAL_VARIANTS!$A:$A,0)),""))</f>
        <v/>
      </c>
      <c r="T10" s="5">
        <f>IF(OR($Q10="",$S10="",$S10=0),"",ROUNDUP($Q10/$S10,0))</f>
        <v/>
      </c>
      <c r="U10" s="5" t="n"/>
    </row>
    <row r="11">
      <c r="A11" s="5" t="n"/>
      <c r="B11" s="5" t="n"/>
      <c r="C11" s="5" t="n"/>
      <c r="D11" s="5" t="n"/>
      <c r="E11" s="5" t="n"/>
      <c r="F11" s="5" t="n"/>
      <c r="G11" s="5">
        <f>IF($C11="","",INDEX(MATERIAL_MASTER!$O:$O,MATCH($C11,MATERIAL_MASTER!$A:$A,0)))</f>
        <v/>
      </c>
      <c r="H11" s="24">
        <f>IF($C11="","",INDEX(MATERIAL_MASTER!$P:$P,MATCH($C11,MATERIAL_MASTER!$A:$A,0)))</f>
        <v/>
      </c>
      <c r="I11" s="24">
        <f>IF($C11="","",INDEX(MATERIAL_FACTOR_APPLICABILITY!$D:$D,MATCH($C11,MATERIAL_FACTOR_APPLICABILITY!$A:$A,0)))</f>
        <v/>
      </c>
      <c r="J11" s="24">
        <f>IF($C11="","",INDEX(MATERIAL_FACTOR_APPLICABILITY!$E:$E,MATCH($C11,MATERIAL_FACTOR_APPLICABILITY!$A:$A,0)))</f>
        <v/>
      </c>
      <c r="K11" s="24">
        <f>IF($C11="","",INDEX(MATERIAL_FACTOR_APPLICABILITY!$F:$F,MATCH($C11,MATERIAL_FACTOR_APPLICABILITY!$A:$A,0)))</f>
        <v/>
      </c>
      <c r="L11" s="24">
        <f>IF($C11="","",INDEX(MATERIAL_FACTOR_APPLICABILITY!$G:$G,MATCH($C11,MATERIAL_FACTOR_APPLICABILITY!$A:$A,0)))</f>
        <v/>
      </c>
      <c r="M11" s="24">
        <f>IF($C11="","",INDEX(MATERIAL_FACTOR_APPLICABILITY!$H:$H,MATCH($C11,MATERIAL_FACTOR_APPLICABILITY!$A:$A,0)))</f>
        <v/>
      </c>
      <c r="N11" s="24">
        <f>IF($B11="","",ROUND(1+($I11*(SUMIFS(OBJECT_CONDITIONS!$W:$W,OBJECT_CONDITIONS!$A:$A,$B11)-1))+($J11*(SUMIFS(OBJECT_CONDITIONS!$J:$J,OBJECT_CONDITIONS!$A:$A,$B11)-1))+($K11*(SUMIFS(OBJECT_CONDITIONS!$L:$L,OBJECT_CONDITIONS!$A:$A,$B11)-1))+($L11*(SUMIFS(OBJECT_CONDITIONS!$N:$N,OBJECT_CONDITIONS!$A:$A,$B11)-1))+($M11*(SUMIFS(OBJECT_CONDITIONS!$R:$R,OBJECT_CONDITIONS!$A:$A,$B11)-1)),3))</f>
        <v/>
      </c>
      <c r="O11" s="24" t="n"/>
      <c r="P11" s="24">
        <f>IF(OR($H11="",$N11=""),"",ROUND($H11*$N11*IF($O11="",1,$O11),3))</f>
        <v/>
      </c>
      <c r="Q11" s="24">
        <f>IF(OR($E11="",$P11=""),"",ROUND($E11*$P11,3))</f>
        <v/>
      </c>
      <c r="R11" s="5">
        <f>IF($D11="","",IFERROR(INDEX(MATERIAL_VARIANTS!$O:$O,MATCH($D11,MATERIAL_VARIANTS!$A:$A,0)),""))</f>
        <v/>
      </c>
      <c r="S11" s="24">
        <f>IF($D11="","",IFERROR(INDEX(MATERIAL_VARIANTS!$P:$P,MATCH($D11,MATERIAL_VARIANTS!$A:$A,0)),""))</f>
        <v/>
      </c>
      <c r="T11" s="5">
        <f>IF(OR($Q11="",$S11="",$S11=0),"",ROUNDUP($Q11/$S11,0))</f>
        <v/>
      </c>
      <c r="U11" s="5" t="n"/>
    </row>
    <row r="12">
      <c r="A12" s="5" t="n"/>
      <c r="B12" s="5" t="n"/>
      <c r="C12" s="5" t="n"/>
      <c r="D12" s="5" t="n"/>
      <c r="E12" s="5" t="n"/>
      <c r="F12" s="5" t="n"/>
      <c r="G12" s="5">
        <f>IF($C12="","",INDEX(MATERIAL_MASTER!$O:$O,MATCH($C12,MATERIAL_MASTER!$A:$A,0)))</f>
        <v/>
      </c>
      <c r="H12" s="24">
        <f>IF($C12="","",INDEX(MATERIAL_MASTER!$P:$P,MATCH($C12,MATERIAL_MASTER!$A:$A,0)))</f>
        <v/>
      </c>
      <c r="I12" s="24">
        <f>IF($C12="","",INDEX(MATERIAL_FACTOR_APPLICABILITY!$D:$D,MATCH($C12,MATERIAL_FACTOR_APPLICABILITY!$A:$A,0)))</f>
        <v/>
      </c>
      <c r="J12" s="24">
        <f>IF($C12="","",INDEX(MATERIAL_FACTOR_APPLICABILITY!$E:$E,MATCH($C12,MATERIAL_FACTOR_APPLICABILITY!$A:$A,0)))</f>
        <v/>
      </c>
      <c r="K12" s="24">
        <f>IF($C12="","",INDEX(MATERIAL_FACTOR_APPLICABILITY!$F:$F,MATCH($C12,MATERIAL_FACTOR_APPLICABILITY!$A:$A,0)))</f>
        <v/>
      </c>
      <c r="L12" s="24">
        <f>IF($C12="","",INDEX(MATERIAL_FACTOR_APPLICABILITY!$G:$G,MATCH($C12,MATERIAL_FACTOR_APPLICABILITY!$A:$A,0)))</f>
        <v/>
      </c>
      <c r="M12" s="24">
        <f>IF($C12="","",INDEX(MATERIAL_FACTOR_APPLICABILITY!$H:$H,MATCH($C12,MATERIAL_FACTOR_APPLICABILITY!$A:$A,0)))</f>
        <v/>
      </c>
      <c r="N12" s="24">
        <f>IF($B12="","",ROUND(1+($I12*(SUMIFS(OBJECT_CONDITIONS!$W:$W,OBJECT_CONDITIONS!$A:$A,$B12)-1))+($J12*(SUMIFS(OBJECT_CONDITIONS!$J:$J,OBJECT_CONDITIONS!$A:$A,$B12)-1))+($K12*(SUMIFS(OBJECT_CONDITIONS!$L:$L,OBJECT_CONDITIONS!$A:$A,$B12)-1))+($L12*(SUMIFS(OBJECT_CONDITIONS!$N:$N,OBJECT_CONDITIONS!$A:$A,$B12)-1))+($M12*(SUMIFS(OBJECT_CONDITIONS!$R:$R,OBJECT_CONDITIONS!$A:$A,$B12)-1)),3))</f>
        <v/>
      </c>
      <c r="O12" s="24" t="n"/>
      <c r="P12" s="24">
        <f>IF(OR($H12="",$N12=""),"",ROUND($H12*$N12*IF($O12="",1,$O12),3))</f>
        <v/>
      </c>
      <c r="Q12" s="24">
        <f>IF(OR($E12="",$P12=""),"",ROUND($E12*$P12,3))</f>
        <v/>
      </c>
      <c r="R12" s="5">
        <f>IF($D12="","",IFERROR(INDEX(MATERIAL_VARIANTS!$O:$O,MATCH($D12,MATERIAL_VARIANTS!$A:$A,0)),""))</f>
        <v/>
      </c>
      <c r="S12" s="24">
        <f>IF($D12="","",IFERROR(INDEX(MATERIAL_VARIANTS!$P:$P,MATCH($D12,MATERIAL_VARIANTS!$A:$A,0)),""))</f>
        <v/>
      </c>
      <c r="T12" s="5">
        <f>IF(OR($Q12="",$S12="",$S12=0),"",ROUNDUP($Q12/$S12,0))</f>
        <v/>
      </c>
      <c r="U12" s="5" t="n"/>
    </row>
    <row r="13">
      <c r="A13" s="5" t="n"/>
      <c r="B13" s="5" t="n"/>
      <c r="C13" s="5" t="n"/>
      <c r="D13" s="5" t="n"/>
      <c r="E13" s="5" t="n"/>
      <c r="F13" s="5" t="n"/>
      <c r="G13" s="5">
        <f>IF($C13="","",INDEX(MATERIAL_MASTER!$O:$O,MATCH($C13,MATERIAL_MASTER!$A:$A,0)))</f>
        <v/>
      </c>
      <c r="H13" s="24">
        <f>IF($C13="","",INDEX(MATERIAL_MASTER!$P:$P,MATCH($C13,MATERIAL_MASTER!$A:$A,0)))</f>
        <v/>
      </c>
      <c r="I13" s="24">
        <f>IF($C13="","",INDEX(MATERIAL_FACTOR_APPLICABILITY!$D:$D,MATCH($C13,MATERIAL_FACTOR_APPLICABILITY!$A:$A,0)))</f>
        <v/>
      </c>
      <c r="J13" s="24">
        <f>IF($C13="","",INDEX(MATERIAL_FACTOR_APPLICABILITY!$E:$E,MATCH($C13,MATERIAL_FACTOR_APPLICABILITY!$A:$A,0)))</f>
        <v/>
      </c>
      <c r="K13" s="24">
        <f>IF($C13="","",INDEX(MATERIAL_FACTOR_APPLICABILITY!$F:$F,MATCH($C13,MATERIAL_FACTOR_APPLICABILITY!$A:$A,0)))</f>
        <v/>
      </c>
      <c r="L13" s="24">
        <f>IF($C13="","",INDEX(MATERIAL_FACTOR_APPLICABILITY!$G:$G,MATCH($C13,MATERIAL_FACTOR_APPLICABILITY!$A:$A,0)))</f>
        <v/>
      </c>
      <c r="M13" s="24">
        <f>IF($C13="","",INDEX(MATERIAL_FACTOR_APPLICABILITY!$H:$H,MATCH($C13,MATERIAL_FACTOR_APPLICABILITY!$A:$A,0)))</f>
        <v/>
      </c>
      <c r="N13" s="24">
        <f>IF($B13="","",ROUND(1+($I13*(SUMIFS(OBJECT_CONDITIONS!$W:$W,OBJECT_CONDITIONS!$A:$A,$B13)-1))+($J13*(SUMIFS(OBJECT_CONDITIONS!$J:$J,OBJECT_CONDITIONS!$A:$A,$B13)-1))+($K13*(SUMIFS(OBJECT_CONDITIONS!$L:$L,OBJECT_CONDITIONS!$A:$A,$B13)-1))+($L13*(SUMIFS(OBJECT_CONDITIONS!$N:$N,OBJECT_CONDITIONS!$A:$A,$B13)-1))+($M13*(SUMIFS(OBJECT_CONDITIONS!$R:$R,OBJECT_CONDITIONS!$A:$A,$B13)-1)),3))</f>
        <v/>
      </c>
      <c r="O13" s="24" t="n"/>
      <c r="P13" s="24">
        <f>IF(OR($H13="",$N13=""),"",ROUND($H13*$N13*IF($O13="",1,$O13),3))</f>
        <v/>
      </c>
      <c r="Q13" s="24">
        <f>IF(OR($E13="",$P13=""),"",ROUND($E13*$P13,3))</f>
        <v/>
      </c>
      <c r="R13" s="5">
        <f>IF($D13="","",IFERROR(INDEX(MATERIAL_VARIANTS!$O:$O,MATCH($D13,MATERIAL_VARIANTS!$A:$A,0)),""))</f>
        <v/>
      </c>
      <c r="S13" s="24">
        <f>IF($D13="","",IFERROR(INDEX(MATERIAL_VARIANTS!$P:$P,MATCH($D13,MATERIAL_VARIANTS!$A:$A,0)),""))</f>
        <v/>
      </c>
      <c r="T13" s="5">
        <f>IF(OR($Q13="",$S13="",$S13=0),"",ROUNDUP($Q13/$S13,0))</f>
        <v/>
      </c>
      <c r="U13" s="5" t="n"/>
    </row>
    <row r="14">
      <c r="A14" s="5" t="n"/>
      <c r="B14" s="5" t="n"/>
      <c r="C14" s="5" t="n"/>
      <c r="D14" s="5" t="n"/>
      <c r="E14" s="5" t="n"/>
      <c r="F14" s="5" t="n"/>
      <c r="G14" s="5">
        <f>IF($C14="","",INDEX(MATERIAL_MASTER!$O:$O,MATCH($C14,MATERIAL_MASTER!$A:$A,0)))</f>
        <v/>
      </c>
      <c r="H14" s="24">
        <f>IF($C14="","",INDEX(MATERIAL_MASTER!$P:$P,MATCH($C14,MATERIAL_MASTER!$A:$A,0)))</f>
        <v/>
      </c>
      <c r="I14" s="24">
        <f>IF($C14="","",INDEX(MATERIAL_FACTOR_APPLICABILITY!$D:$D,MATCH($C14,MATERIAL_FACTOR_APPLICABILITY!$A:$A,0)))</f>
        <v/>
      </c>
      <c r="J14" s="24">
        <f>IF($C14="","",INDEX(MATERIAL_FACTOR_APPLICABILITY!$E:$E,MATCH($C14,MATERIAL_FACTOR_APPLICABILITY!$A:$A,0)))</f>
        <v/>
      </c>
      <c r="K14" s="24">
        <f>IF($C14="","",INDEX(MATERIAL_FACTOR_APPLICABILITY!$F:$F,MATCH($C14,MATERIAL_FACTOR_APPLICABILITY!$A:$A,0)))</f>
        <v/>
      </c>
      <c r="L14" s="24">
        <f>IF($C14="","",INDEX(MATERIAL_FACTOR_APPLICABILITY!$G:$G,MATCH($C14,MATERIAL_FACTOR_APPLICABILITY!$A:$A,0)))</f>
        <v/>
      </c>
      <c r="M14" s="24">
        <f>IF($C14="","",INDEX(MATERIAL_FACTOR_APPLICABILITY!$H:$H,MATCH($C14,MATERIAL_FACTOR_APPLICABILITY!$A:$A,0)))</f>
        <v/>
      </c>
      <c r="N14" s="24">
        <f>IF($B14="","",ROUND(1+($I14*(SUMIFS(OBJECT_CONDITIONS!$W:$W,OBJECT_CONDITIONS!$A:$A,$B14)-1))+($J14*(SUMIFS(OBJECT_CONDITIONS!$J:$J,OBJECT_CONDITIONS!$A:$A,$B14)-1))+($K14*(SUMIFS(OBJECT_CONDITIONS!$L:$L,OBJECT_CONDITIONS!$A:$A,$B14)-1))+($L14*(SUMIFS(OBJECT_CONDITIONS!$N:$N,OBJECT_CONDITIONS!$A:$A,$B14)-1))+($M14*(SUMIFS(OBJECT_CONDITIONS!$R:$R,OBJECT_CONDITIONS!$A:$A,$B14)-1)),3))</f>
        <v/>
      </c>
      <c r="O14" s="24" t="n"/>
      <c r="P14" s="24">
        <f>IF(OR($H14="",$N14=""),"",ROUND($H14*$N14*IF($O14="",1,$O14),3))</f>
        <v/>
      </c>
      <c r="Q14" s="24">
        <f>IF(OR($E14="",$P14=""),"",ROUND($E14*$P14,3))</f>
        <v/>
      </c>
      <c r="R14" s="5">
        <f>IF($D14="","",IFERROR(INDEX(MATERIAL_VARIANTS!$O:$O,MATCH($D14,MATERIAL_VARIANTS!$A:$A,0)),""))</f>
        <v/>
      </c>
      <c r="S14" s="24">
        <f>IF($D14="","",IFERROR(INDEX(MATERIAL_VARIANTS!$P:$P,MATCH($D14,MATERIAL_VARIANTS!$A:$A,0)),""))</f>
        <v/>
      </c>
      <c r="T14" s="5">
        <f>IF(OR($Q14="",$S14="",$S14=0),"",ROUNDUP($Q14/$S14,0))</f>
        <v/>
      </c>
      <c r="U14" s="5" t="n"/>
    </row>
    <row r="15">
      <c r="A15" s="5" t="n"/>
      <c r="B15" s="5" t="n"/>
      <c r="C15" s="5" t="n"/>
      <c r="D15" s="5" t="n"/>
      <c r="E15" s="5" t="n"/>
      <c r="F15" s="5" t="n"/>
      <c r="G15" s="5">
        <f>IF($C15="","",INDEX(MATERIAL_MASTER!$O:$O,MATCH($C15,MATERIAL_MASTER!$A:$A,0)))</f>
        <v/>
      </c>
      <c r="H15" s="24">
        <f>IF($C15="","",INDEX(MATERIAL_MASTER!$P:$P,MATCH($C15,MATERIAL_MASTER!$A:$A,0)))</f>
        <v/>
      </c>
      <c r="I15" s="24">
        <f>IF($C15="","",INDEX(MATERIAL_FACTOR_APPLICABILITY!$D:$D,MATCH($C15,MATERIAL_FACTOR_APPLICABILITY!$A:$A,0)))</f>
        <v/>
      </c>
      <c r="J15" s="24">
        <f>IF($C15="","",INDEX(MATERIAL_FACTOR_APPLICABILITY!$E:$E,MATCH($C15,MATERIAL_FACTOR_APPLICABILITY!$A:$A,0)))</f>
        <v/>
      </c>
      <c r="K15" s="24">
        <f>IF($C15="","",INDEX(MATERIAL_FACTOR_APPLICABILITY!$F:$F,MATCH($C15,MATERIAL_FACTOR_APPLICABILITY!$A:$A,0)))</f>
        <v/>
      </c>
      <c r="L15" s="24">
        <f>IF($C15="","",INDEX(MATERIAL_FACTOR_APPLICABILITY!$G:$G,MATCH($C15,MATERIAL_FACTOR_APPLICABILITY!$A:$A,0)))</f>
        <v/>
      </c>
      <c r="M15" s="24">
        <f>IF($C15="","",INDEX(MATERIAL_FACTOR_APPLICABILITY!$H:$H,MATCH($C15,MATERIAL_FACTOR_APPLICABILITY!$A:$A,0)))</f>
        <v/>
      </c>
      <c r="N15" s="24">
        <f>IF($B15="","",ROUND(1+($I15*(SUMIFS(OBJECT_CONDITIONS!$W:$W,OBJECT_CONDITIONS!$A:$A,$B15)-1))+($J15*(SUMIFS(OBJECT_CONDITIONS!$J:$J,OBJECT_CONDITIONS!$A:$A,$B15)-1))+($K15*(SUMIFS(OBJECT_CONDITIONS!$L:$L,OBJECT_CONDITIONS!$A:$A,$B15)-1))+($L15*(SUMIFS(OBJECT_CONDITIONS!$N:$N,OBJECT_CONDITIONS!$A:$A,$B15)-1))+($M15*(SUMIFS(OBJECT_CONDITIONS!$R:$R,OBJECT_CONDITIONS!$A:$A,$B15)-1)),3))</f>
        <v/>
      </c>
      <c r="O15" s="24" t="n"/>
      <c r="P15" s="24">
        <f>IF(OR($H15="",$N15=""),"",ROUND($H15*$N15*IF($O15="",1,$O15),3))</f>
        <v/>
      </c>
      <c r="Q15" s="24">
        <f>IF(OR($E15="",$P15=""),"",ROUND($E15*$P15,3))</f>
        <v/>
      </c>
      <c r="R15" s="5">
        <f>IF($D15="","",IFERROR(INDEX(MATERIAL_VARIANTS!$O:$O,MATCH($D15,MATERIAL_VARIANTS!$A:$A,0)),""))</f>
        <v/>
      </c>
      <c r="S15" s="24">
        <f>IF($D15="","",IFERROR(INDEX(MATERIAL_VARIANTS!$P:$P,MATCH($D15,MATERIAL_VARIANTS!$A:$A,0)),""))</f>
        <v/>
      </c>
      <c r="T15" s="5">
        <f>IF(OR($Q15="",$S15="",$S15=0),"",ROUNDUP($Q15/$S15,0))</f>
        <v/>
      </c>
      <c r="U15" s="5" t="n"/>
    </row>
    <row r="16">
      <c r="A16" s="5" t="n"/>
      <c r="B16" s="5" t="n"/>
      <c r="C16" s="5" t="n"/>
      <c r="D16" s="5" t="n"/>
      <c r="E16" s="5" t="n"/>
      <c r="F16" s="5" t="n"/>
      <c r="G16" s="5">
        <f>IF($C16="","",INDEX(MATERIAL_MASTER!$O:$O,MATCH($C16,MATERIAL_MASTER!$A:$A,0)))</f>
        <v/>
      </c>
      <c r="H16" s="24">
        <f>IF($C16="","",INDEX(MATERIAL_MASTER!$P:$P,MATCH($C16,MATERIAL_MASTER!$A:$A,0)))</f>
        <v/>
      </c>
      <c r="I16" s="24">
        <f>IF($C16="","",INDEX(MATERIAL_FACTOR_APPLICABILITY!$D:$D,MATCH($C16,MATERIAL_FACTOR_APPLICABILITY!$A:$A,0)))</f>
        <v/>
      </c>
      <c r="J16" s="24">
        <f>IF($C16="","",INDEX(MATERIAL_FACTOR_APPLICABILITY!$E:$E,MATCH($C16,MATERIAL_FACTOR_APPLICABILITY!$A:$A,0)))</f>
        <v/>
      </c>
      <c r="K16" s="24">
        <f>IF($C16="","",INDEX(MATERIAL_FACTOR_APPLICABILITY!$F:$F,MATCH($C16,MATERIAL_FACTOR_APPLICABILITY!$A:$A,0)))</f>
        <v/>
      </c>
      <c r="L16" s="24">
        <f>IF($C16="","",INDEX(MATERIAL_FACTOR_APPLICABILITY!$G:$G,MATCH($C16,MATERIAL_FACTOR_APPLICABILITY!$A:$A,0)))</f>
        <v/>
      </c>
      <c r="M16" s="24">
        <f>IF($C16="","",INDEX(MATERIAL_FACTOR_APPLICABILITY!$H:$H,MATCH($C16,MATERIAL_FACTOR_APPLICABILITY!$A:$A,0)))</f>
        <v/>
      </c>
      <c r="N16" s="24">
        <f>IF($B16="","",ROUND(1+($I16*(SUMIFS(OBJECT_CONDITIONS!$W:$W,OBJECT_CONDITIONS!$A:$A,$B16)-1))+($J16*(SUMIFS(OBJECT_CONDITIONS!$J:$J,OBJECT_CONDITIONS!$A:$A,$B16)-1))+($K16*(SUMIFS(OBJECT_CONDITIONS!$L:$L,OBJECT_CONDITIONS!$A:$A,$B16)-1))+($L16*(SUMIFS(OBJECT_CONDITIONS!$N:$N,OBJECT_CONDITIONS!$A:$A,$B16)-1))+($M16*(SUMIFS(OBJECT_CONDITIONS!$R:$R,OBJECT_CONDITIONS!$A:$A,$B16)-1)),3))</f>
        <v/>
      </c>
      <c r="O16" s="24" t="n"/>
      <c r="P16" s="24">
        <f>IF(OR($H16="",$N16=""),"",ROUND($H16*$N16*IF($O16="",1,$O16),3))</f>
        <v/>
      </c>
      <c r="Q16" s="24">
        <f>IF(OR($E16="",$P16=""),"",ROUND($E16*$P16,3))</f>
        <v/>
      </c>
      <c r="R16" s="5">
        <f>IF($D16="","",IFERROR(INDEX(MATERIAL_VARIANTS!$O:$O,MATCH($D16,MATERIAL_VARIANTS!$A:$A,0)),""))</f>
        <v/>
      </c>
      <c r="S16" s="24">
        <f>IF($D16="","",IFERROR(INDEX(MATERIAL_VARIANTS!$P:$P,MATCH($D16,MATERIAL_VARIANTS!$A:$A,0)),""))</f>
        <v/>
      </c>
      <c r="T16" s="5">
        <f>IF(OR($Q16="",$S16="",$S16=0),"",ROUNDUP($Q16/$S16,0))</f>
        <v/>
      </c>
      <c r="U16" s="5" t="n"/>
    </row>
    <row r="17">
      <c r="A17" s="5" t="n"/>
      <c r="B17" s="5" t="n"/>
      <c r="C17" s="5" t="n"/>
      <c r="D17" s="5" t="n"/>
      <c r="E17" s="5" t="n"/>
      <c r="F17" s="5" t="n"/>
      <c r="G17" s="5">
        <f>IF($C17="","",INDEX(MATERIAL_MASTER!$O:$O,MATCH($C17,MATERIAL_MASTER!$A:$A,0)))</f>
        <v/>
      </c>
      <c r="H17" s="24">
        <f>IF($C17="","",INDEX(MATERIAL_MASTER!$P:$P,MATCH($C17,MATERIAL_MASTER!$A:$A,0)))</f>
        <v/>
      </c>
      <c r="I17" s="24">
        <f>IF($C17="","",INDEX(MATERIAL_FACTOR_APPLICABILITY!$D:$D,MATCH($C17,MATERIAL_FACTOR_APPLICABILITY!$A:$A,0)))</f>
        <v/>
      </c>
      <c r="J17" s="24">
        <f>IF($C17="","",INDEX(MATERIAL_FACTOR_APPLICABILITY!$E:$E,MATCH($C17,MATERIAL_FACTOR_APPLICABILITY!$A:$A,0)))</f>
        <v/>
      </c>
      <c r="K17" s="24">
        <f>IF($C17="","",INDEX(MATERIAL_FACTOR_APPLICABILITY!$F:$F,MATCH($C17,MATERIAL_FACTOR_APPLICABILITY!$A:$A,0)))</f>
        <v/>
      </c>
      <c r="L17" s="24">
        <f>IF($C17="","",INDEX(MATERIAL_FACTOR_APPLICABILITY!$G:$G,MATCH($C17,MATERIAL_FACTOR_APPLICABILITY!$A:$A,0)))</f>
        <v/>
      </c>
      <c r="M17" s="24">
        <f>IF($C17="","",INDEX(MATERIAL_FACTOR_APPLICABILITY!$H:$H,MATCH($C17,MATERIAL_FACTOR_APPLICABILITY!$A:$A,0)))</f>
        <v/>
      </c>
      <c r="N17" s="24">
        <f>IF($B17="","",ROUND(1+($I17*(SUMIFS(OBJECT_CONDITIONS!$W:$W,OBJECT_CONDITIONS!$A:$A,$B17)-1))+($J17*(SUMIFS(OBJECT_CONDITIONS!$J:$J,OBJECT_CONDITIONS!$A:$A,$B17)-1))+($K17*(SUMIFS(OBJECT_CONDITIONS!$L:$L,OBJECT_CONDITIONS!$A:$A,$B17)-1))+($L17*(SUMIFS(OBJECT_CONDITIONS!$N:$N,OBJECT_CONDITIONS!$A:$A,$B17)-1))+($M17*(SUMIFS(OBJECT_CONDITIONS!$R:$R,OBJECT_CONDITIONS!$A:$A,$B17)-1)),3))</f>
        <v/>
      </c>
      <c r="O17" s="24" t="n"/>
      <c r="P17" s="24">
        <f>IF(OR($H17="",$N17=""),"",ROUND($H17*$N17*IF($O17="",1,$O17),3))</f>
        <v/>
      </c>
      <c r="Q17" s="24">
        <f>IF(OR($E17="",$P17=""),"",ROUND($E17*$P17,3))</f>
        <v/>
      </c>
      <c r="R17" s="5">
        <f>IF($D17="","",IFERROR(INDEX(MATERIAL_VARIANTS!$O:$O,MATCH($D17,MATERIAL_VARIANTS!$A:$A,0)),""))</f>
        <v/>
      </c>
      <c r="S17" s="24">
        <f>IF($D17="","",IFERROR(INDEX(MATERIAL_VARIANTS!$P:$P,MATCH($D17,MATERIAL_VARIANTS!$A:$A,0)),""))</f>
        <v/>
      </c>
      <c r="T17" s="5">
        <f>IF(OR($Q17="",$S17="",$S17=0),"",ROUNDUP($Q17/$S17,0))</f>
        <v/>
      </c>
      <c r="U17" s="5" t="n"/>
    </row>
    <row r="18">
      <c r="A18" s="5" t="n"/>
      <c r="B18" s="5" t="n"/>
      <c r="C18" s="5" t="n"/>
      <c r="D18" s="5" t="n"/>
      <c r="E18" s="5" t="n"/>
      <c r="F18" s="5" t="n"/>
      <c r="G18" s="5">
        <f>IF($C18="","",INDEX(MATERIAL_MASTER!$O:$O,MATCH($C18,MATERIAL_MASTER!$A:$A,0)))</f>
        <v/>
      </c>
      <c r="H18" s="24">
        <f>IF($C18="","",INDEX(MATERIAL_MASTER!$P:$P,MATCH($C18,MATERIAL_MASTER!$A:$A,0)))</f>
        <v/>
      </c>
      <c r="I18" s="24">
        <f>IF($C18="","",INDEX(MATERIAL_FACTOR_APPLICABILITY!$D:$D,MATCH($C18,MATERIAL_FACTOR_APPLICABILITY!$A:$A,0)))</f>
        <v/>
      </c>
      <c r="J18" s="24">
        <f>IF($C18="","",INDEX(MATERIAL_FACTOR_APPLICABILITY!$E:$E,MATCH($C18,MATERIAL_FACTOR_APPLICABILITY!$A:$A,0)))</f>
        <v/>
      </c>
      <c r="K18" s="24">
        <f>IF($C18="","",INDEX(MATERIAL_FACTOR_APPLICABILITY!$F:$F,MATCH($C18,MATERIAL_FACTOR_APPLICABILITY!$A:$A,0)))</f>
        <v/>
      </c>
      <c r="L18" s="24">
        <f>IF($C18="","",INDEX(MATERIAL_FACTOR_APPLICABILITY!$G:$G,MATCH($C18,MATERIAL_FACTOR_APPLICABILITY!$A:$A,0)))</f>
        <v/>
      </c>
      <c r="M18" s="24">
        <f>IF($C18="","",INDEX(MATERIAL_FACTOR_APPLICABILITY!$H:$H,MATCH($C18,MATERIAL_FACTOR_APPLICABILITY!$A:$A,0)))</f>
        <v/>
      </c>
      <c r="N18" s="24">
        <f>IF($B18="","",ROUND(1+($I18*(SUMIFS(OBJECT_CONDITIONS!$W:$W,OBJECT_CONDITIONS!$A:$A,$B18)-1))+($J18*(SUMIFS(OBJECT_CONDITIONS!$J:$J,OBJECT_CONDITIONS!$A:$A,$B18)-1))+($K18*(SUMIFS(OBJECT_CONDITIONS!$L:$L,OBJECT_CONDITIONS!$A:$A,$B18)-1))+($L18*(SUMIFS(OBJECT_CONDITIONS!$N:$N,OBJECT_CONDITIONS!$A:$A,$B18)-1))+($M18*(SUMIFS(OBJECT_CONDITIONS!$R:$R,OBJECT_CONDITIONS!$A:$A,$B18)-1)),3))</f>
        <v/>
      </c>
      <c r="O18" s="24" t="n"/>
      <c r="P18" s="24">
        <f>IF(OR($H18="",$N18=""),"",ROUND($H18*$N18*IF($O18="",1,$O18),3))</f>
        <v/>
      </c>
      <c r="Q18" s="24">
        <f>IF(OR($E18="",$P18=""),"",ROUND($E18*$P18,3))</f>
        <v/>
      </c>
      <c r="R18" s="5">
        <f>IF($D18="","",IFERROR(INDEX(MATERIAL_VARIANTS!$O:$O,MATCH($D18,MATERIAL_VARIANTS!$A:$A,0)),""))</f>
        <v/>
      </c>
      <c r="S18" s="24">
        <f>IF($D18="","",IFERROR(INDEX(MATERIAL_VARIANTS!$P:$P,MATCH($D18,MATERIAL_VARIANTS!$A:$A,0)),""))</f>
        <v/>
      </c>
      <c r="T18" s="5">
        <f>IF(OR($Q18="",$S18="",$S18=0),"",ROUNDUP($Q18/$S18,0))</f>
        <v/>
      </c>
      <c r="U18" s="5" t="n"/>
    </row>
    <row r="19">
      <c r="A19" s="5" t="n"/>
      <c r="B19" s="5" t="n"/>
      <c r="C19" s="5" t="n"/>
      <c r="D19" s="5" t="n"/>
      <c r="E19" s="5" t="n"/>
      <c r="F19" s="5" t="n"/>
      <c r="G19" s="5">
        <f>IF($C19="","",INDEX(MATERIAL_MASTER!$O:$O,MATCH($C19,MATERIAL_MASTER!$A:$A,0)))</f>
        <v/>
      </c>
      <c r="H19" s="24">
        <f>IF($C19="","",INDEX(MATERIAL_MASTER!$P:$P,MATCH($C19,MATERIAL_MASTER!$A:$A,0)))</f>
        <v/>
      </c>
      <c r="I19" s="24">
        <f>IF($C19="","",INDEX(MATERIAL_FACTOR_APPLICABILITY!$D:$D,MATCH($C19,MATERIAL_FACTOR_APPLICABILITY!$A:$A,0)))</f>
        <v/>
      </c>
      <c r="J19" s="24">
        <f>IF($C19="","",INDEX(MATERIAL_FACTOR_APPLICABILITY!$E:$E,MATCH($C19,MATERIAL_FACTOR_APPLICABILITY!$A:$A,0)))</f>
        <v/>
      </c>
      <c r="K19" s="24">
        <f>IF($C19="","",INDEX(MATERIAL_FACTOR_APPLICABILITY!$F:$F,MATCH($C19,MATERIAL_FACTOR_APPLICABILITY!$A:$A,0)))</f>
        <v/>
      </c>
      <c r="L19" s="24">
        <f>IF($C19="","",INDEX(MATERIAL_FACTOR_APPLICABILITY!$G:$G,MATCH($C19,MATERIAL_FACTOR_APPLICABILITY!$A:$A,0)))</f>
        <v/>
      </c>
      <c r="M19" s="24">
        <f>IF($C19="","",INDEX(MATERIAL_FACTOR_APPLICABILITY!$H:$H,MATCH($C19,MATERIAL_FACTOR_APPLICABILITY!$A:$A,0)))</f>
        <v/>
      </c>
      <c r="N19" s="24">
        <f>IF($B19="","",ROUND(1+($I19*(SUMIFS(OBJECT_CONDITIONS!$W:$W,OBJECT_CONDITIONS!$A:$A,$B19)-1))+($J19*(SUMIFS(OBJECT_CONDITIONS!$J:$J,OBJECT_CONDITIONS!$A:$A,$B19)-1))+($K19*(SUMIFS(OBJECT_CONDITIONS!$L:$L,OBJECT_CONDITIONS!$A:$A,$B19)-1))+($L19*(SUMIFS(OBJECT_CONDITIONS!$N:$N,OBJECT_CONDITIONS!$A:$A,$B19)-1))+($M19*(SUMIFS(OBJECT_CONDITIONS!$R:$R,OBJECT_CONDITIONS!$A:$A,$B19)-1)),3))</f>
        <v/>
      </c>
      <c r="O19" s="24" t="n"/>
      <c r="P19" s="24">
        <f>IF(OR($H19="",$N19=""),"",ROUND($H19*$N19*IF($O19="",1,$O19),3))</f>
        <v/>
      </c>
      <c r="Q19" s="24">
        <f>IF(OR($E19="",$P19=""),"",ROUND($E19*$P19,3))</f>
        <v/>
      </c>
      <c r="R19" s="5">
        <f>IF($D19="","",IFERROR(INDEX(MATERIAL_VARIANTS!$O:$O,MATCH($D19,MATERIAL_VARIANTS!$A:$A,0)),""))</f>
        <v/>
      </c>
      <c r="S19" s="24">
        <f>IF($D19="","",IFERROR(INDEX(MATERIAL_VARIANTS!$P:$P,MATCH($D19,MATERIAL_VARIANTS!$A:$A,0)),""))</f>
        <v/>
      </c>
      <c r="T19" s="5">
        <f>IF(OR($Q19="",$S19="",$S19=0),"",ROUNDUP($Q19/$S19,0))</f>
        <v/>
      </c>
      <c r="U19" s="5" t="n"/>
    </row>
    <row r="20">
      <c r="A20" s="5" t="n"/>
      <c r="B20" s="5" t="n"/>
      <c r="C20" s="5" t="n"/>
      <c r="D20" s="5" t="n"/>
      <c r="E20" s="5" t="n"/>
      <c r="F20" s="5" t="n"/>
      <c r="G20" s="5">
        <f>IF($C20="","",INDEX(MATERIAL_MASTER!$O:$O,MATCH($C20,MATERIAL_MASTER!$A:$A,0)))</f>
        <v/>
      </c>
      <c r="H20" s="24">
        <f>IF($C20="","",INDEX(MATERIAL_MASTER!$P:$P,MATCH($C20,MATERIAL_MASTER!$A:$A,0)))</f>
        <v/>
      </c>
      <c r="I20" s="24">
        <f>IF($C20="","",INDEX(MATERIAL_FACTOR_APPLICABILITY!$D:$D,MATCH($C20,MATERIAL_FACTOR_APPLICABILITY!$A:$A,0)))</f>
        <v/>
      </c>
      <c r="J20" s="24">
        <f>IF($C20="","",INDEX(MATERIAL_FACTOR_APPLICABILITY!$E:$E,MATCH($C20,MATERIAL_FACTOR_APPLICABILITY!$A:$A,0)))</f>
        <v/>
      </c>
      <c r="K20" s="24">
        <f>IF($C20="","",INDEX(MATERIAL_FACTOR_APPLICABILITY!$F:$F,MATCH($C20,MATERIAL_FACTOR_APPLICABILITY!$A:$A,0)))</f>
        <v/>
      </c>
      <c r="L20" s="24">
        <f>IF($C20="","",INDEX(MATERIAL_FACTOR_APPLICABILITY!$G:$G,MATCH($C20,MATERIAL_FACTOR_APPLICABILITY!$A:$A,0)))</f>
        <v/>
      </c>
      <c r="M20" s="24">
        <f>IF($C20="","",INDEX(MATERIAL_FACTOR_APPLICABILITY!$H:$H,MATCH($C20,MATERIAL_FACTOR_APPLICABILITY!$A:$A,0)))</f>
        <v/>
      </c>
      <c r="N20" s="24">
        <f>IF($B20="","",ROUND(1+($I20*(SUMIFS(OBJECT_CONDITIONS!$W:$W,OBJECT_CONDITIONS!$A:$A,$B20)-1))+($J20*(SUMIFS(OBJECT_CONDITIONS!$J:$J,OBJECT_CONDITIONS!$A:$A,$B20)-1))+($K20*(SUMIFS(OBJECT_CONDITIONS!$L:$L,OBJECT_CONDITIONS!$A:$A,$B20)-1))+($L20*(SUMIFS(OBJECT_CONDITIONS!$N:$N,OBJECT_CONDITIONS!$A:$A,$B20)-1))+($M20*(SUMIFS(OBJECT_CONDITIONS!$R:$R,OBJECT_CONDITIONS!$A:$A,$B20)-1)),3))</f>
        <v/>
      </c>
      <c r="O20" s="24" t="n"/>
      <c r="P20" s="24">
        <f>IF(OR($H20="",$N20=""),"",ROUND($H20*$N20*IF($O20="",1,$O20),3))</f>
        <v/>
      </c>
      <c r="Q20" s="24">
        <f>IF(OR($E20="",$P20=""),"",ROUND($E20*$P20,3))</f>
        <v/>
      </c>
      <c r="R20" s="5">
        <f>IF($D20="","",IFERROR(INDEX(MATERIAL_VARIANTS!$O:$O,MATCH($D20,MATERIAL_VARIANTS!$A:$A,0)),""))</f>
        <v/>
      </c>
      <c r="S20" s="24">
        <f>IF($D20="","",IFERROR(INDEX(MATERIAL_VARIANTS!$P:$P,MATCH($D20,MATERIAL_VARIANTS!$A:$A,0)),""))</f>
        <v/>
      </c>
      <c r="T20" s="5">
        <f>IF(OR($Q20="",$S20="",$S20=0),"",ROUNDUP($Q20/$S20,0))</f>
        <v/>
      </c>
      <c r="U20" s="5" t="n"/>
    </row>
    <row r="21">
      <c r="A21" s="5" t="n"/>
      <c r="B21" s="5" t="n"/>
      <c r="C21" s="5" t="n"/>
      <c r="D21" s="5" t="n"/>
      <c r="E21" s="5" t="n"/>
      <c r="F21" s="5" t="n"/>
      <c r="G21" s="5">
        <f>IF($C21="","",INDEX(MATERIAL_MASTER!$O:$O,MATCH($C21,MATERIAL_MASTER!$A:$A,0)))</f>
        <v/>
      </c>
      <c r="H21" s="24">
        <f>IF($C21="","",INDEX(MATERIAL_MASTER!$P:$P,MATCH($C21,MATERIAL_MASTER!$A:$A,0)))</f>
        <v/>
      </c>
      <c r="I21" s="24">
        <f>IF($C21="","",INDEX(MATERIAL_FACTOR_APPLICABILITY!$D:$D,MATCH($C21,MATERIAL_FACTOR_APPLICABILITY!$A:$A,0)))</f>
        <v/>
      </c>
      <c r="J21" s="24">
        <f>IF($C21="","",INDEX(MATERIAL_FACTOR_APPLICABILITY!$E:$E,MATCH($C21,MATERIAL_FACTOR_APPLICABILITY!$A:$A,0)))</f>
        <v/>
      </c>
      <c r="K21" s="24">
        <f>IF($C21="","",INDEX(MATERIAL_FACTOR_APPLICABILITY!$F:$F,MATCH($C21,MATERIAL_FACTOR_APPLICABILITY!$A:$A,0)))</f>
        <v/>
      </c>
      <c r="L21" s="24">
        <f>IF($C21="","",INDEX(MATERIAL_FACTOR_APPLICABILITY!$G:$G,MATCH($C21,MATERIAL_FACTOR_APPLICABILITY!$A:$A,0)))</f>
        <v/>
      </c>
      <c r="M21" s="24">
        <f>IF($C21="","",INDEX(MATERIAL_FACTOR_APPLICABILITY!$H:$H,MATCH($C21,MATERIAL_FACTOR_APPLICABILITY!$A:$A,0)))</f>
        <v/>
      </c>
      <c r="N21" s="24">
        <f>IF($B21="","",ROUND(1+($I21*(SUMIFS(OBJECT_CONDITIONS!$W:$W,OBJECT_CONDITIONS!$A:$A,$B21)-1))+($J21*(SUMIFS(OBJECT_CONDITIONS!$J:$J,OBJECT_CONDITIONS!$A:$A,$B21)-1))+($K21*(SUMIFS(OBJECT_CONDITIONS!$L:$L,OBJECT_CONDITIONS!$A:$A,$B21)-1))+($L21*(SUMIFS(OBJECT_CONDITIONS!$N:$N,OBJECT_CONDITIONS!$A:$A,$B21)-1))+($M21*(SUMIFS(OBJECT_CONDITIONS!$R:$R,OBJECT_CONDITIONS!$A:$A,$B21)-1)),3))</f>
        <v/>
      </c>
      <c r="O21" s="24" t="n"/>
      <c r="P21" s="24">
        <f>IF(OR($H21="",$N21=""),"",ROUND($H21*$N21*IF($O21="",1,$O21),3))</f>
        <v/>
      </c>
      <c r="Q21" s="24">
        <f>IF(OR($E21="",$P21=""),"",ROUND($E21*$P21,3))</f>
        <v/>
      </c>
      <c r="R21" s="5">
        <f>IF($D21="","",IFERROR(INDEX(MATERIAL_VARIANTS!$O:$O,MATCH($D21,MATERIAL_VARIANTS!$A:$A,0)),""))</f>
        <v/>
      </c>
      <c r="S21" s="24">
        <f>IF($D21="","",IFERROR(INDEX(MATERIAL_VARIANTS!$P:$P,MATCH($D21,MATERIAL_VARIANTS!$A:$A,0)),""))</f>
        <v/>
      </c>
      <c r="T21" s="5">
        <f>IF(OR($Q21="",$S21="",$S21=0),"",ROUNDUP($Q21/$S21,0))</f>
        <v/>
      </c>
      <c r="U21" s="5" t="n"/>
    </row>
    <row r="22">
      <c r="A22" s="5" t="n"/>
      <c r="B22" s="5" t="n"/>
      <c r="C22" s="5" t="n"/>
      <c r="D22" s="5" t="n"/>
      <c r="E22" s="5" t="n"/>
      <c r="F22" s="5" t="n"/>
      <c r="G22" s="5">
        <f>IF($C22="","",INDEX(MATERIAL_MASTER!$O:$O,MATCH($C22,MATERIAL_MASTER!$A:$A,0)))</f>
        <v/>
      </c>
      <c r="H22" s="24">
        <f>IF($C22="","",INDEX(MATERIAL_MASTER!$P:$P,MATCH($C22,MATERIAL_MASTER!$A:$A,0)))</f>
        <v/>
      </c>
      <c r="I22" s="24">
        <f>IF($C22="","",INDEX(MATERIAL_FACTOR_APPLICABILITY!$D:$D,MATCH($C22,MATERIAL_FACTOR_APPLICABILITY!$A:$A,0)))</f>
        <v/>
      </c>
      <c r="J22" s="24">
        <f>IF($C22="","",INDEX(MATERIAL_FACTOR_APPLICABILITY!$E:$E,MATCH($C22,MATERIAL_FACTOR_APPLICABILITY!$A:$A,0)))</f>
        <v/>
      </c>
      <c r="K22" s="24">
        <f>IF($C22="","",INDEX(MATERIAL_FACTOR_APPLICABILITY!$F:$F,MATCH($C22,MATERIAL_FACTOR_APPLICABILITY!$A:$A,0)))</f>
        <v/>
      </c>
      <c r="L22" s="24">
        <f>IF($C22="","",INDEX(MATERIAL_FACTOR_APPLICABILITY!$G:$G,MATCH($C22,MATERIAL_FACTOR_APPLICABILITY!$A:$A,0)))</f>
        <v/>
      </c>
      <c r="M22" s="24">
        <f>IF($C22="","",INDEX(MATERIAL_FACTOR_APPLICABILITY!$H:$H,MATCH($C22,MATERIAL_FACTOR_APPLICABILITY!$A:$A,0)))</f>
        <v/>
      </c>
      <c r="N22" s="24">
        <f>IF($B22="","",ROUND(1+($I22*(SUMIFS(OBJECT_CONDITIONS!$W:$W,OBJECT_CONDITIONS!$A:$A,$B22)-1))+($J22*(SUMIFS(OBJECT_CONDITIONS!$J:$J,OBJECT_CONDITIONS!$A:$A,$B22)-1))+($K22*(SUMIFS(OBJECT_CONDITIONS!$L:$L,OBJECT_CONDITIONS!$A:$A,$B22)-1))+($L22*(SUMIFS(OBJECT_CONDITIONS!$N:$N,OBJECT_CONDITIONS!$A:$A,$B22)-1))+($M22*(SUMIFS(OBJECT_CONDITIONS!$R:$R,OBJECT_CONDITIONS!$A:$A,$B22)-1)),3))</f>
        <v/>
      </c>
      <c r="O22" s="24" t="n"/>
      <c r="P22" s="24">
        <f>IF(OR($H22="",$N22=""),"",ROUND($H22*$N22*IF($O22="",1,$O22),3))</f>
        <v/>
      </c>
      <c r="Q22" s="24">
        <f>IF(OR($E22="",$P22=""),"",ROUND($E22*$P22,3))</f>
        <v/>
      </c>
      <c r="R22" s="5">
        <f>IF($D22="","",IFERROR(INDEX(MATERIAL_VARIANTS!$O:$O,MATCH($D22,MATERIAL_VARIANTS!$A:$A,0)),""))</f>
        <v/>
      </c>
      <c r="S22" s="24">
        <f>IF($D22="","",IFERROR(INDEX(MATERIAL_VARIANTS!$P:$P,MATCH($D22,MATERIAL_VARIANTS!$A:$A,0)),""))</f>
        <v/>
      </c>
      <c r="T22" s="5">
        <f>IF(OR($Q22="",$S22="",$S22=0),"",ROUNDUP($Q22/$S22,0))</f>
        <v/>
      </c>
      <c r="U22" s="5" t="n"/>
    </row>
    <row r="23">
      <c r="A23" s="5" t="n"/>
      <c r="B23" s="5" t="n"/>
      <c r="C23" s="5" t="n"/>
      <c r="D23" s="5" t="n"/>
      <c r="E23" s="5" t="n"/>
      <c r="F23" s="5" t="n"/>
      <c r="G23" s="5">
        <f>IF($C23="","",INDEX(MATERIAL_MASTER!$O:$O,MATCH($C23,MATERIAL_MASTER!$A:$A,0)))</f>
        <v/>
      </c>
      <c r="H23" s="24">
        <f>IF($C23="","",INDEX(MATERIAL_MASTER!$P:$P,MATCH($C23,MATERIAL_MASTER!$A:$A,0)))</f>
        <v/>
      </c>
      <c r="I23" s="24">
        <f>IF($C23="","",INDEX(MATERIAL_FACTOR_APPLICABILITY!$D:$D,MATCH($C23,MATERIAL_FACTOR_APPLICABILITY!$A:$A,0)))</f>
        <v/>
      </c>
      <c r="J23" s="24">
        <f>IF($C23="","",INDEX(MATERIAL_FACTOR_APPLICABILITY!$E:$E,MATCH($C23,MATERIAL_FACTOR_APPLICABILITY!$A:$A,0)))</f>
        <v/>
      </c>
      <c r="K23" s="24">
        <f>IF($C23="","",INDEX(MATERIAL_FACTOR_APPLICABILITY!$F:$F,MATCH($C23,MATERIAL_FACTOR_APPLICABILITY!$A:$A,0)))</f>
        <v/>
      </c>
      <c r="L23" s="24">
        <f>IF($C23="","",INDEX(MATERIAL_FACTOR_APPLICABILITY!$G:$G,MATCH($C23,MATERIAL_FACTOR_APPLICABILITY!$A:$A,0)))</f>
        <v/>
      </c>
      <c r="M23" s="24">
        <f>IF($C23="","",INDEX(MATERIAL_FACTOR_APPLICABILITY!$H:$H,MATCH($C23,MATERIAL_FACTOR_APPLICABILITY!$A:$A,0)))</f>
        <v/>
      </c>
      <c r="N23" s="24">
        <f>IF($B23="","",ROUND(1+($I23*(SUMIFS(OBJECT_CONDITIONS!$W:$W,OBJECT_CONDITIONS!$A:$A,$B23)-1))+($J23*(SUMIFS(OBJECT_CONDITIONS!$J:$J,OBJECT_CONDITIONS!$A:$A,$B23)-1))+($K23*(SUMIFS(OBJECT_CONDITIONS!$L:$L,OBJECT_CONDITIONS!$A:$A,$B23)-1))+($L23*(SUMIFS(OBJECT_CONDITIONS!$N:$N,OBJECT_CONDITIONS!$A:$A,$B23)-1))+($M23*(SUMIFS(OBJECT_CONDITIONS!$R:$R,OBJECT_CONDITIONS!$A:$A,$B23)-1)),3))</f>
        <v/>
      </c>
      <c r="O23" s="24" t="n"/>
      <c r="P23" s="24">
        <f>IF(OR($H23="",$N23=""),"",ROUND($H23*$N23*IF($O23="",1,$O23),3))</f>
        <v/>
      </c>
      <c r="Q23" s="24">
        <f>IF(OR($E23="",$P23=""),"",ROUND($E23*$P23,3))</f>
        <v/>
      </c>
      <c r="R23" s="5">
        <f>IF($D23="","",IFERROR(INDEX(MATERIAL_VARIANTS!$O:$O,MATCH($D23,MATERIAL_VARIANTS!$A:$A,0)),""))</f>
        <v/>
      </c>
      <c r="S23" s="24">
        <f>IF($D23="","",IFERROR(INDEX(MATERIAL_VARIANTS!$P:$P,MATCH($D23,MATERIAL_VARIANTS!$A:$A,0)),""))</f>
        <v/>
      </c>
      <c r="T23" s="5">
        <f>IF(OR($Q23="",$S23="",$S23=0),"",ROUNDUP($Q23/$S23,0))</f>
        <v/>
      </c>
      <c r="U23" s="5" t="n"/>
    </row>
    <row r="24">
      <c r="A24" s="5" t="n"/>
      <c r="B24" s="5" t="n"/>
      <c r="C24" s="5" t="n"/>
      <c r="D24" s="5" t="n"/>
      <c r="E24" s="5" t="n"/>
      <c r="F24" s="5" t="n"/>
      <c r="G24" s="5">
        <f>IF($C24="","",INDEX(MATERIAL_MASTER!$O:$O,MATCH($C24,MATERIAL_MASTER!$A:$A,0)))</f>
        <v/>
      </c>
      <c r="H24" s="24">
        <f>IF($C24="","",INDEX(MATERIAL_MASTER!$P:$P,MATCH($C24,MATERIAL_MASTER!$A:$A,0)))</f>
        <v/>
      </c>
      <c r="I24" s="24">
        <f>IF($C24="","",INDEX(MATERIAL_FACTOR_APPLICABILITY!$D:$D,MATCH($C24,MATERIAL_FACTOR_APPLICABILITY!$A:$A,0)))</f>
        <v/>
      </c>
      <c r="J24" s="24">
        <f>IF($C24="","",INDEX(MATERIAL_FACTOR_APPLICABILITY!$E:$E,MATCH($C24,MATERIAL_FACTOR_APPLICABILITY!$A:$A,0)))</f>
        <v/>
      </c>
      <c r="K24" s="24">
        <f>IF($C24="","",INDEX(MATERIAL_FACTOR_APPLICABILITY!$F:$F,MATCH($C24,MATERIAL_FACTOR_APPLICABILITY!$A:$A,0)))</f>
        <v/>
      </c>
      <c r="L24" s="24">
        <f>IF($C24="","",INDEX(MATERIAL_FACTOR_APPLICABILITY!$G:$G,MATCH($C24,MATERIAL_FACTOR_APPLICABILITY!$A:$A,0)))</f>
        <v/>
      </c>
      <c r="M24" s="24">
        <f>IF($C24="","",INDEX(MATERIAL_FACTOR_APPLICABILITY!$H:$H,MATCH($C24,MATERIAL_FACTOR_APPLICABILITY!$A:$A,0)))</f>
        <v/>
      </c>
      <c r="N24" s="24">
        <f>IF($B24="","",ROUND(1+($I24*(SUMIFS(OBJECT_CONDITIONS!$W:$W,OBJECT_CONDITIONS!$A:$A,$B24)-1))+($J24*(SUMIFS(OBJECT_CONDITIONS!$J:$J,OBJECT_CONDITIONS!$A:$A,$B24)-1))+($K24*(SUMIFS(OBJECT_CONDITIONS!$L:$L,OBJECT_CONDITIONS!$A:$A,$B24)-1))+($L24*(SUMIFS(OBJECT_CONDITIONS!$N:$N,OBJECT_CONDITIONS!$A:$A,$B24)-1))+($M24*(SUMIFS(OBJECT_CONDITIONS!$R:$R,OBJECT_CONDITIONS!$A:$A,$B24)-1)),3))</f>
        <v/>
      </c>
      <c r="O24" s="24" t="n"/>
      <c r="P24" s="24">
        <f>IF(OR($H24="",$N24=""),"",ROUND($H24*$N24*IF($O24="",1,$O24),3))</f>
        <v/>
      </c>
      <c r="Q24" s="24">
        <f>IF(OR($E24="",$P24=""),"",ROUND($E24*$P24,3))</f>
        <v/>
      </c>
      <c r="R24" s="5">
        <f>IF($D24="","",IFERROR(INDEX(MATERIAL_VARIANTS!$O:$O,MATCH($D24,MATERIAL_VARIANTS!$A:$A,0)),""))</f>
        <v/>
      </c>
      <c r="S24" s="24">
        <f>IF($D24="","",IFERROR(INDEX(MATERIAL_VARIANTS!$P:$P,MATCH($D24,MATERIAL_VARIANTS!$A:$A,0)),""))</f>
        <v/>
      </c>
      <c r="T24" s="5">
        <f>IF(OR($Q24="",$S24="",$S24=0),"",ROUNDUP($Q24/$S24,0))</f>
        <v/>
      </c>
      <c r="U24" s="5" t="n"/>
    </row>
    <row r="25">
      <c r="A25" s="5" t="n"/>
      <c r="B25" s="5" t="n"/>
      <c r="C25" s="5" t="n"/>
      <c r="D25" s="5" t="n"/>
      <c r="E25" s="5" t="n"/>
      <c r="F25" s="5" t="n"/>
      <c r="G25" s="5">
        <f>IF($C25="","",INDEX(MATERIAL_MASTER!$O:$O,MATCH($C25,MATERIAL_MASTER!$A:$A,0)))</f>
        <v/>
      </c>
      <c r="H25" s="24">
        <f>IF($C25="","",INDEX(MATERIAL_MASTER!$P:$P,MATCH($C25,MATERIAL_MASTER!$A:$A,0)))</f>
        <v/>
      </c>
      <c r="I25" s="24">
        <f>IF($C25="","",INDEX(MATERIAL_FACTOR_APPLICABILITY!$D:$D,MATCH($C25,MATERIAL_FACTOR_APPLICABILITY!$A:$A,0)))</f>
        <v/>
      </c>
      <c r="J25" s="24">
        <f>IF($C25="","",INDEX(MATERIAL_FACTOR_APPLICABILITY!$E:$E,MATCH($C25,MATERIAL_FACTOR_APPLICABILITY!$A:$A,0)))</f>
        <v/>
      </c>
      <c r="K25" s="24">
        <f>IF($C25="","",INDEX(MATERIAL_FACTOR_APPLICABILITY!$F:$F,MATCH($C25,MATERIAL_FACTOR_APPLICABILITY!$A:$A,0)))</f>
        <v/>
      </c>
      <c r="L25" s="24">
        <f>IF($C25="","",INDEX(MATERIAL_FACTOR_APPLICABILITY!$G:$G,MATCH($C25,MATERIAL_FACTOR_APPLICABILITY!$A:$A,0)))</f>
        <v/>
      </c>
      <c r="M25" s="24">
        <f>IF($C25="","",INDEX(MATERIAL_FACTOR_APPLICABILITY!$H:$H,MATCH($C25,MATERIAL_FACTOR_APPLICABILITY!$A:$A,0)))</f>
        <v/>
      </c>
      <c r="N25" s="24">
        <f>IF($B25="","",ROUND(1+($I25*(SUMIFS(OBJECT_CONDITIONS!$W:$W,OBJECT_CONDITIONS!$A:$A,$B25)-1))+($J25*(SUMIFS(OBJECT_CONDITIONS!$J:$J,OBJECT_CONDITIONS!$A:$A,$B25)-1))+($K25*(SUMIFS(OBJECT_CONDITIONS!$L:$L,OBJECT_CONDITIONS!$A:$A,$B25)-1))+($L25*(SUMIFS(OBJECT_CONDITIONS!$N:$N,OBJECT_CONDITIONS!$A:$A,$B25)-1))+($M25*(SUMIFS(OBJECT_CONDITIONS!$R:$R,OBJECT_CONDITIONS!$A:$A,$B25)-1)),3))</f>
        <v/>
      </c>
      <c r="O25" s="24" t="n"/>
      <c r="P25" s="24">
        <f>IF(OR($H25="",$N25=""),"",ROUND($H25*$N25*IF($O25="",1,$O25),3))</f>
        <v/>
      </c>
      <c r="Q25" s="24">
        <f>IF(OR($E25="",$P25=""),"",ROUND($E25*$P25,3))</f>
        <v/>
      </c>
      <c r="R25" s="5">
        <f>IF($D25="","",IFERROR(INDEX(MATERIAL_VARIANTS!$O:$O,MATCH($D25,MATERIAL_VARIANTS!$A:$A,0)),""))</f>
        <v/>
      </c>
      <c r="S25" s="24">
        <f>IF($D25="","",IFERROR(INDEX(MATERIAL_VARIANTS!$P:$P,MATCH($D25,MATERIAL_VARIANTS!$A:$A,0)),""))</f>
        <v/>
      </c>
      <c r="T25" s="5">
        <f>IF(OR($Q25="",$S25="",$S25=0),"",ROUNDUP($Q25/$S25,0))</f>
        <v/>
      </c>
      <c r="U25" s="5" t="n"/>
    </row>
    <row r="26">
      <c r="A26" s="5" t="n"/>
      <c r="B26" s="5" t="n"/>
      <c r="C26" s="5" t="n"/>
      <c r="D26" s="5" t="n"/>
      <c r="E26" s="5" t="n"/>
      <c r="F26" s="5" t="n"/>
      <c r="G26" s="5">
        <f>IF($C26="","",INDEX(MATERIAL_MASTER!$O:$O,MATCH($C26,MATERIAL_MASTER!$A:$A,0)))</f>
        <v/>
      </c>
      <c r="H26" s="24">
        <f>IF($C26="","",INDEX(MATERIAL_MASTER!$P:$P,MATCH($C26,MATERIAL_MASTER!$A:$A,0)))</f>
        <v/>
      </c>
      <c r="I26" s="24">
        <f>IF($C26="","",INDEX(MATERIAL_FACTOR_APPLICABILITY!$D:$D,MATCH($C26,MATERIAL_FACTOR_APPLICABILITY!$A:$A,0)))</f>
        <v/>
      </c>
      <c r="J26" s="24">
        <f>IF($C26="","",INDEX(MATERIAL_FACTOR_APPLICABILITY!$E:$E,MATCH($C26,MATERIAL_FACTOR_APPLICABILITY!$A:$A,0)))</f>
        <v/>
      </c>
      <c r="K26" s="24">
        <f>IF($C26="","",INDEX(MATERIAL_FACTOR_APPLICABILITY!$F:$F,MATCH($C26,MATERIAL_FACTOR_APPLICABILITY!$A:$A,0)))</f>
        <v/>
      </c>
      <c r="L26" s="24">
        <f>IF($C26="","",INDEX(MATERIAL_FACTOR_APPLICABILITY!$G:$G,MATCH($C26,MATERIAL_FACTOR_APPLICABILITY!$A:$A,0)))</f>
        <v/>
      </c>
      <c r="M26" s="24">
        <f>IF($C26="","",INDEX(MATERIAL_FACTOR_APPLICABILITY!$H:$H,MATCH($C26,MATERIAL_FACTOR_APPLICABILITY!$A:$A,0)))</f>
        <v/>
      </c>
      <c r="N26" s="24">
        <f>IF($B26="","",ROUND(1+($I26*(SUMIFS(OBJECT_CONDITIONS!$W:$W,OBJECT_CONDITIONS!$A:$A,$B26)-1))+($J26*(SUMIFS(OBJECT_CONDITIONS!$J:$J,OBJECT_CONDITIONS!$A:$A,$B26)-1))+($K26*(SUMIFS(OBJECT_CONDITIONS!$L:$L,OBJECT_CONDITIONS!$A:$A,$B26)-1))+($L26*(SUMIFS(OBJECT_CONDITIONS!$N:$N,OBJECT_CONDITIONS!$A:$A,$B26)-1))+($M26*(SUMIFS(OBJECT_CONDITIONS!$R:$R,OBJECT_CONDITIONS!$A:$A,$B26)-1)),3))</f>
        <v/>
      </c>
      <c r="O26" s="24" t="n"/>
      <c r="P26" s="24">
        <f>IF(OR($H26="",$N26=""),"",ROUND($H26*$N26*IF($O26="",1,$O26),3))</f>
        <v/>
      </c>
      <c r="Q26" s="24">
        <f>IF(OR($E26="",$P26=""),"",ROUND($E26*$P26,3))</f>
        <v/>
      </c>
      <c r="R26" s="5">
        <f>IF($D26="","",IFERROR(INDEX(MATERIAL_VARIANTS!$O:$O,MATCH($D26,MATERIAL_VARIANTS!$A:$A,0)),""))</f>
        <v/>
      </c>
      <c r="S26" s="24">
        <f>IF($D26="","",IFERROR(INDEX(MATERIAL_VARIANTS!$P:$P,MATCH($D26,MATERIAL_VARIANTS!$A:$A,0)),""))</f>
        <v/>
      </c>
      <c r="T26" s="5">
        <f>IF(OR($Q26="",$S26="",$S26=0),"",ROUNDUP($Q26/$S26,0))</f>
        <v/>
      </c>
      <c r="U26" s="5" t="n"/>
    </row>
    <row r="27">
      <c r="A27" s="5" t="n"/>
      <c r="B27" s="5" t="n"/>
      <c r="C27" s="5" t="n"/>
      <c r="D27" s="5" t="n"/>
      <c r="E27" s="5" t="n"/>
      <c r="F27" s="5" t="n"/>
      <c r="G27" s="5">
        <f>IF($C27="","",INDEX(MATERIAL_MASTER!$O:$O,MATCH($C27,MATERIAL_MASTER!$A:$A,0)))</f>
        <v/>
      </c>
      <c r="H27" s="24">
        <f>IF($C27="","",INDEX(MATERIAL_MASTER!$P:$P,MATCH($C27,MATERIAL_MASTER!$A:$A,0)))</f>
        <v/>
      </c>
      <c r="I27" s="24">
        <f>IF($C27="","",INDEX(MATERIAL_FACTOR_APPLICABILITY!$D:$D,MATCH($C27,MATERIAL_FACTOR_APPLICABILITY!$A:$A,0)))</f>
        <v/>
      </c>
      <c r="J27" s="24">
        <f>IF($C27="","",INDEX(MATERIAL_FACTOR_APPLICABILITY!$E:$E,MATCH($C27,MATERIAL_FACTOR_APPLICABILITY!$A:$A,0)))</f>
        <v/>
      </c>
      <c r="K27" s="24">
        <f>IF($C27="","",INDEX(MATERIAL_FACTOR_APPLICABILITY!$F:$F,MATCH($C27,MATERIAL_FACTOR_APPLICABILITY!$A:$A,0)))</f>
        <v/>
      </c>
      <c r="L27" s="24">
        <f>IF($C27="","",INDEX(MATERIAL_FACTOR_APPLICABILITY!$G:$G,MATCH($C27,MATERIAL_FACTOR_APPLICABILITY!$A:$A,0)))</f>
        <v/>
      </c>
      <c r="M27" s="24">
        <f>IF($C27="","",INDEX(MATERIAL_FACTOR_APPLICABILITY!$H:$H,MATCH($C27,MATERIAL_FACTOR_APPLICABILITY!$A:$A,0)))</f>
        <v/>
      </c>
      <c r="N27" s="24">
        <f>IF($B27="","",ROUND(1+($I27*(SUMIFS(OBJECT_CONDITIONS!$W:$W,OBJECT_CONDITIONS!$A:$A,$B27)-1))+($J27*(SUMIFS(OBJECT_CONDITIONS!$J:$J,OBJECT_CONDITIONS!$A:$A,$B27)-1))+($K27*(SUMIFS(OBJECT_CONDITIONS!$L:$L,OBJECT_CONDITIONS!$A:$A,$B27)-1))+($L27*(SUMIFS(OBJECT_CONDITIONS!$N:$N,OBJECT_CONDITIONS!$A:$A,$B27)-1))+($M27*(SUMIFS(OBJECT_CONDITIONS!$R:$R,OBJECT_CONDITIONS!$A:$A,$B27)-1)),3))</f>
        <v/>
      </c>
      <c r="O27" s="24" t="n"/>
      <c r="P27" s="24">
        <f>IF(OR($H27="",$N27=""),"",ROUND($H27*$N27*IF($O27="",1,$O27),3))</f>
        <v/>
      </c>
      <c r="Q27" s="24">
        <f>IF(OR($E27="",$P27=""),"",ROUND($E27*$P27,3))</f>
        <v/>
      </c>
      <c r="R27" s="5">
        <f>IF($D27="","",IFERROR(INDEX(MATERIAL_VARIANTS!$O:$O,MATCH($D27,MATERIAL_VARIANTS!$A:$A,0)),""))</f>
        <v/>
      </c>
      <c r="S27" s="24">
        <f>IF($D27="","",IFERROR(INDEX(MATERIAL_VARIANTS!$P:$P,MATCH($D27,MATERIAL_VARIANTS!$A:$A,0)),""))</f>
        <v/>
      </c>
      <c r="T27" s="5">
        <f>IF(OR($Q27="",$S27="",$S27=0),"",ROUNDUP($Q27/$S27,0))</f>
        <v/>
      </c>
      <c r="U27" s="5" t="n"/>
    </row>
    <row r="28">
      <c r="A28" s="5" t="n"/>
      <c r="B28" s="5" t="n"/>
      <c r="C28" s="5" t="n"/>
      <c r="D28" s="5" t="n"/>
      <c r="E28" s="5" t="n"/>
      <c r="F28" s="5" t="n"/>
      <c r="G28" s="5">
        <f>IF($C28="","",INDEX(MATERIAL_MASTER!$O:$O,MATCH($C28,MATERIAL_MASTER!$A:$A,0)))</f>
        <v/>
      </c>
      <c r="H28" s="24">
        <f>IF($C28="","",INDEX(MATERIAL_MASTER!$P:$P,MATCH($C28,MATERIAL_MASTER!$A:$A,0)))</f>
        <v/>
      </c>
      <c r="I28" s="24">
        <f>IF($C28="","",INDEX(MATERIAL_FACTOR_APPLICABILITY!$D:$D,MATCH($C28,MATERIAL_FACTOR_APPLICABILITY!$A:$A,0)))</f>
        <v/>
      </c>
      <c r="J28" s="24">
        <f>IF($C28="","",INDEX(MATERIAL_FACTOR_APPLICABILITY!$E:$E,MATCH($C28,MATERIAL_FACTOR_APPLICABILITY!$A:$A,0)))</f>
        <v/>
      </c>
      <c r="K28" s="24">
        <f>IF($C28="","",INDEX(MATERIAL_FACTOR_APPLICABILITY!$F:$F,MATCH($C28,MATERIAL_FACTOR_APPLICABILITY!$A:$A,0)))</f>
        <v/>
      </c>
      <c r="L28" s="24">
        <f>IF($C28="","",INDEX(MATERIAL_FACTOR_APPLICABILITY!$G:$G,MATCH($C28,MATERIAL_FACTOR_APPLICABILITY!$A:$A,0)))</f>
        <v/>
      </c>
      <c r="M28" s="24">
        <f>IF($C28="","",INDEX(MATERIAL_FACTOR_APPLICABILITY!$H:$H,MATCH($C28,MATERIAL_FACTOR_APPLICABILITY!$A:$A,0)))</f>
        <v/>
      </c>
      <c r="N28" s="24">
        <f>IF($B28="","",ROUND(1+($I28*(SUMIFS(OBJECT_CONDITIONS!$W:$W,OBJECT_CONDITIONS!$A:$A,$B28)-1))+($J28*(SUMIFS(OBJECT_CONDITIONS!$J:$J,OBJECT_CONDITIONS!$A:$A,$B28)-1))+($K28*(SUMIFS(OBJECT_CONDITIONS!$L:$L,OBJECT_CONDITIONS!$A:$A,$B28)-1))+($L28*(SUMIFS(OBJECT_CONDITIONS!$N:$N,OBJECT_CONDITIONS!$A:$A,$B28)-1))+($M28*(SUMIFS(OBJECT_CONDITIONS!$R:$R,OBJECT_CONDITIONS!$A:$A,$B28)-1)),3))</f>
        <v/>
      </c>
      <c r="O28" s="24" t="n"/>
      <c r="P28" s="24">
        <f>IF(OR($H28="",$N28=""),"",ROUND($H28*$N28*IF($O28="",1,$O28),3))</f>
        <v/>
      </c>
      <c r="Q28" s="24">
        <f>IF(OR($E28="",$P28=""),"",ROUND($E28*$P28,3))</f>
        <v/>
      </c>
      <c r="R28" s="5">
        <f>IF($D28="","",IFERROR(INDEX(MATERIAL_VARIANTS!$O:$O,MATCH($D28,MATERIAL_VARIANTS!$A:$A,0)),""))</f>
        <v/>
      </c>
      <c r="S28" s="24">
        <f>IF($D28="","",IFERROR(INDEX(MATERIAL_VARIANTS!$P:$P,MATCH($D28,MATERIAL_VARIANTS!$A:$A,0)),""))</f>
        <v/>
      </c>
      <c r="T28" s="5">
        <f>IF(OR($Q28="",$S28="",$S28=0),"",ROUNDUP($Q28/$S28,0))</f>
        <v/>
      </c>
      <c r="U28" s="5" t="n"/>
    </row>
    <row r="29">
      <c r="A29" s="5" t="n"/>
      <c r="B29" s="5" t="n"/>
      <c r="C29" s="5" t="n"/>
      <c r="D29" s="5" t="n"/>
      <c r="E29" s="5" t="n"/>
      <c r="F29" s="5" t="n"/>
      <c r="G29" s="5">
        <f>IF($C29="","",INDEX(MATERIAL_MASTER!$O:$O,MATCH($C29,MATERIAL_MASTER!$A:$A,0)))</f>
        <v/>
      </c>
      <c r="H29" s="24">
        <f>IF($C29="","",INDEX(MATERIAL_MASTER!$P:$P,MATCH($C29,MATERIAL_MASTER!$A:$A,0)))</f>
        <v/>
      </c>
      <c r="I29" s="24">
        <f>IF($C29="","",INDEX(MATERIAL_FACTOR_APPLICABILITY!$D:$D,MATCH($C29,MATERIAL_FACTOR_APPLICABILITY!$A:$A,0)))</f>
        <v/>
      </c>
      <c r="J29" s="24">
        <f>IF($C29="","",INDEX(MATERIAL_FACTOR_APPLICABILITY!$E:$E,MATCH($C29,MATERIAL_FACTOR_APPLICABILITY!$A:$A,0)))</f>
        <v/>
      </c>
      <c r="K29" s="24">
        <f>IF($C29="","",INDEX(MATERIAL_FACTOR_APPLICABILITY!$F:$F,MATCH($C29,MATERIAL_FACTOR_APPLICABILITY!$A:$A,0)))</f>
        <v/>
      </c>
      <c r="L29" s="24">
        <f>IF($C29="","",INDEX(MATERIAL_FACTOR_APPLICABILITY!$G:$G,MATCH($C29,MATERIAL_FACTOR_APPLICABILITY!$A:$A,0)))</f>
        <v/>
      </c>
      <c r="M29" s="24">
        <f>IF($C29="","",INDEX(MATERIAL_FACTOR_APPLICABILITY!$H:$H,MATCH($C29,MATERIAL_FACTOR_APPLICABILITY!$A:$A,0)))</f>
        <v/>
      </c>
      <c r="N29" s="24">
        <f>IF($B29="","",ROUND(1+($I29*(SUMIFS(OBJECT_CONDITIONS!$W:$W,OBJECT_CONDITIONS!$A:$A,$B29)-1))+($J29*(SUMIFS(OBJECT_CONDITIONS!$J:$J,OBJECT_CONDITIONS!$A:$A,$B29)-1))+($K29*(SUMIFS(OBJECT_CONDITIONS!$L:$L,OBJECT_CONDITIONS!$A:$A,$B29)-1))+($L29*(SUMIFS(OBJECT_CONDITIONS!$N:$N,OBJECT_CONDITIONS!$A:$A,$B29)-1))+($M29*(SUMIFS(OBJECT_CONDITIONS!$R:$R,OBJECT_CONDITIONS!$A:$A,$B29)-1)),3))</f>
        <v/>
      </c>
      <c r="O29" s="24" t="n"/>
      <c r="P29" s="24">
        <f>IF(OR($H29="",$N29=""),"",ROUND($H29*$N29*IF($O29="",1,$O29),3))</f>
        <v/>
      </c>
      <c r="Q29" s="24">
        <f>IF(OR($E29="",$P29=""),"",ROUND($E29*$P29,3))</f>
        <v/>
      </c>
      <c r="R29" s="5">
        <f>IF($D29="","",IFERROR(INDEX(MATERIAL_VARIANTS!$O:$O,MATCH($D29,MATERIAL_VARIANTS!$A:$A,0)),""))</f>
        <v/>
      </c>
      <c r="S29" s="24">
        <f>IF($D29="","",IFERROR(INDEX(MATERIAL_VARIANTS!$P:$P,MATCH($D29,MATERIAL_VARIANTS!$A:$A,0)),""))</f>
        <v/>
      </c>
      <c r="T29" s="5">
        <f>IF(OR($Q29="",$S29="",$S29=0),"",ROUNDUP($Q29/$S29,0))</f>
        <v/>
      </c>
      <c r="U29" s="5" t="n"/>
    </row>
    <row r="30">
      <c r="A30" s="5" t="n"/>
      <c r="B30" s="5" t="n"/>
      <c r="C30" s="5" t="n"/>
      <c r="D30" s="5" t="n"/>
      <c r="E30" s="5" t="n"/>
      <c r="F30" s="5" t="n"/>
      <c r="G30" s="5">
        <f>IF($C30="","",INDEX(MATERIAL_MASTER!$O:$O,MATCH($C30,MATERIAL_MASTER!$A:$A,0)))</f>
        <v/>
      </c>
      <c r="H30" s="24">
        <f>IF($C30="","",INDEX(MATERIAL_MASTER!$P:$P,MATCH($C30,MATERIAL_MASTER!$A:$A,0)))</f>
        <v/>
      </c>
      <c r="I30" s="24">
        <f>IF($C30="","",INDEX(MATERIAL_FACTOR_APPLICABILITY!$D:$D,MATCH($C30,MATERIAL_FACTOR_APPLICABILITY!$A:$A,0)))</f>
        <v/>
      </c>
      <c r="J30" s="24">
        <f>IF($C30="","",INDEX(MATERIAL_FACTOR_APPLICABILITY!$E:$E,MATCH($C30,MATERIAL_FACTOR_APPLICABILITY!$A:$A,0)))</f>
        <v/>
      </c>
      <c r="K30" s="24">
        <f>IF($C30="","",INDEX(MATERIAL_FACTOR_APPLICABILITY!$F:$F,MATCH($C30,MATERIAL_FACTOR_APPLICABILITY!$A:$A,0)))</f>
        <v/>
      </c>
      <c r="L30" s="24">
        <f>IF($C30="","",INDEX(MATERIAL_FACTOR_APPLICABILITY!$G:$G,MATCH($C30,MATERIAL_FACTOR_APPLICABILITY!$A:$A,0)))</f>
        <v/>
      </c>
      <c r="M30" s="24">
        <f>IF($C30="","",INDEX(MATERIAL_FACTOR_APPLICABILITY!$H:$H,MATCH($C30,MATERIAL_FACTOR_APPLICABILITY!$A:$A,0)))</f>
        <v/>
      </c>
      <c r="N30" s="24">
        <f>IF($B30="","",ROUND(1+($I30*(SUMIFS(OBJECT_CONDITIONS!$W:$W,OBJECT_CONDITIONS!$A:$A,$B30)-1))+($J30*(SUMIFS(OBJECT_CONDITIONS!$J:$J,OBJECT_CONDITIONS!$A:$A,$B30)-1))+($K30*(SUMIFS(OBJECT_CONDITIONS!$L:$L,OBJECT_CONDITIONS!$A:$A,$B30)-1))+($L30*(SUMIFS(OBJECT_CONDITIONS!$N:$N,OBJECT_CONDITIONS!$A:$A,$B30)-1))+($M30*(SUMIFS(OBJECT_CONDITIONS!$R:$R,OBJECT_CONDITIONS!$A:$A,$B30)-1)),3))</f>
        <v/>
      </c>
      <c r="O30" s="24" t="n"/>
      <c r="P30" s="24">
        <f>IF(OR($H30="",$N30=""),"",ROUND($H30*$N30*IF($O30="",1,$O30),3))</f>
        <v/>
      </c>
      <c r="Q30" s="24">
        <f>IF(OR($E30="",$P30=""),"",ROUND($E30*$P30,3))</f>
        <v/>
      </c>
      <c r="R30" s="5">
        <f>IF($D30="","",IFERROR(INDEX(MATERIAL_VARIANTS!$O:$O,MATCH($D30,MATERIAL_VARIANTS!$A:$A,0)),""))</f>
        <v/>
      </c>
      <c r="S30" s="24">
        <f>IF($D30="","",IFERROR(INDEX(MATERIAL_VARIANTS!$P:$P,MATCH($D30,MATERIAL_VARIANTS!$A:$A,0)),""))</f>
        <v/>
      </c>
      <c r="T30" s="5">
        <f>IF(OR($Q30="",$S30="",$S30=0),"",ROUNDUP($Q30/$S30,0))</f>
        <v/>
      </c>
      <c r="U30" s="5" t="n"/>
    </row>
    <row r="31">
      <c r="A31" s="5" t="n"/>
      <c r="B31" s="5" t="n"/>
      <c r="C31" s="5" t="n"/>
      <c r="D31" s="5" t="n"/>
      <c r="E31" s="5" t="n"/>
      <c r="F31" s="5" t="n"/>
      <c r="G31" s="5">
        <f>IF($C31="","",INDEX(MATERIAL_MASTER!$O:$O,MATCH($C31,MATERIAL_MASTER!$A:$A,0)))</f>
        <v/>
      </c>
      <c r="H31" s="24">
        <f>IF($C31="","",INDEX(MATERIAL_MASTER!$P:$P,MATCH($C31,MATERIAL_MASTER!$A:$A,0)))</f>
        <v/>
      </c>
      <c r="I31" s="24">
        <f>IF($C31="","",INDEX(MATERIAL_FACTOR_APPLICABILITY!$D:$D,MATCH($C31,MATERIAL_FACTOR_APPLICABILITY!$A:$A,0)))</f>
        <v/>
      </c>
      <c r="J31" s="24">
        <f>IF($C31="","",INDEX(MATERIAL_FACTOR_APPLICABILITY!$E:$E,MATCH($C31,MATERIAL_FACTOR_APPLICABILITY!$A:$A,0)))</f>
        <v/>
      </c>
      <c r="K31" s="24">
        <f>IF($C31="","",INDEX(MATERIAL_FACTOR_APPLICABILITY!$F:$F,MATCH($C31,MATERIAL_FACTOR_APPLICABILITY!$A:$A,0)))</f>
        <v/>
      </c>
      <c r="L31" s="24">
        <f>IF($C31="","",INDEX(MATERIAL_FACTOR_APPLICABILITY!$G:$G,MATCH($C31,MATERIAL_FACTOR_APPLICABILITY!$A:$A,0)))</f>
        <v/>
      </c>
      <c r="M31" s="24">
        <f>IF($C31="","",INDEX(MATERIAL_FACTOR_APPLICABILITY!$H:$H,MATCH($C31,MATERIAL_FACTOR_APPLICABILITY!$A:$A,0)))</f>
        <v/>
      </c>
      <c r="N31" s="24">
        <f>IF($B31="","",ROUND(1+($I31*(SUMIFS(OBJECT_CONDITIONS!$W:$W,OBJECT_CONDITIONS!$A:$A,$B31)-1))+($J31*(SUMIFS(OBJECT_CONDITIONS!$J:$J,OBJECT_CONDITIONS!$A:$A,$B31)-1))+($K31*(SUMIFS(OBJECT_CONDITIONS!$L:$L,OBJECT_CONDITIONS!$A:$A,$B31)-1))+($L31*(SUMIFS(OBJECT_CONDITIONS!$N:$N,OBJECT_CONDITIONS!$A:$A,$B31)-1))+($M31*(SUMIFS(OBJECT_CONDITIONS!$R:$R,OBJECT_CONDITIONS!$A:$A,$B31)-1)),3))</f>
        <v/>
      </c>
      <c r="O31" s="24" t="n"/>
      <c r="P31" s="24">
        <f>IF(OR($H31="",$N31=""),"",ROUND($H31*$N31*IF($O31="",1,$O31),3))</f>
        <v/>
      </c>
      <c r="Q31" s="24">
        <f>IF(OR($E31="",$P31=""),"",ROUND($E31*$P31,3))</f>
        <v/>
      </c>
      <c r="R31" s="5">
        <f>IF($D31="","",IFERROR(INDEX(MATERIAL_VARIANTS!$O:$O,MATCH($D31,MATERIAL_VARIANTS!$A:$A,0)),""))</f>
        <v/>
      </c>
      <c r="S31" s="24">
        <f>IF($D31="","",IFERROR(INDEX(MATERIAL_VARIANTS!$P:$P,MATCH($D31,MATERIAL_VARIANTS!$A:$A,0)),""))</f>
        <v/>
      </c>
      <c r="T31" s="5">
        <f>IF(OR($Q31="",$S31="",$S31=0),"",ROUNDUP($Q31/$S31,0))</f>
        <v/>
      </c>
      <c r="U31" s="5" t="n"/>
    </row>
    <row r="32">
      <c r="A32" s="5" t="n"/>
      <c r="B32" s="5" t="n"/>
      <c r="C32" s="5" t="n"/>
      <c r="D32" s="5" t="n"/>
      <c r="E32" s="5" t="n"/>
      <c r="F32" s="5" t="n"/>
      <c r="G32" s="5">
        <f>IF($C32="","",INDEX(MATERIAL_MASTER!$O:$O,MATCH($C32,MATERIAL_MASTER!$A:$A,0)))</f>
        <v/>
      </c>
      <c r="H32" s="24">
        <f>IF($C32="","",INDEX(MATERIAL_MASTER!$P:$P,MATCH($C32,MATERIAL_MASTER!$A:$A,0)))</f>
        <v/>
      </c>
      <c r="I32" s="24">
        <f>IF($C32="","",INDEX(MATERIAL_FACTOR_APPLICABILITY!$D:$D,MATCH($C32,MATERIAL_FACTOR_APPLICABILITY!$A:$A,0)))</f>
        <v/>
      </c>
      <c r="J32" s="24">
        <f>IF($C32="","",INDEX(MATERIAL_FACTOR_APPLICABILITY!$E:$E,MATCH($C32,MATERIAL_FACTOR_APPLICABILITY!$A:$A,0)))</f>
        <v/>
      </c>
      <c r="K32" s="24">
        <f>IF($C32="","",INDEX(MATERIAL_FACTOR_APPLICABILITY!$F:$F,MATCH($C32,MATERIAL_FACTOR_APPLICABILITY!$A:$A,0)))</f>
        <v/>
      </c>
      <c r="L32" s="24">
        <f>IF($C32="","",INDEX(MATERIAL_FACTOR_APPLICABILITY!$G:$G,MATCH($C32,MATERIAL_FACTOR_APPLICABILITY!$A:$A,0)))</f>
        <v/>
      </c>
      <c r="M32" s="24">
        <f>IF($C32="","",INDEX(MATERIAL_FACTOR_APPLICABILITY!$H:$H,MATCH($C32,MATERIAL_FACTOR_APPLICABILITY!$A:$A,0)))</f>
        <v/>
      </c>
      <c r="N32" s="24">
        <f>IF($B32="","",ROUND(1+($I32*(SUMIFS(OBJECT_CONDITIONS!$W:$W,OBJECT_CONDITIONS!$A:$A,$B32)-1))+($J32*(SUMIFS(OBJECT_CONDITIONS!$J:$J,OBJECT_CONDITIONS!$A:$A,$B32)-1))+($K32*(SUMIFS(OBJECT_CONDITIONS!$L:$L,OBJECT_CONDITIONS!$A:$A,$B32)-1))+($L32*(SUMIFS(OBJECT_CONDITIONS!$N:$N,OBJECT_CONDITIONS!$A:$A,$B32)-1))+($M32*(SUMIFS(OBJECT_CONDITIONS!$R:$R,OBJECT_CONDITIONS!$A:$A,$B32)-1)),3))</f>
        <v/>
      </c>
      <c r="O32" s="24" t="n"/>
      <c r="P32" s="24">
        <f>IF(OR($H32="",$N32=""),"",ROUND($H32*$N32*IF($O32="",1,$O32),3))</f>
        <v/>
      </c>
      <c r="Q32" s="24">
        <f>IF(OR($E32="",$P32=""),"",ROUND($E32*$P32,3))</f>
        <v/>
      </c>
      <c r="R32" s="5">
        <f>IF($D32="","",IFERROR(INDEX(MATERIAL_VARIANTS!$O:$O,MATCH($D32,MATERIAL_VARIANTS!$A:$A,0)),""))</f>
        <v/>
      </c>
      <c r="S32" s="24">
        <f>IF($D32="","",IFERROR(INDEX(MATERIAL_VARIANTS!$P:$P,MATCH($D32,MATERIAL_VARIANTS!$A:$A,0)),""))</f>
        <v/>
      </c>
      <c r="T32" s="5">
        <f>IF(OR($Q32="",$S32="",$S32=0),"",ROUNDUP($Q32/$S32,0))</f>
        <v/>
      </c>
      <c r="U32" s="5" t="n"/>
    </row>
    <row r="33">
      <c r="A33" s="5" t="n"/>
      <c r="B33" s="5" t="n"/>
      <c r="C33" s="5" t="n"/>
      <c r="D33" s="5" t="n"/>
      <c r="E33" s="5" t="n"/>
      <c r="F33" s="5" t="n"/>
      <c r="G33" s="5">
        <f>IF($C33="","",INDEX(MATERIAL_MASTER!$O:$O,MATCH($C33,MATERIAL_MASTER!$A:$A,0)))</f>
        <v/>
      </c>
      <c r="H33" s="24">
        <f>IF($C33="","",INDEX(MATERIAL_MASTER!$P:$P,MATCH($C33,MATERIAL_MASTER!$A:$A,0)))</f>
        <v/>
      </c>
      <c r="I33" s="24">
        <f>IF($C33="","",INDEX(MATERIAL_FACTOR_APPLICABILITY!$D:$D,MATCH($C33,MATERIAL_FACTOR_APPLICABILITY!$A:$A,0)))</f>
        <v/>
      </c>
      <c r="J33" s="24">
        <f>IF($C33="","",INDEX(MATERIAL_FACTOR_APPLICABILITY!$E:$E,MATCH($C33,MATERIAL_FACTOR_APPLICABILITY!$A:$A,0)))</f>
        <v/>
      </c>
      <c r="K33" s="24">
        <f>IF($C33="","",INDEX(MATERIAL_FACTOR_APPLICABILITY!$F:$F,MATCH($C33,MATERIAL_FACTOR_APPLICABILITY!$A:$A,0)))</f>
        <v/>
      </c>
      <c r="L33" s="24">
        <f>IF($C33="","",INDEX(MATERIAL_FACTOR_APPLICABILITY!$G:$G,MATCH($C33,MATERIAL_FACTOR_APPLICABILITY!$A:$A,0)))</f>
        <v/>
      </c>
      <c r="M33" s="24">
        <f>IF($C33="","",INDEX(MATERIAL_FACTOR_APPLICABILITY!$H:$H,MATCH($C33,MATERIAL_FACTOR_APPLICABILITY!$A:$A,0)))</f>
        <v/>
      </c>
      <c r="N33" s="24">
        <f>IF($B33="","",ROUND(1+($I33*(SUMIFS(OBJECT_CONDITIONS!$W:$W,OBJECT_CONDITIONS!$A:$A,$B33)-1))+($J33*(SUMIFS(OBJECT_CONDITIONS!$J:$J,OBJECT_CONDITIONS!$A:$A,$B33)-1))+($K33*(SUMIFS(OBJECT_CONDITIONS!$L:$L,OBJECT_CONDITIONS!$A:$A,$B33)-1))+($L33*(SUMIFS(OBJECT_CONDITIONS!$N:$N,OBJECT_CONDITIONS!$A:$A,$B33)-1))+($M33*(SUMIFS(OBJECT_CONDITIONS!$R:$R,OBJECT_CONDITIONS!$A:$A,$B33)-1)),3))</f>
        <v/>
      </c>
      <c r="O33" s="24" t="n"/>
      <c r="P33" s="24">
        <f>IF(OR($H33="",$N33=""),"",ROUND($H33*$N33*IF($O33="",1,$O33),3))</f>
        <v/>
      </c>
      <c r="Q33" s="24">
        <f>IF(OR($E33="",$P33=""),"",ROUND($E33*$P33,3))</f>
        <v/>
      </c>
      <c r="R33" s="5">
        <f>IF($D33="","",IFERROR(INDEX(MATERIAL_VARIANTS!$O:$O,MATCH($D33,MATERIAL_VARIANTS!$A:$A,0)),""))</f>
        <v/>
      </c>
      <c r="S33" s="24">
        <f>IF($D33="","",IFERROR(INDEX(MATERIAL_VARIANTS!$P:$P,MATCH($D33,MATERIAL_VARIANTS!$A:$A,0)),""))</f>
        <v/>
      </c>
      <c r="T33" s="5">
        <f>IF(OR($Q33="",$S33="",$S33=0),"",ROUNDUP($Q33/$S33,0))</f>
        <v/>
      </c>
      <c r="U33" s="5" t="n"/>
    </row>
    <row r="34">
      <c r="A34" s="5" t="n"/>
      <c r="B34" s="5" t="n"/>
      <c r="C34" s="5" t="n"/>
      <c r="D34" s="5" t="n"/>
      <c r="E34" s="5" t="n"/>
      <c r="F34" s="5" t="n"/>
      <c r="G34" s="5">
        <f>IF($C34="","",INDEX(MATERIAL_MASTER!$O:$O,MATCH($C34,MATERIAL_MASTER!$A:$A,0)))</f>
        <v/>
      </c>
      <c r="H34" s="24">
        <f>IF($C34="","",INDEX(MATERIAL_MASTER!$P:$P,MATCH($C34,MATERIAL_MASTER!$A:$A,0)))</f>
        <v/>
      </c>
      <c r="I34" s="24">
        <f>IF($C34="","",INDEX(MATERIAL_FACTOR_APPLICABILITY!$D:$D,MATCH($C34,MATERIAL_FACTOR_APPLICABILITY!$A:$A,0)))</f>
        <v/>
      </c>
      <c r="J34" s="24">
        <f>IF($C34="","",INDEX(MATERIAL_FACTOR_APPLICABILITY!$E:$E,MATCH($C34,MATERIAL_FACTOR_APPLICABILITY!$A:$A,0)))</f>
        <v/>
      </c>
      <c r="K34" s="24">
        <f>IF($C34="","",INDEX(MATERIAL_FACTOR_APPLICABILITY!$F:$F,MATCH($C34,MATERIAL_FACTOR_APPLICABILITY!$A:$A,0)))</f>
        <v/>
      </c>
      <c r="L34" s="24">
        <f>IF($C34="","",INDEX(MATERIAL_FACTOR_APPLICABILITY!$G:$G,MATCH($C34,MATERIAL_FACTOR_APPLICABILITY!$A:$A,0)))</f>
        <v/>
      </c>
      <c r="M34" s="24">
        <f>IF($C34="","",INDEX(MATERIAL_FACTOR_APPLICABILITY!$H:$H,MATCH($C34,MATERIAL_FACTOR_APPLICABILITY!$A:$A,0)))</f>
        <v/>
      </c>
      <c r="N34" s="24">
        <f>IF($B34="","",ROUND(1+($I34*(SUMIFS(OBJECT_CONDITIONS!$W:$W,OBJECT_CONDITIONS!$A:$A,$B34)-1))+($J34*(SUMIFS(OBJECT_CONDITIONS!$J:$J,OBJECT_CONDITIONS!$A:$A,$B34)-1))+($K34*(SUMIFS(OBJECT_CONDITIONS!$L:$L,OBJECT_CONDITIONS!$A:$A,$B34)-1))+($L34*(SUMIFS(OBJECT_CONDITIONS!$N:$N,OBJECT_CONDITIONS!$A:$A,$B34)-1))+($M34*(SUMIFS(OBJECT_CONDITIONS!$R:$R,OBJECT_CONDITIONS!$A:$A,$B34)-1)),3))</f>
        <v/>
      </c>
      <c r="O34" s="24" t="n"/>
      <c r="P34" s="24">
        <f>IF(OR($H34="",$N34=""),"",ROUND($H34*$N34*IF($O34="",1,$O34),3))</f>
        <v/>
      </c>
      <c r="Q34" s="24">
        <f>IF(OR($E34="",$P34=""),"",ROUND($E34*$P34,3))</f>
        <v/>
      </c>
      <c r="R34" s="5">
        <f>IF($D34="","",IFERROR(INDEX(MATERIAL_VARIANTS!$O:$O,MATCH($D34,MATERIAL_VARIANTS!$A:$A,0)),""))</f>
        <v/>
      </c>
      <c r="S34" s="24">
        <f>IF($D34="","",IFERROR(INDEX(MATERIAL_VARIANTS!$P:$P,MATCH($D34,MATERIAL_VARIANTS!$A:$A,0)),""))</f>
        <v/>
      </c>
      <c r="T34" s="5">
        <f>IF(OR($Q34="",$S34="",$S34=0),"",ROUNDUP($Q34/$S34,0))</f>
        <v/>
      </c>
      <c r="U34" s="5" t="n"/>
    </row>
    <row r="35">
      <c r="A35" s="5" t="n"/>
      <c r="B35" s="5" t="n"/>
      <c r="C35" s="5" t="n"/>
      <c r="D35" s="5" t="n"/>
      <c r="E35" s="5" t="n"/>
      <c r="F35" s="5" t="n"/>
      <c r="G35" s="5">
        <f>IF($C35="","",INDEX(MATERIAL_MASTER!$O:$O,MATCH($C35,MATERIAL_MASTER!$A:$A,0)))</f>
        <v/>
      </c>
      <c r="H35" s="24">
        <f>IF($C35="","",INDEX(MATERIAL_MASTER!$P:$P,MATCH($C35,MATERIAL_MASTER!$A:$A,0)))</f>
        <v/>
      </c>
      <c r="I35" s="24">
        <f>IF($C35="","",INDEX(MATERIAL_FACTOR_APPLICABILITY!$D:$D,MATCH($C35,MATERIAL_FACTOR_APPLICABILITY!$A:$A,0)))</f>
        <v/>
      </c>
      <c r="J35" s="24">
        <f>IF($C35="","",INDEX(MATERIAL_FACTOR_APPLICABILITY!$E:$E,MATCH($C35,MATERIAL_FACTOR_APPLICABILITY!$A:$A,0)))</f>
        <v/>
      </c>
      <c r="K35" s="24">
        <f>IF($C35="","",INDEX(MATERIAL_FACTOR_APPLICABILITY!$F:$F,MATCH($C35,MATERIAL_FACTOR_APPLICABILITY!$A:$A,0)))</f>
        <v/>
      </c>
      <c r="L35" s="24">
        <f>IF($C35="","",INDEX(MATERIAL_FACTOR_APPLICABILITY!$G:$G,MATCH($C35,MATERIAL_FACTOR_APPLICABILITY!$A:$A,0)))</f>
        <v/>
      </c>
      <c r="M35" s="24">
        <f>IF($C35="","",INDEX(MATERIAL_FACTOR_APPLICABILITY!$H:$H,MATCH($C35,MATERIAL_FACTOR_APPLICABILITY!$A:$A,0)))</f>
        <v/>
      </c>
      <c r="N35" s="24">
        <f>IF($B35="","",ROUND(1+($I35*(SUMIFS(OBJECT_CONDITIONS!$W:$W,OBJECT_CONDITIONS!$A:$A,$B35)-1))+($J35*(SUMIFS(OBJECT_CONDITIONS!$J:$J,OBJECT_CONDITIONS!$A:$A,$B35)-1))+($K35*(SUMIFS(OBJECT_CONDITIONS!$L:$L,OBJECT_CONDITIONS!$A:$A,$B35)-1))+($L35*(SUMIFS(OBJECT_CONDITIONS!$N:$N,OBJECT_CONDITIONS!$A:$A,$B35)-1))+($M35*(SUMIFS(OBJECT_CONDITIONS!$R:$R,OBJECT_CONDITIONS!$A:$A,$B35)-1)),3))</f>
        <v/>
      </c>
      <c r="O35" s="24" t="n"/>
      <c r="P35" s="24">
        <f>IF(OR($H35="",$N35=""),"",ROUND($H35*$N35*IF($O35="",1,$O35),3))</f>
        <v/>
      </c>
      <c r="Q35" s="24">
        <f>IF(OR($E35="",$P35=""),"",ROUND($E35*$P35,3))</f>
        <v/>
      </c>
      <c r="R35" s="5">
        <f>IF($D35="","",IFERROR(INDEX(MATERIAL_VARIANTS!$O:$O,MATCH($D35,MATERIAL_VARIANTS!$A:$A,0)),""))</f>
        <v/>
      </c>
      <c r="S35" s="24">
        <f>IF($D35="","",IFERROR(INDEX(MATERIAL_VARIANTS!$P:$P,MATCH($D35,MATERIAL_VARIANTS!$A:$A,0)),""))</f>
        <v/>
      </c>
      <c r="T35" s="5">
        <f>IF(OR($Q35="",$S35="",$S35=0),"",ROUNDUP($Q35/$S35,0))</f>
        <v/>
      </c>
      <c r="U35" s="5" t="n"/>
    </row>
    <row r="36">
      <c r="A36" s="5" t="n"/>
      <c r="B36" s="5" t="n"/>
      <c r="C36" s="5" t="n"/>
      <c r="D36" s="5" t="n"/>
      <c r="E36" s="5" t="n"/>
      <c r="F36" s="5" t="n"/>
      <c r="G36" s="5">
        <f>IF($C36="","",INDEX(MATERIAL_MASTER!$O:$O,MATCH($C36,MATERIAL_MASTER!$A:$A,0)))</f>
        <v/>
      </c>
      <c r="H36" s="24">
        <f>IF($C36="","",INDEX(MATERIAL_MASTER!$P:$P,MATCH($C36,MATERIAL_MASTER!$A:$A,0)))</f>
        <v/>
      </c>
      <c r="I36" s="24">
        <f>IF($C36="","",INDEX(MATERIAL_FACTOR_APPLICABILITY!$D:$D,MATCH($C36,MATERIAL_FACTOR_APPLICABILITY!$A:$A,0)))</f>
        <v/>
      </c>
      <c r="J36" s="24">
        <f>IF($C36="","",INDEX(MATERIAL_FACTOR_APPLICABILITY!$E:$E,MATCH($C36,MATERIAL_FACTOR_APPLICABILITY!$A:$A,0)))</f>
        <v/>
      </c>
      <c r="K36" s="24">
        <f>IF($C36="","",INDEX(MATERIAL_FACTOR_APPLICABILITY!$F:$F,MATCH($C36,MATERIAL_FACTOR_APPLICABILITY!$A:$A,0)))</f>
        <v/>
      </c>
      <c r="L36" s="24">
        <f>IF($C36="","",INDEX(MATERIAL_FACTOR_APPLICABILITY!$G:$G,MATCH($C36,MATERIAL_FACTOR_APPLICABILITY!$A:$A,0)))</f>
        <v/>
      </c>
      <c r="M36" s="24">
        <f>IF($C36="","",INDEX(MATERIAL_FACTOR_APPLICABILITY!$H:$H,MATCH($C36,MATERIAL_FACTOR_APPLICABILITY!$A:$A,0)))</f>
        <v/>
      </c>
      <c r="N36" s="24">
        <f>IF($B36="","",ROUND(1+($I36*(SUMIFS(OBJECT_CONDITIONS!$W:$W,OBJECT_CONDITIONS!$A:$A,$B36)-1))+($J36*(SUMIFS(OBJECT_CONDITIONS!$J:$J,OBJECT_CONDITIONS!$A:$A,$B36)-1))+($K36*(SUMIFS(OBJECT_CONDITIONS!$L:$L,OBJECT_CONDITIONS!$A:$A,$B36)-1))+($L36*(SUMIFS(OBJECT_CONDITIONS!$N:$N,OBJECT_CONDITIONS!$A:$A,$B36)-1))+($M36*(SUMIFS(OBJECT_CONDITIONS!$R:$R,OBJECT_CONDITIONS!$A:$A,$B36)-1)),3))</f>
        <v/>
      </c>
      <c r="O36" s="24" t="n"/>
      <c r="P36" s="24">
        <f>IF(OR($H36="",$N36=""),"",ROUND($H36*$N36*IF($O36="",1,$O36),3))</f>
        <v/>
      </c>
      <c r="Q36" s="24">
        <f>IF(OR($E36="",$P36=""),"",ROUND($E36*$P36,3))</f>
        <v/>
      </c>
      <c r="R36" s="5">
        <f>IF($D36="","",IFERROR(INDEX(MATERIAL_VARIANTS!$O:$O,MATCH($D36,MATERIAL_VARIANTS!$A:$A,0)),""))</f>
        <v/>
      </c>
      <c r="S36" s="24">
        <f>IF($D36="","",IFERROR(INDEX(MATERIAL_VARIANTS!$P:$P,MATCH($D36,MATERIAL_VARIANTS!$A:$A,0)),""))</f>
        <v/>
      </c>
      <c r="T36" s="5">
        <f>IF(OR($Q36="",$S36="",$S36=0),"",ROUNDUP($Q36/$S36,0))</f>
        <v/>
      </c>
      <c r="U36" s="5" t="n"/>
    </row>
    <row r="37">
      <c r="A37" s="5" t="n"/>
      <c r="B37" s="5" t="n"/>
      <c r="C37" s="5" t="n"/>
      <c r="D37" s="5" t="n"/>
      <c r="E37" s="5" t="n"/>
      <c r="F37" s="5" t="n"/>
      <c r="G37" s="5">
        <f>IF($C37="","",INDEX(MATERIAL_MASTER!$O:$O,MATCH($C37,MATERIAL_MASTER!$A:$A,0)))</f>
        <v/>
      </c>
      <c r="H37" s="24">
        <f>IF($C37="","",INDEX(MATERIAL_MASTER!$P:$P,MATCH($C37,MATERIAL_MASTER!$A:$A,0)))</f>
        <v/>
      </c>
      <c r="I37" s="24">
        <f>IF($C37="","",INDEX(MATERIAL_FACTOR_APPLICABILITY!$D:$D,MATCH($C37,MATERIAL_FACTOR_APPLICABILITY!$A:$A,0)))</f>
        <v/>
      </c>
      <c r="J37" s="24">
        <f>IF($C37="","",INDEX(MATERIAL_FACTOR_APPLICABILITY!$E:$E,MATCH($C37,MATERIAL_FACTOR_APPLICABILITY!$A:$A,0)))</f>
        <v/>
      </c>
      <c r="K37" s="24">
        <f>IF($C37="","",INDEX(MATERIAL_FACTOR_APPLICABILITY!$F:$F,MATCH($C37,MATERIAL_FACTOR_APPLICABILITY!$A:$A,0)))</f>
        <v/>
      </c>
      <c r="L37" s="24">
        <f>IF($C37="","",INDEX(MATERIAL_FACTOR_APPLICABILITY!$G:$G,MATCH($C37,MATERIAL_FACTOR_APPLICABILITY!$A:$A,0)))</f>
        <v/>
      </c>
      <c r="M37" s="24">
        <f>IF($C37="","",INDEX(MATERIAL_FACTOR_APPLICABILITY!$H:$H,MATCH($C37,MATERIAL_FACTOR_APPLICABILITY!$A:$A,0)))</f>
        <v/>
      </c>
      <c r="N37" s="24">
        <f>IF($B37="","",ROUND(1+($I37*(SUMIFS(OBJECT_CONDITIONS!$W:$W,OBJECT_CONDITIONS!$A:$A,$B37)-1))+($J37*(SUMIFS(OBJECT_CONDITIONS!$J:$J,OBJECT_CONDITIONS!$A:$A,$B37)-1))+($K37*(SUMIFS(OBJECT_CONDITIONS!$L:$L,OBJECT_CONDITIONS!$A:$A,$B37)-1))+($L37*(SUMIFS(OBJECT_CONDITIONS!$N:$N,OBJECT_CONDITIONS!$A:$A,$B37)-1))+($M37*(SUMIFS(OBJECT_CONDITIONS!$R:$R,OBJECT_CONDITIONS!$A:$A,$B37)-1)),3))</f>
        <v/>
      </c>
      <c r="O37" s="24" t="n"/>
      <c r="P37" s="24">
        <f>IF(OR($H37="",$N37=""),"",ROUND($H37*$N37*IF($O37="",1,$O37),3))</f>
        <v/>
      </c>
      <c r="Q37" s="24">
        <f>IF(OR($E37="",$P37=""),"",ROUND($E37*$P37,3))</f>
        <v/>
      </c>
      <c r="R37" s="5">
        <f>IF($D37="","",IFERROR(INDEX(MATERIAL_VARIANTS!$O:$O,MATCH($D37,MATERIAL_VARIANTS!$A:$A,0)),""))</f>
        <v/>
      </c>
      <c r="S37" s="24">
        <f>IF($D37="","",IFERROR(INDEX(MATERIAL_VARIANTS!$P:$P,MATCH($D37,MATERIAL_VARIANTS!$A:$A,0)),""))</f>
        <v/>
      </c>
      <c r="T37" s="5">
        <f>IF(OR($Q37="",$S37="",$S37=0),"",ROUNDUP($Q37/$S37,0))</f>
        <v/>
      </c>
      <c r="U37" s="5" t="n"/>
    </row>
    <row r="38">
      <c r="A38" s="5" t="n"/>
      <c r="B38" s="5" t="n"/>
      <c r="C38" s="5" t="n"/>
      <c r="D38" s="5" t="n"/>
      <c r="E38" s="5" t="n"/>
      <c r="F38" s="5" t="n"/>
      <c r="G38" s="5">
        <f>IF($C38="","",INDEX(MATERIAL_MASTER!$O:$O,MATCH($C38,MATERIAL_MASTER!$A:$A,0)))</f>
        <v/>
      </c>
      <c r="H38" s="24">
        <f>IF($C38="","",INDEX(MATERIAL_MASTER!$P:$P,MATCH($C38,MATERIAL_MASTER!$A:$A,0)))</f>
        <v/>
      </c>
      <c r="I38" s="24">
        <f>IF($C38="","",INDEX(MATERIAL_FACTOR_APPLICABILITY!$D:$D,MATCH($C38,MATERIAL_FACTOR_APPLICABILITY!$A:$A,0)))</f>
        <v/>
      </c>
      <c r="J38" s="24">
        <f>IF($C38="","",INDEX(MATERIAL_FACTOR_APPLICABILITY!$E:$E,MATCH($C38,MATERIAL_FACTOR_APPLICABILITY!$A:$A,0)))</f>
        <v/>
      </c>
      <c r="K38" s="24">
        <f>IF($C38="","",INDEX(MATERIAL_FACTOR_APPLICABILITY!$F:$F,MATCH($C38,MATERIAL_FACTOR_APPLICABILITY!$A:$A,0)))</f>
        <v/>
      </c>
      <c r="L38" s="24">
        <f>IF($C38="","",INDEX(MATERIAL_FACTOR_APPLICABILITY!$G:$G,MATCH($C38,MATERIAL_FACTOR_APPLICABILITY!$A:$A,0)))</f>
        <v/>
      </c>
      <c r="M38" s="24">
        <f>IF($C38="","",INDEX(MATERIAL_FACTOR_APPLICABILITY!$H:$H,MATCH($C38,MATERIAL_FACTOR_APPLICABILITY!$A:$A,0)))</f>
        <v/>
      </c>
      <c r="N38" s="24">
        <f>IF($B38="","",ROUND(1+($I38*(SUMIFS(OBJECT_CONDITIONS!$W:$W,OBJECT_CONDITIONS!$A:$A,$B38)-1))+($J38*(SUMIFS(OBJECT_CONDITIONS!$J:$J,OBJECT_CONDITIONS!$A:$A,$B38)-1))+($K38*(SUMIFS(OBJECT_CONDITIONS!$L:$L,OBJECT_CONDITIONS!$A:$A,$B38)-1))+($L38*(SUMIFS(OBJECT_CONDITIONS!$N:$N,OBJECT_CONDITIONS!$A:$A,$B38)-1))+($M38*(SUMIFS(OBJECT_CONDITIONS!$R:$R,OBJECT_CONDITIONS!$A:$A,$B38)-1)),3))</f>
        <v/>
      </c>
      <c r="O38" s="24" t="n"/>
      <c r="P38" s="24">
        <f>IF(OR($H38="",$N38=""),"",ROUND($H38*$N38*IF($O38="",1,$O38),3))</f>
        <v/>
      </c>
      <c r="Q38" s="24">
        <f>IF(OR($E38="",$P38=""),"",ROUND($E38*$P38,3))</f>
        <v/>
      </c>
      <c r="R38" s="5">
        <f>IF($D38="","",IFERROR(INDEX(MATERIAL_VARIANTS!$O:$O,MATCH($D38,MATERIAL_VARIANTS!$A:$A,0)),""))</f>
        <v/>
      </c>
      <c r="S38" s="24">
        <f>IF($D38="","",IFERROR(INDEX(MATERIAL_VARIANTS!$P:$P,MATCH($D38,MATERIAL_VARIANTS!$A:$A,0)),""))</f>
        <v/>
      </c>
      <c r="T38" s="5">
        <f>IF(OR($Q38="",$S38="",$S38=0),"",ROUNDUP($Q38/$S38,0))</f>
        <v/>
      </c>
      <c r="U38" s="5" t="n"/>
    </row>
    <row r="39">
      <c r="A39" s="5" t="n"/>
      <c r="B39" s="5" t="n"/>
      <c r="C39" s="5" t="n"/>
      <c r="D39" s="5" t="n"/>
      <c r="E39" s="5" t="n"/>
      <c r="F39" s="5" t="n"/>
      <c r="G39" s="5">
        <f>IF($C39="","",INDEX(MATERIAL_MASTER!$O:$O,MATCH($C39,MATERIAL_MASTER!$A:$A,0)))</f>
        <v/>
      </c>
      <c r="H39" s="24">
        <f>IF($C39="","",INDEX(MATERIAL_MASTER!$P:$P,MATCH($C39,MATERIAL_MASTER!$A:$A,0)))</f>
        <v/>
      </c>
      <c r="I39" s="24">
        <f>IF($C39="","",INDEX(MATERIAL_FACTOR_APPLICABILITY!$D:$D,MATCH($C39,MATERIAL_FACTOR_APPLICABILITY!$A:$A,0)))</f>
        <v/>
      </c>
      <c r="J39" s="24">
        <f>IF($C39="","",INDEX(MATERIAL_FACTOR_APPLICABILITY!$E:$E,MATCH($C39,MATERIAL_FACTOR_APPLICABILITY!$A:$A,0)))</f>
        <v/>
      </c>
      <c r="K39" s="24">
        <f>IF($C39="","",INDEX(MATERIAL_FACTOR_APPLICABILITY!$F:$F,MATCH($C39,MATERIAL_FACTOR_APPLICABILITY!$A:$A,0)))</f>
        <v/>
      </c>
      <c r="L39" s="24">
        <f>IF($C39="","",INDEX(MATERIAL_FACTOR_APPLICABILITY!$G:$G,MATCH($C39,MATERIAL_FACTOR_APPLICABILITY!$A:$A,0)))</f>
        <v/>
      </c>
      <c r="M39" s="24">
        <f>IF($C39="","",INDEX(MATERIAL_FACTOR_APPLICABILITY!$H:$H,MATCH($C39,MATERIAL_FACTOR_APPLICABILITY!$A:$A,0)))</f>
        <v/>
      </c>
      <c r="N39" s="24">
        <f>IF($B39="","",ROUND(1+($I39*(SUMIFS(OBJECT_CONDITIONS!$W:$W,OBJECT_CONDITIONS!$A:$A,$B39)-1))+($J39*(SUMIFS(OBJECT_CONDITIONS!$J:$J,OBJECT_CONDITIONS!$A:$A,$B39)-1))+($K39*(SUMIFS(OBJECT_CONDITIONS!$L:$L,OBJECT_CONDITIONS!$A:$A,$B39)-1))+($L39*(SUMIFS(OBJECT_CONDITIONS!$N:$N,OBJECT_CONDITIONS!$A:$A,$B39)-1))+($M39*(SUMIFS(OBJECT_CONDITIONS!$R:$R,OBJECT_CONDITIONS!$A:$A,$B39)-1)),3))</f>
        <v/>
      </c>
      <c r="O39" s="24" t="n"/>
      <c r="P39" s="24">
        <f>IF(OR($H39="",$N39=""),"",ROUND($H39*$N39*IF($O39="",1,$O39),3))</f>
        <v/>
      </c>
      <c r="Q39" s="24">
        <f>IF(OR($E39="",$P39=""),"",ROUND($E39*$P39,3))</f>
        <v/>
      </c>
      <c r="R39" s="5">
        <f>IF($D39="","",IFERROR(INDEX(MATERIAL_VARIANTS!$O:$O,MATCH($D39,MATERIAL_VARIANTS!$A:$A,0)),""))</f>
        <v/>
      </c>
      <c r="S39" s="24">
        <f>IF($D39="","",IFERROR(INDEX(MATERIAL_VARIANTS!$P:$P,MATCH($D39,MATERIAL_VARIANTS!$A:$A,0)),""))</f>
        <v/>
      </c>
      <c r="T39" s="5">
        <f>IF(OR($Q39="",$S39="",$S39=0),"",ROUNDUP($Q39/$S39,0))</f>
        <v/>
      </c>
      <c r="U39" s="5" t="n"/>
    </row>
    <row r="40">
      <c r="A40" s="5" t="n"/>
      <c r="B40" s="5" t="n"/>
      <c r="C40" s="5" t="n"/>
      <c r="D40" s="5" t="n"/>
      <c r="E40" s="5" t="n"/>
      <c r="F40" s="5" t="n"/>
      <c r="G40" s="5">
        <f>IF($C40="","",INDEX(MATERIAL_MASTER!$O:$O,MATCH($C40,MATERIAL_MASTER!$A:$A,0)))</f>
        <v/>
      </c>
      <c r="H40" s="24">
        <f>IF($C40="","",INDEX(MATERIAL_MASTER!$P:$P,MATCH($C40,MATERIAL_MASTER!$A:$A,0)))</f>
        <v/>
      </c>
      <c r="I40" s="24">
        <f>IF($C40="","",INDEX(MATERIAL_FACTOR_APPLICABILITY!$D:$D,MATCH($C40,MATERIAL_FACTOR_APPLICABILITY!$A:$A,0)))</f>
        <v/>
      </c>
      <c r="J40" s="24">
        <f>IF($C40="","",INDEX(MATERIAL_FACTOR_APPLICABILITY!$E:$E,MATCH($C40,MATERIAL_FACTOR_APPLICABILITY!$A:$A,0)))</f>
        <v/>
      </c>
      <c r="K40" s="24">
        <f>IF($C40="","",INDEX(MATERIAL_FACTOR_APPLICABILITY!$F:$F,MATCH($C40,MATERIAL_FACTOR_APPLICABILITY!$A:$A,0)))</f>
        <v/>
      </c>
      <c r="L40" s="24">
        <f>IF($C40="","",INDEX(MATERIAL_FACTOR_APPLICABILITY!$G:$G,MATCH($C40,MATERIAL_FACTOR_APPLICABILITY!$A:$A,0)))</f>
        <v/>
      </c>
      <c r="M40" s="24">
        <f>IF($C40="","",INDEX(MATERIAL_FACTOR_APPLICABILITY!$H:$H,MATCH($C40,MATERIAL_FACTOR_APPLICABILITY!$A:$A,0)))</f>
        <v/>
      </c>
      <c r="N40" s="24">
        <f>IF($B40="","",ROUND(1+($I40*(SUMIFS(OBJECT_CONDITIONS!$W:$W,OBJECT_CONDITIONS!$A:$A,$B40)-1))+($J40*(SUMIFS(OBJECT_CONDITIONS!$J:$J,OBJECT_CONDITIONS!$A:$A,$B40)-1))+($K40*(SUMIFS(OBJECT_CONDITIONS!$L:$L,OBJECT_CONDITIONS!$A:$A,$B40)-1))+($L40*(SUMIFS(OBJECT_CONDITIONS!$N:$N,OBJECT_CONDITIONS!$A:$A,$B40)-1))+($M40*(SUMIFS(OBJECT_CONDITIONS!$R:$R,OBJECT_CONDITIONS!$A:$A,$B40)-1)),3))</f>
        <v/>
      </c>
      <c r="O40" s="24" t="n"/>
      <c r="P40" s="24">
        <f>IF(OR($H40="",$N40=""),"",ROUND($H40*$N40*IF($O40="",1,$O40),3))</f>
        <v/>
      </c>
      <c r="Q40" s="24">
        <f>IF(OR($E40="",$P40=""),"",ROUND($E40*$P40,3))</f>
        <v/>
      </c>
      <c r="R40" s="5">
        <f>IF($D40="","",IFERROR(INDEX(MATERIAL_VARIANTS!$O:$O,MATCH($D40,MATERIAL_VARIANTS!$A:$A,0)),""))</f>
        <v/>
      </c>
      <c r="S40" s="24">
        <f>IF($D40="","",IFERROR(INDEX(MATERIAL_VARIANTS!$P:$P,MATCH($D40,MATERIAL_VARIANTS!$A:$A,0)),""))</f>
        <v/>
      </c>
      <c r="T40" s="5">
        <f>IF(OR($Q40="",$S40="",$S40=0),"",ROUNDUP($Q40/$S40,0))</f>
        <v/>
      </c>
      <c r="U40" s="5" t="n"/>
    </row>
    <row r="41">
      <c r="A41" s="5" t="n"/>
      <c r="B41" s="5" t="n"/>
      <c r="C41" s="5" t="n"/>
      <c r="D41" s="5" t="n"/>
      <c r="E41" s="5" t="n"/>
      <c r="F41" s="5" t="n"/>
      <c r="G41" s="5">
        <f>IF($C41="","",INDEX(MATERIAL_MASTER!$O:$O,MATCH($C41,MATERIAL_MASTER!$A:$A,0)))</f>
        <v/>
      </c>
      <c r="H41" s="24">
        <f>IF($C41="","",INDEX(MATERIAL_MASTER!$P:$P,MATCH($C41,MATERIAL_MASTER!$A:$A,0)))</f>
        <v/>
      </c>
      <c r="I41" s="24">
        <f>IF($C41="","",INDEX(MATERIAL_FACTOR_APPLICABILITY!$D:$D,MATCH($C41,MATERIAL_FACTOR_APPLICABILITY!$A:$A,0)))</f>
        <v/>
      </c>
      <c r="J41" s="24">
        <f>IF($C41="","",INDEX(MATERIAL_FACTOR_APPLICABILITY!$E:$E,MATCH($C41,MATERIAL_FACTOR_APPLICABILITY!$A:$A,0)))</f>
        <v/>
      </c>
      <c r="K41" s="24">
        <f>IF($C41="","",INDEX(MATERIAL_FACTOR_APPLICABILITY!$F:$F,MATCH($C41,MATERIAL_FACTOR_APPLICABILITY!$A:$A,0)))</f>
        <v/>
      </c>
      <c r="L41" s="24">
        <f>IF($C41="","",INDEX(MATERIAL_FACTOR_APPLICABILITY!$G:$G,MATCH($C41,MATERIAL_FACTOR_APPLICABILITY!$A:$A,0)))</f>
        <v/>
      </c>
      <c r="M41" s="24">
        <f>IF($C41="","",INDEX(MATERIAL_FACTOR_APPLICABILITY!$H:$H,MATCH($C41,MATERIAL_FACTOR_APPLICABILITY!$A:$A,0)))</f>
        <v/>
      </c>
      <c r="N41" s="24">
        <f>IF($B41="","",ROUND(1+($I41*(SUMIFS(OBJECT_CONDITIONS!$W:$W,OBJECT_CONDITIONS!$A:$A,$B41)-1))+($J41*(SUMIFS(OBJECT_CONDITIONS!$J:$J,OBJECT_CONDITIONS!$A:$A,$B41)-1))+($K41*(SUMIFS(OBJECT_CONDITIONS!$L:$L,OBJECT_CONDITIONS!$A:$A,$B41)-1))+($L41*(SUMIFS(OBJECT_CONDITIONS!$N:$N,OBJECT_CONDITIONS!$A:$A,$B41)-1))+($M41*(SUMIFS(OBJECT_CONDITIONS!$R:$R,OBJECT_CONDITIONS!$A:$A,$B41)-1)),3))</f>
        <v/>
      </c>
      <c r="O41" s="24" t="n"/>
      <c r="P41" s="24">
        <f>IF(OR($H41="",$N41=""),"",ROUND($H41*$N41*IF($O41="",1,$O41),3))</f>
        <v/>
      </c>
      <c r="Q41" s="24">
        <f>IF(OR($E41="",$P41=""),"",ROUND($E41*$P41,3))</f>
        <v/>
      </c>
      <c r="R41" s="5">
        <f>IF($D41="","",IFERROR(INDEX(MATERIAL_VARIANTS!$O:$O,MATCH($D41,MATERIAL_VARIANTS!$A:$A,0)),""))</f>
        <v/>
      </c>
      <c r="S41" s="24">
        <f>IF($D41="","",IFERROR(INDEX(MATERIAL_VARIANTS!$P:$P,MATCH($D41,MATERIAL_VARIANTS!$A:$A,0)),""))</f>
        <v/>
      </c>
      <c r="T41" s="5">
        <f>IF(OR($Q41="",$S41="",$S41=0),"",ROUNDUP($Q41/$S41,0))</f>
        <v/>
      </c>
      <c r="U41" s="5" t="n"/>
    </row>
    <row r="42">
      <c r="A42" s="5" t="n"/>
      <c r="B42" s="5" t="n"/>
      <c r="C42" s="5" t="n"/>
      <c r="D42" s="5" t="n"/>
      <c r="E42" s="5" t="n"/>
      <c r="F42" s="5" t="n"/>
      <c r="G42" s="5">
        <f>IF($C42="","",INDEX(MATERIAL_MASTER!$O:$O,MATCH($C42,MATERIAL_MASTER!$A:$A,0)))</f>
        <v/>
      </c>
      <c r="H42" s="24">
        <f>IF($C42="","",INDEX(MATERIAL_MASTER!$P:$P,MATCH($C42,MATERIAL_MASTER!$A:$A,0)))</f>
        <v/>
      </c>
      <c r="I42" s="24">
        <f>IF($C42="","",INDEX(MATERIAL_FACTOR_APPLICABILITY!$D:$D,MATCH($C42,MATERIAL_FACTOR_APPLICABILITY!$A:$A,0)))</f>
        <v/>
      </c>
      <c r="J42" s="24">
        <f>IF($C42="","",INDEX(MATERIAL_FACTOR_APPLICABILITY!$E:$E,MATCH($C42,MATERIAL_FACTOR_APPLICABILITY!$A:$A,0)))</f>
        <v/>
      </c>
      <c r="K42" s="24">
        <f>IF($C42="","",INDEX(MATERIAL_FACTOR_APPLICABILITY!$F:$F,MATCH($C42,MATERIAL_FACTOR_APPLICABILITY!$A:$A,0)))</f>
        <v/>
      </c>
      <c r="L42" s="24">
        <f>IF($C42="","",INDEX(MATERIAL_FACTOR_APPLICABILITY!$G:$G,MATCH($C42,MATERIAL_FACTOR_APPLICABILITY!$A:$A,0)))</f>
        <v/>
      </c>
      <c r="M42" s="24">
        <f>IF($C42="","",INDEX(MATERIAL_FACTOR_APPLICABILITY!$H:$H,MATCH($C42,MATERIAL_FACTOR_APPLICABILITY!$A:$A,0)))</f>
        <v/>
      </c>
      <c r="N42" s="24">
        <f>IF($B42="","",ROUND(1+($I42*(SUMIFS(OBJECT_CONDITIONS!$W:$W,OBJECT_CONDITIONS!$A:$A,$B42)-1))+($J42*(SUMIFS(OBJECT_CONDITIONS!$J:$J,OBJECT_CONDITIONS!$A:$A,$B42)-1))+($K42*(SUMIFS(OBJECT_CONDITIONS!$L:$L,OBJECT_CONDITIONS!$A:$A,$B42)-1))+($L42*(SUMIFS(OBJECT_CONDITIONS!$N:$N,OBJECT_CONDITIONS!$A:$A,$B42)-1))+($M42*(SUMIFS(OBJECT_CONDITIONS!$R:$R,OBJECT_CONDITIONS!$A:$A,$B42)-1)),3))</f>
        <v/>
      </c>
      <c r="O42" s="24" t="n"/>
      <c r="P42" s="24">
        <f>IF(OR($H42="",$N42=""),"",ROUND($H42*$N42*IF($O42="",1,$O42),3))</f>
        <v/>
      </c>
      <c r="Q42" s="24">
        <f>IF(OR($E42="",$P42=""),"",ROUND($E42*$P42,3))</f>
        <v/>
      </c>
      <c r="R42" s="5">
        <f>IF($D42="","",IFERROR(INDEX(MATERIAL_VARIANTS!$O:$O,MATCH($D42,MATERIAL_VARIANTS!$A:$A,0)),""))</f>
        <v/>
      </c>
      <c r="S42" s="24">
        <f>IF($D42="","",IFERROR(INDEX(MATERIAL_VARIANTS!$P:$P,MATCH($D42,MATERIAL_VARIANTS!$A:$A,0)),""))</f>
        <v/>
      </c>
      <c r="T42" s="5">
        <f>IF(OR($Q42="",$S42="",$S42=0),"",ROUNDUP($Q42/$S42,0))</f>
        <v/>
      </c>
      <c r="U42" s="5" t="n"/>
    </row>
    <row r="43">
      <c r="A43" s="5" t="n"/>
      <c r="B43" s="5" t="n"/>
      <c r="C43" s="5" t="n"/>
      <c r="D43" s="5" t="n"/>
      <c r="E43" s="5" t="n"/>
      <c r="F43" s="5" t="n"/>
      <c r="G43" s="5">
        <f>IF($C43="","",INDEX(MATERIAL_MASTER!$O:$O,MATCH($C43,MATERIAL_MASTER!$A:$A,0)))</f>
        <v/>
      </c>
      <c r="H43" s="24">
        <f>IF($C43="","",INDEX(MATERIAL_MASTER!$P:$P,MATCH($C43,MATERIAL_MASTER!$A:$A,0)))</f>
        <v/>
      </c>
      <c r="I43" s="24">
        <f>IF($C43="","",INDEX(MATERIAL_FACTOR_APPLICABILITY!$D:$D,MATCH($C43,MATERIAL_FACTOR_APPLICABILITY!$A:$A,0)))</f>
        <v/>
      </c>
      <c r="J43" s="24">
        <f>IF($C43="","",INDEX(MATERIAL_FACTOR_APPLICABILITY!$E:$E,MATCH($C43,MATERIAL_FACTOR_APPLICABILITY!$A:$A,0)))</f>
        <v/>
      </c>
      <c r="K43" s="24">
        <f>IF($C43="","",INDEX(MATERIAL_FACTOR_APPLICABILITY!$F:$F,MATCH($C43,MATERIAL_FACTOR_APPLICABILITY!$A:$A,0)))</f>
        <v/>
      </c>
      <c r="L43" s="24">
        <f>IF($C43="","",INDEX(MATERIAL_FACTOR_APPLICABILITY!$G:$G,MATCH($C43,MATERIAL_FACTOR_APPLICABILITY!$A:$A,0)))</f>
        <v/>
      </c>
      <c r="M43" s="24">
        <f>IF($C43="","",INDEX(MATERIAL_FACTOR_APPLICABILITY!$H:$H,MATCH($C43,MATERIAL_FACTOR_APPLICABILITY!$A:$A,0)))</f>
        <v/>
      </c>
      <c r="N43" s="24">
        <f>IF($B43="","",ROUND(1+($I43*(SUMIFS(OBJECT_CONDITIONS!$W:$W,OBJECT_CONDITIONS!$A:$A,$B43)-1))+($J43*(SUMIFS(OBJECT_CONDITIONS!$J:$J,OBJECT_CONDITIONS!$A:$A,$B43)-1))+($K43*(SUMIFS(OBJECT_CONDITIONS!$L:$L,OBJECT_CONDITIONS!$A:$A,$B43)-1))+($L43*(SUMIFS(OBJECT_CONDITIONS!$N:$N,OBJECT_CONDITIONS!$A:$A,$B43)-1))+($M43*(SUMIFS(OBJECT_CONDITIONS!$R:$R,OBJECT_CONDITIONS!$A:$A,$B43)-1)),3))</f>
        <v/>
      </c>
      <c r="O43" s="24" t="n"/>
      <c r="P43" s="24">
        <f>IF(OR($H43="",$N43=""),"",ROUND($H43*$N43*IF($O43="",1,$O43),3))</f>
        <v/>
      </c>
      <c r="Q43" s="24">
        <f>IF(OR($E43="",$P43=""),"",ROUND($E43*$P43,3))</f>
        <v/>
      </c>
      <c r="R43" s="5">
        <f>IF($D43="","",IFERROR(INDEX(MATERIAL_VARIANTS!$O:$O,MATCH($D43,MATERIAL_VARIANTS!$A:$A,0)),""))</f>
        <v/>
      </c>
      <c r="S43" s="24">
        <f>IF($D43="","",IFERROR(INDEX(MATERIAL_VARIANTS!$P:$P,MATCH($D43,MATERIAL_VARIANTS!$A:$A,0)),""))</f>
        <v/>
      </c>
      <c r="T43" s="5">
        <f>IF(OR($Q43="",$S43="",$S43=0),"",ROUNDUP($Q43/$S43,0))</f>
        <v/>
      </c>
      <c r="U43" s="5" t="n"/>
    </row>
    <row r="44">
      <c r="A44" s="5" t="n"/>
      <c r="B44" s="5" t="n"/>
      <c r="C44" s="5" t="n"/>
      <c r="D44" s="5" t="n"/>
      <c r="E44" s="5" t="n"/>
      <c r="F44" s="5" t="n"/>
      <c r="G44" s="5">
        <f>IF($C44="","",INDEX(MATERIAL_MASTER!$O:$O,MATCH($C44,MATERIAL_MASTER!$A:$A,0)))</f>
        <v/>
      </c>
      <c r="H44" s="24">
        <f>IF($C44="","",INDEX(MATERIAL_MASTER!$P:$P,MATCH($C44,MATERIAL_MASTER!$A:$A,0)))</f>
        <v/>
      </c>
      <c r="I44" s="24">
        <f>IF($C44="","",INDEX(MATERIAL_FACTOR_APPLICABILITY!$D:$D,MATCH($C44,MATERIAL_FACTOR_APPLICABILITY!$A:$A,0)))</f>
        <v/>
      </c>
      <c r="J44" s="24">
        <f>IF($C44="","",INDEX(MATERIAL_FACTOR_APPLICABILITY!$E:$E,MATCH($C44,MATERIAL_FACTOR_APPLICABILITY!$A:$A,0)))</f>
        <v/>
      </c>
      <c r="K44" s="24">
        <f>IF($C44="","",INDEX(MATERIAL_FACTOR_APPLICABILITY!$F:$F,MATCH($C44,MATERIAL_FACTOR_APPLICABILITY!$A:$A,0)))</f>
        <v/>
      </c>
      <c r="L44" s="24">
        <f>IF($C44="","",INDEX(MATERIAL_FACTOR_APPLICABILITY!$G:$G,MATCH($C44,MATERIAL_FACTOR_APPLICABILITY!$A:$A,0)))</f>
        <v/>
      </c>
      <c r="M44" s="24">
        <f>IF($C44="","",INDEX(MATERIAL_FACTOR_APPLICABILITY!$H:$H,MATCH($C44,MATERIAL_FACTOR_APPLICABILITY!$A:$A,0)))</f>
        <v/>
      </c>
      <c r="N44" s="24">
        <f>IF($B44="","",ROUND(1+($I44*(SUMIFS(OBJECT_CONDITIONS!$W:$W,OBJECT_CONDITIONS!$A:$A,$B44)-1))+($J44*(SUMIFS(OBJECT_CONDITIONS!$J:$J,OBJECT_CONDITIONS!$A:$A,$B44)-1))+($K44*(SUMIFS(OBJECT_CONDITIONS!$L:$L,OBJECT_CONDITIONS!$A:$A,$B44)-1))+($L44*(SUMIFS(OBJECT_CONDITIONS!$N:$N,OBJECT_CONDITIONS!$A:$A,$B44)-1))+($M44*(SUMIFS(OBJECT_CONDITIONS!$R:$R,OBJECT_CONDITIONS!$A:$A,$B44)-1)),3))</f>
        <v/>
      </c>
      <c r="O44" s="24" t="n"/>
      <c r="P44" s="24">
        <f>IF(OR($H44="",$N44=""),"",ROUND($H44*$N44*IF($O44="",1,$O44),3))</f>
        <v/>
      </c>
      <c r="Q44" s="24">
        <f>IF(OR($E44="",$P44=""),"",ROUND($E44*$P44,3))</f>
        <v/>
      </c>
      <c r="R44" s="5">
        <f>IF($D44="","",IFERROR(INDEX(MATERIAL_VARIANTS!$O:$O,MATCH($D44,MATERIAL_VARIANTS!$A:$A,0)),""))</f>
        <v/>
      </c>
      <c r="S44" s="24">
        <f>IF($D44="","",IFERROR(INDEX(MATERIAL_VARIANTS!$P:$P,MATCH($D44,MATERIAL_VARIANTS!$A:$A,0)),""))</f>
        <v/>
      </c>
      <c r="T44" s="5">
        <f>IF(OR($Q44="",$S44="",$S44=0),"",ROUNDUP($Q44/$S44,0))</f>
        <v/>
      </c>
      <c r="U44" s="5" t="n"/>
    </row>
    <row r="45">
      <c r="A45" s="5" t="n"/>
      <c r="B45" s="5" t="n"/>
      <c r="C45" s="5" t="n"/>
      <c r="D45" s="5" t="n"/>
      <c r="E45" s="5" t="n"/>
      <c r="F45" s="5" t="n"/>
      <c r="G45" s="5">
        <f>IF($C45="","",INDEX(MATERIAL_MASTER!$O:$O,MATCH($C45,MATERIAL_MASTER!$A:$A,0)))</f>
        <v/>
      </c>
      <c r="H45" s="24">
        <f>IF($C45="","",INDEX(MATERIAL_MASTER!$P:$P,MATCH($C45,MATERIAL_MASTER!$A:$A,0)))</f>
        <v/>
      </c>
      <c r="I45" s="24">
        <f>IF($C45="","",INDEX(MATERIAL_FACTOR_APPLICABILITY!$D:$D,MATCH($C45,MATERIAL_FACTOR_APPLICABILITY!$A:$A,0)))</f>
        <v/>
      </c>
      <c r="J45" s="24">
        <f>IF($C45="","",INDEX(MATERIAL_FACTOR_APPLICABILITY!$E:$E,MATCH($C45,MATERIAL_FACTOR_APPLICABILITY!$A:$A,0)))</f>
        <v/>
      </c>
      <c r="K45" s="24">
        <f>IF($C45="","",INDEX(MATERIAL_FACTOR_APPLICABILITY!$F:$F,MATCH($C45,MATERIAL_FACTOR_APPLICABILITY!$A:$A,0)))</f>
        <v/>
      </c>
      <c r="L45" s="24">
        <f>IF($C45="","",INDEX(MATERIAL_FACTOR_APPLICABILITY!$G:$G,MATCH($C45,MATERIAL_FACTOR_APPLICABILITY!$A:$A,0)))</f>
        <v/>
      </c>
      <c r="M45" s="24">
        <f>IF($C45="","",INDEX(MATERIAL_FACTOR_APPLICABILITY!$H:$H,MATCH($C45,MATERIAL_FACTOR_APPLICABILITY!$A:$A,0)))</f>
        <v/>
      </c>
      <c r="N45" s="24">
        <f>IF($B45="","",ROUND(1+($I45*(SUMIFS(OBJECT_CONDITIONS!$W:$W,OBJECT_CONDITIONS!$A:$A,$B45)-1))+($J45*(SUMIFS(OBJECT_CONDITIONS!$J:$J,OBJECT_CONDITIONS!$A:$A,$B45)-1))+($K45*(SUMIFS(OBJECT_CONDITIONS!$L:$L,OBJECT_CONDITIONS!$A:$A,$B45)-1))+($L45*(SUMIFS(OBJECT_CONDITIONS!$N:$N,OBJECT_CONDITIONS!$A:$A,$B45)-1))+($M45*(SUMIFS(OBJECT_CONDITIONS!$R:$R,OBJECT_CONDITIONS!$A:$A,$B45)-1)),3))</f>
        <v/>
      </c>
      <c r="O45" s="24" t="n"/>
      <c r="P45" s="24">
        <f>IF(OR($H45="",$N45=""),"",ROUND($H45*$N45*IF($O45="",1,$O45),3))</f>
        <v/>
      </c>
      <c r="Q45" s="24">
        <f>IF(OR($E45="",$P45=""),"",ROUND($E45*$P45,3))</f>
        <v/>
      </c>
      <c r="R45" s="5">
        <f>IF($D45="","",IFERROR(INDEX(MATERIAL_VARIANTS!$O:$O,MATCH($D45,MATERIAL_VARIANTS!$A:$A,0)),""))</f>
        <v/>
      </c>
      <c r="S45" s="24">
        <f>IF($D45="","",IFERROR(INDEX(MATERIAL_VARIANTS!$P:$P,MATCH($D45,MATERIAL_VARIANTS!$A:$A,0)),""))</f>
        <v/>
      </c>
      <c r="T45" s="5">
        <f>IF(OR($Q45="",$S45="",$S45=0),"",ROUNDUP($Q45/$S45,0))</f>
        <v/>
      </c>
      <c r="U45" s="5" t="n"/>
    </row>
    <row r="46">
      <c r="A46" s="5" t="n"/>
      <c r="B46" s="5" t="n"/>
      <c r="C46" s="5" t="n"/>
      <c r="D46" s="5" t="n"/>
      <c r="E46" s="5" t="n"/>
      <c r="F46" s="5" t="n"/>
      <c r="G46" s="5">
        <f>IF($C46="","",INDEX(MATERIAL_MASTER!$O:$O,MATCH($C46,MATERIAL_MASTER!$A:$A,0)))</f>
        <v/>
      </c>
      <c r="H46" s="24">
        <f>IF($C46="","",INDEX(MATERIAL_MASTER!$P:$P,MATCH($C46,MATERIAL_MASTER!$A:$A,0)))</f>
        <v/>
      </c>
      <c r="I46" s="24">
        <f>IF($C46="","",INDEX(MATERIAL_FACTOR_APPLICABILITY!$D:$D,MATCH($C46,MATERIAL_FACTOR_APPLICABILITY!$A:$A,0)))</f>
        <v/>
      </c>
      <c r="J46" s="24">
        <f>IF($C46="","",INDEX(MATERIAL_FACTOR_APPLICABILITY!$E:$E,MATCH($C46,MATERIAL_FACTOR_APPLICABILITY!$A:$A,0)))</f>
        <v/>
      </c>
      <c r="K46" s="24">
        <f>IF($C46="","",INDEX(MATERIAL_FACTOR_APPLICABILITY!$F:$F,MATCH($C46,MATERIAL_FACTOR_APPLICABILITY!$A:$A,0)))</f>
        <v/>
      </c>
      <c r="L46" s="24">
        <f>IF($C46="","",INDEX(MATERIAL_FACTOR_APPLICABILITY!$G:$G,MATCH($C46,MATERIAL_FACTOR_APPLICABILITY!$A:$A,0)))</f>
        <v/>
      </c>
      <c r="M46" s="24">
        <f>IF($C46="","",INDEX(MATERIAL_FACTOR_APPLICABILITY!$H:$H,MATCH($C46,MATERIAL_FACTOR_APPLICABILITY!$A:$A,0)))</f>
        <v/>
      </c>
      <c r="N46" s="24">
        <f>IF($B46="","",ROUND(1+($I46*(SUMIFS(OBJECT_CONDITIONS!$W:$W,OBJECT_CONDITIONS!$A:$A,$B46)-1))+($J46*(SUMIFS(OBJECT_CONDITIONS!$J:$J,OBJECT_CONDITIONS!$A:$A,$B46)-1))+($K46*(SUMIFS(OBJECT_CONDITIONS!$L:$L,OBJECT_CONDITIONS!$A:$A,$B46)-1))+($L46*(SUMIFS(OBJECT_CONDITIONS!$N:$N,OBJECT_CONDITIONS!$A:$A,$B46)-1))+($M46*(SUMIFS(OBJECT_CONDITIONS!$R:$R,OBJECT_CONDITIONS!$A:$A,$B46)-1)),3))</f>
        <v/>
      </c>
      <c r="O46" s="24" t="n"/>
      <c r="P46" s="24">
        <f>IF(OR($H46="",$N46=""),"",ROUND($H46*$N46*IF($O46="",1,$O46),3))</f>
        <v/>
      </c>
      <c r="Q46" s="24">
        <f>IF(OR($E46="",$P46=""),"",ROUND($E46*$P46,3))</f>
        <v/>
      </c>
      <c r="R46" s="5">
        <f>IF($D46="","",IFERROR(INDEX(MATERIAL_VARIANTS!$O:$O,MATCH($D46,MATERIAL_VARIANTS!$A:$A,0)),""))</f>
        <v/>
      </c>
      <c r="S46" s="24">
        <f>IF($D46="","",IFERROR(INDEX(MATERIAL_VARIANTS!$P:$P,MATCH($D46,MATERIAL_VARIANTS!$A:$A,0)),""))</f>
        <v/>
      </c>
      <c r="T46" s="5">
        <f>IF(OR($Q46="",$S46="",$S46=0),"",ROUNDUP($Q46/$S46,0))</f>
        <v/>
      </c>
      <c r="U46" s="5" t="n"/>
    </row>
    <row r="47">
      <c r="A47" s="5" t="n"/>
      <c r="B47" s="5" t="n"/>
      <c r="C47" s="5" t="n"/>
      <c r="D47" s="5" t="n"/>
      <c r="E47" s="5" t="n"/>
      <c r="F47" s="5" t="n"/>
      <c r="G47" s="5">
        <f>IF($C47="","",INDEX(MATERIAL_MASTER!$O:$O,MATCH($C47,MATERIAL_MASTER!$A:$A,0)))</f>
        <v/>
      </c>
      <c r="H47" s="24">
        <f>IF($C47="","",INDEX(MATERIAL_MASTER!$P:$P,MATCH($C47,MATERIAL_MASTER!$A:$A,0)))</f>
        <v/>
      </c>
      <c r="I47" s="24">
        <f>IF($C47="","",INDEX(MATERIAL_FACTOR_APPLICABILITY!$D:$D,MATCH($C47,MATERIAL_FACTOR_APPLICABILITY!$A:$A,0)))</f>
        <v/>
      </c>
      <c r="J47" s="24">
        <f>IF($C47="","",INDEX(MATERIAL_FACTOR_APPLICABILITY!$E:$E,MATCH($C47,MATERIAL_FACTOR_APPLICABILITY!$A:$A,0)))</f>
        <v/>
      </c>
      <c r="K47" s="24">
        <f>IF($C47="","",INDEX(MATERIAL_FACTOR_APPLICABILITY!$F:$F,MATCH($C47,MATERIAL_FACTOR_APPLICABILITY!$A:$A,0)))</f>
        <v/>
      </c>
      <c r="L47" s="24">
        <f>IF($C47="","",INDEX(MATERIAL_FACTOR_APPLICABILITY!$G:$G,MATCH($C47,MATERIAL_FACTOR_APPLICABILITY!$A:$A,0)))</f>
        <v/>
      </c>
      <c r="M47" s="24">
        <f>IF($C47="","",INDEX(MATERIAL_FACTOR_APPLICABILITY!$H:$H,MATCH($C47,MATERIAL_FACTOR_APPLICABILITY!$A:$A,0)))</f>
        <v/>
      </c>
      <c r="N47" s="24">
        <f>IF($B47="","",ROUND(1+($I47*(SUMIFS(OBJECT_CONDITIONS!$W:$W,OBJECT_CONDITIONS!$A:$A,$B47)-1))+($J47*(SUMIFS(OBJECT_CONDITIONS!$J:$J,OBJECT_CONDITIONS!$A:$A,$B47)-1))+($K47*(SUMIFS(OBJECT_CONDITIONS!$L:$L,OBJECT_CONDITIONS!$A:$A,$B47)-1))+($L47*(SUMIFS(OBJECT_CONDITIONS!$N:$N,OBJECT_CONDITIONS!$A:$A,$B47)-1))+($M47*(SUMIFS(OBJECT_CONDITIONS!$R:$R,OBJECT_CONDITIONS!$A:$A,$B47)-1)),3))</f>
        <v/>
      </c>
      <c r="O47" s="24" t="n"/>
      <c r="P47" s="24">
        <f>IF(OR($H47="",$N47=""),"",ROUND($H47*$N47*IF($O47="",1,$O47),3))</f>
        <v/>
      </c>
      <c r="Q47" s="24">
        <f>IF(OR($E47="",$P47=""),"",ROUND($E47*$P47,3))</f>
        <v/>
      </c>
      <c r="R47" s="5">
        <f>IF($D47="","",IFERROR(INDEX(MATERIAL_VARIANTS!$O:$O,MATCH($D47,MATERIAL_VARIANTS!$A:$A,0)),""))</f>
        <v/>
      </c>
      <c r="S47" s="24">
        <f>IF($D47="","",IFERROR(INDEX(MATERIAL_VARIANTS!$P:$P,MATCH($D47,MATERIAL_VARIANTS!$A:$A,0)),""))</f>
        <v/>
      </c>
      <c r="T47" s="5">
        <f>IF(OR($Q47="",$S47="",$S47=0),"",ROUNDUP($Q47/$S47,0))</f>
        <v/>
      </c>
      <c r="U47" s="5" t="n"/>
    </row>
    <row r="48">
      <c r="A48" s="5" t="n"/>
      <c r="B48" s="5" t="n"/>
      <c r="C48" s="5" t="n"/>
      <c r="D48" s="5" t="n"/>
      <c r="E48" s="5" t="n"/>
      <c r="F48" s="5" t="n"/>
      <c r="G48" s="5">
        <f>IF($C48="","",INDEX(MATERIAL_MASTER!$O:$O,MATCH($C48,MATERIAL_MASTER!$A:$A,0)))</f>
        <v/>
      </c>
      <c r="H48" s="24">
        <f>IF($C48="","",INDEX(MATERIAL_MASTER!$P:$P,MATCH($C48,MATERIAL_MASTER!$A:$A,0)))</f>
        <v/>
      </c>
      <c r="I48" s="24">
        <f>IF($C48="","",INDEX(MATERIAL_FACTOR_APPLICABILITY!$D:$D,MATCH($C48,MATERIAL_FACTOR_APPLICABILITY!$A:$A,0)))</f>
        <v/>
      </c>
      <c r="J48" s="24">
        <f>IF($C48="","",INDEX(MATERIAL_FACTOR_APPLICABILITY!$E:$E,MATCH($C48,MATERIAL_FACTOR_APPLICABILITY!$A:$A,0)))</f>
        <v/>
      </c>
      <c r="K48" s="24">
        <f>IF($C48="","",INDEX(MATERIAL_FACTOR_APPLICABILITY!$F:$F,MATCH($C48,MATERIAL_FACTOR_APPLICABILITY!$A:$A,0)))</f>
        <v/>
      </c>
      <c r="L48" s="24">
        <f>IF($C48="","",INDEX(MATERIAL_FACTOR_APPLICABILITY!$G:$G,MATCH($C48,MATERIAL_FACTOR_APPLICABILITY!$A:$A,0)))</f>
        <v/>
      </c>
      <c r="M48" s="24">
        <f>IF($C48="","",INDEX(MATERIAL_FACTOR_APPLICABILITY!$H:$H,MATCH($C48,MATERIAL_FACTOR_APPLICABILITY!$A:$A,0)))</f>
        <v/>
      </c>
      <c r="N48" s="24">
        <f>IF($B48="","",ROUND(1+($I48*(SUMIFS(OBJECT_CONDITIONS!$W:$W,OBJECT_CONDITIONS!$A:$A,$B48)-1))+($J48*(SUMIFS(OBJECT_CONDITIONS!$J:$J,OBJECT_CONDITIONS!$A:$A,$B48)-1))+($K48*(SUMIFS(OBJECT_CONDITIONS!$L:$L,OBJECT_CONDITIONS!$A:$A,$B48)-1))+($L48*(SUMIFS(OBJECT_CONDITIONS!$N:$N,OBJECT_CONDITIONS!$A:$A,$B48)-1))+($M48*(SUMIFS(OBJECT_CONDITIONS!$R:$R,OBJECT_CONDITIONS!$A:$A,$B48)-1)),3))</f>
        <v/>
      </c>
      <c r="O48" s="24" t="n"/>
      <c r="P48" s="24">
        <f>IF(OR($H48="",$N48=""),"",ROUND($H48*$N48*IF($O48="",1,$O48),3))</f>
        <v/>
      </c>
      <c r="Q48" s="24">
        <f>IF(OR($E48="",$P48=""),"",ROUND($E48*$P48,3))</f>
        <v/>
      </c>
      <c r="R48" s="5">
        <f>IF($D48="","",IFERROR(INDEX(MATERIAL_VARIANTS!$O:$O,MATCH($D48,MATERIAL_VARIANTS!$A:$A,0)),""))</f>
        <v/>
      </c>
      <c r="S48" s="24">
        <f>IF($D48="","",IFERROR(INDEX(MATERIAL_VARIANTS!$P:$P,MATCH($D48,MATERIAL_VARIANTS!$A:$A,0)),""))</f>
        <v/>
      </c>
      <c r="T48" s="5">
        <f>IF(OR($Q48="",$S48="",$S48=0),"",ROUNDUP($Q48/$S48,0))</f>
        <v/>
      </c>
      <c r="U48" s="5" t="n"/>
    </row>
    <row r="49">
      <c r="A49" s="5" t="n"/>
      <c r="B49" s="5" t="n"/>
      <c r="C49" s="5" t="n"/>
      <c r="D49" s="5" t="n"/>
      <c r="E49" s="5" t="n"/>
      <c r="F49" s="5" t="n"/>
      <c r="G49" s="5">
        <f>IF($C49="","",INDEX(MATERIAL_MASTER!$O:$O,MATCH($C49,MATERIAL_MASTER!$A:$A,0)))</f>
        <v/>
      </c>
      <c r="H49" s="24">
        <f>IF($C49="","",INDEX(MATERIAL_MASTER!$P:$P,MATCH($C49,MATERIAL_MASTER!$A:$A,0)))</f>
        <v/>
      </c>
      <c r="I49" s="24">
        <f>IF($C49="","",INDEX(MATERIAL_FACTOR_APPLICABILITY!$D:$D,MATCH($C49,MATERIAL_FACTOR_APPLICABILITY!$A:$A,0)))</f>
        <v/>
      </c>
      <c r="J49" s="24">
        <f>IF($C49="","",INDEX(MATERIAL_FACTOR_APPLICABILITY!$E:$E,MATCH($C49,MATERIAL_FACTOR_APPLICABILITY!$A:$A,0)))</f>
        <v/>
      </c>
      <c r="K49" s="24">
        <f>IF($C49="","",INDEX(MATERIAL_FACTOR_APPLICABILITY!$F:$F,MATCH($C49,MATERIAL_FACTOR_APPLICABILITY!$A:$A,0)))</f>
        <v/>
      </c>
      <c r="L49" s="24">
        <f>IF($C49="","",INDEX(MATERIAL_FACTOR_APPLICABILITY!$G:$G,MATCH($C49,MATERIAL_FACTOR_APPLICABILITY!$A:$A,0)))</f>
        <v/>
      </c>
      <c r="M49" s="24">
        <f>IF($C49="","",INDEX(MATERIAL_FACTOR_APPLICABILITY!$H:$H,MATCH($C49,MATERIAL_FACTOR_APPLICABILITY!$A:$A,0)))</f>
        <v/>
      </c>
      <c r="N49" s="24">
        <f>IF($B49="","",ROUND(1+($I49*(SUMIFS(OBJECT_CONDITIONS!$W:$W,OBJECT_CONDITIONS!$A:$A,$B49)-1))+($J49*(SUMIFS(OBJECT_CONDITIONS!$J:$J,OBJECT_CONDITIONS!$A:$A,$B49)-1))+($K49*(SUMIFS(OBJECT_CONDITIONS!$L:$L,OBJECT_CONDITIONS!$A:$A,$B49)-1))+($L49*(SUMIFS(OBJECT_CONDITIONS!$N:$N,OBJECT_CONDITIONS!$A:$A,$B49)-1))+($M49*(SUMIFS(OBJECT_CONDITIONS!$R:$R,OBJECT_CONDITIONS!$A:$A,$B49)-1)),3))</f>
        <v/>
      </c>
      <c r="O49" s="24" t="n"/>
      <c r="P49" s="24">
        <f>IF(OR($H49="",$N49=""),"",ROUND($H49*$N49*IF($O49="",1,$O49),3))</f>
        <v/>
      </c>
      <c r="Q49" s="24">
        <f>IF(OR($E49="",$P49=""),"",ROUND($E49*$P49,3))</f>
        <v/>
      </c>
      <c r="R49" s="5">
        <f>IF($D49="","",IFERROR(INDEX(MATERIAL_VARIANTS!$O:$O,MATCH($D49,MATERIAL_VARIANTS!$A:$A,0)),""))</f>
        <v/>
      </c>
      <c r="S49" s="24">
        <f>IF($D49="","",IFERROR(INDEX(MATERIAL_VARIANTS!$P:$P,MATCH($D49,MATERIAL_VARIANTS!$A:$A,0)),""))</f>
        <v/>
      </c>
      <c r="T49" s="5">
        <f>IF(OR($Q49="",$S49="",$S49=0),"",ROUNDUP($Q49/$S49,0))</f>
        <v/>
      </c>
      <c r="U49" s="5" t="n"/>
    </row>
    <row r="50">
      <c r="A50" s="5" t="n"/>
      <c r="B50" s="5" t="n"/>
      <c r="C50" s="5" t="n"/>
      <c r="D50" s="5" t="n"/>
      <c r="E50" s="5" t="n"/>
      <c r="F50" s="5" t="n"/>
      <c r="G50" s="5">
        <f>IF($C50="","",INDEX(MATERIAL_MASTER!$O:$O,MATCH($C50,MATERIAL_MASTER!$A:$A,0)))</f>
        <v/>
      </c>
      <c r="H50" s="24">
        <f>IF($C50="","",INDEX(MATERIAL_MASTER!$P:$P,MATCH($C50,MATERIAL_MASTER!$A:$A,0)))</f>
        <v/>
      </c>
      <c r="I50" s="24">
        <f>IF($C50="","",INDEX(MATERIAL_FACTOR_APPLICABILITY!$D:$D,MATCH($C50,MATERIAL_FACTOR_APPLICABILITY!$A:$A,0)))</f>
        <v/>
      </c>
      <c r="J50" s="24">
        <f>IF($C50="","",INDEX(MATERIAL_FACTOR_APPLICABILITY!$E:$E,MATCH($C50,MATERIAL_FACTOR_APPLICABILITY!$A:$A,0)))</f>
        <v/>
      </c>
      <c r="K50" s="24">
        <f>IF($C50="","",INDEX(MATERIAL_FACTOR_APPLICABILITY!$F:$F,MATCH($C50,MATERIAL_FACTOR_APPLICABILITY!$A:$A,0)))</f>
        <v/>
      </c>
      <c r="L50" s="24">
        <f>IF($C50="","",INDEX(MATERIAL_FACTOR_APPLICABILITY!$G:$G,MATCH($C50,MATERIAL_FACTOR_APPLICABILITY!$A:$A,0)))</f>
        <v/>
      </c>
      <c r="M50" s="24">
        <f>IF($C50="","",INDEX(MATERIAL_FACTOR_APPLICABILITY!$H:$H,MATCH($C50,MATERIAL_FACTOR_APPLICABILITY!$A:$A,0)))</f>
        <v/>
      </c>
      <c r="N50" s="24">
        <f>IF($B50="","",ROUND(1+($I50*(SUMIFS(OBJECT_CONDITIONS!$W:$W,OBJECT_CONDITIONS!$A:$A,$B50)-1))+($J50*(SUMIFS(OBJECT_CONDITIONS!$J:$J,OBJECT_CONDITIONS!$A:$A,$B50)-1))+($K50*(SUMIFS(OBJECT_CONDITIONS!$L:$L,OBJECT_CONDITIONS!$A:$A,$B50)-1))+($L50*(SUMIFS(OBJECT_CONDITIONS!$N:$N,OBJECT_CONDITIONS!$A:$A,$B50)-1))+($M50*(SUMIFS(OBJECT_CONDITIONS!$R:$R,OBJECT_CONDITIONS!$A:$A,$B50)-1)),3))</f>
        <v/>
      </c>
      <c r="O50" s="24" t="n"/>
      <c r="P50" s="24">
        <f>IF(OR($H50="",$N50=""),"",ROUND($H50*$N50*IF($O50="",1,$O50),3))</f>
        <v/>
      </c>
      <c r="Q50" s="24">
        <f>IF(OR($E50="",$P50=""),"",ROUND($E50*$P50,3))</f>
        <v/>
      </c>
      <c r="R50" s="5">
        <f>IF($D50="","",IFERROR(INDEX(MATERIAL_VARIANTS!$O:$O,MATCH($D50,MATERIAL_VARIANTS!$A:$A,0)),""))</f>
        <v/>
      </c>
      <c r="S50" s="24">
        <f>IF($D50="","",IFERROR(INDEX(MATERIAL_VARIANTS!$P:$P,MATCH($D50,MATERIAL_VARIANTS!$A:$A,0)),""))</f>
        <v/>
      </c>
      <c r="T50" s="5">
        <f>IF(OR($Q50="",$S50="",$S50=0),"",ROUNDUP($Q50/$S50,0))</f>
        <v/>
      </c>
      <c r="U50" s="5" t="n"/>
    </row>
    <row r="51">
      <c r="A51" s="5" t="n"/>
      <c r="B51" s="5" t="n"/>
      <c r="C51" s="5" t="n"/>
      <c r="D51" s="5" t="n"/>
      <c r="E51" s="5" t="n"/>
      <c r="F51" s="5" t="n"/>
      <c r="G51" s="5">
        <f>IF($C51="","",INDEX(MATERIAL_MASTER!$O:$O,MATCH($C51,MATERIAL_MASTER!$A:$A,0)))</f>
        <v/>
      </c>
      <c r="H51" s="24">
        <f>IF($C51="","",INDEX(MATERIAL_MASTER!$P:$P,MATCH($C51,MATERIAL_MASTER!$A:$A,0)))</f>
        <v/>
      </c>
      <c r="I51" s="24">
        <f>IF($C51="","",INDEX(MATERIAL_FACTOR_APPLICABILITY!$D:$D,MATCH($C51,MATERIAL_FACTOR_APPLICABILITY!$A:$A,0)))</f>
        <v/>
      </c>
      <c r="J51" s="24">
        <f>IF($C51="","",INDEX(MATERIAL_FACTOR_APPLICABILITY!$E:$E,MATCH($C51,MATERIAL_FACTOR_APPLICABILITY!$A:$A,0)))</f>
        <v/>
      </c>
      <c r="K51" s="24">
        <f>IF($C51="","",INDEX(MATERIAL_FACTOR_APPLICABILITY!$F:$F,MATCH($C51,MATERIAL_FACTOR_APPLICABILITY!$A:$A,0)))</f>
        <v/>
      </c>
      <c r="L51" s="24">
        <f>IF($C51="","",INDEX(MATERIAL_FACTOR_APPLICABILITY!$G:$G,MATCH($C51,MATERIAL_FACTOR_APPLICABILITY!$A:$A,0)))</f>
        <v/>
      </c>
      <c r="M51" s="24">
        <f>IF($C51="","",INDEX(MATERIAL_FACTOR_APPLICABILITY!$H:$H,MATCH($C51,MATERIAL_FACTOR_APPLICABILITY!$A:$A,0)))</f>
        <v/>
      </c>
      <c r="N51" s="24">
        <f>IF($B51="","",ROUND(1+($I51*(SUMIFS(OBJECT_CONDITIONS!$W:$W,OBJECT_CONDITIONS!$A:$A,$B51)-1))+($J51*(SUMIFS(OBJECT_CONDITIONS!$J:$J,OBJECT_CONDITIONS!$A:$A,$B51)-1))+($K51*(SUMIFS(OBJECT_CONDITIONS!$L:$L,OBJECT_CONDITIONS!$A:$A,$B51)-1))+($L51*(SUMIFS(OBJECT_CONDITIONS!$N:$N,OBJECT_CONDITIONS!$A:$A,$B51)-1))+($M51*(SUMIFS(OBJECT_CONDITIONS!$R:$R,OBJECT_CONDITIONS!$A:$A,$B51)-1)),3))</f>
        <v/>
      </c>
      <c r="O51" s="24" t="n"/>
      <c r="P51" s="24">
        <f>IF(OR($H51="",$N51=""),"",ROUND($H51*$N51*IF($O51="",1,$O51),3))</f>
        <v/>
      </c>
      <c r="Q51" s="24">
        <f>IF(OR($E51="",$P51=""),"",ROUND($E51*$P51,3))</f>
        <v/>
      </c>
      <c r="R51" s="5">
        <f>IF($D51="","",IFERROR(INDEX(MATERIAL_VARIANTS!$O:$O,MATCH($D51,MATERIAL_VARIANTS!$A:$A,0)),""))</f>
        <v/>
      </c>
      <c r="S51" s="24">
        <f>IF($D51="","",IFERROR(INDEX(MATERIAL_VARIANTS!$P:$P,MATCH($D51,MATERIAL_VARIANTS!$A:$A,0)),""))</f>
        <v/>
      </c>
      <c r="T51" s="5">
        <f>IF(OR($Q51="",$S51="",$S51=0),"",ROUNDUP($Q51/$S51,0))</f>
        <v/>
      </c>
      <c r="U51" s="5" t="n"/>
    </row>
    <row r="52">
      <c r="A52" s="5" t="n"/>
      <c r="B52" s="5" t="n"/>
      <c r="C52" s="5" t="n"/>
      <c r="D52" s="5" t="n"/>
      <c r="E52" s="5" t="n"/>
      <c r="F52" s="5" t="n"/>
      <c r="G52" s="5">
        <f>IF($C52="","",INDEX(MATERIAL_MASTER!$O:$O,MATCH($C52,MATERIAL_MASTER!$A:$A,0)))</f>
        <v/>
      </c>
      <c r="H52" s="24">
        <f>IF($C52="","",INDEX(MATERIAL_MASTER!$P:$P,MATCH($C52,MATERIAL_MASTER!$A:$A,0)))</f>
        <v/>
      </c>
      <c r="I52" s="24">
        <f>IF($C52="","",INDEX(MATERIAL_FACTOR_APPLICABILITY!$D:$D,MATCH($C52,MATERIAL_FACTOR_APPLICABILITY!$A:$A,0)))</f>
        <v/>
      </c>
      <c r="J52" s="24">
        <f>IF($C52="","",INDEX(MATERIAL_FACTOR_APPLICABILITY!$E:$E,MATCH($C52,MATERIAL_FACTOR_APPLICABILITY!$A:$A,0)))</f>
        <v/>
      </c>
      <c r="K52" s="24">
        <f>IF($C52="","",INDEX(MATERIAL_FACTOR_APPLICABILITY!$F:$F,MATCH($C52,MATERIAL_FACTOR_APPLICABILITY!$A:$A,0)))</f>
        <v/>
      </c>
      <c r="L52" s="24">
        <f>IF($C52="","",INDEX(MATERIAL_FACTOR_APPLICABILITY!$G:$G,MATCH($C52,MATERIAL_FACTOR_APPLICABILITY!$A:$A,0)))</f>
        <v/>
      </c>
      <c r="M52" s="24">
        <f>IF($C52="","",INDEX(MATERIAL_FACTOR_APPLICABILITY!$H:$H,MATCH($C52,MATERIAL_FACTOR_APPLICABILITY!$A:$A,0)))</f>
        <v/>
      </c>
      <c r="N52" s="24">
        <f>IF($B52="","",ROUND(1+($I52*(SUMIFS(OBJECT_CONDITIONS!$W:$W,OBJECT_CONDITIONS!$A:$A,$B52)-1))+($J52*(SUMIFS(OBJECT_CONDITIONS!$J:$J,OBJECT_CONDITIONS!$A:$A,$B52)-1))+($K52*(SUMIFS(OBJECT_CONDITIONS!$L:$L,OBJECT_CONDITIONS!$A:$A,$B52)-1))+($L52*(SUMIFS(OBJECT_CONDITIONS!$N:$N,OBJECT_CONDITIONS!$A:$A,$B52)-1))+($M52*(SUMIFS(OBJECT_CONDITIONS!$R:$R,OBJECT_CONDITIONS!$A:$A,$B52)-1)),3))</f>
        <v/>
      </c>
      <c r="O52" s="24" t="n"/>
      <c r="P52" s="24">
        <f>IF(OR($H52="",$N52=""),"",ROUND($H52*$N52*IF($O52="",1,$O52),3))</f>
        <v/>
      </c>
      <c r="Q52" s="24">
        <f>IF(OR($E52="",$P52=""),"",ROUND($E52*$P52,3))</f>
        <v/>
      </c>
      <c r="R52" s="5">
        <f>IF($D52="","",IFERROR(INDEX(MATERIAL_VARIANTS!$O:$O,MATCH($D52,MATERIAL_VARIANTS!$A:$A,0)),""))</f>
        <v/>
      </c>
      <c r="S52" s="24">
        <f>IF($D52="","",IFERROR(INDEX(MATERIAL_VARIANTS!$P:$P,MATCH($D52,MATERIAL_VARIANTS!$A:$A,0)),""))</f>
        <v/>
      </c>
      <c r="T52" s="5">
        <f>IF(OR($Q52="",$S52="",$S52=0),"",ROUNDUP($Q52/$S52,0))</f>
        <v/>
      </c>
      <c r="U52" s="5" t="n"/>
    </row>
    <row r="53">
      <c r="A53" s="5" t="n"/>
      <c r="B53" s="5" t="n"/>
      <c r="C53" s="5" t="n"/>
      <c r="D53" s="5" t="n"/>
      <c r="E53" s="5" t="n"/>
      <c r="F53" s="5" t="n"/>
      <c r="G53" s="5">
        <f>IF($C53="","",INDEX(MATERIAL_MASTER!$O:$O,MATCH($C53,MATERIAL_MASTER!$A:$A,0)))</f>
        <v/>
      </c>
      <c r="H53" s="24">
        <f>IF($C53="","",INDEX(MATERIAL_MASTER!$P:$P,MATCH($C53,MATERIAL_MASTER!$A:$A,0)))</f>
        <v/>
      </c>
      <c r="I53" s="24">
        <f>IF($C53="","",INDEX(MATERIAL_FACTOR_APPLICABILITY!$D:$D,MATCH($C53,MATERIAL_FACTOR_APPLICABILITY!$A:$A,0)))</f>
        <v/>
      </c>
      <c r="J53" s="24">
        <f>IF($C53="","",INDEX(MATERIAL_FACTOR_APPLICABILITY!$E:$E,MATCH($C53,MATERIAL_FACTOR_APPLICABILITY!$A:$A,0)))</f>
        <v/>
      </c>
      <c r="K53" s="24">
        <f>IF($C53="","",INDEX(MATERIAL_FACTOR_APPLICABILITY!$F:$F,MATCH($C53,MATERIAL_FACTOR_APPLICABILITY!$A:$A,0)))</f>
        <v/>
      </c>
      <c r="L53" s="24">
        <f>IF($C53="","",INDEX(MATERIAL_FACTOR_APPLICABILITY!$G:$G,MATCH($C53,MATERIAL_FACTOR_APPLICABILITY!$A:$A,0)))</f>
        <v/>
      </c>
      <c r="M53" s="24">
        <f>IF($C53="","",INDEX(MATERIAL_FACTOR_APPLICABILITY!$H:$H,MATCH($C53,MATERIAL_FACTOR_APPLICABILITY!$A:$A,0)))</f>
        <v/>
      </c>
      <c r="N53" s="24">
        <f>IF($B53="","",ROUND(1+($I53*(SUMIFS(OBJECT_CONDITIONS!$W:$W,OBJECT_CONDITIONS!$A:$A,$B53)-1))+($J53*(SUMIFS(OBJECT_CONDITIONS!$J:$J,OBJECT_CONDITIONS!$A:$A,$B53)-1))+($K53*(SUMIFS(OBJECT_CONDITIONS!$L:$L,OBJECT_CONDITIONS!$A:$A,$B53)-1))+($L53*(SUMIFS(OBJECT_CONDITIONS!$N:$N,OBJECT_CONDITIONS!$A:$A,$B53)-1))+($M53*(SUMIFS(OBJECT_CONDITIONS!$R:$R,OBJECT_CONDITIONS!$A:$A,$B53)-1)),3))</f>
        <v/>
      </c>
      <c r="O53" s="24" t="n"/>
      <c r="P53" s="24">
        <f>IF(OR($H53="",$N53=""),"",ROUND($H53*$N53*IF($O53="",1,$O53),3))</f>
        <v/>
      </c>
      <c r="Q53" s="24">
        <f>IF(OR($E53="",$P53=""),"",ROUND($E53*$P53,3))</f>
        <v/>
      </c>
      <c r="R53" s="5">
        <f>IF($D53="","",IFERROR(INDEX(MATERIAL_VARIANTS!$O:$O,MATCH($D53,MATERIAL_VARIANTS!$A:$A,0)),""))</f>
        <v/>
      </c>
      <c r="S53" s="24">
        <f>IF($D53="","",IFERROR(INDEX(MATERIAL_VARIANTS!$P:$P,MATCH($D53,MATERIAL_VARIANTS!$A:$A,0)),""))</f>
        <v/>
      </c>
      <c r="T53" s="5">
        <f>IF(OR($Q53="",$S53="",$S53=0),"",ROUNDUP($Q53/$S53,0))</f>
        <v/>
      </c>
      <c r="U53" s="5" t="n"/>
    </row>
    <row r="54">
      <c r="A54" s="5" t="n"/>
      <c r="B54" s="5" t="n"/>
      <c r="C54" s="5" t="n"/>
      <c r="D54" s="5" t="n"/>
      <c r="E54" s="5" t="n"/>
      <c r="F54" s="5" t="n"/>
      <c r="G54" s="5">
        <f>IF($C54="","",INDEX(MATERIAL_MASTER!$O:$O,MATCH($C54,MATERIAL_MASTER!$A:$A,0)))</f>
        <v/>
      </c>
      <c r="H54" s="24">
        <f>IF($C54="","",INDEX(MATERIAL_MASTER!$P:$P,MATCH($C54,MATERIAL_MASTER!$A:$A,0)))</f>
        <v/>
      </c>
      <c r="I54" s="24">
        <f>IF($C54="","",INDEX(MATERIAL_FACTOR_APPLICABILITY!$D:$D,MATCH($C54,MATERIAL_FACTOR_APPLICABILITY!$A:$A,0)))</f>
        <v/>
      </c>
      <c r="J54" s="24">
        <f>IF($C54="","",INDEX(MATERIAL_FACTOR_APPLICABILITY!$E:$E,MATCH($C54,MATERIAL_FACTOR_APPLICABILITY!$A:$A,0)))</f>
        <v/>
      </c>
      <c r="K54" s="24">
        <f>IF($C54="","",INDEX(MATERIAL_FACTOR_APPLICABILITY!$F:$F,MATCH($C54,MATERIAL_FACTOR_APPLICABILITY!$A:$A,0)))</f>
        <v/>
      </c>
      <c r="L54" s="24">
        <f>IF($C54="","",INDEX(MATERIAL_FACTOR_APPLICABILITY!$G:$G,MATCH($C54,MATERIAL_FACTOR_APPLICABILITY!$A:$A,0)))</f>
        <v/>
      </c>
      <c r="M54" s="24">
        <f>IF($C54="","",INDEX(MATERIAL_FACTOR_APPLICABILITY!$H:$H,MATCH($C54,MATERIAL_FACTOR_APPLICABILITY!$A:$A,0)))</f>
        <v/>
      </c>
      <c r="N54" s="24">
        <f>IF($B54="","",ROUND(1+($I54*(SUMIFS(OBJECT_CONDITIONS!$W:$W,OBJECT_CONDITIONS!$A:$A,$B54)-1))+($J54*(SUMIFS(OBJECT_CONDITIONS!$J:$J,OBJECT_CONDITIONS!$A:$A,$B54)-1))+($K54*(SUMIFS(OBJECT_CONDITIONS!$L:$L,OBJECT_CONDITIONS!$A:$A,$B54)-1))+($L54*(SUMIFS(OBJECT_CONDITIONS!$N:$N,OBJECT_CONDITIONS!$A:$A,$B54)-1))+($M54*(SUMIFS(OBJECT_CONDITIONS!$R:$R,OBJECT_CONDITIONS!$A:$A,$B54)-1)),3))</f>
        <v/>
      </c>
      <c r="O54" s="24" t="n"/>
      <c r="P54" s="24">
        <f>IF(OR($H54="",$N54=""),"",ROUND($H54*$N54*IF($O54="",1,$O54),3))</f>
        <v/>
      </c>
      <c r="Q54" s="24">
        <f>IF(OR($E54="",$P54=""),"",ROUND($E54*$P54,3))</f>
        <v/>
      </c>
      <c r="R54" s="5">
        <f>IF($D54="","",IFERROR(INDEX(MATERIAL_VARIANTS!$O:$O,MATCH($D54,MATERIAL_VARIANTS!$A:$A,0)),""))</f>
        <v/>
      </c>
      <c r="S54" s="24">
        <f>IF($D54="","",IFERROR(INDEX(MATERIAL_VARIANTS!$P:$P,MATCH($D54,MATERIAL_VARIANTS!$A:$A,0)),""))</f>
        <v/>
      </c>
      <c r="T54" s="5">
        <f>IF(OR($Q54="",$S54="",$S54=0),"",ROUNDUP($Q54/$S54,0))</f>
        <v/>
      </c>
      <c r="U54" s="5" t="n"/>
    </row>
    <row r="55">
      <c r="A55" s="5" t="n"/>
      <c r="B55" s="5" t="n"/>
      <c r="C55" s="5" t="n"/>
      <c r="D55" s="5" t="n"/>
      <c r="E55" s="5" t="n"/>
      <c r="F55" s="5" t="n"/>
      <c r="G55" s="5">
        <f>IF($C55="","",INDEX(MATERIAL_MASTER!$O:$O,MATCH($C55,MATERIAL_MASTER!$A:$A,0)))</f>
        <v/>
      </c>
      <c r="H55" s="24">
        <f>IF($C55="","",INDEX(MATERIAL_MASTER!$P:$P,MATCH($C55,MATERIAL_MASTER!$A:$A,0)))</f>
        <v/>
      </c>
      <c r="I55" s="24">
        <f>IF($C55="","",INDEX(MATERIAL_FACTOR_APPLICABILITY!$D:$D,MATCH($C55,MATERIAL_FACTOR_APPLICABILITY!$A:$A,0)))</f>
        <v/>
      </c>
      <c r="J55" s="24">
        <f>IF($C55="","",INDEX(MATERIAL_FACTOR_APPLICABILITY!$E:$E,MATCH($C55,MATERIAL_FACTOR_APPLICABILITY!$A:$A,0)))</f>
        <v/>
      </c>
      <c r="K55" s="24">
        <f>IF($C55="","",INDEX(MATERIAL_FACTOR_APPLICABILITY!$F:$F,MATCH($C55,MATERIAL_FACTOR_APPLICABILITY!$A:$A,0)))</f>
        <v/>
      </c>
      <c r="L55" s="24">
        <f>IF($C55="","",INDEX(MATERIAL_FACTOR_APPLICABILITY!$G:$G,MATCH($C55,MATERIAL_FACTOR_APPLICABILITY!$A:$A,0)))</f>
        <v/>
      </c>
      <c r="M55" s="24">
        <f>IF($C55="","",INDEX(MATERIAL_FACTOR_APPLICABILITY!$H:$H,MATCH($C55,MATERIAL_FACTOR_APPLICABILITY!$A:$A,0)))</f>
        <v/>
      </c>
      <c r="N55" s="24">
        <f>IF($B55="","",ROUND(1+($I55*(SUMIFS(OBJECT_CONDITIONS!$W:$W,OBJECT_CONDITIONS!$A:$A,$B55)-1))+($J55*(SUMIFS(OBJECT_CONDITIONS!$J:$J,OBJECT_CONDITIONS!$A:$A,$B55)-1))+($K55*(SUMIFS(OBJECT_CONDITIONS!$L:$L,OBJECT_CONDITIONS!$A:$A,$B55)-1))+($L55*(SUMIFS(OBJECT_CONDITIONS!$N:$N,OBJECT_CONDITIONS!$A:$A,$B55)-1))+($M55*(SUMIFS(OBJECT_CONDITIONS!$R:$R,OBJECT_CONDITIONS!$A:$A,$B55)-1)),3))</f>
        <v/>
      </c>
      <c r="O55" s="24" t="n"/>
      <c r="P55" s="24">
        <f>IF(OR($H55="",$N55=""),"",ROUND($H55*$N55*IF($O55="",1,$O55),3))</f>
        <v/>
      </c>
      <c r="Q55" s="24">
        <f>IF(OR($E55="",$P55=""),"",ROUND($E55*$P55,3))</f>
        <v/>
      </c>
      <c r="R55" s="5">
        <f>IF($D55="","",IFERROR(INDEX(MATERIAL_VARIANTS!$O:$O,MATCH($D55,MATERIAL_VARIANTS!$A:$A,0)),""))</f>
        <v/>
      </c>
      <c r="S55" s="24">
        <f>IF($D55="","",IFERROR(INDEX(MATERIAL_VARIANTS!$P:$P,MATCH($D55,MATERIAL_VARIANTS!$A:$A,0)),""))</f>
        <v/>
      </c>
      <c r="T55" s="5">
        <f>IF(OR($Q55="",$S55="",$S55=0),"",ROUNDUP($Q55/$S55,0))</f>
        <v/>
      </c>
      <c r="U55" s="5" t="n"/>
    </row>
    <row r="56">
      <c r="A56" s="5" t="n"/>
      <c r="B56" s="5" t="n"/>
      <c r="C56" s="5" t="n"/>
      <c r="D56" s="5" t="n"/>
      <c r="E56" s="5" t="n"/>
      <c r="F56" s="5" t="n"/>
      <c r="G56" s="5">
        <f>IF($C56="","",INDEX(MATERIAL_MASTER!$O:$O,MATCH($C56,MATERIAL_MASTER!$A:$A,0)))</f>
        <v/>
      </c>
      <c r="H56" s="24">
        <f>IF($C56="","",INDEX(MATERIAL_MASTER!$P:$P,MATCH($C56,MATERIAL_MASTER!$A:$A,0)))</f>
        <v/>
      </c>
      <c r="I56" s="24">
        <f>IF($C56="","",INDEX(MATERIAL_FACTOR_APPLICABILITY!$D:$D,MATCH($C56,MATERIAL_FACTOR_APPLICABILITY!$A:$A,0)))</f>
        <v/>
      </c>
      <c r="J56" s="24">
        <f>IF($C56="","",INDEX(MATERIAL_FACTOR_APPLICABILITY!$E:$E,MATCH($C56,MATERIAL_FACTOR_APPLICABILITY!$A:$A,0)))</f>
        <v/>
      </c>
      <c r="K56" s="24">
        <f>IF($C56="","",INDEX(MATERIAL_FACTOR_APPLICABILITY!$F:$F,MATCH($C56,MATERIAL_FACTOR_APPLICABILITY!$A:$A,0)))</f>
        <v/>
      </c>
      <c r="L56" s="24">
        <f>IF($C56="","",INDEX(MATERIAL_FACTOR_APPLICABILITY!$G:$G,MATCH($C56,MATERIAL_FACTOR_APPLICABILITY!$A:$A,0)))</f>
        <v/>
      </c>
      <c r="M56" s="24">
        <f>IF($C56="","",INDEX(MATERIAL_FACTOR_APPLICABILITY!$H:$H,MATCH($C56,MATERIAL_FACTOR_APPLICABILITY!$A:$A,0)))</f>
        <v/>
      </c>
      <c r="N56" s="24">
        <f>IF($B56="","",ROUND(1+($I56*(SUMIFS(OBJECT_CONDITIONS!$W:$W,OBJECT_CONDITIONS!$A:$A,$B56)-1))+($J56*(SUMIFS(OBJECT_CONDITIONS!$J:$J,OBJECT_CONDITIONS!$A:$A,$B56)-1))+($K56*(SUMIFS(OBJECT_CONDITIONS!$L:$L,OBJECT_CONDITIONS!$A:$A,$B56)-1))+($L56*(SUMIFS(OBJECT_CONDITIONS!$N:$N,OBJECT_CONDITIONS!$A:$A,$B56)-1))+($M56*(SUMIFS(OBJECT_CONDITIONS!$R:$R,OBJECT_CONDITIONS!$A:$A,$B56)-1)),3))</f>
        <v/>
      </c>
      <c r="O56" s="24" t="n"/>
      <c r="P56" s="24">
        <f>IF(OR($H56="",$N56=""),"",ROUND($H56*$N56*IF($O56="",1,$O56),3))</f>
        <v/>
      </c>
      <c r="Q56" s="24">
        <f>IF(OR($E56="",$P56=""),"",ROUND($E56*$P56,3))</f>
        <v/>
      </c>
      <c r="R56" s="5">
        <f>IF($D56="","",IFERROR(INDEX(MATERIAL_VARIANTS!$O:$O,MATCH($D56,MATERIAL_VARIANTS!$A:$A,0)),""))</f>
        <v/>
      </c>
      <c r="S56" s="24">
        <f>IF($D56="","",IFERROR(INDEX(MATERIAL_VARIANTS!$P:$P,MATCH($D56,MATERIAL_VARIANTS!$A:$A,0)),""))</f>
        <v/>
      </c>
      <c r="T56" s="5">
        <f>IF(OR($Q56="",$S56="",$S56=0),"",ROUNDUP($Q56/$S56,0))</f>
        <v/>
      </c>
      <c r="U56" s="5" t="n"/>
    </row>
    <row r="57">
      <c r="A57" s="5" t="n"/>
      <c r="B57" s="5" t="n"/>
      <c r="C57" s="5" t="n"/>
      <c r="D57" s="5" t="n"/>
      <c r="E57" s="5" t="n"/>
      <c r="F57" s="5" t="n"/>
      <c r="G57" s="5">
        <f>IF($C57="","",INDEX(MATERIAL_MASTER!$O:$O,MATCH($C57,MATERIAL_MASTER!$A:$A,0)))</f>
        <v/>
      </c>
      <c r="H57" s="24">
        <f>IF($C57="","",INDEX(MATERIAL_MASTER!$P:$P,MATCH($C57,MATERIAL_MASTER!$A:$A,0)))</f>
        <v/>
      </c>
      <c r="I57" s="24">
        <f>IF($C57="","",INDEX(MATERIAL_FACTOR_APPLICABILITY!$D:$D,MATCH($C57,MATERIAL_FACTOR_APPLICABILITY!$A:$A,0)))</f>
        <v/>
      </c>
      <c r="J57" s="24">
        <f>IF($C57="","",INDEX(MATERIAL_FACTOR_APPLICABILITY!$E:$E,MATCH($C57,MATERIAL_FACTOR_APPLICABILITY!$A:$A,0)))</f>
        <v/>
      </c>
      <c r="K57" s="24">
        <f>IF($C57="","",INDEX(MATERIAL_FACTOR_APPLICABILITY!$F:$F,MATCH($C57,MATERIAL_FACTOR_APPLICABILITY!$A:$A,0)))</f>
        <v/>
      </c>
      <c r="L57" s="24">
        <f>IF($C57="","",INDEX(MATERIAL_FACTOR_APPLICABILITY!$G:$G,MATCH($C57,MATERIAL_FACTOR_APPLICABILITY!$A:$A,0)))</f>
        <v/>
      </c>
      <c r="M57" s="24">
        <f>IF($C57="","",INDEX(MATERIAL_FACTOR_APPLICABILITY!$H:$H,MATCH($C57,MATERIAL_FACTOR_APPLICABILITY!$A:$A,0)))</f>
        <v/>
      </c>
      <c r="N57" s="24">
        <f>IF($B57="","",ROUND(1+($I57*(SUMIFS(OBJECT_CONDITIONS!$W:$W,OBJECT_CONDITIONS!$A:$A,$B57)-1))+($J57*(SUMIFS(OBJECT_CONDITIONS!$J:$J,OBJECT_CONDITIONS!$A:$A,$B57)-1))+($K57*(SUMIFS(OBJECT_CONDITIONS!$L:$L,OBJECT_CONDITIONS!$A:$A,$B57)-1))+($L57*(SUMIFS(OBJECT_CONDITIONS!$N:$N,OBJECT_CONDITIONS!$A:$A,$B57)-1))+($M57*(SUMIFS(OBJECT_CONDITIONS!$R:$R,OBJECT_CONDITIONS!$A:$A,$B57)-1)),3))</f>
        <v/>
      </c>
      <c r="O57" s="24" t="n"/>
      <c r="P57" s="24">
        <f>IF(OR($H57="",$N57=""),"",ROUND($H57*$N57*IF($O57="",1,$O57),3))</f>
        <v/>
      </c>
      <c r="Q57" s="24">
        <f>IF(OR($E57="",$P57=""),"",ROUND($E57*$P57,3))</f>
        <v/>
      </c>
      <c r="R57" s="5">
        <f>IF($D57="","",IFERROR(INDEX(MATERIAL_VARIANTS!$O:$O,MATCH($D57,MATERIAL_VARIANTS!$A:$A,0)),""))</f>
        <v/>
      </c>
      <c r="S57" s="24">
        <f>IF($D57="","",IFERROR(INDEX(MATERIAL_VARIANTS!$P:$P,MATCH($D57,MATERIAL_VARIANTS!$A:$A,0)),""))</f>
        <v/>
      </c>
      <c r="T57" s="5">
        <f>IF(OR($Q57="",$S57="",$S57=0),"",ROUNDUP($Q57/$S57,0))</f>
        <v/>
      </c>
      <c r="U57" s="5" t="n"/>
    </row>
    <row r="58">
      <c r="A58" s="5" t="n"/>
      <c r="B58" s="5" t="n"/>
      <c r="C58" s="5" t="n"/>
      <c r="D58" s="5" t="n"/>
      <c r="E58" s="5" t="n"/>
      <c r="F58" s="5" t="n"/>
      <c r="G58" s="5">
        <f>IF($C58="","",INDEX(MATERIAL_MASTER!$O:$O,MATCH($C58,MATERIAL_MASTER!$A:$A,0)))</f>
        <v/>
      </c>
      <c r="H58" s="24">
        <f>IF($C58="","",INDEX(MATERIAL_MASTER!$P:$P,MATCH($C58,MATERIAL_MASTER!$A:$A,0)))</f>
        <v/>
      </c>
      <c r="I58" s="24">
        <f>IF($C58="","",INDEX(MATERIAL_FACTOR_APPLICABILITY!$D:$D,MATCH($C58,MATERIAL_FACTOR_APPLICABILITY!$A:$A,0)))</f>
        <v/>
      </c>
      <c r="J58" s="24">
        <f>IF($C58="","",INDEX(MATERIAL_FACTOR_APPLICABILITY!$E:$E,MATCH($C58,MATERIAL_FACTOR_APPLICABILITY!$A:$A,0)))</f>
        <v/>
      </c>
      <c r="K58" s="24">
        <f>IF($C58="","",INDEX(MATERIAL_FACTOR_APPLICABILITY!$F:$F,MATCH($C58,MATERIAL_FACTOR_APPLICABILITY!$A:$A,0)))</f>
        <v/>
      </c>
      <c r="L58" s="24">
        <f>IF($C58="","",INDEX(MATERIAL_FACTOR_APPLICABILITY!$G:$G,MATCH($C58,MATERIAL_FACTOR_APPLICABILITY!$A:$A,0)))</f>
        <v/>
      </c>
      <c r="M58" s="24">
        <f>IF($C58="","",INDEX(MATERIAL_FACTOR_APPLICABILITY!$H:$H,MATCH($C58,MATERIAL_FACTOR_APPLICABILITY!$A:$A,0)))</f>
        <v/>
      </c>
      <c r="N58" s="24">
        <f>IF($B58="","",ROUND(1+($I58*(SUMIFS(OBJECT_CONDITIONS!$W:$W,OBJECT_CONDITIONS!$A:$A,$B58)-1))+($J58*(SUMIFS(OBJECT_CONDITIONS!$J:$J,OBJECT_CONDITIONS!$A:$A,$B58)-1))+($K58*(SUMIFS(OBJECT_CONDITIONS!$L:$L,OBJECT_CONDITIONS!$A:$A,$B58)-1))+($L58*(SUMIFS(OBJECT_CONDITIONS!$N:$N,OBJECT_CONDITIONS!$A:$A,$B58)-1))+($M58*(SUMIFS(OBJECT_CONDITIONS!$R:$R,OBJECT_CONDITIONS!$A:$A,$B58)-1)),3))</f>
        <v/>
      </c>
      <c r="O58" s="24" t="n"/>
      <c r="P58" s="24">
        <f>IF(OR($H58="",$N58=""),"",ROUND($H58*$N58*IF($O58="",1,$O58),3))</f>
        <v/>
      </c>
      <c r="Q58" s="24">
        <f>IF(OR($E58="",$P58=""),"",ROUND($E58*$P58,3))</f>
        <v/>
      </c>
      <c r="R58" s="5">
        <f>IF($D58="","",IFERROR(INDEX(MATERIAL_VARIANTS!$O:$O,MATCH($D58,MATERIAL_VARIANTS!$A:$A,0)),""))</f>
        <v/>
      </c>
      <c r="S58" s="24">
        <f>IF($D58="","",IFERROR(INDEX(MATERIAL_VARIANTS!$P:$P,MATCH($D58,MATERIAL_VARIANTS!$A:$A,0)),""))</f>
        <v/>
      </c>
      <c r="T58" s="5">
        <f>IF(OR($Q58="",$S58="",$S58=0),"",ROUNDUP($Q58/$S58,0))</f>
        <v/>
      </c>
      <c r="U58" s="5" t="n"/>
    </row>
    <row r="59">
      <c r="A59" s="5" t="n"/>
      <c r="B59" s="5" t="n"/>
      <c r="C59" s="5" t="n"/>
      <c r="D59" s="5" t="n"/>
      <c r="E59" s="5" t="n"/>
      <c r="F59" s="5" t="n"/>
      <c r="G59" s="5">
        <f>IF($C59="","",INDEX(MATERIAL_MASTER!$O:$O,MATCH($C59,MATERIAL_MASTER!$A:$A,0)))</f>
        <v/>
      </c>
      <c r="H59" s="24">
        <f>IF($C59="","",INDEX(MATERIAL_MASTER!$P:$P,MATCH($C59,MATERIAL_MASTER!$A:$A,0)))</f>
        <v/>
      </c>
      <c r="I59" s="24">
        <f>IF($C59="","",INDEX(MATERIAL_FACTOR_APPLICABILITY!$D:$D,MATCH($C59,MATERIAL_FACTOR_APPLICABILITY!$A:$A,0)))</f>
        <v/>
      </c>
      <c r="J59" s="24">
        <f>IF($C59="","",INDEX(MATERIAL_FACTOR_APPLICABILITY!$E:$E,MATCH($C59,MATERIAL_FACTOR_APPLICABILITY!$A:$A,0)))</f>
        <v/>
      </c>
      <c r="K59" s="24">
        <f>IF($C59="","",INDEX(MATERIAL_FACTOR_APPLICABILITY!$F:$F,MATCH($C59,MATERIAL_FACTOR_APPLICABILITY!$A:$A,0)))</f>
        <v/>
      </c>
      <c r="L59" s="24">
        <f>IF($C59="","",INDEX(MATERIAL_FACTOR_APPLICABILITY!$G:$G,MATCH($C59,MATERIAL_FACTOR_APPLICABILITY!$A:$A,0)))</f>
        <v/>
      </c>
      <c r="M59" s="24">
        <f>IF($C59="","",INDEX(MATERIAL_FACTOR_APPLICABILITY!$H:$H,MATCH($C59,MATERIAL_FACTOR_APPLICABILITY!$A:$A,0)))</f>
        <v/>
      </c>
      <c r="N59" s="24">
        <f>IF($B59="","",ROUND(1+($I59*(SUMIFS(OBJECT_CONDITIONS!$W:$W,OBJECT_CONDITIONS!$A:$A,$B59)-1))+($J59*(SUMIFS(OBJECT_CONDITIONS!$J:$J,OBJECT_CONDITIONS!$A:$A,$B59)-1))+($K59*(SUMIFS(OBJECT_CONDITIONS!$L:$L,OBJECT_CONDITIONS!$A:$A,$B59)-1))+($L59*(SUMIFS(OBJECT_CONDITIONS!$N:$N,OBJECT_CONDITIONS!$A:$A,$B59)-1))+($M59*(SUMIFS(OBJECT_CONDITIONS!$R:$R,OBJECT_CONDITIONS!$A:$A,$B59)-1)),3))</f>
        <v/>
      </c>
      <c r="O59" s="24" t="n"/>
      <c r="P59" s="24">
        <f>IF(OR($H59="",$N59=""),"",ROUND($H59*$N59*IF($O59="",1,$O59),3))</f>
        <v/>
      </c>
      <c r="Q59" s="24">
        <f>IF(OR($E59="",$P59=""),"",ROUND($E59*$P59,3))</f>
        <v/>
      </c>
      <c r="R59" s="5">
        <f>IF($D59="","",IFERROR(INDEX(MATERIAL_VARIANTS!$O:$O,MATCH($D59,MATERIAL_VARIANTS!$A:$A,0)),""))</f>
        <v/>
      </c>
      <c r="S59" s="24">
        <f>IF($D59="","",IFERROR(INDEX(MATERIAL_VARIANTS!$P:$P,MATCH($D59,MATERIAL_VARIANTS!$A:$A,0)),""))</f>
        <v/>
      </c>
      <c r="T59" s="5">
        <f>IF(OR($Q59="",$S59="",$S59=0),"",ROUNDUP($Q59/$S59,0))</f>
        <v/>
      </c>
      <c r="U59" s="5" t="n"/>
    </row>
    <row r="60">
      <c r="A60" s="5" t="n"/>
      <c r="B60" s="5" t="n"/>
      <c r="C60" s="5" t="n"/>
      <c r="D60" s="5" t="n"/>
      <c r="E60" s="5" t="n"/>
      <c r="F60" s="5" t="n"/>
      <c r="G60" s="5">
        <f>IF($C60="","",INDEX(MATERIAL_MASTER!$O:$O,MATCH($C60,MATERIAL_MASTER!$A:$A,0)))</f>
        <v/>
      </c>
      <c r="H60" s="24">
        <f>IF($C60="","",INDEX(MATERIAL_MASTER!$P:$P,MATCH($C60,MATERIAL_MASTER!$A:$A,0)))</f>
        <v/>
      </c>
      <c r="I60" s="24">
        <f>IF($C60="","",INDEX(MATERIAL_FACTOR_APPLICABILITY!$D:$D,MATCH($C60,MATERIAL_FACTOR_APPLICABILITY!$A:$A,0)))</f>
        <v/>
      </c>
      <c r="J60" s="24">
        <f>IF($C60="","",INDEX(MATERIAL_FACTOR_APPLICABILITY!$E:$E,MATCH($C60,MATERIAL_FACTOR_APPLICABILITY!$A:$A,0)))</f>
        <v/>
      </c>
      <c r="K60" s="24">
        <f>IF($C60="","",INDEX(MATERIAL_FACTOR_APPLICABILITY!$F:$F,MATCH($C60,MATERIAL_FACTOR_APPLICABILITY!$A:$A,0)))</f>
        <v/>
      </c>
      <c r="L60" s="24">
        <f>IF($C60="","",INDEX(MATERIAL_FACTOR_APPLICABILITY!$G:$G,MATCH($C60,MATERIAL_FACTOR_APPLICABILITY!$A:$A,0)))</f>
        <v/>
      </c>
      <c r="M60" s="24">
        <f>IF($C60="","",INDEX(MATERIAL_FACTOR_APPLICABILITY!$H:$H,MATCH($C60,MATERIAL_FACTOR_APPLICABILITY!$A:$A,0)))</f>
        <v/>
      </c>
      <c r="N60" s="24">
        <f>IF($B60="","",ROUND(1+($I60*(SUMIFS(OBJECT_CONDITIONS!$W:$W,OBJECT_CONDITIONS!$A:$A,$B60)-1))+($J60*(SUMIFS(OBJECT_CONDITIONS!$J:$J,OBJECT_CONDITIONS!$A:$A,$B60)-1))+($K60*(SUMIFS(OBJECT_CONDITIONS!$L:$L,OBJECT_CONDITIONS!$A:$A,$B60)-1))+($L60*(SUMIFS(OBJECT_CONDITIONS!$N:$N,OBJECT_CONDITIONS!$A:$A,$B60)-1))+($M60*(SUMIFS(OBJECT_CONDITIONS!$R:$R,OBJECT_CONDITIONS!$A:$A,$B60)-1)),3))</f>
        <v/>
      </c>
      <c r="O60" s="24" t="n"/>
      <c r="P60" s="24">
        <f>IF(OR($H60="",$N60=""),"",ROUND($H60*$N60*IF($O60="",1,$O60),3))</f>
        <v/>
      </c>
      <c r="Q60" s="24">
        <f>IF(OR($E60="",$P60=""),"",ROUND($E60*$P60,3))</f>
        <v/>
      </c>
      <c r="R60" s="5">
        <f>IF($D60="","",IFERROR(INDEX(MATERIAL_VARIANTS!$O:$O,MATCH($D60,MATERIAL_VARIANTS!$A:$A,0)),""))</f>
        <v/>
      </c>
      <c r="S60" s="24">
        <f>IF($D60="","",IFERROR(INDEX(MATERIAL_VARIANTS!$P:$P,MATCH($D60,MATERIAL_VARIANTS!$A:$A,0)),""))</f>
        <v/>
      </c>
      <c r="T60" s="5">
        <f>IF(OR($Q60="",$S60="",$S60=0),"",ROUNDUP($Q60/$S60,0))</f>
        <v/>
      </c>
      <c r="U60" s="5" t="n"/>
    </row>
    <row r="61">
      <c r="A61" s="5" t="n"/>
      <c r="B61" s="5" t="n"/>
      <c r="C61" s="5" t="n"/>
      <c r="D61" s="5" t="n"/>
      <c r="E61" s="5" t="n"/>
      <c r="F61" s="5" t="n"/>
      <c r="G61" s="5">
        <f>IF($C61="","",INDEX(MATERIAL_MASTER!$O:$O,MATCH($C61,MATERIAL_MASTER!$A:$A,0)))</f>
        <v/>
      </c>
      <c r="H61" s="24">
        <f>IF($C61="","",INDEX(MATERIAL_MASTER!$P:$P,MATCH($C61,MATERIAL_MASTER!$A:$A,0)))</f>
        <v/>
      </c>
      <c r="I61" s="24">
        <f>IF($C61="","",INDEX(MATERIAL_FACTOR_APPLICABILITY!$D:$D,MATCH($C61,MATERIAL_FACTOR_APPLICABILITY!$A:$A,0)))</f>
        <v/>
      </c>
      <c r="J61" s="24">
        <f>IF($C61="","",INDEX(MATERIAL_FACTOR_APPLICABILITY!$E:$E,MATCH($C61,MATERIAL_FACTOR_APPLICABILITY!$A:$A,0)))</f>
        <v/>
      </c>
      <c r="K61" s="24">
        <f>IF($C61="","",INDEX(MATERIAL_FACTOR_APPLICABILITY!$F:$F,MATCH($C61,MATERIAL_FACTOR_APPLICABILITY!$A:$A,0)))</f>
        <v/>
      </c>
      <c r="L61" s="24">
        <f>IF($C61="","",INDEX(MATERIAL_FACTOR_APPLICABILITY!$G:$G,MATCH($C61,MATERIAL_FACTOR_APPLICABILITY!$A:$A,0)))</f>
        <v/>
      </c>
      <c r="M61" s="24">
        <f>IF($C61="","",INDEX(MATERIAL_FACTOR_APPLICABILITY!$H:$H,MATCH($C61,MATERIAL_FACTOR_APPLICABILITY!$A:$A,0)))</f>
        <v/>
      </c>
      <c r="N61" s="24">
        <f>IF($B61="","",ROUND(1+($I61*(SUMIFS(OBJECT_CONDITIONS!$W:$W,OBJECT_CONDITIONS!$A:$A,$B61)-1))+($J61*(SUMIFS(OBJECT_CONDITIONS!$J:$J,OBJECT_CONDITIONS!$A:$A,$B61)-1))+($K61*(SUMIFS(OBJECT_CONDITIONS!$L:$L,OBJECT_CONDITIONS!$A:$A,$B61)-1))+($L61*(SUMIFS(OBJECT_CONDITIONS!$N:$N,OBJECT_CONDITIONS!$A:$A,$B61)-1))+($M61*(SUMIFS(OBJECT_CONDITIONS!$R:$R,OBJECT_CONDITIONS!$A:$A,$B61)-1)),3))</f>
        <v/>
      </c>
      <c r="O61" s="24" t="n"/>
      <c r="P61" s="24">
        <f>IF(OR($H61="",$N61=""),"",ROUND($H61*$N61*IF($O61="",1,$O61),3))</f>
        <v/>
      </c>
      <c r="Q61" s="24">
        <f>IF(OR($E61="",$P61=""),"",ROUND($E61*$P61,3))</f>
        <v/>
      </c>
      <c r="R61" s="5">
        <f>IF($D61="","",IFERROR(INDEX(MATERIAL_VARIANTS!$O:$O,MATCH($D61,MATERIAL_VARIANTS!$A:$A,0)),""))</f>
        <v/>
      </c>
      <c r="S61" s="24">
        <f>IF($D61="","",IFERROR(INDEX(MATERIAL_VARIANTS!$P:$P,MATCH($D61,MATERIAL_VARIANTS!$A:$A,0)),""))</f>
        <v/>
      </c>
      <c r="T61" s="5">
        <f>IF(OR($Q61="",$S61="",$S61=0),"",ROUNDUP($Q61/$S61,0))</f>
        <v/>
      </c>
      <c r="U61" s="5" t="n"/>
    </row>
    <row r="62">
      <c r="A62" s="5" t="n"/>
      <c r="B62" s="5" t="n"/>
      <c r="C62" s="5" t="n"/>
      <c r="D62" s="5" t="n"/>
      <c r="E62" s="5" t="n"/>
      <c r="F62" s="5" t="n"/>
      <c r="G62" s="5">
        <f>IF($C62="","",INDEX(MATERIAL_MASTER!$O:$O,MATCH($C62,MATERIAL_MASTER!$A:$A,0)))</f>
        <v/>
      </c>
      <c r="H62" s="24">
        <f>IF($C62="","",INDEX(MATERIAL_MASTER!$P:$P,MATCH($C62,MATERIAL_MASTER!$A:$A,0)))</f>
        <v/>
      </c>
      <c r="I62" s="24">
        <f>IF($C62="","",INDEX(MATERIAL_FACTOR_APPLICABILITY!$D:$D,MATCH($C62,MATERIAL_FACTOR_APPLICABILITY!$A:$A,0)))</f>
        <v/>
      </c>
      <c r="J62" s="24">
        <f>IF($C62="","",INDEX(MATERIAL_FACTOR_APPLICABILITY!$E:$E,MATCH($C62,MATERIAL_FACTOR_APPLICABILITY!$A:$A,0)))</f>
        <v/>
      </c>
      <c r="K62" s="24">
        <f>IF($C62="","",INDEX(MATERIAL_FACTOR_APPLICABILITY!$F:$F,MATCH($C62,MATERIAL_FACTOR_APPLICABILITY!$A:$A,0)))</f>
        <v/>
      </c>
      <c r="L62" s="24">
        <f>IF($C62="","",INDEX(MATERIAL_FACTOR_APPLICABILITY!$G:$G,MATCH($C62,MATERIAL_FACTOR_APPLICABILITY!$A:$A,0)))</f>
        <v/>
      </c>
      <c r="M62" s="24">
        <f>IF($C62="","",INDEX(MATERIAL_FACTOR_APPLICABILITY!$H:$H,MATCH($C62,MATERIAL_FACTOR_APPLICABILITY!$A:$A,0)))</f>
        <v/>
      </c>
      <c r="N62" s="24">
        <f>IF($B62="","",ROUND(1+($I62*(SUMIFS(OBJECT_CONDITIONS!$W:$W,OBJECT_CONDITIONS!$A:$A,$B62)-1))+($J62*(SUMIFS(OBJECT_CONDITIONS!$J:$J,OBJECT_CONDITIONS!$A:$A,$B62)-1))+($K62*(SUMIFS(OBJECT_CONDITIONS!$L:$L,OBJECT_CONDITIONS!$A:$A,$B62)-1))+($L62*(SUMIFS(OBJECT_CONDITIONS!$N:$N,OBJECT_CONDITIONS!$A:$A,$B62)-1))+($M62*(SUMIFS(OBJECT_CONDITIONS!$R:$R,OBJECT_CONDITIONS!$A:$A,$B62)-1)),3))</f>
        <v/>
      </c>
      <c r="O62" s="24" t="n"/>
      <c r="P62" s="24">
        <f>IF(OR($H62="",$N62=""),"",ROUND($H62*$N62*IF($O62="",1,$O62),3))</f>
        <v/>
      </c>
      <c r="Q62" s="24">
        <f>IF(OR($E62="",$P62=""),"",ROUND($E62*$P62,3))</f>
        <v/>
      </c>
      <c r="R62" s="5">
        <f>IF($D62="","",IFERROR(INDEX(MATERIAL_VARIANTS!$O:$O,MATCH($D62,MATERIAL_VARIANTS!$A:$A,0)),""))</f>
        <v/>
      </c>
      <c r="S62" s="24">
        <f>IF($D62="","",IFERROR(INDEX(MATERIAL_VARIANTS!$P:$P,MATCH($D62,MATERIAL_VARIANTS!$A:$A,0)),""))</f>
        <v/>
      </c>
      <c r="T62" s="5">
        <f>IF(OR($Q62="",$S62="",$S62=0),"",ROUNDUP($Q62/$S62,0))</f>
        <v/>
      </c>
      <c r="U62" s="5" t="n"/>
    </row>
    <row r="63">
      <c r="A63" s="5" t="n"/>
      <c r="B63" s="5" t="n"/>
      <c r="C63" s="5" t="n"/>
      <c r="D63" s="5" t="n"/>
      <c r="E63" s="5" t="n"/>
      <c r="F63" s="5" t="n"/>
      <c r="G63" s="5">
        <f>IF($C63="","",INDEX(MATERIAL_MASTER!$O:$O,MATCH($C63,MATERIAL_MASTER!$A:$A,0)))</f>
        <v/>
      </c>
      <c r="H63" s="24">
        <f>IF($C63="","",INDEX(MATERIAL_MASTER!$P:$P,MATCH($C63,MATERIAL_MASTER!$A:$A,0)))</f>
        <v/>
      </c>
      <c r="I63" s="24">
        <f>IF($C63="","",INDEX(MATERIAL_FACTOR_APPLICABILITY!$D:$D,MATCH($C63,MATERIAL_FACTOR_APPLICABILITY!$A:$A,0)))</f>
        <v/>
      </c>
      <c r="J63" s="24">
        <f>IF($C63="","",INDEX(MATERIAL_FACTOR_APPLICABILITY!$E:$E,MATCH($C63,MATERIAL_FACTOR_APPLICABILITY!$A:$A,0)))</f>
        <v/>
      </c>
      <c r="K63" s="24">
        <f>IF($C63="","",INDEX(MATERIAL_FACTOR_APPLICABILITY!$F:$F,MATCH($C63,MATERIAL_FACTOR_APPLICABILITY!$A:$A,0)))</f>
        <v/>
      </c>
      <c r="L63" s="24">
        <f>IF($C63="","",INDEX(MATERIAL_FACTOR_APPLICABILITY!$G:$G,MATCH($C63,MATERIAL_FACTOR_APPLICABILITY!$A:$A,0)))</f>
        <v/>
      </c>
      <c r="M63" s="24">
        <f>IF($C63="","",INDEX(MATERIAL_FACTOR_APPLICABILITY!$H:$H,MATCH($C63,MATERIAL_FACTOR_APPLICABILITY!$A:$A,0)))</f>
        <v/>
      </c>
      <c r="N63" s="24">
        <f>IF($B63="","",ROUND(1+($I63*(SUMIFS(OBJECT_CONDITIONS!$W:$W,OBJECT_CONDITIONS!$A:$A,$B63)-1))+($J63*(SUMIFS(OBJECT_CONDITIONS!$J:$J,OBJECT_CONDITIONS!$A:$A,$B63)-1))+($K63*(SUMIFS(OBJECT_CONDITIONS!$L:$L,OBJECT_CONDITIONS!$A:$A,$B63)-1))+($L63*(SUMIFS(OBJECT_CONDITIONS!$N:$N,OBJECT_CONDITIONS!$A:$A,$B63)-1))+($M63*(SUMIFS(OBJECT_CONDITIONS!$R:$R,OBJECT_CONDITIONS!$A:$A,$B63)-1)),3))</f>
        <v/>
      </c>
      <c r="O63" s="24" t="n"/>
      <c r="P63" s="24">
        <f>IF(OR($H63="",$N63=""),"",ROUND($H63*$N63*IF($O63="",1,$O63),3))</f>
        <v/>
      </c>
      <c r="Q63" s="24">
        <f>IF(OR($E63="",$P63=""),"",ROUND($E63*$P63,3))</f>
        <v/>
      </c>
      <c r="R63" s="5">
        <f>IF($D63="","",IFERROR(INDEX(MATERIAL_VARIANTS!$O:$O,MATCH($D63,MATERIAL_VARIANTS!$A:$A,0)),""))</f>
        <v/>
      </c>
      <c r="S63" s="24">
        <f>IF($D63="","",IFERROR(INDEX(MATERIAL_VARIANTS!$P:$P,MATCH($D63,MATERIAL_VARIANTS!$A:$A,0)),""))</f>
        <v/>
      </c>
      <c r="T63" s="5">
        <f>IF(OR($Q63="",$S63="",$S63=0),"",ROUNDUP($Q63/$S63,0))</f>
        <v/>
      </c>
      <c r="U63" s="5" t="n"/>
    </row>
    <row r="64">
      <c r="A64" s="5" t="n"/>
      <c r="B64" s="5" t="n"/>
      <c r="C64" s="5" t="n"/>
      <c r="D64" s="5" t="n"/>
      <c r="E64" s="5" t="n"/>
      <c r="F64" s="5" t="n"/>
      <c r="G64" s="5">
        <f>IF($C64="","",INDEX(MATERIAL_MASTER!$O:$O,MATCH($C64,MATERIAL_MASTER!$A:$A,0)))</f>
        <v/>
      </c>
      <c r="H64" s="24">
        <f>IF($C64="","",INDEX(MATERIAL_MASTER!$P:$P,MATCH($C64,MATERIAL_MASTER!$A:$A,0)))</f>
        <v/>
      </c>
      <c r="I64" s="24">
        <f>IF($C64="","",INDEX(MATERIAL_FACTOR_APPLICABILITY!$D:$D,MATCH($C64,MATERIAL_FACTOR_APPLICABILITY!$A:$A,0)))</f>
        <v/>
      </c>
      <c r="J64" s="24">
        <f>IF($C64="","",INDEX(MATERIAL_FACTOR_APPLICABILITY!$E:$E,MATCH($C64,MATERIAL_FACTOR_APPLICABILITY!$A:$A,0)))</f>
        <v/>
      </c>
      <c r="K64" s="24">
        <f>IF($C64="","",INDEX(MATERIAL_FACTOR_APPLICABILITY!$F:$F,MATCH($C64,MATERIAL_FACTOR_APPLICABILITY!$A:$A,0)))</f>
        <v/>
      </c>
      <c r="L64" s="24">
        <f>IF($C64="","",INDEX(MATERIAL_FACTOR_APPLICABILITY!$G:$G,MATCH($C64,MATERIAL_FACTOR_APPLICABILITY!$A:$A,0)))</f>
        <v/>
      </c>
      <c r="M64" s="24">
        <f>IF($C64="","",INDEX(MATERIAL_FACTOR_APPLICABILITY!$H:$H,MATCH($C64,MATERIAL_FACTOR_APPLICABILITY!$A:$A,0)))</f>
        <v/>
      </c>
      <c r="N64" s="24">
        <f>IF($B64="","",ROUND(1+($I64*(SUMIFS(OBJECT_CONDITIONS!$W:$W,OBJECT_CONDITIONS!$A:$A,$B64)-1))+($J64*(SUMIFS(OBJECT_CONDITIONS!$J:$J,OBJECT_CONDITIONS!$A:$A,$B64)-1))+($K64*(SUMIFS(OBJECT_CONDITIONS!$L:$L,OBJECT_CONDITIONS!$A:$A,$B64)-1))+($L64*(SUMIFS(OBJECT_CONDITIONS!$N:$N,OBJECT_CONDITIONS!$A:$A,$B64)-1))+($M64*(SUMIFS(OBJECT_CONDITIONS!$R:$R,OBJECT_CONDITIONS!$A:$A,$B64)-1)),3))</f>
        <v/>
      </c>
      <c r="O64" s="24" t="n"/>
      <c r="P64" s="24">
        <f>IF(OR($H64="",$N64=""),"",ROUND($H64*$N64*IF($O64="",1,$O64),3))</f>
        <v/>
      </c>
      <c r="Q64" s="24">
        <f>IF(OR($E64="",$P64=""),"",ROUND($E64*$P64,3))</f>
        <v/>
      </c>
      <c r="R64" s="5">
        <f>IF($D64="","",IFERROR(INDEX(MATERIAL_VARIANTS!$O:$O,MATCH($D64,MATERIAL_VARIANTS!$A:$A,0)),""))</f>
        <v/>
      </c>
      <c r="S64" s="24">
        <f>IF($D64="","",IFERROR(INDEX(MATERIAL_VARIANTS!$P:$P,MATCH($D64,MATERIAL_VARIANTS!$A:$A,0)),""))</f>
        <v/>
      </c>
      <c r="T64" s="5">
        <f>IF(OR($Q64="",$S64="",$S64=0),"",ROUNDUP($Q64/$S64,0))</f>
        <v/>
      </c>
      <c r="U64" s="5" t="n"/>
    </row>
    <row r="65">
      <c r="A65" s="5" t="n"/>
      <c r="B65" s="5" t="n"/>
      <c r="C65" s="5" t="n"/>
      <c r="D65" s="5" t="n"/>
      <c r="E65" s="5" t="n"/>
      <c r="F65" s="5" t="n"/>
      <c r="G65" s="5">
        <f>IF($C65="","",INDEX(MATERIAL_MASTER!$O:$O,MATCH($C65,MATERIAL_MASTER!$A:$A,0)))</f>
        <v/>
      </c>
      <c r="H65" s="24">
        <f>IF($C65="","",INDEX(MATERIAL_MASTER!$P:$P,MATCH($C65,MATERIAL_MASTER!$A:$A,0)))</f>
        <v/>
      </c>
      <c r="I65" s="24">
        <f>IF($C65="","",INDEX(MATERIAL_FACTOR_APPLICABILITY!$D:$D,MATCH($C65,MATERIAL_FACTOR_APPLICABILITY!$A:$A,0)))</f>
        <v/>
      </c>
      <c r="J65" s="24">
        <f>IF($C65="","",INDEX(MATERIAL_FACTOR_APPLICABILITY!$E:$E,MATCH($C65,MATERIAL_FACTOR_APPLICABILITY!$A:$A,0)))</f>
        <v/>
      </c>
      <c r="K65" s="24">
        <f>IF($C65="","",INDEX(MATERIAL_FACTOR_APPLICABILITY!$F:$F,MATCH($C65,MATERIAL_FACTOR_APPLICABILITY!$A:$A,0)))</f>
        <v/>
      </c>
      <c r="L65" s="24">
        <f>IF($C65="","",INDEX(MATERIAL_FACTOR_APPLICABILITY!$G:$G,MATCH($C65,MATERIAL_FACTOR_APPLICABILITY!$A:$A,0)))</f>
        <v/>
      </c>
      <c r="M65" s="24">
        <f>IF($C65="","",INDEX(MATERIAL_FACTOR_APPLICABILITY!$H:$H,MATCH($C65,MATERIAL_FACTOR_APPLICABILITY!$A:$A,0)))</f>
        <v/>
      </c>
      <c r="N65" s="24">
        <f>IF($B65="","",ROUND(1+($I65*(SUMIFS(OBJECT_CONDITIONS!$W:$W,OBJECT_CONDITIONS!$A:$A,$B65)-1))+($J65*(SUMIFS(OBJECT_CONDITIONS!$J:$J,OBJECT_CONDITIONS!$A:$A,$B65)-1))+($K65*(SUMIFS(OBJECT_CONDITIONS!$L:$L,OBJECT_CONDITIONS!$A:$A,$B65)-1))+($L65*(SUMIFS(OBJECT_CONDITIONS!$N:$N,OBJECT_CONDITIONS!$A:$A,$B65)-1))+($M65*(SUMIFS(OBJECT_CONDITIONS!$R:$R,OBJECT_CONDITIONS!$A:$A,$B65)-1)),3))</f>
        <v/>
      </c>
      <c r="O65" s="24" t="n"/>
      <c r="P65" s="24">
        <f>IF(OR($H65="",$N65=""),"",ROUND($H65*$N65*IF($O65="",1,$O65),3))</f>
        <v/>
      </c>
      <c r="Q65" s="24">
        <f>IF(OR($E65="",$P65=""),"",ROUND($E65*$P65,3))</f>
        <v/>
      </c>
      <c r="R65" s="5">
        <f>IF($D65="","",IFERROR(INDEX(MATERIAL_VARIANTS!$O:$O,MATCH($D65,MATERIAL_VARIANTS!$A:$A,0)),""))</f>
        <v/>
      </c>
      <c r="S65" s="24">
        <f>IF($D65="","",IFERROR(INDEX(MATERIAL_VARIANTS!$P:$P,MATCH($D65,MATERIAL_VARIANTS!$A:$A,0)),""))</f>
        <v/>
      </c>
      <c r="T65" s="5">
        <f>IF(OR($Q65="",$S65="",$S65=0),"",ROUNDUP($Q65/$S65,0))</f>
        <v/>
      </c>
      <c r="U65" s="5" t="n"/>
    </row>
    <row r="66">
      <c r="A66" s="5" t="n"/>
      <c r="B66" s="5" t="n"/>
      <c r="C66" s="5" t="n"/>
      <c r="D66" s="5" t="n"/>
      <c r="E66" s="5" t="n"/>
      <c r="F66" s="5" t="n"/>
      <c r="G66" s="5">
        <f>IF($C66="","",INDEX(MATERIAL_MASTER!$O:$O,MATCH($C66,MATERIAL_MASTER!$A:$A,0)))</f>
        <v/>
      </c>
      <c r="H66" s="24">
        <f>IF($C66="","",INDEX(MATERIAL_MASTER!$P:$P,MATCH($C66,MATERIAL_MASTER!$A:$A,0)))</f>
        <v/>
      </c>
      <c r="I66" s="24">
        <f>IF($C66="","",INDEX(MATERIAL_FACTOR_APPLICABILITY!$D:$D,MATCH($C66,MATERIAL_FACTOR_APPLICABILITY!$A:$A,0)))</f>
        <v/>
      </c>
      <c r="J66" s="24">
        <f>IF($C66="","",INDEX(MATERIAL_FACTOR_APPLICABILITY!$E:$E,MATCH($C66,MATERIAL_FACTOR_APPLICABILITY!$A:$A,0)))</f>
        <v/>
      </c>
      <c r="K66" s="24">
        <f>IF($C66="","",INDEX(MATERIAL_FACTOR_APPLICABILITY!$F:$F,MATCH($C66,MATERIAL_FACTOR_APPLICABILITY!$A:$A,0)))</f>
        <v/>
      </c>
      <c r="L66" s="24">
        <f>IF($C66="","",INDEX(MATERIAL_FACTOR_APPLICABILITY!$G:$G,MATCH($C66,MATERIAL_FACTOR_APPLICABILITY!$A:$A,0)))</f>
        <v/>
      </c>
      <c r="M66" s="24">
        <f>IF($C66="","",INDEX(MATERIAL_FACTOR_APPLICABILITY!$H:$H,MATCH($C66,MATERIAL_FACTOR_APPLICABILITY!$A:$A,0)))</f>
        <v/>
      </c>
      <c r="N66" s="24">
        <f>IF($B66="","",ROUND(1+($I66*(SUMIFS(OBJECT_CONDITIONS!$W:$W,OBJECT_CONDITIONS!$A:$A,$B66)-1))+($J66*(SUMIFS(OBJECT_CONDITIONS!$J:$J,OBJECT_CONDITIONS!$A:$A,$B66)-1))+($K66*(SUMIFS(OBJECT_CONDITIONS!$L:$L,OBJECT_CONDITIONS!$A:$A,$B66)-1))+($L66*(SUMIFS(OBJECT_CONDITIONS!$N:$N,OBJECT_CONDITIONS!$A:$A,$B66)-1))+($M66*(SUMIFS(OBJECT_CONDITIONS!$R:$R,OBJECT_CONDITIONS!$A:$A,$B66)-1)),3))</f>
        <v/>
      </c>
      <c r="O66" s="24" t="n"/>
      <c r="P66" s="24">
        <f>IF(OR($H66="",$N66=""),"",ROUND($H66*$N66*IF($O66="",1,$O66),3))</f>
        <v/>
      </c>
      <c r="Q66" s="24">
        <f>IF(OR($E66="",$P66=""),"",ROUND($E66*$P66,3))</f>
        <v/>
      </c>
      <c r="R66" s="5">
        <f>IF($D66="","",IFERROR(INDEX(MATERIAL_VARIANTS!$O:$O,MATCH($D66,MATERIAL_VARIANTS!$A:$A,0)),""))</f>
        <v/>
      </c>
      <c r="S66" s="24">
        <f>IF($D66="","",IFERROR(INDEX(MATERIAL_VARIANTS!$P:$P,MATCH($D66,MATERIAL_VARIANTS!$A:$A,0)),""))</f>
        <v/>
      </c>
      <c r="T66" s="5">
        <f>IF(OR($Q66="",$S66="",$S66=0),"",ROUNDUP($Q66/$S66,0))</f>
        <v/>
      </c>
      <c r="U66" s="5" t="n"/>
    </row>
    <row r="67">
      <c r="A67" s="5" t="n"/>
      <c r="B67" s="5" t="n"/>
      <c r="C67" s="5" t="n"/>
      <c r="D67" s="5" t="n"/>
      <c r="E67" s="5" t="n"/>
      <c r="F67" s="5" t="n"/>
      <c r="G67" s="5">
        <f>IF($C67="","",INDEX(MATERIAL_MASTER!$O:$O,MATCH($C67,MATERIAL_MASTER!$A:$A,0)))</f>
        <v/>
      </c>
      <c r="H67" s="24">
        <f>IF($C67="","",INDEX(MATERIAL_MASTER!$P:$P,MATCH($C67,MATERIAL_MASTER!$A:$A,0)))</f>
        <v/>
      </c>
      <c r="I67" s="24">
        <f>IF($C67="","",INDEX(MATERIAL_FACTOR_APPLICABILITY!$D:$D,MATCH($C67,MATERIAL_FACTOR_APPLICABILITY!$A:$A,0)))</f>
        <v/>
      </c>
      <c r="J67" s="24">
        <f>IF($C67="","",INDEX(MATERIAL_FACTOR_APPLICABILITY!$E:$E,MATCH($C67,MATERIAL_FACTOR_APPLICABILITY!$A:$A,0)))</f>
        <v/>
      </c>
      <c r="K67" s="24">
        <f>IF($C67="","",INDEX(MATERIAL_FACTOR_APPLICABILITY!$F:$F,MATCH($C67,MATERIAL_FACTOR_APPLICABILITY!$A:$A,0)))</f>
        <v/>
      </c>
      <c r="L67" s="24">
        <f>IF($C67="","",INDEX(MATERIAL_FACTOR_APPLICABILITY!$G:$G,MATCH($C67,MATERIAL_FACTOR_APPLICABILITY!$A:$A,0)))</f>
        <v/>
      </c>
      <c r="M67" s="24">
        <f>IF($C67="","",INDEX(MATERIAL_FACTOR_APPLICABILITY!$H:$H,MATCH($C67,MATERIAL_FACTOR_APPLICABILITY!$A:$A,0)))</f>
        <v/>
      </c>
      <c r="N67" s="24">
        <f>IF($B67="","",ROUND(1+($I67*(SUMIFS(OBJECT_CONDITIONS!$W:$W,OBJECT_CONDITIONS!$A:$A,$B67)-1))+($J67*(SUMIFS(OBJECT_CONDITIONS!$J:$J,OBJECT_CONDITIONS!$A:$A,$B67)-1))+($K67*(SUMIFS(OBJECT_CONDITIONS!$L:$L,OBJECT_CONDITIONS!$A:$A,$B67)-1))+($L67*(SUMIFS(OBJECT_CONDITIONS!$N:$N,OBJECT_CONDITIONS!$A:$A,$B67)-1))+($M67*(SUMIFS(OBJECT_CONDITIONS!$R:$R,OBJECT_CONDITIONS!$A:$A,$B67)-1)),3))</f>
        <v/>
      </c>
      <c r="O67" s="24" t="n"/>
      <c r="P67" s="24">
        <f>IF(OR($H67="",$N67=""),"",ROUND($H67*$N67*IF($O67="",1,$O67),3))</f>
        <v/>
      </c>
      <c r="Q67" s="24">
        <f>IF(OR($E67="",$P67=""),"",ROUND($E67*$P67,3))</f>
        <v/>
      </c>
      <c r="R67" s="5">
        <f>IF($D67="","",IFERROR(INDEX(MATERIAL_VARIANTS!$O:$O,MATCH($D67,MATERIAL_VARIANTS!$A:$A,0)),""))</f>
        <v/>
      </c>
      <c r="S67" s="24">
        <f>IF($D67="","",IFERROR(INDEX(MATERIAL_VARIANTS!$P:$P,MATCH($D67,MATERIAL_VARIANTS!$A:$A,0)),""))</f>
        <v/>
      </c>
      <c r="T67" s="5">
        <f>IF(OR($Q67="",$S67="",$S67=0),"",ROUNDUP($Q67/$S67,0))</f>
        <v/>
      </c>
      <c r="U67" s="5" t="n"/>
    </row>
    <row r="68">
      <c r="A68" s="5" t="n"/>
      <c r="B68" s="5" t="n"/>
      <c r="C68" s="5" t="n"/>
      <c r="D68" s="5" t="n"/>
      <c r="E68" s="5" t="n"/>
      <c r="F68" s="5" t="n"/>
      <c r="G68" s="5">
        <f>IF($C68="","",INDEX(MATERIAL_MASTER!$O:$O,MATCH($C68,MATERIAL_MASTER!$A:$A,0)))</f>
        <v/>
      </c>
      <c r="H68" s="24">
        <f>IF($C68="","",INDEX(MATERIAL_MASTER!$P:$P,MATCH($C68,MATERIAL_MASTER!$A:$A,0)))</f>
        <v/>
      </c>
      <c r="I68" s="24">
        <f>IF($C68="","",INDEX(MATERIAL_FACTOR_APPLICABILITY!$D:$D,MATCH($C68,MATERIAL_FACTOR_APPLICABILITY!$A:$A,0)))</f>
        <v/>
      </c>
      <c r="J68" s="24">
        <f>IF($C68="","",INDEX(MATERIAL_FACTOR_APPLICABILITY!$E:$E,MATCH($C68,MATERIAL_FACTOR_APPLICABILITY!$A:$A,0)))</f>
        <v/>
      </c>
      <c r="K68" s="24">
        <f>IF($C68="","",INDEX(MATERIAL_FACTOR_APPLICABILITY!$F:$F,MATCH($C68,MATERIAL_FACTOR_APPLICABILITY!$A:$A,0)))</f>
        <v/>
      </c>
      <c r="L68" s="24">
        <f>IF($C68="","",INDEX(MATERIAL_FACTOR_APPLICABILITY!$G:$G,MATCH($C68,MATERIAL_FACTOR_APPLICABILITY!$A:$A,0)))</f>
        <v/>
      </c>
      <c r="M68" s="24">
        <f>IF($C68="","",INDEX(MATERIAL_FACTOR_APPLICABILITY!$H:$H,MATCH($C68,MATERIAL_FACTOR_APPLICABILITY!$A:$A,0)))</f>
        <v/>
      </c>
      <c r="N68" s="24">
        <f>IF($B68="","",ROUND(1+($I68*(SUMIFS(OBJECT_CONDITIONS!$W:$W,OBJECT_CONDITIONS!$A:$A,$B68)-1))+($J68*(SUMIFS(OBJECT_CONDITIONS!$J:$J,OBJECT_CONDITIONS!$A:$A,$B68)-1))+($K68*(SUMIFS(OBJECT_CONDITIONS!$L:$L,OBJECT_CONDITIONS!$A:$A,$B68)-1))+($L68*(SUMIFS(OBJECT_CONDITIONS!$N:$N,OBJECT_CONDITIONS!$A:$A,$B68)-1))+($M68*(SUMIFS(OBJECT_CONDITIONS!$R:$R,OBJECT_CONDITIONS!$A:$A,$B68)-1)),3))</f>
        <v/>
      </c>
      <c r="O68" s="24" t="n"/>
      <c r="P68" s="24">
        <f>IF(OR($H68="",$N68=""),"",ROUND($H68*$N68*IF($O68="",1,$O68),3))</f>
        <v/>
      </c>
      <c r="Q68" s="24">
        <f>IF(OR($E68="",$P68=""),"",ROUND($E68*$P68,3))</f>
        <v/>
      </c>
      <c r="R68" s="5">
        <f>IF($D68="","",IFERROR(INDEX(MATERIAL_VARIANTS!$O:$O,MATCH($D68,MATERIAL_VARIANTS!$A:$A,0)),""))</f>
        <v/>
      </c>
      <c r="S68" s="24">
        <f>IF($D68="","",IFERROR(INDEX(MATERIAL_VARIANTS!$P:$P,MATCH($D68,MATERIAL_VARIANTS!$A:$A,0)),""))</f>
        <v/>
      </c>
      <c r="T68" s="5">
        <f>IF(OR($Q68="",$S68="",$S68=0),"",ROUNDUP($Q68/$S68,0))</f>
        <v/>
      </c>
      <c r="U68" s="5" t="n"/>
    </row>
    <row r="69">
      <c r="A69" s="5" t="n"/>
      <c r="B69" s="5" t="n"/>
      <c r="C69" s="5" t="n"/>
      <c r="D69" s="5" t="n"/>
      <c r="E69" s="5" t="n"/>
      <c r="F69" s="5" t="n"/>
      <c r="G69" s="5">
        <f>IF($C69="","",INDEX(MATERIAL_MASTER!$O:$O,MATCH($C69,MATERIAL_MASTER!$A:$A,0)))</f>
        <v/>
      </c>
      <c r="H69" s="24">
        <f>IF($C69="","",INDEX(MATERIAL_MASTER!$P:$P,MATCH($C69,MATERIAL_MASTER!$A:$A,0)))</f>
        <v/>
      </c>
      <c r="I69" s="24">
        <f>IF($C69="","",INDEX(MATERIAL_FACTOR_APPLICABILITY!$D:$D,MATCH($C69,MATERIAL_FACTOR_APPLICABILITY!$A:$A,0)))</f>
        <v/>
      </c>
      <c r="J69" s="24">
        <f>IF($C69="","",INDEX(MATERIAL_FACTOR_APPLICABILITY!$E:$E,MATCH($C69,MATERIAL_FACTOR_APPLICABILITY!$A:$A,0)))</f>
        <v/>
      </c>
      <c r="K69" s="24">
        <f>IF($C69="","",INDEX(MATERIAL_FACTOR_APPLICABILITY!$F:$F,MATCH($C69,MATERIAL_FACTOR_APPLICABILITY!$A:$A,0)))</f>
        <v/>
      </c>
      <c r="L69" s="24">
        <f>IF($C69="","",INDEX(MATERIAL_FACTOR_APPLICABILITY!$G:$G,MATCH($C69,MATERIAL_FACTOR_APPLICABILITY!$A:$A,0)))</f>
        <v/>
      </c>
      <c r="M69" s="24">
        <f>IF($C69="","",INDEX(MATERIAL_FACTOR_APPLICABILITY!$H:$H,MATCH($C69,MATERIAL_FACTOR_APPLICABILITY!$A:$A,0)))</f>
        <v/>
      </c>
      <c r="N69" s="24">
        <f>IF($B69="","",ROUND(1+($I69*(SUMIFS(OBJECT_CONDITIONS!$W:$W,OBJECT_CONDITIONS!$A:$A,$B69)-1))+($J69*(SUMIFS(OBJECT_CONDITIONS!$J:$J,OBJECT_CONDITIONS!$A:$A,$B69)-1))+($K69*(SUMIFS(OBJECT_CONDITIONS!$L:$L,OBJECT_CONDITIONS!$A:$A,$B69)-1))+($L69*(SUMIFS(OBJECT_CONDITIONS!$N:$N,OBJECT_CONDITIONS!$A:$A,$B69)-1))+($M69*(SUMIFS(OBJECT_CONDITIONS!$R:$R,OBJECT_CONDITIONS!$A:$A,$B69)-1)),3))</f>
        <v/>
      </c>
      <c r="O69" s="24" t="n"/>
      <c r="P69" s="24">
        <f>IF(OR($H69="",$N69=""),"",ROUND($H69*$N69*IF($O69="",1,$O69),3))</f>
        <v/>
      </c>
      <c r="Q69" s="24">
        <f>IF(OR($E69="",$P69=""),"",ROUND($E69*$P69,3))</f>
        <v/>
      </c>
      <c r="R69" s="5">
        <f>IF($D69="","",IFERROR(INDEX(MATERIAL_VARIANTS!$O:$O,MATCH($D69,MATERIAL_VARIANTS!$A:$A,0)),""))</f>
        <v/>
      </c>
      <c r="S69" s="24">
        <f>IF($D69="","",IFERROR(INDEX(MATERIAL_VARIANTS!$P:$P,MATCH($D69,MATERIAL_VARIANTS!$A:$A,0)),""))</f>
        <v/>
      </c>
      <c r="T69" s="5">
        <f>IF(OR($Q69="",$S69="",$S69=0),"",ROUNDUP($Q69/$S69,0))</f>
        <v/>
      </c>
      <c r="U69" s="5" t="n"/>
    </row>
    <row r="70">
      <c r="A70" s="5" t="n"/>
      <c r="B70" s="5" t="n"/>
      <c r="C70" s="5" t="n"/>
      <c r="D70" s="5" t="n"/>
      <c r="E70" s="5" t="n"/>
      <c r="F70" s="5" t="n"/>
      <c r="G70" s="5">
        <f>IF($C70="","",INDEX(MATERIAL_MASTER!$O:$O,MATCH($C70,MATERIAL_MASTER!$A:$A,0)))</f>
        <v/>
      </c>
      <c r="H70" s="24">
        <f>IF($C70="","",INDEX(MATERIAL_MASTER!$P:$P,MATCH($C70,MATERIAL_MASTER!$A:$A,0)))</f>
        <v/>
      </c>
      <c r="I70" s="24">
        <f>IF($C70="","",INDEX(MATERIAL_FACTOR_APPLICABILITY!$D:$D,MATCH($C70,MATERIAL_FACTOR_APPLICABILITY!$A:$A,0)))</f>
        <v/>
      </c>
      <c r="J70" s="24">
        <f>IF($C70="","",INDEX(MATERIAL_FACTOR_APPLICABILITY!$E:$E,MATCH($C70,MATERIAL_FACTOR_APPLICABILITY!$A:$A,0)))</f>
        <v/>
      </c>
      <c r="K70" s="24">
        <f>IF($C70="","",INDEX(MATERIAL_FACTOR_APPLICABILITY!$F:$F,MATCH($C70,MATERIAL_FACTOR_APPLICABILITY!$A:$A,0)))</f>
        <v/>
      </c>
      <c r="L70" s="24">
        <f>IF($C70="","",INDEX(MATERIAL_FACTOR_APPLICABILITY!$G:$G,MATCH($C70,MATERIAL_FACTOR_APPLICABILITY!$A:$A,0)))</f>
        <v/>
      </c>
      <c r="M70" s="24">
        <f>IF($C70="","",INDEX(MATERIAL_FACTOR_APPLICABILITY!$H:$H,MATCH($C70,MATERIAL_FACTOR_APPLICABILITY!$A:$A,0)))</f>
        <v/>
      </c>
      <c r="N70" s="24">
        <f>IF($B70="","",ROUND(1+($I70*(SUMIFS(OBJECT_CONDITIONS!$W:$W,OBJECT_CONDITIONS!$A:$A,$B70)-1))+($J70*(SUMIFS(OBJECT_CONDITIONS!$J:$J,OBJECT_CONDITIONS!$A:$A,$B70)-1))+($K70*(SUMIFS(OBJECT_CONDITIONS!$L:$L,OBJECT_CONDITIONS!$A:$A,$B70)-1))+($L70*(SUMIFS(OBJECT_CONDITIONS!$N:$N,OBJECT_CONDITIONS!$A:$A,$B70)-1))+($M70*(SUMIFS(OBJECT_CONDITIONS!$R:$R,OBJECT_CONDITIONS!$A:$A,$B70)-1)),3))</f>
        <v/>
      </c>
      <c r="O70" s="24" t="n"/>
      <c r="P70" s="24">
        <f>IF(OR($H70="",$N70=""),"",ROUND($H70*$N70*IF($O70="",1,$O70),3))</f>
        <v/>
      </c>
      <c r="Q70" s="24">
        <f>IF(OR($E70="",$P70=""),"",ROUND($E70*$P70,3))</f>
        <v/>
      </c>
      <c r="R70" s="5">
        <f>IF($D70="","",IFERROR(INDEX(MATERIAL_VARIANTS!$O:$O,MATCH($D70,MATERIAL_VARIANTS!$A:$A,0)),""))</f>
        <v/>
      </c>
      <c r="S70" s="24">
        <f>IF($D70="","",IFERROR(INDEX(MATERIAL_VARIANTS!$P:$P,MATCH($D70,MATERIAL_VARIANTS!$A:$A,0)),""))</f>
        <v/>
      </c>
      <c r="T70" s="5">
        <f>IF(OR($Q70="",$S70="",$S70=0),"",ROUNDUP($Q70/$S70,0))</f>
        <v/>
      </c>
      <c r="U70" s="5" t="n"/>
    </row>
    <row r="71">
      <c r="A71" s="5" t="n"/>
      <c r="B71" s="5" t="n"/>
      <c r="C71" s="5" t="n"/>
      <c r="D71" s="5" t="n"/>
      <c r="E71" s="5" t="n"/>
      <c r="F71" s="5" t="n"/>
      <c r="G71" s="5">
        <f>IF($C71="","",INDEX(MATERIAL_MASTER!$O:$O,MATCH($C71,MATERIAL_MASTER!$A:$A,0)))</f>
        <v/>
      </c>
      <c r="H71" s="24">
        <f>IF($C71="","",INDEX(MATERIAL_MASTER!$P:$P,MATCH($C71,MATERIAL_MASTER!$A:$A,0)))</f>
        <v/>
      </c>
      <c r="I71" s="24">
        <f>IF($C71="","",INDEX(MATERIAL_FACTOR_APPLICABILITY!$D:$D,MATCH($C71,MATERIAL_FACTOR_APPLICABILITY!$A:$A,0)))</f>
        <v/>
      </c>
      <c r="J71" s="24">
        <f>IF($C71="","",INDEX(MATERIAL_FACTOR_APPLICABILITY!$E:$E,MATCH($C71,MATERIAL_FACTOR_APPLICABILITY!$A:$A,0)))</f>
        <v/>
      </c>
      <c r="K71" s="24">
        <f>IF($C71="","",INDEX(MATERIAL_FACTOR_APPLICABILITY!$F:$F,MATCH($C71,MATERIAL_FACTOR_APPLICABILITY!$A:$A,0)))</f>
        <v/>
      </c>
      <c r="L71" s="24">
        <f>IF($C71="","",INDEX(MATERIAL_FACTOR_APPLICABILITY!$G:$G,MATCH($C71,MATERIAL_FACTOR_APPLICABILITY!$A:$A,0)))</f>
        <v/>
      </c>
      <c r="M71" s="24">
        <f>IF($C71="","",INDEX(MATERIAL_FACTOR_APPLICABILITY!$H:$H,MATCH($C71,MATERIAL_FACTOR_APPLICABILITY!$A:$A,0)))</f>
        <v/>
      </c>
      <c r="N71" s="24">
        <f>IF($B71="","",ROUND(1+($I71*(SUMIFS(OBJECT_CONDITIONS!$W:$W,OBJECT_CONDITIONS!$A:$A,$B71)-1))+($J71*(SUMIFS(OBJECT_CONDITIONS!$J:$J,OBJECT_CONDITIONS!$A:$A,$B71)-1))+($K71*(SUMIFS(OBJECT_CONDITIONS!$L:$L,OBJECT_CONDITIONS!$A:$A,$B71)-1))+($L71*(SUMIFS(OBJECT_CONDITIONS!$N:$N,OBJECT_CONDITIONS!$A:$A,$B71)-1))+($M71*(SUMIFS(OBJECT_CONDITIONS!$R:$R,OBJECT_CONDITIONS!$A:$A,$B71)-1)),3))</f>
        <v/>
      </c>
      <c r="O71" s="24" t="n"/>
      <c r="P71" s="24">
        <f>IF(OR($H71="",$N71=""),"",ROUND($H71*$N71*IF($O71="",1,$O71),3))</f>
        <v/>
      </c>
      <c r="Q71" s="24">
        <f>IF(OR($E71="",$P71=""),"",ROUND($E71*$P71,3))</f>
        <v/>
      </c>
      <c r="R71" s="5">
        <f>IF($D71="","",IFERROR(INDEX(MATERIAL_VARIANTS!$O:$O,MATCH($D71,MATERIAL_VARIANTS!$A:$A,0)),""))</f>
        <v/>
      </c>
      <c r="S71" s="24">
        <f>IF($D71="","",IFERROR(INDEX(MATERIAL_VARIANTS!$P:$P,MATCH($D71,MATERIAL_VARIANTS!$A:$A,0)),""))</f>
        <v/>
      </c>
      <c r="T71" s="5">
        <f>IF(OR($Q71="",$S71="",$S71=0),"",ROUNDUP($Q71/$S71,0))</f>
        <v/>
      </c>
      <c r="U71" s="5" t="n"/>
    </row>
    <row r="72">
      <c r="A72" s="5" t="n"/>
      <c r="B72" s="5" t="n"/>
      <c r="C72" s="5" t="n"/>
      <c r="D72" s="5" t="n"/>
      <c r="E72" s="5" t="n"/>
      <c r="F72" s="5" t="n"/>
      <c r="G72" s="5">
        <f>IF($C72="","",INDEX(MATERIAL_MASTER!$O:$O,MATCH($C72,MATERIAL_MASTER!$A:$A,0)))</f>
        <v/>
      </c>
      <c r="H72" s="24">
        <f>IF($C72="","",INDEX(MATERIAL_MASTER!$P:$P,MATCH($C72,MATERIAL_MASTER!$A:$A,0)))</f>
        <v/>
      </c>
      <c r="I72" s="24">
        <f>IF($C72="","",INDEX(MATERIAL_FACTOR_APPLICABILITY!$D:$D,MATCH($C72,MATERIAL_FACTOR_APPLICABILITY!$A:$A,0)))</f>
        <v/>
      </c>
      <c r="J72" s="24">
        <f>IF($C72="","",INDEX(MATERIAL_FACTOR_APPLICABILITY!$E:$E,MATCH($C72,MATERIAL_FACTOR_APPLICABILITY!$A:$A,0)))</f>
        <v/>
      </c>
      <c r="K72" s="24">
        <f>IF($C72="","",INDEX(MATERIAL_FACTOR_APPLICABILITY!$F:$F,MATCH($C72,MATERIAL_FACTOR_APPLICABILITY!$A:$A,0)))</f>
        <v/>
      </c>
      <c r="L72" s="24">
        <f>IF($C72="","",INDEX(MATERIAL_FACTOR_APPLICABILITY!$G:$G,MATCH($C72,MATERIAL_FACTOR_APPLICABILITY!$A:$A,0)))</f>
        <v/>
      </c>
      <c r="M72" s="24">
        <f>IF($C72="","",INDEX(MATERIAL_FACTOR_APPLICABILITY!$H:$H,MATCH($C72,MATERIAL_FACTOR_APPLICABILITY!$A:$A,0)))</f>
        <v/>
      </c>
      <c r="N72" s="24">
        <f>IF($B72="","",ROUND(1+($I72*(SUMIFS(OBJECT_CONDITIONS!$W:$W,OBJECT_CONDITIONS!$A:$A,$B72)-1))+($J72*(SUMIFS(OBJECT_CONDITIONS!$J:$J,OBJECT_CONDITIONS!$A:$A,$B72)-1))+($K72*(SUMIFS(OBJECT_CONDITIONS!$L:$L,OBJECT_CONDITIONS!$A:$A,$B72)-1))+($L72*(SUMIFS(OBJECT_CONDITIONS!$N:$N,OBJECT_CONDITIONS!$A:$A,$B72)-1))+($M72*(SUMIFS(OBJECT_CONDITIONS!$R:$R,OBJECT_CONDITIONS!$A:$A,$B72)-1)),3))</f>
        <v/>
      </c>
      <c r="O72" s="24" t="n"/>
      <c r="P72" s="24">
        <f>IF(OR($H72="",$N72=""),"",ROUND($H72*$N72*IF($O72="",1,$O72),3))</f>
        <v/>
      </c>
      <c r="Q72" s="24">
        <f>IF(OR($E72="",$P72=""),"",ROUND($E72*$P72,3))</f>
        <v/>
      </c>
      <c r="R72" s="5">
        <f>IF($D72="","",IFERROR(INDEX(MATERIAL_VARIANTS!$O:$O,MATCH($D72,MATERIAL_VARIANTS!$A:$A,0)),""))</f>
        <v/>
      </c>
      <c r="S72" s="24">
        <f>IF($D72="","",IFERROR(INDEX(MATERIAL_VARIANTS!$P:$P,MATCH($D72,MATERIAL_VARIANTS!$A:$A,0)),""))</f>
        <v/>
      </c>
      <c r="T72" s="5">
        <f>IF(OR($Q72="",$S72="",$S72=0),"",ROUNDUP($Q72/$S72,0))</f>
        <v/>
      </c>
      <c r="U72" s="5" t="n"/>
    </row>
    <row r="73">
      <c r="A73" s="5" t="n"/>
      <c r="B73" s="5" t="n"/>
      <c r="C73" s="5" t="n"/>
      <c r="D73" s="5" t="n"/>
      <c r="E73" s="5" t="n"/>
      <c r="F73" s="5" t="n"/>
      <c r="G73" s="5">
        <f>IF($C73="","",INDEX(MATERIAL_MASTER!$O:$O,MATCH($C73,MATERIAL_MASTER!$A:$A,0)))</f>
        <v/>
      </c>
      <c r="H73" s="24">
        <f>IF($C73="","",INDEX(MATERIAL_MASTER!$P:$P,MATCH($C73,MATERIAL_MASTER!$A:$A,0)))</f>
        <v/>
      </c>
      <c r="I73" s="24">
        <f>IF($C73="","",INDEX(MATERIAL_FACTOR_APPLICABILITY!$D:$D,MATCH($C73,MATERIAL_FACTOR_APPLICABILITY!$A:$A,0)))</f>
        <v/>
      </c>
      <c r="J73" s="24">
        <f>IF($C73="","",INDEX(MATERIAL_FACTOR_APPLICABILITY!$E:$E,MATCH($C73,MATERIAL_FACTOR_APPLICABILITY!$A:$A,0)))</f>
        <v/>
      </c>
      <c r="K73" s="24">
        <f>IF($C73="","",INDEX(MATERIAL_FACTOR_APPLICABILITY!$F:$F,MATCH($C73,MATERIAL_FACTOR_APPLICABILITY!$A:$A,0)))</f>
        <v/>
      </c>
      <c r="L73" s="24">
        <f>IF($C73="","",INDEX(MATERIAL_FACTOR_APPLICABILITY!$G:$G,MATCH($C73,MATERIAL_FACTOR_APPLICABILITY!$A:$A,0)))</f>
        <v/>
      </c>
      <c r="M73" s="24">
        <f>IF($C73="","",INDEX(MATERIAL_FACTOR_APPLICABILITY!$H:$H,MATCH($C73,MATERIAL_FACTOR_APPLICABILITY!$A:$A,0)))</f>
        <v/>
      </c>
      <c r="N73" s="24">
        <f>IF($B73="","",ROUND(1+($I73*(SUMIFS(OBJECT_CONDITIONS!$W:$W,OBJECT_CONDITIONS!$A:$A,$B73)-1))+($J73*(SUMIFS(OBJECT_CONDITIONS!$J:$J,OBJECT_CONDITIONS!$A:$A,$B73)-1))+($K73*(SUMIFS(OBJECT_CONDITIONS!$L:$L,OBJECT_CONDITIONS!$A:$A,$B73)-1))+($L73*(SUMIFS(OBJECT_CONDITIONS!$N:$N,OBJECT_CONDITIONS!$A:$A,$B73)-1))+($M73*(SUMIFS(OBJECT_CONDITIONS!$R:$R,OBJECT_CONDITIONS!$A:$A,$B73)-1)),3))</f>
        <v/>
      </c>
      <c r="O73" s="24" t="n"/>
      <c r="P73" s="24">
        <f>IF(OR($H73="",$N73=""),"",ROUND($H73*$N73*IF($O73="",1,$O73),3))</f>
        <v/>
      </c>
      <c r="Q73" s="24">
        <f>IF(OR($E73="",$P73=""),"",ROUND($E73*$P73,3))</f>
        <v/>
      </c>
      <c r="R73" s="5">
        <f>IF($D73="","",IFERROR(INDEX(MATERIAL_VARIANTS!$O:$O,MATCH($D73,MATERIAL_VARIANTS!$A:$A,0)),""))</f>
        <v/>
      </c>
      <c r="S73" s="24">
        <f>IF($D73="","",IFERROR(INDEX(MATERIAL_VARIANTS!$P:$P,MATCH($D73,MATERIAL_VARIANTS!$A:$A,0)),""))</f>
        <v/>
      </c>
      <c r="T73" s="5">
        <f>IF(OR($Q73="",$S73="",$S73=0),"",ROUNDUP($Q73/$S73,0))</f>
        <v/>
      </c>
      <c r="U73" s="5" t="n"/>
    </row>
    <row r="74">
      <c r="A74" s="5" t="n"/>
      <c r="B74" s="5" t="n"/>
      <c r="C74" s="5" t="n"/>
      <c r="D74" s="5" t="n"/>
      <c r="E74" s="5" t="n"/>
      <c r="F74" s="5" t="n"/>
      <c r="G74" s="5">
        <f>IF($C74="","",INDEX(MATERIAL_MASTER!$O:$O,MATCH($C74,MATERIAL_MASTER!$A:$A,0)))</f>
        <v/>
      </c>
      <c r="H74" s="24">
        <f>IF($C74="","",INDEX(MATERIAL_MASTER!$P:$P,MATCH($C74,MATERIAL_MASTER!$A:$A,0)))</f>
        <v/>
      </c>
      <c r="I74" s="24">
        <f>IF($C74="","",INDEX(MATERIAL_FACTOR_APPLICABILITY!$D:$D,MATCH($C74,MATERIAL_FACTOR_APPLICABILITY!$A:$A,0)))</f>
        <v/>
      </c>
      <c r="J74" s="24">
        <f>IF($C74="","",INDEX(MATERIAL_FACTOR_APPLICABILITY!$E:$E,MATCH($C74,MATERIAL_FACTOR_APPLICABILITY!$A:$A,0)))</f>
        <v/>
      </c>
      <c r="K74" s="24">
        <f>IF($C74="","",INDEX(MATERIAL_FACTOR_APPLICABILITY!$F:$F,MATCH($C74,MATERIAL_FACTOR_APPLICABILITY!$A:$A,0)))</f>
        <v/>
      </c>
      <c r="L74" s="24">
        <f>IF($C74="","",INDEX(MATERIAL_FACTOR_APPLICABILITY!$G:$G,MATCH($C74,MATERIAL_FACTOR_APPLICABILITY!$A:$A,0)))</f>
        <v/>
      </c>
      <c r="M74" s="24">
        <f>IF($C74="","",INDEX(MATERIAL_FACTOR_APPLICABILITY!$H:$H,MATCH($C74,MATERIAL_FACTOR_APPLICABILITY!$A:$A,0)))</f>
        <v/>
      </c>
      <c r="N74" s="24">
        <f>IF($B74="","",ROUND(1+($I74*(SUMIFS(OBJECT_CONDITIONS!$W:$W,OBJECT_CONDITIONS!$A:$A,$B74)-1))+($J74*(SUMIFS(OBJECT_CONDITIONS!$J:$J,OBJECT_CONDITIONS!$A:$A,$B74)-1))+($K74*(SUMIFS(OBJECT_CONDITIONS!$L:$L,OBJECT_CONDITIONS!$A:$A,$B74)-1))+($L74*(SUMIFS(OBJECT_CONDITIONS!$N:$N,OBJECT_CONDITIONS!$A:$A,$B74)-1))+($M74*(SUMIFS(OBJECT_CONDITIONS!$R:$R,OBJECT_CONDITIONS!$A:$A,$B74)-1)),3))</f>
        <v/>
      </c>
      <c r="O74" s="24" t="n"/>
      <c r="P74" s="24">
        <f>IF(OR($H74="",$N74=""),"",ROUND($H74*$N74*IF($O74="",1,$O74),3))</f>
        <v/>
      </c>
      <c r="Q74" s="24">
        <f>IF(OR($E74="",$P74=""),"",ROUND($E74*$P74,3))</f>
        <v/>
      </c>
      <c r="R74" s="5">
        <f>IF($D74="","",IFERROR(INDEX(MATERIAL_VARIANTS!$O:$O,MATCH($D74,MATERIAL_VARIANTS!$A:$A,0)),""))</f>
        <v/>
      </c>
      <c r="S74" s="24">
        <f>IF($D74="","",IFERROR(INDEX(MATERIAL_VARIANTS!$P:$P,MATCH($D74,MATERIAL_VARIANTS!$A:$A,0)),""))</f>
        <v/>
      </c>
      <c r="T74" s="5">
        <f>IF(OR($Q74="",$S74="",$S74=0),"",ROUNDUP($Q74/$S74,0))</f>
        <v/>
      </c>
      <c r="U74" s="5" t="n"/>
    </row>
    <row r="75">
      <c r="A75" s="5" t="n"/>
      <c r="B75" s="5" t="n"/>
      <c r="C75" s="5" t="n"/>
      <c r="D75" s="5" t="n"/>
      <c r="E75" s="5" t="n"/>
      <c r="F75" s="5" t="n"/>
      <c r="G75" s="5">
        <f>IF($C75="","",INDEX(MATERIAL_MASTER!$O:$O,MATCH($C75,MATERIAL_MASTER!$A:$A,0)))</f>
        <v/>
      </c>
      <c r="H75" s="24">
        <f>IF($C75="","",INDEX(MATERIAL_MASTER!$P:$P,MATCH($C75,MATERIAL_MASTER!$A:$A,0)))</f>
        <v/>
      </c>
      <c r="I75" s="24">
        <f>IF($C75="","",INDEX(MATERIAL_FACTOR_APPLICABILITY!$D:$D,MATCH($C75,MATERIAL_FACTOR_APPLICABILITY!$A:$A,0)))</f>
        <v/>
      </c>
      <c r="J75" s="24">
        <f>IF($C75="","",INDEX(MATERIAL_FACTOR_APPLICABILITY!$E:$E,MATCH($C75,MATERIAL_FACTOR_APPLICABILITY!$A:$A,0)))</f>
        <v/>
      </c>
      <c r="K75" s="24">
        <f>IF($C75="","",INDEX(MATERIAL_FACTOR_APPLICABILITY!$F:$F,MATCH($C75,MATERIAL_FACTOR_APPLICABILITY!$A:$A,0)))</f>
        <v/>
      </c>
      <c r="L75" s="24">
        <f>IF($C75="","",INDEX(MATERIAL_FACTOR_APPLICABILITY!$G:$G,MATCH($C75,MATERIAL_FACTOR_APPLICABILITY!$A:$A,0)))</f>
        <v/>
      </c>
      <c r="M75" s="24">
        <f>IF($C75="","",INDEX(MATERIAL_FACTOR_APPLICABILITY!$H:$H,MATCH($C75,MATERIAL_FACTOR_APPLICABILITY!$A:$A,0)))</f>
        <v/>
      </c>
      <c r="N75" s="24">
        <f>IF($B75="","",ROUND(1+($I75*(SUMIFS(OBJECT_CONDITIONS!$W:$W,OBJECT_CONDITIONS!$A:$A,$B75)-1))+($J75*(SUMIFS(OBJECT_CONDITIONS!$J:$J,OBJECT_CONDITIONS!$A:$A,$B75)-1))+($K75*(SUMIFS(OBJECT_CONDITIONS!$L:$L,OBJECT_CONDITIONS!$A:$A,$B75)-1))+($L75*(SUMIFS(OBJECT_CONDITIONS!$N:$N,OBJECT_CONDITIONS!$A:$A,$B75)-1))+($M75*(SUMIFS(OBJECT_CONDITIONS!$R:$R,OBJECT_CONDITIONS!$A:$A,$B75)-1)),3))</f>
        <v/>
      </c>
      <c r="O75" s="24" t="n"/>
      <c r="P75" s="24">
        <f>IF(OR($H75="",$N75=""),"",ROUND($H75*$N75*IF($O75="",1,$O75),3))</f>
        <v/>
      </c>
      <c r="Q75" s="24">
        <f>IF(OR($E75="",$P75=""),"",ROUND($E75*$P75,3))</f>
        <v/>
      </c>
      <c r="R75" s="5">
        <f>IF($D75="","",IFERROR(INDEX(MATERIAL_VARIANTS!$O:$O,MATCH($D75,MATERIAL_VARIANTS!$A:$A,0)),""))</f>
        <v/>
      </c>
      <c r="S75" s="24">
        <f>IF($D75="","",IFERROR(INDEX(MATERIAL_VARIANTS!$P:$P,MATCH($D75,MATERIAL_VARIANTS!$A:$A,0)),""))</f>
        <v/>
      </c>
      <c r="T75" s="5">
        <f>IF(OR($Q75="",$S75="",$S75=0),"",ROUNDUP($Q75/$S75,0))</f>
        <v/>
      </c>
      <c r="U75" s="5" t="n"/>
    </row>
    <row r="76">
      <c r="A76" s="5" t="n"/>
      <c r="B76" s="5" t="n"/>
      <c r="C76" s="5" t="n"/>
      <c r="D76" s="5" t="n"/>
      <c r="E76" s="5" t="n"/>
      <c r="F76" s="5" t="n"/>
      <c r="G76" s="5">
        <f>IF($C76="","",INDEX(MATERIAL_MASTER!$O:$O,MATCH($C76,MATERIAL_MASTER!$A:$A,0)))</f>
        <v/>
      </c>
      <c r="H76" s="24">
        <f>IF($C76="","",INDEX(MATERIAL_MASTER!$P:$P,MATCH($C76,MATERIAL_MASTER!$A:$A,0)))</f>
        <v/>
      </c>
      <c r="I76" s="24">
        <f>IF($C76="","",INDEX(MATERIAL_FACTOR_APPLICABILITY!$D:$D,MATCH($C76,MATERIAL_FACTOR_APPLICABILITY!$A:$A,0)))</f>
        <v/>
      </c>
      <c r="J76" s="24">
        <f>IF($C76="","",INDEX(MATERIAL_FACTOR_APPLICABILITY!$E:$E,MATCH($C76,MATERIAL_FACTOR_APPLICABILITY!$A:$A,0)))</f>
        <v/>
      </c>
      <c r="K76" s="24">
        <f>IF($C76="","",INDEX(MATERIAL_FACTOR_APPLICABILITY!$F:$F,MATCH($C76,MATERIAL_FACTOR_APPLICABILITY!$A:$A,0)))</f>
        <v/>
      </c>
      <c r="L76" s="24">
        <f>IF($C76="","",INDEX(MATERIAL_FACTOR_APPLICABILITY!$G:$G,MATCH($C76,MATERIAL_FACTOR_APPLICABILITY!$A:$A,0)))</f>
        <v/>
      </c>
      <c r="M76" s="24">
        <f>IF($C76="","",INDEX(MATERIAL_FACTOR_APPLICABILITY!$H:$H,MATCH($C76,MATERIAL_FACTOR_APPLICABILITY!$A:$A,0)))</f>
        <v/>
      </c>
      <c r="N76" s="24">
        <f>IF($B76="","",ROUND(1+($I76*(SUMIFS(OBJECT_CONDITIONS!$W:$W,OBJECT_CONDITIONS!$A:$A,$B76)-1))+($J76*(SUMIFS(OBJECT_CONDITIONS!$J:$J,OBJECT_CONDITIONS!$A:$A,$B76)-1))+($K76*(SUMIFS(OBJECT_CONDITIONS!$L:$L,OBJECT_CONDITIONS!$A:$A,$B76)-1))+($L76*(SUMIFS(OBJECT_CONDITIONS!$N:$N,OBJECT_CONDITIONS!$A:$A,$B76)-1))+($M76*(SUMIFS(OBJECT_CONDITIONS!$R:$R,OBJECT_CONDITIONS!$A:$A,$B76)-1)),3))</f>
        <v/>
      </c>
      <c r="O76" s="24" t="n"/>
      <c r="P76" s="24">
        <f>IF(OR($H76="",$N76=""),"",ROUND($H76*$N76*IF($O76="",1,$O76),3))</f>
        <v/>
      </c>
      <c r="Q76" s="24">
        <f>IF(OR($E76="",$P76=""),"",ROUND($E76*$P76,3))</f>
        <v/>
      </c>
      <c r="R76" s="5">
        <f>IF($D76="","",IFERROR(INDEX(MATERIAL_VARIANTS!$O:$O,MATCH($D76,MATERIAL_VARIANTS!$A:$A,0)),""))</f>
        <v/>
      </c>
      <c r="S76" s="24">
        <f>IF($D76="","",IFERROR(INDEX(MATERIAL_VARIANTS!$P:$P,MATCH($D76,MATERIAL_VARIANTS!$A:$A,0)),""))</f>
        <v/>
      </c>
      <c r="T76" s="5">
        <f>IF(OR($Q76="",$S76="",$S76=0),"",ROUNDUP($Q76/$S76,0))</f>
        <v/>
      </c>
      <c r="U76" s="5" t="n"/>
    </row>
    <row r="77">
      <c r="A77" s="5" t="n"/>
      <c r="B77" s="5" t="n"/>
      <c r="C77" s="5" t="n"/>
      <c r="D77" s="5" t="n"/>
      <c r="E77" s="5" t="n"/>
      <c r="F77" s="5" t="n"/>
      <c r="G77" s="5">
        <f>IF($C77="","",INDEX(MATERIAL_MASTER!$O:$O,MATCH($C77,MATERIAL_MASTER!$A:$A,0)))</f>
        <v/>
      </c>
      <c r="H77" s="24">
        <f>IF($C77="","",INDEX(MATERIAL_MASTER!$P:$P,MATCH($C77,MATERIAL_MASTER!$A:$A,0)))</f>
        <v/>
      </c>
      <c r="I77" s="24">
        <f>IF($C77="","",INDEX(MATERIAL_FACTOR_APPLICABILITY!$D:$D,MATCH($C77,MATERIAL_FACTOR_APPLICABILITY!$A:$A,0)))</f>
        <v/>
      </c>
      <c r="J77" s="24">
        <f>IF($C77="","",INDEX(MATERIAL_FACTOR_APPLICABILITY!$E:$E,MATCH($C77,MATERIAL_FACTOR_APPLICABILITY!$A:$A,0)))</f>
        <v/>
      </c>
      <c r="K77" s="24">
        <f>IF($C77="","",INDEX(MATERIAL_FACTOR_APPLICABILITY!$F:$F,MATCH($C77,MATERIAL_FACTOR_APPLICABILITY!$A:$A,0)))</f>
        <v/>
      </c>
      <c r="L77" s="24">
        <f>IF($C77="","",INDEX(MATERIAL_FACTOR_APPLICABILITY!$G:$G,MATCH($C77,MATERIAL_FACTOR_APPLICABILITY!$A:$A,0)))</f>
        <v/>
      </c>
      <c r="M77" s="24">
        <f>IF($C77="","",INDEX(MATERIAL_FACTOR_APPLICABILITY!$H:$H,MATCH($C77,MATERIAL_FACTOR_APPLICABILITY!$A:$A,0)))</f>
        <v/>
      </c>
      <c r="N77" s="24">
        <f>IF($B77="","",ROUND(1+($I77*(SUMIFS(OBJECT_CONDITIONS!$W:$W,OBJECT_CONDITIONS!$A:$A,$B77)-1))+($J77*(SUMIFS(OBJECT_CONDITIONS!$J:$J,OBJECT_CONDITIONS!$A:$A,$B77)-1))+($K77*(SUMIFS(OBJECT_CONDITIONS!$L:$L,OBJECT_CONDITIONS!$A:$A,$B77)-1))+($L77*(SUMIFS(OBJECT_CONDITIONS!$N:$N,OBJECT_CONDITIONS!$A:$A,$B77)-1))+($M77*(SUMIFS(OBJECT_CONDITIONS!$R:$R,OBJECT_CONDITIONS!$A:$A,$B77)-1)),3))</f>
        <v/>
      </c>
      <c r="O77" s="24" t="n"/>
      <c r="P77" s="24">
        <f>IF(OR($H77="",$N77=""),"",ROUND($H77*$N77*IF($O77="",1,$O77),3))</f>
        <v/>
      </c>
      <c r="Q77" s="24">
        <f>IF(OR($E77="",$P77=""),"",ROUND($E77*$P77,3))</f>
        <v/>
      </c>
      <c r="R77" s="5">
        <f>IF($D77="","",IFERROR(INDEX(MATERIAL_VARIANTS!$O:$O,MATCH($D77,MATERIAL_VARIANTS!$A:$A,0)),""))</f>
        <v/>
      </c>
      <c r="S77" s="24">
        <f>IF($D77="","",IFERROR(INDEX(MATERIAL_VARIANTS!$P:$P,MATCH($D77,MATERIAL_VARIANTS!$A:$A,0)),""))</f>
        <v/>
      </c>
      <c r="T77" s="5">
        <f>IF(OR($Q77="",$S77="",$S77=0),"",ROUNDUP($Q77/$S77,0))</f>
        <v/>
      </c>
      <c r="U77" s="5" t="n"/>
    </row>
    <row r="78">
      <c r="A78" s="5" t="n"/>
      <c r="B78" s="5" t="n"/>
      <c r="C78" s="5" t="n"/>
      <c r="D78" s="5" t="n"/>
      <c r="E78" s="5" t="n"/>
      <c r="F78" s="5" t="n"/>
      <c r="G78" s="5">
        <f>IF($C78="","",INDEX(MATERIAL_MASTER!$O:$O,MATCH($C78,MATERIAL_MASTER!$A:$A,0)))</f>
        <v/>
      </c>
      <c r="H78" s="24">
        <f>IF($C78="","",INDEX(MATERIAL_MASTER!$P:$P,MATCH($C78,MATERIAL_MASTER!$A:$A,0)))</f>
        <v/>
      </c>
      <c r="I78" s="24">
        <f>IF($C78="","",INDEX(MATERIAL_FACTOR_APPLICABILITY!$D:$D,MATCH($C78,MATERIAL_FACTOR_APPLICABILITY!$A:$A,0)))</f>
        <v/>
      </c>
      <c r="J78" s="24">
        <f>IF($C78="","",INDEX(MATERIAL_FACTOR_APPLICABILITY!$E:$E,MATCH($C78,MATERIAL_FACTOR_APPLICABILITY!$A:$A,0)))</f>
        <v/>
      </c>
      <c r="K78" s="24">
        <f>IF($C78="","",INDEX(MATERIAL_FACTOR_APPLICABILITY!$F:$F,MATCH($C78,MATERIAL_FACTOR_APPLICABILITY!$A:$A,0)))</f>
        <v/>
      </c>
      <c r="L78" s="24">
        <f>IF($C78="","",INDEX(MATERIAL_FACTOR_APPLICABILITY!$G:$G,MATCH($C78,MATERIAL_FACTOR_APPLICABILITY!$A:$A,0)))</f>
        <v/>
      </c>
      <c r="M78" s="24">
        <f>IF($C78="","",INDEX(MATERIAL_FACTOR_APPLICABILITY!$H:$H,MATCH($C78,MATERIAL_FACTOR_APPLICABILITY!$A:$A,0)))</f>
        <v/>
      </c>
      <c r="N78" s="24">
        <f>IF($B78="","",ROUND(1+($I78*(SUMIFS(OBJECT_CONDITIONS!$W:$W,OBJECT_CONDITIONS!$A:$A,$B78)-1))+($J78*(SUMIFS(OBJECT_CONDITIONS!$J:$J,OBJECT_CONDITIONS!$A:$A,$B78)-1))+($K78*(SUMIFS(OBJECT_CONDITIONS!$L:$L,OBJECT_CONDITIONS!$A:$A,$B78)-1))+($L78*(SUMIFS(OBJECT_CONDITIONS!$N:$N,OBJECT_CONDITIONS!$A:$A,$B78)-1))+($M78*(SUMIFS(OBJECT_CONDITIONS!$R:$R,OBJECT_CONDITIONS!$A:$A,$B78)-1)),3))</f>
        <v/>
      </c>
      <c r="O78" s="24" t="n"/>
      <c r="P78" s="24">
        <f>IF(OR($H78="",$N78=""),"",ROUND($H78*$N78*IF($O78="",1,$O78),3))</f>
        <v/>
      </c>
      <c r="Q78" s="24">
        <f>IF(OR($E78="",$P78=""),"",ROUND($E78*$P78,3))</f>
        <v/>
      </c>
      <c r="R78" s="5">
        <f>IF($D78="","",IFERROR(INDEX(MATERIAL_VARIANTS!$O:$O,MATCH($D78,MATERIAL_VARIANTS!$A:$A,0)),""))</f>
        <v/>
      </c>
      <c r="S78" s="24">
        <f>IF($D78="","",IFERROR(INDEX(MATERIAL_VARIANTS!$P:$P,MATCH($D78,MATERIAL_VARIANTS!$A:$A,0)),""))</f>
        <v/>
      </c>
      <c r="T78" s="5">
        <f>IF(OR($Q78="",$S78="",$S78=0),"",ROUNDUP($Q78/$S78,0))</f>
        <v/>
      </c>
      <c r="U78" s="5" t="n"/>
    </row>
    <row r="79">
      <c r="A79" s="5" t="n"/>
      <c r="B79" s="5" t="n"/>
      <c r="C79" s="5" t="n"/>
      <c r="D79" s="5" t="n"/>
      <c r="E79" s="5" t="n"/>
      <c r="F79" s="5" t="n"/>
      <c r="G79" s="5">
        <f>IF($C79="","",INDEX(MATERIAL_MASTER!$O:$O,MATCH($C79,MATERIAL_MASTER!$A:$A,0)))</f>
        <v/>
      </c>
      <c r="H79" s="24">
        <f>IF($C79="","",INDEX(MATERIAL_MASTER!$P:$P,MATCH($C79,MATERIAL_MASTER!$A:$A,0)))</f>
        <v/>
      </c>
      <c r="I79" s="24">
        <f>IF($C79="","",INDEX(MATERIAL_FACTOR_APPLICABILITY!$D:$D,MATCH($C79,MATERIAL_FACTOR_APPLICABILITY!$A:$A,0)))</f>
        <v/>
      </c>
      <c r="J79" s="24">
        <f>IF($C79="","",INDEX(MATERIAL_FACTOR_APPLICABILITY!$E:$E,MATCH($C79,MATERIAL_FACTOR_APPLICABILITY!$A:$A,0)))</f>
        <v/>
      </c>
      <c r="K79" s="24">
        <f>IF($C79="","",INDEX(MATERIAL_FACTOR_APPLICABILITY!$F:$F,MATCH($C79,MATERIAL_FACTOR_APPLICABILITY!$A:$A,0)))</f>
        <v/>
      </c>
      <c r="L79" s="24">
        <f>IF($C79="","",INDEX(MATERIAL_FACTOR_APPLICABILITY!$G:$G,MATCH($C79,MATERIAL_FACTOR_APPLICABILITY!$A:$A,0)))</f>
        <v/>
      </c>
      <c r="M79" s="24">
        <f>IF($C79="","",INDEX(MATERIAL_FACTOR_APPLICABILITY!$H:$H,MATCH($C79,MATERIAL_FACTOR_APPLICABILITY!$A:$A,0)))</f>
        <v/>
      </c>
      <c r="N79" s="24">
        <f>IF($B79="","",ROUND(1+($I79*(SUMIFS(OBJECT_CONDITIONS!$W:$W,OBJECT_CONDITIONS!$A:$A,$B79)-1))+($J79*(SUMIFS(OBJECT_CONDITIONS!$J:$J,OBJECT_CONDITIONS!$A:$A,$B79)-1))+($K79*(SUMIFS(OBJECT_CONDITIONS!$L:$L,OBJECT_CONDITIONS!$A:$A,$B79)-1))+($L79*(SUMIFS(OBJECT_CONDITIONS!$N:$N,OBJECT_CONDITIONS!$A:$A,$B79)-1))+($M79*(SUMIFS(OBJECT_CONDITIONS!$R:$R,OBJECT_CONDITIONS!$A:$A,$B79)-1)),3))</f>
        <v/>
      </c>
      <c r="O79" s="24" t="n"/>
      <c r="P79" s="24">
        <f>IF(OR($H79="",$N79=""),"",ROUND($H79*$N79*IF($O79="",1,$O79),3))</f>
        <v/>
      </c>
      <c r="Q79" s="24">
        <f>IF(OR($E79="",$P79=""),"",ROUND($E79*$P79,3))</f>
        <v/>
      </c>
      <c r="R79" s="5">
        <f>IF($D79="","",IFERROR(INDEX(MATERIAL_VARIANTS!$O:$O,MATCH($D79,MATERIAL_VARIANTS!$A:$A,0)),""))</f>
        <v/>
      </c>
      <c r="S79" s="24">
        <f>IF($D79="","",IFERROR(INDEX(MATERIAL_VARIANTS!$P:$P,MATCH($D79,MATERIAL_VARIANTS!$A:$A,0)),""))</f>
        <v/>
      </c>
      <c r="T79" s="5">
        <f>IF(OR($Q79="",$S79="",$S79=0),"",ROUNDUP($Q79/$S79,0))</f>
        <v/>
      </c>
      <c r="U79" s="5" t="n"/>
    </row>
    <row r="80">
      <c r="A80" s="5" t="n"/>
      <c r="B80" s="5" t="n"/>
      <c r="C80" s="5" t="n"/>
      <c r="D80" s="5" t="n"/>
      <c r="E80" s="5" t="n"/>
      <c r="F80" s="5" t="n"/>
      <c r="G80" s="5">
        <f>IF($C80="","",INDEX(MATERIAL_MASTER!$O:$O,MATCH($C80,MATERIAL_MASTER!$A:$A,0)))</f>
        <v/>
      </c>
      <c r="H80" s="24">
        <f>IF($C80="","",INDEX(MATERIAL_MASTER!$P:$P,MATCH($C80,MATERIAL_MASTER!$A:$A,0)))</f>
        <v/>
      </c>
      <c r="I80" s="24">
        <f>IF($C80="","",INDEX(MATERIAL_FACTOR_APPLICABILITY!$D:$D,MATCH($C80,MATERIAL_FACTOR_APPLICABILITY!$A:$A,0)))</f>
        <v/>
      </c>
      <c r="J80" s="24">
        <f>IF($C80="","",INDEX(MATERIAL_FACTOR_APPLICABILITY!$E:$E,MATCH($C80,MATERIAL_FACTOR_APPLICABILITY!$A:$A,0)))</f>
        <v/>
      </c>
      <c r="K80" s="24">
        <f>IF($C80="","",INDEX(MATERIAL_FACTOR_APPLICABILITY!$F:$F,MATCH($C80,MATERIAL_FACTOR_APPLICABILITY!$A:$A,0)))</f>
        <v/>
      </c>
      <c r="L80" s="24">
        <f>IF($C80="","",INDEX(MATERIAL_FACTOR_APPLICABILITY!$G:$G,MATCH($C80,MATERIAL_FACTOR_APPLICABILITY!$A:$A,0)))</f>
        <v/>
      </c>
      <c r="M80" s="24">
        <f>IF($C80="","",INDEX(MATERIAL_FACTOR_APPLICABILITY!$H:$H,MATCH($C80,MATERIAL_FACTOR_APPLICABILITY!$A:$A,0)))</f>
        <v/>
      </c>
      <c r="N80" s="24">
        <f>IF($B80="","",ROUND(1+($I80*(SUMIFS(OBJECT_CONDITIONS!$W:$W,OBJECT_CONDITIONS!$A:$A,$B80)-1))+($J80*(SUMIFS(OBJECT_CONDITIONS!$J:$J,OBJECT_CONDITIONS!$A:$A,$B80)-1))+($K80*(SUMIFS(OBJECT_CONDITIONS!$L:$L,OBJECT_CONDITIONS!$A:$A,$B80)-1))+($L80*(SUMIFS(OBJECT_CONDITIONS!$N:$N,OBJECT_CONDITIONS!$A:$A,$B80)-1))+($M80*(SUMIFS(OBJECT_CONDITIONS!$R:$R,OBJECT_CONDITIONS!$A:$A,$B80)-1)),3))</f>
        <v/>
      </c>
      <c r="O80" s="24" t="n"/>
      <c r="P80" s="24">
        <f>IF(OR($H80="",$N80=""),"",ROUND($H80*$N80*IF($O80="",1,$O80),3))</f>
        <v/>
      </c>
      <c r="Q80" s="24">
        <f>IF(OR($E80="",$P80=""),"",ROUND($E80*$P80,3))</f>
        <v/>
      </c>
      <c r="R80" s="5">
        <f>IF($D80="","",IFERROR(INDEX(MATERIAL_VARIANTS!$O:$O,MATCH($D80,MATERIAL_VARIANTS!$A:$A,0)),""))</f>
        <v/>
      </c>
      <c r="S80" s="24">
        <f>IF($D80="","",IFERROR(INDEX(MATERIAL_VARIANTS!$P:$P,MATCH($D80,MATERIAL_VARIANTS!$A:$A,0)),""))</f>
        <v/>
      </c>
      <c r="T80" s="5">
        <f>IF(OR($Q80="",$S80="",$S80=0),"",ROUNDUP($Q80/$S80,0))</f>
        <v/>
      </c>
      <c r="U80" s="5" t="n"/>
    </row>
    <row r="81">
      <c r="A81" s="5" t="n"/>
      <c r="B81" s="5" t="n"/>
      <c r="C81" s="5" t="n"/>
      <c r="D81" s="5" t="n"/>
      <c r="E81" s="5" t="n"/>
      <c r="F81" s="5" t="n"/>
      <c r="G81" s="5">
        <f>IF($C81="","",INDEX(MATERIAL_MASTER!$O:$O,MATCH($C81,MATERIAL_MASTER!$A:$A,0)))</f>
        <v/>
      </c>
      <c r="H81" s="24">
        <f>IF($C81="","",INDEX(MATERIAL_MASTER!$P:$P,MATCH($C81,MATERIAL_MASTER!$A:$A,0)))</f>
        <v/>
      </c>
      <c r="I81" s="24">
        <f>IF($C81="","",INDEX(MATERIAL_FACTOR_APPLICABILITY!$D:$D,MATCH($C81,MATERIAL_FACTOR_APPLICABILITY!$A:$A,0)))</f>
        <v/>
      </c>
      <c r="J81" s="24">
        <f>IF($C81="","",INDEX(MATERIAL_FACTOR_APPLICABILITY!$E:$E,MATCH($C81,MATERIAL_FACTOR_APPLICABILITY!$A:$A,0)))</f>
        <v/>
      </c>
      <c r="K81" s="24">
        <f>IF($C81="","",INDEX(MATERIAL_FACTOR_APPLICABILITY!$F:$F,MATCH($C81,MATERIAL_FACTOR_APPLICABILITY!$A:$A,0)))</f>
        <v/>
      </c>
      <c r="L81" s="24">
        <f>IF($C81="","",INDEX(MATERIAL_FACTOR_APPLICABILITY!$G:$G,MATCH($C81,MATERIAL_FACTOR_APPLICABILITY!$A:$A,0)))</f>
        <v/>
      </c>
      <c r="M81" s="24">
        <f>IF($C81="","",INDEX(MATERIAL_FACTOR_APPLICABILITY!$H:$H,MATCH($C81,MATERIAL_FACTOR_APPLICABILITY!$A:$A,0)))</f>
        <v/>
      </c>
      <c r="N81" s="24">
        <f>IF($B81="","",ROUND(1+($I81*(SUMIFS(OBJECT_CONDITIONS!$W:$W,OBJECT_CONDITIONS!$A:$A,$B81)-1))+($J81*(SUMIFS(OBJECT_CONDITIONS!$J:$J,OBJECT_CONDITIONS!$A:$A,$B81)-1))+($K81*(SUMIFS(OBJECT_CONDITIONS!$L:$L,OBJECT_CONDITIONS!$A:$A,$B81)-1))+($L81*(SUMIFS(OBJECT_CONDITIONS!$N:$N,OBJECT_CONDITIONS!$A:$A,$B81)-1))+($M81*(SUMIFS(OBJECT_CONDITIONS!$R:$R,OBJECT_CONDITIONS!$A:$A,$B81)-1)),3))</f>
        <v/>
      </c>
      <c r="O81" s="24" t="n"/>
      <c r="P81" s="24">
        <f>IF(OR($H81="",$N81=""),"",ROUND($H81*$N81*IF($O81="",1,$O81),3))</f>
        <v/>
      </c>
      <c r="Q81" s="24">
        <f>IF(OR($E81="",$P81=""),"",ROUND($E81*$P81,3))</f>
        <v/>
      </c>
      <c r="R81" s="5">
        <f>IF($D81="","",IFERROR(INDEX(MATERIAL_VARIANTS!$O:$O,MATCH($D81,MATERIAL_VARIANTS!$A:$A,0)),""))</f>
        <v/>
      </c>
      <c r="S81" s="24">
        <f>IF($D81="","",IFERROR(INDEX(MATERIAL_VARIANTS!$P:$P,MATCH($D81,MATERIAL_VARIANTS!$A:$A,0)),""))</f>
        <v/>
      </c>
      <c r="T81" s="5">
        <f>IF(OR($Q81="",$S81="",$S81=0),"",ROUNDUP($Q81/$S81,0))</f>
        <v/>
      </c>
      <c r="U81" s="5" t="n"/>
    </row>
    <row r="82">
      <c r="A82" s="5" t="n"/>
      <c r="B82" s="5" t="n"/>
      <c r="C82" s="5" t="n"/>
      <c r="D82" s="5" t="n"/>
      <c r="E82" s="5" t="n"/>
      <c r="F82" s="5" t="n"/>
      <c r="G82" s="5">
        <f>IF($C82="","",INDEX(MATERIAL_MASTER!$O:$O,MATCH($C82,MATERIAL_MASTER!$A:$A,0)))</f>
        <v/>
      </c>
      <c r="H82" s="24">
        <f>IF($C82="","",INDEX(MATERIAL_MASTER!$P:$P,MATCH($C82,MATERIAL_MASTER!$A:$A,0)))</f>
        <v/>
      </c>
      <c r="I82" s="24">
        <f>IF($C82="","",INDEX(MATERIAL_FACTOR_APPLICABILITY!$D:$D,MATCH($C82,MATERIAL_FACTOR_APPLICABILITY!$A:$A,0)))</f>
        <v/>
      </c>
      <c r="J82" s="24">
        <f>IF($C82="","",INDEX(MATERIAL_FACTOR_APPLICABILITY!$E:$E,MATCH($C82,MATERIAL_FACTOR_APPLICABILITY!$A:$A,0)))</f>
        <v/>
      </c>
      <c r="K82" s="24">
        <f>IF($C82="","",INDEX(MATERIAL_FACTOR_APPLICABILITY!$F:$F,MATCH($C82,MATERIAL_FACTOR_APPLICABILITY!$A:$A,0)))</f>
        <v/>
      </c>
      <c r="L82" s="24">
        <f>IF($C82="","",INDEX(MATERIAL_FACTOR_APPLICABILITY!$G:$G,MATCH($C82,MATERIAL_FACTOR_APPLICABILITY!$A:$A,0)))</f>
        <v/>
      </c>
      <c r="M82" s="24">
        <f>IF($C82="","",INDEX(MATERIAL_FACTOR_APPLICABILITY!$H:$H,MATCH($C82,MATERIAL_FACTOR_APPLICABILITY!$A:$A,0)))</f>
        <v/>
      </c>
      <c r="N82" s="24">
        <f>IF($B82="","",ROUND(1+($I82*(SUMIFS(OBJECT_CONDITIONS!$W:$W,OBJECT_CONDITIONS!$A:$A,$B82)-1))+($J82*(SUMIFS(OBJECT_CONDITIONS!$J:$J,OBJECT_CONDITIONS!$A:$A,$B82)-1))+($K82*(SUMIFS(OBJECT_CONDITIONS!$L:$L,OBJECT_CONDITIONS!$A:$A,$B82)-1))+($L82*(SUMIFS(OBJECT_CONDITIONS!$N:$N,OBJECT_CONDITIONS!$A:$A,$B82)-1))+($M82*(SUMIFS(OBJECT_CONDITIONS!$R:$R,OBJECT_CONDITIONS!$A:$A,$B82)-1)),3))</f>
        <v/>
      </c>
      <c r="O82" s="24" t="n"/>
      <c r="P82" s="24">
        <f>IF(OR($H82="",$N82=""),"",ROUND($H82*$N82*IF($O82="",1,$O82),3))</f>
        <v/>
      </c>
      <c r="Q82" s="24">
        <f>IF(OR($E82="",$P82=""),"",ROUND($E82*$P82,3))</f>
        <v/>
      </c>
      <c r="R82" s="5">
        <f>IF($D82="","",IFERROR(INDEX(MATERIAL_VARIANTS!$O:$O,MATCH($D82,MATERIAL_VARIANTS!$A:$A,0)),""))</f>
        <v/>
      </c>
      <c r="S82" s="24">
        <f>IF($D82="","",IFERROR(INDEX(MATERIAL_VARIANTS!$P:$P,MATCH($D82,MATERIAL_VARIANTS!$A:$A,0)),""))</f>
        <v/>
      </c>
      <c r="T82" s="5">
        <f>IF(OR($Q82="",$S82="",$S82=0),"",ROUNDUP($Q82/$S82,0))</f>
        <v/>
      </c>
      <c r="U82" s="5" t="n"/>
    </row>
    <row r="83">
      <c r="A83" s="5" t="n"/>
      <c r="B83" s="5" t="n"/>
      <c r="C83" s="5" t="n"/>
      <c r="D83" s="5" t="n"/>
      <c r="E83" s="5" t="n"/>
      <c r="F83" s="5" t="n"/>
      <c r="G83" s="5">
        <f>IF($C83="","",INDEX(MATERIAL_MASTER!$O:$O,MATCH($C83,MATERIAL_MASTER!$A:$A,0)))</f>
        <v/>
      </c>
      <c r="H83" s="24">
        <f>IF($C83="","",INDEX(MATERIAL_MASTER!$P:$P,MATCH($C83,MATERIAL_MASTER!$A:$A,0)))</f>
        <v/>
      </c>
      <c r="I83" s="24">
        <f>IF($C83="","",INDEX(MATERIAL_FACTOR_APPLICABILITY!$D:$D,MATCH($C83,MATERIAL_FACTOR_APPLICABILITY!$A:$A,0)))</f>
        <v/>
      </c>
      <c r="J83" s="24">
        <f>IF($C83="","",INDEX(MATERIAL_FACTOR_APPLICABILITY!$E:$E,MATCH($C83,MATERIAL_FACTOR_APPLICABILITY!$A:$A,0)))</f>
        <v/>
      </c>
      <c r="K83" s="24">
        <f>IF($C83="","",INDEX(MATERIAL_FACTOR_APPLICABILITY!$F:$F,MATCH($C83,MATERIAL_FACTOR_APPLICABILITY!$A:$A,0)))</f>
        <v/>
      </c>
      <c r="L83" s="24">
        <f>IF($C83="","",INDEX(MATERIAL_FACTOR_APPLICABILITY!$G:$G,MATCH($C83,MATERIAL_FACTOR_APPLICABILITY!$A:$A,0)))</f>
        <v/>
      </c>
      <c r="M83" s="24">
        <f>IF($C83="","",INDEX(MATERIAL_FACTOR_APPLICABILITY!$H:$H,MATCH($C83,MATERIAL_FACTOR_APPLICABILITY!$A:$A,0)))</f>
        <v/>
      </c>
      <c r="N83" s="24">
        <f>IF($B83="","",ROUND(1+($I83*(SUMIFS(OBJECT_CONDITIONS!$W:$W,OBJECT_CONDITIONS!$A:$A,$B83)-1))+($J83*(SUMIFS(OBJECT_CONDITIONS!$J:$J,OBJECT_CONDITIONS!$A:$A,$B83)-1))+($K83*(SUMIFS(OBJECT_CONDITIONS!$L:$L,OBJECT_CONDITIONS!$A:$A,$B83)-1))+($L83*(SUMIFS(OBJECT_CONDITIONS!$N:$N,OBJECT_CONDITIONS!$A:$A,$B83)-1))+($M83*(SUMIFS(OBJECT_CONDITIONS!$R:$R,OBJECT_CONDITIONS!$A:$A,$B83)-1)),3))</f>
        <v/>
      </c>
      <c r="O83" s="24" t="n"/>
      <c r="P83" s="24">
        <f>IF(OR($H83="",$N83=""),"",ROUND($H83*$N83*IF($O83="",1,$O83),3))</f>
        <v/>
      </c>
      <c r="Q83" s="24">
        <f>IF(OR($E83="",$P83=""),"",ROUND($E83*$P83,3))</f>
        <v/>
      </c>
      <c r="R83" s="5">
        <f>IF($D83="","",IFERROR(INDEX(MATERIAL_VARIANTS!$O:$O,MATCH($D83,MATERIAL_VARIANTS!$A:$A,0)),""))</f>
        <v/>
      </c>
      <c r="S83" s="24">
        <f>IF($D83="","",IFERROR(INDEX(MATERIAL_VARIANTS!$P:$P,MATCH($D83,MATERIAL_VARIANTS!$A:$A,0)),""))</f>
        <v/>
      </c>
      <c r="T83" s="5">
        <f>IF(OR($Q83="",$S83="",$S83=0),"",ROUNDUP($Q83/$S83,0))</f>
        <v/>
      </c>
      <c r="U83" s="5" t="n"/>
    </row>
    <row r="84">
      <c r="A84" s="5" t="n"/>
      <c r="B84" s="5" t="n"/>
      <c r="C84" s="5" t="n"/>
      <c r="D84" s="5" t="n"/>
      <c r="E84" s="5" t="n"/>
      <c r="F84" s="5" t="n"/>
      <c r="G84" s="5">
        <f>IF($C84="","",INDEX(MATERIAL_MASTER!$O:$O,MATCH($C84,MATERIAL_MASTER!$A:$A,0)))</f>
        <v/>
      </c>
      <c r="H84" s="24">
        <f>IF($C84="","",INDEX(MATERIAL_MASTER!$P:$P,MATCH($C84,MATERIAL_MASTER!$A:$A,0)))</f>
        <v/>
      </c>
      <c r="I84" s="24">
        <f>IF($C84="","",INDEX(MATERIAL_FACTOR_APPLICABILITY!$D:$D,MATCH($C84,MATERIAL_FACTOR_APPLICABILITY!$A:$A,0)))</f>
        <v/>
      </c>
      <c r="J84" s="24">
        <f>IF($C84="","",INDEX(MATERIAL_FACTOR_APPLICABILITY!$E:$E,MATCH($C84,MATERIAL_FACTOR_APPLICABILITY!$A:$A,0)))</f>
        <v/>
      </c>
      <c r="K84" s="24">
        <f>IF($C84="","",INDEX(MATERIAL_FACTOR_APPLICABILITY!$F:$F,MATCH($C84,MATERIAL_FACTOR_APPLICABILITY!$A:$A,0)))</f>
        <v/>
      </c>
      <c r="L84" s="24">
        <f>IF($C84="","",INDEX(MATERIAL_FACTOR_APPLICABILITY!$G:$G,MATCH($C84,MATERIAL_FACTOR_APPLICABILITY!$A:$A,0)))</f>
        <v/>
      </c>
      <c r="M84" s="24">
        <f>IF($C84="","",INDEX(MATERIAL_FACTOR_APPLICABILITY!$H:$H,MATCH($C84,MATERIAL_FACTOR_APPLICABILITY!$A:$A,0)))</f>
        <v/>
      </c>
      <c r="N84" s="24">
        <f>IF($B84="","",ROUND(1+($I84*(SUMIFS(OBJECT_CONDITIONS!$W:$W,OBJECT_CONDITIONS!$A:$A,$B84)-1))+($J84*(SUMIFS(OBJECT_CONDITIONS!$J:$J,OBJECT_CONDITIONS!$A:$A,$B84)-1))+($K84*(SUMIFS(OBJECT_CONDITIONS!$L:$L,OBJECT_CONDITIONS!$A:$A,$B84)-1))+($L84*(SUMIFS(OBJECT_CONDITIONS!$N:$N,OBJECT_CONDITIONS!$A:$A,$B84)-1))+($M84*(SUMIFS(OBJECT_CONDITIONS!$R:$R,OBJECT_CONDITIONS!$A:$A,$B84)-1)),3))</f>
        <v/>
      </c>
      <c r="O84" s="24" t="n"/>
      <c r="P84" s="24">
        <f>IF(OR($H84="",$N84=""),"",ROUND($H84*$N84*IF($O84="",1,$O84),3))</f>
        <v/>
      </c>
      <c r="Q84" s="24">
        <f>IF(OR($E84="",$P84=""),"",ROUND($E84*$P84,3))</f>
        <v/>
      </c>
      <c r="R84" s="5">
        <f>IF($D84="","",IFERROR(INDEX(MATERIAL_VARIANTS!$O:$O,MATCH($D84,MATERIAL_VARIANTS!$A:$A,0)),""))</f>
        <v/>
      </c>
      <c r="S84" s="24">
        <f>IF($D84="","",IFERROR(INDEX(MATERIAL_VARIANTS!$P:$P,MATCH($D84,MATERIAL_VARIANTS!$A:$A,0)),""))</f>
        <v/>
      </c>
      <c r="T84" s="5">
        <f>IF(OR($Q84="",$S84="",$S84=0),"",ROUNDUP($Q84/$S84,0))</f>
        <v/>
      </c>
      <c r="U84" s="5" t="n"/>
    </row>
    <row r="85">
      <c r="A85" s="5" t="n"/>
      <c r="B85" s="5" t="n"/>
      <c r="C85" s="5" t="n"/>
      <c r="D85" s="5" t="n"/>
      <c r="E85" s="5" t="n"/>
      <c r="F85" s="5" t="n"/>
      <c r="G85" s="5">
        <f>IF($C85="","",INDEX(MATERIAL_MASTER!$O:$O,MATCH($C85,MATERIAL_MASTER!$A:$A,0)))</f>
        <v/>
      </c>
      <c r="H85" s="24">
        <f>IF($C85="","",INDEX(MATERIAL_MASTER!$P:$P,MATCH($C85,MATERIAL_MASTER!$A:$A,0)))</f>
        <v/>
      </c>
      <c r="I85" s="24">
        <f>IF($C85="","",INDEX(MATERIAL_FACTOR_APPLICABILITY!$D:$D,MATCH($C85,MATERIAL_FACTOR_APPLICABILITY!$A:$A,0)))</f>
        <v/>
      </c>
      <c r="J85" s="24">
        <f>IF($C85="","",INDEX(MATERIAL_FACTOR_APPLICABILITY!$E:$E,MATCH($C85,MATERIAL_FACTOR_APPLICABILITY!$A:$A,0)))</f>
        <v/>
      </c>
      <c r="K85" s="24">
        <f>IF($C85="","",INDEX(MATERIAL_FACTOR_APPLICABILITY!$F:$F,MATCH($C85,MATERIAL_FACTOR_APPLICABILITY!$A:$A,0)))</f>
        <v/>
      </c>
      <c r="L85" s="24">
        <f>IF($C85="","",INDEX(MATERIAL_FACTOR_APPLICABILITY!$G:$G,MATCH($C85,MATERIAL_FACTOR_APPLICABILITY!$A:$A,0)))</f>
        <v/>
      </c>
      <c r="M85" s="24">
        <f>IF($C85="","",INDEX(MATERIAL_FACTOR_APPLICABILITY!$H:$H,MATCH($C85,MATERIAL_FACTOR_APPLICABILITY!$A:$A,0)))</f>
        <v/>
      </c>
      <c r="N85" s="24">
        <f>IF($B85="","",ROUND(1+($I85*(SUMIFS(OBJECT_CONDITIONS!$W:$W,OBJECT_CONDITIONS!$A:$A,$B85)-1))+($J85*(SUMIFS(OBJECT_CONDITIONS!$J:$J,OBJECT_CONDITIONS!$A:$A,$B85)-1))+($K85*(SUMIFS(OBJECT_CONDITIONS!$L:$L,OBJECT_CONDITIONS!$A:$A,$B85)-1))+($L85*(SUMIFS(OBJECT_CONDITIONS!$N:$N,OBJECT_CONDITIONS!$A:$A,$B85)-1))+($M85*(SUMIFS(OBJECT_CONDITIONS!$R:$R,OBJECT_CONDITIONS!$A:$A,$B85)-1)),3))</f>
        <v/>
      </c>
      <c r="O85" s="24" t="n"/>
      <c r="P85" s="24">
        <f>IF(OR($H85="",$N85=""),"",ROUND($H85*$N85*IF($O85="",1,$O85),3))</f>
        <v/>
      </c>
      <c r="Q85" s="24">
        <f>IF(OR($E85="",$P85=""),"",ROUND($E85*$P85,3))</f>
        <v/>
      </c>
      <c r="R85" s="5">
        <f>IF($D85="","",IFERROR(INDEX(MATERIAL_VARIANTS!$O:$O,MATCH($D85,MATERIAL_VARIANTS!$A:$A,0)),""))</f>
        <v/>
      </c>
      <c r="S85" s="24">
        <f>IF($D85="","",IFERROR(INDEX(MATERIAL_VARIANTS!$P:$P,MATCH($D85,MATERIAL_VARIANTS!$A:$A,0)),""))</f>
        <v/>
      </c>
      <c r="T85" s="5">
        <f>IF(OR($Q85="",$S85="",$S85=0),"",ROUNDUP($Q85/$S85,0))</f>
        <v/>
      </c>
      <c r="U85" s="5" t="n"/>
    </row>
    <row r="86">
      <c r="A86" s="5" t="n"/>
      <c r="B86" s="5" t="n"/>
      <c r="C86" s="5" t="n"/>
      <c r="D86" s="5" t="n"/>
      <c r="E86" s="5" t="n"/>
      <c r="F86" s="5" t="n"/>
      <c r="G86" s="5">
        <f>IF($C86="","",INDEX(MATERIAL_MASTER!$O:$O,MATCH($C86,MATERIAL_MASTER!$A:$A,0)))</f>
        <v/>
      </c>
      <c r="H86" s="24">
        <f>IF($C86="","",INDEX(MATERIAL_MASTER!$P:$P,MATCH($C86,MATERIAL_MASTER!$A:$A,0)))</f>
        <v/>
      </c>
      <c r="I86" s="24">
        <f>IF($C86="","",INDEX(MATERIAL_FACTOR_APPLICABILITY!$D:$D,MATCH($C86,MATERIAL_FACTOR_APPLICABILITY!$A:$A,0)))</f>
        <v/>
      </c>
      <c r="J86" s="24">
        <f>IF($C86="","",INDEX(MATERIAL_FACTOR_APPLICABILITY!$E:$E,MATCH($C86,MATERIAL_FACTOR_APPLICABILITY!$A:$A,0)))</f>
        <v/>
      </c>
      <c r="K86" s="24">
        <f>IF($C86="","",INDEX(MATERIAL_FACTOR_APPLICABILITY!$F:$F,MATCH($C86,MATERIAL_FACTOR_APPLICABILITY!$A:$A,0)))</f>
        <v/>
      </c>
      <c r="L86" s="24">
        <f>IF($C86="","",INDEX(MATERIAL_FACTOR_APPLICABILITY!$G:$G,MATCH($C86,MATERIAL_FACTOR_APPLICABILITY!$A:$A,0)))</f>
        <v/>
      </c>
      <c r="M86" s="24">
        <f>IF($C86="","",INDEX(MATERIAL_FACTOR_APPLICABILITY!$H:$H,MATCH($C86,MATERIAL_FACTOR_APPLICABILITY!$A:$A,0)))</f>
        <v/>
      </c>
      <c r="N86" s="24">
        <f>IF($B86="","",ROUND(1+($I86*(SUMIFS(OBJECT_CONDITIONS!$W:$W,OBJECT_CONDITIONS!$A:$A,$B86)-1))+($J86*(SUMIFS(OBJECT_CONDITIONS!$J:$J,OBJECT_CONDITIONS!$A:$A,$B86)-1))+($K86*(SUMIFS(OBJECT_CONDITIONS!$L:$L,OBJECT_CONDITIONS!$A:$A,$B86)-1))+($L86*(SUMIFS(OBJECT_CONDITIONS!$N:$N,OBJECT_CONDITIONS!$A:$A,$B86)-1))+($M86*(SUMIFS(OBJECT_CONDITIONS!$R:$R,OBJECT_CONDITIONS!$A:$A,$B86)-1)),3))</f>
        <v/>
      </c>
      <c r="O86" s="24" t="n"/>
      <c r="P86" s="24">
        <f>IF(OR($H86="",$N86=""),"",ROUND($H86*$N86*IF($O86="",1,$O86),3))</f>
        <v/>
      </c>
      <c r="Q86" s="24">
        <f>IF(OR($E86="",$P86=""),"",ROUND($E86*$P86,3))</f>
        <v/>
      </c>
      <c r="R86" s="5">
        <f>IF($D86="","",IFERROR(INDEX(MATERIAL_VARIANTS!$O:$O,MATCH($D86,MATERIAL_VARIANTS!$A:$A,0)),""))</f>
        <v/>
      </c>
      <c r="S86" s="24">
        <f>IF($D86="","",IFERROR(INDEX(MATERIAL_VARIANTS!$P:$P,MATCH($D86,MATERIAL_VARIANTS!$A:$A,0)),""))</f>
        <v/>
      </c>
      <c r="T86" s="5">
        <f>IF(OR($Q86="",$S86="",$S86=0),"",ROUNDUP($Q86/$S86,0))</f>
        <v/>
      </c>
      <c r="U86" s="5" t="n"/>
    </row>
    <row r="87">
      <c r="A87" s="5" t="n"/>
      <c r="B87" s="5" t="n"/>
      <c r="C87" s="5" t="n"/>
      <c r="D87" s="5" t="n"/>
      <c r="E87" s="5" t="n"/>
      <c r="F87" s="5" t="n"/>
      <c r="G87" s="5">
        <f>IF($C87="","",INDEX(MATERIAL_MASTER!$O:$O,MATCH($C87,MATERIAL_MASTER!$A:$A,0)))</f>
        <v/>
      </c>
      <c r="H87" s="24">
        <f>IF($C87="","",INDEX(MATERIAL_MASTER!$P:$P,MATCH($C87,MATERIAL_MASTER!$A:$A,0)))</f>
        <v/>
      </c>
      <c r="I87" s="24">
        <f>IF($C87="","",INDEX(MATERIAL_FACTOR_APPLICABILITY!$D:$D,MATCH($C87,MATERIAL_FACTOR_APPLICABILITY!$A:$A,0)))</f>
        <v/>
      </c>
      <c r="J87" s="24">
        <f>IF($C87="","",INDEX(MATERIAL_FACTOR_APPLICABILITY!$E:$E,MATCH($C87,MATERIAL_FACTOR_APPLICABILITY!$A:$A,0)))</f>
        <v/>
      </c>
      <c r="K87" s="24">
        <f>IF($C87="","",INDEX(MATERIAL_FACTOR_APPLICABILITY!$F:$F,MATCH($C87,MATERIAL_FACTOR_APPLICABILITY!$A:$A,0)))</f>
        <v/>
      </c>
      <c r="L87" s="24">
        <f>IF($C87="","",INDEX(MATERIAL_FACTOR_APPLICABILITY!$G:$G,MATCH($C87,MATERIAL_FACTOR_APPLICABILITY!$A:$A,0)))</f>
        <v/>
      </c>
      <c r="M87" s="24">
        <f>IF($C87="","",INDEX(MATERIAL_FACTOR_APPLICABILITY!$H:$H,MATCH($C87,MATERIAL_FACTOR_APPLICABILITY!$A:$A,0)))</f>
        <v/>
      </c>
      <c r="N87" s="24">
        <f>IF($B87="","",ROUND(1+($I87*(SUMIFS(OBJECT_CONDITIONS!$W:$W,OBJECT_CONDITIONS!$A:$A,$B87)-1))+($J87*(SUMIFS(OBJECT_CONDITIONS!$J:$J,OBJECT_CONDITIONS!$A:$A,$B87)-1))+($K87*(SUMIFS(OBJECT_CONDITIONS!$L:$L,OBJECT_CONDITIONS!$A:$A,$B87)-1))+($L87*(SUMIFS(OBJECT_CONDITIONS!$N:$N,OBJECT_CONDITIONS!$A:$A,$B87)-1))+($M87*(SUMIFS(OBJECT_CONDITIONS!$R:$R,OBJECT_CONDITIONS!$A:$A,$B87)-1)),3))</f>
        <v/>
      </c>
      <c r="O87" s="24" t="n"/>
      <c r="P87" s="24">
        <f>IF(OR($H87="",$N87=""),"",ROUND($H87*$N87*IF($O87="",1,$O87),3))</f>
        <v/>
      </c>
      <c r="Q87" s="24">
        <f>IF(OR($E87="",$P87=""),"",ROUND($E87*$P87,3))</f>
        <v/>
      </c>
      <c r="R87" s="5">
        <f>IF($D87="","",IFERROR(INDEX(MATERIAL_VARIANTS!$O:$O,MATCH($D87,MATERIAL_VARIANTS!$A:$A,0)),""))</f>
        <v/>
      </c>
      <c r="S87" s="24">
        <f>IF($D87="","",IFERROR(INDEX(MATERIAL_VARIANTS!$P:$P,MATCH($D87,MATERIAL_VARIANTS!$A:$A,0)),""))</f>
        <v/>
      </c>
      <c r="T87" s="5">
        <f>IF(OR($Q87="",$S87="",$S87=0),"",ROUNDUP($Q87/$S87,0))</f>
        <v/>
      </c>
      <c r="U87" s="5" t="n"/>
    </row>
    <row r="88">
      <c r="A88" s="5" t="n"/>
      <c r="B88" s="5" t="n"/>
      <c r="C88" s="5" t="n"/>
      <c r="D88" s="5" t="n"/>
      <c r="E88" s="5" t="n"/>
      <c r="F88" s="5" t="n"/>
      <c r="G88" s="5">
        <f>IF($C88="","",INDEX(MATERIAL_MASTER!$O:$O,MATCH($C88,MATERIAL_MASTER!$A:$A,0)))</f>
        <v/>
      </c>
      <c r="H88" s="24">
        <f>IF($C88="","",INDEX(MATERIAL_MASTER!$P:$P,MATCH($C88,MATERIAL_MASTER!$A:$A,0)))</f>
        <v/>
      </c>
      <c r="I88" s="24">
        <f>IF($C88="","",INDEX(MATERIAL_FACTOR_APPLICABILITY!$D:$D,MATCH($C88,MATERIAL_FACTOR_APPLICABILITY!$A:$A,0)))</f>
        <v/>
      </c>
      <c r="J88" s="24">
        <f>IF($C88="","",INDEX(MATERIAL_FACTOR_APPLICABILITY!$E:$E,MATCH($C88,MATERIAL_FACTOR_APPLICABILITY!$A:$A,0)))</f>
        <v/>
      </c>
      <c r="K88" s="24">
        <f>IF($C88="","",INDEX(MATERIAL_FACTOR_APPLICABILITY!$F:$F,MATCH($C88,MATERIAL_FACTOR_APPLICABILITY!$A:$A,0)))</f>
        <v/>
      </c>
      <c r="L88" s="24">
        <f>IF($C88="","",INDEX(MATERIAL_FACTOR_APPLICABILITY!$G:$G,MATCH($C88,MATERIAL_FACTOR_APPLICABILITY!$A:$A,0)))</f>
        <v/>
      </c>
      <c r="M88" s="24">
        <f>IF($C88="","",INDEX(MATERIAL_FACTOR_APPLICABILITY!$H:$H,MATCH($C88,MATERIAL_FACTOR_APPLICABILITY!$A:$A,0)))</f>
        <v/>
      </c>
      <c r="N88" s="24">
        <f>IF($B88="","",ROUND(1+($I88*(SUMIFS(OBJECT_CONDITIONS!$W:$W,OBJECT_CONDITIONS!$A:$A,$B88)-1))+($J88*(SUMIFS(OBJECT_CONDITIONS!$J:$J,OBJECT_CONDITIONS!$A:$A,$B88)-1))+($K88*(SUMIFS(OBJECT_CONDITIONS!$L:$L,OBJECT_CONDITIONS!$A:$A,$B88)-1))+($L88*(SUMIFS(OBJECT_CONDITIONS!$N:$N,OBJECT_CONDITIONS!$A:$A,$B88)-1))+($M88*(SUMIFS(OBJECT_CONDITIONS!$R:$R,OBJECT_CONDITIONS!$A:$A,$B88)-1)),3))</f>
        <v/>
      </c>
      <c r="O88" s="24" t="n"/>
      <c r="P88" s="24">
        <f>IF(OR($H88="",$N88=""),"",ROUND($H88*$N88*IF($O88="",1,$O88),3))</f>
        <v/>
      </c>
      <c r="Q88" s="24">
        <f>IF(OR($E88="",$P88=""),"",ROUND($E88*$P88,3))</f>
        <v/>
      </c>
      <c r="R88" s="5">
        <f>IF($D88="","",IFERROR(INDEX(MATERIAL_VARIANTS!$O:$O,MATCH($D88,MATERIAL_VARIANTS!$A:$A,0)),""))</f>
        <v/>
      </c>
      <c r="S88" s="24">
        <f>IF($D88="","",IFERROR(INDEX(MATERIAL_VARIANTS!$P:$P,MATCH($D88,MATERIAL_VARIANTS!$A:$A,0)),""))</f>
        <v/>
      </c>
      <c r="T88" s="5">
        <f>IF(OR($Q88="",$S88="",$S88=0),"",ROUNDUP($Q88/$S88,0))</f>
        <v/>
      </c>
      <c r="U88" s="5" t="n"/>
    </row>
    <row r="89">
      <c r="A89" s="5" t="n"/>
      <c r="B89" s="5" t="n"/>
      <c r="C89" s="5" t="n"/>
      <c r="D89" s="5" t="n"/>
      <c r="E89" s="5" t="n"/>
      <c r="F89" s="5" t="n"/>
      <c r="G89" s="5">
        <f>IF($C89="","",INDEX(MATERIAL_MASTER!$O:$O,MATCH($C89,MATERIAL_MASTER!$A:$A,0)))</f>
        <v/>
      </c>
      <c r="H89" s="24">
        <f>IF($C89="","",INDEX(MATERIAL_MASTER!$P:$P,MATCH($C89,MATERIAL_MASTER!$A:$A,0)))</f>
        <v/>
      </c>
      <c r="I89" s="24">
        <f>IF($C89="","",INDEX(MATERIAL_FACTOR_APPLICABILITY!$D:$D,MATCH($C89,MATERIAL_FACTOR_APPLICABILITY!$A:$A,0)))</f>
        <v/>
      </c>
      <c r="J89" s="24">
        <f>IF($C89="","",INDEX(MATERIAL_FACTOR_APPLICABILITY!$E:$E,MATCH($C89,MATERIAL_FACTOR_APPLICABILITY!$A:$A,0)))</f>
        <v/>
      </c>
      <c r="K89" s="24">
        <f>IF($C89="","",INDEX(MATERIAL_FACTOR_APPLICABILITY!$F:$F,MATCH($C89,MATERIAL_FACTOR_APPLICABILITY!$A:$A,0)))</f>
        <v/>
      </c>
      <c r="L89" s="24">
        <f>IF($C89="","",INDEX(MATERIAL_FACTOR_APPLICABILITY!$G:$G,MATCH($C89,MATERIAL_FACTOR_APPLICABILITY!$A:$A,0)))</f>
        <v/>
      </c>
      <c r="M89" s="24">
        <f>IF($C89="","",INDEX(MATERIAL_FACTOR_APPLICABILITY!$H:$H,MATCH($C89,MATERIAL_FACTOR_APPLICABILITY!$A:$A,0)))</f>
        <v/>
      </c>
      <c r="N89" s="24">
        <f>IF($B89="","",ROUND(1+($I89*(SUMIFS(OBJECT_CONDITIONS!$W:$W,OBJECT_CONDITIONS!$A:$A,$B89)-1))+($J89*(SUMIFS(OBJECT_CONDITIONS!$J:$J,OBJECT_CONDITIONS!$A:$A,$B89)-1))+($K89*(SUMIFS(OBJECT_CONDITIONS!$L:$L,OBJECT_CONDITIONS!$A:$A,$B89)-1))+($L89*(SUMIFS(OBJECT_CONDITIONS!$N:$N,OBJECT_CONDITIONS!$A:$A,$B89)-1))+($M89*(SUMIFS(OBJECT_CONDITIONS!$R:$R,OBJECT_CONDITIONS!$A:$A,$B89)-1)),3))</f>
        <v/>
      </c>
      <c r="O89" s="24" t="n"/>
      <c r="P89" s="24">
        <f>IF(OR($H89="",$N89=""),"",ROUND($H89*$N89*IF($O89="",1,$O89),3))</f>
        <v/>
      </c>
      <c r="Q89" s="24">
        <f>IF(OR($E89="",$P89=""),"",ROUND($E89*$P89,3))</f>
        <v/>
      </c>
      <c r="R89" s="5">
        <f>IF($D89="","",IFERROR(INDEX(MATERIAL_VARIANTS!$O:$O,MATCH($D89,MATERIAL_VARIANTS!$A:$A,0)),""))</f>
        <v/>
      </c>
      <c r="S89" s="24">
        <f>IF($D89="","",IFERROR(INDEX(MATERIAL_VARIANTS!$P:$P,MATCH($D89,MATERIAL_VARIANTS!$A:$A,0)),""))</f>
        <v/>
      </c>
      <c r="T89" s="5">
        <f>IF(OR($Q89="",$S89="",$S89=0),"",ROUNDUP($Q89/$S89,0))</f>
        <v/>
      </c>
      <c r="U89" s="5" t="n"/>
    </row>
    <row r="90">
      <c r="A90" s="5" t="n"/>
      <c r="B90" s="5" t="n"/>
      <c r="C90" s="5" t="n"/>
      <c r="D90" s="5" t="n"/>
      <c r="E90" s="5" t="n"/>
      <c r="F90" s="5" t="n"/>
      <c r="G90" s="5">
        <f>IF($C90="","",INDEX(MATERIAL_MASTER!$O:$O,MATCH($C90,MATERIAL_MASTER!$A:$A,0)))</f>
        <v/>
      </c>
      <c r="H90" s="24">
        <f>IF($C90="","",INDEX(MATERIAL_MASTER!$P:$P,MATCH($C90,MATERIAL_MASTER!$A:$A,0)))</f>
        <v/>
      </c>
      <c r="I90" s="24">
        <f>IF($C90="","",INDEX(MATERIAL_FACTOR_APPLICABILITY!$D:$D,MATCH($C90,MATERIAL_FACTOR_APPLICABILITY!$A:$A,0)))</f>
        <v/>
      </c>
      <c r="J90" s="24">
        <f>IF($C90="","",INDEX(MATERIAL_FACTOR_APPLICABILITY!$E:$E,MATCH($C90,MATERIAL_FACTOR_APPLICABILITY!$A:$A,0)))</f>
        <v/>
      </c>
      <c r="K90" s="24">
        <f>IF($C90="","",INDEX(MATERIAL_FACTOR_APPLICABILITY!$F:$F,MATCH($C90,MATERIAL_FACTOR_APPLICABILITY!$A:$A,0)))</f>
        <v/>
      </c>
      <c r="L90" s="24">
        <f>IF($C90="","",INDEX(MATERIAL_FACTOR_APPLICABILITY!$G:$G,MATCH($C90,MATERIAL_FACTOR_APPLICABILITY!$A:$A,0)))</f>
        <v/>
      </c>
      <c r="M90" s="24">
        <f>IF($C90="","",INDEX(MATERIAL_FACTOR_APPLICABILITY!$H:$H,MATCH($C90,MATERIAL_FACTOR_APPLICABILITY!$A:$A,0)))</f>
        <v/>
      </c>
      <c r="N90" s="24">
        <f>IF($B90="","",ROUND(1+($I90*(SUMIFS(OBJECT_CONDITIONS!$W:$W,OBJECT_CONDITIONS!$A:$A,$B90)-1))+($J90*(SUMIFS(OBJECT_CONDITIONS!$J:$J,OBJECT_CONDITIONS!$A:$A,$B90)-1))+($K90*(SUMIFS(OBJECT_CONDITIONS!$L:$L,OBJECT_CONDITIONS!$A:$A,$B90)-1))+($L90*(SUMIFS(OBJECT_CONDITIONS!$N:$N,OBJECT_CONDITIONS!$A:$A,$B90)-1))+($M90*(SUMIFS(OBJECT_CONDITIONS!$R:$R,OBJECT_CONDITIONS!$A:$A,$B90)-1)),3))</f>
        <v/>
      </c>
      <c r="O90" s="24" t="n"/>
      <c r="P90" s="24">
        <f>IF(OR($H90="",$N90=""),"",ROUND($H90*$N90*IF($O90="",1,$O90),3))</f>
        <v/>
      </c>
      <c r="Q90" s="24">
        <f>IF(OR($E90="",$P90=""),"",ROUND($E90*$P90,3))</f>
        <v/>
      </c>
      <c r="R90" s="5">
        <f>IF($D90="","",IFERROR(INDEX(MATERIAL_VARIANTS!$O:$O,MATCH($D90,MATERIAL_VARIANTS!$A:$A,0)),""))</f>
        <v/>
      </c>
      <c r="S90" s="24">
        <f>IF($D90="","",IFERROR(INDEX(MATERIAL_VARIANTS!$P:$P,MATCH($D90,MATERIAL_VARIANTS!$A:$A,0)),""))</f>
        <v/>
      </c>
      <c r="T90" s="5">
        <f>IF(OR($Q90="",$S90="",$S90=0),"",ROUNDUP($Q90/$S90,0))</f>
        <v/>
      </c>
      <c r="U90" s="5" t="n"/>
    </row>
    <row r="91">
      <c r="A91" s="5" t="n"/>
      <c r="B91" s="5" t="n"/>
      <c r="C91" s="5" t="n"/>
      <c r="D91" s="5" t="n"/>
      <c r="E91" s="5" t="n"/>
      <c r="F91" s="5" t="n"/>
      <c r="G91" s="5">
        <f>IF($C91="","",INDEX(MATERIAL_MASTER!$O:$O,MATCH($C91,MATERIAL_MASTER!$A:$A,0)))</f>
        <v/>
      </c>
      <c r="H91" s="24">
        <f>IF($C91="","",INDEX(MATERIAL_MASTER!$P:$P,MATCH($C91,MATERIAL_MASTER!$A:$A,0)))</f>
        <v/>
      </c>
      <c r="I91" s="24">
        <f>IF($C91="","",INDEX(MATERIAL_FACTOR_APPLICABILITY!$D:$D,MATCH($C91,MATERIAL_FACTOR_APPLICABILITY!$A:$A,0)))</f>
        <v/>
      </c>
      <c r="J91" s="24">
        <f>IF($C91="","",INDEX(MATERIAL_FACTOR_APPLICABILITY!$E:$E,MATCH($C91,MATERIAL_FACTOR_APPLICABILITY!$A:$A,0)))</f>
        <v/>
      </c>
      <c r="K91" s="24">
        <f>IF($C91="","",INDEX(MATERIAL_FACTOR_APPLICABILITY!$F:$F,MATCH($C91,MATERIAL_FACTOR_APPLICABILITY!$A:$A,0)))</f>
        <v/>
      </c>
      <c r="L91" s="24">
        <f>IF($C91="","",INDEX(MATERIAL_FACTOR_APPLICABILITY!$G:$G,MATCH($C91,MATERIAL_FACTOR_APPLICABILITY!$A:$A,0)))</f>
        <v/>
      </c>
      <c r="M91" s="24">
        <f>IF($C91="","",INDEX(MATERIAL_FACTOR_APPLICABILITY!$H:$H,MATCH($C91,MATERIAL_FACTOR_APPLICABILITY!$A:$A,0)))</f>
        <v/>
      </c>
      <c r="N91" s="24">
        <f>IF($B91="","",ROUND(1+($I91*(SUMIFS(OBJECT_CONDITIONS!$W:$W,OBJECT_CONDITIONS!$A:$A,$B91)-1))+($J91*(SUMIFS(OBJECT_CONDITIONS!$J:$J,OBJECT_CONDITIONS!$A:$A,$B91)-1))+($K91*(SUMIFS(OBJECT_CONDITIONS!$L:$L,OBJECT_CONDITIONS!$A:$A,$B91)-1))+($L91*(SUMIFS(OBJECT_CONDITIONS!$N:$N,OBJECT_CONDITIONS!$A:$A,$B91)-1))+($M91*(SUMIFS(OBJECT_CONDITIONS!$R:$R,OBJECT_CONDITIONS!$A:$A,$B91)-1)),3))</f>
        <v/>
      </c>
      <c r="O91" s="24" t="n"/>
      <c r="P91" s="24">
        <f>IF(OR($H91="",$N91=""),"",ROUND($H91*$N91*IF($O91="",1,$O91),3))</f>
        <v/>
      </c>
      <c r="Q91" s="24">
        <f>IF(OR($E91="",$P91=""),"",ROUND($E91*$P91,3))</f>
        <v/>
      </c>
      <c r="R91" s="5">
        <f>IF($D91="","",IFERROR(INDEX(MATERIAL_VARIANTS!$O:$O,MATCH($D91,MATERIAL_VARIANTS!$A:$A,0)),""))</f>
        <v/>
      </c>
      <c r="S91" s="24">
        <f>IF($D91="","",IFERROR(INDEX(MATERIAL_VARIANTS!$P:$P,MATCH($D91,MATERIAL_VARIANTS!$A:$A,0)),""))</f>
        <v/>
      </c>
      <c r="T91" s="5">
        <f>IF(OR($Q91="",$S91="",$S91=0),"",ROUNDUP($Q91/$S91,0))</f>
        <v/>
      </c>
      <c r="U91" s="5" t="n"/>
    </row>
    <row r="92">
      <c r="A92" s="5" t="n"/>
      <c r="B92" s="5" t="n"/>
      <c r="C92" s="5" t="n"/>
      <c r="D92" s="5" t="n"/>
      <c r="E92" s="5" t="n"/>
      <c r="F92" s="5" t="n"/>
      <c r="G92" s="5">
        <f>IF($C92="","",INDEX(MATERIAL_MASTER!$O:$O,MATCH($C92,MATERIAL_MASTER!$A:$A,0)))</f>
        <v/>
      </c>
      <c r="H92" s="24">
        <f>IF($C92="","",INDEX(MATERIAL_MASTER!$P:$P,MATCH($C92,MATERIAL_MASTER!$A:$A,0)))</f>
        <v/>
      </c>
      <c r="I92" s="24">
        <f>IF($C92="","",INDEX(MATERIAL_FACTOR_APPLICABILITY!$D:$D,MATCH($C92,MATERIAL_FACTOR_APPLICABILITY!$A:$A,0)))</f>
        <v/>
      </c>
      <c r="J92" s="24">
        <f>IF($C92="","",INDEX(MATERIAL_FACTOR_APPLICABILITY!$E:$E,MATCH($C92,MATERIAL_FACTOR_APPLICABILITY!$A:$A,0)))</f>
        <v/>
      </c>
      <c r="K92" s="24">
        <f>IF($C92="","",INDEX(MATERIAL_FACTOR_APPLICABILITY!$F:$F,MATCH($C92,MATERIAL_FACTOR_APPLICABILITY!$A:$A,0)))</f>
        <v/>
      </c>
      <c r="L92" s="24">
        <f>IF($C92="","",INDEX(MATERIAL_FACTOR_APPLICABILITY!$G:$G,MATCH($C92,MATERIAL_FACTOR_APPLICABILITY!$A:$A,0)))</f>
        <v/>
      </c>
      <c r="M92" s="24">
        <f>IF($C92="","",INDEX(MATERIAL_FACTOR_APPLICABILITY!$H:$H,MATCH($C92,MATERIAL_FACTOR_APPLICABILITY!$A:$A,0)))</f>
        <v/>
      </c>
      <c r="N92" s="24">
        <f>IF($B92="","",ROUND(1+($I92*(SUMIFS(OBJECT_CONDITIONS!$W:$W,OBJECT_CONDITIONS!$A:$A,$B92)-1))+($J92*(SUMIFS(OBJECT_CONDITIONS!$J:$J,OBJECT_CONDITIONS!$A:$A,$B92)-1))+($K92*(SUMIFS(OBJECT_CONDITIONS!$L:$L,OBJECT_CONDITIONS!$A:$A,$B92)-1))+($L92*(SUMIFS(OBJECT_CONDITIONS!$N:$N,OBJECT_CONDITIONS!$A:$A,$B92)-1))+($M92*(SUMIFS(OBJECT_CONDITIONS!$R:$R,OBJECT_CONDITIONS!$A:$A,$B92)-1)),3))</f>
        <v/>
      </c>
      <c r="O92" s="24" t="n"/>
      <c r="P92" s="24">
        <f>IF(OR($H92="",$N92=""),"",ROUND($H92*$N92*IF($O92="",1,$O92),3))</f>
        <v/>
      </c>
      <c r="Q92" s="24">
        <f>IF(OR($E92="",$P92=""),"",ROUND($E92*$P92,3))</f>
        <v/>
      </c>
      <c r="R92" s="5">
        <f>IF($D92="","",IFERROR(INDEX(MATERIAL_VARIANTS!$O:$O,MATCH($D92,MATERIAL_VARIANTS!$A:$A,0)),""))</f>
        <v/>
      </c>
      <c r="S92" s="24">
        <f>IF($D92="","",IFERROR(INDEX(MATERIAL_VARIANTS!$P:$P,MATCH($D92,MATERIAL_VARIANTS!$A:$A,0)),""))</f>
        <v/>
      </c>
      <c r="T92" s="5">
        <f>IF(OR($Q92="",$S92="",$S92=0),"",ROUNDUP($Q92/$S92,0))</f>
        <v/>
      </c>
      <c r="U92" s="5" t="n"/>
    </row>
    <row r="93">
      <c r="A93" s="5" t="n"/>
      <c r="B93" s="5" t="n"/>
      <c r="C93" s="5" t="n"/>
      <c r="D93" s="5" t="n"/>
      <c r="E93" s="5" t="n"/>
      <c r="F93" s="5" t="n"/>
      <c r="G93" s="5">
        <f>IF($C93="","",INDEX(MATERIAL_MASTER!$O:$O,MATCH($C93,MATERIAL_MASTER!$A:$A,0)))</f>
        <v/>
      </c>
      <c r="H93" s="24">
        <f>IF($C93="","",INDEX(MATERIAL_MASTER!$P:$P,MATCH($C93,MATERIAL_MASTER!$A:$A,0)))</f>
        <v/>
      </c>
      <c r="I93" s="24">
        <f>IF($C93="","",INDEX(MATERIAL_FACTOR_APPLICABILITY!$D:$D,MATCH($C93,MATERIAL_FACTOR_APPLICABILITY!$A:$A,0)))</f>
        <v/>
      </c>
      <c r="J93" s="24">
        <f>IF($C93="","",INDEX(MATERIAL_FACTOR_APPLICABILITY!$E:$E,MATCH($C93,MATERIAL_FACTOR_APPLICABILITY!$A:$A,0)))</f>
        <v/>
      </c>
      <c r="K93" s="24">
        <f>IF($C93="","",INDEX(MATERIAL_FACTOR_APPLICABILITY!$F:$F,MATCH($C93,MATERIAL_FACTOR_APPLICABILITY!$A:$A,0)))</f>
        <v/>
      </c>
      <c r="L93" s="24">
        <f>IF($C93="","",INDEX(MATERIAL_FACTOR_APPLICABILITY!$G:$G,MATCH($C93,MATERIAL_FACTOR_APPLICABILITY!$A:$A,0)))</f>
        <v/>
      </c>
      <c r="M93" s="24">
        <f>IF($C93="","",INDEX(MATERIAL_FACTOR_APPLICABILITY!$H:$H,MATCH($C93,MATERIAL_FACTOR_APPLICABILITY!$A:$A,0)))</f>
        <v/>
      </c>
      <c r="N93" s="24">
        <f>IF($B93="","",ROUND(1+($I93*(SUMIFS(OBJECT_CONDITIONS!$W:$W,OBJECT_CONDITIONS!$A:$A,$B93)-1))+($J93*(SUMIFS(OBJECT_CONDITIONS!$J:$J,OBJECT_CONDITIONS!$A:$A,$B93)-1))+($K93*(SUMIFS(OBJECT_CONDITIONS!$L:$L,OBJECT_CONDITIONS!$A:$A,$B93)-1))+($L93*(SUMIFS(OBJECT_CONDITIONS!$N:$N,OBJECT_CONDITIONS!$A:$A,$B93)-1))+($M93*(SUMIFS(OBJECT_CONDITIONS!$R:$R,OBJECT_CONDITIONS!$A:$A,$B93)-1)),3))</f>
        <v/>
      </c>
      <c r="O93" s="24" t="n"/>
      <c r="P93" s="24">
        <f>IF(OR($H93="",$N93=""),"",ROUND($H93*$N93*IF($O93="",1,$O93),3))</f>
        <v/>
      </c>
      <c r="Q93" s="24">
        <f>IF(OR($E93="",$P93=""),"",ROUND($E93*$P93,3))</f>
        <v/>
      </c>
      <c r="R93" s="5">
        <f>IF($D93="","",IFERROR(INDEX(MATERIAL_VARIANTS!$O:$O,MATCH($D93,MATERIAL_VARIANTS!$A:$A,0)),""))</f>
        <v/>
      </c>
      <c r="S93" s="24">
        <f>IF($D93="","",IFERROR(INDEX(MATERIAL_VARIANTS!$P:$P,MATCH($D93,MATERIAL_VARIANTS!$A:$A,0)),""))</f>
        <v/>
      </c>
      <c r="T93" s="5">
        <f>IF(OR($Q93="",$S93="",$S93=0),"",ROUNDUP($Q93/$S93,0))</f>
        <v/>
      </c>
      <c r="U93" s="5" t="n"/>
    </row>
    <row r="94">
      <c r="A94" s="5" t="n"/>
      <c r="B94" s="5" t="n"/>
      <c r="C94" s="5" t="n"/>
      <c r="D94" s="5" t="n"/>
      <c r="E94" s="5" t="n"/>
      <c r="F94" s="5" t="n"/>
      <c r="G94" s="5">
        <f>IF($C94="","",INDEX(MATERIAL_MASTER!$O:$O,MATCH($C94,MATERIAL_MASTER!$A:$A,0)))</f>
        <v/>
      </c>
      <c r="H94" s="24">
        <f>IF($C94="","",INDEX(MATERIAL_MASTER!$P:$P,MATCH($C94,MATERIAL_MASTER!$A:$A,0)))</f>
        <v/>
      </c>
      <c r="I94" s="24">
        <f>IF($C94="","",INDEX(MATERIAL_FACTOR_APPLICABILITY!$D:$D,MATCH($C94,MATERIAL_FACTOR_APPLICABILITY!$A:$A,0)))</f>
        <v/>
      </c>
      <c r="J94" s="24">
        <f>IF($C94="","",INDEX(MATERIAL_FACTOR_APPLICABILITY!$E:$E,MATCH($C94,MATERIAL_FACTOR_APPLICABILITY!$A:$A,0)))</f>
        <v/>
      </c>
      <c r="K94" s="24">
        <f>IF($C94="","",INDEX(MATERIAL_FACTOR_APPLICABILITY!$F:$F,MATCH($C94,MATERIAL_FACTOR_APPLICABILITY!$A:$A,0)))</f>
        <v/>
      </c>
      <c r="L94" s="24">
        <f>IF($C94="","",INDEX(MATERIAL_FACTOR_APPLICABILITY!$G:$G,MATCH($C94,MATERIAL_FACTOR_APPLICABILITY!$A:$A,0)))</f>
        <v/>
      </c>
      <c r="M94" s="24">
        <f>IF($C94="","",INDEX(MATERIAL_FACTOR_APPLICABILITY!$H:$H,MATCH($C94,MATERIAL_FACTOR_APPLICABILITY!$A:$A,0)))</f>
        <v/>
      </c>
      <c r="N94" s="24">
        <f>IF($B94="","",ROUND(1+($I94*(SUMIFS(OBJECT_CONDITIONS!$W:$W,OBJECT_CONDITIONS!$A:$A,$B94)-1))+($J94*(SUMIFS(OBJECT_CONDITIONS!$J:$J,OBJECT_CONDITIONS!$A:$A,$B94)-1))+($K94*(SUMIFS(OBJECT_CONDITIONS!$L:$L,OBJECT_CONDITIONS!$A:$A,$B94)-1))+($L94*(SUMIFS(OBJECT_CONDITIONS!$N:$N,OBJECT_CONDITIONS!$A:$A,$B94)-1))+($M94*(SUMIFS(OBJECT_CONDITIONS!$R:$R,OBJECT_CONDITIONS!$A:$A,$B94)-1)),3))</f>
        <v/>
      </c>
      <c r="O94" s="24" t="n"/>
      <c r="P94" s="24">
        <f>IF(OR($H94="",$N94=""),"",ROUND($H94*$N94*IF($O94="",1,$O94),3))</f>
        <v/>
      </c>
      <c r="Q94" s="24">
        <f>IF(OR($E94="",$P94=""),"",ROUND($E94*$P94,3))</f>
        <v/>
      </c>
      <c r="R94" s="5">
        <f>IF($D94="","",IFERROR(INDEX(MATERIAL_VARIANTS!$O:$O,MATCH($D94,MATERIAL_VARIANTS!$A:$A,0)),""))</f>
        <v/>
      </c>
      <c r="S94" s="24">
        <f>IF($D94="","",IFERROR(INDEX(MATERIAL_VARIANTS!$P:$P,MATCH($D94,MATERIAL_VARIANTS!$A:$A,0)),""))</f>
        <v/>
      </c>
      <c r="T94" s="5">
        <f>IF(OR($Q94="",$S94="",$S94=0),"",ROUNDUP($Q94/$S94,0))</f>
        <v/>
      </c>
      <c r="U94" s="5" t="n"/>
    </row>
    <row r="95">
      <c r="A95" s="5" t="n"/>
      <c r="B95" s="5" t="n"/>
      <c r="C95" s="5" t="n"/>
      <c r="D95" s="5" t="n"/>
      <c r="E95" s="5" t="n"/>
      <c r="F95" s="5" t="n"/>
      <c r="G95" s="5">
        <f>IF($C95="","",INDEX(MATERIAL_MASTER!$O:$O,MATCH($C95,MATERIAL_MASTER!$A:$A,0)))</f>
        <v/>
      </c>
      <c r="H95" s="24">
        <f>IF($C95="","",INDEX(MATERIAL_MASTER!$P:$P,MATCH($C95,MATERIAL_MASTER!$A:$A,0)))</f>
        <v/>
      </c>
      <c r="I95" s="24">
        <f>IF($C95="","",INDEX(MATERIAL_FACTOR_APPLICABILITY!$D:$D,MATCH($C95,MATERIAL_FACTOR_APPLICABILITY!$A:$A,0)))</f>
        <v/>
      </c>
      <c r="J95" s="24">
        <f>IF($C95="","",INDEX(MATERIAL_FACTOR_APPLICABILITY!$E:$E,MATCH($C95,MATERIAL_FACTOR_APPLICABILITY!$A:$A,0)))</f>
        <v/>
      </c>
      <c r="K95" s="24">
        <f>IF($C95="","",INDEX(MATERIAL_FACTOR_APPLICABILITY!$F:$F,MATCH($C95,MATERIAL_FACTOR_APPLICABILITY!$A:$A,0)))</f>
        <v/>
      </c>
      <c r="L95" s="24">
        <f>IF($C95="","",INDEX(MATERIAL_FACTOR_APPLICABILITY!$G:$G,MATCH($C95,MATERIAL_FACTOR_APPLICABILITY!$A:$A,0)))</f>
        <v/>
      </c>
      <c r="M95" s="24">
        <f>IF($C95="","",INDEX(MATERIAL_FACTOR_APPLICABILITY!$H:$H,MATCH($C95,MATERIAL_FACTOR_APPLICABILITY!$A:$A,0)))</f>
        <v/>
      </c>
      <c r="N95" s="24">
        <f>IF($B95="","",ROUND(1+($I95*(SUMIFS(OBJECT_CONDITIONS!$W:$W,OBJECT_CONDITIONS!$A:$A,$B95)-1))+($J95*(SUMIFS(OBJECT_CONDITIONS!$J:$J,OBJECT_CONDITIONS!$A:$A,$B95)-1))+($K95*(SUMIFS(OBJECT_CONDITIONS!$L:$L,OBJECT_CONDITIONS!$A:$A,$B95)-1))+($L95*(SUMIFS(OBJECT_CONDITIONS!$N:$N,OBJECT_CONDITIONS!$A:$A,$B95)-1))+($M95*(SUMIFS(OBJECT_CONDITIONS!$R:$R,OBJECT_CONDITIONS!$A:$A,$B95)-1)),3))</f>
        <v/>
      </c>
      <c r="O95" s="24" t="n"/>
      <c r="P95" s="24">
        <f>IF(OR($H95="",$N95=""),"",ROUND($H95*$N95*IF($O95="",1,$O95),3))</f>
        <v/>
      </c>
      <c r="Q95" s="24">
        <f>IF(OR($E95="",$P95=""),"",ROUND($E95*$P95,3))</f>
        <v/>
      </c>
      <c r="R95" s="5">
        <f>IF($D95="","",IFERROR(INDEX(MATERIAL_VARIANTS!$O:$O,MATCH($D95,MATERIAL_VARIANTS!$A:$A,0)),""))</f>
        <v/>
      </c>
      <c r="S95" s="24">
        <f>IF($D95="","",IFERROR(INDEX(MATERIAL_VARIANTS!$P:$P,MATCH($D95,MATERIAL_VARIANTS!$A:$A,0)),""))</f>
        <v/>
      </c>
      <c r="T95" s="5">
        <f>IF(OR($Q95="",$S95="",$S95=0),"",ROUNDUP($Q95/$S95,0))</f>
        <v/>
      </c>
      <c r="U95" s="5" t="n"/>
    </row>
    <row r="96">
      <c r="A96" s="5" t="n"/>
      <c r="B96" s="5" t="n"/>
      <c r="C96" s="5" t="n"/>
      <c r="D96" s="5" t="n"/>
      <c r="E96" s="5" t="n"/>
      <c r="F96" s="5" t="n"/>
      <c r="G96" s="5">
        <f>IF($C96="","",INDEX(MATERIAL_MASTER!$O:$O,MATCH($C96,MATERIAL_MASTER!$A:$A,0)))</f>
        <v/>
      </c>
      <c r="H96" s="24">
        <f>IF($C96="","",INDEX(MATERIAL_MASTER!$P:$P,MATCH($C96,MATERIAL_MASTER!$A:$A,0)))</f>
        <v/>
      </c>
      <c r="I96" s="24">
        <f>IF($C96="","",INDEX(MATERIAL_FACTOR_APPLICABILITY!$D:$D,MATCH($C96,MATERIAL_FACTOR_APPLICABILITY!$A:$A,0)))</f>
        <v/>
      </c>
      <c r="J96" s="24">
        <f>IF($C96="","",INDEX(MATERIAL_FACTOR_APPLICABILITY!$E:$E,MATCH($C96,MATERIAL_FACTOR_APPLICABILITY!$A:$A,0)))</f>
        <v/>
      </c>
      <c r="K96" s="24">
        <f>IF($C96="","",INDEX(MATERIAL_FACTOR_APPLICABILITY!$F:$F,MATCH($C96,MATERIAL_FACTOR_APPLICABILITY!$A:$A,0)))</f>
        <v/>
      </c>
      <c r="L96" s="24">
        <f>IF($C96="","",INDEX(MATERIAL_FACTOR_APPLICABILITY!$G:$G,MATCH($C96,MATERIAL_FACTOR_APPLICABILITY!$A:$A,0)))</f>
        <v/>
      </c>
      <c r="M96" s="24">
        <f>IF($C96="","",INDEX(MATERIAL_FACTOR_APPLICABILITY!$H:$H,MATCH($C96,MATERIAL_FACTOR_APPLICABILITY!$A:$A,0)))</f>
        <v/>
      </c>
      <c r="N96" s="24">
        <f>IF($B96="","",ROUND(1+($I96*(SUMIFS(OBJECT_CONDITIONS!$W:$W,OBJECT_CONDITIONS!$A:$A,$B96)-1))+($J96*(SUMIFS(OBJECT_CONDITIONS!$J:$J,OBJECT_CONDITIONS!$A:$A,$B96)-1))+($K96*(SUMIFS(OBJECT_CONDITIONS!$L:$L,OBJECT_CONDITIONS!$A:$A,$B96)-1))+($L96*(SUMIFS(OBJECT_CONDITIONS!$N:$N,OBJECT_CONDITIONS!$A:$A,$B96)-1))+($M96*(SUMIFS(OBJECT_CONDITIONS!$R:$R,OBJECT_CONDITIONS!$A:$A,$B96)-1)),3))</f>
        <v/>
      </c>
      <c r="O96" s="24" t="n"/>
      <c r="P96" s="24">
        <f>IF(OR($H96="",$N96=""),"",ROUND($H96*$N96*IF($O96="",1,$O96),3))</f>
        <v/>
      </c>
      <c r="Q96" s="24">
        <f>IF(OR($E96="",$P96=""),"",ROUND($E96*$P96,3))</f>
        <v/>
      </c>
      <c r="R96" s="5">
        <f>IF($D96="","",IFERROR(INDEX(MATERIAL_VARIANTS!$O:$O,MATCH($D96,MATERIAL_VARIANTS!$A:$A,0)),""))</f>
        <v/>
      </c>
      <c r="S96" s="24">
        <f>IF($D96="","",IFERROR(INDEX(MATERIAL_VARIANTS!$P:$P,MATCH($D96,MATERIAL_VARIANTS!$A:$A,0)),""))</f>
        <v/>
      </c>
      <c r="T96" s="5">
        <f>IF(OR($Q96="",$S96="",$S96=0),"",ROUNDUP($Q96/$S96,0))</f>
        <v/>
      </c>
      <c r="U96" s="5" t="n"/>
    </row>
    <row r="97">
      <c r="A97" s="5" t="n"/>
      <c r="B97" s="5" t="n"/>
      <c r="C97" s="5" t="n"/>
      <c r="D97" s="5" t="n"/>
      <c r="E97" s="5" t="n"/>
      <c r="F97" s="5" t="n"/>
      <c r="G97" s="5">
        <f>IF($C97="","",INDEX(MATERIAL_MASTER!$O:$O,MATCH($C97,MATERIAL_MASTER!$A:$A,0)))</f>
        <v/>
      </c>
      <c r="H97" s="24">
        <f>IF($C97="","",INDEX(MATERIAL_MASTER!$P:$P,MATCH($C97,MATERIAL_MASTER!$A:$A,0)))</f>
        <v/>
      </c>
      <c r="I97" s="24">
        <f>IF($C97="","",INDEX(MATERIAL_FACTOR_APPLICABILITY!$D:$D,MATCH($C97,MATERIAL_FACTOR_APPLICABILITY!$A:$A,0)))</f>
        <v/>
      </c>
      <c r="J97" s="24">
        <f>IF($C97="","",INDEX(MATERIAL_FACTOR_APPLICABILITY!$E:$E,MATCH($C97,MATERIAL_FACTOR_APPLICABILITY!$A:$A,0)))</f>
        <v/>
      </c>
      <c r="K97" s="24">
        <f>IF($C97="","",INDEX(MATERIAL_FACTOR_APPLICABILITY!$F:$F,MATCH($C97,MATERIAL_FACTOR_APPLICABILITY!$A:$A,0)))</f>
        <v/>
      </c>
      <c r="L97" s="24">
        <f>IF($C97="","",INDEX(MATERIAL_FACTOR_APPLICABILITY!$G:$G,MATCH($C97,MATERIAL_FACTOR_APPLICABILITY!$A:$A,0)))</f>
        <v/>
      </c>
      <c r="M97" s="24">
        <f>IF($C97="","",INDEX(MATERIAL_FACTOR_APPLICABILITY!$H:$H,MATCH($C97,MATERIAL_FACTOR_APPLICABILITY!$A:$A,0)))</f>
        <v/>
      </c>
      <c r="N97" s="24">
        <f>IF($B97="","",ROUND(1+($I97*(SUMIFS(OBJECT_CONDITIONS!$W:$W,OBJECT_CONDITIONS!$A:$A,$B97)-1))+($J97*(SUMIFS(OBJECT_CONDITIONS!$J:$J,OBJECT_CONDITIONS!$A:$A,$B97)-1))+($K97*(SUMIFS(OBJECT_CONDITIONS!$L:$L,OBJECT_CONDITIONS!$A:$A,$B97)-1))+($L97*(SUMIFS(OBJECT_CONDITIONS!$N:$N,OBJECT_CONDITIONS!$A:$A,$B97)-1))+($M97*(SUMIFS(OBJECT_CONDITIONS!$R:$R,OBJECT_CONDITIONS!$A:$A,$B97)-1)),3))</f>
        <v/>
      </c>
      <c r="O97" s="24" t="n"/>
      <c r="P97" s="24">
        <f>IF(OR($H97="",$N97=""),"",ROUND($H97*$N97*IF($O97="",1,$O97),3))</f>
        <v/>
      </c>
      <c r="Q97" s="24">
        <f>IF(OR($E97="",$P97=""),"",ROUND($E97*$P97,3))</f>
        <v/>
      </c>
      <c r="R97" s="5">
        <f>IF($D97="","",IFERROR(INDEX(MATERIAL_VARIANTS!$O:$O,MATCH($D97,MATERIAL_VARIANTS!$A:$A,0)),""))</f>
        <v/>
      </c>
      <c r="S97" s="24">
        <f>IF($D97="","",IFERROR(INDEX(MATERIAL_VARIANTS!$P:$P,MATCH($D97,MATERIAL_VARIANTS!$A:$A,0)),""))</f>
        <v/>
      </c>
      <c r="T97" s="5">
        <f>IF(OR($Q97="",$S97="",$S97=0),"",ROUNDUP($Q97/$S97,0))</f>
        <v/>
      </c>
      <c r="U97" s="5" t="n"/>
    </row>
    <row r="98">
      <c r="A98" s="5" t="n"/>
      <c r="B98" s="5" t="n"/>
      <c r="C98" s="5" t="n"/>
      <c r="D98" s="5" t="n"/>
      <c r="E98" s="5" t="n"/>
      <c r="F98" s="5" t="n"/>
      <c r="G98" s="5">
        <f>IF($C98="","",INDEX(MATERIAL_MASTER!$O:$O,MATCH($C98,MATERIAL_MASTER!$A:$A,0)))</f>
        <v/>
      </c>
      <c r="H98" s="24">
        <f>IF($C98="","",INDEX(MATERIAL_MASTER!$P:$P,MATCH($C98,MATERIAL_MASTER!$A:$A,0)))</f>
        <v/>
      </c>
      <c r="I98" s="24">
        <f>IF($C98="","",INDEX(MATERIAL_FACTOR_APPLICABILITY!$D:$D,MATCH($C98,MATERIAL_FACTOR_APPLICABILITY!$A:$A,0)))</f>
        <v/>
      </c>
      <c r="J98" s="24">
        <f>IF($C98="","",INDEX(MATERIAL_FACTOR_APPLICABILITY!$E:$E,MATCH($C98,MATERIAL_FACTOR_APPLICABILITY!$A:$A,0)))</f>
        <v/>
      </c>
      <c r="K98" s="24">
        <f>IF($C98="","",INDEX(MATERIAL_FACTOR_APPLICABILITY!$F:$F,MATCH($C98,MATERIAL_FACTOR_APPLICABILITY!$A:$A,0)))</f>
        <v/>
      </c>
      <c r="L98" s="24">
        <f>IF($C98="","",INDEX(MATERIAL_FACTOR_APPLICABILITY!$G:$G,MATCH($C98,MATERIAL_FACTOR_APPLICABILITY!$A:$A,0)))</f>
        <v/>
      </c>
      <c r="M98" s="24">
        <f>IF($C98="","",INDEX(MATERIAL_FACTOR_APPLICABILITY!$H:$H,MATCH($C98,MATERIAL_FACTOR_APPLICABILITY!$A:$A,0)))</f>
        <v/>
      </c>
      <c r="N98" s="24">
        <f>IF($B98="","",ROUND(1+($I98*(SUMIFS(OBJECT_CONDITIONS!$W:$W,OBJECT_CONDITIONS!$A:$A,$B98)-1))+($J98*(SUMIFS(OBJECT_CONDITIONS!$J:$J,OBJECT_CONDITIONS!$A:$A,$B98)-1))+($K98*(SUMIFS(OBJECT_CONDITIONS!$L:$L,OBJECT_CONDITIONS!$A:$A,$B98)-1))+($L98*(SUMIFS(OBJECT_CONDITIONS!$N:$N,OBJECT_CONDITIONS!$A:$A,$B98)-1))+($M98*(SUMIFS(OBJECT_CONDITIONS!$R:$R,OBJECT_CONDITIONS!$A:$A,$B98)-1)),3))</f>
        <v/>
      </c>
      <c r="O98" s="24" t="n"/>
      <c r="P98" s="24">
        <f>IF(OR($H98="",$N98=""),"",ROUND($H98*$N98*IF($O98="",1,$O98),3))</f>
        <v/>
      </c>
      <c r="Q98" s="24">
        <f>IF(OR($E98="",$P98=""),"",ROUND($E98*$P98,3))</f>
        <v/>
      </c>
      <c r="R98" s="5">
        <f>IF($D98="","",IFERROR(INDEX(MATERIAL_VARIANTS!$O:$O,MATCH($D98,MATERIAL_VARIANTS!$A:$A,0)),""))</f>
        <v/>
      </c>
      <c r="S98" s="24">
        <f>IF($D98="","",IFERROR(INDEX(MATERIAL_VARIANTS!$P:$P,MATCH($D98,MATERIAL_VARIANTS!$A:$A,0)),""))</f>
        <v/>
      </c>
      <c r="T98" s="5">
        <f>IF(OR($Q98="",$S98="",$S98=0),"",ROUNDUP($Q98/$S98,0))</f>
        <v/>
      </c>
      <c r="U98" s="5" t="n"/>
    </row>
    <row r="99">
      <c r="A99" s="5" t="n"/>
      <c r="B99" s="5" t="n"/>
      <c r="C99" s="5" t="n"/>
      <c r="D99" s="5" t="n"/>
      <c r="E99" s="5" t="n"/>
      <c r="F99" s="5" t="n"/>
      <c r="G99" s="5">
        <f>IF($C99="","",INDEX(MATERIAL_MASTER!$O:$O,MATCH($C99,MATERIAL_MASTER!$A:$A,0)))</f>
        <v/>
      </c>
      <c r="H99" s="24">
        <f>IF($C99="","",INDEX(MATERIAL_MASTER!$P:$P,MATCH($C99,MATERIAL_MASTER!$A:$A,0)))</f>
        <v/>
      </c>
      <c r="I99" s="24">
        <f>IF($C99="","",INDEX(MATERIAL_FACTOR_APPLICABILITY!$D:$D,MATCH($C99,MATERIAL_FACTOR_APPLICABILITY!$A:$A,0)))</f>
        <v/>
      </c>
      <c r="J99" s="24">
        <f>IF($C99="","",INDEX(MATERIAL_FACTOR_APPLICABILITY!$E:$E,MATCH($C99,MATERIAL_FACTOR_APPLICABILITY!$A:$A,0)))</f>
        <v/>
      </c>
      <c r="K99" s="24">
        <f>IF($C99="","",INDEX(MATERIAL_FACTOR_APPLICABILITY!$F:$F,MATCH($C99,MATERIAL_FACTOR_APPLICABILITY!$A:$A,0)))</f>
        <v/>
      </c>
      <c r="L99" s="24">
        <f>IF($C99="","",INDEX(MATERIAL_FACTOR_APPLICABILITY!$G:$G,MATCH($C99,MATERIAL_FACTOR_APPLICABILITY!$A:$A,0)))</f>
        <v/>
      </c>
      <c r="M99" s="24">
        <f>IF($C99="","",INDEX(MATERIAL_FACTOR_APPLICABILITY!$H:$H,MATCH($C99,MATERIAL_FACTOR_APPLICABILITY!$A:$A,0)))</f>
        <v/>
      </c>
      <c r="N99" s="24">
        <f>IF($B99="","",ROUND(1+($I99*(SUMIFS(OBJECT_CONDITIONS!$W:$W,OBJECT_CONDITIONS!$A:$A,$B99)-1))+($J99*(SUMIFS(OBJECT_CONDITIONS!$J:$J,OBJECT_CONDITIONS!$A:$A,$B99)-1))+($K99*(SUMIFS(OBJECT_CONDITIONS!$L:$L,OBJECT_CONDITIONS!$A:$A,$B99)-1))+($L99*(SUMIFS(OBJECT_CONDITIONS!$N:$N,OBJECT_CONDITIONS!$A:$A,$B99)-1))+($M99*(SUMIFS(OBJECT_CONDITIONS!$R:$R,OBJECT_CONDITIONS!$A:$A,$B99)-1)),3))</f>
        <v/>
      </c>
      <c r="O99" s="24" t="n"/>
      <c r="P99" s="24">
        <f>IF(OR($H99="",$N99=""),"",ROUND($H99*$N99*IF($O99="",1,$O99),3))</f>
        <v/>
      </c>
      <c r="Q99" s="24">
        <f>IF(OR($E99="",$P99=""),"",ROUND($E99*$P99,3))</f>
        <v/>
      </c>
      <c r="R99" s="5">
        <f>IF($D99="","",IFERROR(INDEX(MATERIAL_VARIANTS!$O:$O,MATCH($D99,MATERIAL_VARIANTS!$A:$A,0)),""))</f>
        <v/>
      </c>
      <c r="S99" s="24">
        <f>IF($D99="","",IFERROR(INDEX(MATERIAL_VARIANTS!$P:$P,MATCH($D99,MATERIAL_VARIANTS!$A:$A,0)),""))</f>
        <v/>
      </c>
      <c r="T99" s="5">
        <f>IF(OR($Q99="",$S99="",$S99=0),"",ROUNDUP($Q99/$S99,0))</f>
        <v/>
      </c>
      <c r="U99" s="5" t="n"/>
    </row>
    <row r="100">
      <c r="A100" s="5" t="n"/>
      <c r="B100" s="5" t="n"/>
      <c r="C100" s="5" t="n"/>
      <c r="D100" s="5" t="n"/>
      <c r="E100" s="5" t="n"/>
      <c r="F100" s="5" t="n"/>
      <c r="G100" s="5">
        <f>IF($C100="","",INDEX(MATERIAL_MASTER!$O:$O,MATCH($C100,MATERIAL_MASTER!$A:$A,0)))</f>
        <v/>
      </c>
      <c r="H100" s="24">
        <f>IF($C100="","",INDEX(MATERIAL_MASTER!$P:$P,MATCH($C100,MATERIAL_MASTER!$A:$A,0)))</f>
        <v/>
      </c>
      <c r="I100" s="24">
        <f>IF($C100="","",INDEX(MATERIAL_FACTOR_APPLICABILITY!$D:$D,MATCH($C100,MATERIAL_FACTOR_APPLICABILITY!$A:$A,0)))</f>
        <v/>
      </c>
      <c r="J100" s="24">
        <f>IF($C100="","",INDEX(MATERIAL_FACTOR_APPLICABILITY!$E:$E,MATCH($C100,MATERIAL_FACTOR_APPLICABILITY!$A:$A,0)))</f>
        <v/>
      </c>
      <c r="K100" s="24">
        <f>IF($C100="","",INDEX(MATERIAL_FACTOR_APPLICABILITY!$F:$F,MATCH($C100,MATERIAL_FACTOR_APPLICABILITY!$A:$A,0)))</f>
        <v/>
      </c>
      <c r="L100" s="24">
        <f>IF($C100="","",INDEX(MATERIAL_FACTOR_APPLICABILITY!$G:$G,MATCH($C100,MATERIAL_FACTOR_APPLICABILITY!$A:$A,0)))</f>
        <v/>
      </c>
      <c r="M100" s="24">
        <f>IF($C100="","",INDEX(MATERIAL_FACTOR_APPLICABILITY!$H:$H,MATCH($C100,MATERIAL_FACTOR_APPLICABILITY!$A:$A,0)))</f>
        <v/>
      </c>
      <c r="N100" s="24">
        <f>IF($B100="","",ROUND(1+($I100*(SUMIFS(OBJECT_CONDITIONS!$W:$W,OBJECT_CONDITIONS!$A:$A,$B100)-1))+($J100*(SUMIFS(OBJECT_CONDITIONS!$J:$J,OBJECT_CONDITIONS!$A:$A,$B100)-1))+($K100*(SUMIFS(OBJECT_CONDITIONS!$L:$L,OBJECT_CONDITIONS!$A:$A,$B100)-1))+($L100*(SUMIFS(OBJECT_CONDITIONS!$N:$N,OBJECT_CONDITIONS!$A:$A,$B100)-1))+($M100*(SUMIFS(OBJECT_CONDITIONS!$R:$R,OBJECT_CONDITIONS!$A:$A,$B100)-1)),3))</f>
        <v/>
      </c>
      <c r="O100" s="24" t="n"/>
      <c r="P100" s="24">
        <f>IF(OR($H100="",$N100=""),"",ROUND($H100*$N100*IF($O100="",1,$O100),3))</f>
        <v/>
      </c>
      <c r="Q100" s="24">
        <f>IF(OR($E100="",$P100=""),"",ROUND($E100*$P100,3))</f>
        <v/>
      </c>
      <c r="R100" s="5">
        <f>IF($D100="","",IFERROR(INDEX(MATERIAL_VARIANTS!$O:$O,MATCH($D100,MATERIAL_VARIANTS!$A:$A,0)),""))</f>
        <v/>
      </c>
      <c r="S100" s="24">
        <f>IF($D100="","",IFERROR(INDEX(MATERIAL_VARIANTS!$P:$P,MATCH($D100,MATERIAL_VARIANTS!$A:$A,0)),""))</f>
        <v/>
      </c>
      <c r="T100" s="5">
        <f>IF(OR($Q100="",$S100="",$S100=0),"",ROUNDUP($Q100/$S100,0))</f>
        <v/>
      </c>
      <c r="U100" s="5" t="n"/>
    </row>
    <row r="101">
      <c r="A101" s="5" t="n"/>
      <c r="B101" s="5" t="n"/>
      <c r="C101" s="5" t="n"/>
      <c r="D101" s="5" t="n"/>
      <c r="E101" s="5" t="n"/>
      <c r="F101" s="5" t="n"/>
      <c r="G101" s="5">
        <f>IF($C101="","",INDEX(MATERIAL_MASTER!$O:$O,MATCH($C101,MATERIAL_MASTER!$A:$A,0)))</f>
        <v/>
      </c>
      <c r="H101" s="24">
        <f>IF($C101="","",INDEX(MATERIAL_MASTER!$P:$P,MATCH($C101,MATERIAL_MASTER!$A:$A,0)))</f>
        <v/>
      </c>
      <c r="I101" s="24">
        <f>IF($C101="","",INDEX(MATERIAL_FACTOR_APPLICABILITY!$D:$D,MATCH($C101,MATERIAL_FACTOR_APPLICABILITY!$A:$A,0)))</f>
        <v/>
      </c>
      <c r="J101" s="24">
        <f>IF($C101="","",INDEX(MATERIAL_FACTOR_APPLICABILITY!$E:$E,MATCH($C101,MATERIAL_FACTOR_APPLICABILITY!$A:$A,0)))</f>
        <v/>
      </c>
      <c r="K101" s="24">
        <f>IF($C101="","",INDEX(MATERIAL_FACTOR_APPLICABILITY!$F:$F,MATCH($C101,MATERIAL_FACTOR_APPLICABILITY!$A:$A,0)))</f>
        <v/>
      </c>
      <c r="L101" s="24">
        <f>IF($C101="","",INDEX(MATERIAL_FACTOR_APPLICABILITY!$G:$G,MATCH($C101,MATERIAL_FACTOR_APPLICABILITY!$A:$A,0)))</f>
        <v/>
      </c>
      <c r="M101" s="24">
        <f>IF($C101="","",INDEX(MATERIAL_FACTOR_APPLICABILITY!$H:$H,MATCH($C101,MATERIAL_FACTOR_APPLICABILITY!$A:$A,0)))</f>
        <v/>
      </c>
      <c r="N101" s="24">
        <f>IF($B101="","",ROUND(1+($I101*(SUMIFS(OBJECT_CONDITIONS!$W:$W,OBJECT_CONDITIONS!$A:$A,$B101)-1))+($J101*(SUMIFS(OBJECT_CONDITIONS!$J:$J,OBJECT_CONDITIONS!$A:$A,$B101)-1))+($K101*(SUMIFS(OBJECT_CONDITIONS!$L:$L,OBJECT_CONDITIONS!$A:$A,$B101)-1))+($L101*(SUMIFS(OBJECT_CONDITIONS!$N:$N,OBJECT_CONDITIONS!$A:$A,$B101)-1))+($M101*(SUMIFS(OBJECT_CONDITIONS!$R:$R,OBJECT_CONDITIONS!$A:$A,$B101)-1)),3))</f>
        <v/>
      </c>
      <c r="O101" s="24" t="n"/>
      <c r="P101" s="24">
        <f>IF(OR($H101="",$N101=""),"",ROUND($H101*$N101*IF($O101="",1,$O101),3))</f>
        <v/>
      </c>
      <c r="Q101" s="24">
        <f>IF(OR($E101="",$P101=""),"",ROUND($E101*$P101,3))</f>
        <v/>
      </c>
      <c r="R101" s="5">
        <f>IF($D101="","",IFERROR(INDEX(MATERIAL_VARIANTS!$O:$O,MATCH($D101,MATERIAL_VARIANTS!$A:$A,0)),""))</f>
        <v/>
      </c>
      <c r="S101" s="24">
        <f>IF($D101="","",IFERROR(INDEX(MATERIAL_VARIANTS!$P:$P,MATCH($D101,MATERIAL_VARIANTS!$A:$A,0)),""))</f>
        <v/>
      </c>
      <c r="T101" s="5">
        <f>IF(OR($Q101="",$S101="",$S101=0),"",ROUNDUP($Q101/$S101,0))</f>
        <v/>
      </c>
      <c r="U101" s="5" t="n"/>
    </row>
    <row r="102">
      <c r="A102" s="5" t="n"/>
      <c r="B102" s="5" t="n"/>
      <c r="C102" s="5" t="n"/>
      <c r="D102" s="5" t="n"/>
      <c r="E102" s="5" t="n"/>
      <c r="F102" s="5" t="n"/>
      <c r="G102" s="5">
        <f>IF($C102="","",INDEX(MATERIAL_MASTER!$O:$O,MATCH($C102,MATERIAL_MASTER!$A:$A,0)))</f>
        <v/>
      </c>
      <c r="H102" s="24">
        <f>IF($C102="","",INDEX(MATERIAL_MASTER!$P:$P,MATCH($C102,MATERIAL_MASTER!$A:$A,0)))</f>
        <v/>
      </c>
      <c r="I102" s="24">
        <f>IF($C102="","",INDEX(MATERIAL_FACTOR_APPLICABILITY!$D:$D,MATCH($C102,MATERIAL_FACTOR_APPLICABILITY!$A:$A,0)))</f>
        <v/>
      </c>
      <c r="J102" s="24">
        <f>IF($C102="","",INDEX(MATERIAL_FACTOR_APPLICABILITY!$E:$E,MATCH($C102,MATERIAL_FACTOR_APPLICABILITY!$A:$A,0)))</f>
        <v/>
      </c>
      <c r="K102" s="24">
        <f>IF($C102="","",INDEX(MATERIAL_FACTOR_APPLICABILITY!$F:$F,MATCH($C102,MATERIAL_FACTOR_APPLICABILITY!$A:$A,0)))</f>
        <v/>
      </c>
      <c r="L102" s="24">
        <f>IF($C102="","",INDEX(MATERIAL_FACTOR_APPLICABILITY!$G:$G,MATCH($C102,MATERIAL_FACTOR_APPLICABILITY!$A:$A,0)))</f>
        <v/>
      </c>
      <c r="M102" s="24">
        <f>IF($C102="","",INDEX(MATERIAL_FACTOR_APPLICABILITY!$H:$H,MATCH($C102,MATERIAL_FACTOR_APPLICABILITY!$A:$A,0)))</f>
        <v/>
      </c>
      <c r="N102" s="24">
        <f>IF($B102="","",ROUND(1+($I102*(SUMIFS(OBJECT_CONDITIONS!$W:$W,OBJECT_CONDITIONS!$A:$A,$B102)-1))+($J102*(SUMIFS(OBJECT_CONDITIONS!$J:$J,OBJECT_CONDITIONS!$A:$A,$B102)-1))+($K102*(SUMIFS(OBJECT_CONDITIONS!$L:$L,OBJECT_CONDITIONS!$A:$A,$B102)-1))+($L102*(SUMIFS(OBJECT_CONDITIONS!$N:$N,OBJECT_CONDITIONS!$A:$A,$B102)-1))+($M102*(SUMIFS(OBJECT_CONDITIONS!$R:$R,OBJECT_CONDITIONS!$A:$A,$B102)-1)),3))</f>
        <v/>
      </c>
      <c r="O102" s="24" t="n"/>
      <c r="P102" s="24">
        <f>IF(OR($H102="",$N102=""),"",ROUND($H102*$N102*IF($O102="",1,$O102),3))</f>
        <v/>
      </c>
      <c r="Q102" s="24">
        <f>IF(OR($E102="",$P102=""),"",ROUND($E102*$P102,3))</f>
        <v/>
      </c>
      <c r="R102" s="5">
        <f>IF($D102="","",IFERROR(INDEX(MATERIAL_VARIANTS!$O:$O,MATCH($D102,MATERIAL_VARIANTS!$A:$A,0)),""))</f>
        <v/>
      </c>
      <c r="S102" s="24">
        <f>IF($D102="","",IFERROR(INDEX(MATERIAL_VARIANTS!$P:$P,MATCH($D102,MATERIAL_VARIANTS!$A:$A,0)),""))</f>
        <v/>
      </c>
      <c r="T102" s="5">
        <f>IF(OR($Q102="",$S102="",$S102=0),"",ROUNDUP($Q102/$S102,0))</f>
        <v/>
      </c>
      <c r="U102" s="5" t="n"/>
    </row>
    <row r="103">
      <c r="A103" s="5" t="n"/>
      <c r="B103" s="5" t="n"/>
      <c r="C103" s="5" t="n"/>
      <c r="D103" s="5" t="n"/>
      <c r="E103" s="5" t="n"/>
      <c r="F103" s="5" t="n"/>
      <c r="G103" s="5">
        <f>IF($C103="","",INDEX(MATERIAL_MASTER!$O:$O,MATCH($C103,MATERIAL_MASTER!$A:$A,0)))</f>
        <v/>
      </c>
      <c r="H103" s="24">
        <f>IF($C103="","",INDEX(MATERIAL_MASTER!$P:$P,MATCH($C103,MATERIAL_MASTER!$A:$A,0)))</f>
        <v/>
      </c>
      <c r="I103" s="24">
        <f>IF($C103="","",INDEX(MATERIAL_FACTOR_APPLICABILITY!$D:$D,MATCH($C103,MATERIAL_FACTOR_APPLICABILITY!$A:$A,0)))</f>
        <v/>
      </c>
      <c r="J103" s="24">
        <f>IF($C103="","",INDEX(MATERIAL_FACTOR_APPLICABILITY!$E:$E,MATCH($C103,MATERIAL_FACTOR_APPLICABILITY!$A:$A,0)))</f>
        <v/>
      </c>
      <c r="K103" s="24">
        <f>IF($C103="","",INDEX(MATERIAL_FACTOR_APPLICABILITY!$F:$F,MATCH($C103,MATERIAL_FACTOR_APPLICABILITY!$A:$A,0)))</f>
        <v/>
      </c>
      <c r="L103" s="24">
        <f>IF($C103="","",INDEX(MATERIAL_FACTOR_APPLICABILITY!$G:$G,MATCH($C103,MATERIAL_FACTOR_APPLICABILITY!$A:$A,0)))</f>
        <v/>
      </c>
      <c r="M103" s="24">
        <f>IF($C103="","",INDEX(MATERIAL_FACTOR_APPLICABILITY!$H:$H,MATCH($C103,MATERIAL_FACTOR_APPLICABILITY!$A:$A,0)))</f>
        <v/>
      </c>
      <c r="N103" s="24">
        <f>IF($B103="","",ROUND(1+($I103*(SUMIFS(OBJECT_CONDITIONS!$W:$W,OBJECT_CONDITIONS!$A:$A,$B103)-1))+($J103*(SUMIFS(OBJECT_CONDITIONS!$J:$J,OBJECT_CONDITIONS!$A:$A,$B103)-1))+($K103*(SUMIFS(OBJECT_CONDITIONS!$L:$L,OBJECT_CONDITIONS!$A:$A,$B103)-1))+($L103*(SUMIFS(OBJECT_CONDITIONS!$N:$N,OBJECT_CONDITIONS!$A:$A,$B103)-1))+($M103*(SUMIFS(OBJECT_CONDITIONS!$R:$R,OBJECT_CONDITIONS!$A:$A,$B103)-1)),3))</f>
        <v/>
      </c>
      <c r="O103" s="24" t="n"/>
      <c r="P103" s="24">
        <f>IF(OR($H103="",$N103=""),"",ROUND($H103*$N103*IF($O103="",1,$O103),3))</f>
        <v/>
      </c>
      <c r="Q103" s="24">
        <f>IF(OR($E103="",$P103=""),"",ROUND($E103*$P103,3))</f>
        <v/>
      </c>
      <c r="R103" s="5">
        <f>IF($D103="","",IFERROR(INDEX(MATERIAL_VARIANTS!$O:$O,MATCH($D103,MATERIAL_VARIANTS!$A:$A,0)),""))</f>
        <v/>
      </c>
      <c r="S103" s="24">
        <f>IF($D103="","",IFERROR(INDEX(MATERIAL_VARIANTS!$P:$P,MATCH($D103,MATERIAL_VARIANTS!$A:$A,0)),""))</f>
        <v/>
      </c>
      <c r="T103" s="5">
        <f>IF(OR($Q103="",$S103="",$S103=0),"",ROUNDUP($Q103/$S103,0))</f>
        <v/>
      </c>
      <c r="U103" s="5" t="n"/>
    </row>
    <row r="104">
      <c r="A104" s="5" t="n"/>
      <c r="B104" s="5" t="n"/>
      <c r="C104" s="5" t="n"/>
      <c r="D104" s="5" t="n"/>
      <c r="E104" s="5" t="n"/>
      <c r="F104" s="5" t="n"/>
      <c r="G104" s="5">
        <f>IF($C104="","",INDEX(MATERIAL_MASTER!$O:$O,MATCH($C104,MATERIAL_MASTER!$A:$A,0)))</f>
        <v/>
      </c>
      <c r="H104" s="24">
        <f>IF($C104="","",INDEX(MATERIAL_MASTER!$P:$P,MATCH($C104,MATERIAL_MASTER!$A:$A,0)))</f>
        <v/>
      </c>
      <c r="I104" s="24">
        <f>IF($C104="","",INDEX(MATERIAL_FACTOR_APPLICABILITY!$D:$D,MATCH($C104,MATERIAL_FACTOR_APPLICABILITY!$A:$A,0)))</f>
        <v/>
      </c>
      <c r="J104" s="24">
        <f>IF($C104="","",INDEX(MATERIAL_FACTOR_APPLICABILITY!$E:$E,MATCH($C104,MATERIAL_FACTOR_APPLICABILITY!$A:$A,0)))</f>
        <v/>
      </c>
      <c r="K104" s="24">
        <f>IF($C104="","",INDEX(MATERIAL_FACTOR_APPLICABILITY!$F:$F,MATCH($C104,MATERIAL_FACTOR_APPLICABILITY!$A:$A,0)))</f>
        <v/>
      </c>
      <c r="L104" s="24">
        <f>IF($C104="","",INDEX(MATERIAL_FACTOR_APPLICABILITY!$G:$G,MATCH($C104,MATERIAL_FACTOR_APPLICABILITY!$A:$A,0)))</f>
        <v/>
      </c>
      <c r="M104" s="24">
        <f>IF($C104="","",INDEX(MATERIAL_FACTOR_APPLICABILITY!$H:$H,MATCH($C104,MATERIAL_FACTOR_APPLICABILITY!$A:$A,0)))</f>
        <v/>
      </c>
      <c r="N104" s="24">
        <f>IF($B104="","",ROUND(1+($I104*(SUMIFS(OBJECT_CONDITIONS!$W:$W,OBJECT_CONDITIONS!$A:$A,$B104)-1))+($J104*(SUMIFS(OBJECT_CONDITIONS!$J:$J,OBJECT_CONDITIONS!$A:$A,$B104)-1))+($K104*(SUMIFS(OBJECT_CONDITIONS!$L:$L,OBJECT_CONDITIONS!$A:$A,$B104)-1))+($L104*(SUMIFS(OBJECT_CONDITIONS!$N:$N,OBJECT_CONDITIONS!$A:$A,$B104)-1))+($M104*(SUMIFS(OBJECT_CONDITIONS!$R:$R,OBJECT_CONDITIONS!$A:$A,$B104)-1)),3))</f>
        <v/>
      </c>
      <c r="O104" s="24" t="n"/>
      <c r="P104" s="24">
        <f>IF(OR($H104="",$N104=""),"",ROUND($H104*$N104*IF($O104="",1,$O104),3))</f>
        <v/>
      </c>
      <c r="Q104" s="24">
        <f>IF(OR($E104="",$P104=""),"",ROUND($E104*$P104,3))</f>
        <v/>
      </c>
      <c r="R104" s="5">
        <f>IF($D104="","",IFERROR(INDEX(MATERIAL_VARIANTS!$O:$O,MATCH($D104,MATERIAL_VARIANTS!$A:$A,0)),""))</f>
        <v/>
      </c>
      <c r="S104" s="24">
        <f>IF($D104="","",IFERROR(INDEX(MATERIAL_VARIANTS!$P:$P,MATCH($D104,MATERIAL_VARIANTS!$A:$A,0)),""))</f>
        <v/>
      </c>
      <c r="T104" s="5">
        <f>IF(OR($Q104="",$S104="",$S104=0),"",ROUNDUP($Q104/$S104,0))</f>
        <v/>
      </c>
      <c r="U104" s="5" t="n"/>
    </row>
    <row r="105">
      <c r="A105" s="5" t="n"/>
      <c r="B105" s="5" t="n"/>
      <c r="C105" s="5" t="n"/>
      <c r="D105" s="5" t="n"/>
      <c r="E105" s="5" t="n"/>
      <c r="F105" s="5" t="n"/>
      <c r="G105" s="5">
        <f>IF($C105="","",INDEX(MATERIAL_MASTER!$O:$O,MATCH($C105,MATERIAL_MASTER!$A:$A,0)))</f>
        <v/>
      </c>
      <c r="H105" s="24">
        <f>IF($C105="","",INDEX(MATERIAL_MASTER!$P:$P,MATCH($C105,MATERIAL_MASTER!$A:$A,0)))</f>
        <v/>
      </c>
      <c r="I105" s="24">
        <f>IF($C105="","",INDEX(MATERIAL_FACTOR_APPLICABILITY!$D:$D,MATCH($C105,MATERIAL_FACTOR_APPLICABILITY!$A:$A,0)))</f>
        <v/>
      </c>
      <c r="J105" s="24">
        <f>IF($C105="","",INDEX(MATERIAL_FACTOR_APPLICABILITY!$E:$E,MATCH($C105,MATERIAL_FACTOR_APPLICABILITY!$A:$A,0)))</f>
        <v/>
      </c>
      <c r="K105" s="24">
        <f>IF($C105="","",INDEX(MATERIAL_FACTOR_APPLICABILITY!$F:$F,MATCH($C105,MATERIAL_FACTOR_APPLICABILITY!$A:$A,0)))</f>
        <v/>
      </c>
      <c r="L105" s="24">
        <f>IF($C105="","",INDEX(MATERIAL_FACTOR_APPLICABILITY!$G:$G,MATCH($C105,MATERIAL_FACTOR_APPLICABILITY!$A:$A,0)))</f>
        <v/>
      </c>
      <c r="M105" s="24">
        <f>IF($C105="","",INDEX(MATERIAL_FACTOR_APPLICABILITY!$H:$H,MATCH($C105,MATERIAL_FACTOR_APPLICABILITY!$A:$A,0)))</f>
        <v/>
      </c>
      <c r="N105" s="24">
        <f>IF($B105="","",ROUND(1+($I105*(SUMIFS(OBJECT_CONDITIONS!$W:$W,OBJECT_CONDITIONS!$A:$A,$B105)-1))+($J105*(SUMIFS(OBJECT_CONDITIONS!$J:$J,OBJECT_CONDITIONS!$A:$A,$B105)-1))+($K105*(SUMIFS(OBJECT_CONDITIONS!$L:$L,OBJECT_CONDITIONS!$A:$A,$B105)-1))+($L105*(SUMIFS(OBJECT_CONDITIONS!$N:$N,OBJECT_CONDITIONS!$A:$A,$B105)-1))+($M105*(SUMIFS(OBJECT_CONDITIONS!$R:$R,OBJECT_CONDITIONS!$A:$A,$B105)-1)),3))</f>
        <v/>
      </c>
      <c r="O105" s="24" t="n"/>
      <c r="P105" s="24">
        <f>IF(OR($H105="",$N105=""),"",ROUND($H105*$N105*IF($O105="",1,$O105),3))</f>
        <v/>
      </c>
      <c r="Q105" s="24">
        <f>IF(OR($E105="",$P105=""),"",ROUND($E105*$P105,3))</f>
        <v/>
      </c>
      <c r="R105" s="5">
        <f>IF($D105="","",IFERROR(INDEX(MATERIAL_VARIANTS!$O:$O,MATCH($D105,MATERIAL_VARIANTS!$A:$A,0)),""))</f>
        <v/>
      </c>
      <c r="S105" s="24">
        <f>IF($D105="","",IFERROR(INDEX(MATERIAL_VARIANTS!$P:$P,MATCH($D105,MATERIAL_VARIANTS!$A:$A,0)),""))</f>
        <v/>
      </c>
      <c r="T105" s="5">
        <f>IF(OR($Q105="",$S105="",$S105=0),"",ROUNDUP($Q105/$S105,0))</f>
        <v/>
      </c>
      <c r="U105" s="5" t="n"/>
    </row>
    <row r="106">
      <c r="A106" s="5" t="n"/>
      <c r="B106" s="5" t="n"/>
      <c r="C106" s="5" t="n"/>
      <c r="D106" s="5" t="n"/>
      <c r="E106" s="5" t="n"/>
      <c r="F106" s="5" t="n"/>
      <c r="G106" s="5">
        <f>IF($C106="","",INDEX(MATERIAL_MASTER!$O:$O,MATCH($C106,MATERIAL_MASTER!$A:$A,0)))</f>
        <v/>
      </c>
      <c r="H106" s="24">
        <f>IF($C106="","",INDEX(MATERIAL_MASTER!$P:$P,MATCH($C106,MATERIAL_MASTER!$A:$A,0)))</f>
        <v/>
      </c>
      <c r="I106" s="24">
        <f>IF($C106="","",INDEX(MATERIAL_FACTOR_APPLICABILITY!$D:$D,MATCH($C106,MATERIAL_FACTOR_APPLICABILITY!$A:$A,0)))</f>
        <v/>
      </c>
      <c r="J106" s="24">
        <f>IF($C106="","",INDEX(MATERIAL_FACTOR_APPLICABILITY!$E:$E,MATCH($C106,MATERIAL_FACTOR_APPLICABILITY!$A:$A,0)))</f>
        <v/>
      </c>
      <c r="K106" s="24">
        <f>IF($C106="","",INDEX(MATERIAL_FACTOR_APPLICABILITY!$F:$F,MATCH($C106,MATERIAL_FACTOR_APPLICABILITY!$A:$A,0)))</f>
        <v/>
      </c>
      <c r="L106" s="24">
        <f>IF($C106="","",INDEX(MATERIAL_FACTOR_APPLICABILITY!$G:$G,MATCH($C106,MATERIAL_FACTOR_APPLICABILITY!$A:$A,0)))</f>
        <v/>
      </c>
      <c r="M106" s="24">
        <f>IF($C106="","",INDEX(MATERIAL_FACTOR_APPLICABILITY!$H:$H,MATCH($C106,MATERIAL_FACTOR_APPLICABILITY!$A:$A,0)))</f>
        <v/>
      </c>
      <c r="N106" s="24">
        <f>IF($B106="","",ROUND(1+($I106*(SUMIFS(OBJECT_CONDITIONS!$W:$W,OBJECT_CONDITIONS!$A:$A,$B106)-1))+($J106*(SUMIFS(OBJECT_CONDITIONS!$J:$J,OBJECT_CONDITIONS!$A:$A,$B106)-1))+($K106*(SUMIFS(OBJECT_CONDITIONS!$L:$L,OBJECT_CONDITIONS!$A:$A,$B106)-1))+($L106*(SUMIFS(OBJECT_CONDITIONS!$N:$N,OBJECT_CONDITIONS!$A:$A,$B106)-1))+($M106*(SUMIFS(OBJECT_CONDITIONS!$R:$R,OBJECT_CONDITIONS!$A:$A,$B106)-1)),3))</f>
        <v/>
      </c>
      <c r="O106" s="24" t="n"/>
      <c r="P106" s="24">
        <f>IF(OR($H106="",$N106=""),"",ROUND($H106*$N106*IF($O106="",1,$O106),3))</f>
        <v/>
      </c>
      <c r="Q106" s="24">
        <f>IF(OR($E106="",$P106=""),"",ROUND($E106*$P106,3))</f>
        <v/>
      </c>
      <c r="R106" s="5">
        <f>IF($D106="","",IFERROR(INDEX(MATERIAL_VARIANTS!$O:$O,MATCH($D106,MATERIAL_VARIANTS!$A:$A,0)),""))</f>
        <v/>
      </c>
      <c r="S106" s="24">
        <f>IF($D106="","",IFERROR(INDEX(MATERIAL_VARIANTS!$P:$P,MATCH($D106,MATERIAL_VARIANTS!$A:$A,0)),""))</f>
        <v/>
      </c>
      <c r="T106" s="5">
        <f>IF(OR($Q106="",$S106="",$S106=0),"",ROUNDUP($Q106/$S106,0))</f>
        <v/>
      </c>
      <c r="U106" s="5" t="n"/>
    </row>
    <row r="107">
      <c r="A107" s="5" t="n"/>
      <c r="B107" s="5" t="n"/>
      <c r="C107" s="5" t="n"/>
      <c r="D107" s="5" t="n"/>
      <c r="E107" s="5" t="n"/>
      <c r="F107" s="5" t="n"/>
      <c r="G107" s="5">
        <f>IF($C107="","",INDEX(MATERIAL_MASTER!$O:$O,MATCH($C107,MATERIAL_MASTER!$A:$A,0)))</f>
        <v/>
      </c>
      <c r="H107" s="24">
        <f>IF($C107="","",INDEX(MATERIAL_MASTER!$P:$P,MATCH($C107,MATERIAL_MASTER!$A:$A,0)))</f>
        <v/>
      </c>
      <c r="I107" s="24">
        <f>IF($C107="","",INDEX(MATERIAL_FACTOR_APPLICABILITY!$D:$D,MATCH($C107,MATERIAL_FACTOR_APPLICABILITY!$A:$A,0)))</f>
        <v/>
      </c>
      <c r="J107" s="24">
        <f>IF($C107="","",INDEX(MATERIAL_FACTOR_APPLICABILITY!$E:$E,MATCH($C107,MATERIAL_FACTOR_APPLICABILITY!$A:$A,0)))</f>
        <v/>
      </c>
      <c r="K107" s="24">
        <f>IF($C107="","",INDEX(MATERIAL_FACTOR_APPLICABILITY!$F:$F,MATCH($C107,MATERIAL_FACTOR_APPLICABILITY!$A:$A,0)))</f>
        <v/>
      </c>
      <c r="L107" s="24">
        <f>IF($C107="","",INDEX(MATERIAL_FACTOR_APPLICABILITY!$G:$G,MATCH($C107,MATERIAL_FACTOR_APPLICABILITY!$A:$A,0)))</f>
        <v/>
      </c>
      <c r="M107" s="24">
        <f>IF($C107="","",INDEX(MATERIAL_FACTOR_APPLICABILITY!$H:$H,MATCH($C107,MATERIAL_FACTOR_APPLICABILITY!$A:$A,0)))</f>
        <v/>
      </c>
      <c r="N107" s="24">
        <f>IF($B107="","",ROUND(1+($I107*(SUMIFS(OBJECT_CONDITIONS!$W:$W,OBJECT_CONDITIONS!$A:$A,$B107)-1))+($J107*(SUMIFS(OBJECT_CONDITIONS!$J:$J,OBJECT_CONDITIONS!$A:$A,$B107)-1))+($K107*(SUMIFS(OBJECT_CONDITIONS!$L:$L,OBJECT_CONDITIONS!$A:$A,$B107)-1))+($L107*(SUMIFS(OBJECT_CONDITIONS!$N:$N,OBJECT_CONDITIONS!$A:$A,$B107)-1))+($M107*(SUMIFS(OBJECT_CONDITIONS!$R:$R,OBJECT_CONDITIONS!$A:$A,$B107)-1)),3))</f>
        <v/>
      </c>
      <c r="O107" s="24" t="n"/>
      <c r="P107" s="24">
        <f>IF(OR($H107="",$N107=""),"",ROUND($H107*$N107*IF($O107="",1,$O107),3))</f>
        <v/>
      </c>
      <c r="Q107" s="24">
        <f>IF(OR($E107="",$P107=""),"",ROUND($E107*$P107,3))</f>
        <v/>
      </c>
      <c r="R107" s="5">
        <f>IF($D107="","",IFERROR(INDEX(MATERIAL_VARIANTS!$O:$O,MATCH($D107,MATERIAL_VARIANTS!$A:$A,0)),""))</f>
        <v/>
      </c>
      <c r="S107" s="24">
        <f>IF($D107="","",IFERROR(INDEX(MATERIAL_VARIANTS!$P:$P,MATCH($D107,MATERIAL_VARIANTS!$A:$A,0)),""))</f>
        <v/>
      </c>
      <c r="T107" s="5">
        <f>IF(OR($Q107="",$S107="",$S107=0),"",ROUNDUP($Q107/$S107,0))</f>
        <v/>
      </c>
      <c r="U107" s="5" t="n"/>
    </row>
    <row r="108">
      <c r="A108" s="5" t="n"/>
      <c r="B108" s="5" t="n"/>
      <c r="C108" s="5" t="n"/>
      <c r="D108" s="5" t="n"/>
      <c r="E108" s="5" t="n"/>
      <c r="F108" s="5" t="n"/>
      <c r="G108" s="5">
        <f>IF($C108="","",INDEX(MATERIAL_MASTER!$O:$O,MATCH($C108,MATERIAL_MASTER!$A:$A,0)))</f>
        <v/>
      </c>
      <c r="H108" s="24">
        <f>IF($C108="","",INDEX(MATERIAL_MASTER!$P:$P,MATCH($C108,MATERIAL_MASTER!$A:$A,0)))</f>
        <v/>
      </c>
      <c r="I108" s="24">
        <f>IF($C108="","",INDEX(MATERIAL_FACTOR_APPLICABILITY!$D:$D,MATCH($C108,MATERIAL_FACTOR_APPLICABILITY!$A:$A,0)))</f>
        <v/>
      </c>
      <c r="J108" s="24">
        <f>IF($C108="","",INDEX(MATERIAL_FACTOR_APPLICABILITY!$E:$E,MATCH($C108,MATERIAL_FACTOR_APPLICABILITY!$A:$A,0)))</f>
        <v/>
      </c>
      <c r="K108" s="24">
        <f>IF($C108="","",INDEX(MATERIAL_FACTOR_APPLICABILITY!$F:$F,MATCH($C108,MATERIAL_FACTOR_APPLICABILITY!$A:$A,0)))</f>
        <v/>
      </c>
      <c r="L108" s="24">
        <f>IF($C108="","",INDEX(MATERIAL_FACTOR_APPLICABILITY!$G:$G,MATCH($C108,MATERIAL_FACTOR_APPLICABILITY!$A:$A,0)))</f>
        <v/>
      </c>
      <c r="M108" s="24">
        <f>IF($C108="","",INDEX(MATERIAL_FACTOR_APPLICABILITY!$H:$H,MATCH($C108,MATERIAL_FACTOR_APPLICABILITY!$A:$A,0)))</f>
        <v/>
      </c>
      <c r="N108" s="24">
        <f>IF($B108="","",ROUND(1+($I108*(SUMIFS(OBJECT_CONDITIONS!$W:$W,OBJECT_CONDITIONS!$A:$A,$B108)-1))+($J108*(SUMIFS(OBJECT_CONDITIONS!$J:$J,OBJECT_CONDITIONS!$A:$A,$B108)-1))+($K108*(SUMIFS(OBJECT_CONDITIONS!$L:$L,OBJECT_CONDITIONS!$A:$A,$B108)-1))+($L108*(SUMIFS(OBJECT_CONDITIONS!$N:$N,OBJECT_CONDITIONS!$A:$A,$B108)-1))+($M108*(SUMIFS(OBJECT_CONDITIONS!$R:$R,OBJECT_CONDITIONS!$A:$A,$B108)-1)),3))</f>
        <v/>
      </c>
      <c r="O108" s="24" t="n"/>
      <c r="P108" s="24">
        <f>IF(OR($H108="",$N108=""),"",ROUND($H108*$N108*IF($O108="",1,$O108),3))</f>
        <v/>
      </c>
      <c r="Q108" s="24">
        <f>IF(OR($E108="",$P108=""),"",ROUND($E108*$P108,3))</f>
        <v/>
      </c>
      <c r="R108" s="5">
        <f>IF($D108="","",IFERROR(INDEX(MATERIAL_VARIANTS!$O:$O,MATCH($D108,MATERIAL_VARIANTS!$A:$A,0)),""))</f>
        <v/>
      </c>
      <c r="S108" s="24">
        <f>IF($D108="","",IFERROR(INDEX(MATERIAL_VARIANTS!$P:$P,MATCH($D108,MATERIAL_VARIANTS!$A:$A,0)),""))</f>
        <v/>
      </c>
      <c r="T108" s="5">
        <f>IF(OR($Q108="",$S108="",$S108=0),"",ROUNDUP($Q108/$S108,0))</f>
        <v/>
      </c>
      <c r="U108" s="5" t="n"/>
    </row>
    <row r="109">
      <c r="A109" s="5" t="n"/>
      <c r="B109" s="5" t="n"/>
      <c r="C109" s="5" t="n"/>
      <c r="D109" s="5" t="n"/>
      <c r="E109" s="5" t="n"/>
      <c r="F109" s="5" t="n"/>
      <c r="G109" s="5">
        <f>IF($C109="","",INDEX(MATERIAL_MASTER!$O:$O,MATCH($C109,MATERIAL_MASTER!$A:$A,0)))</f>
        <v/>
      </c>
      <c r="H109" s="24">
        <f>IF($C109="","",INDEX(MATERIAL_MASTER!$P:$P,MATCH($C109,MATERIAL_MASTER!$A:$A,0)))</f>
        <v/>
      </c>
      <c r="I109" s="24">
        <f>IF($C109="","",INDEX(MATERIAL_FACTOR_APPLICABILITY!$D:$D,MATCH($C109,MATERIAL_FACTOR_APPLICABILITY!$A:$A,0)))</f>
        <v/>
      </c>
      <c r="J109" s="24">
        <f>IF($C109="","",INDEX(MATERIAL_FACTOR_APPLICABILITY!$E:$E,MATCH($C109,MATERIAL_FACTOR_APPLICABILITY!$A:$A,0)))</f>
        <v/>
      </c>
      <c r="K109" s="24">
        <f>IF($C109="","",INDEX(MATERIAL_FACTOR_APPLICABILITY!$F:$F,MATCH($C109,MATERIAL_FACTOR_APPLICABILITY!$A:$A,0)))</f>
        <v/>
      </c>
      <c r="L109" s="24">
        <f>IF($C109="","",INDEX(MATERIAL_FACTOR_APPLICABILITY!$G:$G,MATCH($C109,MATERIAL_FACTOR_APPLICABILITY!$A:$A,0)))</f>
        <v/>
      </c>
      <c r="M109" s="24">
        <f>IF($C109="","",INDEX(MATERIAL_FACTOR_APPLICABILITY!$H:$H,MATCH($C109,MATERIAL_FACTOR_APPLICABILITY!$A:$A,0)))</f>
        <v/>
      </c>
      <c r="N109" s="24">
        <f>IF($B109="","",ROUND(1+($I109*(SUMIFS(OBJECT_CONDITIONS!$W:$W,OBJECT_CONDITIONS!$A:$A,$B109)-1))+($J109*(SUMIFS(OBJECT_CONDITIONS!$J:$J,OBJECT_CONDITIONS!$A:$A,$B109)-1))+($K109*(SUMIFS(OBJECT_CONDITIONS!$L:$L,OBJECT_CONDITIONS!$A:$A,$B109)-1))+($L109*(SUMIFS(OBJECT_CONDITIONS!$N:$N,OBJECT_CONDITIONS!$A:$A,$B109)-1))+($M109*(SUMIFS(OBJECT_CONDITIONS!$R:$R,OBJECT_CONDITIONS!$A:$A,$B109)-1)),3))</f>
        <v/>
      </c>
      <c r="O109" s="24" t="n"/>
      <c r="P109" s="24">
        <f>IF(OR($H109="",$N109=""),"",ROUND($H109*$N109*IF($O109="",1,$O109),3))</f>
        <v/>
      </c>
      <c r="Q109" s="24">
        <f>IF(OR($E109="",$P109=""),"",ROUND($E109*$P109,3))</f>
        <v/>
      </c>
      <c r="R109" s="5">
        <f>IF($D109="","",IFERROR(INDEX(MATERIAL_VARIANTS!$O:$O,MATCH($D109,MATERIAL_VARIANTS!$A:$A,0)),""))</f>
        <v/>
      </c>
      <c r="S109" s="24">
        <f>IF($D109="","",IFERROR(INDEX(MATERIAL_VARIANTS!$P:$P,MATCH($D109,MATERIAL_VARIANTS!$A:$A,0)),""))</f>
        <v/>
      </c>
      <c r="T109" s="5">
        <f>IF(OR($Q109="",$S109="",$S109=0),"",ROUNDUP($Q109/$S109,0))</f>
        <v/>
      </c>
      <c r="U109" s="5" t="n"/>
    </row>
    <row r="110">
      <c r="A110" s="5" t="n"/>
      <c r="B110" s="5" t="n"/>
      <c r="C110" s="5" t="n"/>
      <c r="D110" s="5" t="n"/>
      <c r="E110" s="5" t="n"/>
      <c r="F110" s="5" t="n"/>
      <c r="G110" s="5">
        <f>IF($C110="","",INDEX(MATERIAL_MASTER!$O:$O,MATCH($C110,MATERIAL_MASTER!$A:$A,0)))</f>
        <v/>
      </c>
      <c r="H110" s="24">
        <f>IF($C110="","",INDEX(MATERIAL_MASTER!$P:$P,MATCH($C110,MATERIAL_MASTER!$A:$A,0)))</f>
        <v/>
      </c>
      <c r="I110" s="24">
        <f>IF($C110="","",INDEX(MATERIAL_FACTOR_APPLICABILITY!$D:$D,MATCH($C110,MATERIAL_FACTOR_APPLICABILITY!$A:$A,0)))</f>
        <v/>
      </c>
      <c r="J110" s="24">
        <f>IF($C110="","",INDEX(MATERIAL_FACTOR_APPLICABILITY!$E:$E,MATCH($C110,MATERIAL_FACTOR_APPLICABILITY!$A:$A,0)))</f>
        <v/>
      </c>
      <c r="K110" s="24">
        <f>IF($C110="","",INDEX(MATERIAL_FACTOR_APPLICABILITY!$F:$F,MATCH($C110,MATERIAL_FACTOR_APPLICABILITY!$A:$A,0)))</f>
        <v/>
      </c>
      <c r="L110" s="24">
        <f>IF($C110="","",INDEX(MATERIAL_FACTOR_APPLICABILITY!$G:$G,MATCH($C110,MATERIAL_FACTOR_APPLICABILITY!$A:$A,0)))</f>
        <v/>
      </c>
      <c r="M110" s="24">
        <f>IF($C110="","",INDEX(MATERIAL_FACTOR_APPLICABILITY!$H:$H,MATCH($C110,MATERIAL_FACTOR_APPLICABILITY!$A:$A,0)))</f>
        <v/>
      </c>
      <c r="N110" s="24">
        <f>IF($B110="","",ROUND(1+($I110*(SUMIFS(OBJECT_CONDITIONS!$W:$W,OBJECT_CONDITIONS!$A:$A,$B110)-1))+($J110*(SUMIFS(OBJECT_CONDITIONS!$J:$J,OBJECT_CONDITIONS!$A:$A,$B110)-1))+($K110*(SUMIFS(OBJECT_CONDITIONS!$L:$L,OBJECT_CONDITIONS!$A:$A,$B110)-1))+($L110*(SUMIFS(OBJECT_CONDITIONS!$N:$N,OBJECT_CONDITIONS!$A:$A,$B110)-1))+($M110*(SUMIFS(OBJECT_CONDITIONS!$R:$R,OBJECT_CONDITIONS!$A:$A,$B110)-1)),3))</f>
        <v/>
      </c>
      <c r="O110" s="24" t="n"/>
      <c r="P110" s="24">
        <f>IF(OR($H110="",$N110=""),"",ROUND($H110*$N110*IF($O110="",1,$O110),3))</f>
        <v/>
      </c>
      <c r="Q110" s="24">
        <f>IF(OR($E110="",$P110=""),"",ROUND($E110*$P110,3))</f>
        <v/>
      </c>
      <c r="R110" s="5">
        <f>IF($D110="","",IFERROR(INDEX(MATERIAL_VARIANTS!$O:$O,MATCH($D110,MATERIAL_VARIANTS!$A:$A,0)),""))</f>
        <v/>
      </c>
      <c r="S110" s="24">
        <f>IF($D110="","",IFERROR(INDEX(MATERIAL_VARIANTS!$P:$P,MATCH($D110,MATERIAL_VARIANTS!$A:$A,0)),""))</f>
        <v/>
      </c>
      <c r="T110" s="5">
        <f>IF(OR($Q110="",$S110="",$S110=0),"",ROUNDUP($Q110/$S110,0))</f>
        <v/>
      </c>
      <c r="U110" s="5" t="n"/>
    </row>
    <row r="111">
      <c r="A111" s="5" t="n"/>
      <c r="B111" s="5" t="n"/>
      <c r="C111" s="5" t="n"/>
      <c r="D111" s="5" t="n"/>
      <c r="E111" s="5" t="n"/>
      <c r="F111" s="5" t="n"/>
      <c r="G111" s="5">
        <f>IF($C111="","",INDEX(MATERIAL_MASTER!$O:$O,MATCH($C111,MATERIAL_MASTER!$A:$A,0)))</f>
        <v/>
      </c>
      <c r="H111" s="24">
        <f>IF($C111="","",INDEX(MATERIAL_MASTER!$P:$P,MATCH($C111,MATERIAL_MASTER!$A:$A,0)))</f>
        <v/>
      </c>
      <c r="I111" s="24">
        <f>IF($C111="","",INDEX(MATERIAL_FACTOR_APPLICABILITY!$D:$D,MATCH($C111,MATERIAL_FACTOR_APPLICABILITY!$A:$A,0)))</f>
        <v/>
      </c>
      <c r="J111" s="24">
        <f>IF($C111="","",INDEX(MATERIAL_FACTOR_APPLICABILITY!$E:$E,MATCH($C111,MATERIAL_FACTOR_APPLICABILITY!$A:$A,0)))</f>
        <v/>
      </c>
      <c r="K111" s="24">
        <f>IF($C111="","",INDEX(MATERIAL_FACTOR_APPLICABILITY!$F:$F,MATCH($C111,MATERIAL_FACTOR_APPLICABILITY!$A:$A,0)))</f>
        <v/>
      </c>
      <c r="L111" s="24">
        <f>IF($C111="","",INDEX(MATERIAL_FACTOR_APPLICABILITY!$G:$G,MATCH($C111,MATERIAL_FACTOR_APPLICABILITY!$A:$A,0)))</f>
        <v/>
      </c>
      <c r="M111" s="24">
        <f>IF($C111="","",INDEX(MATERIAL_FACTOR_APPLICABILITY!$H:$H,MATCH($C111,MATERIAL_FACTOR_APPLICABILITY!$A:$A,0)))</f>
        <v/>
      </c>
      <c r="N111" s="24">
        <f>IF($B111="","",ROUND(1+($I111*(SUMIFS(OBJECT_CONDITIONS!$W:$W,OBJECT_CONDITIONS!$A:$A,$B111)-1))+($J111*(SUMIFS(OBJECT_CONDITIONS!$J:$J,OBJECT_CONDITIONS!$A:$A,$B111)-1))+($K111*(SUMIFS(OBJECT_CONDITIONS!$L:$L,OBJECT_CONDITIONS!$A:$A,$B111)-1))+($L111*(SUMIFS(OBJECT_CONDITIONS!$N:$N,OBJECT_CONDITIONS!$A:$A,$B111)-1))+($M111*(SUMIFS(OBJECT_CONDITIONS!$R:$R,OBJECT_CONDITIONS!$A:$A,$B111)-1)),3))</f>
        <v/>
      </c>
      <c r="O111" s="24" t="n"/>
      <c r="P111" s="24">
        <f>IF(OR($H111="",$N111=""),"",ROUND($H111*$N111*IF($O111="",1,$O111),3))</f>
        <v/>
      </c>
      <c r="Q111" s="24">
        <f>IF(OR($E111="",$P111=""),"",ROUND($E111*$P111,3))</f>
        <v/>
      </c>
      <c r="R111" s="5">
        <f>IF($D111="","",IFERROR(INDEX(MATERIAL_VARIANTS!$O:$O,MATCH($D111,MATERIAL_VARIANTS!$A:$A,0)),""))</f>
        <v/>
      </c>
      <c r="S111" s="24">
        <f>IF($D111="","",IFERROR(INDEX(MATERIAL_VARIANTS!$P:$P,MATCH($D111,MATERIAL_VARIANTS!$A:$A,0)),""))</f>
        <v/>
      </c>
      <c r="T111" s="5">
        <f>IF(OR($Q111="",$S111="",$S111=0),"",ROUNDUP($Q111/$S111,0))</f>
        <v/>
      </c>
      <c r="U111" s="5" t="n"/>
    </row>
    <row r="112">
      <c r="A112" s="5" t="n"/>
      <c r="B112" s="5" t="n"/>
      <c r="C112" s="5" t="n"/>
      <c r="D112" s="5" t="n"/>
      <c r="E112" s="5" t="n"/>
      <c r="F112" s="5" t="n"/>
      <c r="G112" s="5">
        <f>IF($C112="","",INDEX(MATERIAL_MASTER!$O:$O,MATCH($C112,MATERIAL_MASTER!$A:$A,0)))</f>
        <v/>
      </c>
      <c r="H112" s="24">
        <f>IF($C112="","",INDEX(MATERIAL_MASTER!$P:$P,MATCH($C112,MATERIAL_MASTER!$A:$A,0)))</f>
        <v/>
      </c>
      <c r="I112" s="24">
        <f>IF($C112="","",INDEX(MATERIAL_FACTOR_APPLICABILITY!$D:$D,MATCH($C112,MATERIAL_FACTOR_APPLICABILITY!$A:$A,0)))</f>
        <v/>
      </c>
      <c r="J112" s="24">
        <f>IF($C112="","",INDEX(MATERIAL_FACTOR_APPLICABILITY!$E:$E,MATCH($C112,MATERIAL_FACTOR_APPLICABILITY!$A:$A,0)))</f>
        <v/>
      </c>
      <c r="K112" s="24">
        <f>IF($C112="","",INDEX(MATERIAL_FACTOR_APPLICABILITY!$F:$F,MATCH($C112,MATERIAL_FACTOR_APPLICABILITY!$A:$A,0)))</f>
        <v/>
      </c>
      <c r="L112" s="24">
        <f>IF($C112="","",INDEX(MATERIAL_FACTOR_APPLICABILITY!$G:$G,MATCH($C112,MATERIAL_FACTOR_APPLICABILITY!$A:$A,0)))</f>
        <v/>
      </c>
      <c r="M112" s="24">
        <f>IF($C112="","",INDEX(MATERIAL_FACTOR_APPLICABILITY!$H:$H,MATCH($C112,MATERIAL_FACTOR_APPLICABILITY!$A:$A,0)))</f>
        <v/>
      </c>
      <c r="N112" s="24">
        <f>IF($B112="","",ROUND(1+($I112*(SUMIFS(OBJECT_CONDITIONS!$W:$W,OBJECT_CONDITIONS!$A:$A,$B112)-1))+($J112*(SUMIFS(OBJECT_CONDITIONS!$J:$J,OBJECT_CONDITIONS!$A:$A,$B112)-1))+($K112*(SUMIFS(OBJECT_CONDITIONS!$L:$L,OBJECT_CONDITIONS!$A:$A,$B112)-1))+($L112*(SUMIFS(OBJECT_CONDITIONS!$N:$N,OBJECT_CONDITIONS!$A:$A,$B112)-1))+($M112*(SUMIFS(OBJECT_CONDITIONS!$R:$R,OBJECT_CONDITIONS!$A:$A,$B112)-1)),3))</f>
        <v/>
      </c>
      <c r="O112" s="24" t="n"/>
      <c r="P112" s="24">
        <f>IF(OR($H112="",$N112=""),"",ROUND($H112*$N112*IF($O112="",1,$O112),3))</f>
        <v/>
      </c>
      <c r="Q112" s="24">
        <f>IF(OR($E112="",$P112=""),"",ROUND($E112*$P112,3))</f>
        <v/>
      </c>
      <c r="R112" s="5">
        <f>IF($D112="","",IFERROR(INDEX(MATERIAL_VARIANTS!$O:$O,MATCH($D112,MATERIAL_VARIANTS!$A:$A,0)),""))</f>
        <v/>
      </c>
      <c r="S112" s="24">
        <f>IF($D112="","",IFERROR(INDEX(MATERIAL_VARIANTS!$P:$P,MATCH($D112,MATERIAL_VARIANTS!$A:$A,0)),""))</f>
        <v/>
      </c>
      <c r="T112" s="5">
        <f>IF(OR($Q112="",$S112="",$S112=0),"",ROUNDUP($Q112/$S112,0))</f>
        <v/>
      </c>
      <c r="U112" s="5" t="n"/>
    </row>
    <row r="113">
      <c r="A113" s="5" t="n"/>
      <c r="B113" s="5" t="n"/>
      <c r="C113" s="5" t="n"/>
      <c r="D113" s="5" t="n"/>
      <c r="E113" s="5" t="n"/>
      <c r="F113" s="5" t="n"/>
      <c r="G113" s="5">
        <f>IF($C113="","",INDEX(MATERIAL_MASTER!$O:$O,MATCH($C113,MATERIAL_MASTER!$A:$A,0)))</f>
        <v/>
      </c>
      <c r="H113" s="24">
        <f>IF($C113="","",INDEX(MATERIAL_MASTER!$P:$P,MATCH($C113,MATERIAL_MASTER!$A:$A,0)))</f>
        <v/>
      </c>
      <c r="I113" s="24">
        <f>IF($C113="","",INDEX(MATERIAL_FACTOR_APPLICABILITY!$D:$D,MATCH($C113,MATERIAL_FACTOR_APPLICABILITY!$A:$A,0)))</f>
        <v/>
      </c>
      <c r="J113" s="24">
        <f>IF($C113="","",INDEX(MATERIAL_FACTOR_APPLICABILITY!$E:$E,MATCH($C113,MATERIAL_FACTOR_APPLICABILITY!$A:$A,0)))</f>
        <v/>
      </c>
      <c r="K113" s="24">
        <f>IF($C113="","",INDEX(MATERIAL_FACTOR_APPLICABILITY!$F:$F,MATCH($C113,MATERIAL_FACTOR_APPLICABILITY!$A:$A,0)))</f>
        <v/>
      </c>
      <c r="L113" s="24">
        <f>IF($C113="","",INDEX(MATERIAL_FACTOR_APPLICABILITY!$G:$G,MATCH($C113,MATERIAL_FACTOR_APPLICABILITY!$A:$A,0)))</f>
        <v/>
      </c>
      <c r="M113" s="24">
        <f>IF($C113="","",INDEX(MATERIAL_FACTOR_APPLICABILITY!$H:$H,MATCH($C113,MATERIAL_FACTOR_APPLICABILITY!$A:$A,0)))</f>
        <v/>
      </c>
      <c r="N113" s="24">
        <f>IF($B113="","",ROUND(1+($I113*(SUMIFS(OBJECT_CONDITIONS!$W:$W,OBJECT_CONDITIONS!$A:$A,$B113)-1))+($J113*(SUMIFS(OBJECT_CONDITIONS!$J:$J,OBJECT_CONDITIONS!$A:$A,$B113)-1))+($K113*(SUMIFS(OBJECT_CONDITIONS!$L:$L,OBJECT_CONDITIONS!$A:$A,$B113)-1))+($L113*(SUMIFS(OBJECT_CONDITIONS!$N:$N,OBJECT_CONDITIONS!$A:$A,$B113)-1))+($M113*(SUMIFS(OBJECT_CONDITIONS!$R:$R,OBJECT_CONDITIONS!$A:$A,$B113)-1)),3))</f>
        <v/>
      </c>
      <c r="O113" s="24" t="n"/>
      <c r="P113" s="24">
        <f>IF(OR($H113="",$N113=""),"",ROUND($H113*$N113*IF($O113="",1,$O113),3))</f>
        <v/>
      </c>
      <c r="Q113" s="24">
        <f>IF(OR($E113="",$P113=""),"",ROUND($E113*$P113,3))</f>
        <v/>
      </c>
      <c r="R113" s="5">
        <f>IF($D113="","",IFERROR(INDEX(MATERIAL_VARIANTS!$O:$O,MATCH($D113,MATERIAL_VARIANTS!$A:$A,0)),""))</f>
        <v/>
      </c>
      <c r="S113" s="24">
        <f>IF($D113="","",IFERROR(INDEX(MATERIAL_VARIANTS!$P:$P,MATCH($D113,MATERIAL_VARIANTS!$A:$A,0)),""))</f>
        <v/>
      </c>
      <c r="T113" s="5">
        <f>IF(OR($Q113="",$S113="",$S113=0),"",ROUNDUP($Q113/$S113,0))</f>
        <v/>
      </c>
      <c r="U113" s="5" t="n"/>
    </row>
    <row r="114">
      <c r="A114" s="5" t="n"/>
      <c r="B114" s="5" t="n"/>
      <c r="C114" s="5" t="n"/>
      <c r="D114" s="5" t="n"/>
      <c r="E114" s="5" t="n"/>
      <c r="F114" s="5" t="n"/>
      <c r="G114" s="5">
        <f>IF($C114="","",INDEX(MATERIAL_MASTER!$O:$O,MATCH($C114,MATERIAL_MASTER!$A:$A,0)))</f>
        <v/>
      </c>
      <c r="H114" s="24">
        <f>IF($C114="","",INDEX(MATERIAL_MASTER!$P:$P,MATCH($C114,MATERIAL_MASTER!$A:$A,0)))</f>
        <v/>
      </c>
      <c r="I114" s="24">
        <f>IF($C114="","",INDEX(MATERIAL_FACTOR_APPLICABILITY!$D:$D,MATCH($C114,MATERIAL_FACTOR_APPLICABILITY!$A:$A,0)))</f>
        <v/>
      </c>
      <c r="J114" s="24">
        <f>IF($C114="","",INDEX(MATERIAL_FACTOR_APPLICABILITY!$E:$E,MATCH($C114,MATERIAL_FACTOR_APPLICABILITY!$A:$A,0)))</f>
        <v/>
      </c>
      <c r="K114" s="24">
        <f>IF($C114="","",INDEX(MATERIAL_FACTOR_APPLICABILITY!$F:$F,MATCH($C114,MATERIAL_FACTOR_APPLICABILITY!$A:$A,0)))</f>
        <v/>
      </c>
      <c r="L114" s="24">
        <f>IF($C114="","",INDEX(MATERIAL_FACTOR_APPLICABILITY!$G:$G,MATCH($C114,MATERIAL_FACTOR_APPLICABILITY!$A:$A,0)))</f>
        <v/>
      </c>
      <c r="M114" s="24">
        <f>IF($C114="","",INDEX(MATERIAL_FACTOR_APPLICABILITY!$H:$H,MATCH($C114,MATERIAL_FACTOR_APPLICABILITY!$A:$A,0)))</f>
        <v/>
      </c>
      <c r="N114" s="24">
        <f>IF($B114="","",ROUND(1+($I114*(SUMIFS(OBJECT_CONDITIONS!$W:$W,OBJECT_CONDITIONS!$A:$A,$B114)-1))+($J114*(SUMIFS(OBJECT_CONDITIONS!$J:$J,OBJECT_CONDITIONS!$A:$A,$B114)-1))+($K114*(SUMIFS(OBJECT_CONDITIONS!$L:$L,OBJECT_CONDITIONS!$A:$A,$B114)-1))+($L114*(SUMIFS(OBJECT_CONDITIONS!$N:$N,OBJECT_CONDITIONS!$A:$A,$B114)-1))+($M114*(SUMIFS(OBJECT_CONDITIONS!$R:$R,OBJECT_CONDITIONS!$A:$A,$B114)-1)),3))</f>
        <v/>
      </c>
      <c r="O114" s="24" t="n"/>
      <c r="P114" s="24">
        <f>IF(OR($H114="",$N114=""),"",ROUND($H114*$N114*IF($O114="",1,$O114),3))</f>
        <v/>
      </c>
      <c r="Q114" s="24">
        <f>IF(OR($E114="",$P114=""),"",ROUND($E114*$P114,3))</f>
        <v/>
      </c>
      <c r="R114" s="5">
        <f>IF($D114="","",IFERROR(INDEX(MATERIAL_VARIANTS!$O:$O,MATCH($D114,MATERIAL_VARIANTS!$A:$A,0)),""))</f>
        <v/>
      </c>
      <c r="S114" s="24">
        <f>IF($D114="","",IFERROR(INDEX(MATERIAL_VARIANTS!$P:$P,MATCH($D114,MATERIAL_VARIANTS!$A:$A,0)),""))</f>
        <v/>
      </c>
      <c r="T114" s="5">
        <f>IF(OR($Q114="",$S114="",$S114=0),"",ROUNDUP($Q114/$S114,0))</f>
        <v/>
      </c>
      <c r="U114" s="5" t="n"/>
    </row>
    <row r="115">
      <c r="A115" s="5" t="n"/>
      <c r="B115" s="5" t="n"/>
      <c r="C115" s="5" t="n"/>
      <c r="D115" s="5" t="n"/>
      <c r="E115" s="5" t="n"/>
      <c r="F115" s="5" t="n"/>
      <c r="G115" s="5">
        <f>IF($C115="","",INDEX(MATERIAL_MASTER!$O:$O,MATCH($C115,MATERIAL_MASTER!$A:$A,0)))</f>
        <v/>
      </c>
      <c r="H115" s="24">
        <f>IF($C115="","",INDEX(MATERIAL_MASTER!$P:$P,MATCH($C115,MATERIAL_MASTER!$A:$A,0)))</f>
        <v/>
      </c>
      <c r="I115" s="24">
        <f>IF($C115="","",INDEX(MATERIAL_FACTOR_APPLICABILITY!$D:$D,MATCH($C115,MATERIAL_FACTOR_APPLICABILITY!$A:$A,0)))</f>
        <v/>
      </c>
      <c r="J115" s="24">
        <f>IF($C115="","",INDEX(MATERIAL_FACTOR_APPLICABILITY!$E:$E,MATCH($C115,MATERIAL_FACTOR_APPLICABILITY!$A:$A,0)))</f>
        <v/>
      </c>
      <c r="K115" s="24">
        <f>IF($C115="","",INDEX(MATERIAL_FACTOR_APPLICABILITY!$F:$F,MATCH($C115,MATERIAL_FACTOR_APPLICABILITY!$A:$A,0)))</f>
        <v/>
      </c>
      <c r="L115" s="24">
        <f>IF($C115="","",INDEX(MATERIAL_FACTOR_APPLICABILITY!$G:$G,MATCH($C115,MATERIAL_FACTOR_APPLICABILITY!$A:$A,0)))</f>
        <v/>
      </c>
      <c r="M115" s="24">
        <f>IF($C115="","",INDEX(MATERIAL_FACTOR_APPLICABILITY!$H:$H,MATCH($C115,MATERIAL_FACTOR_APPLICABILITY!$A:$A,0)))</f>
        <v/>
      </c>
      <c r="N115" s="24">
        <f>IF($B115="","",ROUND(1+($I115*(SUMIFS(OBJECT_CONDITIONS!$W:$W,OBJECT_CONDITIONS!$A:$A,$B115)-1))+($J115*(SUMIFS(OBJECT_CONDITIONS!$J:$J,OBJECT_CONDITIONS!$A:$A,$B115)-1))+($K115*(SUMIFS(OBJECT_CONDITIONS!$L:$L,OBJECT_CONDITIONS!$A:$A,$B115)-1))+($L115*(SUMIFS(OBJECT_CONDITIONS!$N:$N,OBJECT_CONDITIONS!$A:$A,$B115)-1))+($M115*(SUMIFS(OBJECT_CONDITIONS!$R:$R,OBJECT_CONDITIONS!$A:$A,$B115)-1)),3))</f>
        <v/>
      </c>
      <c r="O115" s="24" t="n"/>
      <c r="P115" s="24">
        <f>IF(OR($H115="",$N115=""),"",ROUND($H115*$N115*IF($O115="",1,$O115),3))</f>
        <v/>
      </c>
      <c r="Q115" s="24">
        <f>IF(OR($E115="",$P115=""),"",ROUND($E115*$P115,3))</f>
        <v/>
      </c>
      <c r="R115" s="5">
        <f>IF($D115="","",IFERROR(INDEX(MATERIAL_VARIANTS!$O:$O,MATCH($D115,MATERIAL_VARIANTS!$A:$A,0)),""))</f>
        <v/>
      </c>
      <c r="S115" s="24">
        <f>IF($D115="","",IFERROR(INDEX(MATERIAL_VARIANTS!$P:$P,MATCH($D115,MATERIAL_VARIANTS!$A:$A,0)),""))</f>
        <v/>
      </c>
      <c r="T115" s="5">
        <f>IF(OR($Q115="",$S115="",$S115=0),"",ROUNDUP($Q115/$S115,0))</f>
        <v/>
      </c>
      <c r="U115" s="5" t="n"/>
    </row>
    <row r="116">
      <c r="A116" s="5" t="n"/>
      <c r="B116" s="5" t="n"/>
      <c r="C116" s="5" t="n"/>
      <c r="D116" s="5" t="n"/>
      <c r="E116" s="5" t="n"/>
      <c r="F116" s="5" t="n"/>
      <c r="G116" s="5">
        <f>IF($C116="","",INDEX(MATERIAL_MASTER!$O:$O,MATCH($C116,MATERIAL_MASTER!$A:$A,0)))</f>
        <v/>
      </c>
      <c r="H116" s="24">
        <f>IF($C116="","",INDEX(MATERIAL_MASTER!$P:$P,MATCH($C116,MATERIAL_MASTER!$A:$A,0)))</f>
        <v/>
      </c>
      <c r="I116" s="24">
        <f>IF($C116="","",INDEX(MATERIAL_FACTOR_APPLICABILITY!$D:$D,MATCH($C116,MATERIAL_FACTOR_APPLICABILITY!$A:$A,0)))</f>
        <v/>
      </c>
      <c r="J116" s="24">
        <f>IF($C116="","",INDEX(MATERIAL_FACTOR_APPLICABILITY!$E:$E,MATCH($C116,MATERIAL_FACTOR_APPLICABILITY!$A:$A,0)))</f>
        <v/>
      </c>
      <c r="K116" s="24">
        <f>IF($C116="","",INDEX(MATERIAL_FACTOR_APPLICABILITY!$F:$F,MATCH($C116,MATERIAL_FACTOR_APPLICABILITY!$A:$A,0)))</f>
        <v/>
      </c>
      <c r="L116" s="24">
        <f>IF($C116="","",INDEX(MATERIAL_FACTOR_APPLICABILITY!$G:$G,MATCH($C116,MATERIAL_FACTOR_APPLICABILITY!$A:$A,0)))</f>
        <v/>
      </c>
      <c r="M116" s="24">
        <f>IF($C116="","",INDEX(MATERIAL_FACTOR_APPLICABILITY!$H:$H,MATCH($C116,MATERIAL_FACTOR_APPLICABILITY!$A:$A,0)))</f>
        <v/>
      </c>
      <c r="N116" s="24">
        <f>IF($B116="","",ROUND(1+($I116*(SUMIFS(OBJECT_CONDITIONS!$W:$W,OBJECT_CONDITIONS!$A:$A,$B116)-1))+($J116*(SUMIFS(OBJECT_CONDITIONS!$J:$J,OBJECT_CONDITIONS!$A:$A,$B116)-1))+($K116*(SUMIFS(OBJECT_CONDITIONS!$L:$L,OBJECT_CONDITIONS!$A:$A,$B116)-1))+($L116*(SUMIFS(OBJECT_CONDITIONS!$N:$N,OBJECT_CONDITIONS!$A:$A,$B116)-1))+($M116*(SUMIFS(OBJECT_CONDITIONS!$R:$R,OBJECT_CONDITIONS!$A:$A,$B116)-1)),3))</f>
        <v/>
      </c>
      <c r="O116" s="24" t="n"/>
      <c r="P116" s="24">
        <f>IF(OR($H116="",$N116=""),"",ROUND($H116*$N116*IF($O116="",1,$O116),3))</f>
        <v/>
      </c>
      <c r="Q116" s="24">
        <f>IF(OR($E116="",$P116=""),"",ROUND($E116*$P116,3))</f>
        <v/>
      </c>
      <c r="R116" s="5">
        <f>IF($D116="","",IFERROR(INDEX(MATERIAL_VARIANTS!$O:$O,MATCH($D116,MATERIAL_VARIANTS!$A:$A,0)),""))</f>
        <v/>
      </c>
      <c r="S116" s="24">
        <f>IF($D116="","",IFERROR(INDEX(MATERIAL_VARIANTS!$P:$P,MATCH($D116,MATERIAL_VARIANTS!$A:$A,0)),""))</f>
        <v/>
      </c>
      <c r="T116" s="5">
        <f>IF(OR($Q116="",$S116="",$S116=0),"",ROUNDUP($Q116/$S116,0))</f>
        <v/>
      </c>
      <c r="U116" s="5" t="n"/>
    </row>
    <row r="117">
      <c r="A117" s="5" t="n"/>
      <c r="B117" s="5" t="n"/>
      <c r="C117" s="5" t="n"/>
      <c r="D117" s="5" t="n"/>
      <c r="E117" s="5" t="n"/>
      <c r="F117" s="5" t="n"/>
      <c r="G117" s="5">
        <f>IF($C117="","",INDEX(MATERIAL_MASTER!$O:$O,MATCH($C117,MATERIAL_MASTER!$A:$A,0)))</f>
        <v/>
      </c>
      <c r="H117" s="24">
        <f>IF($C117="","",INDEX(MATERIAL_MASTER!$P:$P,MATCH($C117,MATERIAL_MASTER!$A:$A,0)))</f>
        <v/>
      </c>
      <c r="I117" s="24">
        <f>IF($C117="","",INDEX(MATERIAL_FACTOR_APPLICABILITY!$D:$D,MATCH($C117,MATERIAL_FACTOR_APPLICABILITY!$A:$A,0)))</f>
        <v/>
      </c>
      <c r="J117" s="24">
        <f>IF($C117="","",INDEX(MATERIAL_FACTOR_APPLICABILITY!$E:$E,MATCH($C117,MATERIAL_FACTOR_APPLICABILITY!$A:$A,0)))</f>
        <v/>
      </c>
      <c r="K117" s="24">
        <f>IF($C117="","",INDEX(MATERIAL_FACTOR_APPLICABILITY!$F:$F,MATCH($C117,MATERIAL_FACTOR_APPLICABILITY!$A:$A,0)))</f>
        <v/>
      </c>
      <c r="L117" s="24">
        <f>IF($C117="","",INDEX(MATERIAL_FACTOR_APPLICABILITY!$G:$G,MATCH($C117,MATERIAL_FACTOR_APPLICABILITY!$A:$A,0)))</f>
        <v/>
      </c>
      <c r="M117" s="24">
        <f>IF($C117="","",INDEX(MATERIAL_FACTOR_APPLICABILITY!$H:$H,MATCH($C117,MATERIAL_FACTOR_APPLICABILITY!$A:$A,0)))</f>
        <v/>
      </c>
      <c r="N117" s="24">
        <f>IF($B117="","",ROUND(1+($I117*(SUMIFS(OBJECT_CONDITIONS!$W:$W,OBJECT_CONDITIONS!$A:$A,$B117)-1))+($J117*(SUMIFS(OBJECT_CONDITIONS!$J:$J,OBJECT_CONDITIONS!$A:$A,$B117)-1))+($K117*(SUMIFS(OBJECT_CONDITIONS!$L:$L,OBJECT_CONDITIONS!$A:$A,$B117)-1))+($L117*(SUMIFS(OBJECT_CONDITIONS!$N:$N,OBJECT_CONDITIONS!$A:$A,$B117)-1))+($M117*(SUMIFS(OBJECT_CONDITIONS!$R:$R,OBJECT_CONDITIONS!$A:$A,$B117)-1)),3))</f>
        <v/>
      </c>
      <c r="O117" s="24" t="n"/>
      <c r="P117" s="24">
        <f>IF(OR($H117="",$N117=""),"",ROUND($H117*$N117*IF($O117="",1,$O117),3))</f>
        <v/>
      </c>
      <c r="Q117" s="24">
        <f>IF(OR($E117="",$P117=""),"",ROUND($E117*$P117,3))</f>
        <v/>
      </c>
      <c r="R117" s="5">
        <f>IF($D117="","",IFERROR(INDEX(MATERIAL_VARIANTS!$O:$O,MATCH($D117,MATERIAL_VARIANTS!$A:$A,0)),""))</f>
        <v/>
      </c>
      <c r="S117" s="24">
        <f>IF($D117="","",IFERROR(INDEX(MATERIAL_VARIANTS!$P:$P,MATCH($D117,MATERIAL_VARIANTS!$A:$A,0)),""))</f>
        <v/>
      </c>
      <c r="T117" s="5">
        <f>IF(OR($Q117="",$S117="",$S117=0),"",ROUNDUP($Q117/$S117,0))</f>
        <v/>
      </c>
      <c r="U117" s="5" t="n"/>
    </row>
    <row r="118">
      <c r="A118" s="5" t="n"/>
      <c r="B118" s="5" t="n"/>
      <c r="C118" s="5" t="n"/>
      <c r="D118" s="5" t="n"/>
      <c r="E118" s="5" t="n"/>
      <c r="F118" s="5" t="n"/>
      <c r="G118" s="5">
        <f>IF($C118="","",INDEX(MATERIAL_MASTER!$O:$O,MATCH($C118,MATERIAL_MASTER!$A:$A,0)))</f>
        <v/>
      </c>
      <c r="H118" s="24">
        <f>IF($C118="","",INDEX(MATERIAL_MASTER!$P:$P,MATCH($C118,MATERIAL_MASTER!$A:$A,0)))</f>
        <v/>
      </c>
      <c r="I118" s="24">
        <f>IF($C118="","",INDEX(MATERIAL_FACTOR_APPLICABILITY!$D:$D,MATCH($C118,MATERIAL_FACTOR_APPLICABILITY!$A:$A,0)))</f>
        <v/>
      </c>
      <c r="J118" s="24">
        <f>IF($C118="","",INDEX(MATERIAL_FACTOR_APPLICABILITY!$E:$E,MATCH($C118,MATERIAL_FACTOR_APPLICABILITY!$A:$A,0)))</f>
        <v/>
      </c>
      <c r="K118" s="24">
        <f>IF($C118="","",INDEX(MATERIAL_FACTOR_APPLICABILITY!$F:$F,MATCH($C118,MATERIAL_FACTOR_APPLICABILITY!$A:$A,0)))</f>
        <v/>
      </c>
      <c r="L118" s="24">
        <f>IF($C118="","",INDEX(MATERIAL_FACTOR_APPLICABILITY!$G:$G,MATCH($C118,MATERIAL_FACTOR_APPLICABILITY!$A:$A,0)))</f>
        <v/>
      </c>
      <c r="M118" s="24">
        <f>IF($C118="","",INDEX(MATERIAL_FACTOR_APPLICABILITY!$H:$H,MATCH($C118,MATERIAL_FACTOR_APPLICABILITY!$A:$A,0)))</f>
        <v/>
      </c>
      <c r="N118" s="24">
        <f>IF($B118="","",ROUND(1+($I118*(SUMIFS(OBJECT_CONDITIONS!$W:$W,OBJECT_CONDITIONS!$A:$A,$B118)-1))+($J118*(SUMIFS(OBJECT_CONDITIONS!$J:$J,OBJECT_CONDITIONS!$A:$A,$B118)-1))+($K118*(SUMIFS(OBJECT_CONDITIONS!$L:$L,OBJECT_CONDITIONS!$A:$A,$B118)-1))+($L118*(SUMIFS(OBJECT_CONDITIONS!$N:$N,OBJECT_CONDITIONS!$A:$A,$B118)-1))+($M118*(SUMIFS(OBJECT_CONDITIONS!$R:$R,OBJECT_CONDITIONS!$A:$A,$B118)-1)),3))</f>
        <v/>
      </c>
      <c r="O118" s="24" t="n"/>
      <c r="P118" s="24">
        <f>IF(OR($H118="",$N118=""),"",ROUND($H118*$N118*IF($O118="",1,$O118),3))</f>
        <v/>
      </c>
      <c r="Q118" s="24">
        <f>IF(OR($E118="",$P118=""),"",ROUND($E118*$P118,3))</f>
        <v/>
      </c>
      <c r="R118" s="5">
        <f>IF($D118="","",IFERROR(INDEX(MATERIAL_VARIANTS!$O:$O,MATCH($D118,MATERIAL_VARIANTS!$A:$A,0)),""))</f>
        <v/>
      </c>
      <c r="S118" s="24">
        <f>IF($D118="","",IFERROR(INDEX(MATERIAL_VARIANTS!$P:$P,MATCH($D118,MATERIAL_VARIANTS!$A:$A,0)),""))</f>
        <v/>
      </c>
      <c r="T118" s="5">
        <f>IF(OR($Q118="",$S118="",$S118=0),"",ROUNDUP($Q118/$S118,0))</f>
        <v/>
      </c>
      <c r="U118" s="5" t="n"/>
    </row>
    <row r="119">
      <c r="A119" s="5" t="n"/>
      <c r="B119" s="5" t="n"/>
      <c r="C119" s="5" t="n"/>
      <c r="D119" s="5" t="n"/>
      <c r="E119" s="5" t="n"/>
      <c r="F119" s="5" t="n"/>
      <c r="G119" s="5">
        <f>IF($C119="","",INDEX(MATERIAL_MASTER!$O:$O,MATCH($C119,MATERIAL_MASTER!$A:$A,0)))</f>
        <v/>
      </c>
      <c r="H119" s="24">
        <f>IF($C119="","",INDEX(MATERIAL_MASTER!$P:$P,MATCH($C119,MATERIAL_MASTER!$A:$A,0)))</f>
        <v/>
      </c>
      <c r="I119" s="24">
        <f>IF($C119="","",INDEX(MATERIAL_FACTOR_APPLICABILITY!$D:$D,MATCH($C119,MATERIAL_FACTOR_APPLICABILITY!$A:$A,0)))</f>
        <v/>
      </c>
      <c r="J119" s="24">
        <f>IF($C119="","",INDEX(MATERIAL_FACTOR_APPLICABILITY!$E:$E,MATCH($C119,MATERIAL_FACTOR_APPLICABILITY!$A:$A,0)))</f>
        <v/>
      </c>
      <c r="K119" s="24">
        <f>IF($C119="","",INDEX(MATERIAL_FACTOR_APPLICABILITY!$F:$F,MATCH($C119,MATERIAL_FACTOR_APPLICABILITY!$A:$A,0)))</f>
        <v/>
      </c>
      <c r="L119" s="24">
        <f>IF($C119="","",INDEX(MATERIAL_FACTOR_APPLICABILITY!$G:$G,MATCH($C119,MATERIAL_FACTOR_APPLICABILITY!$A:$A,0)))</f>
        <v/>
      </c>
      <c r="M119" s="24">
        <f>IF($C119="","",INDEX(MATERIAL_FACTOR_APPLICABILITY!$H:$H,MATCH($C119,MATERIAL_FACTOR_APPLICABILITY!$A:$A,0)))</f>
        <v/>
      </c>
      <c r="N119" s="24">
        <f>IF($B119="","",ROUND(1+($I119*(SUMIFS(OBJECT_CONDITIONS!$W:$W,OBJECT_CONDITIONS!$A:$A,$B119)-1))+($J119*(SUMIFS(OBJECT_CONDITIONS!$J:$J,OBJECT_CONDITIONS!$A:$A,$B119)-1))+($K119*(SUMIFS(OBJECT_CONDITIONS!$L:$L,OBJECT_CONDITIONS!$A:$A,$B119)-1))+($L119*(SUMIFS(OBJECT_CONDITIONS!$N:$N,OBJECT_CONDITIONS!$A:$A,$B119)-1))+($M119*(SUMIFS(OBJECT_CONDITIONS!$R:$R,OBJECT_CONDITIONS!$A:$A,$B119)-1)),3))</f>
        <v/>
      </c>
      <c r="O119" s="24" t="n"/>
      <c r="P119" s="24">
        <f>IF(OR($H119="",$N119=""),"",ROUND($H119*$N119*IF($O119="",1,$O119),3))</f>
        <v/>
      </c>
      <c r="Q119" s="24">
        <f>IF(OR($E119="",$P119=""),"",ROUND($E119*$P119,3))</f>
        <v/>
      </c>
      <c r="R119" s="5">
        <f>IF($D119="","",IFERROR(INDEX(MATERIAL_VARIANTS!$O:$O,MATCH($D119,MATERIAL_VARIANTS!$A:$A,0)),""))</f>
        <v/>
      </c>
      <c r="S119" s="24">
        <f>IF($D119="","",IFERROR(INDEX(MATERIAL_VARIANTS!$P:$P,MATCH($D119,MATERIAL_VARIANTS!$A:$A,0)),""))</f>
        <v/>
      </c>
      <c r="T119" s="5">
        <f>IF(OR($Q119="",$S119="",$S119=0),"",ROUNDUP($Q119/$S119,0))</f>
        <v/>
      </c>
      <c r="U119" s="5" t="n"/>
    </row>
    <row r="120">
      <c r="A120" s="5" t="n"/>
      <c r="B120" s="5" t="n"/>
      <c r="C120" s="5" t="n"/>
      <c r="D120" s="5" t="n"/>
      <c r="E120" s="5" t="n"/>
      <c r="F120" s="5" t="n"/>
      <c r="G120" s="5">
        <f>IF($C120="","",INDEX(MATERIAL_MASTER!$O:$O,MATCH($C120,MATERIAL_MASTER!$A:$A,0)))</f>
        <v/>
      </c>
      <c r="H120" s="24">
        <f>IF($C120="","",INDEX(MATERIAL_MASTER!$P:$P,MATCH($C120,MATERIAL_MASTER!$A:$A,0)))</f>
        <v/>
      </c>
      <c r="I120" s="24">
        <f>IF($C120="","",INDEX(MATERIAL_FACTOR_APPLICABILITY!$D:$D,MATCH($C120,MATERIAL_FACTOR_APPLICABILITY!$A:$A,0)))</f>
        <v/>
      </c>
      <c r="J120" s="24">
        <f>IF($C120="","",INDEX(MATERIAL_FACTOR_APPLICABILITY!$E:$E,MATCH($C120,MATERIAL_FACTOR_APPLICABILITY!$A:$A,0)))</f>
        <v/>
      </c>
      <c r="K120" s="24">
        <f>IF($C120="","",INDEX(MATERIAL_FACTOR_APPLICABILITY!$F:$F,MATCH($C120,MATERIAL_FACTOR_APPLICABILITY!$A:$A,0)))</f>
        <v/>
      </c>
      <c r="L120" s="24">
        <f>IF($C120="","",INDEX(MATERIAL_FACTOR_APPLICABILITY!$G:$G,MATCH($C120,MATERIAL_FACTOR_APPLICABILITY!$A:$A,0)))</f>
        <v/>
      </c>
      <c r="M120" s="24">
        <f>IF($C120="","",INDEX(MATERIAL_FACTOR_APPLICABILITY!$H:$H,MATCH($C120,MATERIAL_FACTOR_APPLICABILITY!$A:$A,0)))</f>
        <v/>
      </c>
      <c r="N120" s="24">
        <f>IF($B120="","",ROUND(1+($I120*(SUMIFS(OBJECT_CONDITIONS!$W:$W,OBJECT_CONDITIONS!$A:$A,$B120)-1))+($J120*(SUMIFS(OBJECT_CONDITIONS!$J:$J,OBJECT_CONDITIONS!$A:$A,$B120)-1))+($K120*(SUMIFS(OBJECT_CONDITIONS!$L:$L,OBJECT_CONDITIONS!$A:$A,$B120)-1))+($L120*(SUMIFS(OBJECT_CONDITIONS!$N:$N,OBJECT_CONDITIONS!$A:$A,$B120)-1))+($M120*(SUMIFS(OBJECT_CONDITIONS!$R:$R,OBJECT_CONDITIONS!$A:$A,$B120)-1)),3))</f>
        <v/>
      </c>
      <c r="O120" s="24" t="n"/>
      <c r="P120" s="24">
        <f>IF(OR($H120="",$N120=""),"",ROUND($H120*$N120*IF($O120="",1,$O120),3))</f>
        <v/>
      </c>
      <c r="Q120" s="24">
        <f>IF(OR($E120="",$P120=""),"",ROUND($E120*$P120,3))</f>
        <v/>
      </c>
      <c r="R120" s="5">
        <f>IF($D120="","",IFERROR(INDEX(MATERIAL_VARIANTS!$O:$O,MATCH($D120,MATERIAL_VARIANTS!$A:$A,0)),""))</f>
        <v/>
      </c>
      <c r="S120" s="24">
        <f>IF($D120="","",IFERROR(INDEX(MATERIAL_VARIANTS!$P:$P,MATCH($D120,MATERIAL_VARIANTS!$A:$A,0)),""))</f>
        <v/>
      </c>
      <c r="T120" s="5">
        <f>IF(OR($Q120="",$S120="",$S120=0),"",ROUNDUP($Q120/$S120,0))</f>
        <v/>
      </c>
      <c r="U120" s="5" t="n"/>
    </row>
    <row r="121">
      <c r="A121" s="5" t="n"/>
      <c r="B121" s="5" t="n"/>
      <c r="C121" s="5" t="n"/>
      <c r="D121" s="5" t="n"/>
      <c r="E121" s="5" t="n"/>
      <c r="F121" s="5" t="n"/>
      <c r="G121" s="5">
        <f>IF($C121="","",INDEX(MATERIAL_MASTER!$O:$O,MATCH($C121,MATERIAL_MASTER!$A:$A,0)))</f>
        <v/>
      </c>
      <c r="H121" s="24">
        <f>IF($C121="","",INDEX(MATERIAL_MASTER!$P:$P,MATCH($C121,MATERIAL_MASTER!$A:$A,0)))</f>
        <v/>
      </c>
      <c r="I121" s="24">
        <f>IF($C121="","",INDEX(MATERIAL_FACTOR_APPLICABILITY!$D:$D,MATCH($C121,MATERIAL_FACTOR_APPLICABILITY!$A:$A,0)))</f>
        <v/>
      </c>
      <c r="J121" s="24">
        <f>IF($C121="","",INDEX(MATERIAL_FACTOR_APPLICABILITY!$E:$E,MATCH($C121,MATERIAL_FACTOR_APPLICABILITY!$A:$A,0)))</f>
        <v/>
      </c>
      <c r="K121" s="24">
        <f>IF($C121="","",INDEX(MATERIAL_FACTOR_APPLICABILITY!$F:$F,MATCH($C121,MATERIAL_FACTOR_APPLICABILITY!$A:$A,0)))</f>
        <v/>
      </c>
      <c r="L121" s="24">
        <f>IF($C121="","",INDEX(MATERIAL_FACTOR_APPLICABILITY!$G:$G,MATCH($C121,MATERIAL_FACTOR_APPLICABILITY!$A:$A,0)))</f>
        <v/>
      </c>
      <c r="M121" s="24">
        <f>IF($C121="","",INDEX(MATERIAL_FACTOR_APPLICABILITY!$H:$H,MATCH($C121,MATERIAL_FACTOR_APPLICABILITY!$A:$A,0)))</f>
        <v/>
      </c>
      <c r="N121" s="24">
        <f>IF($B121="","",ROUND(1+($I121*(SUMIFS(OBJECT_CONDITIONS!$W:$W,OBJECT_CONDITIONS!$A:$A,$B121)-1))+($J121*(SUMIFS(OBJECT_CONDITIONS!$J:$J,OBJECT_CONDITIONS!$A:$A,$B121)-1))+($K121*(SUMIFS(OBJECT_CONDITIONS!$L:$L,OBJECT_CONDITIONS!$A:$A,$B121)-1))+($L121*(SUMIFS(OBJECT_CONDITIONS!$N:$N,OBJECT_CONDITIONS!$A:$A,$B121)-1))+($M121*(SUMIFS(OBJECT_CONDITIONS!$R:$R,OBJECT_CONDITIONS!$A:$A,$B121)-1)),3))</f>
        <v/>
      </c>
      <c r="O121" s="24" t="n"/>
      <c r="P121" s="24">
        <f>IF(OR($H121="",$N121=""),"",ROUND($H121*$N121*IF($O121="",1,$O121),3))</f>
        <v/>
      </c>
      <c r="Q121" s="24">
        <f>IF(OR($E121="",$P121=""),"",ROUND($E121*$P121,3))</f>
        <v/>
      </c>
      <c r="R121" s="5">
        <f>IF($D121="","",IFERROR(INDEX(MATERIAL_VARIANTS!$O:$O,MATCH($D121,MATERIAL_VARIANTS!$A:$A,0)),""))</f>
        <v/>
      </c>
      <c r="S121" s="24">
        <f>IF($D121="","",IFERROR(INDEX(MATERIAL_VARIANTS!$P:$P,MATCH($D121,MATERIAL_VARIANTS!$A:$A,0)),""))</f>
        <v/>
      </c>
      <c r="T121" s="5">
        <f>IF(OR($Q121="",$S121="",$S121=0),"",ROUNDUP($Q121/$S121,0))</f>
        <v/>
      </c>
      <c r="U121" s="5" t="n"/>
    </row>
    <row r="122">
      <c r="A122" s="5" t="n"/>
      <c r="B122" s="5" t="n"/>
      <c r="C122" s="5" t="n"/>
      <c r="D122" s="5" t="n"/>
      <c r="E122" s="5" t="n"/>
      <c r="F122" s="5" t="n"/>
      <c r="G122" s="5">
        <f>IF($C122="","",INDEX(MATERIAL_MASTER!$O:$O,MATCH($C122,MATERIAL_MASTER!$A:$A,0)))</f>
        <v/>
      </c>
      <c r="H122" s="24">
        <f>IF($C122="","",INDEX(MATERIAL_MASTER!$P:$P,MATCH($C122,MATERIAL_MASTER!$A:$A,0)))</f>
        <v/>
      </c>
      <c r="I122" s="24">
        <f>IF($C122="","",INDEX(MATERIAL_FACTOR_APPLICABILITY!$D:$D,MATCH($C122,MATERIAL_FACTOR_APPLICABILITY!$A:$A,0)))</f>
        <v/>
      </c>
      <c r="J122" s="24">
        <f>IF($C122="","",INDEX(MATERIAL_FACTOR_APPLICABILITY!$E:$E,MATCH($C122,MATERIAL_FACTOR_APPLICABILITY!$A:$A,0)))</f>
        <v/>
      </c>
      <c r="K122" s="24">
        <f>IF($C122="","",INDEX(MATERIAL_FACTOR_APPLICABILITY!$F:$F,MATCH($C122,MATERIAL_FACTOR_APPLICABILITY!$A:$A,0)))</f>
        <v/>
      </c>
      <c r="L122" s="24">
        <f>IF($C122="","",INDEX(MATERIAL_FACTOR_APPLICABILITY!$G:$G,MATCH($C122,MATERIAL_FACTOR_APPLICABILITY!$A:$A,0)))</f>
        <v/>
      </c>
      <c r="M122" s="24">
        <f>IF($C122="","",INDEX(MATERIAL_FACTOR_APPLICABILITY!$H:$H,MATCH($C122,MATERIAL_FACTOR_APPLICABILITY!$A:$A,0)))</f>
        <v/>
      </c>
      <c r="N122" s="24">
        <f>IF($B122="","",ROUND(1+($I122*(SUMIFS(OBJECT_CONDITIONS!$W:$W,OBJECT_CONDITIONS!$A:$A,$B122)-1))+($J122*(SUMIFS(OBJECT_CONDITIONS!$J:$J,OBJECT_CONDITIONS!$A:$A,$B122)-1))+($K122*(SUMIFS(OBJECT_CONDITIONS!$L:$L,OBJECT_CONDITIONS!$A:$A,$B122)-1))+($L122*(SUMIFS(OBJECT_CONDITIONS!$N:$N,OBJECT_CONDITIONS!$A:$A,$B122)-1))+($M122*(SUMIFS(OBJECT_CONDITIONS!$R:$R,OBJECT_CONDITIONS!$A:$A,$B122)-1)),3))</f>
        <v/>
      </c>
      <c r="O122" s="24" t="n"/>
      <c r="P122" s="24">
        <f>IF(OR($H122="",$N122=""),"",ROUND($H122*$N122*IF($O122="",1,$O122),3))</f>
        <v/>
      </c>
      <c r="Q122" s="24">
        <f>IF(OR($E122="",$P122=""),"",ROUND($E122*$P122,3))</f>
        <v/>
      </c>
      <c r="R122" s="5">
        <f>IF($D122="","",IFERROR(INDEX(MATERIAL_VARIANTS!$O:$O,MATCH($D122,MATERIAL_VARIANTS!$A:$A,0)),""))</f>
        <v/>
      </c>
      <c r="S122" s="24">
        <f>IF($D122="","",IFERROR(INDEX(MATERIAL_VARIANTS!$P:$P,MATCH($D122,MATERIAL_VARIANTS!$A:$A,0)),""))</f>
        <v/>
      </c>
      <c r="T122" s="5">
        <f>IF(OR($Q122="",$S122="",$S122=0),"",ROUNDUP($Q122/$S122,0))</f>
        <v/>
      </c>
      <c r="U122" s="5" t="n"/>
    </row>
    <row r="123">
      <c r="A123" s="5" t="n"/>
      <c r="B123" s="5" t="n"/>
      <c r="C123" s="5" t="n"/>
      <c r="D123" s="5" t="n"/>
      <c r="E123" s="5" t="n"/>
      <c r="F123" s="5" t="n"/>
      <c r="G123" s="5">
        <f>IF($C123="","",INDEX(MATERIAL_MASTER!$O:$O,MATCH($C123,MATERIAL_MASTER!$A:$A,0)))</f>
        <v/>
      </c>
      <c r="H123" s="24">
        <f>IF($C123="","",INDEX(MATERIAL_MASTER!$P:$P,MATCH($C123,MATERIAL_MASTER!$A:$A,0)))</f>
        <v/>
      </c>
      <c r="I123" s="24">
        <f>IF($C123="","",INDEX(MATERIAL_FACTOR_APPLICABILITY!$D:$D,MATCH($C123,MATERIAL_FACTOR_APPLICABILITY!$A:$A,0)))</f>
        <v/>
      </c>
      <c r="J123" s="24">
        <f>IF($C123="","",INDEX(MATERIAL_FACTOR_APPLICABILITY!$E:$E,MATCH($C123,MATERIAL_FACTOR_APPLICABILITY!$A:$A,0)))</f>
        <v/>
      </c>
      <c r="K123" s="24">
        <f>IF($C123="","",INDEX(MATERIAL_FACTOR_APPLICABILITY!$F:$F,MATCH($C123,MATERIAL_FACTOR_APPLICABILITY!$A:$A,0)))</f>
        <v/>
      </c>
      <c r="L123" s="24">
        <f>IF($C123="","",INDEX(MATERIAL_FACTOR_APPLICABILITY!$G:$G,MATCH($C123,MATERIAL_FACTOR_APPLICABILITY!$A:$A,0)))</f>
        <v/>
      </c>
      <c r="M123" s="24">
        <f>IF($C123="","",INDEX(MATERIAL_FACTOR_APPLICABILITY!$H:$H,MATCH($C123,MATERIAL_FACTOR_APPLICABILITY!$A:$A,0)))</f>
        <v/>
      </c>
      <c r="N123" s="24">
        <f>IF($B123="","",ROUND(1+($I123*(SUMIFS(OBJECT_CONDITIONS!$W:$W,OBJECT_CONDITIONS!$A:$A,$B123)-1))+($J123*(SUMIFS(OBJECT_CONDITIONS!$J:$J,OBJECT_CONDITIONS!$A:$A,$B123)-1))+($K123*(SUMIFS(OBJECT_CONDITIONS!$L:$L,OBJECT_CONDITIONS!$A:$A,$B123)-1))+($L123*(SUMIFS(OBJECT_CONDITIONS!$N:$N,OBJECT_CONDITIONS!$A:$A,$B123)-1))+($M123*(SUMIFS(OBJECT_CONDITIONS!$R:$R,OBJECT_CONDITIONS!$A:$A,$B123)-1)),3))</f>
        <v/>
      </c>
      <c r="O123" s="24" t="n"/>
      <c r="P123" s="24">
        <f>IF(OR($H123="",$N123=""),"",ROUND($H123*$N123*IF($O123="",1,$O123),3))</f>
        <v/>
      </c>
      <c r="Q123" s="24">
        <f>IF(OR($E123="",$P123=""),"",ROUND($E123*$P123,3))</f>
        <v/>
      </c>
      <c r="R123" s="5">
        <f>IF($D123="","",IFERROR(INDEX(MATERIAL_VARIANTS!$O:$O,MATCH($D123,MATERIAL_VARIANTS!$A:$A,0)),""))</f>
        <v/>
      </c>
      <c r="S123" s="24">
        <f>IF($D123="","",IFERROR(INDEX(MATERIAL_VARIANTS!$P:$P,MATCH($D123,MATERIAL_VARIANTS!$A:$A,0)),""))</f>
        <v/>
      </c>
      <c r="T123" s="5">
        <f>IF(OR($Q123="",$S123="",$S123=0),"",ROUNDUP($Q123/$S123,0))</f>
        <v/>
      </c>
      <c r="U123" s="5" t="n"/>
    </row>
    <row r="124">
      <c r="A124" s="5" t="n"/>
      <c r="B124" s="5" t="n"/>
      <c r="C124" s="5" t="n"/>
      <c r="D124" s="5" t="n"/>
      <c r="E124" s="5" t="n"/>
      <c r="F124" s="5" t="n"/>
      <c r="G124" s="5">
        <f>IF($C124="","",INDEX(MATERIAL_MASTER!$O:$O,MATCH($C124,MATERIAL_MASTER!$A:$A,0)))</f>
        <v/>
      </c>
      <c r="H124" s="24">
        <f>IF($C124="","",INDEX(MATERIAL_MASTER!$P:$P,MATCH($C124,MATERIAL_MASTER!$A:$A,0)))</f>
        <v/>
      </c>
      <c r="I124" s="24">
        <f>IF($C124="","",INDEX(MATERIAL_FACTOR_APPLICABILITY!$D:$D,MATCH($C124,MATERIAL_FACTOR_APPLICABILITY!$A:$A,0)))</f>
        <v/>
      </c>
      <c r="J124" s="24">
        <f>IF($C124="","",INDEX(MATERIAL_FACTOR_APPLICABILITY!$E:$E,MATCH($C124,MATERIAL_FACTOR_APPLICABILITY!$A:$A,0)))</f>
        <v/>
      </c>
      <c r="K124" s="24">
        <f>IF($C124="","",INDEX(MATERIAL_FACTOR_APPLICABILITY!$F:$F,MATCH($C124,MATERIAL_FACTOR_APPLICABILITY!$A:$A,0)))</f>
        <v/>
      </c>
      <c r="L124" s="24">
        <f>IF($C124="","",INDEX(MATERIAL_FACTOR_APPLICABILITY!$G:$G,MATCH($C124,MATERIAL_FACTOR_APPLICABILITY!$A:$A,0)))</f>
        <v/>
      </c>
      <c r="M124" s="24">
        <f>IF($C124="","",INDEX(MATERIAL_FACTOR_APPLICABILITY!$H:$H,MATCH($C124,MATERIAL_FACTOR_APPLICABILITY!$A:$A,0)))</f>
        <v/>
      </c>
      <c r="N124" s="24">
        <f>IF($B124="","",ROUND(1+($I124*(SUMIFS(OBJECT_CONDITIONS!$W:$W,OBJECT_CONDITIONS!$A:$A,$B124)-1))+($J124*(SUMIFS(OBJECT_CONDITIONS!$J:$J,OBJECT_CONDITIONS!$A:$A,$B124)-1))+($K124*(SUMIFS(OBJECT_CONDITIONS!$L:$L,OBJECT_CONDITIONS!$A:$A,$B124)-1))+($L124*(SUMIFS(OBJECT_CONDITIONS!$N:$N,OBJECT_CONDITIONS!$A:$A,$B124)-1))+($M124*(SUMIFS(OBJECT_CONDITIONS!$R:$R,OBJECT_CONDITIONS!$A:$A,$B124)-1)),3))</f>
        <v/>
      </c>
      <c r="O124" s="24" t="n"/>
      <c r="P124" s="24">
        <f>IF(OR($H124="",$N124=""),"",ROUND($H124*$N124*IF($O124="",1,$O124),3))</f>
        <v/>
      </c>
      <c r="Q124" s="24">
        <f>IF(OR($E124="",$P124=""),"",ROUND($E124*$P124,3))</f>
        <v/>
      </c>
      <c r="R124" s="5">
        <f>IF($D124="","",IFERROR(INDEX(MATERIAL_VARIANTS!$O:$O,MATCH($D124,MATERIAL_VARIANTS!$A:$A,0)),""))</f>
        <v/>
      </c>
      <c r="S124" s="24">
        <f>IF($D124="","",IFERROR(INDEX(MATERIAL_VARIANTS!$P:$P,MATCH($D124,MATERIAL_VARIANTS!$A:$A,0)),""))</f>
        <v/>
      </c>
      <c r="T124" s="5">
        <f>IF(OR($Q124="",$S124="",$S124=0),"",ROUNDUP($Q124/$S124,0))</f>
        <v/>
      </c>
      <c r="U124" s="5" t="n"/>
    </row>
    <row r="125">
      <c r="A125" s="5" t="n"/>
      <c r="B125" s="5" t="n"/>
      <c r="C125" s="5" t="n"/>
      <c r="D125" s="5" t="n"/>
      <c r="E125" s="5" t="n"/>
      <c r="F125" s="5" t="n"/>
      <c r="G125" s="5">
        <f>IF($C125="","",INDEX(MATERIAL_MASTER!$O:$O,MATCH($C125,MATERIAL_MASTER!$A:$A,0)))</f>
        <v/>
      </c>
      <c r="H125" s="24">
        <f>IF($C125="","",INDEX(MATERIAL_MASTER!$P:$P,MATCH($C125,MATERIAL_MASTER!$A:$A,0)))</f>
        <v/>
      </c>
      <c r="I125" s="24">
        <f>IF($C125="","",INDEX(MATERIAL_FACTOR_APPLICABILITY!$D:$D,MATCH($C125,MATERIAL_FACTOR_APPLICABILITY!$A:$A,0)))</f>
        <v/>
      </c>
      <c r="J125" s="24">
        <f>IF($C125="","",INDEX(MATERIAL_FACTOR_APPLICABILITY!$E:$E,MATCH($C125,MATERIAL_FACTOR_APPLICABILITY!$A:$A,0)))</f>
        <v/>
      </c>
      <c r="K125" s="24">
        <f>IF($C125="","",INDEX(MATERIAL_FACTOR_APPLICABILITY!$F:$F,MATCH($C125,MATERIAL_FACTOR_APPLICABILITY!$A:$A,0)))</f>
        <v/>
      </c>
      <c r="L125" s="24">
        <f>IF($C125="","",INDEX(MATERIAL_FACTOR_APPLICABILITY!$G:$G,MATCH($C125,MATERIAL_FACTOR_APPLICABILITY!$A:$A,0)))</f>
        <v/>
      </c>
      <c r="M125" s="24">
        <f>IF($C125="","",INDEX(MATERIAL_FACTOR_APPLICABILITY!$H:$H,MATCH($C125,MATERIAL_FACTOR_APPLICABILITY!$A:$A,0)))</f>
        <v/>
      </c>
      <c r="N125" s="24">
        <f>IF($B125="","",ROUND(1+($I125*(SUMIFS(OBJECT_CONDITIONS!$W:$W,OBJECT_CONDITIONS!$A:$A,$B125)-1))+($J125*(SUMIFS(OBJECT_CONDITIONS!$J:$J,OBJECT_CONDITIONS!$A:$A,$B125)-1))+($K125*(SUMIFS(OBJECT_CONDITIONS!$L:$L,OBJECT_CONDITIONS!$A:$A,$B125)-1))+($L125*(SUMIFS(OBJECT_CONDITIONS!$N:$N,OBJECT_CONDITIONS!$A:$A,$B125)-1))+($M125*(SUMIFS(OBJECT_CONDITIONS!$R:$R,OBJECT_CONDITIONS!$A:$A,$B125)-1)),3))</f>
        <v/>
      </c>
      <c r="O125" s="24" t="n"/>
      <c r="P125" s="24">
        <f>IF(OR($H125="",$N125=""),"",ROUND($H125*$N125*IF($O125="",1,$O125),3))</f>
        <v/>
      </c>
      <c r="Q125" s="24">
        <f>IF(OR($E125="",$P125=""),"",ROUND($E125*$P125,3))</f>
        <v/>
      </c>
      <c r="R125" s="5">
        <f>IF($D125="","",IFERROR(INDEX(MATERIAL_VARIANTS!$O:$O,MATCH($D125,MATERIAL_VARIANTS!$A:$A,0)),""))</f>
        <v/>
      </c>
      <c r="S125" s="24">
        <f>IF($D125="","",IFERROR(INDEX(MATERIAL_VARIANTS!$P:$P,MATCH($D125,MATERIAL_VARIANTS!$A:$A,0)),""))</f>
        <v/>
      </c>
      <c r="T125" s="5">
        <f>IF(OR($Q125="",$S125="",$S125=0),"",ROUNDUP($Q125/$S125,0))</f>
        <v/>
      </c>
      <c r="U125" s="5" t="n"/>
    </row>
    <row r="126">
      <c r="A126" s="5" t="n"/>
      <c r="B126" s="5" t="n"/>
      <c r="C126" s="5" t="n"/>
      <c r="D126" s="5" t="n"/>
      <c r="E126" s="5" t="n"/>
      <c r="F126" s="5" t="n"/>
      <c r="G126" s="5">
        <f>IF($C126="","",INDEX(MATERIAL_MASTER!$O:$O,MATCH($C126,MATERIAL_MASTER!$A:$A,0)))</f>
        <v/>
      </c>
      <c r="H126" s="24">
        <f>IF($C126="","",INDEX(MATERIAL_MASTER!$P:$P,MATCH($C126,MATERIAL_MASTER!$A:$A,0)))</f>
        <v/>
      </c>
      <c r="I126" s="24">
        <f>IF($C126="","",INDEX(MATERIAL_FACTOR_APPLICABILITY!$D:$D,MATCH($C126,MATERIAL_FACTOR_APPLICABILITY!$A:$A,0)))</f>
        <v/>
      </c>
      <c r="J126" s="24">
        <f>IF($C126="","",INDEX(MATERIAL_FACTOR_APPLICABILITY!$E:$E,MATCH($C126,MATERIAL_FACTOR_APPLICABILITY!$A:$A,0)))</f>
        <v/>
      </c>
      <c r="K126" s="24">
        <f>IF($C126="","",INDEX(MATERIAL_FACTOR_APPLICABILITY!$F:$F,MATCH($C126,MATERIAL_FACTOR_APPLICABILITY!$A:$A,0)))</f>
        <v/>
      </c>
      <c r="L126" s="24">
        <f>IF($C126="","",INDEX(MATERIAL_FACTOR_APPLICABILITY!$G:$G,MATCH($C126,MATERIAL_FACTOR_APPLICABILITY!$A:$A,0)))</f>
        <v/>
      </c>
      <c r="M126" s="24">
        <f>IF($C126="","",INDEX(MATERIAL_FACTOR_APPLICABILITY!$H:$H,MATCH($C126,MATERIAL_FACTOR_APPLICABILITY!$A:$A,0)))</f>
        <v/>
      </c>
      <c r="N126" s="24">
        <f>IF($B126="","",ROUND(1+($I126*(SUMIFS(OBJECT_CONDITIONS!$W:$W,OBJECT_CONDITIONS!$A:$A,$B126)-1))+($J126*(SUMIFS(OBJECT_CONDITIONS!$J:$J,OBJECT_CONDITIONS!$A:$A,$B126)-1))+($K126*(SUMIFS(OBJECT_CONDITIONS!$L:$L,OBJECT_CONDITIONS!$A:$A,$B126)-1))+($L126*(SUMIFS(OBJECT_CONDITIONS!$N:$N,OBJECT_CONDITIONS!$A:$A,$B126)-1))+($M126*(SUMIFS(OBJECT_CONDITIONS!$R:$R,OBJECT_CONDITIONS!$A:$A,$B126)-1)),3))</f>
        <v/>
      </c>
      <c r="O126" s="24" t="n"/>
      <c r="P126" s="24">
        <f>IF(OR($H126="",$N126=""),"",ROUND($H126*$N126*IF($O126="",1,$O126),3))</f>
        <v/>
      </c>
      <c r="Q126" s="24">
        <f>IF(OR($E126="",$P126=""),"",ROUND($E126*$P126,3))</f>
        <v/>
      </c>
      <c r="R126" s="5">
        <f>IF($D126="","",IFERROR(INDEX(MATERIAL_VARIANTS!$O:$O,MATCH($D126,MATERIAL_VARIANTS!$A:$A,0)),""))</f>
        <v/>
      </c>
      <c r="S126" s="24">
        <f>IF($D126="","",IFERROR(INDEX(MATERIAL_VARIANTS!$P:$P,MATCH($D126,MATERIAL_VARIANTS!$A:$A,0)),""))</f>
        <v/>
      </c>
      <c r="T126" s="5">
        <f>IF(OR($Q126="",$S126="",$S126=0),"",ROUNDUP($Q126/$S126,0))</f>
        <v/>
      </c>
      <c r="U126" s="5" t="n"/>
    </row>
    <row r="127">
      <c r="A127" s="5" t="n"/>
      <c r="B127" s="5" t="n"/>
      <c r="C127" s="5" t="n"/>
      <c r="D127" s="5" t="n"/>
      <c r="E127" s="5" t="n"/>
      <c r="F127" s="5" t="n"/>
      <c r="G127" s="5">
        <f>IF($C127="","",INDEX(MATERIAL_MASTER!$O:$O,MATCH($C127,MATERIAL_MASTER!$A:$A,0)))</f>
        <v/>
      </c>
      <c r="H127" s="24">
        <f>IF($C127="","",INDEX(MATERIAL_MASTER!$P:$P,MATCH($C127,MATERIAL_MASTER!$A:$A,0)))</f>
        <v/>
      </c>
      <c r="I127" s="24">
        <f>IF($C127="","",INDEX(MATERIAL_FACTOR_APPLICABILITY!$D:$D,MATCH($C127,MATERIAL_FACTOR_APPLICABILITY!$A:$A,0)))</f>
        <v/>
      </c>
      <c r="J127" s="24">
        <f>IF($C127="","",INDEX(MATERIAL_FACTOR_APPLICABILITY!$E:$E,MATCH($C127,MATERIAL_FACTOR_APPLICABILITY!$A:$A,0)))</f>
        <v/>
      </c>
      <c r="K127" s="24">
        <f>IF($C127="","",INDEX(MATERIAL_FACTOR_APPLICABILITY!$F:$F,MATCH($C127,MATERIAL_FACTOR_APPLICABILITY!$A:$A,0)))</f>
        <v/>
      </c>
      <c r="L127" s="24">
        <f>IF($C127="","",INDEX(MATERIAL_FACTOR_APPLICABILITY!$G:$G,MATCH($C127,MATERIAL_FACTOR_APPLICABILITY!$A:$A,0)))</f>
        <v/>
      </c>
      <c r="M127" s="24">
        <f>IF($C127="","",INDEX(MATERIAL_FACTOR_APPLICABILITY!$H:$H,MATCH($C127,MATERIAL_FACTOR_APPLICABILITY!$A:$A,0)))</f>
        <v/>
      </c>
      <c r="N127" s="24">
        <f>IF($B127="","",ROUND(1+($I127*(SUMIFS(OBJECT_CONDITIONS!$W:$W,OBJECT_CONDITIONS!$A:$A,$B127)-1))+($J127*(SUMIFS(OBJECT_CONDITIONS!$J:$J,OBJECT_CONDITIONS!$A:$A,$B127)-1))+($K127*(SUMIFS(OBJECT_CONDITIONS!$L:$L,OBJECT_CONDITIONS!$A:$A,$B127)-1))+($L127*(SUMIFS(OBJECT_CONDITIONS!$N:$N,OBJECT_CONDITIONS!$A:$A,$B127)-1))+($M127*(SUMIFS(OBJECT_CONDITIONS!$R:$R,OBJECT_CONDITIONS!$A:$A,$B127)-1)),3))</f>
        <v/>
      </c>
      <c r="O127" s="24" t="n"/>
      <c r="P127" s="24">
        <f>IF(OR($H127="",$N127=""),"",ROUND($H127*$N127*IF($O127="",1,$O127),3))</f>
        <v/>
      </c>
      <c r="Q127" s="24">
        <f>IF(OR($E127="",$P127=""),"",ROUND($E127*$P127,3))</f>
        <v/>
      </c>
      <c r="R127" s="5">
        <f>IF($D127="","",IFERROR(INDEX(MATERIAL_VARIANTS!$O:$O,MATCH($D127,MATERIAL_VARIANTS!$A:$A,0)),""))</f>
        <v/>
      </c>
      <c r="S127" s="24">
        <f>IF($D127="","",IFERROR(INDEX(MATERIAL_VARIANTS!$P:$P,MATCH($D127,MATERIAL_VARIANTS!$A:$A,0)),""))</f>
        <v/>
      </c>
      <c r="T127" s="5">
        <f>IF(OR($Q127="",$S127="",$S127=0),"",ROUNDUP($Q127/$S127,0))</f>
        <v/>
      </c>
      <c r="U127" s="5" t="n"/>
    </row>
    <row r="128">
      <c r="A128" s="5" t="n"/>
      <c r="B128" s="5" t="n"/>
      <c r="C128" s="5" t="n"/>
      <c r="D128" s="5" t="n"/>
      <c r="E128" s="5" t="n"/>
      <c r="F128" s="5" t="n"/>
      <c r="G128" s="5">
        <f>IF($C128="","",INDEX(MATERIAL_MASTER!$O:$O,MATCH($C128,MATERIAL_MASTER!$A:$A,0)))</f>
        <v/>
      </c>
      <c r="H128" s="24">
        <f>IF($C128="","",INDEX(MATERIAL_MASTER!$P:$P,MATCH($C128,MATERIAL_MASTER!$A:$A,0)))</f>
        <v/>
      </c>
      <c r="I128" s="24">
        <f>IF($C128="","",INDEX(MATERIAL_FACTOR_APPLICABILITY!$D:$D,MATCH($C128,MATERIAL_FACTOR_APPLICABILITY!$A:$A,0)))</f>
        <v/>
      </c>
      <c r="J128" s="24">
        <f>IF($C128="","",INDEX(MATERIAL_FACTOR_APPLICABILITY!$E:$E,MATCH($C128,MATERIAL_FACTOR_APPLICABILITY!$A:$A,0)))</f>
        <v/>
      </c>
      <c r="K128" s="24">
        <f>IF($C128="","",INDEX(MATERIAL_FACTOR_APPLICABILITY!$F:$F,MATCH($C128,MATERIAL_FACTOR_APPLICABILITY!$A:$A,0)))</f>
        <v/>
      </c>
      <c r="L128" s="24">
        <f>IF($C128="","",INDEX(MATERIAL_FACTOR_APPLICABILITY!$G:$G,MATCH($C128,MATERIAL_FACTOR_APPLICABILITY!$A:$A,0)))</f>
        <v/>
      </c>
      <c r="M128" s="24">
        <f>IF($C128="","",INDEX(MATERIAL_FACTOR_APPLICABILITY!$H:$H,MATCH($C128,MATERIAL_FACTOR_APPLICABILITY!$A:$A,0)))</f>
        <v/>
      </c>
      <c r="N128" s="24">
        <f>IF($B128="","",ROUND(1+($I128*(SUMIFS(OBJECT_CONDITIONS!$W:$W,OBJECT_CONDITIONS!$A:$A,$B128)-1))+($J128*(SUMIFS(OBJECT_CONDITIONS!$J:$J,OBJECT_CONDITIONS!$A:$A,$B128)-1))+($K128*(SUMIFS(OBJECT_CONDITIONS!$L:$L,OBJECT_CONDITIONS!$A:$A,$B128)-1))+($L128*(SUMIFS(OBJECT_CONDITIONS!$N:$N,OBJECT_CONDITIONS!$A:$A,$B128)-1))+($M128*(SUMIFS(OBJECT_CONDITIONS!$R:$R,OBJECT_CONDITIONS!$A:$A,$B128)-1)),3))</f>
        <v/>
      </c>
      <c r="O128" s="24" t="n"/>
      <c r="P128" s="24">
        <f>IF(OR($H128="",$N128=""),"",ROUND($H128*$N128*IF($O128="",1,$O128),3))</f>
        <v/>
      </c>
      <c r="Q128" s="24">
        <f>IF(OR($E128="",$P128=""),"",ROUND($E128*$P128,3))</f>
        <v/>
      </c>
      <c r="R128" s="5">
        <f>IF($D128="","",IFERROR(INDEX(MATERIAL_VARIANTS!$O:$O,MATCH($D128,MATERIAL_VARIANTS!$A:$A,0)),""))</f>
        <v/>
      </c>
      <c r="S128" s="24">
        <f>IF($D128="","",IFERROR(INDEX(MATERIAL_VARIANTS!$P:$P,MATCH($D128,MATERIAL_VARIANTS!$A:$A,0)),""))</f>
        <v/>
      </c>
      <c r="T128" s="5">
        <f>IF(OR($Q128="",$S128="",$S128=0),"",ROUNDUP($Q128/$S128,0))</f>
        <v/>
      </c>
      <c r="U128" s="5" t="n"/>
    </row>
    <row r="129">
      <c r="A129" s="5" t="n"/>
      <c r="B129" s="5" t="n"/>
      <c r="C129" s="5" t="n"/>
      <c r="D129" s="5" t="n"/>
      <c r="E129" s="5" t="n"/>
      <c r="F129" s="5" t="n"/>
      <c r="G129" s="5">
        <f>IF($C129="","",INDEX(MATERIAL_MASTER!$O:$O,MATCH($C129,MATERIAL_MASTER!$A:$A,0)))</f>
        <v/>
      </c>
      <c r="H129" s="24">
        <f>IF($C129="","",INDEX(MATERIAL_MASTER!$P:$P,MATCH($C129,MATERIAL_MASTER!$A:$A,0)))</f>
        <v/>
      </c>
      <c r="I129" s="24">
        <f>IF($C129="","",INDEX(MATERIAL_FACTOR_APPLICABILITY!$D:$D,MATCH($C129,MATERIAL_FACTOR_APPLICABILITY!$A:$A,0)))</f>
        <v/>
      </c>
      <c r="J129" s="24">
        <f>IF($C129="","",INDEX(MATERIAL_FACTOR_APPLICABILITY!$E:$E,MATCH($C129,MATERIAL_FACTOR_APPLICABILITY!$A:$A,0)))</f>
        <v/>
      </c>
      <c r="K129" s="24">
        <f>IF($C129="","",INDEX(MATERIAL_FACTOR_APPLICABILITY!$F:$F,MATCH($C129,MATERIAL_FACTOR_APPLICABILITY!$A:$A,0)))</f>
        <v/>
      </c>
      <c r="L129" s="24">
        <f>IF($C129="","",INDEX(MATERIAL_FACTOR_APPLICABILITY!$G:$G,MATCH($C129,MATERIAL_FACTOR_APPLICABILITY!$A:$A,0)))</f>
        <v/>
      </c>
      <c r="M129" s="24">
        <f>IF($C129="","",INDEX(MATERIAL_FACTOR_APPLICABILITY!$H:$H,MATCH($C129,MATERIAL_FACTOR_APPLICABILITY!$A:$A,0)))</f>
        <v/>
      </c>
      <c r="N129" s="24">
        <f>IF($B129="","",ROUND(1+($I129*(SUMIFS(OBJECT_CONDITIONS!$W:$W,OBJECT_CONDITIONS!$A:$A,$B129)-1))+($J129*(SUMIFS(OBJECT_CONDITIONS!$J:$J,OBJECT_CONDITIONS!$A:$A,$B129)-1))+($K129*(SUMIFS(OBJECT_CONDITIONS!$L:$L,OBJECT_CONDITIONS!$A:$A,$B129)-1))+($L129*(SUMIFS(OBJECT_CONDITIONS!$N:$N,OBJECT_CONDITIONS!$A:$A,$B129)-1))+($M129*(SUMIFS(OBJECT_CONDITIONS!$R:$R,OBJECT_CONDITIONS!$A:$A,$B129)-1)),3))</f>
        <v/>
      </c>
      <c r="O129" s="24" t="n"/>
      <c r="P129" s="24">
        <f>IF(OR($H129="",$N129=""),"",ROUND($H129*$N129*IF($O129="",1,$O129),3))</f>
        <v/>
      </c>
      <c r="Q129" s="24">
        <f>IF(OR($E129="",$P129=""),"",ROUND($E129*$P129,3))</f>
        <v/>
      </c>
      <c r="R129" s="5">
        <f>IF($D129="","",IFERROR(INDEX(MATERIAL_VARIANTS!$O:$O,MATCH($D129,MATERIAL_VARIANTS!$A:$A,0)),""))</f>
        <v/>
      </c>
      <c r="S129" s="24">
        <f>IF($D129="","",IFERROR(INDEX(MATERIAL_VARIANTS!$P:$P,MATCH($D129,MATERIAL_VARIANTS!$A:$A,0)),""))</f>
        <v/>
      </c>
      <c r="T129" s="5">
        <f>IF(OR($Q129="",$S129="",$S129=0),"",ROUNDUP($Q129/$S129,0))</f>
        <v/>
      </c>
      <c r="U129" s="5" t="n"/>
    </row>
    <row r="130">
      <c r="A130" s="5" t="n"/>
      <c r="B130" s="5" t="n"/>
      <c r="C130" s="5" t="n"/>
      <c r="D130" s="5" t="n"/>
      <c r="E130" s="5" t="n"/>
      <c r="F130" s="5" t="n"/>
      <c r="G130" s="5">
        <f>IF($C130="","",INDEX(MATERIAL_MASTER!$O:$O,MATCH($C130,MATERIAL_MASTER!$A:$A,0)))</f>
        <v/>
      </c>
      <c r="H130" s="24">
        <f>IF($C130="","",INDEX(MATERIAL_MASTER!$P:$P,MATCH($C130,MATERIAL_MASTER!$A:$A,0)))</f>
        <v/>
      </c>
      <c r="I130" s="24">
        <f>IF($C130="","",INDEX(MATERIAL_FACTOR_APPLICABILITY!$D:$D,MATCH($C130,MATERIAL_FACTOR_APPLICABILITY!$A:$A,0)))</f>
        <v/>
      </c>
      <c r="J130" s="24">
        <f>IF($C130="","",INDEX(MATERIAL_FACTOR_APPLICABILITY!$E:$E,MATCH($C130,MATERIAL_FACTOR_APPLICABILITY!$A:$A,0)))</f>
        <v/>
      </c>
      <c r="K130" s="24">
        <f>IF($C130="","",INDEX(MATERIAL_FACTOR_APPLICABILITY!$F:$F,MATCH($C130,MATERIAL_FACTOR_APPLICABILITY!$A:$A,0)))</f>
        <v/>
      </c>
      <c r="L130" s="24">
        <f>IF($C130="","",INDEX(MATERIAL_FACTOR_APPLICABILITY!$G:$G,MATCH($C130,MATERIAL_FACTOR_APPLICABILITY!$A:$A,0)))</f>
        <v/>
      </c>
      <c r="M130" s="24">
        <f>IF($C130="","",INDEX(MATERIAL_FACTOR_APPLICABILITY!$H:$H,MATCH($C130,MATERIAL_FACTOR_APPLICABILITY!$A:$A,0)))</f>
        <v/>
      </c>
      <c r="N130" s="24">
        <f>IF($B130="","",ROUND(1+($I130*(SUMIFS(OBJECT_CONDITIONS!$W:$W,OBJECT_CONDITIONS!$A:$A,$B130)-1))+($J130*(SUMIFS(OBJECT_CONDITIONS!$J:$J,OBJECT_CONDITIONS!$A:$A,$B130)-1))+($K130*(SUMIFS(OBJECT_CONDITIONS!$L:$L,OBJECT_CONDITIONS!$A:$A,$B130)-1))+($L130*(SUMIFS(OBJECT_CONDITIONS!$N:$N,OBJECT_CONDITIONS!$A:$A,$B130)-1))+($M130*(SUMIFS(OBJECT_CONDITIONS!$R:$R,OBJECT_CONDITIONS!$A:$A,$B130)-1)),3))</f>
        <v/>
      </c>
      <c r="O130" s="24" t="n"/>
      <c r="P130" s="24">
        <f>IF(OR($H130="",$N130=""),"",ROUND($H130*$N130*IF($O130="",1,$O130),3))</f>
        <v/>
      </c>
      <c r="Q130" s="24">
        <f>IF(OR($E130="",$P130=""),"",ROUND($E130*$P130,3))</f>
        <v/>
      </c>
      <c r="R130" s="5">
        <f>IF($D130="","",IFERROR(INDEX(MATERIAL_VARIANTS!$O:$O,MATCH($D130,MATERIAL_VARIANTS!$A:$A,0)),""))</f>
        <v/>
      </c>
      <c r="S130" s="24">
        <f>IF($D130="","",IFERROR(INDEX(MATERIAL_VARIANTS!$P:$P,MATCH($D130,MATERIAL_VARIANTS!$A:$A,0)),""))</f>
        <v/>
      </c>
      <c r="T130" s="5">
        <f>IF(OR($Q130="",$S130="",$S130=0),"",ROUNDUP($Q130/$S130,0))</f>
        <v/>
      </c>
      <c r="U130" s="5" t="n"/>
    </row>
    <row r="131">
      <c r="A131" s="5" t="n"/>
      <c r="B131" s="5" t="n"/>
      <c r="C131" s="5" t="n"/>
      <c r="D131" s="5" t="n"/>
      <c r="E131" s="5" t="n"/>
      <c r="F131" s="5" t="n"/>
      <c r="G131" s="5">
        <f>IF($C131="","",INDEX(MATERIAL_MASTER!$O:$O,MATCH($C131,MATERIAL_MASTER!$A:$A,0)))</f>
        <v/>
      </c>
      <c r="H131" s="24">
        <f>IF($C131="","",INDEX(MATERIAL_MASTER!$P:$P,MATCH($C131,MATERIAL_MASTER!$A:$A,0)))</f>
        <v/>
      </c>
      <c r="I131" s="24">
        <f>IF($C131="","",INDEX(MATERIAL_FACTOR_APPLICABILITY!$D:$D,MATCH($C131,MATERIAL_FACTOR_APPLICABILITY!$A:$A,0)))</f>
        <v/>
      </c>
      <c r="J131" s="24">
        <f>IF($C131="","",INDEX(MATERIAL_FACTOR_APPLICABILITY!$E:$E,MATCH($C131,MATERIAL_FACTOR_APPLICABILITY!$A:$A,0)))</f>
        <v/>
      </c>
      <c r="K131" s="24">
        <f>IF($C131="","",INDEX(MATERIAL_FACTOR_APPLICABILITY!$F:$F,MATCH($C131,MATERIAL_FACTOR_APPLICABILITY!$A:$A,0)))</f>
        <v/>
      </c>
      <c r="L131" s="24">
        <f>IF($C131="","",INDEX(MATERIAL_FACTOR_APPLICABILITY!$G:$G,MATCH($C131,MATERIAL_FACTOR_APPLICABILITY!$A:$A,0)))</f>
        <v/>
      </c>
      <c r="M131" s="24">
        <f>IF($C131="","",INDEX(MATERIAL_FACTOR_APPLICABILITY!$H:$H,MATCH($C131,MATERIAL_FACTOR_APPLICABILITY!$A:$A,0)))</f>
        <v/>
      </c>
      <c r="N131" s="24">
        <f>IF($B131="","",ROUND(1+($I131*(SUMIFS(OBJECT_CONDITIONS!$W:$W,OBJECT_CONDITIONS!$A:$A,$B131)-1))+($J131*(SUMIFS(OBJECT_CONDITIONS!$J:$J,OBJECT_CONDITIONS!$A:$A,$B131)-1))+($K131*(SUMIFS(OBJECT_CONDITIONS!$L:$L,OBJECT_CONDITIONS!$A:$A,$B131)-1))+($L131*(SUMIFS(OBJECT_CONDITIONS!$N:$N,OBJECT_CONDITIONS!$A:$A,$B131)-1))+($M131*(SUMIFS(OBJECT_CONDITIONS!$R:$R,OBJECT_CONDITIONS!$A:$A,$B131)-1)),3))</f>
        <v/>
      </c>
      <c r="O131" s="24" t="n"/>
      <c r="P131" s="24">
        <f>IF(OR($H131="",$N131=""),"",ROUND($H131*$N131*IF($O131="",1,$O131),3))</f>
        <v/>
      </c>
      <c r="Q131" s="24">
        <f>IF(OR($E131="",$P131=""),"",ROUND($E131*$P131,3))</f>
        <v/>
      </c>
      <c r="R131" s="5">
        <f>IF($D131="","",IFERROR(INDEX(MATERIAL_VARIANTS!$O:$O,MATCH($D131,MATERIAL_VARIANTS!$A:$A,0)),""))</f>
        <v/>
      </c>
      <c r="S131" s="24">
        <f>IF($D131="","",IFERROR(INDEX(MATERIAL_VARIANTS!$P:$P,MATCH($D131,MATERIAL_VARIANTS!$A:$A,0)),""))</f>
        <v/>
      </c>
      <c r="T131" s="5">
        <f>IF(OR($Q131="",$S131="",$S131=0),"",ROUNDUP($Q131/$S131,0))</f>
        <v/>
      </c>
      <c r="U131" s="5" t="n"/>
    </row>
    <row r="132">
      <c r="A132" s="5" t="n"/>
      <c r="B132" s="5" t="n"/>
      <c r="C132" s="5" t="n"/>
      <c r="D132" s="5" t="n"/>
      <c r="E132" s="5" t="n"/>
      <c r="F132" s="5" t="n"/>
      <c r="G132" s="5">
        <f>IF($C132="","",INDEX(MATERIAL_MASTER!$O:$O,MATCH($C132,MATERIAL_MASTER!$A:$A,0)))</f>
        <v/>
      </c>
      <c r="H132" s="24">
        <f>IF($C132="","",INDEX(MATERIAL_MASTER!$P:$P,MATCH($C132,MATERIAL_MASTER!$A:$A,0)))</f>
        <v/>
      </c>
      <c r="I132" s="24">
        <f>IF($C132="","",INDEX(MATERIAL_FACTOR_APPLICABILITY!$D:$D,MATCH($C132,MATERIAL_FACTOR_APPLICABILITY!$A:$A,0)))</f>
        <v/>
      </c>
      <c r="J132" s="24">
        <f>IF($C132="","",INDEX(MATERIAL_FACTOR_APPLICABILITY!$E:$E,MATCH($C132,MATERIAL_FACTOR_APPLICABILITY!$A:$A,0)))</f>
        <v/>
      </c>
      <c r="K132" s="24">
        <f>IF($C132="","",INDEX(MATERIAL_FACTOR_APPLICABILITY!$F:$F,MATCH($C132,MATERIAL_FACTOR_APPLICABILITY!$A:$A,0)))</f>
        <v/>
      </c>
      <c r="L132" s="24">
        <f>IF($C132="","",INDEX(MATERIAL_FACTOR_APPLICABILITY!$G:$G,MATCH($C132,MATERIAL_FACTOR_APPLICABILITY!$A:$A,0)))</f>
        <v/>
      </c>
      <c r="M132" s="24">
        <f>IF($C132="","",INDEX(MATERIAL_FACTOR_APPLICABILITY!$H:$H,MATCH($C132,MATERIAL_FACTOR_APPLICABILITY!$A:$A,0)))</f>
        <v/>
      </c>
      <c r="N132" s="24">
        <f>IF($B132="","",ROUND(1+($I132*(SUMIFS(OBJECT_CONDITIONS!$W:$W,OBJECT_CONDITIONS!$A:$A,$B132)-1))+($J132*(SUMIFS(OBJECT_CONDITIONS!$J:$J,OBJECT_CONDITIONS!$A:$A,$B132)-1))+($K132*(SUMIFS(OBJECT_CONDITIONS!$L:$L,OBJECT_CONDITIONS!$A:$A,$B132)-1))+($L132*(SUMIFS(OBJECT_CONDITIONS!$N:$N,OBJECT_CONDITIONS!$A:$A,$B132)-1))+($M132*(SUMIFS(OBJECT_CONDITIONS!$R:$R,OBJECT_CONDITIONS!$A:$A,$B132)-1)),3))</f>
        <v/>
      </c>
      <c r="O132" s="24" t="n"/>
      <c r="P132" s="24">
        <f>IF(OR($H132="",$N132=""),"",ROUND($H132*$N132*IF($O132="",1,$O132),3))</f>
        <v/>
      </c>
      <c r="Q132" s="24">
        <f>IF(OR($E132="",$P132=""),"",ROUND($E132*$P132,3))</f>
        <v/>
      </c>
      <c r="R132" s="5">
        <f>IF($D132="","",IFERROR(INDEX(MATERIAL_VARIANTS!$O:$O,MATCH($D132,MATERIAL_VARIANTS!$A:$A,0)),""))</f>
        <v/>
      </c>
      <c r="S132" s="24">
        <f>IF($D132="","",IFERROR(INDEX(MATERIAL_VARIANTS!$P:$P,MATCH($D132,MATERIAL_VARIANTS!$A:$A,0)),""))</f>
        <v/>
      </c>
      <c r="T132" s="5">
        <f>IF(OR($Q132="",$S132="",$S132=0),"",ROUNDUP($Q132/$S132,0))</f>
        <v/>
      </c>
      <c r="U132" s="5" t="n"/>
    </row>
    <row r="133">
      <c r="A133" s="5" t="n"/>
      <c r="B133" s="5" t="n"/>
      <c r="C133" s="5" t="n"/>
      <c r="D133" s="5" t="n"/>
      <c r="E133" s="5" t="n"/>
      <c r="F133" s="5" t="n"/>
      <c r="G133" s="5">
        <f>IF($C133="","",INDEX(MATERIAL_MASTER!$O:$O,MATCH($C133,MATERIAL_MASTER!$A:$A,0)))</f>
        <v/>
      </c>
      <c r="H133" s="24">
        <f>IF($C133="","",INDEX(MATERIAL_MASTER!$P:$P,MATCH($C133,MATERIAL_MASTER!$A:$A,0)))</f>
        <v/>
      </c>
      <c r="I133" s="24">
        <f>IF($C133="","",INDEX(MATERIAL_FACTOR_APPLICABILITY!$D:$D,MATCH($C133,MATERIAL_FACTOR_APPLICABILITY!$A:$A,0)))</f>
        <v/>
      </c>
      <c r="J133" s="24">
        <f>IF($C133="","",INDEX(MATERIAL_FACTOR_APPLICABILITY!$E:$E,MATCH($C133,MATERIAL_FACTOR_APPLICABILITY!$A:$A,0)))</f>
        <v/>
      </c>
      <c r="K133" s="24">
        <f>IF($C133="","",INDEX(MATERIAL_FACTOR_APPLICABILITY!$F:$F,MATCH($C133,MATERIAL_FACTOR_APPLICABILITY!$A:$A,0)))</f>
        <v/>
      </c>
      <c r="L133" s="24">
        <f>IF($C133="","",INDEX(MATERIAL_FACTOR_APPLICABILITY!$G:$G,MATCH($C133,MATERIAL_FACTOR_APPLICABILITY!$A:$A,0)))</f>
        <v/>
      </c>
      <c r="M133" s="24">
        <f>IF($C133="","",INDEX(MATERIAL_FACTOR_APPLICABILITY!$H:$H,MATCH($C133,MATERIAL_FACTOR_APPLICABILITY!$A:$A,0)))</f>
        <v/>
      </c>
      <c r="N133" s="24">
        <f>IF($B133="","",ROUND(1+($I133*(SUMIFS(OBJECT_CONDITIONS!$W:$W,OBJECT_CONDITIONS!$A:$A,$B133)-1))+($J133*(SUMIFS(OBJECT_CONDITIONS!$J:$J,OBJECT_CONDITIONS!$A:$A,$B133)-1))+($K133*(SUMIFS(OBJECT_CONDITIONS!$L:$L,OBJECT_CONDITIONS!$A:$A,$B133)-1))+($L133*(SUMIFS(OBJECT_CONDITIONS!$N:$N,OBJECT_CONDITIONS!$A:$A,$B133)-1))+($M133*(SUMIFS(OBJECT_CONDITIONS!$R:$R,OBJECT_CONDITIONS!$A:$A,$B133)-1)),3))</f>
        <v/>
      </c>
      <c r="O133" s="24" t="n"/>
      <c r="P133" s="24">
        <f>IF(OR($H133="",$N133=""),"",ROUND($H133*$N133*IF($O133="",1,$O133),3))</f>
        <v/>
      </c>
      <c r="Q133" s="24">
        <f>IF(OR($E133="",$P133=""),"",ROUND($E133*$P133,3))</f>
        <v/>
      </c>
      <c r="R133" s="5">
        <f>IF($D133="","",IFERROR(INDEX(MATERIAL_VARIANTS!$O:$O,MATCH($D133,MATERIAL_VARIANTS!$A:$A,0)),""))</f>
        <v/>
      </c>
      <c r="S133" s="24">
        <f>IF($D133="","",IFERROR(INDEX(MATERIAL_VARIANTS!$P:$P,MATCH($D133,MATERIAL_VARIANTS!$A:$A,0)),""))</f>
        <v/>
      </c>
      <c r="T133" s="5">
        <f>IF(OR($Q133="",$S133="",$S133=0),"",ROUNDUP($Q133/$S133,0))</f>
        <v/>
      </c>
      <c r="U133" s="5" t="n"/>
    </row>
    <row r="134">
      <c r="A134" s="5" t="n"/>
      <c r="B134" s="5" t="n"/>
      <c r="C134" s="5" t="n"/>
      <c r="D134" s="5" t="n"/>
      <c r="E134" s="5" t="n"/>
      <c r="F134" s="5" t="n"/>
      <c r="G134" s="5">
        <f>IF($C134="","",INDEX(MATERIAL_MASTER!$O:$O,MATCH($C134,MATERIAL_MASTER!$A:$A,0)))</f>
        <v/>
      </c>
      <c r="H134" s="24">
        <f>IF($C134="","",INDEX(MATERIAL_MASTER!$P:$P,MATCH($C134,MATERIAL_MASTER!$A:$A,0)))</f>
        <v/>
      </c>
      <c r="I134" s="24">
        <f>IF($C134="","",INDEX(MATERIAL_FACTOR_APPLICABILITY!$D:$D,MATCH($C134,MATERIAL_FACTOR_APPLICABILITY!$A:$A,0)))</f>
        <v/>
      </c>
      <c r="J134" s="24">
        <f>IF($C134="","",INDEX(MATERIAL_FACTOR_APPLICABILITY!$E:$E,MATCH($C134,MATERIAL_FACTOR_APPLICABILITY!$A:$A,0)))</f>
        <v/>
      </c>
      <c r="K134" s="24">
        <f>IF($C134="","",INDEX(MATERIAL_FACTOR_APPLICABILITY!$F:$F,MATCH($C134,MATERIAL_FACTOR_APPLICABILITY!$A:$A,0)))</f>
        <v/>
      </c>
      <c r="L134" s="24">
        <f>IF($C134="","",INDEX(MATERIAL_FACTOR_APPLICABILITY!$G:$G,MATCH($C134,MATERIAL_FACTOR_APPLICABILITY!$A:$A,0)))</f>
        <v/>
      </c>
      <c r="M134" s="24">
        <f>IF($C134="","",INDEX(MATERIAL_FACTOR_APPLICABILITY!$H:$H,MATCH($C134,MATERIAL_FACTOR_APPLICABILITY!$A:$A,0)))</f>
        <v/>
      </c>
      <c r="N134" s="24">
        <f>IF($B134="","",ROUND(1+($I134*(SUMIFS(OBJECT_CONDITIONS!$W:$W,OBJECT_CONDITIONS!$A:$A,$B134)-1))+($J134*(SUMIFS(OBJECT_CONDITIONS!$J:$J,OBJECT_CONDITIONS!$A:$A,$B134)-1))+($K134*(SUMIFS(OBJECT_CONDITIONS!$L:$L,OBJECT_CONDITIONS!$A:$A,$B134)-1))+($L134*(SUMIFS(OBJECT_CONDITIONS!$N:$N,OBJECT_CONDITIONS!$A:$A,$B134)-1))+($M134*(SUMIFS(OBJECT_CONDITIONS!$R:$R,OBJECT_CONDITIONS!$A:$A,$B134)-1)),3))</f>
        <v/>
      </c>
      <c r="O134" s="24" t="n"/>
      <c r="P134" s="24">
        <f>IF(OR($H134="",$N134=""),"",ROUND($H134*$N134*IF($O134="",1,$O134),3))</f>
        <v/>
      </c>
      <c r="Q134" s="24">
        <f>IF(OR($E134="",$P134=""),"",ROUND($E134*$P134,3))</f>
        <v/>
      </c>
      <c r="R134" s="5">
        <f>IF($D134="","",IFERROR(INDEX(MATERIAL_VARIANTS!$O:$O,MATCH($D134,MATERIAL_VARIANTS!$A:$A,0)),""))</f>
        <v/>
      </c>
      <c r="S134" s="24">
        <f>IF($D134="","",IFERROR(INDEX(MATERIAL_VARIANTS!$P:$P,MATCH($D134,MATERIAL_VARIANTS!$A:$A,0)),""))</f>
        <v/>
      </c>
      <c r="T134" s="5">
        <f>IF(OR($Q134="",$S134="",$S134=0),"",ROUNDUP($Q134/$S134,0))</f>
        <v/>
      </c>
      <c r="U134" s="5" t="n"/>
    </row>
    <row r="135">
      <c r="A135" s="5" t="n"/>
      <c r="B135" s="5" t="n"/>
      <c r="C135" s="5" t="n"/>
      <c r="D135" s="5" t="n"/>
      <c r="E135" s="5" t="n"/>
      <c r="F135" s="5" t="n"/>
      <c r="G135" s="5">
        <f>IF($C135="","",INDEX(MATERIAL_MASTER!$O:$O,MATCH($C135,MATERIAL_MASTER!$A:$A,0)))</f>
        <v/>
      </c>
      <c r="H135" s="24">
        <f>IF($C135="","",INDEX(MATERIAL_MASTER!$P:$P,MATCH($C135,MATERIAL_MASTER!$A:$A,0)))</f>
        <v/>
      </c>
      <c r="I135" s="24">
        <f>IF($C135="","",INDEX(MATERIAL_FACTOR_APPLICABILITY!$D:$D,MATCH($C135,MATERIAL_FACTOR_APPLICABILITY!$A:$A,0)))</f>
        <v/>
      </c>
      <c r="J135" s="24">
        <f>IF($C135="","",INDEX(MATERIAL_FACTOR_APPLICABILITY!$E:$E,MATCH($C135,MATERIAL_FACTOR_APPLICABILITY!$A:$A,0)))</f>
        <v/>
      </c>
      <c r="K135" s="24">
        <f>IF($C135="","",INDEX(MATERIAL_FACTOR_APPLICABILITY!$F:$F,MATCH($C135,MATERIAL_FACTOR_APPLICABILITY!$A:$A,0)))</f>
        <v/>
      </c>
      <c r="L135" s="24">
        <f>IF($C135="","",INDEX(MATERIAL_FACTOR_APPLICABILITY!$G:$G,MATCH($C135,MATERIAL_FACTOR_APPLICABILITY!$A:$A,0)))</f>
        <v/>
      </c>
      <c r="M135" s="24">
        <f>IF($C135="","",INDEX(MATERIAL_FACTOR_APPLICABILITY!$H:$H,MATCH($C135,MATERIAL_FACTOR_APPLICABILITY!$A:$A,0)))</f>
        <v/>
      </c>
      <c r="N135" s="24">
        <f>IF($B135="","",ROUND(1+($I135*(SUMIFS(OBJECT_CONDITIONS!$W:$W,OBJECT_CONDITIONS!$A:$A,$B135)-1))+($J135*(SUMIFS(OBJECT_CONDITIONS!$J:$J,OBJECT_CONDITIONS!$A:$A,$B135)-1))+($K135*(SUMIFS(OBJECT_CONDITIONS!$L:$L,OBJECT_CONDITIONS!$A:$A,$B135)-1))+($L135*(SUMIFS(OBJECT_CONDITIONS!$N:$N,OBJECT_CONDITIONS!$A:$A,$B135)-1))+($M135*(SUMIFS(OBJECT_CONDITIONS!$R:$R,OBJECT_CONDITIONS!$A:$A,$B135)-1)),3))</f>
        <v/>
      </c>
      <c r="O135" s="24" t="n"/>
      <c r="P135" s="24">
        <f>IF(OR($H135="",$N135=""),"",ROUND($H135*$N135*IF($O135="",1,$O135),3))</f>
        <v/>
      </c>
      <c r="Q135" s="24">
        <f>IF(OR($E135="",$P135=""),"",ROUND($E135*$P135,3))</f>
        <v/>
      </c>
      <c r="R135" s="5">
        <f>IF($D135="","",IFERROR(INDEX(MATERIAL_VARIANTS!$O:$O,MATCH($D135,MATERIAL_VARIANTS!$A:$A,0)),""))</f>
        <v/>
      </c>
      <c r="S135" s="24">
        <f>IF($D135="","",IFERROR(INDEX(MATERIAL_VARIANTS!$P:$P,MATCH($D135,MATERIAL_VARIANTS!$A:$A,0)),""))</f>
        <v/>
      </c>
      <c r="T135" s="5">
        <f>IF(OR($Q135="",$S135="",$S135=0),"",ROUNDUP($Q135/$S135,0))</f>
        <v/>
      </c>
      <c r="U135" s="5" t="n"/>
    </row>
    <row r="136">
      <c r="A136" s="5" t="n"/>
      <c r="B136" s="5" t="n"/>
      <c r="C136" s="5" t="n"/>
      <c r="D136" s="5" t="n"/>
      <c r="E136" s="5" t="n"/>
      <c r="F136" s="5" t="n"/>
      <c r="G136" s="5">
        <f>IF($C136="","",INDEX(MATERIAL_MASTER!$O:$O,MATCH($C136,MATERIAL_MASTER!$A:$A,0)))</f>
        <v/>
      </c>
      <c r="H136" s="24">
        <f>IF($C136="","",INDEX(MATERIAL_MASTER!$P:$P,MATCH($C136,MATERIAL_MASTER!$A:$A,0)))</f>
        <v/>
      </c>
      <c r="I136" s="24">
        <f>IF($C136="","",INDEX(MATERIAL_FACTOR_APPLICABILITY!$D:$D,MATCH($C136,MATERIAL_FACTOR_APPLICABILITY!$A:$A,0)))</f>
        <v/>
      </c>
      <c r="J136" s="24">
        <f>IF($C136="","",INDEX(MATERIAL_FACTOR_APPLICABILITY!$E:$E,MATCH($C136,MATERIAL_FACTOR_APPLICABILITY!$A:$A,0)))</f>
        <v/>
      </c>
      <c r="K136" s="24">
        <f>IF($C136="","",INDEX(MATERIAL_FACTOR_APPLICABILITY!$F:$F,MATCH($C136,MATERIAL_FACTOR_APPLICABILITY!$A:$A,0)))</f>
        <v/>
      </c>
      <c r="L136" s="24">
        <f>IF($C136="","",INDEX(MATERIAL_FACTOR_APPLICABILITY!$G:$G,MATCH($C136,MATERIAL_FACTOR_APPLICABILITY!$A:$A,0)))</f>
        <v/>
      </c>
      <c r="M136" s="24">
        <f>IF($C136="","",INDEX(MATERIAL_FACTOR_APPLICABILITY!$H:$H,MATCH($C136,MATERIAL_FACTOR_APPLICABILITY!$A:$A,0)))</f>
        <v/>
      </c>
      <c r="N136" s="24">
        <f>IF($B136="","",ROUND(1+($I136*(SUMIFS(OBJECT_CONDITIONS!$W:$W,OBJECT_CONDITIONS!$A:$A,$B136)-1))+($J136*(SUMIFS(OBJECT_CONDITIONS!$J:$J,OBJECT_CONDITIONS!$A:$A,$B136)-1))+($K136*(SUMIFS(OBJECT_CONDITIONS!$L:$L,OBJECT_CONDITIONS!$A:$A,$B136)-1))+($L136*(SUMIFS(OBJECT_CONDITIONS!$N:$N,OBJECT_CONDITIONS!$A:$A,$B136)-1))+($M136*(SUMIFS(OBJECT_CONDITIONS!$R:$R,OBJECT_CONDITIONS!$A:$A,$B136)-1)),3))</f>
        <v/>
      </c>
      <c r="O136" s="24" t="n"/>
      <c r="P136" s="24">
        <f>IF(OR($H136="",$N136=""),"",ROUND($H136*$N136*IF($O136="",1,$O136),3))</f>
        <v/>
      </c>
      <c r="Q136" s="24">
        <f>IF(OR($E136="",$P136=""),"",ROUND($E136*$P136,3))</f>
        <v/>
      </c>
      <c r="R136" s="5">
        <f>IF($D136="","",IFERROR(INDEX(MATERIAL_VARIANTS!$O:$O,MATCH($D136,MATERIAL_VARIANTS!$A:$A,0)),""))</f>
        <v/>
      </c>
      <c r="S136" s="24">
        <f>IF($D136="","",IFERROR(INDEX(MATERIAL_VARIANTS!$P:$P,MATCH($D136,MATERIAL_VARIANTS!$A:$A,0)),""))</f>
        <v/>
      </c>
      <c r="T136" s="5">
        <f>IF(OR($Q136="",$S136="",$S136=0),"",ROUNDUP($Q136/$S136,0))</f>
        <v/>
      </c>
      <c r="U136" s="5" t="n"/>
    </row>
    <row r="137">
      <c r="A137" s="5" t="n"/>
      <c r="B137" s="5" t="n"/>
      <c r="C137" s="5" t="n"/>
      <c r="D137" s="5" t="n"/>
      <c r="E137" s="5" t="n"/>
      <c r="F137" s="5" t="n"/>
      <c r="G137" s="5">
        <f>IF($C137="","",INDEX(MATERIAL_MASTER!$O:$O,MATCH($C137,MATERIAL_MASTER!$A:$A,0)))</f>
        <v/>
      </c>
      <c r="H137" s="24">
        <f>IF($C137="","",INDEX(MATERIAL_MASTER!$P:$P,MATCH($C137,MATERIAL_MASTER!$A:$A,0)))</f>
        <v/>
      </c>
      <c r="I137" s="24">
        <f>IF($C137="","",INDEX(MATERIAL_FACTOR_APPLICABILITY!$D:$D,MATCH($C137,MATERIAL_FACTOR_APPLICABILITY!$A:$A,0)))</f>
        <v/>
      </c>
      <c r="J137" s="24">
        <f>IF($C137="","",INDEX(MATERIAL_FACTOR_APPLICABILITY!$E:$E,MATCH($C137,MATERIAL_FACTOR_APPLICABILITY!$A:$A,0)))</f>
        <v/>
      </c>
      <c r="K137" s="24">
        <f>IF($C137="","",INDEX(MATERIAL_FACTOR_APPLICABILITY!$F:$F,MATCH($C137,MATERIAL_FACTOR_APPLICABILITY!$A:$A,0)))</f>
        <v/>
      </c>
      <c r="L137" s="24">
        <f>IF($C137="","",INDEX(MATERIAL_FACTOR_APPLICABILITY!$G:$G,MATCH($C137,MATERIAL_FACTOR_APPLICABILITY!$A:$A,0)))</f>
        <v/>
      </c>
      <c r="M137" s="24">
        <f>IF($C137="","",INDEX(MATERIAL_FACTOR_APPLICABILITY!$H:$H,MATCH($C137,MATERIAL_FACTOR_APPLICABILITY!$A:$A,0)))</f>
        <v/>
      </c>
      <c r="N137" s="24">
        <f>IF($B137="","",ROUND(1+($I137*(SUMIFS(OBJECT_CONDITIONS!$W:$W,OBJECT_CONDITIONS!$A:$A,$B137)-1))+($J137*(SUMIFS(OBJECT_CONDITIONS!$J:$J,OBJECT_CONDITIONS!$A:$A,$B137)-1))+($K137*(SUMIFS(OBJECT_CONDITIONS!$L:$L,OBJECT_CONDITIONS!$A:$A,$B137)-1))+($L137*(SUMIFS(OBJECT_CONDITIONS!$N:$N,OBJECT_CONDITIONS!$A:$A,$B137)-1))+($M137*(SUMIFS(OBJECT_CONDITIONS!$R:$R,OBJECT_CONDITIONS!$A:$A,$B137)-1)),3))</f>
        <v/>
      </c>
      <c r="O137" s="24" t="n"/>
      <c r="P137" s="24">
        <f>IF(OR($H137="",$N137=""),"",ROUND($H137*$N137*IF($O137="",1,$O137),3))</f>
        <v/>
      </c>
      <c r="Q137" s="24">
        <f>IF(OR($E137="",$P137=""),"",ROUND($E137*$P137,3))</f>
        <v/>
      </c>
      <c r="R137" s="5">
        <f>IF($D137="","",IFERROR(INDEX(MATERIAL_VARIANTS!$O:$O,MATCH($D137,MATERIAL_VARIANTS!$A:$A,0)),""))</f>
        <v/>
      </c>
      <c r="S137" s="24">
        <f>IF($D137="","",IFERROR(INDEX(MATERIAL_VARIANTS!$P:$P,MATCH($D137,MATERIAL_VARIANTS!$A:$A,0)),""))</f>
        <v/>
      </c>
      <c r="T137" s="5">
        <f>IF(OR($Q137="",$S137="",$S137=0),"",ROUNDUP($Q137/$S137,0))</f>
        <v/>
      </c>
      <c r="U137" s="5" t="n"/>
    </row>
    <row r="138">
      <c r="A138" s="5" t="n"/>
      <c r="B138" s="5" t="n"/>
      <c r="C138" s="5" t="n"/>
      <c r="D138" s="5" t="n"/>
      <c r="E138" s="5" t="n"/>
      <c r="F138" s="5" t="n"/>
      <c r="G138" s="5">
        <f>IF($C138="","",INDEX(MATERIAL_MASTER!$O:$O,MATCH($C138,MATERIAL_MASTER!$A:$A,0)))</f>
        <v/>
      </c>
      <c r="H138" s="24">
        <f>IF($C138="","",INDEX(MATERIAL_MASTER!$P:$P,MATCH($C138,MATERIAL_MASTER!$A:$A,0)))</f>
        <v/>
      </c>
      <c r="I138" s="24">
        <f>IF($C138="","",INDEX(MATERIAL_FACTOR_APPLICABILITY!$D:$D,MATCH($C138,MATERIAL_FACTOR_APPLICABILITY!$A:$A,0)))</f>
        <v/>
      </c>
      <c r="J138" s="24">
        <f>IF($C138="","",INDEX(MATERIAL_FACTOR_APPLICABILITY!$E:$E,MATCH($C138,MATERIAL_FACTOR_APPLICABILITY!$A:$A,0)))</f>
        <v/>
      </c>
      <c r="K138" s="24">
        <f>IF($C138="","",INDEX(MATERIAL_FACTOR_APPLICABILITY!$F:$F,MATCH($C138,MATERIAL_FACTOR_APPLICABILITY!$A:$A,0)))</f>
        <v/>
      </c>
      <c r="L138" s="24">
        <f>IF($C138="","",INDEX(MATERIAL_FACTOR_APPLICABILITY!$G:$G,MATCH($C138,MATERIAL_FACTOR_APPLICABILITY!$A:$A,0)))</f>
        <v/>
      </c>
      <c r="M138" s="24">
        <f>IF($C138="","",INDEX(MATERIAL_FACTOR_APPLICABILITY!$H:$H,MATCH($C138,MATERIAL_FACTOR_APPLICABILITY!$A:$A,0)))</f>
        <v/>
      </c>
      <c r="N138" s="24">
        <f>IF($B138="","",ROUND(1+($I138*(SUMIFS(OBJECT_CONDITIONS!$W:$W,OBJECT_CONDITIONS!$A:$A,$B138)-1))+($J138*(SUMIFS(OBJECT_CONDITIONS!$J:$J,OBJECT_CONDITIONS!$A:$A,$B138)-1))+($K138*(SUMIFS(OBJECT_CONDITIONS!$L:$L,OBJECT_CONDITIONS!$A:$A,$B138)-1))+($L138*(SUMIFS(OBJECT_CONDITIONS!$N:$N,OBJECT_CONDITIONS!$A:$A,$B138)-1))+($M138*(SUMIFS(OBJECT_CONDITIONS!$R:$R,OBJECT_CONDITIONS!$A:$A,$B138)-1)),3))</f>
        <v/>
      </c>
      <c r="O138" s="24" t="n"/>
      <c r="P138" s="24">
        <f>IF(OR($H138="",$N138=""),"",ROUND($H138*$N138*IF($O138="",1,$O138),3))</f>
        <v/>
      </c>
      <c r="Q138" s="24">
        <f>IF(OR($E138="",$P138=""),"",ROUND($E138*$P138,3))</f>
        <v/>
      </c>
      <c r="R138" s="5">
        <f>IF($D138="","",IFERROR(INDEX(MATERIAL_VARIANTS!$O:$O,MATCH($D138,MATERIAL_VARIANTS!$A:$A,0)),""))</f>
        <v/>
      </c>
      <c r="S138" s="24">
        <f>IF($D138="","",IFERROR(INDEX(MATERIAL_VARIANTS!$P:$P,MATCH($D138,MATERIAL_VARIANTS!$A:$A,0)),""))</f>
        <v/>
      </c>
      <c r="T138" s="5">
        <f>IF(OR($Q138="",$S138="",$S138=0),"",ROUNDUP($Q138/$S138,0))</f>
        <v/>
      </c>
      <c r="U138" s="5" t="n"/>
    </row>
    <row r="139">
      <c r="A139" s="5" t="n"/>
      <c r="B139" s="5" t="n"/>
      <c r="C139" s="5" t="n"/>
      <c r="D139" s="5" t="n"/>
      <c r="E139" s="5" t="n"/>
      <c r="F139" s="5" t="n"/>
      <c r="G139" s="5">
        <f>IF($C139="","",INDEX(MATERIAL_MASTER!$O:$O,MATCH($C139,MATERIAL_MASTER!$A:$A,0)))</f>
        <v/>
      </c>
      <c r="H139" s="24">
        <f>IF($C139="","",INDEX(MATERIAL_MASTER!$P:$P,MATCH($C139,MATERIAL_MASTER!$A:$A,0)))</f>
        <v/>
      </c>
      <c r="I139" s="24">
        <f>IF($C139="","",INDEX(MATERIAL_FACTOR_APPLICABILITY!$D:$D,MATCH($C139,MATERIAL_FACTOR_APPLICABILITY!$A:$A,0)))</f>
        <v/>
      </c>
      <c r="J139" s="24">
        <f>IF($C139="","",INDEX(MATERIAL_FACTOR_APPLICABILITY!$E:$E,MATCH($C139,MATERIAL_FACTOR_APPLICABILITY!$A:$A,0)))</f>
        <v/>
      </c>
      <c r="K139" s="24">
        <f>IF($C139="","",INDEX(MATERIAL_FACTOR_APPLICABILITY!$F:$F,MATCH($C139,MATERIAL_FACTOR_APPLICABILITY!$A:$A,0)))</f>
        <v/>
      </c>
      <c r="L139" s="24">
        <f>IF($C139="","",INDEX(MATERIAL_FACTOR_APPLICABILITY!$G:$G,MATCH($C139,MATERIAL_FACTOR_APPLICABILITY!$A:$A,0)))</f>
        <v/>
      </c>
      <c r="M139" s="24">
        <f>IF($C139="","",INDEX(MATERIAL_FACTOR_APPLICABILITY!$H:$H,MATCH($C139,MATERIAL_FACTOR_APPLICABILITY!$A:$A,0)))</f>
        <v/>
      </c>
      <c r="N139" s="24">
        <f>IF($B139="","",ROUND(1+($I139*(SUMIFS(OBJECT_CONDITIONS!$W:$W,OBJECT_CONDITIONS!$A:$A,$B139)-1))+($J139*(SUMIFS(OBJECT_CONDITIONS!$J:$J,OBJECT_CONDITIONS!$A:$A,$B139)-1))+($K139*(SUMIFS(OBJECT_CONDITIONS!$L:$L,OBJECT_CONDITIONS!$A:$A,$B139)-1))+($L139*(SUMIFS(OBJECT_CONDITIONS!$N:$N,OBJECT_CONDITIONS!$A:$A,$B139)-1))+($M139*(SUMIFS(OBJECT_CONDITIONS!$R:$R,OBJECT_CONDITIONS!$A:$A,$B139)-1)),3))</f>
        <v/>
      </c>
      <c r="O139" s="24" t="n"/>
      <c r="P139" s="24">
        <f>IF(OR($H139="",$N139=""),"",ROUND($H139*$N139*IF($O139="",1,$O139),3))</f>
        <v/>
      </c>
      <c r="Q139" s="24">
        <f>IF(OR($E139="",$P139=""),"",ROUND($E139*$P139,3))</f>
        <v/>
      </c>
      <c r="R139" s="5">
        <f>IF($D139="","",IFERROR(INDEX(MATERIAL_VARIANTS!$O:$O,MATCH($D139,MATERIAL_VARIANTS!$A:$A,0)),""))</f>
        <v/>
      </c>
      <c r="S139" s="24">
        <f>IF($D139="","",IFERROR(INDEX(MATERIAL_VARIANTS!$P:$P,MATCH($D139,MATERIAL_VARIANTS!$A:$A,0)),""))</f>
        <v/>
      </c>
      <c r="T139" s="5">
        <f>IF(OR($Q139="",$S139="",$S139=0),"",ROUNDUP($Q139/$S139,0))</f>
        <v/>
      </c>
      <c r="U139" s="5" t="n"/>
    </row>
    <row r="140">
      <c r="A140" s="5" t="n"/>
      <c r="B140" s="5" t="n"/>
      <c r="C140" s="5" t="n"/>
      <c r="D140" s="5" t="n"/>
      <c r="E140" s="5" t="n"/>
      <c r="F140" s="5" t="n"/>
      <c r="G140" s="5">
        <f>IF($C140="","",INDEX(MATERIAL_MASTER!$O:$O,MATCH($C140,MATERIAL_MASTER!$A:$A,0)))</f>
        <v/>
      </c>
      <c r="H140" s="24">
        <f>IF($C140="","",INDEX(MATERIAL_MASTER!$P:$P,MATCH($C140,MATERIAL_MASTER!$A:$A,0)))</f>
        <v/>
      </c>
      <c r="I140" s="24">
        <f>IF($C140="","",INDEX(MATERIAL_FACTOR_APPLICABILITY!$D:$D,MATCH($C140,MATERIAL_FACTOR_APPLICABILITY!$A:$A,0)))</f>
        <v/>
      </c>
      <c r="J140" s="24">
        <f>IF($C140="","",INDEX(MATERIAL_FACTOR_APPLICABILITY!$E:$E,MATCH($C140,MATERIAL_FACTOR_APPLICABILITY!$A:$A,0)))</f>
        <v/>
      </c>
      <c r="K140" s="24">
        <f>IF($C140="","",INDEX(MATERIAL_FACTOR_APPLICABILITY!$F:$F,MATCH($C140,MATERIAL_FACTOR_APPLICABILITY!$A:$A,0)))</f>
        <v/>
      </c>
      <c r="L140" s="24">
        <f>IF($C140="","",INDEX(MATERIAL_FACTOR_APPLICABILITY!$G:$G,MATCH($C140,MATERIAL_FACTOR_APPLICABILITY!$A:$A,0)))</f>
        <v/>
      </c>
      <c r="M140" s="24">
        <f>IF($C140="","",INDEX(MATERIAL_FACTOR_APPLICABILITY!$H:$H,MATCH($C140,MATERIAL_FACTOR_APPLICABILITY!$A:$A,0)))</f>
        <v/>
      </c>
      <c r="N140" s="24">
        <f>IF($B140="","",ROUND(1+($I140*(SUMIFS(OBJECT_CONDITIONS!$W:$W,OBJECT_CONDITIONS!$A:$A,$B140)-1))+($J140*(SUMIFS(OBJECT_CONDITIONS!$J:$J,OBJECT_CONDITIONS!$A:$A,$B140)-1))+($K140*(SUMIFS(OBJECT_CONDITIONS!$L:$L,OBJECT_CONDITIONS!$A:$A,$B140)-1))+($L140*(SUMIFS(OBJECT_CONDITIONS!$N:$N,OBJECT_CONDITIONS!$A:$A,$B140)-1))+($M140*(SUMIFS(OBJECT_CONDITIONS!$R:$R,OBJECT_CONDITIONS!$A:$A,$B140)-1)),3))</f>
        <v/>
      </c>
      <c r="O140" s="24" t="n"/>
      <c r="P140" s="24">
        <f>IF(OR($H140="",$N140=""),"",ROUND($H140*$N140*IF($O140="",1,$O140),3))</f>
        <v/>
      </c>
      <c r="Q140" s="24">
        <f>IF(OR($E140="",$P140=""),"",ROUND($E140*$P140,3))</f>
        <v/>
      </c>
      <c r="R140" s="5">
        <f>IF($D140="","",IFERROR(INDEX(MATERIAL_VARIANTS!$O:$O,MATCH($D140,MATERIAL_VARIANTS!$A:$A,0)),""))</f>
        <v/>
      </c>
      <c r="S140" s="24">
        <f>IF($D140="","",IFERROR(INDEX(MATERIAL_VARIANTS!$P:$P,MATCH($D140,MATERIAL_VARIANTS!$A:$A,0)),""))</f>
        <v/>
      </c>
      <c r="T140" s="5">
        <f>IF(OR($Q140="",$S140="",$S140=0),"",ROUNDUP($Q140/$S140,0))</f>
        <v/>
      </c>
      <c r="U140" s="5" t="n"/>
    </row>
    <row r="141">
      <c r="A141" s="5" t="n"/>
      <c r="B141" s="5" t="n"/>
      <c r="C141" s="5" t="n"/>
      <c r="D141" s="5" t="n"/>
      <c r="E141" s="5" t="n"/>
      <c r="F141" s="5" t="n"/>
      <c r="G141" s="5">
        <f>IF($C141="","",INDEX(MATERIAL_MASTER!$O:$O,MATCH($C141,MATERIAL_MASTER!$A:$A,0)))</f>
        <v/>
      </c>
      <c r="H141" s="24">
        <f>IF($C141="","",INDEX(MATERIAL_MASTER!$P:$P,MATCH($C141,MATERIAL_MASTER!$A:$A,0)))</f>
        <v/>
      </c>
      <c r="I141" s="24">
        <f>IF($C141="","",INDEX(MATERIAL_FACTOR_APPLICABILITY!$D:$D,MATCH($C141,MATERIAL_FACTOR_APPLICABILITY!$A:$A,0)))</f>
        <v/>
      </c>
      <c r="J141" s="24">
        <f>IF($C141="","",INDEX(MATERIAL_FACTOR_APPLICABILITY!$E:$E,MATCH($C141,MATERIAL_FACTOR_APPLICABILITY!$A:$A,0)))</f>
        <v/>
      </c>
      <c r="K141" s="24">
        <f>IF($C141="","",INDEX(MATERIAL_FACTOR_APPLICABILITY!$F:$F,MATCH($C141,MATERIAL_FACTOR_APPLICABILITY!$A:$A,0)))</f>
        <v/>
      </c>
      <c r="L141" s="24">
        <f>IF($C141="","",INDEX(MATERIAL_FACTOR_APPLICABILITY!$G:$G,MATCH($C141,MATERIAL_FACTOR_APPLICABILITY!$A:$A,0)))</f>
        <v/>
      </c>
      <c r="M141" s="24">
        <f>IF($C141="","",INDEX(MATERIAL_FACTOR_APPLICABILITY!$H:$H,MATCH($C141,MATERIAL_FACTOR_APPLICABILITY!$A:$A,0)))</f>
        <v/>
      </c>
      <c r="N141" s="24">
        <f>IF($B141="","",ROUND(1+($I141*(SUMIFS(OBJECT_CONDITIONS!$W:$W,OBJECT_CONDITIONS!$A:$A,$B141)-1))+($J141*(SUMIFS(OBJECT_CONDITIONS!$J:$J,OBJECT_CONDITIONS!$A:$A,$B141)-1))+($K141*(SUMIFS(OBJECT_CONDITIONS!$L:$L,OBJECT_CONDITIONS!$A:$A,$B141)-1))+($L141*(SUMIFS(OBJECT_CONDITIONS!$N:$N,OBJECT_CONDITIONS!$A:$A,$B141)-1))+($M141*(SUMIFS(OBJECT_CONDITIONS!$R:$R,OBJECT_CONDITIONS!$A:$A,$B141)-1)),3))</f>
        <v/>
      </c>
      <c r="O141" s="24" t="n"/>
      <c r="P141" s="24">
        <f>IF(OR($H141="",$N141=""),"",ROUND($H141*$N141*IF($O141="",1,$O141),3))</f>
        <v/>
      </c>
      <c r="Q141" s="24">
        <f>IF(OR($E141="",$P141=""),"",ROUND($E141*$P141,3))</f>
        <v/>
      </c>
      <c r="R141" s="5">
        <f>IF($D141="","",IFERROR(INDEX(MATERIAL_VARIANTS!$O:$O,MATCH($D141,MATERIAL_VARIANTS!$A:$A,0)),""))</f>
        <v/>
      </c>
      <c r="S141" s="24">
        <f>IF($D141="","",IFERROR(INDEX(MATERIAL_VARIANTS!$P:$P,MATCH($D141,MATERIAL_VARIANTS!$A:$A,0)),""))</f>
        <v/>
      </c>
      <c r="T141" s="5">
        <f>IF(OR($Q141="",$S141="",$S141=0),"",ROUNDUP($Q141/$S141,0))</f>
        <v/>
      </c>
      <c r="U141" s="5" t="n"/>
    </row>
    <row r="142">
      <c r="A142" s="5" t="n"/>
      <c r="B142" s="5" t="n"/>
      <c r="C142" s="5" t="n"/>
      <c r="D142" s="5" t="n"/>
      <c r="E142" s="5" t="n"/>
      <c r="F142" s="5" t="n"/>
      <c r="G142" s="5">
        <f>IF($C142="","",INDEX(MATERIAL_MASTER!$O:$O,MATCH($C142,MATERIAL_MASTER!$A:$A,0)))</f>
        <v/>
      </c>
      <c r="H142" s="24">
        <f>IF($C142="","",INDEX(MATERIAL_MASTER!$P:$P,MATCH($C142,MATERIAL_MASTER!$A:$A,0)))</f>
        <v/>
      </c>
      <c r="I142" s="24">
        <f>IF($C142="","",INDEX(MATERIAL_FACTOR_APPLICABILITY!$D:$D,MATCH($C142,MATERIAL_FACTOR_APPLICABILITY!$A:$A,0)))</f>
        <v/>
      </c>
      <c r="J142" s="24">
        <f>IF($C142="","",INDEX(MATERIAL_FACTOR_APPLICABILITY!$E:$E,MATCH($C142,MATERIAL_FACTOR_APPLICABILITY!$A:$A,0)))</f>
        <v/>
      </c>
      <c r="K142" s="24">
        <f>IF($C142="","",INDEX(MATERIAL_FACTOR_APPLICABILITY!$F:$F,MATCH($C142,MATERIAL_FACTOR_APPLICABILITY!$A:$A,0)))</f>
        <v/>
      </c>
      <c r="L142" s="24">
        <f>IF($C142="","",INDEX(MATERIAL_FACTOR_APPLICABILITY!$G:$G,MATCH($C142,MATERIAL_FACTOR_APPLICABILITY!$A:$A,0)))</f>
        <v/>
      </c>
      <c r="M142" s="24">
        <f>IF($C142="","",INDEX(MATERIAL_FACTOR_APPLICABILITY!$H:$H,MATCH($C142,MATERIAL_FACTOR_APPLICABILITY!$A:$A,0)))</f>
        <v/>
      </c>
      <c r="N142" s="24">
        <f>IF($B142="","",ROUND(1+($I142*(SUMIFS(OBJECT_CONDITIONS!$W:$W,OBJECT_CONDITIONS!$A:$A,$B142)-1))+($J142*(SUMIFS(OBJECT_CONDITIONS!$J:$J,OBJECT_CONDITIONS!$A:$A,$B142)-1))+($K142*(SUMIFS(OBJECT_CONDITIONS!$L:$L,OBJECT_CONDITIONS!$A:$A,$B142)-1))+($L142*(SUMIFS(OBJECT_CONDITIONS!$N:$N,OBJECT_CONDITIONS!$A:$A,$B142)-1))+($M142*(SUMIFS(OBJECT_CONDITIONS!$R:$R,OBJECT_CONDITIONS!$A:$A,$B142)-1)),3))</f>
        <v/>
      </c>
      <c r="O142" s="24" t="n"/>
      <c r="P142" s="24">
        <f>IF(OR($H142="",$N142=""),"",ROUND($H142*$N142*IF($O142="",1,$O142),3))</f>
        <v/>
      </c>
      <c r="Q142" s="24">
        <f>IF(OR($E142="",$P142=""),"",ROUND($E142*$P142,3))</f>
        <v/>
      </c>
      <c r="R142" s="5">
        <f>IF($D142="","",IFERROR(INDEX(MATERIAL_VARIANTS!$O:$O,MATCH($D142,MATERIAL_VARIANTS!$A:$A,0)),""))</f>
        <v/>
      </c>
      <c r="S142" s="24">
        <f>IF($D142="","",IFERROR(INDEX(MATERIAL_VARIANTS!$P:$P,MATCH($D142,MATERIAL_VARIANTS!$A:$A,0)),""))</f>
        <v/>
      </c>
      <c r="T142" s="5">
        <f>IF(OR($Q142="",$S142="",$S142=0),"",ROUNDUP($Q142/$S142,0))</f>
        <v/>
      </c>
      <c r="U142" s="5" t="n"/>
    </row>
    <row r="143">
      <c r="A143" s="5" t="n"/>
      <c r="B143" s="5" t="n"/>
      <c r="C143" s="5" t="n"/>
      <c r="D143" s="5" t="n"/>
      <c r="E143" s="5" t="n"/>
      <c r="F143" s="5" t="n"/>
      <c r="G143" s="5">
        <f>IF($C143="","",INDEX(MATERIAL_MASTER!$O:$O,MATCH($C143,MATERIAL_MASTER!$A:$A,0)))</f>
        <v/>
      </c>
      <c r="H143" s="24">
        <f>IF($C143="","",INDEX(MATERIAL_MASTER!$P:$P,MATCH($C143,MATERIAL_MASTER!$A:$A,0)))</f>
        <v/>
      </c>
      <c r="I143" s="24">
        <f>IF($C143="","",INDEX(MATERIAL_FACTOR_APPLICABILITY!$D:$D,MATCH($C143,MATERIAL_FACTOR_APPLICABILITY!$A:$A,0)))</f>
        <v/>
      </c>
      <c r="J143" s="24">
        <f>IF($C143="","",INDEX(MATERIAL_FACTOR_APPLICABILITY!$E:$E,MATCH($C143,MATERIAL_FACTOR_APPLICABILITY!$A:$A,0)))</f>
        <v/>
      </c>
      <c r="K143" s="24">
        <f>IF($C143="","",INDEX(MATERIAL_FACTOR_APPLICABILITY!$F:$F,MATCH($C143,MATERIAL_FACTOR_APPLICABILITY!$A:$A,0)))</f>
        <v/>
      </c>
      <c r="L143" s="24">
        <f>IF($C143="","",INDEX(MATERIAL_FACTOR_APPLICABILITY!$G:$G,MATCH($C143,MATERIAL_FACTOR_APPLICABILITY!$A:$A,0)))</f>
        <v/>
      </c>
      <c r="M143" s="24">
        <f>IF($C143="","",INDEX(MATERIAL_FACTOR_APPLICABILITY!$H:$H,MATCH($C143,MATERIAL_FACTOR_APPLICABILITY!$A:$A,0)))</f>
        <v/>
      </c>
      <c r="N143" s="24">
        <f>IF($B143="","",ROUND(1+($I143*(SUMIFS(OBJECT_CONDITIONS!$W:$W,OBJECT_CONDITIONS!$A:$A,$B143)-1))+($J143*(SUMIFS(OBJECT_CONDITIONS!$J:$J,OBJECT_CONDITIONS!$A:$A,$B143)-1))+($K143*(SUMIFS(OBJECT_CONDITIONS!$L:$L,OBJECT_CONDITIONS!$A:$A,$B143)-1))+($L143*(SUMIFS(OBJECT_CONDITIONS!$N:$N,OBJECT_CONDITIONS!$A:$A,$B143)-1))+($M143*(SUMIFS(OBJECT_CONDITIONS!$R:$R,OBJECT_CONDITIONS!$A:$A,$B143)-1)),3))</f>
        <v/>
      </c>
      <c r="O143" s="24" t="n"/>
      <c r="P143" s="24">
        <f>IF(OR($H143="",$N143=""),"",ROUND($H143*$N143*IF($O143="",1,$O143),3))</f>
        <v/>
      </c>
      <c r="Q143" s="24">
        <f>IF(OR($E143="",$P143=""),"",ROUND($E143*$P143,3))</f>
        <v/>
      </c>
      <c r="R143" s="5">
        <f>IF($D143="","",IFERROR(INDEX(MATERIAL_VARIANTS!$O:$O,MATCH($D143,MATERIAL_VARIANTS!$A:$A,0)),""))</f>
        <v/>
      </c>
      <c r="S143" s="24">
        <f>IF($D143="","",IFERROR(INDEX(MATERIAL_VARIANTS!$P:$P,MATCH($D143,MATERIAL_VARIANTS!$A:$A,0)),""))</f>
        <v/>
      </c>
      <c r="T143" s="5">
        <f>IF(OR($Q143="",$S143="",$S143=0),"",ROUNDUP($Q143/$S143,0))</f>
        <v/>
      </c>
      <c r="U143" s="5" t="n"/>
    </row>
    <row r="144">
      <c r="A144" s="5" t="n"/>
      <c r="B144" s="5" t="n"/>
      <c r="C144" s="5" t="n"/>
      <c r="D144" s="5" t="n"/>
      <c r="E144" s="5" t="n"/>
      <c r="F144" s="5" t="n"/>
      <c r="G144" s="5">
        <f>IF($C144="","",INDEX(MATERIAL_MASTER!$O:$O,MATCH($C144,MATERIAL_MASTER!$A:$A,0)))</f>
        <v/>
      </c>
      <c r="H144" s="24">
        <f>IF($C144="","",INDEX(MATERIAL_MASTER!$P:$P,MATCH($C144,MATERIAL_MASTER!$A:$A,0)))</f>
        <v/>
      </c>
      <c r="I144" s="24">
        <f>IF($C144="","",INDEX(MATERIAL_FACTOR_APPLICABILITY!$D:$D,MATCH($C144,MATERIAL_FACTOR_APPLICABILITY!$A:$A,0)))</f>
        <v/>
      </c>
      <c r="J144" s="24">
        <f>IF($C144="","",INDEX(MATERIAL_FACTOR_APPLICABILITY!$E:$E,MATCH($C144,MATERIAL_FACTOR_APPLICABILITY!$A:$A,0)))</f>
        <v/>
      </c>
      <c r="K144" s="24">
        <f>IF($C144="","",INDEX(MATERIAL_FACTOR_APPLICABILITY!$F:$F,MATCH($C144,MATERIAL_FACTOR_APPLICABILITY!$A:$A,0)))</f>
        <v/>
      </c>
      <c r="L144" s="24">
        <f>IF($C144="","",INDEX(MATERIAL_FACTOR_APPLICABILITY!$G:$G,MATCH($C144,MATERIAL_FACTOR_APPLICABILITY!$A:$A,0)))</f>
        <v/>
      </c>
      <c r="M144" s="24">
        <f>IF($C144="","",INDEX(MATERIAL_FACTOR_APPLICABILITY!$H:$H,MATCH($C144,MATERIAL_FACTOR_APPLICABILITY!$A:$A,0)))</f>
        <v/>
      </c>
      <c r="N144" s="24">
        <f>IF($B144="","",ROUND(1+($I144*(SUMIFS(OBJECT_CONDITIONS!$W:$W,OBJECT_CONDITIONS!$A:$A,$B144)-1))+($J144*(SUMIFS(OBJECT_CONDITIONS!$J:$J,OBJECT_CONDITIONS!$A:$A,$B144)-1))+($K144*(SUMIFS(OBJECT_CONDITIONS!$L:$L,OBJECT_CONDITIONS!$A:$A,$B144)-1))+($L144*(SUMIFS(OBJECT_CONDITIONS!$N:$N,OBJECT_CONDITIONS!$A:$A,$B144)-1))+($M144*(SUMIFS(OBJECT_CONDITIONS!$R:$R,OBJECT_CONDITIONS!$A:$A,$B144)-1)),3))</f>
        <v/>
      </c>
      <c r="O144" s="24" t="n"/>
      <c r="P144" s="24">
        <f>IF(OR($H144="",$N144=""),"",ROUND($H144*$N144*IF($O144="",1,$O144),3))</f>
        <v/>
      </c>
      <c r="Q144" s="24">
        <f>IF(OR($E144="",$P144=""),"",ROUND($E144*$P144,3))</f>
        <v/>
      </c>
      <c r="R144" s="5">
        <f>IF($D144="","",IFERROR(INDEX(MATERIAL_VARIANTS!$O:$O,MATCH($D144,MATERIAL_VARIANTS!$A:$A,0)),""))</f>
        <v/>
      </c>
      <c r="S144" s="24">
        <f>IF($D144="","",IFERROR(INDEX(MATERIAL_VARIANTS!$P:$P,MATCH($D144,MATERIAL_VARIANTS!$A:$A,0)),""))</f>
        <v/>
      </c>
      <c r="T144" s="5">
        <f>IF(OR($Q144="",$S144="",$S144=0),"",ROUNDUP($Q144/$S144,0))</f>
        <v/>
      </c>
      <c r="U144" s="5" t="n"/>
    </row>
    <row r="145">
      <c r="A145" s="5" t="n"/>
      <c r="B145" s="5" t="n"/>
      <c r="C145" s="5" t="n"/>
      <c r="D145" s="5" t="n"/>
      <c r="E145" s="5" t="n"/>
      <c r="F145" s="5" t="n"/>
      <c r="G145" s="5">
        <f>IF($C145="","",INDEX(MATERIAL_MASTER!$O:$O,MATCH($C145,MATERIAL_MASTER!$A:$A,0)))</f>
        <v/>
      </c>
      <c r="H145" s="24">
        <f>IF($C145="","",INDEX(MATERIAL_MASTER!$P:$P,MATCH($C145,MATERIAL_MASTER!$A:$A,0)))</f>
        <v/>
      </c>
      <c r="I145" s="24">
        <f>IF($C145="","",INDEX(MATERIAL_FACTOR_APPLICABILITY!$D:$D,MATCH($C145,MATERIAL_FACTOR_APPLICABILITY!$A:$A,0)))</f>
        <v/>
      </c>
      <c r="J145" s="24">
        <f>IF($C145="","",INDEX(MATERIAL_FACTOR_APPLICABILITY!$E:$E,MATCH($C145,MATERIAL_FACTOR_APPLICABILITY!$A:$A,0)))</f>
        <v/>
      </c>
      <c r="K145" s="24">
        <f>IF($C145="","",INDEX(MATERIAL_FACTOR_APPLICABILITY!$F:$F,MATCH($C145,MATERIAL_FACTOR_APPLICABILITY!$A:$A,0)))</f>
        <v/>
      </c>
      <c r="L145" s="24">
        <f>IF($C145="","",INDEX(MATERIAL_FACTOR_APPLICABILITY!$G:$G,MATCH($C145,MATERIAL_FACTOR_APPLICABILITY!$A:$A,0)))</f>
        <v/>
      </c>
      <c r="M145" s="24">
        <f>IF($C145="","",INDEX(MATERIAL_FACTOR_APPLICABILITY!$H:$H,MATCH($C145,MATERIAL_FACTOR_APPLICABILITY!$A:$A,0)))</f>
        <v/>
      </c>
      <c r="N145" s="24">
        <f>IF($B145="","",ROUND(1+($I145*(SUMIFS(OBJECT_CONDITIONS!$W:$W,OBJECT_CONDITIONS!$A:$A,$B145)-1))+($J145*(SUMIFS(OBJECT_CONDITIONS!$J:$J,OBJECT_CONDITIONS!$A:$A,$B145)-1))+($K145*(SUMIFS(OBJECT_CONDITIONS!$L:$L,OBJECT_CONDITIONS!$A:$A,$B145)-1))+($L145*(SUMIFS(OBJECT_CONDITIONS!$N:$N,OBJECT_CONDITIONS!$A:$A,$B145)-1))+($M145*(SUMIFS(OBJECT_CONDITIONS!$R:$R,OBJECT_CONDITIONS!$A:$A,$B145)-1)),3))</f>
        <v/>
      </c>
      <c r="O145" s="24" t="n"/>
      <c r="P145" s="24">
        <f>IF(OR($H145="",$N145=""),"",ROUND($H145*$N145*IF($O145="",1,$O145),3))</f>
        <v/>
      </c>
      <c r="Q145" s="24">
        <f>IF(OR($E145="",$P145=""),"",ROUND($E145*$P145,3))</f>
        <v/>
      </c>
      <c r="R145" s="5">
        <f>IF($D145="","",IFERROR(INDEX(MATERIAL_VARIANTS!$O:$O,MATCH($D145,MATERIAL_VARIANTS!$A:$A,0)),""))</f>
        <v/>
      </c>
      <c r="S145" s="24">
        <f>IF($D145="","",IFERROR(INDEX(MATERIAL_VARIANTS!$P:$P,MATCH($D145,MATERIAL_VARIANTS!$A:$A,0)),""))</f>
        <v/>
      </c>
      <c r="T145" s="5">
        <f>IF(OR($Q145="",$S145="",$S145=0),"",ROUNDUP($Q145/$S145,0))</f>
        <v/>
      </c>
      <c r="U145" s="5" t="n"/>
    </row>
    <row r="146">
      <c r="A146" s="5" t="n"/>
      <c r="B146" s="5" t="n"/>
      <c r="C146" s="5" t="n"/>
      <c r="D146" s="5" t="n"/>
      <c r="E146" s="5" t="n"/>
      <c r="F146" s="5" t="n"/>
      <c r="G146" s="5">
        <f>IF($C146="","",INDEX(MATERIAL_MASTER!$O:$O,MATCH($C146,MATERIAL_MASTER!$A:$A,0)))</f>
        <v/>
      </c>
      <c r="H146" s="24">
        <f>IF($C146="","",INDEX(MATERIAL_MASTER!$P:$P,MATCH($C146,MATERIAL_MASTER!$A:$A,0)))</f>
        <v/>
      </c>
      <c r="I146" s="24">
        <f>IF($C146="","",INDEX(MATERIAL_FACTOR_APPLICABILITY!$D:$D,MATCH($C146,MATERIAL_FACTOR_APPLICABILITY!$A:$A,0)))</f>
        <v/>
      </c>
      <c r="J146" s="24">
        <f>IF($C146="","",INDEX(MATERIAL_FACTOR_APPLICABILITY!$E:$E,MATCH($C146,MATERIAL_FACTOR_APPLICABILITY!$A:$A,0)))</f>
        <v/>
      </c>
      <c r="K146" s="24">
        <f>IF($C146="","",INDEX(MATERIAL_FACTOR_APPLICABILITY!$F:$F,MATCH($C146,MATERIAL_FACTOR_APPLICABILITY!$A:$A,0)))</f>
        <v/>
      </c>
      <c r="L146" s="24">
        <f>IF($C146="","",INDEX(MATERIAL_FACTOR_APPLICABILITY!$G:$G,MATCH($C146,MATERIAL_FACTOR_APPLICABILITY!$A:$A,0)))</f>
        <v/>
      </c>
      <c r="M146" s="24">
        <f>IF($C146="","",INDEX(MATERIAL_FACTOR_APPLICABILITY!$H:$H,MATCH($C146,MATERIAL_FACTOR_APPLICABILITY!$A:$A,0)))</f>
        <v/>
      </c>
      <c r="N146" s="24">
        <f>IF($B146="","",ROUND(1+($I146*(SUMIFS(OBJECT_CONDITIONS!$W:$W,OBJECT_CONDITIONS!$A:$A,$B146)-1))+($J146*(SUMIFS(OBJECT_CONDITIONS!$J:$J,OBJECT_CONDITIONS!$A:$A,$B146)-1))+($K146*(SUMIFS(OBJECT_CONDITIONS!$L:$L,OBJECT_CONDITIONS!$A:$A,$B146)-1))+($L146*(SUMIFS(OBJECT_CONDITIONS!$N:$N,OBJECT_CONDITIONS!$A:$A,$B146)-1))+($M146*(SUMIFS(OBJECT_CONDITIONS!$R:$R,OBJECT_CONDITIONS!$A:$A,$B146)-1)),3))</f>
        <v/>
      </c>
      <c r="O146" s="24" t="n"/>
      <c r="P146" s="24">
        <f>IF(OR($H146="",$N146=""),"",ROUND($H146*$N146*IF($O146="",1,$O146),3))</f>
        <v/>
      </c>
      <c r="Q146" s="24">
        <f>IF(OR($E146="",$P146=""),"",ROUND($E146*$P146,3))</f>
        <v/>
      </c>
      <c r="R146" s="5">
        <f>IF($D146="","",IFERROR(INDEX(MATERIAL_VARIANTS!$O:$O,MATCH($D146,MATERIAL_VARIANTS!$A:$A,0)),""))</f>
        <v/>
      </c>
      <c r="S146" s="24">
        <f>IF($D146="","",IFERROR(INDEX(MATERIAL_VARIANTS!$P:$P,MATCH($D146,MATERIAL_VARIANTS!$A:$A,0)),""))</f>
        <v/>
      </c>
      <c r="T146" s="5">
        <f>IF(OR($Q146="",$S146="",$S146=0),"",ROUNDUP($Q146/$S146,0))</f>
        <v/>
      </c>
      <c r="U146" s="5" t="n"/>
    </row>
    <row r="147">
      <c r="A147" s="5" t="n"/>
      <c r="B147" s="5" t="n"/>
      <c r="C147" s="5" t="n"/>
      <c r="D147" s="5" t="n"/>
      <c r="E147" s="5" t="n"/>
      <c r="F147" s="5" t="n"/>
      <c r="G147" s="5">
        <f>IF($C147="","",INDEX(MATERIAL_MASTER!$O:$O,MATCH($C147,MATERIAL_MASTER!$A:$A,0)))</f>
        <v/>
      </c>
      <c r="H147" s="24">
        <f>IF($C147="","",INDEX(MATERIAL_MASTER!$P:$P,MATCH($C147,MATERIAL_MASTER!$A:$A,0)))</f>
        <v/>
      </c>
      <c r="I147" s="24">
        <f>IF($C147="","",INDEX(MATERIAL_FACTOR_APPLICABILITY!$D:$D,MATCH($C147,MATERIAL_FACTOR_APPLICABILITY!$A:$A,0)))</f>
        <v/>
      </c>
      <c r="J147" s="24">
        <f>IF($C147="","",INDEX(MATERIAL_FACTOR_APPLICABILITY!$E:$E,MATCH($C147,MATERIAL_FACTOR_APPLICABILITY!$A:$A,0)))</f>
        <v/>
      </c>
      <c r="K147" s="24">
        <f>IF($C147="","",INDEX(MATERIAL_FACTOR_APPLICABILITY!$F:$F,MATCH($C147,MATERIAL_FACTOR_APPLICABILITY!$A:$A,0)))</f>
        <v/>
      </c>
      <c r="L147" s="24">
        <f>IF($C147="","",INDEX(MATERIAL_FACTOR_APPLICABILITY!$G:$G,MATCH($C147,MATERIAL_FACTOR_APPLICABILITY!$A:$A,0)))</f>
        <v/>
      </c>
      <c r="M147" s="24">
        <f>IF($C147="","",INDEX(MATERIAL_FACTOR_APPLICABILITY!$H:$H,MATCH($C147,MATERIAL_FACTOR_APPLICABILITY!$A:$A,0)))</f>
        <v/>
      </c>
      <c r="N147" s="24">
        <f>IF($B147="","",ROUND(1+($I147*(SUMIFS(OBJECT_CONDITIONS!$W:$W,OBJECT_CONDITIONS!$A:$A,$B147)-1))+($J147*(SUMIFS(OBJECT_CONDITIONS!$J:$J,OBJECT_CONDITIONS!$A:$A,$B147)-1))+($K147*(SUMIFS(OBJECT_CONDITIONS!$L:$L,OBJECT_CONDITIONS!$A:$A,$B147)-1))+($L147*(SUMIFS(OBJECT_CONDITIONS!$N:$N,OBJECT_CONDITIONS!$A:$A,$B147)-1))+($M147*(SUMIFS(OBJECT_CONDITIONS!$R:$R,OBJECT_CONDITIONS!$A:$A,$B147)-1)),3))</f>
        <v/>
      </c>
      <c r="O147" s="24" t="n"/>
      <c r="P147" s="24">
        <f>IF(OR($H147="",$N147=""),"",ROUND($H147*$N147*IF($O147="",1,$O147),3))</f>
        <v/>
      </c>
      <c r="Q147" s="24">
        <f>IF(OR($E147="",$P147=""),"",ROUND($E147*$P147,3))</f>
        <v/>
      </c>
      <c r="R147" s="5">
        <f>IF($D147="","",IFERROR(INDEX(MATERIAL_VARIANTS!$O:$O,MATCH($D147,MATERIAL_VARIANTS!$A:$A,0)),""))</f>
        <v/>
      </c>
      <c r="S147" s="24">
        <f>IF($D147="","",IFERROR(INDEX(MATERIAL_VARIANTS!$P:$P,MATCH($D147,MATERIAL_VARIANTS!$A:$A,0)),""))</f>
        <v/>
      </c>
      <c r="T147" s="5">
        <f>IF(OR($Q147="",$S147="",$S147=0),"",ROUNDUP($Q147/$S147,0))</f>
        <v/>
      </c>
      <c r="U147" s="5" t="n"/>
    </row>
    <row r="148">
      <c r="A148" s="5" t="n"/>
      <c r="B148" s="5" t="n"/>
      <c r="C148" s="5" t="n"/>
      <c r="D148" s="5" t="n"/>
      <c r="E148" s="5" t="n"/>
      <c r="F148" s="5" t="n"/>
      <c r="G148" s="5">
        <f>IF($C148="","",INDEX(MATERIAL_MASTER!$O:$O,MATCH($C148,MATERIAL_MASTER!$A:$A,0)))</f>
        <v/>
      </c>
      <c r="H148" s="24">
        <f>IF($C148="","",INDEX(MATERIAL_MASTER!$P:$P,MATCH($C148,MATERIAL_MASTER!$A:$A,0)))</f>
        <v/>
      </c>
      <c r="I148" s="24">
        <f>IF($C148="","",INDEX(MATERIAL_FACTOR_APPLICABILITY!$D:$D,MATCH($C148,MATERIAL_FACTOR_APPLICABILITY!$A:$A,0)))</f>
        <v/>
      </c>
      <c r="J148" s="24">
        <f>IF($C148="","",INDEX(MATERIAL_FACTOR_APPLICABILITY!$E:$E,MATCH($C148,MATERIAL_FACTOR_APPLICABILITY!$A:$A,0)))</f>
        <v/>
      </c>
      <c r="K148" s="24">
        <f>IF($C148="","",INDEX(MATERIAL_FACTOR_APPLICABILITY!$F:$F,MATCH($C148,MATERIAL_FACTOR_APPLICABILITY!$A:$A,0)))</f>
        <v/>
      </c>
      <c r="L148" s="24">
        <f>IF($C148="","",INDEX(MATERIAL_FACTOR_APPLICABILITY!$G:$G,MATCH($C148,MATERIAL_FACTOR_APPLICABILITY!$A:$A,0)))</f>
        <v/>
      </c>
      <c r="M148" s="24">
        <f>IF($C148="","",INDEX(MATERIAL_FACTOR_APPLICABILITY!$H:$H,MATCH($C148,MATERIAL_FACTOR_APPLICABILITY!$A:$A,0)))</f>
        <v/>
      </c>
      <c r="N148" s="24">
        <f>IF($B148="","",ROUND(1+($I148*(SUMIFS(OBJECT_CONDITIONS!$W:$W,OBJECT_CONDITIONS!$A:$A,$B148)-1))+($J148*(SUMIFS(OBJECT_CONDITIONS!$J:$J,OBJECT_CONDITIONS!$A:$A,$B148)-1))+($K148*(SUMIFS(OBJECT_CONDITIONS!$L:$L,OBJECT_CONDITIONS!$A:$A,$B148)-1))+($L148*(SUMIFS(OBJECT_CONDITIONS!$N:$N,OBJECT_CONDITIONS!$A:$A,$B148)-1))+($M148*(SUMIFS(OBJECT_CONDITIONS!$R:$R,OBJECT_CONDITIONS!$A:$A,$B148)-1)),3))</f>
        <v/>
      </c>
      <c r="O148" s="24" t="n"/>
      <c r="P148" s="24">
        <f>IF(OR($H148="",$N148=""),"",ROUND($H148*$N148*IF($O148="",1,$O148),3))</f>
        <v/>
      </c>
      <c r="Q148" s="24">
        <f>IF(OR($E148="",$P148=""),"",ROUND($E148*$P148,3))</f>
        <v/>
      </c>
      <c r="R148" s="5">
        <f>IF($D148="","",IFERROR(INDEX(MATERIAL_VARIANTS!$O:$O,MATCH($D148,MATERIAL_VARIANTS!$A:$A,0)),""))</f>
        <v/>
      </c>
      <c r="S148" s="24">
        <f>IF($D148="","",IFERROR(INDEX(MATERIAL_VARIANTS!$P:$P,MATCH($D148,MATERIAL_VARIANTS!$A:$A,0)),""))</f>
        <v/>
      </c>
      <c r="T148" s="5">
        <f>IF(OR($Q148="",$S148="",$S148=0),"",ROUNDUP($Q148/$S148,0))</f>
        <v/>
      </c>
      <c r="U148" s="5" t="n"/>
    </row>
    <row r="149">
      <c r="A149" s="5" t="n"/>
      <c r="B149" s="5" t="n"/>
      <c r="C149" s="5" t="n"/>
      <c r="D149" s="5" t="n"/>
      <c r="E149" s="5" t="n"/>
      <c r="F149" s="5" t="n"/>
      <c r="G149" s="5">
        <f>IF($C149="","",INDEX(MATERIAL_MASTER!$O:$O,MATCH($C149,MATERIAL_MASTER!$A:$A,0)))</f>
        <v/>
      </c>
      <c r="H149" s="24">
        <f>IF($C149="","",INDEX(MATERIAL_MASTER!$P:$P,MATCH($C149,MATERIAL_MASTER!$A:$A,0)))</f>
        <v/>
      </c>
      <c r="I149" s="24">
        <f>IF($C149="","",INDEX(MATERIAL_FACTOR_APPLICABILITY!$D:$D,MATCH($C149,MATERIAL_FACTOR_APPLICABILITY!$A:$A,0)))</f>
        <v/>
      </c>
      <c r="J149" s="24">
        <f>IF($C149="","",INDEX(MATERIAL_FACTOR_APPLICABILITY!$E:$E,MATCH($C149,MATERIAL_FACTOR_APPLICABILITY!$A:$A,0)))</f>
        <v/>
      </c>
      <c r="K149" s="24">
        <f>IF($C149="","",INDEX(MATERIAL_FACTOR_APPLICABILITY!$F:$F,MATCH($C149,MATERIAL_FACTOR_APPLICABILITY!$A:$A,0)))</f>
        <v/>
      </c>
      <c r="L149" s="24">
        <f>IF($C149="","",INDEX(MATERIAL_FACTOR_APPLICABILITY!$G:$G,MATCH($C149,MATERIAL_FACTOR_APPLICABILITY!$A:$A,0)))</f>
        <v/>
      </c>
      <c r="M149" s="24">
        <f>IF($C149="","",INDEX(MATERIAL_FACTOR_APPLICABILITY!$H:$H,MATCH($C149,MATERIAL_FACTOR_APPLICABILITY!$A:$A,0)))</f>
        <v/>
      </c>
      <c r="N149" s="24">
        <f>IF($B149="","",ROUND(1+($I149*(SUMIFS(OBJECT_CONDITIONS!$W:$W,OBJECT_CONDITIONS!$A:$A,$B149)-1))+($J149*(SUMIFS(OBJECT_CONDITIONS!$J:$J,OBJECT_CONDITIONS!$A:$A,$B149)-1))+($K149*(SUMIFS(OBJECT_CONDITIONS!$L:$L,OBJECT_CONDITIONS!$A:$A,$B149)-1))+($L149*(SUMIFS(OBJECT_CONDITIONS!$N:$N,OBJECT_CONDITIONS!$A:$A,$B149)-1))+($M149*(SUMIFS(OBJECT_CONDITIONS!$R:$R,OBJECT_CONDITIONS!$A:$A,$B149)-1)),3))</f>
        <v/>
      </c>
      <c r="O149" s="24" t="n"/>
      <c r="P149" s="24">
        <f>IF(OR($H149="",$N149=""),"",ROUND($H149*$N149*IF($O149="",1,$O149),3))</f>
        <v/>
      </c>
      <c r="Q149" s="24">
        <f>IF(OR($E149="",$P149=""),"",ROUND($E149*$P149,3))</f>
        <v/>
      </c>
      <c r="R149" s="5">
        <f>IF($D149="","",IFERROR(INDEX(MATERIAL_VARIANTS!$O:$O,MATCH($D149,MATERIAL_VARIANTS!$A:$A,0)),""))</f>
        <v/>
      </c>
      <c r="S149" s="24">
        <f>IF($D149="","",IFERROR(INDEX(MATERIAL_VARIANTS!$P:$P,MATCH($D149,MATERIAL_VARIANTS!$A:$A,0)),""))</f>
        <v/>
      </c>
      <c r="T149" s="5">
        <f>IF(OR($Q149="",$S149="",$S149=0),"",ROUNDUP($Q149/$S149,0))</f>
        <v/>
      </c>
      <c r="U149" s="5" t="n"/>
    </row>
    <row r="150">
      <c r="A150" s="5" t="n"/>
      <c r="B150" s="5" t="n"/>
      <c r="C150" s="5" t="n"/>
      <c r="D150" s="5" t="n"/>
      <c r="E150" s="5" t="n"/>
      <c r="F150" s="5" t="n"/>
      <c r="G150" s="5">
        <f>IF($C150="","",INDEX(MATERIAL_MASTER!$O:$O,MATCH($C150,MATERIAL_MASTER!$A:$A,0)))</f>
        <v/>
      </c>
      <c r="H150" s="24">
        <f>IF($C150="","",INDEX(MATERIAL_MASTER!$P:$P,MATCH($C150,MATERIAL_MASTER!$A:$A,0)))</f>
        <v/>
      </c>
      <c r="I150" s="24">
        <f>IF($C150="","",INDEX(MATERIAL_FACTOR_APPLICABILITY!$D:$D,MATCH($C150,MATERIAL_FACTOR_APPLICABILITY!$A:$A,0)))</f>
        <v/>
      </c>
      <c r="J150" s="24">
        <f>IF($C150="","",INDEX(MATERIAL_FACTOR_APPLICABILITY!$E:$E,MATCH($C150,MATERIAL_FACTOR_APPLICABILITY!$A:$A,0)))</f>
        <v/>
      </c>
      <c r="K150" s="24">
        <f>IF($C150="","",INDEX(MATERIAL_FACTOR_APPLICABILITY!$F:$F,MATCH($C150,MATERIAL_FACTOR_APPLICABILITY!$A:$A,0)))</f>
        <v/>
      </c>
      <c r="L150" s="24">
        <f>IF($C150="","",INDEX(MATERIAL_FACTOR_APPLICABILITY!$G:$G,MATCH($C150,MATERIAL_FACTOR_APPLICABILITY!$A:$A,0)))</f>
        <v/>
      </c>
      <c r="M150" s="24">
        <f>IF($C150="","",INDEX(MATERIAL_FACTOR_APPLICABILITY!$H:$H,MATCH($C150,MATERIAL_FACTOR_APPLICABILITY!$A:$A,0)))</f>
        <v/>
      </c>
      <c r="N150" s="24">
        <f>IF($B150="","",ROUND(1+($I150*(SUMIFS(OBJECT_CONDITIONS!$W:$W,OBJECT_CONDITIONS!$A:$A,$B150)-1))+($J150*(SUMIFS(OBJECT_CONDITIONS!$J:$J,OBJECT_CONDITIONS!$A:$A,$B150)-1))+($K150*(SUMIFS(OBJECT_CONDITIONS!$L:$L,OBJECT_CONDITIONS!$A:$A,$B150)-1))+($L150*(SUMIFS(OBJECT_CONDITIONS!$N:$N,OBJECT_CONDITIONS!$A:$A,$B150)-1))+($M150*(SUMIFS(OBJECT_CONDITIONS!$R:$R,OBJECT_CONDITIONS!$A:$A,$B150)-1)),3))</f>
        <v/>
      </c>
      <c r="O150" s="24" t="n"/>
      <c r="P150" s="24">
        <f>IF(OR($H150="",$N150=""),"",ROUND($H150*$N150*IF($O150="",1,$O150),3))</f>
        <v/>
      </c>
      <c r="Q150" s="24">
        <f>IF(OR($E150="",$P150=""),"",ROUND($E150*$P150,3))</f>
        <v/>
      </c>
      <c r="R150" s="5">
        <f>IF($D150="","",IFERROR(INDEX(MATERIAL_VARIANTS!$O:$O,MATCH($D150,MATERIAL_VARIANTS!$A:$A,0)),""))</f>
        <v/>
      </c>
      <c r="S150" s="24">
        <f>IF($D150="","",IFERROR(INDEX(MATERIAL_VARIANTS!$P:$P,MATCH($D150,MATERIAL_VARIANTS!$A:$A,0)),""))</f>
        <v/>
      </c>
      <c r="T150" s="5">
        <f>IF(OR($Q150="",$S150="",$S150=0),"",ROUNDUP($Q150/$S150,0))</f>
        <v/>
      </c>
      <c r="U150" s="5" t="n"/>
    </row>
  </sheetData>
  <dataValidations count="4">
    <dataValidation sqref="B2:B1000" showDropDown="0" showInputMessage="0" showErrorMessage="0" allowBlank="1" type="list">
      <formula1>='OBJECT_CONDITIONS'!$A$2:$A$1000</formula1>
    </dataValidation>
    <dataValidation sqref="C2:C1000" showDropDown="0" showInputMessage="0" showErrorMessage="0" allowBlank="1" type="list">
      <formula1>='MATERIAL_MASTER'!$A$2:$A$1000</formula1>
    </dataValidation>
    <dataValidation sqref="D2:D1000" showDropDown="0" showInputMessage="0" showErrorMessage="0" allowBlank="1" type="list">
      <formula1>='MATERIAL_VARIANTS'!$A$2:$A$1000</formula1>
    </dataValidation>
    <dataValidation sqref="F2:F1000" showDropDown="0" showInputMessage="0" showErrorMessage="0" allowBlank="1" type="list">
      <formula1>='DICTIONARIES'!$C$2:$C$15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4" customWidth="1" min="4" max="4"/>
    <col width="16" customWidth="1" min="5" max="5"/>
    <col width="16" customWidth="1" min="6" max="6"/>
    <col width="14" customWidth="1" min="7" max="7"/>
    <col width="17" customWidth="1" min="8" max="8"/>
    <col width="20" customWidth="1" min="9" max="9"/>
    <col width="20" customWidth="1" min="10" max="10"/>
    <col width="55" customWidth="1" min="11" max="11"/>
  </cols>
  <sheetData>
    <row r="1">
      <c r="A1" s="4" t="inlineStr">
        <is>
          <t>Tariff</t>
        </is>
      </c>
      <c r="B1" s="4" t="inlineStr">
        <is>
          <t>ClientLabel</t>
        </is>
      </c>
      <c r="C1" s="4" t="inlineStr">
        <is>
          <t>Description</t>
        </is>
      </c>
      <c r="D1" s="4" t="inlineStr">
        <is>
          <t>WorkSellCoeff</t>
        </is>
      </c>
      <c r="E1" s="4" t="inlineStr">
        <is>
          <t>MaterialSellCoeff</t>
        </is>
      </c>
      <c r="F1" s="4" t="inlineStr">
        <is>
          <t>LogisticsSellCoeff</t>
        </is>
      </c>
      <c r="G1" s="4" t="inlineStr">
        <is>
          <t>OverheadCoeff</t>
        </is>
      </c>
      <c r="H1" s="4" t="inlineStr">
        <is>
          <t>ReserveBiasCoeff</t>
        </is>
      </c>
      <c r="I1" s="4" t="inlineStr">
        <is>
          <t>PreferredQualityIntent</t>
        </is>
      </c>
      <c r="J1" s="4" t="inlineStr">
        <is>
          <t>DefaultDisplayMode</t>
        </is>
      </c>
      <c r="K1" s="4" t="inlineStr">
        <is>
          <t>Notes</t>
        </is>
      </c>
    </row>
    <row r="2">
      <c r="A2" s="5" t="inlineStr">
        <is>
          <t>Эконом</t>
        </is>
      </c>
      <c r="B2" s="5" t="inlineStr">
        <is>
          <t>Эконом</t>
        </is>
      </c>
      <c r="C2" s="5" t="inlineStr">
        <is>
          <t>Минимально достаточная комплектация без излишеств; упор на цену и укрупнение показа</t>
        </is>
      </c>
      <c r="D2" s="5" t="n">
        <v>1</v>
      </c>
      <c r="E2" s="5" t="n">
        <v>0.95</v>
      </c>
      <c r="F2" s="5" t="n">
        <v>1</v>
      </c>
      <c r="G2" s="5" t="n">
        <v>1</v>
      </c>
      <c r="H2" s="5" t="n">
        <v>0.99</v>
      </c>
      <c r="I2" s="5" t="inlineStr">
        <is>
          <t>Эконом</t>
        </is>
      </c>
      <c r="J2" s="5" t="inlineStr">
        <is>
          <t>Свернуть в раздел</t>
        </is>
      </c>
      <c r="K2" s="5" t="inlineStr">
        <is>
          <t>Не считать это автоматической скидкой на всё подряд; состав и замены задаются в правилах</t>
        </is>
      </c>
    </row>
    <row r="3">
      <c r="A3" s="5" t="inlineStr">
        <is>
          <t>Стандарт</t>
        </is>
      </c>
      <c r="B3" s="5" t="inlineStr">
        <is>
          <t>Стандарт</t>
        </is>
      </c>
      <c r="C3" s="5" t="inlineStr">
        <is>
          <t>Базовый рекомендуемый уровень для большинства частных объектов</t>
        </is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inlineStr">
        <is>
          <t>Стандарт</t>
        </is>
      </c>
      <c r="J3" s="5" t="inlineStr">
        <is>
          <t>Показать строкой</t>
        </is>
      </c>
      <c r="K3" s="5" t="inlineStr">
        <is>
          <t>Отправная точка модели</t>
        </is>
      </c>
    </row>
    <row r="4">
      <c r="A4" s="5" t="inlineStr">
        <is>
          <t>Премиум</t>
        </is>
      </c>
      <c r="B4" s="5" t="inlineStr">
        <is>
          <t>Премиум</t>
        </is>
      </c>
      <c r="C4" s="5" t="inlineStr">
        <is>
          <t>Улучшенные материалы, больше прозрачности в КП, выше допуски по запасам и качеству</t>
        </is>
      </c>
      <c r="D4" s="5" t="n">
        <v>1.08</v>
      </c>
      <c r="E4" s="5" t="n">
        <v>1.12</v>
      </c>
      <c r="F4" s="5" t="n">
        <v>1.03</v>
      </c>
      <c r="G4" s="5" t="n">
        <v>1</v>
      </c>
      <c r="H4" s="5" t="n">
        <v>1.02</v>
      </c>
      <c r="I4" s="5" t="inlineStr">
        <is>
          <t>Премиум</t>
        </is>
      </c>
      <c r="J4" s="5" t="inlineStr">
        <is>
          <t>Показать строкой</t>
        </is>
      </c>
      <c r="K4" s="5" t="inlineStr">
        <is>
          <t>Премиум меняет не только цену, но и набор/качество материалов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</sheetData>
  <autoFilter ref="A1:K15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0" customWidth="1" min="4" max="4"/>
    <col width="18" customWidth="1" min="5" max="5"/>
    <col width="16" customWidth="1" min="6" max="6"/>
    <col width="16" customWidth="1" min="7" max="7"/>
    <col width="16" customWidth="1" min="8" max="8"/>
    <col width="18" customWidth="1" min="9" max="9"/>
    <col width="30" customWidth="1" min="10" max="10"/>
    <col width="14" customWidth="1" min="11" max="11"/>
    <col width="36" customWidth="1" min="12" max="12"/>
  </cols>
  <sheetData>
    <row r="1">
      <c r="A1" s="4" t="inlineStr">
        <is>
          <t>Tariff</t>
        </is>
      </c>
      <c r="B1" s="4" t="inlineStr">
        <is>
          <t>MinQuoteValueExVAT</t>
        </is>
      </c>
      <c r="C1" s="4" t="inlineStr">
        <is>
          <t>MinCrewDayChargeExVAT</t>
        </is>
      </c>
      <c r="D1" s="4" t="inlineStr">
        <is>
          <t>MobilizationChargeExVAT</t>
        </is>
      </c>
      <c r="E1" s="4" t="inlineStr">
        <is>
          <t>SiteVisitChargeExVAT</t>
        </is>
      </c>
      <c r="F1" s="4" t="inlineStr">
        <is>
          <t>SmallJobFloorCoeff</t>
        </is>
      </c>
      <c r="G1" s="4" t="inlineStr">
        <is>
          <t>DefaultDiscountCap</t>
        </is>
      </c>
      <c r="H1" s="4" t="inlineStr">
        <is>
          <t>PriceValidityDays</t>
        </is>
      </c>
      <c r="I1" s="4" t="inlineStr">
        <is>
          <t>DefaultWarrantyMonths</t>
        </is>
      </c>
      <c r="J1" s="4" t="inlineStr">
        <is>
          <t>DefaultPaymentTerms</t>
        </is>
      </c>
      <c r="K1" s="4" t="inlineStr">
        <is>
          <t>ApprovalLevel</t>
        </is>
      </c>
      <c r="L1" s="4" t="inlineStr">
        <is>
          <t>Notes</t>
        </is>
      </c>
    </row>
    <row r="2">
      <c r="A2" s="19" t="inlineStr">
        <is>
          <t>Эконом</t>
        </is>
      </c>
      <c r="B2" s="35" t="n">
        <v>150000</v>
      </c>
      <c r="C2" s="35" t="n">
        <v>30000</v>
      </c>
      <c r="D2" s="35" t="n">
        <v>12000</v>
      </c>
      <c r="E2" s="35" t="n">
        <v>8000</v>
      </c>
      <c r="F2" s="37" t="n">
        <v>1.05</v>
      </c>
      <c r="G2" s="37" t="n">
        <v>0.03</v>
      </c>
      <c r="H2" s="19" t="n">
        <v>7</v>
      </c>
      <c r="I2" s="19" t="n">
        <v>6</v>
      </c>
      <c r="J2" s="19" t="inlineStr">
        <is>
          <t>70% аванс / 30% по факту</t>
        </is>
      </c>
      <c r="K2" s="19" t="inlineStr">
        <is>
          <t>Менеджер</t>
        </is>
      </c>
      <c r="L2" s="19" t="inlineStr">
        <is>
          <t>Сильнее укрупнять и следить за floor для малых объектов</t>
        </is>
      </c>
    </row>
    <row r="3">
      <c r="A3" s="19" t="inlineStr">
        <is>
          <t>Стандарт</t>
        </is>
      </c>
      <c r="B3" s="35" t="n">
        <v>250000</v>
      </c>
      <c r="C3" s="35" t="n">
        <v>40000</v>
      </c>
      <c r="D3" s="35" t="n">
        <v>15000</v>
      </c>
      <c r="E3" s="35" t="n">
        <v>10000</v>
      </c>
      <c r="F3" s="37" t="n">
        <v>1</v>
      </c>
      <c r="G3" s="37" t="n">
        <v>0.05</v>
      </c>
      <c r="H3" s="19" t="n">
        <v>10</v>
      </c>
      <c r="I3" s="19" t="n">
        <v>12</v>
      </c>
      <c r="J3" s="19" t="inlineStr">
        <is>
          <t>50% аванс / 40% по этапу / 10% закрытие</t>
        </is>
      </c>
      <c r="K3" s="19" t="inlineStr">
        <is>
          <t>Прораб</t>
        </is>
      </c>
      <c r="L3" s="19" t="inlineStr">
        <is>
          <t>Базовая коммерческая политика</t>
        </is>
      </c>
    </row>
    <row r="4">
      <c r="A4" s="19" t="inlineStr">
        <is>
          <t>Премиум</t>
        </is>
      </c>
      <c r="B4" s="35" t="n">
        <v>400000</v>
      </c>
      <c r="C4" s="35" t="n">
        <v>55000</v>
      </c>
      <c r="D4" s="35" t="n">
        <v>18000</v>
      </c>
      <c r="E4" s="35" t="n">
        <v>12000</v>
      </c>
      <c r="F4" s="37" t="n">
        <v>1</v>
      </c>
      <c r="G4" s="37" t="n">
        <v>0.07000000000000001</v>
      </c>
      <c r="H4" s="19" t="n">
        <v>14</v>
      </c>
      <c r="I4" s="19" t="n">
        <v>24</v>
      </c>
      <c r="J4" s="19" t="inlineStr">
        <is>
          <t>50% аванс / 50% по этапам</t>
        </is>
      </c>
      <c r="K4" s="19" t="inlineStr">
        <is>
          <t>Финдир</t>
        </is>
      </c>
      <c r="L4" s="19" t="inlineStr">
        <is>
          <t>Больше точности, качества и гарантий</t>
        </is>
      </c>
    </row>
  </sheetData>
  <autoFilter ref="A1:L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20" customWidth="1" min="5" max="5"/>
    <col width="20" customWidth="1" min="6" max="6"/>
    <col width="28" customWidth="1" min="7" max="7"/>
    <col width="20" customWidth="1" min="8" max="8"/>
    <col width="14" customWidth="1" min="9" max="9"/>
    <col width="45" customWidth="1" min="10" max="10"/>
  </cols>
  <sheetData>
    <row r="1">
      <c r="A1" s="4" t="inlineStr">
        <is>
          <t>WorkID</t>
        </is>
      </c>
      <c r="B1" s="4" t="inlineStr">
        <is>
          <t>CanonicalWork</t>
        </is>
      </c>
      <c r="C1" s="4" t="inlineStr">
        <is>
          <t>Tariff</t>
        </is>
      </c>
      <c r="D1" s="4" t="inlineStr">
        <is>
          <t>IsIncluded</t>
        </is>
      </c>
      <c r="E1" s="4" t="inlineStr">
        <is>
          <t>PreferredExecutionMethod</t>
        </is>
      </c>
      <c r="F1" s="4" t="inlineStr">
        <is>
          <t>WorkSellCoeffOverride</t>
        </is>
      </c>
      <c r="G1" s="4" t="inlineStr">
        <is>
          <t>CommercialNameOverride</t>
        </is>
      </c>
      <c r="H1" s="4" t="inlineStr">
        <is>
          <t>DisplayModeOverride</t>
        </is>
      </c>
      <c r="I1" s="4" t="inlineStr">
        <is>
          <t>BundleMode</t>
        </is>
      </c>
      <c r="J1" s="4" t="inlineStr">
        <is>
          <t>Notes</t>
        </is>
      </c>
    </row>
    <row r="2">
      <c r="A2" s="5" t="inlineStr">
        <is>
          <t>WORK-0001</t>
        </is>
      </c>
      <c r="B2" s="5" t="inlineStr">
        <is>
          <t>Выборка ложа</t>
        </is>
      </c>
      <c r="C2" s="5" t="inlineStr">
        <is>
          <t>Эконом</t>
        </is>
      </c>
      <c r="D2" s="5" t="inlineStr">
        <is>
          <t>Да</t>
        </is>
      </c>
      <c r="E2" s="5" t="inlineStr">
        <is>
          <t>Механизированный</t>
        </is>
      </c>
      <c r="F2" s="5" t="inlineStr"/>
      <c r="G2" s="5" t="inlineStr">
        <is>
          <t>Подготовка ложа</t>
        </is>
      </c>
      <c r="H2" s="5" t="inlineStr">
        <is>
          <t>Свернуть в раздел</t>
        </is>
      </c>
      <c r="I2" s="5" t="inlineStr">
        <is>
          <t>Минимум</t>
        </is>
      </c>
      <c r="J2" s="5" t="inlineStr">
        <is>
          <t>Для эконома чаще укрупнять и предпочитать механизацию при доступе</t>
        </is>
      </c>
    </row>
    <row r="3">
      <c r="A3" s="5" t="inlineStr">
        <is>
          <t>WORK-0001</t>
        </is>
      </c>
      <c r="B3" s="5" t="inlineStr">
        <is>
          <t>Выборка ложа</t>
        </is>
      </c>
      <c r="C3" s="5" t="inlineStr">
        <is>
          <t>Стандарт</t>
        </is>
      </c>
      <c r="D3" s="5" t="inlineStr">
        <is>
          <t>Да</t>
        </is>
      </c>
      <c r="E3" s="5" t="inlineStr">
        <is>
          <t>Стандарт</t>
        </is>
      </c>
      <c r="F3" s="5" t="inlineStr"/>
      <c r="G3" s="5" t="inlineStr">
        <is>
          <t>Подготовка ложа</t>
        </is>
      </c>
      <c r="H3" s="5" t="inlineStr">
        <is>
          <t>Показать строкой</t>
        </is>
      </c>
      <c r="I3" s="5" t="inlineStr">
        <is>
          <t>База</t>
        </is>
      </c>
      <c r="J3" s="5" t="inlineStr"/>
    </row>
    <row r="4">
      <c r="A4" s="5" t="inlineStr">
        <is>
          <t>WORK-0001</t>
        </is>
      </c>
      <c r="B4" s="5" t="inlineStr">
        <is>
          <t>Выборка ложа</t>
        </is>
      </c>
      <c r="C4" s="5" t="inlineStr">
        <is>
          <t>Премиум</t>
        </is>
      </c>
      <c r="D4" s="5" t="inlineStr">
        <is>
          <t>Да</t>
        </is>
      </c>
      <c r="E4" s="5" t="inlineStr">
        <is>
          <t>Ручной</t>
        </is>
      </c>
      <c r="F4" s="5" t="inlineStr">
        <is>
          <t>1.08</t>
        </is>
      </c>
      <c r="G4" s="5" t="inlineStr">
        <is>
          <t>Точная подготовка ложа</t>
        </is>
      </c>
      <c r="H4" s="5" t="inlineStr">
        <is>
          <t>Показать строкой</t>
        </is>
      </c>
      <c r="I4" s="5" t="inlineStr">
        <is>
          <t>Детально</t>
        </is>
      </c>
      <c r="J4" s="5" t="inlineStr">
        <is>
          <t>Ручная доработка и более деликатное исполнение при сложной геометрии</t>
        </is>
      </c>
    </row>
    <row r="5">
      <c r="A5" s="5" t="inlineStr">
        <is>
          <t>WORK-0002</t>
        </is>
      </c>
      <c r="B5" s="5" t="inlineStr">
        <is>
          <t>Устройство газонного ложа</t>
        </is>
      </c>
      <c r="C5" s="5" t="inlineStr">
        <is>
          <t>Эконом</t>
        </is>
      </c>
      <c r="D5" s="5" t="inlineStr">
        <is>
          <t>Да</t>
        </is>
      </c>
      <c r="E5" s="5" t="inlineStr">
        <is>
          <t>Стандарт</t>
        </is>
      </c>
      <c r="F5" s="5" t="inlineStr"/>
      <c r="G5" s="5" t="inlineStr">
        <is>
          <t>Устройство газонного основания</t>
        </is>
      </c>
      <c r="H5" s="5" t="inlineStr">
        <is>
          <t>Свернуть в раздел</t>
        </is>
      </c>
      <c r="I5" s="5" t="inlineStr">
        <is>
          <t>Минимум</t>
        </is>
      </c>
      <c r="J5" s="5" t="inlineStr"/>
    </row>
    <row r="6">
      <c r="A6" s="5" t="inlineStr">
        <is>
          <t>WORK-0002</t>
        </is>
      </c>
      <c r="B6" s="5" t="inlineStr">
        <is>
          <t>Устройство газонного ложа</t>
        </is>
      </c>
      <c r="C6" s="5" t="inlineStr">
        <is>
          <t>Стандарт</t>
        </is>
      </c>
      <c r="D6" s="5" t="inlineStr">
        <is>
          <t>Да</t>
        </is>
      </c>
      <c r="E6" s="5" t="inlineStr">
        <is>
          <t>Стандарт</t>
        </is>
      </c>
      <c r="F6" s="5" t="inlineStr"/>
      <c r="G6" s="5" t="inlineStr">
        <is>
          <t>Устройство газонного основания</t>
        </is>
      </c>
      <c r="H6" s="5" t="inlineStr">
        <is>
          <t>Показать строкой</t>
        </is>
      </c>
      <c r="I6" s="5" t="inlineStr">
        <is>
          <t>База</t>
        </is>
      </c>
      <c r="J6" s="5" t="inlineStr"/>
    </row>
    <row r="7">
      <c r="A7" s="5" t="inlineStr">
        <is>
          <t>WORK-0002</t>
        </is>
      </c>
      <c r="B7" s="5" t="inlineStr">
        <is>
          <t>Устройство газонного ложа</t>
        </is>
      </c>
      <c r="C7" s="5" t="inlineStr">
        <is>
          <t>Премиум</t>
        </is>
      </c>
      <c r="D7" s="5" t="inlineStr">
        <is>
          <t>Да</t>
        </is>
      </c>
      <c r="E7" s="5" t="inlineStr">
        <is>
          <t>Ручной</t>
        </is>
      </c>
      <c r="F7" s="5" t="inlineStr">
        <is>
          <t>1.10</t>
        </is>
      </c>
      <c r="G7" s="5" t="inlineStr">
        <is>
          <t>Подготовка премиального газонного основания</t>
        </is>
      </c>
      <c r="H7" s="5" t="inlineStr">
        <is>
          <t>Показать строкой</t>
        </is>
      </c>
      <c r="I7" s="5" t="inlineStr">
        <is>
          <t>Детально</t>
        </is>
      </c>
      <c r="J7" s="5" t="inlineStr"/>
    </row>
    <row r="8">
      <c r="A8" s="5" t="inlineStr">
        <is>
          <t>WORK-0004</t>
        </is>
      </c>
      <c r="B8" s="5" t="inlineStr">
        <is>
          <t>Монтаж бордюра бетонного</t>
        </is>
      </c>
      <c r="C8" s="5" t="inlineStr">
        <is>
          <t>Эконом</t>
        </is>
      </c>
      <c r="D8" s="5" t="inlineStr">
        <is>
          <t>Да</t>
        </is>
      </c>
      <c r="E8" s="5" t="inlineStr">
        <is>
          <t>Стандарт</t>
        </is>
      </c>
      <c r="F8" s="5" t="inlineStr"/>
      <c r="G8" s="5" t="inlineStr">
        <is>
          <t>Монтаж бордюра</t>
        </is>
      </c>
      <c r="H8" s="5" t="inlineStr">
        <is>
          <t>Свернуть в раздел</t>
        </is>
      </c>
      <c r="I8" s="5" t="inlineStr">
        <is>
          <t>Минимум</t>
        </is>
      </c>
      <c r="J8" s="5" t="inlineStr"/>
    </row>
    <row r="9">
      <c r="A9" s="5" t="inlineStr">
        <is>
          <t>WORK-0004</t>
        </is>
      </c>
      <c r="B9" s="5" t="inlineStr">
        <is>
          <t>Монтаж бордюра бетонного</t>
        </is>
      </c>
      <c r="C9" s="5" t="inlineStr">
        <is>
          <t>Стандарт</t>
        </is>
      </c>
      <c r="D9" s="5" t="inlineStr">
        <is>
          <t>Да</t>
        </is>
      </c>
      <c r="E9" s="5" t="inlineStr">
        <is>
          <t>Стандарт</t>
        </is>
      </c>
      <c r="F9" s="5" t="inlineStr"/>
      <c r="G9" s="5" t="inlineStr">
        <is>
          <t>Монтаж бордюра</t>
        </is>
      </c>
      <c r="H9" s="5" t="inlineStr">
        <is>
          <t>Показать строкой</t>
        </is>
      </c>
      <c r="I9" s="5" t="inlineStr">
        <is>
          <t>База</t>
        </is>
      </c>
      <c r="J9" s="5" t="inlineStr"/>
    </row>
    <row r="10">
      <c r="A10" s="5" t="inlineStr">
        <is>
          <t>WORK-0004</t>
        </is>
      </c>
      <c r="B10" s="5" t="inlineStr">
        <is>
          <t>Монтаж бордюра бетонного</t>
        </is>
      </c>
      <c r="C10" s="5" t="inlineStr">
        <is>
          <t>Премиум</t>
        </is>
      </c>
      <c r="D10" s="5" t="inlineStr">
        <is>
          <t>Да</t>
        </is>
      </c>
      <c r="E10" s="5" t="inlineStr">
        <is>
          <t>Стандарт</t>
        </is>
      </c>
      <c r="F10" s="5" t="inlineStr">
        <is>
          <t>1.05</t>
        </is>
      </c>
      <c r="G10" s="5" t="inlineStr">
        <is>
          <t>Точный монтаж бордюра</t>
        </is>
      </c>
      <c r="H10" s="5" t="inlineStr">
        <is>
          <t>Показать строкой</t>
        </is>
      </c>
      <c r="I10" s="5" t="inlineStr">
        <is>
          <t>Детально</t>
        </is>
      </c>
      <c r="J10" s="5" t="inlineStr">
        <is>
          <t>Более аккуратная геометрия и контроль</t>
        </is>
      </c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</sheetData>
  <autoFilter ref="A1:J150"/>
  <dataValidations count="4">
    <dataValidation sqref="C2:C1000" showDropDown="0" showInputMessage="0" showErrorMessage="0" allowBlank="1" type="list">
      <formula1>='DICTIONARIES'!$AJ$2:$AJ$4</formula1>
    </dataValidation>
    <dataValidation sqref="D2:D1000" showDropDown="0" showInputMessage="0" showErrorMessage="0" allowBlank="1" type="list">
      <formula1>='DICTIONARIES'!$G$2:$G$3</formula1>
    </dataValidation>
    <dataValidation sqref="E2:E1000" showDropDown="0" showInputMessage="0" showErrorMessage="0" allowBlank="1" type="list">
      <formula1>='DICTIONARIES'!$E$2:$E$5</formula1>
    </dataValidation>
    <dataValidation sqref="H2:H1000" showDropDown="0" showInputMessage="0" showErrorMessage="0" allowBlank="1" type="list">
      <formula1>='DICTIONARIES'!$D$2:$D$4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6" customWidth="1" min="4" max="4"/>
    <col width="20" customWidth="1" min="5" max="5"/>
    <col width="18" customWidth="1" min="6" max="6"/>
    <col width="30" customWidth="1" min="7" max="7"/>
    <col width="20" customWidth="1" min="8" max="8"/>
    <col width="14" customWidth="1" min="9" max="9"/>
    <col width="45" customWidth="1" min="10" max="10"/>
  </cols>
  <sheetData>
    <row r="1">
      <c r="A1" s="4" t="inlineStr">
        <is>
          <t>MaterialID</t>
        </is>
      </c>
      <c r="B1" s="4" t="inlineStr">
        <is>
          <t>CanonicalMaterial</t>
        </is>
      </c>
      <c r="C1" s="4" t="inlineStr">
        <is>
          <t>Tariff</t>
        </is>
      </c>
      <c r="D1" s="4" t="inlineStr">
        <is>
          <t>PreferredVariantID</t>
        </is>
      </c>
      <c r="E1" s="4" t="inlineStr">
        <is>
          <t>MaterialSellCoeffOverride</t>
        </is>
      </c>
      <c r="F1" s="4" t="inlineStr">
        <is>
          <t>ReserveBiasOverride</t>
        </is>
      </c>
      <c r="G1" s="4" t="inlineStr">
        <is>
          <t>ClientNameOverride</t>
        </is>
      </c>
      <c r="H1" s="4" t="inlineStr">
        <is>
          <t>DisplayModeOverride</t>
        </is>
      </c>
      <c r="I1" s="4" t="inlineStr">
        <is>
          <t>QualityIntent</t>
        </is>
      </c>
      <c r="J1" s="4" t="inlineStr">
        <is>
          <t>Notes</t>
        </is>
      </c>
    </row>
    <row r="2">
      <c r="A2" s="6" t="inlineStr">
        <is>
          <t>MAT-0001</t>
        </is>
      </c>
      <c r="B2" s="6" t="inlineStr">
        <is>
          <t>Брусчатка бетонная 200x100</t>
        </is>
      </c>
      <c r="C2" s="6" t="inlineStr">
        <is>
          <t>Эконом</t>
        </is>
      </c>
      <c r="D2" s="6" t="inlineStr">
        <is>
          <t>MV-0001</t>
        </is>
      </c>
      <c r="E2" s="6" t="inlineStr"/>
      <c r="F2" s="6" t="inlineStr">
        <is>
          <t>0.98</t>
        </is>
      </c>
      <c r="G2" s="6" t="inlineStr">
        <is>
          <t>Брусчатка бетонная 200x100x40 мм</t>
        </is>
      </c>
      <c r="H2" s="6" t="inlineStr">
        <is>
          <t>Показать строкой</t>
        </is>
      </c>
      <c r="I2" s="6" t="inlineStr">
        <is>
          <t>Эконом</t>
        </is>
      </c>
      <c r="J2" s="6" t="inlineStr">
        <is>
          <t>Пешеходный вариант</t>
        </is>
      </c>
    </row>
    <row r="3">
      <c r="A3" s="6" t="inlineStr">
        <is>
          <t>MAT-0001</t>
        </is>
      </c>
      <c r="B3" s="6" t="inlineStr">
        <is>
          <t>Брусчатка бетонная 200x100</t>
        </is>
      </c>
      <c r="C3" s="6" t="inlineStr">
        <is>
          <t>Стандарт</t>
        </is>
      </c>
      <c r="D3" s="6" t="inlineStr">
        <is>
          <t>MV-0002</t>
        </is>
      </c>
      <c r="E3" s="6" t="inlineStr"/>
      <c r="F3" s="6" t="inlineStr">
        <is>
          <t>1.00</t>
        </is>
      </c>
      <c r="G3" s="6" t="inlineStr">
        <is>
          <t>Брусчатка бетонная 200x100x60 мм</t>
        </is>
      </c>
      <c r="H3" s="6" t="inlineStr">
        <is>
          <t>Показать строкой</t>
        </is>
      </c>
      <c r="I3" s="6" t="inlineStr">
        <is>
          <t>Стандарт</t>
        </is>
      </c>
      <c r="J3" s="6" t="inlineStr">
        <is>
          <t>Базовый частный участок</t>
        </is>
      </c>
    </row>
    <row r="4">
      <c r="A4" s="6" t="inlineStr">
        <is>
          <t>MAT-0001</t>
        </is>
      </c>
      <c r="B4" s="6" t="inlineStr">
        <is>
          <t>Брусчатка бетонная 200x100</t>
        </is>
      </c>
      <c r="C4" s="6" t="inlineStr">
        <is>
          <t>Премиум</t>
        </is>
      </c>
      <c r="D4" s="6" t="inlineStr">
        <is>
          <t>MV-0003</t>
        </is>
      </c>
      <c r="E4" s="6" t="inlineStr">
        <is>
          <t>1.08</t>
        </is>
      </c>
      <c r="F4" s="6" t="inlineStr">
        <is>
          <t>1.02</t>
        </is>
      </c>
      <c r="G4" s="6" t="inlineStr">
        <is>
          <t>Брусчатка бетонная 200x100x80 мм</t>
        </is>
      </c>
      <c r="H4" s="6" t="inlineStr">
        <is>
          <t>Показать строкой</t>
        </is>
      </c>
      <c r="I4" s="6" t="inlineStr">
        <is>
          <t>Премиум</t>
        </is>
      </c>
      <c r="J4" s="6" t="inlineStr">
        <is>
          <t>Если по задаче уместно усиленное решение</t>
        </is>
      </c>
    </row>
    <row r="5">
      <c r="A5" s="6" t="inlineStr">
        <is>
          <t>MAT-0004</t>
        </is>
      </c>
      <c r="B5" s="6" t="inlineStr">
        <is>
          <t>Газон рулонный стандарт</t>
        </is>
      </c>
      <c r="C5" s="6" t="inlineStr">
        <is>
          <t>Эконом</t>
        </is>
      </c>
      <c r="D5" s="6" t="inlineStr">
        <is>
          <t>MV-0005</t>
        </is>
      </c>
      <c r="E5" s="6" t="inlineStr">
        <is>
          <t>0.97</t>
        </is>
      </c>
      <c r="F5" s="6" t="inlineStr">
        <is>
          <t>0.99</t>
        </is>
      </c>
      <c r="G5" s="6" t="inlineStr">
        <is>
          <t>Газон рулонный стандарт</t>
        </is>
      </c>
      <c r="H5" s="6" t="inlineStr">
        <is>
          <t>Показать строкой</t>
        </is>
      </c>
      <c r="I5" s="6" t="inlineStr">
        <is>
          <t>Эконом</t>
        </is>
      </c>
      <c r="J5" s="6" t="inlineStr">
        <is>
          <t>Без премиальной селекции</t>
        </is>
      </c>
    </row>
    <row r="6">
      <c r="A6" s="6" t="inlineStr">
        <is>
          <t>MAT-0004</t>
        </is>
      </c>
      <c r="B6" s="6" t="inlineStr">
        <is>
          <t>Газон рулонный стандарт</t>
        </is>
      </c>
      <c r="C6" s="6" t="inlineStr">
        <is>
          <t>Стандарт</t>
        </is>
      </c>
      <c r="D6" s="6" t="inlineStr">
        <is>
          <t>MV-0005</t>
        </is>
      </c>
      <c r="E6" s="6" t="inlineStr"/>
      <c r="F6" s="6" t="inlineStr">
        <is>
          <t>1.00</t>
        </is>
      </c>
      <c r="G6" s="6" t="inlineStr">
        <is>
          <t>Газон рулонный стандарт</t>
        </is>
      </c>
      <c r="H6" s="6" t="inlineStr">
        <is>
          <t>Показать строкой</t>
        </is>
      </c>
      <c r="I6" s="6" t="inlineStr">
        <is>
          <t>Стандарт</t>
        </is>
      </c>
      <c r="J6" s="6" t="inlineStr"/>
    </row>
    <row r="7">
      <c r="A7" s="6" t="inlineStr">
        <is>
          <t>MAT-0004</t>
        </is>
      </c>
      <c r="B7" s="6" t="inlineStr">
        <is>
          <t>Газон рулонный стандарт</t>
        </is>
      </c>
      <c r="C7" s="6" t="inlineStr">
        <is>
          <t>Премиум</t>
        </is>
      </c>
      <c r="D7" s="6" t="inlineStr">
        <is>
          <t>MV-0005</t>
        </is>
      </c>
      <c r="E7" s="6" t="inlineStr">
        <is>
          <t>1.08</t>
        </is>
      </c>
      <c r="F7" s="6" t="inlineStr">
        <is>
          <t>1.02</t>
        </is>
      </c>
      <c r="G7" s="6" t="inlineStr">
        <is>
          <t>Газон рулонный премиального отбора</t>
        </is>
      </c>
      <c r="H7" s="6" t="inlineStr">
        <is>
          <t>Показать строкой</t>
        </is>
      </c>
      <c r="I7" s="6" t="inlineStr">
        <is>
          <t>Премиум</t>
        </is>
      </c>
      <c r="J7" s="6" t="inlineStr">
        <is>
          <t>Нужен отдельный прайс поставщика</t>
        </is>
      </c>
    </row>
    <row r="8">
      <c r="A8" s="6" t="inlineStr">
        <is>
          <t>MAT-0003</t>
        </is>
      </c>
      <c r="B8" s="6" t="inlineStr">
        <is>
          <t>Геотекстиль 200 г/м2</t>
        </is>
      </c>
      <c r="C8" s="6" t="inlineStr">
        <is>
          <t>Эконом</t>
        </is>
      </c>
      <c r="D8" s="6" t="inlineStr">
        <is>
          <t>MV-0004</t>
        </is>
      </c>
      <c r="E8" s="6" t="inlineStr"/>
      <c r="F8" s="6" t="inlineStr">
        <is>
          <t>0.99</t>
        </is>
      </c>
      <c r="G8" s="6" t="inlineStr">
        <is>
          <t>Геотекстиль 200 г/м2</t>
        </is>
      </c>
      <c r="H8" s="6" t="inlineStr">
        <is>
          <t>Свернуть в раздел</t>
        </is>
      </c>
      <c r="I8" s="6" t="inlineStr">
        <is>
          <t>Эконом</t>
        </is>
      </c>
      <c r="J8" s="6" t="inlineStr"/>
    </row>
    <row r="9">
      <c r="A9" s="6" t="inlineStr">
        <is>
          <t>MAT-0003</t>
        </is>
      </c>
      <c r="B9" s="6" t="inlineStr">
        <is>
          <t>Геотекстиль 200 г/м2</t>
        </is>
      </c>
      <c r="C9" s="6" t="inlineStr">
        <is>
          <t>Стандарт</t>
        </is>
      </c>
      <c r="D9" s="6" t="inlineStr">
        <is>
          <t>MV-0004</t>
        </is>
      </c>
      <c r="E9" s="6" t="inlineStr"/>
      <c r="F9" s="6" t="inlineStr">
        <is>
          <t>1.00</t>
        </is>
      </c>
      <c r="G9" s="6" t="inlineStr">
        <is>
          <t>Геотекстиль 200 г/м2</t>
        </is>
      </c>
      <c r="H9" s="6" t="inlineStr">
        <is>
          <t>Свернуть в раздел</t>
        </is>
      </c>
      <c r="I9" s="6" t="inlineStr">
        <is>
          <t>Стандарт</t>
        </is>
      </c>
      <c r="J9" s="6" t="inlineStr"/>
    </row>
    <row r="10">
      <c r="A10" s="6" t="inlineStr">
        <is>
          <t>MAT-0003</t>
        </is>
      </c>
      <c r="B10" s="6" t="inlineStr">
        <is>
          <t>Геотекстиль 200 г/м2</t>
        </is>
      </c>
      <c r="C10" s="6" t="inlineStr">
        <is>
          <t>Премиум</t>
        </is>
      </c>
      <c r="D10" s="6" t="inlineStr">
        <is>
          <t>MV-0004</t>
        </is>
      </c>
      <c r="E10" s="6" t="inlineStr">
        <is>
          <t>1.03</t>
        </is>
      </c>
      <c r="F10" s="6" t="inlineStr">
        <is>
          <t>1.01</t>
        </is>
      </c>
      <c r="G10" s="6" t="inlineStr">
        <is>
          <t>Геотекстиль 200 г/м2</t>
        </is>
      </c>
      <c r="H10" s="6" t="inlineStr">
        <is>
          <t>Показать строкой</t>
        </is>
      </c>
      <c r="I10" s="6" t="inlineStr">
        <is>
          <t>Премиум</t>
        </is>
      </c>
      <c r="J10" s="6" t="inlineStr">
        <is>
          <t>Можно раскрывать материал в клиентской версии</t>
        </is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</sheetData>
  <autoFilter ref="A1:J150"/>
  <dataValidations count="2">
    <dataValidation sqref="C2:C1000" showDropDown="0" showInputMessage="0" showErrorMessage="0" allowBlank="1" type="list">
      <formula1>='DICTIONARIES'!$AJ$2:$AJ$4</formula1>
    </dataValidation>
    <dataValidation sqref="H2:H1000" showDropDown="0" showInputMessage="0" showErrorMessage="0" allowBlank="1" type="list">
      <formula1>='DICTIONARIES'!$D$2:$D$4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6" customWidth="1" min="4" max="4"/>
    <col width="16" customWidth="1" min="5" max="5"/>
    <col width="16" customWidth="1" min="6" max="6"/>
    <col width="28" customWidth="1" min="7" max="7"/>
    <col width="45" customWidth="1" min="8" max="8"/>
  </cols>
  <sheetData>
    <row r="1">
      <c r="A1" s="4" t="inlineStr">
        <is>
          <t>Tariff</t>
        </is>
      </c>
      <c r="B1" s="4" t="inlineStr">
        <is>
          <t>ScopeType</t>
        </is>
      </c>
      <c r="C1" s="4" t="inlineStr">
        <is>
          <t>ScopeValue</t>
        </is>
      </c>
      <c r="D1" s="4" t="inlineStr">
        <is>
          <t>Action</t>
        </is>
      </c>
      <c r="E1" s="4" t="inlineStr">
        <is>
          <t>TargetID</t>
        </is>
      </c>
      <c r="F1" s="4" t="inlineStr">
        <is>
          <t>ReplacementID</t>
        </is>
      </c>
      <c r="G1" s="4" t="inlineStr">
        <is>
          <t>ClientImpact</t>
        </is>
      </c>
      <c r="H1" s="4" t="inlineStr">
        <is>
          <t>Notes</t>
        </is>
      </c>
    </row>
    <row r="2">
      <c r="A2" s="5" t="inlineStr">
        <is>
          <t>Эконом</t>
        </is>
      </c>
      <c r="B2" s="5" t="inlineStr">
        <is>
          <t>Section</t>
        </is>
      </c>
      <c r="C2" s="5" t="inlineStr">
        <is>
          <t>Мощение</t>
        </is>
      </c>
      <c r="D2" s="5" t="inlineStr">
        <is>
          <t>PreferVariant</t>
        </is>
      </c>
      <c r="E2" s="5" t="inlineStr">
        <is>
          <t>MV-0001</t>
        </is>
      </c>
      <c r="F2" s="5" t="inlineStr">
        <is>
          <t>MV-0002</t>
        </is>
      </c>
      <c r="G2" s="5" t="inlineStr">
        <is>
          <t>Снизить толщину/класс материала, если позволяет нагрузка</t>
        </is>
      </c>
      <c r="H2" s="5" t="inlineStr">
        <is>
          <t>Проверять по реальной зоне применения</t>
        </is>
      </c>
    </row>
    <row r="3">
      <c r="A3" s="5" t="inlineStr">
        <is>
          <t>Стандарт</t>
        </is>
      </c>
      <c r="B3" s="5" t="inlineStr">
        <is>
          <t>Section</t>
        </is>
      </c>
      <c r="C3" s="5" t="inlineStr">
        <is>
          <t>Мощение</t>
        </is>
      </c>
      <c r="D3" s="5" t="inlineStr">
        <is>
          <t>PreferVariant</t>
        </is>
      </c>
      <c r="E3" s="5" t="inlineStr">
        <is>
          <t>MV-0002</t>
        </is>
      </c>
      <c r="F3" s="5" t="inlineStr"/>
      <c r="G3" s="5" t="inlineStr">
        <is>
          <t>Базовый вариант</t>
        </is>
      </c>
      <c r="H3" s="5" t="inlineStr"/>
    </row>
    <row r="4">
      <c r="A4" s="5" t="inlineStr">
        <is>
          <t>Премиум</t>
        </is>
      </c>
      <c r="B4" s="5" t="inlineStr">
        <is>
          <t>Section</t>
        </is>
      </c>
      <c r="C4" s="5" t="inlineStr">
        <is>
          <t>Мощение</t>
        </is>
      </c>
      <c r="D4" s="5" t="inlineStr">
        <is>
          <t>PreferVariant</t>
        </is>
      </c>
      <c r="E4" s="5" t="inlineStr">
        <is>
          <t>MV-0003</t>
        </is>
      </c>
      <c r="F4" s="5" t="inlineStr">
        <is>
          <t>MV-0002</t>
        </is>
      </c>
      <c r="G4" s="5" t="inlineStr">
        <is>
          <t>Усиленный или визуально более качественный вариант</t>
        </is>
      </c>
      <c r="H4" s="5" t="inlineStr">
        <is>
          <t>Не применять автоматически без проверки нагрузки</t>
        </is>
      </c>
    </row>
    <row r="5">
      <c r="A5" s="5" t="inlineStr">
        <is>
          <t>Эконом</t>
        </is>
      </c>
      <c r="B5" s="5" t="inlineStr">
        <is>
          <t>Work</t>
        </is>
      </c>
      <c r="C5" s="5" t="inlineStr">
        <is>
          <t>WORK-0001</t>
        </is>
      </c>
      <c r="D5" s="5" t="inlineStr">
        <is>
          <t>PreferMethod</t>
        </is>
      </c>
      <c r="E5" s="5" t="inlineStr">
        <is>
          <t>Механизированный</t>
        </is>
      </c>
      <c r="F5" s="5" t="inlineStr"/>
      <c r="G5" s="5" t="inlineStr">
        <is>
          <t>Удешевление за счёт механизации при доступе</t>
        </is>
      </c>
      <c r="H5" s="5" t="inlineStr"/>
    </row>
    <row r="6">
      <c r="A6" s="5" t="inlineStr">
        <is>
          <t>Премиум</t>
        </is>
      </c>
      <c r="B6" s="5" t="inlineStr">
        <is>
          <t>Work</t>
        </is>
      </c>
      <c r="C6" s="5" t="inlineStr">
        <is>
          <t>WORK-0001</t>
        </is>
      </c>
      <c r="D6" s="5" t="inlineStr">
        <is>
          <t>PreferMethod</t>
        </is>
      </c>
      <c r="E6" s="5" t="inlineStr">
        <is>
          <t>Ручной</t>
        </is>
      </c>
      <c r="F6" s="5" t="inlineStr"/>
      <c r="G6" s="5" t="inlineStr">
        <is>
          <t>Более аккуратная доводка сложных зон</t>
        </is>
      </c>
      <c r="H6" s="5" t="inlineStr"/>
    </row>
    <row r="7">
      <c r="A7" s="5" t="inlineStr">
        <is>
          <t>Эконом</t>
        </is>
      </c>
      <c r="B7" s="5" t="inlineStr">
        <is>
          <t>Material</t>
        </is>
      </c>
      <c r="C7" s="5" t="inlineStr">
        <is>
          <t>MAT-0003</t>
        </is>
      </c>
      <c r="D7" s="5" t="inlineStr">
        <is>
          <t>DisplayMode</t>
        </is>
      </c>
      <c r="E7" s="5" t="inlineStr">
        <is>
          <t>Свернуть в раздел</t>
        </is>
      </c>
      <c r="F7" s="5" t="inlineStr"/>
      <c r="G7" s="5" t="inlineStr">
        <is>
          <t>Меньше детализации в КП</t>
        </is>
      </c>
      <c r="H7" s="5" t="inlineStr"/>
    </row>
    <row r="8">
      <c r="A8" s="5" t="inlineStr">
        <is>
          <t>Премиум</t>
        </is>
      </c>
      <c r="B8" s="5" t="inlineStr">
        <is>
          <t>Material</t>
        </is>
      </c>
      <c r="C8" s="5" t="inlineStr">
        <is>
          <t>MAT-0003</t>
        </is>
      </c>
      <c r="D8" s="5" t="inlineStr">
        <is>
          <t>DisplayMode</t>
        </is>
      </c>
      <c r="E8" s="5" t="inlineStr">
        <is>
          <t>Показать строкой</t>
        </is>
      </c>
      <c r="F8" s="5" t="inlineStr"/>
      <c r="G8" s="5" t="inlineStr">
        <is>
          <t>Больше прозрачности в составе решения</t>
        </is>
      </c>
      <c r="H8" s="5" t="inlineStr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</row>
  </sheetData>
  <autoFilter ref="A1:H150"/>
  <dataValidations count="2">
    <dataValidation sqref="A2:A1000" showDropDown="0" showInputMessage="0" showErrorMessage="0" allowBlank="1" type="list">
      <formula1>='DICTIONARIES'!$AJ$2:$AJ$4</formula1>
    </dataValidation>
    <dataValidation sqref="B2:B1000" showDropDown="0" showInputMessage="0" showErrorMessage="0" allowBlank="1" type="list">
      <formula1>='DICTIONARIES'!$AK$2:$AK$4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4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8" customWidth="1" min="11" max="11"/>
    <col width="24" customWidth="1" min="12" max="12"/>
  </cols>
  <sheetData>
    <row r="1">
      <c r="A1" s="4" t="inlineStr">
        <is>
          <t>SortProfile</t>
        </is>
      </c>
      <c r="B1" s="4" t="inlineStr">
        <is>
          <t>Section</t>
        </is>
      </c>
      <c r="C1" s="4" t="inlineStr">
        <is>
          <t>SortOrder</t>
        </is>
      </c>
      <c r="D1" s="4" t="inlineStr">
        <is>
          <t>ClientSectionName</t>
        </is>
      </c>
      <c r="E1" s="4" t="inlineStr">
        <is>
          <t>ShowSectionSubtotal</t>
        </is>
      </c>
      <c r="F1" s="4" t="inlineStr">
        <is>
          <t>DefaultBundleMode</t>
        </is>
      </c>
      <c r="G1" s="4" t="inlineStr">
        <is>
          <t>ShowMaterials</t>
        </is>
      </c>
      <c r="H1" s="4" t="inlineStr">
        <is>
          <t>ShowLogistics</t>
        </is>
      </c>
      <c r="I1" s="4" t="inlineStr">
        <is>
          <t>ShowOverheads</t>
        </is>
      </c>
      <c r="J1" s="4" t="inlineStr">
        <is>
          <t>ShowAssumptionsBlock</t>
        </is>
      </c>
      <c r="K1" s="4" t="inlineStr">
        <is>
          <t>ShowExclusionsBlock</t>
        </is>
      </c>
      <c r="L1" s="4" t="inlineStr">
        <is>
          <t>Notes</t>
        </is>
      </c>
    </row>
    <row r="2">
      <c r="A2" s="19" t="inlineStr">
        <is>
          <t>Эконом</t>
        </is>
      </c>
      <c r="B2" s="19" t="inlineStr">
        <is>
          <t>Мощение</t>
        </is>
      </c>
      <c r="C2" s="19" t="n">
        <v>10</v>
      </c>
      <c r="D2" s="19" t="inlineStr">
        <is>
          <t>Мощение</t>
        </is>
      </c>
      <c r="E2" s="19" t="inlineStr">
        <is>
          <t>Да</t>
        </is>
      </c>
      <c r="F2" s="19" t="inlineStr">
        <is>
          <t>Минимум</t>
        </is>
      </c>
      <c r="G2" s="19" t="inlineStr">
        <is>
          <t>Да</t>
        </is>
      </c>
      <c r="H2" s="19" t="inlineStr">
        <is>
          <t>Свернуть</t>
        </is>
      </c>
      <c r="I2" s="19" t="inlineStr">
        <is>
          <t>Скрыть</t>
        </is>
      </c>
      <c r="J2" s="19" t="inlineStr">
        <is>
          <t>Да</t>
        </is>
      </c>
      <c r="K2" s="19" t="inlineStr">
        <is>
          <t>Да</t>
        </is>
      </c>
      <c r="L2" s="19" t="inlineStr">
        <is>
          <t>Эконом сильнее укрупняет логистику и накладные</t>
        </is>
      </c>
    </row>
    <row r="3">
      <c r="A3" s="19" t="inlineStr">
        <is>
          <t>Стандарт</t>
        </is>
      </c>
      <c r="B3" s="19" t="inlineStr">
        <is>
          <t>Мощение</t>
        </is>
      </c>
      <c r="C3" s="19" t="n">
        <v>10</v>
      </c>
      <c r="D3" s="19" t="inlineStr">
        <is>
          <t>Мощение</t>
        </is>
      </c>
      <c r="E3" s="19" t="inlineStr">
        <is>
          <t>Да</t>
        </is>
      </c>
      <c r="F3" s="19" t="inlineStr">
        <is>
          <t>База</t>
        </is>
      </c>
      <c r="G3" s="19" t="inlineStr">
        <is>
          <t>Да</t>
        </is>
      </c>
      <c r="H3" s="19" t="inlineStr">
        <is>
          <t>Показать</t>
        </is>
      </c>
      <c r="I3" s="19" t="inlineStr">
        <is>
          <t>Скрыть</t>
        </is>
      </c>
      <c r="J3" s="19" t="inlineStr">
        <is>
          <t>Да</t>
        </is>
      </c>
      <c r="K3" s="19" t="inlineStr">
        <is>
          <t>Да</t>
        </is>
      </c>
      <c r="L3" s="19" t="inlineStr">
        <is>
          <t>Базовый клиентский вывод</t>
        </is>
      </c>
    </row>
    <row r="4">
      <c r="A4" s="19" t="inlineStr">
        <is>
          <t>Премиум</t>
        </is>
      </c>
      <c r="B4" s="19" t="inlineStr">
        <is>
          <t>Мощение</t>
        </is>
      </c>
      <c r="C4" s="19" t="n">
        <v>10</v>
      </c>
      <c r="D4" s="19" t="inlineStr">
        <is>
          <t>Премиальное мощение</t>
        </is>
      </c>
      <c r="E4" s="19" t="inlineStr">
        <is>
          <t>Да</t>
        </is>
      </c>
      <c r="F4" s="19" t="inlineStr">
        <is>
          <t>Детально</t>
        </is>
      </c>
      <c r="G4" s="19" t="inlineStr">
        <is>
          <t>Да</t>
        </is>
      </c>
      <c r="H4" s="19" t="inlineStr">
        <is>
          <t>Показать</t>
        </is>
      </c>
      <c r="I4" s="19" t="inlineStr">
        <is>
          <t>Скрыть</t>
        </is>
      </c>
      <c r="J4" s="19" t="inlineStr">
        <is>
          <t>Да</t>
        </is>
      </c>
      <c r="K4" s="19" t="inlineStr">
        <is>
          <t>Да</t>
        </is>
      </c>
      <c r="L4" s="19" t="inlineStr">
        <is>
          <t>Более подробное описание состава</t>
        </is>
      </c>
    </row>
    <row r="5">
      <c r="A5" s="19" t="inlineStr">
        <is>
          <t>Внутренний</t>
        </is>
      </c>
      <c r="B5" s="19" t="inlineStr">
        <is>
          <t>Мощение</t>
        </is>
      </c>
      <c r="C5" s="19" t="n">
        <v>10</v>
      </c>
      <c r="D5" s="19" t="inlineStr">
        <is>
          <t>Мощение</t>
        </is>
      </c>
      <c r="E5" s="19" t="inlineStr">
        <is>
          <t>Да</t>
        </is>
      </c>
      <c r="F5" s="19" t="inlineStr">
        <is>
          <t>Детально</t>
        </is>
      </c>
      <c r="G5" s="19" t="inlineStr">
        <is>
          <t>Да</t>
        </is>
      </c>
      <c r="H5" s="19" t="inlineStr">
        <is>
          <t>Показать</t>
        </is>
      </c>
      <c r="I5" s="19" t="inlineStr">
        <is>
          <t>Показать</t>
        </is>
      </c>
      <c r="J5" s="19" t="inlineStr">
        <is>
          <t>Да</t>
        </is>
      </c>
      <c r="K5" s="19" t="inlineStr">
        <is>
          <t>Да</t>
        </is>
      </c>
      <c r="L5" s="19" t="inlineStr">
        <is>
          <t>Внутренняя версия сметы</t>
        </is>
      </c>
    </row>
    <row r="6">
      <c r="A6" s="19" t="inlineStr">
        <is>
          <t>Стандарт</t>
        </is>
      </c>
      <c r="B6" s="19" t="inlineStr">
        <is>
          <t>Газон</t>
        </is>
      </c>
      <c r="C6" s="19" t="n">
        <v>20</v>
      </c>
      <c r="D6" s="19" t="inlineStr">
        <is>
          <t>Газон</t>
        </is>
      </c>
      <c r="E6" s="19" t="inlineStr">
        <is>
          <t>Да</t>
        </is>
      </c>
      <c r="F6" s="19" t="inlineStr">
        <is>
          <t>База</t>
        </is>
      </c>
      <c r="G6" s="19" t="inlineStr">
        <is>
          <t>Да</t>
        </is>
      </c>
      <c r="H6" s="19" t="inlineStr">
        <is>
          <t>Свернуть</t>
        </is>
      </c>
      <c r="I6" s="19" t="inlineStr">
        <is>
          <t>Скрыть</t>
        </is>
      </c>
      <c r="J6" s="19" t="inlineStr">
        <is>
          <t>Да</t>
        </is>
      </c>
      <c r="K6" s="19" t="inlineStr">
        <is>
          <t>Да</t>
        </is>
      </c>
      <c r="L6" s="19" t="inlineStr"/>
    </row>
    <row r="7">
      <c r="A7" s="19" t="inlineStr">
        <is>
          <t>Стандарт</t>
        </is>
      </c>
      <c r="B7" s="19" t="inlineStr">
        <is>
          <t>Дренаж</t>
        </is>
      </c>
      <c r="C7" s="19" t="n">
        <v>30</v>
      </c>
      <c r="D7" s="19" t="inlineStr">
        <is>
          <t>Дренаж</t>
        </is>
      </c>
      <c r="E7" s="19" t="inlineStr">
        <is>
          <t>Да</t>
        </is>
      </c>
      <c r="F7" s="19" t="inlineStr">
        <is>
          <t>База</t>
        </is>
      </c>
      <c r="G7" s="19" t="inlineStr">
        <is>
          <t>Да</t>
        </is>
      </c>
      <c r="H7" s="19" t="inlineStr">
        <is>
          <t>Показать</t>
        </is>
      </c>
      <c r="I7" s="19" t="inlineStr">
        <is>
          <t>Скрыть</t>
        </is>
      </c>
      <c r="J7" s="19" t="inlineStr">
        <is>
          <t>Да</t>
        </is>
      </c>
      <c r="K7" s="19" t="inlineStr">
        <is>
          <t>Да</t>
        </is>
      </c>
      <c r="L7" s="19" t="inlineStr"/>
    </row>
  </sheetData>
  <autoFilter ref="A1:L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0" customWidth="1" min="4" max="4"/>
    <col width="16" customWidth="1" min="5" max="5"/>
    <col width="10" customWidth="1" min="6" max="6"/>
    <col width="24" customWidth="1" min="7" max="7"/>
  </cols>
  <sheetData>
    <row r="1">
      <c r="A1" s="4" t="inlineStr">
        <is>
          <t>Tariff</t>
        </is>
      </c>
      <c r="B1" s="4" t="inlineStr">
        <is>
          <t>Section</t>
        </is>
      </c>
      <c r="C1" s="4" t="inlineStr">
        <is>
          <t>InclusionType</t>
        </is>
      </c>
      <c r="D1" s="4" t="inlineStr">
        <is>
          <t>ClientText</t>
        </is>
      </c>
      <c r="E1" s="4" t="inlineStr">
        <is>
          <t>DefaultForClient</t>
        </is>
      </c>
      <c r="F1" s="4" t="inlineStr">
        <is>
          <t>Priority</t>
        </is>
      </c>
      <c r="G1" s="4" t="inlineStr">
        <is>
          <t>Notes</t>
        </is>
      </c>
    </row>
    <row r="2">
      <c r="A2" s="19" t="inlineStr">
        <is>
          <t>Эконом</t>
        </is>
      </c>
      <c r="B2" s="19" t="inlineStr">
        <is>
          <t>Общие</t>
        </is>
      </c>
      <c r="C2" s="19" t="inlineStr">
        <is>
          <t>Exclusion</t>
        </is>
      </c>
      <c r="D2" s="19" t="inlineStr">
        <is>
          <t>Геология, скрытые инженерные сети и непредвиденные подземные препятствия не включены</t>
        </is>
      </c>
      <c r="E2" s="19" t="inlineStr">
        <is>
          <t>Да</t>
        </is>
      </c>
      <c r="F2" s="19" t="n">
        <v>10</v>
      </c>
      <c r="G2" s="19" t="inlineStr">
        <is>
          <t>Классическая защита от скрытых факторов</t>
        </is>
      </c>
    </row>
    <row r="3">
      <c r="A3" s="19" t="inlineStr">
        <is>
          <t>Стандарт</t>
        </is>
      </c>
      <c r="B3" s="19" t="inlineStr">
        <is>
          <t>Общие</t>
        </is>
      </c>
      <c r="C3" s="19" t="inlineStr">
        <is>
          <t>Assumption</t>
        </is>
      </c>
      <c r="D3" s="19" t="inlineStr">
        <is>
          <t>Стоимость рассчитана при доступе техники и складировании материалов в пределах участка</t>
        </is>
      </c>
      <c r="E3" s="19" t="inlineStr">
        <is>
          <t>Да</t>
        </is>
      </c>
      <c r="F3" s="19" t="n">
        <v>10</v>
      </c>
      <c r="G3" s="19" t="inlineStr">
        <is>
          <t>Связь с условиями объекта</t>
        </is>
      </c>
    </row>
    <row r="4">
      <c r="A4" s="19" t="inlineStr">
        <is>
          <t>Премиум</t>
        </is>
      </c>
      <c r="B4" s="19" t="inlineStr">
        <is>
          <t>Общие</t>
        </is>
      </c>
      <c r="C4" s="19" t="inlineStr">
        <is>
          <t>Inclusion</t>
        </is>
      </c>
      <c r="D4" s="19" t="inlineStr">
        <is>
          <t>Включено более точное сопряжение покрытий, геометрии и финишного контроля</t>
        </is>
      </c>
      <c r="E4" s="19" t="inlineStr">
        <is>
          <t>Да</t>
        </is>
      </c>
      <c r="F4" s="19" t="n">
        <v>10</v>
      </c>
      <c r="G4" s="19" t="inlineStr">
        <is>
          <t>Подчеркивает отличие премиума</t>
        </is>
      </c>
    </row>
    <row r="5">
      <c r="A5" s="19" t="inlineStr">
        <is>
          <t>Стандарт</t>
        </is>
      </c>
      <c r="B5" s="19" t="inlineStr">
        <is>
          <t>Газон</t>
        </is>
      </c>
      <c r="C5" s="19" t="inlineStr">
        <is>
          <t>Exclusion</t>
        </is>
      </c>
      <c r="D5" s="19" t="inlineStr">
        <is>
          <t>Подсев/восстановление после эксплуатации третьими лицами не входит в гарантию</t>
        </is>
      </c>
      <c r="E5" s="19" t="inlineStr">
        <is>
          <t>Да</t>
        </is>
      </c>
      <c r="F5" s="19" t="n">
        <v>20</v>
      </c>
      <c r="G5" s="19" t="inlineStr">
        <is>
          <t>Уточнение гарантийного контура</t>
        </is>
      </c>
    </row>
    <row r="6">
      <c r="A6" s="19" t="inlineStr">
        <is>
          <t>Стандарт</t>
        </is>
      </c>
      <c r="B6" s="19" t="inlineStr">
        <is>
          <t>Мощение</t>
        </is>
      </c>
      <c r="C6" s="19" t="inlineStr">
        <is>
          <t>Assumption</t>
        </is>
      </c>
      <c r="D6" s="19" t="inlineStr">
        <is>
          <t>Основание и нагрузки приняты по исходным данным заказчика, без статического расчета</t>
        </is>
      </c>
      <c r="E6" s="19" t="inlineStr">
        <is>
          <t>Да</t>
        </is>
      </c>
      <c r="F6" s="19" t="n">
        <v>20</v>
      </c>
      <c r="G6" s="19" t="inlineStr"/>
    </row>
  </sheetData>
  <autoFilter ref="A1:G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4" customWidth="1" min="5" max="5"/>
    <col width="32" customWidth="1" min="6" max="6"/>
    <col width="10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4" customWidth="1" min="14" max="14"/>
    <col width="44" customWidth="1" min="15" max="15"/>
  </cols>
  <sheetData>
    <row r="1">
      <c r="A1" s="4" t="inlineStr">
        <is>
          <t>ObjectID</t>
        </is>
      </c>
      <c r="B1" s="4" t="inlineStr">
        <is>
          <t>Tariff</t>
        </is>
      </c>
      <c r="C1" s="4" t="inlineStr">
        <is>
          <t>LineType</t>
        </is>
      </c>
      <c r="D1" s="4" t="inlineStr">
        <is>
          <t>RefID</t>
        </is>
      </c>
      <c r="E1" s="4" t="inlineStr">
        <is>
          <t>VariantID</t>
        </is>
      </c>
      <c r="F1" s="4" t="inlineStr">
        <is>
          <t>Description</t>
        </is>
      </c>
      <c r="G1" s="4" t="inlineStr">
        <is>
          <t>NetQty</t>
        </is>
      </c>
      <c r="H1" s="4" t="inlineStr">
        <is>
          <t>BaseUnitPrice</t>
        </is>
      </c>
      <c r="I1" s="4" t="inlineStr">
        <is>
          <t>SiteCoeff</t>
        </is>
      </c>
      <c r="J1" s="4" t="inlineStr">
        <is>
          <t>TariffCoeff</t>
        </is>
      </c>
      <c r="K1" s="4" t="inlineStr">
        <is>
          <t>ReserveCoeff</t>
        </is>
      </c>
      <c r="L1" s="4" t="inlineStr">
        <is>
          <t>FinalUnitPrice</t>
        </is>
      </c>
      <c r="M1" s="4" t="inlineStr">
        <is>
          <t>PurchaseQty</t>
        </is>
      </c>
      <c r="N1" s="4" t="inlineStr">
        <is>
          <t>LineTotal</t>
        </is>
      </c>
      <c r="O1" s="4" t="inlineStr">
        <is>
          <t>Comments</t>
        </is>
      </c>
    </row>
    <row r="2">
      <c r="A2" s="5" t="inlineStr">
        <is>
          <t>OBJ-0001</t>
        </is>
      </c>
      <c r="B2" s="5" t="inlineStr">
        <is>
          <t>Премиум</t>
        </is>
      </c>
      <c r="C2" s="5" t="inlineStr">
        <is>
          <t>Work</t>
        </is>
      </c>
      <c r="D2" s="5" t="inlineStr">
        <is>
          <t>WORK-0002</t>
        </is>
      </c>
      <c r="E2" s="5" t="inlineStr"/>
      <c r="F2" s="5">
        <f>IF($C2="","",IF($C2="Work",IFERROR(IF(SUMIFS(WORK_TARIFF_RULES!$G:$G,WORK_TARIFF_RULES!$A:$A,$D2,WORK_TARIFF_RULES!$C:$C,$B2)&lt;&gt;"",SUMIFS(WORK_TARIFF_RULES!$G:$G,WORK_TARIFF_RULES!$A:$A,$D2,WORK_TARIFF_RULES!$C:$C,$B2),SUMIFS(WORK_MASTER!$C:$C,WORK_MASTER!$A:$A,$D2)),""),IF($C2="Material",IFERROR(IF(SUMIFS(MATERIAL_TARIFF_RULES!$G:$G,MATERIAL_TARIFF_RULES!$A:$A,$D2,MATERIAL_TARIFF_RULES!$C:$C,$B2)&lt;&gt;"",SUMIFS(MATERIAL_TARIFF_RULES!$G:$G,MATERIAL_TARIFF_RULES!$A:$A,$D2,MATERIAL_TARIFF_RULES!$C:$C,$B2),SUMIFS(MATERIAL_VARIANTS!$J:$J,MATERIAL_VARIANTS!$A:$A,$E2)),""),"")))</f>
        <v/>
      </c>
      <c r="G2" s="24" t="n">
        <v>120</v>
      </c>
      <c r="H2" s="24">
        <f>IF($C2="","",IF($C2="Work",IFERROR(SUMIFS(WORK_MASTER!$I:$I,WORK_MASTER!$A:$A,$D2),""),IF($C2="Material",IFERROR(SUMIFS(MATERIAL_VARIANTS!$I:$I,MATERIAL_VARIANTS!$A:$A,$E2),""),"")))</f>
        <v/>
      </c>
      <c r="I2" s="24">
        <f>IF($C2="","",IF($C2="Work",IFERROR(SUMIFS(WORK_FACTOR_APPLICABILITY!$O:$O,WORK_FACTOR_APPLICABILITY!$A:$A,$D2,WORK_FACTOR_APPLICABILITY!$N:$N,$A2),1),IF($C2="Material",IFERROR(ROUND(1+SUMIFS(MATERIAL_FACTOR_APPLICABILITY!$D:$D,MATERIAL_FACTOR_APPLICABILITY!$A:$A,SUMIFS(MATERIAL_MASTER!$O:$O,MATERIAL_MASTER!$A:$A,$D2),MATERIAL_FACTOR_APPLICABILITY!$B:$B,"GeometryComplexity")*(SUMIFS(OBJECT_CONDITIONS!$W:$W,OBJECT_CONDITIONS!$A:$A,$A2)-1),3),1),"")))</f>
        <v/>
      </c>
      <c r="J2" s="24">
        <f>IF($C2="","",IF($C2="Work",IFERROR(IF(SUMIFS(WORK_TARIFF_RULES!$F:$F,WORK_TARIFF_RULES!$A:$A,$D2,WORK_TARIFF_RULES!$C:$C,$B2)&lt;&gt;"",SUMIFS(WORK_TARIFF_RULES!$F:$F,WORK_TARIFF_RULES!$A:$A,$D2,WORK_TARIFF_RULES!$C:$C,$B2),SUMIFS(TARIFF_PROFILES!$D:$D,TARIFF_PROFILES!$A:$A,$B2)),1),IF($C2="Material",IFERROR(IF(SUMIFS(MATERIAL_TARIFF_RULES!$E:$E,MATERIAL_TARIFF_RULES!$A:$A,$D2,MATERIAL_TARIFF_RULES!$C:$C,$B2)&lt;&gt;"",SUMIFS(MATERIAL_TARIFF_RULES!$E:$E,MATERIAL_TARIFF_RULES!$A:$A,$D2,MATERIAL_TARIFF_RULES!$C:$C,$B2),SUMIFS(TARIFF_PROFILES!$E:$E,TARIFF_PROFILES!$A:$A,$B2)),1),"")))</f>
        <v/>
      </c>
      <c r="K2" s="24">
        <f>IF($C2="","",IF($C2="Material",IFERROR(SUMIFS(MATERIAL_MASTER!$P:$P,MATERIAL_MASTER!$A:$A,$D2)*IF(SUMIFS(MATERIAL_TARIFF_RULES!$F:$F,MATERIAL_TARIFF_RULES!$A:$A,$D2,MATERIAL_TARIFF_RULES!$C:$C,$B2)="",SUMIFS(TARIFF_PROFILES!$H:$H,TARIFF_PROFILES!$A:$A,$B2),SUMIFS(MATERIAL_TARIFF_RULES!$F:$F,MATERIAL_TARIFF_RULES!$A:$A,$D2,MATERIAL_TARIFF_RULES!$C:$C,$B2)),1),1))</f>
        <v/>
      </c>
      <c r="L2" s="24">
        <f>IF($C2="","",IF($C2="Work",N($H2)*N($I2)*N($J2),IF($C2="Material",N($H2)*N($I2)*N($J2),"")))</f>
        <v/>
      </c>
      <c r="M2" s="24">
        <f>IF($C2="","",IF($C2="Material",N($G2)*N($K2),N($G2)))</f>
        <v/>
      </c>
      <c r="N2" s="24">
        <f>IF($C2="","",N($L2)*N($M2))</f>
        <v/>
      </c>
      <c r="O2" s="5">
        <f>IF($C2="","",IF($C2="Work","Тариф влияет на способ/детализацию и коэффициент работ",IF($C2="Material","Тариф влияет на вариант, качество, запас и показ материала","")))</f>
        <v/>
      </c>
    </row>
    <row r="3">
      <c r="A3" s="5" t="inlineStr">
        <is>
          <t>OBJ-0001</t>
        </is>
      </c>
      <c r="B3" s="5" t="inlineStr">
        <is>
          <t>Премиум</t>
        </is>
      </c>
      <c r="C3" s="5" t="inlineStr">
        <is>
          <t>Material</t>
        </is>
      </c>
      <c r="D3" s="5" t="inlineStr">
        <is>
          <t>MAT-0001</t>
        </is>
      </c>
      <c r="E3" s="5" t="inlineStr">
        <is>
          <t>MV-0003</t>
        </is>
      </c>
      <c r="F3" s="5">
        <f>IF($C3="","",IF($C3="Work",IFERROR(IF(SUMIFS(WORK_TARIFF_RULES!$G:$G,WORK_TARIFF_RULES!$A:$A,$D3,WORK_TARIFF_RULES!$C:$C,$B3)&lt;&gt;"",SUMIFS(WORK_TARIFF_RULES!$G:$G,WORK_TARIFF_RULES!$A:$A,$D3,WORK_TARIFF_RULES!$C:$C,$B3),SUMIFS(WORK_MASTER!$C:$C,WORK_MASTER!$A:$A,$D3)),""),IF($C3="Material",IFERROR(IF(SUMIFS(MATERIAL_TARIFF_RULES!$G:$G,MATERIAL_TARIFF_RULES!$A:$A,$D3,MATERIAL_TARIFF_RULES!$C:$C,$B3)&lt;&gt;"",SUMIFS(MATERIAL_TARIFF_RULES!$G:$G,MATERIAL_TARIFF_RULES!$A:$A,$D3,MATERIAL_TARIFF_RULES!$C:$C,$B3),SUMIFS(MATERIAL_VARIANTS!$J:$J,MATERIAL_VARIANTS!$A:$A,$E3)),""),"")))</f>
        <v/>
      </c>
      <c r="G3" s="24" t="n">
        <v>120</v>
      </c>
      <c r="H3" s="24">
        <f>IF($C3="","",IF($C3="Work",IFERROR(SUMIFS(WORK_MASTER!$I:$I,WORK_MASTER!$A:$A,$D3),""),IF($C3="Material",IFERROR(SUMIFS(MATERIAL_VARIANTS!$I:$I,MATERIAL_VARIANTS!$A:$A,$E3),""),"")))</f>
        <v/>
      </c>
      <c r="I3" s="24">
        <f>IF($C3="","",IF($C3="Work",IFERROR(SUMIFS(WORK_FACTOR_APPLICABILITY!$O:$O,WORK_FACTOR_APPLICABILITY!$A:$A,$D3,WORK_FACTOR_APPLICABILITY!$N:$N,$A3),1),IF($C3="Material",IFERROR(ROUND(1+SUMIFS(MATERIAL_FACTOR_APPLICABILITY!$D:$D,MATERIAL_FACTOR_APPLICABILITY!$A:$A,SUMIFS(MATERIAL_MASTER!$O:$O,MATERIAL_MASTER!$A:$A,$D3),MATERIAL_FACTOR_APPLICABILITY!$B:$B,"GeometryComplexity")*(SUMIFS(OBJECT_CONDITIONS!$W:$W,OBJECT_CONDITIONS!$A:$A,$A3)-1),3),1),"")))</f>
        <v/>
      </c>
      <c r="J3" s="24">
        <f>IF($C3="","",IF($C3="Work",IFERROR(IF(SUMIFS(WORK_TARIFF_RULES!$F:$F,WORK_TARIFF_RULES!$A:$A,$D3,WORK_TARIFF_RULES!$C:$C,$B3)&lt;&gt;"",SUMIFS(WORK_TARIFF_RULES!$F:$F,WORK_TARIFF_RULES!$A:$A,$D3,WORK_TARIFF_RULES!$C:$C,$B3),SUMIFS(TARIFF_PROFILES!$D:$D,TARIFF_PROFILES!$A:$A,$B3)),1),IF($C3="Material",IFERROR(IF(SUMIFS(MATERIAL_TARIFF_RULES!$E:$E,MATERIAL_TARIFF_RULES!$A:$A,$D3,MATERIAL_TARIFF_RULES!$C:$C,$B3)&lt;&gt;"",SUMIFS(MATERIAL_TARIFF_RULES!$E:$E,MATERIAL_TARIFF_RULES!$A:$A,$D3,MATERIAL_TARIFF_RULES!$C:$C,$B3),SUMIFS(TARIFF_PROFILES!$E:$E,TARIFF_PROFILES!$A:$A,$B3)),1),"")))</f>
        <v/>
      </c>
      <c r="K3" s="24">
        <f>IF($C3="","",IF($C3="Material",IFERROR(SUMIFS(MATERIAL_MASTER!$P:$P,MATERIAL_MASTER!$A:$A,$D3)*IF(SUMIFS(MATERIAL_TARIFF_RULES!$F:$F,MATERIAL_TARIFF_RULES!$A:$A,$D3,MATERIAL_TARIFF_RULES!$C:$C,$B3)="",SUMIFS(TARIFF_PROFILES!$H:$H,TARIFF_PROFILES!$A:$A,$B3),SUMIFS(MATERIAL_TARIFF_RULES!$F:$F,MATERIAL_TARIFF_RULES!$A:$A,$D3,MATERIAL_TARIFF_RULES!$C:$C,$B3)),1),1))</f>
        <v/>
      </c>
      <c r="L3" s="24">
        <f>IF($C3="","",IF($C3="Work",N($H3)*N($I3)*N($J3),IF($C3="Material",N($H3)*N($I3)*N($J3),"")))</f>
        <v/>
      </c>
      <c r="M3" s="24">
        <f>IF($C3="","",IF($C3="Material",N($G3)*N($K3),N($G3)))</f>
        <v/>
      </c>
      <c r="N3" s="24">
        <f>IF($C3="","",N($L3)*N($M3))</f>
        <v/>
      </c>
      <c r="O3" s="5">
        <f>IF($C3="","",IF($C3="Work","Тариф влияет на способ/детализацию и коэффициент работ",IF($C3="Material","Тариф влияет на вариант, качество, запас и показ материала","")))</f>
        <v/>
      </c>
    </row>
    <row r="4">
      <c r="A4" s="5" t="inlineStr">
        <is>
          <t>OBJ-0002</t>
        </is>
      </c>
      <c r="B4" s="5" t="inlineStr">
        <is>
          <t>Эконом</t>
        </is>
      </c>
      <c r="C4" s="5" t="inlineStr">
        <is>
          <t>Work</t>
        </is>
      </c>
      <c r="D4" s="5" t="inlineStr">
        <is>
          <t>WORK-0001</t>
        </is>
      </c>
      <c r="E4" s="5" t="inlineStr"/>
      <c r="F4" s="5">
        <f>IF($C4="","",IF($C4="Work",IFERROR(IF(SUMIFS(WORK_TARIFF_RULES!$G:$G,WORK_TARIFF_RULES!$A:$A,$D4,WORK_TARIFF_RULES!$C:$C,$B4)&lt;&gt;"",SUMIFS(WORK_TARIFF_RULES!$G:$G,WORK_TARIFF_RULES!$A:$A,$D4,WORK_TARIFF_RULES!$C:$C,$B4),SUMIFS(WORK_MASTER!$C:$C,WORK_MASTER!$A:$A,$D4)),""),IF($C4="Material",IFERROR(IF(SUMIFS(MATERIAL_TARIFF_RULES!$G:$G,MATERIAL_TARIFF_RULES!$A:$A,$D4,MATERIAL_TARIFF_RULES!$C:$C,$B4)&lt;&gt;"",SUMIFS(MATERIAL_TARIFF_RULES!$G:$G,MATERIAL_TARIFF_RULES!$A:$A,$D4,MATERIAL_TARIFF_RULES!$C:$C,$B4),SUMIFS(MATERIAL_VARIANTS!$J:$J,MATERIAL_VARIANTS!$A:$A,$E4)),""),"")))</f>
        <v/>
      </c>
      <c r="G4" s="24" t="n">
        <v>200</v>
      </c>
      <c r="H4" s="24">
        <f>IF($C4="","",IF($C4="Work",IFERROR(SUMIFS(WORK_MASTER!$I:$I,WORK_MASTER!$A:$A,$D4),""),IF($C4="Material",IFERROR(SUMIFS(MATERIAL_VARIANTS!$I:$I,MATERIAL_VARIANTS!$A:$A,$E4),""),"")))</f>
        <v/>
      </c>
      <c r="I4" s="24">
        <f>IF($C4="","",IF($C4="Work",IFERROR(SUMIFS(WORK_FACTOR_APPLICABILITY!$O:$O,WORK_FACTOR_APPLICABILITY!$A:$A,$D4,WORK_FACTOR_APPLICABILITY!$N:$N,$A4),1),IF($C4="Material",IFERROR(ROUND(1+SUMIFS(MATERIAL_FACTOR_APPLICABILITY!$D:$D,MATERIAL_FACTOR_APPLICABILITY!$A:$A,SUMIFS(MATERIAL_MASTER!$O:$O,MATERIAL_MASTER!$A:$A,$D4),MATERIAL_FACTOR_APPLICABILITY!$B:$B,"GeometryComplexity")*(SUMIFS(OBJECT_CONDITIONS!$W:$W,OBJECT_CONDITIONS!$A:$A,$A4)-1),3),1),"")))</f>
        <v/>
      </c>
      <c r="J4" s="24">
        <f>IF($C4="","",IF($C4="Work",IFERROR(IF(SUMIFS(WORK_TARIFF_RULES!$F:$F,WORK_TARIFF_RULES!$A:$A,$D4,WORK_TARIFF_RULES!$C:$C,$B4)&lt;&gt;"",SUMIFS(WORK_TARIFF_RULES!$F:$F,WORK_TARIFF_RULES!$A:$A,$D4,WORK_TARIFF_RULES!$C:$C,$B4),SUMIFS(TARIFF_PROFILES!$D:$D,TARIFF_PROFILES!$A:$A,$B4)),1),IF($C4="Material",IFERROR(IF(SUMIFS(MATERIAL_TARIFF_RULES!$E:$E,MATERIAL_TARIFF_RULES!$A:$A,$D4,MATERIAL_TARIFF_RULES!$C:$C,$B4)&lt;&gt;"",SUMIFS(MATERIAL_TARIFF_RULES!$E:$E,MATERIAL_TARIFF_RULES!$A:$A,$D4,MATERIAL_TARIFF_RULES!$C:$C,$B4),SUMIFS(TARIFF_PROFILES!$E:$E,TARIFF_PROFILES!$A:$A,$B4)),1),"")))</f>
        <v/>
      </c>
      <c r="K4" s="24">
        <f>IF($C4="","",IF($C4="Material",IFERROR(SUMIFS(MATERIAL_MASTER!$P:$P,MATERIAL_MASTER!$A:$A,$D4)*IF(SUMIFS(MATERIAL_TARIFF_RULES!$F:$F,MATERIAL_TARIFF_RULES!$A:$A,$D4,MATERIAL_TARIFF_RULES!$C:$C,$B4)="",SUMIFS(TARIFF_PROFILES!$H:$H,TARIFF_PROFILES!$A:$A,$B4),SUMIFS(MATERIAL_TARIFF_RULES!$F:$F,MATERIAL_TARIFF_RULES!$A:$A,$D4,MATERIAL_TARIFF_RULES!$C:$C,$B4)),1),1))</f>
        <v/>
      </c>
      <c r="L4" s="24">
        <f>IF($C4="","",IF($C4="Work",N($H4)*N($I4)*N($J4),IF($C4="Material",N($H4)*N($I4)*N($J4),"")))</f>
        <v/>
      </c>
      <c r="M4" s="24">
        <f>IF($C4="","",IF($C4="Material",N($G4)*N($K4),N($G4)))</f>
        <v/>
      </c>
      <c r="N4" s="24">
        <f>IF($C4="","",N($L4)*N($M4))</f>
        <v/>
      </c>
      <c r="O4" s="5">
        <f>IF($C4="","",IF($C4="Work","Тариф влияет на способ/детализацию и коэффициент работ",IF($C4="Material","Тариф влияет на вариант, качество, запас и показ материала","")))</f>
        <v/>
      </c>
    </row>
    <row r="5">
      <c r="A5" s="5" t="inlineStr">
        <is>
          <t>OBJ-0002</t>
        </is>
      </c>
      <c r="B5" s="5" t="inlineStr">
        <is>
          <t>Эконом</t>
        </is>
      </c>
      <c r="C5" s="5" t="inlineStr">
        <is>
          <t>Material</t>
        </is>
      </c>
      <c r="D5" s="5" t="inlineStr">
        <is>
          <t>MAT-0003</t>
        </is>
      </c>
      <c r="E5" s="5" t="inlineStr">
        <is>
          <t>MV-0004</t>
        </is>
      </c>
      <c r="F5" s="5">
        <f>IF($C5="","",IF($C5="Work",IFERROR(IF(SUMIFS(WORK_TARIFF_RULES!$G:$G,WORK_TARIFF_RULES!$A:$A,$D5,WORK_TARIFF_RULES!$C:$C,$B5)&lt;&gt;"",SUMIFS(WORK_TARIFF_RULES!$G:$G,WORK_TARIFF_RULES!$A:$A,$D5,WORK_TARIFF_RULES!$C:$C,$B5),SUMIFS(WORK_MASTER!$C:$C,WORK_MASTER!$A:$A,$D5)),""),IF($C5="Material",IFERROR(IF(SUMIFS(MATERIAL_TARIFF_RULES!$G:$G,MATERIAL_TARIFF_RULES!$A:$A,$D5,MATERIAL_TARIFF_RULES!$C:$C,$B5)&lt;&gt;"",SUMIFS(MATERIAL_TARIFF_RULES!$G:$G,MATERIAL_TARIFF_RULES!$A:$A,$D5,MATERIAL_TARIFF_RULES!$C:$C,$B5),SUMIFS(MATERIAL_VARIANTS!$J:$J,MATERIAL_VARIANTS!$A:$A,$E5)),""),"")))</f>
        <v/>
      </c>
      <c r="G5" s="24" t="n">
        <v>200</v>
      </c>
      <c r="H5" s="24">
        <f>IF($C5="","",IF($C5="Work",IFERROR(SUMIFS(WORK_MASTER!$I:$I,WORK_MASTER!$A:$A,$D5),""),IF($C5="Material",IFERROR(SUMIFS(MATERIAL_VARIANTS!$I:$I,MATERIAL_VARIANTS!$A:$A,$E5),""),"")))</f>
        <v/>
      </c>
      <c r="I5" s="24">
        <f>IF($C5="","",IF($C5="Work",IFERROR(SUMIFS(WORK_FACTOR_APPLICABILITY!$O:$O,WORK_FACTOR_APPLICABILITY!$A:$A,$D5,WORK_FACTOR_APPLICABILITY!$N:$N,$A5),1),IF($C5="Material",IFERROR(ROUND(1+SUMIFS(MATERIAL_FACTOR_APPLICABILITY!$D:$D,MATERIAL_FACTOR_APPLICABILITY!$A:$A,SUMIFS(MATERIAL_MASTER!$O:$O,MATERIAL_MASTER!$A:$A,$D5),MATERIAL_FACTOR_APPLICABILITY!$B:$B,"GeometryComplexity")*(SUMIFS(OBJECT_CONDITIONS!$W:$W,OBJECT_CONDITIONS!$A:$A,$A5)-1),3),1),"")))</f>
        <v/>
      </c>
      <c r="J5" s="24">
        <f>IF($C5="","",IF($C5="Work",IFERROR(IF(SUMIFS(WORK_TARIFF_RULES!$F:$F,WORK_TARIFF_RULES!$A:$A,$D5,WORK_TARIFF_RULES!$C:$C,$B5)&lt;&gt;"",SUMIFS(WORK_TARIFF_RULES!$F:$F,WORK_TARIFF_RULES!$A:$A,$D5,WORK_TARIFF_RULES!$C:$C,$B5),SUMIFS(TARIFF_PROFILES!$D:$D,TARIFF_PROFILES!$A:$A,$B5)),1),IF($C5="Material",IFERROR(IF(SUMIFS(MATERIAL_TARIFF_RULES!$E:$E,MATERIAL_TARIFF_RULES!$A:$A,$D5,MATERIAL_TARIFF_RULES!$C:$C,$B5)&lt;&gt;"",SUMIFS(MATERIAL_TARIFF_RULES!$E:$E,MATERIAL_TARIFF_RULES!$A:$A,$D5,MATERIAL_TARIFF_RULES!$C:$C,$B5),SUMIFS(TARIFF_PROFILES!$E:$E,TARIFF_PROFILES!$A:$A,$B5)),1),"")))</f>
        <v/>
      </c>
      <c r="K5" s="24">
        <f>IF($C5="","",IF($C5="Material",IFERROR(SUMIFS(MATERIAL_MASTER!$P:$P,MATERIAL_MASTER!$A:$A,$D5)*IF(SUMIFS(MATERIAL_TARIFF_RULES!$F:$F,MATERIAL_TARIFF_RULES!$A:$A,$D5,MATERIAL_TARIFF_RULES!$C:$C,$B5)="",SUMIFS(TARIFF_PROFILES!$H:$H,TARIFF_PROFILES!$A:$A,$B5),SUMIFS(MATERIAL_TARIFF_RULES!$F:$F,MATERIAL_TARIFF_RULES!$A:$A,$D5,MATERIAL_TARIFF_RULES!$C:$C,$B5)),1),1))</f>
        <v/>
      </c>
      <c r="L5" s="24">
        <f>IF($C5="","",IF($C5="Work",N($H5)*N($I5)*N($J5),IF($C5="Material",N($H5)*N($I5)*N($J5),"")))</f>
        <v/>
      </c>
      <c r="M5" s="24">
        <f>IF($C5="","",IF($C5="Material",N($G5)*N($K5),N($G5)))</f>
        <v/>
      </c>
      <c r="N5" s="24">
        <f>IF($C5="","",N($L5)*N($M5))</f>
        <v/>
      </c>
      <c r="O5" s="5">
        <f>IF($C5="","",IF($C5="Work","Тариф влияет на способ/детализацию и коэффициент работ",IF($C5="Material","Тариф влияет на вариант, качество, запас и показ материала","")))</f>
        <v/>
      </c>
    </row>
    <row r="6">
      <c r="A6" s="5" t="n"/>
      <c r="B6" s="5" t="n"/>
      <c r="C6" s="5" t="n"/>
      <c r="D6" s="5" t="n"/>
      <c r="E6" s="5" t="n"/>
      <c r="F6" s="5">
        <f>IF($C6="","",IF($C6="Work",IFERROR(IF(SUMIFS(WORK_TARIFF_RULES!$G:$G,WORK_TARIFF_RULES!$A:$A,$D6,WORK_TARIFF_RULES!$C:$C,$B6)&lt;&gt;"",SUMIFS(WORK_TARIFF_RULES!$G:$G,WORK_TARIFF_RULES!$A:$A,$D6,WORK_TARIFF_RULES!$C:$C,$B6),SUMIFS(WORK_MASTER!$C:$C,WORK_MASTER!$A:$A,$D6)),""),IF($C6="Material",IFERROR(IF(SUMIFS(MATERIAL_TARIFF_RULES!$G:$G,MATERIAL_TARIFF_RULES!$A:$A,$D6,MATERIAL_TARIFF_RULES!$C:$C,$B6)&lt;&gt;"",SUMIFS(MATERIAL_TARIFF_RULES!$G:$G,MATERIAL_TARIFF_RULES!$A:$A,$D6,MATERIAL_TARIFF_RULES!$C:$C,$B6),SUMIFS(MATERIAL_VARIANTS!$J:$J,MATERIAL_VARIANTS!$A:$A,$E6)),""),"")))</f>
        <v/>
      </c>
      <c r="G6" s="24" t="n"/>
      <c r="H6" s="24">
        <f>IF($C6="","",IF($C6="Work",IFERROR(SUMIFS(WORK_MASTER!$I:$I,WORK_MASTER!$A:$A,$D6),""),IF($C6="Material",IFERROR(SUMIFS(MATERIAL_VARIANTS!$I:$I,MATERIAL_VARIANTS!$A:$A,$E6),""),"")))</f>
        <v/>
      </c>
      <c r="I6" s="24">
        <f>IF($C6="","",IF($C6="Work",IFERROR(SUMIFS(WORK_FACTOR_APPLICABILITY!$O:$O,WORK_FACTOR_APPLICABILITY!$A:$A,$D6,WORK_FACTOR_APPLICABILITY!$N:$N,$A6),1),IF($C6="Material",IFERROR(ROUND(1+SUMIFS(MATERIAL_FACTOR_APPLICABILITY!$D:$D,MATERIAL_FACTOR_APPLICABILITY!$A:$A,SUMIFS(MATERIAL_MASTER!$O:$O,MATERIAL_MASTER!$A:$A,$D6),MATERIAL_FACTOR_APPLICABILITY!$B:$B,"GeometryComplexity")*(SUMIFS(OBJECT_CONDITIONS!$W:$W,OBJECT_CONDITIONS!$A:$A,$A6)-1),3),1),"")))</f>
        <v/>
      </c>
      <c r="J6" s="24">
        <f>IF($C6="","",IF($C6="Work",IFERROR(IF(SUMIFS(WORK_TARIFF_RULES!$F:$F,WORK_TARIFF_RULES!$A:$A,$D6,WORK_TARIFF_RULES!$C:$C,$B6)&lt;&gt;"",SUMIFS(WORK_TARIFF_RULES!$F:$F,WORK_TARIFF_RULES!$A:$A,$D6,WORK_TARIFF_RULES!$C:$C,$B6),SUMIFS(TARIFF_PROFILES!$D:$D,TARIFF_PROFILES!$A:$A,$B6)),1),IF($C6="Material",IFERROR(IF(SUMIFS(MATERIAL_TARIFF_RULES!$E:$E,MATERIAL_TARIFF_RULES!$A:$A,$D6,MATERIAL_TARIFF_RULES!$C:$C,$B6)&lt;&gt;"",SUMIFS(MATERIAL_TARIFF_RULES!$E:$E,MATERIAL_TARIFF_RULES!$A:$A,$D6,MATERIAL_TARIFF_RULES!$C:$C,$B6),SUMIFS(TARIFF_PROFILES!$E:$E,TARIFF_PROFILES!$A:$A,$B6)),1),"")))</f>
        <v/>
      </c>
      <c r="K6" s="24">
        <f>IF($C6="","",IF($C6="Material",IFERROR(SUMIFS(MATERIAL_MASTER!$P:$P,MATERIAL_MASTER!$A:$A,$D6)*IF(SUMIFS(MATERIAL_TARIFF_RULES!$F:$F,MATERIAL_TARIFF_RULES!$A:$A,$D6,MATERIAL_TARIFF_RULES!$C:$C,$B6)="",SUMIFS(TARIFF_PROFILES!$H:$H,TARIFF_PROFILES!$A:$A,$B6),SUMIFS(MATERIAL_TARIFF_RULES!$F:$F,MATERIAL_TARIFF_RULES!$A:$A,$D6,MATERIAL_TARIFF_RULES!$C:$C,$B6)),1),1))</f>
        <v/>
      </c>
      <c r="L6" s="24">
        <f>IF($C6="","",IF($C6="Work",N($H6)*N($I6)*N($J6),IF($C6="Material",N($H6)*N($I6)*N($J6),"")))</f>
        <v/>
      </c>
      <c r="M6" s="24">
        <f>IF($C6="","",IF($C6="Material",N($G6)*N($K6),N($G6)))</f>
        <v/>
      </c>
      <c r="N6" s="24">
        <f>IF($C6="","",N($L6)*N($M6))</f>
        <v/>
      </c>
      <c r="O6" s="5">
        <f>IF($C6="","",IF($C6="Work","Тариф влияет на способ/детализацию и коэффициент работ",IF($C6="Material","Тариф влияет на вариант, качество, запас и показ материала","")))</f>
        <v/>
      </c>
    </row>
    <row r="7">
      <c r="A7" s="5" t="n"/>
      <c r="B7" s="5" t="n"/>
      <c r="C7" s="5" t="n"/>
      <c r="D7" s="5" t="n"/>
      <c r="E7" s="5" t="n"/>
      <c r="F7" s="5">
        <f>IF($C7="","",IF($C7="Work",IFERROR(IF(SUMIFS(WORK_TARIFF_RULES!$G:$G,WORK_TARIFF_RULES!$A:$A,$D7,WORK_TARIFF_RULES!$C:$C,$B7)&lt;&gt;"",SUMIFS(WORK_TARIFF_RULES!$G:$G,WORK_TARIFF_RULES!$A:$A,$D7,WORK_TARIFF_RULES!$C:$C,$B7),SUMIFS(WORK_MASTER!$C:$C,WORK_MASTER!$A:$A,$D7)),""),IF($C7="Material",IFERROR(IF(SUMIFS(MATERIAL_TARIFF_RULES!$G:$G,MATERIAL_TARIFF_RULES!$A:$A,$D7,MATERIAL_TARIFF_RULES!$C:$C,$B7)&lt;&gt;"",SUMIFS(MATERIAL_TARIFF_RULES!$G:$G,MATERIAL_TARIFF_RULES!$A:$A,$D7,MATERIAL_TARIFF_RULES!$C:$C,$B7),SUMIFS(MATERIAL_VARIANTS!$J:$J,MATERIAL_VARIANTS!$A:$A,$E7)),""),"")))</f>
        <v/>
      </c>
      <c r="G7" s="24" t="n"/>
      <c r="H7" s="24">
        <f>IF($C7="","",IF($C7="Work",IFERROR(SUMIFS(WORK_MASTER!$I:$I,WORK_MASTER!$A:$A,$D7),""),IF($C7="Material",IFERROR(SUMIFS(MATERIAL_VARIANTS!$I:$I,MATERIAL_VARIANTS!$A:$A,$E7),""),"")))</f>
        <v/>
      </c>
      <c r="I7" s="24">
        <f>IF($C7="","",IF($C7="Work",IFERROR(SUMIFS(WORK_FACTOR_APPLICABILITY!$O:$O,WORK_FACTOR_APPLICABILITY!$A:$A,$D7,WORK_FACTOR_APPLICABILITY!$N:$N,$A7),1),IF($C7="Material",IFERROR(ROUND(1+SUMIFS(MATERIAL_FACTOR_APPLICABILITY!$D:$D,MATERIAL_FACTOR_APPLICABILITY!$A:$A,SUMIFS(MATERIAL_MASTER!$O:$O,MATERIAL_MASTER!$A:$A,$D7),MATERIAL_FACTOR_APPLICABILITY!$B:$B,"GeometryComplexity")*(SUMIFS(OBJECT_CONDITIONS!$W:$W,OBJECT_CONDITIONS!$A:$A,$A7)-1),3),1),"")))</f>
        <v/>
      </c>
      <c r="J7" s="24">
        <f>IF($C7="","",IF($C7="Work",IFERROR(IF(SUMIFS(WORK_TARIFF_RULES!$F:$F,WORK_TARIFF_RULES!$A:$A,$D7,WORK_TARIFF_RULES!$C:$C,$B7)&lt;&gt;"",SUMIFS(WORK_TARIFF_RULES!$F:$F,WORK_TARIFF_RULES!$A:$A,$D7,WORK_TARIFF_RULES!$C:$C,$B7),SUMIFS(TARIFF_PROFILES!$D:$D,TARIFF_PROFILES!$A:$A,$B7)),1),IF($C7="Material",IFERROR(IF(SUMIFS(MATERIAL_TARIFF_RULES!$E:$E,MATERIAL_TARIFF_RULES!$A:$A,$D7,MATERIAL_TARIFF_RULES!$C:$C,$B7)&lt;&gt;"",SUMIFS(MATERIAL_TARIFF_RULES!$E:$E,MATERIAL_TARIFF_RULES!$A:$A,$D7,MATERIAL_TARIFF_RULES!$C:$C,$B7),SUMIFS(TARIFF_PROFILES!$E:$E,TARIFF_PROFILES!$A:$A,$B7)),1),"")))</f>
        <v/>
      </c>
      <c r="K7" s="24">
        <f>IF($C7="","",IF($C7="Material",IFERROR(SUMIFS(MATERIAL_MASTER!$P:$P,MATERIAL_MASTER!$A:$A,$D7)*IF(SUMIFS(MATERIAL_TARIFF_RULES!$F:$F,MATERIAL_TARIFF_RULES!$A:$A,$D7,MATERIAL_TARIFF_RULES!$C:$C,$B7)="",SUMIFS(TARIFF_PROFILES!$H:$H,TARIFF_PROFILES!$A:$A,$B7),SUMIFS(MATERIAL_TARIFF_RULES!$F:$F,MATERIAL_TARIFF_RULES!$A:$A,$D7,MATERIAL_TARIFF_RULES!$C:$C,$B7)),1),1))</f>
        <v/>
      </c>
      <c r="L7" s="24">
        <f>IF($C7="","",IF($C7="Work",N($H7)*N($I7)*N($J7),IF($C7="Material",N($H7)*N($I7)*N($J7),"")))</f>
        <v/>
      </c>
      <c r="M7" s="24">
        <f>IF($C7="","",IF($C7="Material",N($G7)*N($K7),N($G7)))</f>
        <v/>
      </c>
      <c r="N7" s="24">
        <f>IF($C7="","",N($L7)*N($M7))</f>
        <v/>
      </c>
      <c r="O7" s="5">
        <f>IF($C7="","",IF($C7="Work","Тариф влияет на способ/детализацию и коэффициент работ",IF($C7="Material","Тариф влияет на вариант, качество, запас и показ материала","")))</f>
        <v/>
      </c>
    </row>
    <row r="8">
      <c r="A8" s="5" t="n"/>
      <c r="B8" s="5" t="n"/>
      <c r="C8" s="5" t="n"/>
      <c r="D8" s="5" t="n"/>
      <c r="E8" s="5" t="n"/>
      <c r="F8" s="5">
        <f>IF($C8="","",IF($C8="Work",IFERROR(IF(SUMIFS(WORK_TARIFF_RULES!$G:$G,WORK_TARIFF_RULES!$A:$A,$D8,WORK_TARIFF_RULES!$C:$C,$B8)&lt;&gt;"",SUMIFS(WORK_TARIFF_RULES!$G:$G,WORK_TARIFF_RULES!$A:$A,$D8,WORK_TARIFF_RULES!$C:$C,$B8),SUMIFS(WORK_MASTER!$C:$C,WORK_MASTER!$A:$A,$D8)),""),IF($C8="Material",IFERROR(IF(SUMIFS(MATERIAL_TARIFF_RULES!$G:$G,MATERIAL_TARIFF_RULES!$A:$A,$D8,MATERIAL_TARIFF_RULES!$C:$C,$B8)&lt;&gt;"",SUMIFS(MATERIAL_TARIFF_RULES!$G:$G,MATERIAL_TARIFF_RULES!$A:$A,$D8,MATERIAL_TARIFF_RULES!$C:$C,$B8),SUMIFS(MATERIAL_VARIANTS!$J:$J,MATERIAL_VARIANTS!$A:$A,$E8)),""),"")))</f>
        <v/>
      </c>
      <c r="G8" s="24" t="n"/>
      <c r="H8" s="24">
        <f>IF($C8="","",IF($C8="Work",IFERROR(SUMIFS(WORK_MASTER!$I:$I,WORK_MASTER!$A:$A,$D8),""),IF($C8="Material",IFERROR(SUMIFS(MATERIAL_VARIANTS!$I:$I,MATERIAL_VARIANTS!$A:$A,$E8),""),"")))</f>
        <v/>
      </c>
      <c r="I8" s="24">
        <f>IF($C8="","",IF($C8="Work",IFERROR(SUMIFS(WORK_FACTOR_APPLICABILITY!$O:$O,WORK_FACTOR_APPLICABILITY!$A:$A,$D8,WORK_FACTOR_APPLICABILITY!$N:$N,$A8),1),IF($C8="Material",IFERROR(ROUND(1+SUMIFS(MATERIAL_FACTOR_APPLICABILITY!$D:$D,MATERIAL_FACTOR_APPLICABILITY!$A:$A,SUMIFS(MATERIAL_MASTER!$O:$O,MATERIAL_MASTER!$A:$A,$D8),MATERIAL_FACTOR_APPLICABILITY!$B:$B,"GeometryComplexity")*(SUMIFS(OBJECT_CONDITIONS!$W:$W,OBJECT_CONDITIONS!$A:$A,$A8)-1),3),1),"")))</f>
        <v/>
      </c>
      <c r="J8" s="24">
        <f>IF($C8="","",IF($C8="Work",IFERROR(IF(SUMIFS(WORK_TARIFF_RULES!$F:$F,WORK_TARIFF_RULES!$A:$A,$D8,WORK_TARIFF_RULES!$C:$C,$B8)&lt;&gt;"",SUMIFS(WORK_TARIFF_RULES!$F:$F,WORK_TARIFF_RULES!$A:$A,$D8,WORK_TARIFF_RULES!$C:$C,$B8),SUMIFS(TARIFF_PROFILES!$D:$D,TARIFF_PROFILES!$A:$A,$B8)),1),IF($C8="Material",IFERROR(IF(SUMIFS(MATERIAL_TARIFF_RULES!$E:$E,MATERIAL_TARIFF_RULES!$A:$A,$D8,MATERIAL_TARIFF_RULES!$C:$C,$B8)&lt;&gt;"",SUMIFS(MATERIAL_TARIFF_RULES!$E:$E,MATERIAL_TARIFF_RULES!$A:$A,$D8,MATERIAL_TARIFF_RULES!$C:$C,$B8),SUMIFS(TARIFF_PROFILES!$E:$E,TARIFF_PROFILES!$A:$A,$B8)),1),"")))</f>
        <v/>
      </c>
      <c r="K8" s="24">
        <f>IF($C8="","",IF($C8="Material",IFERROR(SUMIFS(MATERIAL_MASTER!$P:$P,MATERIAL_MASTER!$A:$A,$D8)*IF(SUMIFS(MATERIAL_TARIFF_RULES!$F:$F,MATERIAL_TARIFF_RULES!$A:$A,$D8,MATERIAL_TARIFF_RULES!$C:$C,$B8)="",SUMIFS(TARIFF_PROFILES!$H:$H,TARIFF_PROFILES!$A:$A,$B8),SUMIFS(MATERIAL_TARIFF_RULES!$F:$F,MATERIAL_TARIFF_RULES!$A:$A,$D8,MATERIAL_TARIFF_RULES!$C:$C,$B8)),1),1))</f>
        <v/>
      </c>
      <c r="L8" s="24">
        <f>IF($C8="","",IF($C8="Work",N($H8)*N($I8)*N($J8),IF($C8="Material",N($H8)*N($I8)*N($J8),"")))</f>
        <v/>
      </c>
      <c r="M8" s="24">
        <f>IF($C8="","",IF($C8="Material",N($G8)*N($K8),N($G8)))</f>
        <v/>
      </c>
      <c r="N8" s="24">
        <f>IF($C8="","",N($L8)*N($M8))</f>
        <v/>
      </c>
      <c r="O8" s="5">
        <f>IF($C8="","",IF($C8="Work","Тариф влияет на способ/детализацию и коэффициент работ",IF($C8="Material","Тариф влияет на вариант, качество, запас и показ материала","")))</f>
        <v/>
      </c>
    </row>
    <row r="9">
      <c r="A9" s="5" t="n"/>
      <c r="B9" s="5" t="n"/>
      <c r="C9" s="5" t="n"/>
      <c r="D9" s="5" t="n"/>
      <c r="E9" s="5" t="n"/>
      <c r="F9" s="5">
        <f>IF($C9="","",IF($C9="Work",IFERROR(IF(SUMIFS(WORK_TARIFF_RULES!$G:$G,WORK_TARIFF_RULES!$A:$A,$D9,WORK_TARIFF_RULES!$C:$C,$B9)&lt;&gt;"",SUMIFS(WORK_TARIFF_RULES!$G:$G,WORK_TARIFF_RULES!$A:$A,$D9,WORK_TARIFF_RULES!$C:$C,$B9),SUMIFS(WORK_MASTER!$C:$C,WORK_MASTER!$A:$A,$D9)),""),IF($C9="Material",IFERROR(IF(SUMIFS(MATERIAL_TARIFF_RULES!$G:$G,MATERIAL_TARIFF_RULES!$A:$A,$D9,MATERIAL_TARIFF_RULES!$C:$C,$B9)&lt;&gt;"",SUMIFS(MATERIAL_TARIFF_RULES!$G:$G,MATERIAL_TARIFF_RULES!$A:$A,$D9,MATERIAL_TARIFF_RULES!$C:$C,$B9),SUMIFS(MATERIAL_VARIANTS!$J:$J,MATERIAL_VARIANTS!$A:$A,$E9)),""),"")))</f>
        <v/>
      </c>
      <c r="G9" s="24" t="n"/>
      <c r="H9" s="24">
        <f>IF($C9="","",IF($C9="Work",IFERROR(SUMIFS(WORK_MASTER!$I:$I,WORK_MASTER!$A:$A,$D9),""),IF($C9="Material",IFERROR(SUMIFS(MATERIAL_VARIANTS!$I:$I,MATERIAL_VARIANTS!$A:$A,$E9),""),"")))</f>
        <v/>
      </c>
      <c r="I9" s="24">
        <f>IF($C9="","",IF($C9="Work",IFERROR(SUMIFS(WORK_FACTOR_APPLICABILITY!$O:$O,WORK_FACTOR_APPLICABILITY!$A:$A,$D9,WORK_FACTOR_APPLICABILITY!$N:$N,$A9),1),IF($C9="Material",IFERROR(ROUND(1+SUMIFS(MATERIAL_FACTOR_APPLICABILITY!$D:$D,MATERIAL_FACTOR_APPLICABILITY!$A:$A,SUMIFS(MATERIAL_MASTER!$O:$O,MATERIAL_MASTER!$A:$A,$D9),MATERIAL_FACTOR_APPLICABILITY!$B:$B,"GeometryComplexity")*(SUMIFS(OBJECT_CONDITIONS!$W:$W,OBJECT_CONDITIONS!$A:$A,$A9)-1),3),1),"")))</f>
        <v/>
      </c>
      <c r="J9" s="24">
        <f>IF($C9="","",IF($C9="Work",IFERROR(IF(SUMIFS(WORK_TARIFF_RULES!$F:$F,WORK_TARIFF_RULES!$A:$A,$D9,WORK_TARIFF_RULES!$C:$C,$B9)&lt;&gt;"",SUMIFS(WORK_TARIFF_RULES!$F:$F,WORK_TARIFF_RULES!$A:$A,$D9,WORK_TARIFF_RULES!$C:$C,$B9),SUMIFS(TARIFF_PROFILES!$D:$D,TARIFF_PROFILES!$A:$A,$B9)),1),IF($C9="Material",IFERROR(IF(SUMIFS(MATERIAL_TARIFF_RULES!$E:$E,MATERIAL_TARIFF_RULES!$A:$A,$D9,MATERIAL_TARIFF_RULES!$C:$C,$B9)&lt;&gt;"",SUMIFS(MATERIAL_TARIFF_RULES!$E:$E,MATERIAL_TARIFF_RULES!$A:$A,$D9,MATERIAL_TARIFF_RULES!$C:$C,$B9),SUMIFS(TARIFF_PROFILES!$E:$E,TARIFF_PROFILES!$A:$A,$B9)),1),"")))</f>
        <v/>
      </c>
      <c r="K9" s="24">
        <f>IF($C9="","",IF($C9="Material",IFERROR(SUMIFS(MATERIAL_MASTER!$P:$P,MATERIAL_MASTER!$A:$A,$D9)*IF(SUMIFS(MATERIAL_TARIFF_RULES!$F:$F,MATERIAL_TARIFF_RULES!$A:$A,$D9,MATERIAL_TARIFF_RULES!$C:$C,$B9)="",SUMIFS(TARIFF_PROFILES!$H:$H,TARIFF_PROFILES!$A:$A,$B9),SUMIFS(MATERIAL_TARIFF_RULES!$F:$F,MATERIAL_TARIFF_RULES!$A:$A,$D9,MATERIAL_TARIFF_RULES!$C:$C,$B9)),1),1))</f>
        <v/>
      </c>
      <c r="L9" s="24">
        <f>IF($C9="","",IF($C9="Work",N($H9)*N($I9)*N($J9),IF($C9="Material",N($H9)*N($I9)*N($J9),"")))</f>
        <v/>
      </c>
      <c r="M9" s="24">
        <f>IF($C9="","",IF($C9="Material",N($G9)*N($K9),N($G9)))</f>
        <v/>
      </c>
      <c r="N9" s="24">
        <f>IF($C9="","",N($L9)*N($M9))</f>
        <v/>
      </c>
      <c r="O9" s="5">
        <f>IF($C9="","",IF($C9="Work","Тариф влияет на способ/детализацию и коэффициент работ",IF($C9="Material","Тариф влияет на вариант, качество, запас и показ материала","")))</f>
        <v/>
      </c>
    </row>
    <row r="10">
      <c r="A10" s="5" t="n"/>
      <c r="B10" s="5" t="n"/>
      <c r="C10" s="5" t="n"/>
      <c r="D10" s="5" t="n"/>
      <c r="E10" s="5" t="n"/>
      <c r="F10" s="5">
        <f>IF($C10="","",IF($C10="Work",IFERROR(IF(SUMIFS(WORK_TARIFF_RULES!$G:$G,WORK_TARIFF_RULES!$A:$A,$D10,WORK_TARIFF_RULES!$C:$C,$B10)&lt;&gt;"",SUMIFS(WORK_TARIFF_RULES!$G:$G,WORK_TARIFF_RULES!$A:$A,$D10,WORK_TARIFF_RULES!$C:$C,$B10),SUMIFS(WORK_MASTER!$C:$C,WORK_MASTER!$A:$A,$D10)),""),IF($C10="Material",IFERROR(IF(SUMIFS(MATERIAL_TARIFF_RULES!$G:$G,MATERIAL_TARIFF_RULES!$A:$A,$D10,MATERIAL_TARIFF_RULES!$C:$C,$B10)&lt;&gt;"",SUMIFS(MATERIAL_TARIFF_RULES!$G:$G,MATERIAL_TARIFF_RULES!$A:$A,$D10,MATERIAL_TARIFF_RULES!$C:$C,$B10),SUMIFS(MATERIAL_VARIANTS!$J:$J,MATERIAL_VARIANTS!$A:$A,$E10)),""),"")))</f>
        <v/>
      </c>
      <c r="G10" s="24" t="n"/>
      <c r="H10" s="24">
        <f>IF($C10="","",IF($C10="Work",IFERROR(SUMIFS(WORK_MASTER!$I:$I,WORK_MASTER!$A:$A,$D10),""),IF($C10="Material",IFERROR(SUMIFS(MATERIAL_VARIANTS!$I:$I,MATERIAL_VARIANTS!$A:$A,$E10),""),"")))</f>
        <v/>
      </c>
      <c r="I10" s="24">
        <f>IF($C10="","",IF($C10="Work",IFERROR(SUMIFS(WORK_FACTOR_APPLICABILITY!$O:$O,WORK_FACTOR_APPLICABILITY!$A:$A,$D10,WORK_FACTOR_APPLICABILITY!$N:$N,$A10),1),IF($C10="Material",IFERROR(ROUND(1+SUMIFS(MATERIAL_FACTOR_APPLICABILITY!$D:$D,MATERIAL_FACTOR_APPLICABILITY!$A:$A,SUMIFS(MATERIAL_MASTER!$O:$O,MATERIAL_MASTER!$A:$A,$D10),MATERIAL_FACTOR_APPLICABILITY!$B:$B,"GeometryComplexity")*(SUMIFS(OBJECT_CONDITIONS!$W:$W,OBJECT_CONDITIONS!$A:$A,$A10)-1),3),1),"")))</f>
        <v/>
      </c>
      <c r="J10" s="24">
        <f>IF($C10="","",IF($C10="Work",IFERROR(IF(SUMIFS(WORK_TARIFF_RULES!$F:$F,WORK_TARIFF_RULES!$A:$A,$D10,WORK_TARIFF_RULES!$C:$C,$B10)&lt;&gt;"",SUMIFS(WORK_TARIFF_RULES!$F:$F,WORK_TARIFF_RULES!$A:$A,$D10,WORK_TARIFF_RULES!$C:$C,$B10),SUMIFS(TARIFF_PROFILES!$D:$D,TARIFF_PROFILES!$A:$A,$B10)),1),IF($C10="Material",IFERROR(IF(SUMIFS(MATERIAL_TARIFF_RULES!$E:$E,MATERIAL_TARIFF_RULES!$A:$A,$D10,MATERIAL_TARIFF_RULES!$C:$C,$B10)&lt;&gt;"",SUMIFS(MATERIAL_TARIFF_RULES!$E:$E,MATERIAL_TARIFF_RULES!$A:$A,$D10,MATERIAL_TARIFF_RULES!$C:$C,$B10),SUMIFS(TARIFF_PROFILES!$E:$E,TARIFF_PROFILES!$A:$A,$B10)),1),"")))</f>
        <v/>
      </c>
      <c r="K10" s="24">
        <f>IF($C10="","",IF($C10="Material",IFERROR(SUMIFS(MATERIAL_MASTER!$P:$P,MATERIAL_MASTER!$A:$A,$D10)*IF(SUMIFS(MATERIAL_TARIFF_RULES!$F:$F,MATERIAL_TARIFF_RULES!$A:$A,$D10,MATERIAL_TARIFF_RULES!$C:$C,$B10)="",SUMIFS(TARIFF_PROFILES!$H:$H,TARIFF_PROFILES!$A:$A,$B10),SUMIFS(MATERIAL_TARIFF_RULES!$F:$F,MATERIAL_TARIFF_RULES!$A:$A,$D10,MATERIAL_TARIFF_RULES!$C:$C,$B10)),1),1))</f>
        <v/>
      </c>
      <c r="L10" s="24">
        <f>IF($C10="","",IF($C10="Work",N($H10)*N($I10)*N($J10),IF($C10="Material",N($H10)*N($I10)*N($J10),"")))</f>
        <v/>
      </c>
      <c r="M10" s="24">
        <f>IF($C10="","",IF($C10="Material",N($G10)*N($K10),N($G10)))</f>
        <v/>
      </c>
      <c r="N10" s="24">
        <f>IF($C10="","",N($L10)*N($M10))</f>
        <v/>
      </c>
      <c r="O10" s="5">
        <f>IF($C10="","",IF($C10="Work","Тариф влияет на способ/детализацию и коэффициент работ",IF($C10="Material","Тариф влияет на вариант, качество, запас и показ материала","")))</f>
        <v/>
      </c>
    </row>
    <row r="11">
      <c r="A11" s="5" t="n"/>
      <c r="B11" s="5" t="n"/>
      <c r="C11" s="5" t="n"/>
      <c r="D11" s="5" t="n"/>
      <c r="E11" s="5" t="n"/>
      <c r="F11" s="5">
        <f>IF($C11="","",IF($C11="Work",IFERROR(IF(SUMIFS(WORK_TARIFF_RULES!$G:$G,WORK_TARIFF_RULES!$A:$A,$D11,WORK_TARIFF_RULES!$C:$C,$B11)&lt;&gt;"",SUMIFS(WORK_TARIFF_RULES!$G:$G,WORK_TARIFF_RULES!$A:$A,$D11,WORK_TARIFF_RULES!$C:$C,$B11),SUMIFS(WORK_MASTER!$C:$C,WORK_MASTER!$A:$A,$D11)),""),IF($C11="Material",IFERROR(IF(SUMIFS(MATERIAL_TARIFF_RULES!$G:$G,MATERIAL_TARIFF_RULES!$A:$A,$D11,MATERIAL_TARIFF_RULES!$C:$C,$B11)&lt;&gt;"",SUMIFS(MATERIAL_TARIFF_RULES!$G:$G,MATERIAL_TARIFF_RULES!$A:$A,$D11,MATERIAL_TARIFF_RULES!$C:$C,$B11),SUMIFS(MATERIAL_VARIANTS!$J:$J,MATERIAL_VARIANTS!$A:$A,$E11)),""),"")))</f>
        <v/>
      </c>
      <c r="G11" s="24" t="n"/>
      <c r="H11" s="24">
        <f>IF($C11="","",IF($C11="Work",IFERROR(SUMIFS(WORK_MASTER!$I:$I,WORK_MASTER!$A:$A,$D11),""),IF($C11="Material",IFERROR(SUMIFS(MATERIAL_VARIANTS!$I:$I,MATERIAL_VARIANTS!$A:$A,$E11),""),"")))</f>
        <v/>
      </c>
      <c r="I11" s="24">
        <f>IF($C11="","",IF($C11="Work",IFERROR(SUMIFS(WORK_FACTOR_APPLICABILITY!$O:$O,WORK_FACTOR_APPLICABILITY!$A:$A,$D11,WORK_FACTOR_APPLICABILITY!$N:$N,$A11),1),IF($C11="Material",IFERROR(ROUND(1+SUMIFS(MATERIAL_FACTOR_APPLICABILITY!$D:$D,MATERIAL_FACTOR_APPLICABILITY!$A:$A,SUMIFS(MATERIAL_MASTER!$O:$O,MATERIAL_MASTER!$A:$A,$D11),MATERIAL_FACTOR_APPLICABILITY!$B:$B,"GeometryComplexity")*(SUMIFS(OBJECT_CONDITIONS!$W:$W,OBJECT_CONDITIONS!$A:$A,$A11)-1),3),1),"")))</f>
        <v/>
      </c>
      <c r="J11" s="24">
        <f>IF($C11="","",IF($C11="Work",IFERROR(IF(SUMIFS(WORK_TARIFF_RULES!$F:$F,WORK_TARIFF_RULES!$A:$A,$D11,WORK_TARIFF_RULES!$C:$C,$B11)&lt;&gt;"",SUMIFS(WORK_TARIFF_RULES!$F:$F,WORK_TARIFF_RULES!$A:$A,$D11,WORK_TARIFF_RULES!$C:$C,$B11),SUMIFS(TARIFF_PROFILES!$D:$D,TARIFF_PROFILES!$A:$A,$B11)),1),IF($C11="Material",IFERROR(IF(SUMIFS(MATERIAL_TARIFF_RULES!$E:$E,MATERIAL_TARIFF_RULES!$A:$A,$D11,MATERIAL_TARIFF_RULES!$C:$C,$B11)&lt;&gt;"",SUMIFS(MATERIAL_TARIFF_RULES!$E:$E,MATERIAL_TARIFF_RULES!$A:$A,$D11,MATERIAL_TARIFF_RULES!$C:$C,$B11),SUMIFS(TARIFF_PROFILES!$E:$E,TARIFF_PROFILES!$A:$A,$B11)),1),"")))</f>
        <v/>
      </c>
      <c r="K11" s="24">
        <f>IF($C11="","",IF($C11="Material",IFERROR(SUMIFS(MATERIAL_MASTER!$P:$P,MATERIAL_MASTER!$A:$A,$D11)*IF(SUMIFS(MATERIAL_TARIFF_RULES!$F:$F,MATERIAL_TARIFF_RULES!$A:$A,$D11,MATERIAL_TARIFF_RULES!$C:$C,$B11)="",SUMIFS(TARIFF_PROFILES!$H:$H,TARIFF_PROFILES!$A:$A,$B11),SUMIFS(MATERIAL_TARIFF_RULES!$F:$F,MATERIAL_TARIFF_RULES!$A:$A,$D11,MATERIAL_TARIFF_RULES!$C:$C,$B11)),1),1))</f>
        <v/>
      </c>
      <c r="L11" s="24">
        <f>IF($C11="","",IF($C11="Work",N($H11)*N($I11)*N($J11),IF($C11="Material",N($H11)*N($I11)*N($J11),"")))</f>
        <v/>
      </c>
      <c r="M11" s="24">
        <f>IF($C11="","",IF($C11="Material",N($G11)*N($K11),N($G11)))</f>
        <v/>
      </c>
      <c r="N11" s="24">
        <f>IF($C11="","",N($L11)*N($M11))</f>
        <v/>
      </c>
      <c r="O11" s="5">
        <f>IF($C11="","",IF($C11="Work","Тариф влияет на способ/детализацию и коэффициент работ",IF($C11="Material","Тариф влияет на вариант, качество, запас и показ материала","")))</f>
        <v/>
      </c>
    </row>
    <row r="12">
      <c r="A12" s="5" t="n"/>
      <c r="B12" s="5" t="n"/>
      <c r="C12" s="5" t="n"/>
      <c r="D12" s="5" t="n"/>
      <c r="E12" s="5" t="n"/>
      <c r="F12" s="5">
        <f>IF($C12="","",IF($C12="Work",IFERROR(IF(SUMIFS(WORK_TARIFF_RULES!$G:$G,WORK_TARIFF_RULES!$A:$A,$D12,WORK_TARIFF_RULES!$C:$C,$B12)&lt;&gt;"",SUMIFS(WORK_TARIFF_RULES!$G:$G,WORK_TARIFF_RULES!$A:$A,$D12,WORK_TARIFF_RULES!$C:$C,$B12),SUMIFS(WORK_MASTER!$C:$C,WORK_MASTER!$A:$A,$D12)),""),IF($C12="Material",IFERROR(IF(SUMIFS(MATERIAL_TARIFF_RULES!$G:$G,MATERIAL_TARIFF_RULES!$A:$A,$D12,MATERIAL_TARIFF_RULES!$C:$C,$B12)&lt;&gt;"",SUMIFS(MATERIAL_TARIFF_RULES!$G:$G,MATERIAL_TARIFF_RULES!$A:$A,$D12,MATERIAL_TARIFF_RULES!$C:$C,$B12),SUMIFS(MATERIAL_VARIANTS!$J:$J,MATERIAL_VARIANTS!$A:$A,$E12)),""),"")))</f>
        <v/>
      </c>
      <c r="G12" s="24" t="n"/>
      <c r="H12" s="24">
        <f>IF($C12="","",IF($C12="Work",IFERROR(SUMIFS(WORK_MASTER!$I:$I,WORK_MASTER!$A:$A,$D12),""),IF($C12="Material",IFERROR(SUMIFS(MATERIAL_VARIANTS!$I:$I,MATERIAL_VARIANTS!$A:$A,$E12),""),"")))</f>
        <v/>
      </c>
      <c r="I12" s="24">
        <f>IF($C12="","",IF($C12="Work",IFERROR(SUMIFS(WORK_FACTOR_APPLICABILITY!$O:$O,WORK_FACTOR_APPLICABILITY!$A:$A,$D12,WORK_FACTOR_APPLICABILITY!$N:$N,$A12),1),IF($C12="Material",IFERROR(ROUND(1+SUMIFS(MATERIAL_FACTOR_APPLICABILITY!$D:$D,MATERIAL_FACTOR_APPLICABILITY!$A:$A,SUMIFS(MATERIAL_MASTER!$O:$O,MATERIAL_MASTER!$A:$A,$D12),MATERIAL_FACTOR_APPLICABILITY!$B:$B,"GeometryComplexity")*(SUMIFS(OBJECT_CONDITIONS!$W:$W,OBJECT_CONDITIONS!$A:$A,$A12)-1),3),1),"")))</f>
        <v/>
      </c>
      <c r="J12" s="24">
        <f>IF($C12="","",IF($C12="Work",IFERROR(IF(SUMIFS(WORK_TARIFF_RULES!$F:$F,WORK_TARIFF_RULES!$A:$A,$D12,WORK_TARIFF_RULES!$C:$C,$B12)&lt;&gt;"",SUMIFS(WORK_TARIFF_RULES!$F:$F,WORK_TARIFF_RULES!$A:$A,$D12,WORK_TARIFF_RULES!$C:$C,$B12),SUMIFS(TARIFF_PROFILES!$D:$D,TARIFF_PROFILES!$A:$A,$B12)),1),IF($C12="Material",IFERROR(IF(SUMIFS(MATERIAL_TARIFF_RULES!$E:$E,MATERIAL_TARIFF_RULES!$A:$A,$D12,MATERIAL_TARIFF_RULES!$C:$C,$B12)&lt;&gt;"",SUMIFS(MATERIAL_TARIFF_RULES!$E:$E,MATERIAL_TARIFF_RULES!$A:$A,$D12,MATERIAL_TARIFF_RULES!$C:$C,$B12),SUMIFS(TARIFF_PROFILES!$E:$E,TARIFF_PROFILES!$A:$A,$B12)),1),"")))</f>
        <v/>
      </c>
      <c r="K12" s="24">
        <f>IF($C12="","",IF($C12="Material",IFERROR(SUMIFS(MATERIAL_MASTER!$P:$P,MATERIAL_MASTER!$A:$A,$D12)*IF(SUMIFS(MATERIAL_TARIFF_RULES!$F:$F,MATERIAL_TARIFF_RULES!$A:$A,$D12,MATERIAL_TARIFF_RULES!$C:$C,$B12)="",SUMIFS(TARIFF_PROFILES!$H:$H,TARIFF_PROFILES!$A:$A,$B12),SUMIFS(MATERIAL_TARIFF_RULES!$F:$F,MATERIAL_TARIFF_RULES!$A:$A,$D12,MATERIAL_TARIFF_RULES!$C:$C,$B12)),1),1))</f>
        <v/>
      </c>
      <c r="L12" s="24">
        <f>IF($C12="","",IF($C12="Work",N($H12)*N($I12)*N($J12),IF($C12="Material",N($H12)*N($I12)*N($J12),"")))</f>
        <v/>
      </c>
      <c r="M12" s="24">
        <f>IF($C12="","",IF($C12="Material",N($G12)*N($K12),N($G12)))</f>
        <v/>
      </c>
      <c r="N12" s="24">
        <f>IF($C12="","",N($L12)*N($M12))</f>
        <v/>
      </c>
      <c r="O12" s="5">
        <f>IF($C12="","",IF($C12="Work","Тариф влияет на способ/детализацию и коэффициент работ",IF($C12="Material","Тариф влияет на вариант, качество, запас и показ материала","")))</f>
        <v/>
      </c>
    </row>
    <row r="13">
      <c r="A13" s="5" t="n"/>
      <c r="B13" s="5" t="n"/>
      <c r="C13" s="5" t="n"/>
      <c r="D13" s="5" t="n"/>
      <c r="E13" s="5" t="n"/>
      <c r="F13" s="5">
        <f>IF($C13="","",IF($C13="Work",IFERROR(IF(SUMIFS(WORK_TARIFF_RULES!$G:$G,WORK_TARIFF_RULES!$A:$A,$D13,WORK_TARIFF_RULES!$C:$C,$B13)&lt;&gt;"",SUMIFS(WORK_TARIFF_RULES!$G:$G,WORK_TARIFF_RULES!$A:$A,$D13,WORK_TARIFF_RULES!$C:$C,$B13),SUMIFS(WORK_MASTER!$C:$C,WORK_MASTER!$A:$A,$D13)),""),IF($C13="Material",IFERROR(IF(SUMIFS(MATERIAL_TARIFF_RULES!$G:$G,MATERIAL_TARIFF_RULES!$A:$A,$D13,MATERIAL_TARIFF_RULES!$C:$C,$B13)&lt;&gt;"",SUMIFS(MATERIAL_TARIFF_RULES!$G:$G,MATERIAL_TARIFF_RULES!$A:$A,$D13,MATERIAL_TARIFF_RULES!$C:$C,$B13),SUMIFS(MATERIAL_VARIANTS!$J:$J,MATERIAL_VARIANTS!$A:$A,$E13)),""),"")))</f>
        <v/>
      </c>
      <c r="G13" s="24" t="n"/>
      <c r="H13" s="24">
        <f>IF($C13="","",IF($C13="Work",IFERROR(SUMIFS(WORK_MASTER!$I:$I,WORK_MASTER!$A:$A,$D13),""),IF($C13="Material",IFERROR(SUMIFS(MATERIAL_VARIANTS!$I:$I,MATERIAL_VARIANTS!$A:$A,$E13),""),"")))</f>
        <v/>
      </c>
      <c r="I13" s="24">
        <f>IF($C13="","",IF($C13="Work",IFERROR(SUMIFS(WORK_FACTOR_APPLICABILITY!$O:$O,WORK_FACTOR_APPLICABILITY!$A:$A,$D13,WORK_FACTOR_APPLICABILITY!$N:$N,$A13),1),IF($C13="Material",IFERROR(ROUND(1+SUMIFS(MATERIAL_FACTOR_APPLICABILITY!$D:$D,MATERIAL_FACTOR_APPLICABILITY!$A:$A,SUMIFS(MATERIAL_MASTER!$O:$O,MATERIAL_MASTER!$A:$A,$D13),MATERIAL_FACTOR_APPLICABILITY!$B:$B,"GeometryComplexity")*(SUMIFS(OBJECT_CONDITIONS!$W:$W,OBJECT_CONDITIONS!$A:$A,$A13)-1),3),1),"")))</f>
        <v/>
      </c>
      <c r="J13" s="24">
        <f>IF($C13="","",IF($C13="Work",IFERROR(IF(SUMIFS(WORK_TARIFF_RULES!$F:$F,WORK_TARIFF_RULES!$A:$A,$D13,WORK_TARIFF_RULES!$C:$C,$B13)&lt;&gt;"",SUMIFS(WORK_TARIFF_RULES!$F:$F,WORK_TARIFF_RULES!$A:$A,$D13,WORK_TARIFF_RULES!$C:$C,$B13),SUMIFS(TARIFF_PROFILES!$D:$D,TARIFF_PROFILES!$A:$A,$B13)),1),IF($C13="Material",IFERROR(IF(SUMIFS(MATERIAL_TARIFF_RULES!$E:$E,MATERIAL_TARIFF_RULES!$A:$A,$D13,MATERIAL_TARIFF_RULES!$C:$C,$B13)&lt;&gt;"",SUMIFS(MATERIAL_TARIFF_RULES!$E:$E,MATERIAL_TARIFF_RULES!$A:$A,$D13,MATERIAL_TARIFF_RULES!$C:$C,$B13),SUMIFS(TARIFF_PROFILES!$E:$E,TARIFF_PROFILES!$A:$A,$B13)),1),"")))</f>
        <v/>
      </c>
      <c r="K13" s="24">
        <f>IF($C13="","",IF($C13="Material",IFERROR(SUMIFS(MATERIAL_MASTER!$P:$P,MATERIAL_MASTER!$A:$A,$D13)*IF(SUMIFS(MATERIAL_TARIFF_RULES!$F:$F,MATERIAL_TARIFF_RULES!$A:$A,$D13,MATERIAL_TARIFF_RULES!$C:$C,$B13)="",SUMIFS(TARIFF_PROFILES!$H:$H,TARIFF_PROFILES!$A:$A,$B13),SUMIFS(MATERIAL_TARIFF_RULES!$F:$F,MATERIAL_TARIFF_RULES!$A:$A,$D13,MATERIAL_TARIFF_RULES!$C:$C,$B13)),1),1))</f>
        <v/>
      </c>
      <c r="L13" s="24">
        <f>IF($C13="","",IF($C13="Work",N($H13)*N($I13)*N($J13),IF($C13="Material",N($H13)*N($I13)*N($J13),"")))</f>
        <v/>
      </c>
      <c r="M13" s="24">
        <f>IF($C13="","",IF($C13="Material",N($G13)*N($K13),N($G13)))</f>
        <v/>
      </c>
      <c r="N13" s="24">
        <f>IF($C13="","",N($L13)*N($M13))</f>
        <v/>
      </c>
      <c r="O13" s="5">
        <f>IF($C13="","",IF($C13="Work","Тариф влияет на способ/детализацию и коэффициент работ",IF($C13="Material","Тариф влияет на вариант, качество, запас и показ материала","")))</f>
        <v/>
      </c>
    </row>
    <row r="14">
      <c r="A14" s="5" t="n"/>
      <c r="B14" s="5" t="n"/>
      <c r="C14" s="5" t="n"/>
      <c r="D14" s="5" t="n"/>
      <c r="E14" s="5" t="n"/>
      <c r="F14" s="5">
        <f>IF($C14="","",IF($C14="Work",IFERROR(IF(SUMIFS(WORK_TARIFF_RULES!$G:$G,WORK_TARIFF_RULES!$A:$A,$D14,WORK_TARIFF_RULES!$C:$C,$B14)&lt;&gt;"",SUMIFS(WORK_TARIFF_RULES!$G:$G,WORK_TARIFF_RULES!$A:$A,$D14,WORK_TARIFF_RULES!$C:$C,$B14),SUMIFS(WORK_MASTER!$C:$C,WORK_MASTER!$A:$A,$D14)),""),IF($C14="Material",IFERROR(IF(SUMIFS(MATERIAL_TARIFF_RULES!$G:$G,MATERIAL_TARIFF_RULES!$A:$A,$D14,MATERIAL_TARIFF_RULES!$C:$C,$B14)&lt;&gt;"",SUMIFS(MATERIAL_TARIFF_RULES!$G:$G,MATERIAL_TARIFF_RULES!$A:$A,$D14,MATERIAL_TARIFF_RULES!$C:$C,$B14),SUMIFS(MATERIAL_VARIANTS!$J:$J,MATERIAL_VARIANTS!$A:$A,$E14)),""),"")))</f>
        <v/>
      </c>
      <c r="G14" s="24" t="n"/>
      <c r="H14" s="24">
        <f>IF($C14="","",IF($C14="Work",IFERROR(SUMIFS(WORK_MASTER!$I:$I,WORK_MASTER!$A:$A,$D14),""),IF($C14="Material",IFERROR(SUMIFS(MATERIAL_VARIANTS!$I:$I,MATERIAL_VARIANTS!$A:$A,$E14),""),"")))</f>
        <v/>
      </c>
      <c r="I14" s="24">
        <f>IF($C14="","",IF($C14="Work",IFERROR(SUMIFS(WORK_FACTOR_APPLICABILITY!$O:$O,WORK_FACTOR_APPLICABILITY!$A:$A,$D14,WORK_FACTOR_APPLICABILITY!$N:$N,$A14),1),IF($C14="Material",IFERROR(ROUND(1+SUMIFS(MATERIAL_FACTOR_APPLICABILITY!$D:$D,MATERIAL_FACTOR_APPLICABILITY!$A:$A,SUMIFS(MATERIAL_MASTER!$O:$O,MATERIAL_MASTER!$A:$A,$D14),MATERIAL_FACTOR_APPLICABILITY!$B:$B,"GeometryComplexity")*(SUMIFS(OBJECT_CONDITIONS!$W:$W,OBJECT_CONDITIONS!$A:$A,$A14)-1),3),1),"")))</f>
        <v/>
      </c>
      <c r="J14" s="24">
        <f>IF($C14="","",IF($C14="Work",IFERROR(IF(SUMIFS(WORK_TARIFF_RULES!$F:$F,WORK_TARIFF_RULES!$A:$A,$D14,WORK_TARIFF_RULES!$C:$C,$B14)&lt;&gt;"",SUMIFS(WORK_TARIFF_RULES!$F:$F,WORK_TARIFF_RULES!$A:$A,$D14,WORK_TARIFF_RULES!$C:$C,$B14),SUMIFS(TARIFF_PROFILES!$D:$D,TARIFF_PROFILES!$A:$A,$B14)),1),IF($C14="Material",IFERROR(IF(SUMIFS(MATERIAL_TARIFF_RULES!$E:$E,MATERIAL_TARIFF_RULES!$A:$A,$D14,MATERIAL_TARIFF_RULES!$C:$C,$B14)&lt;&gt;"",SUMIFS(MATERIAL_TARIFF_RULES!$E:$E,MATERIAL_TARIFF_RULES!$A:$A,$D14,MATERIAL_TARIFF_RULES!$C:$C,$B14),SUMIFS(TARIFF_PROFILES!$E:$E,TARIFF_PROFILES!$A:$A,$B14)),1),"")))</f>
        <v/>
      </c>
      <c r="K14" s="24">
        <f>IF($C14="","",IF($C14="Material",IFERROR(SUMIFS(MATERIAL_MASTER!$P:$P,MATERIAL_MASTER!$A:$A,$D14)*IF(SUMIFS(MATERIAL_TARIFF_RULES!$F:$F,MATERIAL_TARIFF_RULES!$A:$A,$D14,MATERIAL_TARIFF_RULES!$C:$C,$B14)="",SUMIFS(TARIFF_PROFILES!$H:$H,TARIFF_PROFILES!$A:$A,$B14),SUMIFS(MATERIAL_TARIFF_RULES!$F:$F,MATERIAL_TARIFF_RULES!$A:$A,$D14,MATERIAL_TARIFF_RULES!$C:$C,$B14)),1),1))</f>
        <v/>
      </c>
      <c r="L14" s="24">
        <f>IF($C14="","",IF($C14="Work",N($H14)*N($I14)*N($J14),IF($C14="Material",N($H14)*N($I14)*N($J14),"")))</f>
        <v/>
      </c>
      <c r="M14" s="24">
        <f>IF($C14="","",IF($C14="Material",N($G14)*N($K14),N($G14)))</f>
        <v/>
      </c>
      <c r="N14" s="24">
        <f>IF($C14="","",N($L14)*N($M14))</f>
        <v/>
      </c>
      <c r="O14" s="5">
        <f>IF($C14="","",IF($C14="Work","Тариф влияет на способ/детализацию и коэффициент работ",IF($C14="Material","Тариф влияет на вариант, качество, запас и показ материала","")))</f>
        <v/>
      </c>
    </row>
    <row r="15">
      <c r="A15" s="5" t="n"/>
      <c r="B15" s="5" t="n"/>
      <c r="C15" s="5" t="n"/>
      <c r="D15" s="5" t="n"/>
      <c r="E15" s="5" t="n"/>
      <c r="F15" s="5">
        <f>IF($C15="","",IF($C15="Work",IFERROR(IF(SUMIFS(WORK_TARIFF_RULES!$G:$G,WORK_TARIFF_RULES!$A:$A,$D15,WORK_TARIFF_RULES!$C:$C,$B15)&lt;&gt;"",SUMIFS(WORK_TARIFF_RULES!$G:$G,WORK_TARIFF_RULES!$A:$A,$D15,WORK_TARIFF_RULES!$C:$C,$B15),SUMIFS(WORK_MASTER!$C:$C,WORK_MASTER!$A:$A,$D15)),""),IF($C15="Material",IFERROR(IF(SUMIFS(MATERIAL_TARIFF_RULES!$G:$G,MATERIAL_TARIFF_RULES!$A:$A,$D15,MATERIAL_TARIFF_RULES!$C:$C,$B15)&lt;&gt;"",SUMIFS(MATERIAL_TARIFF_RULES!$G:$G,MATERIAL_TARIFF_RULES!$A:$A,$D15,MATERIAL_TARIFF_RULES!$C:$C,$B15),SUMIFS(MATERIAL_VARIANTS!$J:$J,MATERIAL_VARIANTS!$A:$A,$E15)),""),"")))</f>
        <v/>
      </c>
      <c r="G15" s="24" t="n"/>
      <c r="H15" s="24">
        <f>IF($C15="","",IF($C15="Work",IFERROR(SUMIFS(WORK_MASTER!$I:$I,WORK_MASTER!$A:$A,$D15),""),IF($C15="Material",IFERROR(SUMIFS(MATERIAL_VARIANTS!$I:$I,MATERIAL_VARIANTS!$A:$A,$E15),""),"")))</f>
        <v/>
      </c>
      <c r="I15" s="24">
        <f>IF($C15="","",IF($C15="Work",IFERROR(SUMIFS(WORK_FACTOR_APPLICABILITY!$O:$O,WORK_FACTOR_APPLICABILITY!$A:$A,$D15,WORK_FACTOR_APPLICABILITY!$N:$N,$A15),1),IF($C15="Material",IFERROR(ROUND(1+SUMIFS(MATERIAL_FACTOR_APPLICABILITY!$D:$D,MATERIAL_FACTOR_APPLICABILITY!$A:$A,SUMIFS(MATERIAL_MASTER!$O:$O,MATERIAL_MASTER!$A:$A,$D15),MATERIAL_FACTOR_APPLICABILITY!$B:$B,"GeometryComplexity")*(SUMIFS(OBJECT_CONDITIONS!$W:$W,OBJECT_CONDITIONS!$A:$A,$A15)-1),3),1),"")))</f>
        <v/>
      </c>
      <c r="J15" s="24">
        <f>IF($C15="","",IF($C15="Work",IFERROR(IF(SUMIFS(WORK_TARIFF_RULES!$F:$F,WORK_TARIFF_RULES!$A:$A,$D15,WORK_TARIFF_RULES!$C:$C,$B15)&lt;&gt;"",SUMIFS(WORK_TARIFF_RULES!$F:$F,WORK_TARIFF_RULES!$A:$A,$D15,WORK_TARIFF_RULES!$C:$C,$B15),SUMIFS(TARIFF_PROFILES!$D:$D,TARIFF_PROFILES!$A:$A,$B15)),1),IF($C15="Material",IFERROR(IF(SUMIFS(MATERIAL_TARIFF_RULES!$E:$E,MATERIAL_TARIFF_RULES!$A:$A,$D15,MATERIAL_TARIFF_RULES!$C:$C,$B15)&lt;&gt;"",SUMIFS(MATERIAL_TARIFF_RULES!$E:$E,MATERIAL_TARIFF_RULES!$A:$A,$D15,MATERIAL_TARIFF_RULES!$C:$C,$B15),SUMIFS(TARIFF_PROFILES!$E:$E,TARIFF_PROFILES!$A:$A,$B15)),1),"")))</f>
        <v/>
      </c>
      <c r="K15" s="24">
        <f>IF($C15="","",IF($C15="Material",IFERROR(SUMIFS(MATERIAL_MASTER!$P:$P,MATERIAL_MASTER!$A:$A,$D15)*IF(SUMIFS(MATERIAL_TARIFF_RULES!$F:$F,MATERIAL_TARIFF_RULES!$A:$A,$D15,MATERIAL_TARIFF_RULES!$C:$C,$B15)="",SUMIFS(TARIFF_PROFILES!$H:$H,TARIFF_PROFILES!$A:$A,$B15),SUMIFS(MATERIAL_TARIFF_RULES!$F:$F,MATERIAL_TARIFF_RULES!$A:$A,$D15,MATERIAL_TARIFF_RULES!$C:$C,$B15)),1),1))</f>
        <v/>
      </c>
      <c r="L15" s="24">
        <f>IF($C15="","",IF($C15="Work",N($H15)*N($I15)*N($J15),IF($C15="Material",N($H15)*N($I15)*N($J15),"")))</f>
        <v/>
      </c>
      <c r="M15" s="24">
        <f>IF($C15="","",IF($C15="Material",N($G15)*N($K15),N($G15)))</f>
        <v/>
      </c>
      <c r="N15" s="24">
        <f>IF($C15="","",N($L15)*N($M15))</f>
        <v/>
      </c>
      <c r="O15" s="5">
        <f>IF($C15="","",IF($C15="Work","Тариф влияет на способ/детализацию и коэффициент работ",IF($C15="Material","Тариф влияет на вариант, качество, запас и показ материала","")))</f>
        <v/>
      </c>
    </row>
    <row r="16">
      <c r="A16" s="5" t="n"/>
      <c r="B16" s="5" t="n"/>
      <c r="C16" s="5" t="n"/>
      <c r="D16" s="5" t="n"/>
      <c r="E16" s="5" t="n"/>
      <c r="F16" s="5">
        <f>IF($C16="","",IF($C16="Work",IFERROR(IF(SUMIFS(WORK_TARIFF_RULES!$G:$G,WORK_TARIFF_RULES!$A:$A,$D16,WORK_TARIFF_RULES!$C:$C,$B16)&lt;&gt;"",SUMIFS(WORK_TARIFF_RULES!$G:$G,WORK_TARIFF_RULES!$A:$A,$D16,WORK_TARIFF_RULES!$C:$C,$B16),SUMIFS(WORK_MASTER!$C:$C,WORK_MASTER!$A:$A,$D16)),""),IF($C16="Material",IFERROR(IF(SUMIFS(MATERIAL_TARIFF_RULES!$G:$G,MATERIAL_TARIFF_RULES!$A:$A,$D16,MATERIAL_TARIFF_RULES!$C:$C,$B16)&lt;&gt;"",SUMIFS(MATERIAL_TARIFF_RULES!$G:$G,MATERIAL_TARIFF_RULES!$A:$A,$D16,MATERIAL_TARIFF_RULES!$C:$C,$B16),SUMIFS(MATERIAL_VARIANTS!$J:$J,MATERIAL_VARIANTS!$A:$A,$E16)),""),"")))</f>
        <v/>
      </c>
      <c r="G16" s="24" t="n"/>
      <c r="H16" s="24">
        <f>IF($C16="","",IF($C16="Work",IFERROR(SUMIFS(WORK_MASTER!$I:$I,WORK_MASTER!$A:$A,$D16),""),IF($C16="Material",IFERROR(SUMIFS(MATERIAL_VARIANTS!$I:$I,MATERIAL_VARIANTS!$A:$A,$E16),""),"")))</f>
        <v/>
      </c>
      <c r="I16" s="24">
        <f>IF($C16="","",IF($C16="Work",IFERROR(SUMIFS(WORK_FACTOR_APPLICABILITY!$O:$O,WORK_FACTOR_APPLICABILITY!$A:$A,$D16,WORK_FACTOR_APPLICABILITY!$N:$N,$A16),1),IF($C16="Material",IFERROR(ROUND(1+SUMIFS(MATERIAL_FACTOR_APPLICABILITY!$D:$D,MATERIAL_FACTOR_APPLICABILITY!$A:$A,SUMIFS(MATERIAL_MASTER!$O:$O,MATERIAL_MASTER!$A:$A,$D16),MATERIAL_FACTOR_APPLICABILITY!$B:$B,"GeometryComplexity")*(SUMIFS(OBJECT_CONDITIONS!$W:$W,OBJECT_CONDITIONS!$A:$A,$A16)-1),3),1),"")))</f>
        <v/>
      </c>
      <c r="J16" s="24">
        <f>IF($C16="","",IF($C16="Work",IFERROR(IF(SUMIFS(WORK_TARIFF_RULES!$F:$F,WORK_TARIFF_RULES!$A:$A,$D16,WORK_TARIFF_RULES!$C:$C,$B16)&lt;&gt;"",SUMIFS(WORK_TARIFF_RULES!$F:$F,WORK_TARIFF_RULES!$A:$A,$D16,WORK_TARIFF_RULES!$C:$C,$B16),SUMIFS(TARIFF_PROFILES!$D:$D,TARIFF_PROFILES!$A:$A,$B16)),1),IF($C16="Material",IFERROR(IF(SUMIFS(MATERIAL_TARIFF_RULES!$E:$E,MATERIAL_TARIFF_RULES!$A:$A,$D16,MATERIAL_TARIFF_RULES!$C:$C,$B16)&lt;&gt;"",SUMIFS(MATERIAL_TARIFF_RULES!$E:$E,MATERIAL_TARIFF_RULES!$A:$A,$D16,MATERIAL_TARIFF_RULES!$C:$C,$B16),SUMIFS(TARIFF_PROFILES!$E:$E,TARIFF_PROFILES!$A:$A,$B16)),1),"")))</f>
        <v/>
      </c>
      <c r="K16" s="24">
        <f>IF($C16="","",IF($C16="Material",IFERROR(SUMIFS(MATERIAL_MASTER!$P:$P,MATERIAL_MASTER!$A:$A,$D16)*IF(SUMIFS(MATERIAL_TARIFF_RULES!$F:$F,MATERIAL_TARIFF_RULES!$A:$A,$D16,MATERIAL_TARIFF_RULES!$C:$C,$B16)="",SUMIFS(TARIFF_PROFILES!$H:$H,TARIFF_PROFILES!$A:$A,$B16),SUMIFS(MATERIAL_TARIFF_RULES!$F:$F,MATERIAL_TARIFF_RULES!$A:$A,$D16,MATERIAL_TARIFF_RULES!$C:$C,$B16)),1),1))</f>
        <v/>
      </c>
      <c r="L16" s="24">
        <f>IF($C16="","",IF($C16="Work",N($H16)*N($I16)*N($J16),IF($C16="Material",N($H16)*N($I16)*N($J16),"")))</f>
        <v/>
      </c>
      <c r="M16" s="24">
        <f>IF($C16="","",IF($C16="Material",N($G16)*N($K16),N($G16)))</f>
        <v/>
      </c>
      <c r="N16" s="24">
        <f>IF($C16="","",N($L16)*N($M16))</f>
        <v/>
      </c>
      <c r="O16" s="5">
        <f>IF($C16="","",IF($C16="Work","Тариф влияет на способ/детализацию и коэффициент работ",IF($C16="Material","Тариф влияет на вариант, качество, запас и показ материала","")))</f>
        <v/>
      </c>
    </row>
    <row r="17">
      <c r="A17" s="5" t="n"/>
      <c r="B17" s="5" t="n"/>
      <c r="C17" s="5" t="n"/>
      <c r="D17" s="5" t="n"/>
      <c r="E17" s="5" t="n"/>
      <c r="F17" s="5">
        <f>IF($C17="","",IF($C17="Work",IFERROR(IF(SUMIFS(WORK_TARIFF_RULES!$G:$G,WORK_TARIFF_RULES!$A:$A,$D17,WORK_TARIFF_RULES!$C:$C,$B17)&lt;&gt;"",SUMIFS(WORK_TARIFF_RULES!$G:$G,WORK_TARIFF_RULES!$A:$A,$D17,WORK_TARIFF_RULES!$C:$C,$B17),SUMIFS(WORK_MASTER!$C:$C,WORK_MASTER!$A:$A,$D17)),""),IF($C17="Material",IFERROR(IF(SUMIFS(MATERIAL_TARIFF_RULES!$G:$G,MATERIAL_TARIFF_RULES!$A:$A,$D17,MATERIAL_TARIFF_RULES!$C:$C,$B17)&lt;&gt;"",SUMIFS(MATERIAL_TARIFF_RULES!$G:$G,MATERIAL_TARIFF_RULES!$A:$A,$D17,MATERIAL_TARIFF_RULES!$C:$C,$B17),SUMIFS(MATERIAL_VARIANTS!$J:$J,MATERIAL_VARIANTS!$A:$A,$E17)),""),"")))</f>
        <v/>
      </c>
      <c r="G17" s="24" t="n"/>
      <c r="H17" s="24">
        <f>IF($C17="","",IF($C17="Work",IFERROR(SUMIFS(WORK_MASTER!$I:$I,WORK_MASTER!$A:$A,$D17),""),IF($C17="Material",IFERROR(SUMIFS(MATERIAL_VARIANTS!$I:$I,MATERIAL_VARIANTS!$A:$A,$E17),""),"")))</f>
        <v/>
      </c>
      <c r="I17" s="24">
        <f>IF($C17="","",IF($C17="Work",IFERROR(SUMIFS(WORK_FACTOR_APPLICABILITY!$O:$O,WORK_FACTOR_APPLICABILITY!$A:$A,$D17,WORK_FACTOR_APPLICABILITY!$N:$N,$A17),1),IF($C17="Material",IFERROR(ROUND(1+SUMIFS(MATERIAL_FACTOR_APPLICABILITY!$D:$D,MATERIAL_FACTOR_APPLICABILITY!$A:$A,SUMIFS(MATERIAL_MASTER!$O:$O,MATERIAL_MASTER!$A:$A,$D17),MATERIAL_FACTOR_APPLICABILITY!$B:$B,"GeometryComplexity")*(SUMIFS(OBJECT_CONDITIONS!$W:$W,OBJECT_CONDITIONS!$A:$A,$A17)-1),3),1),"")))</f>
        <v/>
      </c>
      <c r="J17" s="24">
        <f>IF($C17="","",IF($C17="Work",IFERROR(IF(SUMIFS(WORK_TARIFF_RULES!$F:$F,WORK_TARIFF_RULES!$A:$A,$D17,WORK_TARIFF_RULES!$C:$C,$B17)&lt;&gt;"",SUMIFS(WORK_TARIFF_RULES!$F:$F,WORK_TARIFF_RULES!$A:$A,$D17,WORK_TARIFF_RULES!$C:$C,$B17),SUMIFS(TARIFF_PROFILES!$D:$D,TARIFF_PROFILES!$A:$A,$B17)),1),IF($C17="Material",IFERROR(IF(SUMIFS(MATERIAL_TARIFF_RULES!$E:$E,MATERIAL_TARIFF_RULES!$A:$A,$D17,MATERIAL_TARIFF_RULES!$C:$C,$B17)&lt;&gt;"",SUMIFS(MATERIAL_TARIFF_RULES!$E:$E,MATERIAL_TARIFF_RULES!$A:$A,$D17,MATERIAL_TARIFF_RULES!$C:$C,$B17),SUMIFS(TARIFF_PROFILES!$E:$E,TARIFF_PROFILES!$A:$A,$B17)),1),"")))</f>
        <v/>
      </c>
      <c r="K17" s="24">
        <f>IF($C17="","",IF($C17="Material",IFERROR(SUMIFS(MATERIAL_MASTER!$P:$P,MATERIAL_MASTER!$A:$A,$D17)*IF(SUMIFS(MATERIAL_TARIFF_RULES!$F:$F,MATERIAL_TARIFF_RULES!$A:$A,$D17,MATERIAL_TARIFF_RULES!$C:$C,$B17)="",SUMIFS(TARIFF_PROFILES!$H:$H,TARIFF_PROFILES!$A:$A,$B17),SUMIFS(MATERIAL_TARIFF_RULES!$F:$F,MATERIAL_TARIFF_RULES!$A:$A,$D17,MATERIAL_TARIFF_RULES!$C:$C,$B17)),1),1))</f>
        <v/>
      </c>
      <c r="L17" s="24">
        <f>IF($C17="","",IF($C17="Work",N($H17)*N($I17)*N($J17),IF($C17="Material",N($H17)*N($I17)*N($J17),"")))</f>
        <v/>
      </c>
      <c r="M17" s="24">
        <f>IF($C17="","",IF($C17="Material",N($G17)*N($K17),N($G17)))</f>
        <v/>
      </c>
      <c r="N17" s="24">
        <f>IF($C17="","",N($L17)*N($M17))</f>
        <v/>
      </c>
      <c r="O17" s="5">
        <f>IF($C17="","",IF($C17="Work","Тариф влияет на способ/детализацию и коэффициент работ",IF($C17="Material","Тариф влияет на вариант, качество, запас и показ материала","")))</f>
        <v/>
      </c>
    </row>
    <row r="18">
      <c r="A18" s="5" t="n"/>
      <c r="B18" s="5" t="n"/>
      <c r="C18" s="5" t="n"/>
      <c r="D18" s="5" t="n"/>
      <c r="E18" s="5" t="n"/>
      <c r="F18" s="5">
        <f>IF($C18="","",IF($C18="Work",IFERROR(IF(SUMIFS(WORK_TARIFF_RULES!$G:$G,WORK_TARIFF_RULES!$A:$A,$D18,WORK_TARIFF_RULES!$C:$C,$B18)&lt;&gt;"",SUMIFS(WORK_TARIFF_RULES!$G:$G,WORK_TARIFF_RULES!$A:$A,$D18,WORK_TARIFF_RULES!$C:$C,$B18),SUMIFS(WORK_MASTER!$C:$C,WORK_MASTER!$A:$A,$D18)),""),IF($C18="Material",IFERROR(IF(SUMIFS(MATERIAL_TARIFF_RULES!$G:$G,MATERIAL_TARIFF_RULES!$A:$A,$D18,MATERIAL_TARIFF_RULES!$C:$C,$B18)&lt;&gt;"",SUMIFS(MATERIAL_TARIFF_RULES!$G:$G,MATERIAL_TARIFF_RULES!$A:$A,$D18,MATERIAL_TARIFF_RULES!$C:$C,$B18),SUMIFS(MATERIAL_VARIANTS!$J:$J,MATERIAL_VARIANTS!$A:$A,$E18)),""),"")))</f>
        <v/>
      </c>
      <c r="G18" s="24" t="n"/>
      <c r="H18" s="24">
        <f>IF($C18="","",IF($C18="Work",IFERROR(SUMIFS(WORK_MASTER!$I:$I,WORK_MASTER!$A:$A,$D18),""),IF($C18="Material",IFERROR(SUMIFS(MATERIAL_VARIANTS!$I:$I,MATERIAL_VARIANTS!$A:$A,$E18),""),"")))</f>
        <v/>
      </c>
      <c r="I18" s="24">
        <f>IF($C18="","",IF($C18="Work",IFERROR(SUMIFS(WORK_FACTOR_APPLICABILITY!$O:$O,WORK_FACTOR_APPLICABILITY!$A:$A,$D18,WORK_FACTOR_APPLICABILITY!$N:$N,$A18),1),IF($C18="Material",IFERROR(ROUND(1+SUMIFS(MATERIAL_FACTOR_APPLICABILITY!$D:$D,MATERIAL_FACTOR_APPLICABILITY!$A:$A,SUMIFS(MATERIAL_MASTER!$O:$O,MATERIAL_MASTER!$A:$A,$D18),MATERIAL_FACTOR_APPLICABILITY!$B:$B,"GeometryComplexity")*(SUMIFS(OBJECT_CONDITIONS!$W:$W,OBJECT_CONDITIONS!$A:$A,$A18)-1),3),1),"")))</f>
        <v/>
      </c>
      <c r="J18" s="24">
        <f>IF($C18="","",IF($C18="Work",IFERROR(IF(SUMIFS(WORK_TARIFF_RULES!$F:$F,WORK_TARIFF_RULES!$A:$A,$D18,WORK_TARIFF_RULES!$C:$C,$B18)&lt;&gt;"",SUMIFS(WORK_TARIFF_RULES!$F:$F,WORK_TARIFF_RULES!$A:$A,$D18,WORK_TARIFF_RULES!$C:$C,$B18),SUMIFS(TARIFF_PROFILES!$D:$D,TARIFF_PROFILES!$A:$A,$B18)),1),IF($C18="Material",IFERROR(IF(SUMIFS(MATERIAL_TARIFF_RULES!$E:$E,MATERIAL_TARIFF_RULES!$A:$A,$D18,MATERIAL_TARIFF_RULES!$C:$C,$B18)&lt;&gt;"",SUMIFS(MATERIAL_TARIFF_RULES!$E:$E,MATERIAL_TARIFF_RULES!$A:$A,$D18,MATERIAL_TARIFF_RULES!$C:$C,$B18),SUMIFS(TARIFF_PROFILES!$E:$E,TARIFF_PROFILES!$A:$A,$B18)),1),"")))</f>
        <v/>
      </c>
      <c r="K18" s="24">
        <f>IF($C18="","",IF($C18="Material",IFERROR(SUMIFS(MATERIAL_MASTER!$P:$P,MATERIAL_MASTER!$A:$A,$D18)*IF(SUMIFS(MATERIAL_TARIFF_RULES!$F:$F,MATERIAL_TARIFF_RULES!$A:$A,$D18,MATERIAL_TARIFF_RULES!$C:$C,$B18)="",SUMIFS(TARIFF_PROFILES!$H:$H,TARIFF_PROFILES!$A:$A,$B18),SUMIFS(MATERIAL_TARIFF_RULES!$F:$F,MATERIAL_TARIFF_RULES!$A:$A,$D18,MATERIAL_TARIFF_RULES!$C:$C,$B18)),1),1))</f>
        <v/>
      </c>
      <c r="L18" s="24">
        <f>IF($C18="","",IF($C18="Work",N($H18)*N($I18)*N($J18),IF($C18="Material",N($H18)*N($I18)*N($J18),"")))</f>
        <v/>
      </c>
      <c r="M18" s="24">
        <f>IF($C18="","",IF($C18="Material",N($G18)*N($K18),N($G18)))</f>
        <v/>
      </c>
      <c r="N18" s="24">
        <f>IF($C18="","",N($L18)*N($M18))</f>
        <v/>
      </c>
      <c r="O18" s="5">
        <f>IF($C18="","",IF($C18="Work","Тариф влияет на способ/детализацию и коэффициент работ",IF($C18="Material","Тариф влияет на вариант, качество, запас и показ материала","")))</f>
        <v/>
      </c>
    </row>
    <row r="19">
      <c r="A19" s="5" t="n"/>
      <c r="B19" s="5" t="n"/>
      <c r="C19" s="5" t="n"/>
      <c r="D19" s="5" t="n"/>
      <c r="E19" s="5" t="n"/>
      <c r="F19" s="5">
        <f>IF($C19="","",IF($C19="Work",IFERROR(IF(SUMIFS(WORK_TARIFF_RULES!$G:$G,WORK_TARIFF_RULES!$A:$A,$D19,WORK_TARIFF_RULES!$C:$C,$B19)&lt;&gt;"",SUMIFS(WORK_TARIFF_RULES!$G:$G,WORK_TARIFF_RULES!$A:$A,$D19,WORK_TARIFF_RULES!$C:$C,$B19),SUMIFS(WORK_MASTER!$C:$C,WORK_MASTER!$A:$A,$D19)),""),IF($C19="Material",IFERROR(IF(SUMIFS(MATERIAL_TARIFF_RULES!$G:$G,MATERIAL_TARIFF_RULES!$A:$A,$D19,MATERIAL_TARIFF_RULES!$C:$C,$B19)&lt;&gt;"",SUMIFS(MATERIAL_TARIFF_RULES!$G:$G,MATERIAL_TARIFF_RULES!$A:$A,$D19,MATERIAL_TARIFF_RULES!$C:$C,$B19),SUMIFS(MATERIAL_VARIANTS!$J:$J,MATERIAL_VARIANTS!$A:$A,$E19)),""),"")))</f>
        <v/>
      </c>
      <c r="G19" s="24" t="n"/>
      <c r="H19" s="24">
        <f>IF($C19="","",IF($C19="Work",IFERROR(SUMIFS(WORK_MASTER!$I:$I,WORK_MASTER!$A:$A,$D19),""),IF($C19="Material",IFERROR(SUMIFS(MATERIAL_VARIANTS!$I:$I,MATERIAL_VARIANTS!$A:$A,$E19),""),"")))</f>
        <v/>
      </c>
      <c r="I19" s="24">
        <f>IF($C19="","",IF($C19="Work",IFERROR(SUMIFS(WORK_FACTOR_APPLICABILITY!$O:$O,WORK_FACTOR_APPLICABILITY!$A:$A,$D19,WORK_FACTOR_APPLICABILITY!$N:$N,$A19),1),IF($C19="Material",IFERROR(ROUND(1+SUMIFS(MATERIAL_FACTOR_APPLICABILITY!$D:$D,MATERIAL_FACTOR_APPLICABILITY!$A:$A,SUMIFS(MATERIAL_MASTER!$O:$O,MATERIAL_MASTER!$A:$A,$D19),MATERIAL_FACTOR_APPLICABILITY!$B:$B,"GeometryComplexity")*(SUMIFS(OBJECT_CONDITIONS!$W:$W,OBJECT_CONDITIONS!$A:$A,$A19)-1),3),1),"")))</f>
        <v/>
      </c>
      <c r="J19" s="24">
        <f>IF($C19="","",IF($C19="Work",IFERROR(IF(SUMIFS(WORK_TARIFF_RULES!$F:$F,WORK_TARIFF_RULES!$A:$A,$D19,WORK_TARIFF_RULES!$C:$C,$B19)&lt;&gt;"",SUMIFS(WORK_TARIFF_RULES!$F:$F,WORK_TARIFF_RULES!$A:$A,$D19,WORK_TARIFF_RULES!$C:$C,$B19),SUMIFS(TARIFF_PROFILES!$D:$D,TARIFF_PROFILES!$A:$A,$B19)),1),IF($C19="Material",IFERROR(IF(SUMIFS(MATERIAL_TARIFF_RULES!$E:$E,MATERIAL_TARIFF_RULES!$A:$A,$D19,MATERIAL_TARIFF_RULES!$C:$C,$B19)&lt;&gt;"",SUMIFS(MATERIAL_TARIFF_RULES!$E:$E,MATERIAL_TARIFF_RULES!$A:$A,$D19,MATERIAL_TARIFF_RULES!$C:$C,$B19),SUMIFS(TARIFF_PROFILES!$E:$E,TARIFF_PROFILES!$A:$A,$B19)),1),"")))</f>
        <v/>
      </c>
      <c r="K19" s="24">
        <f>IF($C19="","",IF($C19="Material",IFERROR(SUMIFS(MATERIAL_MASTER!$P:$P,MATERIAL_MASTER!$A:$A,$D19)*IF(SUMIFS(MATERIAL_TARIFF_RULES!$F:$F,MATERIAL_TARIFF_RULES!$A:$A,$D19,MATERIAL_TARIFF_RULES!$C:$C,$B19)="",SUMIFS(TARIFF_PROFILES!$H:$H,TARIFF_PROFILES!$A:$A,$B19),SUMIFS(MATERIAL_TARIFF_RULES!$F:$F,MATERIAL_TARIFF_RULES!$A:$A,$D19,MATERIAL_TARIFF_RULES!$C:$C,$B19)),1),1))</f>
        <v/>
      </c>
      <c r="L19" s="24">
        <f>IF($C19="","",IF($C19="Work",N($H19)*N($I19)*N($J19),IF($C19="Material",N($H19)*N($I19)*N($J19),"")))</f>
        <v/>
      </c>
      <c r="M19" s="24">
        <f>IF($C19="","",IF($C19="Material",N($G19)*N($K19),N($G19)))</f>
        <v/>
      </c>
      <c r="N19" s="24">
        <f>IF($C19="","",N($L19)*N($M19))</f>
        <v/>
      </c>
      <c r="O19" s="5">
        <f>IF($C19="","",IF($C19="Work","Тариф влияет на способ/детализацию и коэффициент работ",IF($C19="Material","Тариф влияет на вариант, качество, запас и показ материала","")))</f>
        <v/>
      </c>
    </row>
    <row r="20">
      <c r="A20" s="5" t="n"/>
      <c r="B20" s="5" t="n"/>
      <c r="C20" s="5" t="n"/>
      <c r="D20" s="5" t="n"/>
      <c r="E20" s="5" t="n"/>
      <c r="F20" s="5">
        <f>IF($C20="","",IF($C20="Work",IFERROR(IF(SUMIFS(WORK_TARIFF_RULES!$G:$G,WORK_TARIFF_RULES!$A:$A,$D20,WORK_TARIFF_RULES!$C:$C,$B20)&lt;&gt;"",SUMIFS(WORK_TARIFF_RULES!$G:$G,WORK_TARIFF_RULES!$A:$A,$D20,WORK_TARIFF_RULES!$C:$C,$B20),SUMIFS(WORK_MASTER!$C:$C,WORK_MASTER!$A:$A,$D20)),""),IF($C20="Material",IFERROR(IF(SUMIFS(MATERIAL_TARIFF_RULES!$G:$G,MATERIAL_TARIFF_RULES!$A:$A,$D20,MATERIAL_TARIFF_RULES!$C:$C,$B20)&lt;&gt;"",SUMIFS(MATERIAL_TARIFF_RULES!$G:$G,MATERIAL_TARIFF_RULES!$A:$A,$D20,MATERIAL_TARIFF_RULES!$C:$C,$B20),SUMIFS(MATERIAL_VARIANTS!$J:$J,MATERIAL_VARIANTS!$A:$A,$E20)),""),"")))</f>
        <v/>
      </c>
      <c r="G20" s="24" t="n"/>
      <c r="H20" s="24">
        <f>IF($C20="","",IF($C20="Work",IFERROR(SUMIFS(WORK_MASTER!$I:$I,WORK_MASTER!$A:$A,$D20),""),IF($C20="Material",IFERROR(SUMIFS(MATERIAL_VARIANTS!$I:$I,MATERIAL_VARIANTS!$A:$A,$E20),""),"")))</f>
        <v/>
      </c>
      <c r="I20" s="24">
        <f>IF($C20="","",IF($C20="Work",IFERROR(SUMIFS(WORK_FACTOR_APPLICABILITY!$O:$O,WORK_FACTOR_APPLICABILITY!$A:$A,$D20,WORK_FACTOR_APPLICABILITY!$N:$N,$A20),1),IF($C20="Material",IFERROR(ROUND(1+SUMIFS(MATERIAL_FACTOR_APPLICABILITY!$D:$D,MATERIAL_FACTOR_APPLICABILITY!$A:$A,SUMIFS(MATERIAL_MASTER!$O:$O,MATERIAL_MASTER!$A:$A,$D20),MATERIAL_FACTOR_APPLICABILITY!$B:$B,"GeometryComplexity")*(SUMIFS(OBJECT_CONDITIONS!$W:$W,OBJECT_CONDITIONS!$A:$A,$A20)-1),3),1),"")))</f>
        <v/>
      </c>
      <c r="J20" s="24">
        <f>IF($C20="","",IF($C20="Work",IFERROR(IF(SUMIFS(WORK_TARIFF_RULES!$F:$F,WORK_TARIFF_RULES!$A:$A,$D20,WORK_TARIFF_RULES!$C:$C,$B20)&lt;&gt;"",SUMIFS(WORK_TARIFF_RULES!$F:$F,WORK_TARIFF_RULES!$A:$A,$D20,WORK_TARIFF_RULES!$C:$C,$B20),SUMIFS(TARIFF_PROFILES!$D:$D,TARIFF_PROFILES!$A:$A,$B20)),1),IF($C20="Material",IFERROR(IF(SUMIFS(MATERIAL_TARIFF_RULES!$E:$E,MATERIAL_TARIFF_RULES!$A:$A,$D20,MATERIAL_TARIFF_RULES!$C:$C,$B20)&lt;&gt;"",SUMIFS(MATERIAL_TARIFF_RULES!$E:$E,MATERIAL_TARIFF_RULES!$A:$A,$D20,MATERIAL_TARIFF_RULES!$C:$C,$B20),SUMIFS(TARIFF_PROFILES!$E:$E,TARIFF_PROFILES!$A:$A,$B20)),1),"")))</f>
        <v/>
      </c>
      <c r="K20" s="24">
        <f>IF($C20="","",IF($C20="Material",IFERROR(SUMIFS(MATERIAL_MASTER!$P:$P,MATERIAL_MASTER!$A:$A,$D20)*IF(SUMIFS(MATERIAL_TARIFF_RULES!$F:$F,MATERIAL_TARIFF_RULES!$A:$A,$D20,MATERIAL_TARIFF_RULES!$C:$C,$B20)="",SUMIFS(TARIFF_PROFILES!$H:$H,TARIFF_PROFILES!$A:$A,$B20),SUMIFS(MATERIAL_TARIFF_RULES!$F:$F,MATERIAL_TARIFF_RULES!$A:$A,$D20,MATERIAL_TARIFF_RULES!$C:$C,$B20)),1),1))</f>
        <v/>
      </c>
      <c r="L20" s="24">
        <f>IF($C20="","",IF($C20="Work",N($H20)*N($I20)*N($J20),IF($C20="Material",N($H20)*N($I20)*N($J20),"")))</f>
        <v/>
      </c>
      <c r="M20" s="24">
        <f>IF($C20="","",IF($C20="Material",N($G20)*N($K20),N($G20)))</f>
        <v/>
      </c>
      <c r="N20" s="24">
        <f>IF($C20="","",N($L20)*N($M20))</f>
        <v/>
      </c>
      <c r="O20" s="5">
        <f>IF($C20="","",IF($C20="Work","Тариф влияет на способ/детализацию и коэффициент работ",IF($C20="Material","Тариф влияет на вариант, качество, запас и показ материала","")))</f>
        <v/>
      </c>
    </row>
    <row r="21">
      <c r="A21" s="5" t="n"/>
      <c r="B21" s="5" t="n"/>
      <c r="C21" s="5" t="n"/>
      <c r="D21" s="5" t="n"/>
      <c r="E21" s="5" t="n"/>
      <c r="F21" s="5">
        <f>IF($C21="","",IF($C21="Work",IFERROR(IF(SUMIFS(WORK_TARIFF_RULES!$G:$G,WORK_TARIFF_RULES!$A:$A,$D21,WORK_TARIFF_RULES!$C:$C,$B21)&lt;&gt;"",SUMIFS(WORK_TARIFF_RULES!$G:$G,WORK_TARIFF_RULES!$A:$A,$D21,WORK_TARIFF_RULES!$C:$C,$B21),SUMIFS(WORK_MASTER!$C:$C,WORK_MASTER!$A:$A,$D21)),""),IF($C21="Material",IFERROR(IF(SUMIFS(MATERIAL_TARIFF_RULES!$G:$G,MATERIAL_TARIFF_RULES!$A:$A,$D21,MATERIAL_TARIFF_RULES!$C:$C,$B21)&lt;&gt;"",SUMIFS(MATERIAL_TARIFF_RULES!$G:$G,MATERIAL_TARIFF_RULES!$A:$A,$D21,MATERIAL_TARIFF_RULES!$C:$C,$B21),SUMIFS(MATERIAL_VARIANTS!$J:$J,MATERIAL_VARIANTS!$A:$A,$E21)),""),"")))</f>
        <v/>
      </c>
      <c r="G21" s="24" t="n"/>
      <c r="H21" s="24">
        <f>IF($C21="","",IF($C21="Work",IFERROR(SUMIFS(WORK_MASTER!$I:$I,WORK_MASTER!$A:$A,$D21),""),IF($C21="Material",IFERROR(SUMIFS(MATERIAL_VARIANTS!$I:$I,MATERIAL_VARIANTS!$A:$A,$E21),""),"")))</f>
        <v/>
      </c>
      <c r="I21" s="24">
        <f>IF($C21="","",IF($C21="Work",IFERROR(SUMIFS(WORK_FACTOR_APPLICABILITY!$O:$O,WORK_FACTOR_APPLICABILITY!$A:$A,$D21,WORK_FACTOR_APPLICABILITY!$N:$N,$A21),1),IF($C21="Material",IFERROR(ROUND(1+SUMIFS(MATERIAL_FACTOR_APPLICABILITY!$D:$D,MATERIAL_FACTOR_APPLICABILITY!$A:$A,SUMIFS(MATERIAL_MASTER!$O:$O,MATERIAL_MASTER!$A:$A,$D21),MATERIAL_FACTOR_APPLICABILITY!$B:$B,"GeometryComplexity")*(SUMIFS(OBJECT_CONDITIONS!$W:$W,OBJECT_CONDITIONS!$A:$A,$A21)-1),3),1),"")))</f>
        <v/>
      </c>
      <c r="J21" s="24">
        <f>IF($C21="","",IF($C21="Work",IFERROR(IF(SUMIFS(WORK_TARIFF_RULES!$F:$F,WORK_TARIFF_RULES!$A:$A,$D21,WORK_TARIFF_RULES!$C:$C,$B21)&lt;&gt;"",SUMIFS(WORK_TARIFF_RULES!$F:$F,WORK_TARIFF_RULES!$A:$A,$D21,WORK_TARIFF_RULES!$C:$C,$B21),SUMIFS(TARIFF_PROFILES!$D:$D,TARIFF_PROFILES!$A:$A,$B21)),1),IF($C21="Material",IFERROR(IF(SUMIFS(MATERIAL_TARIFF_RULES!$E:$E,MATERIAL_TARIFF_RULES!$A:$A,$D21,MATERIAL_TARIFF_RULES!$C:$C,$B21)&lt;&gt;"",SUMIFS(MATERIAL_TARIFF_RULES!$E:$E,MATERIAL_TARIFF_RULES!$A:$A,$D21,MATERIAL_TARIFF_RULES!$C:$C,$B21),SUMIFS(TARIFF_PROFILES!$E:$E,TARIFF_PROFILES!$A:$A,$B21)),1),"")))</f>
        <v/>
      </c>
      <c r="K21" s="24">
        <f>IF($C21="","",IF($C21="Material",IFERROR(SUMIFS(MATERIAL_MASTER!$P:$P,MATERIAL_MASTER!$A:$A,$D21)*IF(SUMIFS(MATERIAL_TARIFF_RULES!$F:$F,MATERIAL_TARIFF_RULES!$A:$A,$D21,MATERIAL_TARIFF_RULES!$C:$C,$B21)="",SUMIFS(TARIFF_PROFILES!$H:$H,TARIFF_PROFILES!$A:$A,$B21),SUMIFS(MATERIAL_TARIFF_RULES!$F:$F,MATERIAL_TARIFF_RULES!$A:$A,$D21,MATERIAL_TARIFF_RULES!$C:$C,$B21)),1),1))</f>
        <v/>
      </c>
      <c r="L21" s="24">
        <f>IF($C21="","",IF($C21="Work",N($H21)*N($I21)*N($J21),IF($C21="Material",N($H21)*N($I21)*N($J21),"")))</f>
        <v/>
      </c>
      <c r="M21" s="24">
        <f>IF($C21="","",IF($C21="Material",N($G21)*N($K21),N($G21)))</f>
        <v/>
      </c>
      <c r="N21" s="24">
        <f>IF($C21="","",N($L21)*N($M21))</f>
        <v/>
      </c>
      <c r="O21" s="5">
        <f>IF($C21="","",IF($C21="Work","Тариф влияет на способ/детализацию и коэффициент работ",IF($C21="Material","Тариф влияет на вариант, качество, запас и показ материала","")))</f>
        <v/>
      </c>
    </row>
    <row r="22">
      <c r="A22" s="5" t="n"/>
      <c r="B22" s="5" t="n"/>
      <c r="C22" s="5" t="n"/>
      <c r="D22" s="5" t="n"/>
      <c r="E22" s="5" t="n"/>
      <c r="F22" s="5">
        <f>IF($C22="","",IF($C22="Work",IFERROR(IF(SUMIFS(WORK_TARIFF_RULES!$G:$G,WORK_TARIFF_RULES!$A:$A,$D22,WORK_TARIFF_RULES!$C:$C,$B22)&lt;&gt;"",SUMIFS(WORK_TARIFF_RULES!$G:$G,WORK_TARIFF_RULES!$A:$A,$D22,WORK_TARIFF_RULES!$C:$C,$B22),SUMIFS(WORK_MASTER!$C:$C,WORK_MASTER!$A:$A,$D22)),""),IF($C22="Material",IFERROR(IF(SUMIFS(MATERIAL_TARIFF_RULES!$G:$G,MATERIAL_TARIFF_RULES!$A:$A,$D22,MATERIAL_TARIFF_RULES!$C:$C,$B22)&lt;&gt;"",SUMIFS(MATERIAL_TARIFF_RULES!$G:$G,MATERIAL_TARIFF_RULES!$A:$A,$D22,MATERIAL_TARIFF_RULES!$C:$C,$B22),SUMIFS(MATERIAL_VARIANTS!$J:$J,MATERIAL_VARIANTS!$A:$A,$E22)),""),"")))</f>
        <v/>
      </c>
      <c r="G22" s="24" t="n"/>
      <c r="H22" s="24">
        <f>IF($C22="","",IF($C22="Work",IFERROR(SUMIFS(WORK_MASTER!$I:$I,WORK_MASTER!$A:$A,$D22),""),IF($C22="Material",IFERROR(SUMIFS(MATERIAL_VARIANTS!$I:$I,MATERIAL_VARIANTS!$A:$A,$E22),""),"")))</f>
        <v/>
      </c>
      <c r="I22" s="24">
        <f>IF($C22="","",IF($C22="Work",IFERROR(SUMIFS(WORK_FACTOR_APPLICABILITY!$O:$O,WORK_FACTOR_APPLICABILITY!$A:$A,$D22,WORK_FACTOR_APPLICABILITY!$N:$N,$A22),1),IF($C22="Material",IFERROR(ROUND(1+SUMIFS(MATERIAL_FACTOR_APPLICABILITY!$D:$D,MATERIAL_FACTOR_APPLICABILITY!$A:$A,SUMIFS(MATERIAL_MASTER!$O:$O,MATERIAL_MASTER!$A:$A,$D22),MATERIAL_FACTOR_APPLICABILITY!$B:$B,"GeometryComplexity")*(SUMIFS(OBJECT_CONDITIONS!$W:$W,OBJECT_CONDITIONS!$A:$A,$A22)-1),3),1),"")))</f>
        <v/>
      </c>
      <c r="J22" s="24">
        <f>IF($C22="","",IF($C22="Work",IFERROR(IF(SUMIFS(WORK_TARIFF_RULES!$F:$F,WORK_TARIFF_RULES!$A:$A,$D22,WORK_TARIFF_RULES!$C:$C,$B22)&lt;&gt;"",SUMIFS(WORK_TARIFF_RULES!$F:$F,WORK_TARIFF_RULES!$A:$A,$D22,WORK_TARIFF_RULES!$C:$C,$B22),SUMIFS(TARIFF_PROFILES!$D:$D,TARIFF_PROFILES!$A:$A,$B22)),1),IF($C22="Material",IFERROR(IF(SUMIFS(MATERIAL_TARIFF_RULES!$E:$E,MATERIAL_TARIFF_RULES!$A:$A,$D22,MATERIAL_TARIFF_RULES!$C:$C,$B22)&lt;&gt;"",SUMIFS(MATERIAL_TARIFF_RULES!$E:$E,MATERIAL_TARIFF_RULES!$A:$A,$D22,MATERIAL_TARIFF_RULES!$C:$C,$B22),SUMIFS(TARIFF_PROFILES!$E:$E,TARIFF_PROFILES!$A:$A,$B22)),1),"")))</f>
        <v/>
      </c>
      <c r="K22" s="24">
        <f>IF($C22="","",IF($C22="Material",IFERROR(SUMIFS(MATERIAL_MASTER!$P:$P,MATERIAL_MASTER!$A:$A,$D22)*IF(SUMIFS(MATERIAL_TARIFF_RULES!$F:$F,MATERIAL_TARIFF_RULES!$A:$A,$D22,MATERIAL_TARIFF_RULES!$C:$C,$B22)="",SUMIFS(TARIFF_PROFILES!$H:$H,TARIFF_PROFILES!$A:$A,$B22),SUMIFS(MATERIAL_TARIFF_RULES!$F:$F,MATERIAL_TARIFF_RULES!$A:$A,$D22,MATERIAL_TARIFF_RULES!$C:$C,$B22)),1),1))</f>
        <v/>
      </c>
      <c r="L22" s="24">
        <f>IF($C22="","",IF($C22="Work",N($H22)*N($I22)*N($J22),IF($C22="Material",N($H22)*N($I22)*N($J22),"")))</f>
        <v/>
      </c>
      <c r="M22" s="24">
        <f>IF($C22="","",IF($C22="Material",N($G22)*N($K22),N($G22)))</f>
        <v/>
      </c>
      <c r="N22" s="24">
        <f>IF($C22="","",N($L22)*N($M22))</f>
        <v/>
      </c>
      <c r="O22" s="5">
        <f>IF($C22="","",IF($C22="Work","Тариф влияет на способ/детализацию и коэффициент работ",IF($C22="Material","Тариф влияет на вариант, качество, запас и показ материала","")))</f>
        <v/>
      </c>
    </row>
    <row r="23">
      <c r="A23" s="5" t="n"/>
      <c r="B23" s="5" t="n"/>
      <c r="C23" s="5" t="n"/>
      <c r="D23" s="5" t="n"/>
      <c r="E23" s="5" t="n"/>
      <c r="F23" s="5">
        <f>IF($C23="","",IF($C23="Work",IFERROR(IF(SUMIFS(WORK_TARIFF_RULES!$G:$G,WORK_TARIFF_RULES!$A:$A,$D23,WORK_TARIFF_RULES!$C:$C,$B23)&lt;&gt;"",SUMIFS(WORK_TARIFF_RULES!$G:$G,WORK_TARIFF_RULES!$A:$A,$D23,WORK_TARIFF_RULES!$C:$C,$B23),SUMIFS(WORK_MASTER!$C:$C,WORK_MASTER!$A:$A,$D23)),""),IF($C23="Material",IFERROR(IF(SUMIFS(MATERIAL_TARIFF_RULES!$G:$G,MATERIAL_TARIFF_RULES!$A:$A,$D23,MATERIAL_TARIFF_RULES!$C:$C,$B23)&lt;&gt;"",SUMIFS(MATERIAL_TARIFF_RULES!$G:$G,MATERIAL_TARIFF_RULES!$A:$A,$D23,MATERIAL_TARIFF_RULES!$C:$C,$B23),SUMIFS(MATERIAL_VARIANTS!$J:$J,MATERIAL_VARIANTS!$A:$A,$E23)),""),"")))</f>
        <v/>
      </c>
      <c r="G23" s="24" t="n"/>
      <c r="H23" s="24">
        <f>IF($C23="","",IF($C23="Work",IFERROR(SUMIFS(WORK_MASTER!$I:$I,WORK_MASTER!$A:$A,$D23),""),IF($C23="Material",IFERROR(SUMIFS(MATERIAL_VARIANTS!$I:$I,MATERIAL_VARIANTS!$A:$A,$E23),""),"")))</f>
        <v/>
      </c>
      <c r="I23" s="24">
        <f>IF($C23="","",IF($C23="Work",IFERROR(SUMIFS(WORK_FACTOR_APPLICABILITY!$O:$O,WORK_FACTOR_APPLICABILITY!$A:$A,$D23,WORK_FACTOR_APPLICABILITY!$N:$N,$A23),1),IF($C23="Material",IFERROR(ROUND(1+SUMIFS(MATERIAL_FACTOR_APPLICABILITY!$D:$D,MATERIAL_FACTOR_APPLICABILITY!$A:$A,SUMIFS(MATERIAL_MASTER!$O:$O,MATERIAL_MASTER!$A:$A,$D23),MATERIAL_FACTOR_APPLICABILITY!$B:$B,"GeometryComplexity")*(SUMIFS(OBJECT_CONDITIONS!$W:$W,OBJECT_CONDITIONS!$A:$A,$A23)-1),3),1),"")))</f>
        <v/>
      </c>
      <c r="J23" s="24">
        <f>IF($C23="","",IF($C23="Work",IFERROR(IF(SUMIFS(WORK_TARIFF_RULES!$F:$F,WORK_TARIFF_RULES!$A:$A,$D23,WORK_TARIFF_RULES!$C:$C,$B23)&lt;&gt;"",SUMIFS(WORK_TARIFF_RULES!$F:$F,WORK_TARIFF_RULES!$A:$A,$D23,WORK_TARIFF_RULES!$C:$C,$B23),SUMIFS(TARIFF_PROFILES!$D:$D,TARIFF_PROFILES!$A:$A,$B23)),1),IF($C23="Material",IFERROR(IF(SUMIFS(MATERIAL_TARIFF_RULES!$E:$E,MATERIAL_TARIFF_RULES!$A:$A,$D23,MATERIAL_TARIFF_RULES!$C:$C,$B23)&lt;&gt;"",SUMIFS(MATERIAL_TARIFF_RULES!$E:$E,MATERIAL_TARIFF_RULES!$A:$A,$D23,MATERIAL_TARIFF_RULES!$C:$C,$B23),SUMIFS(TARIFF_PROFILES!$E:$E,TARIFF_PROFILES!$A:$A,$B23)),1),"")))</f>
        <v/>
      </c>
      <c r="K23" s="24">
        <f>IF($C23="","",IF($C23="Material",IFERROR(SUMIFS(MATERIAL_MASTER!$P:$P,MATERIAL_MASTER!$A:$A,$D23)*IF(SUMIFS(MATERIAL_TARIFF_RULES!$F:$F,MATERIAL_TARIFF_RULES!$A:$A,$D23,MATERIAL_TARIFF_RULES!$C:$C,$B23)="",SUMIFS(TARIFF_PROFILES!$H:$H,TARIFF_PROFILES!$A:$A,$B23),SUMIFS(MATERIAL_TARIFF_RULES!$F:$F,MATERIAL_TARIFF_RULES!$A:$A,$D23,MATERIAL_TARIFF_RULES!$C:$C,$B23)),1),1))</f>
        <v/>
      </c>
      <c r="L23" s="24">
        <f>IF($C23="","",IF($C23="Work",N($H23)*N($I23)*N($J23),IF($C23="Material",N($H23)*N($I23)*N($J23),"")))</f>
        <v/>
      </c>
      <c r="M23" s="24">
        <f>IF($C23="","",IF($C23="Material",N($G23)*N($K23),N($G23)))</f>
        <v/>
      </c>
      <c r="N23" s="24">
        <f>IF($C23="","",N($L23)*N($M23))</f>
        <v/>
      </c>
      <c r="O23" s="5">
        <f>IF($C23="","",IF($C23="Work","Тариф влияет на способ/детализацию и коэффициент работ",IF($C23="Material","Тариф влияет на вариант, качество, запас и показ материала","")))</f>
        <v/>
      </c>
    </row>
    <row r="24">
      <c r="A24" s="5" t="n"/>
      <c r="B24" s="5" t="n"/>
      <c r="C24" s="5" t="n"/>
      <c r="D24" s="5" t="n"/>
      <c r="E24" s="5" t="n"/>
      <c r="F24" s="5">
        <f>IF($C24="","",IF($C24="Work",IFERROR(IF(SUMIFS(WORK_TARIFF_RULES!$G:$G,WORK_TARIFF_RULES!$A:$A,$D24,WORK_TARIFF_RULES!$C:$C,$B24)&lt;&gt;"",SUMIFS(WORK_TARIFF_RULES!$G:$G,WORK_TARIFF_RULES!$A:$A,$D24,WORK_TARIFF_RULES!$C:$C,$B24),SUMIFS(WORK_MASTER!$C:$C,WORK_MASTER!$A:$A,$D24)),""),IF($C24="Material",IFERROR(IF(SUMIFS(MATERIAL_TARIFF_RULES!$G:$G,MATERIAL_TARIFF_RULES!$A:$A,$D24,MATERIAL_TARIFF_RULES!$C:$C,$B24)&lt;&gt;"",SUMIFS(MATERIAL_TARIFF_RULES!$G:$G,MATERIAL_TARIFF_RULES!$A:$A,$D24,MATERIAL_TARIFF_RULES!$C:$C,$B24),SUMIFS(MATERIAL_VARIANTS!$J:$J,MATERIAL_VARIANTS!$A:$A,$E24)),""),"")))</f>
        <v/>
      </c>
      <c r="G24" s="24" t="n"/>
      <c r="H24" s="24">
        <f>IF($C24="","",IF($C24="Work",IFERROR(SUMIFS(WORK_MASTER!$I:$I,WORK_MASTER!$A:$A,$D24),""),IF($C24="Material",IFERROR(SUMIFS(MATERIAL_VARIANTS!$I:$I,MATERIAL_VARIANTS!$A:$A,$E24),""),"")))</f>
        <v/>
      </c>
      <c r="I24" s="24">
        <f>IF($C24="","",IF($C24="Work",IFERROR(SUMIFS(WORK_FACTOR_APPLICABILITY!$O:$O,WORK_FACTOR_APPLICABILITY!$A:$A,$D24,WORK_FACTOR_APPLICABILITY!$N:$N,$A24),1),IF($C24="Material",IFERROR(ROUND(1+SUMIFS(MATERIAL_FACTOR_APPLICABILITY!$D:$D,MATERIAL_FACTOR_APPLICABILITY!$A:$A,SUMIFS(MATERIAL_MASTER!$O:$O,MATERIAL_MASTER!$A:$A,$D24),MATERIAL_FACTOR_APPLICABILITY!$B:$B,"GeometryComplexity")*(SUMIFS(OBJECT_CONDITIONS!$W:$W,OBJECT_CONDITIONS!$A:$A,$A24)-1),3),1),"")))</f>
        <v/>
      </c>
      <c r="J24" s="24">
        <f>IF($C24="","",IF($C24="Work",IFERROR(IF(SUMIFS(WORK_TARIFF_RULES!$F:$F,WORK_TARIFF_RULES!$A:$A,$D24,WORK_TARIFF_RULES!$C:$C,$B24)&lt;&gt;"",SUMIFS(WORK_TARIFF_RULES!$F:$F,WORK_TARIFF_RULES!$A:$A,$D24,WORK_TARIFF_RULES!$C:$C,$B24),SUMIFS(TARIFF_PROFILES!$D:$D,TARIFF_PROFILES!$A:$A,$B24)),1),IF($C24="Material",IFERROR(IF(SUMIFS(MATERIAL_TARIFF_RULES!$E:$E,MATERIAL_TARIFF_RULES!$A:$A,$D24,MATERIAL_TARIFF_RULES!$C:$C,$B24)&lt;&gt;"",SUMIFS(MATERIAL_TARIFF_RULES!$E:$E,MATERIAL_TARIFF_RULES!$A:$A,$D24,MATERIAL_TARIFF_RULES!$C:$C,$B24),SUMIFS(TARIFF_PROFILES!$E:$E,TARIFF_PROFILES!$A:$A,$B24)),1),"")))</f>
        <v/>
      </c>
      <c r="K24" s="24">
        <f>IF($C24="","",IF($C24="Material",IFERROR(SUMIFS(MATERIAL_MASTER!$P:$P,MATERIAL_MASTER!$A:$A,$D24)*IF(SUMIFS(MATERIAL_TARIFF_RULES!$F:$F,MATERIAL_TARIFF_RULES!$A:$A,$D24,MATERIAL_TARIFF_RULES!$C:$C,$B24)="",SUMIFS(TARIFF_PROFILES!$H:$H,TARIFF_PROFILES!$A:$A,$B24),SUMIFS(MATERIAL_TARIFF_RULES!$F:$F,MATERIAL_TARIFF_RULES!$A:$A,$D24,MATERIAL_TARIFF_RULES!$C:$C,$B24)),1),1))</f>
        <v/>
      </c>
      <c r="L24" s="24">
        <f>IF($C24="","",IF($C24="Work",N($H24)*N($I24)*N($J24),IF($C24="Material",N($H24)*N($I24)*N($J24),"")))</f>
        <v/>
      </c>
      <c r="M24" s="24">
        <f>IF($C24="","",IF($C24="Material",N($G24)*N($K24),N($G24)))</f>
        <v/>
      </c>
      <c r="N24" s="24">
        <f>IF($C24="","",N($L24)*N($M24))</f>
        <v/>
      </c>
      <c r="O24" s="5">
        <f>IF($C24="","",IF($C24="Work","Тариф влияет на способ/детализацию и коэффициент работ",IF($C24="Material","Тариф влияет на вариант, качество, запас и показ материала","")))</f>
        <v/>
      </c>
    </row>
    <row r="25">
      <c r="A25" s="5" t="n"/>
      <c r="B25" s="5" t="n"/>
      <c r="C25" s="5" t="n"/>
      <c r="D25" s="5" t="n"/>
      <c r="E25" s="5" t="n"/>
      <c r="F25" s="5">
        <f>IF($C25="","",IF($C25="Work",IFERROR(IF(SUMIFS(WORK_TARIFF_RULES!$G:$G,WORK_TARIFF_RULES!$A:$A,$D25,WORK_TARIFF_RULES!$C:$C,$B25)&lt;&gt;"",SUMIFS(WORK_TARIFF_RULES!$G:$G,WORK_TARIFF_RULES!$A:$A,$D25,WORK_TARIFF_RULES!$C:$C,$B25),SUMIFS(WORK_MASTER!$C:$C,WORK_MASTER!$A:$A,$D25)),""),IF($C25="Material",IFERROR(IF(SUMIFS(MATERIAL_TARIFF_RULES!$G:$G,MATERIAL_TARIFF_RULES!$A:$A,$D25,MATERIAL_TARIFF_RULES!$C:$C,$B25)&lt;&gt;"",SUMIFS(MATERIAL_TARIFF_RULES!$G:$G,MATERIAL_TARIFF_RULES!$A:$A,$D25,MATERIAL_TARIFF_RULES!$C:$C,$B25),SUMIFS(MATERIAL_VARIANTS!$J:$J,MATERIAL_VARIANTS!$A:$A,$E25)),""),"")))</f>
        <v/>
      </c>
      <c r="G25" s="24" t="n"/>
      <c r="H25" s="24">
        <f>IF($C25="","",IF($C25="Work",IFERROR(SUMIFS(WORK_MASTER!$I:$I,WORK_MASTER!$A:$A,$D25),""),IF($C25="Material",IFERROR(SUMIFS(MATERIAL_VARIANTS!$I:$I,MATERIAL_VARIANTS!$A:$A,$E25),""),"")))</f>
        <v/>
      </c>
      <c r="I25" s="24">
        <f>IF($C25="","",IF($C25="Work",IFERROR(SUMIFS(WORK_FACTOR_APPLICABILITY!$O:$O,WORK_FACTOR_APPLICABILITY!$A:$A,$D25,WORK_FACTOR_APPLICABILITY!$N:$N,$A25),1),IF($C25="Material",IFERROR(ROUND(1+SUMIFS(MATERIAL_FACTOR_APPLICABILITY!$D:$D,MATERIAL_FACTOR_APPLICABILITY!$A:$A,SUMIFS(MATERIAL_MASTER!$O:$O,MATERIAL_MASTER!$A:$A,$D25),MATERIAL_FACTOR_APPLICABILITY!$B:$B,"GeometryComplexity")*(SUMIFS(OBJECT_CONDITIONS!$W:$W,OBJECT_CONDITIONS!$A:$A,$A25)-1),3),1),"")))</f>
        <v/>
      </c>
      <c r="J25" s="24">
        <f>IF($C25="","",IF($C25="Work",IFERROR(IF(SUMIFS(WORK_TARIFF_RULES!$F:$F,WORK_TARIFF_RULES!$A:$A,$D25,WORK_TARIFF_RULES!$C:$C,$B25)&lt;&gt;"",SUMIFS(WORK_TARIFF_RULES!$F:$F,WORK_TARIFF_RULES!$A:$A,$D25,WORK_TARIFF_RULES!$C:$C,$B25),SUMIFS(TARIFF_PROFILES!$D:$D,TARIFF_PROFILES!$A:$A,$B25)),1),IF($C25="Material",IFERROR(IF(SUMIFS(MATERIAL_TARIFF_RULES!$E:$E,MATERIAL_TARIFF_RULES!$A:$A,$D25,MATERIAL_TARIFF_RULES!$C:$C,$B25)&lt;&gt;"",SUMIFS(MATERIAL_TARIFF_RULES!$E:$E,MATERIAL_TARIFF_RULES!$A:$A,$D25,MATERIAL_TARIFF_RULES!$C:$C,$B25),SUMIFS(TARIFF_PROFILES!$E:$E,TARIFF_PROFILES!$A:$A,$B25)),1),"")))</f>
        <v/>
      </c>
      <c r="K25" s="24">
        <f>IF($C25="","",IF($C25="Material",IFERROR(SUMIFS(MATERIAL_MASTER!$P:$P,MATERIAL_MASTER!$A:$A,$D25)*IF(SUMIFS(MATERIAL_TARIFF_RULES!$F:$F,MATERIAL_TARIFF_RULES!$A:$A,$D25,MATERIAL_TARIFF_RULES!$C:$C,$B25)="",SUMIFS(TARIFF_PROFILES!$H:$H,TARIFF_PROFILES!$A:$A,$B25),SUMIFS(MATERIAL_TARIFF_RULES!$F:$F,MATERIAL_TARIFF_RULES!$A:$A,$D25,MATERIAL_TARIFF_RULES!$C:$C,$B25)),1),1))</f>
        <v/>
      </c>
      <c r="L25" s="24">
        <f>IF($C25="","",IF($C25="Work",N($H25)*N($I25)*N($J25),IF($C25="Material",N($H25)*N($I25)*N($J25),"")))</f>
        <v/>
      </c>
      <c r="M25" s="24">
        <f>IF($C25="","",IF($C25="Material",N($G25)*N($K25),N($G25)))</f>
        <v/>
      </c>
      <c r="N25" s="24">
        <f>IF($C25="","",N($L25)*N($M25))</f>
        <v/>
      </c>
      <c r="O25" s="5">
        <f>IF($C25="","",IF($C25="Work","Тариф влияет на способ/детализацию и коэффициент работ",IF($C25="Material","Тариф влияет на вариант, качество, запас и показ материала","")))</f>
        <v/>
      </c>
    </row>
    <row r="26">
      <c r="A26" s="5" t="n"/>
      <c r="B26" s="5" t="n"/>
      <c r="C26" s="5" t="n"/>
      <c r="D26" s="5" t="n"/>
      <c r="E26" s="5" t="n"/>
      <c r="F26" s="5">
        <f>IF($C26="","",IF($C26="Work",IFERROR(IF(SUMIFS(WORK_TARIFF_RULES!$G:$G,WORK_TARIFF_RULES!$A:$A,$D26,WORK_TARIFF_RULES!$C:$C,$B26)&lt;&gt;"",SUMIFS(WORK_TARIFF_RULES!$G:$G,WORK_TARIFF_RULES!$A:$A,$D26,WORK_TARIFF_RULES!$C:$C,$B26),SUMIFS(WORK_MASTER!$C:$C,WORK_MASTER!$A:$A,$D26)),""),IF($C26="Material",IFERROR(IF(SUMIFS(MATERIAL_TARIFF_RULES!$G:$G,MATERIAL_TARIFF_RULES!$A:$A,$D26,MATERIAL_TARIFF_RULES!$C:$C,$B26)&lt;&gt;"",SUMIFS(MATERIAL_TARIFF_RULES!$G:$G,MATERIAL_TARIFF_RULES!$A:$A,$D26,MATERIAL_TARIFF_RULES!$C:$C,$B26),SUMIFS(MATERIAL_VARIANTS!$J:$J,MATERIAL_VARIANTS!$A:$A,$E26)),""),"")))</f>
        <v/>
      </c>
      <c r="G26" s="24" t="n"/>
      <c r="H26" s="24">
        <f>IF($C26="","",IF($C26="Work",IFERROR(SUMIFS(WORK_MASTER!$I:$I,WORK_MASTER!$A:$A,$D26),""),IF($C26="Material",IFERROR(SUMIFS(MATERIAL_VARIANTS!$I:$I,MATERIAL_VARIANTS!$A:$A,$E26),""),"")))</f>
        <v/>
      </c>
      <c r="I26" s="24">
        <f>IF($C26="","",IF($C26="Work",IFERROR(SUMIFS(WORK_FACTOR_APPLICABILITY!$O:$O,WORK_FACTOR_APPLICABILITY!$A:$A,$D26,WORK_FACTOR_APPLICABILITY!$N:$N,$A26),1),IF($C26="Material",IFERROR(ROUND(1+SUMIFS(MATERIAL_FACTOR_APPLICABILITY!$D:$D,MATERIAL_FACTOR_APPLICABILITY!$A:$A,SUMIFS(MATERIAL_MASTER!$O:$O,MATERIAL_MASTER!$A:$A,$D26),MATERIAL_FACTOR_APPLICABILITY!$B:$B,"GeometryComplexity")*(SUMIFS(OBJECT_CONDITIONS!$W:$W,OBJECT_CONDITIONS!$A:$A,$A26)-1),3),1),"")))</f>
        <v/>
      </c>
      <c r="J26" s="24">
        <f>IF($C26="","",IF($C26="Work",IFERROR(IF(SUMIFS(WORK_TARIFF_RULES!$F:$F,WORK_TARIFF_RULES!$A:$A,$D26,WORK_TARIFF_RULES!$C:$C,$B26)&lt;&gt;"",SUMIFS(WORK_TARIFF_RULES!$F:$F,WORK_TARIFF_RULES!$A:$A,$D26,WORK_TARIFF_RULES!$C:$C,$B26),SUMIFS(TARIFF_PROFILES!$D:$D,TARIFF_PROFILES!$A:$A,$B26)),1),IF($C26="Material",IFERROR(IF(SUMIFS(MATERIAL_TARIFF_RULES!$E:$E,MATERIAL_TARIFF_RULES!$A:$A,$D26,MATERIAL_TARIFF_RULES!$C:$C,$B26)&lt;&gt;"",SUMIFS(MATERIAL_TARIFF_RULES!$E:$E,MATERIAL_TARIFF_RULES!$A:$A,$D26,MATERIAL_TARIFF_RULES!$C:$C,$B26),SUMIFS(TARIFF_PROFILES!$E:$E,TARIFF_PROFILES!$A:$A,$B26)),1),"")))</f>
        <v/>
      </c>
      <c r="K26" s="24">
        <f>IF($C26="","",IF($C26="Material",IFERROR(SUMIFS(MATERIAL_MASTER!$P:$P,MATERIAL_MASTER!$A:$A,$D26)*IF(SUMIFS(MATERIAL_TARIFF_RULES!$F:$F,MATERIAL_TARIFF_RULES!$A:$A,$D26,MATERIAL_TARIFF_RULES!$C:$C,$B26)="",SUMIFS(TARIFF_PROFILES!$H:$H,TARIFF_PROFILES!$A:$A,$B26),SUMIFS(MATERIAL_TARIFF_RULES!$F:$F,MATERIAL_TARIFF_RULES!$A:$A,$D26,MATERIAL_TARIFF_RULES!$C:$C,$B26)),1),1))</f>
        <v/>
      </c>
      <c r="L26" s="24">
        <f>IF($C26="","",IF($C26="Work",N($H26)*N($I26)*N($J26),IF($C26="Material",N($H26)*N($I26)*N($J26),"")))</f>
        <v/>
      </c>
      <c r="M26" s="24">
        <f>IF($C26="","",IF($C26="Material",N($G26)*N($K26),N($G26)))</f>
        <v/>
      </c>
      <c r="N26" s="24">
        <f>IF($C26="","",N($L26)*N($M26))</f>
        <v/>
      </c>
      <c r="O26" s="5">
        <f>IF($C26="","",IF($C26="Work","Тариф влияет на способ/детализацию и коэффициент работ",IF($C26="Material","Тариф влияет на вариант, качество, запас и показ материала","")))</f>
        <v/>
      </c>
    </row>
    <row r="27">
      <c r="A27" s="5" t="n"/>
      <c r="B27" s="5" t="n"/>
      <c r="C27" s="5" t="n"/>
      <c r="D27" s="5" t="n"/>
      <c r="E27" s="5" t="n"/>
      <c r="F27" s="5">
        <f>IF($C27="","",IF($C27="Work",IFERROR(IF(SUMIFS(WORK_TARIFF_RULES!$G:$G,WORK_TARIFF_RULES!$A:$A,$D27,WORK_TARIFF_RULES!$C:$C,$B27)&lt;&gt;"",SUMIFS(WORK_TARIFF_RULES!$G:$G,WORK_TARIFF_RULES!$A:$A,$D27,WORK_TARIFF_RULES!$C:$C,$B27),SUMIFS(WORK_MASTER!$C:$C,WORK_MASTER!$A:$A,$D27)),""),IF($C27="Material",IFERROR(IF(SUMIFS(MATERIAL_TARIFF_RULES!$G:$G,MATERIAL_TARIFF_RULES!$A:$A,$D27,MATERIAL_TARIFF_RULES!$C:$C,$B27)&lt;&gt;"",SUMIFS(MATERIAL_TARIFF_RULES!$G:$G,MATERIAL_TARIFF_RULES!$A:$A,$D27,MATERIAL_TARIFF_RULES!$C:$C,$B27),SUMIFS(MATERIAL_VARIANTS!$J:$J,MATERIAL_VARIANTS!$A:$A,$E27)),""),"")))</f>
        <v/>
      </c>
      <c r="G27" s="24" t="n"/>
      <c r="H27" s="24">
        <f>IF($C27="","",IF($C27="Work",IFERROR(SUMIFS(WORK_MASTER!$I:$I,WORK_MASTER!$A:$A,$D27),""),IF($C27="Material",IFERROR(SUMIFS(MATERIAL_VARIANTS!$I:$I,MATERIAL_VARIANTS!$A:$A,$E27),""),"")))</f>
        <v/>
      </c>
      <c r="I27" s="24">
        <f>IF($C27="","",IF($C27="Work",IFERROR(SUMIFS(WORK_FACTOR_APPLICABILITY!$O:$O,WORK_FACTOR_APPLICABILITY!$A:$A,$D27,WORK_FACTOR_APPLICABILITY!$N:$N,$A27),1),IF($C27="Material",IFERROR(ROUND(1+SUMIFS(MATERIAL_FACTOR_APPLICABILITY!$D:$D,MATERIAL_FACTOR_APPLICABILITY!$A:$A,SUMIFS(MATERIAL_MASTER!$O:$O,MATERIAL_MASTER!$A:$A,$D27),MATERIAL_FACTOR_APPLICABILITY!$B:$B,"GeometryComplexity")*(SUMIFS(OBJECT_CONDITIONS!$W:$W,OBJECT_CONDITIONS!$A:$A,$A27)-1),3),1),"")))</f>
        <v/>
      </c>
      <c r="J27" s="24">
        <f>IF($C27="","",IF($C27="Work",IFERROR(IF(SUMIFS(WORK_TARIFF_RULES!$F:$F,WORK_TARIFF_RULES!$A:$A,$D27,WORK_TARIFF_RULES!$C:$C,$B27)&lt;&gt;"",SUMIFS(WORK_TARIFF_RULES!$F:$F,WORK_TARIFF_RULES!$A:$A,$D27,WORK_TARIFF_RULES!$C:$C,$B27),SUMIFS(TARIFF_PROFILES!$D:$D,TARIFF_PROFILES!$A:$A,$B27)),1),IF($C27="Material",IFERROR(IF(SUMIFS(MATERIAL_TARIFF_RULES!$E:$E,MATERIAL_TARIFF_RULES!$A:$A,$D27,MATERIAL_TARIFF_RULES!$C:$C,$B27)&lt;&gt;"",SUMIFS(MATERIAL_TARIFF_RULES!$E:$E,MATERIAL_TARIFF_RULES!$A:$A,$D27,MATERIAL_TARIFF_RULES!$C:$C,$B27),SUMIFS(TARIFF_PROFILES!$E:$E,TARIFF_PROFILES!$A:$A,$B27)),1),"")))</f>
        <v/>
      </c>
      <c r="K27" s="24">
        <f>IF($C27="","",IF($C27="Material",IFERROR(SUMIFS(MATERIAL_MASTER!$P:$P,MATERIAL_MASTER!$A:$A,$D27)*IF(SUMIFS(MATERIAL_TARIFF_RULES!$F:$F,MATERIAL_TARIFF_RULES!$A:$A,$D27,MATERIAL_TARIFF_RULES!$C:$C,$B27)="",SUMIFS(TARIFF_PROFILES!$H:$H,TARIFF_PROFILES!$A:$A,$B27),SUMIFS(MATERIAL_TARIFF_RULES!$F:$F,MATERIAL_TARIFF_RULES!$A:$A,$D27,MATERIAL_TARIFF_RULES!$C:$C,$B27)),1),1))</f>
        <v/>
      </c>
      <c r="L27" s="24">
        <f>IF($C27="","",IF($C27="Work",N($H27)*N($I27)*N($J27),IF($C27="Material",N($H27)*N($I27)*N($J27),"")))</f>
        <v/>
      </c>
      <c r="M27" s="24">
        <f>IF($C27="","",IF($C27="Material",N($G27)*N($K27),N($G27)))</f>
        <v/>
      </c>
      <c r="N27" s="24">
        <f>IF($C27="","",N($L27)*N($M27))</f>
        <v/>
      </c>
      <c r="O27" s="5">
        <f>IF($C27="","",IF($C27="Work","Тариф влияет на способ/детализацию и коэффициент работ",IF($C27="Material","Тариф влияет на вариант, качество, запас и показ материала","")))</f>
        <v/>
      </c>
    </row>
    <row r="28">
      <c r="A28" s="5" t="n"/>
      <c r="B28" s="5" t="n"/>
      <c r="C28" s="5" t="n"/>
      <c r="D28" s="5" t="n"/>
      <c r="E28" s="5" t="n"/>
      <c r="F28" s="5">
        <f>IF($C28="","",IF($C28="Work",IFERROR(IF(SUMIFS(WORK_TARIFF_RULES!$G:$G,WORK_TARIFF_RULES!$A:$A,$D28,WORK_TARIFF_RULES!$C:$C,$B28)&lt;&gt;"",SUMIFS(WORK_TARIFF_RULES!$G:$G,WORK_TARIFF_RULES!$A:$A,$D28,WORK_TARIFF_RULES!$C:$C,$B28),SUMIFS(WORK_MASTER!$C:$C,WORK_MASTER!$A:$A,$D28)),""),IF($C28="Material",IFERROR(IF(SUMIFS(MATERIAL_TARIFF_RULES!$G:$G,MATERIAL_TARIFF_RULES!$A:$A,$D28,MATERIAL_TARIFF_RULES!$C:$C,$B28)&lt;&gt;"",SUMIFS(MATERIAL_TARIFF_RULES!$G:$G,MATERIAL_TARIFF_RULES!$A:$A,$D28,MATERIAL_TARIFF_RULES!$C:$C,$B28),SUMIFS(MATERIAL_VARIANTS!$J:$J,MATERIAL_VARIANTS!$A:$A,$E28)),""),"")))</f>
        <v/>
      </c>
      <c r="G28" s="24" t="n"/>
      <c r="H28" s="24">
        <f>IF($C28="","",IF($C28="Work",IFERROR(SUMIFS(WORK_MASTER!$I:$I,WORK_MASTER!$A:$A,$D28),""),IF($C28="Material",IFERROR(SUMIFS(MATERIAL_VARIANTS!$I:$I,MATERIAL_VARIANTS!$A:$A,$E28),""),"")))</f>
        <v/>
      </c>
      <c r="I28" s="24">
        <f>IF($C28="","",IF($C28="Work",IFERROR(SUMIFS(WORK_FACTOR_APPLICABILITY!$O:$O,WORK_FACTOR_APPLICABILITY!$A:$A,$D28,WORK_FACTOR_APPLICABILITY!$N:$N,$A28),1),IF($C28="Material",IFERROR(ROUND(1+SUMIFS(MATERIAL_FACTOR_APPLICABILITY!$D:$D,MATERIAL_FACTOR_APPLICABILITY!$A:$A,SUMIFS(MATERIAL_MASTER!$O:$O,MATERIAL_MASTER!$A:$A,$D28),MATERIAL_FACTOR_APPLICABILITY!$B:$B,"GeometryComplexity")*(SUMIFS(OBJECT_CONDITIONS!$W:$W,OBJECT_CONDITIONS!$A:$A,$A28)-1),3),1),"")))</f>
        <v/>
      </c>
      <c r="J28" s="24">
        <f>IF($C28="","",IF($C28="Work",IFERROR(IF(SUMIFS(WORK_TARIFF_RULES!$F:$F,WORK_TARIFF_RULES!$A:$A,$D28,WORK_TARIFF_RULES!$C:$C,$B28)&lt;&gt;"",SUMIFS(WORK_TARIFF_RULES!$F:$F,WORK_TARIFF_RULES!$A:$A,$D28,WORK_TARIFF_RULES!$C:$C,$B28),SUMIFS(TARIFF_PROFILES!$D:$D,TARIFF_PROFILES!$A:$A,$B28)),1),IF($C28="Material",IFERROR(IF(SUMIFS(MATERIAL_TARIFF_RULES!$E:$E,MATERIAL_TARIFF_RULES!$A:$A,$D28,MATERIAL_TARIFF_RULES!$C:$C,$B28)&lt;&gt;"",SUMIFS(MATERIAL_TARIFF_RULES!$E:$E,MATERIAL_TARIFF_RULES!$A:$A,$D28,MATERIAL_TARIFF_RULES!$C:$C,$B28),SUMIFS(TARIFF_PROFILES!$E:$E,TARIFF_PROFILES!$A:$A,$B28)),1),"")))</f>
        <v/>
      </c>
      <c r="K28" s="24">
        <f>IF($C28="","",IF($C28="Material",IFERROR(SUMIFS(MATERIAL_MASTER!$P:$P,MATERIAL_MASTER!$A:$A,$D28)*IF(SUMIFS(MATERIAL_TARIFF_RULES!$F:$F,MATERIAL_TARIFF_RULES!$A:$A,$D28,MATERIAL_TARIFF_RULES!$C:$C,$B28)="",SUMIFS(TARIFF_PROFILES!$H:$H,TARIFF_PROFILES!$A:$A,$B28),SUMIFS(MATERIAL_TARIFF_RULES!$F:$F,MATERIAL_TARIFF_RULES!$A:$A,$D28,MATERIAL_TARIFF_RULES!$C:$C,$B28)),1),1))</f>
        <v/>
      </c>
      <c r="L28" s="24">
        <f>IF($C28="","",IF($C28="Work",N($H28)*N($I28)*N($J28),IF($C28="Material",N($H28)*N($I28)*N($J28),"")))</f>
        <v/>
      </c>
      <c r="M28" s="24">
        <f>IF($C28="","",IF($C28="Material",N($G28)*N($K28),N($G28)))</f>
        <v/>
      </c>
      <c r="N28" s="24">
        <f>IF($C28="","",N($L28)*N($M28))</f>
        <v/>
      </c>
      <c r="O28" s="5">
        <f>IF($C28="","",IF($C28="Work","Тариф влияет на способ/детализацию и коэффициент работ",IF($C28="Material","Тариф влияет на вариант, качество, запас и показ материала","")))</f>
        <v/>
      </c>
    </row>
    <row r="29">
      <c r="A29" s="5" t="n"/>
      <c r="B29" s="5" t="n"/>
      <c r="C29" s="5" t="n"/>
      <c r="D29" s="5" t="n"/>
      <c r="E29" s="5" t="n"/>
      <c r="F29" s="5">
        <f>IF($C29="","",IF($C29="Work",IFERROR(IF(SUMIFS(WORK_TARIFF_RULES!$G:$G,WORK_TARIFF_RULES!$A:$A,$D29,WORK_TARIFF_RULES!$C:$C,$B29)&lt;&gt;"",SUMIFS(WORK_TARIFF_RULES!$G:$G,WORK_TARIFF_RULES!$A:$A,$D29,WORK_TARIFF_RULES!$C:$C,$B29),SUMIFS(WORK_MASTER!$C:$C,WORK_MASTER!$A:$A,$D29)),""),IF($C29="Material",IFERROR(IF(SUMIFS(MATERIAL_TARIFF_RULES!$G:$G,MATERIAL_TARIFF_RULES!$A:$A,$D29,MATERIAL_TARIFF_RULES!$C:$C,$B29)&lt;&gt;"",SUMIFS(MATERIAL_TARIFF_RULES!$G:$G,MATERIAL_TARIFF_RULES!$A:$A,$D29,MATERIAL_TARIFF_RULES!$C:$C,$B29),SUMIFS(MATERIAL_VARIANTS!$J:$J,MATERIAL_VARIANTS!$A:$A,$E29)),""),"")))</f>
        <v/>
      </c>
      <c r="G29" s="24" t="n"/>
      <c r="H29" s="24">
        <f>IF($C29="","",IF($C29="Work",IFERROR(SUMIFS(WORK_MASTER!$I:$I,WORK_MASTER!$A:$A,$D29),""),IF($C29="Material",IFERROR(SUMIFS(MATERIAL_VARIANTS!$I:$I,MATERIAL_VARIANTS!$A:$A,$E29),""),"")))</f>
        <v/>
      </c>
      <c r="I29" s="24">
        <f>IF($C29="","",IF($C29="Work",IFERROR(SUMIFS(WORK_FACTOR_APPLICABILITY!$O:$O,WORK_FACTOR_APPLICABILITY!$A:$A,$D29,WORK_FACTOR_APPLICABILITY!$N:$N,$A29),1),IF($C29="Material",IFERROR(ROUND(1+SUMIFS(MATERIAL_FACTOR_APPLICABILITY!$D:$D,MATERIAL_FACTOR_APPLICABILITY!$A:$A,SUMIFS(MATERIAL_MASTER!$O:$O,MATERIAL_MASTER!$A:$A,$D29),MATERIAL_FACTOR_APPLICABILITY!$B:$B,"GeometryComplexity")*(SUMIFS(OBJECT_CONDITIONS!$W:$W,OBJECT_CONDITIONS!$A:$A,$A29)-1),3),1),"")))</f>
        <v/>
      </c>
      <c r="J29" s="24">
        <f>IF($C29="","",IF($C29="Work",IFERROR(IF(SUMIFS(WORK_TARIFF_RULES!$F:$F,WORK_TARIFF_RULES!$A:$A,$D29,WORK_TARIFF_RULES!$C:$C,$B29)&lt;&gt;"",SUMIFS(WORK_TARIFF_RULES!$F:$F,WORK_TARIFF_RULES!$A:$A,$D29,WORK_TARIFF_RULES!$C:$C,$B29),SUMIFS(TARIFF_PROFILES!$D:$D,TARIFF_PROFILES!$A:$A,$B29)),1),IF($C29="Material",IFERROR(IF(SUMIFS(MATERIAL_TARIFF_RULES!$E:$E,MATERIAL_TARIFF_RULES!$A:$A,$D29,MATERIAL_TARIFF_RULES!$C:$C,$B29)&lt;&gt;"",SUMIFS(MATERIAL_TARIFF_RULES!$E:$E,MATERIAL_TARIFF_RULES!$A:$A,$D29,MATERIAL_TARIFF_RULES!$C:$C,$B29),SUMIFS(TARIFF_PROFILES!$E:$E,TARIFF_PROFILES!$A:$A,$B29)),1),"")))</f>
        <v/>
      </c>
      <c r="K29" s="24">
        <f>IF($C29="","",IF($C29="Material",IFERROR(SUMIFS(MATERIAL_MASTER!$P:$P,MATERIAL_MASTER!$A:$A,$D29)*IF(SUMIFS(MATERIAL_TARIFF_RULES!$F:$F,MATERIAL_TARIFF_RULES!$A:$A,$D29,MATERIAL_TARIFF_RULES!$C:$C,$B29)="",SUMIFS(TARIFF_PROFILES!$H:$H,TARIFF_PROFILES!$A:$A,$B29),SUMIFS(MATERIAL_TARIFF_RULES!$F:$F,MATERIAL_TARIFF_RULES!$A:$A,$D29,MATERIAL_TARIFF_RULES!$C:$C,$B29)),1),1))</f>
        <v/>
      </c>
      <c r="L29" s="24">
        <f>IF($C29="","",IF($C29="Work",N($H29)*N($I29)*N($J29),IF($C29="Material",N($H29)*N($I29)*N($J29),"")))</f>
        <v/>
      </c>
      <c r="M29" s="24">
        <f>IF($C29="","",IF($C29="Material",N($G29)*N($K29),N($G29)))</f>
        <v/>
      </c>
      <c r="N29" s="24">
        <f>IF($C29="","",N($L29)*N($M29))</f>
        <v/>
      </c>
      <c r="O29" s="5">
        <f>IF($C29="","",IF($C29="Work","Тариф влияет на способ/детализацию и коэффициент работ",IF($C29="Material","Тариф влияет на вариант, качество, запас и показ материала","")))</f>
        <v/>
      </c>
    </row>
    <row r="30">
      <c r="A30" s="5" t="n"/>
      <c r="B30" s="5" t="n"/>
      <c r="C30" s="5" t="n"/>
      <c r="D30" s="5" t="n"/>
      <c r="E30" s="5" t="n"/>
      <c r="F30" s="5">
        <f>IF($C30="","",IF($C30="Work",IFERROR(IF(SUMIFS(WORK_TARIFF_RULES!$G:$G,WORK_TARIFF_RULES!$A:$A,$D30,WORK_TARIFF_RULES!$C:$C,$B30)&lt;&gt;"",SUMIFS(WORK_TARIFF_RULES!$G:$G,WORK_TARIFF_RULES!$A:$A,$D30,WORK_TARIFF_RULES!$C:$C,$B30),SUMIFS(WORK_MASTER!$C:$C,WORK_MASTER!$A:$A,$D30)),""),IF($C30="Material",IFERROR(IF(SUMIFS(MATERIAL_TARIFF_RULES!$G:$G,MATERIAL_TARIFF_RULES!$A:$A,$D30,MATERIAL_TARIFF_RULES!$C:$C,$B30)&lt;&gt;"",SUMIFS(MATERIAL_TARIFF_RULES!$G:$G,MATERIAL_TARIFF_RULES!$A:$A,$D30,MATERIAL_TARIFF_RULES!$C:$C,$B30),SUMIFS(MATERIAL_VARIANTS!$J:$J,MATERIAL_VARIANTS!$A:$A,$E30)),""),"")))</f>
        <v/>
      </c>
      <c r="G30" s="24" t="n"/>
      <c r="H30" s="24">
        <f>IF($C30="","",IF($C30="Work",IFERROR(SUMIFS(WORK_MASTER!$I:$I,WORK_MASTER!$A:$A,$D30),""),IF($C30="Material",IFERROR(SUMIFS(MATERIAL_VARIANTS!$I:$I,MATERIAL_VARIANTS!$A:$A,$E30),""),"")))</f>
        <v/>
      </c>
      <c r="I30" s="24">
        <f>IF($C30="","",IF($C30="Work",IFERROR(SUMIFS(WORK_FACTOR_APPLICABILITY!$O:$O,WORK_FACTOR_APPLICABILITY!$A:$A,$D30,WORK_FACTOR_APPLICABILITY!$N:$N,$A30),1),IF($C30="Material",IFERROR(ROUND(1+SUMIFS(MATERIAL_FACTOR_APPLICABILITY!$D:$D,MATERIAL_FACTOR_APPLICABILITY!$A:$A,SUMIFS(MATERIAL_MASTER!$O:$O,MATERIAL_MASTER!$A:$A,$D30),MATERIAL_FACTOR_APPLICABILITY!$B:$B,"GeometryComplexity")*(SUMIFS(OBJECT_CONDITIONS!$W:$W,OBJECT_CONDITIONS!$A:$A,$A30)-1),3),1),"")))</f>
        <v/>
      </c>
      <c r="J30" s="24">
        <f>IF($C30="","",IF($C30="Work",IFERROR(IF(SUMIFS(WORK_TARIFF_RULES!$F:$F,WORK_TARIFF_RULES!$A:$A,$D30,WORK_TARIFF_RULES!$C:$C,$B30)&lt;&gt;"",SUMIFS(WORK_TARIFF_RULES!$F:$F,WORK_TARIFF_RULES!$A:$A,$D30,WORK_TARIFF_RULES!$C:$C,$B30),SUMIFS(TARIFF_PROFILES!$D:$D,TARIFF_PROFILES!$A:$A,$B30)),1),IF($C30="Material",IFERROR(IF(SUMIFS(MATERIAL_TARIFF_RULES!$E:$E,MATERIAL_TARIFF_RULES!$A:$A,$D30,MATERIAL_TARIFF_RULES!$C:$C,$B30)&lt;&gt;"",SUMIFS(MATERIAL_TARIFF_RULES!$E:$E,MATERIAL_TARIFF_RULES!$A:$A,$D30,MATERIAL_TARIFF_RULES!$C:$C,$B30),SUMIFS(TARIFF_PROFILES!$E:$E,TARIFF_PROFILES!$A:$A,$B30)),1),"")))</f>
        <v/>
      </c>
      <c r="K30" s="24">
        <f>IF($C30="","",IF($C30="Material",IFERROR(SUMIFS(MATERIAL_MASTER!$P:$P,MATERIAL_MASTER!$A:$A,$D30)*IF(SUMIFS(MATERIAL_TARIFF_RULES!$F:$F,MATERIAL_TARIFF_RULES!$A:$A,$D30,MATERIAL_TARIFF_RULES!$C:$C,$B30)="",SUMIFS(TARIFF_PROFILES!$H:$H,TARIFF_PROFILES!$A:$A,$B30),SUMIFS(MATERIAL_TARIFF_RULES!$F:$F,MATERIAL_TARIFF_RULES!$A:$A,$D30,MATERIAL_TARIFF_RULES!$C:$C,$B30)),1),1))</f>
        <v/>
      </c>
      <c r="L30" s="24">
        <f>IF($C30="","",IF($C30="Work",N($H30)*N($I30)*N($J30),IF($C30="Material",N($H30)*N($I30)*N($J30),"")))</f>
        <v/>
      </c>
      <c r="M30" s="24">
        <f>IF($C30="","",IF($C30="Material",N($G30)*N($K30),N($G30)))</f>
        <v/>
      </c>
      <c r="N30" s="24">
        <f>IF($C30="","",N($L30)*N($M30))</f>
        <v/>
      </c>
      <c r="O30" s="5">
        <f>IF($C30="","",IF($C30="Work","Тариф влияет на способ/детализацию и коэффициент работ",IF($C30="Material","Тариф влияет на вариант, качество, запас и показ материала","")))</f>
        <v/>
      </c>
    </row>
    <row r="31">
      <c r="A31" s="5" t="n"/>
      <c r="B31" s="5" t="n"/>
      <c r="C31" s="5" t="n"/>
      <c r="D31" s="5" t="n"/>
      <c r="E31" s="5" t="n"/>
      <c r="F31" s="5">
        <f>IF($C31="","",IF($C31="Work",IFERROR(IF(SUMIFS(WORK_TARIFF_RULES!$G:$G,WORK_TARIFF_RULES!$A:$A,$D31,WORK_TARIFF_RULES!$C:$C,$B31)&lt;&gt;"",SUMIFS(WORK_TARIFF_RULES!$G:$G,WORK_TARIFF_RULES!$A:$A,$D31,WORK_TARIFF_RULES!$C:$C,$B31),SUMIFS(WORK_MASTER!$C:$C,WORK_MASTER!$A:$A,$D31)),""),IF($C31="Material",IFERROR(IF(SUMIFS(MATERIAL_TARIFF_RULES!$G:$G,MATERIAL_TARIFF_RULES!$A:$A,$D31,MATERIAL_TARIFF_RULES!$C:$C,$B31)&lt;&gt;"",SUMIFS(MATERIAL_TARIFF_RULES!$G:$G,MATERIAL_TARIFF_RULES!$A:$A,$D31,MATERIAL_TARIFF_RULES!$C:$C,$B31),SUMIFS(MATERIAL_VARIANTS!$J:$J,MATERIAL_VARIANTS!$A:$A,$E31)),""),"")))</f>
        <v/>
      </c>
      <c r="G31" s="24" t="n"/>
      <c r="H31" s="24">
        <f>IF($C31="","",IF($C31="Work",IFERROR(SUMIFS(WORK_MASTER!$I:$I,WORK_MASTER!$A:$A,$D31),""),IF($C31="Material",IFERROR(SUMIFS(MATERIAL_VARIANTS!$I:$I,MATERIAL_VARIANTS!$A:$A,$E31),""),"")))</f>
        <v/>
      </c>
      <c r="I31" s="24">
        <f>IF($C31="","",IF($C31="Work",IFERROR(SUMIFS(WORK_FACTOR_APPLICABILITY!$O:$O,WORK_FACTOR_APPLICABILITY!$A:$A,$D31,WORK_FACTOR_APPLICABILITY!$N:$N,$A31),1),IF($C31="Material",IFERROR(ROUND(1+SUMIFS(MATERIAL_FACTOR_APPLICABILITY!$D:$D,MATERIAL_FACTOR_APPLICABILITY!$A:$A,SUMIFS(MATERIAL_MASTER!$O:$O,MATERIAL_MASTER!$A:$A,$D31),MATERIAL_FACTOR_APPLICABILITY!$B:$B,"GeometryComplexity")*(SUMIFS(OBJECT_CONDITIONS!$W:$W,OBJECT_CONDITIONS!$A:$A,$A31)-1),3),1),"")))</f>
        <v/>
      </c>
      <c r="J31" s="24">
        <f>IF($C31="","",IF($C31="Work",IFERROR(IF(SUMIFS(WORK_TARIFF_RULES!$F:$F,WORK_TARIFF_RULES!$A:$A,$D31,WORK_TARIFF_RULES!$C:$C,$B31)&lt;&gt;"",SUMIFS(WORK_TARIFF_RULES!$F:$F,WORK_TARIFF_RULES!$A:$A,$D31,WORK_TARIFF_RULES!$C:$C,$B31),SUMIFS(TARIFF_PROFILES!$D:$D,TARIFF_PROFILES!$A:$A,$B31)),1),IF($C31="Material",IFERROR(IF(SUMIFS(MATERIAL_TARIFF_RULES!$E:$E,MATERIAL_TARIFF_RULES!$A:$A,$D31,MATERIAL_TARIFF_RULES!$C:$C,$B31)&lt;&gt;"",SUMIFS(MATERIAL_TARIFF_RULES!$E:$E,MATERIAL_TARIFF_RULES!$A:$A,$D31,MATERIAL_TARIFF_RULES!$C:$C,$B31),SUMIFS(TARIFF_PROFILES!$E:$E,TARIFF_PROFILES!$A:$A,$B31)),1),"")))</f>
        <v/>
      </c>
      <c r="K31" s="24">
        <f>IF($C31="","",IF($C31="Material",IFERROR(SUMIFS(MATERIAL_MASTER!$P:$P,MATERIAL_MASTER!$A:$A,$D31)*IF(SUMIFS(MATERIAL_TARIFF_RULES!$F:$F,MATERIAL_TARIFF_RULES!$A:$A,$D31,MATERIAL_TARIFF_RULES!$C:$C,$B31)="",SUMIFS(TARIFF_PROFILES!$H:$H,TARIFF_PROFILES!$A:$A,$B31),SUMIFS(MATERIAL_TARIFF_RULES!$F:$F,MATERIAL_TARIFF_RULES!$A:$A,$D31,MATERIAL_TARIFF_RULES!$C:$C,$B31)),1),1))</f>
        <v/>
      </c>
      <c r="L31" s="24">
        <f>IF($C31="","",IF($C31="Work",N($H31)*N($I31)*N($J31),IF($C31="Material",N($H31)*N($I31)*N($J31),"")))</f>
        <v/>
      </c>
      <c r="M31" s="24">
        <f>IF($C31="","",IF($C31="Material",N($G31)*N($K31),N($G31)))</f>
        <v/>
      </c>
      <c r="N31" s="24">
        <f>IF($C31="","",N($L31)*N($M31))</f>
        <v/>
      </c>
      <c r="O31" s="5">
        <f>IF($C31="","",IF($C31="Work","Тариф влияет на способ/детализацию и коэффициент работ",IF($C31="Material","Тариф влияет на вариант, качество, запас и показ материала","")))</f>
        <v/>
      </c>
    </row>
    <row r="32">
      <c r="A32" s="5" t="n"/>
      <c r="B32" s="5" t="n"/>
      <c r="C32" s="5" t="n"/>
      <c r="D32" s="5" t="n"/>
      <c r="E32" s="5" t="n"/>
      <c r="F32" s="5">
        <f>IF($C32="","",IF($C32="Work",IFERROR(IF(SUMIFS(WORK_TARIFF_RULES!$G:$G,WORK_TARIFF_RULES!$A:$A,$D32,WORK_TARIFF_RULES!$C:$C,$B32)&lt;&gt;"",SUMIFS(WORK_TARIFF_RULES!$G:$G,WORK_TARIFF_RULES!$A:$A,$D32,WORK_TARIFF_RULES!$C:$C,$B32),SUMIFS(WORK_MASTER!$C:$C,WORK_MASTER!$A:$A,$D32)),""),IF($C32="Material",IFERROR(IF(SUMIFS(MATERIAL_TARIFF_RULES!$G:$G,MATERIAL_TARIFF_RULES!$A:$A,$D32,MATERIAL_TARIFF_RULES!$C:$C,$B32)&lt;&gt;"",SUMIFS(MATERIAL_TARIFF_RULES!$G:$G,MATERIAL_TARIFF_RULES!$A:$A,$D32,MATERIAL_TARIFF_RULES!$C:$C,$B32),SUMIFS(MATERIAL_VARIANTS!$J:$J,MATERIAL_VARIANTS!$A:$A,$E32)),""),"")))</f>
        <v/>
      </c>
      <c r="G32" s="24" t="n"/>
      <c r="H32" s="24">
        <f>IF($C32="","",IF($C32="Work",IFERROR(SUMIFS(WORK_MASTER!$I:$I,WORK_MASTER!$A:$A,$D32),""),IF($C32="Material",IFERROR(SUMIFS(MATERIAL_VARIANTS!$I:$I,MATERIAL_VARIANTS!$A:$A,$E32),""),"")))</f>
        <v/>
      </c>
      <c r="I32" s="24">
        <f>IF($C32="","",IF($C32="Work",IFERROR(SUMIFS(WORK_FACTOR_APPLICABILITY!$O:$O,WORK_FACTOR_APPLICABILITY!$A:$A,$D32,WORK_FACTOR_APPLICABILITY!$N:$N,$A32),1),IF($C32="Material",IFERROR(ROUND(1+SUMIFS(MATERIAL_FACTOR_APPLICABILITY!$D:$D,MATERIAL_FACTOR_APPLICABILITY!$A:$A,SUMIFS(MATERIAL_MASTER!$O:$O,MATERIAL_MASTER!$A:$A,$D32),MATERIAL_FACTOR_APPLICABILITY!$B:$B,"GeometryComplexity")*(SUMIFS(OBJECT_CONDITIONS!$W:$W,OBJECT_CONDITIONS!$A:$A,$A32)-1),3),1),"")))</f>
        <v/>
      </c>
      <c r="J32" s="24">
        <f>IF($C32="","",IF($C32="Work",IFERROR(IF(SUMIFS(WORK_TARIFF_RULES!$F:$F,WORK_TARIFF_RULES!$A:$A,$D32,WORK_TARIFF_RULES!$C:$C,$B32)&lt;&gt;"",SUMIFS(WORK_TARIFF_RULES!$F:$F,WORK_TARIFF_RULES!$A:$A,$D32,WORK_TARIFF_RULES!$C:$C,$B32),SUMIFS(TARIFF_PROFILES!$D:$D,TARIFF_PROFILES!$A:$A,$B32)),1),IF($C32="Material",IFERROR(IF(SUMIFS(MATERIAL_TARIFF_RULES!$E:$E,MATERIAL_TARIFF_RULES!$A:$A,$D32,MATERIAL_TARIFF_RULES!$C:$C,$B32)&lt;&gt;"",SUMIFS(MATERIAL_TARIFF_RULES!$E:$E,MATERIAL_TARIFF_RULES!$A:$A,$D32,MATERIAL_TARIFF_RULES!$C:$C,$B32),SUMIFS(TARIFF_PROFILES!$E:$E,TARIFF_PROFILES!$A:$A,$B32)),1),"")))</f>
        <v/>
      </c>
      <c r="K32" s="24">
        <f>IF($C32="","",IF($C32="Material",IFERROR(SUMIFS(MATERIAL_MASTER!$P:$P,MATERIAL_MASTER!$A:$A,$D32)*IF(SUMIFS(MATERIAL_TARIFF_RULES!$F:$F,MATERIAL_TARIFF_RULES!$A:$A,$D32,MATERIAL_TARIFF_RULES!$C:$C,$B32)="",SUMIFS(TARIFF_PROFILES!$H:$H,TARIFF_PROFILES!$A:$A,$B32),SUMIFS(MATERIAL_TARIFF_RULES!$F:$F,MATERIAL_TARIFF_RULES!$A:$A,$D32,MATERIAL_TARIFF_RULES!$C:$C,$B32)),1),1))</f>
        <v/>
      </c>
      <c r="L32" s="24">
        <f>IF($C32="","",IF($C32="Work",N($H32)*N($I32)*N($J32),IF($C32="Material",N($H32)*N($I32)*N($J32),"")))</f>
        <v/>
      </c>
      <c r="M32" s="24">
        <f>IF($C32="","",IF($C32="Material",N($G32)*N($K32),N($G32)))</f>
        <v/>
      </c>
      <c r="N32" s="24">
        <f>IF($C32="","",N($L32)*N($M32))</f>
        <v/>
      </c>
      <c r="O32" s="5">
        <f>IF($C32="","",IF($C32="Work","Тариф влияет на способ/детализацию и коэффициент работ",IF($C32="Material","Тариф влияет на вариант, качество, запас и показ материала","")))</f>
        <v/>
      </c>
    </row>
    <row r="33">
      <c r="A33" s="5" t="n"/>
      <c r="B33" s="5" t="n"/>
      <c r="C33" s="5" t="n"/>
      <c r="D33" s="5" t="n"/>
      <c r="E33" s="5" t="n"/>
      <c r="F33" s="5">
        <f>IF($C33="","",IF($C33="Work",IFERROR(IF(SUMIFS(WORK_TARIFF_RULES!$G:$G,WORK_TARIFF_RULES!$A:$A,$D33,WORK_TARIFF_RULES!$C:$C,$B33)&lt;&gt;"",SUMIFS(WORK_TARIFF_RULES!$G:$G,WORK_TARIFF_RULES!$A:$A,$D33,WORK_TARIFF_RULES!$C:$C,$B33),SUMIFS(WORK_MASTER!$C:$C,WORK_MASTER!$A:$A,$D33)),""),IF($C33="Material",IFERROR(IF(SUMIFS(MATERIAL_TARIFF_RULES!$G:$G,MATERIAL_TARIFF_RULES!$A:$A,$D33,MATERIAL_TARIFF_RULES!$C:$C,$B33)&lt;&gt;"",SUMIFS(MATERIAL_TARIFF_RULES!$G:$G,MATERIAL_TARIFF_RULES!$A:$A,$D33,MATERIAL_TARIFF_RULES!$C:$C,$B33),SUMIFS(MATERIAL_VARIANTS!$J:$J,MATERIAL_VARIANTS!$A:$A,$E33)),""),"")))</f>
        <v/>
      </c>
      <c r="G33" s="24" t="n"/>
      <c r="H33" s="24">
        <f>IF($C33="","",IF($C33="Work",IFERROR(SUMIFS(WORK_MASTER!$I:$I,WORK_MASTER!$A:$A,$D33),""),IF($C33="Material",IFERROR(SUMIFS(MATERIAL_VARIANTS!$I:$I,MATERIAL_VARIANTS!$A:$A,$E33),""),"")))</f>
        <v/>
      </c>
      <c r="I33" s="24">
        <f>IF($C33="","",IF($C33="Work",IFERROR(SUMIFS(WORK_FACTOR_APPLICABILITY!$O:$O,WORK_FACTOR_APPLICABILITY!$A:$A,$D33,WORK_FACTOR_APPLICABILITY!$N:$N,$A33),1),IF($C33="Material",IFERROR(ROUND(1+SUMIFS(MATERIAL_FACTOR_APPLICABILITY!$D:$D,MATERIAL_FACTOR_APPLICABILITY!$A:$A,SUMIFS(MATERIAL_MASTER!$O:$O,MATERIAL_MASTER!$A:$A,$D33),MATERIAL_FACTOR_APPLICABILITY!$B:$B,"GeometryComplexity")*(SUMIFS(OBJECT_CONDITIONS!$W:$W,OBJECT_CONDITIONS!$A:$A,$A33)-1),3),1),"")))</f>
        <v/>
      </c>
      <c r="J33" s="24">
        <f>IF($C33="","",IF($C33="Work",IFERROR(IF(SUMIFS(WORK_TARIFF_RULES!$F:$F,WORK_TARIFF_RULES!$A:$A,$D33,WORK_TARIFF_RULES!$C:$C,$B33)&lt;&gt;"",SUMIFS(WORK_TARIFF_RULES!$F:$F,WORK_TARIFF_RULES!$A:$A,$D33,WORK_TARIFF_RULES!$C:$C,$B33),SUMIFS(TARIFF_PROFILES!$D:$D,TARIFF_PROFILES!$A:$A,$B33)),1),IF($C33="Material",IFERROR(IF(SUMIFS(MATERIAL_TARIFF_RULES!$E:$E,MATERIAL_TARIFF_RULES!$A:$A,$D33,MATERIAL_TARIFF_RULES!$C:$C,$B33)&lt;&gt;"",SUMIFS(MATERIAL_TARIFF_RULES!$E:$E,MATERIAL_TARIFF_RULES!$A:$A,$D33,MATERIAL_TARIFF_RULES!$C:$C,$B33),SUMIFS(TARIFF_PROFILES!$E:$E,TARIFF_PROFILES!$A:$A,$B33)),1),"")))</f>
        <v/>
      </c>
      <c r="K33" s="24">
        <f>IF($C33="","",IF($C33="Material",IFERROR(SUMIFS(MATERIAL_MASTER!$P:$P,MATERIAL_MASTER!$A:$A,$D33)*IF(SUMIFS(MATERIAL_TARIFF_RULES!$F:$F,MATERIAL_TARIFF_RULES!$A:$A,$D33,MATERIAL_TARIFF_RULES!$C:$C,$B33)="",SUMIFS(TARIFF_PROFILES!$H:$H,TARIFF_PROFILES!$A:$A,$B33),SUMIFS(MATERIAL_TARIFF_RULES!$F:$F,MATERIAL_TARIFF_RULES!$A:$A,$D33,MATERIAL_TARIFF_RULES!$C:$C,$B33)),1),1))</f>
        <v/>
      </c>
      <c r="L33" s="24">
        <f>IF($C33="","",IF($C33="Work",N($H33)*N($I33)*N($J33),IF($C33="Material",N($H33)*N($I33)*N($J33),"")))</f>
        <v/>
      </c>
      <c r="M33" s="24">
        <f>IF($C33="","",IF($C33="Material",N($G33)*N($K33),N($G33)))</f>
        <v/>
      </c>
      <c r="N33" s="24">
        <f>IF($C33="","",N($L33)*N($M33))</f>
        <v/>
      </c>
      <c r="O33" s="5">
        <f>IF($C33="","",IF($C33="Work","Тариф влияет на способ/детализацию и коэффициент работ",IF($C33="Material","Тариф влияет на вариант, качество, запас и показ материала","")))</f>
        <v/>
      </c>
    </row>
    <row r="34">
      <c r="A34" s="5" t="n"/>
      <c r="B34" s="5" t="n"/>
      <c r="C34" s="5" t="n"/>
      <c r="D34" s="5" t="n"/>
      <c r="E34" s="5" t="n"/>
      <c r="F34" s="5">
        <f>IF($C34="","",IF($C34="Work",IFERROR(IF(SUMIFS(WORK_TARIFF_RULES!$G:$G,WORK_TARIFF_RULES!$A:$A,$D34,WORK_TARIFF_RULES!$C:$C,$B34)&lt;&gt;"",SUMIFS(WORK_TARIFF_RULES!$G:$G,WORK_TARIFF_RULES!$A:$A,$D34,WORK_TARIFF_RULES!$C:$C,$B34),SUMIFS(WORK_MASTER!$C:$C,WORK_MASTER!$A:$A,$D34)),""),IF($C34="Material",IFERROR(IF(SUMIFS(MATERIAL_TARIFF_RULES!$G:$G,MATERIAL_TARIFF_RULES!$A:$A,$D34,MATERIAL_TARIFF_RULES!$C:$C,$B34)&lt;&gt;"",SUMIFS(MATERIAL_TARIFF_RULES!$G:$G,MATERIAL_TARIFF_RULES!$A:$A,$D34,MATERIAL_TARIFF_RULES!$C:$C,$B34),SUMIFS(MATERIAL_VARIANTS!$J:$J,MATERIAL_VARIANTS!$A:$A,$E34)),""),"")))</f>
        <v/>
      </c>
      <c r="G34" s="24" t="n"/>
      <c r="H34" s="24">
        <f>IF($C34="","",IF($C34="Work",IFERROR(SUMIFS(WORK_MASTER!$I:$I,WORK_MASTER!$A:$A,$D34),""),IF($C34="Material",IFERROR(SUMIFS(MATERIAL_VARIANTS!$I:$I,MATERIAL_VARIANTS!$A:$A,$E34),""),"")))</f>
        <v/>
      </c>
      <c r="I34" s="24">
        <f>IF($C34="","",IF($C34="Work",IFERROR(SUMIFS(WORK_FACTOR_APPLICABILITY!$O:$O,WORK_FACTOR_APPLICABILITY!$A:$A,$D34,WORK_FACTOR_APPLICABILITY!$N:$N,$A34),1),IF($C34="Material",IFERROR(ROUND(1+SUMIFS(MATERIAL_FACTOR_APPLICABILITY!$D:$D,MATERIAL_FACTOR_APPLICABILITY!$A:$A,SUMIFS(MATERIAL_MASTER!$O:$O,MATERIAL_MASTER!$A:$A,$D34),MATERIAL_FACTOR_APPLICABILITY!$B:$B,"GeometryComplexity")*(SUMIFS(OBJECT_CONDITIONS!$W:$W,OBJECT_CONDITIONS!$A:$A,$A34)-1),3),1),"")))</f>
        <v/>
      </c>
      <c r="J34" s="24">
        <f>IF($C34="","",IF($C34="Work",IFERROR(IF(SUMIFS(WORK_TARIFF_RULES!$F:$F,WORK_TARIFF_RULES!$A:$A,$D34,WORK_TARIFF_RULES!$C:$C,$B34)&lt;&gt;"",SUMIFS(WORK_TARIFF_RULES!$F:$F,WORK_TARIFF_RULES!$A:$A,$D34,WORK_TARIFF_RULES!$C:$C,$B34),SUMIFS(TARIFF_PROFILES!$D:$D,TARIFF_PROFILES!$A:$A,$B34)),1),IF($C34="Material",IFERROR(IF(SUMIFS(MATERIAL_TARIFF_RULES!$E:$E,MATERIAL_TARIFF_RULES!$A:$A,$D34,MATERIAL_TARIFF_RULES!$C:$C,$B34)&lt;&gt;"",SUMIFS(MATERIAL_TARIFF_RULES!$E:$E,MATERIAL_TARIFF_RULES!$A:$A,$D34,MATERIAL_TARIFF_RULES!$C:$C,$B34),SUMIFS(TARIFF_PROFILES!$E:$E,TARIFF_PROFILES!$A:$A,$B34)),1),"")))</f>
        <v/>
      </c>
      <c r="K34" s="24">
        <f>IF($C34="","",IF($C34="Material",IFERROR(SUMIFS(MATERIAL_MASTER!$P:$P,MATERIAL_MASTER!$A:$A,$D34)*IF(SUMIFS(MATERIAL_TARIFF_RULES!$F:$F,MATERIAL_TARIFF_RULES!$A:$A,$D34,MATERIAL_TARIFF_RULES!$C:$C,$B34)="",SUMIFS(TARIFF_PROFILES!$H:$H,TARIFF_PROFILES!$A:$A,$B34),SUMIFS(MATERIAL_TARIFF_RULES!$F:$F,MATERIAL_TARIFF_RULES!$A:$A,$D34,MATERIAL_TARIFF_RULES!$C:$C,$B34)),1),1))</f>
        <v/>
      </c>
      <c r="L34" s="24">
        <f>IF($C34="","",IF($C34="Work",N($H34)*N($I34)*N($J34),IF($C34="Material",N($H34)*N($I34)*N($J34),"")))</f>
        <v/>
      </c>
      <c r="M34" s="24">
        <f>IF($C34="","",IF($C34="Material",N($G34)*N($K34),N($G34)))</f>
        <v/>
      </c>
      <c r="N34" s="24">
        <f>IF($C34="","",N($L34)*N($M34))</f>
        <v/>
      </c>
      <c r="O34" s="5">
        <f>IF($C34="","",IF($C34="Work","Тариф влияет на способ/детализацию и коэффициент работ",IF($C34="Material","Тариф влияет на вариант, качество, запас и показ материала","")))</f>
        <v/>
      </c>
    </row>
    <row r="35">
      <c r="A35" s="5" t="n"/>
      <c r="B35" s="5" t="n"/>
      <c r="C35" s="5" t="n"/>
      <c r="D35" s="5" t="n"/>
      <c r="E35" s="5" t="n"/>
      <c r="F35" s="5">
        <f>IF($C35="","",IF($C35="Work",IFERROR(IF(SUMIFS(WORK_TARIFF_RULES!$G:$G,WORK_TARIFF_RULES!$A:$A,$D35,WORK_TARIFF_RULES!$C:$C,$B35)&lt;&gt;"",SUMIFS(WORK_TARIFF_RULES!$G:$G,WORK_TARIFF_RULES!$A:$A,$D35,WORK_TARIFF_RULES!$C:$C,$B35),SUMIFS(WORK_MASTER!$C:$C,WORK_MASTER!$A:$A,$D35)),""),IF($C35="Material",IFERROR(IF(SUMIFS(MATERIAL_TARIFF_RULES!$G:$G,MATERIAL_TARIFF_RULES!$A:$A,$D35,MATERIAL_TARIFF_RULES!$C:$C,$B35)&lt;&gt;"",SUMIFS(MATERIAL_TARIFF_RULES!$G:$G,MATERIAL_TARIFF_RULES!$A:$A,$D35,MATERIAL_TARIFF_RULES!$C:$C,$B35),SUMIFS(MATERIAL_VARIANTS!$J:$J,MATERIAL_VARIANTS!$A:$A,$E35)),""),"")))</f>
        <v/>
      </c>
      <c r="G35" s="24" t="n"/>
      <c r="H35" s="24">
        <f>IF($C35="","",IF($C35="Work",IFERROR(SUMIFS(WORK_MASTER!$I:$I,WORK_MASTER!$A:$A,$D35),""),IF($C35="Material",IFERROR(SUMIFS(MATERIAL_VARIANTS!$I:$I,MATERIAL_VARIANTS!$A:$A,$E35),""),"")))</f>
        <v/>
      </c>
      <c r="I35" s="24">
        <f>IF($C35="","",IF($C35="Work",IFERROR(SUMIFS(WORK_FACTOR_APPLICABILITY!$O:$O,WORK_FACTOR_APPLICABILITY!$A:$A,$D35,WORK_FACTOR_APPLICABILITY!$N:$N,$A35),1),IF($C35="Material",IFERROR(ROUND(1+SUMIFS(MATERIAL_FACTOR_APPLICABILITY!$D:$D,MATERIAL_FACTOR_APPLICABILITY!$A:$A,SUMIFS(MATERIAL_MASTER!$O:$O,MATERIAL_MASTER!$A:$A,$D35),MATERIAL_FACTOR_APPLICABILITY!$B:$B,"GeometryComplexity")*(SUMIFS(OBJECT_CONDITIONS!$W:$W,OBJECT_CONDITIONS!$A:$A,$A35)-1),3),1),"")))</f>
        <v/>
      </c>
      <c r="J35" s="24">
        <f>IF($C35="","",IF($C35="Work",IFERROR(IF(SUMIFS(WORK_TARIFF_RULES!$F:$F,WORK_TARIFF_RULES!$A:$A,$D35,WORK_TARIFF_RULES!$C:$C,$B35)&lt;&gt;"",SUMIFS(WORK_TARIFF_RULES!$F:$F,WORK_TARIFF_RULES!$A:$A,$D35,WORK_TARIFF_RULES!$C:$C,$B35),SUMIFS(TARIFF_PROFILES!$D:$D,TARIFF_PROFILES!$A:$A,$B35)),1),IF($C35="Material",IFERROR(IF(SUMIFS(MATERIAL_TARIFF_RULES!$E:$E,MATERIAL_TARIFF_RULES!$A:$A,$D35,MATERIAL_TARIFF_RULES!$C:$C,$B35)&lt;&gt;"",SUMIFS(MATERIAL_TARIFF_RULES!$E:$E,MATERIAL_TARIFF_RULES!$A:$A,$D35,MATERIAL_TARIFF_RULES!$C:$C,$B35),SUMIFS(TARIFF_PROFILES!$E:$E,TARIFF_PROFILES!$A:$A,$B35)),1),"")))</f>
        <v/>
      </c>
      <c r="K35" s="24">
        <f>IF($C35="","",IF($C35="Material",IFERROR(SUMIFS(MATERIAL_MASTER!$P:$P,MATERIAL_MASTER!$A:$A,$D35)*IF(SUMIFS(MATERIAL_TARIFF_RULES!$F:$F,MATERIAL_TARIFF_RULES!$A:$A,$D35,MATERIAL_TARIFF_RULES!$C:$C,$B35)="",SUMIFS(TARIFF_PROFILES!$H:$H,TARIFF_PROFILES!$A:$A,$B35),SUMIFS(MATERIAL_TARIFF_RULES!$F:$F,MATERIAL_TARIFF_RULES!$A:$A,$D35,MATERIAL_TARIFF_RULES!$C:$C,$B35)),1),1))</f>
        <v/>
      </c>
      <c r="L35" s="24">
        <f>IF($C35="","",IF($C35="Work",N($H35)*N($I35)*N($J35),IF($C35="Material",N($H35)*N($I35)*N($J35),"")))</f>
        <v/>
      </c>
      <c r="M35" s="24">
        <f>IF($C35="","",IF($C35="Material",N($G35)*N($K35),N($G35)))</f>
        <v/>
      </c>
      <c r="N35" s="24">
        <f>IF($C35="","",N($L35)*N($M35))</f>
        <v/>
      </c>
      <c r="O35" s="5">
        <f>IF($C35="","",IF($C35="Work","Тариф влияет на способ/детализацию и коэффициент работ",IF($C35="Material","Тариф влияет на вариант, качество, запас и показ материала","")))</f>
        <v/>
      </c>
    </row>
    <row r="36">
      <c r="A36" s="5" t="n"/>
      <c r="B36" s="5" t="n"/>
      <c r="C36" s="5" t="n"/>
      <c r="D36" s="5" t="n"/>
      <c r="E36" s="5" t="n"/>
      <c r="F36" s="5">
        <f>IF($C36="","",IF($C36="Work",IFERROR(IF(SUMIFS(WORK_TARIFF_RULES!$G:$G,WORK_TARIFF_RULES!$A:$A,$D36,WORK_TARIFF_RULES!$C:$C,$B36)&lt;&gt;"",SUMIFS(WORK_TARIFF_RULES!$G:$G,WORK_TARIFF_RULES!$A:$A,$D36,WORK_TARIFF_RULES!$C:$C,$B36),SUMIFS(WORK_MASTER!$C:$C,WORK_MASTER!$A:$A,$D36)),""),IF($C36="Material",IFERROR(IF(SUMIFS(MATERIAL_TARIFF_RULES!$G:$G,MATERIAL_TARIFF_RULES!$A:$A,$D36,MATERIAL_TARIFF_RULES!$C:$C,$B36)&lt;&gt;"",SUMIFS(MATERIAL_TARIFF_RULES!$G:$G,MATERIAL_TARIFF_RULES!$A:$A,$D36,MATERIAL_TARIFF_RULES!$C:$C,$B36),SUMIFS(MATERIAL_VARIANTS!$J:$J,MATERIAL_VARIANTS!$A:$A,$E36)),""),"")))</f>
        <v/>
      </c>
      <c r="G36" s="24" t="n"/>
      <c r="H36" s="24">
        <f>IF($C36="","",IF($C36="Work",IFERROR(SUMIFS(WORK_MASTER!$I:$I,WORK_MASTER!$A:$A,$D36),""),IF($C36="Material",IFERROR(SUMIFS(MATERIAL_VARIANTS!$I:$I,MATERIAL_VARIANTS!$A:$A,$E36),""),"")))</f>
        <v/>
      </c>
      <c r="I36" s="24">
        <f>IF($C36="","",IF($C36="Work",IFERROR(SUMIFS(WORK_FACTOR_APPLICABILITY!$O:$O,WORK_FACTOR_APPLICABILITY!$A:$A,$D36,WORK_FACTOR_APPLICABILITY!$N:$N,$A36),1),IF($C36="Material",IFERROR(ROUND(1+SUMIFS(MATERIAL_FACTOR_APPLICABILITY!$D:$D,MATERIAL_FACTOR_APPLICABILITY!$A:$A,SUMIFS(MATERIAL_MASTER!$O:$O,MATERIAL_MASTER!$A:$A,$D36),MATERIAL_FACTOR_APPLICABILITY!$B:$B,"GeometryComplexity")*(SUMIFS(OBJECT_CONDITIONS!$W:$W,OBJECT_CONDITIONS!$A:$A,$A36)-1),3),1),"")))</f>
        <v/>
      </c>
      <c r="J36" s="24">
        <f>IF($C36="","",IF($C36="Work",IFERROR(IF(SUMIFS(WORK_TARIFF_RULES!$F:$F,WORK_TARIFF_RULES!$A:$A,$D36,WORK_TARIFF_RULES!$C:$C,$B36)&lt;&gt;"",SUMIFS(WORK_TARIFF_RULES!$F:$F,WORK_TARIFF_RULES!$A:$A,$D36,WORK_TARIFF_RULES!$C:$C,$B36),SUMIFS(TARIFF_PROFILES!$D:$D,TARIFF_PROFILES!$A:$A,$B36)),1),IF($C36="Material",IFERROR(IF(SUMIFS(MATERIAL_TARIFF_RULES!$E:$E,MATERIAL_TARIFF_RULES!$A:$A,$D36,MATERIAL_TARIFF_RULES!$C:$C,$B36)&lt;&gt;"",SUMIFS(MATERIAL_TARIFF_RULES!$E:$E,MATERIAL_TARIFF_RULES!$A:$A,$D36,MATERIAL_TARIFF_RULES!$C:$C,$B36),SUMIFS(TARIFF_PROFILES!$E:$E,TARIFF_PROFILES!$A:$A,$B36)),1),"")))</f>
        <v/>
      </c>
      <c r="K36" s="24">
        <f>IF($C36="","",IF($C36="Material",IFERROR(SUMIFS(MATERIAL_MASTER!$P:$P,MATERIAL_MASTER!$A:$A,$D36)*IF(SUMIFS(MATERIAL_TARIFF_RULES!$F:$F,MATERIAL_TARIFF_RULES!$A:$A,$D36,MATERIAL_TARIFF_RULES!$C:$C,$B36)="",SUMIFS(TARIFF_PROFILES!$H:$H,TARIFF_PROFILES!$A:$A,$B36),SUMIFS(MATERIAL_TARIFF_RULES!$F:$F,MATERIAL_TARIFF_RULES!$A:$A,$D36,MATERIAL_TARIFF_RULES!$C:$C,$B36)),1),1))</f>
        <v/>
      </c>
      <c r="L36" s="24">
        <f>IF($C36="","",IF($C36="Work",N($H36)*N($I36)*N($J36),IF($C36="Material",N($H36)*N($I36)*N($J36),"")))</f>
        <v/>
      </c>
      <c r="M36" s="24">
        <f>IF($C36="","",IF($C36="Material",N($G36)*N($K36),N($G36)))</f>
        <v/>
      </c>
      <c r="N36" s="24">
        <f>IF($C36="","",N($L36)*N($M36))</f>
        <v/>
      </c>
      <c r="O36" s="5">
        <f>IF($C36="","",IF($C36="Work","Тариф влияет на способ/детализацию и коэффициент работ",IF($C36="Material","Тариф влияет на вариант, качество, запас и показ материала","")))</f>
        <v/>
      </c>
    </row>
    <row r="37">
      <c r="A37" s="5" t="n"/>
      <c r="B37" s="5" t="n"/>
      <c r="C37" s="5" t="n"/>
      <c r="D37" s="5" t="n"/>
      <c r="E37" s="5" t="n"/>
      <c r="F37" s="5">
        <f>IF($C37="","",IF($C37="Work",IFERROR(IF(SUMIFS(WORK_TARIFF_RULES!$G:$G,WORK_TARIFF_RULES!$A:$A,$D37,WORK_TARIFF_RULES!$C:$C,$B37)&lt;&gt;"",SUMIFS(WORK_TARIFF_RULES!$G:$G,WORK_TARIFF_RULES!$A:$A,$D37,WORK_TARIFF_RULES!$C:$C,$B37),SUMIFS(WORK_MASTER!$C:$C,WORK_MASTER!$A:$A,$D37)),""),IF($C37="Material",IFERROR(IF(SUMIFS(MATERIAL_TARIFF_RULES!$G:$G,MATERIAL_TARIFF_RULES!$A:$A,$D37,MATERIAL_TARIFF_RULES!$C:$C,$B37)&lt;&gt;"",SUMIFS(MATERIAL_TARIFF_RULES!$G:$G,MATERIAL_TARIFF_RULES!$A:$A,$D37,MATERIAL_TARIFF_RULES!$C:$C,$B37),SUMIFS(MATERIAL_VARIANTS!$J:$J,MATERIAL_VARIANTS!$A:$A,$E37)),""),"")))</f>
        <v/>
      </c>
      <c r="G37" s="24" t="n"/>
      <c r="H37" s="24">
        <f>IF($C37="","",IF($C37="Work",IFERROR(SUMIFS(WORK_MASTER!$I:$I,WORK_MASTER!$A:$A,$D37),""),IF($C37="Material",IFERROR(SUMIFS(MATERIAL_VARIANTS!$I:$I,MATERIAL_VARIANTS!$A:$A,$E37),""),"")))</f>
        <v/>
      </c>
      <c r="I37" s="24">
        <f>IF($C37="","",IF($C37="Work",IFERROR(SUMIFS(WORK_FACTOR_APPLICABILITY!$O:$O,WORK_FACTOR_APPLICABILITY!$A:$A,$D37,WORK_FACTOR_APPLICABILITY!$N:$N,$A37),1),IF($C37="Material",IFERROR(ROUND(1+SUMIFS(MATERIAL_FACTOR_APPLICABILITY!$D:$D,MATERIAL_FACTOR_APPLICABILITY!$A:$A,SUMIFS(MATERIAL_MASTER!$O:$O,MATERIAL_MASTER!$A:$A,$D37),MATERIAL_FACTOR_APPLICABILITY!$B:$B,"GeometryComplexity")*(SUMIFS(OBJECT_CONDITIONS!$W:$W,OBJECT_CONDITIONS!$A:$A,$A37)-1),3),1),"")))</f>
        <v/>
      </c>
      <c r="J37" s="24">
        <f>IF($C37="","",IF($C37="Work",IFERROR(IF(SUMIFS(WORK_TARIFF_RULES!$F:$F,WORK_TARIFF_RULES!$A:$A,$D37,WORK_TARIFF_RULES!$C:$C,$B37)&lt;&gt;"",SUMIFS(WORK_TARIFF_RULES!$F:$F,WORK_TARIFF_RULES!$A:$A,$D37,WORK_TARIFF_RULES!$C:$C,$B37),SUMIFS(TARIFF_PROFILES!$D:$D,TARIFF_PROFILES!$A:$A,$B37)),1),IF($C37="Material",IFERROR(IF(SUMIFS(MATERIAL_TARIFF_RULES!$E:$E,MATERIAL_TARIFF_RULES!$A:$A,$D37,MATERIAL_TARIFF_RULES!$C:$C,$B37)&lt;&gt;"",SUMIFS(MATERIAL_TARIFF_RULES!$E:$E,MATERIAL_TARIFF_RULES!$A:$A,$D37,MATERIAL_TARIFF_RULES!$C:$C,$B37),SUMIFS(TARIFF_PROFILES!$E:$E,TARIFF_PROFILES!$A:$A,$B37)),1),"")))</f>
        <v/>
      </c>
      <c r="K37" s="24">
        <f>IF($C37="","",IF($C37="Material",IFERROR(SUMIFS(MATERIAL_MASTER!$P:$P,MATERIAL_MASTER!$A:$A,$D37)*IF(SUMIFS(MATERIAL_TARIFF_RULES!$F:$F,MATERIAL_TARIFF_RULES!$A:$A,$D37,MATERIAL_TARIFF_RULES!$C:$C,$B37)="",SUMIFS(TARIFF_PROFILES!$H:$H,TARIFF_PROFILES!$A:$A,$B37),SUMIFS(MATERIAL_TARIFF_RULES!$F:$F,MATERIAL_TARIFF_RULES!$A:$A,$D37,MATERIAL_TARIFF_RULES!$C:$C,$B37)),1),1))</f>
        <v/>
      </c>
      <c r="L37" s="24">
        <f>IF($C37="","",IF($C37="Work",N($H37)*N($I37)*N($J37),IF($C37="Material",N($H37)*N($I37)*N($J37),"")))</f>
        <v/>
      </c>
      <c r="M37" s="24">
        <f>IF($C37="","",IF($C37="Material",N($G37)*N($K37),N($G37)))</f>
        <v/>
      </c>
      <c r="N37" s="24">
        <f>IF($C37="","",N($L37)*N($M37))</f>
        <v/>
      </c>
      <c r="O37" s="5">
        <f>IF($C37="","",IF($C37="Work","Тариф влияет на способ/детализацию и коэффициент работ",IF($C37="Material","Тариф влияет на вариант, качество, запас и показ материала","")))</f>
        <v/>
      </c>
    </row>
    <row r="38">
      <c r="A38" s="5" t="n"/>
      <c r="B38" s="5" t="n"/>
      <c r="C38" s="5" t="n"/>
      <c r="D38" s="5" t="n"/>
      <c r="E38" s="5" t="n"/>
      <c r="F38" s="5">
        <f>IF($C38="","",IF($C38="Work",IFERROR(IF(SUMIFS(WORK_TARIFF_RULES!$G:$G,WORK_TARIFF_RULES!$A:$A,$D38,WORK_TARIFF_RULES!$C:$C,$B38)&lt;&gt;"",SUMIFS(WORK_TARIFF_RULES!$G:$G,WORK_TARIFF_RULES!$A:$A,$D38,WORK_TARIFF_RULES!$C:$C,$B38),SUMIFS(WORK_MASTER!$C:$C,WORK_MASTER!$A:$A,$D38)),""),IF($C38="Material",IFERROR(IF(SUMIFS(MATERIAL_TARIFF_RULES!$G:$G,MATERIAL_TARIFF_RULES!$A:$A,$D38,MATERIAL_TARIFF_RULES!$C:$C,$B38)&lt;&gt;"",SUMIFS(MATERIAL_TARIFF_RULES!$G:$G,MATERIAL_TARIFF_RULES!$A:$A,$D38,MATERIAL_TARIFF_RULES!$C:$C,$B38),SUMIFS(MATERIAL_VARIANTS!$J:$J,MATERIAL_VARIANTS!$A:$A,$E38)),""),"")))</f>
        <v/>
      </c>
      <c r="G38" s="24" t="n"/>
      <c r="H38" s="24">
        <f>IF($C38="","",IF($C38="Work",IFERROR(SUMIFS(WORK_MASTER!$I:$I,WORK_MASTER!$A:$A,$D38),""),IF($C38="Material",IFERROR(SUMIFS(MATERIAL_VARIANTS!$I:$I,MATERIAL_VARIANTS!$A:$A,$E38),""),"")))</f>
        <v/>
      </c>
      <c r="I38" s="24">
        <f>IF($C38="","",IF($C38="Work",IFERROR(SUMIFS(WORK_FACTOR_APPLICABILITY!$O:$O,WORK_FACTOR_APPLICABILITY!$A:$A,$D38,WORK_FACTOR_APPLICABILITY!$N:$N,$A38),1),IF($C38="Material",IFERROR(ROUND(1+SUMIFS(MATERIAL_FACTOR_APPLICABILITY!$D:$D,MATERIAL_FACTOR_APPLICABILITY!$A:$A,SUMIFS(MATERIAL_MASTER!$O:$O,MATERIAL_MASTER!$A:$A,$D38),MATERIAL_FACTOR_APPLICABILITY!$B:$B,"GeometryComplexity")*(SUMIFS(OBJECT_CONDITIONS!$W:$W,OBJECT_CONDITIONS!$A:$A,$A38)-1),3),1),"")))</f>
        <v/>
      </c>
      <c r="J38" s="24">
        <f>IF($C38="","",IF($C38="Work",IFERROR(IF(SUMIFS(WORK_TARIFF_RULES!$F:$F,WORK_TARIFF_RULES!$A:$A,$D38,WORK_TARIFF_RULES!$C:$C,$B38)&lt;&gt;"",SUMIFS(WORK_TARIFF_RULES!$F:$F,WORK_TARIFF_RULES!$A:$A,$D38,WORK_TARIFF_RULES!$C:$C,$B38),SUMIFS(TARIFF_PROFILES!$D:$D,TARIFF_PROFILES!$A:$A,$B38)),1),IF($C38="Material",IFERROR(IF(SUMIFS(MATERIAL_TARIFF_RULES!$E:$E,MATERIAL_TARIFF_RULES!$A:$A,$D38,MATERIAL_TARIFF_RULES!$C:$C,$B38)&lt;&gt;"",SUMIFS(MATERIAL_TARIFF_RULES!$E:$E,MATERIAL_TARIFF_RULES!$A:$A,$D38,MATERIAL_TARIFF_RULES!$C:$C,$B38),SUMIFS(TARIFF_PROFILES!$E:$E,TARIFF_PROFILES!$A:$A,$B38)),1),"")))</f>
        <v/>
      </c>
      <c r="K38" s="24">
        <f>IF($C38="","",IF($C38="Material",IFERROR(SUMIFS(MATERIAL_MASTER!$P:$P,MATERIAL_MASTER!$A:$A,$D38)*IF(SUMIFS(MATERIAL_TARIFF_RULES!$F:$F,MATERIAL_TARIFF_RULES!$A:$A,$D38,MATERIAL_TARIFF_RULES!$C:$C,$B38)="",SUMIFS(TARIFF_PROFILES!$H:$H,TARIFF_PROFILES!$A:$A,$B38),SUMIFS(MATERIAL_TARIFF_RULES!$F:$F,MATERIAL_TARIFF_RULES!$A:$A,$D38,MATERIAL_TARIFF_RULES!$C:$C,$B38)),1),1))</f>
        <v/>
      </c>
      <c r="L38" s="24">
        <f>IF($C38="","",IF($C38="Work",N($H38)*N($I38)*N($J38),IF($C38="Material",N($H38)*N($I38)*N($J38),"")))</f>
        <v/>
      </c>
      <c r="M38" s="24">
        <f>IF($C38="","",IF($C38="Material",N($G38)*N($K38),N($G38)))</f>
        <v/>
      </c>
      <c r="N38" s="24">
        <f>IF($C38="","",N($L38)*N($M38))</f>
        <v/>
      </c>
      <c r="O38" s="5">
        <f>IF($C38="","",IF($C38="Work","Тариф влияет на способ/детализацию и коэффициент работ",IF($C38="Material","Тариф влияет на вариант, качество, запас и показ материала","")))</f>
        <v/>
      </c>
    </row>
    <row r="39">
      <c r="A39" s="5" t="n"/>
      <c r="B39" s="5" t="n"/>
      <c r="C39" s="5" t="n"/>
      <c r="D39" s="5" t="n"/>
      <c r="E39" s="5" t="n"/>
      <c r="F39" s="5">
        <f>IF($C39="","",IF($C39="Work",IFERROR(IF(SUMIFS(WORK_TARIFF_RULES!$G:$G,WORK_TARIFF_RULES!$A:$A,$D39,WORK_TARIFF_RULES!$C:$C,$B39)&lt;&gt;"",SUMIFS(WORK_TARIFF_RULES!$G:$G,WORK_TARIFF_RULES!$A:$A,$D39,WORK_TARIFF_RULES!$C:$C,$B39),SUMIFS(WORK_MASTER!$C:$C,WORK_MASTER!$A:$A,$D39)),""),IF($C39="Material",IFERROR(IF(SUMIFS(MATERIAL_TARIFF_RULES!$G:$G,MATERIAL_TARIFF_RULES!$A:$A,$D39,MATERIAL_TARIFF_RULES!$C:$C,$B39)&lt;&gt;"",SUMIFS(MATERIAL_TARIFF_RULES!$G:$G,MATERIAL_TARIFF_RULES!$A:$A,$D39,MATERIAL_TARIFF_RULES!$C:$C,$B39),SUMIFS(MATERIAL_VARIANTS!$J:$J,MATERIAL_VARIANTS!$A:$A,$E39)),""),"")))</f>
        <v/>
      </c>
      <c r="G39" s="24" t="n"/>
      <c r="H39" s="24">
        <f>IF($C39="","",IF($C39="Work",IFERROR(SUMIFS(WORK_MASTER!$I:$I,WORK_MASTER!$A:$A,$D39),""),IF($C39="Material",IFERROR(SUMIFS(MATERIAL_VARIANTS!$I:$I,MATERIAL_VARIANTS!$A:$A,$E39),""),"")))</f>
        <v/>
      </c>
      <c r="I39" s="24">
        <f>IF($C39="","",IF($C39="Work",IFERROR(SUMIFS(WORK_FACTOR_APPLICABILITY!$O:$O,WORK_FACTOR_APPLICABILITY!$A:$A,$D39,WORK_FACTOR_APPLICABILITY!$N:$N,$A39),1),IF($C39="Material",IFERROR(ROUND(1+SUMIFS(MATERIAL_FACTOR_APPLICABILITY!$D:$D,MATERIAL_FACTOR_APPLICABILITY!$A:$A,SUMIFS(MATERIAL_MASTER!$O:$O,MATERIAL_MASTER!$A:$A,$D39),MATERIAL_FACTOR_APPLICABILITY!$B:$B,"GeometryComplexity")*(SUMIFS(OBJECT_CONDITIONS!$W:$W,OBJECT_CONDITIONS!$A:$A,$A39)-1),3),1),"")))</f>
        <v/>
      </c>
      <c r="J39" s="24">
        <f>IF($C39="","",IF($C39="Work",IFERROR(IF(SUMIFS(WORK_TARIFF_RULES!$F:$F,WORK_TARIFF_RULES!$A:$A,$D39,WORK_TARIFF_RULES!$C:$C,$B39)&lt;&gt;"",SUMIFS(WORK_TARIFF_RULES!$F:$F,WORK_TARIFF_RULES!$A:$A,$D39,WORK_TARIFF_RULES!$C:$C,$B39),SUMIFS(TARIFF_PROFILES!$D:$D,TARIFF_PROFILES!$A:$A,$B39)),1),IF($C39="Material",IFERROR(IF(SUMIFS(MATERIAL_TARIFF_RULES!$E:$E,MATERIAL_TARIFF_RULES!$A:$A,$D39,MATERIAL_TARIFF_RULES!$C:$C,$B39)&lt;&gt;"",SUMIFS(MATERIAL_TARIFF_RULES!$E:$E,MATERIAL_TARIFF_RULES!$A:$A,$D39,MATERIAL_TARIFF_RULES!$C:$C,$B39),SUMIFS(TARIFF_PROFILES!$E:$E,TARIFF_PROFILES!$A:$A,$B39)),1),"")))</f>
        <v/>
      </c>
      <c r="K39" s="24">
        <f>IF($C39="","",IF($C39="Material",IFERROR(SUMIFS(MATERIAL_MASTER!$P:$P,MATERIAL_MASTER!$A:$A,$D39)*IF(SUMIFS(MATERIAL_TARIFF_RULES!$F:$F,MATERIAL_TARIFF_RULES!$A:$A,$D39,MATERIAL_TARIFF_RULES!$C:$C,$B39)="",SUMIFS(TARIFF_PROFILES!$H:$H,TARIFF_PROFILES!$A:$A,$B39),SUMIFS(MATERIAL_TARIFF_RULES!$F:$F,MATERIAL_TARIFF_RULES!$A:$A,$D39,MATERIAL_TARIFF_RULES!$C:$C,$B39)),1),1))</f>
        <v/>
      </c>
      <c r="L39" s="24">
        <f>IF($C39="","",IF($C39="Work",N($H39)*N($I39)*N($J39),IF($C39="Material",N($H39)*N($I39)*N($J39),"")))</f>
        <v/>
      </c>
      <c r="M39" s="24">
        <f>IF($C39="","",IF($C39="Material",N($G39)*N($K39),N($G39)))</f>
        <v/>
      </c>
      <c r="N39" s="24">
        <f>IF($C39="","",N($L39)*N($M39))</f>
        <v/>
      </c>
      <c r="O39" s="5">
        <f>IF($C39="","",IF($C39="Work","Тариф влияет на способ/детализацию и коэффициент работ",IF($C39="Material","Тариф влияет на вариант, качество, запас и показ материала","")))</f>
        <v/>
      </c>
    </row>
    <row r="40">
      <c r="A40" s="5" t="n"/>
      <c r="B40" s="5" t="n"/>
      <c r="C40" s="5" t="n"/>
      <c r="D40" s="5" t="n"/>
      <c r="E40" s="5" t="n"/>
      <c r="F40" s="5">
        <f>IF($C40="","",IF($C40="Work",IFERROR(IF(SUMIFS(WORK_TARIFF_RULES!$G:$G,WORK_TARIFF_RULES!$A:$A,$D40,WORK_TARIFF_RULES!$C:$C,$B40)&lt;&gt;"",SUMIFS(WORK_TARIFF_RULES!$G:$G,WORK_TARIFF_RULES!$A:$A,$D40,WORK_TARIFF_RULES!$C:$C,$B40),SUMIFS(WORK_MASTER!$C:$C,WORK_MASTER!$A:$A,$D40)),""),IF($C40="Material",IFERROR(IF(SUMIFS(MATERIAL_TARIFF_RULES!$G:$G,MATERIAL_TARIFF_RULES!$A:$A,$D40,MATERIAL_TARIFF_RULES!$C:$C,$B40)&lt;&gt;"",SUMIFS(MATERIAL_TARIFF_RULES!$G:$G,MATERIAL_TARIFF_RULES!$A:$A,$D40,MATERIAL_TARIFF_RULES!$C:$C,$B40),SUMIFS(MATERIAL_VARIANTS!$J:$J,MATERIAL_VARIANTS!$A:$A,$E40)),""),"")))</f>
        <v/>
      </c>
      <c r="G40" s="24" t="n"/>
      <c r="H40" s="24">
        <f>IF($C40="","",IF($C40="Work",IFERROR(SUMIFS(WORK_MASTER!$I:$I,WORK_MASTER!$A:$A,$D40),""),IF($C40="Material",IFERROR(SUMIFS(MATERIAL_VARIANTS!$I:$I,MATERIAL_VARIANTS!$A:$A,$E40),""),"")))</f>
        <v/>
      </c>
      <c r="I40" s="24">
        <f>IF($C40="","",IF($C40="Work",IFERROR(SUMIFS(WORK_FACTOR_APPLICABILITY!$O:$O,WORK_FACTOR_APPLICABILITY!$A:$A,$D40,WORK_FACTOR_APPLICABILITY!$N:$N,$A40),1),IF($C40="Material",IFERROR(ROUND(1+SUMIFS(MATERIAL_FACTOR_APPLICABILITY!$D:$D,MATERIAL_FACTOR_APPLICABILITY!$A:$A,SUMIFS(MATERIAL_MASTER!$O:$O,MATERIAL_MASTER!$A:$A,$D40),MATERIAL_FACTOR_APPLICABILITY!$B:$B,"GeometryComplexity")*(SUMIFS(OBJECT_CONDITIONS!$W:$W,OBJECT_CONDITIONS!$A:$A,$A40)-1),3),1),"")))</f>
        <v/>
      </c>
      <c r="J40" s="24">
        <f>IF($C40="","",IF($C40="Work",IFERROR(IF(SUMIFS(WORK_TARIFF_RULES!$F:$F,WORK_TARIFF_RULES!$A:$A,$D40,WORK_TARIFF_RULES!$C:$C,$B40)&lt;&gt;"",SUMIFS(WORK_TARIFF_RULES!$F:$F,WORK_TARIFF_RULES!$A:$A,$D40,WORK_TARIFF_RULES!$C:$C,$B40),SUMIFS(TARIFF_PROFILES!$D:$D,TARIFF_PROFILES!$A:$A,$B40)),1),IF($C40="Material",IFERROR(IF(SUMIFS(MATERIAL_TARIFF_RULES!$E:$E,MATERIAL_TARIFF_RULES!$A:$A,$D40,MATERIAL_TARIFF_RULES!$C:$C,$B40)&lt;&gt;"",SUMIFS(MATERIAL_TARIFF_RULES!$E:$E,MATERIAL_TARIFF_RULES!$A:$A,$D40,MATERIAL_TARIFF_RULES!$C:$C,$B40),SUMIFS(TARIFF_PROFILES!$E:$E,TARIFF_PROFILES!$A:$A,$B40)),1),"")))</f>
        <v/>
      </c>
      <c r="K40" s="24">
        <f>IF($C40="","",IF($C40="Material",IFERROR(SUMIFS(MATERIAL_MASTER!$P:$P,MATERIAL_MASTER!$A:$A,$D40)*IF(SUMIFS(MATERIAL_TARIFF_RULES!$F:$F,MATERIAL_TARIFF_RULES!$A:$A,$D40,MATERIAL_TARIFF_RULES!$C:$C,$B40)="",SUMIFS(TARIFF_PROFILES!$H:$H,TARIFF_PROFILES!$A:$A,$B40),SUMIFS(MATERIAL_TARIFF_RULES!$F:$F,MATERIAL_TARIFF_RULES!$A:$A,$D40,MATERIAL_TARIFF_RULES!$C:$C,$B40)),1),1))</f>
        <v/>
      </c>
      <c r="L40" s="24">
        <f>IF($C40="","",IF($C40="Work",N($H40)*N($I40)*N($J40),IF($C40="Material",N($H40)*N($I40)*N($J40),"")))</f>
        <v/>
      </c>
      <c r="M40" s="24">
        <f>IF($C40="","",IF($C40="Material",N($G40)*N($K40),N($G40)))</f>
        <v/>
      </c>
      <c r="N40" s="24">
        <f>IF($C40="","",N($L40)*N($M40))</f>
        <v/>
      </c>
      <c r="O40" s="5">
        <f>IF($C40="","",IF($C40="Work","Тариф влияет на способ/детализацию и коэффициент работ",IF($C40="Material","Тариф влияет на вариант, качество, запас и показ материала","")))</f>
        <v/>
      </c>
    </row>
    <row r="41">
      <c r="A41" s="5" t="n"/>
      <c r="B41" s="5" t="n"/>
      <c r="C41" s="5" t="n"/>
      <c r="D41" s="5" t="n"/>
      <c r="E41" s="5" t="n"/>
      <c r="F41" s="5">
        <f>IF($C41="","",IF($C41="Work",IFERROR(IF(SUMIFS(WORK_TARIFF_RULES!$G:$G,WORK_TARIFF_RULES!$A:$A,$D41,WORK_TARIFF_RULES!$C:$C,$B41)&lt;&gt;"",SUMIFS(WORK_TARIFF_RULES!$G:$G,WORK_TARIFF_RULES!$A:$A,$D41,WORK_TARIFF_RULES!$C:$C,$B41),SUMIFS(WORK_MASTER!$C:$C,WORK_MASTER!$A:$A,$D41)),""),IF($C41="Material",IFERROR(IF(SUMIFS(MATERIAL_TARIFF_RULES!$G:$G,MATERIAL_TARIFF_RULES!$A:$A,$D41,MATERIAL_TARIFF_RULES!$C:$C,$B41)&lt;&gt;"",SUMIFS(MATERIAL_TARIFF_RULES!$G:$G,MATERIAL_TARIFF_RULES!$A:$A,$D41,MATERIAL_TARIFF_RULES!$C:$C,$B41),SUMIFS(MATERIAL_VARIANTS!$J:$J,MATERIAL_VARIANTS!$A:$A,$E41)),""),"")))</f>
        <v/>
      </c>
      <c r="G41" s="24" t="n"/>
      <c r="H41" s="24">
        <f>IF($C41="","",IF($C41="Work",IFERROR(SUMIFS(WORK_MASTER!$I:$I,WORK_MASTER!$A:$A,$D41),""),IF($C41="Material",IFERROR(SUMIFS(MATERIAL_VARIANTS!$I:$I,MATERIAL_VARIANTS!$A:$A,$E41),""),"")))</f>
        <v/>
      </c>
      <c r="I41" s="24">
        <f>IF($C41="","",IF($C41="Work",IFERROR(SUMIFS(WORK_FACTOR_APPLICABILITY!$O:$O,WORK_FACTOR_APPLICABILITY!$A:$A,$D41,WORK_FACTOR_APPLICABILITY!$N:$N,$A41),1),IF($C41="Material",IFERROR(ROUND(1+SUMIFS(MATERIAL_FACTOR_APPLICABILITY!$D:$D,MATERIAL_FACTOR_APPLICABILITY!$A:$A,SUMIFS(MATERIAL_MASTER!$O:$O,MATERIAL_MASTER!$A:$A,$D41),MATERIAL_FACTOR_APPLICABILITY!$B:$B,"GeometryComplexity")*(SUMIFS(OBJECT_CONDITIONS!$W:$W,OBJECT_CONDITIONS!$A:$A,$A41)-1),3),1),"")))</f>
        <v/>
      </c>
      <c r="J41" s="24">
        <f>IF($C41="","",IF($C41="Work",IFERROR(IF(SUMIFS(WORK_TARIFF_RULES!$F:$F,WORK_TARIFF_RULES!$A:$A,$D41,WORK_TARIFF_RULES!$C:$C,$B41)&lt;&gt;"",SUMIFS(WORK_TARIFF_RULES!$F:$F,WORK_TARIFF_RULES!$A:$A,$D41,WORK_TARIFF_RULES!$C:$C,$B41),SUMIFS(TARIFF_PROFILES!$D:$D,TARIFF_PROFILES!$A:$A,$B41)),1),IF($C41="Material",IFERROR(IF(SUMIFS(MATERIAL_TARIFF_RULES!$E:$E,MATERIAL_TARIFF_RULES!$A:$A,$D41,MATERIAL_TARIFF_RULES!$C:$C,$B41)&lt;&gt;"",SUMIFS(MATERIAL_TARIFF_RULES!$E:$E,MATERIAL_TARIFF_RULES!$A:$A,$D41,MATERIAL_TARIFF_RULES!$C:$C,$B41),SUMIFS(TARIFF_PROFILES!$E:$E,TARIFF_PROFILES!$A:$A,$B41)),1),"")))</f>
        <v/>
      </c>
      <c r="K41" s="24">
        <f>IF($C41="","",IF($C41="Material",IFERROR(SUMIFS(MATERIAL_MASTER!$P:$P,MATERIAL_MASTER!$A:$A,$D41)*IF(SUMIFS(MATERIAL_TARIFF_RULES!$F:$F,MATERIAL_TARIFF_RULES!$A:$A,$D41,MATERIAL_TARIFF_RULES!$C:$C,$B41)="",SUMIFS(TARIFF_PROFILES!$H:$H,TARIFF_PROFILES!$A:$A,$B41),SUMIFS(MATERIAL_TARIFF_RULES!$F:$F,MATERIAL_TARIFF_RULES!$A:$A,$D41,MATERIAL_TARIFF_RULES!$C:$C,$B41)),1),1))</f>
        <v/>
      </c>
      <c r="L41" s="24">
        <f>IF($C41="","",IF($C41="Work",N($H41)*N($I41)*N($J41),IF($C41="Material",N($H41)*N($I41)*N($J41),"")))</f>
        <v/>
      </c>
      <c r="M41" s="24">
        <f>IF($C41="","",IF($C41="Material",N($G41)*N($K41),N($G41)))</f>
        <v/>
      </c>
      <c r="N41" s="24">
        <f>IF($C41="","",N($L41)*N($M41))</f>
        <v/>
      </c>
      <c r="O41" s="5">
        <f>IF($C41="","",IF($C41="Work","Тариф влияет на способ/детализацию и коэффициент работ",IF($C41="Material","Тариф влияет на вариант, качество, запас и показ материала","")))</f>
        <v/>
      </c>
    </row>
    <row r="42">
      <c r="A42" s="5" t="n"/>
      <c r="B42" s="5" t="n"/>
      <c r="C42" s="5" t="n"/>
      <c r="D42" s="5" t="n"/>
      <c r="E42" s="5" t="n"/>
      <c r="F42" s="5">
        <f>IF($C42="","",IF($C42="Work",IFERROR(IF(SUMIFS(WORK_TARIFF_RULES!$G:$G,WORK_TARIFF_RULES!$A:$A,$D42,WORK_TARIFF_RULES!$C:$C,$B42)&lt;&gt;"",SUMIFS(WORK_TARIFF_RULES!$G:$G,WORK_TARIFF_RULES!$A:$A,$D42,WORK_TARIFF_RULES!$C:$C,$B42),SUMIFS(WORK_MASTER!$C:$C,WORK_MASTER!$A:$A,$D42)),""),IF($C42="Material",IFERROR(IF(SUMIFS(MATERIAL_TARIFF_RULES!$G:$G,MATERIAL_TARIFF_RULES!$A:$A,$D42,MATERIAL_TARIFF_RULES!$C:$C,$B42)&lt;&gt;"",SUMIFS(MATERIAL_TARIFF_RULES!$G:$G,MATERIAL_TARIFF_RULES!$A:$A,$D42,MATERIAL_TARIFF_RULES!$C:$C,$B42),SUMIFS(MATERIAL_VARIANTS!$J:$J,MATERIAL_VARIANTS!$A:$A,$E42)),""),"")))</f>
        <v/>
      </c>
      <c r="G42" s="24" t="n"/>
      <c r="H42" s="24">
        <f>IF($C42="","",IF($C42="Work",IFERROR(SUMIFS(WORK_MASTER!$I:$I,WORK_MASTER!$A:$A,$D42),""),IF($C42="Material",IFERROR(SUMIFS(MATERIAL_VARIANTS!$I:$I,MATERIAL_VARIANTS!$A:$A,$E42),""),"")))</f>
        <v/>
      </c>
      <c r="I42" s="24">
        <f>IF($C42="","",IF($C42="Work",IFERROR(SUMIFS(WORK_FACTOR_APPLICABILITY!$O:$O,WORK_FACTOR_APPLICABILITY!$A:$A,$D42,WORK_FACTOR_APPLICABILITY!$N:$N,$A42),1),IF($C42="Material",IFERROR(ROUND(1+SUMIFS(MATERIAL_FACTOR_APPLICABILITY!$D:$D,MATERIAL_FACTOR_APPLICABILITY!$A:$A,SUMIFS(MATERIAL_MASTER!$O:$O,MATERIAL_MASTER!$A:$A,$D42),MATERIAL_FACTOR_APPLICABILITY!$B:$B,"GeometryComplexity")*(SUMIFS(OBJECT_CONDITIONS!$W:$W,OBJECT_CONDITIONS!$A:$A,$A42)-1),3),1),"")))</f>
        <v/>
      </c>
      <c r="J42" s="24">
        <f>IF($C42="","",IF($C42="Work",IFERROR(IF(SUMIFS(WORK_TARIFF_RULES!$F:$F,WORK_TARIFF_RULES!$A:$A,$D42,WORK_TARIFF_RULES!$C:$C,$B42)&lt;&gt;"",SUMIFS(WORK_TARIFF_RULES!$F:$F,WORK_TARIFF_RULES!$A:$A,$D42,WORK_TARIFF_RULES!$C:$C,$B42),SUMIFS(TARIFF_PROFILES!$D:$D,TARIFF_PROFILES!$A:$A,$B42)),1),IF($C42="Material",IFERROR(IF(SUMIFS(MATERIAL_TARIFF_RULES!$E:$E,MATERIAL_TARIFF_RULES!$A:$A,$D42,MATERIAL_TARIFF_RULES!$C:$C,$B42)&lt;&gt;"",SUMIFS(MATERIAL_TARIFF_RULES!$E:$E,MATERIAL_TARIFF_RULES!$A:$A,$D42,MATERIAL_TARIFF_RULES!$C:$C,$B42),SUMIFS(TARIFF_PROFILES!$E:$E,TARIFF_PROFILES!$A:$A,$B42)),1),"")))</f>
        <v/>
      </c>
      <c r="K42" s="24">
        <f>IF($C42="","",IF($C42="Material",IFERROR(SUMIFS(MATERIAL_MASTER!$P:$P,MATERIAL_MASTER!$A:$A,$D42)*IF(SUMIFS(MATERIAL_TARIFF_RULES!$F:$F,MATERIAL_TARIFF_RULES!$A:$A,$D42,MATERIAL_TARIFF_RULES!$C:$C,$B42)="",SUMIFS(TARIFF_PROFILES!$H:$H,TARIFF_PROFILES!$A:$A,$B42),SUMIFS(MATERIAL_TARIFF_RULES!$F:$F,MATERIAL_TARIFF_RULES!$A:$A,$D42,MATERIAL_TARIFF_RULES!$C:$C,$B42)),1),1))</f>
        <v/>
      </c>
      <c r="L42" s="24">
        <f>IF($C42="","",IF($C42="Work",N($H42)*N($I42)*N($J42),IF($C42="Material",N($H42)*N($I42)*N($J42),"")))</f>
        <v/>
      </c>
      <c r="M42" s="24">
        <f>IF($C42="","",IF($C42="Material",N($G42)*N($K42),N($G42)))</f>
        <v/>
      </c>
      <c r="N42" s="24">
        <f>IF($C42="","",N($L42)*N($M42))</f>
        <v/>
      </c>
      <c r="O42" s="5">
        <f>IF($C42="","",IF($C42="Work","Тариф влияет на способ/детализацию и коэффициент работ",IF($C42="Material","Тариф влияет на вариант, качество, запас и показ материала","")))</f>
        <v/>
      </c>
    </row>
    <row r="43">
      <c r="A43" s="5" t="n"/>
      <c r="B43" s="5" t="n"/>
      <c r="C43" s="5" t="n"/>
      <c r="D43" s="5" t="n"/>
      <c r="E43" s="5" t="n"/>
      <c r="F43" s="5">
        <f>IF($C43="","",IF($C43="Work",IFERROR(IF(SUMIFS(WORK_TARIFF_RULES!$G:$G,WORK_TARIFF_RULES!$A:$A,$D43,WORK_TARIFF_RULES!$C:$C,$B43)&lt;&gt;"",SUMIFS(WORK_TARIFF_RULES!$G:$G,WORK_TARIFF_RULES!$A:$A,$D43,WORK_TARIFF_RULES!$C:$C,$B43),SUMIFS(WORK_MASTER!$C:$C,WORK_MASTER!$A:$A,$D43)),""),IF($C43="Material",IFERROR(IF(SUMIFS(MATERIAL_TARIFF_RULES!$G:$G,MATERIAL_TARIFF_RULES!$A:$A,$D43,MATERIAL_TARIFF_RULES!$C:$C,$B43)&lt;&gt;"",SUMIFS(MATERIAL_TARIFF_RULES!$G:$G,MATERIAL_TARIFF_RULES!$A:$A,$D43,MATERIAL_TARIFF_RULES!$C:$C,$B43),SUMIFS(MATERIAL_VARIANTS!$J:$J,MATERIAL_VARIANTS!$A:$A,$E43)),""),"")))</f>
        <v/>
      </c>
      <c r="G43" s="24" t="n"/>
      <c r="H43" s="24">
        <f>IF($C43="","",IF($C43="Work",IFERROR(SUMIFS(WORK_MASTER!$I:$I,WORK_MASTER!$A:$A,$D43),""),IF($C43="Material",IFERROR(SUMIFS(MATERIAL_VARIANTS!$I:$I,MATERIAL_VARIANTS!$A:$A,$E43),""),"")))</f>
        <v/>
      </c>
      <c r="I43" s="24">
        <f>IF($C43="","",IF($C43="Work",IFERROR(SUMIFS(WORK_FACTOR_APPLICABILITY!$O:$O,WORK_FACTOR_APPLICABILITY!$A:$A,$D43,WORK_FACTOR_APPLICABILITY!$N:$N,$A43),1),IF($C43="Material",IFERROR(ROUND(1+SUMIFS(MATERIAL_FACTOR_APPLICABILITY!$D:$D,MATERIAL_FACTOR_APPLICABILITY!$A:$A,SUMIFS(MATERIAL_MASTER!$O:$O,MATERIAL_MASTER!$A:$A,$D43),MATERIAL_FACTOR_APPLICABILITY!$B:$B,"GeometryComplexity")*(SUMIFS(OBJECT_CONDITIONS!$W:$W,OBJECT_CONDITIONS!$A:$A,$A43)-1),3),1),"")))</f>
        <v/>
      </c>
      <c r="J43" s="24">
        <f>IF($C43="","",IF($C43="Work",IFERROR(IF(SUMIFS(WORK_TARIFF_RULES!$F:$F,WORK_TARIFF_RULES!$A:$A,$D43,WORK_TARIFF_RULES!$C:$C,$B43)&lt;&gt;"",SUMIFS(WORK_TARIFF_RULES!$F:$F,WORK_TARIFF_RULES!$A:$A,$D43,WORK_TARIFF_RULES!$C:$C,$B43),SUMIFS(TARIFF_PROFILES!$D:$D,TARIFF_PROFILES!$A:$A,$B43)),1),IF($C43="Material",IFERROR(IF(SUMIFS(MATERIAL_TARIFF_RULES!$E:$E,MATERIAL_TARIFF_RULES!$A:$A,$D43,MATERIAL_TARIFF_RULES!$C:$C,$B43)&lt;&gt;"",SUMIFS(MATERIAL_TARIFF_RULES!$E:$E,MATERIAL_TARIFF_RULES!$A:$A,$D43,MATERIAL_TARIFF_RULES!$C:$C,$B43),SUMIFS(TARIFF_PROFILES!$E:$E,TARIFF_PROFILES!$A:$A,$B43)),1),"")))</f>
        <v/>
      </c>
      <c r="K43" s="24">
        <f>IF($C43="","",IF($C43="Material",IFERROR(SUMIFS(MATERIAL_MASTER!$P:$P,MATERIAL_MASTER!$A:$A,$D43)*IF(SUMIFS(MATERIAL_TARIFF_RULES!$F:$F,MATERIAL_TARIFF_RULES!$A:$A,$D43,MATERIAL_TARIFF_RULES!$C:$C,$B43)="",SUMIFS(TARIFF_PROFILES!$H:$H,TARIFF_PROFILES!$A:$A,$B43),SUMIFS(MATERIAL_TARIFF_RULES!$F:$F,MATERIAL_TARIFF_RULES!$A:$A,$D43,MATERIAL_TARIFF_RULES!$C:$C,$B43)),1),1))</f>
        <v/>
      </c>
      <c r="L43" s="24">
        <f>IF($C43="","",IF($C43="Work",N($H43)*N($I43)*N($J43),IF($C43="Material",N($H43)*N($I43)*N($J43),"")))</f>
        <v/>
      </c>
      <c r="M43" s="24">
        <f>IF($C43="","",IF($C43="Material",N($G43)*N($K43),N($G43)))</f>
        <v/>
      </c>
      <c r="N43" s="24">
        <f>IF($C43="","",N($L43)*N($M43))</f>
        <v/>
      </c>
      <c r="O43" s="5">
        <f>IF($C43="","",IF($C43="Work","Тариф влияет на способ/детализацию и коэффициент работ",IF($C43="Material","Тариф влияет на вариант, качество, запас и показ материала","")))</f>
        <v/>
      </c>
    </row>
    <row r="44">
      <c r="A44" s="5" t="n"/>
      <c r="B44" s="5" t="n"/>
      <c r="C44" s="5" t="n"/>
      <c r="D44" s="5" t="n"/>
      <c r="E44" s="5" t="n"/>
      <c r="F44" s="5">
        <f>IF($C44="","",IF($C44="Work",IFERROR(IF(SUMIFS(WORK_TARIFF_RULES!$G:$G,WORK_TARIFF_RULES!$A:$A,$D44,WORK_TARIFF_RULES!$C:$C,$B44)&lt;&gt;"",SUMIFS(WORK_TARIFF_RULES!$G:$G,WORK_TARIFF_RULES!$A:$A,$D44,WORK_TARIFF_RULES!$C:$C,$B44),SUMIFS(WORK_MASTER!$C:$C,WORK_MASTER!$A:$A,$D44)),""),IF($C44="Material",IFERROR(IF(SUMIFS(MATERIAL_TARIFF_RULES!$G:$G,MATERIAL_TARIFF_RULES!$A:$A,$D44,MATERIAL_TARIFF_RULES!$C:$C,$B44)&lt;&gt;"",SUMIFS(MATERIAL_TARIFF_RULES!$G:$G,MATERIAL_TARIFF_RULES!$A:$A,$D44,MATERIAL_TARIFF_RULES!$C:$C,$B44),SUMIFS(MATERIAL_VARIANTS!$J:$J,MATERIAL_VARIANTS!$A:$A,$E44)),""),"")))</f>
        <v/>
      </c>
      <c r="G44" s="24" t="n"/>
      <c r="H44" s="24">
        <f>IF($C44="","",IF($C44="Work",IFERROR(SUMIFS(WORK_MASTER!$I:$I,WORK_MASTER!$A:$A,$D44),""),IF($C44="Material",IFERROR(SUMIFS(MATERIAL_VARIANTS!$I:$I,MATERIAL_VARIANTS!$A:$A,$E44),""),"")))</f>
        <v/>
      </c>
      <c r="I44" s="24">
        <f>IF($C44="","",IF($C44="Work",IFERROR(SUMIFS(WORK_FACTOR_APPLICABILITY!$O:$O,WORK_FACTOR_APPLICABILITY!$A:$A,$D44,WORK_FACTOR_APPLICABILITY!$N:$N,$A44),1),IF($C44="Material",IFERROR(ROUND(1+SUMIFS(MATERIAL_FACTOR_APPLICABILITY!$D:$D,MATERIAL_FACTOR_APPLICABILITY!$A:$A,SUMIFS(MATERIAL_MASTER!$O:$O,MATERIAL_MASTER!$A:$A,$D44),MATERIAL_FACTOR_APPLICABILITY!$B:$B,"GeometryComplexity")*(SUMIFS(OBJECT_CONDITIONS!$W:$W,OBJECT_CONDITIONS!$A:$A,$A44)-1),3),1),"")))</f>
        <v/>
      </c>
      <c r="J44" s="24">
        <f>IF($C44="","",IF($C44="Work",IFERROR(IF(SUMIFS(WORK_TARIFF_RULES!$F:$F,WORK_TARIFF_RULES!$A:$A,$D44,WORK_TARIFF_RULES!$C:$C,$B44)&lt;&gt;"",SUMIFS(WORK_TARIFF_RULES!$F:$F,WORK_TARIFF_RULES!$A:$A,$D44,WORK_TARIFF_RULES!$C:$C,$B44),SUMIFS(TARIFF_PROFILES!$D:$D,TARIFF_PROFILES!$A:$A,$B44)),1),IF($C44="Material",IFERROR(IF(SUMIFS(MATERIAL_TARIFF_RULES!$E:$E,MATERIAL_TARIFF_RULES!$A:$A,$D44,MATERIAL_TARIFF_RULES!$C:$C,$B44)&lt;&gt;"",SUMIFS(MATERIAL_TARIFF_RULES!$E:$E,MATERIAL_TARIFF_RULES!$A:$A,$D44,MATERIAL_TARIFF_RULES!$C:$C,$B44),SUMIFS(TARIFF_PROFILES!$E:$E,TARIFF_PROFILES!$A:$A,$B44)),1),"")))</f>
        <v/>
      </c>
      <c r="K44" s="24">
        <f>IF($C44="","",IF($C44="Material",IFERROR(SUMIFS(MATERIAL_MASTER!$P:$P,MATERIAL_MASTER!$A:$A,$D44)*IF(SUMIFS(MATERIAL_TARIFF_RULES!$F:$F,MATERIAL_TARIFF_RULES!$A:$A,$D44,MATERIAL_TARIFF_RULES!$C:$C,$B44)="",SUMIFS(TARIFF_PROFILES!$H:$H,TARIFF_PROFILES!$A:$A,$B44),SUMIFS(MATERIAL_TARIFF_RULES!$F:$F,MATERIAL_TARIFF_RULES!$A:$A,$D44,MATERIAL_TARIFF_RULES!$C:$C,$B44)),1),1))</f>
        <v/>
      </c>
      <c r="L44" s="24">
        <f>IF($C44="","",IF($C44="Work",N($H44)*N($I44)*N($J44),IF($C44="Material",N($H44)*N($I44)*N($J44),"")))</f>
        <v/>
      </c>
      <c r="M44" s="24">
        <f>IF($C44="","",IF($C44="Material",N($G44)*N($K44),N($G44)))</f>
        <v/>
      </c>
      <c r="N44" s="24">
        <f>IF($C44="","",N($L44)*N($M44))</f>
        <v/>
      </c>
      <c r="O44" s="5">
        <f>IF($C44="","",IF($C44="Work","Тариф влияет на способ/детализацию и коэффициент работ",IF($C44="Material","Тариф влияет на вариант, качество, запас и показ материала","")))</f>
        <v/>
      </c>
    </row>
    <row r="45">
      <c r="A45" s="5" t="n"/>
      <c r="B45" s="5" t="n"/>
      <c r="C45" s="5" t="n"/>
      <c r="D45" s="5" t="n"/>
      <c r="E45" s="5" t="n"/>
      <c r="F45" s="5">
        <f>IF($C45="","",IF($C45="Work",IFERROR(IF(SUMIFS(WORK_TARIFF_RULES!$G:$G,WORK_TARIFF_RULES!$A:$A,$D45,WORK_TARIFF_RULES!$C:$C,$B45)&lt;&gt;"",SUMIFS(WORK_TARIFF_RULES!$G:$G,WORK_TARIFF_RULES!$A:$A,$D45,WORK_TARIFF_RULES!$C:$C,$B45),SUMIFS(WORK_MASTER!$C:$C,WORK_MASTER!$A:$A,$D45)),""),IF($C45="Material",IFERROR(IF(SUMIFS(MATERIAL_TARIFF_RULES!$G:$G,MATERIAL_TARIFF_RULES!$A:$A,$D45,MATERIAL_TARIFF_RULES!$C:$C,$B45)&lt;&gt;"",SUMIFS(MATERIAL_TARIFF_RULES!$G:$G,MATERIAL_TARIFF_RULES!$A:$A,$D45,MATERIAL_TARIFF_RULES!$C:$C,$B45),SUMIFS(MATERIAL_VARIANTS!$J:$J,MATERIAL_VARIANTS!$A:$A,$E45)),""),"")))</f>
        <v/>
      </c>
      <c r="G45" s="24" t="n"/>
      <c r="H45" s="24">
        <f>IF($C45="","",IF($C45="Work",IFERROR(SUMIFS(WORK_MASTER!$I:$I,WORK_MASTER!$A:$A,$D45),""),IF($C45="Material",IFERROR(SUMIFS(MATERIAL_VARIANTS!$I:$I,MATERIAL_VARIANTS!$A:$A,$E45),""),"")))</f>
        <v/>
      </c>
      <c r="I45" s="24">
        <f>IF($C45="","",IF($C45="Work",IFERROR(SUMIFS(WORK_FACTOR_APPLICABILITY!$O:$O,WORK_FACTOR_APPLICABILITY!$A:$A,$D45,WORK_FACTOR_APPLICABILITY!$N:$N,$A45),1),IF($C45="Material",IFERROR(ROUND(1+SUMIFS(MATERIAL_FACTOR_APPLICABILITY!$D:$D,MATERIAL_FACTOR_APPLICABILITY!$A:$A,SUMIFS(MATERIAL_MASTER!$O:$O,MATERIAL_MASTER!$A:$A,$D45),MATERIAL_FACTOR_APPLICABILITY!$B:$B,"GeometryComplexity")*(SUMIFS(OBJECT_CONDITIONS!$W:$W,OBJECT_CONDITIONS!$A:$A,$A45)-1),3),1),"")))</f>
        <v/>
      </c>
      <c r="J45" s="24">
        <f>IF($C45="","",IF($C45="Work",IFERROR(IF(SUMIFS(WORK_TARIFF_RULES!$F:$F,WORK_TARIFF_RULES!$A:$A,$D45,WORK_TARIFF_RULES!$C:$C,$B45)&lt;&gt;"",SUMIFS(WORK_TARIFF_RULES!$F:$F,WORK_TARIFF_RULES!$A:$A,$D45,WORK_TARIFF_RULES!$C:$C,$B45),SUMIFS(TARIFF_PROFILES!$D:$D,TARIFF_PROFILES!$A:$A,$B45)),1),IF($C45="Material",IFERROR(IF(SUMIFS(MATERIAL_TARIFF_RULES!$E:$E,MATERIAL_TARIFF_RULES!$A:$A,$D45,MATERIAL_TARIFF_RULES!$C:$C,$B45)&lt;&gt;"",SUMIFS(MATERIAL_TARIFF_RULES!$E:$E,MATERIAL_TARIFF_RULES!$A:$A,$D45,MATERIAL_TARIFF_RULES!$C:$C,$B45),SUMIFS(TARIFF_PROFILES!$E:$E,TARIFF_PROFILES!$A:$A,$B45)),1),"")))</f>
        <v/>
      </c>
      <c r="K45" s="24">
        <f>IF($C45="","",IF($C45="Material",IFERROR(SUMIFS(MATERIAL_MASTER!$P:$P,MATERIAL_MASTER!$A:$A,$D45)*IF(SUMIFS(MATERIAL_TARIFF_RULES!$F:$F,MATERIAL_TARIFF_RULES!$A:$A,$D45,MATERIAL_TARIFF_RULES!$C:$C,$B45)="",SUMIFS(TARIFF_PROFILES!$H:$H,TARIFF_PROFILES!$A:$A,$B45),SUMIFS(MATERIAL_TARIFF_RULES!$F:$F,MATERIAL_TARIFF_RULES!$A:$A,$D45,MATERIAL_TARIFF_RULES!$C:$C,$B45)),1),1))</f>
        <v/>
      </c>
      <c r="L45" s="24">
        <f>IF($C45="","",IF($C45="Work",N($H45)*N($I45)*N($J45),IF($C45="Material",N($H45)*N($I45)*N($J45),"")))</f>
        <v/>
      </c>
      <c r="M45" s="24">
        <f>IF($C45="","",IF($C45="Material",N($G45)*N($K45),N($G45)))</f>
        <v/>
      </c>
      <c r="N45" s="24">
        <f>IF($C45="","",N($L45)*N($M45))</f>
        <v/>
      </c>
      <c r="O45" s="5">
        <f>IF($C45="","",IF($C45="Work","Тариф влияет на способ/детализацию и коэффициент работ",IF($C45="Material","Тариф влияет на вариант, качество, запас и показ материала","")))</f>
        <v/>
      </c>
    </row>
    <row r="46">
      <c r="A46" s="5" t="n"/>
      <c r="B46" s="5" t="n"/>
      <c r="C46" s="5" t="n"/>
      <c r="D46" s="5" t="n"/>
      <c r="E46" s="5" t="n"/>
      <c r="F46" s="5">
        <f>IF($C46="","",IF($C46="Work",IFERROR(IF(SUMIFS(WORK_TARIFF_RULES!$G:$G,WORK_TARIFF_RULES!$A:$A,$D46,WORK_TARIFF_RULES!$C:$C,$B46)&lt;&gt;"",SUMIFS(WORK_TARIFF_RULES!$G:$G,WORK_TARIFF_RULES!$A:$A,$D46,WORK_TARIFF_RULES!$C:$C,$B46),SUMIFS(WORK_MASTER!$C:$C,WORK_MASTER!$A:$A,$D46)),""),IF($C46="Material",IFERROR(IF(SUMIFS(MATERIAL_TARIFF_RULES!$G:$G,MATERIAL_TARIFF_RULES!$A:$A,$D46,MATERIAL_TARIFF_RULES!$C:$C,$B46)&lt;&gt;"",SUMIFS(MATERIAL_TARIFF_RULES!$G:$G,MATERIAL_TARIFF_RULES!$A:$A,$D46,MATERIAL_TARIFF_RULES!$C:$C,$B46),SUMIFS(MATERIAL_VARIANTS!$J:$J,MATERIAL_VARIANTS!$A:$A,$E46)),""),"")))</f>
        <v/>
      </c>
      <c r="G46" s="24" t="n"/>
      <c r="H46" s="24">
        <f>IF($C46="","",IF($C46="Work",IFERROR(SUMIFS(WORK_MASTER!$I:$I,WORK_MASTER!$A:$A,$D46),""),IF($C46="Material",IFERROR(SUMIFS(MATERIAL_VARIANTS!$I:$I,MATERIAL_VARIANTS!$A:$A,$E46),""),"")))</f>
        <v/>
      </c>
      <c r="I46" s="24">
        <f>IF($C46="","",IF($C46="Work",IFERROR(SUMIFS(WORK_FACTOR_APPLICABILITY!$O:$O,WORK_FACTOR_APPLICABILITY!$A:$A,$D46,WORK_FACTOR_APPLICABILITY!$N:$N,$A46),1),IF($C46="Material",IFERROR(ROUND(1+SUMIFS(MATERIAL_FACTOR_APPLICABILITY!$D:$D,MATERIAL_FACTOR_APPLICABILITY!$A:$A,SUMIFS(MATERIAL_MASTER!$O:$O,MATERIAL_MASTER!$A:$A,$D46),MATERIAL_FACTOR_APPLICABILITY!$B:$B,"GeometryComplexity")*(SUMIFS(OBJECT_CONDITIONS!$W:$W,OBJECT_CONDITIONS!$A:$A,$A46)-1),3),1),"")))</f>
        <v/>
      </c>
      <c r="J46" s="24">
        <f>IF($C46="","",IF($C46="Work",IFERROR(IF(SUMIFS(WORK_TARIFF_RULES!$F:$F,WORK_TARIFF_RULES!$A:$A,$D46,WORK_TARIFF_RULES!$C:$C,$B46)&lt;&gt;"",SUMIFS(WORK_TARIFF_RULES!$F:$F,WORK_TARIFF_RULES!$A:$A,$D46,WORK_TARIFF_RULES!$C:$C,$B46),SUMIFS(TARIFF_PROFILES!$D:$D,TARIFF_PROFILES!$A:$A,$B46)),1),IF($C46="Material",IFERROR(IF(SUMIFS(MATERIAL_TARIFF_RULES!$E:$E,MATERIAL_TARIFF_RULES!$A:$A,$D46,MATERIAL_TARIFF_RULES!$C:$C,$B46)&lt;&gt;"",SUMIFS(MATERIAL_TARIFF_RULES!$E:$E,MATERIAL_TARIFF_RULES!$A:$A,$D46,MATERIAL_TARIFF_RULES!$C:$C,$B46),SUMIFS(TARIFF_PROFILES!$E:$E,TARIFF_PROFILES!$A:$A,$B46)),1),"")))</f>
        <v/>
      </c>
      <c r="K46" s="24">
        <f>IF($C46="","",IF($C46="Material",IFERROR(SUMIFS(MATERIAL_MASTER!$P:$P,MATERIAL_MASTER!$A:$A,$D46)*IF(SUMIFS(MATERIAL_TARIFF_RULES!$F:$F,MATERIAL_TARIFF_RULES!$A:$A,$D46,MATERIAL_TARIFF_RULES!$C:$C,$B46)="",SUMIFS(TARIFF_PROFILES!$H:$H,TARIFF_PROFILES!$A:$A,$B46),SUMIFS(MATERIAL_TARIFF_RULES!$F:$F,MATERIAL_TARIFF_RULES!$A:$A,$D46,MATERIAL_TARIFF_RULES!$C:$C,$B46)),1),1))</f>
        <v/>
      </c>
      <c r="L46" s="24">
        <f>IF($C46="","",IF($C46="Work",N($H46)*N($I46)*N($J46),IF($C46="Material",N($H46)*N($I46)*N($J46),"")))</f>
        <v/>
      </c>
      <c r="M46" s="24">
        <f>IF($C46="","",IF($C46="Material",N($G46)*N($K46),N($G46)))</f>
        <v/>
      </c>
      <c r="N46" s="24">
        <f>IF($C46="","",N($L46)*N($M46))</f>
        <v/>
      </c>
      <c r="O46" s="5">
        <f>IF($C46="","",IF($C46="Work","Тариф влияет на способ/детализацию и коэффициент работ",IF($C46="Material","Тариф влияет на вариант, качество, запас и показ материала","")))</f>
        <v/>
      </c>
    </row>
    <row r="47">
      <c r="A47" s="5" t="n"/>
      <c r="B47" s="5" t="n"/>
      <c r="C47" s="5" t="n"/>
      <c r="D47" s="5" t="n"/>
      <c r="E47" s="5" t="n"/>
      <c r="F47" s="5">
        <f>IF($C47="","",IF($C47="Work",IFERROR(IF(SUMIFS(WORK_TARIFF_RULES!$G:$G,WORK_TARIFF_RULES!$A:$A,$D47,WORK_TARIFF_RULES!$C:$C,$B47)&lt;&gt;"",SUMIFS(WORK_TARIFF_RULES!$G:$G,WORK_TARIFF_RULES!$A:$A,$D47,WORK_TARIFF_RULES!$C:$C,$B47),SUMIFS(WORK_MASTER!$C:$C,WORK_MASTER!$A:$A,$D47)),""),IF($C47="Material",IFERROR(IF(SUMIFS(MATERIAL_TARIFF_RULES!$G:$G,MATERIAL_TARIFF_RULES!$A:$A,$D47,MATERIAL_TARIFF_RULES!$C:$C,$B47)&lt;&gt;"",SUMIFS(MATERIAL_TARIFF_RULES!$G:$G,MATERIAL_TARIFF_RULES!$A:$A,$D47,MATERIAL_TARIFF_RULES!$C:$C,$B47),SUMIFS(MATERIAL_VARIANTS!$J:$J,MATERIAL_VARIANTS!$A:$A,$E47)),""),"")))</f>
        <v/>
      </c>
      <c r="G47" s="24" t="n"/>
      <c r="H47" s="24">
        <f>IF($C47="","",IF($C47="Work",IFERROR(SUMIFS(WORK_MASTER!$I:$I,WORK_MASTER!$A:$A,$D47),""),IF($C47="Material",IFERROR(SUMIFS(MATERIAL_VARIANTS!$I:$I,MATERIAL_VARIANTS!$A:$A,$E47),""),"")))</f>
        <v/>
      </c>
      <c r="I47" s="24">
        <f>IF($C47="","",IF($C47="Work",IFERROR(SUMIFS(WORK_FACTOR_APPLICABILITY!$O:$O,WORK_FACTOR_APPLICABILITY!$A:$A,$D47,WORK_FACTOR_APPLICABILITY!$N:$N,$A47),1),IF($C47="Material",IFERROR(ROUND(1+SUMIFS(MATERIAL_FACTOR_APPLICABILITY!$D:$D,MATERIAL_FACTOR_APPLICABILITY!$A:$A,SUMIFS(MATERIAL_MASTER!$O:$O,MATERIAL_MASTER!$A:$A,$D47),MATERIAL_FACTOR_APPLICABILITY!$B:$B,"GeometryComplexity")*(SUMIFS(OBJECT_CONDITIONS!$W:$W,OBJECT_CONDITIONS!$A:$A,$A47)-1),3),1),"")))</f>
        <v/>
      </c>
      <c r="J47" s="24">
        <f>IF($C47="","",IF($C47="Work",IFERROR(IF(SUMIFS(WORK_TARIFF_RULES!$F:$F,WORK_TARIFF_RULES!$A:$A,$D47,WORK_TARIFF_RULES!$C:$C,$B47)&lt;&gt;"",SUMIFS(WORK_TARIFF_RULES!$F:$F,WORK_TARIFF_RULES!$A:$A,$D47,WORK_TARIFF_RULES!$C:$C,$B47),SUMIFS(TARIFF_PROFILES!$D:$D,TARIFF_PROFILES!$A:$A,$B47)),1),IF($C47="Material",IFERROR(IF(SUMIFS(MATERIAL_TARIFF_RULES!$E:$E,MATERIAL_TARIFF_RULES!$A:$A,$D47,MATERIAL_TARIFF_RULES!$C:$C,$B47)&lt;&gt;"",SUMIFS(MATERIAL_TARIFF_RULES!$E:$E,MATERIAL_TARIFF_RULES!$A:$A,$D47,MATERIAL_TARIFF_RULES!$C:$C,$B47),SUMIFS(TARIFF_PROFILES!$E:$E,TARIFF_PROFILES!$A:$A,$B47)),1),"")))</f>
        <v/>
      </c>
      <c r="K47" s="24">
        <f>IF($C47="","",IF($C47="Material",IFERROR(SUMIFS(MATERIAL_MASTER!$P:$P,MATERIAL_MASTER!$A:$A,$D47)*IF(SUMIFS(MATERIAL_TARIFF_RULES!$F:$F,MATERIAL_TARIFF_RULES!$A:$A,$D47,MATERIAL_TARIFF_RULES!$C:$C,$B47)="",SUMIFS(TARIFF_PROFILES!$H:$H,TARIFF_PROFILES!$A:$A,$B47),SUMIFS(MATERIAL_TARIFF_RULES!$F:$F,MATERIAL_TARIFF_RULES!$A:$A,$D47,MATERIAL_TARIFF_RULES!$C:$C,$B47)),1),1))</f>
        <v/>
      </c>
      <c r="L47" s="24">
        <f>IF($C47="","",IF($C47="Work",N($H47)*N($I47)*N($J47),IF($C47="Material",N($H47)*N($I47)*N($J47),"")))</f>
        <v/>
      </c>
      <c r="M47" s="24">
        <f>IF($C47="","",IF($C47="Material",N($G47)*N($K47),N($G47)))</f>
        <v/>
      </c>
      <c r="N47" s="24">
        <f>IF($C47="","",N($L47)*N($M47))</f>
        <v/>
      </c>
      <c r="O47" s="5">
        <f>IF($C47="","",IF($C47="Work","Тариф влияет на способ/детализацию и коэффициент работ",IF($C47="Material","Тариф влияет на вариант, качество, запас и показ материала","")))</f>
        <v/>
      </c>
    </row>
    <row r="48">
      <c r="A48" s="5" t="n"/>
      <c r="B48" s="5" t="n"/>
      <c r="C48" s="5" t="n"/>
      <c r="D48" s="5" t="n"/>
      <c r="E48" s="5" t="n"/>
      <c r="F48" s="5">
        <f>IF($C48="","",IF($C48="Work",IFERROR(IF(SUMIFS(WORK_TARIFF_RULES!$G:$G,WORK_TARIFF_RULES!$A:$A,$D48,WORK_TARIFF_RULES!$C:$C,$B48)&lt;&gt;"",SUMIFS(WORK_TARIFF_RULES!$G:$G,WORK_TARIFF_RULES!$A:$A,$D48,WORK_TARIFF_RULES!$C:$C,$B48),SUMIFS(WORK_MASTER!$C:$C,WORK_MASTER!$A:$A,$D48)),""),IF($C48="Material",IFERROR(IF(SUMIFS(MATERIAL_TARIFF_RULES!$G:$G,MATERIAL_TARIFF_RULES!$A:$A,$D48,MATERIAL_TARIFF_RULES!$C:$C,$B48)&lt;&gt;"",SUMIFS(MATERIAL_TARIFF_RULES!$G:$G,MATERIAL_TARIFF_RULES!$A:$A,$D48,MATERIAL_TARIFF_RULES!$C:$C,$B48),SUMIFS(MATERIAL_VARIANTS!$J:$J,MATERIAL_VARIANTS!$A:$A,$E48)),""),"")))</f>
        <v/>
      </c>
      <c r="G48" s="24" t="n"/>
      <c r="H48" s="24">
        <f>IF($C48="","",IF($C48="Work",IFERROR(SUMIFS(WORK_MASTER!$I:$I,WORK_MASTER!$A:$A,$D48),""),IF($C48="Material",IFERROR(SUMIFS(MATERIAL_VARIANTS!$I:$I,MATERIAL_VARIANTS!$A:$A,$E48),""),"")))</f>
        <v/>
      </c>
      <c r="I48" s="24">
        <f>IF($C48="","",IF($C48="Work",IFERROR(SUMIFS(WORK_FACTOR_APPLICABILITY!$O:$O,WORK_FACTOR_APPLICABILITY!$A:$A,$D48,WORK_FACTOR_APPLICABILITY!$N:$N,$A48),1),IF($C48="Material",IFERROR(ROUND(1+SUMIFS(MATERIAL_FACTOR_APPLICABILITY!$D:$D,MATERIAL_FACTOR_APPLICABILITY!$A:$A,SUMIFS(MATERIAL_MASTER!$O:$O,MATERIAL_MASTER!$A:$A,$D48),MATERIAL_FACTOR_APPLICABILITY!$B:$B,"GeometryComplexity")*(SUMIFS(OBJECT_CONDITIONS!$W:$W,OBJECT_CONDITIONS!$A:$A,$A48)-1),3),1),"")))</f>
        <v/>
      </c>
      <c r="J48" s="24">
        <f>IF($C48="","",IF($C48="Work",IFERROR(IF(SUMIFS(WORK_TARIFF_RULES!$F:$F,WORK_TARIFF_RULES!$A:$A,$D48,WORK_TARIFF_RULES!$C:$C,$B48)&lt;&gt;"",SUMIFS(WORK_TARIFF_RULES!$F:$F,WORK_TARIFF_RULES!$A:$A,$D48,WORK_TARIFF_RULES!$C:$C,$B48),SUMIFS(TARIFF_PROFILES!$D:$D,TARIFF_PROFILES!$A:$A,$B48)),1),IF($C48="Material",IFERROR(IF(SUMIFS(MATERIAL_TARIFF_RULES!$E:$E,MATERIAL_TARIFF_RULES!$A:$A,$D48,MATERIAL_TARIFF_RULES!$C:$C,$B48)&lt;&gt;"",SUMIFS(MATERIAL_TARIFF_RULES!$E:$E,MATERIAL_TARIFF_RULES!$A:$A,$D48,MATERIAL_TARIFF_RULES!$C:$C,$B48),SUMIFS(TARIFF_PROFILES!$E:$E,TARIFF_PROFILES!$A:$A,$B48)),1),"")))</f>
        <v/>
      </c>
      <c r="K48" s="24">
        <f>IF($C48="","",IF($C48="Material",IFERROR(SUMIFS(MATERIAL_MASTER!$P:$P,MATERIAL_MASTER!$A:$A,$D48)*IF(SUMIFS(MATERIAL_TARIFF_RULES!$F:$F,MATERIAL_TARIFF_RULES!$A:$A,$D48,MATERIAL_TARIFF_RULES!$C:$C,$B48)="",SUMIFS(TARIFF_PROFILES!$H:$H,TARIFF_PROFILES!$A:$A,$B48),SUMIFS(MATERIAL_TARIFF_RULES!$F:$F,MATERIAL_TARIFF_RULES!$A:$A,$D48,MATERIAL_TARIFF_RULES!$C:$C,$B48)),1),1))</f>
        <v/>
      </c>
      <c r="L48" s="24">
        <f>IF($C48="","",IF($C48="Work",N($H48)*N($I48)*N($J48),IF($C48="Material",N($H48)*N($I48)*N($J48),"")))</f>
        <v/>
      </c>
      <c r="M48" s="24">
        <f>IF($C48="","",IF($C48="Material",N($G48)*N($K48),N($G48)))</f>
        <v/>
      </c>
      <c r="N48" s="24">
        <f>IF($C48="","",N($L48)*N($M48))</f>
        <v/>
      </c>
      <c r="O48" s="5">
        <f>IF($C48="","",IF($C48="Work","Тариф влияет на способ/детализацию и коэффициент работ",IF($C48="Material","Тариф влияет на вариант, качество, запас и показ материала","")))</f>
        <v/>
      </c>
    </row>
    <row r="49">
      <c r="A49" s="5" t="n"/>
      <c r="B49" s="5" t="n"/>
      <c r="C49" s="5" t="n"/>
      <c r="D49" s="5" t="n"/>
      <c r="E49" s="5" t="n"/>
      <c r="F49" s="5">
        <f>IF($C49="","",IF($C49="Work",IFERROR(IF(SUMIFS(WORK_TARIFF_RULES!$G:$G,WORK_TARIFF_RULES!$A:$A,$D49,WORK_TARIFF_RULES!$C:$C,$B49)&lt;&gt;"",SUMIFS(WORK_TARIFF_RULES!$G:$G,WORK_TARIFF_RULES!$A:$A,$D49,WORK_TARIFF_RULES!$C:$C,$B49),SUMIFS(WORK_MASTER!$C:$C,WORK_MASTER!$A:$A,$D49)),""),IF($C49="Material",IFERROR(IF(SUMIFS(MATERIAL_TARIFF_RULES!$G:$G,MATERIAL_TARIFF_RULES!$A:$A,$D49,MATERIAL_TARIFF_RULES!$C:$C,$B49)&lt;&gt;"",SUMIFS(MATERIAL_TARIFF_RULES!$G:$G,MATERIAL_TARIFF_RULES!$A:$A,$D49,MATERIAL_TARIFF_RULES!$C:$C,$B49),SUMIFS(MATERIAL_VARIANTS!$J:$J,MATERIAL_VARIANTS!$A:$A,$E49)),""),"")))</f>
        <v/>
      </c>
      <c r="G49" s="24" t="n"/>
      <c r="H49" s="24">
        <f>IF($C49="","",IF($C49="Work",IFERROR(SUMIFS(WORK_MASTER!$I:$I,WORK_MASTER!$A:$A,$D49),""),IF($C49="Material",IFERROR(SUMIFS(MATERIAL_VARIANTS!$I:$I,MATERIAL_VARIANTS!$A:$A,$E49),""),"")))</f>
        <v/>
      </c>
      <c r="I49" s="24">
        <f>IF($C49="","",IF($C49="Work",IFERROR(SUMIFS(WORK_FACTOR_APPLICABILITY!$O:$O,WORK_FACTOR_APPLICABILITY!$A:$A,$D49,WORK_FACTOR_APPLICABILITY!$N:$N,$A49),1),IF($C49="Material",IFERROR(ROUND(1+SUMIFS(MATERIAL_FACTOR_APPLICABILITY!$D:$D,MATERIAL_FACTOR_APPLICABILITY!$A:$A,SUMIFS(MATERIAL_MASTER!$O:$O,MATERIAL_MASTER!$A:$A,$D49),MATERIAL_FACTOR_APPLICABILITY!$B:$B,"GeometryComplexity")*(SUMIFS(OBJECT_CONDITIONS!$W:$W,OBJECT_CONDITIONS!$A:$A,$A49)-1),3),1),"")))</f>
        <v/>
      </c>
      <c r="J49" s="24">
        <f>IF($C49="","",IF($C49="Work",IFERROR(IF(SUMIFS(WORK_TARIFF_RULES!$F:$F,WORK_TARIFF_RULES!$A:$A,$D49,WORK_TARIFF_RULES!$C:$C,$B49)&lt;&gt;"",SUMIFS(WORK_TARIFF_RULES!$F:$F,WORK_TARIFF_RULES!$A:$A,$D49,WORK_TARIFF_RULES!$C:$C,$B49),SUMIFS(TARIFF_PROFILES!$D:$D,TARIFF_PROFILES!$A:$A,$B49)),1),IF($C49="Material",IFERROR(IF(SUMIFS(MATERIAL_TARIFF_RULES!$E:$E,MATERIAL_TARIFF_RULES!$A:$A,$D49,MATERIAL_TARIFF_RULES!$C:$C,$B49)&lt;&gt;"",SUMIFS(MATERIAL_TARIFF_RULES!$E:$E,MATERIAL_TARIFF_RULES!$A:$A,$D49,MATERIAL_TARIFF_RULES!$C:$C,$B49),SUMIFS(TARIFF_PROFILES!$E:$E,TARIFF_PROFILES!$A:$A,$B49)),1),"")))</f>
        <v/>
      </c>
      <c r="K49" s="24">
        <f>IF($C49="","",IF($C49="Material",IFERROR(SUMIFS(MATERIAL_MASTER!$P:$P,MATERIAL_MASTER!$A:$A,$D49)*IF(SUMIFS(MATERIAL_TARIFF_RULES!$F:$F,MATERIAL_TARIFF_RULES!$A:$A,$D49,MATERIAL_TARIFF_RULES!$C:$C,$B49)="",SUMIFS(TARIFF_PROFILES!$H:$H,TARIFF_PROFILES!$A:$A,$B49),SUMIFS(MATERIAL_TARIFF_RULES!$F:$F,MATERIAL_TARIFF_RULES!$A:$A,$D49,MATERIAL_TARIFF_RULES!$C:$C,$B49)),1),1))</f>
        <v/>
      </c>
      <c r="L49" s="24">
        <f>IF($C49="","",IF($C49="Work",N($H49)*N($I49)*N($J49),IF($C49="Material",N($H49)*N($I49)*N($J49),"")))</f>
        <v/>
      </c>
      <c r="M49" s="24">
        <f>IF($C49="","",IF($C49="Material",N($G49)*N($K49),N($G49)))</f>
        <v/>
      </c>
      <c r="N49" s="24">
        <f>IF($C49="","",N($L49)*N($M49))</f>
        <v/>
      </c>
      <c r="O49" s="5">
        <f>IF($C49="","",IF($C49="Work","Тариф влияет на способ/детализацию и коэффициент работ",IF($C49="Material","Тариф влияет на вариант, качество, запас и показ материала","")))</f>
        <v/>
      </c>
    </row>
    <row r="50">
      <c r="A50" s="5" t="n"/>
      <c r="B50" s="5" t="n"/>
      <c r="C50" s="5" t="n"/>
      <c r="D50" s="5" t="n"/>
      <c r="E50" s="5" t="n"/>
      <c r="F50" s="5">
        <f>IF($C50="","",IF($C50="Work",IFERROR(IF(SUMIFS(WORK_TARIFF_RULES!$G:$G,WORK_TARIFF_RULES!$A:$A,$D50,WORK_TARIFF_RULES!$C:$C,$B50)&lt;&gt;"",SUMIFS(WORK_TARIFF_RULES!$G:$G,WORK_TARIFF_RULES!$A:$A,$D50,WORK_TARIFF_RULES!$C:$C,$B50),SUMIFS(WORK_MASTER!$C:$C,WORK_MASTER!$A:$A,$D50)),""),IF($C50="Material",IFERROR(IF(SUMIFS(MATERIAL_TARIFF_RULES!$G:$G,MATERIAL_TARIFF_RULES!$A:$A,$D50,MATERIAL_TARIFF_RULES!$C:$C,$B50)&lt;&gt;"",SUMIFS(MATERIAL_TARIFF_RULES!$G:$G,MATERIAL_TARIFF_RULES!$A:$A,$D50,MATERIAL_TARIFF_RULES!$C:$C,$B50),SUMIFS(MATERIAL_VARIANTS!$J:$J,MATERIAL_VARIANTS!$A:$A,$E50)),""),"")))</f>
        <v/>
      </c>
      <c r="G50" s="24" t="n"/>
      <c r="H50" s="24">
        <f>IF($C50="","",IF($C50="Work",IFERROR(SUMIFS(WORK_MASTER!$I:$I,WORK_MASTER!$A:$A,$D50),""),IF($C50="Material",IFERROR(SUMIFS(MATERIAL_VARIANTS!$I:$I,MATERIAL_VARIANTS!$A:$A,$E50),""),"")))</f>
        <v/>
      </c>
      <c r="I50" s="24">
        <f>IF($C50="","",IF($C50="Work",IFERROR(SUMIFS(WORK_FACTOR_APPLICABILITY!$O:$O,WORK_FACTOR_APPLICABILITY!$A:$A,$D50,WORK_FACTOR_APPLICABILITY!$N:$N,$A50),1),IF($C50="Material",IFERROR(ROUND(1+SUMIFS(MATERIAL_FACTOR_APPLICABILITY!$D:$D,MATERIAL_FACTOR_APPLICABILITY!$A:$A,SUMIFS(MATERIAL_MASTER!$O:$O,MATERIAL_MASTER!$A:$A,$D50),MATERIAL_FACTOR_APPLICABILITY!$B:$B,"GeometryComplexity")*(SUMIFS(OBJECT_CONDITIONS!$W:$W,OBJECT_CONDITIONS!$A:$A,$A50)-1),3),1),"")))</f>
        <v/>
      </c>
      <c r="J50" s="24">
        <f>IF($C50="","",IF($C50="Work",IFERROR(IF(SUMIFS(WORK_TARIFF_RULES!$F:$F,WORK_TARIFF_RULES!$A:$A,$D50,WORK_TARIFF_RULES!$C:$C,$B50)&lt;&gt;"",SUMIFS(WORK_TARIFF_RULES!$F:$F,WORK_TARIFF_RULES!$A:$A,$D50,WORK_TARIFF_RULES!$C:$C,$B50),SUMIFS(TARIFF_PROFILES!$D:$D,TARIFF_PROFILES!$A:$A,$B50)),1),IF($C50="Material",IFERROR(IF(SUMIFS(MATERIAL_TARIFF_RULES!$E:$E,MATERIAL_TARIFF_RULES!$A:$A,$D50,MATERIAL_TARIFF_RULES!$C:$C,$B50)&lt;&gt;"",SUMIFS(MATERIAL_TARIFF_RULES!$E:$E,MATERIAL_TARIFF_RULES!$A:$A,$D50,MATERIAL_TARIFF_RULES!$C:$C,$B50),SUMIFS(TARIFF_PROFILES!$E:$E,TARIFF_PROFILES!$A:$A,$B50)),1),"")))</f>
        <v/>
      </c>
      <c r="K50" s="24">
        <f>IF($C50="","",IF($C50="Material",IFERROR(SUMIFS(MATERIAL_MASTER!$P:$P,MATERIAL_MASTER!$A:$A,$D50)*IF(SUMIFS(MATERIAL_TARIFF_RULES!$F:$F,MATERIAL_TARIFF_RULES!$A:$A,$D50,MATERIAL_TARIFF_RULES!$C:$C,$B50)="",SUMIFS(TARIFF_PROFILES!$H:$H,TARIFF_PROFILES!$A:$A,$B50),SUMIFS(MATERIAL_TARIFF_RULES!$F:$F,MATERIAL_TARIFF_RULES!$A:$A,$D50,MATERIAL_TARIFF_RULES!$C:$C,$B50)),1),1))</f>
        <v/>
      </c>
      <c r="L50" s="24">
        <f>IF($C50="","",IF($C50="Work",N($H50)*N($I50)*N($J50),IF($C50="Material",N($H50)*N($I50)*N($J50),"")))</f>
        <v/>
      </c>
      <c r="M50" s="24">
        <f>IF($C50="","",IF($C50="Material",N($G50)*N($K50),N($G50)))</f>
        <v/>
      </c>
      <c r="N50" s="24">
        <f>IF($C50="","",N($L50)*N($M50))</f>
        <v/>
      </c>
      <c r="O50" s="5">
        <f>IF($C50="","",IF($C50="Work","Тариф влияет на способ/детализацию и коэффициент работ",IF($C50="Material","Тариф влияет на вариант, качество, запас и показ материала","")))</f>
        <v/>
      </c>
    </row>
    <row r="51">
      <c r="A51" s="5" t="n"/>
      <c r="B51" s="5" t="n"/>
      <c r="C51" s="5" t="n"/>
      <c r="D51" s="5" t="n"/>
      <c r="E51" s="5" t="n"/>
      <c r="F51" s="5">
        <f>IF($C51="","",IF($C51="Work",IFERROR(IF(SUMIFS(WORK_TARIFF_RULES!$G:$G,WORK_TARIFF_RULES!$A:$A,$D51,WORK_TARIFF_RULES!$C:$C,$B51)&lt;&gt;"",SUMIFS(WORK_TARIFF_RULES!$G:$G,WORK_TARIFF_RULES!$A:$A,$D51,WORK_TARIFF_RULES!$C:$C,$B51),SUMIFS(WORK_MASTER!$C:$C,WORK_MASTER!$A:$A,$D51)),""),IF($C51="Material",IFERROR(IF(SUMIFS(MATERIAL_TARIFF_RULES!$G:$G,MATERIAL_TARIFF_RULES!$A:$A,$D51,MATERIAL_TARIFF_RULES!$C:$C,$B51)&lt;&gt;"",SUMIFS(MATERIAL_TARIFF_RULES!$G:$G,MATERIAL_TARIFF_RULES!$A:$A,$D51,MATERIAL_TARIFF_RULES!$C:$C,$B51),SUMIFS(MATERIAL_VARIANTS!$J:$J,MATERIAL_VARIANTS!$A:$A,$E51)),""),"")))</f>
        <v/>
      </c>
      <c r="G51" s="24" t="n"/>
      <c r="H51" s="24">
        <f>IF($C51="","",IF($C51="Work",IFERROR(SUMIFS(WORK_MASTER!$I:$I,WORK_MASTER!$A:$A,$D51),""),IF($C51="Material",IFERROR(SUMIFS(MATERIAL_VARIANTS!$I:$I,MATERIAL_VARIANTS!$A:$A,$E51),""),"")))</f>
        <v/>
      </c>
      <c r="I51" s="24">
        <f>IF($C51="","",IF($C51="Work",IFERROR(SUMIFS(WORK_FACTOR_APPLICABILITY!$O:$O,WORK_FACTOR_APPLICABILITY!$A:$A,$D51,WORK_FACTOR_APPLICABILITY!$N:$N,$A51),1),IF($C51="Material",IFERROR(ROUND(1+SUMIFS(MATERIAL_FACTOR_APPLICABILITY!$D:$D,MATERIAL_FACTOR_APPLICABILITY!$A:$A,SUMIFS(MATERIAL_MASTER!$O:$O,MATERIAL_MASTER!$A:$A,$D51),MATERIAL_FACTOR_APPLICABILITY!$B:$B,"GeometryComplexity")*(SUMIFS(OBJECT_CONDITIONS!$W:$W,OBJECT_CONDITIONS!$A:$A,$A51)-1),3),1),"")))</f>
        <v/>
      </c>
      <c r="J51" s="24">
        <f>IF($C51="","",IF($C51="Work",IFERROR(IF(SUMIFS(WORK_TARIFF_RULES!$F:$F,WORK_TARIFF_RULES!$A:$A,$D51,WORK_TARIFF_RULES!$C:$C,$B51)&lt;&gt;"",SUMIFS(WORK_TARIFF_RULES!$F:$F,WORK_TARIFF_RULES!$A:$A,$D51,WORK_TARIFF_RULES!$C:$C,$B51),SUMIFS(TARIFF_PROFILES!$D:$D,TARIFF_PROFILES!$A:$A,$B51)),1),IF($C51="Material",IFERROR(IF(SUMIFS(MATERIAL_TARIFF_RULES!$E:$E,MATERIAL_TARIFF_RULES!$A:$A,$D51,MATERIAL_TARIFF_RULES!$C:$C,$B51)&lt;&gt;"",SUMIFS(MATERIAL_TARIFF_RULES!$E:$E,MATERIAL_TARIFF_RULES!$A:$A,$D51,MATERIAL_TARIFF_RULES!$C:$C,$B51),SUMIFS(TARIFF_PROFILES!$E:$E,TARIFF_PROFILES!$A:$A,$B51)),1),"")))</f>
        <v/>
      </c>
      <c r="K51" s="24">
        <f>IF($C51="","",IF($C51="Material",IFERROR(SUMIFS(MATERIAL_MASTER!$P:$P,MATERIAL_MASTER!$A:$A,$D51)*IF(SUMIFS(MATERIAL_TARIFF_RULES!$F:$F,MATERIAL_TARIFF_RULES!$A:$A,$D51,MATERIAL_TARIFF_RULES!$C:$C,$B51)="",SUMIFS(TARIFF_PROFILES!$H:$H,TARIFF_PROFILES!$A:$A,$B51),SUMIFS(MATERIAL_TARIFF_RULES!$F:$F,MATERIAL_TARIFF_RULES!$A:$A,$D51,MATERIAL_TARIFF_RULES!$C:$C,$B51)),1),1))</f>
        <v/>
      </c>
      <c r="L51" s="24">
        <f>IF($C51="","",IF($C51="Work",N($H51)*N($I51)*N($J51),IF($C51="Material",N($H51)*N($I51)*N($J51),"")))</f>
        <v/>
      </c>
      <c r="M51" s="24">
        <f>IF($C51="","",IF($C51="Material",N($G51)*N($K51),N($G51)))</f>
        <v/>
      </c>
      <c r="N51" s="24">
        <f>IF($C51="","",N($L51)*N($M51))</f>
        <v/>
      </c>
      <c r="O51" s="5">
        <f>IF($C51="","",IF($C51="Work","Тариф влияет на способ/детализацию и коэффициент работ",IF($C51="Material","Тариф влияет на вариант, качество, запас и показ материала","")))</f>
        <v/>
      </c>
    </row>
    <row r="52">
      <c r="A52" s="5" t="n"/>
      <c r="B52" s="5" t="n"/>
      <c r="C52" s="5" t="n"/>
      <c r="D52" s="5" t="n"/>
      <c r="E52" s="5" t="n"/>
      <c r="F52" s="5">
        <f>IF($C52="","",IF($C52="Work",IFERROR(IF(SUMIFS(WORK_TARIFF_RULES!$G:$G,WORK_TARIFF_RULES!$A:$A,$D52,WORK_TARIFF_RULES!$C:$C,$B52)&lt;&gt;"",SUMIFS(WORK_TARIFF_RULES!$G:$G,WORK_TARIFF_RULES!$A:$A,$D52,WORK_TARIFF_RULES!$C:$C,$B52),SUMIFS(WORK_MASTER!$C:$C,WORK_MASTER!$A:$A,$D52)),""),IF($C52="Material",IFERROR(IF(SUMIFS(MATERIAL_TARIFF_RULES!$G:$G,MATERIAL_TARIFF_RULES!$A:$A,$D52,MATERIAL_TARIFF_RULES!$C:$C,$B52)&lt;&gt;"",SUMIFS(MATERIAL_TARIFF_RULES!$G:$G,MATERIAL_TARIFF_RULES!$A:$A,$D52,MATERIAL_TARIFF_RULES!$C:$C,$B52),SUMIFS(MATERIAL_VARIANTS!$J:$J,MATERIAL_VARIANTS!$A:$A,$E52)),""),"")))</f>
        <v/>
      </c>
      <c r="G52" s="24" t="n"/>
      <c r="H52" s="24">
        <f>IF($C52="","",IF($C52="Work",IFERROR(SUMIFS(WORK_MASTER!$I:$I,WORK_MASTER!$A:$A,$D52),""),IF($C52="Material",IFERROR(SUMIFS(MATERIAL_VARIANTS!$I:$I,MATERIAL_VARIANTS!$A:$A,$E52),""),"")))</f>
        <v/>
      </c>
      <c r="I52" s="24">
        <f>IF($C52="","",IF($C52="Work",IFERROR(SUMIFS(WORK_FACTOR_APPLICABILITY!$O:$O,WORK_FACTOR_APPLICABILITY!$A:$A,$D52,WORK_FACTOR_APPLICABILITY!$N:$N,$A52),1),IF($C52="Material",IFERROR(ROUND(1+SUMIFS(MATERIAL_FACTOR_APPLICABILITY!$D:$D,MATERIAL_FACTOR_APPLICABILITY!$A:$A,SUMIFS(MATERIAL_MASTER!$O:$O,MATERIAL_MASTER!$A:$A,$D52),MATERIAL_FACTOR_APPLICABILITY!$B:$B,"GeometryComplexity")*(SUMIFS(OBJECT_CONDITIONS!$W:$W,OBJECT_CONDITIONS!$A:$A,$A52)-1),3),1),"")))</f>
        <v/>
      </c>
      <c r="J52" s="24">
        <f>IF($C52="","",IF($C52="Work",IFERROR(IF(SUMIFS(WORK_TARIFF_RULES!$F:$F,WORK_TARIFF_RULES!$A:$A,$D52,WORK_TARIFF_RULES!$C:$C,$B52)&lt;&gt;"",SUMIFS(WORK_TARIFF_RULES!$F:$F,WORK_TARIFF_RULES!$A:$A,$D52,WORK_TARIFF_RULES!$C:$C,$B52),SUMIFS(TARIFF_PROFILES!$D:$D,TARIFF_PROFILES!$A:$A,$B52)),1),IF($C52="Material",IFERROR(IF(SUMIFS(MATERIAL_TARIFF_RULES!$E:$E,MATERIAL_TARIFF_RULES!$A:$A,$D52,MATERIAL_TARIFF_RULES!$C:$C,$B52)&lt;&gt;"",SUMIFS(MATERIAL_TARIFF_RULES!$E:$E,MATERIAL_TARIFF_RULES!$A:$A,$D52,MATERIAL_TARIFF_RULES!$C:$C,$B52),SUMIFS(TARIFF_PROFILES!$E:$E,TARIFF_PROFILES!$A:$A,$B52)),1),"")))</f>
        <v/>
      </c>
      <c r="K52" s="24">
        <f>IF($C52="","",IF($C52="Material",IFERROR(SUMIFS(MATERIAL_MASTER!$P:$P,MATERIAL_MASTER!$A:$A,$D52)*IF(SUMIFS(MATERIAL_TARIFF_RULES!$F:$F,MATERIAL_TARIFF_RULES!$A:$A,$D52,MATERIAL_TARIFF_RULES!$C:$C,$B52)="",SUMIFS(TARIFF_PROFILES!$H:$H,TARIFF_PROFILES!$A:$A,$B52),SUMIFS(MATERIAL_TARIFF_RULES!$F:$F,MATERIAL_TARIFF_RULES!$A:$A,$D52,MATERIAL_TARIFF_RULES!$C:$C,$B52)),1),1))</f>
        <v/>
      </c>
      <c r="L52" s="24">
        <f>IF($C52="","",IF($C52="Work",N($H52)*N($I52)*N($J52),IF($C52="Material",N($H52)*N($I52)*N($J52),"")))</f>
        <v/>
      </c>
      <c r="M52" s="24">
        <f>IF($C52="","",IF($C52="Material",N($G52)*N($K52),N($G52)))</f>
        <v/>
      </c>
      <c r="N52" s="24">
        <f>IF($C52="","",N($L52)*N($M52))</f>
        <v/>
      </c>
      <c r="O52" s="5">
        <f>IF($C52="","",IF($C52="Work","Тариф влияет на способ/детализацию и коэффициент работ",IF($C52="Material","Тариф влияет на вариант, качество, запас и показ материала","")))</f>
        <v/>
      </c>
    </row>
    <row r="53">
      <c r="A53" s="5" t="n"/>
      <c r="B53" s="5" t="n"/>
      <c r="C53" s="5" t="n"/>
      <c r="D53" s="5" t="n"/>
      <c r="E53" s="5" t="n"/>
      <c r="F53" s="5">
        <f>IF($C53="","",IF($C53="Work",IFERROR(IF(SUMIFS(WORK_TARIFF_RULES!$G:$G,WORK_TARIFF_RULES!$A:$A,$D53,WORK_TARIFF_RULES!$C:$C,$B53)&lt;&gt;"",SUMIFS(WORK_TARIFF_RULES!$G:$G,WORK_TARIFF_RULES!$A:$A,$D53,WORK_TARIFF_RULES!$C:$C,$B53),SUMIFS(WORK_MASTER!$C:$C,WORK_MASTER!$A:$A,$D53)),""),IF($C53="Material",IFERROR(IF(SUMIFS(MATERIAL_TARIFF_RULES!$G:$G,MATERIAL_TARIFF_RULES!$A:$A,$D53,MATERIAL_TARIFF_RULES!$C:$C,$B53)&lt;&gt;"",SUMIFS(MATERIAL_TARIFF_RULES!$G:$G,MATERIAL_TARIFF_RULES!$A:$A,$D53,MATERIAL_TARIFF_RULES!$C:$C,$B53),SUMIFS(MATERIAL_VARIANTS!$J:$J,MATERIAL_VARIANTS!$A:$A,$E53)),""),"")))</f>
        <v/>
      </c>
      <c r="G53" s="24" t="n"/>
      <c r="H53" s="24">
        <f>IF($C53="","",IF($C53="Work",IFERROR(SUMIFS(WORK_MASTER!$I:$I,WORK_MASTER!$A:$A,$D53),""),IF($C53="Material",IFERROR(SUMIFS(MATERIAL_VARIANTS!$I:$I,MATERIAL_VARIANTS!$A:$A,$E53),""),"")))</f>
        <v/>
      </c>
      <c r="I53" s="24">
        <f>IF($C53="","",IF($C53="Work",IFERROR(SUMIFS(WORK_FACTOR_APPLICABILITY!$O:$O,WORK_FACTOR_APPLICABILITY!$A:$A,$D53,WORK_FACTOR_APPLICABILITY!$N:$N,$A53),1),IF($C53="Material",IFERROR(ROUND(1+SUMIFS(MATERIAL_FACTOR_APPLICABILITY!$D:$D,MATERIAL_FACTOR_APPLICABILITY!$A:$A,SUMIFS(MATERIAL_MASTER!$O:$O,MATERIAL_MASTER!$A:$A,$D53),MATERIAL_FACTOR_APPLICABILITY!$B:$B,"GeometryComplexity")*(SUMIFS(OBJECT_CONDITIONS!$W:$W,OBJECT_CONDITIONS!$A:$A,$A53)-1),3),1),"")))</f>
        <v/>
      </c>
      <c r="J53" s="24">
        <f>IF($C53="","",IF($C53="Work",IFERROR(IF(SUMIFS(WORK_TARIFF_RULES!$F:$F,WORK_TARIFF_RULES!$A:$A,$D53,WORK_TARIFF_RULES!$C:$C,$B53)&lt;&gt;"",SUMIFS(WORK_TARIFF_RULES!$F:$F,WORK_TARIFF_RULES!$A:$A,$D53,WORK_TARIFF_RULES!$C:$C,$B53),SUMIFS(TARIFF_PROFILES!$D:$D,TARIFF_PROFILES!$A:$A,$B53)),1),IF($C53="Material",IFERROR(IF(SUMIFS(MATERIAL_TARIFF_RULES!$E:$E,MATERIAL_TARIFF_RULES!$A:$A,$D53,MATERIAL_TARIFF_RULES!$C:$C,$B53)&lt;&gt;"",SUMIFS(MATERIAL_TARIFF_RULES!$E:$E,MATERIAL_TARIFF_RULES!$A:$A,$D53,MATERIAL_TARIFF_RULES!$C:$C,$B53),SUMIFS(TARIFF_PROFILES!$E:$E,TARIFF_PROFILES!$A:$A,$B53)),1),"")))</f>
        <v/>
      </c>
      <c r="K53" s="24">
        <f>IF($C53="","",IF($C53="Material",IFERROR(SUMIFS(MATERIAL_MASTER!$P:$P,MATERIAL_MASTER!$A:$A,$D53)*IF(SUMIFS(MATERIAL_TARIFF_RULES!$F:$F,MATERIAL_TARIFF_RULES!$A:$A,$D53,MATERIAL_TARIFF_RULES!$C:$C,$B53)="",SUMIFS(TARIFF_PROFILES!$H:$H,TARIFF_PROFILES!$A:$A,$B53),SUMIFS(MATERIAL_TARIFF_RULES!$F:$F,MATERIAL_TARIFF_RULES!$A:$A,$D53,MATERIAL_TARIFF_RULES!$C:$C,$B53)),1),1))</f>
        <v/>
      </c>
      <c r="L53" s="24">
        <f>IF($C53="","",IF($C53="Work",N($H53)*N($I53)*N($J53),IF($C53="Material",N($H53)*N($I53)*N($J53),"")))</f>
        <v/>
      </c>
      <c r="M53" s="24">
        <f>IF($C53="","",IF($C53="Material",N($G53)*N($K53),N($G53)))</f>
        <v/>
      </c>
      <c r="N53" s="24">
        <f>IF($C53="","",N($L53)*N($M53))</f>
        <v/>
      </c>
      <c r="O53" s="5">
        <f>IF($C53="","",IF($C53="Work","Тариф влияет на способ/детализацию и коэффициент работ",IF($C53="Material","Тариф влияет на вариант, качество, запас и показ материала","")))</f>
        <v/>
      </c>
    </row>
    <row r="54">
      <c r="A54" s="5" t="n"/>
      <c r="B54" s="5" t="n"/>
      <c r="C54" s="5" t="n"/>
      <c r="D54" s="5" t="n"/>
      <c r="E54" s="5" t="n"/>
      <c r="F54" s="5">
        <f>IF($C54="","",IF($C54="Work",IFERROR(IF(SUMIFS(WORK_TARIFF_RULES!$G:$G,WORK_TARIFF_RULES!$A:$A,$D54,WORK_TARIFF_RULES!$C:$C,$B54)&lt;&gt;"",SUMIFS(WORK_TARIFF_RULES!$G:$G,WORK_TARIFF_RULES!$A:$A,$D54,WORK_TARIFF_RULES!$C:$C,$B54),SUMIFS(WORK_MASTER!$C:$C,WORK_MASTER!$A:$A,$D54)),""),IF($C54="Material",IFERROR(IF(SUMIFS(MATERIAL_TARIFF_RULES!$G:$G,MATERIAL_TARIFF_RULES!$A:$A,$D54,MATERIAL_TARIFF_RULES!$C:$C,$B54)&lt;&gt;"",SUMIFS(MATERIAL_TARIFF_RULES!$G:$G,MATERIAL_TARIFF_RULES!$A:$A,$D54,MATERIAL_TARIFF_RULES!$C:$C,$B54),SUMIFS(MATERIAL_VARIANTS!$J:$J,MATERIAL_VARIANTS!$A:$A,$E54)),""),"")))</f>
        <v/>
      </c>
      <c r="G54" s="24" t="n"/>
      <c r="H54" s="24">
        <f>IF($C54="","",IF($C54="Work",IFERROR(SUMIFS(WORK_MASTER!$I:$I,WORK_MASTER!$A:$A,$D54),""),IF($C54="Material",IFERROR(SUMIFS(MATERIAL_VARIANTS!$I:$I,MATERIAL_VARIANTS!$A:$A,$E54),""),"")))</f>
        <v/>
      </c>
      <c r="I54" s="24">
        <f>IF($C54="","",IF($C54="Work",IFERROR(SUMIFS(WORK_FACTOR_APPLICABILITY!$O:$O,WORK_FACTOR_APPLICABILITY!$A:$A,$D54,WORK_FACTOR_APPLICABILITY!$N:$N,$A54),1),IF($C54="Material",IFERROR(ROUND(1+SUMIFS(MATERIAL_FACTOR_APPLICABILITY!$D:$D,MATERIAL_FACTOR_APPLICABILITY!$A:$A,SUMIFS(MATERIAL_MASTER!$O:$O,MATERIAL_MASTER!$A:$A,$D54),MATERIAL_FACTOR_APPLICABILITY!$B:$B,"GeometryComplexity")*(SUMIFS(OBJECT_CONDITIONS!$W:$W,OBJECT_CONDITIONS!$A:$A,$A54)-1),3),1),"")))</f>
        <v/>
      </c>
      <c r="J54" s="24">
        <f>IF($C54="","",IF($C54="Work",IFERROR(IF(SUMIFS(WORK_TARIFF_RULES!$F:$F,WORK_TARIFF_RULES!$A:$A,$D54,WORK_TARIFF_RULES!$C:$C,$B54)&lt;&gt;"",SUMIFS(WORK_TARIFF_RULES!$F:$F,WORK_TARIFF_RULES!$A:$A,$D54,WORK_TARIFF_RULES!$C:$C,$B54),SUMIFS(TARIFF_PROFILES!$D:$D,TARIFF_PROFILES!$A:$A,$B54)),1),IF($C54="Material",IFERROR(IF(SUMIFS(MATERIAL_TARIFF_RULES!$E:$E,MATERIAL_TARIFF_RULES!$A:$A,$D54,MATERIAL_TARIFF_RULES!$C:$C,$B54)&lt;&gt;"",SUMIFS(MATERIAL_TARIFF_RULES!$E:$E,MATERIAL_TARIFF_RULES!$A:$A,$D54,MATERIAL_TARIFF_RULES!$C:$C,$B54),SUMIFS(TARIFF_PROFILES!$E:$E,TARIFF_PROFILES!$A:$A,$B54)),1),"")))</f>
        <v/>
      </c>
      <c r="K54" s="24">
        <f>IF($C54="","",IF($C54="Material",IFERROR(SUMIFS(MATERIAL_MASTER!$P:$P,MATERIAL_MASTER!$A:$A,$D54)*IF(SUMIFS(MATERIAL_TARIFF_RULES!$F:$F,MATERIAL_TARIFF_RULES!$A:$A,$D54,MATERIAL_TARIFF_RULES!$C:$C,$B54)="",SUMIFS(TARIFF_PROFILES!$H:$H,TARIFF_PROFILES!$A:$A,$B54),SUMIFS(MATERIAL_TARIFF_RULES!$F:$F,MATERIAL_TARIFF_RULES!$A:$A,$D54,MATERIAL_TARIFF_RULES!$C:$C,$B54)),1),1))</f>
        <v/>
      </c>
      <c r="L54" s="24">
        <f>IF($C54="","",IF($C54="Work",N($H54)*N($I54)*N($J54),IF($C54="Material",N($H54)*N($I54)*N($J54),"")))</f>
        <v/>
      </c>
      <c r="M54" s="24">
        <f>IF($C54="","",IF($C54="Material",N($G54)*N($K54),N($G54)))</f>
        <v/>
      </c>
      <c r="N54" s="24">
        <f>IF($C54="","",N($L54)*N($M54))</f>
        <v/>
      </c>
      <c r="O54" s="5">
        <f>IF($C54="","",IF($C54="Work","Тариф влияет на способ/детализацию и коэффициент работ",IF($C54="Material","Тариф влияет на вариант, качество, запас и показ материала","")))</f>
        <v/>
      </c>
    </row>
    <row r="55">
      <c r="A55" s="5" t="n"/>
      <c r="B55" s="5" t="n"/>
      <c r="C55" s="5" t="n"/>
      <c r="D55" s="5" t="n"/>
      <c r="E55" s="5" t="n"/>
      <c r="F55" s="5">
        <f>IF($C55="","",IF($C55="Work",IFERROR(IF(SUMIFS(WORK_TARIFF_RULES!$G:$G,WORK_TARIFF_RULES!$A:$A,$D55,WORK_TARIFF_RULES!$C:$C,$B55)&lt;&gt;"",SUMIFS(WORK_TARIFF_RULES!$G:$G,WORK_TARIFF_RULES!$A:$A,$D55,WORK_TARIFF_RULES!$C:$C,$B55),SUMIFS(WORK_MASTER!$C:$C,WORK_MASTER!$A:$A,$D55)),""),IF($C55="Material",IFERROR(IF(SUMIFS(MATERIAL_TARIFF_RULES!$G:$G,MATERIAL_TARIFF_RULES!$A:$A,$D55,MATERIAL_TARIFF_RULES!$C:$C,$B55)&lt;&gt;"",SUMIFS(MATERIAL_TARIFF_RULES!$G:$G,MATERIAL_TARIFF_RULES!$A:$A,$D55,MATERIAL_TARIFF_RULES!$C:$C,$B55),SUMIFS(MATERIAL_VARIANTS!$J:$J,MATERIAL_VARIANTS!$A:$A,$E55)),""),"")))</f>
        <v/>
      </c>
      <c r="G55" s="24" t="n"/>
      <c r="H55" s="24">
        <f>IF($C55="","",IF($C55="Work",IFERROR(SUMIFS(WORK_MASTER!$I:$I,WORK_MASTER!$A:$A,$D55),""),IF($C55="Material",IFERROR(SUMIFS(MATERIAL_VARIANTS!$I:$I,MATERIAL_VARIANTS!$A:$A,$E55),""),"")))</f>
        <v/>
      </c>
      <c r="I55" s="24">
        <f>IF($C55="","",IF($C55="Work",IFERROR(SUMIFS(WORK_FACTOR_APPLICABILITY!$O:$O,WORK_FACTOR_APPLICABILITY!$A:$A,$D55,WORK_FACTOR_APPLICABILITY!$N:$N,$A55),1),IF($C55="Material",IFERROR(ROUND(1+SUMIFS(MATERIAL_FACTOR_APPLICABILITY!$D:$D,MATERIAL_FACTOR_APPLICABILITY!$A:$A,SUMIFS(MATERIAL_MASTER!$O:$O,MATERIAL_MASTER!$A:$A,$D55),MATERIAL_FACTOR_APPLICABILITY!$B:$B,"GeometryComplexity")*(SUMIFS(OBJECT_CONDITIONS!$W:$W,OBJECT_CONDITIONS!$A:$A,$A55)-1),3),1),"")))</f>
        <v/>
      </c>
      <c r="J55" s="24">
        <f>IF($C55="","",IF($C55="Work",IFERROR(IF(SUMIFS(WORK_TARIFF_RULES!$F:$F,WORK_TARIFF_RULES!$A:$A,$D55,WORK_TARIFF_RULES!$C:$C,$B55)&lt;&gt;"",SUMIFS(WORK_TARIFF_RULES!$F:$F,WORK_TARIFF_RULES!$A:$A,$D55,WORK_TARIFF_RULES!$C:$C,$B55),SUMIFS(TARIFF_PROFILES!$D:$D,TARIFF_PROFILES!$A:$A,$B55)),1),IF($C55="Material",IFERROR(IF(SUMIFS(MATERIAL_TARIFF_RULES!$E:$E,MATERIAL_TARIFF_RULES!$A:$A,$D55,MATERIAL_TARIFF_RULES!$C:$C,$B55)&lt;&gt;"",SUMIFS(MATERIAL_TARIFF_RULES!$E:$E,MATERIAL_TARIFF_RULES!$A:$A,$D55,MATERIAL_TARIFF_RULES!$C:$C,$B55),SUMIFS(TARIFF_PROFILES!$E:$E,TARIFF_PROFILES!$A:$A,$B55)),1),"")))</f>
        <v/>
      </c>
      <c r="K55" s="24">
        <f>IF($C55="","",IF($C55="Material",IFERROR(SUMIFS(MATERIAL_MASTER!$P:$P,MATERIAL_MASTER!$A:$A,$D55)*IF(SUMIFS(MATERIAL_TARIFF_RULES!$F:$F,MATERIAL_TARIFF_RULES!$A:$A,$D55,MATERIAL_TARIFF_RULES!$C:$C,$B55)="",SUMIFS(TARIFF_PROFILES!$H:$H,TARIFF_PROFILES!$A:$A,$B55),SUMIFS(MATERIAL_TARIFF_RULES!$F:$F,MATERIAL_TARIFF_RULES!$A:$A,$D55,MATERIAL_TARIFF_RULES!$C:$C,$B55)),1),1))</f>
        <v/>
      </c>
      <c r="L55" s="24">
        <f>IF($C55="","",IF($C55="Work",N($H55)*N($I55)*N($J55),IF($C55="Material",N($H55)*N($I55)*N($J55),"")))</f>
        <v/>
      </c>
      <c r="M55" s="24">
        <f>IF($C55="","",IF($C55="Material",N($G55)*N($K55),N($G55)))</f>
        <v/>
      </c>
      <c r="N55" s="24">
        <f>IF($C55="","",N($L55)*N($M55))</f>
        <v/>
      </c>
      <c r="O55" s="5">
        <f>IF($C55="","",IF($C55="Work","Тариф влияет на способ/детализацию и коэффициент работ",IF($C55="Material","Тариф влияет на вариант, качество, запас и показ материала","")))</f>
        <v/>
      </c>
    </row>
    <row r="56">
      <c r="A56" s="5" t="n"/>
      <c r="B56" s="5" t="n"/>
      <c r="C56" s="5" t="n"/>
      <c r="D56" s="5" t="n"/>
      <c r="E56" s="5" t="n"/>
      <c r="F56" s="5">
        <f>IF($C56="","",IF($C56="Work",IFERROR(IF(SUMIFS(WORK_TARIFF_RULES!$G:$G,WORK_TARIFF_RULES!$A:$A,$D56,WORK_TARIFF_RULES!$C:$C,$B56)&lt;&gt;"",SUMIFS(WORK_TARIFF_RULES!$G:$G,WORK_TARIFF_RULES!$A:$A,$D56,WORK_TARIFF_RULES!$C:$C,$B56),SUMIFS(WORK_MASTER!$C:$C,WORK_MASTER!$A:$A,$D56)),""),IF($C56="Material",IFERROR(IF(SUMIFS(MATERIAL_TARIFF_RULES!$G:$G,MATERIAL_TARIFF_RULES!$A:$A,$D56,MATERIAL_TARIFF_RULES!$C:$C,$B56)&lt;&gt;"",SUMIFS(MATERIAL_TARIFF_RULES!$G:$G,MATERIAL_TARIFF_RULES!$A:$A,$D56,MATERIAL_TARIFF_RULES!$C:$C,$B56),SUMIFS(MATERIAL_VARIANTS!$J:$J,MATERIAL_VARIANTS!$A:$A,$E56)),""),"")))</f>
        <v/>
      </c>
      <c r="G56" s="24" t="n"/>
      <c r="H56" s="24">
        <f>IF($C56="","",IF($C56="Work",IFERROR(SUMIFS(WORK_MASTER!$I:$I,WORK_MASTER!$A:$A,$D56),""),IF($C56="Material",IFERROR(SUMIFS(MATERIAL_VARIANTS!$I:$I,MATERIAL_VARIANTS!$A:$A,$E56),""),"")))</f>
        <v/>
      </c>
      <c r="I56" s="24">
        <f>IF($C56="","",IF($C56="Work",IFERROR(SUMIFS(WORK_FACTOR_APPLICABILITY!$O:$O,WORK_FACTOR_APPLICABILITY!$A:$A,$D56,WORK_FACTOR_APPLICABILITY!$N:$N,$A56),1),IF($C56="Material",IFERROR(ROUND(1+SUMIFS(MATERIAL_FACTOR_APPLICABILITY!$D:$D,MATERIAL_FACTOR_APPLICABILITY!$A:$A,SUMIFS(MATERIAL_MASTER!$O:$O,MATERIAL_MASTER!$A:$A,$D56),MATERIAL_FACTOR_APPLICABILITY!$B:$B,"GeometryComplexity")*(SUMIFS(OBJECT_CONDITIONS!$W:$W,OBJECT_CONDITIONS!$A:$A,$A56)-1),3),1),"")))</f>
        <v/>
      </c>
      <c r="J56" s="24">
        <f>IF($C56="","",IF($C56="Work",IFERROR(IF(SUMIFS(WORK_TARIFF_RULES!$F:$F,WORK_TARIFF_RULES!$A:$A,$D56,WORK_TARIFF_RULES!$C:$C,$B56)&lt;&gt;"",SUMIFS(WORK_TARIFF_RULES!$F:$F,WORK_TARIFF_RULES!$A:$A,$D56,WORK_TARIFF_RULES!$C:$C,$B56),SUMIFS(TARIFF_PROFILES!$D:$D,TARIFF_PROFILES!$A:$A,$B56)),1),IF($C56="Material",IFERROR(IF(SUMIFS(MATERIAL_TARIFF_RULES!$E:$E,MATERIAL_TARIFF_RULES!$A:$A,$D56,MATERIAL_TARIFF_RULES!$C:$C,$B56)&lt;&gt;"",SUMIFS(MATERIAL_TARIFF_RULES!$E:$E,MATERIAL_TARIFF_RULES!$A:$A,$D56,MATERIAL_TARIFF_RULES!$C:$C,$B56),SUMIFS(TARIFF_PROFILES!$E:$E,TARIFF_PROFILES!$A:$A,$B56)),1),"")))</f>
        <v/>
      </c>
      <c r="K56" s="24">
        <f>IF($C56="","",IF($C56="Material",IFERROR(SUMIFS(MATERIAL_MASTER!$P:$P,MATERIAL_MASTER!$A:$A,$D56)*IF(SUMIFS(MATERIAL_TARIFF_RULES!$F:$F,MATERIAL_TARIFF_RULES!$A:$A,$D56,MATERIAL_TARIFF_RULES!$C:$C,$B56)="",SUMIFS(TARIFF_PROFILES!$H:$H,TARIFF_PROFILES!$A:$A,$B56),SUMIFS(MATERIAL_TARIFF_RULES!$F:$F,MATERIAL_TARIFF_RULES!$A:$A,$D56,MATERIAL_TARIFF_RULES!$C:$C,$B56)),1),1))</f>
        <v/>
      </c>
      <c r="L56" s="24">
        <f>IF($C56="","",IF($C56="Work",N($H56)*N($I56)*N($J56),IF($C56="Material",N($H56)*N($I56)*N($J56),"")))</f>
        <v/>
      </c>
      <c r="M56" s="24">
        <f>IF($C56="","",IF($C56="Material",N($G56)*N($K56),N($G56)))</f>
        <v/>
      </c>
      <c r="N56" s="24">
        <f>IF($C56="","",N($L56)*N($M56))</f>
        <v/>
      </c>
      <c r="O56" s="5">
        <f>IF($C56="","",IF($C56="Work","Тариф влияет на способ/детализацию и коэффициент работ",IF($C56="Material","Тариф влияет на вариант, качество, запас и показ материала","")))</f>
        <v/>
      </c>
    </row>
    <row r="57">
      <c r="A57" s="5" t="n"/>
      <c r="B57" s="5" t="n"/>
      <c r="C57" s="5" t="n"/>
      <c r="D57" s="5" t="n"/>
      <c r="E57" s="5" t="n"/>
      <c r="F57" s="5">
        <f>IF($C57="","",IF($C57="Work",IFERROR(IF(SUMIFS(WORK_TARIFF_RULES!$G:$G,WORK_TARIFF_RULES!$A:$A,$D57,WORK_TARIFF_RULES!$C:$C,$B57)&lt;&gt;"",SUMIFS(WORK_TARIFF_RULES!$G:$G,WORK_TARIFF_RULES!$A:$A,$D57,WORK_TARIFF_RULES!$C:$C,$B57),SUMIFS(WORK_MASTER!$C:$C,WORK_MASTER!$A:$A,$D57)),""),IF($C57="Material",IFERROR(IF(SUMIFS(MATERIAL_TARIFF_RULES!$G:$G,MATERIAL_TARIFF_RULES!$A:$A,$D57,MATERIAL_TARIFF_RULES!$C:$C,$B57)&lt;&gt;"",SUMIFS(MATERIAL_TARIFF_RULES!$G:$G,MATERIAL_TARIFF_RULES!$A:$A,$D57,MATERIAL_TARIFF_RULES!$C:$C,$B57),SUMIFS(MATERIAL_VARIANTS!$J:$J,MATERIAL_VARIANTS!$A:$A,$E57)),""),"")))</f>
        <v/>
      </c>
      <c r="G57" s="24" t="n"/>
      <c r="H57" s="24">
        <f>IF($C57="","",IF($C57="Work",IFERROR(SUMIFS(WORK_MASTER!$I:$I,WORK_MASTER!$A:$A,$D57),""),IF($C57="Material",IFERROR(SUMIFS(MATERIAL_VARIANTS!$I:$I,MATERIAL_VARIANTS!$A:$A,$E57),""),"")))</f>
        <v/>
      </c>
      <c r="I57" s="24">
        <f>IF($C57="","",IF($C57="Work",IFERROR(SUMIFS(WORK_FACTOR_APPLICABILITY!$O:$O,WORK_FACTOR_APPLICABILITY!$A:$A,$D57,WORK_FACTOR_APPLICABILITY!$N:$N,$A57),1),IF($C57="Material",IFERROR(ROUND(1+SUMIFS(MATERIAL_FACTOR_APPLICABILITY!$D:$D,MATERIAL_FACTOR_APPLICABILITY!$A:$A,SUMIFS(MATERIAL_MASTER!$O:$O,MATERIAL_MASTER!$A:$A,$D57),MATERIAL_FACTOR_APPLICABILITY!$B:$B,"GeometryComplexity")*(SUMIFS(OBJECT_CONDITIONS!$W:$W,OBJECT_CONDITIONS!$A:$A,$A57)-1),3),1),"")))</f>
        <v/>
      </c>
      <c r="J57" s="24">
        <f>IF($C57="","",IF($C57="Work",IFERROR(IF(SUMIFS(WORK_TARIFF_RULES!$F:$F,WORK_TARIFF_RULES!$A:$A,$D57,WORK_TARIFF_RULES!$C:$C,$B57)&lt;&gt;"",SUMIFS(WORK_TARIFF_RULES!$F:$F,WORK_TARIFF_RULES!$A:$A,$D57,WORK_TARIFF_RULES!$C:$C,$B57),SUMIFS(TARIFF_PROFILES!$D:$D,TARIFF_PROFILES!$A:$A,$B57)),1),IF($C57="Material",IFERROR(IF(SUMIFS(MATERIAL_TARIFF_RULES!$E:$E,MATERIAL_TARIFF_RULES!$A:$A,$D57,MATERIAL_TARIFF_RULES!$C:$C,$B57)&lt;&gt;"",SUMIFS(MATERIAL_TARIFF_RULES!$E:$E,MATERIAL_TARIFF_RULES!$A:$A,$D57,MATERIAL_TARIFF_RULES!$C:$C,$B57),SUMIFS(TARIFF_PROFILES!$E:$E,TARIFF_PROFILES!$A:$A,$B57)),1),"")))</f>
        <v/>
      </c>
      <c r="K57" s="24">
        <f>IF($C57="","",IF($C57="Material",IFERROR(SUMIFS(MATERIAL_MASTER!$P:$P,MATERIAL_MASTER!$A:$A,$D57)*IF(SUMIFS(MATERIAL_TARIFF_RULES!$F:$F,MATERIAL_TARIFF_RULES!$A:$A,$D57,MATERIAL_TARIFF_RULES!$C:$C,$B57)="",SUMIFS(TARIFF_PROFILES!$H:$H,TARIFF_PROFILES!$A:$A,$B57),SUMIFS(MATERIAL_TARIFF_RULES!$F:$F,MATERIAL_TARIFF_RULES!$A:$A,$D57,MATERIAL_TARIFF_RULES!$C:$C,$B57)),1),1))</f>
        <v/>
      </c>
      <c r="L57" s="24">
        <f>IF($C57="","",IF($C57="Work",N($H57)*N($I57)*N($J57),IF($C57="Material",N($H57)*N($I57)*N($J57),"")))</f>
        <v/>
      </c>
      <c r="M57" s="24">
        <f>IF($C57="","",IF($C57="Material",N($G57)*N($K57),N($G57)))</f>
        <v/>
      </c>
      <c r="N57" s="24">
        <f>IF($C57="","",N($L57)*N($M57))</f>
        <v/>
      </c>
      <c r="O57" s="5">
        <f>IF($C57="","",IF($C57="Work","Тариф влияет на способ/детализацию и коэффициент работ",IF($C57="Material","Тариф влияет на вариант, качество, запас и показ материала","")))</f>
        <v/>
      </c>
    </row>
    <row r="58">
      <c r="A58" s="5" t="n"/>
      <c r="B58" s="5" t="n"/>
      <c r="C58" s="5" t="n"/>
      <c r="D58" s="5" t="n"/>
      <c r="E58" s="5" t="n"/>
      <c r="F58" s="5">
        <f>IF($C58="","",IF($C58="Work",IFERROR(IF(SUMIFS(WORK_TARIFF_RULES!$G:$G,WORK_TARIFF_RULES!$A:$A,$D58,WORK_TARIFF_RULES!$C:$C,$B58)&lt;&gt;"",SUMIFS(WORK_TARIFF_RULES!$G:$G,WORK_TARIFF_RULES!$A:$A,$D58,WORK_TARIFF_RULES!$C:$C,$B58),SUMIFS(WORK_MASTER!$C:$C,WORK_MASTER!$A:$A,$D58)),""),IF($C58="Material",IFERROR(IF(SUMIFS(MATERIAL_TARIFF_RULES!$G:$G,MATERIAL_TARIFF_RULES!$A:$A,$D58,MATERIAL_TARIFF_RULES!$C:$C,$B58)&lt;&gt;"",SUMIFS(MATERIAL_TARIFF_RULES!$G:$G,MATERIAL_TARIFF_RULES!$A:$A,$D58,MATERIAL_TARIFF_RULES!$C:$C,$B58),SUMIFS(MATERIAL_VARIANTS!$J:$J,MATERIAL_VARIANTS!$A:$A,$E58)),""),"")))</f>
        <v/>
      </c>
      <c r="G58" s="24" t="n"/>
      <c r="H58" s="24">
        <f>IF($C58="","",IF($C58="Work",IFERROR(SUMIFS(WORK_MASTER!$I:$I,WORK_MASTER!$A:$A,$D58),""),IF($C58="Material",IFERROR(SUMIFS(MATERIAL_VARIANTS!$I:$I,MATERIAL_VARIANTS!$A:$A,$E58),""),"")))</f>
        <v/>
      </c>
      <c r="I58" s="24">
        <f>IF($C58="","",IF($C58="Work",IFERROR(SUMIFS(WORK_FACTOR_APPLICABILITY!$O:$O,WORK_FACTOR_APPLICABILITY!$A:$A,$D58,WORK_FACTOR_APPLICABILITY!$N:$N,$A58),1),IF($C58="Material",IFERROR(ROUND(1+SUMIFS(MATERIAL_FACTOR_APPLICABILITY!$D:$D,MATERIAL_FACTOR_APPLICABILITY!$A:$A,SUMIFS(MATERIAL_MASTER!$O:$O,MATERIAL_MASTER!$A:$A,$D58),MATERIAL_FACTOR_APPLICABILITY!$B:$B,"GeometryComplexity")*(SUMIFS(OBJECT_CONDITIONS!$W:$W,OBJECT_CONDITIONS!$A:$A,$A58)-1),3),1),"")))</f>
        <v/>
      </c>
      <c r="J58" s="24">
        <f>IF($C58="","",IF($C58="Work",IFERROR(IF(SUMIFS(WORK_TARIFF_RULES!$F:$F,WORK_TARIFF_RULES!$A:$A,$D58,WORK_TARIFF_RULES!$C:$C,$B58)&lt;&gt;"",SUMIFS(WORK_TARIFF_RULES!$F:$F,WORK_TARIFF_RULES!$A:$A,$D58,WORK_TARIFF_RULES!$C:$C,$B58),SUMIFS(TARIFF_PROFILES!$D:$D,TARIFF_PROFILES!$A:$A,$B58)),1),IF($C58="Material",IFERROR(IF(SUMIFS(MATERIAL_TARIFF_RULES!$E:$E,MATERIAL_TARIFF_RULES!$A:$A,$D58,MATERIAL_TARIFF_RULES!$C:$C,$B58)&lt;&gt;"",SUMIFS(MATERIAL_TARIFF_RULES!$E:$E,MATERIAL_TARIFF_RULES!$A:$A,$D58,MATERIAL_TARIFF_RULES!$C:$C,$B58),SUMIFS(TARIFF_PROFILES!$E:$E,TARIFF_PROFILES!$A:$A,$B58)),1),"")))</f>
        <v/>
      </c>
      <c r="K58" s="24">
        <f>IF($C58="","",IF($C58="Material",IFERROR(SUMIFS(MATERIAL_MASTER!$P:$P,MATERIAL_MASTER!$A:$A,$D58)*IF(SUMIFS(MATERIAL_TARIFF_RULES!$F:$F,MATERIAL_TARIFF_RULES!$A:$A,$D58,MATERIAL_TARIFF_RULES!$C:$C,$B58)="",SUMIFS(TARIFF_PROFILES!$H:$H,TARIFF_PROFILES!$A:$A,$B58),SUMIFS(MATERIAL_TARIFF_RULES!$F:$F,MATERIAL_TARIFF_RULES!$A:$A,$D58,MATERIAL_TARIFF_RULES!$C:$C,$B58)),1),1))</f>
        <v/>
      </c>
      <c r="L58" s="24">
        <f>IF($C58="","",IF($C58="Work",N($H58)*N($I58)*N($J58),IF($C58="Material",N($H58)*N($I58)*N($J58),"")))</f>
        <v/>
      </c>
      <c r="M58" s="24">
        <f>IF($C58="","",IF($C58="Material",N($G58)*N($K58),N($G58)))</f>
        <v/>
      </c>
      <c r="N58" s="24">
        <f>IF($C58="","",N($L58)*N($M58))</f>
        <v/>
      </c>
      <c r="O58" s="5">
        <f>IF($C58="","",IF($C58="Work","Тариф влияет на способ/детализацию и коэффициент работ",IF($C58="Material","Тариф влияет на вариант, качество, запас и показ материала","")))</f>
        <v/>
      </c>
    </row>
    <row r="59">
      <c r="A59" s="5" t="n"/>
      <c r="B59" s="5" t="n"/>
      <c r="C59" s="5" t="n"/>
      <c r="D59" s="5" t="n"/>
      <c r="E59" s="5" t="n"/>
      <c r="F59" s="5">
        <f>IF($C59="","",IF($C59="Work",IFERROR(IF(SUMIFS(WORK_TARIFF_RULES!$G:$G,WORK_TARIFF_RULES!$A:$A,$D59,WORK_TARIFF_RULES!$C:$C,$B59)&lt;&gt;"",SUMIFS(WORK_TARIFF_RULES!$G:$G,WORK_TARIFF_RULES!$A:$A,$D59,WORK_TARIFF_RULES!$C:$C,$B59),SUMIFS(WORK_MASTER!$C:$C,WORK_MASTER!$A:$A,$D59)),""),IF($C59="Material",IFERROR(IF(SUMIFS(MATERIAL_TARIFF_RULES!$G:$G,MATERIAL_TARIFF_RULES!$A:$A,$D59,MATERIAL_TARIFF_RULES!$C:$C,$B59)&lt;&gt;"",SUMIFS(MATERIAL_TARIFF_RULES!$G:$G,MATERIAL_TARIFF_RULES!$A:$A,$D59,MATERIAL_TARIFF_RULES!$C:$C,$B59),SUMIFS(MATERIAL_VARIANTS!$J:$J,MATERIAL_VARIANTS!$A:$A,$E59)),""),"")))</f>
        <v/>
      </c>
      <c r="G59" s="24" t="n"/>
      <c r="H59" s="24">
        <f>IF($C59="","",IF($C59="Work",IFERROR(SUMIFS(WORK_MASTER!$I:$I,WORK_MASTER!$A:$A,$D59),""),IF($C59="Material",IFERROR(SUMIFS(MATERIAL_VARIANTS!$I:$I,MATERIAL_VARIANTS!$A:$A,$E59),""),"")))</f>
        <v/>
      </c>
      <c r="I59" s="24">
        <f>IF($C59="","",IF($C59="Work",IFERROR(SUMIFS(WORK_FACTOR_APPLICABILITY!$O:$O,WORK_FACTOR_APPLICABILITY!$A:$A,$D59,WORK_FACTOR_APPLICABILITY!$N:$N,$A59),1),IF($C59="Material",IFERROR(ROUND(1+SUMIFS(MATERIAL_FACTOR_APPLICABILITY!$D:$D,MATERIAL_FACTOR_APPLICABILITY!$A:$A,SUMIFS(MATERIAL_MASTER!$O:$O,MATERIAL_MASTER!$A:$A,$D59),MATERIAL_FACTOR_APPLICABILITY!$B:$B,"GeometryComplexity")*(SUMIFS(OBJECT_CONDITIONS!$W:$W,OBJECT_CONDITIONS!$A:$A,$A59)-1),3),1),"")))</f>
        <v/>
      </c>
      <c r="J59" s="24">
        <f>IF($C59="","",IF($C59="Work",IFERROR(IF(SUMIFS(WORK_TARIFF_RULES!$F:$F,WORK_TARIFF_RULES!$A:$A,$D59,WORK_TARIFF_RULES!$C:$C,$B59)&lt;&gt;"",SUMIFS(WORK_TARIFF_RULES!$F:$F,WORK_TARIFF_RULES!$A:$A,$D59,WORK_TARIFF_RULES!$C:$C,$B59),SUMIFS(TARIFF_PROFILES!$D:$D,TARIFF_PROFILES!$A:$A,$B59)),1),IF($C59="Material",IFERROR(IF(SUMIFS(MATERIAL_TARIFF_RULES!$E:$E,MATERIAL_TARIFF_RULES!$A:$A,$D59,MATERIAL_TARIFF_RULES!$C:$C,$B59)&lt;&gt;"",SUMIFS(MATERIAL_TARIFF_RULES!$E:$E,MATERIAL_TARIFF_RULES!$A:$A,$D59,MATERIAL_TARIFF_RULES!$C:$C,$B59),SUMIFS(TARIFF_PROFILES!$E:$E,TARIFF_PROFILES!$A:$A,$B59)),1),"")))</f>
        <v/>
      </c>
      <c r="K59" s="24">
        <f>IF($C59="","",IF($C59="Material",IFERROR(SUMIFS(MATERIAL_MASTER!$P:$P,MATERIAL_MASTER!$A:$A,$D59)*IF(SUMIFS(MATERIAL_TARIFF_RULES!$F:$F,MATERIAL_TARIFF_RULES!$A:$A,$D59,MATERIAL_TARIFF_RULES!$C:$C,$B59)="",SUMIFS(TARIFF_PROFILES!$H:$H,TARIFF_PROFILES!$A:$A,$B59),SUMIFS(MATERIAL_TARIFF_RULES!$F:$F,MATERIAL_TARIFF_RULES!$A:$A,$D59,MATERIAL_TARIFF_RULES!$C:$C,$B59)),1),1))</f>
        <v/>
      </c>
      <c r="L59" s="24">
        <f>IF($C59="","",IF($C59="Work",N($H59)*N($I59)*N($J59),IF($C59="Material",N($H59)*N($I59)*N($J59),"")))</f>
        <v/>
      </c>
      <c r="M59" s="24">
        <f>IF($C59="","",IF($C59="Material",N($G59)*N($K59),N($G59)))</f>
        <v/>
      </c>
      <c r="N59" s="24">
        <f>IF($C59="","",N($L59)*N($M59))</f>
        <v/>
      </c>
      <c r="O59" s="5">
        <f>IF($C59="","",IF($C59="Work","Тариф влияет на способ/детализацию и коэффициент работ",IF($C59="Material","Тариф влияет на вариант, качество, запас и показ материала","")))</f>
        <v/>
      </c>
    </row>
    <row r="60">
      <c r="A60" s="5" t="n"/>
      <c r="B60" s="5" t="n"/>
      <c r="C60" s="5" t="n"/>
      <c r="D60" s="5" t="n"/>
      <c r="E60" s="5" t="n"/>
      <c r="F60" s="5">
        <f>IF($C60="","",IF($C60="Work",IFERROR(IF(SUMIFS(WORK_TARIFF_RULES!$G:$G,WORK_TARIFF_RULES!$A:$A,$D60,WORK_TARIFF_RULES!$C:$C,$B60)&lt;&gt;"",SUMIFS(WORK_TARIFF_RULES!$G:$G,WORK_TARIFF_RULES!$A:$A,$D60,WORK_TARIFF_RULES!$C:$C,$B60),SUMIFS(WORK_MASTER!$C:$C,WORK_MASTER!$A:$A,$D60)),""),IF($C60="Material",IFERROR(IF(SUMIFS(MATERIAL_TARIFF_RULES!$G:$G,MATERIAL_TARIFF_RULES!$A:$A,$D60,MATERIAL_TARIFF_RULES!$C:$C,$B60)&lt;&gt;"",SUMIFS(MATERIAL_TARIFF_RULES!$G:$G,MATERIAL_TARIFF_RULES!$A:$A,$D60,MATERIAL_TARIFF_RULES!$C:$C,$B60),SUMIFS(MATERIAL_VARIANTS!$J:$J,MATERIAL_VARIANTS!$A:$A,$E60)),""),"")))</f>
        <v/>
      </c>
      <c r="G60" s="24" t="n"/>
      <c r="H60" s="24">
        <f>IF($C60="","",IF($C60="Work",IFERROR(SUMIFS(WORK_MASTER!$I:$I,WORK_MASTER!$A:$A,$D60),""),IF($C60="Material",IFERROR(SUMIFS(MATERIAL_VARIANTS!$I:$I,MATERIAL_VARIANTS!$A:$A,$E60),""),"")))</f>
        <v/>
      </c>
      <c r="I60" s="24">
        <f>IF($C60="","",IF($C60="Work",IFERROR(SUMIFS(WORK_FACTOR_APPLICABILITY!$O:$O,WORK_FACTOR_APPLICABILITY!$A:$A,$D60,WORK_FACTOR_APPLICABILITY!$N:$N,$A60),1),IF($C60="Material",IFERROR(ROUND(1+SUMIFS(MATERIAL_FACTOR_APPLICABILITY!$D:$D,MATERIAL_FACTOR_APPLICABILITY!$A:$A,SUMIFS(MATERIAL_MASTER!$O:$O,MATERIAL_MASTER!$A:$A,$D60),MATERIAL_FACTOR_APPLICABILITY!$B:$B,"GeometryComplexity")*(SUMIFS(OBJECT_CONDITIONS!$W:$W,OBJECT_CONDITIONS!$A:$A,$A60)-1),3),1),"")))</f>
        <v/>
      </c>
      <c r="J60" s="24">
        <f>IF($C60="","",IF($C60="Work",IFERROR(IF(SUMIFS(WORK_TARIFF_RULES!$F:$F,WORK_TARIFF_RULES!$A:$A,$D60,WORK_TARIFF_RULES!$C:$C,$B60)&lt;&gt;"",SUMIFS(WORK_TARIFF_RULES!$F:$F,WORK_TARIFF_RULES!$A:$A,$D60,WORK_TARIFF_RULES!$C:$C,$B60),SUMIFS(TARIFF_PROFILES!$D:$D,TARIFF_PROFILES!$A:$A,$B60)),1),IF($C60="Material",IFERROR(IF(SUMIFS(MATERIAL_TARIFF_RULES!$E:$E,MATERIAL_TARIFF_RULES!$A:$A,$D60,MATERIAL_TARIFF_RULES!$C:$C,$B60)&lt;&gt;"",SUMIFS(MATERIAL_TARIFF_RULES!$E:$E,MATERIAL_TARIFF_RULES!$A:$A,$D60,MATERIAL_TARIFF_RULES!$C:$C,$B60),SUMIFS(TARIFF_PROFILES!$E:$E,TARIFF_PROFILES!$A:$A,$B60)),1),"")))</f>
        <v/>
      </c>
      <c r="K60" s="24">
        <f>IF($C60="","",IF($C60="Material",IFERROR(SUMIFS(MATERIAL_MASTER!$P:$P,MATERIAL_MASTER!$A:$A,$D60)*IF(SUMIFS(MATERIAL_TARIFF_RULES!$F:$F,MATERIAL_TARIFF_RULES!$A:$A,$D60,MATERIAL_TARIFF_RULES!$C:$C,$B60)="",SUMIFS(TARIFF_PROFILES!$H:$H,TARIFF_PROFILES!$A:$A,$B60),SUMIFS(MATERIAL_TARIFF_RULES!$F:$F,MATERIAL_TARIFF_RULES!$A:$A,$D60,MATERIAL_TARIFF_RULES!$C:$C,$B60)),1),1))</f>
        <v/>
      </c>
      <c r="L60" s="24">
        <f>IF($C60="","",IF($C60="Work",N($H60)*N($I60)*N($J60),IF($C60="Material",N($H60)*N($I60)*N($J60),"")))</f>
        <v/>
      </c>
      <c r="M60" s="24">
        <f>IF($C60="","",IF($C60="Material",N($G60)*N($K60),N($G60)))</f>
        <v/>
      </c>
      <c r="N60" s="24">
        <f>IF($C60="","",N($L60)*N($M60))</f>
        <v/>
      </c>
      <c r="O60" s="5">
        <f>IF($C60="","",IF($C60="Work","Тариф влияет на способ/детализацию и коэффициент работ",IF($C60="Material","Тариф влияет на вариант, качество, запас и показ материала","")))</f>
        <v/>
      </c>
    </row>
    <row r="61">
      <c r="A61" s="5" t="n"/>
      <c r="B61" s="5" t="n"/>
      <c r="C61" s="5" t="n"/>
      <c r="D61" s="5" t="n"/>
      <c r="E61" s="5" t="n"/>
      <c r="F61" s="5">
        <f>IF($C61="","",IF($C61="Work",IFERROR(IF(SUMIFS(WORK_TARIFF_RULES!$G:$G,WORK_TARIFF_RULES!$A:$A,$D61,WORK_TARIFF_RULES!$C:$C,$B61)&lt;&gt;"",SUMIFS(WORK_TARIFF_RULES!$G:$G,WORK_TARIFF_RULES!$A:$A,$D61,WORK_TARIFF_RULES!$C:$C,$B61),SUMIFS(WORK_MASTER!$C:$C,WORK_MASTER!$A:$A,$D61)),""),IF($C61="Material",IFERROR(IF(SUMIFS(MATERIAL_TARIFF_RULES!$G:$G,MATERIAL_TARIFF_RULES!$A:$A,$D61,MATERIAL_TARIFF_RULES!$C:$C,$B61)&lt;&gt;"",SUMIFS(MATERIAL_TARIFF_RULES!$G:$G,MATERIAL_TARIFF_RULES!$A:$A,$D61,MATERIAL_TARIFF_RULES!$C:$C,$B61),SUMIFS(MATERIAL_VARIANTS!$J:$J,MATERIAL_VARIANTS!$A:$A,$E61)),""),"")))</f>
        <v/>
      </c>
      <c r="G61" s="24" t="n"/>
      <c r="H61" s="24">
        <f>IF($C61="","",IF($C61="Work",IFERROR(SUMIFS(WORK_MASTER!$I:$I,WORK_MASTER!$A:$A,$D61),""),IF($C61="Material",IFERROR(SUMIFS(MATERIAL_VARIANTS!$I:$I,MATERIAL_VARIANTS!$A:$A,$E61),""),"")))</f>
        <v/>
      </c>
      <c r="I61" s="24">
        <f>IF($C61="","",IF($C61="Work",IFERROR(SUMIFS(WORK_FACTOR_APPLICABILITY!$O:$O,WORK_FACTOR_APPLICABILITY!$A:$A,$D61,WORK_FACTOR_APPLICABILITY!$N:$N,$A61),1),IF($C61="Material",IFERROR(ROUND(1+SUMIFS(MATERIAL_FACTOR_APPLICABILITY!$D:$D,MATERIAL_FACTOR_APPLICABILITY!$A:$A,SUMIFS(MATERIAL_MASTER!$O:$O,MATERIAL_MASTER!$A:$A,$D61),MATERIAL_FACTOR_APPLICABILITY!$B:$B,"GeometryComplexity")*(SUMIFS(OBJECT_CONDITIONS!$W:$W,OBJECT_CONDITIONS!$A:$A,$A61)-1),3),1),"")))</f>
        <v/>
      </c>
      <c r="J61" s="24">
        <f>IF($C61="","",IF($C61="Work",IFERROR(IF(SUMIFS(WORK_TARIFF_RULES!$F:$F,WORK_TARIFF_RULES!$A:$A,$D61,WORK_TARIFF_RULES!$C:$C,$B61)&lt;&gt;"",SUMIFS(WORK_TARIFF_RULES!$F:$F,WORK_TARIFF_RULES!$A:$A,$D61,WORK_TARIFF_RULES!$C:$C,$B61),SUMIFS(TARIFF_PROFILES!$D:$D,TARIFF_PROFILES!$A:$A,$B61)),1),IF($C61="Material",IFERROR(IF(SUMIFS(MATERIAL_TARIFF_RULES!$E:$E,MATERIAL_TARIFF_RULES!$A:$A,$D61,MATERIAL_TARIFF_RULES!$C:$C,$B61)&lt;&gt;"",SUMIFS(MATERIAL_TARIFF_RULES!$E:$E,MATERIAL_TARIFF_RULES!$A:$A,$D61,MATERIAL_TARIFF_RULES!$C:$C,$B61),SUMIFS(TARIFF_PROFILES!$E:$E,TARIFF_PROFILES!$A:$A,$B61)),1),"")))</f>
        <v/>
      </c>
      <c r="K61" s="24">
        <f>IF($C61="","",IF($C61="Material",IFERROR(SUMIFS(MATERIAL_MASTER!$P:$P,MATERIAL_MASTER!$A:$A,$D61)*IF(SUMIFS(MATERIAL_TARIFF_RULES!$F:$F,MATERIAL_TARIFF_RULES!$A:$A,$D61,MATERIAL_TARIFF_RULES!$C:$C,$B61)="",SUMIFS(TARIFF_PROFILES!$H:$H,TARIFF_PROFILES!$A:$A,$B61),SUMIFS(MATERIAL_TARIFF_RULES!$F:$F,MATERIAL_TARIFF_RULES!$A:$A,$D61,MATERIAL_TARIFF_RULES!$C:$C,$B61)),1),1))</f>
        <v/>
      </c>
      <c r="L61" s="24">
        <f>IF($C61="","",IF($C61="Work",N($H61)*N($I61)*N($J61),IF($C61="Material",N($H61)*N($I61)*N($J61),"")))</f>
        <v/>
      </c>
      <c r="M61" s="24">
        <f>IF($C61="","",IF($C61="Material",N($G61)*N($K61),N($G61)))</f>
        <v/>
      </c>
      <c r="N61" s="24">
        <f>IF($C61="","",N($L61)*N($M61))</f>
        <v/>
      </c>
      <c r="O61" s="5">
        <f>IF($C61="","",IF($C61="Work","Тариф влияет на способ/детализацию и коэффициент работ",IF($C61="Material","Тариф влияет на вариант, качество, запас и показ материала","")))</f>
        <v/>
      </c>
    </row>
    <row r="62">
      <c r="A62" s="5" t="n"/>
      <c r="B62" s="5" t="n"/>
      <c r="C62" s="5" t="n"/>
      <c r="D62" s="5" t="n"/>
      <c r="E62" s="5" t="n"/>
      <c r="F62" s="5">
        <f>IF($C62="","",IF($C62="Work",IFERROR(IF(SUMIFS(WORK_TARIFF_RULES!$G:$G,WORK_TARIFF_RULES!$A:$A,$D62,WORK_TARIFF_RULES!$C:$C,$B62)&lt;&gt;"",SUMIFS(WORK_TARIFF_RULES!$G:$G,WORK_TARIFF_RULES!$A:$A,$D62,WORK_TARIFF_RULES!$C:$C,$B62),SUMIFS(WORK_MASTER!$C:$C,WORK_MASTER!$A:$A,$D62)),""),IF($C62="Material",IFERROR(IF(SUMIFS(MATERIAL_TARIFF_RULES!$G:$G,MATERIAL_TARIFF_RULES!$A:$A,$D62,MATERIAL_TARIFF_RULES!$C:$C,$B62)&lt;&gt;"",SUMIFS(MATERIAL_TARIFF_RULES!$G:$G,MATERIAL_TARIFF_RULES!$A:$A,$D62,MATERIAL_TARIFF_RULES!$C:$C,$B62),SUMIFS(MATERIAL_VARIANTS!$J:$J,MATERIAL_VARIANTS!$A:$A,$E62)),""),"")))</f>
        <v/>
      </c>
      <c r="G62" s="24" t="n"/>
      <c r="H62" s="24">
        <f>IF($C62="","",IF($C62="Work",IFERROR(SUMIFS(WORK_MASTER!$I:$I,WORK_MASTER!$A:$A,$D62),""),IF($C62="Material",IFERROR(SUMIFS(MATERIAL_VARIANTS!$I:$I,MATERIAL_VARIANTS!$A:$A,$E62),""),"")))</f>
        <v/>
      </c>
      <c r="I62" s="24">
        <f>IF($C62="","",IF($C62="Work",IFERROR(SUMIFS(WORK_FACTOR_APPLICABILITY!$O:$O,WORK_FACTOR_APPLICABILITY!$A:$A,$D62,WORK_FACTOR_APPLICABILITY!$N:$N,$A62),1),IF($C62="Material",IFERROR(ROUND(1+SUMIFS(MATERIAL_FACTOR_APPLICABILITY!$D:$D,MATERIAL_FACTOR_APPLICABILITY!$A:$A,SUMIFS(MATERIAL_MASTER!$O:$O,MATERIAL_MASTER!$A:$A,$D62),MATERIAL_FACTOR_APPLICABILITY!$B:$B,"GeometryComplexity")*(SUMIFS(OBJECT_CONDITIONS!$W:$W,OBJECT_CONDITIONS!$A:$A,$A62)-1),3),1),"")))</f>
        <v/>
      </c>
      <c r="J62" s="24">
        <f>IF($C62="","",IF($C62="Work",IFERROR(IF(SUMIFS(WORK_TARIFF_RULES!$F:$F,WORK_TARIFF_RULES!$A:$A,$D62,WORK_TARIFF_RULES!$C:$C,$B62)&lt;&gt;"",SUMIFS(WORK_TARIFF_RULES!$F:$F,WORK_TARIFF_RULES!$A:$A,$D62,WORK_TARIFF_RULES!$C:$C,$B62),SUMIFS(TARIFF_PROFILES!$D:$D,TARIFF_PROFILES!$A:$A,$B62)),1),IF($C62="Material",IFERROR(IF(SUMIFS(MATERIAL_TARIFF_RULES!$E:$E,MATERIAL_TARIFF_RULES!$A:$A,$D62,MATERIAL_TARIFF_RULES!$C:$C,$B62)&lt;&gt;"",SUMIFS(MATERIAL_TARIFF_RULES!$E:$E,MATERIAL_TARIFF_RULES!$A:$A,$D62,MATERIAL_TARIFF_RULES!$C:$C,$B62),SUMIFS(TARIFF_PROFILES!$E:$E,TARIFF_PROFILES!$A:$A,$B62)),1),"")))</f>
        <v/>
      </c>
      <c r="K62" s="24">
        <f>IF($C62="","",IF($C62="Material",IFERROR(SUMIFS(MATERIAL_MASTER!$P:$P,MATERIAL_MASTER!$A:$A,$D62)*IF(SUMIFS(MATERIAL_TARIFF_RULES!$F:$F,MATERIAL_TARIFF_RULES!$A:$A,$D62,MATERIAL_TARIFF_RULES!$C:$C,$B62)="",SUMIFS(TARIFF_PROFILES!$H:$H,TARIFF_PROFILES!$A:$A,$B62),SUMIFS(MATERIAL_TARIFF_RULES!$F:$F,MATERIAL_TARIFF_RULES!$A:$A,$D62,MATERIAL_TARIFF_RULES!$C:$C,$B62)),1),1))</f>
        <v/>
      </c>
      <c r="L62" s="24">
        <f>IF($C62="","",IF($C62="Work",N($H62)*N($I62)*N($J62),IF($C62="Material",N($H62)*N($I62)*N($J62),"")))</f>
        <v/>
      </c>
      <c r="M62" s="24">
        <f>IF($C62="","",IF($C62="Material",N($G62)*N($K62),N($G62)))</f>
        <v/>
      </c>
      <c r="N62" s="24">
        <f>IF($C62="","",N($L62)*N($M62))</f>
        <v/>
      </c>
      <c r="O62" s="5">
        <f>IF($C62="","",IF($C62="Work","Тариф влияет на способ/детализацию и коэффициент работ",IF($C62="Material","Тариф влияет на вариант, качество, запас и показ материала","")))</f>
        <v/>
      </c>
    </row>
    <row r="63">
      <c r="A63" s="5" t="n"/>
      <c r="B63" s="5" t="n"/>
      <c r="C63" s="5" t="n"/>
      <c r="D63" s="5" t="n"/>
      <c r="E63" s="5" t="n"/>
      <c r="F63" s="5">
        <f>IF($C63="","",IF($C63="Work",IFERROR(IF(SUMIFS(WORK_TARIFF_RULES!$G:$G,WORK_TARIFF_RULES!$A:$A,$D63,WORK_TARIFF_RULES!$C:$C,$B63)&lt;&gt;"",SUMIFS(WORK_TARIFF_RULES!$G:$G,WORK_TARIFF_RULES!$A:$A,$D63,WORK_TARIFF_RULES!$C:$C,$B63),SUMIFS(WORK_MASTER!$C:$C,WORK_MASTER!$A:$A,$D63)),""),IF($C63="Material",IFERROR(IF(SUMIFS(MATERIAL_TARIFF_RULES!$G:$G,MATERIAL_TARIFF_RULES!$A:$A,$D63,MATERIAL_TARIFF_RULES!$C:$C,$B63)&lt;&gt;"",SUMIFS(MATERIAL_TARIFF_RULES!$G:$G,MATERIAL_TARIFF_RULES!$A:$A,$D63,MATERIAL_TARIFF_RULES!$C:$C,$B63),SUMIFS(MATERIAL_VARIANTS!$J:$J,MATERIAL_VARIANTS!$A:$A,$E63)),""),"")))</f>
        <v/>
      </c>
      <c r="G63" s="24" t="n"/>
      <c r="H63" s="24">
        <f>IF($C63="","",IF($C63="Work",IFERROR(SUMIFS(WORK_MASTER!$I:$I,WORK_MASTER!$A:$A,$D63),""),IF($C63="Material",IFERROR(SUMIFS(MATERIAL_VARIANTS!$I:$I,MATERIAL_VARIANTS!$A:$A,$E63),""),"")))</f>
        <v/>
      </c>
      <c r="I63" s="24">
        <f>IF($C63="","",IF($C63="Work",IFERROR(SUMIFS(WORK_FACTOR_APPLICABILITY!$O:$O,WORK_FACTOR_APPLICABILITY!$A:$A,$D63,WORK_FACTOR_APPLICABILITY!$N:$N,$A63),1),IF($C63="Material",IFERROR(ROUND(1+SUMIFS(MATERIAL_FACTOR_APPLICABILITY!$D:$D,MATERIAL_FACTOR_APPLICABILITY!$A:$A,SUMIFS(MATERIAL_MASTER!$O:$O,MATERIAL_MASTER!$A:$A,$D63),MATERIAL_FACTOR_APPLICABILITY!$B:$B,"GeometryComplexity")*(SUMIFS(OBJECT_CONDITIONS!$W:$W,OBJECT_CONDITIONS!$A:$A,$A63)-1),3),1),"")))</f>
        <v/>
      </c>
      <c r="J63" s="24">
        <f>IF($C63="","",IF($C63="Work",IFERROR(IF(SUMIFS(WORK_TARIFF_RULES!$F:$F,WORK_TARIFF_RULES!$A:$A,$D63,WORK_TARIFF_RULES!$C:$C,$B63)&lt;&gt;"",SUMIFS(WORK_TARIFF_RULES!$F:$F,WORK_TARIFF_RULES!$A:$A,$D63,WORK_TARIFF_RULES!$C:$C,$B63),SUMIFS(TARIFF_PROFILES!$D:$D,TARIFF_PROFILES!$A:$A,$B63)),1),IF($C63="Material",IFERROR(IF(SUMIFS(MATERIAL_TARIFF_RULES!$E:$E,MATERIAL_TARIFF_RULES!$A:$A,$D63,MATERIAL_TARIFF_RULES!$C:$C,$B63)&lt;&gt;"",SUMIFS(MATERIAL_TARIFF_RULES!$E:$E,MATERIAL_TARIFF_RULES!$A:$A,$D63,MATERIAL_TARIFF_RULES!$C:$C,$B63),SUMIFS(TARIFF_PROFILES!$E:$E,TARIFF_PROFILES!$A:$A,$B63)),1),"")))</f>
        <v/>
      </c>
      <c r="K63" s="24">
        <f>IF($C63="","",IF($C63="Material",IFERROR(SUMIFS(MATERIAL_MASTER!$P:$P,MATERIAL_MASTER!$A:$A,$D63)*IF(SUMIFS(MATERIAL_TARIFF_RULES!$F:$F,MATERIAL_TARIFF_RULES!$A:$A,$D63,MATERIAL_TARIFF_RULES!$C:$C,$B63)="",SUMIFS(TARIFF_PROFILES!$H:$H,TARIFF_PROFILES!$A:$A,$B63),SUMIFS(MATERIAL_TARIFF_RULES!$F:$F,MATERIAL_TARIFF_RULES!$A:$A,$D63,MATERIAL_TARIFF_RULES!$C:$C,$B63)),1),1))</f>
        <v/>
      </c>
      <c r="L63" s="24">
        <f>IF($C63="","",IF($C63="Work",N($H63)*N($I63)*N($J63),IF($C63="Material",N($H63)*N($I63)*N($J63),"")))</f>
        <v/>
      </c>
      <c r="M63" s="24">
        <f>IF($C63="","",IF($C63="Material",N($G63)*N($K63),N($G63)))</f>
        <v/>
      </c>
      <c r="N63" s="24">
        <f>IF($C63="","",N($L63)*N($M63))</f>
        <v/>
      </c>
      <c r="O63" s="5">
        <f>IF($C63="","",IF($C63="Work","Тариф влияет на способ/детализацию и коэффициент работ",IF($C63="Material","Тариф влияет на вариант, качество, запас и показ материала","")))</f>
        <v/>
      </c>
    </row>
    <row r="64">
      <c r="A64" s="5" t="n"/>
      <c r="B64" s="5" t="n"/>
      <c r="C64" s="5" t="n"/>
      <c r="D64" s="5" t="n"/>
      <c r="E64" s="5" t="n"/>
      <c r="F64" s="5">
        <f>IF($C64="","",IF($C64="Work",IFERROR(IF(SUMIFS(WORK_TARIFF_RULES!$G:$G,WORK_TARIFF_RULES!$A:$A,$D64,WORK_TARIFF_RULES!$C:$C,$B64)&lt;&gt;"",SUMIFS(WORK_TARIFF_RULES!$G:$G,WORK_TARIFF_RULES!$A:$A,$D64,WORK_TARIFF_RULES!$C:$C,$B64),SUMIFS(WORK_MASTER!$C:$C,WORK_MASTER!$A:$A,$D64)),""),IF($C64="Material",IFERROR(IF(SUMIFS(MATERIAL_TARIFF_RULES!$G:$G,MATERIAL_TARIFF_RULES!$A:$A,$D64,MATERIAL_TARIFF_RULES!$C:$C,$B64)&lt;&gt;"",SUMIFS(MATERIAL_TARIFF_RULES!$G:$G,MATERIAL_TARIFF_RULES!$A:$A,$D64,MATERIAL_TARIFF_RULES!$C:$C,$B64),SUMIFS(MATERIAL_VARIANTS!$J:$J,MATERIAL_VARIANTS!$A:$A,$E64)),""),"")))</f>
        <v/>
      </c>
      <c r="G64" s="24" t="n"/>
      <c r="H64" s="24">
        <f>IF($C64="","",IF($C64="Work",IFERROR(SUMIFS(WORK_MASTER!$I:$I,WORK_MASTER!$A:$A,$D64),""),IF($C64="Material",IFERROR(SUMIFS(MATERIAL_VARIANTS!$I:$I,MATERIAL_VARIANTS!$A:$A,$E64),""),"")))</f>
        <v/>
      </c>
      <c r="I64" s="24">
        <f>IF($C64="","",IF($C64="Work",IFERROR(SUMIFS(WORK_FACTOR_APPLICABILITY!$O:$O,WORK_FACTOR_APPLICABILITY!$A:$A,$D64,WORK_FACTOR_APPLICABILITY!$N:$N,$A64),1),IF($C64="Material",IFERROR(ROUND(1+SUMIFS(MATERIAL_FACTOR_APPLICABILITY!$D:$D,MATERIAL_FACTOR_APPLICABILITY!$A:$A,SUMIFS(MATERIAL_MASTER!$O:$O,MATERIAL_MASTER!$A:$A,$D64),MATERIAL_FACTOR_APPLICABILITY!$B:$B,"GeometryComplexity")*(SUMIFS(OBJECT_CONDITIONS!$W:$W,OBJECT_CONDITIONS!$A:$A,$A64)-1),3),1),"")))</f>
        <v/>
      </c>
      <c r="J64" s="24">
        <f>IF($C64="","",IF($C64="Work",IFERROR(IF(SUMIFS(WORK_TARIFF_RULES!$F:$F,WORK_TARIFF_RULES!$A:$A,$D64,WORK_TARIFF_RULES!$C:$C,$B64)&lt;&gt;"",SUMIFS(WORK_TARIFF_RULES!$F:$F,WORK_TARIFF_RULES!$A:$A,$D64,WORK_TARIFF_RULES!$C:$C,$B64),SUMIFS(TARIFF_PROFILES!$D:$D,TARIFF_PROFILES!$A:$A,$B64)),1),IF($C64="Material",IFERROR(IF(SUMIFS(MATERIAL_TARIFF_RULES!$E:$E,MATERIAL_TARIFF_RULES!$A:$A,$D64,MATERIAL_TARIFF_RULES!$C:$C,$B64)&lt;&gt;"",SUMIFS(MATERIAL_TARIFF_RULES!$E:$E,MATERIAL_TARIFF_RULES!$A:$A,$D64,MATERIAL_TARIFF_RULES!$C:$C,$B64),SUMIFS(TARIFF_PROFILES!$E:$E,TARIFF_PROFILES!$A:$A,$B64)),1),"")))</f>
        <v/>
      </c>
      <c r="K64" s="24">
        <f>IF($C64="","",IF($C64="Material",IFERROR(SUMIFS(MATERIAL_MASTER!$P:$P,MATERIAL_MASTER!$A:$A,$D64)*IF(SUMIFS(MATERIAL_TARIFF_RULES!$F:$F,MATERIAL_TARIFF_RULES!$A:$A,$D64,MATERIAL_TARIFF_RULES!$C:$C,$B64)="",SUMIFS(TARIFF_PROFILES!$H:$H,TARIFF_PROFILES!$A:$A,$B64),SUMIFS(MATERIAL_TARIFF_RULES!$F:$F,MATERIAL_TARIFF_RULES!$A:$A,$D64,MATERIAL_TARIFF_RULES!$C:$C,$B64)),1),1))</f>
        <v/>
      </c>
      <c r="L64" s="24">
        <f>IF($C64="","",IF($C64="Work",N($H64)*N($I64)*N($J64),IF($C64="Material",N($H64)*N($I64)*N($J64),"")))</f>
        <v/>
      </c>
      <c r="M64" s="24">
        <f>IF($C64="","",IF($C64="Material",N($G64)*N($K64),N($G64)))</f>
        <v/>
      </c>
      <c r="N64" s="24">
        <f>IF($C64="","",N($L64)*N($M64))</f>
        <v/>
      </c>
      <c r="O64" s="5">
        <f>IF($C64="","",IF($C64="Work","Тариф влияет на способ/детализацию и коэффициент работ",IF($C64="Material","Тариф влияет на вариант, качество, запас и показ материала","")))</f>
        <v/>
      </c>
    </row>
    <row r="65">
      <c r="A65" s="5" t="n"/>
      <c r="B65" s="5" t="n"/>
      <c r="C65" s="5" t="n"/>
      <c r="D65" s="5" t="n"/>
      <c r="E65" s="5" t="n"/>
      <c r="F65" s="5">
        <f>IF($C65="","",IF($C65="Work",IFERROR(IF(SUMIFS(WORK_TARIFF_RULES!$G:$G,WORK_TARIFF_RULES!$A:$A,$D65,WORK_TARIFF_RULES!$C:$C,$B65)&lt;&gt;"",SUMIFS(WORK_TARIFF_RULES!$G:$G,WORK_TARIFF_RULES!$A:$A,$D65,WORK_TARIFF_RULES!$C:$C,$B65),SUMIFS(WORK_MASTER!$C:$C,WORK_MASTER!$A:$A,$D65)),""),IF($C65="Material",IFERROR(IF(SUMIFS(MATERIAL_TARIFF_RULES!$G:$G,MATERIAL_TARIFF_RULES!$A:$A,$D65,MATERIAL_TARIFF_RULES!$C:$C,$B65)&lt;&gt;"",SUMIFS(MATERIAL_TARIFF_RULES!$G:$G,MATERIAL_TARIFF_RULES!$A:$A,$D65,MATERIAL_TARIFF_RULES!$C:$C,$B65),SUMIFS(MATERIAL_VARIANTS!$J:$J,MATERIAL_VARIANTS!$A:$A,$E65)),""),"")))</f>
        <v/>
      </c>
      <c r="G65" s="24" t="n"/>
      <c r="H65" s="24">
        <f>IF($C65="","",IF($C65="Work",IFERROR(SUMIFS(WORK_MASTER!$I:$I,WORK_MASTER!$A:$A,$D65),""),IF($C65="Material",IFERROR(SUMIFS(MATERIAL_VARIANTS!$I:$I,MATERIAL_VARIANTS!$A:$A,$E65),""),"")))</f>
        <v/>
      </c>
      <c r="I65" s="24">
        <f>IF($C65="","",IF($C65="Work",IFERROR(SUMIFS(WORK_FACTOR_APPLICABILITY!$O:$O,WORK_FACTOR_APPLICABILITY!$A:$A,$D65,WORK_FACTOR_APPLICABILITY!$N:$N,$A65),1),IF($C65="Material",IFERROR(ROUND(1+SUMIFS(MATERIAL_FACTOR_APPLICABILITY!$D:$D,MATERIAL_FACTOR_APPLICABILITY!$A:$A,SUMIFS(MATERIAL_MASTER!$O:$O,MATERIAL_MASTER!$A:$A,$D65),MATERIAL_FACTOR_APPLICABILITY!$B:$B,"GeometryComplexity")*(SUMIFS(OBJECT_CONDITIONS!$W:$W,OBJECT_CONDITIONS!$A:$A,$A65)-1),3),1),"")))</f>
        <v/>
      </c>
      <c r="J65" s="24">
        <f>IF($C65="","",IF($C65="Work",IFERROR(IF(SUMIFS(WORK_TARIFF_RULES!$F:$F,WORK_TARIFF_RULES!$A:$A,$D65,WORK_TARIFF_RULES!$C:$C,$B65)&lt;&gt;"",SUMIFS(WORK_TARIFF_RULES!$F:$F,WORK_TARIFF_RULES!$A:$A,$D65,WORK_TARIFF_RULES!$C:$C,$B65),SUMIFS(TARIFF_PROFILES!$D:$D,TARIFF_PROFILES!$A:$A,$B65)),1),IF($C65="Material",IFERROR(IF(SUMIFS(MATERIAL_TARIFF_RULES!$E:$E,MATERIAL_TARIFF_RULES!$A:$A,$D65,MATERIAL_TARIFF_RULES!$C:$C,$B65)&lt;&gt;"",SUMIFS(MATERIAL_TARIFF_RULES!$E:$E,MATERIAL_TARIFF_RULES!$A:$A,$D65,MATERIAL_TARIFF_RULES!$C:$C,$B65),SUMIFS(TARIFF_PROFILES!$E:$E,TARIFF_PROFILES!$A:$A,$B65)),1),"")))</f>
        <v/>
      </c>
      <c r="K65" s="24">
        <f>IF($C65="","",IF($C65="Material",IFERROR(SUMIFS(MATERIAL_MASTER!$P:$P,MATERIAL_MASTER!$A:$A,$D65)*IF(SUMIFS(MATERIAL_TARIFF_RULES!$F:$F,MATERIAL_TARIFF_RULES!$A:$A,$D65,MATERIAL_TARIFF_RULES!$C:$C,$B65)="",SUMIFS(TARIFF_PROFILES!$H:$H,TARIFF_PROFILES!$A:$A,$B65),SUMIFS(MATERIAL_TARIFF_RULES!$F:$F,MATERIAL_TARIFF_RULES!$A:$A,$D65,MATERIAL_TARIFF_RULES!$C:$C,$B65)),1),1))</f>
        <v/>
      </c>
      <c r="L65" s="24">
        <f>IF($C65="","",IF($C65="Work",N($H65)*N($I65)*N($J65),IF($C65="Material",N($H65)*N($I65)*N($J65),"")))</f>
        <v/>
      </c>
      <c r="M65" s="24">
        <f>IF($C65="","",IF($C65="Material",N($G65)*N($K65),N($G65)))</f>
        <v/>
      </c>
      <c r="N65" s="24">
        <f>IF($C65="","",N($L65)*N($M65))</f>
        <v/>
      </c>
      <c r="O65" s="5">
        <f>IF($C65="","",IF($C65="Work","Тариф влияет на способ/детализацию и коэффициент работ",IF($C65="Material","Тариф влияет на вариант, качество, запас и показ материала","")))</f>
        <v/>
      </c>
    </row>
    <row r="66">
      <c r="A66" s="5" t="n"/>
      <c r="B66" s="5" t="n"/>
      <c r="C66" s="5" t="n"/>
      <c r="D66" s="5" t="n"/>
      <c r="E66" s="5" t="n"/>
      <c r="F66" s="5">
        <f>IF($C66="","",IF($C66="Work",IFERROR(IF(SUMIFS(WORK_TARIFF_RULES!$G:$G,WORK_TARIFF_RULES!$A:$A,$D66,WORK_TARIFF_RULES!$C:$C,$B66)&lt;&gt;"",SUMIFS(WORK_TARIFF_RULES!$G:$G,WORK_TARIFF_RULES!$A:$A,$D66,WORK_TARIFF_RULES!$C:$C,$B66),SUMIFS(WORK_MASTER!$C:$C,WORK_MASTER!$A:$A,$D66)),""),IF($C66="Material",IFERROR(IF(SUMIFS(MATERIAL_TARIFF_RULES!$G:$G,MATERIAL_TARIFF_RULES!$A:$A,$D66,MATERIAL_TARIFF_RULES!$C:$C,$B66)&lt;&gt;"",SUMIFS(MATERIAL_TARIFF_RULES!$G:$G,MATERIAL_TARIFF_RULES!$A:$A,$D66,MATERIAL_TARIFF_RULES!$C:$C,$B66),SUMIFS(MATERIAL_VARIANTS!$J:$J,MATERIAL_VARIANTS!$A:$A,$E66)),""),"")))</f>
        <v/>
      </c>
      <c r="G66" s="24" t="n"/>
      <c r="H66" s="24">
        <f>IF($C66="","",IF($C66="Work",IFERROR(SUMIFS(WORK_MASTER!$I:$I,WORK_MASTER!$A:$A,$D66),""),IF($C66="Material",IFERROR(SUMIFS(MATERIAL_VARIANTS!$I:$I,MATERIAL_VARIANTS!$A:$A,$E66),""),"")))</f>
        <v/>
      </c>
      <c r="I66" s="24">
        <f>IF($C66="","",IF($C66="Work",IFERROR(SUMIFS(WORK_FACTOR_APPLICABILITY!$O:$O,WORK_FACTOR_APPLICABILITY!$A:$A,$D66,WORK_FACTOR_APPLICABILITY!$N:$N,$A66),1),IF($C66="Material",IFERROR(ROUND(1+SUMIFS(MATERIAL_FACTOR_APPLICABILITY!$D:$D,MATERIAL_FACTOR_APPLICABILITY!$A:$A,SUMIFS(MATERIAL_MASTER!$O:$O,MATERIAL_MASTER!$A:$A,$D66),MATERIAL_FACTOR_APPLICABILITY!$B:$B,"GeometryComplexity")*(SUMIFS(OBJECT_CONDITIONS!$W:$W,OBJECT_CONDITIONS!$A:$A,$A66)-1),3),1),"")))</f>
        <v/>
      </c>
      <c r="J66" s="24">
        <f>IF($C66="","",IF($C66="Work",IFERROR(IF(SUMIFS(WORK_TARIFF_RULES!$F:$F,WORK_TARIFF_RULES!$A:$A,$D66,WORK_TARIFF_RULES!$C:$C,$B66)&lt;&gt;"",SUMIFS(WORK_TARIFF_RULES!$F:$F,WORK_TARIFF_RULES!$A:$A,$D66,WORK_TARIFF_RULES!$C:$C,$B66),SUMIFS(TARIFF_PROFILES!$D:$D,TARIFF_PROFILES!$A:$A,$B66)),1),IF($C66="Material",IFERROR(IF(SUMIFS(MATERIAL_TARIFF_RULES!$E:$E,MATERIAL_TARIFF_RULES!$A:$A,$D66,MATERIAL_TARIFF_RULES!$C:$C,$B66)&lt;&gt;"",SUMIFS(MATERIAL_TARIFF_RULES!$E:$E,MATERIAL_TARIFF_RULES!$A:$A,$D66,MATERIAL_TARIFF_RULES!$C:$C,$B66),SUMIFS(TARIFF_PROFILES!$E:$E,TARIFF_PROFILES!$A:$A,$B66)),1),"")))</f>
        <v/>
      </c>
      <c r="K66" s="24">
        <f>IF($C66="","",IF($C66="Material",IFERROR(SUMIFS(MATERIAL_MASTER!$P:$P,MATERIAL_MASTER!$A:$A,$D66)*IF(SUMIFS(MATERIAL_TARIFF_RULES!$F:$F,MATERIAL_TARIFF_RULES!$A:$A,$D66,MATERIAL_TARIFF_RULES!$C:$C,$B66)="",SUMIFS(TARIFF_PROFILES!$H:$H,TARIFF_PROFILES!$A:$A,$B66),SUMIFS(MATERIAL_TARIFF_RULES!$F:$F,MATERIAL_TARIFF_RULES!$A:$A,$D66,MATERIAL_TARIFF_RULES!$C:$C,$B66)),1),1))</f>
        <v/>
      </c>
      <c r="L66" s="24">
        <f>IF($C66="","",IF($C66="Work",N($H66)*N($I66)*N($J66),IF($C66="Material",N($H66)*N($I66)*N($J66),"")))</f>
        <v/>
      </c>
      <c r="M66" s="24">
        <f>IF($C66="","",IF($C66="Material",N($G66)*N($K66),N($G66)))</f>
        <v/>
      </c>
      <c r="N66" s="24">
        <f>IF($C66="","",N($L66)*N($M66))</f>
        <v/>
      </c>
      <c r="O66" s="5">
        <f>IF($C66="","",IF($C66="Work","Тариф влияет на способ/детализацию и коэффициент работ",IF($C66="Material","Тариф влияет на вариант, качество, запас и показ материала","")))</f>
        <v/>
      </c>
    </row>
    <row r="67">
      <c r="A67" s="5" t="n"/>
      <c r="B67" s="5" t="n"/>
      <c r="C67" s="5" t="n"/>
      <c r="D67" s="5" t="n"/>
      <c r="E67" s="5" t="n"/>
      <c r="F67" s="5">
        <f>IF($C67="","",IF($C67="Work",IFERROR(IF(SUMIFS(WORK_TARIFF_RULES!$G:$G,WORK_TARIFF_RULES!$A:$A,$D67,WORK_TARIFF_RULES!$C:$C,$B67)&lt;&gt;"",SUMIFS(WORK_TARIFF_RULES!$G:$G,WORK_TARIFF_RULES!$A:$A,$D67,WORK_TARIFF_RULES!$C:$C,$B67),SUMIFS(WORK_MASTER!$C:$C,WORK_MASTER!$A:$A,$D67)),""),IF($C67="Material",IFERROR(IF(SUMIFS(MATERIAL_TARIFF_RULES!$G:$G,MATERIAL_TARIFF_RULES!$A:$A,$D67,MATERIAL_TARIFF_RULES!$C:$C,$B67)&lt;&gt;"",SUMIFS(MATERIAL_TARIFF_RULES!$G:$G,MATERIAL_TARIFF_RULES!$A:$A,$D67,MATERIAL_TARIFF_RULES!$C:$C,$B67),SUMIFS(MATERIAL_VARIANTS!$J:$J,MATERIAL_VARIANTS!$A:$A,$E67)),""),"")))</f>
        <v/>
      </c>
      <c r="G67" s="24" t="n"/>
      <c r="H67" s="24">
        <f>IF($C67="","",IF($C67="Work",IFERROR(SUMIFS(WORK_MASTER!$I:$I,WORK_MASTER!$A:$A,$D67),""),IF($C67="Material",IFERROR(SUMIFS(MATERIAL_VARIANTS!$I:$I,MATERIAL_VARIANTS!$A:$A,$E67),""),"")))</f>
        <v/>
      </c>
      <c r="I67" s="24">
        <f>IF($C67="","",IF($C67="Work",IFERROR(SUMIFS(WORK_FACTOR_APPLICABILITY!$O:$O,WORK_FACTOR_APPLICABILITY!$A:$A,$D67,WORK_FACTOR_APPLICABILITY!$N:$N,$A67),1),IF($C67="Material",IFERROR(ROUND(1+SUMIFS(MATERIAL_FACTOR_APPLICABILITY!$D:$D,MATERIAL_FACTOR_APPLICABILITY!$A:$A,SUMIFS(MATERIAL_MASTER!$O:$O,MATERIAL_MASTER!$A:$A,$D67),MATERIAL_FACTOR_APPLICABILITY!$B:$B,"GeometryComplexity")*(SUMIFS(OBJECT_CONDITIONS!$W:$W,OBJECT_CONDITIONS!$A:$A,$A67)-1),3),1),"")))</f>
        <v/>
      </c>
      <c r="J67" s="24">
        <f>IF($C67="","",IF($C67="Work",IFERROR(IF(SUMIFS(WORK_TARIFF_RULES!$F:$F,WORK_TARIFF_RULES!$A:$A,$D67,WORK_TARIFF_RULES!$C:$C,$B67)&lt;&gt;"",SUMIFS(WORK_TARIFF_RULES!$F:$F,WORK_TARIFF_RULES!$A:$A,$D67,WORK_TARIFF_RULES!$C:$C,$B67),SUMIFS(TARIFF_PROFILES!$D:$D,TARIFF_PROFILES!$A:$A,$B67)),1),IF($C67="Material",IFERROR(IF(SUMIFS(MATERIAL_TARIFF_RULES!$E:$E,MATERIAL_TARIFF_RULES!$A:$A,$D67,MATERIAL_TARIFF_RULES!$C:$C,$B67)&lt;&gt;"",SUMIFS(MATERIAL_TARIFF_RULES!$E:$E,MATERIAL_TARIFF_RULES!$A:$A,$D67,MATERIAL_TARIFF_RULES!$C:$C,$B67),SUMIFS(TARIFF_PROFILES!$E:$E,TARIFF_PROFILES!$A:$A,$B67)),1),"")))</f>
        <v/>
      </c>
      <c r="K67" s="24">
        <f>IF($C67="","",IF($C67="Material",IFERROR(SUMIFS(MATERIAL_MASTER!$P:$P,MATERIAL_MASTER!$A:$A,$D67)*IF(SUMIFS(MATERIAL_TARIFF_RULES!$F:$F,MATERIAL_TARIFF_RULES!$A:$A,$D67,MATERIAL_TARIFF_RULES!$C:$C,$B67)="",SUMIFS(TARIFF_PROFILES!$H:$H,TARIFF_PROFILES!$A:$A,$B67),SUMIFS(MATERIAL_TARIFF_RULES!$F:$F,MATERIAL_TARIFF_RULES!$A:$A,$D67,MATERIAL_TARIFF_RULES!$C:$C,$B67)),1),1))</f>
        <v/>
      </c>
      <c r="L67" s="24">
        <f>IF($C67="","",IF($C67="Work",N($H67)*N($I67)*N($J67),IF($C67="Material",N($H67)*N($I67)*N($J67),"")))</f>
        <v/>
      </c>
      <c r="M67" s="24">
        <f>IF($C67="","",IF($C67="Material",N($G67)*N($K67),N($G67)))</f>
        <v/>
      </c>
      <c r="N67" s="24">
        <f>IF($C67="","",N($L67)*N($M67))</f>
        <v/>
      </c>
      <c r="O67" s="5">
        <f>IF($C67="","",IF($C67="Work","Тариф влияет на способ/детализацию и коэффициент работ",IF($C67="Material","Тариф влияет на вариант, качество, запас и показ материала","")))</f>
        <v/>
      </c>
    </row>
    <row r="68">
      <c r="A68" s="5" t="n"/>
      <c r="B68" s="5" t="n"/>
      <c r="C68" s="5" t="n"/>
      <c r="D68" s="5" t="n"/>
      <c r="E68" s="5" t="n"/>
      <c r="F68" s="5">
        <f>IF($C68="","",IF($C68="Work",IFERROR(IF(SUMIFS(WORK_TARIFF_RULES!$G:$G,WORK_TARIFF_RULES!$A:$A,$D68,WORK_TARIFF_RULES!$C:$C,$B68)&lt;&gt;"",SUMIFS(WORK_TARIFF_RULES!$G:$G,WORK_TARIFF_RULES!$A:$A,$D68,WORK_TARIFF_RULES!$C:$C,$B68),SUMIFS(WORK_MASTER!$C:$C,WORK_MASTER!$A:$A,$D68)),""),IF($C68="Material",IFERROR(IF(SUMIFS(MATERIAL_TARIFF_RULES!$G:$G,MATERIAL_TARIFF_RULES!$A:$A,$D68,MATERIAL_TARIFF_RULES!$C:$C,$B68)&lt;&gt;"",SUMIFS(MATERIAL_TARIFF_RULES!$G:$G,MATERIAL_TARIFF_RULES!$A:$A,$D68,MATERIAL_TARIFF_RULES!$C:$C,$B68),SUMIFS(MATERIAL_VARIANTS!$J:$J,MATERIAL_VARIANTS!$A:$A,$E68)),""),"")))</f>
        <v/>
      </c>
      <c r="G68" s="24" t="n"/>
      <c r="H68" s="24">
        <f>IF($C68="","",IF($C68="Work",IFERROR(SUMIFS(WORK_MASTER!$I:$I,WORK_MASTER!$A:$A,$D68),""),IF($C68="Material",IFERROR(SUMIFS(MATERIAL_VARIANTS!$I:$I,MATERIAL_VARIANTS!$A:$A,$E68),""),"")))</f>
        <v/>
      </c>
      <c r="I68" s="24">
        <f>IF($C68="","",IF($C68="Work",IFERROR(SUMIFS(WORK_FACTOR_APPLICABILITY!$O:$O,WORK_FACTOR_APPLICABILITY!$A:$A,$D68,WORK_FACTOR_APPLICABILITY!$N:$N,$A68),1),IF($C68="Material",IFERROR(ROUND(1+SUMIFS(MATERIAL_FACTOR_APPLICABILITY!$D:$D,MATERIAL_FACTOR_APPLICABILITY!$A:$A,SUMIFS(MATERIAL_MASTER!$O:$O,MATERIAL_MASTER!$A:$A,$D68),MATERIAL_FACTOR_APPLICABILITY!$B:$B,"GeometryComplexity")*(SUMIFS(OBJECT_CONDITIONS!$W:$W,OBJECT_CONDITIONS!$A:$A,$A68)-1),3),1),"")))</f>
        <v/>
      </c>
      <c r="J68" s="24">
        <f>IF($C68="","",IF($C68="Work",IFERROR(IF(SUMIFS(WORK_TARIFF_RULES!$F:$F,WORK_TARIFF_RULES!$A:$A,$D68,WORK_TARIFF_RULES!$C:$C,$B68)&lt;&gt;"",SUMIFS(WORK_TARIFF_RULES!$F:$F,WORK_TARIFF_RULES!$A:$A,$D68,WORK_TARIFF_RULES!$C:$C,$B68),SUMIFS(TARIFF_PROFILES!$D:$D,TARIFF_PROFILES!$A:$A,$B68)),1),IF($C68="Material",IFERROR(IF(SUMIFS(MATERIAL_TARIFF_RULES!$E:$E,MATERIAL_TARIFF_RULES!$A:$A,$D68,MATERIAL_TARIFF_RULES!$C:$C,$B68)&lt;&gt;"",SUMIFS(MATERIAL_TARIFF_RULES!$E:$E,MATERIAL_TARIFF_RULES!$A:$A,$D68,MATERIAL_TARIFF_RULES!$C:$C,$B68),SUMIFS(TARIFF_PROFILES!$E:$E,TARIFF_PROFILES!$A:$A,$B68)),1),"")))</f>
        <v/>
      </c>
      <c r="K68" s="24">
        <f>IF($C68="","",IF($C68="Material",IFERROR(SUMIFS(MATERIAL_MASTER!$P:$P,MATERIAL_MASTER!$A:$A,$D68)*IF(SUMIFS(MATERIAL_TARIFF_RULES!$F:$F,MATERIAL_TARIFF_RULES!$A:$A,$D68,MATERIAL_TARIFF_RULES!$C:$C,$B68)="",SUMIFS(TARIFF_PROFILES!$H:$H,TARIFF_PROFILES!$A:$A,$B68),SUMIFS(MATERIAL_TARIFF_RULES!$F:$F,MATERIAL_TARIFF_RULES!$A:$A,$D68,MATERIAL_TARIFF_RULES!$C:$C,$B68)),1),1))</f>
        <v/>
      </c>
      <c r="L68" s="24">
        <f>IF($C68="","",IF($C68="Work",N($H68)*N($I68)*N($J68),IF($C68="Material",N($H68)*N($I68)*N($J68),"")))</f>
        <v/>
      </c>
      <c r="M68" s="24">
        <f>IF($C68="","",IF($C68="Material",N($G68)*N($K68),N($G68)))</f>
        <v/>
      </c>
      <c r="N68" s="24">
        <f>IF($C68="","",N($L68)*N($M68))</f>
        <v/>
      </c>
      <c r="O68" s="5">
        <f>IF($C68="","",IF($C68="Work","Тариф влияет на способ/детализацию и коэффициент работ",IF($C68="Material","Тариф влияет на вариант, качество, запас и показ материала","")))</f>
        <v/>
      </c>
    </row>
    <row r="69">
      <c r="A69" s="5" t="n"/>
      <c r="B69" s="5" t="n"/>
      <c r="C69" s="5" t="n"/>
      <c r="D69" s="5" t="n"/>
      <c r="E69" s="5" t="n"/>
      <c r="F69" s="5">
        <f>IF($C69="","",IF($C69="Work",IFERROR(IF(SUMIFS(WORK_TARIFF_RULES!$G:$G,WORK_TARIFF_RULES!$A:$A,$D69,WORK_TARIFF_RULES!$C:$C,$B69)&lt;&gt;"",SUMIFS(WORK_TARIFF_RULES!$G:$G,WORK_TARIFF_RULES!$A:$A,$D69,WORK_TARIFF_RULES!$C:$C,$B69),SUMIFS(WORK_MASTER!$C:$C,WORK_MASTER!$A:$A,$D69)),""),IF($C69="Material",IFERROR(IF(SUMIFS(MATERIAL_TARIFF_RULES!$G:$G,MATERIAL_TARIFF_RULES!$A:$A,$D69,MATERIAL_TARIFF_RULES!$C:$C,$B69)&lt;&gt;"",SUMIFS(MATERIAL_TARIFF_RULES!$G:$G,MATERIAL_TARIFF_RULES!$A:$A,$D69,MATERIAL_TARIFF_RULES!$C:$C,$B69),SUMIFS(MATERIAL_VARIANTS!$J:$J,MATERIAL_VARIANTS!$A:$A,$E69)),""),"")))</f>
        <v/>
      </c>
      <c r="G69" s="24" t="n"/>
      <c r="H69" s="24">
        <f>IF($C69="","",IF($C69="Work",IFERROR(SUMIFS(WORK_MASTER!$I:$I,WORK_MASTER!$A:$A,$D69),""),IF($C69="Material",IFERROR(SUMIFS(MATERIAL_VARIANTS!$I:$I,MATERIAL_VARIANTS!$A:$A,$E69),""),"")))</f>
        <v/>
      </c>
      <c r="I69" s="24">
        <f>IF($C69="","",IF($C69="Work",IFERROR(SUMIFS(WORK_FACTOR_APPLICABILITY!$O:$O,WORK_FACTOR_APPLICABILITY!$A:$A,$D69,WORK_FACTOR_APPLICABILITY!$N:$N,$A69),1),IF($C69="Material",IFERROR(ROUND(1+SUMIFS(MATERIAL_FACTOR_APPLICABILITY!$D:$D,MATERIAL_FACTOR_APPLICABILITY!$A:$A,SUMIFS(MATERIAL_MASTER!$O:$O,MATERIAL_MASTER!$A:$A,$D69),MATERIAL_FACTOR_APPLICABILITY!$B:$B,"GeometryComplexity")*(SUMIFS(OBJECT_CONDITIONS!$W:$W,OBJECT_CONDITIONS!$A:$A,$A69)-1),3),1),"")))</f>
        <v/>
      </c>
      <c r="J69" s="24">
        <f>IF($C69="","",IF($C69="Work",IFERROR(IF(SUMIFS(WORK_TARIFF_RULES!$F:$F,WORK_TARIFF_RULES!$A:$A,$D69,WORK_TARIFF_RULES!$C:$C,$B69)&lt;&gt;"",SUMIFS(WORK_TARIFF_RULES!$F:$F,WORK_TARIFF_RULES!$A:$A,$D69,WORK_TARIFF_RULES!$C:$C,$B69),SUMIFS(TARIFF_PROFILES!$D:$D,TARIFF_PROFILES!$A:$A,$B69)),1),IF($C69="Material",IFERROR(IF(SUMIFS(MATERIAL_TARIFF_RULES!$E:$E,MATERIAL_TARIFF_RULES!$A:$A,$D69,MATERIAL_TARIFF_RULES!$C:$C,$B69)&lt;&gt;"",SUMIFS(MATERIAL_TARIFF_RULES!$E:$E,MATERIAL_TARIFF_RULES!$A:$A,$D69,MATERIAL_TARIFF_RULES!$C:$C,$B69),SUMIFS(TARIFF_PROFILES!$E:$E,TARIFF_PROFILES!$A:$A,$B69)),1),"")))</f>
        <v/>
      </c>
      <c r="K69" s="24">
        <f>IF($C69="","",IF($C69="Material",IFERROR(SUMIFS(MATERIAL_MASTER!$P:$P,MATERIAL_MASTER!$A:$A,$D69)*IF(SUMIFS(MATERIAL_TARIFF_RULES!$F:$F,MATERIAL_TARIFF_RULES!$A:$A,$D69,MATERIAL_TARIFF_RULES!$C:$C,$B69)="",SUMIFS(TARIFF_PROFILES!$H:$H,TARIFF_PROFILES!$A:$A,$B69),SUMIFS(MATERIAL_TARIFF_RULES!$F:$F,MATERIAL_TARIFF_RULES!$A:$A,$D69,MATERIAL_TARIFF_RULES!$C:$C,$B69)),1),1))</f>
        <v/>
      </c>
      <c r="L69" s="24">
        <f>IF($C69="","",IF($C69="Work",N($H69)*N($I69)*N($J69),IF($C69="Material",N($H69)*N($I69)*N($J69),"")))</f>
        <v/>
      </c>
      <c r="M69" s="24">
        <f>IF($C69="","",IF($C69="Material",N($G69)*N($K69),N($G69)))</f>
        <v/>
      </c>
      <c r="N69" s="24">
        <f>IF($C69="","",N($L69)*N($M69))</f>
        <v/>
      </c>
      <c r="O69" s="5">
        <f>IF($C69="","",IF($C69="Work","Тариф влияет на способ/детализацию и коэффициент работ",IF($C69="Material","Тариф влияет на вариант, качество, запас и показ материала","")))</f>
        <v/>
      </c>
    </row>
    <row r="70">
      <c r="A70" s="5" t="n"/>
      <c r="B70" s="5" t="n"/>
      <c r="C70" s="5" t="n"/>
      <c r="D70" s="5" t="n"/>
      <c r="E70" s="5" t="n"/>
      <c r="F70" s="5">
        <f>IF($C70="","",IF($C70="Work",IFERROR(IF(SUMIFS(WORK_TARIFF_RULES!$G:$G,WORK_TARIFF_RULES!$A:$A,$D70,WORK_TARIFF_RULES!$C:$C,$B70)&lt;&gt;"",SUMIFS(WORK_TARIFF_RULES!$G:$G,WORK_TARIFF_RULES!$A:$A,$D70,WORK_TARIFF_RULES!$C:$C,$B70),SUMIFS(WORK_MASTER!$C:$C,WORK_MASTER!$A:$A,$D70)),""),IF($C70="Material",IFERROR(IF(SUMIFS(MATERIAL_TARIFF_RULES!$G:$G,MATERIAL_TARIFF_RULES!$A:$A,$D70,MATERIAL_TARIFF_RULES!$C:$C,$B70)&lt;&gt;"",SUMIFS(MATERIAL_TARIFF_RULES!$G:$G,MATERIAL_TARIFF_RULES!$A:$A,$D70,MATERIAL_TARIFF_RULES!$C:$C,$B70),SUMIFS(MATERIAL_VARIANTS!$J:$J,MATERIAL_VARIANTS!$A:$A,$E70)),""),"")))</f>
        <v/>
      </c>
      <c r="G70" s="24" t="n"/>
      <c r="H70" s="24">
        <f>IF($C70="","",IF($C70="Work",IFERROR(SUMIFS(WORK_MASTER!$I:$I,WORK_MASTER!$A:$A,$D70),""),IF($C70="Material",IFERROR(SUMIFS(MATERIAL_VARIANTS!$I:$I,MATERIAL_VARIANTS!$A:$A,$E70),""),"")))</f>
        <v/>
      </c>
      <c r="I70" s="24">
        <f>IF($C70="","",IF($C70="Work",IFERROR(SUMIFS(WORK_FACTOR_APPLICABILITY!$O:$O,WORK_FACTOR_APPLICABILITY!$A:$A,$D70,WORK_FACTOR_APPLICABILITY!$N:$N,$A70),1),IF($C70="Material",IFERROR(ROUND(1+SUMIFS(MATERIAL_FACTOR_APPLICABILITY!$D:$D,MATERIAL_FACTOR_APPLICABILITY!$A:$A,SUMIFS(MATERIAL_MASTER!$O:$O,MATERIAL_MASTER!$A:$A,$D70),MATERIAL_FACTOR_APPLICABILITY!$B:$B,"GeometryComplexity")*(SUMIFS(OBJECT_CONDITIONS!$W:$W,OBJECT_CONDITIONS!$A:$A,$A70)-1),3),1),"")))</f>
        <v/>
      </c>
      <c r="J70" s="24">
        <f>IF($C70="","",IF($C70="Work",IFERROR(IF(SUMIFS(WORK_TARIFF_RULES!$F:$F,WORK_TARIFF_RULES!$A:$A,$D70,WORK_TARIFF_RULES!$C:$C,$B70)&lt;&gt;"",SUMIFS(WORK_TARIFF_RULES!$F:$F,WORK_TARIFF_RULES!$A:$A,$D70,WORK_TARIFF_RULES!$C:$C,$B70),SUMIFS(TARIFF_PROFILES!$D:$D,TARIFF_PROFILES!$A:$A,$B70)),1),IF($C70="Material",IFERROR(IF(SUMIFS(MATERIAL_TARIFF_RULES!$E:$E,MATERIAL_TARIFF_RULES!$A:$A,$D70,MATERIAL_TARIFF_RULES!$C:$C,$B70)&lt;&gt;"",SUMIFS(MATERIAL_TARIFF_RULES!$E:$E,MATERIAL_TARIFF_RULES!$A:$A,$D70,MATERIAL_TARIFF_RULES!$C:$C,$B70),SUMIFS(TARIFF_PROFILES!$E:$E,TARIFF_PROFILES!$A:$A,$B70)),1),"")))</f>
        <v/>
      </c>
      <c r="K70" s="24">
        <f>IF($C70="","",IF($C70="Material",IFERROR(SUMIFS(MATERIAL_MASTER!$P:$P,MATERIAL_MASTER!$A:$A,$D70)*IF(SUMIFS(MATERIAL_TARIFF_RULES!$F:$F,MATERIAL_TARIFF_RULES!$A:$A,$D70,MATERIAL_TARIFF_RULES!$C:$C,$B70)="",SUMIFS(TARIFF_PROFILES!$H:$H,TARIFF_PROFILES!$A:$A,$B70),SUMIFS(MATERIAL_TARIFF_RULES!$F:$F,MATERIAL_TARIFF_RULES!$A:$A,$D70,MATERIAL_TARIFF_RULES!$C:$C,$B70)),1),1))</f>
        <v/>
      </c>
      <c r="L70" s="24">
        <f>IF($C70="","",IF($C70="Work",N($H70)*N($I70)*N($J70),IF($C70="Material",N($H70)*N($I70)*N($J70),"")))</f>
        <v/>
      </c>
      <c r="M70" s="24">
        <f>IF($C70="","",IF($C70="Material",N($G70)*N($K70),N($G70)))</f>
        <v/>
      </c>
      <c r="N70" s="24">
        <f>IF($C70="","",N($L70)*N($M70))</f>
        <v/>
      </c>
      <c r="O70" s="5">
        <f>IF($C70="","",IF($C70="Work","Тариф влияет на способ/детализацию и коэффициент работ",IF($C70="Material","Тариф влияет на вариант, качество, запас и показ материала","")))</f>
        <v/>
      </c>
    </row>
    <row r="71">
      <c r="A71" s="5" t="n"/>
      <c r="B71" s="5" t="n"/>
      <c r="C71" s="5" t="n"/>
      <c r="D71" s="5" t="n"/>
      <c r="E71" s="5" t="n"/>
      <c r="F71" s="5">
        <f>IF($C71="","",IF($C71="Work",IFERROR(IF(SUMIFS(WORK_TARIFF_RULES!$G:$G,WORK_TARIFF_RULES!$A:$A,$D71,WORK_TARIFF_RULES!$C:$C,$B71)&lt;&gt;"",SUMIFS(WORK_TARIFF_RULES!$G:$G,WORK_TARIFF_RULES!$A:$A,$D71,WORK_TARIFF_RULES!$C:$C,$B71),SUMIFS(WORK_MASTER!$C:$C,WORK_MASTER!$A:$A,$D71)),""),IF($C71="Material",IFERROR(IF(SUMIFS(MATERIAL_TARIFF_RULES!$G:$G,MATERIAL_TARIFF_RULES!$A:$A,$D71,MATERIAL_TARIFF_RULES!$C:$C,$B71)&lt;&gt;"",SUMIFS(MATERIAL_TARIFF_RULES!$G:$G,MATERIAL_TARIFF_RULES!$A:$A,$D71,MATERIAL_TARIFF_RULES!$C:$C,$B71),SUMIFS(MATERIAL_VARIANTS!$J:$J,MATERIAL_VARIANTS!$A:$A,$E71)),""),"")))</f>
        <v/>
      </c>
      <c r="G71" s="24" t="n"/>
      <c r="H71" s="24">
        <f>IF($C71="","",IF($C71="Work",IFERROR(SUMIFS(WORK_MASTER!$I:$I,WORK_MASTER!$A:$A,$D71),""),IF($C71="Material",IFERROR(SUMIFS(MATERIAL_VARIANTS!$I:$I,MATERIAL_VARIANTS!$A:$A,$E71),""),"")))</f>
        <v/>
      </c>
      <c r="I71" s="24">
        <f>IF($C71="","",IF($C71="Work",IFERROR(SUMIFS(WORK_FACTOR_APPLICABILITY!$O:$O,WORK_FACTOR_APPLICABILITY!$A:$A,$D71,WORK_FACTOR_APPLICABILITY!$N:$N,$A71),1),IF($C71="Material",IFERROR(ROUND(1+SUMIFS(MATERIAL_FACTOR_APPLICABILITY!$D:$D,MATERIAL_FACTOR_APPLICABILITY!$A:$A,SUMIFS(MATERIAL_MASTER!$O:$O,MATERIAL_MASTER!$A:$A,$D71),MATERIAL_FACTOR_APPLICABILITY!$B:$B,"GeometryComplexity")*(SUMIFS(OBJECT_CONDITIONS!$W:$W,OBJECT_CONDITIONS!$A:$A,$A71)-1),3),1),"")))</f>
        <v/>
      </c>
      <c r="J71" s="24">
        <f>IF($C71="","",IF($C71="Work",IFERROR(IF(SUMIFS(WORK_TARIFF_RULES!$F:$F,WORK_TARIFF_RULES!$A:$A,$D71,WORK_TARIFF_RULES!$C:$C,$B71)&lt;&gt;"",SUMIFS(WORK_TARIFF_RULES!$F:$F,WORK_TARIFF_RULES!$A:$A,$D71,WORK_TARIFF_RULES!$C:$C,$B71),SUMIFS(TARIFF_PROFILES!$D:$D,TARIFF_PROFILES!$A:$A,$B71)),1),IF($C71="Material",IFERROR(IF(SUMIFS(MATERIAL_TARIFF_RULES!$E:$E,MATERIAL_TARIFF_RULES!$A:$A,$D71,MATERIAL_TARIFF_RULES!$C:$C,$B71)&lt;&gt;"",SUMIFS(MATERIAL_TARIFF_RULES!$E:$E,MATERIAL_TARIFF_RULES!$A:$A,$D71,MATERIAL_TARIFF_RULES!$C:$C,$B71),SUMIFS(TARIFF_PROFILES!$E:$E,TARIFF_PROFILES!$A:$A,$B71)),1),"")))</f>
        <v/>
      </c>
      <c r="K71" s="24">
        <f>IF($C71="","",IF($C71="Material",IFERROR(SUMIFS(MATERIAL_MASTER!$P:$P,MATERIAL_MASTER!$A:$A,$D71)*IF(SUMIFS(MATERIAL_TARIFF_RULES!$F:$F,MATERIAL_TARIFF_RULES!$A:$A,$D71,MATERIAL_TARIFF_RULES!$C:$C,$B71)="",SUMIFS(TARIFF_PROFILES!$H:$H,TARIFF_PROFILES!$A:$A,$B71),SUMIFS(MATERIAL_TARIFF_RULES!$F:$F,MATERIAL_TARIFF_RULES!$A:$A,$D71,MATERIAL_TARIFF_RULES!$C:$C,$B71)),1),1))</f>
        <v/>
      </c>
      <c r="L71" s="24">
        <f>IF($C71="","",IF($C71="Work",N($H71)*N($I71)*N($J71),IF($C71="Material",N($H71)*N($I71)*N($J71),"")))</f>
        <v/>
      </c>
      <c r="M71" s="24">
        <f>IF($C71="","",IF($C71="Material",N($G71)*N($K71),N($G71)))</f>
        <v/>
      </c>
      <c r="N71" s="24">
        <f>IF($C71="","",N($L71)*N($M71))</f>
        <v/>
      </c>
      <c r="O71" s="5">
        <f>IF($C71="","",IF($C71="Work","Тариф влияет на способ/детализацию и коэффициент работ",IF($C71="Material","Тариф влияет на вариант, качество, запас и показ материала","")))</f>
        <v/>
      </c>
    </row>
    <row r="72">
      <c r="A72" s="5" t="n"/>
      <c r="B72" s="5" t="n"/>
      <c r="C72" s="5" t="n"/>
      <c r="D72" s="5" t="n"/>
      <c r="E72" s="5" t="n"/>
      <c r="F72" s="5">
        <f>IF($C72="","",IF($C72="Work",IFERROR(IF(SUMIFS(WORK_TARIFF_RULES!$G:$G,WORK_TARIFF_RULES!$A:$A,$D72,WORK_TARIFF_RULES!$C:$C,$B72)&lt;&gt;"",SUMIFS(WORK_TARIFF_RULES!$G:$G,WORK_TARIFF_RULES!$A:$A,$D72,WORK_TARIFF_RULES!$C:$C,$B72),SUMIFS(WORK_MASTER!$C:$C,WORK_MASTER!$A:$A,$D72)),""),IF($C72="Material",IFERROR(IF(SUMIFS(MATERIAL_TARIFF_RULES!$G:$G,MATERIAL_TARIFF_RULES!$A:$A,$D72,MATERIAL_TARIFF_RULES!$C:$C,$B72)&lt;&gt;"",SUMIFS(MATERIAL_TARIFF_RULES!$G:$G,MATERIAL_TARIFF_RULES!$A:$A,$D72,MATERIAL_TARIFF_RULES!$C:$C,$B72),SUMIFS(MATERIAL_VARIANTS!$J:$J,MATERIAL_VARIANTS!$A:$A,$E72)),""),"")))</f>
        <v/>
      </c>
      <c r="G72" s="24" t="n"/>
      <c r="H72" s="24">
        <f>IF($C72="","",IF($C72="Work",IFERROR(SUMIFS(WORK_MASTER!$I:$I,WORK_MASTER!$A:$A,$D72),""),IF($C72="Material",IFERROR(SUMIFS(MATERIAL_VARIANTS!$I:$I,MATERIAL_VARIANTS!$A:$A,$E72),""),"")))</f>
        <v/>
      </c>
      <c r="I72" s="24">
        <f>IF($C72="","",IF($C72="Work",IFERROR(SUMIFS(WORK_FACTOR_APPLICABILITY!$O:$O,WORK_FACTOR_APPLICABILITY!$A:$A,$D72,WORK_FACTOR_APPLICABILITY!$N:$N,$A72),1),IF($C72="Material",IFERROR(ROUND(1+SUMIFS(MATERIAL_FACTOR_APPLICABILITY!$D:$D,MATERIAL_FACTOR_APPLICABILITY!$A:$A,SUMIFS(MATERIAL_MASTER!$O:$O,MATERIAL_MASTER!$A:$A,$D72),MATERIAL_FACTOR_APPLICABILITY!$B:$B,"GeometryComplexity")*(SUMIFS(OBJECT_CONDITIONS!$W:$W,OBJECT_CONDITIONS!$A:$A,$A72)-1),3),1),"")))</f>
        <v/>
      </c>
      <c r="J72" s="24">
        <f>IF($C72="","",IF($C72="Work",IFERROR(IF(SUMIFS(WORK_TARIFF_RULES!$F:$F,WORK_TARIFF_RULES!$A:$A,$D72,WORK_TARIFF_RULES!$C:$C,$B72)&lt;&gt;"",SUMIFS(WORK_TARIFF_RULES!$F:$F,WORK_TARIFF_RULES!$A:$A,$D72,WORK_TARIFF_RULES!$C:$C,$B72),SUMIFS(TARIFF_PROFILES!$D:$D,TARIFF_PROFILES!$A:$A,$B72)),1),IF($C72="Material",IFERROR(IF(SUMIFS(MATERIAL_TARIFF_RULES!$E:$E,MATERIAL_TARIFF_RULES!$A:$A,$D72,MATERIAL_TARIFF_RULES!$C:$C,$B72)&lt;&gt;"",SUMIFS(MATERIAL_TARIFF_RULES!$E:$E,MATERIAL_TARIFF_RULES!$A:$A,$D72,MATERIAL_TARIFF_RULES!$C:$C,$B72),SUMIFS(TARIFF_PROFILES!$E:$E,TARIFF_PROFILES!$A:$A,$B72)),1),"")))</f>
        <v/>
      </c>
      <c r="K72" s="24">
        <f>IF($C72="","",IF($C72="Material",IFERROR(SUMIFS(MATERIAL_MASTER!$P:$P,MATERIAL_MASTER!$A:$A,$D72)*IF(SUMIFS(MATERIAL_TARIFF_RULES!$F:$F,MATERIAL_TARIFF_RULES!$A:$A,$D72,MATERIAL_TARIFF_RULES!$C:$C,$B72)="",SUMIFS(TARIFF_PROFILES!$H:$H,TARIFF_PROFILES!$A:$A,$B72),SUMIFS(MATERIAL_TARIFF_RULES!$F:$F,MATERIAL_TARIFF_RULES!$A:$A,$D72,MATERIAL_TARIFF_RULES!$C:$C,$B72)),1),1))</f>
        <v/>
      </c>
      <c r="L72" s="24">
        <f>IF($C72="","",IF($C72="Work",N($H72)*N($I72)*N($J72),IF($C72="Material",N($H72)*N($I72)*N($J72),"")))</f>
        <v/>
      </c>
      <c r="M72" s="24">
        <f>IF($C72="","",IF($C72="Material",N($G72)*N($K72),N($G72)))</f>
        <v/>
      </c>
      <c r="N72" s="24">
        <f>IF($C72="","",N($L72)*N($M72))</f>
        <v/>
      </c>
      <c r="O72" s="5">
        <f>IF($C72="","",IF($C72="Work","Тариф влияет на способ/детализацию и коэффициент работ",IF($C72="Material","Тариф влияет на вариант, качество, запас и показ материала","")))</f>
        <v/>
      </c>
    </row>
    <row r="73">
      <c r="A73" s="5" t="n"/>
      <c r="B73" s="5" t="n"/>
      <c r="C73" s="5" t="n"/>
      <c r="D73" s="5" t="n"/>
      <c r="E73" s="5" t="n"/>
      <c r="F73" s="5">
        <f>IF($C73="","",IF($C73="Work",IFERROR(IF(SUMIFS(WORK_TARIFF_RULES!$G:$G,WORK_TARIFF_RULES!$A:$A,$D73,WORK_TARIFF_RULES!$C:$C,$B73)&lt;&gt;"",SUMIFS(WORK_TARIFF_RULES!$G:$G,WORK_TARIFF_RULES!$A:$A,$D73,WORK_TARIFF_RULES!$C:$C,$B73),SUMIFS(WORK_MASTER!$C:$C,WORK_MASTER!$A:$A,$D73)),""),IF($C73="Material",IFERROR(IF(SUMIFS(MATERIAL_TARIFF_RULES!$G:$G,MATERIAL_TARIFF_RULES!$A:$A,$D73,MATERIAL_TARIFF_RULES!$C:$C,$B73)&lt;&gt;"",SUMIFS(MATERIAL_TARIFF_RULES!$G:$G,MATERIAL_TARIFF_RULES!$A:$A,$D73,MATERIAL_TARIFF_RULES!$C:$C,$B73),SUMIFS(MATERIAL_VARIANTS!$J:$J,MATERIAL_VARIANTS!$A:$A,$E73)),""),"")))</f>
        <v/>
      </c>
      <c r="G73" s="24" t="n"/>
      <c r="H73" s="24">
        <f>IF($C73="","",IF($C73="Work",IFERROR(SUMIFS(WORK_MASTER!$I:$I,WORK_MASTER!$A:$A,$D73),""),IF($C73="Material",IFERROR(SUMIFS(MATERIAL_VARIANTS!$I:$I,MATERIAL_VARIANTS!$A:$A,$E73),""),"")))</f>
        <v/>
      </c>
      <c r="I73" s="24">
        <f>IF($C73="","",IF($C73="Work",IFERROR(SUMIFS(WORK_FACTOR_APPLICABILITY!$O:$O,WORK_FACTOR_APPLICABILITY!$A:$A,$D73,WORK_FACTOR_APPLICABILITY!$N:$N,$A73),1),IF($C73="Material",IFERROR(ROUND(1+SUMIFS(MATERIAL_FACTOR_APPLICABILITY!$D:$D,MATERIAL_FACTOR_APPLICABILITY!$A:$A,SUMIFS(MATERIAL_MASTER!$O:$O,MATERIAL_MASTER!$A:$A,$D73),MATERIAL_FACTOR_APPLICABILITY!$B:$B,"GeometryComplexity")*(SUMIFS(OBJECT_CONDITIONS!$W:$W,OBJECT_CONDITIONS!$A:$A,$A73)-1),3),1),"")))</f>
        <v/>
      </c>
      <c r="J73" s="24">
        <f>IF($C73="","",IF($C73="Work",IFERROR(IF(SUMIFS(WORK_TARIFF_RULES!$F:$F,WORK_TARIFF_RULES!$A:$A,$D73,WORK_TARIFF_RULES!$C:$C,$B73)&lt;&gt;"",SUMIFS(WORK_TARIFF_RULES!$F:$F,WORK_TARIFF_RULES!$A:$A,$D73,WORK_TARIFF_RULES!$C:$C,$B73),SUMIFS(TARIFF_PROFILES!$D:$D,TARIFF_PROFILES!$A:$A,$B73)),1),IF($C73="Material",IFERROR(IF(SUMIFS(MATERIAL_TARIFF_RULES!$E:$E,MATERIAL_TARIFF_RULES!$A:$A,$D73,MATERIAL_TARIFF_RULES!$C:$C,$B73)&lt;&gt;"",SUMIFS(MATERIAL_TARIFF_RULES!$E:$E,MATERIAL_TARIFF_RULES!$A:$A,$D73,MATERIAL_TARIFF_RULES!$C:$C,$B73),SUMIFS(TARIFF_PROFILES!$E:$E,TARIFF_PROFILES!$A:$A,$B73)),1),"")))</f>
        <v/>
      </c>
      <c r="K73" s="24">
        <f>IF($C73="","",IF($C73="Material",IFERROR(SUMIFS(MATERIAL_MASTER!$P:$P,MATERIAL_MASTER!$A:$A,$D73)*IF(SUMIFS(MATERIAL_TARIFF_RULES!$F:$F,MATERIAL_TARIFF_RULES!$A:$A,$D73,MATERIAL_TARIFF_RULES!$C:$C,$B73)="",SUMIFS(TARIFF_PROFILES!$H:$H,TARIFF_PROFILES!$A:$A,$B73),SUMIFS(MATERIAL_TARIFF_RULES!$F:$F,MATERIAL_TARIFF_RULES!$A:$A,$D73,MATERIAL_TARIFF_RULES!$C:$C,$B73)),1),1))</f>
        <v/>
      </c>
      <c r="L73" s="24">
        <f>IF($C73="","",IF($C73="Work",N($H73)*N($I73)*N($J73),IF($C73="Material",N($H73)*N($I73)*N($J73),"")))</f>
        <v/>
      </c>
      <c r="M73" s="24">
        <f>IF($C73="","",IF($C73="Material",N($G73)*N($K73),N($G73)))</f>
        <v/>
      </c>
      <c r="N73" s="24">
        <f>IF($C73="","",N($L73)*N($M73))</f>
        <v/>
      </c>
      <c r="O73" s="5">
        <f>IF($C73="","",IF($C73="Work","Тариф влияет на способ/детализацию и коэффициент работ",IF($C73="Material","Тариф влияет на вариант, качество, запас и показ материала","")))</f>
        <v/>
      </c>
    </row>
    <row r="74">
      <c r="A74" s="5" t="n"/>
      <c r="B74" s="5" t="n"/>
      <c r="C74" s="5" t="n"/>
      <c r="D74" s="5" t="n"/>
      <c r="E74" s="5" t="n"/>
      <c r="F74" s="5">
        <f>IF($C74="","",IF($C74="Work",IFERROR(IF(SUMIFS(WORK_TARIFF_RULES!$G:$G,WORK_TARIFF_RULES!$A:$A,$D74,WORK_TARIFF_RULES!$C:$C,$B74)&lt;&gt;"",SUMIFS(WORK_TARIFF_RULES!$G:$G,WORK_TARIFF_RULES!$A:$A,$D74,WORK_TARIFF_RULES!$C:$C,$B74),SUMIFS(WORK_MASTER!$C:$C,WORK_MASTER!$A:$A,$D74)),""),IF($C74="Material",IFERROR(IF(SUMIFS(MATERIAL_TARIFF_RULES!$G:$G,MATERIAL_TARIFF_RULES!$A:$A,$D74,MATERIAL_TARIFF_RULES!$C:$C,$B74)&lt;&gt;"",SUMIFS(MATERIAL_TARIFF_RULES!$G:$G,MATERIAL_TARIFF_RULES!$A:$A,$D74,MATERIAL_TARIFF_RULES!$C:$C,$B74),SUMIFS(MATERIAL_VARIANTS!$J:$J,MATERIAL_VARIANTS!$A:$A,$E74)),""),"")))</f>
        <v/>
      </c>
      <c r="G74" s="24" t="n"/>
      <c r="H74" s="24">
        <f>IF($C74="","",IF($C74="Work",IFERROR(SUMIFS(WORK_MASTER!$I:$I,WORK_MASTER!$A:$A,$D74),""),IF($C74="Material",IFERROR(SUMIFS(MATERIAL_VARIANTS!$I:$I,MATERIAL_VARIANTS!$A:$A,$E74),""),"")))</f>
        <v/>
      </c>
      <c r="I74" s="24">
        <f>IF($C74="","",IF($C74="Work",IFERROR(SUMIFS(WORK_FACTOR_APPLICABILITY!$O:$O,WORK_FACTOR_APPLICABILITY!$A:$A,$D74,WORK_FACTOR_APPLICABILITY!$N:$N,$A74),1),IF($C74="Material",IFERROR(ROUND(1+SUMIFS(MATERIAL_FACTOR_APPLICABILITY!$D:$D,MATERIAL_FACTOR_APPLICABILITY!$A:$A,SUMIFS(MATERIAL_MASTER!$O:$O,MATERIAL_MASTER!$A:$A,$D74),MATERIAL_FACTOR_APPLICABILITY!$B:$B,"GeometryComplexity")*(SUMIFS(OBJECT_CONDITIONS!$W:$W,OBJECT_CONDITIONS!$A:$A,$A74)-1),3),1),"")))</f>
        <v/>
      </c>
      <c r="J74" s="24">
        <f>IF($C74="","",IF($C74="Work",IFERROR(IF(SUMIFS(WORK_TARIFF_RULES!$F:$F,WORK_TARIFF_RULES!$A:$A,$D74,WORK_TARIFF_RULES!$C:$C,$B74)&lt;&gt;"",SUMIFS(WORK_TARIFF_RULES!$F:$F,WORK_TARIFF_RULES!$A:$A,$D74,WORK_TARIFF_RULES!$C:$C,$B74),SUMIFS(TARIFF_PROFILES!$D:$D,TARIFF_PROFILES!$A:$A,$B74)),1),IF($C74="Material",IFERROR(IF(SUMIFS(MATERIAL_TARIFF_RULES!$E:$E,MATERIAL_TARIFF_RULES!$A:$A,$D74,MATERIAL_TARIFF_RULES!$C:$C,$B74)&lt;&gt;"",SUMIFS(MATERIAL_TARIFF_RULES!$E:$E,MATERIAL_TARIFF_RULES!$A:$A,$D74,MATERIAL_TARIFF_RULES!$C:$C,$B74),SUMIFS(TARIFF_PROFILES!$E:$E,TARIFF_PROFILES!$A:$A,$B74)),1),"")))</f>
        <v/>
      </c>
      <c r="K74" s="24">
        <f>IF($C74="","",IF($C74="Material",IFERROR(SUMIFS(MATERIAL_MASTER!$P:$P,MATERIAL_MASTER!$A:$A,$D74)*IF(SUMIFS(MATERIAL_TARIFF_RULES!$F:$F,MATERIAL_TARIFF_RULES!$A:$A,$D74,MATERIAL_TARIFF_RULES!$C:$C,$B74)="",SUMIFS(TARIFF_PROFILES!$H:$H,TARIFF_PROFILES!$A:$A,$B74),SUMIFS(MATERIAL_TARIFF_RULES!$F:$F,MATERIAL_TARIFF_RULES!$A:$A,$D74,MATERIAL_TARIFF_RULES!$C:$C,$B74)),1),1))</f>
        <v/>
      </c>
      <c r="L74" s="24">
        <f>IF($C74="","",IF($C74="Work",N($H74)*N($I74)*N($J74),IF($C74="Material",N($H74)*N($I74)*N($J74),"")))</f>
        <v/>
      </c>
      <c r="M74" s="24">
        <f>IF($C74="","",IF($C74="Material",N($G74)*N($K74),N($G74)))</f>
        <v/>
      </c>
      <c r="N74" s="24">
        <f>IF($C74="","",N($L74)*N($M74))</f>
        <v/>
      </c>
      <c r="O74" s="5">
        <f>IF($C74="","",IF($C74="Work","Тариф влияет на способ/детализацию и коэффициент работ",IF($C74="Material","Тариф влияет на вариант, качество, запас и показ материала","")))</f>
        <v/>
      </c>
    </row>
    <row r="75">
      <c r="A75" s="5" t="n"/>
      <c r="B75" s="5" t="n"/>
      <c r="C75" s="5" t="n"/>
      <c r="D75" s="5" t="n"/>
      <c r="E75" s="5" t="n"/>
      <c r="F75" s="5">
        <f>IF($C75="","",IF($C75="Work",IFERROR(IF(SUMIFS(WORK_TARIFF_RULES!$G:$G,WORK_TARIFF_RULES!$A:$A,$D75,WORK_TARIFF_RULES!$C:$C,$B75)&lt;&gt;"",SUMIFS(WORK_TARIFF_RULES!$G:$G,WORK_TARIFF_RULES!$A:$A,$D75,WORK_TARIFF_RULES!$C:$C,$B75),SUMIFS(WORK_MASTER!$C:$C,WORK_MASTER!$A:$A,$D75)),""),IF($C75="Material",IFERROR(IF(SUMIFS(MATERIAL_TARIFF_RULES!$G:$G,MATERIAL_TARIFF_RULES!$A:$A,$D75,MATERIAL_TARIFF_RULES!$C:$C,$B75)&lt;&gt;"",SUMIFS(MATERIAL_TARIFF_RULES!$G:$G,MATERIAL_TARIFF_RULES!$A:$A,$D75,MATERIAL_TARIFF_RULES!$C:$C,$B75),SUMIFS(MATERIAL_VARIANTS!$J:$J,MATERIAL_VARIANTS!$A:$A,$E75)),""),"")))</f>
        <v/>
      </c>
      <c r="G75" s="24" t="n"/>
      <c r="H75" s="24">
        <f>IF($C75="","",IF($C75="Work",IFERROR(SUMIFS(WORK_MASTER!$I:$I,WORK_MASTER!$A:$A,$D75),""),IF($C75="Material",IFERROR(SUMIFS(MATERIAL_VARIANTS!$I:$I,MATERIAL_VARIANTS!$A:$A,$E75),""),"")))</f>
        <v/>
      </c>
      <c r="I75" s="24">
        <f>IF($C75="","",IF($C75="Work",IFERROR(SUMIFS(WORK_FACTOR_APPLICABILITY!$O:$O,WORK_FACTOR_APPLICABILITY!$A:$A,$D75,WORK_FACTOR_APPLICABILITY!$N:$N,$A75),1),IF($C75="Material",IFERROR(ROUND(1+SUMIFS(MATERIAL_FACTOR_APPLICABILITY!$D:$D,MATERIAL_FACTOR_APPLICABILITY!$A:$A,SUMIFS(MATERIAL_MASTER!$O:$O,MATERIAL_MASTER!$A:$A,$D75),MATERIAL_FACTOR_APPLICABILITY!$B:$B,"GeometryComplexity")*(SUMIFS(OBJECT_CONDITIONS!$W:$W,OBJECT_CONDITIONS!$A:$A,$A75)-1),3),1),"")))</f>
        <v/>
      </c>
      <c r="J75" s="24">
        <f>IF($C75="","",IF($C75="Work",IFERROR(IF(SUMIFS(WORK_TARIFF_RULES!$F:$F,WORK_TARIFF_RULES!$A:$A,$D75,WORK_TARIFF_RULES!$C:$C,$B75)&lt;&gt;"",SUMIFS(WORK_TARIFF_RULES!$F:$F,WORK_TARIFF_RULES!$A:$A,$D75,WORK_TARIFF_RULES!$C:$C,$B75),SUMIFS(TARIFF_PROFILES!$D:$D,TARIFF_PROFILES!$A:$A,$B75)),1),IF($C75="Material",IFERROR(IF(SUMIFS(MATERIAL_TARIFF_RULES!$E:$E,MATERIAL_TARIFF_RULES!$A:$A,$D75,MATERIAL_TARIFF_RULES!$C:$C,$B75)&lt;&gt;"",SUMIFS(MATERIAL_TARIFF_RULES!$E:$E,MATERIAL_TARIFF_RULES!$A:$A,$D75,MATERIAL_TARIFF_RULES!$C:$C,$B75),SUMIFS(TARIFF_PROFILES!$E:$E,TARIFF_PROFILES!$A:$A,$B75)),1),"")))</f>
        <v/>
      </c>
      <c r="K75" s="24">
        <f>IF($C75="","",IF($C75="Material",IFERROR(SUMIFS(MATERIAL_MASTER!$P:$P,MATERIAL_MASTER!$A:$A,$D75)*IF(SUMIFS(MATERIAL_TARIFF_RULES!$F:$F,MATERIAL_TARIFF_RULES!$A:$A,$D75,MATERIAL_TARIFF_RULES!$C:$C,$B75)="",SUMIFS(TARIFF_PROFILES!$H:$H,TARIFF_PROFILES!$A:$A,$B75),SUMIFS(MATERIAL_TARIFF_RULES!$F:$F,MATERIAL_TARIFF_RULES!$A:$A,$D75,MATERIAL_TARIFF_RULES!$C:$C,$B75)),1),1))</f>
        <v/>
      </c>
      <c r="L75" s="24">
        <f>IF($C75="","",IF($C75="Work",N($H75)*N($I75)*N($J75),IF($C75="Material",N($H75)*N($I75)*N($J75),"")))</f>
        <v/>
      </c>
      <c r="M75" s="24">
        <f>IF($C75="","",IF($C75="Material",N($G75)*N($K75),N($G75)))</f>
        <v/>
      </c>
      <c r="N75" s="24">
        <f>IF($C75="","",N($L75)*N($M75))</f>
        <v/>
      </c>
      <c r="O75" s="5">
        <f>IF($C75="","",IF($C75="Work","Тариф влияет на способ/детализацию и коэффициент работ",IF($C75="Material","Тариф влияет на вариант, качество, запас и показ материала","")))</f>
        <v/>
      </c>
    </row>
    <row r="76">
      <c r="A76" s="5" t="n"/>
      <c r="B76" s="5" t="n"/>
      <c r="C76" s="5" t="n"/>
      <c r="D76" s="5" t="n"/>
      <c r="E76" s="5" t="n"/>
      <c r="F76" s="5">
        <f>IF($C76="","",IF($C76="Work",IFERROR(IF(SUMIFS(WORK_TARIFF_RULES!$G:$G,WORK_TARIFF_RULES!$A:$A,$D76,WORK_TARIFF_RULES!$C:$C,$B76)&lt;&gt;"",SUMIFS(WORK_TARIFF_RULES!$G:$G,WORK_TARIFF_RULES!$A:$A,$D76,WORK_TARIFF_RULES!$C:$C,$B76),SUMIFS(WORK_MASTER!$C:$C,WORK_MASTER!$A:$A,$D76)),""),IF($C76="Material",IFERROR(IF(SUMIFS(MATERIAL_TARIFF_RULES!$G:$G,MATERIAL_TARIFF_RULES!$A:$A,$D76,MATERIAL_TARIFF_RULES!$C:$C,$B76)&lt;&gt;"",SUMIFS(MATERIAL_TARIFF_RULES!$G:$G,MATERIAL_TARIFF_RULES!$A:$A,$D76,MATERIAL_TARIFF_RULES!$C:$C,$B76),SUMIFS(MATERIAL_VARIANTS!$J:$J,MATERIAL_VARIANTS!$A:$A,$E76)),""),"")))</f>
        <v/>
      </c>
      <c r="G76" s="24" t="n"/>
      <c r="H76" s="24">
        <f>IF($C76="","",IF($C76="Work",IFERROR(SUMIFS(WORK_MASTER!$I:$I,WORK_MASTER!$A:$A,$D76),""),IF($C76="Material",IFERROR(SUMIFS(MATERIAL_VARIANTS!$I:$I,MATERIAL_VARIANTS!$A:$A,$E76),""),"")))</f>
        <v/>
      </c>
      <c r="I76" s="24">
        <f>IF($C76="","",IF($C76="Work",IFERROR(SUMIFS(WORK_FACTOR_APPLICABILITY!$O:$O,WORK_FACTOR_APPLICABILITY!$A:$A,$D76,WORK_FACTOR_APPLICABILITY!$N:$N,$A76),1),IF($C76="Material",IFERROR(ROUND(1+SUMIFS(MATERIAL_FACTOR_APPLICABILITY!$D:$D,MATERIAL_FACTOR_APPLICABILITY!$A:$A,SUMIFS(MATERIAL_MASTER!$O:$O,MATERIAL_MASTER!$A:$A,$D76),MATERIAL_FACTOR_APPLICABILITY!$B:$B,"GeometryComplexity")*(SUMIFS(OBJECT_CONDITIONS!$W:$W,OBJECT_CONDITIONS!$A:$A,$A76)-1),3),1),"")))</f>
        <v/>
      </c>
      <c r="J76" s="24">
        <f>IF($C76="","",IF($C76="Work",IFERROR(IF(SUMIFS(WORK_TARIFF_RULES!$F:$F,WORK_TARIFF_RULES!$A:$A,$D76,WORK_TARIFF_RULES!$C:$C,$B76)&lt;&gt;"",SUMIFS(WORK_TARIFF_RULES!$F:$F,WORK_TARIFF_RULES!$A:$A,$D76,WORK_TARIFF_RULES!$C:$C,$B76),SUMIFS(TARIFF_PROFILES!$D:$D,TARIFF_PROFILES!$A:$A,$B76)),1),IF($C76="Material",IFERROR(IF(SUMIFS(MATERIAL_TARIFF_RULES!$E:$E,MATERIAL_TARIFF_RULES!$A:$A,$D76,MATERIAL_TARIFF_RULES!$C:$C,$B76)&lt;&gt;"",SUMIFS(MATERIAL_TARIFF_RULES!$E:$E,MATERIAL_TARIFF_RULES!$A:$A,$D76,MATERIAL_TARIFF_RULES!$C:$C,$B76),SUMIFS(TARIFF_PROFILES!$E:$E,TARIFF_PROFILES!$A:$A,$B76)),1),"")))</f>
        <v/>
      </c>
      <c r="K76" s="24">
        <f>IF($C76="","",IF($C76="Material",IFERROR(SUMIFS(MATERIAL_MASTER!$P:$P,MATERIAL_MASTER!$A:$A,$D76)*IF(SUMIFS(MATERIAL_TARIFF_RULES!$F:$F,MATERIAL_TARIFF_RULES!$A:$A,$D76,MATERIAL_TARIFF_RULES!$C:$C,$B76)="",SUMIFS(TARIFF_PROFILES!$H:$H,TARIFF_PROFILES!$A:$A,$B76),SUMIFS(MATERIAL_TARIFF_RULES!$F:$F,MATERIAL_TARIFF_RULES!$A:$A,$D76,MATERIAL_TARIFF_RULES!$C:$C,$B76)),1),1))</f>
        <v/>
      </c>
      <c r="L76" s="24">
        <f>IF($C76="","",IF($C76="Work",N($H76)*N($I76)*N($J76),IF($C76="Material",N($H76)*N($I76)*N($J76),"")))</f>
        <v/>
      </c>
      <c r="M76" s="24">
        <f>IF($C76="","",IF($C76="Material",N($G76)*N($K76),N($G76)))</f>
        <v/>
      </c>
      <c r="N76" s="24">
        <f>IF($C76="","",N($L76)*N($M76))</f>
        <v/>
      </c>
      <c r="O76" s="5">
        <f>IF($C76="","",IF($C76="Work","Тариф влияет на способ/детализацию и коэффициент работ",IF($C76="Material","Тариф влияет на вариант, качество, запас и показ материала","")))</f>
        <v/>
      </c>
    </row>
    <row r="77">
      <c r="A77" s="5" t="n"/>
      <c r="B77" s="5" t="n"/>
      <c r="C77" s="5" t="n"/>
      <c r="D77" s="5" t="n"/>
      <c r="E77" s="5" t="n"/>
      <c r="F77" s="5">
        <f>IF($C77="","",IF($C77="Work",IFERROR(IF(SUMIFS(WORK_TARIFF_RULES!$G:$G,WORK_TARIFF_RULES!$A:$A,$D77,WORK_TARIFF_RULES!$C:$C,$B77)&lt;&gt;"",SUMIFS(WORK_TARIFF_RULES!$G:$G,WORK_TARIFF_RULES!$A:$A,$D77,WORK_TARIFF_RULES!$C:$C,$B77),SUMIFS(WORK_MASTER!$C:$C,WORK_MASTER!$A:$A,$D77)),""),IF($C77="Material",IFERROR(IF(SUMIFS(MATERIAL_TARIFF_RULES!$G:$G,MATERIAL_TARIFF_RULES!$A:$A,$D77,MATERIAL_TARIFF_RULES!$C:$C,$B77)&lt;&gt;"",SUMIFS(MATERIAL_TARIFF_RULES!$G:$G,MATERIAL_TARIFF_RULES!$A:$A,$D77,MATERIAL_TARIFF_RULES!$C:$C,$B77),SUMIFS(MATERIAL_VARIANTS!$J:$J,MATERIAL_VARIANTS!$A:$A,$E77)),""),"")))</f>
        <v/>
      </c>
      <c r="G77" s="24" t="n"/>
      <c r="H77" s="24">
        <f>IF($C77="","",IF($C77="Work",IFERROR(SUMIFS(WORK_MASTER!$I:$I,WORK_MASTER!$A:$A,$D77),""),IF($C77="Material",IFERROR(SUMIFS(MATERIAL_VARIANTS!$I:$I,MATERIAL_VARIANTS!$A:$A,$E77),""),"")))</f>
        <v/>
      </c>
      <c r="I77" s="24">
        <f>IF($C77="","",IF($C77="Work",IFERROR(SUMIFS(WORK_FACTOR_APPLICABILITY!$O:$O,WORK_FACTOR_APPLICABILITY!$A:$A,$D77,WORK_FACTOR_APPLICABILITY!$N:$N,$A77),1),IF($C77="Material",IFERROR(ROUND(1+SUMIFS(MATERIAL_FACTOR_APPLICABILITY!$D:$D,MATERIAL_FACTOR_APPLICABILITY!$A:$A,SUMIFS(MATERIAL_MASTER!$O:$O,MATERIAL_MASTER!$A:$A,$D77),MATERIAL_FACTOR_APPLICABILITY!$B:$B,"GeometryComplexity")*(SUMIFS(OBJECT_CONDITIONS!$W:$W,OBJECT_CONDITIONS!$A:$A,$A77)-1),3),1),"")))</f>
        <v/>
      </c>
      <c r="J77" s="24">
        <f>IF($C77="","",IF($C77="Work",IFERROR(IF(SUMIFS(WORK_TARIFF_RULES!$F:$F,WORK_TARIFF_RULES!$A:$A,$D77,WORK_TARIFF_RULES!$C:$C,$B77)&lt;&gt;"",SUMIFS(WORK_TARIFF_RULES!$F:$F,WORK_TARIFF_RULES!$A:$A,$D77,WORK_TARIFF_RULES!$C:$C,$B77),SUMIFS(TARIFF_PROFILES!$D:$D,TARIFF_PROFILES!$A:$A,$B77)),1),IF($C77="Material",IFERROR(IF(SUMIFS(MATERIAL_TARIFF_RULES!$E:$E,MATERIAL_TARIFF_RULES!$A:$A,$D77,MATERIAL_TARIFF_RULES!$C:$C,$B77)&lt;&gt;"",SUMIFS(MATERIAL_TARIFF_RULES!$E:$E,MATERIAL_TARIFF_RULES!$A:$A,$D77,MATERIAL_TARIFF_RULES!$C:$C,$B77),SUMIFS(TARIFF_PROFILES!$E:$E,TARIFF_PROFILES!$A:$A,$B77)),1),"")))</f>
        <v/>
      </c>
      <c r="K77" s="24">
        <f>IF($C77="","",IF($C77="Material",IFERROR(SUMIFS(MATERIAL_MASTER!$P:$P,MATERIAL_MASTER!$A:$A,$D77)*IF(SUMIFS(MATERIAL_TARIFF_RULES!$F:$F,MATERIAL_TARIFF_RULES!$A:$A,$D77,MATERIAL_TARIFF_RULES!$C:$C,$B77)="",SUMIFS(TARIFF_PROFILES!$H:$H,TARIFF_PROFILES!$A:$A,$B77),SUMIFS(MATERIAL_TARIFF_RULES!$F:$F,MATERIAL_TARIFF_RULES!$A:$A,$D77,MATERIAL_TARIFF_RULES!$C:$C,$B77)),1),1))</f>
        <v/>
      </c>
      <c r="L77" s="24">
        <f>IF($C77="","",IF($C77="Work",N($H77)*N($I77)*N($J77),IF($C77="Material",N($H77)*N($I77)*N($J77),"")))</f>
        <v/>
      </c>
      <c r="M77" s="24">
        <f>IF($C77="","",IF($C77="Material",N($G77)*N($K77),N($G77)))</f>
        <v/>
      </c>
      <c r="N77" s="24">
        <f>IF($C77="","",N($L77)*N($M77))</f>
        <v/>
      </c>
      <c r="O77" s="5">
        <f>IF($C77="","",IF($C77="Work","Тариф влияет на способ/детализацию и коэффициент работ",IF($C77="Material","Тариф влияет на вариант, качество, запас и показ материала","")))</f>
        <v/>
      </c>
    </row>
    <row r="78">
      <c r="A78" s="5" t="n"/>
      <c r="B78" s="5" t="n"/>
      <c r="C78" s="5" t="n"/>
      <c r="D78" s="5" t="n"/>
      <c r="E78" s="5" t="n"/>
      <c r="F78" s="5">
        <f>IF($C78="","",IF($C78="Work",IFERROR(IF(SUMIFS(WORK_TARIFF_RULES!$G:$G,WORK_TARIFF_RULES!$A:$A,$D78,WORK_TARIFF_RULES!$C:$C,$B78)&lt;&gt;"",SUMIFS(WORK_TARIFF_RULES!$G:$G,WORK_TARIFF_RULES!$A:$A,$D78,WORK_TARIFF_RULES!$C:$C,$B78),SUMIFS(WORK_MASTER!$C:$C,WORK_MASTER!$A:$A,$D78)),""),IF($C78="Material",IFERROR(IF(SUMIFS(MATERIAL_TARIFF_RULES!$G:$G,MATERIAL_TARIFF_RULES!$A:$A,$D78,MATERIAL_TARIFF_RULES!$C:$C,$B78)&lt;&gt;"",SUMIFS(MATERIAL_TARIFF_RULES!$G:$G,MATERIAL_TARIFF_RULES!$A:$A,$D78,MATERIAL_TARIFF_RULES!$C:$C,$B78),SUMIFS(MATERIAL_VARIANTS!$J:$J,MATERIAL_VARIANTS!$A:$A,$E78)),""),"")))</f>
        <v/>
      </c>
      <c r="G78" s="24" t="n"/>
      <c r="H78" s="24">
        <f>IF($C78="","",IF($C78="Work",IFERROR(SUMIFS(WORK_MASTER!$I:$I,WORK_MASTER!$A:$A,$D78),""),IF($C78="Material",IFERROR(SUMIFS(MATERIAL_VARIANTS!$I:$I,MATERIAL_VARIANTS!$A:$A,$E78),""),"")))</f>
        <v/>
      </c>
      <c r="I78" s="24">
        <f>IF($C78="","",IF($C78="Work",IFERROR(SUMIFS(WORK_FACTOR_APPLICABILITY!$O:$O,WORK_FACTOR_APPLICABILITY!$A:$A,$D78,WORK_FACTOR_APPLICABILITY!$N:$N,$A78),1),IF($C78="Material",IFERROR(ROUND(1+SUMIFS(MATERIAL_FACTOR_APPLICABILITY!$D:$D,MATERIAL_FACTOR_APPLICABILITY!$A:$A,SUMIFS(MATERIAL_MASTER!$O:$O,MATERIAL_MASTER!$A:$A,$D78),MATERIAL_FACTOR_APPLICABILITY!$B:$B,"GeometryComplexity")*(SUMIFS(OBJECT_CONDITIONS!$W:$W,OBJECT_CONDITIONS!$A:$A,$A78)-1),3),1),"")))</f>
        <v/>
      </c>
      <c r="J78" s="24">
        <f>IF($C78="","",IF($C78="Work",IFERROR(IF(SUMIFS(WORK_TARIFF_RULES!$F:$F,WORK_TARIFF_RULES!$A:$A,$D78,WORK_TARIFF_RULES!$C:$C,$B78)&lt;&gt;"",SUMIFS(WORK_TARIFF_RULES!$F:$F,WORK_TARIFF_RULES!$A:$A,$D78,WORK_TARIFF_RULES!$C:$C,$B78),SUMIFS(TARIFF_PROFILES!$D:$D,TARIFF_PROFILES!$A:$A,$B78)),1),IF($C78="Material",IFERROR(IF(SUMIFS(MATERIAL_TARIFF_RULES!$E:$E,MATERIAL_TARIFF_RULES!$A:$A,$D78,MATERIAL_TARIFF_RULES!$C:$C,$B78)&lt;&gt;"",SUMIFS(MATERIAL_TARIFF_RULES!$E:$E,MATERIAL_TARIFF_RULES!$A:$A,$D78,MATERIAL_TARIFF_RULES!$C:$C,$B78),SUMIFS(TARIFF_PROFILES!$E:$E,TARIFF_PROFILES!$A:$A,$B78)),1),"")))</f>
        <v/>
      </c>
      <c r="K78" s="24">
        <f>IF($C78="","",IF($C78="Material",IFERROR(SUMIFS(MATERIAL_MASTER!$P:$P,MATERIAL_MASTER!$A:$A,$D78)*IF(SUMIFS(MATERIAL_TARIFF_RULES!$F:$F,MATERIAL_TARIFF_RULES!$A:$A,$D78,MATERIAL_TARIFF_RULES!$C:$C,$B78)="",SUMIFS(TARIFF_PROFILES!$H:$H,TARIFF_PROFILES!$A:$A,$B78),SUMIFS(MATERIAL_TARIFF_RULES!$F:$F,MATERIAL_TARIFF_RULES!$A:$A,$D78,MATERIAL_TARIFF_RULES!$C:$C,$B78)),1),1))</f>
        <v/>
      </c>
      <c r="L78" s="24">
        <f>IF($C78="","",IF($C78="Work",N($H78)*N($I78)*N($J78),IF($C78="Material",N($H78)*N($I78)*N($J78),"")))</f>
        <v/>
      </c>
      <c r="M78" s="24">
        <f>IF($C78="","",IF($C78="Material",N($G78)*N($K78),N($G78)))</f>
        <v/>
      </c>
      <c r="N78" s="24">
        <f>IF($C78="","",N($L78)*N($M78))</f>
        <v/>
      </c>
      <c r="O78" s="5">
        <f>IF($C78="","",IF($C78="Work","Тариф влияет на способ/детализацию и коэффициент работ",IF($C78="Material","Тариф влияет на вариант, качество, запас и показ материала","")))</f>
        <v/>
      </c>
    </row>
    <row r="79">
      <c r="A79" s="5" t="n"/>
      <c r="B79" s="5" t="n"/>
      <c r="C79" s="5" t="n"/>
      <c r="D79" s="5" t="n"/>
      <c r="E79" s="5" t="n"/>
      <c r="F79" s="5">
        <f>IF($C79="","",IF($C79="Work",IFERROR(IF(SUMIFS(WORK_TARIFF_RULES!$G:$G,WORK_TARIFF_RULES!$A:$A,$D79,WORK_TARIFF_RULES!$C:$C,$B79)&lt;&gt;"",SUMIFS(WORK_TARIFF_RULES!$G:$G,WORK_TARIFF_RULES!$A:$A,$D79,WORK_TARIFF_RULES!$C:$C,$B79),SUMIFS(WORK_MASTER!$C:$C,WORK_MASTER!$A:$A,$D79)),""),IF($C79="Material",IFERROR(IF(SUMIFS(MATERIAL_TARIFF_RULES!$G:$G,MATERIAL_TARIFF_RULES!$A:$A,$D79,MATERIAL_TARIFF_RULES!$C:$C,$B79)&lt;&gt;"",SUMIFS(MATERIAL_TARIFF_RULES!$G:$G,MATERIAL_TARIFF_RULES!$A:$A,$D79,MATERIAL_TARIFF_RULES!$C:$C,$B79),SUMIFS(MATERIAL_VARIANTS!$J:$J,MATERIAL_VARIANTS!$A:$A,$E79)),""),"")))</f>
        <v/>
      </c>
      <c r="G79" s="24" t="n"/>
      <c r="H79" s="24">
        <f>IF($C79="","",IF($C79="Work",IFERROR(SUMIFS(WORK_MASTER!$I:$I,WORK_MASTER!$A:$A,$D79),""),IF($C79="Material",IFERROR(SUMIFS(MATERIAL_VARIANTS!$I:$I,MATERIAL_VARIANTS!$A:$A,$E79),""),"")))</f>
        <v/>
      </c>
      <c r="I79" s="24">
        <f>IF($C79="","",IF($C79="Work",IFERROR(SUMIFS(WORK_FACTOR_APPLICABILITY!$O:$O,WORK_FACTOR_APPLICABILITY!$A:$A,$D79,WORK_FACTOR_APPLICABILITY!$N:$N,$A79),1),IF($C79="Material",IFERROR(ROUND(1+SUMIFS(MATERIAL_FACTOR_APPLICABILITY!$D:$D,MATERIAL_FACTOR_APPLICABILITY!$A:$A,SUMIFS(MATERIAL_MASTER!$O:$O,MATERIAL_MASTER!$A:$A,$D79),MATERIAL_FACTOR_APPLICABILITY!$B:$B,"GeometryComplexity")*(SUMIFS(OBJECT_CONDITIONS!$W:$W,OBJECT_CONDITIONS!$A:$A,$A79)-1),3),1),"")))</f>
        <v/>
      </c>
      <c r="J79" s="24">
        <f>IF($C79="","",IF($C79="Work",IFERROR(IF(SUMIFS(WORK_TARIFF_RULES!$F:$F,WORK_TARIFF_RULES!$A:$A,$D79,WORK_TARIFF_RULES!$C:$C,$B79)&lt;&gt;"",SUMIFS(WORK_TARIFF_RULES!$F:$F,WORK_TARIFF_RULES!$A:$A,$D79,WORK_TARIFF_RULES!$C:$C,$B79),SUMIFS(TARIFF_PROFILES!$D:$D,TARIFF_PROFILES!$A:$A,$B79)),1),IF($C79="Material",IFERROR(IF(SUMIFS(MATERIAL_TARIFF_RULES!$E:$E,MATERIAL_TARIFF_RULES!$A:$A,$D79,MATERIAL_TARIFF_RULES!$C:$C,$B79)&lt;&gt;"",SUMIFS(MATERIAL_TARIFF_RULES!$E:$E,MATERIAL_TARIFF_RULES!$A:$A,$D79,MATERIAL_TARIFF_RULES!$C:$C,$B79),SUMIFS(TARIFF_PROFILES!$E:$E,TARIFF_PROFILES!$A:$A,$B79)),1),"")))</f>
        <v/>
      </c>
      <c r="K79" s="24">
        <f>IF($C79="","",IF($C79="Material",IFERROR(SUMIFS(MATERIAL_MASTER!$P:$P,MATERIAL_MASTER!$A:$A,$D79)*IF(SUMIFS(MATERIAL_TARIFF_RULES!$F:$F,MATERIAL_TARIFF_RULES!$A:$A,$D79,MATERIAL_TARIFF_RULES!$C:$C,$B79)="",SUMIFS(TARIFF_PROFILES!$H:$H,TARIFF_PROFILES!$A:$A,$B79),SUMIFS(MATERIAL_TARIFF_RULES!$F:$F,MATERIAL_TARIFF_RULES!$A:$A,$D79,MATERIAL_TARIFF_RULES!$C:$C,$B79)),1),1))</f>
        <v/>
      </c>
      <c r="L79" s="24">
        <f>IF($C79="","",IF($C79="Work",N($H79)*N($I79)*N($J79),IF($C79="Material",N($H79)*N($I79)*N($J79),"")))</f>
        <v/>
      </c>
      <c r="M79" s="24">
        <f>IF($C79="","",IF($C79="Material",N($G79)*N($K79),N($G79)))</f>
        <v/>
      </c>
      <c r="N79" s="24">
        <f>IF($C79="","",N($L79)*N($M79))</f>
        <v/>
      </c>
      <c r="O79" s="5">
        <f>IF($C79="","",IF($C79="Work","Тариф влияет на способ/детализацию и коэффициент работ",IF($C79="Material","Тариф влияет на вариант, качество, запас и показ материала","")))</f>
        <v/>
      </c>
    </row>
    <row r="80">
      <c r="A80" s="5" t="n"/>
      <c r="B80" s="5" t="n"/>
      <c r="C80" s="5" t="n"/>
      <c r="D80" s="5" t="n"/>
      <c r="E80" s="5" t="n"/>
      <c r="F80" s="5">
        <f>IF($C80="","",IF($C80="Work",IFERROR(IF(SUMIFS(WORK_TARIFF_RULES!$G:$G,WORK_TARIFF_RULES!$A:$A,$D80,WORK_TARIFF_RULES!$C:$C,$B80)&lt;&gt;"",SUMIFS(WORK_TARIFF_RULES!$G:$G,WORK_TARIFF_RULES!$A:$A,$D80,WORK_TARIFF_RULES!$C:$C,$B80),SUMIFS(WORK_MASTER!$C:$C,WORK_MASTER!$A:$A,$D80)),""),IF($C80="Material",IFERROR(IF(SUMIFS(MATERIAL_TARIFF_RULES!$G:$G,MATERIAL_TARIFF_RULES!$A:$A,$D80,MATERIAL_TARIFF_RULES!$C:$C,$B80)&lt;&gt;"",SUMIFS(MATERIAL_TARIFF_RULES!$G:$G,MATERIAL_TARIFF_RULES!$A:$A,$D80,MATERIAL_TARIFF_RULES!$C:$C,$B80),SUMIFS(MATERIAL_VARIANTS!$J:$J,MATERIAL_VARIANTS!$A:$A,$E80)),""),"")))</f>
        <v/>
      </c>
      <c r="G80" s="24" t="n"/>
      <c r="H80" s="24">
        <f>IF($C80="","",IF($C80="Work",IFERROR(SUMIFS(WORK_MASTER!$I:$I,WORK_MASTER!$A:$A,$D80),""),IF($C80="Material",IFERROR(SUMIFS(MATERIAL_VARIANTS!$I:$I,MATERIAL_VARIANTS!$A:$A,$E80),""),"")))</f>
        <v/>
      </c>
      <c r="I80" s="24">
        <f>IF($C80="","",IF($C80="Work",IFERROR(SUMIFS(WORK_FACTOR_APPLICABILITY!$O:$O,WORK_FACTOR_APPLICABILITY!$A:$A,$D80,WORK_FACTOR_APPLICABILITY!$N:$N,$A80),1),IF($C80="Material",IFERROR(ROUND(1+SUMIFS(MATERIAL_FACTOR_APPLICABILITY!$D:$D,MATERIAL_FACTOR_APPLICABILITY!$A:$A,SUMIFS(MATERIAL_MASTER!$O:$O,MATERIAL_MASTER!$A:$A,$D80),MATERIAL_FACTOR_APPLICABILITY!$B:$B,"GeometryComplexity")*(SUMIFS(OBJECT_CONDITIONS!$W:$W,OBJECT_CONDITIONS!$A:$A,$A80)-1),3),1),"")))</f>
        <v/>
      </c>
      <c r="J80" s="24">
        <f>IF($C80="","",IF($C80="Work",IFERROR(IF(SUMIFS(WORK_TARIFF_RULES!$F:$F,WORK_TARIFF_RULES!$A:$A,$D80,WORK_TARIFF_RULES!$C:$C,$B80)&lt;&gt;"",SUMIFS(WORK_TARIFF_RULES!$F:$F,WORK_TARIFF_RULES!$A:$A,$D80,WORK_TARIFF_RULES!$C:$C,$B80),SUMIFS(TARIFF_PROFILES!$D:$D,TARIFF_PROFILES!$A:$A,$B80)),1),IF($C80="Material",IFERROR(IF(SUMIFS(MATERIAL_TARIFF_RULES!$E:$E,MATERIAL_TARIFF_RULES!$A:$A,$D80,MATERIAL_TARIFF_RULES!$C:$C,$B80)&lt;&gt;"",SUMIFS(MATERIAL_TARIFF_RULES!$E:$E,MATERIAL_TARIFF_RULES!$A:$A,$D80,MATERIAL_TARIFF_RULES!$C:$C,$B80),SUMIFS(TARIFF_PROFILES!$E:$E,TARIFF_PROFILES!$A:$A,$B80)),1),"")))</f>
        <v/>
      </c>
      <c r="K80" s="24">
        <f>IF($C80="","",IF($C80="Material",IFERROR(SUMIFS(MATERIAL_MASTER!$P:$P,MATERIAL_MASTER!$A:$A,$D80)*IF(SUMIFS(MATERIAL_TARIFF_RULES!$F:$F,MATERIAL_TARIFF_RULES!$A:$A,$D80,MATERIAL_TARIFF_RULES!$C:$C,$B80)="",SUMIFS(TARIFF_PROFILES!$H:$H,TARIFF_PROFILES!$A:$A,$B80),SUMIFS(MATERIAL_TARIFF_RULES!$F:$F,MATERIAL_TARIFF_RULES!$A:$A,$D80,MATERIAL_TARIFF_RULES!$C:$C,$B80)),1),1))</f>
        <v/>
      </c>
      <c r="L80" s="24">
        <f>IF($C80="","",IF($C80="Work",N($H80)*N($I80)*N($J80),IF($C80="Material",N($H80)*N($I80)*N($J80),"")))</f>
        <v/>
      </c>
      <c r="M80" s="24">
        <f>IF($C80="","",IF($C80="Material",N($G80)*N($K80),N($G80)))</f>
        <v/>
      </c>
      <c r="N80" s="24">
        <f>IF($C80="","",N($L80)*N($M80))</f>
        <v/>
      </c>
      <c r="O80" s="5">
        <f>IF($C80="","",IF($C80="Work","Тариф влияет на способ/детализацию и коэффициент работ",IF($C80="Material","Тариф влияет на вариант, качество, запас и показ материала","")))</f>
        <v/>
      </c>
    </row>
    <row r="81">
      <c r="A81" s="5" t="n"/>
      <c r="B81" s="5" t="n"/>
      <c r="C81" s="5" t="n"/>
      <c r="D81" s="5" t="n"/>
      <c r="E81" s="5" t="n"/>
      <c r="F81" s="5">
        <f>IF($C81="","",IF($C81="Work",IFERROR(IF(SUMIFS(WORK_TARIFF_RULES!$G:$G,WORK_TARIFF_RULES!$A:$A,$D81,WORK_TARIFF_RULES!$C:$C,$B81)&lt;&gt;"",SUMIFS(WORK_TARIFF_RULES!$G:$G,WORK_TARIFF_RULES!$A:$A,$D81,WORK_TARIFF_RULES!$C:$C,$B81),SUMIFS(WORK_MASTER!$C:$C,WORK_MASTER!$A:$A,$D81)),""),IF($C81="Material",IFERROR(IF(SUMIFS(MATERIAL_TARIFF_RULES!$G:$G,MATERIAL_TARIFF_RULES!$A:$A,$D81,MATERIAL_TARIFF_RULES!$C:$C,$B81)&lt;&gt;"",SUMIFS(MATERIAL_TARIFF_RULES!$G:$G,MATERIAL_TARIFF_RULES!$A:$A,$D81,MATERIAL_TARIFF_RULES!$C:$C,$B81),SUMIFS(MATERIAL_VARIANTS!$J:$J,MATERIAL_VARIANTS!$A:$A,$E81)),""),"")))</f>
        <v/>
      </c>
      <c r="G81" s="24" t="n"/>
      <c r="H81" s="24">
        <f>IF($C81="","",IF($C81="Work",IFERROR(SUMIFS(WORK_MASTER!$I:$I,WORK_MASTER!$A:$A,$D81),""),IF($C81="Material",IFERROR(SUMIFS(MATERIAL_VARIANTS!$I:$I,MATERIAL_VARIANTS!$A:$A,$E81),""),"")))</f>
        <v/>
      </c>
      <c r="I81" s="24">
        <f>IF($C81="","",IF($C81="Work",IFERROR(SUMIFS(WORK_FACTOR_APPLICABILITY!$O:$O,WORK_FACTOR_APPLICABILITY!$A:$A,$D81,WORK_FACTOR_APPLICABILITY!$N:$N,$A81),1),IF($C81="Material",IFERROR(ROUND(1+SUMIFS(MATERIAL_FACTOR_APPLICABILITY!$D:$D,MATERIAL_FACTOR_APPLICABILITY!$A:$A,SUMIFS(MATERIAL_MASTER!$O:$O,MATERIAL_MASTER!$A:$A,$D81),MATERIAL_FACTOR_APPLICABILITY!$B:$B,"GeometryComplexity")*(SUMIFS(OBJECT_CONDITIONS!$W:$W,OBJECT_CONDITIONS!$A:$A,$A81)-1),3),1),"")))</f>
        <v/>
      </c>
      <c r="J81" s="24">
        <f>IF($C81="","",IF($C81="Work",IFERROR(IF(SUMIFS(WORK_TARIFF_RULES!$F:$F,WORK_TARIFF_RULES!$A:$A,$D81,WORK_TARIFF_RULES!$C:$C,$B81)&lt;&gt;"",SUMIFS(WORK_TARIFF_RULES!$F:$F,WORK_TARIFF_RULES!$A:$A,$D81,WORK_TARIFF_RULES!$C:$C,$B81),SUMIFS(TARIFF_PROFILES!$D:$D,TARIFF_PROFILES!$A:$A,$B81)),1),IF($C81="Material",IFERROR(IF(SUMIFS(MATERIAL_TARIFF_RULES!$E:$E,MATERIAL_TARIFF_RULES!$A:$A,$D81,MATERIAL_TARIFF_RULES!$C:$C,$B81)&lt;&gt;"",SUMIFS(MATERIAL_TARIFF_RULES!$E:$E,MATERIAL_TARIFF_RULES!$A:$A,$D81,MATERIAL_TARIFF_RULES!$C:$C,$B81),SUMIFS(TARIFF_PROFILES!$E:$E,TARIFF_PROFILES!$A:$A,$B81)),1),"")))</f>
        <v/>
      </c>
      <c r="K81" s="24">
        <f>IF($C81="","",IF($C81="Material",IFERROR(SUMIFS(MATERIAL_MASTER!$P:$P,MATERIAL_MASTER!$A:$A,$D81)*IF(SUMIFS(MATERIAL_TARIFF_RULES!$F:$F,MATERIAL_TARIFF_RULES!$A:$A,$D81,MATERIAL_TARIFF_RULES!$C:$C,$B81)="",SUMIFS(TARIFF_PROFILES!$H:$H,TARIFF_PROFILES!$A:$A,$B81),SUMIFS(MATERIAL_TARIFF_RULES!$F:$F,MATERIAL_TARIFF_RULES!$A:$A,$D81,MATERIAL_TARIFF_RULES!$C:$C,$B81)),1),1))</f>
        <v/>
      </c>
      <c r="L81" s="24">
        <f>IF($C81="","",IF($C81="Work",N($H81)*N($I81)*N($J81),IF($C81="Material",N($H81)*N($I81)*N($J81),"")))</f>
        <v/>
      </c>
      <c r="M81" s="24">
        <f>IF($C81="","",IF($C81="Material",N($G81)*N($K81),N($G81)))</f>
        <v/>
      </c>
      <c r="N81" s="24">
        <f>IF($C81="","",N($L81)*N($M81))</f>
        <v/>
      </c>
      <c r="O81" s="5">
        <f>IF($C81="","",IF($C81="Work","Тариф влияет на способ/детализацию и коэффициент работ",IF($C81="Material","Тариф влияет на вариант, качество, запас и показ материала","")))</f>
        <v/>
      </c>
    </row>
    <row r="82">
      <c r="A82" s="5" t="n"/>
      <c r="B82" s="5" t="n"/>
      <c r="C82" s="5" t="n"/>
      <c r="D82" s="5" t="n"/>
      <c r="E82" s="5" t="n"/>
      <c r="F82" s="5">
        <f>IF($C82="","",IF($C82="Work",IFERROR(IF(SUMIFS(WORK_TARIFF_RULES!$G:$G,WORK_TARIFF_RULES!$A:$A,$D82,WORK_TARIFF_RULES!$C:$C,$B82)&lt;&gt;"",SUMIFS(WORK_TARIFF_RULES!$G:$G,WORK_TARIFF_RULES!$A:$A,$D82,WORK_TARIFF_RULES!$C:$C,$B82),SUMIFS(WORK_MASTER!$C:$C,WORK_MASTER!$A:$A,$D82)),""),IF($C82="Material",IFERROR(IF(SUMIFS(MATERIAL_TARIFF_RULES!$G:$G,MATERIAL_TARIFF_RULES!$A:$A,$D82,MATERIAL_TARIFF_RULES!$C:$C,$B82)&lt;&gt;"",SUMIFS(MATERIAL_TARIFF_RULES!$G:$G,MATERIAL_TARIFF_RULES!$A:$A,$D82,MATERIAL_TARIFF_RULES!$C:$C,$B82),SUMIFS(MATERIAL_VARIANTS!$J:$J,MATERIAL_VARIANTS!$A:$A,$E82)),""),"")))</f>
        <v/>
      </c>
      <c r="G82" s="24" t="n"/>
      <c r="H82" s="24">
        <f>IF($C82="","",IF($C82="Work",IFERROR(SUMIFS(WORK_MASTER!$I:$I,WORK_MASTER!$A:$A,$D82),""),IF($C82="Material",IFERROR(SUMIFS(MATERIAL_VARIANTS!$I:$I,MATERIAL_VARIANTS!$A:$A,$E82),""),"")))</f>
        <v/>
      </c>
      <c r="I82" s="24">
        <f>IF($C82="","",IF($C82="Work",IFERROR(SUMIFS(WORK_FACTOR_APPLICABILITY!$O:$O,WORK_FACTOR_APPLICABILITY!$A:$A,$D82,WORK_FACTOR_APPLICABILITY!$N:$N,$A82),1),IF($C82="Material",IFERROR(ROUND(1+SUMIFS(MATERIAL_FACTOR_APPLICABILITY!$D:$D,MATERIAL_FACTOR_APPLICABILITY!$A:$A,SUMIFS(MATERIAL_MASTER!$O:$O,MATERIAL_MASTER!$A:$A,$D82),MATERIAL_FACTOR_APPLICABILITY!$B:$B,"GeometryComplexity")*(SUMIFS(OBJECT_CONDITIONS!$W:$W,OBJECT_CONDITIONS!$A:$A,$A82)-1),3),1),"")))</f>
        <v/>
      </c>
      <c r="J82" s="24">
        <f>IF($C82="","",IF($C82="Work",IFERROR(IF(SUMIFS(WORK_TARIFF_RULES!$F:$F,WORK_TARIFF_RULES!$A:$A,$D82,WORK_TARIFF_RULES!$C:$C,$B82)&lt;&gt;"",SUMIFS(WORK_TARIFF_RULES!$F:$F,WORK_TARIFF_RULES!$A:$A,$D82,WORK_TARIFF_RULES!$C:$C,$B82),SUMIFS(TARIFF_PROFILES!$D:$D,TARIFF_PROFILES!$A:$A,$B82)),1),IF($C82="Material",IFERROR(IF(SUMIFS(MATERIAL_TARIFF_RULES!$E:$E,MATERIAL_TARIFF_RULES!$A:$A,$D82,MATERIAL_TARIFF_RULES!$C:$C,$B82)&lt;&gt;"",SUMIFS(MATERIAL_TARIFF_RULES!$E:$E,MATERIAL_TARIFF_RULES!$A:$A,$D82,MATERIAL_TARIFF_RULES!$C:$C,$B82),SUMIFS(TARIFF_PROFILES!$E:$E,TARIFF_PROFILES!$A:$A,$B82)),1),"")))</f>
        <v/>
      </c>
      <c r="K82" s="24">
        <f>IF($C82="","",IF($C82="Material",IFERROR(SUMIFS(MATERIAL_MASTER!$P:$P,MATERIAL_MASTER!$A:$A,$D82)*IF(SUMIFS(MATERIAL_TARIFF_RULES!$F:$F,MATERIAL_TARIFF_RULES!$A:$A,$D82,MATERIAL_TARIFF_RULES!$C:$C,$B82)="",SUMIFS(TARIFF_PROFILES!$H:$H,TARIFF_PROFILES!$A:$A,$B82),SUMIFS(MATERIAL_TARIFF_RULES!$F:$F,MATERIAL_TARIFF_RULES!$A:$A,$D82,MATERIAL_TARIFF_RULES!$C:$C,$B82)),1),1))</f>
        <v/>
      </c>
      <c r="L82" s="24">
        <f>IF($C82="","",IF($C82="Work",N($H82)*N($I82)*N($J82),IF($C82="Material",N($H82)*N($I82)*N($J82),"")))</f>
        <v/>
      </c>
      <c r="M82" s="24">
        <f>IF($C82="","",IF($C82="Material",N($G82)*N($K82),N($G82)))</f>
        <v/>
      </c>
      <c r="N82" s="24">
        <f>IF($C82="","",N($L82)*N($M82))</f>
        <v/>
      </c>
      <c r="O82" s="5">
        <f>IF($C82="","",IF($C82="Work","Тариф влияет на способ/детализацию и коэффициент работ",IF($C82="Material","Тариф влияет на вариант, качество, запас и показ материала","")))</f>
        <v/>
      </c>
    </row>
    <row r="83">
      <c r="A83" s="5" t="n"/>
      <c r="B83" s="5" t="n"/>
      <c r="C83" s="5" t="n"/>
      <c r="D83" s="5" t="n"/>
      <c r="E83" s="5" t="n"/>
      <c r="F83" s="5">
        <f>IF($C83="","",IF($C83="Work",IFERROR(IF(SUMIFS(WORK_TARIFF_RULES!$G:$G,WORK_TARIFF_RULES!$A:$A,$D83,WORK_TARIFF_RULES!$C:$C,$B83)&lt;&gt;"",SUMIFS(WORK_TARIFF_RULES!$G:$G,WORK_TARIFF_RULES!$A:$A,$D83,WORK_TARIFF_RULES!$C:$C,$B83),SUMIFS(WORK_MASTER!$C:$C,WORK_MASTER!$A:$A,$D83)),""),IF($C83="Material",IFERROR(IF(SUMIFS(MATERIAL_TARIFF_RULES!$G:$G,MATERIAL_TARIFF_RULES!$A:$A,$D83,MATERIAL_TARIFF_RULES!$C:$C,$B83)&lt;&gt;"",SUMIFS(MATERIAL_TARIFF_RULES!$G:$G,MATERIAL_TARIFF_RULES!$A:$A,$D83,MATERIAL_TARIFF_RULES!$C:$C,$B83),SUMIFS(MATERIAL_VARIANTS!$J:$J,MATERIAL_VARIANTS!$A:$A,$E83)),""),"")))</f>
        <v/>
      </c>
      <c r="G83" s="24" t="n"/>
      <c r="H83" s="24">
        <f>IF($C83="","",IF($C83="Work",IFERROR(SUMIFS(WORK_MASTER!$I:$I,WORK_MASTER!$A:$A,$D83),""),IF($C83="Material",IFERROR(SUMIFS(MATERIAL_VARIANTS!$I:$I,MATERIAL_VARIANTS!$A:$A,$E83),""),"")))</f>
        <v/>
      </c>
      <c r="I83" s="24">
        <f>IF($C83="","",IF($C83="Work",IFERROR(SUMIFS(WORK_FACTOR_APPLICABILITY!$O:$O,WORK_FACTOR_APPLICABILITY!$A:$A,$D83,WORK_FACTOR_APPLICABILITY!$N:$N,$A83),1),IF($C83="Material",IFERROR(ROUND(1+SUMIFS(MATERIAL_FACTOR_APPLICABILITY!$D:$D,MATERIAL_FACTOR_APPLICABILITY!$A:$A,SUMIFS(MATERIAL_MASTER!$O:$O,MATERIAL_MASTER!$A:$A,$D83),MATERIAL_FACTOR_APPLICABILITY!$B:$B,"GeometryComplexity")*(SUMIFS(OBJECT_CONDITIONS!$W:$W,OBJECT_CONDITIONS!$A:$A,$A83)-1),3),1),"")))</f>
        <v/>
      </c>
      <c r="J83" s="24">
        <f>IF($C83="","",IF($C83="Work",IFERROR(IF(SUMIFS(WORK_TARIFF_RULES!$F:$F,WORK_TARIFF_RULES!$A:$A,$D83,WORK_TARIFF_RULES!$C:$C,$B83)&lt;&gt;"",SUMIFS(WORK_TARIFF_RULES!$F:$F,WORK_TARIFF_RULES!$A:$A,$D83,WORK_TARIFF_RULES!$C:$C,$B83),SUMIFS(TARIFF_PROFILES!$D:$D,TARIFF_PROFILES!$A:$A,$B83)),1),IF($C83="Material",IFERROR(IF(SUMIFS(MATERIAL_TARIFF_RULES!$E:$E,MATERIAL_TARIFF_RULES!$A:$A,$D83,MATERIAL_TARIFF_RULES!$C:$C,$B83)&lt;&gt;"",SUMIFS(MATERIAL_TARIFF_RULES!$E:$E,MATERIAL_TARIFF_RULES!$A:$A,$D83,MATERIAL_TARIFF_RULES!$C:$C,$B83),SUMIFS(TARIFF_PROFILES!$E:$E,TARIFF_PROFILES!$A:$A,$B83)),1),"")))</f>
        <v/>
      </c>
      <c r="K83" s="24">
        <f>IF($C83="","",IF($C83="Material",IFERROR(SUMIFS(MATERIAL_MASTER!$P:$P,MATERIAL_MASTER!$A:$A,$D83)*IF(SUMIFS(MATERIAL_TARIFF_RULES!$F:$F,MATERIAL_TARIFF_RULES!$A:$A,$D83,MATERIAL_TARIFF_RULES!$C:$C,$B83)="",SUMIFS(TARIFF_PROFILES!$H:$H,TARIFF_PROFILES!$A:$A,$B83),SUMIFS(MATERIAL_TARIFF_RULES!$F:$F,MATERIAL_TARIFF_RULES!$A:$A,$D83,MATERIAL_TARIFF_RULES!$C:$C,$B83)),1),1))</f>
        <v/>
      </c>
      <c r="L83" s="24">
        <f>IF($C83="","",IF($C83="Work",N($H83)*N($I83)*N($J83),IF($C83="Material",N($H83)*N($I83)*N($J83),"")))</f>
        <v/>
      </c>
      <c r="M83" s="24">
        <f>IF($C83="","",IF($C83="Material",N($G83)*N($K83),N($G83)))</f>
        <v/>
      </c>
      <c r="N83" s="24">
        <f>IF($C83="","",N($L83)*N($M83))</f>
        <v/>
      </c>
      <c r="O83" s="5">
        <f>IF($C83="","",IF($C83="Work","Тариф влияет на способ/детализацию и коэффициент работ",IF($C83="Material","Тариф влияет на вариант, качество, запас и показ материала","")))</f>
        <v/>
      </c>
    </row>
    <row r="84">
      <c r="A84" s="5" t="n"/>
      <c r="B84" s="5" t="n"/>
      <c r="C84" s="5" t="n"/>
      <c r="D84" s="5" t="n"/>
      <c r="E84" s="5" t="n"/>
      <c r="F84" s="5">
        <f>IF($C84="","",IF($C84="Work",IFERROR(IF(SUMIFS(WORK_TARIFF_RULES!$G:$G,WORK_TARIFF_RULES!$A:$A,$D84,WORK_TARIFF_RULES!$C:$C,$B84)&lt;&gt;"",SUMIFS(WORK_TARIFF_RULES!$G:$G,WORK_TARIFF_RULES!$A:$A,$D84,WORK_TARIFF_RULES!$C:$C,$B84),SUMIFS(WORK_MASTER!$C:$C,WORK_MASTER!$A:$A,$D84)),""),IF($C84="Material",IFERROR(IF(SUMIFS(MATERIAL_TARIFF_RULES!$G:$G,MATERIAL_TARIFF_RULES!$A:$A,$D84,MATERIAL_TARIFF_RULES!$C:$C,$B84)&lt;&gt;"",SUMIFS(MATERIAL_TARIFF_RULES!$G:$G,MATERIAL_TARIFF_RULES!$A:$A,$D84,MATERIAL_TARIFF_RULES!$C:$C,$B84),SUMIFS(MATERIAL_VARIANTS!$J:$J,MATERIAL_VARIANTS!$A:$A,$E84)),""),"")))</f>
        <v/>
      </c>
      <c r="G84" s="24" t="n"/>
      <c r="H84" s="24">
        <f>IF($C84="","",IF($C84="Work",IFERROR(SUMIFS(WORK_MASTER!$I:$I,WORK_MASTER!$A:$A,$D84),""),IF($C84="Material",IFERROR(SUMIFS(MATERIAL_VARIANTS!$I:$I,MATERIAL_VARIANTS!$A:$A,$E84),""),"")))</f>
        <v/>
      </c>
      <c r="I84" s="24">
        <f>IF($C84="","",IF($C84="Work",IFERROR(SUMIFS(WORK_FACTOR_APPLICABILITY!$O:$O,WORK_FACTOR_APPLICABILITY!$A:$A,$D84,WORK_FACTOR_APPLICABILITY!$N:$N,$A84),1),IF($C84="Material",IFERROR(ROUND(1+SUMIFS(MATERIAL_FACTOR_APPLICABILITY!$D:$D,MATERIAL_FACTOR_APPLICABILITY!$A:$A,SUMIFS(MATERIAL_MASTER!$O:$O,MATERIAL_MASTER!$A:$A,$D84),MATERIAL_FACTOR_APPLICABILITY!$B:$B,"GeometryComplexity")*(SUMIFS(OBJECT_CONDITIONS!$W:$W,OBJECT_CONDITIONS!$A:$A,$A84)-1),3),1),"")))</f>
        <v/>
      </c>
      <c r="J84" s="24">
        <f>IF($C84="","",IF($C84="Work",IFERROR(IF(SUMIFS(WORK_TARIFF_RULES!$F:$F,WORK_TARIFF_RULES!$A:$A,$D84,WORK_TARIFF_RULES!$C:$C,$B84)&lt;&gt;"",SUMIFS(WORK_TARIFF_RULES!$F:$F,WORK_TARIFF_RULES!$A:$A,$D84,WORK_TARIFF_RULES!$C:$C,$B84),SUMIFS(TARIFF_PROFILES!$D:$D,TARIFF_PROFILES!$A:$A,$B84)),1),IF($C84="Material",IFERROR(IF(SUMIFS(MATERIAL_TARIFF_RULES!$E:$E,MATERIAL_TARIFF_RULES!$A:$A,$D84,MATERIAL_TARIFF_RULES!$C:$C,$B84)&lt;&gt;"",SUMIFS(MATERIAL_TARIFF_RULES!$E:$E,MATERIAL_TARIFF_RULES!$A:$A,$D84,MATERIAL_TARIFF_RULES!$C:$C,$B84),SUMIFS(TARIFF_PROFILES!$E:$E,TARIFF_PROFILES!$A:$A,$B84)),1),"")))</f>
        <v/>
      </c>
      <c r="K84" s="24">
        <f>IF($C84="","",IF($C84="Material",IFERROR(SUMIFS(MATERIAL_MASTER!$P:$P,MATERIAL_MASTER!$A:$A,$D84)*IF(SUMIFS(MATERIAL_TARIFF_RULES!$F:$F,MATERIAL_TARIFF_RULES!$A:$A,$D84,MATERIAL_TARIFF_RULES!$C:$C,$B84)="",SUMIFS(TARIFF_PROFILES!$H:$H,TARIFF_PROFILES!$A:$A,$B84),SUMIFS(MATERIAL_TARIFF_RULES!$F:$F,MATERIAL_TARIFF_RULES!$A:$A,$D84,MATERIAL_TARIFF_RULES!$C:$C,$B84)),1),1))</f>
        <v/>
      </c>
      <c r="L84" s="24">
        <f>IF($C84="","",IF($C84="Work",N($H84)*N($I84)*N($J84),IF($C84="Material",N($H84)*N($I84)*N($J84),"")))</f>
        <v/>
      </c>
      <c r="M84" s="24">
        <f>IF($C84="","",IF($C84="Material",N($G84)*N($K84),N($G84)))</f>
        <v/>
      </c>
      <c r="N84" s="24">
        <f>IF($C84="","",N($L84)*N($M84))</f>
        <v/>
      </c>
      <c r="O84" s="5">
        <f>IF($C84="","",IF($C84="Work","Тариф влияет на способ/детализацию и коэффициент работ",IF($C84="Material","Тариф влияет на вариант, качество, запас и показ материала","")))</f>
        <v/>
      </c>
    </row>
    <row r="85">
      <c r="A85" s="5" t="n"/>
      <c r="B85" s="5" t="n"/>
      <c r="C85" s="5" t="n"/>
      <c r="D85" s="5" t="n"/>
      <c r="E85" s="5" t="n"/>
      <c r="F85" s="5">
        <f>IF($C85="","",IF($C85="Work",IFERROR(IF(SUMIFS(WORK_TARIFF_RULES!$G:$G,WORK_TARIFF_RULES!$A:$A,$D85,WORK_TARIFF_RULES!$C:$C,$B85)&lt;&gt;"",SUMIFS(WORK_TARIFF_RULES!$G:$G,WORK_TARIFF_RULES!$A:$A,$D85,WORK_TARIFF_RULES!$C:$C,$B85),SUMIFS(WORK_MASTER!$C:$C,WORK_MASTER!$A:$A,$D85)),""),IF($C85="Material",IFERROR(IF(SUMIFS(MATERIAL_TARIFF_RULES!$G:$G,MATERIAL_TARIFF_RULES!$A:$A,$D85,MATERIAL_TARIFF_RULES!$C:$C,$B85)&lt;&gt;"",SUMIFS(MATERIAL_TARIFF_RULES!$G:$G,MATERIAL_TARIFF_RULES!$A:$A,$D85,MATERIAL_TARIFF_RULES!$C:$C,$B85),SUMIFS(MATERIAL_VARIANTS!$J:$J,MATERIAL_VARIANTS!$A:$A,$E85)),""),"")))</f>
        <v/>
      </c>
      <c r="G85" s="24" t="n"/>
      <c r="H85" s="24">
        <f>IF($C85="","",IF($C85="Work",IFERROR(SUMIFS(WORK_MASTER!$I:$I,WORK_MASTER!$A:$A,$D85),""),IF($C85="Material",IFERROR(SUMIFS(MATERIAL_VARIANTS!$I:$I,MATERIAL_VARIANTS!$A:$A,$E85),""),"")))</f>
        <v/>
      </c>
      <c r="I85" s="24">
        <f>IF($C85="","",IF($C85="Work",IFERROR(SUMIFS(WORK_FACTOR_APPLICABILITY!$O:$O,WORK_FACTOR_APPLICABILITY!$A:$A,$D85,WORK_FACTOR_APPLICABILITY!$N:$N,$A85),1),IF($C85="Material",IFERROR(ROUND(1+SUMIFS(MATERIAL_FACTOR_APPLICABILITY!$D:$D,MATERIAL_FACTOR_APPLICABILITY!$A:$A,SUMIFS(MATERIAL_MASTER!$O:$O,MATERIAL_MASTER!$A:$A,$D85),MATERIAL_FACTOR_APPLICABILITY!$B:$B,"GeometryComplexity")*(SUMIFS(OBJECT_CONDITIONS!$W:$W,OBJECT_CONDITIONS!$A:$A,$A85)-1),3),1),"")))</f>
        <v/>
      </c>
      <c r="J85" s="24">
        <f>IF($C85="","",IF($C85="Work",IFERROR(IF(SUMIFS(WORK_TARIFF_RULES!$F:$F,WORK_TARIFF_RULES!$A:$A,$D85,WORK_TARIFF_RULES!$C:$C,$B85)&lt;&gt;"",SUMIFS(WORK_TARIFF_RULES!$F:$F,WORK_TARIFF_RULES!$A:$A,$D85,WORK_TARIFF_RULES!$C:$C,$B85),SUMIFS(TARIFF_PROFILES!$D:$D,TARIFF_PROFILES!$A:$A,$B85)),1),IF($C85="Material",IFERROR(IF(SUMIFS(MATERIAL_TARIFF_RULES!$E:$E,MATERIAL_TARIFF_RULES!$A:$A,$D85,MATERIAL_TARIFF_RULES!$C:$C,$B85)&lt;&gt;"",SUMIFS(MATERIAL_TARIFF_RULES!$E:$E,MATERIAL_TARIFF_RULES!$A:$A,$D85,MATERIAL_TARIFF_RULES!$C:$C,$B85),SUMIFS(TARIFF_PROFILES!$E:$E,TARIFF_PROFILES!$A:$A,$B85)),1),"")))</f>
        <v/>
      </c>
      <c r="K85" s="24">
        <f>IF($C85="","",IF($C85="Material",IFERROR(SUMIFS(MATERIAL_MASTER!$P:$P,MATERIAL_MASTER!$A:$A,$D85)*IF(SUMIFS(MATERIAL_TARIFF_RULES!$F:$F,MATERIAL_TARIFF_RULES!$A:$A,$D85,MATERIAL_TARIFF_RULES!$C:$C,$B85)="",SUMIFS(TARIFF_PROFILES!$H:$H,TARIFF_PROFILES!$A:$A,$B85),SUMIFS(MATERIAL_TARIFF_RULES!$F:$F,MATERIAL_TARIFF_RULES!$A:$A,$D85,MATERIAL_TARIFF_RULES!$C:$C,$B85)),1),1))</f>
        <v/>
      </c>
      <c r="L85" s="24">
        <f>IF($C85="","",IF($C85="Work",N($H85)*N($I85)*N($J85),IF($C85="Material",N($H85)*N($I85)*N($J85),"")))</f>
        <v/>
      </c>
      <c r="M85" s="24">
        <f>IF($C85="","",IF($C85="Material",N($G85)*N($K85),N($G85)))</f>
        <v/>
      </c>
      <c r="N85" s="24">
        <f>IF($C85="","",N($L85)*N($M85))</f>
        <v/>
      </c>
      <c r="O85" s="5">
        <f>IF($C85="","",IF($C85="Work","Тариф влияет на способ/детализацию и коэффициент работ",IF($C85="Material","Тариф влияет на вариант, качество, запас и показ материала","")))</f>
        <v/>
      </c>
    </row>
    <row r="86">
      <c r="A86" s="5" t="n"/>
      <c r="B86" s="5" t="n"/>
      <c r="C86" s="5" t="n"/>
      <c r="D86" s="5" t="n"/>
      <c r="E86" s="5" t="n"/>
      <c r="F86" s="5">
        <f>IF($C86="","",IF($C86="Work",IFERROR(IF(SUMIFS(WORK_TARIFF_RULES!$G:$G,WORK_TARIFF_RULES!$A:$A,$D86,WORK_TARIFF_RULES!$C:$C,$B86)&lt;&gt;"",SUMIFS(WORK_TARIFF_RULES!$G:$G,WORK_TARIFF_RULES!$A:$A,$D86,WORK_TARIFF_RULES!$C:$C,$B86),SUMIFS(WORK_MASTER!$C:$C,WORK_MASTER!$A:$A,$D86)),""),IF($C86="Material",IFERROR(IF(SUMIFS(MATERIAL_TARIFF_RULES!$G:$G,MATERIAL_TARIFF_RULES!$A:$A,$D86,MATERIAL_TARIFF_RULES!$C:$C,$B86)&lt;&gt;"",SUMIFS(MATERIAL_TARIFF_RULES!$G:$G,MATERIAL_TARIFF_RULES!$A:$A,$D86,MATERIAL_TARIFF_RULES!$C:$C,$B86),SUMIFS(MATERIAL_VARIANTS!$J:$J,MATERIAL_VARIANTS!$A:$A,$E86)),""),"")))</f>
        <v/>
      </c>
      <c r="G86" s="24" t="n"/>
      <c r="H86" s="24">
        <f>IF($C86="","",IF($C86="Work",IFERROR(SUMIFS(WORK_MASTER!$I:$I,WORK_MASTER!$A:$A,$D86),""),IF($C86="Material",IFERROR(SUMIFS(MATERIAL_VARIANTS!$I:$I,MATERIAL_VARIANTS!$A:$A,$E86),""),"")))</f>
        <v/>
      </c>
      <c r="I86" s="24">
        <f>IF($C86="","",IF($C86="Work",IFERROR(SUMIFS(WORK_FACTOR_APPLICABILITY!$O:$O,WORK_FACTOR_APPLICABILITY!$A:$A,$D86,WORK_FACTOR_APPLICABILITY!$N:$N,$A86),1),IF($C86="Material",IFERROR(ROUND(1+SUMIFS(MATERIAL_FACTOR_APPLICABILITY!$D:$D,MATERIAL_FACTOR_APPLICABILITY!$A:$A,SUMIFS(MATERIAL_MASTER!$O:$O,MATERIAL_MASTER!$A:$A,$D86),MATERIAL_FACTOR_APPLICABILITY!$B:$B,"GeometryComplexity")*(SUMIFS(OBJECT_CONDITIONS!$W:$W,OBJECT_CONDITIONS!$A:$A,$A86)-1),3),1),"")))</f>
        <v/>
      </c>
      <c r="J86" s="24">
        <f>IF($C86="","",IF($C86="Work",IFERROR(IF(SUMIFS(WORK_TARIFF_RULES!$F:$F,WORK_TARIFF_RULES!$A:$A,$D86,WORK_TARIFF_RULES!$C:$C,$B86)&lt;&gt;"",SUMIFS(WORK_TARIFF_RULES!$F:$F,WORK_TARIFF_RULES!$A:$A,$D86,WORK_TARIFF_RULES!$C:$C,$B86),SUMIFS(TARIFF_PROFILES!$D:$D,TARIFF_PROFILES!$A:$A,$B86)),1),IF($C86="Material",IFERROR(IF(SUMIFS(MATERIAL_TARIFF_RULES!$E:$E,MATERIAL_TARIFF_RULES!$A:$A,$D86,MATERIAL_TARIFF_RULES!$C:$C,$B86)&lt;&gt;"",SUMIFS(MATERIAL_TARIFF_RULES!$E:$E,MATERIAL_TARIFF_RULES!$A:$A,$D86,MATERIAL_TARIFF_RULES!$C:$C,$B86),SUMIFS(TARIFF_PROFILES!$E:$E,TARIFF_PROFILES!$A:$A,$B86)),1),"")))</f>
        <v/>
      </c>
      <c r="K86" s="24">
        <f>IF($C86="","",IF($C86="Material",IFERROR(SUMIFS(MATERIAL_MASTER!$P:$P,MATERIAL_MASTER!$A:$A,$D86)*IF(SUMIFS(MATERIAL_TARIFF_RULES!$F:$F,MATERIAL_TARIFF_RULES!$A:$A,$D86,MATERIAL_TARIFF_RULES!$C:$C,$B86)="",SUMIFS(TARIFF_PROFILES!$H:$H,TARIFF_PROFILES!$A:$A,$B86),SUMIFS(MATERIAL_TARIFF_RULES!$F:$F,MATERIAL_TARIFF_RULES!$A:$A,$D86,MATERIAL_TARIFF_RULES!$C:$C,$B86)),1),1))</f>
        <v/>
      </c>
      <c r="L86" s="24">
        <f>IF($C86="","",IF($C86="Work",N($H86)*N($I86)*N($J86),IF($C86="Material",N($H86)*N($I86)*N($J86),"")))</f>
        <v/>
      </c>
      <c r="M86" s="24">
        <f>IF($C86="","",IF($C86="Material",N($G86)*N($K86),N($G86)))</f>
        <v/>
      </c>
      <c r="N86" s="24">
        <f>IF($C86="","",N($L86)*N($M86))</f>
        <v/>
      </c>
      <c r="O86" s="5">
        <f>IF($C86="","",IF($C86="Work","Тариф влияет на способ/детализацию и коэффициент работ",IF($C86="Material","Тариф влияет на вариант, качество, запас и показ материала","")))</f>
        <v/>
      </c>
    </row>
    <row r="87">
      <c r="A87" s="5" t="n"/>
      <c r="B87" s="5" t="n"/>
      <c r="C87" s="5" t="n"/>
      <c r="D87" s="5" t="n"/>
      <c r="E87" s="5" t="n"/>
      <c r="F87" s="5">
        <f>IF($C87="","",IF($C87="Work",IFERROR(IF(SUMIFS(WORK_TARIFF_RULES!$G:$G,WORK_TARIFF_RULES!$A:$A,$D87,WORK_TARIFF_RULES!$C:$C,$B87)&lt;&gt;"",SUMIFS(WORK_TARIFF_RULES!$G:$G,WORK_TARIFF_RULES!$A:$A,$D87,WORK_TARIFF_RULES!$C:$C,$B87),SUMIFS(WORK_MASTER!$C:$C,WORK_MASTER!$A:$A,$D87)),""),IF($C87="Material",IFERROR(IF(SUMIFS(MATERIAL_TARIFF_RULES!$G:$G,MATERIAL_TARIFF_RULES!$A:$A,$D87,MATERIAL_TARIFF_RULES!$C:$C,$B87)&lt;&gt;"",SUMIFS(MATERIAL_TARIFF_RULES!$G:$G,MATERIAL_TARIFF_RULES!$A:$A,$D87,MATERIAL_TARIFF_RULES!$C:$C,$B87),SUMIFS(MATERIAL_VARIANTS!$J:$J,MATERIAL_VARIANTS!$A:$A,$E87)),""),"")))</f>
        <v/>
      </c>
      <c r="G87" s="24" t="n"/>
      <c r="H87" s="24">
        <f>IF($C87="","",IF($C87="Work",IFERROR(SUMIFS(WORK_MASTER!$I:$I,WORK_MASTER!$A:$A,$D87),""),IF($C87="Material",IFERROR(SUMIFS(MATERIAL_VARIANTS!$I:$I,MATERIAL_VARIANTS!$A:$A,$E87),""),"")))</f>
        <v/>
      </c>
      <c r="I87" s="24">
        <f>IF($C87="","",IF($C87="Work",IFERROR(SUMIFS(WORK_FACTOR_APPLICABILITY!$O:$O,WORK_FACTOR_APPLICABILITY!$A:$A,$D87,WORK_FACTOR_APPLICABILITY!$N:$N,$A87),1),IF($C87="Material",IFERROR(ROUND(1+SUMIFS(MATERIAL_FACTOR_APPLICABILITY!$D:$D,MATERIAL_FACTOR_APPLICABILITY!$A:$A,SUMIFS(MATERIAL_MASTER!$O:$O,MATERIAL_MASTER!$A:$A,$D87),MATERIAL_FACTOR_APPLICABILITY!$B:$B,"GeometryComplexity")*(SUMIFS(OBJECT_CONDITIONS!$W:$W,OBJECT_CONDITIONS!$A:$A,$A87)-1),3),1),"")))</f>
        <v/>
      </c>
      <c r="J87" s="24">
        <f>IF($C87="","",IF($C87="Work",IFERROR(IF(SUMIFS(WORK_TARIFF_RULES!$F:$F,WORK_TARIFF_RULES!$A:$A,$D87,WORK_TARIFF_RULES!$C:$C,$B87)&lt;&gt;"",SUMIFS(WORK_TARIFF_RULES!$F:$F,WORK_TARIFF_RULES!$A:$A,$D87,WORK_TARIFF_RULES!$C:$C,$B87),SUMIFS(TARIFF_PROFILES!$D:$D,TARIFF_PROFILES!$A:$A,$B87)),1),IF($C87="Material",IFERROR(IF(SUMIFS(MATERIAL_TARIFF_RULES!$E:$E,MATERIAL_TARIFF_RULES!$A:$A,$D87,MATERIAL_TARIFF_RULES!$C:$C,$B87)&lt;&gt;"",SUMIFS(MATERIAL_TARIFF_RULES!$E:$E,MATERIAL_TARIFF_RULES!$A:$A,$D87,MATERIAL_TARIFF_RULES!$C:$C,$B87),SUMIFS(TARIFF_PROFILES!$E:$E,TARIFF_PROFILES!$A:$A,$B87)),1),"")))</f>
        <v/>
      </c>
      <c r="K87" s="24">
        <f>IF($C87="","",IF($C87="Material",IFERROR(SUMIFS(MATERIAL_MASTER!$P:$P,MATERIAL_MASTER!$A:$A,$D87)*IF(SUMIFS(MATERIAL_TARIFF_RULES!$F:$F,MATERIAL_TARIFF_RULES!$A:$A,$D87,MATERIAL_TARIFF_RULES!$C:$C,$B87)="",SUMIFS(TARIFF_PROFILES!$H:$H,TARIFF_PROFILES!$A:$A,$B87),SUMIFS(MATERIAL_TARIFF_RULES!$F:$F,MATERIAL_TARIFF_RULES!$A:$A,$D87,MATERIAL_TARIFF_RULES!$C:$C,$B87)),1),1))</f>
        <v/>
      </c>
      <c r="L87" s="24">
        <f>IF($C87="","",IF($C87="Work",N($H87)*N($I87)*N($J87),IF($C87="Material",N($H87)*N($I87)*N($J87),"")))</f>
        <v/>
      </c>
      <c r="M87" s="24">
        <f>IF($C87="","",IF($C87="Material",N($G87)*N($K87),N($G87)))</f>
        <v/>
      </c>
      <c r="N87" s="24">
        <f>IF($C87="","",N($L87)*N($M87))</f>
        <v/>
      </c>
      <c r="O87" s="5">
        <f>IF($C87="","",IF($C87="Work","Тариф влияет на способ/детализацию и коэффициент работ",IF($C87="Material","Тариф влияет на вариант, качество, запас и показ материала","")))</f>
        <v/>
      </c>
    </row>
    <row r="88">
      <c r="A88" s="5" t="n"/>
      <c r="B88" s="5" t="n"/>
      <c r="C88" s="5" t="n"/>
      <c r="D88" s="5" t="n"/>
      <c r="E88" s="5" t="n"/>
      <c r="F88" s="5">
        <f>IF($C88="","",IF($C88="Work",IFERROR(IF(SUMIFS(WORK_TARIFF_RULES!$G:$G,WORK_TARIFF_RULES!$A:$A,$D88,WORK_TARIFF_RULES!$C:$C,$B88)&lt;&gt;"",SUMIFS(WORK_TARIFF_RULES!$G:$G,WORK_TARIFF_RULES!$A:$A,$D88,WORK_TARIFF_RULES!$C:$C,$B88),SUMIFS(WORK_MASTER!$C:$C,WORK_MASTER!$A:$A,$D88)),""),IF($C88="Material",IFERROR(IF(SUMIFS(MATERIAL_TARIFF_RULES!$G:$G,MATERIAL_TARIFF_RULES!$A:$A,$D88,MATERIAL_TARIFF_RULES!$C:$C,$B88)&lt;&gt;"",SUMIFS(MATERIAL_TARIFF_RULES!$G:$G,MATERIAL_TARIFF_RULES!$A:$A,$D88,MATERIAL_TARIFF_RULES!$C:$C,$B88),SUMIFS(MATERIAL_VARIANTS!$J:$J,MATERIAL_VARIANTS!$A:$A,$E88)),""),"")))</f>
        <v/>
      </c>
      <c r="G88" s="24" t="n"/>
      <c r="H88" s="24">
        <f>IF($C88="","",IF($C88="Work",IFERROR(SUMIFS(WORK_MASTER!$I:$I,WORK_MASTER!$A:$A,$D88),""),IF($C88="Material",IFERROR(SUMIFS(MATERIAL_VARIANTS!$I:$I,MATERIAL_VARIANTS!$A:$A,$E88),""),"")))</f>
        <v/>
      </c>
      <c r="I88" s="24">
        <f>IF($C88="","",IF($C88="Work",IFERROR(SUMIFS(WORK_FACTOR_APPLICABILITY!$O:$O,WORK_FACTOR_APPLICABILITY!$A:$A,$D88,WORK_FACTOR_APPLICABILITY!$N:$N,$A88),1),IF($C88="Material",IFERROR(ROUND(1+SUMIFS(MATERIAL_FACTOR_APPLICABILITY!$D:$D,MATERIAL_FACTOR_APPLICABILITY!$A:$A,SUMIFS(MATERIAL_MASTER!$O:$O,MATERIAL_MASTER!$A:$A,$D88),MATERIAL_FACTOR_APPLICABILITY!$B:$B,"GeometryComplexity")*(SUMIFS(OBJECT_CONDITIONS!$W:$W,OBJECT_CONDITIONS!$A:$A,$A88)-1),3),1),"")))</f>
        <v/>
      </c>
      <c r="J88" s="24">
        <f>IF($C88="","",IF($C88="Work",IFERROR(IF(SUMIFS(WORK_TARIFF_RULES!$F:$F,WORK_TARIFF_RULES!$A:$A,$D88,WORK_TARIFF_RULES!$C:$C,$B88)&lt;&gt;"",SUMIFS(WORK_TARIFF_RULES!$F:$F,WORK_TARIFF_RULES!$A:$A,$D88,WORK_TARIFF_RULES!$C:$C,$B88),SUMIFS(TARIFF_PROFILES!$D:$D,TARIFF_PROFILES!$A:$A,$B88)),1),IF($C88="Material",IFERROR(IF(SUMIFS(MATERIAL_TARIFF_RULES!$E:$E,MATERIAL_TARIFF_RULES!$A:$A,$D88,MATERIAL_TARIFF_RULES!$C:$C,$B88)&lt;&gt;"",SUMIFS(MATERIAL_TARIFF_RULES!$E:$E,MATERIAL_TARIFF_RULES!$A:$A,$D88,MATERIAL_TARIFF_RULES!$C:$C,$B88),SUMIFS(TARIFF_PROFILES!$E:$E,TARIFF_PROFILES!$A:$A,$B88)),1),"")))</f>
        <v/>
      </c>
      <c r="K88" s="24">
        <f>IF($C88="","",IF($C88="Material",IFERROR(SUMIFS(MATERIAL_MASTER!$P:$P,MATERIAL_MASTER!$A:$A,$D88)*IF(SUMIFS(MATERIAL_TARIFF_RULES!$F:$F,MATERIAL_TARIFF_RULES!$A:$A,$D88,MATERIAL_TARIFF_RULES!$C:$C,$B88)="",SUMIFS(TARIFF_PROFILES!$H:$H,TARIFF_PROFILES!$A:$A,$B88),SUMIFS(MATERIAL_TARIFF_RULES!$F:$F,MATERIAL_TARIFF_RULES!$A:$A,$D88,MATERIAL_TARIFF_RULES!$C:$C,$B88)),1),1))</f>
        <v/>
      </c>
      <c r="L88" s="24">
        <f>IF($C88="","",IF($C88="Work",N($H88)*N($I88)*N($J88),IF($C88="Material",N($H88)*N($I88)*N($J88),"")))</f>
        <v/>
      </c>
      <c r="M88" s="24">
        <f>IF($C88="","",IF($C88="Material",N($G88)*N($K88),N($G88)))</f>
        <v/>
      </c>
      <c r="N88" s="24">
        <f>IF($C88="","",N($L88)*N($M88))</f>
        <v/>
      </c>
      <c r="O88" s="5">
        <f>IF($C88="","",IF($C88="Work","Тариф влияет на способ/детализацию и коэффициент работ",IF($C88="Material","Тариф влияет на вариант, качество, запас и показ материала","")))</f>
        <v/>
      </c>
    </row>
    <row r="89">
      <c r="A89" s="5" t="n"/>
      <c r="B89" s="5" t="n"/>
      <c r="C89" s="5" t="n"/>
      <c r="D89" s="5" t="n"/>
      <c r="E89" s="5" t="n"/>
      <c r="F89" s="5">
        <f>IF($C89="","",IF($C89="Work",IFERROR(IF(SUMIFS(WORK_TARIFF_RULES!$G:$G,WORK_TARIFF_RULES!$A:$A,$D89,WORK_TARIFF_RULES!$C:$C,$B89)&lt;&gt;"",SUMIFS(WORK_TARIFF_RULES!$G:$G,WORK_TARIFF_RULES!$A:$A,$D89,WORK_TARIFF_RULES!$C:$C,$B89),SUMIFS(WORK_MASTER!$C:$C,WORK_MASTER!$A:$A,$D89)),""),IF($C89="Material",IFERROR(IF(SUMIFS(MATERIAL_TARIFF_RULES!$G:$G,MATERIAL_TARIFF_RULES!$A:$A,$D89,MATERIAL_TARIFF_RULES!$C:$C,$B89)&lt;&gt;"",SUMIFS(MATERIAL_TARIFF_RULES!$G:$G,MATERIAL_TARIFF_RULES!$A:$A,$D89,MATERIAL_TARIFF_RULES!$C:$C,$B89),SUMIFS(MATERIAL_VARIANTS!$J:$J,MATERIAL_VARIANTS!$A:$A,$E89)),""),"")))</f>
        <v/>
      </c>
      <c r="G89" s="24" t="n"/>
      <c r="H89" s="24">
        <f>IF($C89="","",IF($C89="Work",IFERROR(SUMIFS(WORK_MASTER!$I:$I,WORK_MASTER!$A:$A,$D89),""),IF($C89="Material",IFERROR(SUMIFS(MATERIAL_VARIANTS!$I:$I,MATERIAL_VARIANTS!$A:$A,$E89),""),"")))</f>
        <v/>
      </c>
      <c r="I89" s="24">
        <f>IF($C89="","",IF($C89="Work",IFERROR(SUMIFS(WORK_FACTOR_APPLICABILITY!$O:$O,WORK_FACTOR_APPLICABILITY!$A:$A,$D89,WORK_FACTOR_APPLICABILITY!$N:$N,$A89),1),IF($C89="Material",IFERROR(ROUND(1+SUMIFS(MATERIAL_FACTOR_APPLICABILITY!$D:$D,MATERIAL_FACTOR_APPLICABILITY!$A:$A,SUMIFS(MATERIAL_MASTER!$O:$O,MATERIAL_MASTER!$A:$A,$D89),MATERIAL_FACTOR_APPLICABILITY!$B:$B,"GeometryComplexity")*(SUMIFS(OBJECT_CONDITIONS!$W:$W,OBJECT_CONDITIONS!$A:$A,$A89)-1),3),1),"")))</f>
        <v/>
      </c>
      <c r="J89" s="24">
        <f>IF($C89="","",IF($C89="Work",IFERROR(IF(SUMIFS(WORK_TARIFF_RULES!$F:$F,WORK_TARIFF_RULES!$A:$A,$D89,WORK_TARIFF_RULES!$C:$C,$B89)&lt;&gt;"",SUMIFS(WORK_TARIFF_RULES!$F:$F,WORK_TARIFF_RULES!$A:$A,$D89,WORK_TARIFF_RULES!$C:$C,$B89),SUMIFS(TARIFF_PROFILES!$D:$D,TARIFF_PROFILES!$A:$A,$B89)),1),IF($C89="Material",IFERROR(IF(SUMIFS(MATERIAL_TARIFF_RULES!$E:$E,MATERIAL_TARIFF_RULES!$A:$A,$D89,MATERIAL_TARIFF_RULES!$C:$C,$B89)&lt;&gt;"",SUMIFS(MATERIAL_TARIFF_RULES!$E:$E,MATERIAL_TARIFF_RULES!$A:$A,$D89,MATERIAL_TARIFF_RULES!$C:$C,$B89),SUMIFS(TARIFF_PROFILES!$E:$E,TARIFF_PROFILES!$A:$A,$B89)),1),"")))</f>
        <v/>
      </c>
      <c r="K89" s="24">
        <f>IF($C89="","",IF($C89="Material",IFERROR(SUMIFS(MATERIAL_MASTER!$P:$P,MATERIAL_MASTER!$A:$A,$D89)*IF(SUMIFS(MATERIAL_TARIFF_RULES!$F:$F,MATERIAL_TARIFF_RULES!$A:$A,$D89,MATERIAL_TARIFF_RULES!$C:$C,$B89)="",SUMIFS(TARIFF_PROFILES!$H:$H,TARIFF_PROFILES!$A:$A,$B89),SUMIFS(MATERIAL_TARIFF_RULES!$F:$F,MATERIAL_TARIFF_RULES!$A:$A,$D89,MATERIAL_TARIFF_RULES!$C:$C,$B89)),1),1))</f>
        <v/>
      </c>
      <c r="L89" s="24">
        <f>IF($C89="","",IF($C89="Work",N($H89)*N($I89)*N($J89),IF($C89="Material",N($H89)*N($I89)*N($J89),"")))</f>
        <v/>
      </c>
      <c r="M89" s="24">
        <f>IF($C89="","",IF($C89="Material",N($G89)*N($K89),N($G89)))</f>
        <v/>
      </c>
      <c r="N89" s="24">
        <f>IF($C89="","",N($L89)*N($M89))</f>
        <v/>
      </c>
      <c r="O89" s="5">
        <f>IF($C89="","",IF($C89="Work","Тариф влияет на способ/детализацию и коэффициент работ",IF($C89="Material","Тариф влияет на вариант, качество, запас и показ материала","")))</f>
        <v/>
      </c>
    </row>
    <row r="90">
      <c r="A90" s="5" t="n"/>
      <c r="B90" s="5" t="n"/>
      <c r="C90" s="5" t="n"/>
      <c r="D90" s="5" t="n"/>
      <c r="E90" s="5" t="n"/>
      <c r="F90" s="5">
        <f>IF($C90="","",IF($C90="Work",IFERROR(IF(SUMIFS(WORK_TARIFF_RULES!$G:$G,WORK_TARIFF_RULES!$A:$A,$D90,WORK_TARIFF_RULES!$C:$C,$B90)&lt;&gt;"",SUMIFS(WORK_TARIFF_RULES!$G:$G,WORK_TARIFF_RULES!$A:$A,$D90,WORK_TARIFF_RULES!$C:$C,$B90),SUMIFS(WORK_MASTER!$C:$C,WORK_MASTER!$A:$A,$D90)),""),IF($C90="Material",IFERROR(IF(SUMIFS(MATERIAL_TARIFF_RULES!$G:$G,MATERIAL_TARIFF_RULES!$A:$A,$D90,MATERIAL_TARIFF_RULES!$C:$C,$B90)&lt;&gt;"",SUMIFS(MATERIAL_TARIFF_RULES!$G:$G,MATERIAL_TARIFF_RULES!$A:$A,$D90,MATERIAL_TARIFF_RULES!$C:$C,$B90),SUMIFS(MATERIAL_VARIANTS!$J:$J,MATERIAL_VARIANTS!$A:$A,$E90)),""),"")))</f>
        <v/>
      </c>
      <c r="G90" s="24" t="n"/>
      <c r="H90" s="24">
        <f>IF($C90="","",IF($C90="Work",IFERROR(SUMIFS(WORK_MASTER!$I:$I,WORK_MASTER!$A:$A,$D90),""),IF($C90="Material",IFERROR(SUMIFS(MATERIAL_VARIANTS!$I:$I,MATERIAL_VARIANTS!$A:$A,$E90),""),"")))</f>
        <v/>
      </c>
      <c r="I90" s="24">
        <f>IF($C90="","",IF($C90="Work",IFERROR(SUMIFS(WORK_FACTOR_APPLICABILITY!$O:$O,WORK_FACTOR_APPLICABILITY!$A:$A,$D90,WORK_FACTOR_APPLICABILITY!$N:$N,$A90),1),IF($C90="Material",IFERROR(ROUND(1+SUMIFS(MATERIAL_FACTOR_APPLICABILITY!$D:$D,MATERIAL_FACTOR_APPLICABILITY!$A:$A,SUMIFS(MATERIAL_MASTER!$O:$O,MATERIAL_MASTER!$A:$A,$D90),MATERIAL_FACTOR_APPLICABILITY!$B:$B,"GeometryComplexity")*(SUMIFS(OBJECT_CONDITIONS!$W:$W,OBJECT_CONDITIONS!$A:$A,$A90)-1),3),1),"")))</f>
        <v/>
      </c>
      <c r="J90" s="24">
        <f>IF($C90="","",IF($C90="Work",IFERROR(IF(SUMIFS(WORK_TARIFF_RULES!$F:$F,WORK_TARIFF_RULES!$A:$A,$D90,WORK_TARIFF_RULES!$C:$C,$B90)&lt;&gt;"",SUMIFS(WORK_TARIFF_RULES!$F:$F,WORK_TARIFF_RULES!$A:$A,$D90,WORK_TARIFF_RULES!$C:$C,$B90),SUMIFS(TARIFF_PROFILES!$D:$D,TARIFF_PROFILES!$A:$A,$B90)),1),IF($C90="Material",IFERROR(IF(SUMIFS(MATERIAL_TARIFF_RULES!$E:$E,MATERIAL_TARIFF_RULES!$A:$A,$D90,MATERIAL_TARIFF_RULES!$C:$C,$B90)&lt;&gt;"",SUMIFS(MATERIAL_TARIFF_RULES!$E:$E,MATERIAL_TARIFF_RULES!$A:$A,$D90,MATERIAL_TARIFF_RULES!$C:$C,$B90),SUMIFS(TARIFF_PROFILES!$E:$E,TARIFF_PROFILES!$A:$A,$B90)),1),"")))</f>
        <v/>
      </c>
      <c r="K90" s="24">
        <f>IF($C90="","",IF($C90="Material",IFERROR(SUMIFS(MATERIAL_MASTER!$P:$P,MATERIAL_MASTER!$A:$A,$D90)*IF(SUMIFS(MATERIAL_TARIFF_RULES!$F:$F,MATERIAL_TARIFF_RULES!$A:$A,$D90,MATERIAL_TARIFF_RULES!$C:$C,$B90)="",SUMIFS(TARIFF_PROFILES!$H:$H,TARIFF_PROFILES!$A:$A,$B90),SUMIFS(MATERIAL_TARIFF_RULES!$F:$F,MATERIAL_TARIFF_RULES!$A:$A,$D90,MATERIAL_TARIFF_RULES!$C:$C,$B90)),1),1))</f>
        <v/>
      </c>
      <c r="L90" s="24">
        <f>IF($C90="","",IF($C90="Work",N($H90)*N($I90)*N($J90),IF($C90="Material",N($H90)*N($I90)*N($J90),"")))</f>
        <v/>
      </c>
      <c r="M90" s="24">
        <f>IF($C90="","",IF($C90="Material",N($G90)*N($K90),N($G90)))</f>
        <v/>
      </c>
      <c r="N90" s="24">
        <f>IF($C90="","",N($L90)*N($M90))</f>
        <v/>
      </c>
      <c r="O90" s="5">
        <f>IF($C90="","",IF($C90="Work","Тариф влияет на способ/детализацию и коэффициент работ",IF($C90="Material","Тариф влияет на вариант, качество, запас и показ материала","")))</f>
        <v/>
      </c>
    </row>
    <row r="91">
      <c r="A91" s="5" t="n"/>
      <c r="B91" s="5" t="n"/>
      <c r="C91" s="5" t="n"/>
      <c r="D91" s="5" t="n"/>
      <c r="E91" s="5" t="n"/>
      <c r="F91" s="5">
        <f>IF($C91="","",IF($C91="Work",IFERROR(IF(SUMIFS(WORK_TARIFF_RULES!$G:$G,WORK_TARIFF_RULES!$A:$A,$D91,WORK_TARIFF_RULES!$C:$C,$B91)&lt;&gt;"",SUMIFS(WORK_TARIFF_RULES!$G:$G,WORK_TARIFF_RULES!$A:$A,$D91,WORK_TARIFF_RULES!$C:$C,$B91),SUMIFS(WORK_MASTER!$C:$C,WORK_MASTER!$A:$A,$D91)),""),IF($C91="Material",IFERROR(IF(SUMIFS(MATERIAL_TARIFF_RULES!$G:$G,MATERIAL_TARIFF_RULES!$A:$A,$D91,MATERIAL_TARIFF_RULES!$C:$C,$B91)&lt;&gt;"",SUMIFS(MATERIAL_TARIFF_RULES!$G:$G,MATERIAL_TARIFF_RULES!$A:$A,$D91,MATERIAL_TARIFF_RULES!$C:$C,$B91),SUMIFS(MATERIAL_VARIANTS!$J:$J,MATERIAL_VARIANTS!$A:$A,$E91)),""),"")))</f>
        <v/>
      </c>
      <c r="G91" s="24" t="n"/>
      <c r="H91" s="24">
        <f>IF($C91="","",IF($C91="Work",IFERROR(SUMIFS(WORK_MASTER!$I:$I,WORK_MASTER!$A:$A,$D91),""),IF($C91="Material",IFERROR(SUMIFS(MATERIAL_VARIANTS!$I:$I,MATERIAL_VARIANTS!$A:$A,$E91),""),"")))</f>
        <v/>
      </c>
      <c r="I91" s="24">
        <f>IF($C91="","",IF($C91="Work",IFERROR(SUMIFS(WORK_FACTOR_APPLICABILITY!$O:$O,WORK_FACTOR_APPLICABILITY!$A:$A,$D91,WORK_FACTOR_APPLICABILITY!$N:$N,$A91),1),IF($C91="Material",IFERROR(ROUND(1+SUMIFS(MATERIAL_FACTOR_APPLICABILITY!$D:$D,MATERIAL_FACTOR_APPLICABILITY!$A:$A,SUMIFS(MATERIAL_MASTER!$O:$O,MATERIAL_MASTER!$A:$A,$D91),MATERIAL_FACTOR_APPLICABILITY!$B:$B,"GeometryComplexity")*(SUMIFS(OBJECT_CONDITIONS!$W:$W,OBJECT_CONDITIONS!$A:$A,$A91)-1),3),1),"")))</f>
        <v/>
      </c>
      <c r="J91" s="24">
        <f>IF($C91="","",IF($C91="Work",IFERROR(IF(SUMIFS(WORK_TARIFF_RULES!$F:$F,WORK_TARIFF_RULES!$A:$A,$D91,WORK_TARIFF_RULES!$C:$C,$B91)&lt;&gt;"",SUMIFS(WORK_TARIFF_RULES!$F:$F,WORK_TARIFF_RULES!$A:$A,$D91,WORK_TARIFF_RULES!$C:$C,$B91),SUMIFS(TARIFF_PROFILES!$D:$D,TARIFF_PROFILES!$A:$A,$B91)),1),IF($C91="Material",IFERROR(IF(SUMIFS(MATERIAL_TARIFF_RULES!$E:$E,MATERIAL_TARIFF_RULES!$A:$A,$D91,MATERIAL_TARIFF_RULES!$C:$C,$B91)&lt;&gt;"",SUMIFS(MATERIAL_TARIFF_RULES!$E:$E,MATERIAL_TARIFF_RULES!$A:$A,$D91,MATERIAL_TARIFF_RULES!$C:$C,$B91),SUMIFS(TARIFF_PROFILES!$E:$E,TARIFF_PROFILES!$A:$A,$B91)),1),"")))</f>
        <v/>
      </c>
      <c r="K91" s="24">
        <f>IF($C91="","",IF($C91="Material",IFERROR(SUMIFS(MATERIAL_MASTER!$P:$P,MATERIAL_MASTER!$A:$A,$D91)*IF(SUMIFS(MATERIAL_TARIFF_RULES!$F:$F,MATERIAL_TARIFF_RULES!$A:$A,$D91,MATERIAL_TARIFF_RULES!$C:$C,$B91)="",SUMIFS(TARIFF_PROFILES!$H:$H,TARIFF_PROFILES!$A:$A,$B91),SUMIFS(MATERIAL_TARIFF_RULES!$F:$F,MATERIAL_TARIFF_RULES!$A:$A,$D91,MATERIAL_TARIFF_RULES!$C:$C,$B91)),1),1))</f>
        <v/>
      </c>
      <c r="L91" s="24">
        <f>IF($C91="","",IF($C91="Work",N($H91)*N($I91)*N($J91),IF($C91="Material",N($H91)*N($I91)*N($J91),"")))</f>
        <v/>
      </c>
      <c r="M91" s="24">
        <f>IF($C91="","",IF($C91="Material",N($G91)*N($K91),N($G91)))</f>
        <v/>
      </c>
      <c r="N91" s="24">
        <f>IF($C91="","",N($L91)*N($M91))</f>
        <v/>
      </c>
      <c r="O91" s="5">
        <f>IF($C91="","",IF($C91="Work","Тариф влияет на способ/детализацию и коэффициент работ",IF($C91="Material","Тариф влияет на вариант, качество, запас и показ материала","")))</f>
        <v/>
      </c>
    </row>
    <row r="92">
      <c r="A92" s="5" t="n"/>
      <c r="B92" s="5" t="n"/>
      <c r="C92" s="5" t="n"/>
      <c r="D92" s="5" t="n"/>
      <c r="E92" s="5" t="n"/>
      <c r="F92" s="5">
        <f>IF($C92="","",IF($C92="Work",IFERROR(IF(SUMIFS(WORK_TARIFF_RULES!$G:$G,WORK_TARIFF_RULES!$A:$A,$D92,WORK_TARIFF_RULES!$C:$C,$B92)&lt;&gt;"",SUMIFS(WORK_TARIFF_RULES!$G:$G,WORK_TARIFF_RULES!$A:$A,$D92,WORK_TARIFF_RULES!$C:$C,$B92),SUMIFS(WORK_MASTER!$C:$C,WORK_MASTER!$A:$A,$D92)),""),IF($C92="Material",IFERROR(IF(SUMIFS(MATERIAL_TARIFF_RULES!$G:$G,MATERIAL_TARIFF_RULES!$A:$A,$D92,MATERIAL_TARIFF_RULES!$C:$C,$B92)&lt;&gt;"",SUMIFS(MATERIAL_TARIFF_RULES!$G:$G,MATERIAL_TARIFF_RULES!$A:$A,$D92,MATERIAL_TARIFF_RULES!$C:$C,$B92),SUMIFS(MATERIAL_VARIANTS!$J:$J,MATERIAL_VARIANTS!$A:$A,$E92)),""),"")))</f>
        <v/>
      </c>
      <c r="G92" s="24" t="n"/>
      <c r="H92" s="24">
        <f>IF($C92="","",IF($C92="Work",IFERROR(SUMIFS(WORK_MASTER!$I:$I,WORK_MASTER!$A:$A,$D92),""),IF($C92="Material",IFERROR(SUMIFS(MATERIAL_VARIANTS!$I:$I,MATERIAL_VARIANTS!$A:$A,$E92),""),"")))</f>
        <v/>
      </c>
      <c r="I92" s="24">
        <f>IF($C92="","",IF($C92="Work",IFERROR(SUMIFS(WORK_FACTOR_APPLICABILITY!$O:$O,WORK_FACTOR_APPLICABILITY!$A:$A,$D92,WORK_FACTOR_APPLICABILITY!$N:$N,$A92),1),IF($C92="Material",IFERROR(ROUND(1+SUMIFS(MATERIAL_FACTOR_APPLICABILITY!$D:$D,MATERIAL_FACTOR_APPLICABILITY!$A:$A,SUMIFS(MATERIAL_MASTER!$O:$O,MATERIAL_MASTER!$A:$A,$D92),MATERIAL_FACTOR_APPLICABILITY!$B:$B,"GeometryComplexity")*(SUMIFS(OBJECT_CONDITIONS!$W:$W,OBJECT_CONDITIONS!$A:$A,$A92)-1),3),1),"")))</f>
        <v/>
      </c>
      <c r="J92" s="24">
        <f>IF($C92="","",IF($C92="Work",IFERROR(IF(SUMIFS(WORK_TARIFF_RULES!$F:$F,WORK_TARIFF_RULES!$A:$A,$D92,WORK_TARIFF_RULES!$C:$C,$B92)&lt;&gt;"",SUMIFS(WORK_TARIFF_RULES!$F:$F,WORK_TARIFF_RULES!$A:$A,$D92,WORK_TARIFF_RULES!$C:$C,$B92),SUMIFS(TARIFF_PROFILES!$D:$D,TARIFF_PROFILES!$A:$A,$B92)),1),IF($C92="Material",IFERROR(IF(SUMIFS(MATERIAL_TARIFF_RULES!$E:$E,MATERIAL_TARIFF_RULES!$A:$A,$D92,MATERIAL_TARIFF_RULES!$C:$C,$B92)&lt;&gt;"",SUMIFS(MATERIAL_TARIFF_RULES!$E:$E,MATERIAL_TARIFF_RULES!$A:$A,$D92,MATERIAL_TARIFF_RULES!$C:$C,$B92),SUMIFS(TARIFF_PROFILES!$E:$E,TARIFF_PROFILES!$A:$A,$B92)),1),"")))</f>
        <v/>
      </c>
      <c r="K92" s="24">
        <f>IF($C92="","",IF($C92="Material",IFERROR(SUMIFS(MATERIAL_MASTER!$P:$P,MATERIAL_MASTER!$A:$A,$D92)*IF(SUMIFS(MATERIAL_TARIFF_RULES!$F:$F,MATERIAL_TARIFF_RULES!$A:$A,$D92,MATERIAL_TARIFF_RULES!$C:$C,$B92)="",SUMIFS(TARIFF_PROFILES!$H:$H,TARIFF_PROFILES!$A:$A,$B92),SUMIFS(MATERIAL_TARIFF_RULES!$F:$F,MATERIAL_TARIFF_RULES!$A:$A,$D92,MATERIAL_TARIFF_RULES!$C:$C,$B92)),1),1))</f>
        <v/>
      </c>
      <c r="L92" s="24">
        <f>IF($C92="","",IF($C92="Work",N($H92)*N($I92)*N($J92),IF($C92="Material",N($H92)*N($I92)*N($J92),"")))</f>
        <v/>
      </c>
      <c r="M92" s="24">
        <f>IF($C92="","",IF($C92="Material",N($G92)*N($K92),N($G92)))</f>
        <v/>
      </c>
      <c r="N92" s="24">
        <f>IF($C92="","",N($L92)*N($M92))</f>
        <v/>
      </c>
      <c r="O92" s="5">
        <f>IF($C92="","",IF($C92="Work","Тариф влияет на способ/детализацию и коэффициент работ",IF($C92="Material","Тариф влияет на вариант, качество, запас и показ материала","")))</f>
        <v/>
      </c>
    </row>
    <row r="93">
      <c r="A93" s="5" t="n"/>
      <c r="B93" s="5" t="n"/>
      <c r="C93" s="5" t="n"/>
      <c r="D93" s="5" t="n"/>
      <c r="E93" s="5" t="n"/>
      <c r="F93" s="5">
        <f>IF($C93="","",IF($C93="Work",IFERROR(IF(SUMIFS(WORK_TARIFF_RULES!$G:$G,WORK_TARIFF_RULES!$A:$A,$D93,WORK_TARIFF_RULES!$C:$C,$B93)&lt;&gt;"",SUMIFS(WORK_TARIFF_RULES!$G:$G,WORK_TARIFF_RULES!$A:$A,$D93,WORK_TARIFF_RULES!$C:$C,$B93),SUMIFS(WORK_MASTER!$C:$C,WORK_MASTER!$A:$A,$D93)),""),IF($C93="Material",IFERROR(IF(SUMIFS(MATERIAL_TARIFF_RULES!$G:$G,MATERIAL_TARIFF_RULES!$A:$A,$D93,MATERIAL_TARIFF_RULES!$C:$C,$B93)&lt;&gt;"",SUMIFS(MATERIAL_TARIFF_RULES!$G:$G,MATERIAL_TARIFF_RULES!$A:$A,$D93,MATERIAL_TARIFF_RULES!$C:$C,$B93),SUMIFS(MATERIAL_VARIANTS!$J:$J,MATERIAL_VARIANTS!$A:$A,$E93)),""),"")))</f>
        <v/>
      </c>
      <c r="G93" s="24" t="n"/>
      <c r="H93" s="24">
        <f>IF($C93="","",IF($C93="Work",IFERROR(SUMIFS(WORK_MASTER!$I:$I,WORK_MASTER!$A:$A,$D93),""),IF($C93="Material",IFERROR(SUMIFS(MATERIAL_VARIANTS!$I:$I,MATERIAL_VARIANTS!$A:$A,$E93),""),"")))</f>
        <v/>
      </c>
      <c r="I93" s="24">
        <f>IF($C93="","",IF($C93="Work",IFERROR(SUMIFS(WORK_FACTOR_APPLICABILITY!$O:$O,WORK_FACTOR_APPLICABILITY!$A:$A,$D93,WORK_FACTOR_APPLICABILITY!$N:$N,$A93),1),IF($C93="Material",IFERROR(ROUND(1+SUMIFS(MATERIAL_FACTOR_APPLICABILITY!$D:$D,MATERIAL_FACTOR_APPLICABILITY!$A:$A,SUMIFS(MATERIAL_MASTER!$O:$O,MATERIAL_MASTER!$A:$A,$D93),MATERIAL_FACTOR_APPLICABILITY!$B:$B,"GeometryComplexity")*(SUMIFS(OBJECT_CONDITIONS!$W:$W,OBJECT_CONDITIONS!$A:$A,$A93)-1),3),1),"")))</f>
        <v/>
      </c>
      <c r="J93" s="24">
        <f>IF($C93="","",IF($C93="Work",IFERROR(IF(SUMIFS(WORK_TARIFF_RULES!$F:$F,WORK_TARIFF_RULES!$A:$A,$D93,WORK_TARIFF_RULES!$C:$C,$B93)&lt;&gt;"",SUMIFS(WORK_TARIFF_RULES!$F:$F,WORK_TARIFF_RULES!$A:$A,$D93,WORK_TARIFF_RULES!$C:$C,$B93),SUMIFS(TARIFF_PROFILES!$D:$D,TARIFF_PROFILES!$A:$A,$B93)),1),IF($C93="Material",IFERROR(IF(SUMIFS(MATERIAL_TARIFF_RULES!$E:$E,MATERIAL_TARIFF_RULES!$A:$A,$D93,MATERIAL_TARIFF_RULES!$C:$C,$B93)&lt;&gt;"",SUMIFS(MATERIAL_TARIFF_RULES!$E:$E,MATERIAL_TARIFF_RULES!$A:$A,$D93,MATERIAL_TARIFF_RULES!$C:$C,$B93),SUMIFS(TARIFF_PROFILES!$E:$E,TARIFF_PROFILES!$A:$A,$B93)),1),"")))</f>
        <v/>
      </c>
      <c r="K93" s="24">
        <f>IF($C93="","",IF($C93="Material",IFERROR(SUMIFS(MATERIAL_MASTER!$P:$P,MATERIAL_MASTER!$A:$A,$D93)*IF(SUMIFS(MATERIAL_TARIFF_RULES!$F:$F,MATERIAL_TARIFF_RULES!$A:$A,$D93,MATERIAL_TARIFF_RULES!$C:$C,$B93)="",SUMIFS(TARIFF_PROFILES!$H:$H,TARIFF_PROFILES!$A:$A,$B93),SUMIFS(MATERIAL_TARIFF_RULES!$F:$F,MATERIAL_TARIFF_RULES!$A:$A,$D93,MATERIAL_TARIFF_RULES!$C:$C,$B93)),1),1))</f>
        <v/>
      </c>
      <c r="L93" s="24">
        <f>IF($C93="","",IF($C93="Work",N($H93)*N($I93)*N($J93),IF($C93="Material",N($H93)*N($I93)*N($J93),"")))</f>
        <v/>
      </c>
      <c r="M93" s="24">
        <f>IF($C93="","",IF($C93="Material",N($G93)*N($K93),N($G93)))</f>
        <v/>
      </c>
      <c r="N93" s="24">
        <f>IF($C93="","",N($L93)*N($M93))</f>
        <v/>
      </c>
      <c r="O93" s="5">
        <f>IF($C93="","",IF($C93="Work","Тариф влияет на способ/детализацию и коэффициент работ",IF($C93="Material","Тариф влияет на вариант, качество, запас и показ материала","")))</f>
        <v/>
      </c>
    </row>
    <row r="94">
      <c r="A94" s="5" t="n"/>
      <c r="B94" s="5" t="n"/>
      <c r="C94" s="5" t="n"/>
      <c r="D94" s="5" t="n"/>
      <c r="E94" s="5" t="n"/>
      <c r="F94" s="5">
        <f>IF($C94="","",IF($C94="Work",IFERROR(IF(SUMIFS(WORK_TARIFF_RULES!$G:$G,WORK_TARIFF_RULES!$A:$A,$D94,WORK_TARIFF_RULES!$C:$C,$B94)&lt;&gt;"",SUMIFS(WORK_TARIFF_RULES!$G:$G,WORK_TARIFF_RULES!$A:$A,$D94,WORK_TARIFF_RULES!$C:$C,$B94),SUMIFS(WORK_MASTER!$C:$C,WORK_MASTER!$A:$A,$D94)),""),IF($C94="Material",IFERROR(IF(SUMIFS(MATERIAL_TARIFF_RULES!$G:$G,MATERIAL_TARIFF_RULES!$A:$A,$D94,MATERIAL_TARIFF_RULES!$C:$C,$B94)&lt;&gt;"",SUMIFS(MATERIAL_TARIFF_RULES!$G:$G,MATERIAL_TARIFF_RULES!$A:$A,$D94,MATERIAL_TARIFF_RULES!$C:$C,$B94),SUMIFS(MATERIAL_VARIANTS!$J:$J,MATERIAL_VARIANTS!$A:$A,$E94)),""),"")))</f>
        <v/>
      </c>
      <c r="G94" s="24" t="n"/>
      <c r="H94" s="24">
        <f>IF($C94="","",IF($C94="Work",IFERROR(SUMIFS(WORK_MASTER!$I:$I,WORK_MASTER!$A:$A,$D94),""),IF($C94="Material",IFERROR(SUMIFS(MATERIAL_VARIANTS!$I:$I,MATERIAL_VARIANTS!$A:$A,$E94),""),"")))</f>
        <v/>
      </c>
      <c r="I94" s="24">
        <f>IF($C94="","",IF($C94="Work",IFERROR(SUMIFS(WORK_FACTOR_APPLICABILITY!$O:$O,WORK_FACTOR_APPLICABILITY!$A:$A,$D94,WORK_FACTOR_APPLICABILITY!$N:$N,$A94),1),IF($C94="Material",IFERROR(ROUND(1+SUMIFS(MATERIAL_FACTOR_APPLICABILITY!$D:$D,MATERIAL_FACTOR_APPLICABILITY!$A:$A,SUMIFS(MATERIAL_MASTER!$O:$O,MATERIAL_MASTER!$A:$A,$D94),MATERIAL_FACTOR_APPLICABILITY!$B:$B,"GeometryComplexity")*(SUMIFS(OBJECT_CONDITIONS!$W:$W,OBJECT_CONDITIONS!$A:$A,$A94)-1),3),1),"")))</f>
        <v/>
      </c>
      <c r="J94" s="24">
        <f>IF($C94="","",IF($C94="Work",IFERROR(IF(SUMIFS(WORK_TARIFF_RULES!$F:$F,WORK_TARIFF_RULES!$A:$A,$D94,WORK_TARIFF_RULES!$C:$C,$B94)&lt;&gt;"",SUMIFS(WORK_TARIFF_RULES!$F:$F,WORK_TARIFF_RULES!$A:$A,$D94,WORK_TARIFF_RULES!$C:$C,$B94),SUMIFS(TARIFF_PROFILES!$D:$D,TARIFF_PROFILES!$A:$A,$B94)),1),IF($C94="Material",IFERROR(IF(SUMIFS(MATERIAL_TARIFF_RULES!$E:$E,MATERIAL_TARIFF_RULES!$A:$A,$D94,MATERIAL_TARIFF_RULES!$C:$C,$B94)&lt;&gt;"",SUMIFS(MATERIAL_TARIFF_RULES!$E:$E,MATERIAL_TARIFF_RULES!$A:$A,$D94,MATERIAL_TARIFF_RULES!$C:$C,$B94),SUMIFS(TARIFF_PROFILES!$E:$E,TARIFF_PROFILES!$A:$A,$B94)),1),"")))</f>
        <v/>
      </c>
      <c r="K94" s="24">
        <f>IF($C94="","",IF($C94="Material",IFERROR(SUMIFS(MATERIAL_MASTER!$P:$P,MATERIAL_MASTER!$A:$A,$D94)*IF(SUMIFS(MATERIAL_TARIFF_RULES!$F:$F,MATERIAL_TARIFF_RULES!$A:$A,$D94,MATERIAL_TARIFF_RULES!$C:$C,$B94)="",SUMIFS(TARIFF_PROFILES!$H:$H,TARIFF_PROFILES!$A:$A,$B94),SUMIFS(MATERIAL_TARIFF_RULES!$F:$F,MATERIAL_TARIFF_RULES!$A:$A,$D94,MATERIAL_TARIFF_RULES!$C:$C,$B94)),1),1))</f>
        <v/>
      </c>
      <c r="L94" s="24">
        <f>IF($C94="","",IF($C94="Work",N($H94)*N($I94)*N($J94),IF($C94="Material",N($H94)*N($I94)*N($J94),"")))</f>
        <v/>
      </c>
      <c r="M94" s="24">
        <f>IF($C94="","",IF($C94="Material",N($G94)*N($K94),N($G94)))</f>
        <v/>
      </c>
      <c r="N94" s="24">
        <f>IF($C94="","",N($L94)*N($M94))</f>
        <v/>
      </c>
      <c r="O94" s="5">
        <f>IF($C94="","",IF($C94="Work","Тариф влияет на способ/детализацию и коэффициент работ",IF($C94="Material","Тариф влияет на вариант, качество, запас и показ материала","")))</f>
        <v/>
      </c>
    </row>
    <row r="95">
      <c r="A95" s="5" t="n"/>
      <c r="B95" s="5" t="n"/>
      <c r="C95" s="5" t="n"/>
      <c r="D95" s="5" t="n"/>
      <c r="E95" s="5" t="n"/>
      <c r="F95" s="5">
        <f>IF($C95="","",IF($C95="Work",IFERROR(IF(SUMIFS(WORK_TARIFF_RULES!$G:$G,WORK_TARIFF_RULES!$A:$A,$D95,WORK_TARIFF_RULES!$C:$C,$B95)&lt;&gt;"",SUMIFS(WORK_TARIFF_RULES!$G:$G,WORK_TARIFF_RULES!$A:$A,$D95,WORK_TARIFF_RULES!$C:$C,$B95),SUMIFS(WORK_MASTER!$C:$C,WORK_MASTER!$A:$A,$D95)),""),IF($C95="Material",IFERROR(IF(SUMIFS(MATERIAL_TARIFF_RULES!$G:$G,MATERIAL_TARIFF_RULES!$A:$A,$D95,MATERIAL_TARIFF_RULES!$C:$C,$B95)&lt;&gt;"",SUMIFS(MATERIAL_TARIFF_RULES!$G:$G,MATERIAL_TARIFF_RULES!$A:$A,$D95,MATERIAL_TARIFF_RULES!$C:$C,$B95),SUMIFS(MATERIAL_VARIANTS!$J:$J,MATERIAL_VARIANTS!$A:$A,$E95)),""),"")))</f>
        <v/>
      </c>
      <c r="G95" s="24" t="n"/>
      <c r="H95" s="24">
        <f>IF($C95="","",IF($C95="Work",IFERROR(SUMIFS(WORK_MASTER!$I:$I,WORK_MASTER!$A:$A,$D95),""),IF($C95="Material",IFERROR(SUMIFS(MATERIAL_VARIANTS!$I:$I,MATERIAL_VARIANTS!$A:$A,$E95),""),"")))</f>
        <v/>
      </c>
      <c r="I95" s="24">
        <f>IF($C95="","",IF($C95="Work",IFERROR(SUMIFS(WORK_FACTOR_APPLICABILITY!$O:$O,WORK_FACTOR_APPLICABILITY!$A:$A,$D95,WORK_FACTOR_APPLICABILITY!$N:$N,$A95),1),IF($C95="Material",IFERROR(ROUND(1+SUMIFS(MATERIAL_FACTOR_APPLICABILITY!$D:$D,MATERIAL_FACTOR_APPLICABILITY!$A:$A,SUMIFS(MATERIAL_MASTER!$O:$O,MATERIAL_MASTER!$A:$A,$D95),MATERIAL_FACTOR_APPLICABILITY!$B:$B,"GeometryComplexity")*(SUMIFS(OBJECT_CONDITIONS!$W:$W,OBJECT_CONDITIONS!$A:$A,$A95)-1),3),1),"")))</f>
        <v/>
      </c>
      <c r="J95" s="24">
        <f>IF($C95="","",IF($C95="Work",IFERROR(IF(SUMIFS(WORK_TARIFF_RULES!$F:$F,WORK_TARIFF_RULES!$A:$A,$D95,WORK_TARIFF_RULES!$C:$C,$B95)&lt;&gt;"",SUMIFS(WORK_TARIFF_RULES!$F:$F,WORK_TARIFF_RULES!$A:$A,$D95,WORK_TARIFF_RULES!$C:$C,$B95),SUMIFS(TARIFF_PROFILES!$D:$D,TARIFF_PROFILES!$A:$A,$B95)),1),IF($C95="Material",IFERROR(IF(SUMIFS(MATERIAL_TARIFF_RULES!$E:$E,MATERIAL_TARIFF_RULES!$A:$A,$D95,MATERIAL_TARIFF_RULES!$C:$C,$B95)&lt;&gt;"",SUMIFS(MATERIAL_TARIFF_RULES!$E:$E,MATERIAL_TARIFF_RULES!$A:$A,$D95,MATERIAL_TARIFF_RULES!$C:$C,$B95),SUMIFS(TARIFF_PROFILES!$E:$E,TARIFF_PROFILES!$A:$A,$B95)),1),"")))</f>
        <v/>
      </c>
      <c r="K95" s="24">
        <f>IF($C95="","",IF($C95="Material",IFERROR(SUMIFS(MATERIAL_MASTER!$P:$P,MATERIAL_MASTER!$A:$A,$D95)*IF(SUMIFS(MATERIAL_TARIFF_RULES!$F:$F,MATERIAL_TARIFF_RULES!$A:$A,$D95,MATERIAL_TARIFF_RULES!$C:$C,$B95)="",SUMIFS(TARIFF_PROFILES!$H:$H,TARIFF_PROFILES!$A:$A,$B95),SUMIFS(MATERIAL_TARIFF_RULES!$F:$F,MATERIAL_TARIFF_RULES!$A:$A,$D95,MATERIAL_TARIFF_RULES!$C:$C,$B95)),1),1))</f>
        <v/>
      </c>
      <c r="L95" s="24">
        <f>IF($C95="","",IF($C95="Work",N($H95)*N($I95)*N($J95),IF($C95="Material",N($H95)*N($I95)*N($J95),"")))</f>
        <v/>
      </c>
      <c r="M95" s="24">
        <f>IF($C95="","",IF($C95="Material",N($G95)*N($K95),N($G95)))</f>
        <v/>
      </c>
      <c r="N95" s="24">
        <f>IF($C95="","",N($L95)*N($M95))</f>
        <v/>
      </c>
      <c r="O95" s="5">
        <f>IF($C95="","",IF($C95="Work","Тариф влияет на способ/детализацию и коэффициент работ",IF($C95="Material","Тариф влияет на вариант, качество, запас и показ материала","")))</f>
        <v/>
      </c>
    </row>
    <row r="96">
      <c r="A96" s="5" t="n"/>
      <c r="B96" s="5" t="n"/>
      <c r="C96" s="5" t="n"/>
      <c r="D96" s="5" t="n"/>
      <c r="E96" s="5" t="n"/>
      <c r="F96" s="5">
        <f>IF($C96="","",IF($C96="Work",IFERROR(IF(SUMIFS(WORK_TARIFF_RULES!$G:$G,WORK_TARIFF_RULES!$A:$A,$D96,WORK_TARIFF_RULES!$C:$C,$B96)&lt;&gt;"",SUMIFS(WORK_TARIFF_RULES!$G:$G,WORK_TARIFF_RULES!$A:$A,$D96,WORK_TARIFF_RULES!$C:$C,$B96),SUMIFS(WORK_MASTER!$C:$C,WORK_MASTER!$A:$A,$D96)),""),IF($C96="Material",IFERROR(IF(SUMIFS(MATERIAL_TARIFF_RULES!$G:$G,MATERIAL_TARIFF_RULES!$A:$A,$D96,MATERIAL_TARIFF_RULES!$C:$C,$B96)&lt;&gt;"",SUMIFS(MATERIAL_TARIFF_RULES!$G:$G,MATERIAL_TARIFF_RULES!$A:$A,$D96,MATERIAL_TARIFF_RULES!$C:$C,$B96),SUMIFS(MATERIAL_VARIANTS!$J:$J,MATERIAL_VARIANTS!$A:$A,$E96)),""),"")))</f>
        <v/>
      </c>
      <c r="G96" s="24" t="n"/>
      <c r="H96" s="24">
        <f>IF($C96="","",IF($C96="Work",IFERROR(SUMIFS(WORK_MASTER!$I:$I,WORK_MASTER!$A:$A,$D96),""),IF($C96="Material",IFERROR(SUMIFS(MATERIAL_VARIANTS!$I:$I,MATERIAL_VARIANTS!$A:$A,$E96),""),"")))</f>
        <v/>
      </c>
      <c r="I96" s="24">
        <f>IF($C96="","",IF($C96="Work",IFERROR(SUMIFS(WORK_FACTOR_APPLICABILITY!$O:$O,WORK_FACTOR_APPLICABILITY!$A:$A,$D96,WORK_FACTOR_APPLICABILITY!$N:$N,$A96),1),IF($C96="Material",IFERROR(ROUND(1+SUMIFS(MATERIAL_FACTOR_APPLICABILITY!$D:$D,MATERIAL_FACTOR_APPLICABILITY!$A:$A,SUMIFS(MATERIAL_MASTER!$O:$O,MATERIAL_MASTER!$A:$A,$D96),MATERIAL_FACTOR_APPLICABILITY!$B:$B,"GeometryComplexity")*(SUMIFS(OBJECT_CONDITIONS!$W:$W,OBJECT_CONDITIONS!$A:$A,$A96)-1),3),1),"")))</f>
        <v/>
      </c>
      <c r="J96" s="24">
        <f>IF($C96="","",IF($C96="Work",IFERROR(IF(SUMIFS(WORK_TARIFF_RULES!$F:$F,WORK_TARIFF_RULES!$A:$A,$D96,WORK_TARIFF_RULES!$C:$C,$B96)&lt;&gt;"",SUMIFS(WORK_TARIFF_RULES!$F:$F,WORK_TARIFF_RULES!$A:$A,$D96,WORK_TARIFF_RULES!$C:$C,$B96),SUMIFS(TARIFF_PROFILES!$D:$D,TARIFF_PROFILES!$A:$A,$B96)),1),IF($C96="Material",IFERROR(IF(SUMIFS(MATERIAL_TARIFF_RULES!$E:$E,MATERIAL_TARIFF_RULES!$A:$A,$D96,MATERIAL_TARIFF_RULES!$C:$C,$B96)&lt;&gt;"",SUMIFS(MATERIAL_TARIFF_RULES!$E:$E,MATERIAL_TARIFF_RULES!$A:$A,$D96,MATERIAL_TARIFF_RULES!$C:$C,$B96),SUMIFS(TARIFF_PROFILES!$E:$E,TARIFF_PROFILES!$A:$A,$B96)),1),"")))</f>
        <v/>
      </c>
      <c r="K96" s="24">
        <f>IF($C96="","",IF($C96="Material",IFERROR(SUMIFS(MATERIAL_MASTER!$P:$P,MATERIAL_MASTER!$A:$A,$D96)*IF(SUMIFS(MATERIAL_TARIFF_RULES!$F:$F,MATERIAL_TARIFF_RULES!$A:$A,$D96,MATERIAL_TARIFF_RULES!$C:$C,$B96)="",SUMIFS(TARIFF_PROFILES!$H:$H,TARIFF_PROFILES!$A:$A,$B96),SUMIFS(MATERIAL_TARIFF_RULES!$F:$F,MATERIAL_TARIFF_RULES!$A:$A,$D96,MATERIAL_TARIFF_RULES!$C:$C,$B96)),1),1))</f>
        <v/>
      </c>
      <c r="L96" s="24">
        <f>IF($C96="","",IF($C96="Work",N($H96)*N($I96)*N($J96),IF($C96="Material",N($H96)*N($I96)*N($J96),"")))</f>
        <v/>
      </c>
      <c r="M96" s="24">
        <f>IF($C96="","",IF($C96="Material",N($G96)*N($K96),N($G96)))</f>
        <v/>
      </c>
      <c r="N96" s="24">
        <f>IF($C96="","",N($L96)*N($M96))</f>
        <v/>
      </c>
      <c r="O96" s="5">
        <f>IF($C96="","",IF($C96="Work","Тариф влияет на способ/детализацию и коэффициент работ",IF($C96="Material","Тариф влияет на вариант, качество, запас и показ материала","")))</f>
        <v/>
      </c>
    </row>
    <row r="97">
      <c r="A97" s="5" t="n"/>
      <c r="B97" s="5" t="n"/>
      <c r="C97" s="5" t="n"/>
      <c r="D97" s="5" t="n"/>
      <c r="E97" s="5" t="n"/>
      <c r="F97" s="5">
        <f>IF($C97="","",IF($C97="Work",IFERROR(IF(SUMIFS(WORK_TARIFF_RULES!$G:$G,WORK_TARIFF_RULES!$A:$A,$D97,WORK_TARIFF_RULES!$C:$C,$B97)&lt;&gt;"",SUMIFS(WORK_TARIFF_RULES!$G:$G,WORK_TARIFF_RULES!$A:$A,$D97,WORK_TARIFF_RULES!$C:$C,$B97),SUMIFS(WORK_MASTER!$C:$C,WORK_MASTER!$A:$A,$D97)),""),IF($C97="Material",IFERROR(IF(SUMIFS(MATERIAL_TARIFF_RULES!$G:$G,MATERIAL_TARIFF_RULES!$A:$A,$D97,MATERIAL_TARIFF_RULES!$C:$C,$B97)&lt;&gt;"",SUMIFS(MATERIAL_TARIFF_RULES!$G:$G,MATERIAL_TARIFF_RULES!$A:$A,$D97,MATERIAL_TARIFF_RULES!$C:$C,$B97),SUMIFS(MATERIAL_VARIANTS!$J:$J,MATERIAL_VARIANTS!$A:$A,$E97)),""),"")))</f>
        <v/>
      </c>
      <c r="G97" s="24" t="n"/>
      <c r="H97" s="24">
        <f>IF($C97="","",IF($C97="Work",IFERROR(SUMIFS(WORK_MASTER!$I:$I,WORK_MASTER!$A:$A,$D97),""),IF($C97="Material",IFERROR(SUMIFS(MATERIAL_VARIANTS!$I:$I,MATERIAL_VARIANTS!$A:$A,$E97),""),"")))</f>
        <v/>
      </c>
      <c r="I97" s="24">
        <f>IF($C97="","",IF($C97="Work",IFERROR(SUMIFS(WORK_FACTOR_APPLICABILITY!$O:$O,WORK_FACTOR_APPLICABILITY!$A:$A,$D97,WORK_FACTOR_APPLICABILITY!$N:$N,$A97),1),IF($C97="Material",IFERROR(ROUND(1+SUMIFS(MATERIAL_FACTOR_APPLICABILITY!$D:$D,MATERIAL_FACTOR_APPLICABILITY!$A:$A,SUMIFS(MATERIAL_MASTER!$O:$O,MATERIAL_MASTER!$A:$A,$D97),MATERIAL_FACTOR_APPLICABILITY!$B:$B,"GeometryComplexity")*(SUMIFS(OBJECT_CONDITIONS!$W:$W,OBJECT_CONDITIONS!$A:$A,$A97)-1),3),1),"")))</f>
        <v/>
      </c>
      <c r="J97" s="24">
        <f>IF($C97="","",IF($C97="Work",IFERROR(IF(SUMIFS(WORK_TARIFF_RULES!$F:$F,WORK_TARIFF_RULES!$A:$A,$D97,WORK_TARIFF_RULES!$C:$C,$B97)&lt;&gt;"",SUMIFS(WORK_TARIFF_RULES!$F:$F,WORK_TARIFF_RULES!$A:$A,$D97,WORK_TARIFF_RULES!$C:$C,$B97),SUMIFS(TARIFF_PROFILES!$D:$D,TARIFF_PROFILES!$A:$A,$B97)),1),IF($C97="Material",IFERROR(IF(SUMIFS(MATERIAL_TARIFF_RULES!$E:$E,MATERIAL_TARIFF_RULES!$A:$A,$D97,MATERIAL_TARIFF_RULES!$C:$C,$B97)&lt;&gt;"",SUMIFS(MATERIAL_TARIFF_RULES!$E:$E,MATERIAL_TARIFF_RULES!$A:$A,$D97,MATERIAL_TARIFF_RULES!$C:$C,$B97),SUMIFS(TARIFF_PROFILES!$E:$E,TARIFF_PROFILES!$A:$A,$B97)),1),"")))</f>
        <v/>
      </c>
      <c r="K97" s="24">
        <f>IF($C97="","",IF($C97="Material",IFERROR(SUMIFS(MATERIAL_MASTER!$P:$P,MATERIAL_MASTER!$A:$A,$D97)*IF(SUMIFS(MATERIAL_TARIFF_RULES!$F:$F,MATERIAL_TARIFF_RULES!$A:$A,$D97,MATERIAL_TARIFF_RULES!$C:$C,$B97)="",SUMIFS(TARIFF_PROFILES!$H:$H,TARIFF_PROFILES!$A:$A,$B97),SUMIFS(MATERIAL_TARIFF_RULES!$F:$F,MATERIAL_TARIFF_RULES!$A:$A,$D97,MATERIAL_TARIFF_RULES!$C:$C,$B97)),1),1))</f>
        <v/>
      </c>
      <c r="L97" s="24">
        <f>IF($C97="","",IF($C97="Work",N($H97)*N($I97)*N($J97),IF($C97="Material",N($H97)*N($I97)*N($J97),"")))</f>
        <v/>
      </c>
      <c r="M97" s="24">
        <f>IF($C97="","",IF($C97="Material",N($G97)*N($K97),N($G97)))</f>
        <v/>
      </c>
      <c r="N97" s="24">
        <f>IF($C97="","",N($L97)*N($M97))</f>
        <v/>
      </c>
      <c r="O97" s="5">
        <f>IF($C97="","",IF($C97="Work","Тариф влияет на способ/детализацию и коэффициент работ",IF($C97="Material","Тариф влияет на вариант, качество, запас и показ материала","")))</f>
        <v/>
      </c>
    </row>
    <row r="98">
      <c r="A98" s="5" t="n"/>
      <c r="B98" s="5" t="n"/>
      <c r="C98" s="5" t="n"/>
      <c r="D98" s="5" t="n"/>
      <c r="E98" s="5" t="n"/>
      <c r="F98" s="5">
        <f>IF($C98="","",IF($C98="Work",IFERROR(IF(SUMIFS(WORK_TARIFF_RULES!$G:$G,WORK_TARIFF_RULES!$A:$A,$D98,WORK_TARIFF_RULES!$C:$C,$B98)&lt;&gt;"",SUMIFS(WORK_TARIFF_RULES!$G:$G,WORK_TARIFF_RULES!$A:$A,$D98,WORK_TARIFF_RULES!$C:$C,$B98),SUMIFS(WORK_MASTER!$C:$C,WORK_MASTER!$A:$A,$D98)),""),IF($C98="Material",IFERROR(IF(SUMIFS(MATERIAL_TARIFF_RULES!$G:$G,MATERIAL_TARIFF_RULES!$A:$A,$D98,MATERIAL_TARIFF_RULES!$C:$C,$B98)&lt;&gt;"",SUMIFS(MATERIAL_TARIFF_RULES!$G:$G,MATERIAL_TARIFF_RULES!$A:$A,$D98,MATERIAL_TARIFF_RULES!$C:$C,$B98),SUMIFS(MATERIAL_VARIANTS!$J:$J,MATERIAL_VARIANTS!$A:$A,$E98)),""),"")))</f>
        <v/>
      </c>
      <c r="G98" s="24" t="n"/>
      <c r="H98" s="24">
        <f>IF($C98="","",IF($C98="Work",IFERROR(SUMIFS(WORK_MASTER!$I:$I,WORK_MASTER!$A:$A,$D98),""),IF($C98="Material",IFERROR(SUMIFS(MATERIAL_VARIANTS!$I:$I,MATERIAL_VARIANTS!$A:$A,$E98),""),"")))</f>
        <v/>
      </c>
      <c r="I98" s="24">
        <f>IF($C98="","",IF($C98="Work",IFERROR(SUMIFS(WORK_FACTOR_APPLICABILITY!$O:$O,WORK_FACTOR_APPLICABILITY!$A:$A,$D98,WORK_FACTOR_APPLICABILITY!$N:$N,$A98),1),IF($C98="Material",IFERROR(ROUND(1+SUMIFS(MATERIAL_FACTOR_APPLICABILITY!$D:$D,MATERIAL_FACTOR_APPLICABILITY!$A:$A,SUMIFS(MATERIAL_MASTER!$O:$O,MATERIAL_MASTER!$A:$A,$D98),MATERIAL_FACTOR_APPLICABILITY!$B:$B,"GeometryComplexity")*(SUMIFS(OBJECT_CONDITIONS!$W:$W,OBJECT_CONDITIONS!$A:$A,$A98)-1),3),1),"")))</f>
        <v/>
      </c>
      <c r="J98" s="24">
        <f>IF($C98="","",IF($C98="Work",IFERROR(IF(SUMIFS(WORK_TARIFF_RULES!$F:$F,WORK_TARIFF_RULES!$A:$A,$D98,WORK_TARIFF_RULES!$C:$C,$B98)&lt;&gt;"",SUMIFS(WORK_TARIFF_RULES!$F:$F,WORK_TARIFF_RULES!$A:$A,$D98,WORK_TARIFF_RULES!$C:$C,$B98),SUMIFS(TARIFF_PROFILES!$D:$D,TARIFF_PROFILES!$A:$A,$B98)),1),IF($C98="Material",IFERROR(IF(SUMIFS(MATERIAL_TARIFF_RULES!$E:$E,MATERIAL_TARIFF_RULES!$A:$A,$D98,MATERIAL_TARIFF_RULES!$C:$C,$B98)&lt;&gt;"",SUMIFS(MATERIAL_TARIFF_RULES!$E:$E,MATERIAL_TARIFF_RULES!$A:$A,$D98,MATERIAL_TARIFF_RULES!$C:$C,$B98),SUMIFS(TARIFF_PROFILES!$E:$E,TARIFF_PROFILES!$A:$A,$B98)),1),"")))</f>
        <v/>
      </c>
      <c r="K98" s="24">
        <f>IF($C98="","",IF($C98="Material",IFERROR(SUMIFS(MATERIAL_MASTER!$P:$P,MATERIAL_MASTER!$A:$A,$D98)*IF(SUMIFS(MATERIAL_TARIFF_RULES!$F:$F,MATERIAL_TARIFF_RULES!$A:$A,$D98,MATERIAL_TARIFF_RULES!$C:$C,$B98)="",SUMIFS(TARIFF_PROFILES!$H:$H,TARIFF_PROFILES!$A:$A,$B98),SUMIFS(MATERIAL_TARIFF_RULES!$F:$F,MATERIAL_TARIFF_RULES!$A:$A,$D98,MATERIAL_TARIFF_RULES!$C:$C,$B98)),1),1))</f>
        <v/>
      </c>
      <c r="L98" s="24">
        <f>IF($C98="","",IF($C98="Work",N($H98)*N($I98)*N($J98),IF($C98="Material",N($H98)*N($I98)*N($J98),"")))</f>
        <v/>
      </c>
      <c r="M98" s="24">
        <f>IF($C98="","",IF($C98="Material",N($G98)*N($K98),N($G98)))</f>
        <v/>
      </c>
      <c r="N98" s="24">
        <f>IF($C98="","",N($L98)*N($M98))</f>
        <v/>
      </c>
      <c r="O98" s="5">
        <f>IF($C98="","",IF($C98="Work","Тариф влияет на способ/детализацию и коэффициент работ",IF($C98="Material","Тариф влияет на вариант, качество, запас и показ материала","")))</f>
        <v/>
      </c>
    </row>
    <row r="99">
      <c r="A99" s="5" t="n"/>
      <c r="B99" s="5" t="n"/>
      <c r="C99" s="5" t="n"/>
      <c r="D99" s="5" t="n"/>
      <c r="E99" s="5" t="n"/>
      <c r="F99" s="5">
        <f>IF($C99="","",IF($C99="Work",IFERROR(IF(SUMIFS(WORK_TARIFF_RULES!$G:$G,WORK_TARIFF_RULES!$A:$A,$D99,WORK_TARIFF_RULES!$C:$C,$B99)&lt;&gt;"",SUMIFS(WORK_TARIFF_RULES!$G:$G,WORK_TARIFF_RULES!$A:$A,$D99,WORK_TARIFF_RULES!$C:$C,$B99),SUMIFS(WORK_MASTER!$C:$C,WORK_MASTER!$A:$A,$D99)),""),IF($C99="Material",IFERROR(IF(SUMIFS(MATERIAL_TARIFF_RULES!$G:$G,MATERIAL_TARIFF_RULES!$A:$A,$D99,MATERIAL_TARIFF_RULES!$C:$C,$B99)&lt;&gt;"",SUMIFS(MATERIAL_TARIFF_RULES!$G:$G,MATERIAL_TARIFF_RULES!$A:$A,$D99,MATERIAL_TARIFF_RULES!$C:$C,$B99),SUMIFS(MATERIAL_VARIANTS!$J:$J,MATERIAL_VARIANTS!$A:$A,$E99)),""),"")))</f>
        <v/>
      </c>
      <c r="G99" s="24" t="n"/>
      <c r="H99" s="24">
        <f>IF($C99="","",IF($C99="Work",IFERROR(SUMIFS(WORK_MASTER!$I:$I,WORK_MASTER!$A:$A,$D99),""),IF($C99="Material",IFERROR(SUMIFS(MATERIAL_VARIANTS!$I:$I,MATERIAL_VARIANTS!$A:$A,$E99),""),"")))</f>
        <v/>
      </c>
      <c r="I99" s="24">
        <f>IF($C99="","",IF($C99="Work",IFERROR(SUMIFS(WORK_FACTOR_APPLICABILITY!$O:$O,WORK_FACTOR_APPLICABILITY!$A:$A,$D99,WORK_FACTOR_APPLICABILITY!$N:$N,$A99),1),IF($C99="Material",IFERROR(ROUND(1+SUMIFS(MATERIAL_FACTOR_APPLICABILITY!$D:$D,MATERIAL_FACTOR_APPLICABILITY!$A:$A,SUMIFS(MATERIAL_MASTER!$O:$O,MATERIAL_MASTER!$A:$A,$D99),MATERIAL_FACTOR_APPLICABILITY!$B:$B,"GeometryComplexity")*(SUMIFS(OBJECT_CONDITIONS!$W:$W,OBJECT_CONDITIONS!$A:$A,$A99)-1),3),1),"")))</f>
        <v/>
      </c>
      <c r="J99" s="24">
        <f>IF($C99="","",IF($C99="Work",IFERROR(IF(SUMIFS(WORK_TARIFF_RULES!$F:$F,WORK_TARIFF_RULES!$A:$A,$D99,WORK_TARIFF_RULES!$C:$C,$B99)&lt;&gt;"",SUMIFS(WORK_TARIFF_RULES!$F:$F,WORK_TARIFF_RULES!$A:$A,$D99,WORK_TARIFF_RULES!$C:$C,$B99),SUMIFS(TARIFF_PROFILES!$D:$D,TARIFF_PROFILES!$A:$A,$B99)),1),IF($C99="Material",IFERROR(IF(SUMIFS(MATERIAL_TARIFF_RULES!$E:$E,MATERIAL_TARIFF_RULES!$A:$A,$D99,MATERIAL_TARIFF_RULES!$C:$C,$B99)&lt;&gt;"",SUMIFS(MATERIAL_TARIFF_RULES!$E:$E,MATERIAL_TARIFF_RULES!$A:$A,$D99,MATERIAL_TARIFF_RULES!$C:$C,$B99),SUMIFS(TARIFF_PROFILES!$E:$E,TARIFF_PROFILES!$A:$A,$B99)),1),"")))</f>
        <v/>
      </c>
      <c r="K99" s="24">
        <f>IF($C99="","",IF($C99="Material",IFERROR(SUMIFS(MATERIAL_MASTER!$P:$P,MATERIAL_MASTER!$A:$A,$D99)*IF(SUMIFS(MATERIAL_TARIFF_RULES!$F:$F,MATERIAL_TARIFF_RULES!$A:$A,$D99,MATERIAL_TARIFF_RULES!$C:$C,$B99)="",SUMIFS(TARIFF_PROFILES!$H:$H,TARIFF_PROFILES!$A:$A,$B99),SUMIFS(MATERIAL_TARIFF_RULES!$F:$F,MATERIAL_TARIFF_RULES!$A:$A,$D99,MATERIAL_TARIFF_RULES!$C:$C,$B99)),1),1))</f>
        <v/>
      </c>
      <c r="L99" s="24">
        <f>IF($C99="","",IF($C99="Work",N($H99)*N($I99)*N($J99),IF($C99="Material",N($H99)*N($I99)*N($J99),"")))</f>
        <v/>
      </c>
      <c r="M99" s="24">
        <f>IF($C99="","",IF($C99="Material",N($G99)*N($K99),N($G99)))</f>
        <v/>
      </c>
      <c r="N99" s="24">
        <f>IF($C99="","",N($L99)*N($M99))</f>
        <v/>
      </c>
      <c r="O99" s="5">
        <f>IF($C99="","",IF($C99="Work","Тариф влияет на способ/детализацию и коэффициент работ",IF($C99="Material","Тариф влияет на вариант, качество, запас и показ материала","")))</f>
        <v/>
      </c>
    </row>
    <row r="100">
      <c r="A100" s="5" t="n"/>
      <c r="B100" s="5" t="n"/>
      <c r="C100" s="5" t="n"/>
      <c r="D100" s="5" t="n"/>
      <c r="E100" s="5" t="n"/>
      <c r="F100" s="5">
        <f>IF($C100="","",IF($C100="Work",IFERROR(IF(SUMIFS(WORK_TARIFF_RULES!$G:$G,WORK_TARIFF_RULES!$A:$A,$D100,WORK_TARIFF_RULES!$C:$C,$B100)&lt;&gt;"",SUMIFS(WORK_TARIFF_RULES!$G:$G,WORK_TARIFF_RULES!$A:$A,$D100,WORK_TARIFF_RULES!$C:$C,$B100),SUMIFS(WORK_MASTER!$C:$C,WORK_MASTER!$A:$A,$D100)),""),IF($C100="Material",IFERROR(IF(SUMIFS(MATERIAL_TARIFF_RULES!$G:$G,MATERIAL_TARIFF_RULES!$A:$A,$D100,MATERIAL_TARIFF_RULES!$C:$C,$B100)&lt;&gt;"",SUMIFS(MATERIAL_TARIFF_RULES!$G:$G,MATERIAL_TARIFF_RULES!$A:$A,$D100,MATERIAL_TARIFF_RULES!$C:$C,$B100),SUMIFS(MATERIAL_VARIANTS!$J:$J,MATERIAL_VARIANTS!$A:$A,$E100)),""),"")))</f>
        <v/>
      </c>
      <c r="G100" s="24" t="n"/>
      <c r="H100" s="24">
        <f>IF($C100="","",IF($C100="Work",IFERROR(SUMIFS(WORK_MASTER!$I:$I,WORK_MASTER!$A:$A,$D100),""),IF($C100="Material",IFERROR(SUMIFS(MATERIAL_VARIANTS!$I:$I,MATERIAL_VARIANTS!$A:$A,$E100),""),"")))</f>
        <v/>
      </c>
      <c r="I100" s="24">
        <f>IF($C100="","",IF($C100="Work",IFERROR(SUMIFS(WORK_FACTOR_APPLICABILITY!$O:$O,WORK_FACTOR_APPLICABILITY!$A:$A,$D100,WORK_FACTOR_APPLICABILITY!$N:$N,$A100),1),IF($C100="Material",IFERROR(ROUND(1+SUMIFS(MATERIAL_FACTOR_APPLICABILITY!$D:$D,MATERIAL_FACTOR_APPLICABILITY!$A:$A,SUMIFS(MATERIAL_MASTER!$O:$O,MATERIAL_MASTER!$A:$A,$D100),MATERIAL_FACTOR_APPLICABILITY!$B:$B,"GeometryComplexity")*(SUMIFS(OBJECT_CONDITIONS!$W:$W,OBJECT_CONDITIONS!$A:$A,$A100)-1),3),1),"")))</f>
        <v/>
      </c>
      <c r="J100" s="24">
        <f>IF($C100="","",IF($C100="Work",IFERROR(IF(SUMIFS(WORK_TARIFF_RULES!$F:$F,WORK_TARIFF_RULES!$A:$A,$D100,WORK_TARIFF_RULES!$C:$C,$B100)&lt;&gt;"",SUMIFS(WORK_TARIFF_RULES!$F:$F,WORK_TARIFF_RULES!$A:$A,$D100,WORK_TARIFF_RULES!$C:$C,$B100),SUMIFS(TARIFF_PROFILES!$D:$D,TARIFF_PROFILES!$A:$A,$B100)),1),IF($C100="Material",IFERROR(IF(SUMIFS(MATERIAL_TARIFF_RULES!$E:$E,MATERIAL_TARIFF_RULES!$A:$A,$D100,MATERIAL_TARIFF_RULES!$C:$C,$B100)&lt;&gt;"",SUMIFS(MATERIAL_TARIFF_RULES!$E:$E,MATERIAL_TARIFF_RULES!$A:$A,$D100,MATERIAL_TARIFF_RULES!$C:$C,$B100),SUMIFS(TARIFF_PROFILES!$E:$E,TARIFF_PROFILES!$A:$A,$B100)),1),"")))</f>
        <v/>
      </c>
      <c r="K100" s="24">
        <f>IF($C100="","",IF($C100="Material",IFERROR(SUMIFS(MATERIAL_MASTER!$P:$P,MATERIAL_MASTER!$A:$A,$D100)*IF(SUMIFS(MATERIAL_TARIFF_RULES!$F:$F,MATERIAL_TARIFF_RULES!$A:$A,$D100,MATERIAL_TARIFF_RULES!$C:$C,$B100)="",SUMIFS(TARIFF_PROFILES!$H:$H,TARIFF_PROFILES!$A:$A,$B100),SUMIFS(MATERIAL_TARIFF_RULES!$F:$F,MATERIAL_TARIFF_RULES!$A:$A,$D100,MATERIAL_TARIFF_RULES!$C:$C,$B100)),1),1))</f>
        <v/>
      </c>
      <c r="L100" s="24">
        <f>IF($C100="","",IF($C100="Work",N($H100)*N($I100)*N($J100),IF($C100="Material",N($H100)*N($I100)*N($J100),"")))</f>
        <v/>
      </c>
      <c r="M100" s="24">
        <f>IF($C100="","",IF($C100="Material",N($G100)*N($K100),N($G100)))</f>
        <v/>
      </c>
      <c r="N100" s="24">
        <f>IF($C100="","",N($L100)*N($M100))</f>
        <v/>
      </c>
      <c r="O100" s="5">
        <f>IF($C100="","",IF($C100="Work","Тариф влияет на способ/детализацию и коэффициент работ",IF($C100="Material","Тариф влияет на вариант, качество, запас и показ материала","")))</f>
        <v/>
      </c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</sheetData>
  <autoFilter ref="A1:O150"/>
  <dataValidations count="3">
    <dataValidation sqref="A2:A1000" showDropDown="0" showInputMessage="0" showErrorMessage="0" allowBlank="1" type="list">
      <formula1>=OBJECT_CONDITIONS!$A$2:$A$1000</formula1>
    </dataValidation>
    <dataValidation sqref="B2:B1000" showDropDown="0" showInputMessage="0" showErrorMessage="0" allowBlank="1" type="list">
      <formula1>='DICTIONARIES'!$AJ$2:$AJ$4</formula1>
    </dataValidation>
    <dataValidation sqref="C2:C1000" showDropDown="0" showInputMessage="0" showErrorMessage="0" allowBlank="1" type="list">
      <formula1>='DICTIONARIES'!$H$2:$H$3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28" customWidth="1" min="6" max="6"/>
    <col width="10" customWidth="1" min="7" max="7"/>
    <col width="10" customWidth="1" min="8" max="8"/>
    <col width="16" customWidth="1" min="9" max="9"/>
    <col width="18" customWidth="1" min="10" max="10"/>
    <col width="12" customWidth="1" min="11" max="11"/>
    <col width="14" customWidth="1" min="12" max="12"/>
    <col width="12" customWidth="1" min="13" max="13"/>
    <col width="12" customWidth="1" min="14" max="14"/>
    <col width="18" customWidth="1" min="15" max="15"/>
    <col width="16" customWidth="1" min="16" max="16"/>
    <col width="16" customWidth="1" min="17" max="17"/>
    <col width="14" customWidth="1" min="18" max="18"/>
    <col width="10" customWidth="1" min="19" max="19"/>
    <col width="16" customWidth="1" min="20" max="20"/>
    <col width="36" customWidth="1" min="21" max="21"/>
  </cols>
  <sheetData>
    <row r="1">
      <c r="A1" s="4" t="inlineStr">
        <is>
          <t>ObjectID</t>
        </is>
      </c>
      <c r="B1" s="4" t="inlineStr">
        <is>
          <t>Tariff</t>
        </is>
      </c>
      <c r="C1" s="4" t="inlineStr">
        <is>
          <t>LineType</t>
        </is>
      </c>
      <c r="D1" s="4" t="inlineStr">
        <is>
          <t>RefID</t>
        </is>
      </c>
      <c r="E1" s="4" t="inlineStr">
        <is>
          <t>VariantID</t>
        </is>
      </c>
      <c r="F1" s="4" t="inlineStr">
        <is>
          <t>Description</t>
        </is>
      </c>
      <c r="G1" s="4" t="inlineStr">
        <is>
          <t>NetQty</t>
        </is>
      </c>
      <c r="H1" s="4" t="inlineStr">
        <is>
          <t>NetUnit</t>
        </is>
      </c>
      <c r="I1" s="4" t="inlineStr">
        <is>
          <t>BaseUnitPriceExVAT</t>
        </is>
      </c>
      <c r="J1" s="4" t="inlineStr">
        <is>
          <t>MethodOrVariantCoeff</t>
        </is>
      </c>
      <c r="K1" s="4" t="inlineStr">
        <is>
          <t>SiteCoeff</t>
        </is>
      </c>
      <c r="L1" s="4" t="inlineStr">
        <is>
          <t>OperatingCoeff</t>
        </is>
      </c>
      <c r="M1" s="4" t="inlineStr">
        <is>
          <t>TariffCoeff</t>
        </is>
      </c>
      <c r="N1" s="4" t="inlineStr">
        <is>
          <t>ReserveCoeff</t>
        </is>
      </c>
      <c r="O1" s="4" t="inlineStr">
        <is>
          <t>RoundedPurchaseQty</t>
        </is>
      </c>
      <c r="P1" s="4" t="inlineStr">
        <is>
          <t>CommercialFloorAdj</t>
        </is>
      </c>
      <c r="Q1" s="4" t="inlineStr">
        <is>
          <t>LineTotalExVAT</t>
        </is>
      </c>
      <c r="R1" s="4" t="inlineStr">
        <is>
          <t>TaxMode</t>
        </is>
      </c>
      <c r="S1" s="4" t="inlineStr">
        <is>
          <t>VATRate</t>
        </is>
      </c>
      <c r="T1" s="4" t="inlineStr">
        <is>
          <t>LineTotalIncVAT</t>
        </is>
      </c>
      <c r="U1" s="4" t="inlineStr">
        <is>
          <t>CalcComment</t>
        </is>
      </c>
    </row>
    <row r="2">
      <c r="A2" s="19" t="inlineStr">
        <is>
          <t>OBJ-0001</t>
        </is>
      </c>
      <c r="B2" s="19" t="inlineStr">
        <is>
          <t>Премиум</t>
        </is>
      </c>
      <c r="C2" s="19" t="inlineStr">
        <is>
          <t>Work</t>
        </is>
      </c>
      <c r="D2" s="19" t="inlineStr">
        <is>
          <t>WORK-0002</t>
        </is>
      </c>
      <c r="E2" s="19" t="inlineStr">
        <is>
          <t>WV-0002</t>
        </is>
      </c>
      <c r="F2" s="19">
        <f>IF($C2="","",IF($C2="Work",IFERROR(IF(SUMIFS(WORK_TARIFF_RULES!$G:$G,WORK_TARIFF_RULES!$A:$A,$D2,WORK_TARIFF_RULES!$C:$C,$B2)&lt;&gt;"",SUMIFS(WORK_TARIFF_RULES!$G:$G,WORK_TARIFF_RULES!$A:$A,$D2,WORK_TARIFF_RULES!$C:$C,$B2),SUMIFS(WORK_MASTER!$C:$C,WORK_MASTER!$A:$A,$D2)),""),IF($C2="Material",IFERROR(IF(SUMIFS(MATERIAL_TARIFF_RULES!$G:$G,MATERIAL_TARIFF_RULES!$A:$A,$D2,MATERIAL_TARIFF_RULES!$C:$C,$B2)&lt;&gt;"",SUMIFS(MATERIAL_TARIFF_RULES!$G:$G,MATERIAL_TARIFF_RULES!$A:$A,$D2,MATERIAL_TARIFF_RULES!$C:$C,$B2),SUMIFS(MATERIAL_VARIANTS!$J:$J,MATERIAL_VARIANTS!$A:$A,$E2)),""),IF($C2="Logistics","Мобилизация и логистика объекта",""))))</f>
        <v/>
      </c>
      <c r="G2" s="19" t="n">
        <v>120</v>
      </c>
      <c r="H2" s="19" t="inlineStr">
        <is>
          <t>м2</t>
        </is>
      </c>
      <c r="I2" s="33">
        <f>IF($C2="","",IF($C2="Work",IFERROR(SUMIFS(WORK_MASTER!$I:$I,WORK_MASTER!$A:$A,$D2),0),IF($C2="Material",IFERROR(SUMIFS(MATERIAL_VARIANTS!$I:$I,MATERIAL_VARIANTS!$A:$A,$E2),0),0)))</f>
        <v/>
      </c>
      <c r="J2" s="33">
        <f>IF($C2="","",IF($C2="Work",IF($E2&lt;&gt;"",IFERROR(SUMIFS(WORK_VARIANTS!$H:$H,WORK_VARIANTS!$A:$A,$E2),1),1),1))</f>
        <v/>
      </c>
      <c r="K2" s="33">
        <f>IF($C2="","",IF($C2="Work",IFERROR(SUMIFS(WORK_FACTOR_APPLICABILITY!$O:$O,WORK_FACTOR_APPLICABILITY!$A:$A,$D2,WORK_FACTOR_APPLICABILITY!$N:$N,$A2),1),IF($C2="Material",IFERROR(INDEX(MATERIAL_QUANTITY_EXAMPLE!$N:$N,MATCH(1,(MATERIAL_QUANTITY_EXAMPLE!$A:$A=MATERIAL_QUANTITY_EXAMPLE!$A:$A)*(MATERIAL_QUANTITY_EXAMPLE!$B:$B=$A2)*(MATERIAL_QUANTITY_EXAMPLE!$C:$C=$D2),0)),1),1)))</f>
        <v/>
      </c>
      <c r="L2" s="33">
        <f>IF($A2="","",IF($C2="Material",1,IFERROR(INDEX(OBJECT_CONDITIONS!$AH:$AH,MATCH($A2,OBJECT_CONDITIONS!$A:$A,0))*INDEX(OBJECT_CONDITIONS!$AJ:$AJ,MATCH($A2,OBJECT_CONDITIONS!$A:$A,0))*INDEX(OBJECT_CONDITIONS!$AL:$AL,MATCH($A2,OBJECT_CONDITIONS!$A:$A,0)),1)))</f>
        <v/>
      </c>
      <c r="M2" s="33">
        <f>IF($B2="","",IF($C2="Work",IFERROR(IF(SUMIFS(WORK_TARIFF_RULES!$F:$F,WORK_TARIFF_RULES!$A:$A,$D2,WORK_TARIFF_RULES!$C:$C,$B2)&lt;&gt;"",SUMIFS(WORK_TARIFF_RULES!$F:$F,WORK_TARIFF_RULES!$A:$A,$D2,WORK_TARIFF_RULES!$C:$C,$B2),SUMIFS(TARIFF_PROFILES!$D:$D,TARIFF_PROFILES!$A:$A,$B2)),1),IF($C2="Material",IFERROR(IF(SUMIFS(MATERIAL_TARIFF_RULES!$E:$E,MATERIAL_TARIFF_RULES!$A:$A,$D2,MATERIAL_TARIFF_RULES!$C:$C,$B2)&lt;&gt;"",SUMIFS(MATERIAL_TARIFF_RULES!$E:$E,MATERIAL_TARIFF_RULES!$A:$A,$D2,MATERIAL_TARIFF_RULES!$C:$C,$B2),SUMIFS(TARIFF_PROFILES!$E:$E,TARIFF_PROFILES!$A:$A,$B2)),1),SUMIFS(TARIFF_PROFILES!$F:$F,TARIFF_PROFILES!$A:$A,$B2))))</f>
        <v/>
      </c>
      <c r="N2" s="33">
        <f>IF($C2="Material",IFERROR(SUMIFS(MATERIAL_MASTER!$P:$P,MATERIAL_MASTER!$A:$A,$D2)*IF(SUMIFS(MATERIAL_TARIFF_RULES!$F:$F,MATERIAL_TARIFF_RULES!$A:$A,$D2,MATERIAL_TARIFF_RULES!$C:$C,$B2)="",SUMIFS(TARIFF_PROFILES!$H:$H,TARIFF_PROFILES!$A:$A,$B2),SUMIFS(MATERIAL_TARIFF_RULES!$F:$F,MATERIAL_TARIFF_RULES!$A:$A,$D2,MATERIAL_TARIFF_RULES!$C:$C,$B2)),1),1)</f>
        <v/>
      </c>
      <c r="O2" s="19">
        <f>IF($C2="","",IF($C2="Material",ROUNDUP(N($G2)*N($N2),0),N($G2)))</f>
        <v/>
      </c>
      <c r="P2" s="19">
        <f>IF(ROW()=2,MAX(0,INDEX(COMMERCIAL_POLICY!$B:$B,MATCH($B2,COMMERCIAL_POLICY!$A:$A,0))-SUM($Q$2:$Q$60)),0)</f>
        <v/>
      </c>
      <c r="Q2" s="35">
        <f>IF($C2="","",IF($C2="Material",N($I2)*N($K2)*N($M2)*N($O2),IF($C2="Logistics",INDEX(COMMERCIAL_POLICY!$D:$D,MATCH($B2,COMMERCIAL_POLICY!$A:$A,0))*N($L2),N($I2)*N($J2)*N($K2)*N($L2)*N($M2)*N($G2))))</f>
        <v/>
      </c>
      <c r="R2" s="19">
        <f>IF($A2="","",INDEX(OBJECT_CONDITIONS!$AM:$AM,MATCH($A2,OBJECT_CONDITIONS!$A:$A,0)))</f>
        <v/>
      </c>
      <c r="S2" s="33">
        <f>IF($R2="","",INDEX(TAX_MODES!$B:$B,MATCH($R2,TAX_MODES!$A:$A,0)))</f>
        <v/>
      </c>
      <c r="T2" s="35">
        <f>IF($Q2="","",N($Q2)*(1+N($S2)))</f>
        <v/>
      </c>
      <c r="U2" s="19">
        <f>IF($C2="","",IF($C2="Material","Net x reserve x rounded purchase logic",IF($C2="Logistics","Mobilization from COMMERCIAL_POLICY x operating coeff","Base x method/variant x site x operating x tariff")) )</f>
        <v/>
      </c>
    </row>
    <row r="3">
      <c r="A3" s="19" t="inlineStr">
        <is>
          <t>OBJ-0001</t>
        </is>
      </c>
      <c r="B3" s="19" t="inlineStr">
        <is>
          <t>Премиум</t>
        </is>
      </c>
      <c r="C3" s="19" t="inlineStr">
        <is>
          <t>Material</t>
        </is>
      </c>
      <c r="D3" s="19" t="inlineStr">
        <is>
          <t>MAT-0001</t>
        </is>
      </c>
      <c r="E3" s="19" t="inlineStr">
        <is>
          <t>MV-0003</t>
        </is>
      </c>
      <c r="F3" s="19">
        <f>IF($C3="","",IF($C3="Work",IFERROR(IF(SUMIFS(WORK_TARIFF_RULES!$G:$G,WORK_TARIFF_RULES!$A:$A,$D3,WORK_TARIFF_RULES!$C:$C,$B3)&lt;&gt;"",SUMIFS(WORK_TARIFF_RULES!$G:$G,WORK_TARIFF_RULES!$A:$A,$D3,WORK_TARIFF_RULES!$C:$C,$B3),SUMIFS(WORK_MASTER!$C:$C,WORK_MASTER!$A:$A,$D3)),""),IF($C3="Material",IFERROR(IF(SUMIFS(MATERIAL_TARIFF_RULES!$G:$G,MATERIAL_TARIFF_RULES!$A:$A,$D3,MATERIAL_TARIFF_RULES!$C:$C,$B3)&lt;&gt;"",SUMIFS(MATERIAL_TARIFF_RULES!$G:$G,MATERIAL_TARIFF_RULES!$A:$A,$D3,MATERIAL_TARIFF_RULES!$C:$C,$B3),SUMIFS(MATERIAL_VARIANTS!$J:$J,MATERIAL_VARIANTS!$A:$A,$E3)),""),IF($C3="Logistics","Мобилизация и логистика объекта",""))))</f>
        <v/>
      </c>
      <c r="G3" s="19" t="n">
        <v>120</v>
      </c>
      <c r="H3" s="19" t="inlineStr">
        <is>
          <t>м2</t>
        </is>
      </c>
      <c r="I3" s="33">
        <f>IF($C3="","",IF($C3="Work",IFERROR(SUMIFS(WORK_MASTER!$I:$I,WORK_MASTER!$A:$A,$D3),0),IF($C3="Material",IFERROR(SUMIFS(MATERIAL_VARIANTS!$I:$I,MATERIAL_VARIANTS!$A:$A,$E3),0),0)))</f>
        <v/>
      </c>
      <c r="J3" s="33">
        <f>IF($C3="","",IF($C3="Work",IF($E3&lt;&gt;"",IFERROR(SUMIFS(WORK_VARIANTS!$H:$H,WORK_VARIANTS!$A:$A,$E3),1),1),1))</f>
        <v/>
      </c>
      <c r="K3" s="33">
        <f>IF($C3="","",IF($C3="Work",IFERROR(SUMIFS(WORK_FACTOR_APPLICABILITY!$O:$O,WORK_FACTOR_APPLICABILITY!$A:$A,$D3,WORK_FACTOR_APPLICABILITY!$N:$N,$A3),1),IF($C3="Material",IFERROR(INDEX(MATERIAL_QUANTITY_EXAMPLE!$N:$N,MATCH(1,(MATERIAL_QUANTITY_EXAMPLE!$A:$A=MATERIAL_QUANTITY_EXAMPLE!$A:$A)*(MATERIAL_QUANTITY_EXAMPLE!$B:$B=$A3)*(MATERIAL_QUANTITY_EXAMPLE!$C:$C=$D3),0)),1),1)))</f>
        <v/>
      </c>
      <c r="L3" s="33">
        <f>IF($A3="","",IF($C3="Material",1,IFERROR(INDEX(OBJECT_CONDITIONS!$AH:$AH,MATCH($A3,OBJECT_CONDITIONS!$A:$A,0))*INDEX(OBJECT_CONDITIONS!$AJ:$AJ,MATCH($A3,OBJECT_CONDITIONS!$A:$A,0))*INDEX(OBJECT_CONDITIONS!$AL:$AL,MATCH($A3,OBJECT_CONDITIONS!$A:$A,0)),1)))</f>
        <v/>
      </c>
      <c r="M3" s="33">
        <f>IF($B3="","",IF($C3="Work",IFERROR(IF(SUMIFS(WORK_TARIFF_RULES!$F:$F,WORK_TARIFF_RULES!$A:$A,$D3,WORK_TARIFF_RULES!$C:$C,$B3)&lt;&gt;"",SUMIFS(WORK_TARIFF_RULES!$F:$F,WORK_TARIFF_RULES!$A:$A,$D3,WORK_TARIFF_RULES!$C:$C,$B3),SUMIFS(TARIFF_PROFILES!$D:$D,TARIFF_PROFILES!$A:$A,$B3)),1),IF($C3="Material",IFERROR(IF(SUMIFS(MATERIAL_TARIFF_RULES!$E:$E,MATERIAL_TARIFF_RULES!$A:$A,$D3,MATERIAL_TARIFF_RULES!$C:$C,$B3)&lt;&gt;"",SUMIFS(MATERIAL_TARIFF_RULES!$E:$E,MATERIAL_TARIFF_RULES!$A:$A,$D3,MATERIAL_TARIFF_RULES!$C:$C,$B3),SUMIFS(TARIFF_PROFILES!$E:$E,TARIFF_PROFILES!$A:$A,$B3)),1),SUMIFS(TARIFF_PROFILES!$F:$F,TARIFF_PROFILES!$A:$A,$B3))))</f>
        <v/>
      </c>
      <c r="N3" s="33">
        <f>IF($C3="Material",IFERROR(SUMIFS(MATERIAL_MASTER!$P:$P,MATERIAL_MASTER!$A:$A,$D3)*IF(SUMIFS(MATERIAL_TARIFF_RULES!$F:$F,MATERIAL_TARIFF_RULES!$A:$A,$D3,MATERIAL_TARIFF_RULES!$C:$C,$B3)="",SUMIFS(TARIFF_PROFILES!$H:$H,TARIFF_PROFILES!$A:$A,$B3),SUMIFS(MATERIAL_TARIFF_RULES!$F:$F,MATERIAL_TARIFF_RULES!$A:$A,$D3,MATERIAL_TARIFF_RULES!$C:$C,$B3)),1),1)</f>
        <v/>
      </c>
      <c r="O3" s="19">
        <f>IF($C3="","",IF($C3="Material",ROUNDUP(N($G3)*N($N3),0),N($G3)))</f>
        <v/>
      </c>
      <c r="P3" s="19">
        <f>IF(ROW()=2,MAX(0,INDEX(COMMERCIAL_POLICY!$B:$B,MATCH($B3,COMMERCIAL_POLICY!$A:$A,0))-SUM($Q$2:$Q$60)),0)</f>
        <v/>
      </c>
      <c r="Q3" s="35">
        <f>IF($C3="","",IF($C3="Material",N($I3)*N($K3)*N($M3)*N($O3),IF($C3="Logistics",INDEX(COMMERCIAL_POLICY!$D:$D,MATCH($B3,COMMERCIAL_POLICY!$A:$A,0))*N($L3),N($I3)*N($J3)*N($K3)*N($L3)*N($M3)*N($G3))))</f>
        <v/>
      </c>
      <c r="R3" s="19">
        <f>IF($A3="","",INDEX(OBJECT_CONDITIONS!$AM:$AM,MATCH($A3,OBJECT_CONDITIONS!$A:$A,0)))</f>
        <v/>
      </c>
      <c r="S3" s="33">
        <f>IF($R3="","",INDEX(TAX_MODES!$B:$B,MATCH($R3,TAX_MODES!$A:$A,0)))</f>
        <v/>
      </c>
      <c r="T3" s="35">
        <f>IF($Q3="","",N($Q3)*(1+N($S3)))</f>
        <v/>
      </c>
      <c r="U3" s="19">
        <f>IF($C3="","",IF($C3="Material","Net x reserve x rounded purchase logic",IF($C3="Logistics","Mobilization from COMMERCIAL_POLICY x operating coeff","Base x method/variant x site x operating x tariff")) )</f>
        <v/>
      </c>
    </row>
    <row r="4">
      <c r="A4" s="19" t="inlineStr">
        <is>
          <t>OBJ-0001</t>
        </is>
      </c>
      <c r="B4" s="19" t="inlineStr">
        <is>
          <t>Премиум</t>
        </is>
      </c>
      <c r="C4" s="19" t="inlineStr">
        <is>
          <t>Logistics</t>
        </is>
      </c>
      <c r="D4" s="19" t="inlineStr">
        <is>
          <t>LOG-BASE</t>
        </is>
      </c>
      <c r="E4" s="19" t="n"/>
      <c r="F4" s="19">
        <f>IF($C4="","",IF($C4="Work",IFERROR(IF(SUMIFS(WORK_TARIFF_RULES!$G:$G,WORK_TARIFF_RULES!$A:$A,$D4,WORK_TARIFF_RULES!$C:$C,$B4)&lt;&gt;"",SUMIFS(WORK_TARIFF_RULES!$G:$G,WORK_TARIFF_RULES!$A:$A,$D4,WORK_TARIFF_RULES!$C:$C,$B4),SUMIFS(WORK_MASTER!$C:$C,WORK_MASTER!$A:$A,$D4)),""),IF($C4="Material",IFERROR(IF(SUMIFS(MATERIAL_TARIFF_RULES!$G:$G,MATERIAL_TARIFF_RULES!$A:$A,$D4,MATERIAL_TARIFF_RULES!$C:$C,$B4)&lt;&gt;"",SUMIFS(MATERIAL_TARIFF_RULES!$G:$G,MATERIAL_TARIFF_RULES!$A:$A,$D4,MATERIAL_TARIFF_RULES!$C:$C,$B4),SUMIFS(MATERIAL_VARIANTS!$J:$J,MATERIAL_VARIANTS!$A:$A,$E4)),""),IF($C4="Logistics","Мобилизация и логистика объекта",""))))</f>
        <v/>
      </c>
      <c r="G4" s="19" t="n">
        <v>1</v>
      </c>
      <c r="H4" s="19" t="inlineStr">
        <is>
          <t>компл</t>
        </is>
      </c>
      <c r="I4" s="33">
        <f>IF($C4="","",IF($C4="Work",IFERROR(SUMIFS(WORK_MASTER!$I:$I,WORK_MASTER!$A:$A,$D4),0),IF($C4="Material",IFERROR(SUMIFS(MATERIAL_VARIANTS!$I:$I,MATERIAL_VARIANTS!$A:$A,$E4),0),0)))</f>
        <v/>
      </c>
      <c r="J4" s="33">
        <f>IF($C4="","",IF($C4="Work",IF($E4&lt;&gt;"",IFERROR(SUMIFS(WORK_VARIANTS!$H:$H,WORK_VARIANTS!$A:$A,$E4),1),1),1))</f>
        <v/>
      </c>
      <c r="K4" s="33">
        <f>IF($C4="","",IF($C4="Work",IFERROR(SUMIFS(WORK_FACTOR_APPLICABILITY!$O:$O,WORK_FACTOR_APPLICABILITY!$A:$A,$D4,WORK_FACTOR_APPLICABILITY!$N:$N,$A4),1),IF($C4="Material",IFERROR(INDEX(MATERIAL_QUANTITY_EXAMPLE!$N:$N,MATCH(1,(MATERIAL_QUANTITY_EXAMPLE!$A:$A=MATERIAL_QUANTITY_EXAMPLE!$A:$A)*(MATERIAL_QUANTITY_EXAMPLE!$B:$B=$A4)*(MATERIAL_QUANTITY_EXAMPLE!$C:$C=$D4),0)),1),1)))</f>
        <v/>
      </c>
      <c r="L4" s="33">
        <f>IF($A4="","",IF($C4="Material",1,IFERROR(INDEX(OBJECT_CONDITIONS!$AH:$AH,MATCH($A4,OBJECT_CONDITIONS!$A:$A,0))*INDEX(OBJECT_CONDITIONS!$AJ:$AJ,MATCH($A4,OBJECT_CONDITIONS!$A:$A,0))*INDEX(OBJECT_CONDITIONS!$AL:$AL,MATCH($A4,OBJECT_CONDITIONS!$A:$A,0)),1)))</f>
        <v/>
      </c>
      <c r="M4" s="33">
        <f>IF($B4="","",IF($C4="Work",IFERROR(IF(SUMIFS(WORK_TARIFF_RULES!$F:$F,WORK_TARIFF_RULES!$A:$A,$D4,WORK_TARIFF_RULES!$C:$C,$B4)&lt;&gt;"",SUMIFS(WORK_TARIFF_RULES!$F:$F,WORK_TARIFF_RULES!$A:$A,$D4,WORK_TARIFF_RULES!$C:$C,$B4),SUMIFS(TARIFF_PROFILES!$D:$D,TARIFF_PROFILES!$A:$A,$B4)),1),IF($C4="Material",IFERROR(IF(SUMIFS(MATERIAL_TARIFF_RULES!$E:$E,MATERIAL_TARIFF_RULES!$A:$A,$D4,MATERIAL_TARIFF_RULES!$C:$C,$B4)&lt;&gt;"",SUMIFS(MATERIAL_TARIFF_RULES!$E:$E,MATERIAL_TARIFF_RULES!$A:$A,$D4,MATERIAL_TARIFF_RULES!$C:$C,$B4),SUMIFS(TARIFF_PROFILES!$E:$E,TARIFF_PROFILES!$A:$A,$B4)),1),SUMIFS(TARIFF_PROFILES!$F:$F,TARIFF_PROFILES!$A:$A,$B4))))</f>
        <v/>
      </c>
      <c r="N4" s="33">
        <f>IF($C4="Material",IFERROR(SUMIFS(MATERIAL_MASTER!$P:$P,MATERIAL_MASTER!$A:$A,$D4)*IF(SUMIFS(MATERIAL_TARIFF_RULES!$F:$F,MATERIAL_TARIFF_RULES!$A:$A,$D4,MATERIAL_TARIFF_RULES!$C:$C,$B4)="",SUMIFS(TARIFF_PROFILES!$H:$H,TARIFF_PROFILES!$A:$A,$B4),SUMIFS(MATERIAL_TARIFF_RULES!$F:$F,MATERIAL_TARIFF_RULES!$A:$A,$D4,MATERIAL_TARIFF_RULES!$C:$C,$B4)),1),1)</f>
        <v/>
      </c>
      <c r="O4" s="19">
        <f>IF($C4="","",IF($C4="Material",ROUNDUP(N($G4)*N($N4),0),N($G4)))</f>
        <v/>
      </c>
      <c r="P4" s="19">
        <f>IF(ROW()=2,MAX(0,INDEX(COMMERCIAL_POLICY!$B:$B,MATCH($B4,COMMERCIAL_POLICY!$A:$A,0))-SUM($Q$2:$Q$60)),0)</f>
        <v/>
      </c>
      <c r="Q4" s="35">
        <f>IF($C4="","",IF($C4="Material",N($I4)*N($K4)*N($M4)*N($O4),IF($C4="Logistics",INDEX(COMMERCIAL_POLICY!$D:$D,MATCH($B4,COMMERCIAL_POLICY!$A:$A,0))*N($L4),N($I4)*N($J4)*N($K4)*N($L4)*N($M4)*N($G4))))</f>
        <v/>
      </c>
      <c r="R4" s="19">
        <f>IF($A4="","",INDEX(OBJECT_CONDITIONS!$AM:$AM,MATCH($A4,OBJECT_CONDITIONS!$A:$A,0)))</f>
        <v/>
      </c>
      <c r="S4" s="33">
        <f>IF($R4="","",INDEX(TAX_MODES!$B:$B,MATCH($R4,TAX_MODES!$A:$A,0)))</f>
        <v/>
      </c>
      <c r="T4" s="35">
        <f>IF($Q4="","",N($Q4)*(1+N($S4)))</f>
        <v/>
      </c>
      <c r="U4" s="19">
        <f>IF($C4="","",IF($C4="Material","Net x reserve x rounded purchase logic",IF($C4="Logistics","Mobilization from COMMERCIAL_POLICY x operating coeff","Base x method/variant x site x operating x tariff")) )</f>
        <v/>
      </c>
    </row>
    <row r="5">
      <c r="A5" s="19" t="inlineStr">
        <is>
          <t>OBJ-0002</t>
        </is>
      </c>
      <c r="B5" s="19" t="inlineStr">
        <is>
          <t>Эконом</t>
        </is>
      </c>
      <c r="C5" s="19" t="inlineStr">
        <is>
          <t>Work</t>
        </is>
      </c>
      <c r="D5" s="19" t="inlineStr">
        <is>
          <t>WORK-0001</t>
        </is>
      </c>
      <c r="E5" s="19" t="inlineStr">
        <is>
          <t>WV-0001</t>
        </is>
      </c>
      <c r="F5" s="19">
        <f>IF($C5="","",IF($C5="Work",IFERROR(IF(SUMIFS(WORK_TARIFF_RULES!$G:$G,WORK_TARIFF_RULES!$A:$A,$D5,WORK_TARIFF_RULES!$C:$C,$B5)&lt;&gt;"",SUMIFS(WORK_TARIFF_RULES!$G:$G,WORK_TARIFF_RULES!$A:$A,$D5,WORK_TARIFF_RULES!$C:$C,$B5),SUMIFS(WORK_MASTER!$C:$C,WORK_MASTER!$A:$A,$D5)),""),IF($C5="Material",IFERROR(IF(SUMIFS(MATERIAL_TARIFF_RULES!$G:$G,MATERIAL_TARIFF_RULES!$A:$A,$D5,MATERIAL_TARIFF_RULES!$C:$C,$B5)&lt;&gt;"",SUMIFS(MATERIAL_TARIFF_RULES!$G:$G,MATERIAL_TARIFF_RULES!$A:$A,$D5,MATERIAL_TARIFF_RULES!$C:$C,$B5),SUMIFS(MATERIAL_VARIANTS!$J:$J,MATERIAL_VARIANTS!$A:$A,$E5)),""),IF($C5="Logistics","Мобилизация и логистика объекта",""))))</f>
        <v/>
      </c>
      <c r="G5" s="19" t="n">
        <v>200</v>
      </c>
      <c r="H5" s="19" t="inlineStr">
        <is>
          <t>м2</t>
        </is>
      </c>
      <c r="I5" s="33">
        <f>IF($C5="","",IF($C5="Work",IFERROR(SUMIFS(WORK_MASTER!$I:$I,WORK_MASTER!$A:$A,$D5),0),IF($C5="Material",IFERROR(SUMIFS(MATERIAL_VARIANTS!$I:$I,MATERIAL_VARIANTS!$A:$A,$E5),0),0)))</f>
        <v/>
      </c>
      <c r="J5" s="33">
        <f>IF($C5="","",IF($C5="Work",IF($E5&lt;&gt;"",IFERROR(SUMIFS(WORK_VARIANTS!$H:$H,WORK_VARIANTS!$A:$A,$E5),1),1),1))</f>
        <v/>
      </c>
      <c r="K5" s="33">
        <f>IF($C5="","",IF($C5="Work",IFERROR(SUMIFS(WORK_FACTOR_APPLICABILITY!$O:$O,WORK_FACTOR_APPLICABILITY!$A:$A,$D5,WORK_FACTOR_APPLICABILITY!$N:$N,$A5),1),IF($C5="Material",IFERROR(INDEX(MATERIAL_QUANTITY_EXAMPLE!$N:$N,MATCH(1,(MATERIAL_QUANTITY_EXAMPLE!$A:$A=MATERIAL_QUANTITY_EXAMPLE!$A:$A)*(MATERIAL_QUANTITY_EXAMPLE!$B:$B=$A5)*(MATERIAL_QUANTITY_EXAMPLE!$C:$C=$D5),0)),1),1)))</f>
        <v/>
      </c>
      <c r="L5" s="33">
        <f>IF($A5="","",IF($C5="Material",1,IFERROR(INDEX(OBJECT_CONDITIONS!$AH:$AH,MATCH($A5,OBJECT_CONDITIONS!$A:$A,0))*INDEX(OBJECT_CONDITIONS!$AJ:$AJ,MATCH($A5,OBJECT_CONDITIONS!$A:$A,0))*INDEX(OBJECT_CONDITIONS!$AL:$AL,MATCH($A5,OBJECT_CONDITIONS!$A:$A,0)),1)))</f>
        <v/>
      </c>
      <c r="M5" s="33">
        <f>IF($B5="","",IF($C5="Work",IFERROR(IF(SUMIFS(WORK_TARIFF_RULES!$F:$F,WORK_TARIFF_RULES!$A:$A,$D5,WORK_TARIFF_RULES!$C:$C,$B5)&lt;&gt;"",SUMIFS(WORK_TARIFF_RULES!$F:$F,WORK_TARIFF_RULES!$A:$A,$D5,WORK_TARIFF_RULES!$C:$C,$B5),SUMIFS(TARIFF_PROFILES!$D:$D,TARIFF_PROFILES!$A:$A,$B5)),1),IF($C5="Material",IFERROR(IF(SUMIFS(MATERIAL_TARIFF_RULES!$E:$E,MATERIAL_TARIFF_RULES!$A:$A,$D5,MATERIAL_TARIFF_RULES!$C:$C,$B5)&lt;&gt;"",SUMIFS(MATERIAL_TARIFF_RULES!$E:$E,MATERIAL_TARIFF_RULES!$A:$A,$D5,MATERIAL_TARIFF_RULES!$C:$C,$B5),SUMIFS(TARIFF_PROFILES!$E:$E,TARIFF_PROFILES!$A:$A,$B5)),1),SUMIFS(TARIFF_PROFILES!$F:$F,TARIFF_PROFILES!$A:$A,$B5))))</f>
        <v/>
      </c>
      <c r="N5" s="33">
        <f>IF($C5="Material",IFERROR(SUMIFS(MATERIAL_MASTER!$P:$P,MATERIAL_MASTER!$A:$A,$D5)*IF(SUMIFS(MATERIAL_TARIFF_RULES!$F:$F,MATERIAL_TARIFF_RULES!$A:$A,$D5,MATERIAL_TARIFF_RULES!$C:$C,$B5)="",SUMIFS(TARIFF_PROFILES!$H:$H,TARIFF_PROFILES!$A:$A,$B5),SUMIFS(MATERIAL_TARIFF_RULES!$F:$F,MATERIAL_TARIFF_RULES!$A:$A,$D5,MATERIAL_TARIFF_RULES!$C:$C,$B5)),1),1)</f>
        <v/>
      </c>
      <c r="O5" s="19">
        <f>IF($C5="","",IF($C5="Material",ROUNDUP(N($G5)*N($N5),0),N($G5)))</f>
        <v/>
      </c>
      <c r="P5" s="19">
        <f>IF(ROW()=2,MAX(0,INDEX(COMMERCIAL_POLICY!$B:$B,MATCH($B5,COMMERCIAL_POLICY!$A:$A,0))-SUM($Q$2:$Q$60)),0)</f>
        <v/>
      </c>
      <c r="Q5" s="35">
        <f>IF($C5="","",IF($C5="Material",N($I5)*N($K5)*N($M5)*N($O5),IF($C5="Logistics",INDEX(COMMERCIAL_POLICY!$D:$D,MATCH($B5,COMMERCIAL_POLICY!$A:$A,0))*N($L5),N($I5)*N($J5)*N($K5)*N($L5)*N($M5)*N($G5))))</f>
        <v/>
      </c>
      <c r="R5" s="19">
        <f>IF($A5="","",INDEX(OBJECT_CONDITIONS!$AM:$AM,MATCH($A5,OBJECT_CONDITIONS!$A:$A,0)))</f>
        <v/>
      </c>
      <c r="S5" s="33">
        <f>IF($R5="","",INDEX(TAX_MODES!$B:$B,MATCH($R5,TAX_MODES!$A:$A,0)))</f>
        <v/>
      </c>
      <c r="T5" s="35">
        <f>IF($Q5="","",N($Q5)*(1+N($S5)))</f>
        <v/>
      </c>
      <c r="U5" s="19">
        <f>IF($C5="","",IF($C5="Material","Net x reserve x rounded purchase logic",IF($C5="Logistics","Mobilization from COMMERCIAL_POLICY x operating coeff","Base x method/variant x site x operating x tariff")) )</f>
        <v/>
      </c>
    </row>
    <row r="6">
      <c r="A6" s="19" t="n"/>
      <c r="B6" s="19" t="n"/>
      <c r="C6" s="19" t="n"/>
      <c r="D6" s="19" t="n"/>
      <c r="E6" s="19" t="n"/>
      <c r="F6" s="19">
        <f>IF($C6="","",IF($C6="Work",IFERROR(IF(SUMIFS(WORK_TARIFF_RULES!$G:$G,WORK_TARIFF_RULES!$A:$A,$D6,WORK_TARIFF_RULES!$C:$C,$B6)&lt;&gt;"",SUMIFS(WORK_TARIFF_RULES!$G:$G,WORK_TARIFF_RULES!$A:$A,$D6,WORK_TARIFF_RULES!$C:$C,$B6),SUMIFS(WORK_MASTER!$C:$C,WORK_MASTER!$A:$A,$D6)),""),IF($C6="Material",IFERROR(IF(SUMIFS(MATERIAL_TARIFF_RULES!$G:$G,MATERIAL_TARIFF_RULES!$A:$A,$D6,MATERIAL_TARIFF_RULES!$C:$C,$B6)&lt;&gt;"",SUMIFS(MATERIAL_TARIFF_RULES!$G:$G,MATERIAL_TARIFF_RULES!$A:$A,$D6,MATERIAL_TARIFF_RULES!$C:$C,$B6),SUMIFS(MATERIAL_VARIANTS!$J:$J,MATERIAL_VARIANTS!$A:$A,$E6)),""),IF($C6="Logistics","Мобилизация и логистика объекта",""))))</f>
        <v/>
      </c>
      <c r="G6" s="19" t="n"/>
      <c r="H6" s="19" t="n"/>
      <c r="I6" s="33">
        <f>IF($C6="","",IF($C6="Work",IFERROR(SUMIFS(WORK_MASTER!$I:$I,WORK_MASTER!$A:$A,$D6),0),IF($C6="Material",IFERROR(SUMIFS(MATERIAL_VARIANTS!$I:$I,MATERIAL_VARIANTS!$A:$A,$E6),0),0)))</f>
        <v/>
      </c>
      <c r="J6" s="33">
        <f>IF($C6="","",IF($C6="Work",IF($E6&lt;&gt;"",IFERROR(SUMIFS(WORK_VARIANTS!$H:$H,WORK_VARIANTS!$A:$A,$E6),1),1),1))</f>
        <v/>
      </c>
      <c r="K6" s="33">
        <f>IF($C6="","",IF($C6="Work",IFERROR(SUMIFS(WORK_FACTOR_APPLICABILITY!$O:$O,WORK_FACTOR_APPLICABILITY!$A:$A,$D6,WORK_FACTOR_APPLICABILITY!$N:$N,$A6),1),IF($C6="Material",IFERROR(INDEX(MATERIAL_QUANTITY_EXAMPLE!$N:$N,MATCH(1,(MATERIAL_QUANTITY_EXAMPLE!$A:$A=MATERIAL_QUANTITY_EXAMPLE!$A:$A)*(MATERIAL_QUANTITY_EXAMPLE!$B:$B=$A6)*(MATERIAL_QUANTITY_EXAMPLE!$C:$C=$D6),0)),1),1)))</f>
        <v/>
      </c>
      <c r="L6" s="33">
        <f>IF($A6="","",IF($C6="Material",1,IFERROR(INDEX(OBJECT_CONDITIONS!$AH:$AH,MATCH($A6,OBJECT_CONDITIONS!$A:$A,0))*INDEX(OBJECT_CONDITIONS!$AJ:$AJ,MATCH($A6,OBJECT_CONDITIONS!$A:$A,0))*INDEX(OBJECT_CONDITIONS!$AL:$AL,MATCH($A6,OBJECT_CONDITIONS!$A:$A,0)),1)))</f>
        <v/>
      </c>
      <c r="M6" s="33">
        <f>IF($B6="","",IF($C6="Work",IFERROR(IF(SUMIFS(WORK_TARIFF_RULES!$F:$F,WORK_TARIFF_RULES!$A:$A,$D6,WORK_TARIFF_RULES!$C:$C,$B6)&lt;&gt;"",SUMIFS(WORK_TARIFF_RULES!$F:$F,WORK_TARIFF_RULES!$A:$A,$D6,WORK_TARIFF_RULES!$C:$C,$B6),SUMIFS(TARIFF_PROFILES!$D:$D,TARIFF_PROFILES!$A:$A,$B6)),1),IF($C6="Material",IFERROR(IF(SUMIFS(MATERIAL_TARIFF_RULES!$E:$E,MATERIAL_TARIFF_RULES!$A:$A,$D6,MATERIAL_TARIFF_RULES!$C:$C,$B6)&lt;&gt;"",SUMIFS(MATERIAL_TARIFF_RULES!$E:$E,MATERIAL_TARIFF_RULES!$A:$A,$D6,MATERIAL_TARIFF_RULES!$C:$C,$B6),SUMIFS(TARIFF_PROFILES!$E:$E,TARIFF_PROFILES!$A:$A,$B6)),1),SUMIFS(TARIFF_PROFILES!$F:$F,TARIFF_PROFILES!$A:$A,$B6))))</f>
        <v/>
      </c>
      <c r="N6" s="33">
        <f>IF($C6="Material",IFERROR(SUMIFS(MATERIAL_MASTER!$P:$P,MATERIAL_MASTER!$A:$A,$D6)*IF(SUMIFS(MATERIAL_TARIFF_RULES!$F:$F,MATERIAL_TARIFF_RULES!$A:$A,$D6,MATERIAL_TARIFF_RULES!$C:$C,$B6)="",SUMIFS(TARIFF_PROFILES!$H:$H,TARIFF_PROFILES!$A:$A,$B6),SUMIFS(MATERIAL_TARIFF_RULES!$F:$F,MATERIAL_TARIFF_RULES!$A:$A,$D6,MATERIAL_TARIFF_RULES!$C:$C,$B6)),1),1)</f>
        <v/>
      </c>
      <c r="O6" s="19">
        <f>IF($C6="","",IF($C6="Material",ROUNDUP(N($G6)*N($N6),0),N($G6)))</f>
        <v/>
      </c>
      <c r="P6" s="19">
        <f>IF(ROW()=2,MAX(0,INDEX(COMMERCIAL_POLICY!$B:$B,MATCH($B6,COMMERCIAL_POLICY!$A:$A,0))-SUM($Q$2:$Q$60)),0)</f>
        <v/>
      </c>
      <c r="Q6" s="35">
        <f>IF($C6="","",IF($C6="Material",N($I6)*N($K6)*N($M6)*N($O6),IF($C6="Logistics",INDEX(COMMERCIAL_POLICY!$D:$D,MATCH($B6,COMMERCIAL_POLICY!$A:$A,0))*N($L6),N($I6)*N($J6)*N($K6)*N($L6)*N($M6)*N($G6))))</f>
        <v/>
      </c>
      <c r="R6" s="19">
        <f>IF($A6="","",INDEX(OBJECT_CONDITIONS!$AM:$AM,MATCH($A6,OBJECT_CONDITIONS!$A:$A,0)))</f>
        <v/>
      </c>
      <c r="S6" s="33">
        <f>IF($R6="","",INDEX(TAX_MODES!$B:$B,MATCH($R6,TAX_MODES!$A:$A,0)))</f>
        <v/>
      </c>
      <c r="T6" s="35">
        <f>IF($Q6="","",N($Q6)*(1+N($S6)))</f>
        <v/>
      </c>
      <c r="U6" s="19">
        <f>IF($C6="","",IF($C6="Material","Net x reserve x rounded purchase logic",IF($C6="Logistics","Mobilization from COMMERCIAL_POLICY x operating coeff","Base x method/variant x site x operating x tariff")) )</f>
        <v/>
      </c>
    </row>
    <row r="7">
      <c r="A7" s="19" t="n"/>
      <c r="B7" s="19" t="n"/>
      <c r="C7" s="19" t="n"/>
      <c r="D7" s="19" t="n"/>
      <c r="E7" s="19" t="n"/>
      <c r="F7" s="19">
        <f>IF($C7="","",IF($C7="Work",IFERROR(IF(SUMIFS(WORK_TARIFF_RULES!$G:$G,WORK_TARIFF_RULES!$A:$A,$D7,WORK_TARIFF_RULES!$C:$C,$B7)&lt;&gt;"",SUMIFS(WORK_TARIFF_RULES!$G:$G,WORK_TARIFF_RULES!$A:$A,$D7,WORK_TARIFF_RULES!$C:$C,$B7),SUMIFS(WORK_MASTER!$C:$C,WORK_MASTER!$A:$A,$D7)),""),IF($C7="Material",IFERROR(IF(SUMIFS(MATERIAL_TARIFF_RULES!$G:$G,MATERIAL_TARIFF_RULES!$A:$A,$D7,MATERIAL_TARIFF_RULES!$C:$C,$B7)&lt;&gt;"",SUMIFS(MATERIAL_TARIFF_RULES!$G:$G,MATERIAL_TARIFF_RULES!$A:$A,$D7,MATERIAL_TARIFF_RULES!$C:$C,$B7),SUMIFS(MATERIAL_VARIANTS!$J:$J,MATERIAL_VARIANTS!$A:$A,$E7)),""),IF($C7="Logistics","Мобилизация и логистика объекта",""))))</f>
        <v/>
      </c>
      <c r="G7" s="19" t="n"/>
      <c r="H7" s="19" t="n"/>
      <c r="I7" s="33">
        <f>IF($C7="","",IF($C7="Work",IFERROR(SUMIFS(WORK_MASTER!$I:$I,WORK_MASTER!$A:$A,$D7),0),IF($C7="Material",IFERROR(SUMIFS(MATERIAL_VARIANTS!$I:$I,MATERIAL_VARIANTS!$A:$A,$E7),0),0)))</f>
        <v/>
      </c>
      <c r="J7" s="33">
        <f>IF($C7="","",IF($C7="Work",IF($E7&lt;&gt;"",IFERROR(SUMIFS(WORK_VARIANTS!$H:$H,WORK_VARIANTS!$A:$A,$E7),1),1),1))</f>
        <v/>
      </c>
      <c r="K7" s="33">
        <f>IF($C7="","",IF($C7="Work",IFERROR(SUMIFS(WORK_FACTOR_APPLICABILITY!$O:$O,WORK_FACTOR_APPLICABILITY!$A:$A,$D7,WORK_FACTOR_APPLICABILITY!$N:$N,$A7),1),IF($C7="Material",IFERROR(INDEX(MATERIAL_QUANTITY_EXAMPLE!$N:$N,MATCH(1,(MATERIAL_QUANTITY_EXAMPLE!$A:$A=MATERIAL_QUANTITY_EXAMPLE!$A:$A)*(MATERIAL_QUANTITY_EXAMPLE!$B:$B=$A7)*(MATERIAL_QUANTITY_EXAMPLE!$C:$C=$D7),0)),1),1)))</f>
        <v/>
      </c>
      <c r="L7" s="33">
        <f>IF($A7="","",IF($C7="Material",1,IFERROR(INDEX(OBJECT_CONDITIONS!$AH:$AH,MATCH($A7,OBJECT_CONDITIONS!$A:$A,0))*INDEX(OBJECT_CONDITIONS!$AJ:$AJ,MATCH($A7,OBJECT_CONDITIONS!$A:$A,0))*INDEX(OBJECT_CONDITIONS!$AL:$AL,MATCH($A7,OBJECT_CONDITIONS!$A:$A,0)),1)))</f>
        <v/>
      </c>
      <c r="M7" s="33">
        <f>IF($B7="","",IF($C7="Work",IFERROR(IF(SUMIFS(WORK_TARIFF_RULES!$F:$F,WORK_TARIFF_RULES!$A:$A,$D7,WORK_TARIFF_RULES!$C:$C,$B7)&lt;&gt;"",SUMIFS(WORK_TARIFF_RULES!$F:$F,WORK_TARIFF_RULES!$A:$A,$D7,WORK_TARIFF_RULES!$C:$C,$B7),SUMIFS(TARIFF_PROFILES!$D:$D,TARIFF_PROFILES!$A:$A,$B7)),1),IF($C7="Material",IFERROR(IF(SUMIFS(MATERIAL_TARIFF_RULES!$E:$E,MATERIAL_TARIFF_RULES!$A:$A,$D7,MATERIAL_TARIFF_RULES!$C:$C,$B7)&lt;&gt;"",SUMIFS(MATERIAL_TARIFF_RULES!$E:$E,MATERIAL_TARIFF_RULES!$A:$A,$D7,MATERIAL_TARIFF_RULES!$C:$C,$B7),SUMIFS(TARIFF_PROFILES!$E:$E,TARIFF_PROFILES!$A:$A,$B7)),1),SUMIFS(TARIFF_PROFILES!$F:$F,TARIFF_PROFILES!$A:$A,$B7))))</f>
        <v/>
      </c>
      <c r="N7" s="33">
        <f>IF($C7="Material",IFERROR(SUMIFS(MATERIAL_MASTER!$P:$P,MATERIAL_MASTER!$A:$A,$D7)*IF(SUMIFS(MATERIAL_TARIFF_RULES!$F:$F,MATERIAL_TARIFF_RULES!$A:$A,$D7,MATERIAL_TARIFF_RULES!$C:$C,$B7)="",SUMIFS(TARIFF_PROFILES!$H:$H,TARIFF_PROFILES!$A:$A,$B7),SUMIFS(MATERIAL_TARIFF_RULES!$F:$F,MATERIAL_TARIFF_RULES!$A:$A,$D7,MATERIAL_TARIFF_RULES!$C:$C,$B7)),1),1)</f>
        <v/>
      </c>
      <c r="O7" s="19">
        <f>IF($C7="","",IF($C7="Material",ROUNDUP(N($G7)*N($N7),0),N($G7)))</f>
        <v/>
      </c>
      <c r="P7" s="19">
        <f>IF(ROW()=2,MAX(0,INDEX(COMMERCIAL_POLICY!$B:$B,MATCH($B7,COMMERCIAL_POLICY!$A:$A,0))-SUM($Q$2:$Q$60)),0)</f>
        <v/>
      </c>
      <c r="Q7" s="35">
        <f>IF($C7="","",IF($C7="Material",N($I7)*N($K7)*N($M7)*N($O7),IF($C7="Logistics",INDEX(COMMERCIAL_POLICY!$D:$D,MATCH($B7,COMMERCIAL_POLICY!$A:$A,0))*N($L7),N($I7)*N($J7)*N($K7)*N($L7)*N($M7)*N($G7))))</f>
        <v/>
      </c>
      <c r="R7" s="19">
        <f>IF($A7="","",INDEX(OBJECT_CONDITIONS!$AM:$AM,MATCH($A7,OBJECT_CONDITIONS!$A:$A,0)))</f>
        <v/>
      </c>
      <c r="S7" s="33">
        <f>IF($R7="","",INDEX(TAX_MODES!$B:$B,MATCH($R7,TAX_MODES!$A:$A,0)))</f>
        <v/>
      </c>
      <c r="T7" s="35">
        <f>IF($Q7="","",N($Q7)*(1+N($S7)))</f>
        <v/>
      </c>
      <c r="U7" s="19">
        <f>IF($C7="","",IF($C7="Material","Net x reserve x rounded purchase logic",IF($C7="Logistics","Mobilization from COMMERCIAL_POLICY x operating coeff","Base x method/variant x site x operating x tariff")) )</f>
        <v/>
      </c>
    </row>
    <row r="8">
      <c r="A8" s="19" t="n"/>
      <c r="B8" s="19" t="n"/>
      <c r="C8" s="19" t="n"/>
      <c r="D8" s="19" t="n"/>
      <c r="E8" s="19" t="n"/>
      <c r="F8" s="19">
        <f>IF($C8="","",IF($C8="Work",IFERROR(IF(SUMIFS(WORK_TARIFF_RULES!$G:$G,WORK_TARIFF_RULES!$A:$A,$D8,WORK_TARIFF_RULES!$C:$C,$B8)&lt;&gt;"",SUMIFS(WORK_TARIFF_RULES!$G:$G,WORK_TARIFF_RULES!$A:$A,$D8,WORK_TARIFF_RULES!$C:$C,$B8),SUMIFS(WORK_MASTER!$C:$C,WORK_MASTER!$A:$A,$D8)),""),IF($C8="Material",IFERROR(IF(SUMIFS(MATERIAL_TARIFF_RULES!$G:$G,MATERIAL_TARIFF_RULES!$A:$A,$D8,MATERIAL_TARIFF_RULES!$C:$C,$B8)&lt;&gt;"",SUMIFS(MATERIAL_TARIFF_RULES!$G:$G,MATERIAL_TARIFF_RULES!$A:$A,$D8,MATERIAL_TARIFF_RULES!$C:$C,$B8),SUMIFS(MATERIAL_VARIANTS!$J:$J,MATERIAL_VARIANTS!$A:$A,$E8)),""),IF($C8="Logistics","Мобилизация и логистика объекта",""))))</f>
        <v/>
      </c>
      <c r="G8" s="19" t="n"/>
      <c r="H8" s="19" t="n"/>
      <c r="I8" s="33">
        <f>IF($C8="","",IF($C8="Work",IFERROR(SUMIFS(WORK_MASTER!$I:$I,WORK_MASTER!$A:$A,$D8),0),IF($C8="Material",IFERROR(SUMIFS(MATERIAL_VARIANTS!$I:$I,MATERIAL_VARIANTS!$A:$A,$E8),0),0)))</f>
        <v/>
      </c>
      <c r="J8" s="33">
        <f>IF($C8="","",IF($C8="Work",IF($E8&lt;&gt;"",IFERROR(SUMIFS(WORK_VARIANTS!$H:$H,WORK_VARIANTS!$A:$A,$E8),1),1),1))</f>
        <v/>
      </c>
      <c r="K8" s="33">
        <f>IF($C8="","",IF($C8="Work",IFERROR(SUMIFS(WORK_FACTOR_APPLICABILITY!$O:$O,WORK_FACTOR_APPLICABILITY!$A:$A,$D8,WORK_FACTOR_APPLICABILITY!$N:$N,$A8),1),IF($C8="Material",IFERROR(INDEX(MATERIAL_QUANTITY_EXAMPLE!$N:$N,MATCH(1,(MATERIAL_QUANTITY_EXAMPLE!$A:$A=MATERIAL_QUANTITY_EXAMPLE!$A:$A)*(MATERIAL_QUANTITY_EXAMPLE!$B:$B=$A8)*(MATERIAL_QUANTITY_EXAMPLE!$C:$C=$D8),0)),1),1)))</f>
        <v/>
      </c>
      <c r="L8" s="33">
        <f>IF($A8="","",IF($C8="Material",1,IFERROR(INDEX(OBJECT_CONDITIONS!$AH:$AH,MATCH($A8,OBJECT_CONDITIONS!$A:$A,0))*INDEX(OBJECT_CONDITIONS!$AJ:$AJ,MATCH($A8,OBJECT_CONDITIONS!$A:$A,0))*INDEX(OBJECT_CONDITIONS!$AL:$AL,MATCH($A8,OBJECT_CONDITIONS!$A:$A,0)),1)))</f>
        <v/>
      </c>
      <c r="M8" s="33">
        <f>IF($B8="","",IF($C8="Work",IFERROR(IF(SUMIFS(WORK_TARIFF_RULES!$F:$F,WORK_TARIFF_RULES!$A:$A,$D8,WORK_TARIFF_RULES!$C:$C,$B8)&lt;&gt;"",SUMIFS(WORK_TARIFF_RULES!$F:$F,WORK_TARIFF_RULES!$A:$A,$D8,WORK_TARIFF_RULES!$C:$C,$B8),SUMIFS(TARIFF_PROFILES!$D:$D,TARIFF_PROFILES!$A:$A,$B8)),1),IF($C8="Material",IFERROR(IF(SUMIFS(MATERIAL_TARIFF_RULES!$E:$E,MATERIAL_TARIFF_RULES!$A:$A,$D8,MATERIAL_TARIFF_RULES!$C:$C,$B8)&lt;&gt;"",SUMIFS(MATERIAL_TARIFF_RULES!$E:$E,MATERIAL_TARIFF_RULES!$A:$A,$D8,MATERIAL_TARIFF_RULES!$C:$C,$B8),SUMIFS(TARIFF_PROFILES!$E:$E,TARIFF_PROFILES!$A:$A,$B8)),1),SUMIFS(TARIFF_PROFILES!$F:$F,TARIFF_PROFILES!$A:$A,$B8))))</f>
        <v/>
      </c>
      <c r="N8" s="33">
        <f>IF($C8="Material",IFERROR(SUMIFS(MATERIAL_MASTER!$P:$P,MATERIAL_MASTER!$A:$A,$D8)*IF(SUMIFS(MATERIAL_TARIFF_RULES!$F:$F,MATERIAL_TARIFF_RULES!$A:$A,$D8,MATERIAL_TARIFF_RULES!$C:$C,$B8)="",SUMIFS(TARIFF_PROFILES!$H:$H,TARIFF_PROFILES!$A:$A,$B8),SUMIFS(MATERIAL_TARIFF_RULES!$F:$F,MATERIAL_TARIFF_RULES!$A:$A,$D8,MATERIAL_TARIFF_RULES!$C:$C,$B8)),1),1)</f>
        <v/>
      </c>
      <c r="O8" s="19">
        <f>IF($C8="","",IF($C8="Material",ROUNDUP(N($G8)*N($N8),0),N($G8)))</f>
        <v/>
      </c>
      <c r="P8" s="19">
        <f>IF(ROW()=2,MAX(0,INDEX(COMMERCIAL_POLICY!$B:$B,MATCH($B8,COMMERCIAL_POLICY!$A:$A,0))-SUM($Q$2:$Q$60)),0)</f>
        <v/>
      </c>
      <c r="Q8" s="35">
        <f>IF($C8="","",IF($C8="Material",N($I8)*N($K8)*N($M8)*N($O8),IF($C8="Logistics",INDEX(COMMERCIAL_POLICY!$D:$D,MATCH($B8,COMMERCIAL_POLICY!$A:$A,0))*N($L8),N($I8)*N($J8)*N($K8)*N($L8)*N($M8)*N($G8))))</f>
        <v/>
      </c>
      <c r="R8" s="19">
        <f>IF($A8="","",INDEX(OBJECT_CONDITIONS!$AM:$AM,MATCH($A8,OBJECT_CONDITIONS!$A:$A,0)))</f>
        <v/>
      </c>
      <c r="S8" s="33">
        <f>IF($R8="","",INDEX(TAX_MODES!$B:$B,MATCH($R8,TAX_MODES!$A:$A,0)))</f>
        <v/>
      </c>
      <c r="T8" s="35">
        <f>IF($Q8="","",N($Q8)*(1+N($S8)))</f>
        <v/>
      </c>
      <c r="U8" s="19">
        <f>IF($C8="","",IF($C8="Material","Net x reserve x rounded purchase logic",IF($C8="Logistics","Mobilization from COMMERCIAL_POLICY x operating coeff","Base x method/variant x site x operating x tariff")) )</f>
        <v/>
      </c>
    </row>
    <row r="9">
      <c r="A9" s="19" t="n"/>
      <c r="B9" s="19" t="n"/>
      <c r="C9" s="19" t="n"/>
      <c r="D9" s="19" t="n"/>
      <c r="E9" s="19" t="n"/>
      <c r="F9" s="19">
        <f>IF($C9="","",IF($C9="Work",IFERROR(IF(SUMIFS(WORK_TARIFF_RULES!$G:$G,WORK_TARIFF_RULES!$A:$A,$D9,WORK_TARIFF_RULES!$C:$C,$B9)&lt;&gt;"",SUMIFS(WORK_TARIFF_RULES!$G:$G,WORK_TARIFF_RULES!$A:$A,$D9,WORK_TARIFF_RULES!$C:$C,$B9),SUMIFS(WORK_MASTER!$C:$C,WORK_MASTER!$A:$A,$D9)),""),IF($C9="Material",IFERROR(IF(SUMIFS(MATERIAL_TARIFF_RULES!$G:$G,MATERIAL_TARIFF_RULES!$A:$A,$D9,MATERIAL_TARIFF_RULES!$C:$C,$B9)&lt;&gt;"",SUMIFS(MATERIAL_TARIFF_RULES!$G:$G,MATERIAL_TARIFF_RULES!$A:$A,$D9,MATERIAL_TARIFF_RULES!$C:$C,$B9),SUMIFS(MATERIAL_VARIANTS!$J:$J,MATERIAL_VARIANTS!$A:$A,$E9)),""),IF($C9="Logistics","Мобилизация и логистика объекта",""))))</f>
        <v/>
      </c>
      <c r="G9" s="19" t="n"/>
      <c r="H9" s="19" t="n"/>
      <c r="I9" s="33">
        <f>IF($C9="","",IF($C9="Work",IFERROR(SUMIFS(WORK_MASTER!$I:$I,WORK_MASTER!$A:$A,$D9),0),IF($C9="Material",IFERROR(SUMIFS(MATERIAL_VARIANTS!$I:$I,MATERIAL_VARIANTS!$A:$A,$E9),0),0)))</f>
        <v/>
      </c>
      <c r="J9" s="33">
        <f>IF($C9="","",IF($C9="Work",IF($E9&lt;&gt;"",IFERROR(SUMIFS(WORK_VARIANTS!$H:$H,WORK_VARIANTS!$A:$A,$E9),1),1),1))</f>
        <v/>
      </c>
      <c r="K9" s="33">
        <f>IF($C9="","",IF($C9="Work",IFERROR(SUMIFS(WORK_FACTOR_APPLICABILITY!$O:$O,WORK_FACTOR_APPLICABILITY!$A:$A,$D9,WORK_FACTOR_APPLICABILITY!$N:$N,$A9),1),IF($C9="Material",IFERROR(INDEX(MATERIAL_QUANTITY_EXAMPLE!$N:$N,MATCH(1,(MATERIAL_QUANTITY_EXAMPLE!$A:$A=MATERIAL_QUANTITY_EXAMPLE!$A:$A)*(MATERIAL_QUANTITY_EXAMPLE!$B:$B=$A9)*(MATERIAL_QUANTITY_EXAMPLE!$C:$C=$D9),0)),1),1)))</f>
        <v/>
      </c>
      <c r="L9" s="33">
        <f>IF($A9="","",IF($C9="Material",1,IFERROR(INDEX(OBJECT_CONDITIONS!$AH:$AH,MATCH($A9,OBJECT_CONDITIONS!$A:$A,0))*INDEX(OBJECT_CONDITIONS!$AJ:$AJ,MATCH($A9,OBJECT_CONDITIONS!$A:$A,0))*INDEX(OBJECT_CONDITIONS!$AL:$AL,MATCH($A9,OBJECT_CONDITIONS!$A:$A,0)),1)))</f>
        <v/>
      </c>
      <c r="M9" s="33">
        <f>IF($B9="","",IF($C9="Work",IFERROR(IF(SUMIFS(WORK_TARIFF_RULES!$F:$F,WORK_TARIFF_RULES!$A:$A,$D9,WORK_TARIFF_RULES!$C:$C,$B9)&lt;&gt;"",SUMIFS(WORK_TARIFF_RULES!$F:$F,WORK_TARIFF_RULES!$A:$A,$D9,WORK_TARIFF_RULES!$C:$C,$B9),SUMIFS(TARIFF_PROFILES!$D:$D,TARIFF_PROFILES!$A:$A,$B9)),1),IF($C9="Material",IFERROR(IF(SUMIFS(MATERIAL_TARIFF_RULES!$E:$E,MATERIAL_TARIFF_RULES!$A:$A,$D9,MATERIAL_TARIFF_RULES!$C:$C,$B9)&lt;&gt;"",SUMIFS(MATERIAL_TARIFF_RULES!$E:$E,MATERIAL_TARIFF_RULES!$A:$A,$D9,MATERIAL_TARIFF_RULES!$C:$C,$B9),SUMIFS(TARIFF_PROFILES!$E:$E,TARIFF_PROFILES!$A:$A,$B9)),1),SUMIFS(TARIFF_PROFILES!$F:$F,TARIFF_PROFILES!$A:$A,$B9))))</f>
        <v/>
      </c>
      <c r="N9" s="33">
        <f>IF($C9="Material",IFERROR(SUMIFS(MATERIAL_MASTER!$P:$P,MATERIAL_MASTER!$A:$A,$D9)*IF(SUMIFS(MATERIAL_TARIFF_RULES!$F:$F,MATERIAL_TARIFF_RULES!$A:$A,$D9,MATERIAL_TARIFF_RULES!$C:$C,$B9)="",SUMIFS(TARIFF_PROFILES!$H:$H,TARIFF_PROFILES!$A:$A,$B9),SUMIFS(MATERIAL_TARIFF_RULES!$F:$F,MATERIAL_TARIFF_RULES!$A:$A,$D9,MATERIAL_TARIFF_RULES!$C:$C,$B9)),1),1)</f>
        <v/>
      </c>
      <c r="O9" s="19">
        <f>IF($C9="","",IF($C9="Material",ROUNDUP(N($G9)*N($N9),0),N($G9)))</f>
        <v/>
      </c>
      <c r="P9" s="19">
        <f>IF(ROW()=2,MAX(0,INDEX(COMMERCIAL_POLICY!$B:$B,MATCH($B9,COMMERCIAL_POLICY!$A:$A,0))-SUM($Q$2:$Q$60)),0)</f>
        <v/>
      </c>
      <c r="Q9" s="35">
        <f>IF($C9="","",IF($C9="Material",N($I9)*N($K9)*N($M9)*N($O9),IF($C9="Logistics",INDEX(COMMERCIAL_POLICY!$D:$D,MATCH($B9,COMMERCIAL_POLICY!$A:$A,0))*N($L9),N($I9)*N($J9)*N($K9)*N($L9)*N($M9)*N($G9))))</f>
        <v/>
      </c>
      <c r="R9" s="19">
        <f>IF($A9="","",INDEX(OBJECT_CONDITIONS!$AM:$AM,MATCH($A9,OBJECT_CONDITIONS!$A:$A,0)))</f>
        <v/>
      </c>
      <c r="S9" s="33">
        <f>IF($R9="","",INDEX(TAX_MODES!$B:$B,MATCH($R9,TAX_MODES!$A:$A,0)))</f>
        <v/>
      </c>
      <c r="T9" s="35">
        <f>IF($Q9="","",N($Q9)*(1+N($S9)))</f>
        <v/>
      </c>
      <c r="U9" s="19">
        <f>IF($C9="","",IF($C9="Material","Net x reserve x rounded purchase logic",IF($C9="Logistics","Mobilization from COMMERCIAL_POLICY x operating coeff","Base x method/variant x site x operating x tariff")) )</f>
        <v/>
      </c>
    </row>
    <row r="10">
      <c r="A10" s="19" t="n"/>
      <c r="B10" s="19" t="n"/>
      <c r="C10" s="19" t="n"/>
      <c r="D10" s="19" t="n"/>
      <c r="E10" s="19" t="n"/>
      <c r="F10" s="19">
        <f>IF($C10="","",IF($C10="Work",IFERROR(IF(SUMIFS(WORK_TARIFF_RULES!$G:$G,WORK_TARIFF_RULES!$A:$A,$D10,WORK_TARIFF_RULES!$C:$C,$B10)&lt;&gt;"",SUMIFS(WORK_TARIFF_RULES!$G:$G,WORK_TARIFF_RULES!$A:$A,$D10,WORK_TARIFF_RULES!$C:$C,$B10),SUMIFS(WORK_MASTER!$C:$C,WORK_MASTER!$A:$A,$D10)),""),IF($C10="Material",IFERROR(IF(SUMIFS(MATERIAL_TARIFF_RULES!$G:$G,MATERIAL_TARIFF_RULES!$A:$A,$D10,MATERIAL_TARIFF_RULES!$C:$C,$B10)&lt;&gt;"",SUMIFS(MATERIAL_TARIFF_RULES!$G:$G,MATERIAL_TARIFF_RULES!$A:$A,$D10,MATERIAL_TARIFF_RULES!$C:$C,$B10),SUMIFS(MATERIAL_VARIANTS!$J:$J,MATERIAL_VARIANTS!$A:$A,$E10)),""),IF($C10="Logistics","Мобилизация и логистика объекта",""))))</f>
        <v/>
      </c>
      <c r="G10" s="19" t="n"/>
      <c r="H10" s="19" t="n"/>
      <c r="I10" s="33">
        <f>IF($C10="","",IF($C10="Work",IFERROR(SUMIFS(WORK_MASTER!$I:$I,WORK_MASTER!$A:$A,$D10),0),IF($C10="Material",IFERROR(SUMIFS(MATERIAL_VARIANTS!$I:$I,MATERIAL_VARIANTS!$A:$A,$E10),0),0)))</f>
        <v/>
      </c>
      <c r="J10" s="33">
        <f>IF($C10="","",IF($C10="Work",IF($E10&lt;&gt;"",IFERROR(SUMIFS(WORK_VARIANTS!$H:$H,WORK_VARIANTS!$A:$A,$E10),1),1),1))</f>
        <v/>
      </c>
      <c r="K10" s="33">
        <f>IF($C10="","",IF($C10="Work",IFERROR(SUMIFS(WORK_FACTOR_APPLICABILITY!$O:$O,WORK_FACTOR_APPLICABILITY!$A:$A,$D10,WORK_FACTOR_APPLICABILITY!$N:$N,$A10),1),IF($C10="Material",IFERROR(INDEX(MATERIAL_QUANTITY_EXAMPLE!$N:$N,MATCH(1,(MATERIAL_QUANTITY_EXAMPLE!$A:$A=MATERIAL_QUANTITY_EXAMPLE!$A:$A)*(MATERIAL_QUANTITY_EXAMPLE!$B:$B=$A10)*(MATERIAL_QUANTITY_EXAMPLE!$C:$C=$D10),0)),1),1)))</f>
        <v/>
      </c>
      <c r="L10" s="33">
        <f>IF($A10="","",IF($C10="Material",1,IFERROR(INDEX(OBJECT_CONDITIONS!$AH:$AH,MATCH($A10,OBJECT_CONDITIONS!$A:$A,0))*INDEX(OBJECT_CONDITIONS!$AJ:$AJ,MATCH($A10,OBJECT_CONDITIONS!$A:$A,0))*INDEX(OBJECT_CONDITIONS!$AL:$AL,MATCH($A10,OBJECT_CONDITIONS!$A:$A,0)),1)))</f>
        <v/>
      </c>
      <c r="M10" s="33">
        <f>IF($B10="","",IF($C10="Work",IFERROR(IF(SUMIFS(WORK_TARIFF_RULES!$F:$F,WORK_TARIFF_RULES!$A:$A,$D10,WORK_TARIFF_RULES!$C:$C,$B10)&lt;&gt;"",SUMIFS(WORK_TARIFF_RULES!$F:$F,WORK_TARIFF_RULES!$A:$A,$D10,WORK_TARIFF_RULES!$C:$C,$B10),SUMIFS(TARIFF_PROFILES!$D:$D,TARIFF_PROFILES!$A:$A,$B10)),1),IF($C10="Material",IFERROR(IF(SUMIFS(MATERIAL_TARIFF_RULES!$E:$E,MATERIAL_TARIFF_RULES!$A:$A,$D10,MATERIAL_TARIFF_RULES!$C:$C,$B10)&lt;&gt;"",SUMIFS(MATERIAL_TARIFF_RULES!$E:$E,MATERIAL_TARIFF_RULES!$A:$A,$D10,MATERIAL_TARIFF_RULES!$C:$C,$B10),SUMIFS(TARIFF_PROFILES!$E:$E,TARIFF_PROFILES!$A:$A,$B10)),1),SUMIFS(TARIFF_PROFILES!$F:$F,TARIFF_PROFILES!$A:$A,$B10))))</f>
        <v/>
      </c>
      <c r="N10" s="33">
        <f>IF($C10="Material",IFERROR(SUMIFS(MATERIAL_MASTER!$P:$P,MATERIAL_MASTER!$A:$A,$D10)*IF(SUMIFS(MATERIAL_TARIFF_RULES!$F:$F,MATERIAL_TARIFF_RULES!$A:$A,$D10,MATERIAL_TARIFF_RULES!$C:$C,$B10)="",SUMIFS(TARIFF_PROFILES!$H:$H,TARIFF_PROFILES!$A:$A,$B10),SUMIFS(MATERIAL_TARIFF_RULES!$F:$F,MATERIAL_TARIFF_RULES!$A:$A,$D10,MATERIAL_TARIFF_RULES!$C:$C,$B10)),1),1)</f>
        <v/>
      </c>
      <c r="O10" s="19">
        <f>IF($C10="","",IF($C10="Material",ROUNDUP(N($G10)*N($N10),0),N($G10)))</f>
        <v/>
      </c>
      <c r="P10" s="19">
        <f>IF(ROW()=2,MAX(0,INDEX(COMMERCIAL_POLICY!$B:$B,MATCH($B10,COMMERCIAL_POLICY!$A:$A,0))-SUM($Q$2:$Q$60)),0)</f>
        <v/>
      </c>
      <c r="Q10" s="35">
        <f>IF($C10="","",IF($C10="Material",N($I10)*N($K10)*N($M10)*N($O10),IF($C10="Logistics",INDEX(COMMERCIAL_POLICY!$D:$D,MATCH($B10,COMMERCIAL_POLICY!$A:$A,0))*N($L10),N($I10)*N($J10)*N($K10)*N($L10)*N($M10)*N($G10))))</f>
        <v/>
      </c>
      <c r="R10" s="19">
        <f>IF($A10="","",INDEX(OBJECT_CONDITIONS!$AM:$AM,MATCH($A10,OBJECT_CONDITIONS!$A:$A,0)))</f>
        <v/>
      </c>
      <c r="S10" s="33">
        <f>IF($R10="","",INDEX(TAX_MODES!$B:$B,MATCH($R10,TAX_MODES!$A:$A,0)))</f>
        <v/>
      </c>
      <c r="T10" s="35">
        <f>IF($Q10="","",N($Q10)*(1+N($S10)))</f>
        <v/>
      </c>
      <c r="U10" s="19">
        <f>IF($C10="","",IF($C10="Material","Net x reserve x rounded purchase logic",IF($C10="Logistics","Mobilization from COMMERCIAL_POLICY x operating coeff","Base x method/variant x site x operating x tariff")) )</f>
        <v/>
      </c>
    </row>
    <row r="11">
      <c r="A11" s="19" t="n"/>
      <c r="B11" s="19" t="n"/>
      <c r="C11" s="19" t="n"/>
      <c r="D11" s="19" t="n"/>
      <c r="E11" s="19" t="n"/>
      <c r="F11" s="19">
        <f>IF($C11="","",IF($C11="Work",IFERROR(IF(SUMIFS(WORK_TARIFF_RULES!$G:$G,WORK_TARIFF_RULES!$A:$A,$D11,WORK_TARIFF_RULES!$C:$C,$B11)&lt;&gt;"",SUMIFS(WORK_TARIFF_RULES!$G:$G,WORK_TARIFF_RULES!$A:$A,$D11,WORK_TARIFF_RULES!$C:$C,$B11),SUMIFS(WORK_MASTER!$C:$C,WORK_MASTER!$A:$A,$D11)),""),IF($C11="Material",IFERROR(IF(SUMIFS(MATERIAL_TARIFF_RULES!$G:$G,MATERIAL_TARIFF_RULES!$A:$A,$D11,MATERIAL_TARIFF_RULES!$C:$C,$B11)&lt;&gt;"",SUMIFS(MATERIAL_TARIFF_RULES!$G:$G,MATERIAL_TARIFF_RULES!$A:$A,$D11,MATERIAL_TARIFF_RULES!$C:$C,$B11),SUMIFS(MATERIAL_VARIANTS!$J:$J,MATERIAL_VARIANTS!$A:$A,$E11)),""),IF($C11="Logistics","Мобилизация и логистика объекта",""))))</f>
        <v/>
      </c>
      <c r="G11" s="19" t="n"/>
      <c r="H11" s="19" t="n"/>
      <c r="I11" s="33">
        <f>IF($C11="","",IF($C11="Work",IFERROR(SUMIFS(WORK_MASTER!$I:$I,WORK_MASTER!$A:$A,$D11),0),IF($C11="Material",IFERROR(SUMIFS(MATERIAL_VARIANTS!$I:$I,MATERIAL_VARIANTS!$A:$A,$E11),0),0)))</f>
        <v/>
      </c>
      <c r="J11" s="33">
        <f>IF($C11="","",IF($C11="Work",IF($E11&lt;&gt;"",IFERROR(SUMIFS(WORK_VARIANTS!$H:$H,WORK_VARIANTS!$A:$A,$E11),1),1),1))</f>
        <v/>
      </c>
      <c r="K11" s="33">
        <f>IF($C11="","",IF($C11="Work",IFERROR(SUMIFS(WORK_FACTOR_APPLICABILITY!$O:$O,WORK_FACTOR_APPLICABILITY!$A:$A,$D11,WORK_FACTOR_APPLICABILITY!$N:$N,$A11),1),IF($C11="Material",IFERROR(INDEX(MATERIAL_QUANTITY_EXAMPLE!$N:$N,MATCH(1,(MATERIAL_QUANTITY_EXAMPLE!$A:$A=MATERIAL_QUANTITY_EXAMPLE!$A:$A)*(MATERIAL_QUANTITY_EXAMPLE!$B:$B=$A11)*(MATERIAL_QUANTITY_EXAMPLE!$C:$C=$D11),0)),1),1)))</f>
        <v/>
      </c>
      <c r="L11" s="33">
        <f>IF($A11="","",IF($C11="Material",1,IFERROR(INDEX(OBJECT_CONDITIONS!$AH:$AH,MATCH($A11,OBJECT_CONDITIONS!$A:$A,0))*INDEX(OBJECT_CONDITIONS!$AJ:$AJ,MATCH($A11,OBJECT_CONDITIONS!$A:$A,0))*INDEX(OBJECT_CONDITIONS!$AL:$AL,MATCH($A11,OBJECT_CONDITIONS!$A:$A,0)),1)))</f>
        <v/>
      </c>
      <c r="M11" s="33">
        <f>IF($B11="","",IF($C11="Work",IFERROR(IF(SUMIFS(WORK_TARIFF_RULES!$F:$F,WORK_TARIFF_RULES!$A:$A,$D11,WORK_TARIFF_RULES!$C:$C,$B11)&lt;&gt;"",SUMIFS(WORK_TARIFF_RULES!$F:$F,WORK_TARIFF_RULES!$A:$A,$D11,WORK_TARIFF_RULES!$C:$C,$B11),SUMIFS(TARIFF_PROFILES!$D:$D,TARIFF_PROFILES!$A:$A,$B11)),1),IF($C11="Material",IFERROR(IF(SUMIFS(MATERIAL_TARIFF_RULES!$E:$E,MATERIAL_TARIFF_RULES!$A:$A,$D11,MATERIAL_TARIFF_RULES!$C:$C,$B11)&lt;&gt;"",SUMIFS(MATERIAL_TARIFF_RULES!$E:$E,MATERIAL_TARIFF_RULES!$A:$A,$D11,MATERIAL_TARIFF_RULES!$C:$C,$B11),SUMIFS(TARIFF_PROFILES!$E:$E,TARIFF_PROFILES!$A:$A,$B11)),1),SUMIFS(TARIFF_PROFILES!$F:$F,TARIFF_PROFILES!$A:$A,$B11))))</f>
        <v/>
      </c>
      <c r="N11" s="33">
        <f>IF($C11="Material",IFERROR(SUMIFS(MATERIAL_MASTER!$P:$P,MATERIAL_MASTER!$A:$A,$D11)*IF(SUMIFS(MATERIAL_TARIFF_RULES!$F:$F,MATERIAL_TARIFF_RULES!$A:$A,$D11,MATERIAL_TARIFF_RULES!$C:$C,$B11)="",SUMIFS(TARIFF_PROFILES!$H:$H,TARIFF_PROFILES!$A:$A,$B11),SUMIFS(MATERIAL_TARIFF_RULES!$F:$F,MATERIAL_TARIFF_RULES!$A:$A,$D11,MATERIAL_TARIFF_RULES!$C:$C,$B11)),1),1)</f>
        <v/>
      </c>
      <c r="O11" s="19">
        <f>IF($C11="","",IF($C11="Material",ROUNDUP(N($G11)*N($N11),0),N($G11)))</f>
        <v/>
      </c>
      <c r="P11" s="19">
        <f>IF(ROW()=2,MAX(0,INDEX(COMMERCIAL_POLICY!$B:$B,MATCH($B11,COMMERCIAL_POLICY!$A:$A,0))-SUM($Q$2:$Q$60)),0)</f>
        <v/>
      </c>
      <c r="Q11" s="35">
        <f>IF($C11="","",IF($C11="Material",N($I11)*N($K11)*N($M11)*N($O11),IF($C11="Logistics",INDEX(COMMERCIAL_POLICY!$D:$D,MATCH($B11,COMMERCIAL_POLICY!$A:$A,0))*N($L11),N($I11)*N($J11)*N($K11)*N($L11)*N($M11)*N($G11))))</f>
        <v/>
      </c>
      <c r="R11" s="19">
        <f>IF($A11="","",INDEX(OBJECT_CONDITIONS!$AM:$AM,MATCH($A11,OBJECT_CONDITIONS!$A:$A,0)))</f>
        <v/>
      </c>
      <c r="S11" s="33">
        <f>IF($R11="","",INDEX(TAX_MODES!$B:$B,MATCH($R11,TAX_MODES!$A:$A,0)))</f>
        <v/>
      </c>
      <c r="T11" s="35">
        <f>IF($Q11="","",N($Q11)*(1+N($S11)))</f>
        <v/>
      </c>
      <c r="U11" s="19">
        <f>IF($C11="","",IF($C11="Material","Net x reserve x rounded purchase logic",IF($C11="Logistics","Mobilization from COMMERCIAL_POLICY x operating coeff","Base x method/variant x site x operating x tariff")) )</f>
        <v/>
      </c>
    </row>
    <row r="12">
      <c r="A12" s="19" t="n"/>
      <c r="B12" s="19" t="n"/>
      <c r="C12" s="19" t="n"/>
      <c r="D12" s="19" t="n"/>
      <c r="E12" s="19" t="n"/>
      <c r="F12" s="19">
        <f>IF($C12="","",IF($C12="Work",IFERROR(IF(SUMIFS(WORK_TARIFF_RULES!$G:$G,WORK_TARIFF_RULES!$A:$A,$D12,WORK_TARIFF_RULES!$C:$C,$B12)&lt;&gt;"",SUMIFS(WORK_TARIFF_RULES!$G:$G,WORK_TARIFF_RULES!$A:$A,$D12,WORK_TARIFF_RULES!$C:$C,$B12),SUMIFS(WORK_MASTER!$C:$C,WORK_MASTER!$A:$A,$D12)),""),IF($C12="Material",IFERROR(IF(SUMIFS(MATERIAL_TARIFF_RULES!$G:$G,MATERIAL_TARIFF_RULES!$A:$A,$D12,MATERIAL_TARIFF_RULES!$C:$C,$B12)&lt;&gt;"",SUMIFS(MATERIAL_TARIFF_RULES!$G:$G,MATERIAL_TARIFF_RULES!$A:$A,$D12,MATERIAL_TARIFF_RULES!$C:$C,$B12),SUMIFS(MATERIAL_VARIANTS!$J:$J,MATERIAL_VARIANTS!$A:$A,$E12)),""),IF($C12="Logistics","Мобилизация и логистика объекта",""))))</f>
        <v/>
      </c>
      <c r="G12" s="19" t="n"/>
      <c r="H12" s="19" t="n"/>
      <c r="I12" s="33">
        <f>IF($C12="","",IF($C12="Work",IFERROR(SUMIFS(WORK_MASTER!$I:$I,WORK_MASTER!$A:$A,$D12),0),IF($C12="Material",IFERROR(SUMIFS(MATERIAL_VARIANTS!$I:$I,MATERIAL_VARIANTS!$A:$A,$E12),0),0)))</f>
        <v/>
      </c>
      <c r="J12" s="33">
        <f>IF($C12="","",IF($C12="Work",IF($E12&lt;&gt;"",IFERROR(SUMIFS(WORK_VARIANTS!$H:$H,WORK_VARIANTS!$A:$A,$E12),1),1),1))</f>
        <v/>
      </c>
      <c r="K12" s="33">
        <f>IF($C12="","",IF($C12="Work",IFERROR(SUMIFS(WORK_FACTOR_APPLICABILITY!$O:$O,WORK_FACTOR_APPLICABILITY!$A:$A,$D12,WORK_FACTOR_APPLICABILITY!$N:$N,$A12),1),IF($C12="Material",IFERROR(INDEX(MATERIAL_QUANTITY_EXAMPLE!$N:$N,MATCH(1,(MATERIAL_QUANTITY_EXAMPLE!$A:$A=MATERIAL_QUANTITY_EXAMPLE!$A:$A)*(MATERIAL_QUANTITY_EXAMPLE!$B:$B=$A12)*(MATERIAL_QUANTITY_EXAMPLE!$C:$C=$D12),0)),1),1)))</f>
        <v/>
      </c>
      <c r="L12" s="33">
        <f>IF($A12="","",IF($C12="Material",1,IFERROR(INDEX(OBJECT_CONDITIONS!$AH:$AH,MATCH($A12,OBJECT_CONDITIONS!$A:$A,0))*INDEX(OBJECT_CONDITIONS!$AJ:$AJ,MATCH($A12,OBJECT_CONDITIONS!$A:$A,0))*INDEX(OBJECT_CONDITIONS!$AL:$AL,MATCH($A12,OBJECT_CONDITIONS!$A:$A,0)),1)))</f>
        <v/>
      </c>
      <c r="M12" s="33">
        <f>IF($B12="","",IF($C12="Work",IFERROR(IF(SUMIFS(WORK_TARIFF_RULES!$F:$F,WORK_TARIFF_RULES!$A:$A,$D12,WORK_TARIFF_RULES!$C:$C,$B12)&lt;&gt;"",SUMIFS(WORK_TARIFF_RULES!$F:$F,WORK_TARIFF_RULES!$A:$A,$D12,WORK_TARIFF_RULES!$C:$C,$B12),SUMIFS(TARIFF_PROFILES!$D:$D,TARIFF_PROFILES!$A:$A,$B12)),1),IF($C12="Material",IFERROR(IF(SUMIFS(MATERIAL_TARIFF_RULES!$E:$E,MATERIAL_TARIFF_RULES!$A:$A,$D12,MATERIAL_TARIFF_RULES!$C:$C,$B12)&lt;&gt;"",SUMIFS(MATERIAL_TARIFF_RULES!$E:$E,MATERIAL_TARIFF_RULES!$A:$A,$D12,MATERIAL_TARIFF_RULES!$C:$C,$B12),SUMIFS(TARIFF_PROFILES!$E:$E,TARIFF_PROFILES!$A:$A,$B12)),1),SUMIFS(TARIFF_PROFILES!$F:$F,TARIFF_PROFILES!$A:$A,$B12))))</f>
        <v/>
      </c>
      <c r="N12" s="33">
        <f>IF($C12="Material",IFERROR(SUMIFS(MATERIAL_MASTER!$P:$P,MATERIAL_MASTER!$A:$A,$D12)*IF(SUMIFS(MATERIAL_TARIFF_RULES!$F:$F,MATERIAL_TARIFF_RULES!$A:$A,$D12,MATERIAL_TARIFF_RULES!$C:$C,$B12)="",SUMIFS(TARIFF_PROFILES!$H:$H,TARIFF_PROFILES!$A:$A,$B12),SUMIFS(MATERIAL_TARIFF_RULES!$F:$F,MATERIAL_TARIFF_RULES!$A:$A,$D12,MATERIAL_TARIFF_RULES!$C:$C,$B12)),1),1)</f>
        <v/>
      </c>
      <c r="O12" s="19">
        <f>IF($C12="","",IF($C12="Material",ROUNDUP(N($G12)*N($N12),0),N($G12)))</f>
        <v/>
      </c>
      <c r="P12" s="19">
        <f>IF(ROW()=2,MAX(0,INDEX(COMMERCIAL_POLICY!$B:$B,MATCH($B12,COMMERCIAL_POLICY!$A:$A,0))-SUM($Q$2:$Q$60)),0)</f>
        <v/>
      </c>
      <c r="Q12" s="35">
        <f>IF($C12="","",IF($C12="Material",N($I12)*N($K12)*N($M12)*N($O12),IF($C12="Logistics",INDEX(COMMERCIAL_POLICY!$D:$D,MATCH($B12,COMMERCIAL_POLICY!$A:$A,0))*N($L12),N($I12)*N($J12)*N($K12)*N($L12)*N($M12)*N($G12))))</f>
        <v/>
      </c>
      <c r="R12" s="19">
        <f>IF($A12="","",INDEX(OBJECT_CONDITIONS!$AM:$AM,MATCH($A12,OBJECT_CONDITIONS!$A:$A,0)))</f>
        <v/>
      </c>
      <c r="S12" s="33">
        <f>IF($R12="","",INDEX(TAX_MODES!$B:$B,MATCH($R12,TAX_MODES!$A:$A,0)))</f>
        <v/>
      </c>
      <c r="T12" s="35">
        <f>IF($Q12="","",N($Q12)*(1+N($S12)))</f>
        <v/>
      </c>
      <c r="U12" s="19">
        <f>IF($C12="","",IF($C12="Material","Net x reserve x rounded purchase logic",IF($C12="Logistics","Mobilization from COMMERCIAL_POLICY x operating coeff","Base x method/variant x site x operating x tariff")) )</f>
        <v/>
      </c>
    </row>
    <row r="13">
      <c r="A13" s="19" t="n"/>
      <c r="B13" s="19" t="n"/>
      <c r="C13" s="19" t="n"/>
      <c r="D13" s="19" t="n"/>
      <c r="E13" s="19" t="n"/>
      <c r="F13" s="19">
        <f>IF($C13="","",IF($C13="Work",IFERROR(IF(SUMIFS(WORK_TARIFF_RULES!$G:$G,WORK_TARIFF_RULES!$A:$A,$D13,WORK_TARIFF_RULES!$C:$C,$B13)&lt;&gt;"",SUMIFS(WORK_TARIFF_RULES!$G:$G,WORK_TARIFF_RULES!$A:$A,$D13,WORK_TARIFF_RULES!$C:$C,$B13),SUMIFS(WORK_MASTER!$C:$C,WORK_MASTER!$A:$A,$D13)),""),IF($C13="Material",IFERROR(IF(SUMIFS(MATERIAL_TARIFF_RULES!$G:$G,MATERIAL_TARIFF_RULES!$A:$A,$D13,MATERIAL_TARIFF_RULES!$C:$C,$B13)&lt;&gt;"",SUMIFS(MATERIAL_TARIFF_RULES!$G:$G,MATERIAL_TARIFF_RULES!$A:$A,$D13,MATERIAL_TARIFF_RULES!$C:$C,$B13),SUMIFS(MATERIAL_VARIANTS!$J:$J,MATERIAL_VARIANTS!$A:$A,$E13)),""),IF($C13="Logistics","Мобилизация и логистика объекта",""))))</f>
        <v/>
      </c>
      <c r="G13" s="19" t="n"/>
      <c r="H13" s="19" t="n"/>
      <c r="I13" s="33">
        <f>IF($C13="","",IF($C13="Work",IFERROR(SUMIFS(WORK_MASTER!$I:$I,WORK_MASTER!$A:$A,$D13),0),IF($C13="Material",IFERROR(SUMIFS(MATERIAL_VARIANTS!$I:$I,MATERIAL_VARIANTS!$A:$A,$E13),0),0)))</f>
        <v/>
      </c>
      <c r="J13" s="33">
        <f>IF($C13="","",IF($C13="Work",IF($E13&lt;&gt;"",IFERROR(SUMIFS(WORK_VARIANTS!$H:$H,WORK_VARIANTS!$A:$A,$E13),1),1),1))</f>
        <v/>
      </c>
      <c r="K13" s="33">
        <f>IF($C13="","",IF($C13="Work",IFERROR(SUMIFS(WORK_FACTOR_APPLICABILITY!$O:$O,WORK_FACTOR_APPLICABILITY!$A:$A,$D13,WORK_FACTOR_APPLICABILITY!$N:$N,$A13),1),IF($C13="Material",IFERROR(INDEX(MATERIAL_QUANTITY_EXAMPLE!$N:$N,MATCH(1,(MATERIAL_QUANTITY_EXAMPLE!$A:$A=MATERIAL_QUANTITY_EXAMPLE!$A:$A)*(MATERIAL_QUANTITY_EXAMPLE!$B:$B=$A13)*(MATERIAL_QUANTITY_EXAMPLE!$C:$C=$D13),0)),1),1)))</f>
        <v/>
      </c>
      <c r="L13" s="33">
        <f>IF($A13="","",IF($C13="Material",1,IFERROR(INDEX(OBJECT_CONDITIONS!$AH:$AH,MATCH($A13,OBJECT_CONDITIONS!$A:$A,0))*INDEX(OBJECT_CONDITIONS!$AJ:$AJ,MATCH($A13,OBJECT_CONDITIONS!$A:$A,0))*INDEX(OBJECT_CONDITIONS!$AL:$AL,MATCH($A13,OBJECT_CONDITIONS!$A:$A,0)),1)))</f>
        <v/>
      </c>
      <c r="M13" s="33">
        <f>IF($B13="","",IF($C13="Work",IFERROR(IF(SUMIFS(WORK_TARIFF_RULES!$F:$F,WORK_TARIFF_RULES!$A:$A,$D13,WORK_TARIFF_RULES!$C:$C,$B13)&lt;&gt;"",SUMIFS(WORK_TARIFF_RULES!$F:$F,WORK_TARIFF_RULES!$A:$A,$D13,WORK_TARIFF_RULES!$C:$C,$B13),SUMIFS(TARIFF_PROFILES!$D:$D,TARIFF_PROFILES!$A:$A,$B13)),1),IF($C13="Material",IFERROR(IF(SUMIFS(MATERIAL_TARIFF_RULES!$E:$E,MATERIAL_TARIFF_RULES!$A:$A,$D13,MATERIAL_TARIFF_RULES!$C:$C,$B13)&lt;&gt;"",SUMIFS(MATERIAL_TARIFF_RULES!$E:$E,MATERIAL_TARIFF_RULES!$A:$A,$D13,MATERIAL_TARIFF_RULES!$C:$C,$B13),SUMIFS(TARIFF_PROFILES!$E:$E,TARIFF_PROFILES!$A:$A,$B13)),1),SUMIFS(TARIFF_PROFILES!$F:$F,TARIFF_PROFILES!$A:$A,$B13))))</f>
        <v/>
      </c>
      <c r="N13" s="33">
        <f>IF($C13="Material",IFERROR(SUMIFS(MATERIAL_MASTER!$P:$P,MATERIAL_MASTER!$A:$A,$D13)*IF(SUMIFS(MATERIAL_TARIFF_RULES!$F:$F,MATERIAL_TARIFF_RULES!$A:$A,$D13,MATERIAL_TARIFF_RULES!$C:$C,$B13)="",SUMIFS(TARIFF_PROFILES!$H:$H,TARIFF_PROFILES!$A:$A,$B13),SUMIFS(MATERIAL_TARIFF_RULES!$F:$F,MATERIAL_TARIFF_RULES!$A:$A,$D13,MATERIAL_TARIFF_RULES!$C:$C,$B13)),1),1)</f>
        <v/>
      </c>
      <c r="O13" s="19">
        <f>IF($C13="","",IF($C13="Material",ROUNDUP(N($G13)*N($N13),0),N($G13)))</f>
        <v/>
      </c>
      <c r="P13" s="19">
        <f>IF(ROW()=2,MAX(0,INDEX(COMMERCIAL_POLICY!$B:$B,MATCH($B13,COMMERCIAL_POLICY!$A:$A,0))-SUM($Q$2:$Q$60)),0)</f>
        <v/>
      </c>
      <c r="Q13" s="35">
        <f>IF($C13="","",IF($C13="Material",N($I13)*N($K13)*N($M13)*N($O13),IF($C13="Logistics",INDEX(COMMERCIAL_POLICY!$D:$D,MATCH($B13,COMMERCIAL_POLICY!$A:$A,0))*N($L13),N($I13)*N($J13)*N($K13)*N($L13)*N($M13)*N($G13))))</f>
        <v/>
      </c>
      <c r="R13" s="19">
        <f>IF($A13="","",INDEX(OBJECT_CONDITIONS!$AM:$AM,MATCH($A13,OBJECT_CONDITIONS!$A:$A,0)))</f>
        <v/>
      </c>
      <c r="S13" s="33">
        <f>IF($R13="","",INDEX(TAX_MODES!$B:$B,MATCH($R13,TAX_MODES!$A:$A,0)))</f>
        <v/>
      </c>
      <c r="T13" s="35">
        <f>IF($Q13="","",N($Q13)*(1+N($S13)))</f>
        <v/>
      </c>
      <c r="U13" s="19">
        <f>IF($C13="","",IF($C13="Material","Net x reserve x rounded purchase logic",IF($C13="Logistics","Mobilization from COMMERCIAL_POLICY x operating coeff","Base x method/variant x site x operating x tariff")) )</f>
        <v/>
      </c>
    </row>
    <row r="14">
      <c r="A14" s="19" t="n"/>
      <c r="B14" s="19" t="n"/>
      <c r="C14" s="19" t="n"/>
      <c r="D14" s="19" t="n"/>
      <c r="E14" s="19" t="n"/>
      <c r="F14" s="19">
        <f>IF($C14="","",IF($C14="Work",IFERROR(IF(SUMIFS(WORK_TARIFF_RULES!$G:$G,WORK_TARIFF_RULES!$A:$A,$D14,WORK_TARIFF_RULES!$C:$C,$B14)&lt;&gt;"",SUMIFS(WORK_TARIFF_RULES!$G:$G,WORK_TARIFF_RULES!$A:$A,$D14,WORK_TARIFF_RULES!$C:$C,$B14),SUMIFS(WORK_MASTER!$C:$C,WORK_MASTER!$A:$A,$D14)),""),IF($C14="Material",IFERROR(IF(SUMIFS(MATERIAL_TARIFF_RULES!$G:$G,MATERIAL_TARIFF_RULES!$A:$A,$D14,MATERIAL_TARIFF_RULES!$C:$C,$B14)&lt;&gt;"",SUMIFS(MATERIAL_TARIFF_RULES!$G:$G,MATERIAL_TARIFF_RULES!$A:$A,$D14,MATERIAL_TARIFF_RULES!$C:$C,$B14),SUMIFS(MATERIAL_VARIANTS!$J:$J,MATERIAL_VARIANTS!$A:$A,$E14)),""),IF($C14="Logistics","Мобилизация и логистика объекта",""))))</f>
        <v/>
      </c>
      <c r="G14" s="19" t="n"/>
      <c r="H14" s="19" t="n"/>
      <c r="I14" s="33">
        <f>IF($C14="","",IF($C14="Work",IFERROR(SUMIFS(WORK_MASTER!$I:$I,WORK_MASTER!$A:$A,$D14),0),IF($C14="Material",IFERROR(SUMIFS(MATERIAL_VARIANTS!$I:$I,MATERIAL_VARIANTS!$A:$A,$E14),0),0)))</f>
        <v/>
      </c>
      <c r="J14" s="33">
        <f>IF($C14="","",IF($C14="Work",IF($E14&lt;&gt;"",IFERROR(SUMIFS(WORK_VARIANTS!$H:$H,WORK_VARIANTS!$A:$A,$E14),1),1),1))</f>
        <v/>
      </c>
      <c r="K14" s="33">
        <f>IF($C14="","",IF($C14="Work",IFERROR(SUMIFS(WORK_FACTOR_APPLICABILITY!$O:$O,WORK_FACTOR_APPLICABILITY!$A:$A,$D14,WORK_FACTOR_APPLICABILITY!$N:$N,$A14),1),IF($C14="Material",IFERROR(INDEX(MATERIAL_QUANTITY_EXAMPLE!$N:$N,MATCH(1,(MATERIAL_QUANTITY_EXAMPLE!$A:$A=MATERIAL_QUANTITY_EXAMPLE!$A:$A)*(MATERIAL_QUANTITY_EXAMPLE!$B:$B=$A14)*(MATERIAL_QUANTITY_EXAMPLE!$C:$C=$D14),0)),1),1)))</f>
        <v/>
      </c>
      <c r="L14" s="33">
        <f>IF($A14="","",IF($C14="Material",1,IFERROR(INDEX(OBJECT_CONDITIONS!$AH:$AH,MATCH($A14,OBJECT_CONDITIONS!$A:$A,0))*INDEX(OBJECT_CONDITIONS!$AJ:$AJ,MATCH($A14,OBJECT_CONDITIONS!$A:$A,0))*INDEX(OBJECT_CONDITIONS!$AL:$AL,MATCH($A14,OBJECT_CONDITIONS!$A:$A,0)),1)))</f>
        <v/>
      </c>
      <c r="M14" s="33">
        <f>IF($B14="","",IF($C14="Work",IFERROR(IF(SUMIFS(WORK_TARIFF_RULES!$F:$F,WORK_TARIFF_RULES!$A:$A,$D14,WORK_TARIFF_RULES!$C:$C,$B14)&lt;&gt;"",SUMIFS(WORK_TARIFF_RULES!$F:$F,WORK_TARIFF_RULES!$A:$A,$D14,WORK_TARIFF_RULES!$C:$C,$B14),SUMIFS(TARIFF_PROFILES!$D:$D,TARIFF_PROFILES!$A:$A,$B14)),1),IF($C14="Material",IFERROR(IF(SUMIFS(MATERIAL_TARIFF_RULES!$E:$E,MATERIAL_TARIFF_RULES!$A:$A,$D14,MATERIAL_TARIFF_RULES!$C:$C,$B14)&lt;&gt;"",SUMIFS(MATERIAL_TARIFF_RULES!$E:$E,MATERIAL_TARIFF_RULES!$A:$A,$D14,MATERIAL_TARIFF_RULES!$C:$C,$B14),SUMIFS(TARIFF_PROFILES!$E:$E,TARIFF_PROFILES!$A:$A,$B14)),1),SUMIFS(TARIFF_PROFILES!$F:$F,TARIFF_PROFILES!$A:$A,$B14))))</f>
        <v/>
      </c>
      <c r="N14" s="33">
        <f>IF($C14="Material",IFERROR(SUMIFS(MATERIAL_MASTER!$P:$P,MATERIAL_MASTER!$A:$A,$D14)*IF(SUMIFS(MATERIAL_TARIFF_RULES!$F:$F,MATERIAL_TARIFF_RULES!$A:$A,$D14,MATERIAL_TARIFF_RULES!$C:$C,$B14)="",SUMIFS(TARIFF_PROFILES!$H:$H,TARIFF_PROFILES!$A:$A,$B14),SUMIFS(MATERIAL_TARIFF_RULES!$F:$F,MATERIAL_TARIFF_RULES!$A:$A,$D14,MATERIAL_TARIFF_RULES!$C:$C,$B14)),1),1)</f>
        <v/>
      </c>
      <c r="O14" s="19">
        <f>IF($C14="","",IF($C14="Material",ROUNDUP(N($G14)*N($N14),0),N($G14)))</f>
        <v/>
      </c>
      <c r="P14" s="19">
        <f>IF(ROW()=2,MAX(0,INDEX(COMMERCIAL_POLICY!$B:$B,MATCH($B14,COMMERCIAL_POLICY!$A:$A,0))-SUM($Q$2:$Q$60)),0)</f>
        <v/>
      </c>
      <c r="Q14" s="35">
        <f>IF($C14="","",IF($C14="Material",N($I14)*N($K14)*N($M14)*N($O14),IF($C14="Logistics",INDEX(COMMERCIAL_POLICY!$D:$D,MATCH($B14,COMMERCIAL_POLICY!$A:$A,0))*N($L14),N($I14)*N($J14)*N($K14)*N($L14)*N($M14)*N($G14))))</f>
        <v/>
      </c>
      <c r="R14" s="19">
        <f>IF($A14="","",INDEX(OBJECT_CONDITIONS!$AM:$AM,MATCH($A14,OBJECT_CONDITIONS!$A:$A,0)))</f>
        <v/>
      </c>
      <c r="S14" s="33">
        <f>IF($R14="","",INDEX(TAX_MODES!$B:$B,MATCH($R14,TAX_MODES!$A:$A,0)))</f>
        <v/>
      </c>
      <c r="T14" s="35">
        <f>IF($Q14="","",N($Q14)*(1+N($S14)))</f>
        <v/>
      </c>
      <c r="U14" s="19">
        <f>IF($C14="","",IF($C14="Material","Net x reserve x rounded purchase logic",IF($C14="Logistics","Mobilization from COMMERCIAL_POLICY x operating coeff","Base x method/variant x site x operating x tariff")) )</f>
        <v/>
      </c>
    </row>
    <row r="15">
      <c r="A15" s="19" t="n"/>
      <c r="B15" s="19" t="n"/>
      <c r="C15" s="19" t="n"/>
      <c r="D15" s="19" t="n"/>
      <c r="E15" s="19" t="n"/>
      <c r="F15" s="19">
        <f>IF($C15="","",IF($C15="Work",IFERROR(IF(SUMIFS(WORK_TARIFF_RULES!$G:$G,WORK_TARIFF_RULES!$A:$A,$D15,WORK_TARIFF_RULES!$C:$C,$B15)&lt;&gt;"",SUMIFS(WORK_TARIFF_RULES!$G:$G,WORK_TARIFF_RULES!$A:$A,$D15,WORK_TARIFF_RULES!$C:$C,$B15),SUMIFS(WORK_MASTER!$C:$C,WORK_MASTER!$A:$A,$D15)),""),IF($C15="Material",IFERROR(IF(SUMIFS(MATERIAL_TARIFF_RULES!$G:$G,MATERIAL_TARIFF_RULES!$A:$A,$D15,MATERIAL_TARIFF_RULES!$C:$C,$B15)&lt;&gt;"",SUMIFS(MATERIAL_TARIFF_RULES!$G:$G,MATERIAL_TARIFF_RULES!$A:$A,$D15,MATERIAL_TARIFF_RULES!$C:$C,$B15),SUMIFS(MATERIAL_VARIANTS!$J:$J,MATERIAL_VARIANTS!$A:$A,$E15)),""),IF($C15="Logistics","Мобилизация и логистика объекта",""))))</f>
        <v/>
      </c>
      <c r="G15" s="19" t="n"/>
      <c r="H15" s="19" t="n"/>
      <c r="I15" s="33">
        <f>IF($C15="","",IF($C15="Work",IFERROR(SUMIFS(WORK_MASTER!$I:$I,WORK_MASTER!$A:$A,$D15),0),IF($C15="Material",IFERROR(SUMIFS(MATERIAL_VARIANTS!$I:$I,MATERIAL_VARIANTS!$A:$A,$E15),0),0)))</f>
        <v/>
      </c>
      <c r="J15" s="33">
        <f>IF($C15="","",IF($C15="Work",IF($E15&lt;&gt;"",IFERROR(SUMIFS(WORK_VARIANTS!$H:$H,WORK_VARIANTS!$A:$A,$E15),1),1),1))</f>
        <v/>
      </c>
      <c r="K15" s="33">
        <f>IF($C15="","",IF($C15="Work",IFERROR(SUMIFS(WORK_FACTOR_APPLICABILITY!$O:$O,WORK_FACTOR_APPLICABILITY!$A:$A,$D15,WORK_FACTOR_APPLICABILITY!$N:$N,$A15),1),IF($C15="Material",IFERROR(INDEX(MATERIAL_QUANTITY_EXAMPLE!$N:$N,MATCH(1,(MATERIAL_QUANTITY_EXAMPLE!$A:$A=MATERIAL_QUANTITY_EXAMPLE!$A:$A)*(MATERIAL_QUANTITY_EXAMPLE!$B:$B=$A15)*(MATERIAL_QUANTITY_EXAMPLE!$C:$C=$D15),0)),1),1)))</f>
        <v/>
      </c>
      <c r="L15" s="33">
        <f>IF($A15="","",IF($C15="Material",1,IFERROR(INDEX(OBJECT_CONDITIONS!$AH:$AH,MATCH($A15,OBJECT_CONDITIONS!$A:$A,0))*INDEX(OBJECT_CONDITIONS!$AJ:$AJ,MATCH($A15,OBJECT_CONDITIONS!$A:$A,0))*INDEX(OBJECT_CONDITIONS!$AL:$AL,MATCH($A15,OBJECT_CONDITIONS!$A:$A,0)),1)))</f>
        <v/>
      </c>
      <c r="M15" s="33">
        <f>IF($B15="","",IF($C15="Work",IFERROR(IF(SUMIFS(WORK_TARIFF_RULES!$F:$F,WORK_TARIFF_RULES!$A:$A,$D15,WORK_TARIFF_RULES!$C:$C,$B15)&lt;&gt;"",SUMIFS(WORK_TARIFF_RULES!$F:$F,WORK_TARIFF_RULES!$A:$A,$D15,WORK_TARIFF_RULES!$C:$C,$B15),SUMIFS(TARIFF_PROFILES!$D:$D,TARIFF_PROFILES!$A:$A,$B15)),1),IF($C15="Material",IFERROR(IF(SUMIFS(MATERIAL_TARIFF_RULES!$E:$E,MATERIAL_TARIFF_RULES!$A:$A,$D15,MATERIAL_TARIFF_RULES!$C:$C,$B15)&lt;&gt;"",SUMIFS(MATERIAL_TARIFF_RULES!$E:$E,MATERIAL_TARIFF_RULES!$A:$A,$D15,MATERIAL_TARIFF_RULES!$C:$C,$B15),SUMIFS(TARIFF_PROFILES!$E:$E,TARIFF_PROFILES!$A:$A,$B15)),1),SUMIFS(TARIFF_PROFILES!$F:$F,TARIFF_PROFILES!$A:$A,$B15))))</f>
        <v/>
      </c>
      <c r="N15" s="33">
        <f>IF($C15="Material",IFERROR(SUMIFS(MATERIAL_MASTER!$P:$P,MATERIAL_MASTER!$A:$A,$D15)*IF(SUMIFS(MATERIAL_TARIFF_RULES!$F:$F,MATERIAL_TARIFF_RULES!$A:$A,$D15,MATERIAL_TARIFF_RULES!$C:$C,$B15)="",SUMIFS(TARIFF_PROFILES!$H:$H,TARIFF_PROFILES!$A:$A,$B15),SUMIFS(MATERIAL_TARIFF_RULES!$F:$F,MATERIAL_TARIFF_RULES!$A:$A,$D15,MATERIAL_TARIFF_RULES!$C:$C,$B15)),1),1)</f>
        <v/>
      </c>
      <c r="O15" s="19">
        <f>IF($C15="","",IF($C15="Material",ROUNDUP(N($G15)*N($N15),0),N($G15)))</f>
        <v/>
      </c>
      <c r="P15" s="19">
        <f>IF(ROW()=2,MAX(0,INDEX(COMMERCIAL_POLICY!$B:$B,MATCH($B15,COMMERCIAL_POLICY!$A:$A,0))-SUM($Q$2:$Q$60)),0)</f>
        <v/>
      </c>
      <c r="Q15" s="35">
        <f>IF($C15="","",IF($C15="Material",N($I15)*N($K15)*N($M15)*N($O15),IF($C15="Logistics",INDEX(COMMERCIAL_POLICY!$D:$D,MATCH($B15,COMMERCIAL_POLICY!$A:$A,0))*N($L15),N($I15)*N($J15)*N($K15)*N($L15)*N($M15)*N($G15))))</f>
        <v/>
      </c>
      <c r="R15" s="19">
        <f>IF($A15="","",INDEX(OBJECT_CONDITIONS!$AM:$AM,MATCH($A15,OBJECT_CONDITIONS!$A:$A,0)))</f>
        <v/>
      </c>
      <c r="S15" s="33">
        <f>IF($R15="","",INDEX(TAX_MODES!$B:$B,MATCH($R15,TAX_MODES!$A:$A,0)))</f>
        <v/>
      </c>
      <c r="T15" s="35">
        <f>IF($Q15="","",N($Q15)*(1+N($S15)))</f>
        <v/>
      </c>
      <c r="U15" s="19">
        <f>IF($C15="","",IF($C15="Material","Net x reserve x rounded purchase logic",IF($C15="Logistics","Mobilization from COMMERCIAL_POLICY x operating coeff","Base x method/variant x site x operating x tariff")) )</f>
        <v/>
      </c>
    </row>
    <row r="16">
      <c r="A16" s="19" t="n"/>
      <c r="B16" s="19" t="n"/>
      <c r="C16" s="19" t="n"/>
      <c r="D16" s="19" t="n"/>
      <c r="E16" s="19" t="n"/>
      <c r="F16" s="19">
        <f>IF($C16="","",IF($C16="Work",IFERROR(IF(SUMIFS(WORK_TARIFF_RULES!$G:$G,WORK_TARIFF_RULES!$A:$A,$D16,WORK_TARIFF_RULES!$C:$C,$B16)&lt;&gt;"",SUMIFS(WORK_TARIFF_RULES!$G:$G,WORK_TARIFF_RULES!$A:$A,$D16,WORK_TARIFF_RULES!$C:$C,$B16),SUMIFS(WORK_MASTER!$C:$C,WORK_MASTER!$A:$A,$D16)),""),IF($C16="Material",IFERROR(IF(SUMIFS(MATERIAL_TARIFF_RULES!$G:$G,MATERIAL_TARIFF_RULES!$A:$A,$D16,MATERIAL_TARIFF_RULES!$C:$C,$B16)&lt;&gt;"",SUMIFS(MATERIAL_TARIFF_RULES!$G:$G,MATERIAL_TARIFF_RULES!$A:$A,$D16,MATERIAL_TARIFF_RULES!$C:$C,$B16),SUMIFS(MATERIAL_VARIANTS!$J:$J,MATERIAL_VARIANTS!$A:$A,$E16)),""),IF($C16="Logistics","Мобилизация и логистика объекта",""))))</f>
        <v/>
      </c>
      <c r="G16" s="19" t="n"/>
      <c r="H16" s="19" t="n"/>
      <c r="I16" s="33">
        <f>IF($C16="","",IF($C16="Work",IFERROR(SUMIFS(WORK_MASTER!$I:$I,WORK_MASTER!$A:$A,$D16),0),IF($C16="Material",IFERROR(SUMIFS(MATERIAL_VARIANTS!$I:$I,MATERIAL_VARIANTS!$A:$A,$E16),0),0)))</f>
        <v/>
      </c>
      <c r="J16" s="33">
        <f>IF($C16="","",IF($C16="Work",IF($E16&lt;&gt;"",IFERROR(SUMIFS(WORK_VARIANTS!$H:$H,WORK_VARIANTS!$A:$A,$E16),1),1),1))</f>
        <v/>
      </c>
      <c r="K16" s="33">
        <f>IF($C16="","",IF($C16="Work",IFERROR(SUMIFS(WORK_FACTOR_APPLICABILITY!$O:$O,WORK_FACTOR_APPLICABILITY!$A:$A,$D16,WORK_FACTOR_APPLICABILITY!$N:$N,$A16),1),IF($C16="Material",IFERROR(INDEX(MATERIAL_QUANTITY_EXAMPLE!$N:$N,MATCH(1,(MATERIAL_QUANTITY_EXAMPLE!$A:$A=MATERIAL_QUANTITY_EXAMPLE!$A:$A)*(MATERIAL_QUANTITY_EXAMPLE!$B:$B=$A16)*(MATERIAL_QUANTITY_EXAMPLE!$C:$C=$D16),0)),1),1)))</f>
        <v/>
      </c>
      <c r="L16" s="33">
        <f>IF($A16="","",IF($C16="Material",1,IFERROR(INDEX(OBJECT_CONDITIONS!$AH:$AH,MATCH($A16,OBJECT_CONDITIONS!$A:$A,0))*INDEX(OBJECT_CONDITIONS!$AJ:$AJ,MATCH($A16,OBJECT_CONDITIONS!$A:$A,0))*INDEX(OBJECT_CONDITIONS!$AL:$AL,MATCH($A16,OBJECT_CONDITIONS!$A:$A,0)),1)))</f>
        <v/>
      </c>
      <c r="M16" s="33">
        <f>IF($B16="","",IF($C16="Work",IFERROR(IF(SUMIFS(WORK_TARIFF_RULES!$F:$F,WORK_TARIFF_RULES!$A:$A,$D16,WORK_TARIFF_RULES!$C:$C,$B16)&lt;&gt;"",SUMIFS(WORK_TARIFF_RULES!$F:$F,WORK_TARIFF_RULES!$A:$A,$D16,WORK_TARIFF_RULES!$C:$C,$B16),SUMIFS(TARIFF_PROFILES!$D:$D,TARIFF_PROFILES!$A:$A,$B16)),1),IF($C16="Material",IFERROR(IF(SUMIFS(MATERIAL_TARIFF_RULES!$E:$E,MATERIAL_TARIFF_RULES!$A:$A,$D16,MATERIAL_TARIFF_RULES!$C:$C,$B16)&lt;&gt;"",SUMIFS(MATERIAL_TARIFF_RULES!$E:$E,MATERIAL_TARIFF_RULES!$A:$A,$D16,MATERIAL_TARIFF_RULES!$C:$C,$B16),SUMIFS(TARIFF_PROFILES!$E:$E,TARIFF_PROFILES!$A:$A,$B16)),1),SUMIFS(TARIFF_PROFILES!$F:$F,TARIFF_PROFILES!$A:$A,$B16))))</f>
        <v/>
      </c>
      <c r="N16" s="33">
        <f>IF($C16="Material",IFERROR(SUMIFS(MATERIAL_MASTER!$P:$P,MATERIAL_MASTER!$A:$A,$D16)*IF(SUMIFS(MATERIAL_TARIFF_RULES!$F:$F,MATERIAL_TARIFF_RULES!$A:$A,$D16,MATERIAL_TARIFF_RULES!$C:$C,$B16)="",SUMIFS(TARIFF_PROFILES!$H:$H,TARIFF_PROFILES!$A:$A,$B16),SUMIFS(MATERIAL_TARIFF_RULES!$F:$F,MATERIAL_TARIFF_RULES!$A:$A,$D16,MATERIAL_TARIFF_RULES!$C:$C,$B16)),1),1)</f>
        <v/>
      </c>
      <c r="O16" s="19">
        <f>IF($C16="","",IF($C16="Material",ROUNDUP(N($G16)*N($N16),0),N($G16)))</f>
        <v/>
      </c>
      <c r="P16" s="19">
        <f>IF(ROW()=2,MAX(0,INDEX(COMMERCIAL_POLICY!$B:$B,MATCH($B16,COMMERCIAL_POLICY!$A:$A,0))-SUM($Q$2:$Q$60)),0)</f>
        <v/>
      </c>
      <c r="Q16" s="35">
        <f>IF($C16="","",IF($C16="Material",N($I16)*N($K16)*N($M16)*N($O16),IF($C16="Logistics",INDEX(COMMERCIAL_POLICY!$D:$D,MATCH($B16,COMMERCIAL_POLICY!$A:$A,0))*N($L16),N($I16)*N($J16)*N($K16)*N($L16)*N($M16)*N($G16))))</f>
        <v/>
      </c>
      <c r="R16" s="19">
        <f>IF($A16="","",INDEX(OBJECT_CONDITIONS!$AM:$AM,MATCH($A16,OBJECT_CONDITIONS!$A:$A,0)))</f>
        <v/>
      </c>
      <c r="S16" s="33">
        <f>IF($R16="","",INDEX(TAX_MODES!$B:$B,MATCH($R16,TAX_MODES!$A:$A,0)))</f>
        <v/>
      </c>
      <c r="T16" s="35">
        <f>IF($Q16="","",N($Q16)*(1+N($S16)))</f>
        <v/>
      </c>
      <c r="U16" s="19">
        <f>IF($C16="","",IF($C16="Material","Net x reserve x rounded purchase logic",IF($C16="Logistics","Mobilization from COMMERCIAL_POLICY x operating coeff","Base x method/variant x site x operating x tariff")) )</f>
        <v/>
      </c>
    </row>
    <row r="17">
      <c r="A17" s="19" t="n"/>
      <c r="B17" s="19" t="n"/>
      <c r="C17" s="19" t="n"/>
      <c r="D17" s="19" t="n"/>
      <c r="E17" s="19" t="n"/>
      <c r="F17" s="19">
        <f>IF($C17="","",IF($C17="Work",IFERROR(IF(SUMIFS(WORK_TARIFF_RULES!$G:$G,WORK_TARIFF_RULES!$A:$A,$D17,WORK_TARIFF_RULES!$C:$C,$B17)&lt;&gt;"",SUMIFS(WORK_TARIFF_RULES!$G:$G,WORK_TARIFF_RULES!$A:$A,$D17,WORK_TARIFF_RULES!$C:$C,$B17),SUMIFS(WORK_MASTER!$C:$C,WORK_MASTER!$A:$A,$D17)),""),IF($C17="Material",IFERROR(IF(SUMIFS(MATERIAL_TARIFF_RULES!$G:$G,MATERIAL_TARIFF_RULES!$A:$A,$D17,MATERIAL_TARIFF_RULES!$C:$C,$B17)&lt;&gt;"",SUMIFS(MATERIAL_TARIFF_RULES!$G:$G,MATERIAL_TARIFF_RULES!$A:$A,$D17,MATERIAL_TARIFF_RULES!$C:$C,$B17),SUMIFS(MATERIAL_VARIANTS!$J:$J,MATERIAL_VARIANTS!$A:$A,$E17)),""),IF($C17="Logistics","Мобилизация и логистика объекта",""))))</f>
        <v/>
      </c>
      <c r="G17" s="19" t="n"/>
      <c r="H17" s="19" t="n"/>
      <c r="I17" s="33">
        <f>IF($C17="","",IF($C17="Work",IFERROR(SUMIFS(WORK_MASTER!$I:$I,WORK_MASTER!$A:$A,$D17),0),IF($C17="Material",IFERROR(SUMIFS(MATERIAL_VARIANTS!$I:$I,MATERIAL_VARIANTS!$A:$A,$E17),0),0)))</f>
        <v/>
      </c>
      <c r="J17" s="33">
        <f>IF($C17="","",IF($C17="Work",IF($E17&lt;&gt;"",IFERROR(SUMIFS(WORK_VARIANTS!$H:$H,WORK_VARIANTS!$A:$A,$E17),1),1),1))</f>
        <v/>
      </c>
      <c r="K17" s="33">
        <f>IF($C17="","",IF($C17="Work",IFERROR(SUMIFS(WORK_FACTOR_APPLICABILITY!$O:$O,WORK_FACTOR_APPLICABILITY!$A:$A,$D17,WORK_FACTOR_APPLICABILITY!$N:$N,$A17),1),IF($C17="Material",IFERROR(INDEX(MATERIAL_QUANTITY_EXAMPLE!$N:$N,MATCH(1,(MATERIAL_QUANTITY_EXAMPLE!$A:$A=MATERIAL_QUANTITY_EXAMPLE!$A:$A)*(MATERIAL_QUANTITY_EXAMPLE!$B:$B=$A17)*(MATERIAL_QUANTITY_EXAMPLE!$C:$C=$D17),0)),1),1)))</f>
        <v/>
      </c>
      <c r="L17" s="33">
        <f>IF($A17="","",IF($C17="Material",1,IFERROR(INDEX(OBJECT_CONDITIONS!$AH:$AH,MATCH($A17,OBJECT_CONDITIONS!$A:$A,0))*INDEX(OBJECT_CONDITIONS!$AJ:$AJ,MATCH($A17,OBJECT_CONDITIONS!$A:$A,0))*INDEX(OBJECT_CONDITIONS!$AL:$AL,MATCH($A17,OBJECT_CONDITIONS!$A:$A,0)),1)))</f>
        <v/>
      </c>
      <c r="M17" s="33">
        <f>IF($B17="","",IF($C17="Work",IFERROR(IF(SUMIFS(WORK_TARIFF_RULES!$F:$F,WORK_TARIFF_RULES!$A:$A,$D17,WORK_TARIFF_RULES!$C:$C,$B17)&lt;&gt;"",SUMIFS(WORK_TARIFF_RULES!$F:$F,WORK_TARIFF_RULES!$A:$A,$D17,WORK_TARIFF_RULES!$C:$C,$B17),SUMIFS(TARIFF_PROFILES!$D:$D,TARIFF_PROFILES!$A:$A,$B17)),1),IF($C17="Material",IFERROR(IF(SUMIFS(MATERIAL_TARIFF_RULES!$E:$E,MATERIAL_TARIFF_RULES!$A:$A,$D17,MATERIAL_TARIFF_RULES!$C:$C,$B17)&lt;&gt;"",SUMIFS(MATERIAL_TARIFF_RULES!$E:$E,MATERIAL_TARIFF_RULES!$A:$A,$D17,MATERIAL_TARIFF_RULES!$C:$C,$B17),SUMIFS(TARIFF_PROFILES!$E:$E,TARIFF_PROFILES!$A:$A,$B17)),1),SUMIFS(TARIFF_PROFILES!$F:$F,TARIFF_PROFILES!$A:$A,$B17))))</f>
        <v/>
      </c>
      <c r="N17" s="33">
        <f>IF($C17="Material",IFERROR(SUMIFS(MATERIAL_MASTER!$P:$P,MATERIAL_MASTER!$A:$A,$D17)*IF(SUMIFS(MATERIAL_TARIFF_RULES!$F:$F,MATERIAL_TARIFF_RULES!$A:$A,$D17,MATERIAL_TARIFF_RULES!$C:$C,$B17)="",SUMIFS(TARIFF_PROFILES!$H:$H,TARIFF_PROFILES!$A:$A,$B17),SUMIFS(MATERIAL_TARIFF_RULES!$F:$F,MATERIAL_TARIFF_RULES!$A:$A,$D17,MATERIAL_TARIFF_RULES!$C:$C,$B17)),1),1)</f>
        <v/>
      </c>
      <c r="O17" s="19">
        <f>IF($C17="","",IF($C17="Material",ROUNDUP(N($G17)*N($N17),0),N($G17)))</f>
        <v/>
      </c>
      <c r="P17" s="19">
        <f>IF(ROW()=2,MAX(0,INDEX(COMMERCIAL_POLICY!$B:$B,MATCH($B17,COMMERCIAL_POLICY!$A:$A,0))-SUM($Q$2:$Q$60)),0)</f>
        <v/>
      </c>
      <c r="Q17" s="35">
        <f>IF($C17="","",IF($C17="Material",N($I17)*N($K17)*N($M17)*N($O17),IF($C17="Logistics",INDEX(COMMERCIAL_POLICY!$D:$D,MATCH($B17,COMMERCIAL_POLICY!$A:$A,0))*N($L17),N($I17)*N($J17)*N($K17)*N($L17)*N($M17)*N($G17))))</f>
        <v/>
      </c>
      <c r="R17" s="19">
        <f>IF($A17="","",INDEX(OBJECT_CONDITIONS!$AM:$AM,MATCH($A17,OBJECT_CONDITIONS!$A:$A,0)))</f>
        <v/>
      </c>
      <c r="S17" s="33">
        <f>IF($R17="","",INDEX(TAX_MODES!$B:$B,MATCH($R17,TAX_MODES!$A:$A,0)))</f>
        <v/>
      </c>
      <c r="T17" s="35">
        <f>IF($Q17="","",N($Q17)*(1+N($S17)))</f>
        <v/>
      </c>
      <c r="U17" s="19">
        <f>IF($C17="","",IF($C17="Material","Net x reserve x rounded purchase logic",IF($C17="Logistics","Mobilization from COMMERCIAL_POLICY x operating coeff","Base x method/variant x site x operating x tariff")) )</f>
        <v/>
      </c>
    </row>
    <row r="18">
      <c r="A18" s="19" t="n"/>
      <c r="B18" s="19" t="n"/>
      <c r="C18" s="19" t="n"/>
      <c r="D18" s="19" t="n"/>
      <c r="E18" s="19" t="n"/>
      <c r="F18" s="19">
        <f>IF($C18="","",IF($C18="Work",IFERROR(IF(SUMIFS(WORK_TARIFF_RULES!$G:$G,WORK_TARIFF_RULES!$A:$A,$D18,WORK_TARIFF_RULES!$C:$C,$B18)&lt;&gt;"",SUMIFS(WORK_TARIFF_RULES!$G:$G,WORK_TARIFF_RULES!$A:$A,$D18,WORK_TARIFF_RULES!$C:$C,$B18),SUMIFS(WORK_MASTER!$C:$C,WORK_MASTER!$A:$A,$D18)),""),IF($C18="Material",IFERROR(IF(SUMIFS(MATERIAL_TARIFF_RULES!$G:$G,MATERIAL_TARIFF_RULES!$A:$A,$D18,MATERIAL_TARIFF_RULES!$C:$C,$B18)&lt;&gt;"",SUMIFS(MATERIAL_TARIFF_RULES!$G:$G,MATERIAL_TARIFF_RULES!$A:$A,$D18,MATERIAL_TARIFF_RULES!$C:$C,$B18),SUMIFS(MATERIAL_VARIANTS!$J:$J,MATERIAL_VARIANTS!$A:$A,$E18)),""),IF($C18="Logistics","Мобилизация и логистика объекта",""))))</f>
        <v/>
      </c>
      <c r="G18" s="19" t="n"/>
      <c r="H18" s="19" t="n"/>
      <c r="I18" s="33">
        <f>IF($C18="","",IF($C18="Work",IFERROR(SUMIFS(WORK_MASTER!$I:$I,WORK_MASTER!$A:$A,$D18),0),IF($C18="Material",IFERROR(SUMIFS(MATERIAL_VARIANTS!$I:$I,MATERIAL_VARIANTS!$A:$A,$E18),0),0)))</f>
        <v/>
      </c>
      <c r="J18" s="33">
        <f>IF($C18="","",IF($C18="Work",IF($E18&lt;&gt;"",IFERROR(SUMIFS(WORK_VARIANTS!$H:$H,WORK_VARIANTS!$A:$A,$E18),1),1),1))</f>
        <v/>
      </c>
      <c r="K18" s="33">
        <f>IF($C18="","",IF($C18="Work",IFERROR(SUMIFS(WORK_FACTOR_APPLICABILITY!$O:$O,WORK_FACTOR_APPLICABILITY!$A:$A,$D18,WORK_FACTOR_APPLICABILITY!$N:$N,$A18),1),IF($C18="Material",IFERROR(INDEX(MATERIAL_QUANTITY_EXAMPLE!$N:$N,MATCH(1,(MATERIAL_QUANTITY_EXAMPLE!$A:$A=MATERIAL_QUANTITY_EXAMPLE!$A:$A)*(MATERIAL_QUANTITY_EXAMPLE!$B:$B=$A18)*(MATERIAL_QUANTITY_EXAMPLE!$C:$C=$D18),0)),1),1)))</f>
        <v/>
      </c>
      <c r="L18" s="33">
        <f>IF($A18="","",IF($C18="Material",1,IFERROR(INDEX(OBJECT_CONDITIONS!$AH:$AH,MATCH($A18,OBJECT_CONDITIONS!$A:$A,0))*INDEX(OBJECT_CONDITIONS!$AJ:$AJ,MATCH($A18,OBJECT_CONDITIONS!$A:$A,0))*INDEX(OBJECT_CONDITIONS!$AL:$AL,MATCH($A18,OBJECT_CONDITIONS!$A:$A,0)),1)))</f>
        <v/>
      </c>
      <c r="M18" s="33">
        <f>IF($B18="","",IF($C18="Work",IFERROR(IF(SUMIFS(WORK_TARIFF_RULES!$F:$F,WORK_TARIFF_RULES!$A:$A,$D18,WORK_TARIFF_RULES!$C:$C,$B18)&lt;&gt;"",SUMIFS(WORK_TARIFF_RULES!$F:$F,WORK_TARIFF_RULES!$A:$A,$D18,WORK_TARIFF_RULES!$C:$C,$B18),SUMIFS(TARIFF_PROFILES!$D:$D,TARIFF_PROFILES!$A:$A,$B18)),1),IF($C18="Material",IFERROR(IF(SUMIFS(MATERIAL_TARIFF_RULES!$E:$E,MATERIAL_TARIFF_RULES!$A:$A,$D18,MATERIAL_TARIFF_RULES!$C:$C,$B18)&lt;&gt;"",SUMIFS(MATERIAL_TARIFF_RULES!$E:$E,MATERIAL_TARIFF_RULES!$A:$A,$D18,MATERIAL_TARIFF_RULES!$C:$C,$B18),SUMIFS(TARIFF_PROFILES!$E:$E,TARIFF_PROFILES!$A:$A,$B18)),1),SUMIFS(TARIFF_PROFILES!$F:$F,TARIFF_PROFILES!$A:$A,$B18))))</f>
        <v/>
      </c>
      <c r="N18" s="33">
        <f>IF($C18="Material",IFERROR(SUMIFS(MATERIAL_MASTER!$P:$P,MATERIAL_MASTER!$A:$A,$D18)*IF(SUMIFS(MATERIAL_TARIFF_RULES!$F:$F,MATERIAL_TARIFF_RULES!$A:$A,$D18,MATERIAL_TARIFF_RULES!$C:$C,$B18)="",SUMIFS(TARIFF_PROFILES!$H:$H,TARIFF_PROFILES!$A:$A,$B18),SUMIFS(MATERIAL_TARIFF_RULES!$F:$F,MATERIAL_TARIFF_RULES!$A:$A,$D18,MATERIAL_TARIFF_RULES!$C:$C,$B18)),1),1)</f>
        <v/>
      </c>
      <c r="O18" s="19">
        <f>IF($C18="","",IF($C18="Material",ROUNDUP(N($G18)*N($N18),0),N($G18)))</f>
        <v/>
      </c>
      <c r="P18" s="19">
        <f>IF(ROW()=2,MAX(0,INDEX(COMMERCIAL_POLICY!$B:$B,MATCH($B18,COMMERCIAL_POLICY!$A:$A,0))-SUM($Q$2:$Q$60)),0)</f>
        <v/>
      </c>
      <c r="Q18" s="35">
        <f>IF($C18="","",IF($C18="Material",N($I18)*N($K18)*N($M18)*N($O18),IF($C18="Logistics",INDEX(COMMERCIAL_POLICY!$D:$D,MATCH($B18,COMMERCIAL_POLICY!$A:$A,0))*N($L18),N($I18)*N($J18)*N($K18)*N($L18)*N($M18)*N($G18))))</f>
        <v/>
      </c>
      <c r="R18" s="19">
        <f>IF($A18="","",INDEX(OBJECT_CONDITIONS!$AM:$AM,MATCH($A18,OBJECT_CONDITIONS!$A:$A,0)))</f>
        <v/>
      </c>
      <c r="S18" s="33">
        <f>IF($R18="","",INDEX(TAX_MODES!$B:$B,MATCH($R18,TAX_MODES!$A:$A,0)))</f>
        <v/>
      </c>
      <c r="T18" s="35">
        <f>IF($Q18="","",N($Q18)*(1+N($S18)))</f>
        <v/>
      </c>
      <c r="U18" s="19">
        <f>IF($C18="","",IF($C18="Material","Net x reserve x rounded purchase logic",IF($C18="Logistics","Mobilization from COMMERCIAL_POLICY x operating coeff","Base x method/variant x site x operating x tariff")) )</f>
        <v/>
      </c>
    </row>
    <row r="19">
      <c r="A19" s="19" t="n"/>
      <c r="B19" s="19" t="n"/>
      <c r="C19" s="19" t="n"/>
      <c r="D19" s="19" t="n"/>
      <c r="E19" s="19" t="n"/>
      <c r="F19" s="19">
        <f>IF($C19="","",IF($C19="Work",IFERROR(IF(SUMIFS(WORK_TARIFF_RULES!$G:$G,WORK_TARIFF_RULES!$A:$A,$D19,WORK_TARIFF_RULES!$C:$C,$B19)&lt;&gt;"",SUMIFS(WORK_TARIFF_RULES!$G:$G,WORK_TARIFF_RULES!$A:$A,$D19,WORK_TARIFF_RULES!$C:$C,$B19),SUMIFS(WORK_MASTER!$C:$C,WORK_MASTER!$A:$A,$D19)),""),IF($C19="Material",IFERROR(IF(SUMIFS(MATERIAL_TARIFF_RULES!$G:$G,MATERIAL_TARIFF_RULES!$A:$A,$D19,MATERIAL_TARIFF_RULES!$C:$C,$B19)&lt;&gt;"",SUMIFS(MATERIAL_TARIFF_RULES!$G:$G,MATERIAL_TARIFF_RULES!$A:$A,$D19,MATERIAL_TARIFF_RULES!$C:$C,$B19),SUMIFS(MATERIAL_VARIANTS!$J:$J,MATERIAL_VARIANTS!$A:$A,$E19)),""),IF($C19="Logistics","Мобилизация и логистика объекта",""))))</f>
        <v/>
      </c>
      <c r="G19" s="19" t="n"/>
      <c r="H19" s="19" t="n"/>
      <c r="I19" s="33">
        <f>IF($C19="","",IF($C19="Work",IFERROR(SUMIFS(WORK_MASTER!$I:$I,WORK_MASTER!$A:$A,$D19),0),IF($C19="Material",IFERROR(SUMIFS(MATERIAL_VARIANTS!$I:$I,MATERIAL_VARIANTS!$A:$A,$E19),0),0)))</f>
        <v/>
      </c>
      <c r="J19" s="33">
        <f>IF($C19="","",IF($C19="Work",IF($E19&lt;&gt;"",IFERROR(SUMIFS(WORK_VARIANTS!$H:$H,WORK_VARIANTS!$A:$A,$E19),1),1),1))</f>
        <v/>
      </c>
      <c r="K19" s="33">
        <f>IF($C19="","",IF($C19="Work",IFERROR(SUMIFS(WORK_FACTOR_APPLICABILITY!$O:$O,WORK_FACTOR_APPLICABILITY!$A:$A,$D19,WORK_FACTOR_APPLICABILITY!$N:$N,$A19),1),IF($C19="Material",IFERROR(INDEX(MATERIAL_QUANTITY_EXAMPLE!$N:$N,MATCH(1,(MATERIAL_QUANTITY_EXAMPLE!$A:$A=MATERIAL_QUANTITY_EXAMPLE!$A:$A)*(MATERIAL_QUANTITY_EXAMPLE!$B:$B=$A19)*(MATERIAL_QUANTITY_EXAMPLE!$C:$C=$D19),0)),1),1)))</f>
        <v/>
      </c>
      <c r="L19" s="33">
        <f>IF($A19="","",IF($C19="Material",1,IFERROR(INDEX(OBJECT_CONDITIONS!$AH:$AH,MATCH($A19,OBJECT_CONDITIONS!$A:$A,0))*INDEX(OBJECT_CONDITIONS!$AJ:$AJ,MATCH($A19,OBJECT_CONDITIONS!$A:$A,0))*INDEX(OBJECT_CONDITIONS!$AL:$AL,MATCH($A19,OBJECT_CONDITIONS!$A:$A,0)),1)))</f>
        <v/>
      </c>
      <c r="M19" s="33">
        <f>IF($B19="","",IF($C19="Work",IFERROR(IF(SUMIFS(WORK_TARIFF_RULES!$F:$F,WORK_TARIFF_RULES!$A:$A,$D19,WORK_TARIFF_RULES!$C:$C,$B19)&lt;&gt;"",SUMIFS(WORK_TARIFF_RULES!$F:$F,WORK_TARIFF_RULES!$A:$A,$D19,WORK_TARIFF_RULES!$C:$C,$B19),SUMIFS(TARIFF_PROFILES!$D:$D,TARIFF_PROFILES!$A:$A,$B19)),1),IF($C19="Material",IFERROR(IF(SUMIFS(MATERIAL_TARIFF_RULES!$E:$E,MATERIAL_TARIFF_RULES!$A:$A,$D19,MATERIAL_TARIFF_RULES!$C:$C,$B19)&lt;&gt;"",SUMIFS(MATERIAL_TARIFF_RULES!$E:$E,MATERIAL_TARIFF_RULES!$A:$A,$D19,MATERIAL_TARIFF_RULES!$C:$C,$B19),SUMIFS(TARIFF_PROFILES!$E:$E,TARIFF_PROFILES!$A:$A,$B19)),1),SUMIFS(TARIFF_PROFILES!$F:$F,TARIFF_PROFILES!$A:$A,$B19))))</f>
        <v/>
      </c>
      <c r="N19" s="33">
        <f>IF($C19="Material",IFERROR(SUMIFS(MATERIAL_MASTER!$P:$P,MATERIAL_MASTER!$A:$A,$D19)*IF(SUMIFS(MATERIAL_TARIFF_RULES!$F:$F,MATERIAL_TARIFF_RULES!$A:$A,$D19,MATERIAL_TARIFF_RULES!$C:$C,$B19)="",SUMIFS(TARIFF_PROFILES!$H:$H,TARIFF_PROFILES!$A:$A,$B19),SUMIFS(MATERIAL_TARIFF_RULES!$F:$F,MATERIAL_TARIFF_RULES!$A:$A,$D19,MATERIAL_TARIFF_RULES!$C:$C,$B19)),1),1)</f>
        <v/>
      </c>
      <c r="O19" s="19">
        <f>IF($C19="","",IF($C19="Material",ROUNDUP(N($G19)*N($N19),0),N($G19)))</f>
        <v/>
      </c>
      <c r="P19" s="19">
        <f>IF(ROW()=2,MAX(0,INDEX(COMMERCIAL_POLICY!$B:$B,MATCH($B19,COMMERCIAL_POLICY!$A:$A,0))-SUM($Q$2:$Q$60)),0)</f>
        <v/>
      </c>
      <c r="Q19" s="35">
        <f>IF($C19="","",IF($C19="Material",N($I19)*N($K19)*N($M19)*N($O19),IF($C19="Logistics",INDEX(COMMERCIAL_POLICY!$D:$D,MATCH($B19,COMMERCIAL_POLICY!$A:$A,0))*N($L19),N($I19)*N($J19)*N($K19)*N($L19)*N($M19)*N($G19))))</f>
        <v/>
      </c>
      <c r="R19" s="19">
        <f>IF($A19="","",INDEX(OBJECT_CONDITIONS!$AM:$AM,MATCH($A19,OBJECT_CONDITIONS!$A:$A,0)))</f>
        <v/>
      </c>
      <c r="S19" s="33">
        <f>IF($R19="","",INDEX(TAX_MODES!$B:$B,MATCH($R19,TAX_MODES!$A:$A,0)))</f>
        <v/>
      </c>
      <c r="T19" s="35">
        <f>IF($Q19="","",N($Q19)*(1+N($S19)))</f>
        <v/>
      </c>
      <c r="U19" s="19">
        <f>IF($C19="","",IF($C19="Material","Net x reserve x rounded purchase logic",IF($C19="Logistics","Mobilization from COMMERCIAL_POLICY x operating coeff","Base x method/variant x site x operating x tariff")) )</f>
        <v/>
      </c>
    </row>
    <row r="20">
      <c r="A20" s="19" t="n"/>
      <c r="B20" s="19" t="n"/>
      <c r="C20" s="19" t="n"/>
      <c r="D20" s="19" t="n"/>
      <c r="E20" s="19" t="n"/>
      <c r="F20" s="19">
        <f>IF($C20="","",IF($C20="Work",IFERROR(IF(SUMIFS(WORK_TARIFF_RULES!$G:$G,WORK_TARIFF_RULES!$A:$A,$D20,WORK_TARIFF_RULES!$C:$C,$B20)&lt;&gt;"",SUMIFS(WORK_TARIFF_RULES!$G:$G,WORK_TARIFF_RULES!$A:$A,$D20,WORK_TARIFF_RULES!$C:$C,$B20),SUMIFS(WORK_MASTER!$C:$C,WORK_MASTER!$A:$A,$D20)),""),IF($C20="Material",IFERROR(IF(SUMIFS(MATERIAL_TARIFF_RULES!$G:$G,MATERIAL_TARIFF_RULES!$A:$A,$D20,MATERIAL_TARIFF_RULES!$C:$C,$B20)&lt;&gt;"",SUMIFS(MATERIAL_TARIFF_RULES!$G:$G,MATERIAL_TARIFF_RULES!$A:$A,$D20,MATERIAL_TARIFF_RULES!$C:$C,$B20),SUMIFS(MATERIAL_VARIANTS!$J:$J,MATERIAL_VARIANTS!$A:$A,$E20)),""),IF($C20="Logistics","Мобилизация и логистика объекта",""))))</f>
        <v/>
      </c>
      <c r="G20" s="19" t="n"/>
      <c r="H20" s="19" t="n"/>
      <c r="I20" s="33">
        <f>IF($C20="","",IF($C20="Work",IFERROR(SUMIFS(WORK_MASTER!$I:$I,WORK_MASTER!$A:$A,$D20),0),IF($C20="Material",IFERROR(SUMIFS(MATERIAL_VARIANTS!$I:$I,MATERIAL_VARIANTS!$A:$A,$E20),0),0)))</f>
        <v/>
      </c>
      <c r="J20" s="33">
        <f>IF($C20="","",IF($C20="Work",IF($E20&lt;&gt;"",IFERROR(SUMIFS(WORK_VARIANTS!$H:$H,WORK_VARIANTS!$A:$A,$E20),1),1),1))</f>
        <v/>
      </c>
      <c r="K20" s="33">
        <f>IF($C20="","",IF($C20="Work",IFERROR(SUMIFS(WORK_FACTOR_APPLICABILITY!$O:$O,WORK_FACTOR_APPLICABILITY!$A:$A,$D20,WORK_FACTOR_APPLICABILITY!$N:$N,$A20),1),IF($C20="Material",IFERROR(INDEX(MATERIAL_QUANTITY_EXAMPLE!$N:$N,MATCH(1,(MATERIAL_QUANTITY_EXAMPLE!$A:$A=MATERIAL_QUANTITY_EXAMPLE!$A:$A)*(MATERIAL_QUANTITY_EXAMPLE!$B:$B=$A20)*(MATERIAL_QUANTITY_EXAMPLE!$C:$C=$D20),0)),1),1)))</f>
        <v/>
      </c>
      <c r="L20" s="33">
        <f>IF($A20="","",IF($C20="Material",1,IFERROR(INDEX(OBJECT_CONDITIONS!$AH:$AH,MATCH($A20,OBJECT_CONDITIONS!$A:$A,0))*INDEX(OBJECT_CONDITIONS!$AJ:$AJ,MATCH($A20,OBJECT_CONDITIONS!$A:$A,0))*INDEX(OBJECT_CONDITIONS!$AL:$AL,MATCH($A20,OBJECT_CONDITIONS!$A:$A,0)),1)))</f>
        <v/>
      </c>
      <c r="M20" s="33">
        <f>IF($B20="","",IF($C20="Work",IFERROR(IF(SUMIFS(WORK_TARIFF_RULES!$F:$F,WORK_TARIFF_RULES!$A:$A,$D20,WORK_TARIFF_RULES!$C:$C,$B20)&lt;&gt;"",SUMIFS(WORK_TARIFF_RULES!$F:$F,WORK_TARIFF_RULES!$A:$A,$D20,WORK_TARIFF_RULES!$C:$C,$B20),SUMIFS(TARIFF_PROFILES!$D:$D,TARIFF_PROFILES!$A:$A,$B20)),1),IF($C20="Material",IFERROR(IF(SUMIFS(MATERIAL_TARIFF_RULES!$E:$E,MATERIAL_TARIFF_RULES!$A:$A,$D20,MATERIAL_TARIFF_RULES!$C:$C,$B20)&lt;&gt;"",SUMIFS(MATERIAL_TARIFF_RULES!$E:$E,MATERIAL_TARIFF_RULES!$A:$A,$D20,MATERIAL_TARIFF_RULES!$C:$C,$B20),SUMIFS(TARIFF_PROFILES!$E:$E,TARIFF_PROFILES!$A:$A,$B20)),1),SUMIFS(TARIFF_PROFILES!$F:$F,TARIFF_PROFILES!$A:$A,$B20))))</f>
        <v/>
      </c>
      <c r="N20" s="33">
        <f>IF($C20="Material",IFERROR(SUMIFS(MATERIAL_MASTER!$P:$P,MATERIAL_MASTER!$A:$A,$D20)*IF(SUMIFS(MATERIAL_TARIFF_RULES!$F:$F,MATERIAL_TARIFF_RULES!$A:$A,$D20,MATERIAL_TARIFF_RULES!$C:$C,$B20)="",SUMIFS(TARIFF_PROFILES!$H:$H,TARIFF_PROFILES!$A:$A,$B20),SUMIFS(MATERIAL_TARIFF_RULES!$F:$F,MATERIAL_TARIFF_RULES!$A:$A,$D20,MATERIAL_TARIFF_RULES!$C:$C,$B20)),1),1)</f>
        <v/>
      </c>
      <c r="O20" s="19">
        <f>IF($C20="","",IF($C20="Material",ROUNDUP(N($G20)*N($N20),0),N($G20)))</f>
        <v/>
      </c>
      <c r="P20" s="19">
        <f>IF(ROW()=2,MAX(0,INDEX(COMMERCIAL_POLICY!$B:$B,MATCH($B20,COMMERCIAL_POLICY!$A:$A,0))-SUM($Q$2:$Q$60)),0)</f>
        <v/>
      </c>
      <c r="Q20" s="35">
        <f>IF($C20="","",IF($C20="Material",N($I20)*N($K20)*N($M20)*N($O20),IF($C20="Logistics",INDEX(COMMERCIAL_POLICY!$D:$D,MATCH($B20,COMMERCIAL_POLICY!$A:$A,0))*N($L20),N($I20)*N($J20)*N($K20)*N($L20)*N($M20)*N($G20))))</f>
        <v/>
      </c>
      <c r="R20" s="19">
        <f>IF($A20="","",INDEX(OBJECT_CONDITIONS!$AM:$AM,MATCH($A20,OBJECT_CONDITIONS!$A:$A,0)))</f>
        <v/>
      </c>
      <c r="S20" s="33">
        <f>IF($R20="","",INDEX(TAX_MODES!$B:$B,MATCH($R20,TAX_MODES!$A:$A,0)))</f>
        <v/>
      </c>
      <c r="T20" s="35">
        <f>IF($Q20="","",N($Q20)*(1+N($S20)))</f>
        <v/>
      </c>
      <c r="U20" s="19">
        <f>IF($C20="","",IF($C20="Material","Net x reserve x rounded purchase logic",IF($C20="Logistics","Mobilization from COMMERCIAL_POLICY x operating coeff","Base x method/variant x site x operating x tariff")) )</f>
        <v/>
      </c>
    </row>
    <row r="21">
      <c r="A21" s="19" t="n"/>
      <c r="B21" s="19" t="n"/>
      <c r="C21" s="19" t="n"/>
      <c r="D21" s="19" t="n"/>
      <c r="E21" s="19" t="n"/>
      <c r="F21" s="19">
        <f>IF($C21="","",IF($C21="Work",IFERROR(IF(SUMIFS(WORK_TARIFF_RULES!$G:$G,WORK_TARIFF_RULES!$A:$A,$D21,WORK_TARIFF_RULES!$C:$C,$B21)&lt;&gt;"",SUMIFS(WORK_TARIFF_RULES!$G:$G,WORK_TARIFF_RULES!$A:$A,$D21,WORK_TARIFF_RULES!$C:$C,$B21),SUMIFS(WORK_MASTER!$C:$C,WORK_MASTER!$A:$A,$D21)),""),IF($C21="Material",IFERROR(IF(SUMIFS(MATERIAL_TARIFF_RULES!$G:$G,MATERIAL_TARIFF_RULES!$A:$A,$D21,MATERIAL_TARIFF_RULES!$C:$C,$B21)&lt;&gt;"",SUMIFS(MATERIAL_TARIFF_RULES!$G:$G,MATERIAL_TARIFF_RULES!$A:$A,$D21,MATERIAL_TARIFF_RULES!$C:$C,$B21),SUMIFS(MATERIAL_VARIANTS!$J:$J,MATERIAL_VARIANTS!$A:$A,$E21)),""),IF($C21="Logistics","Мобилизация и логистика объекта",""))))</f>
        <v/>
      </c>
      <c r="G21" s="19" t="n"/>
      <c r="H21" s="19" t="n"/>
      <c r="I21" s="33">
        <f>IF($C21="","",IF($C21="Work",IFERROR(SUMIFS(WORK_MASTER!$I:$I,WORK_MASTER!$A:$A,$D21),0),IF($C21="Material",IFERROR(SUMIFS(MATERIAL_VARIANTS!$I:$I,MATERIAL_VARIANTS!$A:$A,$E21),0),0)))</f>
        <v/>
      </c>
      <c r="J21" s="33">
        <f>IF($C21="","",IF($C21="Work",IF($E21&lt;&gt;"",IFERROR(SUMIFS(WORK_VARIANTS!$H:$H,WORK_VARIANTS!$A:$A,$E21),1),1),1))</f>
        <v/>
      </c>
      <c r="K21" s="33">
        <f>IF($C21="","",IF($C21="Work",IFERROR(SUMIFS(WORK_FACTOR_APPLICABILITY!$O:$O,WORK_FACTOR_APPLICABILITY!$A:$A,$D21,WORK_FACTOR_APPLICABILITY!$N:$N,$A21),1),IF($C21="Material",IFERROR(INDEX(MATERIAL_QUANTITY_EXAMPLE!$N:$N,MATCH(1,(MATERIAL_QUANTITY_EXAMPLE!$A:$A=MATERIAL_QUANTITY_EXAMPLE!$A:$A)*(MATERIAL_QUANTITY_EXAMPLE!$B:$B=$A21)*(MATERIAL_QUANTITY_EXAMPLE!$C:$C=$D21),0)),1),1)))</f>
        <v/>
      </c>
      <c r="L21" s="33">
        <f>IF($A21="","",IF($C21="Material",1,IFERROR(INDEX(OBJECT_CONDITIONS!$AH:$AH,MATCH($A21,OBJECT_CONDITIONS!$A:$A,0))*INDEX(OBJECT_CONDITIONS!$AJ:$AJ,MATCH($A21,OBJECT_CONDITIONS!$A:$A,0))*INDEX(OBJECT_CONDITIONS!$AL:$AL,MATCH($A21,OBJECT_CONDITIONS!$A:$A,0)),1)))</f>
        <v/>
      </c>
      <c r="M21" s="33">
        <f>IF($B21="","",IF($C21="Work",IFERROR(IF(SUMIFS(WORK_TARIFF_RULES!$F:$F,WORK_TARIFF_RULES!$A:$A,$D21,WORK_TARIFF_RULES!$C:$C,$B21)&lt;&gt;"",SUMIFS(WORK_TARIFF_RULES!$F:$F,WORK_TARIFF_RULES!$A:$A,$D21,WORK_TARIFF_RULES!$C:$C,$B21),SUMIFS(TARIFF_PROFILES!$D:$D,TARIFF_PROFILES!$A:$A,$B21)),1),IF($C21="Material",IFERROR(IF(SUMIFS(MATERIAL_TARIFF_RULES!$E:$E,MATERIAL_TARIFF_RULES!$A:$A,$D21,MATERIAL_TARIFF_RULES!$C:$C,$B21)&lt;&gt;"",SUMIFS(MATERIAL_TARIFF_RULES!$E:$E,MATERIAL_TARIFF_RULES!$A:$A,$D21,MATERIAL_TARIFF_RULES!$C:$C,$B21),SUMIFS(TARIFF_PROFILES!$E:$E,TARIFF_PROFILES!$A:$A,$B21)),1),SUMIFS(TARIFF_PROFILES!$F:$F,TARIFF_PROFILES!$A:$A,$B21))))</f>
        <v/>
      </c>
      <c r="N21" s="33">
        <f>IF($C21="Material",IFERROR(SUMIFS(MATERIAL_MASTER!$P:$P,MATERIAL_MASTER!$A:$A,$D21)*IF(SUMIFS(MATERIAL_TARIFF_RULES!$F:$F,MATERIAL_TARIFF_RULES!$A:$A,$D21,MATERIAL_TARIFF_RULES!$C:$C,$B21)="",SUMIFS(TARIFF_PROFILES!$H:$H,TARIFF_PROFILES!$A:$A,$B21),SUMIFS(MATERIAL_TARIFF_RULES!$F:$F,MATERIAL_TARIFF_RULES!$A:$A,$D21,MATERIAL_TARIFF_RULES!$C:$C,$B21)),1),1)</f>
        <v/>
      </c>
      <c r="O21" s="19">
        <f>IF($C21="","",IF($C21="Material",ROUNDUP(N($G21)*N($N21),0),N($G21)))</f>
        <v/>
      </c>
      <c r="P21" s="19">
        <f>IF(ROW()=2,MAX(0,INDEX(COMMERCIAL_POLICY!$B:$B,MATCH($B21,COMMERCIAL_POLICY!$A:$A,0))-SUM($Q$2:$Q$60)),0)</f>
        <v/>
      </c>
      <c r="Q21" s="35">
        <f>IF($C21="","",IF($C21="Material",N($I21)*N($K21)*N($M21)*N($O21),IF($C21="Logistics",INDEX(COMMERCIAL_POLICY!$D:$D,MATCH($B21,COMMERCIAL_POLICY!$A:$A,0))*N($L21),N($I21)*N($J21)*N($K21)*N($L21)*N($M21)*N($G21))))</f>
        <v/>
      </c>
      <c r="R21" s="19">
        <f>IF($A21="","",INDEX(OBJECT_CONDITIONS!$AM:$AM,MATCH($A21,OBJECT_CONDITIONS!$A:$A,0)))</f>
        <v/>
      </c>
      <c r="S21" s="33">
        <f>IF($R21="","",INDEX(TAX_MODES!$B:$B,MATCH($R21,TAX_MODES!$A:$A,0)))</f>
        <v/>
      </c>
      <c r="T21" s="35">
        <f>IF($Q21="","",N($Q21)*(1+N($S21)))</f>
        <v/>
      </c>
      <c r="U21" s="19">
        <f>IF($C21="","",IF($C21="Material","Net x reserve x rounded purchase logic",IF($C21="Logistics","Mobilization from COMMERCIAL_POLICY x operating coeff","Base x method/variant x site x operating x tariff")) )</f>
        <v/>
      </c>
    </row>
    <row r="22">
      <c r="A22" s="19" t="n"/>
      <c r="B22" s="19" t="n"/>
      <c r="C22" s="19" t="n"/>
      <c r="D22" s="19" t="n"/>
      <c r="E22" s="19" t="n"/>
      <c r="F22" s="19">
        <f>IF($C22="","",IF($C22="Work",IFERROR(IF(SUMIFS(WORK_TARIFF_RULES!$G:$G,WORK_TARIFF_RULES!$A:$A,$D22,WORK_TARIFF_RULES!$C:$C,$B22)&lt;&gt;"",SUMIFS(WORK_TARIFF_RULES!$G:$G,WORK_TARIFF_RULES!$A:$A,$D22,WORK_TARIFF_RULES!$C:$C,$B22),SUMIFS(WORK_MASTER!$C:$C,WORK_MASTER!$A:$A,$D22)),""),IF($C22="Material",IFERROR(IF(SUMIFS(MATERIAL_TARIFF_RULES!$G:$G,MATERIAL_TARIFF_RULES!$A:$A,$D22,MATERIAL_TARIFF_RULES!$C:$C,$B22)&lt;&gt;"",SUMIFS(MATERIAL_TARIFF_RULES!$G:$G,MATERIAL_TARIFF_RULES!$A:$A,$D22,MATERIAL_TARIFF_RULES!$C:$C,$B22),SUMIFS(MATERIAL_VARIANTS!$J:$J,MATERIAL_VARIANTS!$A:$A,$E22)),""),IF($C22="Logistics","Мобилизация и логистика объекта",""))))</f>
        <v/>
      </c>
      <c r="G22" s="19" t="n"/>
      <c r="H22" s="19" t="n"/>
      <c r="I22" s="33">
        <f>IF($C22="","",IF($C22="Work",IFERROR(SUMIFS(WORK_MASTER!$I:$I,WORK_MASTER!$A:$A,$D22),0),IF($C22="Material",IFERROR(SUMIFS(MATERIAL_VARIANTS!$I:$I,MATERIAL_VARIANTS!$A:$A,$E22),0),0)))</f>
        <v/>
      </c>
      <c r="J22" s="33">
        <f>IF($C22="","",IF($C22="Work",IF($E22&lt;&gt;"",IFERROR(SUMIFS(WORK_VARIANTS!$H:$H,WORK_VARIANTS!$A:$A,$E22),1),1),1))</f>
        <v/>
      </c>
      <c r="K22" s="33">
        <f>IF($C22="","",IF($C22="Work",IFERROR(SUMIFS(WORK_FACTOR_APPLICABILITY!$O:$O,WORK_FACTOR_APPLICABILITY!$A:$A,$D22,WORK_FACTOR_APPLICABILITY!$N:$N,$A22),1),IF($C22="Material",IFERROR(INDEX(MATERIAL_QUANTITY_EXAMPLE!$N:$N,MATCH(1,(MATERIAL_QUANTITY_EXAMPLE!$A:$A=MATERIAL_QUANTITY_EXAMPLE!$A:$A)*(MATERIAL_QUANTITY_EXAMPLE!$B:$B=$A22)*(MATERIAL_QUANTITY_EXAMPLE!$C:$C=$D22),0)),1),1)))</f>
        <v/>
      </c>
      <c r="L22" s="33">
        <f>IF($A22="","",IF($C22="Material",1,IFERROR(INDEX(OBJECT_CONDITIONS!$AH:$AH,MATCH($A22,OBJECT_CONDITIONS!$A:$A,0))*INDEX(OBJECT_CONDITIONS!$AJ:$AJ,MATCH($A22,OBJECT_CONDITIONS!$A:$A,0))*INDEX(OBJECT_CONDITIONS!$AL:$AL,MATCH($A22,OBJECT_CONDITIONS!$A:$A,0)),1)))</f>
        <v/>
      </c>
      <c r="M22" s="33">
        <f>IF($B22="","",IF($C22="Work",IFERROR(IF(SUMIFS(WORK_TARIFF_RULES!$F:$F,WORK_TARIFF_RULES!$A:$A,$D22,WORK_TARIFF_RULES!$C:$C,$B22)&lt;&gt;"",SUMIFS(WORK_TARIFF_RULES!$F:$F,WORK_TARIFF_RULES!$A:$A,$D22,WORK_TARIFF_RULES!$C:$C,$B22),SUMIFS(TARIFF_PROFILES!$D:$D,TARIFF_PROFILES!$A:$A,$B22)),1),IF($C22="Material",IFERROR(IF(SUMIFS(MATERIAL_TARIFF_RULES!$E:$E,MATERIAL_TARIFF_RULES!$A:$A,$D22,MATERIAL_TARIFF_RULES!$C:$C,$B22)&lt;&gt;"",SUMIFS(MATERIAL_TARIFF_RULES!$E:$E,MATERIAL_TARIFF_RULES!$A:$A,$D22,MATERIAL_TARIFF_RULES!$C:$C,$B22),SUMIFS(TARIFF_PROFILES!$E:$E,TARIFF_PROFILES!$A:$A,$B22)),1),SUMIFS(TARIFF_PROFILES!$F:$F,TARIFF_PROFILES!$A:$A,$B22))))</f>
        <v/>
      </c>
      <c r="N22" s="33">
        <f>IF($C22="Material",IFERROR(SUMIFS(MATERIAL_MASTER!$P:$P,MATERIAL_MASTER!$A:$A,$D22)*IF(SUMIFS(MATERIAL_TARIFF_RULES!$F:$F,MATERIAL_TARIFF_RULES!$A:$A,$D22,MATERIAL_TARIFF_RULES!$C:$C,$B22)="",SUMIFS(TARIFF_PROFILES!$H:$H,TARIFF_PROFILES!$A:$A,$B22),SUMIFS(MATERIAL_TARIFF_RULES!$F:$F,MATERIAL_TARIFF_RULES!$A:$A,$D22,MATERIAL_TARIFF_RULES!$C:$C,$B22)),1),1)</f>
        <v/>
      </c>
      <c r="O22" s="19">
        <f>IF($C22="","",IF($C22="Material",ROUNDUP(N($G22)*N($N22),0),N($G22)))</f>
        <v/>
      </c>
      <c r="P22" s="19">
        <f>IF(ROW()=2,MAX(0,INDEX(COMMERCIAL_POLICY!$B:$B,MATCH($B22,COMMERCIAL_POLICY!$A:$A,0))-SUM($Q$2:$Q$60)),0)</f>
        <v/>
      </c>
      <c r="Q22" s="35">
        <f>IF($C22="","",IF($C22="Material",N($I22)*N($K22)*N($M22)*N($O22),IF($C22="Logistics",INDEX(COMMERCIAL_POLICY!$D:$D,MATCH($B22,COMMERCIAL_POLICY!$A:$A,0))*N($L22),N($I22)*N($J22)*N($K22)*N($L22)*N($M22)*N($G22))))</f>
        <v/>
      </c>
      <c r="R22" s="19">
        <f>IF($A22="","",INDEX(OBJECT_CONDITIONS!$AM:$AM,MATCH($A22,OBJECT_CONDITIONS!$A:$A,0)))</f>
        <v/>
      </c>
      <c r="S22" s="33">
        <f>IF($R22="","",INDEX(TAX_MODES!$B:$B,MATCH($R22,TAX_MODES!$A:$A,0)))</f>
        <v/>
      </c>
      <c r="T22" s="35">
        <f>IF($Q22="","",N($Q22)*(1+N($S22)))</f>
        <v/>
      </c>
      <c r="U22" s="19">
        <f>IF($C22="","",IF($C22="Material","Net x reserve x rounded purchase logic",IF($C22="Logistics","Mobilization from COMMERCIAL_POLICY x operating coeff","Base x method/variant x site x operating x tariff")) )</f>
        <v/>
      </c>
    </row>
    <row r="23">
      <c r="A23" s="19" t="n"/>
      <c r="B23" s="19" t="n"/>
      <c r="C23" s="19" t="n"/>
      <c r="D23" s="19" t="n"/>
      <c r="E23" s="19" t="n"/>
      <c r="F23" s="19">
        <f>IF($C23="","",IF($C23="Work",IFERROR(IF(SUMIFS(WORK_TARIFF_RULES!$G:$G,WORK_TARIFF_RULES!$A:$A,$D23,WORK_TARIFF_RULES!$C:$C,$B23)&lt;&gt;"",SUMIFS(WORK_TARIFF_RULES!$G:$G,WORK_TARIFF_RULES!$A:$A,$D23,WORK_TARIFF_RULES!$C:$C,$B23),SUMIFS(WORK_MASTER!$C:$C,WORK_MASTER!$A:$A,$D23)),""),IF($C23="Material",IFERROR(IF(SUMIFS(MATERIAL_TARIFF_RULES!$G:$G,MATERIAL_TARIFF_RULES!$A:$A,$D23,MATERIAL_TARIFF_RULES!$C:$C,$B23)&lt;&gt;"",SUMIFS(MATERIAL_TARIFF_RULES!$G:$G,MATERIAL_TARIFF_RULES!$A:$A,$D23,MATERIAL_TARIFF_RULES!$C:$C,$B23),SUMIFS(MATERIAL_VARIANTS!$J:$J,MATERIAL_VARIANTS!$A:$A,$E23)),""),IF($C23="Logistics","Мобилизация и логистика объекта",""))))</f>
        <v/>
      </c>
      <c r="G23" s="19" t="n"/>
      <c r="H23" s="19" t="n"/>
      <c r="I23" s="33">
        <f>IF($C23="","",IF($C23="Work",IFERROR(SUMIFS(WORK_MASTER!$I:$I,WORK_MASTER!$A:$A,$D23),0),IF($C23="Material",IFERROR(SUMIFS(MATERIAL_VARIANTS!$I:$I,MATERIAL_VARIANTS!$A:$A,$E23),0),0)))</f>
        <v/>
      </c>
      <c r="J23" s="33">
        <f>IF($C23="","",IF($C23="Work",IF($E23&lt;&gt;"",IFERROR(SUMIFS(WORK_VARIANTS!$H:$H,WORK_VARIANTS!$A:$A,$E23),1),1),1))</f>
        <v/>
      </c>
      <c r="K23" s="33">
        <f>IF($C23="","",IF($C23="Work",IFERROR(SUMIFS(WORK_FACTOR_APPLICABILITY!$O:$O,WORK_FACTOR_APPLICABILITY!$A:$A,$D23,WORK_FACTOR_APPLICABILITY!$N:$N,$A23),1),IF($C23="Material",IFERROR(INDEX(MATERIAL_QUANTITY_EXAMPLE!$N:$N,MATCH(1,(MATERIAL_QUANTITY_EXAMPLE!$A:$A=MATERIAL_QUANTITY_EXAMPLE!$A:$A)*(MATERIAL_QUANTITY_EXAMPLE!$B:$B=$A23)*(MATERIAL_QUANTITY_EXAMPLE!$C:$C=$D23),0)),1),1)))</f>
        <v/>
      </c>
      <c r="L23" s="33">
        <f>IF($A23="","",IF($C23="Material",1,IFERROR(INDEX(OBJECT_CONDITIONS!$AH:$AH,MATCH($A23,OBJECT_CONDITIONS!$A:$A,0))*INDEX(OBJECT_CONDITIONS!$AJ:$AJ,MATCH($A23,OBJECT_CONDITIONS!$A:$A,0))*INDEX(OBJECT_CONDITIONS!$AL:$AL,MATCH($A23,OBJECT_CONDITIONS!$A:$A,0)),1)))</f>
        <v/>
      </c>
      <c r="M23" s="33">
        <f>IF($B23="","",IF($C23="Work",IFERROR(IF(SUMIFS(WORK_TARIFF_RULES!$F:$F,WORK_TARIFF_RULES!$A:$A,$D23,WORK_TARIFF_RULES!$C:$C,$B23)&lt;&gt;"",SUMIFS(WORK_TARIFF_RULES!$F:$F,WORK_TARIFF_RULES!$A:$A,$D23,WORK_TARIFF_RULES!$C:$C,$B23),SUMIFS(TARIFF_PROFILES!$D:$D,TARIFF_PROFILES!$A:$A,$B23)),1),IF($C23="Material",IFERROR(IF(SUMIFS(MATERIAL_TARIFF_RULES!$E:$E,MATERIAL_TARIFF_RULES!$A:$A,$D23,MATERIAL_TARIFF_RULES!$C:$C,$B23)&lt;&gt;"",SUMIFS(MATERIAL_TARIFF_RULES!$E:$E,MATERIAL_TARIFF_RULES!$A:$A,$D23,MATERIAL_TARIFF_RULES!$C:$C,$B23),SUMIFS(TARIFF_PROFILES!$E:$E,TARIFF_PROFILES!$A:$A,$B23)),1),SUMIFS(TARIFF_PROFILES!$F:$F,TARIFF_PROFILES!$A:$A,$B23))))</f>
        <v/>
      </c>
      <c r="N23" s="33">
        <f>IF($C23="Material",IFERROR(SUMIFS(MATERIAL_MASTER!$P:$P,MATERIAL_MASTER!$A:$A,$D23)*IF(SUMIFS(MATERIAL_TARIFF_RULES!$F:$F,MATERIAL_TARIFF_RULES!$A:$A,$D23,MATERIAL_TARIFF_RULES!$C:$C,$B23)="",SUMIFS(TARIFF_PROFILES!$H:$H,TARIFF_PROFILES!$A:$A,$B23),SUMIFS(MATERIAL_TARIFF_RULES!$F:$F,MATERIAL_TARIFF_RULES!$A:$A,$D23,MATERIAL_TARIFF_RULES!$C:$C,$B23)),1),1)</f>
        <v/>
      </c>
      <c r="O23" s="19">
        <f>IF($C23="","",IF($C23="Material",ROUNDUP(N($G23)*N($N23),0),N($G23)))</f>
        <v/>
      </c>
      <c r="P23" s="19">
        <f>IF(ROW()=2,MAX(0,INDEX(COMMERCIAL_POLICY!$B:$B,MATCH($B23,COMMERCIAL_POLICY!$A:$A,0))-SUM($Q$2:$Q$60)),0)</f>
        <v/>
      </c>
      <c r="Q23" s="35">
        <f>IF($C23="","",IF($C23="Material",N($I23)*N($K23)*N($M23)*N($O23),IF($C23="Logistics",INDEX(COMMERCIAL_POLICY!$D:$D,MATCH($B23,COMMERCIAL_POLICY!$A:$A,0))*N($L23),N($I23)*N($J23)*N($K23)*N($L23)*N($M23)*N($G23))))</f>
        <v/>
      </c>
      <c r="R23" s="19">
        <f>IF($A23="","",INDEX(OBJECT_CONDITIONS!$AM:$AM,MATCH($A23,OBJECT_CONDITIONS!$A:$A,0)))</f>
        <v/>
      </c>
      <c r="S23" s="33">
        <f>IF($R23="","",INDEX(TAX_MODES!$B:$B,MATCH($R23,TAX_MODES!$A:$A,0)))</f>
        <v/>
      </c>
      <c r="T23" s="35">
        <f>IF($Q23="","",N($Q23)*(1+N($S23)))</f>
        <v/>
      </c>
      <c r="U23" s="19">
        <f>IF($C23="","",IF($C23="Material","Net x reserve x rounded purchase logic",IF($C23="Logistics","Mobilization from COMMERCIAL_POLICY x operating coeff","Base x method/variant x site x operating x tariff")) )</f>
        <v/>
      </c>
    </row>
    <row r="24">
      <c r="A24" s="19" t="n"/>
      <c r="B24" s="19" t="n"/>
      <c r="C24" s="19" t="n"/>
      <c r="D24" s="19" t="n"/>
      <c r="E24" s="19" t="n"/>
      <c r="F24" s="19">
        <f>IF($C24="","",IF($C24="Work",IFERROR(IF(SUMIFS(WORK_TARIFF_RULES!$G:$G,WORK_TARIFF_RULES!$A:$A,$D24,WORK_TARIFF_RULES!$C:$C,$B24)&lt;&gt;"",SUMIFS(WORK_TARIFF_RULES!$G:$G,WORK_TARIFF_RULES!$A:$A,$D24,WORK_TARIFF_RULES!$C:$C,$B24),SUMIFS(WORK_MASTER!$C:$C,WORK_MASTER!$A:$A,$D24)),""),IF($C24="Material",IFERROR(IF(SUMIFS(MATERIAL_TARIFF_RULES!$G:$G,MATERIAL_TARIFF_RULES!$A:$A,$D24,MATERIAL_TARIFF_RULES!$C:$C,$B24)&lt;&gt;"",SUMIFS(MATERIAL_TARIFF_RULES!$G:$G,MATERIAL_TARIFF_RULES!$A:$A,$D24,MATERIAL_TARIFF_RULES!$C:$C,$B24),SUMIFS(MATERIAL_VARIANTS!$J:$J,MATERIAL_VARIANTS!$A:$A,$E24)),""),IF($C24="Logistics","Мобилизация и логистика объекта",""))))</f>
        <v/>
      </c>
      <c r="G24" s="19" t="n"/>
      <c r="H24" s="19" t="n"/>
      <c r="I24" s="33">
        <f>IF($C24="","",IF($C24="Work",IFERROR(SUMIFS(WORK_MASTER!$I:$I,WORK_MASTER!$A:$A,$D24),0),IF($C24="Material",IFERROR(SUMIFS(MATERIAL_VARIANTS!$I:$I,MATERIAL_VARIANTS!$A:$A,$E24),0),0)))</f>
        <v/>
      </c>
      <c r="J24" s="33">
        <f>IF($C24="","",IF($C24="Work",IF($E24&lt;&gt;"",IFERROR(SUMIFS(WORK_VARIANTS!$H:$H,WORK_VARIANTS!$A:$A,$E24),1),1),1))</f>
        <v/>
      </c>
      <c r="K24" s="33">
        <f>IF($C24="","",IF($C24="Work",IFERROR(SUMIFS(WORK_FACTOR_APPLICABILITY!$O:$O,WORK_FACTOR_APPLICABILITY!$A:$A,$D24,WORK_FACTOR_APPLICABILITY!$N:$N,$A24),1),IF($C24="Material",IFERROR(INDEX(MATERIAL_QUANTITY_EXAMPLE!$N:$N,MATCH(1,(MATERIAL_QUANTITY_EXAMPLE!$A:$A=MATERIAL_QUANTITY_EXAMPLE!$A:$A)*(MATERIAL_QUANTITY_EXAMPLE!$B:$B=$A24)*(MATERIAL_QUANTITY_EXAMPLE!$C:$C=$D24),0)),1),1)))</f>
        <v/>
      </c>
      <c r="L24" s="33">
        <f>IF($A24="","",IF($C24="Material",1,IFERROR(INDEX(OBJECT_CONDITIONS!$AH:$AH,MATCH($A24,OBJECT_CONDITIONS!$A:$A,0))*INDEX(OBJECT_CONDITIONS!$AJ:$AJ,MATCH($A24,OBJECT_CONDITIONS!$A:$A,0))*INDEX(OBJECT_CONDITIONS!$AL:$AL,MATCH($A24,OBJECT_CONDITIONS!$A:$A,0)),1)))</f>
        <v/>
      </c>
      <c r="M24" s="33">
        <f>IF($B24="","",IF($C24="Work",IFERROR(IF(SUMIFS(WORK_TARIFF_RULES!$F:$F,WORK_TARIFF_RULES!$A:$A,$D24,WORK_TARIFF_RULES!$C:$C,$B24)&lt;&gt;"",SUMIFS(WORK_TARIFF_RULES!$F:$F,WORK_TARIFF_RULES!$A:$A,$D24,WORK_TARIFF_RULES!$C:$C,$B24),SUMIFS(TARIFF_PROFILES!$D:$D,TARIFF_PROFILES!$A:$A,$B24)),1),IF($C24="Material",IFERROR(IF(SUMIFS(MATERIAL_TARIFF_RULES!$E:$E,MATERIAL_TARIFF_RULES!$A:$A,$D24,MATERIAL_TARIFF_RULES!$C:$C,$B24)&lt;&gt;"",SUMIFS(MATERIAL_TARIFF_RULES!$E:$E,MATERIAL_TARIFF_RULES!$A:$A,$D24,MATERIAL_TARIFF_RULES!$C:$C,$B24),SUMIFS(TARIFF_PROFILES!$E:$E,TARIFF_PROFILES!$A:$A,$B24)),1),SUMIFS(TARIFF_PROFILES!$F:$F,TARIFF_PROFILES!$A:$A,$B24))))</f>
        <v/>
      </c>
      <c r="N24" s="33">
        <f>IF($C24="Material",IFERROR(SUMIFS(MATERIAL_MASTER!$P:$P,MATERIAL_MASTER!$A:$A,$D24)*IF(SUMIFS(MATERIAL_TARIFF_RULES!$F:$F,MATERIAL_TARIFF_RULES!$A:$A,$D24,MATERIAL_TARIFF_RULES!$C:$C,$B24)="",SUMIFS(TARIFF_PROFILES!$H:$H,TARIFF_PROFILES!$A:$A,$B24),SUMIFS(MATERIAL_TARIFF_RULES!$F:$F,MATERIAL_TARIFF_RULES!$A:$A,$D24,MATERIAL_TARIFF_RULES!$C:$C,$B24)),1),1)</f>
        <v/>
      </c>
      <c r="O24" s="19">
        <f>IF($C24="","",IF($C24="Material",ROUNDUP(N($G24)*N($N24),0),N($G24)))</f>
        <v/>
      </c>
      <c r="P24" s="19">
        <f>IF(ROW()=2,MAX(0,INDEX(COMMERCIAL_POLICY!$B:$B,MATCH($B24,COMMERCIAL_POLICY!$A:$A,0))-SUM($Q$2:$Q$60)),0)</f>
        <v/>
      </c>
      <c r="Q24" s="35">
        <f>IF($C24="","",IF($C24="Material",N($I24)*N($K24)*N($M24)*N($O24),IF($C24="Logistics",INDEX(COMMERCIAL_POLICY!$D:$D,MATCH($B24,COMMERCIAL_POLICY!$A:$A,0))*N($L24),N($I24)*N($J24)*N($K24)*N($L24)*N($M24)*N($G24))))</f>
        <v/>
      </c>
      <c r="R24" s="19">
        <f>IF($A24="","",INDEX(OBJECT_CONDITIONS!$AM:$AM,MATCH($A24,OBJECT_CONDITIONS!$A:$A,0)))</f>
        <v/>
      </c>
      <c r="S24" s="33">
        <f>IF($R24="","",INDEX(TAX_MODES!$B:$B,MATCH($R24,TAX_MODES!$A:$A,0)))</f>
        <v/>
      </c>
      <c r="T24" s="35">
        <f>IF($Q24="","",N($Q24)*(1+N($S24)))</f>
        <v/>
      </c>
      <c r="U24" s="19">
        <f>IF($C24="","",IF($C24="Material","Net x reserve x rounded purchase logic",IF($C24="Logistics","Mobilization from COMMERCIAL_POLICY x operating coeff","Base x method/variant x site x operating x tariff")) )</f>
        <v/>
      </c>
    </row>
    <row r="25">
      <c r="A25" s="19" t="n"/>
      <c r="B25" s="19" t="n"/>
      <c r="C25" s="19" t="n"/>
      <c r="D25" s="19" t="n"/>
      <c r="E25" s="19" t="n"/>
      <c r="F25" s="19">
        <f>IF($C25="","",IF($C25="Work",IFERROR(IF(SUMIFS(WORK_TARIFF_RULES!$G:$G,WORK_TARIFF_RULES!$A:$A,$D25,WORK_TARIFF_RULES!$C:$C,$B25)&lt;&gt;"",SUMIFS(WORK_TARIFF_RULES!$G:$G,WORK_TARIFF_RULES!$A:$A,$D25,WORK_TARIFF_RULES!$C:$C,$B25),SUMIFS(WORK_MASTER!$C:$C,WORK_MASTER!$A:$A,$D25)),""),IF($C25="Material",IFERROR(IF(SUMIFS(MATERIAL_TARIFF_RULES!$G:$G,MATERIAL_TARIFF_RULES!$A:$A,$D25,MATERIAL_TARIFF_RULES!$C:$C,$B25)&lt;&gt;"",SUMIFS(MATERIAL_TARIFF_RULES!$G:$G,MATERIAL_TARIFF_RULES!$A:$A,$D25,MATERIAL_TARIFF_RULES!$C:$C,$B25),SUMIFS(MATERIAL_VARIANTS!$J:$J,MATERIAL_VARIANTS!$A:$A,$E25)),""),IF($C25="Logistics","Мобилизация и логистика объекта",""))))</f>
        <v/>
      </c>
      <c r="G25" s="19" t="n"/>
      <c r="H25" s="19" t="n"/>
      <c r="I25" s="33">
        <f>IF($C25="","",IF($C25="Work",IFERROR(SUMIFS(WORK_MASTER!$I:$I,WORK_MASTER!$A:$A,$D25),0),IF($C25="Material",IFERROR(SUMIFS(MATERIAL_VARIANTS!$I:$I,MATERIAL_VARIANTS!$A:$A,$E25),0),0)))</f>
        <v/>
      </c>
      <c r="J25" s="33">
        <f>IF($C25="","",IF($C25="Work",IF($E25&lt;&gt;"",IFERROR(SUMIFS(WORK_VARIANTS!$H:$H,WORK_VARIANTS!$A:$A,$E25),1),1),1))</f>
        <v/>
      </c>
      <c r="K25" s="33">
        <f>IF($C25="","",IF($C25="Work",IFERROR(SUMIFS(WORK_FACTOR_APPLICABILITY!$O:$O,WORK_FACTOR_APPLICABILITY!$A:$A,$D25,WORK_FACTOR_APPLICABILITY!$N:$N,$A25),1),IF($C25="Material",IFERROR(INDEX(MATERIAL_QUANTITY_EXAMPLE!$N:$N,MATCH(1,(MATERIAL_QUANTITY_EXAMPLE!$A:$A=MATERIAL_QUANTITY_EXAMPLE!$A:$A)*(MATERIAL_QUANTITY_EXAMPLE!$B:$B=$A25)*(MATERIAL_QUANTITY_EXAMPLE!$C:$C=$D25),0)),1),1)))</f>
        <v/>
      </c>
      <c r="L25" s="33">
        <f>IF($A25="","",IF($C25="Material",1,IFERROR(INDEX(OBJECT_CONDITIONS!$AH:$AH,MATCH($A25,OBJECT_CONDITIONS!$A:$A,0))*INDEX(OBJECT_CONDITIONS!$AJ:$AJ,MATCH($A25,OBJECT_CONDITIONS!$A:$A,0))*INDEX(OBJECT_CONDITIONS!$AL:$AL,MATCH($A25,OBJECT_CONDITIONS!$A:$A,0)),1)))</f>
        <v/>
      </c>
      <c r="M25" s="33">
        <f>IF($B25="","",IF($C25="Work",IFERROR(IF(SUMIFS(WORK_TARIFF_RULES!$F:$F,WORK_TARIFF_RULES!$A:$A,$D25,WORK_TARIFF_RULES!$C:$C,$B25)&lt;&gt;"",SUMIFS(WORK_TARIFF_RULES!$F:$F,WORK_TARIFF_RULES!$A:$A,$D25,WORK_TARIFF_RULES!$C:$C,$B25),SUMIFS(TARIFF_PROFILES!$D:$D,TARIFF_PROFILES!$A:$A,$B25)),1),IF($C25="Material",IFERROR(IF(SUMIFS(MATERIAL_TARIFF_RULES!$E:$E,MATERIAL_TARIFF_RULES!$A:$A,$D25,MATERIAL_TARIFF_RULES!$C:$C,$B25)&lt;&gt;"",SUMIFS(MATERIAL_TARIFF_RULES!$E:$E,MATERIAL_TARIFF_RULES!$A:$A,$D25,MATERIAL_TARIFF_RULES!$C:$C,$B25),SUMIFS(TARIFF_PROFILES!$E:$E,TARIFF_PROFILES!$A:$A,$B25)),1),SUMIFS(TARIFF_PROFILES!$F:$F,TARIFF_PROFILES!$A:$A,$B25))))</f>
        <v/>
      </c>
      <c r="N25" s="33">
        <f>IF($C25="Material",IFERROR(SUMIFS(MATERIAL_MASTER!$P:$P,MATERIAL_MASTER!$A:$A,$D25)*IF(SUMIFS(MATERIAL_TARIFF_RULES!$F:$F,MATERIAL_TARIFF_RULES!$A:$A,$D25,MATERIAL_TARIFF_RULES!$C:$C,$B25)="",SUMIFS(TARIFF_PROFILES!$H:$H,TARIFF_PROFILES!$A:$A,$B25),SUMIFS(MATERIAL_TARIFF_RULES!$F:$F,MATERIAL_TARIFF_RULES!$A:$A,$D25,MATERIAL_TARIFF_RULES!$C:$C,$B25)),1),1)</f>
        <v/>
      </c>
      <c r="O25" s="19">
        <f>IF($C25="","",IF($C25="Material",ROUNDUP(N($G25)*N($N25),0),N($G25)))</f>
        <v/>
      </c>
      <c r="P25" s="19">
        <f>IF(ROW()=2,MAX(0,INDEX(COMMERCIAL_POLICY!$B:$B,MATCH($B25,COMMERCIAL_POLICY!$A:$A,0))-SUM($Q$2:$Q$60)),0)</f>
        <v/>
      </c>
      <c r="Q25" s="35">
        <f>IF($C25="","",IF($C25="Material",N($I25)*N($K25)*N($M25)*N($O25),IF($C25="Logistics",INDEX(COMMERCIAL_POLICY!$D:$D,MATCH($B25,COMMERCIAL_POLICY!$A:$A,0))*N($L25),N($I25)*N($J25)*N($K25)*N($L25)*N($M25)*N($G25))))</f>
        <v/>
      </c>
      <c r="R25" s="19">
        <f>IF($A25="","",INDEX(OBJECT_CONDITIONS!$AM:$AM,MATCH($A25,OBJECT_CONDITIONS!$A:$A,0)))</f>
        <v/>
      </c>
      <c r="S25" s="33">
        <f>IF($R25="","",INDEX(TAX_MODES!$B:$B,MATCH($R25,TAX_MODES!$A:$A,0)))</f>
        <v/>
      </c>
      <c r="T25" s="35">
        <f>IF($Q25="","",N($Q25)*(1+N($S25)))</f>
        <v/>
      </c>
      <c r="U25" s="19">
        <f>IF($C25="","",IF($C25="Material","Net x reserve x rounded purchase logic",IF($C25="Logistics","Mobilization from COMMERCIAL_POLICY x operating coeff","Base x method/variant x site x operating x tariff")) )</f>
        <v/>
      </c>
    </row>
    <row r="26">
      <c r="A26" s="19" t="n"/>
      <c r="B26" s="19" t="n"/>
      <c r="C26" s="19" t="n"/>
      <c r="D26" s="19" t="n"/>
      <c r="E26" s="19" t="n"/>
      <c r="F26" s="19">
        <f>IF($C26="","",IF($C26="Work",IFERROR(IF(SUMIFS(WORK_TARIFF_RULES!$G:$G,WORK_TARIFF_RULES!$A:$A,$D26,WORK_TARIFF_RULES!$C:$C,$B26)&lt;&gt;"",SUMIFS(WORK_TARIFF_RULES!$G:$G,WORK_TARIFF_RULES!$A:$A,$D26,WORK_TARIFF_RULES!$C:$C,$B26),SUMIFS(WORK_MASTER!$C:$C,WORK_MASTER!$A:$A,$D26)),""),IF($C26="Material",IFERROR(IF(SUMIFS(MATERIAL_TARIFF_RULES!$G:$G,MATERIAL_TARIFF_RULES!$A:$A,$D26,MATERIAL_TARIFF_RULES!$C:$C,$B26)&lt;&gt;"",SUMIFS(MATERIAL_TARIFF_RULES!$G:$G,MATERIAL_TARIFF_RULES!$A:$A,$D26,MATERIAL_TARIFF_RULES!$C:$C,$B26),SUMIFS(MATERIAL_VARIANTS!$J:$J,MATERIAL_VARIANTS!$A:$A,$E26)),""),IF($C26="Logistics","Мобилизация и логистика объекта",""))))</f>
        <v/>
      </c>
      <c r="G26" s="19" t="n"/>
      <c r="H26" s="19" t="n"/>
      <c r="I26" s="33">
        <f>IF($C26="","",IF($C26="Work",IFERROR(SUMIFS(WORK_MASTER!$I:$I,WORK_MASTER!$A:$A,$D26),0),IF($C26="Material",IFERROR(SUMIFS(MATERIAL_VARIANTS!$I:$I,MATERIAL_VARIANTS!$A:$A,$E26),0),0)))</f>
        <v/>
      </c>
      <c r="J26" s="33">
        <f>IF($C26="","",IF($C26="Work",IF($E26&lt;&gt;"",IFERROR(SUMIFS(WORK_VARIANTS!$H:$H,WORK_VARIANTS!$A:$A,$E26),1),1),1))</f>
        <v/>
      </c>
      <c r="K26" s="33">
        <f>IF($C26="","",IF($C26="Work",IFERROR(SUMIFS(WORK_FACTOR_APPLICABILITY!$O:$O,WORK_FACTOR_APPLICABILITY!$A:$A,$D26,WORK_FACTOR_APPLICABILITY!$N:$N,$A26),1),IF($C26="Material",IFERROR(INDEX(MATERIAL_QUANTITY_EXAMPLE!$N:$N,MATCH(1,(MATERIAL_QUANTITY_EXAMPLE!$A:$A=MATERIAL_QUANTITY_EXAMPLE!$A:$A)*(MATERIAL_QUANTITY_EXAMPLE!$B:$B=$A26)*(MATERIAL_QUANTITY_EXAMPLE!$C:$C=$D26),0)),1),1)))</f>
        <v/>
      </c>
      <c r="L26" s="33">
        <f>IF($A26="","",IF($C26="Material",1,IFERROR(INDEX(OBJECT_CONDITIONS!$AH:$AH,MATCH($A26,OBJECT_CONDITIONS!$A:$A,0))*INDEX(OBJECT_CONDITIONS!$AJ:$AJ,MATCH($A26,OBJECT_CONDITIONS!$A:$A,0))*INDEX(OBJECT_CONDITIONS!$AL:$AL,MATCH($A26,OBJECT_CONDITIONS!$A:$A,0)),1)))</f>
        <v/>
      </c>
      <c r="M26" s="33">
        <f>IF($B26="","",IF($C26="Work",IFERROR(IF(SUMIFS(WORK_TARIFF_RULES!$F:$F,WORK_TARIFF_RULES!$A:$A,$D26,WORK_TARIFF_RULES!$C:$C,$B26)&lt;&gt;"",SUMIFS(WORK_TARIFF_RULES!$F:$F,WORK_TARIFF_RULES!$A:$A,$D26,WORK_TARIFF_RULES!$C:$C,$B26),SUMIFS(TARIFF_PROFILES!$D:$D,TARIFF_PROFILES!$A:$A,$B26)),1),IF($C26="Material",IFERROR(IF(SUMIFS(MATERIAL_TARIFF_RULES!$E:$E,MATERIAL_TARIFF_RULES!$A:$A,$D26,MATERIAL_TARIFF_RULES!$C:$C,$B26)&lt;&gt;"",SUMIFS(MATERIAL_TARIFF_RULES!$E:$E,MATERIAL_TARIFF_RULES!$A:$A,$D26,MATERIAL_TARIFF_RULES!$C:$C,$B26),SUMIFS(TARIFF_PROFILES!$E:$E,TARIFF_PROFILES!$A:$A,$B26)),1),SUMIFS(TARIFF_PROFILES!$F:$F,TARIFF_PROFILES!$A:$A,$B26))))</f>
        <v/>
      </c>
      <c r="N26" s="33">
        <f>IF($C26="Material",IFERROR(SUMIFS(MATERIAL_MASTER!$P:$P,MATERIAL_MASTER!$A:$A,$D26)*IF(SUMIFS(MATERIAL_TARIFF_RULES!$F:$F,MATERIAL_TARIFF_RULES!$A:$A,$D26,MATERIAL_TARIFF_RULES!$C:$C,$B26)="",SUMIFS(TARIFF_PROFILES!$H:$H,TARIFF_PROFILES!$A:$A,$B26),SUMIFS(MATERIAL_TARIFF_RULES!$F:$F,MATERIAL_TARIFF_RULES!$A:$A,$D26,MATERIAL_TARIFF_RULES!$C:$C,$B26)),1),1)</f>
        <v/>
      </c>
      <c r="O26" s="19">
        <f>IF($C26="","",IF($C26="Material",ROUNDUP(N($G26)*N($N26),0),N($G26)))</f>
        <v/>
      </c>
      <c r="P26" s="19">
        <f>IF(ROW()=2,MAX(0,INDEX(COMMERCIAL_POLICY!$B:$B,MATCH($B26,COMMERCIAL_POLICY!$A:$A,0))-SUM($Q$2:$Q$60)),0)</f>
        <v/>
      </c>
      <c r="Q26" s="35">
        <f>IF($C26="","",IF($C26="Material",N($I26)*N($K26)*N($M26)*N($O26),IF($C26="Logistics",INDEX(COMMERCIAL_POLICY!$D:$D,MATCH($B26,COMMERCIAL_POLICY!$A:$A,0))*N($L26),N($I26)*N($J26)*N($K26)*N($L26)*N($M26)*N($G26))))</f>
        <v/>
      </c>
      <c r="R26" s="19">
        <f>IF($A26="","",INDEX(OBJECT_CONDITIONS!$AM:$AM,MATCH($A26,OBJECT_CONDITIONS!$A:$A,0)))</f>
        <v/>
      </c>
      <c r="S26" s="33">
        <f>IF($R26="","",INDEX(TAX_MODES!$B:$B,MATCH($R26,TAX_MODES!$A:$A,0)))</f>
        <v/>
      </c>
      <c r="T26" s="35">
        <f>IF($Q26="","",N($Q26)*(1+N($S26)))</f>
        <v/>
      </c>
      <c r="U26" s="19">
        <f>IF($C26="","",IF($C26="Material","Net x reserve x rounded purchase logic",IF($C26="Logistics","Mobilization from COMMERCIAL_POLICY x operating coeff","Base x method/variant x site x operating x tariff")) )</f>
        <v/>
      </c>
    </row>
    <row r="27">
      <c r="A27" s="19" t="n"/>
      <c r="B27" s="19" t="n"/>
      <c r="C27" s="19" t="n"/>
      <c r="D27" s="19" t="n"/>
      <c r="E27" s="19" t="n"/>
      <c r="F27" s="19">
        <f>IF($C27="","",IF($C27="Work",IFERROR(IF(SUMIFS(WORK_TARIFF_RULES!$G:$G,WORK_TARIFF_RULES!$A:$A,$D27,WORK_TARIFF_RULES!$C:$C,$B27)&lt;&gt;"",SUMIFS(WORK_TARIFF_RULES!$G:$G,WORK_TARIFF_RULES!$A:$A,$D27,WORK_TARIFF_RULES!$C:$C,$B27),SUMIFS(WORK_MASTER!$C:$C,WORK_MASTER!$A:$A,$D27)),""),IF($C27="Material",IFERROR(IF(SUMIFS(MATERIAL_TARIFF_RULES!$G:$G,MATERIAL_TARIFF_RULES!$A:$A,$D27,MATERIAL_TARIFF_RULES!$C:$C,$B27)&lt;&gt;"",SUMIFS(MATERIAL_TARIFF_RULES!$G:$G,MATERIAL_TARIFF_RULES!$A:$A,$D27,MATERIAL_TARIFF_RULES!$C:$C,$B27),SUMIFS(MATERIAL_VARIANTS!$J:$J,MATERIAL_VARIANTS!$A:$A,$E27)),""),IF($C27="Logistics","Мобилизация и логистика объекта",""))))</f>
        <v/>
      </c>
      <c r="G27" s="19" t="n"/>
      <c r="H27" s="19" t="n"/>
      <c r="I27" s="33">
        <f>IF($C27="","",IF($C27="Work",IFERROR(SUMIFS(WORK_MASTER!$I:$I,WORK_MASTER!$A:$A,$D27),0),IF($C27="Material",IFERROR(SUMIFS(MATERIAL_VARIANTS!$I:$I,MATERIAL_VARIANTS!$A:$A,$E27),0),0)))</f>
        <v/>
      </c>
      <c r="J27" s="33">
        <f>IF($C27="","",IF($C27="Work",IF($E27&lt;&gt;"",IFERROR(SUMIFS(WORK_VARIANTS!$H:$H,WORK_VARIANTS!$A:$A,$E27),1),1),1))</f>
        <v/>
      </c>
      <c r="K27" s="33">
        <f>IF($C27="","",IF($C27="Work",IFERROR(SUMIFS(WORK_FACTOR_APPLICABILITY!$O:$O,WORK_FACTOR_APPLICABILITY!$A:$A,$D27,WORK_FACTOR_APPLICABILITY!$N:$N,$A27),1),IF($C27="Material",IFERROR(INDEX(MATERIAL_QUANTITY_EXAMPLE!$N:$N,MATCH(1,(MATERIAL_QUANTITY_EXAMPLE!$A:$A=MATERIAL_QUANTITY_EXAMPLE!$A:$A)*(MATERIAL_QUANTITY_EXAMPLE!$B:$B=$A27)*(MATERIAL_QUANTITY_EXAMPLE!$C:$C=$D27),0)),1),1)))</f>
        <v/>
      </c>
      <c r="L27" s="33">
        <f>IF($A27="","",IF($C27="Material",1,IFERROR(INDEX(OBJECT_CONDITIONS!$AH:$AH,MATCH($A27,OBJECT_CONDITIONS!$A:$A,0))*INDEX(OBJECT_CONDITIONS!$AJ:$AJ,MATCH($A27,OBJECT_CONDITIONS!$A:$A,0))*INDEX(OBJECT_CONDITIONS!$AL:$AL,MATCH($A27,OBJECT_CONDITIONS!$A:$A,0)),1)))</f>
        <v/>
      </c>
      <c r="M27" s="33">
        <f>IF($B27="","",IF($C27="Work",IFERROR(IF(SUMIFS(WORK_TARIFF_RULES!$F:$F,WORK_TARIFF_RULES!$A:$A,$D27,WORK_TARIFF_RULES!$C:$C,$B27)&lt;&gt;"",SUMIFS(WORK_TARIFF_RULES!$F:$F,WORK_TARIFF_RULES!$A:$A,$D27,WORK_TARIFF_RULES!$C:$C,$B27),SUMIFS(TARIFF_PROFILES!$D:$D,TARIFF_PROFILES!$A:$A,$B27)),1),IF($C27="Material",IFERROR(IF(SUMIFS(MATERIAL_TARIFF_RULES!$E:$E,MATERIAL_TARIFF_RULES!$A:$A,$D27,MATERIAL_TARIFF_RULES!$C:$C,$B27)&lt;&gt;"",SUMIFS(MATERIAL_TARIFF_RULES!$E:$E,MATERIAL_TARIFF_RULES!$A:$A,$D27,MATERIAL_TARIFF_RULES!$C:$C,$B27),SUMIFS(TARIFF_PROFILES!$E:$E,TARIFF_PROFILES!$A:$A,$B27)),1),SUMIFS(TARIFF_PROFILES!$F:$F,TARIFF_PROFILES!$A:$A,$B27))))</f>
        <v/>
      </c>
      <c r="N27" s="33">
        <f>IF($C27="Material",IFERROR(SUMIFS(MATERIAL_MASTER!$P:$P,MATERIAL_MASTER!$A:$A,$D27)*IF(SUMIFS(MATERIAL_TARIFF_RULES!$F:$F,MATERIAL_TARIFF_RULES!$A:$A,$D27,MATERIAL_TARIFF_RULES!$C:$C,$B27)="",SUMIFS(TARIFF_PROFILES!$H:$H,TARIFF_PROFILES!$A:$A,$B27),SUMIFS(MATERIAL_TARIFF_RULES!$F:$F,MATERIAL_TARIFF_RULES!$A:$A,$D27,MATERIAL_TARIFF_RULES!$C:$C,$B27)),1),1)</f>
        <v/>
      </c>
      <c r="O27" s="19">
        <f>IF($C27="","",IF($C27="Material",ROUNDUP(N($G27)*N($N27),0),N($G27)))</f>
        <v/>
      </c>
      <c r="P27" s="19">
        <f>IF(ROW()=2,MAX(0,INDEX(COMMERCIAL_POLICY!$B:$B,MATCH($B27,COMMERCIAL_POLICY!$A:$A,0))-SUM($Q$2:$Q$60)),0)</f>
        <v/>
      </c>
      <c r="Q27" s="35">
        <f>IF($C27="","",IF($C27="Material",N($I27)*N($K27)*N($M27)*N($O27),IF($C27="Logistics",INDEX(COMMERCIAL_POLICY!$D:$D,MATCH($B27,COMMERCIAL_POLICY!$A:$A,0))*N($L27),N($I27)*N($J27)*N($K27)*N($L27)*N($M27)*N($G27))))</f>
        <v/>
      </c>
      <c r="R27" s="19">
        <f>IF($A27="","",INDEX(OBJECT_CONDITIONS!$AM:$AM,MATCH($A27,OBJECT_CONDITIONS!$A:$A,0)))</f>
        <v/>
      </c>
      <c r="S27" s="33">
        <f>IF($R27="","",INDEX(TAX_MODES!$B:$B,MATCH($R27,TAX_MODES!$A:$A,0)))</f>
        <v/>
      </c>
      <c r="T27" s="35">
        <f>IF($Q27="","",N($Q27)*(1+N($S27)))</f>
        <v/>
      </c>
      <c r="U27" s="19">
        <f>IF($C27="","",IF($C27="Material","Net x reserve x rounded purchase logic",IF($C27="Logistics","Mobilization from COMMERCIAL_POLICY x operating coeff","Base x method/variant x site x operating x tariff")) )</f>
        <v/>
      </c>
    </row>
    <row r="28">
      <c r="A28" s="19" t="n"/>
      <c r="B28" s="19" t="n"/>
      <c r="C28" s="19" t="n"/>
      <c r="D28" s="19" t="n"/>
      <c r="E28" s="19" t="n"/>
      <c r="F28" s="19">
        <f>IF($C28="","",IF($C28="Work",IFERROR(IF(SUMIFS(WORK_TARIFF_RULES!$G:$G,WORK_TARIFF_RULES!$A:$A,$D28,WORK_TARIFF_RULES!$C:$C,$B28)&lt;&gt;"",SUMIFS(WORK_TARIFF_RULES!$G:$G,WORK_TARIFF_RULES!$A:$A,$D28,WORK_TARIFF_RULES!$C:$C,$B28),SUMIFS(WORK_MASTER!$C:$C,WORK_MASTER!$A:$A,$D28)),""),IF($C28="Material",IFERROR(IF(SUMIFS(MATERIAL_TARIFF_RULES!$G:$G,MATERIAL_TARIFF_RULES!$A:$A,$D28,MATERIAL_TARIFF_RULES!$C:$C,$B28)&lt;&gt;"",SUMIFS(MATERIAL_TARIFF_RULES!$G:$G,MATERIAL_TARIFF_RULES!$A:$A,$D28,MATERIAL_TARIFF_RULES!$C:$C,$B28),SUMIFS(MATERIAL_VARIANTS!$J:$J,MATERIAL_VARIANTS!$A:$A,$E28)),""),IF($C28="Logistics","Мобилизация и логистика объекта",""))))</f>
        <v/>
      </c>
      <c r="G28" s="19" t="n"/>
      <c r="H28" s="19" t="n"/>
      <c r="I28" s="33">
        <f>IF($C28="","",IF($C28="Work",IFERROR(SUMIFS(WORK_MASTER!$I:$I,WORK_MASTER!$A:$A,$D28),0),IF($C28="Material",IFERROR(SUMIFS(MATERIAL_VARIANTS!$I:$I,MATERIAL_VARIANTS!$A:$A,$E28),0),0)))</f>
        <v/>
      </c>
      <c r="J28" s="33">
        <f>IF($C28="","",IF($C28="Work",IF($E28&lt;&gt;"",IFERROR(SUMIFS(WORK_VARIANTS!$H:$H,WORK_VARIANTS!$A:$A,$E28),1),1),1))</f>
        <v/>
      </c>
      <c r="K28" s="33">
        <f>IF($C28="","",IF($C28="Work",IFERROR(SUMIFS(WORK_FACTOR_APPLICABILITY!$O:$O,WORK_FACTOR_APPLICABILITY!$A:$A,$D28,WORK_FACTOR_APPLICABILITY!$N:$N,$A28),1),IF($C28="Material",IFERROR(INDEX(MATERIAL_QUANTITY_EXAMPLE!$N:$N,MATCH(1,(MATERIAL_QUANTITY_EXAMPLE!$A:$A=MATERIAL_QUANTITY_EXAMPLE!$A:$A)*(MATERIAL_QUANTITY_EXAMPLE!$B:$B=$A28)*(MATERIAL_QUANTITY_EXAMPLE!$C:$C=$D28),0)),1),1)))</f>
        <v/>
      </c>
      <c r="L28" s="33">
        <f>IF($A28="","",IF($C28="Material",1,IFERROR(INDEX(OBJECT_CONDITIONS!$AH:$AH,MATCH($A28,OBJECT_CONDITIONS!$A:$A,0))*INDEX(OBJECT_CONDITIONS!$AJ:$AJ,MATCH($A28,OBJECT_CONDITIONS!$A:$A,0))*INDEX(OBJECT_CONDITIONS!$AL:$AL,MATCH($A28,OBJECT_CONDITIONS!$A:$A,0)),1)))</f>
        <v/>
      </c>
      <c r="M28" s="33">
        <f>IF($B28="","",IF($C28="Work",IFERROR(IF(SUMIFS(WORK_TARIFF_RULES!$F:$F,WORK_TARIFF_RULES!$A:$A,$D28,WORK_TARIFF_RULES!$C:$C,$B28)&lt;&gt;"",SUMIFS(WORK_TARIFF_RULES!$F:$F,WORK_TARIFF_RULES!$A:$A,$D28,WORK_TARIFF_RULES!$C:$C,$B28),SUMIFS(TARIFF_PROFILES!$D:$D,TARIFF_PROFILES!$A:$A,$B28)),1),IF($C28="Material",IFERROR(IF(SUMIFS(MATERIAL_TARIFF_RULES!$E:$E,MATERIAL_TARIFF_RULES!$A:$A,$D28,MATERIAL_TARIFF_RULES!$C:$C,$B28)&lt;&gt;"",SUMIFS(MATERIAL_TARIFF_RULES!$E:$E,MATERIAL_TARIFF_RULES!$A:$A,$D28,MATERIAL_TARIFF_RULES!$C:$C,$B28),SUMIFS(TARIFF_PROFILES!$E:$E,TARIFF_PROFILES!$A:$A,$B28)),1),SUMIFS(TARIFF_PROFILES!$F:$F,TARIFF_PROFILES!$A:$A,$B28))))</f>
        <v/>
      </c>
      <c r="N28" s="33">
        <f>IF($C28="Material",IFERROR(SUMIFS(MATERIAL_MASTER!$P:$P,MATERIAL_MASTER!$A:$A,$D28)*IF(SUMIFS(MATERIAL_TARIFF_RULES!$F:$F,MATERIAL_TARIFF_RULES!$A:$A,$D28,MATERIAL_TARIFF_RULES!$C:$C,$B28)="",SUMIFS(TARIFF_PROFILES!$H:$H,TARIFF_PROFILES!$A:$A,$B28),SUMIFS(MATERIAL_TARIFF_RULES!$F:$F,MATERIAL_TARIFF_RULES!$A:$A,$D28,MATERIAL_TARIFF_RULES!$C:$C,$B28)),1),1)</f>
        <v/>
      </c>
      <c r="O28" s="19">
        <f>IF($C28="","",IF($C28="Material",ROUNDUP(N($G28)*N($N28),0),N($G28)))</f>
        <v/>
      </c>
      <c r="P28" s="19">
        <f>IF(ROW()=2,MAX(0,INDEX(COMMERCIAL_POLICY!$B:$B,MATCH($B28,COMMERCIAL_POLICY!$A:$A,0))-SUM($Q$2:$Q$60)),0)</f>
        <v/>
      </c>
      <c r="Q28" s="35">
        <f>IF($C28="","",IF($C28="Material",N($I28)*N($K28)*N($M28)*N($O28),IF($C28="Logistics",INDEX(COMMERCIAL_POLICY!$D:$D,MATCH($B28,COMMERCIAL_POLICY!$A:$A,0))*N($L28),N($I28)*N($J28)*N($K28)*N($L28)*N($M28)*N($G28))))</f>
        <v/>
      </c>
      <c r="R28" s="19">
        <f>IF($A28="","",INDEX(OBJECT_CONDITIONS!$AM:$AM,MATCH($A28,OBJECT_CONDITIONS!$A:$A,0)))</f>
        <v/>
      </c>
      <c r="S28" s="33">
        <f>IF($R28="","",INDEX(TAX_MODES!$B:$B,MATCH($R28,TAX_MODES!$A:$A,0)))</f>
        <v/>
      </c>
      <c r="T28" s="35">
        <f>IF($Q28="","",N($Q28)*(1+N($S28)))</f>
        <v/>
      </c>
      <c r="U28" s="19">
        <f>IF($C28="","",IF($C28="Material","Net x reserve x rounded purchase logic",IF($C28="Logistics","Mobilization from COMMERCIAL_POLICY x operating coeff","Base x method/variant x site x operating x tariff")) )</f>
        <v/>
      </c>
    </row>
    <row r="29">
      <c r="A29" s="19" t="n"/>
      <c r="B29" s="19" t="n"/>
      <c r="C29" s="19" t="n"/>
      <c r="D29" s="19" t="n"/>
      <c r="E29" s="19" t="n"/>
      <c r="F29" s="19">
        <f>IF($C29="","",IF($C29="Work",IFERROR(IF(SUMIFS(WORK_TARIFF_RULES!$G:$G,WORK_TARIFF_RULES!$A:$A,$D29,WORK_TARIFF_RULES!$C:$C,$B29)&lt;&gt;"",SUMIFS(WORK_TARIFF_RULES!$G:$G,WORK_TARIFF_RULES!$A:$A,$D29,WORK_TARIFF_RULES!$C:$C,$B29),SUMIFS(WORK_MASTER!$C:$C,WORK_MASTER!$A:$A,$D29)),""),IF($C29="Material",IFERROR(IF(SUMIFS(MATERIAL_TARIFF_RULES!$G:$G,MATERIAL_TARIFF_RULES!$A:$A,$D29,MATERIAL_TARIFF_RULES!$C:$C,$B29)&lt;&gt;"",SUMIFS(MATERIAL_TARIFF_RULES!$G:$G,MATERIAL_TARIFF_RULES!$A:$A,$D29,MATERIAL_TARIFF_RULES!$C:$C,$B29),SUMIFS(MATERIAL_VARIANTS!$J:$J,MATERIAL_VARIANTS!$A:$A,$E29)),""),IF($C29="Logistics","Мобилизация и логистика объекта",""))))</f>
        <v/>
      </c>
      <c r="G29" s="19" t="n"/>
      <c r="H29" s="19" t="n"/>
      <c r="I29" s="33">
        <f>IF($C29="","",IF($C29="Work",IFERROR(SUMIFS(WORK_MASTER!$I:$I,WORK_MASTER!$A:$A,$D29),0),IF($C29="Material",IFERROR(SUMIFS(MATERIAL_VARIANTS!$I:$I,MATERIAL_VARIANTS!$A:$A,$E29),0),0)))</f>
        <v/>
      </c>
      <c r="J29" s="33">
        <f>IF($C29="","",IF($C29="Work",IF($E29&lt;&gt;"",IFERROR(SUMIFS(WORK_VARIANTS!$H:$H,WORK_VARIANTS!$A:$A,$E29),1),1),1))</f>
        <v/>
      </c>
      <c r="K29" s="33">
        <f>IF($C29="","",IF($C29="Work",IFERROR(SUMIFS(WORK_FACTOR_APPLICABILITY!$O:$O,WORK_FACTOR_APPLICABILITY!$A:$A,$D29,WORK_FACTOR_APPLICABILITY!$N:$N,$A29),1),IF($C29="Material",IFERROR(INDEX(MATERIAL_QUANTITY_EXAMPLE!$N:$N,MATCH(1,(MATERIAL_QUANTITY_EXAMPLE!$A:$A=MATERIAL_QUANTITY_EXAMPLE!$A:$A)*(MATERIAL_QUANTITY_EXAMPLE!$B:$B=$A29)*(MATERIAL_QUANTITY_EXAMPLE!$C:$C=$D29),0)),1),1)))</f>
        <v/>
      </c>
      <c r="L29" s="33">
        <f>IF($A29="","",IF($C29="Material",1,IFERROR(INDEX(OBJECT_CONDITIONS!$AH:$AH,MATCH($A29,OBJECT_CONDITIONS!$A:$A,0))*INDEX(OBJECT_CONDITIONS!$AJ:$AJ,MATCH($A29,OBJECT_CONDITIONS!$A:$A,0))*INDEX(OBJECT_CONDITIONS!$AL:$AL,MATCH($A29,OBJECT_CONDITIONS!$A:$A,0)),1)))</f>
        <v/>
      </c>
      <c r="M29" s="33">
        <f>IF($B29="","",IF($C29="Work",IFERROR(IF(SUMIFS(WORK_TARIFF_RULES!$F:$F,WORK_TARIFF_RULES!$A:$A,$D29,WORK_TARIFF_RULES!$C:$C,$B29)&lt;&gt;"",SUMIFS(WORK_TARIFF_RULES!$F:$F,WORK_TARIFF_RULES!$A:$A,$D29,WORK_TARIFF_RULES!$C:$C,$B29),SUMIFS(TARIFF_PROFILES!$D:$D,TARIFF_PROFILES!$A:$A,$B29)),1),IF($C29="Material",IFERROR(IF(SUMIFS(MATERIAL_TARIFF_RULES!$E:$E,MATERIAL_TARIFF_RULES!$A:$A,$D29,MATERIAL_TARIFF_RULES!$C:$C,$B29)&lt;&gt;"",SUMIFS(MATERIAL_TARIFF_RULES!$E:$E,MATERIAL_TARIFF_RULES!$A:$A,$D29,MATERIAL_TARIFF_RULES!$C:$C,$B29),SUMIFS(TARIFF_PROFILES!$E:$E,TARIFF_PROFILES!$A:$A,$B29)),1),SUMIFS(TARIFF_PROFILES!$F:$F,TARIFF_PROFILES!$A:$A,$B29))))</f>
        <v/>
      </c>
      <c r="N29" s="33">
        <f>IF($C29="Material",IFERROR(SUMIFS(MATERIAL_MASTER!$P:$P,MATERIAL_MASTER!$A:$A,$D29)*IF(SUMIFS(MATERIAL_TARIFF_RULES!$F:$F,MATERIAL_TARIFF_RULES!$A:$A,$D29,MATERIAL_TARIFF_RULES!$C:$C,$B29)="",SUMIFS(TARIFF_PROFILES!$H:$H,TARIFF_PROFILES!$A:$A,$B29),SUMIFS(MATERIAL_TARIFF_RULES!$F:$F,MATERIAL_TARIFF_RULES!$A:$A,$D29,MATERIAL_TARIFF_RULES!$C:$C,$B29)),1),1)</f>
        <v/>
      </c>
      <c r="O29" s="19">
        <f>IF($C29="","",IF($C29="Material",ROUNDUP(N($G29)*N($N29),0),N($G29)))</f>
        <v/>
      </c>
      <c r="P29" s="19">
        <f>IF(ROW()=2,MAX(0,INDEX(COMMERCIAL_POLICY!$B:$B,MATCH($B29,COMMERCIAL_POLICY!$A:$A,0))-SUM($Q$2:$Q$60)),0)</f>
        <v/>
      </c>
      <c r="Q29" s="35">
        <f>IF($C29="","",IF($C29="Material",N($I29)*N($K29)*N($M29)*N($O29),IF($C29="Logistics",INDEX(COMMERCIAL_POLICY!$D:$D,MATCH($B29,COMMERCIAL_POLICY!$A:$A,0))*N($L29),N($I29)*N($J29)*N($K29)*N($L29)*N($M29)*N($G29))))</f>
        <v/>
      </c>
      <c r="R29" s="19">
        <f>IF($A29="","",INDEX(OBJECT_CONDITIONS!$AM:$AM,MATCH($A29,OBJECT_CONDITIONS!$A:$A,0)))</f>
        <v/>
      </c>
      <c r="S29" s="33">
        <f>IF($R29="","",INDEX(TAX_MODES!$B:$B,MATCH($R29,TAX_MODES!$A:$A,0)))</f>
        <v/>
      </c>
      <c r="T29" s="35">
        <f>IF($Q29="","",N($Q29)*(1+N($S29)))</f>
        <v/>
      </c>
      <c r="U29" s="19">
        <f>IF($C29="","",IF($C29="Material","Net x reserve x rounded purchase logic",IF($C29="Logistics","Mobilization from COMMERCIAL_POLICY x operating coeff","Base x method/variant x site x operating x tariff")) )</f>
        <v/>
      </c>
    </row>
    <row r="30">
      <c r="A30" s="19" t="n"/>
      <c r="B30" s="19" t="n"/>
      <c r="C30" s="19" t="n"/>
      <c r="D30" s="19" t="n"/>
      <c r="E30" s="19" t="n"/>
      <c r="F30" s="19">
        <f>IF($C30="","",IF($C30="Work",IFERROR(IF(SUMIFS(WORK_TARIFF_RULES!$G:$G,WORK_TARIFF_RULES!$A:$A,$D30,WORK_TARIFF_RULES!$C:$C,$B30)&lt;&gt;"",SUMIFS(WORK_TARIFF_RULES!$G:$G,WORK_TARIFF_RULES!$A:$A,$D30,WORK_TARIFF_RULES!$C:$C,$B30),SUMIFS(WORK_MASTER!$C:$C,WORK_MASTER!$A:$A,$D30)),""),IF($C30="Material",IFERROR(IF(SUMIFS(MATERIAL_TARIFF_RULES!$G:$G,MATERIAL_TARIFF_RULES!$A:$A,$D30,MATERIAL_TARIFF_RULES!$C:$C,$B30)&lt;&gt;"",SUMIFS(MATERIAL_TARIFF_RULES!$G:$G,MATERIAL_TARIFF_RULES!$A:$A,$D30,MATERIAL_TARIFF_RULES!$C:$C,$B30),SUMIFS(MATERIAL_VARIANTS!$J:$J,MATERIAL_VARIANTS!$A:$A,$E30)),""),IF($C30="Logistics","Мобилизация и логистика объекта",""))))</f>
        <v/>
      </c>
      <c r="G30" s="19" t="n"/>
      <c r="H30" s="19" t="n"/>
      <c r="I30" s="33">
        <f>IF($C30="","",IF($C30="Work",IFERROR(SUMIFS(WORK_MASTER!$I:$I,WORK_MASTER!$A:$A,$D30),0),IF($C30="Material",IFERROR(SUMIFS(MATERIAL_VARIANTS!$I:$I,MATERIAL_VARIANTS!$A:$A,$E30),0),0)))</f>
        <v/>
      </c>
      <c r="J30" s="33">
        <f>IF($C30="","",IF($C30="Work",IF($E30&lt;&gt;"",IFERROR(SUMIFS(WORK_VARIANTS!$H:$H,WORK_VARIANTS!$A:$A,$E30),1),1),1))</f>
        <v/>
      </c>
      <c r="K30" s="33">
        <f>IF($C30="","",IF($C30="Work",IFERROR(SUMIFS(WORK_FACTOR_APPLICABILITY!$O:$O,WORK_FACTOR_APPLICABILITY!$A:$A,$D30,WORK_FACTOR_APPLICABILITY!$N:$N,$A30),1),IF($C30="Material",IFERROR(INDEX(MATERIAL_QUANTITY_EXAMPLE!$N:$N,MATCH(1,(MATERIAL_QUANTITY_EXAMPLE!$A:$A=MATERIAL_QUANTITY_EXAMPLE!$A:$A)*(MATERIAL_QUANTITY_EXAMPLE!$B:$B=$A30)*(MATERIAL_QUANTITY_EXAMPLE!$C:$C=$D30),0)),1),1)))</f>
        <v/>
      </c>
      <c r="L30" s="33">
        <f>IF($A30="","",IF($C30="Material",1,IFERROR(INDEX(OBJECT_CONDITIONS!$AH:$AH,MATCH($A30,OBJECT_CONDITIONS!$A:$A,0))*INDEX(OBJECT_CONDITIONS!$AJ:$AJ,MATCH($A30,OBJECT_CONDITIONS!$A:$A,0))*INDEX(OBJECT_CONDITIONS!$AL:$AL,MATCH($A30,OBJECT_CONDITIONS!$A:$A,0)),1)))</f>
        <v/>
      </c>
      <c r="M30" s="33">
        <f>IF($B30="","",IF($C30="Work",IFERROR(IF(SUMIFS(WORK_TARIFF_RULES!$F:$F,WORK_TARIFF_RULES!$A:$A,$D30,WORK_TARIFF_RULES!$C:$C,$B30)&lt;&gt;"",SUMIFS(WORK_TARIFF_RULES!$F:$F,WORK_TARIFF_RULES!$A:$A,$D30,WORK_TARIFF_RULES!$C:$C,$B30),SUMIFS(TARIFF_PROFILES!$D:$D,TARIFF_PROFILES!$A:$A,$B30)),1),IF($C30="Material",IFERROR(IF(SUMIFS(MATERIAL_TARIFF_RULES!$E:$E,MATERIAL_TARIFF_RULES!$A:$A,$D30,MATERIAL_TARIFF_RULES!$C:$C,$B30)&lt;&gt;"",SUMIFS(MATERIAL_TARIFF_RULES!$E:$E,MATERIAL_TARIFF_RULES!$A:$A,$D30,MATERIAL_TARIFF_RULES!$C:$C,$B30),SUMIFS(TARIFF_PROFILES!$E:$E,TARIFF_PROFILES!$A:$A,$B30)),1),SUMIFS(TARIFF_PROFILES!$F:$F,TARIFF_PROFILES!$A:$A,$B30))))</f>
        <v/>
      </c>
      <c r="N30" s="33">
        <f>IF($C30="Material",IFERROR(SUMIFS(MATERIAL_MASTER!$P:$P,MATERIAL_MASTER!$A:$A,$D30)*IF(SUMIFS(MATERIAL_TARIFF_RULES!$F:$F,MATERIAL_TARIFF_RULES!$A:$A,$D30,MATERIAL_TARIFF_RULES!$C:$C,$B30)="",SUMIFS(TARIFF_PROFILES!$H:$H,TARIFF_PROFILES!$A:$A,$B30),SUMIFS(MATERIAL_TARIFF_RULES!$F:$F,MATERIAL_TARIFF_RULES!$A:$A,$D30,MATERIAL_TARIFF_RULES!$C:$C,$B30)),1),1)</f>
        <v/>
      </c>
      <c r="O30" s="19">
        <f>IF($C30="","",IF($C30="Material",ROUNDUP(N($G30)*N($N30),0),N($G30)))</f>
        <v/>
      </c>
      <c r="P30" s="19">
        <f>IF(ROW()=2,MAX(0,INDEX(COMMERCIAL_POLICY!$B:$B,MATCH($B30,COMMERCIAL_POLICY!$A:$A,0))-SUM($Q$2:$Q$60)),0)</f>
        <v/>
      </c>
      <c r="Q30" s="35">
        <f>IF($C30="","",IF($C30="Material",N($I30)*N($K30)*N($M30)*N($O30),IF($C30="Logistics",INDEX(COMMERCIAL_POLICY!$D:$D,MATCH($B30,COMMERCIAL_POLICY!$A:$A,0))*N($L30),N($I30)*N($J30)*N($K30)*N($L30)*N($M30)*N($G30))))</f>
        <v/>
      </c>
      <c r="R30" s="19">
        <f>IF($A30="","",INDEX(OBJECT_CONDITIONS!$AM:$AM,MATCH($A30,OBJECT_CONDITIONS!$A:$A,0)))</f>
        <v/>
      </c>
      <c r="S30" s="33">
        <f>IF($R30="","",INDEX(TAX_MODES!$B:$B,MATCH($R30,TAX_MODES!$A:$A,0)))</f>
        <v/>
      </c>
      <c r="T30" s="35">
        <f>IF($Q30="","",N($Q30)*(1+N($S30)))</f>
        <v/>
      </c>
      <c r="U30" s="19">
        <f>IF($C30="","",IF($C30="Material","Net x reserve x rounded purchase logic",IF($C30="Logistics","Mobilization from COMMERCIAL_POLICY x operating coeff","Base x method/variant x site x operating x tariff")) )</f>
        <v/>
      </c>
    </row>
    <row r="31">
      <c r="A31" s="19" t="n"/>
      <c r="B31" s="19" t="n"/>
      <c r="C31" s="19" t="n"/>
      <c r="D31" s="19" t="n"/>
      <c r="E31" s="19" t="n"/>
      <c r="F31" s="19">
        <f>IF($C31="","",IF($C31="Work",IFERROR(IF(SUMIFS(WORK_TARIFF_RULES!$G:$G,WORK_TARIFF_RULES!$A:$A,$D31,WORK_TARIFF_RULES!$C:$C,$B31)&lt;&gt;"",SUMIFS(WORK_TARIFF_RULES!$G:$G,WORK_TARIFF_RULES!$A:$A,$D31,WORK_TARIFF_RULES!$C:$C,$B31),SUMIFS(WORK_MASTER!$C:$C,WORK_MASTER!$A:$A,$D31)),""),IF($C31="Material",IFERROR(IF(SUMIFS(MATERIAL_TARIFF_RULES!$G:$G,MATERIAL_TARIFF_RULES!$A:$A,$D31,MATERIAL_TARIFF_RULES!$C:$C,$B31)&lt;&gt;"",SUMIFS(MATERIAL_TARIFF_RULES!$G:$G,MATERIAL_TARIFF_RULES!$A:$A,$D31,MATERIAL_TARIFF_RULES!$C:$C,$B31),SUMIFS(MATERIAL_VARIANTS!$J:$J,MATERIAL_VARIANTS!$A:$A,$E31)),""),IF($C31="Logistics","Мобилизация и логистика объекта",""))))</f>
        <v/>
      </c>
      <c r="G31" s="19" t="n"/>
      <c r="H31" s="19" t="n"/>
      <c r="I31" s="33">
        <f>IF($C31="","",IF($C31="Work",IFERROR(SUMIFS(WORK_MASTER!$I:$I,WORK_MASTER!$A:$A,$D31),0),IF($C31="Material",IFERROR(SUMIFS(MATERIAL_VARIANTS!$I:$I,MATERIAL_VARIANTS!$A:$A,$E31),0),0)))</f>
        <v/>
      </c>
      <c r="J31" s="33">
        <f>IF($C31="","",IF($C31="Work",IF($E31&lt;&gt;"",IFERROR(SUMIFS(WORK_VARIANTS!$H:$H,WORK_VARIANTS!$A:$A,$E31),1),1),1))</f>
        <v/>
      </c>
      <c r="K31" s="33">
        <f>IF($C31="","",IF($C31="Work",IFERROR(SUMIFS(WORK_FACTOR_APPLICABILITY!$O:$O,WORK_FACTOR_APPLICABILITY!$A:$A,$D31,WORK_FACTOR_APPLICABILITY!$N:$N,$A31),1),IF($C31="Material",IFERROR(INDEX(MATERIAL_QUANTITY_EXAMPLE!$N:$N,MATCH(1,(MATERIAL_QUANTITY_EXAMPLE!$A:$A=MATERIAL_QUANTITY_EXAMPLE!$A:$A)*(MATERIAL_QUANTITY_EXAMPLE!$B:$B=$A31)*(MATERIAL_QUANTITY_EXAMPLE!$C:$C=$D31),0)),1),1)))</f>
        <v/>
      </c>
      <c r="L31" s="33">
        <f>IF($A31="","",IF($C31="Material",1,IFERROR(INDEX(OBJECT_CONDITIONS!$AH:$AH,MATCH($A31,OBJECT_CONDITIONS!$A:$A,0))*INDEX(OBJECT_CONDITIONS!$AJ:$AJ,MATCH($A31,OBJECT_CONDITIONS!$A:$A,0))*INDEX(OBJECT_CONDITIONS!$AL:$AL,MATCH($A31,OBJECT_CONDITIONS!$A:$A,0)),1)))</f>
        <v/>
      </c>
      <c r="M31" s="33">
        <f>IF($B31="","",IF($C31="Work",IFERROR(IF(SUMIFS(WORK_TARIFF_RULES!$F:$F,WORK_TARIFF_RULES!$A:$A,$D31,WORK_TARIFF_RULES!$C:$C,$B31)&lt;&gt;"",SUMIFS(WORK_TARIFF_RULES!$F:$F,WORK_TARIFF_RULES!$A:$A,$D31,WORK_TARIFF_RULES!$C:$C,$B31),SUMIFS(TARIFF_PROFILES!$D:$D,TARIFF_PROFILES!$A:$A,$B31)),1),IF($C31="Material",IFERROR(IF(SUMIFS(MATERIAL_TARIFF_RULES!$E:$E,MATERIAL_TARIFF_RULES!$A:$A,$D31,MATERIAL_TARIFF_RULES!$C:$C,$B31)&lt;&gt;"",SUMIFS(MATERIAL_TARIFF_RULES!$E:$E,MATERIAL_TARIFF_RULES!$A:$A,$D31,MATERIAL_TARIFF_RULES!$C:$C,$B31),SUMIFS(TARIFF_PROFILES!$E:$E,TARIFF_PROFILES!$A:$A,$B31)),1),SUMIFS(TARIFF_PROFILES!$F:$F,TARIFF_PROFILES!$A:$A,$B31))))</f>
        <v/>
      </c>
      <c r="N31" s="33">
        <f>IF($C31="Material",IFERROR(SUMIFS(MATERIAL_MASTER!$P:$P,MATERIAL_MASTER!$A:$A,$D31)*IF(SUMIFS(MATERIAL_TARIFF_RULES!$F:$F,MATERIAL_TARIFF_RULES!$A:$A,$D31,MATERIAL_TARIFF_RULES!$C:$C,$B31)="",SUMIFS(TARIFF_PROFILES!$H:$H,TARIFF_PROFILES!$A:$A,$B31),SUMIFS(MATERIAL_TARIFF_RULES!$F:$F,MATERIAL_TARIFF_RULES!$A:$A,$D31,MATERIAL_TARIFF_RULES!$C:$C,$B31)),1),1)</f>
        <v/>
      </c>
      <c r="O31" s="19">
        <f>IF($C31="","",IF($C31="Material",ROUNDUP(N($G31)*N($N31),0),N($G31)))</f>
        <v/>
      </c>
      <c r="P31" s="19">
        <f>IF(ROW()=2,MAX(0,INDEX(COMMERCIAL_POLICY!$B:$B,MATCH($B31,COMMERCIAL_POLICY!$A:$A,0))-SUM($Q$2:$Q$60)),0)</f>
        <v/>
      </c>
      <c r="Q31" s="35">
        <f>IF($C31="","",IF($C31="Material",N($I31)*N($K31)*N($M31)*N($O31),IF($C31="Logistics",INDEX(COMMERCIAL_POLICY!$D:$D,MATCH($B31,COMMERCIAL_POLICY!$A:$A,0))*N($L31),N($I31)*N($J31)*N($K31)*N($L31)*N($M31)*N($G31))))</f>
        <v/>
      </c>
      <c r="R31" s="19">
        <f>IF($A31="","",INDEX(OBJECT_CONDITIONS!$AM:$AM,MATCH($A31,OBJECT_CONDITIONS!$A:$A,0)))</f>
        <v/>
      </c>
      <c r="S31" s="33">
        <f>IF($R31="","",INDEX(TAX_MODES!$B:$B,MATCH($R31,TAX_MODES!$A:$A,0)))</f>
        <v/>
      </c>
      <c r="T31" s="35">
        <f>IF($Q31="","",N($Q31)*(1+N($S31)))</f>
        <v/>
      </c>
      <c r="U31" s="19">
        <f>IF($C31="","",IF($C31="Material","Net x reserve x rounded purchase logic",IF($C31="Logistics","Mobilization from COMMERCIAL_POLICY x operating coeff","Base x method/variant x site x operating x tariff")) )</f>
        <v/>
      </c>
    </row>
    <row r="32">
      <c r="A32" s="19" t="n"/>
      <c r="B32" s="19" t="n"/>
      <c r="C32" s="19" t="n"/>
      <c r="D32" s="19" t="n"/>
      <c r="E32" s="19" t="n"/>
      <c r="F32" s="19">
        <f>IF($C32="","",IF($C32="Work",IFERROR(IF(SUMIFS(WORK_TARIFF_RULES!$G:$G,WORK_TARIFF_RULES!$A:$A,$D32,WORK_TARIFF_RULES!$C:$C,$B32)&lt;&gt;"",SUMIFS(WORK_TARIFF_RULES!$G:$G,WORK_TARIFF_RULES!$A:$A,$D32,WORK_TARIFF_RULES!$C:$C,$B32),SUMIFS(WORK_MASTER!$C:$C,WORK_MASTER!$A:$A,$D32)),""),IF($C32="Material",IFERROR(IF(SUMIFS(MATERIAL_TARIFF_RULES!$G:$G,MATERIAL_TARIFF_RULES!$A:$A,$D32,MATERIAL_TARIFF_RULES!$C:$C,$B32)&lt;&gt;"",SUMIFS(MATERIAL_TARIFF_RULES!$G:$G,MATERIAL_TARIFF_RULES!$A:$A,$D32,MATERIAL_TARIFF_RULES!$C:$C,$B32),SUMIFS(MATERIAL_VARIANTS!$J:$J,MATERIAL_VARIANTS!$A:$A,$E32)),""),IF($C32="Logistics","Мобилизация и логистика объекта",""))))</f>
        <v/>
      </c>
      <c r="G32" s="19" t="n"/>
      <c r="H32" s="19" t="n"/>
      <c r="I32" s="33">
        <f>IF($C32="","",IF($C32="Work",IFERROR(SUMIFS(WORK_MASTER!$I:$I,WORK_MASTER!$A:$A,$D32),0),IF($C32="Material",IFERROR(SUMIFS(MATERIAL_VARIANTS!$I:$I,MATERIAL_VARIANTS!$A:$A,$E32),0),0)))</f>
        <v/>
      </c>
      <c r="J32" s="33">
        <f>IF($C32="","",IF($C32="Work",IF($E32&lt;&gt;"",IFERROR(SUMIFS(WORK_VARIANTS!$H:$H,WORK_VARIANTS!$A:$A,$E32),1),1),1))</f>
        <v/>
      </c>
      <c r="K32" s="33">
        <f>IF($C32="","",IF($C32="Work",IFERROR(SUMIFS(WORK_FACTOR_APPLICABILITY!$O:$O,WORK_FACTOR_APPLICABILITY!$A:$A,$D32,WORK_FACTOR_APPLICABILITY!$N:$N,$A32),1),IF($C32="Material",IFERROR(INDEX(MATERIAL_QUANTITY_EXAMPLE!$N:$N,MATCH(1,(MATERIAL_QUANTITY_EXAMPLE!$A:$A=MATERIAL_QUANTITY_EXAMPLE!$A:$A)*(MATERIAL_QUANTITY_EXAMPLE!$B:$B=$A32)*(MATERIAL_QUANTITY_EXAMPLE!$C:$C=$D32),0)),1),1)))</f>
        <v/>
      </c>
      <c r="L32" s="33">
        <f>IF($A32="","",IF($C32="Material",1,IFERROR(INDEX(OBJECT_CONDITIONS!$AH:$AH,MATCH($A32,OBJECT_CONDITIONS!$A:$A,0))*INDEX(OBJECT_CONDITIONS!$AJ:$AJ,MATCH($A32,OBJECT_CONDITIONS!$A:$A,0))*INDEX(OBJECT_CONDITIONS!$AL:$AL,MATCH($A32,OBJECT_CONDITIONS!$A:$A,0)),1)))</f>
        <v/>
      </c>
      <c r="M32" s="33">
        <f>IF($B32="","",IF($C32="Work",IFERROR(IF(SUMIFS(WORK_TARIFF_RULES!$F:$F,WORK_TARIFF_RULES!$A:$A,$D32,WORK_TARIFF_RULES!$C:$C,$B32)&lt;&gt;"",SUMIFS(WORK_TARIFF_RULES!$F:$F,WORK_TARIFF_RULES!$A:$A,$D32,WORK_TARIFF_RULES!$C:$C,$B32),SUMIFS(TARIFF_PROFILES!$D:$D,TARIFF_PROFILES!$A:$A,$B32)),1),IF($C32="Material",IFERROR(IF(SUMIFS(MATERIAL_TARIFF_RULES!$E:$E,MATERIAL_TARIFF_RULES!$A:$A,$D32,MATERIAL_TARIFF_RULES!$C:$C,$B32)&lt;&gt;"",SUMIFS(MATERIAL_TARIFF_RULES!$E:$E,MATERIAL_TARIFF_RULES!$A:$A,$D32,MATERIAL_TARIFF_RULES!$C:$C,$B32),SUMIFS(TARIFF_PROFILES!$E:$E,TARIFF_PROFILES!$A:$A,$B32)),1),SUMIFS(TARIFF_PROFILES!$F:$F,TARIFF_PROFILES!$A:$A,$B32))))</f>
        <v/>
      </c>
      <c r="N32" s="33">
        <f>IF($C32="Material",IFERROR(SUMIFS(MATERIAL_MASTER!$P:$P,MATERIAL_MASTER!$A:$A,$D32)*IF(SUMIFS(MATERIAL_TARIFF_RULES!$F:$F,MATERIAL_TARIFF_RULES!$A:$A,$D32,MATERIAL_TARIFF_RULES!$C:$C,$B32)="",SUMIFS(TARIFF_PROFILES!$H:$H,TARIFF_PROFILES!$A:$A,$B32),SUMIFS(MATERIAL_TARIFF_RULES!$F:$F,MATERIAL_TARIFF_RULES!$A:$A,$D32,MATERIAL_TARIFF_RULES!$C:$C,$B32)),1),1)</f>
        <v/>
      </c>
      <c r="O32" s="19">
        <f>IF($C32="","",IF($C32="Material",ROUNDUP(N($G32)*N($N32),0),N($G32)))</f>
        <v/>
      </c>
      <c r="P32" s="19">
        <f>IF(ROW()=2,MAX(0,INDEX(COMMERCIAL_POLICY!$B:$B,MATCH($B32,COMMERCIAL_POLICY!$A:$A,0))-SUM($Q$2:$Q$60)),0)</f>
        <v/>
      </c>
      <c r="Q32" s="35">
        <f>IF($C32="","",IF($C32="Material",N($I32)*N($K32)*N($M32)*N($O32),IF($C32="Logistics",INDEX(COMMERCIAL_POLICY!$D:$D,MATCH($B32,COMMERCIAL_POLICY!$A:$A,0))*N($L32),N($I32)*N($J32)*N($K32)*N($L32)*N($M32)*N($G32))))</f>
        <v/>
      </c>
      <c r="R32" s="19">
        <f>IF($A32="","",INDEX(OBJECT_CONDITIONS!$AM:$AM,MATCH($A32,OBJECT_CONDITIONS!$A:$A,0)))</f>
        <v/>
      </c>
      <c r="S32" s="33">
        <f>IF($R32="","",INDEX(TAX_MODES!$B:$B,MATCH($R32,TAX_MODES!$A:$A,0)))</f>
        <v/>
      </c>
      <c r="T32" s="35">
        <f>IF($Q32="","",N($Q32)*(1+N($S32)))</f>
        <v/>
      </c>
      <c r="U32" s="19">
        <f>IF($C32="","",IF($C32="Material","Net x reserve x rounded purchase logic",IF($C32="Logistics","Mobilization from COMMERCIAL_POLICY x operating coeff","Base x method/variant x site x operating x tariff")) )</f>
        <v/>
      </c>
    </row>
    <row r="33">
      <c r="A33" s="19" t="n"/>
      <c r="B33" s="19" t="n"/>
      <c r="C33" s="19" t="n"/>
      <c r="D33" s="19" t="n"/>
      <c r="E33" s="19" t="n"/>
      <c r="F33" s="19">
        <f>IF($C33="","",IF($C33="Work",IFERROR(IF(SUMIFS(WORK_TARIFF_RULES!$G:$G,WORK_TARIFF_RULES!$A:$A,$D33,WORK_TARIFF_RULES!$C:$C,$B33)&lt;&gt;"",SUMIFS(WORK_TARIFF_RULES!$G:$G,WORK_TARIFF_RULES!$A:$A,$D33,WORK_TARIFF_RULES!$C:$C,$B33),SUMIFS(WORK_MASTER!$C:$C,WORK_MASTER!$A:$A,$D33)),""),IF($C33="Material",IFERROR(IF(SUMIFS(MATERIAL_TARIFF_RULES!$G:$G,MATERIAL_TARIFF_RULES!$A:$A,$D33,MATERIAL_TARIFF_RULES!$C:$C,$B33)&lt;&gt;"",SUMIFS(MATERIAL_TARIFF_RULES!$G:$G,MATERIAL_TARIFF_RULES!$A:$A,$D33,MATERIAL_TARIFF_RULES!$C:$C,$B33),SUMIFS(MATERIAL_VARIANTS!$J:$J,MATERIAL_VARIANTS!$A:$A,$E33)),""),IF($C33="Logistics","Мобилизация и логистика объекта",""))))</f>
        <v/>
      </c>
      <c r="G33" s="19" t="n"/>
      <c r="H33" s="19" t="n"/>
      <c r="I33" s="33">
        <f>IF($C33="","",IF($C33="Work",IFERROR(SUMIFS(WORK_MASTER!$I:$I,WORK_MASTER!$A:$A,$D33),0),IF($C33="Material",IFERROR(SUMIFS(MATERIAL_VARIANTS!$I:$I,MATERIAL_VARIANTS!$A:$A,$E33),0),0)))</f>
        <v/>
      </c>
      <c r="J33" s="33">
        <f>IF($C33="","",IF($C33="Work",IF($E33&lt;&gt;"",IFERROR(SUMIFS(WORK_VARIANTS!$H:$H,WORK_VARIANTS!$A:$A,$E33),1),1),1))</f>
        <v/>
      </c>
      <c r="K33" s="33">
        <f>IF($C33="","",IF($C33="Work",IFERROR(SUMIFS(WORK_FACTOR_APPLICABILITY!$O:$O,WORK_FACTOR_APPLICABILITY!$A:$A,$D33,WORK_FACTOR_APPLICABILITY!$N:$N,$A33),1),IF($C33="Material",IFERROR(INDEX(MATERIAL_QUANTITY_EXAMPLE!$N:$N,MATCH(1,(MATERIAL_QUANTITY_EXAMPLE!$A:$A=MATERIAL_QUANTITY_EXAMPLE!$A:$A)*(MATERIAL_QUANTITY_EXAMPLE!$B:$B=$A33)*(MATERIAL_QUANTITY_EXAMPLE!$C:$C=$D33),0)),1),1)))</f>
        <v/>
      </c>
      <c r="L33" s="33">
        <f>IF($A33="","",IF($C33="Material",1,IFERROR(INDEX(OBJECT_CONDITIONS!$AH:$AH,MATCH($A33,OBJECT_CONDITIONS!$A:$A,0))*INDEX(OBJECT_CONDITIONS!$AJ:$AJ,MATCH($A33,OBJECT_CONDITIONS!$A:$A,0))*INDEX(OBJECT_CONDITIONS!$AL:$AL,MATCH($A33,OBJECT_CONDITIONS!$A:$A,0)),1)))</f>
        <v/>
      </c>
      <c r="M33" s="33">
        <f>IF($B33="","",IF($C33="Work",IFERROR(IF(SUMIFS(WORK_TARIFF_RULES!$F:$F,WORK_TARIFF_RULES!$A:$A,$D33,WORK_TARIFF_RULES!$C:$C,$B33)&lt;&gt;"",SUMIFS(WORK_TARIFF_RULES!$F:$F,WORK_TARIFF_RULES!$A:$A,$D33,WORK_TARIFF_RULES!$C:$C,$B33),SUMIFS(TARIFF_PROFILES!$D:$D,TARIFF_PROFILES!$A:$A,$B33)),1),IF($C33="Material",IFERROR(IF(SUMIFS(MATERIAL_TARIFF_RULES!$E:$E,MATERIAL_TARIFF_RULES!$A:$A,$D33,MATERIAL_TARIFF_RULES!$C:$C,$B33)&lt;&gt;"",SUMIFS(MATERIAL_TARIFF_RULES!$E:$E,MATERIAL_TARIFF_RULES!$A:$A,$D33,MATERIAL_TARIFF_RULES!$C:$C,$B33),SUMIFS(TARIFF_PROFILES!$E:$E,TARIFF_PROFILES!$A:$A,$B33)),1),SUMIFS(TARIFF_PROFILES!$F:$F,TARIFF_PROFILES!$A:$A,$B33))))</f>
        <v/>
      </c>
      <c r="N33" s="33">
        <f>IF($C33="Material",IFERROR(SUMIFS(MATERIAL_MASTER!$P:$P,MATERIAL_MASTER!$A:$A,$D33)*IF(SUMIFS(MATERIAL_TARIFF_RULES!$F:$F,MATERIAL_TARIFF_RULES!$A:$A,$D33,MATERIAL_TARIFF_RULES!$C:$C,$B33)="",SUMIFS(TARIFF_PROFILES!$H:$H,TARIFF_PROFILES!$A:$A,$B33),SUMIFS(MATERIAL_TARIFF_RULES!$F:$F,MATERIAL_TARIFF_RULES!$A:$A,$D33,MATERIAL_TARIFF_RULES!$C:$C,$B33)),1),1)</f>
        <v/>
      </c>
      <c r="O33" s="19">
        <f>IF($C33="","",IF($C33="Material",ROUNDUP(N($G33)*N($N33),0),N($G33)))</f>
        <v/>
      </c>
      <c r="P33" s="19">
        <f>IF(ROW()=2,MAX(0,INDEX(COMMERCIAL_POLICY!$B:$B,MATCH($B33,COMMERCIAL_POLICY!$A:$A,0))-SUM($Q$2:$Q$60)),0)</f>
        <v/>
      </c>
      <c r="Q33" s="35">
        <f>IF($C33="","",IF($C33="Material",N($I33)*N($K33)*N($M33)*N($O33),IF($C33="Logistics",INDEX(COMMERCIAL_POLICY!$D:$D,MATCH($B33,COMMERCIAL_POLICY!$A:$A,0))*N($L33),N($I33)*N($J33)*N($K33)*N($L33)*N($M33)*N($G33))))</f>
        <v/>
      </c>
      <c r="R33" s="19">
        <f>IF($A33="","",INDEX(OBJECT_CONDITIONS!$AM:$AM,MATCH($A33,OBJECT_CONDITIONS!$A:$A,0)))</f>
        <v/>
      </c>
      <c r="S33" s="33">
        <f>IF($R33="","",INDEX(TAX_MODES!$B:$B,MATCH($R33,TAX_MODES!$A:$A,0)))</f>
        <v/>
      </c>
      <c r="T33" s="35">
        <f>IF($Q33="","",N($Q33)*(1+N($S33)))</f>
        <v/>
      </c>
      <c r="U33" s="19">
        <f>IF($C33="","",IF($C33="Material","Net x reserve x rounded purchase logic",IF($C33="Logistics","Mobilization from COMMERCIAL_POLICY x operating coeff","Base x method/variant x site x operating x tariff")) )</f>
        <v/>
      </c>
    </row>
    <row r="34">
      <c r="A34" s="19" t="n"/>
      <c r="B34" s="19" t="n"/>
      <c r="C34" s="19" t="n"/>
      <c r="D34" s="19" t="n"/>
      <c r="E34" s="19" t="n"/>
      <c r="F34" s="19">
        <f>IF($C34="","",IF($C34="Work",IFERROR(IF(SUMIFS(WORK_TARIFF_RULES!$G:$G,WORK_TARIFF_RULES!$A:$A,$D34,WORK_TARIFF_RULES!$C:$C,$B34)&lt;&gt;"",SUMIFS(WORK_TARIFF_RULES!$G:$G,WORK_TARIFF_RULES!$A:$A,$D34,WORK_TARIFF_RULES!$C:$C,$B34),SUMIFS(WORK_MASTER!$C:$C,WORK_MASTER!$A:$A,$D34)),""),IF($C34="Material",IFERROR(IF(SUMIFS(MATERIAL_TARIFF_RULES!$G:$G,MATERIAL_TARIFF_RULES!$A:$A,$D34,MATERIAL_TARIFF_RULES!$C:$C,$B34)&lt;&gt;"",SUMIFS(MATERIAL_TARIFF_RULES!$G:$G,MATERIAL_TARIFF_RULES!$A:$A,$D34,MATERIAL_TARIFF_RULES!$C:$C,$B34),SUMIFS(MATERIAL_VARIANTS!$J:$J,MATERIAL_VARIANTS!$A:$A,$E34)),""),IF($C34="Logistics","Мобилизация и логистика объекта",""))))</f>
        <v/>
      </c>
      <c r="G34" s="19" t="n"/>
      <c r="H34" s="19" t="n"/>
      <c r="I34" s="33">
        <f>IF($C34="","",IF($C34="Work",IFERROR(SUMIFS(WORK_MASTER!$I:$I,WORK_MASTER!$A:$A,$D34),0),IF($C34="Material",IFERROR(SUMIFS(MATERIAL_VARIANTS!$I:$I,MATERIAL_VARIANTS!$A:$A,$E34),0),0)))</f>
        <v/>
      </c>
      <c r="J34" s="33">
        <f>IF($C34="","",IF($C34="Work",IF($E34&lt;&gt;"",IFERROR(SUMIFS(WORK_VARIANTS!$H:$H,WORK_VARIANTS!$A:$A,$E34),1),1),1))</f>
        <v/>
      </c>
      <c r="K34" s="33">
        <f>IF($C34="","",IF($C34="Work",IFERROR(SUMIFS(WORK_FACTOR_APPLICABILITY!$O:$O,WORK_FACTOR_APPLICABILITY!$A:$A,$D34,WORK_FACTOR_APPLICABILITY!$N:$N,$A34),1),IF($C34="Material",IFERROR(INDEX(MATERIAL_QUANTITY_EXAMPLE!$N:$N,MATCH(1,(MATERIAL_QUANTITY_EXAMPLE!$A:$A=MATERIAL_QUANTITY_EXAMPLE!$A:$A)*(MATERIAL_QUANTITY_EXAMPLE!$B:$B=$A34)*(MATERIAL_QUANTITY_EXAMPLE!$C:$C=$D34),0)),1),1)))</f>
        <v/>
      </c>
      <c r="L34" s="33">
        <f>IF($A34="","",IF($C34="Material",1,IFERROR(INDEX(OBJECT_CONDITIONS!$AH:$AH,MATCH($A34,OBJECT_CONDITIONS!$A:$A,0))*INDEX(OBJECT_CONDITIONS!$AJ:$AJ,MATCH($A34,OBJECT_CONDITIONS!$A:$A,0))*INDEX(OBJECT_CONDITIONS!$AL:$AL,MATCH($A34,OBJECT_CONDITIONS!$A:$A,0)),1)))</f>
        <v/>
      </c>
      <c r="M34" s="33">
        <f>IF($B34="","",IF($C34="Work",IFERROR(IF(SUMIFS(WORK_TARIFF_RULES!$F:$F,WORK_TARIFF_RULES!$A:$A,$D34,WORK_TARIFF_RULES!$C:$C,$B34)&lt;&gt;"",SUMIFS(WORK_TARIFF_RULES!$F:$F,WORK_TARIFF_RULES!$A:$A,$D34,WORK_TARIFF_RULES!$C:$C,$B34),SUMIFS(TARIFF_PROFILES!$D:$D,TARIFF_PROFILES!$A:$A,$B34)),1),IF($C34="Material",IFERROR(IF(SUMIFS(MATERIAL_TARIFF_RULES!$E:$E,MATERIAL_TARIFF_RULES!$A:$A,$D34,MATERIAL_TARIFF_RULES!$C:$C,$B34)&lt;&gt;"",SUMIFS(MATERIAL_TARIFF_RULES!$E:$E,MATERIAL_TARIFF_RULES!$A:$A,$D34,MATERIAL_TARIFF_RULES!$C:$C,$B34),SUMIFS(TARIFF_PROFILES!$E:$E,TARIFF_PROFILES!$A:$A,$B34)),1),SUMIFS(TARIFF_PROFILES!$F:$F,TARIFF_PROFILES!$A:$A,$B34))))</f>
        <v/>
      </c>
      <c r="N34" s="33">
        <f>IF($C34="Material",IFERROR(SUMIFS(MATERIAL_MASTER!$P:$P,MATERIAL_MASTER!$A:$A,$D34)*IF(SUMIFS(MATERIAL_TARIFF_RULES!$F:$F,MATERIAL_TARIFF_RULES!$A:$A,$D34,MATERIAL_TARIFF_RULES!$C:$C,$B34)="",SUMIFS(TARIFF_PROFILES!$H:$H,TARIFF_PROFILES!$A:$A,$B34),SUMIFS(MATERIAL_TARIFF_RULES!$F:$F,MATERIAL_TARIFF_RULES!$A:$A,$D34,MATERIAL_TARIFF_RULES!$C:$C,$B34)),1),1)</f>
        <v/>
      </c>
      <c r="O34" s="19">
        <f>IF($C34="","",IF($C34="Material",ROUNDUP(N($G34)*N($N34),0),N($G34)))</f>
        <v/>
      </c>
      <c r="P34" s="19">
        <f>IF(ROW()=2,MAX(0,INDEX(COMMERCIAL_POLICY!$B:$B,MATCH($B34,COMMERCIAL_POLICY!$A:$A,0))-SUM($Q$2:$Q$60)),0)</f>
        <v/>
      </c>
      <c r="Q34" s="35">
        <f>IF($C34="","",IF($C34="Material",N($I34)*N($K34)*N($M34)*N($O34),IF($C34="Logistics",INDEX(COMMERCIAL_POLICY!$D:$D,MATCH($B34,COMMERCIAL_POLICY!$A:$A,0))*N($L34),N($I34)*N($J34)*N($K34)*N($L34)*N($M34)*N($G34))))</f>
        <v/>
      </c>
      <c r="R34" s="19">
        <f>IF($A34="","",INDEX(OBJECT_CONDITIONS!$AM:$AM,MATCH($A34,OBJECT_CONDITIONS!$A:$A,0)))</f>
        <v/>
      </c>
      <c r="S34" s="33">
        <f>IF($R34="","",INDEX(TAX_MODES!$B:$B,MATCH($R34,TAX_MODES!$A:$A,0)))</f>
        <v/>
      </c>
      <c r="T34" s="35">
        <f>IF($Q34="","",N($Q34)*(1+N($S34)))</f>
        <v/>
      </c>
      <c r="U34" s="19">
        <f>IF($C34="","",IF($C34="Material","Net x reserve x rounded purchase logic",IF($C34="Logistics","Mobilization from COMMERCIAL_POLICY x operating coeff","Base x method/variant x site x operating x tariff")) )</f>
        <v/>
      </c>
    </row>
    <row r="35">
      <c r="A35" s="19" t="n"/>
      <c r="B35" s="19" t="n"/>
      <c r="C35" s="19" t="n"/>
      <c r="D35" s="19" t="n"/>
      <c r="E35" s="19" t="n"/>
      <c r="F35" s="19">
        <f>IF($C35="","",IF($C35="Work",IFERROR(IF(SUMIFS(WORK_TARIFF_RULES!$G:$G,WORK_TARIFF_RULES!$A:$A,$D35,WORK_TARIFF_RULES!$C:$C,$B35)&lt;&gt;"",SUMIFS(WORK_TARIFF_RULES!$G:$G,WORK_TARIFF_RULES!$A:$A,$D35,WORK_TARIFF_RULES!$C:$C,$B35),SUMIFS(WORK_MASTER!$C:$C,WORK_MASTER!$A:$A,$D35)),""),IF($C35="Material",IFERROR(IF(SUMIFS(MATERIAL_TARIFF_RULES!$G:$G,MATERIAL_TARIFF_RULES!$A:$A,$D35,MATERIAL_TARIFF_RULES!$C:$C,$B35)&lt;&gt;"",SUMIFS(MATERIAL_TARIFF_RULES!$G:$G,MATERIAL_TARIFF_RULES!$A:$A,$D35,MATERIAL_TARIFF_RULES!$C:$C,$B35),SUMIFS(MATERIAL_VARIANTS!$J:$J,MATERIAL_VARIANTS!$A:$A,$E35)),""),IF($C35="Logistics","Мобилизация и логистика объекта",""))))</f>
        <v/>
      </c>
      <c r="G35" s="19" t="n"/>
      <c r="H35" s="19" t="n"/>
      <c r="I35" s="33">
        <f>IF($C35="","",IF($C35="Work",IFERROR(SUMIFS(WORK_MASTER!$I:$I,WORK_MASTER!$A:$A,$D35),0),IF($C35="Material",IFERROR(SUMIFS(MATERIAL_VARIANTS!$I:$I,MATERIAL_VARIANTS!$A:$A,$E35),0),0)))</f>
        <v/>
      </c>
      <c r="J35" s="33">
        <f>IF($C35="","",IF($C35="Work",IF($E35&lt;&gt;"",IFERROR(SUMIFS(WORK_VARIANTS!$H:$H,WORK_VARIANTS!$A:$A,$E35),1),1),1))</f>
        <v/>
      </c>
      <c r="K35" s="33">
        <f>IF($C35="","",IF($C35="Work",IFERROR(SUMIFS(WORK_FACTOR_APPLICABILITY!$O:$O,WORK_FACTOR_APPLICABILITY!$A:$A,$D35,WORK_FACTOR_APPLICABILITY!$N:$N,$A35),1),IF($C35="Material",IFERROR(INDEX(MATERIAL_QUANTITY_EXAMPLE!$N:$N,MATCH(1,(MATERIAL_QUANTITY_EXAMPLE!$A:$A=MATERIAL_QUANTITY_EXAMPLE!$A:$A)*(MATERIAL_QUANTITY_EXAMPLE!$B:$B=$A35)*(MATERIAL_QUANTITY_EXAMPLE!$C:$C=$D35),0)),1),1)))</f>
        <v/>
      </c>
      <c r="L35" s="33">
        <f>IF($A35="","",IF($C35="Material",1,IFERROR(INDEX(OBJECT_CONDITIONS!$AH:$AH,MATCH($A35,OBJECT_CONDITIONS!$A:$A,0))*INDEX(OBJECT_CONDITIONS!$AJ:$AJ,MATCH($A35,OBJECT_CONDITIONS!$A:$A,0))*INDEX(OBJECT_CONDITIONS!$AL:$AL,MATCH($A35,OBJECT_CONDITIONS!$A:$A,0)),1)))</f>
        <v/>
      </c>
      <c r="M35" s="33">
        <f>IF($B35="","",IF($C35="Work",IFERROR(IF(SUMIFS(WORK_TARIFF_RULES!$F:$F,WORK_TARIFF_RULES!$A:$A,$D35,WORK_TARIFF_RULES!$C:$C,$B35)&lt;&gt;"",SUMIFS(WORK_TARIFF_RULES!$F:$F,WORK_TARIFF_RULES!$A:$A,$D35,WORK_TARIFF_RULES!$C:$C,$B35),SUMIFS(TARIFF_PROFILES!$D:$D,TARIFF_PROFILES!$A:$A,$B35)),1),IF($C35="Material",IFERROR(IF(SUMIFS(MATERIAL_TARIFF_RULES!$E:$E,MATERIAL_TARIFF_RULES!$A:$A,$D35,MATERIAL_TARIFF_RULES!$C:$C,$B35)&lt;&gt;"",SUMIFS(MATERIAL_TARIFF_RULES!$E:$E,MATERIAL_TARIFF_RULES!$A:$A,$D35,MATERIAL_TARIFF_RULES!$C:$C,$B35),SUMIFS(TARIFF_PROFILES!$E:$E,TARIFF_PROFILES!$A:$A,$B35)),1),SUMIFS(TARIFF_PROFILES!$F:$F,TARIFF_PROFILES!$A:$A,$B35))))</f>
        <v/>
      </c>
      <c r="N35" s="33">
        <f>IF($C35="Material",IFERROR(SUMIFS(MATERIAL_MASTER!$P:$P,MATERIAL_MASTER!$A:$A,$D35)*IF(SUMIFS(MATERIAL_TARIFF_RULES!$F:$F,MATERIAL_TARIFF_RULES!$A:$A,$D35,MATERIAL_TARIFF_RULES!$C:$C,$B35)="",SUMIFS(TARIFF_PROFILES!$H:$H,TARIFF_PROFILES!$A:$A,$B35),SUMIFS(MATERIAL_TARIFF_RULES!$F:$F,MATERIAL_TARIFF_RULES!$A:$A,$D35,MATERIAL_TARIFF_RULES!$C:$C,$B35)),1),1)</f>
        <v/>
      </c>
      <c r="O35" s="19">
        <f>IF($C35="","",IF($C35="Material",ROUNDUP(N($G35)*N($N35),0),N($G35)))</f>
        <v/>
      </c>
      <c r="P35" s="19">
        <f>IF(ROW()=2,MAX(0,INDEX(COMMERCIAL_POLICY!$B:$B,MATCH($B35,COMMERCIAL_POLICY!$A:$A,0))-SUM($Q$2:$Q$60)),0)</f>
        <v/>
      </c>
      <c r="Q35" s="35">
        <f>IF($C35="","",IF($C35="Material",N($I35)*N($K35)*N($M35)*N($O35),IF($C35="Logistics",INDEX(COMMERCIAL_POLICY!$D:$D,MATCH($B35,COMMERCIAL_POLICY!$A:$A,0))*N($L35),N($I35)*N($J35)*N($K35)*N($L35)*N($M35)*N($G35))))</f>
        <v/>
      </c>
      <c r="R35" s="19">
        <f>IF($A35="","",INDEX(OBJECT_CONDITIONS!$AM:$AM,MATCH($A35,OBJECT_CONDITIONS!$A:$A,0)))</f>
        <v/>
      </c>
      <c r="S35" s="33">
        <f>IF($R35="","",INDEX(TAX_MODES!$B:$B,MATCH($R35,TAX_MODES!$A:$A,0)))</f>
        <v/>
      </c>
      <c r="T35" s="35">
        <f>IF($Q35="","",N($Q35)*(1+N($S35)))</f>
        <v/>
      </c>
      <c r="U35" s="19">
        <f>IF($C35="","",IF($C35="Material","Net x reserve x rounded purchase logic",IF($C35="Logistics","Mobilization from COMMERCIAL_POLICY x operating coeff","Base x method/variant x site x operating x tariff")) )</f>
        <v/>
      </c>
    </row>
    <row r="36">
      <c r="A36" s="19" t="n"/>
      <c r="B36" s="19" t="n"/>
      <c r="C36" s="19" t="n"/>
      <c r="D36" s="19" t="n"/>
      <c r="E36" s="19" t="n"/>
      <c r="F36" s="19">
        <f>IF($C36="","",IF($C36="Work",IFERROR(IF(SUMIFS(WORK_TARIFF_RULES!$G:$G,WORK_TARIFF_RULES!$A:$A,$D36,WORK_TARIFF_RULES!$C:$C,$B36)&lt;&gt;"",SUMIFS(WORK_TARIFF_RULES!$G:$G,WORK_TARIFF_RULES!$A:$A,$D36,WORK_TARIFF_RULES!$C:$C,$B36),SUMIFS(WORK_MASTER!$C:$C,WORK_MASTER!$A:$A,$D36)),""),IF($C36="Material",IFERROR(IF(SUMIFS(MATERIAL_TARIFF_RULES!$G:$G,MATERIAL_TARIFF_RULES!$A:$A,$D36,MATERIAL_TARIFF_RULES!$C:$C,$B36)&lt;&gt;"",SUMIFS(MATERIAL_TARIFF_RULES!$G:$G,MATERIAL_TARIFF_RULES!$A:$A,$D36,MATERIAL_TARIFF_RULES!$C:$C,$B36),SUMIFS(MATERIAL_VARIANTS!$J:$J,MATERIAL_VARIANTS!$A:$A,$E36)),""),IF($C36="Logistics","Мобилизация и логистика объекта",""))))</f>
        <v/>
      </c>
      <c r="G36" s="19" t="n"/>
      <c r="H36" s="19" t="n"/>
      <c r="I36" s="33">
        <f>IF($C36="","",IF($C36="Work",IFERROR(SUMIFS(WORK_MASTER!$I:$I,WORK_MASTER!$A:$A,$D36),0),IF($C36="Material",IFERROR(SUMIFS(MATERIAL_VARIANTS!$I:$I,MATERIAL_VARIANTS!$A:$A,$E36),0),0)))</f>
        <v/>
      </c>
      <c r="J36" s="33">
        <f>IF($C36="","",IF($C36="Work",IF($E36&lt;&gt;"",IFERROR(SUMIFS(WORK_VARIANTS!$H:$H,WORK_VARIANTS!$A:$A,$E36),1),1),1))</f>
        <v/>
      </c>
      <c r="K36" s="33">
        <f>IF($C36="","",IF($C36="Work",IFERROR(SUMIFS(WORK_FACTOR_APPLICABILITY!$O:$O,WORK_FACTOR_APPLICABILITY!$A:$A,$D36,WORK_FACTOR_APPLICABILITY!$N:$N,$A36),1),IF($C36="Material",IFERROR(INDEX(MATERIAL_QUANTITY_EXAMPLE!$N:$N,MATCH(1,(MATERIAL_QUANTITY_EXAMPLE!$A:$A=MATERIAL_QUANTITY_EXAMPLE!$A:$A)*(MATERIAL_QUANTITY_EXAMPLE!$B:$B=$A36)*(MATERIAL_QUANTITY_EXAMPLE!$C:$C=$D36),0)),1),1)))</f>
        <v/>
      </c>
      <c r="L36" s="33">
        <f>IF($A36="","",IF($C36="Material",1,IFERROR(INDEX(OBJECT_CONDITIONS!$AH:$AH,MATCH($A36,OBJECT_CONDITIONS!$A:$A,0))*INDEX(OBJECT_CONDITIONS!$AJ:$AJ,MATCH($A36,OBJECT_CONDITIONS!$A:$A,0))*INDEX(OBJECT_CONDITIONS!$AL:$AL,MATCH($A36,OBJECT_CONDITIONS!$A:$A,0)),1)))</f>
        <v/>
      </c>
      <c r="M36" s="33">
        <f>IF($B36="","",IF($C36="Work",IFERROR(IF(SUMIFS(WORK_TARIFF_RULES!$F:$F,WORK_TARIFF_RULES!$A:$A,$D36,WORK_TARIFF_RULES!$C:$C,$B36)&lt;&gt;"",SUMIFS(WORK_TARIFF_RULES!$F:$F,WORK_TARIFF_RULES!$A:$A,$D36,WORK_TARIFF_RULES!$C:$C,$B36),SUMIFS(TARIFF_PROFILES!$D:$D,TARIFF_PROFILES!$A:$A,$B36)),1),IF($C36="Material",IFERROR(IF(SUMIFS(MATERIAL_TARIFF_RULES!$E:$E,MATERIAL_TARIFF_RULES!$A:$A,$D36,MATERIAL_TARIFF_RULES!$C:$C,$B36)&lt;&gt;"",SUMIFS(MATERIAL_TARIFF_RULES!$E:$E,MATERIAL_TARIFF_RULES!$A:$A,$D36,MATERIAL_TARIFF_RULES!$C:$C,$B36),SUMIFS(TARIFF_PROFILES!$E:$E,TARIFF_PROFILES!$A:$A,$B36)),1),SUMIFS(TARIFF_PROFILES!$F:$F,TARIFF_PROFILES!$A:$A,$B36))))</f>
        <v/>
      </c>
      <c r="N36" s="33">
        <f>IF($C36="Material",IFERROR(SUMIFS(MATERIAL_MASTER!$P:$P,MATERIAL_MASTER!$A:$A,$D36)*IF(SUMIFS(MATERIAL_TARIFF_RULES!$F:$F,MATERIAL_TARIFF_RULES!$A:$A,$D36,MATERIAL_TARIFF_RULES!$C:$C,$B36)="",SUMIFS(TARIFF_PROFILES!$H:$H,TARIFF_PROFILES!$A:$A,$B36),SUMIFS(MATERIAL_TARIFF_RULES!$F:$F,MATERIAL_TARIFF_RULES!$A:$A,$D36,MATERIAL_TARIFF_RULES!$C:$C,$B36)),1),1)</f>
        <v/>
      </c>
      <c r="O36" s="19">
        <f>IF($C36="","",IF($C36="Material",ROUNDUP(N($G36)*N($N36),0),N($G36)))</f>
        <v/>
      </c>
      <c r="P36" s="19">
        <f>IF(ROW()=2,MAX(0,INDEX(COMMERCIAL_POLICY!$B:$B,MATCH($B36,COMMERCIAL_POLICY!$A:$A,0))-SUM($Q$2:$Q$60)),0)</f>
        <v/>
      </c>
      <c r="Q36" s="35">
        <f>IF($C36="","",IF($C36="Material",N($I36)*N($K36)*N($M36)*N($O36),IF($C36="Logistics",INDEX(COMMERCIAL_POLICY!$D:$D,MATCH($B36,COMMERCIAL_POLICY!$A:$A,0))*N($L36),N($I36)*N($J36)*N($K36)*N($L36)*N($M36)*N($G36))))</f>
        <v/>
      </c>
      <c r="R36" s="19">
        <f>IF($A36="","",INDEX(OBJECT_CONDITIONS!$AM:$AM,MATCH($A36,OBJECT_CONDITIONS!$A:$A,0)))</f>
        <v/>
      </c>
      <c r="S36" s="33">
        <f>IF($R36="","",INDEX(TAX_MODES!$B:$B,MATCH($R36,TAX_MODES!$A:$A,0)))</f>
        <v/>
      </c>
      <c r="T36" s="35">
        <f>IF($Q36="","",N($Q36)*(1+N($S36)))</f>
        <v/>
      </c>
      <c r="U36" s="19">
        <f>IF($C36="","",IF($C36="Material","Net x reserve x rounded purchase logic",IF($C36="Logistics","Mobilization from COMMERCIAL_POLICY x operating coeff","Base x method/variant x site x operating x tariff")) )</f>
        <v/>
      </c>
    </row>
    <row r="37">
      <c r="A37" s="19" t="n"/>
      <c r="B37" s="19" t="n"/>
      <c r="C37" s="19" t="n"/>
      <c r="D37" s="19" t="n"/>
      <c r="E37" s="19" t="n"/>
      <c r="F37" s="19">
        <f>IF($C37="","",IF($C37="Work",IFERROR(IF(SUMIFS(WORK_TARIFF_RULES!$G:$G,WORK_TARIFF_RULES!$A:$A,$D37,WORK_TARIFF_RULES!$C:$C,$B37)&lt;&gt;"",SUMIFS(WORK_TARIFF_RULES!$G:$G,WORK_TARIFF_RULES!$A:$A,$D37,WORK_TARIFF_RULES!$C:$C,$B37),SUMIFS(WORK_MASTER!$C:$C,WORK_MASTER!$A:$A,$D37)),""),IF($C37="Material",IFERROR(IF(SUMIFS(MATERIAL_TARIFF_RULES!$G:$G,MATERIAL_TARIFF_RULES!$A:$A,$D37,MATERIAL_TARIFF_RULES!$C:$C,$B37)&lt;&gt;"",SUMIFS(MATERIAL_TARIFF_RULES!$G:$G,MATERIAL_TARIFF_RULES!$A:$A,$D37,MATERIAL_TARIFF_RULES!$C:$C,$B37),SUMIFS(MATERIAL_VARIANTS!$J:$J,MATERIAL_VARIANTS!$A:$A,$E37)),""),IF($C37="Logistics","Мобилизация и логистика объекта",""))))</f>
        <v/>
      </c>
      <c r="G37" s="19" t="n"/>
      <c r="H37" s="19" t="n"/>
      <c r="I37" s="33">
        <f>IF($C37="","",IF($C37="Work",IFERROR(SUMIFS(WORK_MASTER!$I:$I,WORK_MASTER!$A:$A,$D37),0),IF($C37="Material",IFERROR(SUMIFS(MATERIAL_VARIANTS!$I:$I,MATERIAL_VARIANTS!$A:$A,$E37),0),0)))</f>
        <v/>
      </c>
      <c r="J37" s="33">
        <f>IF($C37="","",IF($C37="Work",IF($E37&lt;&gt;"",IFERROR(SUMIFS(WORK_VARIANTS!$H:$H,WORK_VARIANTS!$A:$A,$E37),1),1),1))</f>
        <v/>
      </c>
      <c r="K37" s="33">
        <f>IF($C37="","",IF($C37="Work",IFERROR(SUMIFS(WORK_FACTOR_APPLICABILITY!$O:$O,WORK_FACTOR_APPLICABILITY!$A:$A,$D37,WORK_FACTOR_APPLICABILITY!$N:$N,$A37),1),IF($C37="Material",IFERROR(INDEX(MATERIAL_QUANTITY_EXAMPLE!$N:$N,MATCH(1,(MATERIAL_QUANTITY_EXAMPLE!$A:$A=MATERIAL_QUANTITY_EXAMPLE!$A:$A)*(MATERIAL_QUANTITY_EXAMPLE!$B:$B=$A37)*(MATERIAL_QUANTITY_EXAMPLE!$C:$C=$D37),0)),1),1)))</f>
        <v/>
      </c>
      <c r="L37" s="33">
        <f>IF($A37="","",IF($C37="Material",1,IFERROR(INDEX(OBJECT_CONDITIONS!$AH:$AH,MATCH($A37,OBJECT_CONDITIONS!$A:$A,0))*INDEX(OBJECT_CONDITIONS!$AJ:$AJ,MATCH($A37,OBJECT_CONDITIONS!$A:$A,0))*INDEX(OBJECT_CONDITIONS!$AL:$AL,MATCH($A37,OBJECT_CONDITIONS!$A:$A,0)),1)))</f>
        <v/>
      </c>
      <c r="M37" s="33">
        <f>IF($B37="","",IF($C37="Work",IFERROR(IF(SUMIFS(WORK_TARIFF_RULES!$F:$F,WORK_TARIFF_RULES!$A:$A,$D37,WORK_TARIFF_RULES!$C:$C,$B37)&lt;&gt;"",SUMIFS(WORK_TARIFF_RULES!$F:$F,WORK_TARIFF_RULES!$A:$A,$D37,WORK_TARIFF_RULES!$C:$C,$B37),SUMIFS(TARIFF_PROFILES!$D:$D,TARIFF_PROFILES!$A:$A,$B37)),1),IF($C37="Material",IFERROR(IF(SUMIFS(MATERIAL_TARIFF_RULES!$E:$E,MATERIAL_TARIFF_RULES!$A:$A,$D37,MATERIAL_TARIFF_RULES!$C:$C,$B37)&lt;&gt;"",SUMIFS(MATERIAL_TARIFF_RULES!$E:$E,MATERIAL_TARIFF_RULES!$A:$A,$D37,MATERIAL_TARIFF_RULES!$C:$C,$B37),SUMIFS(TARIFF_PROFILES!$E:$E,TARIFF_PROFILES!$A:$A,$B37)),1),SUMIFS(TARIFF_PROFILES!$F:$F,TARIFF_PROFILES!$A:$A,$B37))))</f>
        <v/>
      </c>
      <c r="N37" s="33">
        <f>IF($C37="Material",IFERROR(SUMIFS(MATERIAL_MASTER!$P:$P,MATERIAL_MASTER!$A:$A,$D37)*IF(SUMIFS(MATERIAL_TARIFF_RULES!$F:$F,MATERIAL_TARIFF_RULES!$A:$A,$D37,MATERIAL_TARIFF_RULES!$C:$C,$B37)="",SUMIFS(TARIFF_PROFILES!$H:$H,TARIFF_PROFILES!$A:$A,$B37),SUMIFS(MATERIAL_TARIFF_RULES!$F:$F,MATERIAL_TARIFF_RULES!$A:$A,$D37,MATERIAL_TARIFF_RULES!$C:$C,$B37)),1),1)</f>
        <v/>
      </c>
      <c r="O37" s="19">
        <f>IF($C37="","",IF($C37="Material",ROUNDUP(N($G37)*N($N37),0),N($G37)))</f>
        <v/>
      </c>
      <c r="P37" s="19">
        <f>IF(ROW()=2,MAX(0,INDEX(COMMERCIAL_POLICY!$B:$B,MATCH($B37,COMMERCIAL_POLICY!$A:$A,0))-SUM($Q$2:$Q$60)),0)</f>
        <v/>
      </c>
      <c r="Q37" s="35">
        <f>IF($C37="","",IF($C37="Material",N($I37)*N($K37)*N($M37)*N($O37),IF($C37="Logistics",INDEX(COMMERCIAL_POLICY!$D:$D,MATCH($B37,COMMERCIAL_POLICY!$A:$A,0))*N($L37),N($I37)*N($J37)*N($K37)*N($L37)*N($M37)*N($G37))))</f>
        <v/>
      </c>
      <c r="R37" s="19">
        <f>IF($A37="","",INDEX(OBJECT_CONDITIONS!$AM:$AM,MATCH($A37,OBJECT_CONDITIONS!$A:$A,0)))</f>
        <v/>
      </c>
      <c r="S37" s="33">
        <f>IF($R37="","",INDEX(TAX_MODES!$B:$B,MATCH($R37,TAX_MODES!$A:$A,0)))</f>
        <v/>
      </c>
      <c r="T37" s="35">
        <f>IF($Q37="","",N($Q37)*(1+N($S37)))</f>
        <v/>
      </c>
      <c r="U37" s="19">
        <f>IF($C37="","",IF($C37="Material","Net x reserve x rounded purchase logic",IF($C37="Logistics","Mobilization from COMMERCIAL_POLICY x operating coeff","Base x method/variant x site x operating x tariff")) )</f>
        <v/>
      </c>
    </row>
    <row r="38">
      <c r="A38" s="19" t="n"/>
      <c r="B38" s="19" t="n"/>
      <c r="C38" s="19" t="n"/>
      <c r="D38" s="19" t="n"/>
      <c r="E38" s="19" t="n"/>
      <c r="F38" s="19">
        <f>IF($C38="","",IF($C38="Work",IFERROR(IF(SUMIFS(WORK_TARIFF_RULES!$G:$G,WORK_TARIFF_RULES!$A:$A,$D38,WORK_TARIFF_RULES!$C:$C,$B38)&lt;&gt;"",SUMIFS(WORK_TARIFF_RULES!$G:$G,WORK_TARIFF_RULES!$A:$A,$D38,WORK_TARIFF_RULES!$C:$C,$B38),SUMIFS(WORK_MASTER!$C:$C,WORK_MASTER!$A:$A,$D38)),""),IF($C38="Material",IFERROR(IF(SUMIFS(MATERIAL_TARIFF_RULES!$G:$G,MATERIAL_TARIFF_RULES!$A:$A,$D38,MATERIAL_TARIFF_RULES!$C:$C,$B38)&lt;&gt;"",SUMIFS(MATERIAL_TARIFF_RULES!$G:$G,MATERIAL_TARIFF_RULES!$A:$A,$D38,MATERIAL_TARIFF_RULES!$C:$C,$B38),SUMIFS(MATERIAL_VARIANTS!$J:$J,MATERIAL_VARIANTS!$A:$A,$E38)),""),IF($C38="Logistics","Мобилизация и логистика объекта",""))))</f>
        <v/>
      </c>
      <c r="G38" s="19" t="n"/>
      <c r="H38" s="19" t="n"/>
      <c r="I38" s="33">
        <f>IF($C38="","",IF($C38="Work",IFERROR(SUMIFS(WORK_MASTER!$I:$I,WORK_MASTER!$A:$A,$D38),0),IF($C38="Material",IFERROR(SUMIFS(MATERIAL_VARIANTS!$I:$I,MATERIAL_VARIANTS!$A:$A,$E38),0),0)))</f>
        <v/>
      </c>
      <c r="J38" s="33">
        <f>IF($C38="","",IF($C38="Work",IF($E38&lt;&gt;"",IFERROR(SUMIFS(WORK_VARIANTS!$H:$H,WORK_VARIANTS!$A:$A,$E38),1),1),1))</f>
        <v/>
      </c>
      <c r="K38" s="33">
        <f>IF($C38="","",IF($C38="Work",IFERROR(SUMIFS(WORK_FACTOR_APPLICABILITY!$O:$O,WORK_FACTOR_APPLICABILITY!$A:$A,$D38,WORK_FACTOR_APPLICABILITY!$N:$N,$A38),1),IF($C38="Material",IFERROR(INDEX(MATERIAL_QUANTITY_EXAMPLE!$N:$N,MATCH(1,(MATERIAL_QUANTITY_EXAMPLE!$A:$A=MATERIAL_QUANTITY_EXAMPLE!$A:$A)*(MATERIAL_QUANTITY_EXAMPLE!$B:$B=$A38)*(MATERIAL_QUANTITY_EXAMPLE!$C:$C=$D38),0)),1),1)))</f>
        <v/>
      </c>
      <c r="L38" s="33">
        <f>IF($A38="","",IF($C38="Material",1,IFERROR(INDEX(OBJECT_CONDITIONS!$AH:$AH,MATCH($A38,OBJECT_CONDITIONS!$A:$A,0))*INDEX(OBJECT_CONDITIONS!$AJ:$AJ,MATCH($A38,OBJECT_CONDITIONS!$A:$A,0))*INDEX(OBJECT_CONDITIONS!$AL:$AL,MATCH($A38,OBJECT_CONDITIONS!$A:$A,0)),1)))</f>
        <v/>
      </c>
      <c r="M38" s="33">
        <f>IF($B38="","",IF($C38="Work",IFERROR(IF(SUMIFS(WORK_TARIFF_RULES!$F:$F,WORK_TARIFF_RULES!$A:$A,$D38,WORK_TARIFF_RULES!$C:$C,$B38)&lt;&gt;"",SUMIFS(WORK_TARIFF_RULES!$F:$F,WORK_TARIFF_RULES!$A:$A,$D38,WORK_TARIFF_RULES!$C:$C,$B38),SUMIFS(TARIFF_PROFILES!$D:$D,TARIFF_PROFILES!$A:$A,$B38)),1),IF($C38="Material",IFERROR(IF(SUMIFS(MATERIAL_TARIFF_RULES!$E:$E,MATERIAL_TARIFF_RULES!$A:$A,$D38,MATERIAL_TARIFF_RULES!$C:$C,$B38)&lt;&gt;"",SUMIFS(MATERIAL_TARIFF_RULES!$E:$E,MATERIAL_TARIFF_RULES!$A:$A,$D38,MATERIAL_TARIFF_RULES!$C:$C,$B38),SUMIFS(TARIFF_PROFILES!$E:$E,TARIFF_PROFILES!$A:$A,$B38)),1),SUMIFS(TARIFF_PROFILES!$F:$F,TARIFF_PROFILES!$A:$A,$B38))))</f>
        <v/>
      </c>
      <c r="N38" s="33">
        <f>IF($C38="Material",IFERROR(SUMIFS(MATERIAL_MASTER!$P:$P,MATERIAL_MASTER!$A:$A,$D38)*IF(SUMIFS(MATERIAL_TARIFF_RULES!$F:$F,MATERIAL_TARIFF_RULES!$A:$A,$D38,MATERIAL_TARIFF_RULES!$C:$C,$B38)="",SUMIFS(TARIFF_PROFILES!$H:$H,TARIFF_PROFILES!$A:$A,$B38),SUMIFS(MATERIAL_TARIFF_RULES!$F:$F,MATERIAL_TARIFF_RULES!$A:$A,$D38,MATERIAL_TARIFF_RULES!$C:$C,$B38)),1),1)</f>
        <v/>
      </c>
      <c r="O38" s="19">
        <f>IF($C38="","",IF($C38="Material",ROUNDUP(N($G38)*N($N38),0),N($G38)))</f>
        <v/>
      </c>
      <c r="P38" s="19">
        <f>IF(ROW()=2,MAX(0,INDEX(COMMERCIAL_POLICY!$B:$B,MATCH($B38,COMMERCIAL_POLICY!$A:$A,0))-SUM($Q$2:$Q$60)),0)</f>
        <v/>
      </c>
      <c r="Q38" s="35">
        <f>IF($C38="","",IF($C38="Material",N($I38)*N($K38)*N($M38)*N($O38),IF($C38="Logistics",INDEX(COMMERCIAL_POLICY!$D:$D,MATCH($B38,COMMERCIAL_POLICY!$A:$A,0))*N($L38),N($I38)*N($J38)*N($K38)*N($L38)*N($M38)*N($G38))))</f>
        <v/>
      </c>
      <c r="R38" s="19">
        <f>IF($A38="","",INDEX(OBJECT_CONDITIONS!$AM:$AM,MATCH($A38,OBJECT_CONDITIONS!$A:$A,0)))</f>
        <v/>
      </c>
      <c r="S38" s="33">
        <f>IF($R38="","",INDEX(TAX_MODES!$B:$B,MATCH($R38,TAX_MODES!$A:$A,0)))</f>
        <v/>
      </c>
      <c r="T38" s="35">
        <f>IF($Q38="","",N($Q38)*(1+N($S38)))</f>
        <v/>
      </c>
      <c r="U38" s="19">
        <f>IF($C38="","",IF($C38="Material","Net x reserve x rounded purchase logic",IF($C38="Logistics","Mobilization from COMMERCIAL_POLICY x operating coeff","Base x method/variant x site x operating x tariff")) )</f>
        <v/>
      </c>
    </row>
    <row r="39">
      <c r="A39" s="19" t="n"/>
      <c r="B39" s="19" t="n"/>
      <c r="C39" s="19" t="n"/>
      <c r="D39" s="19" t="n"/>
      <c r="E39" s="19" t="n"/>
      <c r="F39" s="19">
        <f>IF($C39="","",IF($C39="Work",IFERROR(IF(SUMIFS(WORK_TARIFF_RULES!$G:$G,WORK_TARIFF_RULES!$A:$A,$D39,WORK_TARIFF_RULES!$C:$C,$B39)&lt;&gt;"",SUMIFS(WORK_TARIFF_RULES!$G:$G,WORK_TARIFF_RULES!$A:$A,$D39,WORK_TARIFF_RULES!$C:$C,$B39),SUMIFS(WORK_MASTER!$C:$C,WORK_MASTER!$A:$A,$D39)),""),IF($C39="Material",IFERROR(IF(SUMIFS(MATERIAL_TARIFF_RULES!$G:$G,MATERIAL_TARIFF_RULES!$A:$A,$D39,MATERIAL_TARIFF_RULES!$C:$C,$B39)&lt;&gt;"",SUMIFS(MATERIAL_TARIFF_RULES!$G:$G,MATERIAL_TARIFF_RULES!$A:$A,$D39,MATERIAL_TARIFF_RULES!$C:$C,$B39),SUMIFS(MATERIAL_VARIANTS!$J:$J,MATERIAL_VARIANTS!$A:$A,$E39)),""),IF($C39="Logistics","Мобилизация и логистика объекта",""))))</f>
        <v/>
      </c>
      <c r="G39" s="19" t="n"/>
      <c r="H39" s="19" t="n"/>
      <c r="I39" s="33">
        <f>IF($C39="","",IF($C39="Work",IFERROR(SUMIFS(WORK_MASTER!$I:$I,WORK_MASTER!$A:$A,$D39),0),IF($C39="Material",IFERROR(SUMIFS(MATERIAL_VARIANTS!$I:$I,MATERIAL_VARIANTS!$A:$A,$E39),0),0)))</f>
        <v/>
      </c>
      <c r="J39" s="33">
        <f>IF($C39="","",IF($C39="Work",IF($E39&lt;&gt;"",IFERROR(SUMIFS(WORK_VARIANTS!$H:$H,WORK_VARIANTS!$A:$A,$E39),1),1),1))</f>
        <v/>
      </c>
      <c r="K39" s="33">
        <f>IF($C39="","",IF($C39="Work",IFERROR(SUMIFS(WORK_FACTOR_APPLICABILITY!$O:$O,WORK_FACTOR_APPLICABILITY!$A:$A,$D39,WORK_FACTOR_APPLICABILITY!$N:$N,$A39),1),IF($C39="Material",IFERROR(INDEX(MATERIAL_QUANTITY_EXAMPLE!$N:$N,MATCH(1,(MATERIAL_QUANTITY_EXAMPLE!$A:$A=MATERIAL_QUANTITY_EXAMPLE!$A:$A)*(MATERIAL_QUANTITY_EXAMPLE!$B:$B=$A39)*(MATERIAL_QUANTITY_EXAMPLE!$C:$C=$D39),0)),1),1)))</f>
        <v/>
      </c>
      <c r="L39" s="33">
        <f>IF($A39="","",IF($C39="Material",1,IFERROR(INDEX(OBJECT_CONDITIONS!$AH:$AH,MATCH($A39,OBJECT_CONDITIONS!$A:$A,0))*INDEX(OBJECT_CONDITIONS!$AJ:$AJ,MATCH($A39,OBJECT_CONDITIONS!$A:$A,0))*INDEX(OBJECT_CONDITIONS!$AL:$AL,MATCH($A39,OBJECT_CONDITIONS!$A:$A,0)),1)))</f>
        <v/>
      </c>
      <c r="M39" s="33">
        <f>IF($B39="","",IF($C39="Work",IFERROR(IF(SUMIFS(WORK_TARIFF_RULES!$F:$F,WORK_TARIFF_RULES!$A:$A,$D39,WORK_TARIFF_RULES!$C:$C,$B39)&lt;&gt;"",SUMIFS(WORK_TARIFF_RULES!$F:$F,WORK_TARIFF_RULES!$A:$A,$D39,WORK_TARIFF_RULES!$C:$C,$B39),SUMIFS(TARIFF_PROFILES!$D:$D,TARIFF_PROFILES!$A:$A,$B39)),1),IF($C39="Material",IFERROR(IF(SUMIFS(MATERIAL_TARIFF_RULES!$E:$E,MATERIAL_TARIFF_RULES!$A:$A,$D39,MATERIAL_TARIFF_RULES!$C:$C,$B39)&lt;&gt;"",SUMIFS(MATERIAL_TARIFF_RULES!$E:$E,MATERIAL_TARIFF_RULES!$A:$A,$D39,MATERIAL_TARIFF_RULES!$C:$C,$B39),SUMIFS(TARIFF_PROFILES!$E:$E,TARIFF_PROFILES!$A:$A,$B39)),1),SUMIFS(TARIFF_PROFILES!$F:$F,TARIFF_PROFILES!$A:$A,$B39))))</f>
        <v/>
      </c>
      <c r="N39" s="33">
        <f>IF($C39="Material",IFERROR(SUMIFS(MATERIAL_MASTER!$P:$P,MATERIAL_MASTER!$A:$A,$D39)*IF(SUMIFS(MATERIAL_TARIFF_RULES!$F:$F,MATERIAL_TARIFF_RULES!$A:$A,$D39,MATERIAL_TARIFF_RULES!$C:$C,$B39)="",SUMIFS(TARIFF_PROFILES!$H:$H,TARIFF_PROFILES!$A:$A,$B39),SUMIFS(MATERIAL_TARIFF_RULES!$F:$F,MATERIAL_TARIFF_RULES!$A:$A,$D39,MATERIAL_TARIFF_RULES!$C:$C,$B39)),1),1)</f>
        <v/>
      </c>
      <c r="O39" s="19">
        <f>IF($C39="","",IF($C39="Material",ROUNDUP(N($G39)*N($N39),0),N($G39)))</f>
        <v/>
      </c>
      <c r="P39" s="19">
        <f>IF(ROW()=2,MAX(0,INDEX(COMMERCIAL_POLICY!$B:$B,MATCH($B39,COMMERCIAL_POLICY!$A:$A,0))-SUM($Q$2:$Q$60)),0)</f>
        <v/>
      </c>
      <c r="Q39" s="35">
        <f>IF($C39="","",IF($C39="Material",N($I39)*N($K39)*N($M39)*N($O39),IF($C39="Logistics",INDEX(COMMERCIAL_POLICY!$D:$D,MATCH($B39,COMMERCIAL_POLICY!$A:$A,0))*N($L39),N($I39)*N($J39)*N($K39)*N($L39)*N($M39)*N($G39))))</f>
        <v/>
      </c>
      <c r="R39" s="19">
        <f>IF($A39="","",INDEX(OBJECT_CONDITIONS!$AM:$AM,MATCH($A39,OBJECT_CONDITIONS!$A:$A,0)))</f>
        <v/>
      </c>
      <c r="S39" s="33">
        <f>IF($R39="","",INDEX(TAX_MODES!$B:$B,MATCH($R39,TAX_MODES!$A:$A,0)))</f>
        <v/>
      </c>
      <c r="T39" s="35">
        <f>IF($Q39="","",N($Q39)*(1+N($S39)))</f>
        <v/>
      </c>
      <c r="U39" s="19">
        <f>IF($C39="","",IF($C39="Material","Net x reserve x rounded purchase logic",IF($C39="Logistics","Mobilization from COMMERCIAL_POLICY x operating coeff","Base x method/variant x site x operating x tariff")) )</f>
        <v/>
      </c>
    </row>
    <row r="40">
      <c r="A40" s="19" t="n"/>
      <c r="B40" s="19" t="n"/>
      <c r="C40" s="19" t="n"/>
      <c r="D40" s="19" t="n"/>
      <c r="E40" s="19" t="n"/>
      <c r="F40" s="19">
        <f>IF($C40="","",IF($C40="Work",IFERROR(IF(SUMIFS(WORK_TARIFF_RULES!$G:$G,WORK_TARIFF_RULES!$A:$A,$D40,WORK_TARIFF_RULES!$C:$C,$B40)&lt;&gt;"",SUMIFS(WORK_TARIFF_RULES!$G:$G,WORK_TARIFF_RULES!$A:$A,$D40,WORK_TARIFF_RULES!$C:$C,$B40),SUMIFS(WORK_MASTER!$C:$C,WORK_MASTER!$A:$A,$D40)),""),IF($C40="Material",IFERROR(IF(SUMIFS(MATERIAL_TARIFF_RULES!$G:$G,MATERIAL_TARIFF_RULES!$A:$A,$D40,MATERIAL_TARIFF_RULES!$C:$C,$B40)&lt;&gt;"",SUMIFS(MATERIAL_TARIFF_RULES!$G:$G,MATERIAL_TARIFF_RULES!$A:$A,$D40,MATERIAL_TARIFF_RULES!$C:$C,$B40),SUMIFS(MATERIAL_VARIANTS!$J:$J,MATERIAL_VARIANTS!$A:$A,$E40)),""),IF($C40="Logistics","Мобилизация и логистика объекта",""))))</f>
        <v/>
      </c>
      <c r="G40" s="19" t="n"/>
      <c r="H40" s="19" t="n"/>
      <c r="I40" s="33">
        <f>IF($C40="","",IF($C40="Work",IFERROR(SUMIFS(WORK_MASTER!$I:$I,WORK_MASTER!$A:$A,$D40),0),IF($C40="Material",IFERROR(SUMIFS(MATERIAL_VARIANTS!$I:$I,MATERIAL_VARIANTS!$A:$A,$E40),0),0)))</f>
        <v/>
      </c>
      <c r="J40" s="33">
        <f>IF($C40="","",IF($C40="Work",IF($E40&lt;&gt;"",IFERROR(SUMIFS(WORK_VARIANTS!$H:$H,WORK_VARIANTS!$A:$A,$E40),1),1),1))</f>
        <v/>
      </c>
      <c r="K40" s="33">
        <f>IF($C40="","",IF($C40="Work",IFERROR(SUMIFS(WORK_FACTOR_APPLICABILITY!$O:$O,WORK_FACTOR_APPLICABILITY!$A:$A,$D40,WORK_FACTOR_APPLICABILITY!$N:$N,$A40),1),IF($C40="Material",IFERROR(INDEX(MATERIAL_QUANTITY_EXAMPLE!$N:$N,MATCH(1,(MATERIAL_QUANTITY_EXAMPLE!$A:$A=MATERIAL_QUANTITY_EXAMPLE!$A:$A)*(MATERIAL_QUANTITY_EXAMPLE!$B:$B=$A40)*(MATERIAL_QUANTITY_EXAMPLE!$C:$C=$D40),0)),1),1)))</f>
        <v/>
      </c>
      <c r="L40" s="33">
        <f>IF($A40="","",IF($C40="Material",1,IFERROR(INDEX(OBJECT_CONDITIONS!$AH:$AH,MATCH($A40,OBJECT_CONDITIONS!$A:$A,0))*INDEX(OBJECT_CONDITIONS!$AJ:$AJ,MATCH($A40,OBJECT_CONDITIONS!$A:$A,0))*INDEX(OBJECT_CONDITIONS!$AL:$AL,MATCH($A40,OBJECT_CONDITIONS!$A:$A,0)),1)))</f>
        <v/>
      </c>
      <c r="M40" s="33">
        <f>IF($B40="","",IF($C40="Work",IFERROR(IF(SUMIFS(WORK_TARIFF_RULES!$F:$F,WORK_TARIFF_RULES!$A:$A,$D40,WORK_TARIFF_RULES!$C:$C,$B40)&lt;&gt;"",SUMIFS(WORK_TARIFF_RULES!$F:$F,WORK_TARIFF_RULES!$A:$A,$D40,WORK_TARIFF_RULES!$C:$C,$B40),SUMIFS(TARIFF_PROFILES!$D:$D,TARIFF_PROFILES!$A:$A,$B40)),1),IF($C40="Material",IFERROR(IF(SUMIFS(MATERIAL_TARIFF_RULES!$E:$E,MATERIAL_TARIFF_RULES!$A:$A,$D40,MATERIAL_TARIFF_RULES!$C:$C,$B40)&lt;&gt;"",SUMIFS(MATERIAL_TARIFF_RULES!$E:$E,MATERIAL_TARIFF_RULES!$A:$A,$D40,MATERIAL_TARIFF_RULES!$C:$C,$B40),SUMIFS(TARIFF_PROFILES!$E:$E,TARIFF_PROFILES!$A:$A,$B40)),1),SUMIFS(TARIFF_PROFILES!$F:$F,TARIFF_PROFILES!$A:$A,$B40))))</f>
        <v/>
      </c>
      <c r="N40" s="33">
        <f>IF($C40="Material",IFERROR(SUMIFS(MATERIAL_MASTER!$P:$P,MATERIAL_MASTER!$A:$A,$D40)*IF(SUMIFS(MATERIAL_TARIFF_RULES!$F:$F,MATERIAL_TARIFF_RULES!$A:$A,$D40,MATERIAL_TARIFF_RULES!$C:$C,$B40)="",SUMIFS(TARIFF_PROFILES!$H:$H,TARIFF_PROFILES!$A:$A,$B40),SUMIFS(MATERIAL_TARIFF_RULES!$F:$F,MATERIAL_TARIFF_RULES!$A:$A,$D40,MATERIAL_TARIFF_RULES!$C:$C,$B40)),1),1)</f>
        <v/>
      </c>
      <c r="O40" s="19">
        <f>IF($C40="","",IF($C40="Material",ROUNDUP(N($G40)*N($N40),0),N($G40)))</f>
        <v/>
      </c>
      <c r="P40" s="19">
        <f>IF(ROW()=2,MAX(0,INDEX(COMMERCIAL_POLICY!$B:$B,MATCH($B40,COMMERCIAL_POLICY!$A:$A,0))-SUM($Q$2:$Q$60)),0)</f>
        <v/>
      </c>
      <c r="Q40" s="35">
        <f>IF($C40="","",IF($C40="Material",N($I40)*N($K40)*N($M40)*N($O40),IF($C40="Logistics",INDEX(COMMERCIAL_POLICY!$D:$D,MATCH($B40,COMMERCIAL_POLICY!$A:$A,0))*N($L40),N($I40)*N($J40)*N($K40)*N($L40)*N($M40)*N($G40))))</f>
        <v/>
      </c>
      <c r="R40" s="19">
        <f>IF($A40="","",INDEX(OBJECT_CONDITIONS!$AM:$AM,MATCH($A40,OBJECT_CONDITIONS!$A:$A,0)))</f>
        <v/>
      </c>
      <c r="S40" s="33">
        <f>IF($R40="","",INDEX(TAX_MODES!$B:$B,MATCH($R40,TAX_MODES!$A:$A,0)))</f>
        <v/>
      </c>
      <c r="T40" s="35">
        <f>IF($Q40="","",N($Q40)*(1+N($S40)))</f>
        <v/>
      </c>
      <c r="U40" s="19">
        <f>IF($C40="","",IF($C40="Material","Net x reserve x rounded purchase logic",IF($C40="Logistics","Mobilization from COMMERCIAL_POLICY x operating coeff","Base x method/variant x site x operating x tariff")) )</f>
        <v/>
      </c>
    </row>
    <row r="41">
      <c r="A41" s="19" t="n"/>
      <c r="B41" s="19" t="n"/>
      <c r="C41" s="19" t="n"/>
      <c r="D41" s="19" t="n"/>
      <c r="E41" s="19" t="n"/>
      <c r="F41" s="19">
        <f>IF($C41="","",IF($C41="Work",IFERROR(IF(SUMIFS(WORK_TARIFF_RULES!$G:$G,WORK_TARIFF_RULES!$A:$A,$D41,WORK_TARIFF_RULES!$C:$C,$B41)&lt;&gt;"",SUMIFS(WORK_TARIFF_RULES!$G:$G,WORK_TARIFF_RULES!$A:$A,$D41,WORK_TARIFF_RULES!$C:$C,$B41),SUMIFS(WORK_MASTER!$C:$C,WORK_MASTER!$A:$A,$D41)),""),IF($C41="Material",IFERROR(IF(SUMIFS(MATERIAL_TARIFF_RULES!$G:$G,MATERIAL_TARIFF_RULES!$A:$A,$D41,MATERIAL_TARIFF_RULES!$C:$C,$B41)&lt;&gt;"",SUMIFS(MATERIAL_TARIFF_RULES!$G:$G,MATERIAL_TARIFF_RULES!$A:$A,$D41,MATERIAL_TARIFF_RULES!$C:$C,$B41),SUMIFS(MATERIAL_VARIANTS!$J:$J,MATERIAL_VARIANTS!$A:$A,$E41)),""),IF($C41="Logistics","Мобилизация и логистика объекта",""))))</f>
        <v/>
      </c>
      <c r="G41" s="19" t="n"/>
      <c r="H41" s="19" t="n"/>
      <c r="I41" s="33">
        <f>IF($C41="","",IF($C41="Work",IFERROR(SUMIFS(WORK_MASTER!$I:$I,WORK_MASTER!$A:$A,$D41),0),IF($C41="Material",IFERROR(SUMIFS(MATERIAL_VARIANTS!$I:$I,MATERIAL_VARIANTS!$A:$A,$E41),0),0)))</f>
        <v/>
      </c>
      <c r="J41" s="33">
        <f>IF($C41="","",IF($C41="Work",IF($E41&lt;&gt;"",IFERROR(SUMIFS(WORK_VARIANTS!$H:$H,WORK_VARIANTS!$A:$A,$E41),1),1),1))</f>
        <v/>
      </c>
      <c r="K41" s="33">
        <f>IF($C41="","",IF($C41="Work",IFERROR(SUMIFS(WORK_FACTOR_APPLICABILITY!$O:$O,WORK_FACTOR_APPLICABILITY!$A:$A,$D41,WORK_FACTOR_APPLICABILITY!$N:$N,$A41),1),IF($C41="Material",IFERROR(INDEX(MATERIAL_QUANTITY_EXAMPLE!$N:$N,MATCH(1,(MATERIAL_QUANTITY_EXAMPLE!$A:$A=MATERIAL_QUANTITY_EXAMPLE!$A:$A)*(MATERIAL_QUANTITY_EXAMPLE!$B:$B=$A41)*(MATERIAL_QUANTITY_EXAMPLE!$C:$C=$D41),0)),1),1)))</f>
        <v/>
      </c>
      <c r="L41" s="33">
        <f>IF($A41="","",IF($C41="Material",1,IFERROR(INDEX(OBJECT_CONDITIONS!$AH:$AH,MATCH($A41,OBJECT_CONDITIONS!$A:$A,0))*INDEX(OBJECT_CONDITIONS!$AJ:$AJ,MATCH($A41,OBJECT_CONDITIONS!$A:$A,0))*INDEX(OBJECT_CONDITIONS!$AL:$AL,MATCH($A41,OBJECT_CONDITIONS!$A:$A,0)),1)))</f>
        <v/>
      </c>
      <c r="M41" s="33">
        <f>IF($B41="","",IF($C41="Work",IFERROR(IF(SUMIFS(WORK_TARIFF_RULES!$F:$F,WORK_TARIFF_RULES!$A:$A,$D41,WORK_TARIFF_RULES!$C:$C,$B41)&lt;&gt;"",SUMIFS(WORK_TARIFF_RULES!$F:$F,WORK_TARIFF_RULES!$A:$A,$D41,WORK_TARIFF_RULES!$C:$C,$B41),SUMIFS(TARIFF_PROFILES!$D:$D,TARIFF_PROFILES!$A:$A,$B41)),1),IF($C41="Material",IFERROR(IF(SUMIFS(MATERIAL_TARIFF_RULES!$E:$E,MATERIAL_TARIFF_RULES!$A:$A,$D41,MATERIAL_TARIFF_RULES!$C:$C,$B41)&lt;&gt;"",SUMIFS(MATERIAL_TARIFF_RULES!$E:$E,MATERIAL_TARIFF_RULES!$A:$A,$D41,MATERIAL_TARIFF_RULES!$C:$C,$B41),SUMIFS(TARIFF_PROFILES!$E:$E,TARIFF_PROFILES!$A:$A,$B41)),1),SUMIFS(TARIFF_PROFILES!$F:$F,TARIFF_PROFILES!$A:$A,$B41))))</f>
        <v/>
      </c>
      <c r="N41" s="33">
        <f>IF($C41="Material",IFERROR(SUMIFS(MATERIAL_MASTER!$P:$P,MATERIAL_MASTER!$A:$A,$D41)*IF(SUMIFS(MATERIAL_TARIFF_RULES!$F:$F,MATERIAL_TARIFF_RULES!$A:$A,$D41,MATERIAL_TARIFF_RULES!$C:$C,$B41)="",SUMIFS(TARIFF_PROFILES!$H:$H,TARIFF_PROFILES!$A:$A,$B41),SUMIFS(MATERIAL_TARIFF_RULES!$F:$F,MATERIAL_TARIFF_RULES!$A:$A,$D41,MATERIAL_TARIFF_RULES!$C:$C,$B41)),1),1)</f>
        <v/>
      </c>
      <c r="O41" s="19">
        <f>IF($C41="","",IF($C41="Material",ROUNDUP(N($G41)*N($N41),0),N($G41)))</f>
        <v/>
      </c>
      <c r="P41" s="19">
        <f>IF(ROW()=2,MAX(0,INDEX(COMMERCIAL_POLICY!$B:$B,MATCH($B41,COMMERCIAL_POLICY!$A:$A,0))-SUM($Q$2:$Q$60)),0)</f>
        <v/>
      </c>
      <c r="Q41" s="35">
        <f>IF($C41="","",IF($C41="Material",N($I41)*N($K41)*N($M41)*N($O41),IF($C41="Logistics",INDEX(COMMERCIAL_POLICY!$D:$D,MATCH($B41,COMMERCIAL_POLICY!$A:$A,0))*N($L41),N($I41)*N($J41)*N($K41)*N($L41)*N($M41)*N($G41))))</f>
        <v/>
      </c>
      <c r="R41" s="19">
        <f>IF($A41="","",INDEX(OBJECT_CONDITIONS!$AM:$AM,MATCH($A41,OBJECT_CONDITIONS!$A:$A,0)))</f>
        <v/>
      </c>
      <c r="S41" s="33">
        <f>IF($R41="","",INDEX(TAX_MODES!$B:$B,MATCH($R41,TAX_MODES!$A:$A,0)))</f>
        <v/>
      </c>
      <c r="T41" s="35">
        <f>IF($Q41="","",N($Q41)*(1+N($S41)))</f>
        <v/>
      </c>
      <c r="U41" s="19">
        <f>IF($C41="","",IF($C41="Material","Net x reserve x rounded purchase logic",IF($C41="Logistics","Mobilization from COMMERCIAL_POLICY x operating coeff","Base x method/variant x site x operating x tariff")) )</f>
        <v/>
      </c>
    </row>
    <row r="42">
      <c r="A42" s="19" t="n"/>
      <c r="B42" s="19" t="n"/>
      <c r="C42" s="19" t="n"/>
      <c r="D42" s="19" t="n"/>
      <c r="E42" s="19" t="n"/>
      <c r="F42" s="19">
        <f>IF($C42="","",IF($C42="Work",IFERROR(IF(SUMIFS(WORK_TARIFF_RULES!$G:$G,WORK_TARIFF_RULES!$A:$A,$D42,WORK_TARIFF_RULES!$C:$C,$B42)&lt;&gt;"",SUMIFS(WORK_TARIFF_RULES!$G:$G,WORK_TARIFF_RULES!$A:$A,$D42,WORK_TARIFF_RULES!$C:$C,$B42),SUMIFS(WORK_MASTER!$C:$C,WORK_MASTER!$A:$A,$D42)),""),IF($C42="Material",IFERROR(IF(SUMIFS(MATERIAL_TARIFF_RULES!$G:$G,MATERIAL_TARIFF_RULES!$A:$A,$D42,MATERIAL_TARIFF_RULES!$C:$C,$B42)&lt;&gt;"",SUMIFS(MATERIAL_TARIFF_RULES!$G:$G,MATERIAL_TARIFF_RULES!$A:$A,$D42,MATERIAL_TARIFF_RULES!$C:$C,$B42),SUMIFS(MATERIAL_VARIANTS!$J:$J,MATERIAL_VARIANTS!$A:$A,$E42)),""),IF($C42="Logistics","Мобилизация и логистика объекта",""))))</f>
        <v/>
      </c>
      <c r="G42" s="19" t="n"/>
      <c r="H42" s="19" t="n"/>
      <c r="I42" s="33">
        <f>IF($C42="","",IF($C42="Work",IFERROR(SUMIFS(WORK_MASTER!$I:$I,WORK_MASTER!$A:$A,$D42),0),IF($C42="Material",IFERROR(SUMIFS(MATERIAL_VARIANTS!$I:$I,MATERIAL_VARIANTS!$A:$A,$E42),0),0)))</f>
        <v/>
      </c>
      <c r="J42" s="33">
        <f>IF($C42="","",IF($C42="Work",IF($E42&lt;&gt;"",IFERROR(SUMIFS(WORK_VARIANTS!$H:$H,WORK_VARIANTS!$A:$A,$E42),1),1),1))</f>
        <v/>
      </c>
      <c r="K42" s="33">
        <f>IF($C42="","",IF($C42="Work",IFERROR(SUMIFS(WORK_FACTOR_APPLICABILITY!$O:$O,WORK_FACTOR_APPLICABILITY!$A:$A,$D42,WORK_FACTOR_APPLICABILITY!$N:$N,$A42),1),IF($C42="Material",IFERROR(INDEX(MATERIAL_QUANTITY_EXAMPLE!$N:$N,MATCH(1,(MATERIAL_QUANTITY_EXAMPLE!$A:$A=MATERIAL_QUANTITY_EXAMPLE!$A:$A)*(MATERIAL_QUANTITY_EXAMPLE!$B:$B=$A42)*(MATERIAL_QUANTITY_EXAMPLE!$C:$C=$D42),0)),1),1)))</f>
        <v/>
      </c>
      <c r="L42" s="33">
        <f>IF($A42="","",IF($C42="Material",1,IFERROR(INDEX(OBJECT_CONDITIONS!$AH:$AH,MATCH($A42,OBJECT_CONDITIONS!$A:$A,0))*INDEX(OBJECT_CONDITIONS!$AJ:$AJ,MATCH($A42,OBJECT_CONDITIONS!$A:$A,0))*INDEX(OBJECT_CONDITIONS!$AL:$AL,MATCH($A42,OBJECT_CONDITIONS!$A:$A,0)),1)))</f>
        <v/>
      </c>
      <c r="M42" s="33">
        <f>IF($B42="","",IF($C42="Work",IFERROR(IF(SUMIFS(WORK_TARIFF_RULES!$F:$F,WORK_TARIFF_RULES!$A:$A,$D42,WORK_TARIFF_RULES!$C:$C,$B42)&lt;&gt;"",SUMIFS(WORK_TARIFF_RULES!$F:$F,WORK_TARIFF_RULES!$A:$A,$D42,WORK_TARIFF_RULES!$C:$C,$B42),SUMIFS(TARIFF_PROFILES!$D:$D,TARIFF_PROFILES!$A:$A,$B42)),1),IF($C42="Material",IFERROR(IF(SUMIFS(MATERIAL_TARIFF_RULES!$E:$E,MATERIAL_TARIFF_RULES!$A:$A,$D42,MATERIAL_TARIFF_RULES!$C:$C,$B42)&lt;&gt;"",SUMIFS(MATERIAL_TARIFF_RULES!$E:$E,MATERIAL_TARIFF_RULES!$A:$A,$D42,MATERIAL_TARIFF_RULES!$C:$C,$B42),SUMIFS(TARIFF_PROFILES!$E:$E,TARIFF_PROFILES!$A:$A,$B42)),1),SUMIFS(TARIFF_PROFILES!$F:$F,TARIFF_PROFILES!$A:$A,$B42))))</f>
        <v/>
      </c>
      <c r="N42" s="33">
        <f>IF($C42="Material",IFERROR(SUMIFS(MATERIAL_MASTER!$P:$P,MATERIAL_MASTER!$A:$A,$D42)*IF(SUMIFS(MATERIAL_TARIFF_RULES!$F:$F,MATERIAL_TARIFF_RULES!$A:$A,$D42,MATERIAL_TARIFF_RULES!$C:$C,$B42)="",SUMIFS(TARIFF_PROFILES!$H:$H,TARIFF_PROFILES!$A:$A,$B42),SUMIFS(MATERIAL_TARIFF_RULES!$F:$F,MATERIAL_TARIFF_RULES!$A:$A,$D42,MATERIAL_TARIFF_RULES!$C:$C,$B42)),1),1)</f>
        <v/>
      </c>
      <c r="O42" s="19">
        <f>IF($C42="","",IF($C42="Material",ROUNDUP(N($G42)*N($N42),0),N($G42)))</f>
        <v/>
      </c>
      <c r="P42" s="19">
        <f>IF(ROW()=2,MAX(0,INDEX(COMMERCIAL_POLICY!$B:$B,MATCH($B42,COMMERCIAL_POLICY!$A:$A,0))-SUM($Q$2:$Q$60)),0)</f>
        <v/>
      </c>
      <c r="Q42" s="35">
        <f>IF($C42="","",IF($C42="Material",N($I42)*N($K42)*N($M42)*N($O42),IF($C42="Logistics",INDEX(COMMERCIAL_POLICY!$D:$D,MATCH($B42,COMMERCIAL_POLICY!$A:$A,0))*N($L42),N($I42)*N($J42)*N($K42)*N($L42)*N($M42)*N($G42))))</f>
        <v/>
      </c>
      <c r="R42" s="19">
        <f>IF($A42="","",INDEX(OBJECT_CONDITIONS!$AM:$AM,MATCH($A42,OBJECT_CONDITIONS!$A:$A,0)))</f>
        <v/>
      </c>
      <c r="S42" s="33">
        <f>IF($R42="","",INDEX(TAX_MODES!$B:$B,MATCH($R42,TAX_MODES!$A:$A,0)))</f>
        <v/>
      </c>
      <c r="T42" s="35">
        <f>IF($Q42="","",N($Q42)*(1+N($S42)))</f>
        <v/>
      </c>
      <c r="U42" s="19">
        <f>IF($C42="","",IF($C42="Material","Net x reserve x rounded purchase logic",IF($C42="Logistics","Mobilization from COMMERCIAL_POLICY x operating coeff","Base x method/variant x site x operating x tariff")) )</f>
        <v/>
      </c>
    </row>
    <row r="43">
      <c r="A43" s="19" t="n"/>
      <c r="B43" s="19" t="n"/>
      <c r="C43" s="19" t="n"/>
      <c r="D43" s="19" t="n"/>
      <c r="E43" s="19" t="n"/>
      <c r="F43" s="19">
        <f>IF($C43="","",IF($C43="Work",IFERROR(IF(SUMIFS(WORK_TARIFF_RULES!$G:$G,WORK_TARIFF_RULES!$A:$A,$D43,WORK_TARIFF_RULES!$C:$C,$B43)&lt;&gt;"",SUMIFS(WORK_TARIFF_RULES!$G:$G,WORK_TARIFF_RULES!$A:$A,$D43,WORK_TARIFF_RULES!$C:$C,$B43),SUMIFS(WORK_MASTER!$C:$C,WORK_MASTER!$A:$A,$D43)),""),IF($C43="Material",IFERROR(IF(SUMIFS(MATERIAL_TARIFF_RULES!$G:$G,MATERIAL_TARIFF_RULES!$A:$A,$D43,MATERIAL_TARIFF_RULES!$C:$C,$B43)&lt;&gt;"",SUMIFS(MATERIAL_TARIFF_RULES!$G:$G,MATERIAL_TARIFF_RULES!$A:$A,$D43,MATERIAL_TARIFF_RULES!$C:$C,$B43),SUMIFS(MATERIAL_VARIANTS!$J:$J,MATERIAL_VARIANTS!$A:$A,$E43)),""),IF($C43="Logistics","Мобилизация и логистика объекта",""))))</f>
        <v/>
      </c>
      <c r="G43" s="19" t="n"/>
      <c r="H43" s="19" t="n"/>
      <c r="I43" s="33">
        <f>IF($C43="","",IF($C43="Work",IFERROR(SUMIFS(WORK_MASTER!$I:$I,WORK_MASTER!$A:$A,$D43),0),IF($C43="Material",IFERROR(SUMIFS(MATERIAL_VARIANTS!$I:$I,MATERIAL_VARIANTS!$A:$A,$E43),0),0)))</f>
        <v/>
      </c>
      <c r="J43" s="33">
        <f>IF($C43="","",IF($C43="Work",IF($E43&lt;&gt;"",IFERROR(SUMIFS(WORK_VARIANTS!$H:$H,WORK_VARIANTS!$A:$A,$E43),1),1),1))</f>
        <v/>
      </c>
      <c r="K43" s="33">
        <f>IF($C43="","",IF($C43="Work",IFERROR(SUMIFS(WORK_FACTOR_APPLICABILITY!$O:$O,WORK_FACTOR_APPLICABILITY!$A:$A,$D43,WORK_FACTOR_APPLICABILITY!$N:$N,$A43),1),IF($C43="Material",IFERROR(INDEX(MATERIAL_QUANTITY_EXAMPLE!$N:$N,MATCH(1,(MATERIAL_QUANTITY_EXAMPLE!$A:$A=MATERIAL_QUANTITY_EXAMPLE!$A:$A)*(MATERIAL_QUANTITY_EXAMPLE!$B:$B=$A43)*(MATERIAL_QUANTITY_EXAMPLE!$C:$C=$D43),0)),1),1)))</f>
        <v/>
      </c>
      <c r="L43" s="33">
        <f>IF($A43="","",IF($C43="Material",1,IFERROR(INDEX(OBJECT_CONDITIONS!$AH:$AH,MATCH($A43,OBJECT_CONDITIONS!$A:$A,0))*INDEX(OBJECT_CONDITIONS!$AJ:$AJ,MATCH($A43,OBJECT_CONDITIONS!$A:$A,0))*INDEX(OBJECT_CONDITIONS!$AL:$AL,MATCH($A43,OBJECT_CONDITIONS!$A:$A,0)),1)))</f>
        <v/>
      </c>
      <c r="M43" s="33">
        <f>IF($B43="","",IF($C43="Work",IFERROR(IF(SUMIFS(WORK_TARIFF_RULES!$F:$F,WORK_TARIFF_RULES!$A:$A,$D43,WORK_TARIFF_RULES!$C:$C,$B43)&lt;&gt;"",SUMIFS(WORK_TARIFF_RULES!$F:$F,WORK_TARIFF_RULES!$A:$A,$D43,WORK_TARIFF_RULES!$C:$C,$B43),SUMIFS(TARIFF_PROFILES!$D:$D,TARIFF_PROFILES!$A:$A,$B43)),1),IF($C43="Material",IFERROR(IF(SUMIFS(MATERIAL_TARIFF_RULES!$E:$E,MATERIAL_TARIFF_RULES!$A:$A,$D43,MATERIAL_TARIFF_RULES!$C:$C,$B43)&lt;&gt;"",SUMIFS(MATERIAL_TARIFF_RULES!$E:$E,MATERIAL_TARIFF_RULES!$A:$A,$D43,MATERIAL_TARIFF_RULES!$C:$C,$B43),SUMIFS(TARIFF_PROFILES!$E:$E,TARIFF_PROFILES!$A:$A,$B43)),1),SUMIFS(TARIFF_PROFILES!$F:$F,TARIFF_PROFILES!$A:$A,$B43))))</f>
        <v/>
      </c>
      <c r="N43" s="33">
        <f>IF($C43="Material",IFERROR(SUMIFS(MATERIAL_MASTER!$P:$P,MATERIAL_MASTER!$A:$A,$D43)*IF(SUMIFS(MATERIAL_TARIFF_RULES!$F:$F,MATERIAL_TARIFF_RULES!$A:$A,$D43,MATERIAL_TARIFF_RULES!$C:$C,$B43)="",SUMIFS(TARIFF_PROFILES!$H:$H,TARIFF_PROFILES!$A:$A,$B43),SUMIFS(MATERIAL_TARIFF_RULES!$F:$F,MATERIAL_TARIFF_RULES!$A:$A,$D43,MATERIAL_TARIFF_RULES!$C:$C,$B43)),1),1)</f>
        <v/>
      </c>
      <c r="O43" s="19">
        <f>IF($C43="","",IF($C43="Material",ROUNDUP(N($G43)*N($N43),0),N($G43)))</f>
        <v/>
      </c>
      <c r="P43" s="19">
        <f>IF(ROW()=2,MAX(0,INDEX(COMMERCIAL_POLICY!$B:$B,MATCH($B43,COMMERCIAL_POLICY!$A:$A,0))-SUM($Q$2:$Q$60)),0)</f>
        <v/>
      </c>
      <c r="Q43" s="35">
        <f>IF($C43="","",IF($C43="Material",N($I43)*N($K43)*N($M43)*N($O43),IF($C43="Logistics",INDEX(COMMERCIAL_POLICY!$D:$D,MATCH($B43,COMMERCIAL_POLICY!$A:$A,0))*N($L43),N($I43)*N($J43)*N($K43)*N($L43)*N($M43)*N($G43))))</f>
        <v/>
      </c>
      <c r="R43" s="19">
        <f>IF($A43="","",INDEX(OBJECT_CONDITIONS!$AM:$AM,MATCH($A43,OBJECT_CONDITIONS!$A:$A,0)))</f>
        <v/>
      </c>
      <c r="S43" s="33">
        <f>IF($R43="","",INDEX(TAX_MODES!$B:$B,MATCH($R43,TAX_MODES!$A:$A,0)))</f>
        <v/>
      </c>
      <c r="T43" s="35">
        <f>IF($Q43="","",N($Q43)*(1+N($S43)))</f>
        <v/>
      </c>
      <c r="U43" s="19">
        <f>IF($C43="","",IF($C43="Material","Net x reserve x rounded purchase logic",IF($C43="Logistics","Mobilization from COMMERCIAL_POLICY x operating coeff","Base x method/variant x site x operating x tariff")) )</f>
        <v/>
      </c>
    </row>
    <row r="44">
      <c r="A44" s="19" t="n"/>
      <c r="B44" s="19" t="n"/>
      <c r="C44" s="19" t="n"/>
      <c r="D44" s="19" t="n"/>
      <c r="E44" s="19" t="n"/>
      <c r="F44" s="19">
        <f>IF($C44="","",IF($C44="Work",IFERROR(IF(SUMIFS(WORK_TARIFF_RULES!$G:$G,WORK_TARIFF_RULES!$A:$A,$D44,WORK_TARIFF_RULES!$C:$C,$B44)&lt;&gt;"",SUMIFS(WORK_TARIFF_RULES!$G:$G,WORK_TARIFF_RULES!$A:$A,$D44,WORK_TARIFF_RULES!$C:$C,$B44),SUMIFS(WORK_MASTER!$C:$C,WORK_MASTER!$A:$A,$D44)),""),IF($C44="Material",IFERROR(IF(SUMIFS(MATERIAL_TARIFF_RULES!$G:$G,MATERIAL_TARIFF_RULES!$A:$A,$D44,MATERIAL_TARIFF_RULES!$C:$C,$B44)&lt;&gt;"",SUMIFS(MATERIAL_TARIFF_RULES!$G:$G,MATERIAL_TARIFF_RULES!$A:$A,$D44,MATERIAL_TARIFF_RULES!$C:$C,$B44),SUMIFS(MATERIAL_VARIANTS!$J:$J,MATERIAL_VARIANTS!$A:$A,$E44)),""),IF($C44="Logistics","Мобилизация и логистика объекта",""))))</f>
        <v/>
      </c>
      <c r="G44" s="19" t="n"/>
      <c r="H44" s="19" t="n"/>
      <c r="I44" s="33">
        <f>IF($C44="","",IF($C44="Work",IFERROR(SUMIFS(WORK_MASTER!$I:$I,WORK_MASTER!$A:$A,$D44),0),IF($C44="Material",IFERROR(SUMIFS(MATERIAL_VARIANTS!$I:$I,MATERIAL_VARIANTS!$A:$A,$E44),0),0)))</f>
        <v/>
      </c>
      <c r="J44" s="33">
        <f>IF($C44="","",IF($C44="Work",IF($E44&lt;&gt;"",IFERROR(SUMIFS(WORK_VARIANTS!$H:$H,WORK_VARIANTS!$A:$A,$E44),1),1),1))</f>
        <v/>
      </c>
      <c r="K44" s="33">
        <f>IF($C44="","",IF($C44="Work",IFERROR(SUMIFS(WORK_FACTOR_APPLICABILITY!$O:$O,WORK_FACTOR_APPLICABILITY!$A:$A,$D44,WORK_FACTOR_APPLICABILITY!$N:$N,$A44),1),IF($C44="Material",IFERROR(INDEX(MATERIAL_QUANTITY_EXAMPLE!$N:$N,MATCH(1,(MATERIAL_QUANTITY_EXAMPLE!$A:$A=MATERIAL_QUANTITY_EXAMPLE!$A:$A)*(MATERIAL_QUANTITY_EXAMPLE!$B:$B=$A44)*(MATERIAL_QUANTITY_EXAMPLE!$C:$C=$D44),0)),1),1)))</f>
        <v/>
      </c>
      <c r="L44" s="33">
        <f>IF($A44="","",IF($C44="Material",1,IFERROR(INDEX(OBJECT_CONDITIONS!$AH:$AH,MATCH($A44,OBJECT_CONDITIONS!$A:$A,0))*INDEX(OBJECT_CONDITIONS!$AJ:$AJ,MATCH($A44,OBJECT_CONDITIONS!$A:$A,0))*INDEX(OBJECT_CONDITIONS!$AL:$AL,MATCH($A44,OBJECT_CONDITIONS!$A:$A,0)),1)))</f>
        <v/>
      </c>
      <c r="M44" s="33">
        <f>IF($B44="","",IF($C44="Work",IFERROR(IF(SUMIFS(WORK_TARIFF_RULES!$F:$F,WORK_TARIFF_RULES!$A:$A,$D44,WORK_TARIFF_RULES!$C:$C,$B44)&lt;&gt;"",SUMIFS(WORK_TARIFF_RULES!$F:$F,WORK_TARIFF_RULES!$A:$A,$D44,WORK_TARIFF_RULES!$C:$C,$B44),SUMIFS(TARIFF_PROFILES!$D:$D,TARIFF_PROFILES!$A:$A,$B44)),1),IF($C44="Material",IFERROR(IF(SUMIFS(MATERIAL_TARIFF_RULES!$E:$E,MATERIAL_TARIFF_RULES!$A:$A,$D44,MATERIAL_TARIFF_RULES!$C:$C,$B44)&lt;&gt;"",SUMIFS(MATERIAL_TARIFF_RULES!$E:$E,MATERIAL_TARIFF_RULES!$A:$A,$D44,MATERIAL_TARIFF_RULES!$C:$C,$B44),SUMIFS(TARIFF_PROFILES!$E:$E,TARIFF_PROFILES!$A:$A,$B44)),1),SUMIFS(TARIFF_PROFILES!$F:$F,TARIFF_PROFILES!$A:$A,$B44))))</f>
        <v/>
      </c>
      <c r="N44" s="33">
        <f>IF($C44="Material",IFERROR(SUMIFS(MATERIAL_MASTER!$P:$P,MATERIAL_MASTER!$A:$A,$D44)*IF(SUMIFS(MATERIAL_TARIFF_RULES!$F:$F,MATERIAL_TARIFF_RULES!$A:$A,$D44,MATERIAL_TARIFF_RULES!$C:$C,$B44)="",SUMIFS(TARIFF_PROFILES!$H:$H,TARIFF_PROFILES!$A:$A,$B44),SUMIFS(MATERIAL_TARIFF_RULES!$F:$F,MATERIAL_TARIFF_RULES!$A:$A,$D44,MATERIAL_TARIFF_RULES!$C:$C,$B44)),1),1)</f>
        <v/>
      </c>
      <c r="O44" s="19">
        <f>IF($C44="","",IF($C44="Material",ROUNDUP(N($G44)*N($N44),0),N($G44)))</f>
        <v/>
      </c>
      <c r="P44" s="19">
        <f>IF(ROW()=2,MAX(0,INDEX(COMMERCIAL_POLICY!$B:$B,MATCH($B44,COMMERCIAL_POLICY!$A:$A,0))-SUM($Q$2:$Q$60)),0)</f>
        <v/>
      </c>
      <c r="Q44" s="35">
        <f>IF($C44="","",IF($C44="Material",N($I44)*N($K44)*N($M44)*N($O44),IF($C44="Logistics",INDEX(COMMERCIAL_POLICY!$D:$D,MATCH($B44,COMMERCIAL_POLICY!$A:$A,0))*N($L44),N($I44)*N($J44)*N($K44)*N($L44)*N($M44)*N($G44))))</f>
        <v/>
      </c>
      <c r="R44" s="19">
        <f>IF($A44="","",INDEX(OBJECT_CONDITIONS!$AM:$AM,MATCH($A44,OBJECT_CONDITIONS!$A:$A,0)))</f>
        <v/>
      </c>
      <c r="S44" s="33">
        <f>IF($R44="","",INDEX(TAX_MODES!$B:$B,MATCH($R44,TAX_MODES!$A:$A,0)))</f>
        <v/>
      </c>
      <c r="T44" s="35">
        <f>IF($Q44="","",N($Q44)*(1+N($S44)))</f>
        <v/>
      </c>
      <c r="U44" s="19">
        <f>IF($C44="","",IF($C44="Material","Net x reserve x rounded purchase logic",IF($C44="Logistics","Mobilization from COMMERCIAL_POLICY x operating coeff","Base x method/variant x site x operating x tariff")) )</f>
        <v/>
      </c>
    </row>
    <row r="45">
      <c r="A45" s="19" t="n"/>
      <c r="B45" s="19" t="n"/>
      <c r="C45" s="19" t="n"/>
      <c r="D45" s="19" t="n"/>
      <c r="E45" s="19" t="n"/>
      <c r="F45" s="19">
        <f>IF($C45="","",IF($C45="Work",IFERROR(IF(SUMIFS(WORK_TARIFF_RULES!$G:$G,WORK_TARIFF_RULES!$A:$A,$D45,WORK_TARIFF_RULES!$C:$C,$B45)&lt;&gt;"",SUMIFS(WORK_TARIFF_RULES!$G:$G,WORK_TARIFF_RULES!$A:$A,$D45,WORK_TARIFF_RULES!$C:$C,$B45),SUMIFS(WORK_MASTER!$C:$C,WORK_MASTER!$A:$A,$D45)),""),IF($C45="Material",IFERROR(IF(SUMIFS(MATERIAL_TARIFF_RULES!$G:$G,MATERIAL_TARIFF_RULES!$A:$A,$D45,MATERIAL_TARIFF_RULES!$C:$C,$B45)&lt;&gt;"",SUMIFS(MATERIAL_TARIFF_RULES!$G:$G,MATERIAL_TARIFF_RULES!$A:$A,$D45,MATERIAL_TARIFF_RULES!$C:$C,$B45),SUMIFS(MATERIAL_VARIANTS!$J:$J,MATERIAL_VARIANTS!$A:$A,$E45)),""),IF($C45="Logistics","Мобилизация и логистика объекта",""))))</f>
        <v/>
      </c>
      <c r="G45" s="19" t="n"/>
      <c r="H45" s="19" t="n"/>
      <c r="I45" s="33">
        <f>IF($C45="","",IF($C45="Work",IFERROR(SUMIFS(WORK_MASTER!$I:$I,WORK_MASTER!$A:$A,$D45),0),IF($C45="Material",IFERROR(SUMIFS(MATERIAL_VARIANTS!$I:$I,MATERIAL_VARIANTS!$A:$A,$E45),0),0)))</f>
        <v/>
      </c>
      <c r="J45" s="33">
        <f>IF($C45="","",IF($C45="Work",IF($E45&lt;&gt;"",IFERROR(SUMIFS(WORK_VARIANTS!$H:$H,WORK_VARIANTS!$A:$A,$E45),1),1),1))</f>
        <v/>
      </c>
      <c r="K45" s="33">
        <f>IF($C45="","",IF($C45="Work",IFERROR(SUMIFS(WORK_FACTOR_APPLICABILITY!$O:$O,WORK_FACTOR_APPLICABILITY!$A:$A,$D45,WORK_FACTOR_APPLICABILITY!$N:$N,$A45),1),IF($C45="Material",IFERROR(INDEX(MATERIAL_QUANTITY_EXAMPLE!$N:$N,MATCH(1,(MATERIAL_QUANTITY_EXAMPLE!$A:$A=MATERIAL_QUANTITY_EXAMPLE!$A:$A)*(MATERIAL_QUANTITY_EXAMPLE!$B:$B=$A45)*(MATERIAL_QUANTITY_EXAMPLE!$C:$C=$D45),0)),1),1)))</f>
        <v/>
      </c>
      <c r="L45" s="33">
        <f>IF($A45="","",IF($C45="Material",1,IFERROR(INDEX(OBJECT_CONDITIONS!$AH:$AH,MATCH($A45,OBJECT_CONDITIONS!$A:$A,0))*INDEX(OBJECT_CONDITIONS!$AJ:$AJ,MATCH($A45,OBJECT_CONDITIONS!$A:$A,0))*INDEX(OBJECT_CONDITIONS!$AL:$AL,MATCH($A45,OBJECT_CONDITIONS!$A:$A,0)),1)))</f>
        <v/>
      </c>
      <c r="M45" s="33">
        <f>IF($B45="","",IF($C45="Work",IFERROR(IF(SUMIFS(WORK_TARIFF_RULES!$F:$F,WORK_TARIFF_RULES!$A:$A,$D45,WORK_TARIFF_RULES!$C:$C,$B45)&lt;&gt;"",SUMIFS(WORK_TARIFF_RULES!$F:$F,WORK_TARIFF_RULES!$A:$A,$D45,WORK_TARIFF_RULES!$C:$C,$B45),SUMIFS(TARIFF_PROFILES!$D:$D,TARIFF_PROFILES!$A:$A,$B45)),1),IF($C45="Material",IFERROR(IF(SUMIFS(MATERIAL_TARIFF_RULES!$E:$E,MATERIAL_TARIFF_RULES!$A:$A,$D45,MATERIAL_TARIFF_RULES!$C:$C,$B45)&lt;&gt;"",SUMIFS(MATERIAL_TARIFF_RULES!$E:$E,MATERIAL_TARIFF_RULES!$A:$A,$D45,MATERIAL_TARIFF_RULES!$C:$C,$B45),SUMIFS(TARIFF_PROFILES!$E:$E,TARIFF_PROFILES!$A:$A,$B45)),1),SUMIFS(TARIFF_PROFILES!$F:$F,TARIFF_PROFILES!$A:$A,$B45))))</f>
        <v/>
      </c>
      <c r="N45" s="33">
        <f>IF($C45="Material",IFERROR(SUMIFS(MATERIAL_MASTER!$P:$P,MATERIAL_MASTER!$A:$A,$D45)*IF(SUMIFS(MATERIAL_TARIFF_RULES!$F:$F,MATERIAL_TARIFF_RULES!$A:$A,$D45,MATERIAL_TARIFF_RULES!$C:$C,$B45)="",SUMIFS(TARIFF_PROFILES!$H:$H,TARIFF_PROFILES!$A:$A,$B45),SUMIFS(MATERIAL_TARIFF_RULES!$F:$F,MATERIAL_TARIFF_RULES!$A:$A,$D45,MATERIAL_TARIFF_RULES!$C:$C,$B45)),1),1)</f>
        <v/>
      </c>
      <c r="O45" s="19">
        <f>IF($C45="","",IF($C45="Material",ROUNDUP(N($G45)*N($N45),0),N($G45)))</f>
        <v/>
      </c>
      <c r="P45" s="19">
        <f>IF(ROW()=2,MAX(0,INDEX(COMMERCIAL_POLICY!$B:$B,MATCH($B45,COMMERCIAL_POLICY!$A:$A,0))-SUM($Q$2:$Q$60)),0)</f>
        <v/>
      </c>
      <c r="Q45" s="35">
        <f>IF($C45="","",IF($C45="Material",N($I45)*N($K45)*N($M45)*N($O45),IF($C45="Logistics",INDEX(COMMERCIAL_POLICY!$D:$D,MATCH($B45,COMMERCIAL_POLICY!$A:$A,0))*N($L45),N($I45)*N($J45)*N($K45)*N($L45)*N($M45)*N($G45))))</f>
        <v/>
      </c>
      <c r="R45" s="19">
        <f>IF($A45="","",INDEX(OBJECT_CONDITIONS!$AM:$AM,MATCH($A45,OBJECT_CONDITIONS!$A:$A,0)))</f>
        <v/>
      </c>
      <c r="S45" s="33">
        <f>IF($R45="","",INDEX(TAX_MODES!$B:$B,MATCH($R45,TAX_MODES!$A:$A,0)))</f>
        <v/>
      </c>
      <c r="T45" s="35">
        <f>IF($Q45="","",N($Q45)*(1+N($S45)))</f>
        <v/>
      </c>
      <c r="U45" s="19">
        <f>IF($C45="","",IF($C45="Material","Net x reserve x rounded purchase logic",IF($C45="Logistics","Mobilization from COMMERCIAL_POLICY x operating coeff","Base x method/variant x site x operating x tariff")) )</f>
        <v/>
      </c>
    </row>
    <row r="46">
      <c r="A46" s="19" t="n"/>
      <c r="B46" s="19" t="n"/>
      <c r="C46" s="19" t="n"/>
      <c r="D46" s="19" t="n"/>
      <c r="E46" s="19" t="n"/>
      <c r="F46" s="19">
        <f>IF($C46="","",IF($C46="Work",IFERROR(IF(SUMIFS(WORK_TARIFF_RULES!$G:$G,WORK_TARIFF_RULES!$A:$A,$D46,WORK_TARIFF_RULES!$C:$C,$B46)&lt;&gt;"",SUMIFS(WORK_TARIFF_RULES!$G:$G,WORK_TARIFF_RULES!$A:$A,$D46,WORK_TARIFF_RULES!$C:$C,$B46),SUMIFS(WORK_MASTER!$C:$C,WORK_MASTER!$A:$A,$D46)),""),IF($C46="Material",IFERROR(IF(SUMIFS(MATERIAL_TARIFF_RULES!$G:$G,MATERIAL_TARIFF_RULES!$A:$A,$D46,MATERIAL_TARIFF_RULES!$C:$C,$B46)&lt;&gt;"",SUMIFS(MATERIAL_TARIFF_RULES!$G:$G,MATERIAL_TARIFF_RULES!$A:$A,$D46,MATERIAL_TARIFF_RULES!$C:$C,$B46),SUMIFS(MATERIAL_VARIANTS!$J:$J,MATERIAL_VARIANTS!$A:$A,$E46)),""),IF($C46="Logistics","Мобилизация и логистика объекта",""))))</f>
        <v/>
      </c>
      <c r="G46" s="19" t="n"/>
      <c r="H46" s="19" t="n"/>
      <c r="I46" s="33">
        <f>IF($C46="","",IF($C46="Work",IFERROR(SUMIFS(WORK_MASTER!$I:$I,WORK_MASTER!$A:$A,$D46),0),IF($C46="Material",IFERROR(SUMIFS(MATERIAL_VARIANTS!$I:$I,MATERIAL_VARIANTS!$A:$A,$E46),0),0)))</f>
        <v/>
      </c>
      <c r="J46" s="33">
        <f>IF($C46="","",IF($C46="Work",IF($E46&lt;&gt;"",IFERROR(SUMIFS(WORK_VARIANTS!$H:$H,WORK_VARIANTS!$A:$A,$E46),1),1),1))</f>
        <v/>
      </c>
      <c r="K46" s="33">
        <f>IF($C46="","",IF($C46="Work",IFERROR(SUMIFS(WORK_FACTOR_APPLICABILITY!$O:$O,WORK_FACTOR_APPLICABILITY!$A:$A,$D46,WORK_FACTOR_APPLICABILITY!$N:$N,$A46),1),IF($C46="Material",IFERROR(INDEX(MATERIAL_QUANTITY_EXAMPLE!$N:$N,MATCH(1,(MATERIAL_QUANTITY_EXAMPLE!$A:$A=MATERIAL_QUANTITY_EXAMPLE!$A:$A)*(MATERIAL_QUANTITY_EXAMPLE!$B:$B=$A46)*(MATERIAL_QUANTITY_EXAMPLE!$C:$C=$D46),0)),1),1)))</f>
        <v/>
      </c>
      <c r="L46" s="33">
        <f>IF($A46="","",IF($C46="Material",1,IFERROR(INDEX(OBJECT_CONDITIONS!$AH:$AH,MATCH($A46,OBJECT_CONDITIONS!$A:$A,0))*INDEX(OBJECT_CONDITIONS!$AJ:$AJ,MATCH($A46,OBJECT_CONDITIONS!$A:$A,0))*INDEX(OBJECT_CONDITIONS!$AL:$AL,MATCH($A46,OBJECT_CONDITIONS!$A:$A,0)),1)))</f>
        <v/>
      </c>
      <c r="M46" s="33">
        <f>IF($B46="","",IF($C46="Work",IFERROR(IF(SUMIFS(WORK_TARIFF_RULES!$F:$F,WORK_TARIFF_RULES!$A:$A,$D46,WORK_TARIFF_RULES!$C:$C,$B46)&lt;&gt;"",SUMIFS(WORK_TARIFF_RULES!$F:$F,WORK_TARIFF_RULES!$A:$A,$D46,WORK_TARIFF_RULES!$C:$C,$B46),SUMIFS(TARIFF_PROFILES!$D:$D,TARIFF_PROFILES!$A:$A,$B46)),1),IF($C46="Material",IFERROR(IF(SUMIFS(MATERIAL_TARIFF_RULES!$E:$E,MATERIAL_TARIFF_RULES!$A:$A,$D46,MATERIAL_TARIFF_RULES!$C:$C,$B46)&lt;&gt;"",SUMIFS(MATERIAL_TARIFF_RULES!$E:$E,MATERIAL_TARIFF_RULES!$A:$A,$D46,MATERIAL_TARIFF_RULES!$C:$C,$B46),SUMIFS(TARIFF_PROFILES!$E:$E,TARIFF_PROFILES!$A:$A,$B46)),1),SUMIFS(TARIFF_PROFILES!$F:$F,TARIFF_PROFILES!$A:$A,$B46))))</f>
        <v/>
      </c>
      <c r="N46" s="33">
        <f>IF($C46="Material",IFERROR(SUMIFS(MATERIAL_MASTER!$P:$P,MATERIAL_MASTER!$A:$A,$D46)*IF(SUMIFS(MATERIAL_TARIFF_RULES!$F:$F,MATERIAL_TARIFF_RULES!$A:$A,$D46,MATERIAL_TARIFF_RULES!$C:$C,$B46)="",SUMIFS(TARIFF_PROFILES!$H:$H,TARIFF_PROFILES!$A:$A,$B46),SUMIFS(MATERIAL_TARIFF_RULES!$F:$F,MATERIAL_TARIFF_RULES!$A:$A,$D46,MATERIAL_TARIFF_RULES!$C:$C,$B46)),1),1)</f>
        <v/>
      </c>
      <c r="O46" s="19">
        <f>IF($C46="","",IF($C46="Material",ROUNDUP(N($G46)*N($N46),0),N($G46)))</f>
        <v/>
      </c>
      <c r="P46" s="19">
        <f>IF(ROW()=2,MAX(0,INDEX(COMMERCIAL_POLICY!$B:$B,MATCH($B46,COMMERCIAL_POLICY!$A:$A,0))-SUM($Q$2:$Q$60)),0)</f>
        <v/>
      </c>
      <c r="Q46" s="35">
        <f>IF($C46="","",IF($C46="Material",N($I46)*N($K46)*N($M46)*N($O46),IF($C46="Logistics",INDEX(COMMERCIAL_POLICY!$D:$D,MATCH($B46,COMMERCIAL_POLICY!$A:$A,0))*N($L46),N($I46)*N($J46)*N($K46)*N($L46)*N($M46)*N($G46))))</f>
        <v/>
      </c>
      <c r="R46" s="19">
        <f>IF($A46="","",INDEX(OBJECT_CONDITIONS!$AM:$AM,MATCH($A46,OBJECT_CONDITIONS!$A:$A,0)))</f>
        <v/>
      </c>
      <c r="S46" s="33">
        <f>IF($R46="","",INDEX(TAX_MODES!$B:$B,MATCH($R46,TAX_MODES!$A:$A,0)))</f>
        <v/>
      </c>
      <c r="T46" s="35">
        <f>IF($Q46="","",N($Q46)*(1+N($S46)))</f>
        <v/>
      </c>
      <c r="U46" s="19">
        <f>IF($C46="","",IF($C46="Material","Net x reserve x rounded purchase logic",IF($C46="Logistics","Mobilization from COMMERCIAL_POLICY x operating coeff","Base x method/variant x site x operating x tariff")) )</f>
        <v/>
      </c>
    </row>
    <row r="47">
      <c r="A47" s="19" t="n"/>
      <c r="B47" s="19" t="n"/>
      <c r="C47" s="19" t="n"/>
      <c r="D47" s="19" t="n"/>
      <c r="E47" s="19" t="n"/>
      <c r="F47" s="19">
        <f>IF($C47="","",IF($C47="Work",IFERROR(IF(SUMIFS(WORK_TARIFF_RULES!$G:$G,WORK_TARIFF_RULES!$A:$A,$D47,WORK_TARIFF_RULES!$C:$C,$B47)&lt;&gt;"",SUMIFS(WORK_TARIFF_RULES!$G:$G,WORK_TARIFF_RULES!$A:$A,$D47,WORK_TARIFF_RULES!$C:$C,$B47),SUMIFS(WORK_MASTER!$C:$C,WORK_MASTER!$A:$A,$D47)),""),IF($C47="Material",IFERROR(IF(SUMIFS(MATERIAL_TARIFF_RULES!$G:$G,MATERIAL_TARIFF_RULES!$A:$A,$D47,MATERIAL_TARIFF_RULES!$C:$C,$B47)&lt;&gt;"",SUMIFS(MATERIAL_TARIFF_RULES!$G:$G,MATERIAL_TARIFF_RULES!$A:$A,$D47,MATERIAL_TARIFF_RULES!$C:$C,$B47),SUMIFS(MATERIAL_VARIANTS!$J:$J,MATERIAL_VARIANTS!$A:$A,$E47)),""),IF($C47="Logistics","Мобилизация и логистика объекта",""))))</f>
        <v/>
      </c>
      <c r="G47" s="19" t="n"/>
      <c r="H47" s="19" t="n"/>
      <c r="I47" s="33">
        <f>IF($C47="","",IF($C47="Work",IFERROR(SUMIFS(WORK_MASTER!$I:$I,WORK_MASTER!$A:$A,$D47),0),IF($C47="Material",IFERROR(SUMIFS(MATERIAL_VARIANTS!$I:$I,MATERIAL_VARIANTS!$A:$A,$E47),0),0)))</f>
        <v/>
      </c>
      <c r="J47" s="33">
        <f>IF($C47="","",IF($C47="Work",IF($E47&lt;&gt;"",IFERROR(SUMIFS(WORK_VARIANTS!$H:$H,WORK_VARIANTS!$A:$A,$E47),1),1),1))</f>
        <v/>
      </c>
      <c r="K47" s="33">
        <f>IF($C47="","",IF($C47="Work",IFERROR(SUMIFS(WORK_FACTOR_APPLICABILITY!$O:$O,WORK_FACTOR_APPLICABILITY!$A:$A,$D47,WORK_FACTOR_APPLICABILITY!$N:$N,$A47),1),IF($C47="Material",IFERROR(INDEX(MATERIAL_QUANTITY_EXAMPLE!$N:$N,MATCH(1,(MATERIAL_QUANTITY_EXAMPLE!$A:$A=MATERIAL_QUANTITY_EXAMPLE!$A:$A)*(MATERIAL_QUANTITY_EXAMPLE!$B:$B=$A47)*(MATERIAL_QUANTITY_EXAMPLE!$C:$C=$D47),0)),1),1)))</f>
        <v/>
      </c>
      <c r="L47" s="33">
        <f>IF($A47="","",IF($C47="Material",1,IFERROR(INDEX(OBJECT_CONDITIONS!$AH:$AH,MATCH($A47,OBJECT_CONDITIONS!$A:$A,0))*INDEX(OBJECT_CONDITIONS!$AJ:$AJ,MATCH($A47,OBJECT_CONDITIONS!$A:$A,0))*INDEX(OBJECT_CONDITIONS!$AL:$AL,MATCH($A47,OBJECT_CONDITIONS!$A:$A,0)),1)))</f>
        <v/>
      </c>
      <c r="M47" s="33">
        <f>IF($B47="","",IF($C47="Work",IFERROR(IF(SUMIFS(WORK_TARIFF_RULES!$F:$F,WORK_TARIFF_RULES!$A:$A,$D47,WORK_TARIFF_RULES!$C:$C,$B47)&lt;&gt;"",SUMIFS(WORK_TARIFF_RULES!$F:$F,WORK_TARIFF_RULES!$A:$A,$D47,WORK_TARIFF_RULES!$C:$C,$B47),SUMIFS(TARIFF_PROFILES!$D:$D,TARIFF_PROFILES!$A:$A,$B47)),1),IF($C47="Material",IFERROR(IF(SUMIFS(MATERIAL_TARIFF_RULES!$E:$E,MATERIAL_TARIFF_RULES!$A:$A,$D47,MATERIAL_TARIFF_RULES!$C:$C,$B47)&lt;&gt;"",SUMIFS(MATERIAL_TARIFF_RULES!$E:$E,MATERIAL_TARIFF_RULES!$A:$A,$D47,MATERIAL_TARIFF_RULES!$C:$C,$B47),SUMIFS(TARIFF_PROFILES!$E:$E,TARIFF_PROFILES!$A:$A,$B47)),1),SUMIFS(TARIFF_PROFILES!$F:$F,TARIFF_PROFILES!$A:$A,$B47))))</f>
        <v/>
      </c>
      <c r="N47" s="33">
        <f>IF($C47="Material",IFERROR(SUMIFS(MATERIAL_MASTER!$P:$P,MATERIAL_MASTER!$A:$A,$D47)*IF(SUMIFS(MATERIAL_TARIFF_RULES!$F:$F,MATERIAL_TARIFF_RULES!$A:$A,$D47,MATERIAL_TARIFF_RULES!$C:$C,$B47)="",SUMIFS(TARIFF_PROFILES!$H:$H,TARIFF_PROFILES!$A:$A,$B47),SUMIFS(MATERIAL_TARIFF_RULES!$F:$F,MATERIAL_TARIFF_RULES!$A:$A,$D47,MATERIAL_TARIFF_RULES!$C:$C,$B47)),1),1)</f>
        <v/>
      </c>
      <c r="O47" s="19">
        <f>IF($C47="","",IF($C47="Material",ROUNDUP(N($G47)*N($N47),0),N($G47)))</f>
        <v/>
      </c>
      <c r="P47" s="19">
        <f>IF(ROW()=2,MAX(0,INDEX(COMMERCIAL_POLICY!$B:$B,MATCH($B47,COMMERCIAL_POLICY!$A:$A,0))-SUM($Q$2:$Q$60)),0)</f>
        <v/>
      </c>
      <c r="Q47" s="35">
        <f>IF($C47="","",IF($C47="Material",N($I47)*N($K47)*N($M47)*N($O47),IF($C47="Logistics",INDEX(COMMERCIAL_POLICY!$D:$D,MATCH($B47,COMMERCIAL_POLICY!$A:$A,0))*N($L47),N($I47)*N($J47)*N($K47)*N($L47)*N($M47)*N($G47))))</f>
        <v/>
      </c>
      <c r="R47" s="19">
        <f>IF($A47="","",INDEX(OBJECT_CONDITIONS!$AM:$AM,MATCH($A47,OBJECT_CONDITIONS!$A:$A,0)))</f>
        <v/>
      </c>
      <c r="S47" s="33">
        <f>IF($R47="","",INDEX(TAX_MODES!$B:$B,MATCH($R47,TAX_MODES!$A:$A,0)))</f>
        <v/>
      </c>
      <c r="T47" s="35">
        <f>IF($Q47="","",N($Q47)*(1+N($S47)))</f>
        <v/>
      </c>
      <c r="U47" s="19">
        <f>IF($C47="","",IF($C47="Material","Net x reserve x rounded purchase logic",IF($C47="Logistics","Mobilization from COMMERCIAL_POLICY x operating coeff","Base x method/variant x site x operating x tariff")) )</f>
        <v/>
      </c>
    </row>
    <row r="48">
      <c r="A48" s="19" t="n"/>
      <c r="B48" s="19" t="n"/>
      <c r="C48" s="19" t="n"/>
      <c r="D48" s="19" t="n"/>
      <c r="E48" s="19" t="n"/>
      <c r="F48" s="19">
        <f>IF($C48="","",IF($C48="Work",IFERROR(IF(SUMIFS(WORK_TARIFF_RULES!$G:$G,WORK_TARIFF_RULES!$A:$A,$D48,WORK_TARIFF_RULES!$C:$C,$B48)&lt;&gt;"",SUMIFS(WORK_TARIFF_RULES!$G:$G,WORK_TARIFF_RULES!$A:$A,$D48,WORK_TARIFF_RULES!$C:$C,$B48),SUMIFS(WORK_MASTER!$C:$C,WORK_MASTER!$A:$A,$D48)),""),IF($C48="Material",IFERROR(IF(SUMIFS(MATERIAL_TARIFF_RULES!$G:$G,MATERIAL_TARIFF_RULES!$A:$A,$D48,MATERIAL_TARIFF_RULES!$C:$C,$B48)&lt;&gt;"",SUMIFS(MATERIAL_TARIFF_RULES!$G:$G,MATERIAL_TARIFF_RULES!$A:$A,$D48,MATERIAL_TARIFF_RULES!$C:$C,$B48),SUMIFS(MATERIAL_VARIANTS!$J:$J,MATERIAL_VARIANTS!$A:$A,$E48)),""),IF($C48="Logistics","Мобилизация и логистика объекта",""))))</f>
        <v/>
      </c>
      <c r="G48" s="19" t="n"/>
      <c r="H48" s="19" t="n"/>
      <c r="I48" s="33">
        <f>IF($C48="","",IF($C48="Work",IFERROR(SUMIFS(WORK_MASTER!$I:$I,WORK_MASTER!$A:$A,$D48),0),IF($C48="Material",IFERROR(SUMIFS(MATERIAL_VARIANTS!$I:$I,MATERIAL_VARIANTS!$A:$A,$E48),0),0)))</f>
        <v/>
      </c>
      <c r="J48" s="33">
        <f>IF($C48="","",IF($C48="Work",IF($E48&lt;&gt;"",IFERROR(SUMIFS(WORK_VARIANTS!$H:$H,WORK_VARIANTS!$A:$A,$E48),1),1),1))</f>
        <v/>
      </c>
      <c r="K48" s="33">
        <f>IF($C48="","",IF($C48="Work",IFERROR(SUMIFS(WORK_FACTOR_APPLICABILITY!$O:$O,WORK_FACTOR_APPLICABILITY!$A:$A,$D48,WORK_FACTOR_APPLICABILITY!$N:$N,$A48),1),IF($C48="Material",IFERROR(INDEX(MATERIAL_QUANTITY_EXAMPLE!$N:$N,MATCH(1,(MATERIAL_QUANTITY_EXAMPLE!$A:$A=MATERIAL_QUANTITY_EXAMPLE!$A:$A)*(MATERIAL_QUANTITY_EXAMPLE!$B:$B=$A48)*(MATERIAL_QUANTITY_EXAMPLE!$C:$C=$D48),0)),1),1)))</f>
        <v/>
      </c>
      <c r="L48" s="33">
        <f>IF($A48="","",IF($C48="Material",1,IFERROR(INDEX(OBJECT_CONDITIONS!$AH:$AH,MATCH($A48,OBJECT_CONDITIONS!$A:$A,0))*INDEX(OBJECT_CONDITIONS!$AJ:$AJ,MATCH($A48,OBJECT_CONDITIONS!$A:$A,0))*INDEX(OBJECT_CONDITIONS!$AL:$AL,MATCH($A48,OBJECT_CONDITIONS!$A:$A,0)),1)))</f>
        <v/>
      </c>
      <c r="M48" s="33">
        <f>IF($B48="","",IF($C48="Work",IFERROR(IF(SUMIFS(WORK_TARIFF_RULES!$F:$F,WORK_TARIFF_RULES!$A:$A,$D48,WORK_TARIFF_RULES!$C:$C,$B48)&lt;&gt;"",SUMIFS(WORK_TARIFF_RULES!$F:$F,WORK_TARIFF_RULES!$A:$A,$D48,WORK_TARIFF_RULES!$C:$C,$B48),SUMIFS(TARIFF_PROFILES!$D:$D,TARIFF_PROFILES!$A:$A,$B48)),1),IF($C48="Material",IFERROR(IF(SUMIFS(MATERIAL_TARIFF_RULES!$E:$E,MATERIAL_TARIFF_RULES!$A:$A,$D48,MATERIAL_TARIFF_RULES!$C:$C,$B48)&lt;&gt;"",SUMIFS(MATERIAL_TARIFF_RULES!$E:$E,MATERIAL_TARIFF_RULES!$A:$A,$D48,MATERIAL_TARIFF_RULES!$C:$C,$B48),SUMIFS(TARIFF_PROFILES!$E:$E,TARIFF_PROFILES!$A:$A,$B48)),1),SUMIFS(TARIFF_PROFILES!$F:$F,TARIFF_PROFILES!$A:$A,$B48))))</f>
        <v/>
      </c>
      <c r="N48" s="33">
        <f>IF($C48="Material",IFERROR(SUMIFS(MATERIAL_MASTER!$P:$P,MATERIAL_MASTER!$A:$A,$D48)*IF(SUMIFS(MATERIAL_TARIFF_RULES!$F:$F,MATERIAL_TARIFF_RULES!$A:$A,$D48,MATERIAL_TARIFF_RULES!$C:$C,$B48)="",SUMIFS(TARIFF_PROFILES!$H:$H,TARIFF_PROFILES!$A:$A,$B48),SUMIFS(MATERIAL_TARIFF_RULES!$F:$F,MATERIAL_TARIFF_RULES!$A:$A,$D48,MATERIAL_TARIFF_RULES!$C:$C,$B48)),1),1)</f>
        <v/>
      </c>
      <c r="O48" s="19">
        <f>IF($C48="","",IF($C48="Material",ROUNDUP(N($G48)*N($N48),0),N($G48)))</f>
        <v/>
      </c>
      <c r="P48" s="19">
        <f>IF(ROW()=2,MAX(0,INDEX(COMMERCIAL_POLICY!$B:$B,MATCH($B48,COMMERCIAL_POLICY!$A:$A,0))-SUM($Q$2:$Q$60)),0)</f>
        <v/>
      </c>
      <c r="Q48" s="35">
        <f>IF($C48="","",IF($C48="Material",N($I48)*N($K48)*N($M48)*N($O48),IF($C48="Logistics",INDEX(COMMERCIAL_POLICY!$D:$D,MATCH($B48,COMMERCIAL_POLICY!$A:$A,0))*N($L48),N($I48)*N($J48)*N($K48)*N($L48)*N($M48)*N($G48))))</f>
        <v/>
      </c>
      <c r="R48" s="19">
        <f>IF($A48="","",INDEX(OBJECT_CONDITIONS!$AM:$AM,MATCH($A48,OBJECT_CONDITIONS!$A:$A,0)))</f>
        <v/>
      </c>
      <c r="S48" s="33">
        <f>IF($R48="","",INDEX(TAX_MODES!$B:$B,MATCH($R48,TAX_MODES!$A:$A,0)))</f>
        <v/>
      </c>
      <c r="T48" s="35">
        <f>IF($Q48="","",N($Q48)*(1+N($S48)))</f>
        <v/>
      </c>
      <c r="U48" s="19">
        <f>IF($C48="","",IF($C48="Material","Net x reserve x rounded purchase logic",IF($C48="Logistics","Mobilization from COMMERCIAL_POLICY x operating coeff","Base x method/variant x site x operating x tariff")) )</f>
        <v/>
      </c>
    </row>
    <row r="49">
      <c r="A49" s="19" t="n"/>
      <c r="B49" s="19" t="n"/>
      <c r="C49" s="19" t="n"/>
      <c r="D49" s="19" t="n"/>
      <c r="E49" s="19" t="n"/>
      <c r="F49" s="19">
        <f>IF($C49="","",IF($C49="Work",IFERROR(IF(SUMIFS(WORK_TARIFF_RULES!$G:$G,WORK_TARIFF_RULES!$A:$A,$D49,WORK_TARIFF_RULES!$C:$C,$B49)&lt;&gt;"",SUMIFS(WORK_TARIFF_RULES!$G:$G,WORK_TARIFF_RULES!$A:$A,$D49,WORK_TARIFF_RULES!$C:$C,$B49),SUMIFS(WORK_MASTER!$C:$C,WORK_MASTER!$A:$A,$D49)),""),IF($C49="Material",IFERROR(IF(SUMIFS(MATERIAL_TARIFF_RULES!$G:$G,MATERIAL_TARIFF_RULES!$A:$A,$D49,MATERIAL_TARIFF_RULES!$C:$C,$B49)&lt;&gt;"",SUMIFS(MATERIAL_TARIFF_RULES!$G:$G,MATERIAL_TARIFF_RULES!$A:$A,$D49,MATERIAL_TARIFF_RULES!$C:$C,$B49),SUMIFS(MATERIAL_VARIANTS!$J:$J,MATERIAL_VARIANTS!$A:$A,$E49)),""),IF($C49="Logistics","Мобилизация и логистика объекта",""))))</f>
        <v/>
      </c>
      <c r="G49" s="19" t="n"/>
      <c r="H49" s="19" t="n"/>
      <c r="I49" s="33">
        <f>IF($C49="","",IF($C49="Work",IFERROR(SUMIFS(WORK_MASTER!$I:$I,WORK_MASTER!$A:$A,$D49),0),IF($C49="Material",IFERROR(SUMIFS(MATERIAL_VARIANTS!$I:$I,MATERIAL_VARIANTS!$A:$A,$E49),0),0)))</f>
        <v/>
      </c>
      <c r="J49" s="33">
        <f>IF($C49="","",IF($C49="Work",IF($E49&lt;&gt;"",IFERROR(SUMIFS(WORK_VARIANTS!$H:$H,WORK_VARIANTS!$A:$A,$E49),1),1),1))</f>
        <v/>
      </c>
      <c r="K49" s="33">
        <f>IF($C49="","",IF($C49="Work",IFERROR(SUMIFS(WORK_FACTOR_APPLICABILITY!$O:$O,WORK_FACTOR_APPLICABILITY!$A:$A,$D49,WORK_FACTOR_APPLICABILITY!$N:$N,$A49),1),IF($C49="Material",IFERROR(INDEX(MATERIAL_QUANTITY_EXAMPLE!$N:$N,MATCH(1,(MATERIAL_QUANTITY_EXAMPLE!$A:$A=MATERIAL_QUANTITY_EXAMPLE!$A:$A)*(MATERIAL_QUANTITY_EXAMPLE!$B:$B=$A49)*(MATERIAL_QUANTITY_EXAMPLE!$C:$C=$D49),0)),1),1)))</f>
        <v/>
      </c>
      <c r="L49" s="33">
        <f>IF($A49="","",IF($C49="Material",1,IFERROR(INDEX(OBJECT_CONDITIONS!$AH:$AH,MATCH($A49,OBJECT_CONDITIONS!$A:$A,0))*INDEX(OBJECT_CONDITIONS!$AJ:$AJ,MATCH($A49,OBJECT_CONDITIONS!$A:$A,0))*INDEX(OBJECT_CONDITIONS!$AL:$AL,MATCH($A49,OBJECT_CONDITIONS!$A:$A,0)),1)))</f>
        <v/>
      </c>
      <c r="M49" s="33">
        <f>IF($B49="","",IF($C49="Work",IFERROR(IF(SUMIFS(WORK_TARIFF_RULES!$F:$F,WORK_TARIFF_RULES!$A:$A,$D49,WORK_TARIFF_RULES!$C:$C,$B49)&lt;&gt;"",SUMIFS(WORK_TARIFF_RULES!$F:$F,WORK_TARIFF_RULES!$A:$A,$D49,WORK_TARIFF_RULES!$C:$C,$B49),SUMIFS(TARIFF_PROFILES!$D:$D,TARIFF_PROFILES!$A:$A,$B49)),1),IF($C49="Material",IFERROR(IF(SUMIFS(MATERIAL_TARIFF_RULES!$E:$E,MATERIAL_TARIFF_RULES!$A:$A,$D49,MATERIAL_TARIFF_RULES!$C:$C,$B49)&lt;&gt;"",SUMIFS(MATERIAL_TARIFF_RULES!$E:$E,MATERIAL_TARIFF_RULES!$A:$A,$D49,MATERIAL_TARIFF_RULES!$C:$C,$B49),SUMIFS(TARIFF_PROFILES!$E:$E,TARIFF_PROFILES!$A:$A,$B49)),1),SUMIFS(TARIFF_PROFILES!$F:$F,TARIFF_PROFILES!$A:$A,$B49))))</f>
        <v/>
      </c>
      <c r="N49" s="33">
        <f>IF($C49="Material",IFERROR(SUMIFS(MATERIAL_MASTER!$P:$P,MATERIAL_MASTER!$A:$A,$D49)*IF(SUMIFS(MATERIAL_TARIFF_RULES!$F:$F,MATERIAL_TARIFF_RULES!$A:$A,$D49,MATERIAL_TARIFF_RULES!$C:$C,$B49)="",SUMIFS(TARIFF_PROFILES!$H:$H,TARIFF_PROFILES!$A:$A,$B49),SUMIFS(MATERIAL_TARIFF_RULES!$F:$F,MATERIAL_TARIFF_RULES!$A:$A,$D49,MATERIAL_TARIFF_RULES!$C:$C,$B49)),1),1)</f>
        <v/>
      </c>
      <c r="O49" s="19">
        <f>IF($C49="","",IF($C49="Material",ROUNDUP(N($G49)*N($N49),0),N($G49)))</f>
        <v/>
      </c>
      <c r="P49" s="19">
        <f>IF(ROW()=2,MAX(0,INDEX(COMMERCIAL_POLICY!$B:$B,MATCH($B49,COMMERCIAL_POLICY!$A:$A,0))-SUM($Q$2:$Q$60)),0)</f>
        <v/>
      </c>
      <c r="Q49" s="35">
        <f>IF($C49="","",IF($C49="Material",N($I49)*N($K49)*N($M49)*N($O49),IF($C49="Logistics",INDEX(COMMERCIAL_POLICY!$D:$D,MATCH($B49,COMMERCIAL_POLICY!$A:$A,0))*N($L49),N($I49)*N($J49)*N($K49)*N($L49)*N($M49)*N($G49))))</f>
        <v/>
      </c>
      <c r="R49" s="19">
        <f>IF($A49="","",INDEX(OBJECT_CONDITIONS!$AM:$AM,MATCH($A49,OBJECT_CONDITIONS!$A:$A,0)))</f>
        <v/>
      </c>
      <c r="S49" s="33">
        <f>IF($R49="","",INDEX(TAX_MODES!$B:$B,MATCH($R49,TAX_MODES!$A:$A,0)))</f>
        <v/>
      </c>
      <c r="T49" s="35">
        <f>IF($Q49="","",N($Q49)*(1+N($S49)))</f>
        <v/>
      </c>
      <c r="U49" s="19">
        <f>IF($C49="","",IF($C49="Material","Net x reserve x rounded purchase logic",IF($C49="Logistics","Mobilization from COMMERCIAL_POLICY x operating coeff","Base x method/variant x site x operating x tariff")) )</f>
        <v/>
      </c>
    </row>
    <row r="50">
      <c r="A50" s="19" t="n"/>
      <c r="B50" s="19" t="n"/>
      <c r="C50" s="19" t="n"/>
      <c r="D50" s="19" t="n"/>
      <c r="E50" s="19" t="n"/>
      <c r="F50" s="19">
        <f>IF($C50="","",IF($C50="Work",IFERROR(IF(SUMIFS(WORK_TARIFF_RULES!$G:$G,WORK_TARIFF_RULES!$A:$A,$D50,WORK_TARIFF_RULES!$C:$C,$B50)&lt;&gt;"",SUMIFS(WORK_TARIFF_RULES!$G:$G,WORK_TARIFF_RULES!$A:$A,$D50,WORK_TARIFF_RULES!$C:$C,$B50),SUMIFS(WORK_MASTER!$C:$C,WORK_MASTER!$A:$A,$D50)),""),IF($C50="Material",IFERROR(IF(SUMIFS(MATERIAL_TARIFF_RULES!$G:$G,MATERIAL_TARIFF_RULES!$A:$A,$D50,MATERIAL_TARIFF_RULES!$C:$C,$B50)&lt;&gt;"",SUMIFS(MATERIAL_TARIFF_RULES!$G:$G,MATERIAL_TARIFF_RULES!$A:$A,$D50,MATERIAL_TARIFF_RULES!$C:$C,$B50),SUMIFS(MATERIAL_VARIANTS!$J:$J,MATERIAL_VARIANTS!$A:$A,$E50)),""),IF($C50="Logistics","Мобилизация и логистика объекта",""))))</f>
        <v/>
      </c>
      <c r="G50" s="19" t="n"/>
      <c r="H50" s="19" t="n"/>
      <c r="I50" s="33">
        <f>IF($C50="","",IF($C50="Work",IFERROR(SUMIFS(WORK_MASTER!$I:$I,WORK_MASTER!$A:$A,$D50),0),IF($C50="Material",IFERROR(SUMIFS(MATERIAL_VARIANTS!$I:$I,MATERIAL_VARIANTS!$A:$A,$E50),0),0)))</f>
        <v/>
      </c>
      <c r="J50" s="33">
        <f>IF($C50="","",IF($C50="Work",IF($E50&lt;&gt;"",IFERROR(SUMIFS(WORK_VARIANTS!$H:$H,WORK_VARIANTS!$A:$A,$E50),1),1),1))</f>
        <v/>
      </c>
      <c r="K50" s="33">
        <f>IF($C50="","",IF($C50="Work",IFERROR(SUMIFS(WORK_FACTOR_APPLICABILITY!$O:$O,WORK_FACTOR_APPLICABILITY!$A:$A,$D50,WORK_FACTOR_APPLICABILITY!$N:$N,$A50),1),IF($C50="Material",IFERROR(INDEX(MATERIAL_QUANTITY_EXAMPLE!$N:$N,MATCH(1,(MATERIAL_QUANTITY_EXAMPLE!$A:$A=MATERIAL_QUANTITY_EXAMPLE!$A:$A)*(MATERIAL_QUANTITY_EXAMPLE!$B:$B=$A50)*(MATERIAL_QUANTITY_EXAMPLE!$C:$C=$D50),0)),1),1)))</f>
        <v/>
      </c>
      <c r="L50" s="33">
        <f>IF($A50="","",IF($C50="Material",1,IFERROR(INDEX(OBJECT_CONDITIONS!$AH:$AH,MATCH($A50,OBJECT_CONDITIONS!$A:$A,0))*INDEX(OBJECT_CONDITIONS!$AJ:$AJ,MATCH($A50,OBJECT_CONDITIONS!$A:$A,0))*INDEX(OBJECT_CONDITIONS!$AL:$AL,MATCH($A50,OBJECT_CONDITIONS!$A:$A,0)),1)))</f>
        <v/>
      </c>
      <c r="M50" s="33">
        <f>IF($B50="","",IF($C50="Work",IFERROR(IF(SUMIFS(WORK_TARIFF_RULES!$F:$F,WORK_TARIFF_RULES!$A:$A,$D50,WORK_TARIFF_RULES!$C:$C,$B50)&lt;&gt;"",SUMIFS(WORK_TARIFF_RULES!$F:$F,WORK_TARIFF_RULES!$A:$A,$D50,WORK_TARIFF_RULES!$C:$C,$B50),SUMIFS(TARIFF_PROFILES!$D:$D,TARIFF_PROFILES!$A:$A,$B50)),1),IF($C50="Material",IFERROR(IF(SUMIFS(MATERIAL_TARIFF_RULES!$E:$E,MATERIAL_TARIFF_RULES!$A:$A,$D50,MATERIAL_TARIFF_RULES!$C:$C,$B50)&lt;&gt;"",SUMIFS(MATERIAL_TARIFF_RULES!$E:$E,MATERIAL_TARIFF_RULES!$A:$A,$D50,MATERIAL_TARIFF_RULES!$C:$C,$B50),SUMIFS(TARIFF_PROFILES!$E:$E,TARIFF_PROFILES!$A:$A,$B50)),1),SUMIFS(TARIFF_PROFILES!$F:$F,TARIFF_PROFILES!$A:$A,$B50))))</f>
        <v/>
      </c>
      <c r="N50" s="33">
        <f>IF($C50="Material",IFERROR(SUMIFS(MATERIAL_MASTER!$P:$P,MATERIAL_MASTER!$A:$A,$D50)*IF(SUMIFS(MATERIAL_TARIFF_RULES!$F:$F,MATERIAL_TARIFF_RULES!$A:$A,$D50,MATERIAL_TARIFF_RULES!$C:$C,$B50)="",SUMIFS(TARIFF_PROFILES!$H:$H,TARIFF_PROFILES!$A:$A,$B50),SUMIFS(MATERIAL_TARIFF_RULES!$F:$F,MATERIAL_TARIFF_RULES!$A:$A,$D50,MATERIAL_TARIFF_RULES!$C:$C,$B50)),1),1)</f>
        <v/>
      </c>
      <c r="O50" s="19">
        <f>IF($C50="","",IF($C50="Material",ROUNDUP(N($G50)*N($N50),0),N($G50)))</f>
        <v/>
      </c>
      <c r="P50" s="19">
        <f>IF(ROW()=2,MAX(0,INDEX(COMMERCIAL_POLICY!$B:$B,MATCH($B50,COMMERCIAL_POLICY!$A:$A,0))-SUM($Q$2:$Q$60)),0)</f>
        <v/>
      </c>
      <c r="Q50" s="35">
        <f>IF($C50="","",IF($C50="Material",N($I50)*N($K50)*N($M50)*N($O50),IF($C50="Logistics",INDEX(COMMERCIAL_POLICY!$D:$D,MATCH($B50,COMMERCIAL_POLICY!$A:$A,0))*N($L50),N($I50)*N($J50)*N($K50)*N($L50)*N($M50)*N($G50))))</f>
        <v/>
      </c>
      <c r="R50" s="19">
        <f>IF($A50="","",INDEX(OBJECT_CONDITIONS!$AM:$AM,MATCH($A50,OBJECT_CONDITIONS!$A:$A,0)))</f>
        <v/>
      </c>
      <c r="S50" s="33">
        <f>IF($R50="","",INDEX(TAX_MODES!$B:$B,MATCH($R50,TAX_MODES!$A:$A,0)))</f>
        <v/>
      </c>
      <c r="T50" s="35">
        <f>IF($Q50="","",N($Q50)*(1+N($S50)))</f>
        <v/>
      </c>
      <c r="U50" s="19">
        <f>IF($C50="","",IF($C50="Material","Net x reserve x rounded purchase logic",IF($C50="Logistics","Mobilization from COMMERCIAL_POLICY x operating coeff","Base x method/variant x site x operating x tariff")) )</f>
        <v/>
      </c>
    </row>
    <row r="51">
      <c r="A51" s="19" t="n"/>
      <c r="B51" s="19" t="n"/>
      <c r="C51" s="19" t="n"/>
      <c r="D51" s="19" t="n"/>
      <c r="E51" s="19" t="n"/>
      <c r="F51" s="19">
        <f>IF($C51="","",IF($C51="Work",IFERROR(IF(SUMIFS(WORK_TARIFF_RULES!$G:$G,WORK_TARIFF_RULES!$A:$A,$D51,WORK_TARIFF_RULES!$C:$C,$B51)&lt;&gt;"",SUMIFS(WORK_TARIFF_RULES!$G:$G,WORK_TARIFF_RULES!$A:$A,$D51,WORK_TARIFF_RULES!$C:$C,$B51),SUMIFS(WORK_MASTER!$C:$C,WORK_MASTER!$A:$A,$D51)),""),IF($C51="Material",IFERROR(IF(SUMIFS(MATERIAL_TARIFF_RULES!$G:$G,MATERIAL_TARIFF_RULES!$A:$A,$D51,MATERIAL_TARIFF_RULES!$C:$C,$B51)&lt;&gt;"",SUMIFS(MATERIAL_TARIFF_RULES!$G:$G,MATERIAL_TARIFF_RULES!$A:$A,$D51,MATERIAL_TARIFF_RULES!$C:$C,$B51),SUMIFS(MATERIAL_VARIANTS!$J:$J,MATERIAL_VARIANTS!$A:$A,$E51)),""),IF($C51="Logistics","Мобилизация и логистика объекта",""))))</f>
        <v/>
      </c>
      <c r="G51" s="19" t="n"/>
      <c r="H51" s="19" t="n"/>
      <c r="I51" s="33">
        <f>IF($C51="","",IF($C51="Work",IFERROR(SUMIFS(WORK_MASTER!$I:$I,WORK_MASTER!$A:$A,$D51),0),IF($C51="Material",IFERROR(SUMIFS(MATERIAL_VARIANTS!$I:$I,MATERIAL_VARIANTS!$A:$A,$E51),0),0)))</f>
        <v/>
      </c>
      <c r="J51" s="33">
        <f>IF($C51="","",IF($C51="Work",IF($E51&lt;&gt;"",IFERROR(SUMIFS(WORK_VARIANTS!$H:$H,WORK_VARIANTS!$A:$A,$E51),1),1),1))</f>
        <v/>
      </c>
      <c r="K51" s="33">
        <f>IF($C51="","",IF($C51="Work",IFERROR(SUMIFS(WORK_FACTOR_APPLICABILITY!$O:$O,WORK_FACTOR_APPLICABILITY!$A:$A,$D51,WORK_FACTOR_APPLICABILITY!$N:$N,$A51),1),IF($C51="Material",IFERROR(INDEX(MATERIAL_QUANTITY_EXAMPLE!$N:$N,MATCH(1,(MATERIAL_QUANTITY_EXAMPLE!$A:$A=MATERIAL_QUANTITY_EXAMPLE!$A:$A)*(MATERIAL_QUANTITY_EXAMPLE!$B:$B=$A51)*(MATERIAL_QUANTITY_EXAMPLE!$C:$C=$D51),0)),1),1)))</f>
        <v/>
      </c>
      <c r="L51" s="33">
        <f>IF($A51="","",IF($C51="Material",1,IFERROR(INDEX(OBJECT_CONDITIONS!$AH:$AH,MATCH($A51,OBJECT_CONDITIONS!$A:$A,0))*INDEX(OBJECT_CONDITIONS!$AJ:$AJ,MATCH($A51,OBJECT_CONDITIONS!$A:$A,0))*INDEX(OBJECT_CONDITIONS!$AL:$AL,MATCH($A51,OBJECT_CONDITIONS!$A:$A,0)),1)))</f>
        <v/>
      </c>
      <c r="M51" s="33">
        <f>IF($B51="","",IF($C51="Work",IFERROR(IF(SUMIFS(WORK_TARIFF_RULES!$F:$F,WORK_TARIFF_RULES!$A:$A,$D51,WORK_TARIFF_RULES!$C:$C,$B51)&lt;&gt;"",SUMIFS(WORK_TARIFF_RULES!$F:$F,WORK_TARIFF_RULES!$A:$A,$D51,WORK_TARIFF_RULES!$C:$C,$B51),SUMIFS(TARIFF_PROFILES!$D:$D,TARIFF_PROFILES!$A:$A,$B51)),1),IF($C51="Material",IFERROR(IF(SUMIFS(MATERIAL_TARIFF_RULES!$E:$E,MATERIAL_TARIFF_RULES!$A:$A,$D51,MATERIAL_TARIFF_RULES!$C:$C,$B51)&lt;&gt;"",SUMIFS(MATERIAL_TARIFF_RULES!$E:$E,MATERIAL_TARIFF_RULES!$A:$A,$D51,MATERIAL_TARIFF_RULES!$C:$C,$B51),SUMIFS(TARIFF_PROFILES!$E:$E,TARIFF_PROFILES!$A:$A,$B51)),1),SUMIFS(TARIFF_PROFILES!$F:$F,TARIFF_PROFILES!$A:$A,$B51))))</f>
        <v/>
      </c>
      <c r="N51" s="33">
        <f>IF($C51="Material",IFERROR(SUMIFS(MATERIAL_MASTER!$P:$P,MATERIAL_MASTER!$A:$A,$D51)*IF(SUMIFS(MATERIAL_TARIFF_RULES!$F:$F,MATERIAL_TARIFF_RULES!$A:$A,$D51,MATERIAL_TARIFF_RULES!$C:$C,$B51)="",SUMIFS(TARIFF_PROFILES!$H:$H,TARIFF_PROFILES!$A:$A,$B51),SUMIFS(MATERIAL_TARIFF_RULES!$F:$F,MATERIAL_TARIFF_RULES!$A:$A,$D51,MATERIAL_TARIFF_RULES!$C:$C,$B51)),1),1)</f>
        <v/>
      </c>
      <c r="O51" s="19">
        <f>IF($C51="","",IF($C51="Material",ROUNDUP(N($G51)*N($N51),0),N($G51)))</f>
        <v/>
      </c>
      <c r="P51" s="19">
        <f>IF(ROW()=2,MAX(0,INDEX(COMMERCIAL_POLICY!$B:$B,MATCH($B51,COMMERCIAL_POLICY!$A:$A,0))-SUM($Q$2:$Q$60)),0)</f>
        <v/>
      </c>
      <c r="Q51" s="35">
        <f>IF($C51="","",IF($C51="Material",N($I51)*N($K51)*N($M51)*N($O51),IF($C51="Logistics",INDEX(COMMERCIAL_POLICY!$D:$D,MATCH($B51,COMMERCIAL_POLICY!$A:$A,0))*N($L51),N($I51)*N($J51)*N($K51)*N($L51)*N($M51)*N($G51))))</f>
        <v/>
      </c>
      <c r="R51" s="19">
        <f>IF($A51="","",INDEX(OBJECT_CONDITIONS!$AM:$AM,MATCH($A51,OBJECT_CONDITIONS!$A:$A,0)))</f>
        <v/>
      </c>
      <c r="S51" s="33">
        <f>IF($R51="","",INDEX(TAX_MODES!$B:$B,MATCH($R51,TAX_MODES!$A:$A,0)))</f>
        <v/>
      </c>
      <c r="T51" s="35">
        <f>IF($Q51="","",N($Q51)*(1+N($S51)))</f>
        <v/>
      </c>
      <c r="U51" s="19">
        <f>IF($C51="","",IF($C51="Material","Net x reserve x rounded purchase logic",IF($C51="Logistics","Mobilization from COMMERCIAL_POLICY x operating coeff","Base x method/variant x site x operating x tariff")) )</f>
        <v/>
      </c>
    </row>
    <row r="52">
      <c r="A52" s="19" t="n"/>
      <c r="B52" s="19" t="n"/>
      <c r="C52" s="19" t="n"/>
      <c r="D52" s="19" t="n"/>
      <c r="E52" s="19" t="n"/>
      <c r="F52" s="19">
        <f>IF($C52="","",IF($C52="Work",IFERROR(IF(SUMIFS(WORK_TARIFF_RULES!$G:$G,WORK_TARIFF_RULES!$A:$A,$D52,WORK_TARIFF_RULES!$C:$C,$B52)&lt;&gt;"",SUMIFS(WORK_TARIFF_RULES!$G:$G,WORK_TARIFF_RULES!$A:$A,$D52,WORK_TARIFF_RULES!$C:$C,$B52),SUMIFS(WORK_MASTER!$C:$C,WORK_MASTER!$A:$A,$D52)),""),IF($C52="Material",IFERROR(IF(SUMIFS(MATERIAL_TARIFF_RULES!$G:$G,MATERIAL_TARIFF_RULES!$A:$A,$D52,MATERIAL_TARIFF_RULES!$C:$C,$B52)&lt;&gt;"",SUMIFS(MATERIAL_TARIFF_RULES!$G:$G,MATERIAL_TARIFF_RULES!$A:$A,$D52,MATERIAL_TARIFF_RULES!$C:$C,$B52),SUMIFS(MATERIAL_VARIANTS!$J:$J,MATERIAL_VARIANTS!$A:$A,$E52)),""),IF($C52="Logistics","Мобилизация и логистика объекта",""))))</f>
        <v/>
      </c>
      <c r="G52" s="19" t="n"/>
      <c r="H52" s="19" t="n"/>
      <c r="I52" s="33">
        <f>IF($C52="","",IF($C52="Work",IFERROR(SUMIFS(WORK_MASTER!$I:$I,WORK_MASTER!$A:$A,$D52),0),IF($C52="Material",IFERROR(SUMIFS(MATERIAL_VARIANTS!$I:$I,MATERIAL_VARIANTS!$A:$A,$E52),0),0)))</f>
        <v/>
      </c>
      <c r="J52" s="33">
        <f>IF($C52="","",IF($C52="Work",IF($E52&lt;&gt;"",IFERROR(SUMIFS(WORK_VARIANTS!$H:$H,WORK_VARIANTS!$A:$A,$E52),1),1),1))</f>
        <v/>
      </c>
      <c r="K52" s="33">
        <f>IF($C52="","",IF($C52="Work",IFERROR(SUMIFS(WORK_FACTOR_APPLICABILITY!$O:$O,WORK_FACTOR_APPLICABILITY!$A:$A,$D52,WORK_FACTOR_APPLICABILITY!$N:$N,$A52),1),IF($C52="Material",IFERROR(INDEX(MATERIAL_QUANTITY_EXAMPLE!$N:$N,MATCH(1,(MATERIAL_QUANTITY_EXAMPLE!$A:$A=MATERIAL_QUANTITY_EXAMPLE!$A:$A)*(MATERIAL_QUANTITY_EXAMPLE!$B:$B=$A52)*(MATERIAL_QUANTITY_EXAMPLE!$C:$C=$D52),0)),1),1)))</f>
        <v/>
      </c>
      <c r="L52" s="33">
        <f>IF($A52="","",IF($C52="Material",1,IFERROR(INDEX(OBJECT_CONDITIONS!$AH:$AH,MATCH($A52,OBJECT_CONDITIONS!$A:$A,0))*INDEX(OBJECT_CONDITIONS!$AJ:$AJ,MATCH($A52,OBJECT_CONDITIONS!$A:$A,0))*INDEX(OBJECT_CONDITIONS!$AL:$AL,MATCH($A52,OBJECT_CONDITIONS!$A:$A,0)),1)))</f>
        <v/>
      </c>
      <c r="M52" s="33">
        <f>IF($B52="","",IF($C52="Work",IFERROR(IF(SUMIFS(WORK_TARIFF_RULES!$F:$F,WORK_TARIFF_RULES!$A:$A,$D52,WORK_TARIFF_RULES!$C:$C,$B52)&lt;&gt;"",SUMIFS(WORK_TARIFF_RULES!$F:$F,WORK_TARIFF_RULES!$A:$A,$D52,WORK_TARIFF_RULES!$C:$C,$B52),SUMIFS(TARIFF_PROFILES!$D:$D,TARIFF_PROFILES!$A:$A,$B52)),1),IF($C52="Material",IFERROR(IF(SUMIFS(MATERIAL_TARIFF_RULES!$E:$E,MATERIAL_TARIFF_RULES!$A:$A,$D52,MATERIAL_TARIFF_RULES!$C:$C,$B52)&lt;&gt;"",SUMIFS(MATERIAL_TARIFF_RULES!$E:$E,MATERIAL_TARIFF_RULES!$A:$A,$D52,MATERIAL_TARIFF_RULES!$C:$C,$B52),SUMIFS(TARIFF_PROFILES!$E:$E,TARIFF_PROFILES!$A:$A,$B52)),1),SUMIFS(TARIFF_PROFILES!$F:$F,TARIFF_PROFILES!$A:$A,$B52))))</f>
        <v/>
      </c>
      <c r="N52" s="33">
        <f>IF($C52="Material",IFERROR(SUMIFS(MATERIAL_MASTER!$P:$P,MATERIAL_MASTER!$A:$A,$D52)*IF(SUMIFS(MATERIAL_TARIFF_RULES!$F:$F,MATERIAL_TARIFF_RULES!$A:$A,$D52,MATERIAL_TARIFF_RULES!$C:$C,$B52)="",SUMIFS(TARIFF_PROFILES!$H:$H,TARIFF_PROFILES!$A:$A,$B52),SUMIFS(MATERIAL_TARIFF_RULES!$F:$F,MATERIAL_TARIFF_RULES!$A:$A,$D52,MATERIAL_TARIFF_RULES!$C:$C,$B52)),1),1)</f>
        <v/>
      </c>
      <c r="O52" s="19">
        <f>IF($C52="","",IF($C52="Material",ROUNDUP(N($G52)*N($N52),0),N($G52)))</f>
        <v/>
      </c>
      <c r="P52" s="19">
        <f>IF(ROW()=2,MAX(0,INDEX(COMMERCIAL_POLICY!$B:$B,MATCH($B52,COMMERCIAL_POLICY!$A:$A,0))-SUM($Q$2:$Q$60)),0)</f>
        <v/>
      </c>
      <c r="Q52" s="35">
        <f>IF($C52="","",IF($C52="Material",N($I52)*N($K52)*N($M52)*N($O52),IF($C52="Logistics",INDEX(COMMERCIAL_POLICY!$D:$D,MATCH($B52,COMMERCIAL_POLICY!$A:$A,0))*N($L52),N($I52)*N($J52)*N($K52)*N($L52)*N($M52)*N($G52))))</f>
        <v/>
      </c>
      <c r="R52" s="19">
        <f>IF($A52="","",INDEX(OBJECT_CONDITIONS!$AM:$AM,MATCH($A52,OBJECT_CONDITIONS!$A:$A,0)))</f>
        <v/>
      </c>
      <c r="S52" s="33">
        <f>IF($R52="","",INDEX(TAX_MODES!$B:$B,MATCH($R52,TAX_MODES!$A:$A,0)))</f>
        <v/>
      </c>
      <c r="T52" s="35">
        <f>IF($Q52="","",N($Q52)*(1+N($S52)))</f>
        <v/>
      </c>
      <c r="U52" s="19">
        <f>IF($C52="","",IF($C52="Material","Net x reserve x rounded purchase logic",IF($C52="Logistics","Mobilization from COMMERCIAL_POLICY x operating coeff","Base x method/variant x site x operating x tariff")) )</f>
        <v/>
      </c>
    </row>
    <row r="53">
      <c r="A53" s="19" t="n"/>
      <c r="B53" s="19" t="n"/>
      <c r="C53" s="19" t="n"/>
      <c r="D53" s="19" t="n"/>
      <c r="E53" s="19" t="n"/>
      <c r="F53" s="19">
        <f>IF($C53="","",IF($C53="Work",IFERROR(IF(SUMIFS(WORK_TARIFF_RULES!$G:$G,WORK_TARIFF_RULES!$A:$A,$D53,WORK_TARIFF_RULES!$C:$C,$B53)&lt;&gt;"",SUMIFS(WORK_TARIFF_RULES!$G:$G,WORK_TARIFF_RULES!$A:$A,$D53,WORK_TARIFF_RULES!$C:$C,$B53),SUMIFS(WORK_MASTER!$C:$C,WORK_MASTER!$A:$A,$D53)),""),IF($C53="Material",IFERROR(IF(SUMIFS(MATERIAL_TARIFF_RULES!$G:$G,MATERIAL_TARIFF_RULES!$A:$A,$D53,MATERIAL_TARIFF_RULES!$C:$C,$B53)&lt;&gt;"",SUMIFS(MATERIAL_TARIFF_RULES!$G:$G,MATERIAL_TARIFF_RULES!$A:$A,$D53,MATERIAL_TARIFF_RULES!$C:$C,$B53),SUMIFS(MATERIAL_VARIANTS!$J:$J,MATERIAL_VARIANTS!$A:$A,$E53)),""),IF($C53="Logistics","Мобилизация и логистика объекта",""))))</f>
        <v/>
      </c>
      <c r="G53" s="19" t="n"/>
      <c r="H53" s="19" t="n"/>
      <c r="I53" s="33">
        <f>IF($C53="","",IF($C53="Work",IFERROR(SUMIFS(WORK_MASTER!$I:$I,WORK_MASTER!$A:$A,$D53),0),IF($C53="Material",IFERROR(SUMIFS(MATERIAL_VARIANTS!$I:$I,MATERIAL_VARIANTS!$A:$A,$E53),0),0)))</f>
        <v/>
      </c>
      <c r="J53" s="33">
        <f>IF($C53="","",IF($C53="Work",IF($E53&lt;&gt;"",IFERROR(SUMIFS(WORK_VARIANTS!$H:$H,WORK_VARIANTS!$A:$A,$E53),1),1),1))</f>
        <v/>
      </c>
      <c r="K53" s="33">
        <f>IF($C53="","",IF($C53="Work",IFERROR(SUMIFS(WORK_FACTOR_APPLICABILITY!$O:$O,WORK_FACTOR_APPLICABILITY!$A:$A,$D53,WORK_FACTOR_APPLICABILITY!$N:$N,$A53),1),IF($C53="Material",IFERROR(INDEX(MATERIAL_QUANTITY_EXAMPLE!$N:$N,MATCH(1,(MATERIAL_QUANTITY_EXAMPLE!$A:$A=MATERIAL_QUANTITY_EXAMPLE!$A:$A)*(MATERIAL_QUANTITY_EXAMPLE!$B:$B=$A53)*(MATERIAL_QUANTITY_EXAMPLE!$C:$C=$D53),0)),1),1)))</f>
        <v/>
      </c>
      <c r="L53" s="33">
        <f>IF($A53="","",IF($C53="Material",1,IFERROR(INDEX(OBJECT_CONDITIONS!$AH:$AH,MATCH($A53,OBJECT_CONDITIONS!$A:$A,0))*INDEX(OBJECT_CONDITIONS!$AJ:$AJ,MATCH($A53,OBJECT_CONDITIONS!$A:$A,0))*INDEX(OBJECT_CONDITIONS!$AL:$AL,MATCH($A53,OBJECT_CONDITIONS!$A:$A,0)),1)))</f>
        <v/>
      </c>
      <c r="M53" s="33">
        <f>IF($B53="","",IF($C53="Work",IFERROR(IF(SUMIFS(WORK_TARIFF_RULES!$F:$F,WORK_TARIFF_RULES!$A:$A,$D53,WORK_TARIFF_RULES!$C:$C,$B53)&lt;&gt;"",SUMIFS(WORK_TARIFF_RULES!$F:$F,WORK_TARIFF_RULES!$A:$A,$D53,WORK_TARIFF_RULES!$C:$C,$B53),SUMIFS(TARIFF_PROFILES!$D:$D,TARIFF_PROFILES!$A:$A,$B53)),1),IF($C53="Material",IFERROR(IF(SUMIFS(MATERIAL_TARIFF_RULES!$E:$E,MATERIAL_TARIFF_RULES!$A:$A,$D53,MATERIAL_TARIFF_RULES!$C:$C,$B53)&lt;&gt;"",SUMIFS(MATERIAL_TARIFF_RULES!$E:$E,MATERIAL_TARIFF_RULES!$A:$A,$D53,MATERIAL_TARIFF_RULES!$C:$C,$B53),SUMIFS(TARIFF_PROFILES!$E:$E,TARIFF_PROFILES!$A:$A,$B53)),1),SUMIFS(TARIFF_PROFILES!$F:$F,TARIFF_PROFILES!$A:$A,$B53))))</f>
        <v/>
      </c>
      <c r="N53" s="33">
        <f>IF($C53="Material",IFERROR(SUMIFS(MATERIAL_MASTER!$P:$P,MATERIAL_MASTER!$A:$A,$D53)*IF(SUMIFS(MATERIAL_TARIFF_RULES!$F:$F,MATERIAL_TARIFF_RULES!$A:$A,$D53,MATERIAL_TARIFF_RULES!$C:$C,$B53)="",SUMIFS(TARIFF_PROFILES!$H:$H,TARIFF_PROFILES!$A:$A,$B53),SUMIFS(MATERIAL_TARIFF_RULES!$F:$F,MATERIAL_TARIFF_RULES!$A:$A,$D53,MATERIAL_TARIFF_RULES!$C:$C,$B53)),1),1)</f>
        <v/>
      </c>
      <c r="O53" s="19">
        <f>IF($C53="","",IF($C53="Material",ROUNDUP(N($G53)*N($N53),0),N($G53)))</f>
        <v/>
      </c>
      <c r="P53" s="19">
        <f>IF(ROW()=2,MAX(0,INDEX(COMMERCIAL_POLICY!$B:$B,MATCH($B53,COMMERCIAL_POLICY!$A:$A,0))-SUM($Q$2:$Q$60)),0)</f>
        <v/>
      </c>
      <c r="Q53" s="35">
        <f>IF($C53="","",IF($C53="Material",N($I53)*N($K53)*N($M53)*N($O53),IF($C53="Logistics",INDEX(COMMERCIAL_POLICY!$D:$D,MATCH($B53,COMMERCIAL_POLICY!$A:$A,0))*N($L53),N($I53)*N($J53)*N($K53)*N($L53)*N($M53)*N($G53))))</f>
        <v/>
      </c>
      <c r="R53" s="19">
        <f>IF($A53="","",INDEX(OBJECT_CONDITIONS!$AM:$AM,MATCH($A53,OBJECT_CONDITIONS!$A:$A,0)))</f>
        <v/>
      </c>
      <c r="S53" s="33">
        <f>IF($R53="","",INDEX(TAX_MODES!$B:$B,MATCH($R53,TAX_MODES!$A:$A,0)))</f>
        <v/>
      </c>
      <c r="T53" s="35">
        <f>IF($Q53="","",N($Q53)*(1+N($S53)))</f>
        <v/>
      </c>
      <c r="U53" s="19">
        <f>IF($C53="","",IF($C53="Material","Net x reserve x rounded purchase logic",IF($C53="Logistics","Mobilization from COMMERCIAL_POLICY x operating coeff","Base x method/variant x site x operating x tariff")) )</f>
        <v/>
      </c>
    </row>
    <row r="54">
      <c r="A54" s="19" t="n"/>
      <c r="B54" s="19" t="n"/>
      <c r="C54" s="19" t="n"/>
      <c r="D54" s="19" t="n"/>
      <c r="E54" s="19" t="n"/>
      <c r="F54" s="19">
        <f>IF($C54="","",IF($C54="Work",IFERROR(IF(SUMIFS(WORK_TARIFF_RULES!$G:$G,WORK_TARIFF_RULES!$A:$A,$D54,WORK_TARIFF_RULES!$C:$C,$B54)&lt;&gt;"",SUMIFS(WORK_TARIFF_RULES!$G:$G,WORK_TARIFF_RULES!$A:$A,$D54,WORK_TARIFF_RULES!$C:$C,$B54),SUMIFS(WORK_MASTER!$C:$C,WORK_MASTER!$A:$A,$D54)),""),IF($C54="Material",IFERROR(IF(SUMIFS(MATERIAL_TARIFF_RULES!$G:$G,MATERIAL_TARIFF_RULES!$A:$A,$D54,MATERIAL_TARIFF_RULES!$C:$C,$B54)&lt;&gt;"",SUMIFS(MATERIAL_TARIFF_RULES!$G:$G,MATERIAL_TARIFF_RULES!$A:$A,$D54,MATERIAL_TARIFF_RULES!$C:$C,$B54),SUMIFS(MATERIAL_VARIANTS!$J:$J,MATERIAL_VARIANTS!$A:$A,$E54)),""),IF($C54="Logistics","Мобилизация и логистика объекта",""))))</f>
        <v/>
      </c>
      <c r="G54" s="19" t="n"/>
      <c r="H54" s="19" t="n"/>
      <c r="I54" s="33">
        <f>IF($C54="","",IF($C54="Work",IFERROR(SUMIFS(WORK_MASTER!$I:$I,WORK_MASTER!$A:$A,$D54),0),IF($C54="Material",IFERROR(SUMIFS(MATERIAL_VARIANTS!$I:$I,MATERIAL_VARIANTS!$A:$A,$E54),0),0)))</f>
        <v/>
      </c>
      <c r="J54" s="33">
        <f>IF($C54="","",IF($C54="Work",IF($E54&lt;&gt;"",IFERROR(SUMIFS(WORK_VARIANTS!$H:$H,WORK_VARIANTS!$A:$A,$E54),1),1),1))</f>
        <v/>
      </c>
      <c r="K54" s="33">
        <f>IF($C54="","",IF($C54="Work",IFERROR(SUMIFS(WORK_FACTOR_APPLICABILITY!$O:$O,WORK_FACTOR_APPLICABILITY!$A:$A,$D54,WORK_FACTOR_APPLICABILITY!$N:$N,$A54),1),IF($C54="Material",IFERROR(INDEX(MATERIAL_QUANTITY_EXAMPLE!$N:$N,MATCH(1,(MATERIAL_QUANTITY_EXAMPLE!$A:$A=MATERIAL_QUANTITY_EXAMPLE!$A:$A)*(MATERIAL_QUANTITY_EXAMPLE!$B:$B=$A54)*(MATERIAL_QUANTITY_EXAMPLE!$C:$C=$D54),0)),1),1)))</f>
        <v/>
      </c>
      <c r="L54" s="33">
        <f>IF($A54="","",IF($C54="Material",1,IFERROR(INDEX(OBJECT_CONDITIONS!$AH:$AH,MATCH($A54,OBJECT_CONDITIONS!$A:$A,0))*INDEX(OBJECT_CONDITIONS!$AJ:$AJ,MATCH($A54,OBJECT_CONDITIONS!$A:$A,0))*INDEX(OBJECT_CONDITIONS!$AL:$AL,MATCH($A54,OBJECT_CONDITIONS!$A:$A,0)),1)))</f>
        <v/>
      </c>
      <c r="M54" s="33">
        <f>IF($B54="","",IF($C54="Work",IFERROR(IF(SUMIFS(WORK_TARIFF_RULES!$F:$F,WORK_TARIFF_RULES!$A:$A,$D54,WORK_TARIFF_RULES!$C:$C,$B54)&lt;&gt;"",SUMIFS(WORK_TARIFF_RULES!$F:$F,WORK_TARIFF_RULES!$A:$A,$D54,WORK_TARIFF_RULES!$C:$C,$B54),SUMIFS(TARIFF_PROFILES!$D:$D,TARIFF_PROFILES!$A:$A,$B54)),1),IF($C54="Material",IFERROR(IF(SUMIFS(MATERIAL_TARIFF_RULES!$E:$E,MATERIAL_TARIFF_RULES!$A:$A,$D54,MATERIAL_TARIFF_RULES!$C:$C,$B54)&lt;&gt;"",SUMIFS(MATERIAL_TARIFF_RULES!$E:$E,MATERIAL_TARIFF_RULES!$A:$A,$D54,MATERIAL_TARIFF_RULES!$C:$C,$B54),SUMIFS(TARIFF_PROFILES!$E:$E,TARIFF_PROFILES!$A:$A,$B54)),1),SUMIFS(TARIFF_PROFILES!$F:$F,TARIFF_PROFILES!$A:$A,$B54))))</f>
        <v/>
      </c>
      <c r="N54" s="33">
        <f>IF($C54="Material",IFERROR(SUMIFS(MATERIAL_MASTER!$P:$P,MATERIAL_MASTER!$A:$A,$D54)*IF(SUMIFS(MATERIAL_TARIFF_RULES!$F:$F,MATERIAL_TARIFF_RULES!$A:$A,$D54,MATERIAL_TARIFF_RULES!$C:$C,$B54)="",SUMIFS(TARIFF_PROFILES!$H:$H,TARIFF_PROFILES!$A:$A,$B54),SUMIFS(MATERIAL_TARIFF_RULES!$F:$F,MATERIAL_TARIFF_RULES!$A:$A,$D54,MATERIAL_TARIFF_RULES!$C:$C,$B54)),1),1)</f>
        <v/>
      </c>
      <c r="O54" s="19">
        <f>IF($C54="","",IF($C54="Material",ROUNDUP(N($G54)*N($N54),0),N($G54)))</f>
        <v/>
      </c>
      <c r="P54" s="19">
        <f>IF(ROW()=2,MAX(0,INDEX(COMMERCIAL_POLICY!$B:$B,MATCH($B54,COMMERCIAL_POLICY!$A:$A,0))-SUM($Q$2:$Q$60)),0)</f>
        <v/>
      </c>
      <c r="Q54" s="35">
        <f>IF($C54="","",IF($C54="Material",N($I54)*N($K54)*N($M54)*N($O54),IF($C54="Logistics",INDEX(COMMERCIAL_POLICY!$D:$D,MATCH($B54,COMMERCIAL_POLICY!$A:$A,0))*N($L54),N($I54)*N($J54)*N($K54)*N($L54)*N($M54)*N($G54))))</f>
        <v/>
      </c>
      <c r="R54" s="19">
        <f>IF($A54="","",INDEX(OBJECT_CONDITIONS!$AM:$AM,MATCH($A54,OBJECT_CONDITIONS!$A:$A,0)))</f>
        <v/>
      </c>
      <c r="S54" s="33">
        <f>IF($R54="","",INDEX(TAX_MODES!$B:$B,MATCH($R54,TAX_MODES!$A:$A,0)))</f>
        <v/>
      </c>
      <c r="T54" s="35">
        <f>IF($Q54="","",N($Q54)*(1+N($S54)))</f>
        <v/>
      </c>
      <c r="U54" s="19">
        <f>IF($C54="","",IF($C54="Material","Net x reserve x rounded purchase logic",IF($C54="Logistics","Mobilization from COMMERCIAL_POLICY x operating coeff","Base x method/variant x site x operating x tariff")) )</f>
        <v/>
      </c>
    </row>
    <row r="55">
      <c r="A55" s="19" t="n"/>
      <c r="B55" s="19" t="n"/>
      <c r="C55" s="19" t="n"/>
      <c r="D55" s="19" t="n"/>
      <c r="E55" s="19" t="n"/>
      <c r="F55" s="19">
        <f>IF($C55="","",IF($C55="Work",IFERROR(IF(SUMIFS(WORK_TARIFF_RULES!$G:$G,WORK_TARIFF_RULES!$A:$A,$D55,WORK_TARIFF_RULES!$C:$C,$B55)&lt;&gt;"",SUMIFS(WORK_TARIFF_RULES!$G:$G,WORK_TARIFF_RULES!$A:$A,$D55,WORK_TARIFF_RULES!$C:$C,$B55),SUMIFS(WORK_MASTER!$C:$C,WORK_MASTER!$A:$A,$D55)),""),IF($C55="Material",IFERROR(IF(SUMIFS(MATERIAL_TARIFF_RULES!$G:$G,MATERIAL_TARIFF_RULES!$A:$A,$D55,MATERIAL_TARIFF_RULES!$C:$C,$B55)&lt;&gt;"",SUMIFS(MATERIAL_TARIFF_RULES!$G:$G,MATERIAL_TARIFF_RULES!$A:$A,$D55,MATERIAL_TARIFF_RULES!$C:$C,$B55),SUMIFS(MATERIAL_VARIANTS!$J:$J,MATERIAL_VARIANTS!$A:$A,$E55)),""),IF($C55="Logistics","Мобилизация и логистика объекта",""))))</f>
        <v/>
      </c>
      <c r="G55" s="19" t="n"/>
      <c r="H55" s="19" t="n"/>
      <c r="I55" s="33">
        <f>IF($C55="","",IF($C55="Work",IFERROR(SUMIFS(WORK_MASTER!$I:$I,WORK_MASTER!$A:$A,$D55),0),IF($C55="Material",IFERROR(SUMIFS(MATERIAL_VARIANTS!$I:$I,MATERIAL_VARIANTS!$A:$A,$E55),0),0)))</f>
        <v/>
      </c>
      <c r="J55" s="33">
        <f>IF($C55="","",IF($C55="Work",IF($E55&lt;&gt;"",IFERROR(SUMIFS(WORK_VARIANTS!$H:$H,WORK_VARIANTS!$A:$A,$E55),1),1),1))</f>
        <v/>
      </c>
      <c r="K55" s="33">
        <f>IF($C55="","",IF($C55="Work",IFERROR(SUMIFS(WORK_FACTOR_APPLICABILITY!$O:$O,WORK_FACTOR_APPLICABILITY!$A:$A,$D55,WORK_FACTOR_APPLICABILITY!$N:$N,$A55),1),IF($C55="Material",IFERROR(INDEX(MATERIAL_QUANTITY_EXAMPLE!$N:$N,MATCH(1,(MATERIAL_QUANTITY_EXAMPLE!$A:$A=MATERIAL_QUANTITY_EXAMPLE!$A:$A)*(MATERIAL_QUANTITY_EXAMPLE!$B:$B=$A55)*(MATERIAL_QUANTITY_EXAMPLE!$C:$C=$D55),0)),1),1)))</f>
        <v/>
      </c>
      <c r="L55" s="33">
        <f>IF($A55="","",IF($C55="Material",1,IFERROR(INDEX(OBJECT_CONDITIONS!$AH:$AH,MATCH($A55,OBJECT_CONDITIONS!$A:$A,0))*INDEX(OBJECT_CONDITIONS!$AJ:$AJ,MATCH($A55,OBJECT_CONDITIONS!$A:$A,0))*INDEX(OBJECT_CONDITIONS!$AL:$AL,MATCH($A55,OBJECT_CONDITIONS!$A:$A,0)),1)))</f>
        <v/>
      </c>
      <c r="M55" s="33">
        <f>IF($B55="","",IF($C55="Work",IFERROR(IF(SUMIFS(WORK_TARIFF_RULES!$F:$F,WORK_TARIFF_RULES!$A:$A,$D55,WORK_TARIFF_RULES!$C:$C,$B55)&lt;&gt;"",SUMIFS(WORK_TARIFF_RULES!$F:$F,WORK_TARIFF_RULES!$A:$A,$D55,WORK_TARIFF_RULES!$C:$C,$B55),SUMIFS(TARIFF_PROFILES!$D:$D,TARIFF_PROFILES!$A:$A,$B55)),1),IF($C55="Material",IFERROR(IF(SUMIFS(MATERIAL_TARIFF_RULES!$E:$E,MATERIAL_TARIFF_RULES!$A:$A,$D55,MATERIAL_TARIFF_RULES!$C:$C,$B55)&lt;&gt;"",SUMIFS(MATERIAL_TARIFF_RULES!$E:$E,MATERIAL_TARIFF_RULES!$A:$A,$D55,MATERIAL_TARIFF_RULES!$C:$C,$B55),SUMIFS(TARIFF_PROFILES!$E:$E,TARIFF_PROFILES!$A:$A,$B55)),1),SUMIFS(TARIFF_PROFILES!$F:$F,TARIFF_PROFILES!$A:$A,$B55))))</f>
        <v/>
      </c>
      <c r="N55" s="33">
        <f>IF($C55="Material",IFERROR(SUMIFS(MATERIAL_MASTER!$P:$P,MATERIAL_MASTER!$A:$A,$D55)*IF(SUMIFS(MATERIAL_TARIFF_RULES!$F:$F,MATERIAL_TARIFF_RULES!$A:$A,$D55,MATERIAL_TARIFF_RULES!$C:$C,$B55)="",SUMIFS(TARIFF_PROFILES!$H:$H,TARIFF_PROFILES!$A:$A,$B55),SUMIFS(MATERIAL_TARIFF_RULES!$F:$F,MATERIAL_TARIFF_RULES!$A:$A,$D55,MATERIAL_TARIFF_RULES!$C:$C,$B55)),1),1)</f>
        <v/>
      </c>
      <c r="O55" s="19">
        <f>IF($C55="","",IF($C55="Material",ROUNDUP(N($G55)*N($N55),0),N($G55)))</f>
        <v/>
      </c>
      <c r="P55" s="19">
        <f>IF(ROW()=2,MAX(0,INDEX(COMMERCIAL_POLICY!$B:$B,MATCH($B55,COMMERCIAL_POLICY!$A:$A,0))-SUM($Q$2:$Q$60)),0)</f>
        <v/>
      </c>
      <c r="Q55" s="35">
        <f>IF($C55="","",IF($C55="Material",N($I55)*N($K55)*N($M55)*N($O55),IF($C55="Logistics",INDEX(COMMERCIAL_POLICY!$D:$D,MATCH($B55,COMMERCIAL_POLICY!$A:$A,0))*N($L55),N($I55)*N($J55)*N($K55)*N($L55)*N($M55)*N($G55))))</f>
        <v/>
      </c>
      <c r="R55" s="19">
        <f>IF($A55="","",INDEX(OBJECT_CONDITIONS!$AM:$AM,MATCH($A55,OBJECT_CONDITIONS!$A:$A,0)))</f>
        <v/>
      </c>
      <c r="S55" s="33">
        <f>IF($R55="","",INDEX(TAX_MODES!$B:$B,MATCH($R55,TAX_MODES!$A:$A,0)))</f>
        <v/>
      </c>
      <c r="T55" s="35">
        <f>IF($Q55="","",N($Q55)*(1+N($S55)))</f>
        <v/>
      </c>
      <c r="U55" s="19">
        <f>IF($C55="","",IF($C55="Material","Net x reserve x rounded purchase logic",IF($C55="Logistics","Mobilization from COMMERCIAL_POLICY x operating coeff","Base x method/variant x site x operating x tariff")) )</f>
        <v/>
      </c>
    </row>
    <row r="56">
      <c r="A56" s="19" t="n"/>
      <c r="B56" s="19" t="n"/>
      <c r="C56" s="19" t="n"/>
      <c r="D56" s="19" t="n"/>
      <c r="E56" s="19" t="n"/>
      <c r="F56" s="19">
        <f>IF($C56="","",IF($C56="Work",IFERROR(IF(SUMIFS(WORK_TARIFF_RULES!$G:$G,WORK_TARIFF_RULES!$A:$A,$D56,WORK_TARIFF_RULES!$C:$C,$B56)&lt;&gt;"",SUMIFS(WORK_TARIFF_RULES!$G:$G,WORK_TARIFF_RULES!$A:$A,$D56,WORK_TARIFF_RULES!$C:$C,$B56),SUMIFS(WORK_MASTER!$C:$C,WORK_MASTER!$A:$A,$D56)),""),IF($C56="Material",IFERROR(IF(SUMIFS(MATERIAL_TARIFF_RULES!$G:$G,MATERIAL_TARIFF_RULES!$A:$A,$D56,MATERIAL_TARIFF_RULES!$C:$C,$B56)&lt;&gt;"",SUMIFS(MATERIAL_TARIFF_RULES!$G:$G,MATERIAL_TARIFF_RULES!$A:$A,$D56,MATERIAL_TARIFF_RULES!$C:$C,$B56),SUMIFS(MATERIAL_VARIANTS!$J:$J,MATERIAL_VARIANTS!$A:$A,$E56)),""),IF($C56="Logistics","Мобилизация и логистика объекта",""))))</f>
        <v/>
      </c>
      <c r="G56" s="19" t="n"/>
      <c r="H56" s="19" t="n"/>
      <c r="I56" s="33">
        <f>IF($C56="","",IF($C56="Work",IFERROR(SUMIFS(WORK_MASTER!$I:$I,WORK_MASTER!$A:$A,$D56),0),IF($C56="Material",IFERROR(SUMIFS(MATERIAL_VARIANTS!$I:$I,MATERIAL_VARIANTS!$A:$A,$E56),0),0)))</f>
        <v/>
      </c>
      <c r="J56" s="33">
        <f>IF($C56="","",IF($C56="Work",IF($E56&lt;&gt;"",IFERROR(SUMIFS(WORK_VARIANTS!$H:$H,WORK_VARIANTS!$A:$A,$E56),1),1),1))</f>
        <v/>
      </c>
      <c r="K56" s="33">
        <f>IF($C56="","",IF($C56="Work",IFERROR(SUMIFS(WORK_FACTOR_APPLICABILITY!$O:$O,WORK_FACTOR_APPLICABILITY!$A:$A,$D56,WORK_FACTOR_APPLICABILITY!$N:$N,$A56),1),IF($C56="Material",IFERROR(INDEX(MATERIAL_QUANTITY_EXAMPLE!$N:$N,MATCH(1,(MATERIAL_QUANTITY_EXAMPLE!$A:$A=MATERIAL_QUANTITY_EXAMPLE!$A:$A)*(MATERIAL_QUANTITY_EXAMPLE!$B:$B=$A56)*(MATERIAL_QUANTITY_EXAMPLE!$C:$C=$D56),0)),1),1)))</f>
        <v/>
      </c>
      <c r="L56" s="33">
        <f>IF($A56="","",IF($C56="Material",1,IFERROR(INDEX(OBJECT_CONDITIONS!$AH:$AH,MATCH($A56,OBJECT_CONDITIONS!$A:$A,0))*INDEX(OBJECT_CONDITIONS!$AJ:$AJ,MATCH($A56,OBJECT_CONDITIONS!$A:$A,0))*INDEX(OBJECT_CONDITIONS!$AL:$AL,MATCH($A56,OBJECT_CONDITIONS!$A:$A,0)),1)))</f>
        <v/>
      </c>
      <c r="M56" s="33">
        <f>IF($B56="","",IF($C56="Work",IFERROR(IF(SUMIFS(WORK_TARIFF_RULES!$F:$F,WORK_TARIFF_RULES!$A:$A,$D56,WORK_TARIFF_RULES!$C:$C,$B56)&lt;&gt;"",SUMIFS(WORK_TARIFF_RULES!$F:$F,WORK_TARIFF_RULES!$A:$A,$D56,WORK_TARIFF_RULES!$C:$C,$B56),SUMIFS(TARIFF_PROFILES!$D:$D,TARIFF_PROFILES!$A:$A,$B56)),1),IF($C56="Material",IFERROR(IF(SUMIFS(MATERIAL_TARIFF_RULES!$E:$E,MATERIAL_TARIFF_RULES!$A:$A,$D56,MATERIAL_TARIFF_RULES!$C:$C,$B56)&lt;&gt;"",SUMIFS(MATERIAL_TARIFF_RULES!$E:$E,MATERIAL_TARIFF_RULES!$A:$A,$D56,MATERIAL_TARIFF_RULES!$C:$C,$B56),SUMIFS(TARIFF_PROFILES!$E:$E,TARIFF_PROFILES!$A:$A,$B56)),1),SUMIFS(TARIFF_PROFILES!$F:$F,TARIFF_PROFILES!$A:$A,$B56))))</f>
        <v/>
      </c>
      <c r="N56" s="33">
        <f>IF($C56="Material",IFERROR(SUMIFS(MATERIAL_MASTER!$P:$P,MATERIAL_MASTER!$A:$A,$D56)*IF(SUMIFS(MATERIAL_TARIFF_RULES!$F:$F,MATERIAL_TARIFF_RULES!$A:$A,$D56,MATERIAL_TARIFF_RULES!$C:$C,$B56)="",SUMIFS(TARIFF_PROFILES!$H:$H,TARIFF_PROFILES!$A:$A,$B56),SUMIFS(MATERIAL_TARIFF_RULES!$F:$F,MATERIAL_TARIFF_RULES!$A:$A,$D56,MATERIAL_TARIFF_RULES!$C:$C,$B56)),1),1)</f>
        <v/>
      </c>
      <c r="O56" s="19">
        <f>IF($C56="","",IF($C56="Material",ROUNDUP(N($G56)*N($N56),0),N($G56)))</f>
        <v/>
      </c>
      <c r="P56" s="19">
        <f>IF(ROW()=2,MAX(0,INDEX(COMMERCIAL_POLICY!$B:$B,MATCH($B56,COMMERCIAL_POLICY!$A:$A,0))-SUM($Q$2:$Q$60)),0)</f>
        <v/>
      </c>
      <c r="Q56" s="35">
        <f>IF($C56="","",IF($C56="Material",N($I56)*N($K56)*N($M56)*N($O56),IF($C56="Logistics",INDEX(COMMERCIAL_POLICY!$D:$D,MATCH($B56,COMMERCIAL_POLICY!$A:$A,0))*N($L56),N($I56)*N($J56)*N($K56)*N($L56)*N($M56)*N($G56))))</f>
        <v/>
      </c>
      <c r="R56" s="19">
        <f>IF($A56="","",INDEX(OBJECT_CONDITIONS!$AM:$AM,MATCH($A56,OBJECT_CONDITIONS!$A:$A,0)))</f>
        <v/>
      </c>
      <c r="S56" s="33">
        <f>IF($R56="","",INDEX(TAX_MODES!$B:$B,MATCH($R56,TAX_MODES!$A:$A,0)))</f>
        <v/>
      </c>
      <c r="T56" s="35">
        <f>IF($Q56="","",N($Q56)*(1+N($S56)))</f>
        <v/>
      </c>
      <c r="U56" s="19">
        <f>IF($C56="","",IF($C56="Material","Net x reserve x rounded purchase logic",IF($C56="Logistics","Mobilization from COMMERCIAL_POLICY x operating coeff","Base x method/variant x site x operating x tariff")) )</f>
        <v/>
      </c>
    </row>
    <row r="57">
      <c r="A57" s="19" t="n"/>
      <c r="B57" s="19" t="n"/>
      <c r="C57" s="19" t="n"/>
      <c r="D57" s="19" t="n"/>
      <c r="E57" s="19" t="n"/>
      <c r="F57" s="19">
        <f>IF($C57="","",IF($C57="Work",IFERROR(IF(SUMIFS(WORK_TARIFF_RULES!$G:$G,WORK_TARIFF_RULES!$A:$A,$D57,WORK_TARIFF_RULES!$C:$C,$B57)&lt;&gt;"",SUMIFS(WORK_TARIFF_RULES!$G:$G,WORK_TARIFF_RULES!$A:$A,$D57,WORK_TARIFF_RULES!$C:$C,$B57),SUMIFS(WORK_MASTER!$C:$C,WORK_MASTER!$A:$A,$D57)),""),IF($C57="Material",IFERROR(IF(SUMIFS(MATERIAL_TARIFF_RULES!$G:$G,MATERIAL_TARIFF_RULES!$A:$A,$D57,MATERIAL_TARIFF_RULES!$C:$C,$B57)&lt;&gt;"",SUMIFS(MATERIAL_TARIFF_RULES!$G:$G,MATERIAL_TARIFF_RULES!$A:$A,$D57,MATERIAL_TARIFF_RULES!$C:$C,$B57),SUMIFS(MATERIAL_VARIANTS!$J:$J,MATERIAL_VARIANTS!$A:$A,$E57)),""),IF($C57="Logistics","Мобилизация и логистика объекта",""))))</f>
        <v/>
      </c>
      <c r="G57" s="19" t="n"/>
      <c r="H57" s="19" t="n"/>
      <c r="I57" s="33">
        <f>IF($C57="","",IF($C57="Work",IFERROR(SUMIFS(WORK_MASTER!$I:$I,WORK_MASTER!$A:$A,$D57),0),IF($C57="Material",IFERROR(SUMIFS(MATERIAL_VARIANTS!$I:$I,MATERIAL_VARIANTS!$A:$A,$E57),0),0)))</f>
        <v/>
      </c>
      <c r="J57" s="33">
        <f>IF($C57="","",IF($C57="Work",IF($E57&lt;&gt;"",IFERROR(SUMIFS(WORK_VARIANTS!$H:$H,WORK_VARIANTS!$A:$A,$E57),1),1),1))</f>
        <v/>
      </c>
      <c r="K57" s="33">
        <f>IF($C57="","",IF($C57="Work",IFERROR(SUMIFS(WORK_FACTOR_APPLICABILITY!$O:$O,WORK_FACTOR_APPLICABILITY!$A:$A,$D57,WORK_FACTOR_APPLICABILITY!$N:$N,$A57),1),IF($C57="Material",IFERROR(INDEX(MATERIAL_QUANTITY_EXAMPLE!$N:$N,MATCH(1,(MATERIAL_QUANTITY_EXAMPLE!$A:$A=MATERIAL_QUANTITY_EXAMPLE!$A:$A)*(MATERIAL_QUANTITY_EXAMPLE!$B:$B=$A57)*(MATERIAL_QUANTITY_EXAMPLE!$C:$C=$D57),0)),1),1)))</f>
        <v/>
      </c>
      <c r="L57" s="33">
        <f>IF($A57="","",IF($C57="Material",1,IFERROR(INDEX(OBJECT_CONDITIONS!$AH:$AH,MATCH($A57,OBJECT_CONDITIONS!$A:$A,0))*INDEX(OBJECT_CONDITIONS!$AJ:$AJ,MATCH($A57,OBJECT_CONDITIONS!$A:$A,0))*INDEX(OBJECT_CONDITIONS!$AL:$AL,MATCH($A57,OBJECT_CONDITIONS!$A:$A,0)),1)))</f>
        <v/>
      </c>
      <c r="M57" s="33">
        <f>IF($B57="","",IF($C57="Work",IFERROR(IF(SUMIFS(WORK_TARIFF_RULES!$F:$F,WORK_TARIFF_RULES!$A:$A,$D57,WORK_TARIFF_RULES!$C:$C,$B57)&lt;&gt;"",SUMIFS(WORK_TARIFF_RULES!$F:$F,WORK_TARIFF_RULES!$A:$A,$D57,WORK_TARIFF_RULES!$C:$C,$B57),SUMIFS(TARIFF_PROFILES!$D:$D,TARIFF_PROFILES!$A:$A,$B57)),1),IF($C57="Material",IFERROR(IF(SUMIFS(MATERIAL_TARIFF_RULES!$E:$E,MATERIAL_TARIFF_RULES!$A:$A,$D57,MATERIAL_TARIFF_RULES!$C:$C,$B57)&lt;&gt;"",SUMIFS(MATERIAL_TARIFF_RULES!$E:$E,MATERIAL_TARIFF_RULES!$A:$A,$D57,MATERIAL_TARIFF_RULES!$C:$C,$B57),SUMIFS(TARIFF_PROFILES!$E:$E,TARIFF_PROFILES!$A:$A,$B57)),1),SUMIFS(TARIFF_PROFILES!$F:$F,TARIFF_PROFILES!$A:$A,$B57))))</f>
        <v/>
      </c>
      <c r="N57" s="33">
        <f>IF($C57="Material",IFERROR(SUMIFS(MATERIAL_MASTER!$P:$P,MATERIAL_MASTER!$A:$A,$D57)*IF(SUMIFS(MATERIAL_TARIFF_RULES!$F:$F,MATERIAL_TARIFF_RULES!$A:$A,$D57,MATERIAL_TARIFF_RULES!$C:$C,$B57)="",SUMIFS(TARIFF_PROFILES!$H:$H,TARIFF_PROFILES!$A:$A,$B57),SUMIFS(MATERIAL_TARIFF_RULES!$F:$F,MATERIAL_TARIFF_RULES!$A:$A,$D57,MATERIAL_TARIFF_RULES!$C:$C,$B57)),1),1)</f>
        <v/>
      </c>
      <c r="O57" s="19">
        <f>IF($C57="","",IF($C57="Material",ROUNDUP(N($G57)*N($N57),0),N($G57)))</f>
        <v/>
      </c>
      <c r="P57" s="19">
        <f>IF(ROW()=2,MAX(0,INDEX(COMMERCIAL_POLICY!$B:$B,MATCH($B57,COMMERCIAL_POLICY!$A:$A,0))-SUM($Q$2:$Q$60)),0)</f>
        <v/>
      </c>
      <c r="Q57" s="35">
        <f>IF($C57="","",IF($C57="Material",N($I57)*N($K57)*N($M57)*N($O57),IF($C57="Logistics",INDEX(COMMERCIAL_POLICY!$D:$D,MATCH($B57,COMMERCIAL_POLICY!$A:$A,0))*N($L57),N($I57)*N($J57)*N($K57)*N($L57)*N($M57)*N($G57))))</f>
        <v/>
      </c>
      <c r="R57" s="19">
        <f>IF($A57="","",INDEX(OBJECT_CONDITIONS!$AM:$AM,MATCH($A57,OBJECT_CONDITIONS!$A:$A,0)))</f>
        <v/>
      </c>
      <c r="S57" s="33">
        <f>IF($R57="","",INDEX(TAX_MODES!$B:$B,MATCH($R57,TAX_MODES!$A:$A,0)))</f>
        <v/>
      </c>
      <c r="T57" s="35">
        <f>IF($Q57="","",N($Q57)*(1+N($S57)))</f>
        <v/>
      </c>
      <c r="U57" s="19">
        <f>IF($C57="","",IF($C57="Material","Net x reserve x rounded purchase logic",IF($C57="Logistics","Mobilization from COMMERCIAL_POLICY x operating coeff","Base x method/variant x site x operating x tariff")) )</f>
        <v/>
      </c>
    </row>
    <row r="58">
      <c r="A58" s="19" t="n"/>
      <c r="B58" s="19" t="n"/>
      <c r="C58" s="19" t="n"/>
      <c r="D58" s="19" t="n"/>
      <c r="E58" s="19" t="n"/>
      <c r="F58" s="19">
        <f>IF($C58="","",IF($C58="Work",IFERROR(IF(SUMIFS(WORK_TARIFF_RULES!$G:$G,WORK_TARIFF_RULES!$A:$A,$D58,WORK_TARIFF_RULES!$C:$C,$B58)&lt;&gt;"",SUMIFS(WORK_TARIFF_RULES!$G:$G,WORK_TARIFF_RULES!$A:$A,$D58,WORK_TARIFF_RULES!$C:$C,$B58),SUMIFS(WORK_MASTER!$C:$C,WORK_MASTER!$A:$A,$D58)),""),IF($C58="Material",IFERROR(IF(SUMIFS(MATERIAL_TARIFF_RULES!$G:$G,MATERIAL_TARIFF_RULES!$A:$A,$D58,MATERIAL_TARIFF_RULES!$C:$C,$B58)&lt;&gt;"",SUMIFS(MATERIAL_TARIFF_RULES!$G:$G,MATERIAL_TARIFF_RULES!$A:$A,$D58,MATERIAL_TARIFF_RULES!$C:$C,$B58),SUMIFS(MATERIAL_VARIANTS!$J:$J,MATERIAL_VARIANTS!$A:$A,$E58)),""),IF($C58="Logistics","Мобилизация и логистика объекта",""))))</f>
        <v/>
      </c>
      <c r="G58" s="19" t="n"/>
      <c r="H58" s="19" t="n"/>
      <c r="I58" s="33">
        <f>IF($C58="","",IF($C58="Work",IFERROR(SUMIFS(WORK_MASTER!$I:$I,WORK_MASTER!$A:$A,$D58),0),IF($C58="Material",IFERROR(SUMIFS(MATERIAL_VARIANTS!$I:$I,MATERIAL_VARIANTS!$A:$A,$E58),0),0)))</f>
        <v/>
      </c>
      <c r="J58" s="33">
        <f>IF($C58="","",IF($C58="Work",IF($E58&lt;&gt;"",IFERROR(SUMIFS(WORK_VARIANTS!$H:$H,WORK_VARIANTS!$A:$A,$E58),1),1),1))</f>
        <v/>
      </c>
      <c r="K58" s="33">
        <f>IF($C58="","",IF($C58="Work",IFERROR(SUMIFS(WORK_FACTOR_APPLICABILITY!$O:$O,WORK_FACTOR_APPLICABILITY!$A:$A,$D58,WORK_FACTOR_APPLICABILITY!$N:$N,$A58),1),IF($C58="Material",IFERROR(INDEX(MATERIAL_QUANTITY_EXAMPLE!$N:$N,MATCH(1,(MATERIAL_QUANTITY_EXAMPLE!$A:$A=MATERIAL_QUANTITY_EXAMPLE!$A:$A)*(MATERIAL_QUANTITY_EXAMPLE!$B:$B=$A58)*(MATERIAL_QUANTITY_EXAMPLE!$C:$C=$D58),0)),1),1)))</f>
        <v/>
      </c>
      <c r="L58" s="33">
        <f>IF($A58="","",IF($C58="Material",1,IFERROR(INDEX(OBJECT_CONDITIONS!$AH:$AH,MATCH($A58,OBJECT_CONDITIONS!$A:$A,0))*INDEX(OBJECT_CONDITIONS!$AJ:$AJ,MATCH($A58,OBJECT_CONDITIONS!$A:$A,0))*INDEX(OBJECT_CONDITIONS!$AL:$AL,MATCH($A58,OBJECT_CONDITIONS!$A:$A,0)),1)))</f>
        <v/>
      </c>
      <c r="M58" s="33">
        <f>IF($B58="","",IF($C58="Work",IFERROR(IF(SUMIFS(WORK_TARIFF_RULES!$F:$F,WORK_TARIFF_RULES!$A:$A,$D58,WORK_TARIFF_RULES!$C:$C,$B58)&lt;&gt;"",SUMIFS(WORK_TARIFF_RULES!$F:$F,WORK_TARIFF_RULES!$A:$A,$D58,WORK_TARIFF_RULES!$C:$C,$B58),SUMIFS(TARIFF_PROFILES!$D:$D,TARIFF_PROFILES!$A:$A,$B58)),1),IF($C58="Material",IFERROR(IF(SUMIFS(MATERIAL_TARIFF_RULES!$E:$E,MATERIAL_TARIFF_RULES!$A:$A,$D58,MATERIAL_TARIFF_RULES!$C:$C,$B58)&lt;&gt;"",SUMIFS(MATERIAL_TARIFF_RULES!$E:$E,MATERIAL_TARIFF_RULES!$A:$A,$D58,MATERIAL_TARIFF_RULES!$C:$C,$B58),SUMIFS(TARIFF_PROFILES!$E:$E,TARIFF_PROFILES!$A:$A,$B58)),1),SUMIFS(TARIFF_PROFILES!$F:$F,TARIFF_PROFILES!$A:$A,$B58))))</f>
        <v/>
      </c>
      <c r="N58" s="33">
        <f>IF($C58="Material",IFERROR(SUMIFS(MATERIAL_MASTER!$P:$P,MATERIAL_MASTER!$A:$A,$D58)*IF(SUMIFS(MATERIAL_TARIFF_RULES!$F:$F,MATERIAL_TARIFF_RULES!$A:$A,$D58,MATERIAL_TARIFF_RULES!$C:$C,$B58)="",SUMIFS(TARIFF_PROFILES!$H:$H,TARIFF_PROFILES!$A:$A,$B58),SUMIFS(MATERIAL_TARIFF_RULES!$F:$F,MATERIAL_TARIFF_RULES!$A:$A,$D58,MATERIAL_TARIFF_RULES!$C:$C,$B58)),1),1)</f>
        <v/>
      </c>
      <c r="O58" s="19">
        <f>IF($C58="","",IF($C58="Material",ROUNDUP(N($G58)*N($N58),0),N($G58)))</f>
        <v/>
      </c>
      <c r="P58" s="19">
        <f>IF(ROW()=2,MAX(0,INDEX(COMMERCIAL_POLICY!$B:$B,MATCH($B58,COMMERCIAL_POLICY!$A:$A,0))-SUM($Q$2:$Q$60)),0)</f>
        <v/>
      </c>
      <c r="Q58" s="35">
        <f>IF($C58="","",IF($C58="Material",N($I58)*N($K58)*N($M58)*N($O58),IF($C58="Logistics",INDEX(COMMERCIAL_POLICY!$D:$D,MATCH($B58,COMMERCIAL_POLICY!$A:$A,0))*N($L58),N($I58)*N($J58)*N($K58)*N($L58)*N($M58)*N($G58))))</f>
        <v/>
      </c>
      <c r="R58" s="19">
        <f>IF($A58="","",INDEX(OBJECT_CONDITIONS!$AM:$AM,MATCH($A58,OBJECT_CONDITIONS!$A:$A,0)))</f>
        <v/>
      </c>
      <c r="S58" s="33">
        <f>IF($R58="","",INDEX(TAX_MODES!$B:$B,MATCH($R58,TAX_MODES!$A:$A,0)))</f>
        <v/>
      </c>
      <c r="T58" s="35">
        <f>IF($Q58="","",N($Q58)*(1+N($S58)))</f>
        <v/>
      </c>
      <c r="U58" s="19">
        <f>IF($C58="","",IF($C58="Material","Net x reserve x rounded purchase logic",IF($C58="Logistics","Mobilization from COMMERCIAL_POLICY x operating coeff","Base x method/variant x site x operating x tariff")) )</f>
        <v/>
      </c>
    </row>
    <row r="59">
      <c r="A59" s="19" t="n"/>
      <c r="B59" s="19" t="n"/>
      <c r="C59" s="19" t="n"/>
      <c r="D59" s="19" t="n"/>
      <c r="E59" s="19" t="n"/>
      <c r="F59" s="19">
        <f>IF($C59="","",IF($C59="Work",IFERROR(IF(SUMIFS(WORK_TARIFF_RULES!$G:$G,WORK_TARIFF_RULES!$A:$A,$D59,WORK_TARIFF_RULES!$C:$C,$B59)&lt;&gt;"",SUMIFS(WORK_TARIFF_RULES!$G:$G,WORK_TARIFF_RULES!$A:$A,$D59,WORK_TARIFF_RULES!$C:$C,$B59),SUMIFS(WORK_MASTER!$C:$C,WORK_MASTER!$A:$A,$D59)),""),IF($C59="Material",IFERROR(IF(SUMIFS(MATERIAL_TARIFF_RULES!$G:$G,MATERIAL_TARIFF_RULES!$A:$A,$D59,MATERIAL_TARIFF_RULES!$C:$C,$B59)&lt;&gt;"",SUMIFS(MATERIAL_TARIFF_RULES!$G:$G,MATERIAL_TARIFF_RULES!$A:$A,$D59,MATERIAL_TARIFF_RULES!$C:$C,$B59),SUMIFS(MATERIAL_VARIANTS!$J:$J,MATERIAL_VARIANTS!$A:$A,$E59)),""),IF($C59="Logistics","Мобилизация и логистика объекта",""))))</f>
        <v/>
      </c>
      <c r="G59" s="19" t="n"/>
      <c r="H59" s="19" t="n"/>
      <c r="I59" s="33">
        <f>IF($C59="","",IF($C59="Work",IFERROR(SUMIFS(WORK_MASTER!$I:$I,WORK_MASTER!$A:$A,$D59),0),IF($C59="Material",IFERROR(SUMIFS(MATERIAL_VARIANTS!$I:$I,MATERIAL_VARIANTS!$A:$A,$E59),0),0)))</f>
        <v/>
      </c>
      <c r="J59" s="33">
        <f>IF($C59="","",IF($C59="Work",IF($E59&lt;&gt;"",IFERROR(SUMIFS(WORK_VARIANTS!$H:$H,WORK_VARIANTS!$A:$A,$E59),1),1),1))</f>
        <v/>
      </c>
      <c r="K59" s="33">
        <f>IF($C59="","",IF($C59="Work",IFERROR(SUMIFS(WORK_FACTOR_APPLICABILITY!$O:$O,WORK_FACTOR_APPLICABILITY!$A:$A,$D59,WORK_FACTOR_APPLICABILITY!$N:$N,$A59),1),IF($C59="Material",IFERROR(INDEX(MATERIAL_QUANTITY_EXAMPLE!$N:$N,MATCH(1,(MATERIAL_QUANTITY_EXAMPLE!$A:$A=MATERIAL_QUANTITY_EXAMPLE!$A:$A)*(MATERIAL_QUANTITY_EXAMPLE!$B:$B=$A59)*(MATERIAL_QUANTITY_EXAMPLE!$C:$C=$D59),0)),1),1)))</f>
        <v/>
      </c>
      <c r="L59" s="33">
        <f>IF($A59="","",IF($C59="Material",1,IFERROR(INDEX(OBJECT_CONDITIONS!$AH:$AH,MATCH($A59,OBJECT_CONDITIONS!$A:$A,0))*INDEX(OBJECT_CONDITIONS!$AJ:$AJ,MATCH($A59,OBJECT_CONDITIONS!$A:$A,0))*INDEX(OBJECT_CONDITIONS!$AL:$AL,MATCH($A59,OBJECT_CONDITIONS!$A:$A,0)),1)))</f>
        <v/>
      </c>
      <c r="M59" s="33">
        <f>IF($B59="","",IF($C59="Work",IFERROR(IF(SUMIFS(WORK_TARIFF_RULES!$F:$F,WORK_TARIFF_RULES!$A:$A,$D59,WORK_TARIFF_RULES!$C:$C,$B59)&lt;&gt;"",SUMIFS(WORK_TARIFF_RULES!$F:$F,WORK_TARIFF_RULES!$A:$A,$D59,WORK_TARIFF_RULES!$C:$C,$B59),SUMIFS(TARIFF_PROFILES!$D:$D,TARIFF_PROFILES!$A:$A,$B59)),1),IF($C59="Material",IFERROR(IF(SUMIFS(MATERIAL_TARIFF_RULES!$E:$E,MATERIAL_TARIFF_RULES!$A:$A,$D59,MATERIAL_TARIFF_RULES!$C:$C,$B59)&lt;&gt;"",SUMIFS(MATERIAL_TARIFF_RULES!$E:$E,MATERIAL_TARIFF_RULES!$A:$A,$D59,MATERIAL_TARIFF_RULES!$C:$C,$B59),SUMIFS(TARIFF_PROFILES!$E:$E,TARIFF_PROFILES!$A:$A,$B59)),1),SUMIFS(TARIFF_PROFILES!$F:$F,TARIFF_PROFILES!$A:$A,$B59))))</f>
        <v/>
      </c>
      <c r="N59" s="33">
        <f>IF($C59="Material",IFERROR(SUMIFS(MATERIAL_MASTER!$P:$P,MATERIAL_MASTER!$A:$A,$D59)*IF(SUMIFS(MATERIAL_TARIFF_RULES!$F:$F,MATERIAL_TARIFF_RULES!$A:$A,$D59,MATERIAL_TARIFF_RULES!$C:$C,$B59)="",SUMIFS(TARIFF_PROFILES!$H:$H,TARIFF_PROFILES!$A:$A,$B59),SUMIFS(MATERIAL_TARIFF_RULES!$F:$F,MATERIAL_TARIFF_RULES!$A:$A,$D59,MATERIAL_TARIFF_RULES!$C:$C,$B59)),1),1)</f>
        <v/>
      </c>
      <c r="O59" s="19">
        <f>IF($C59="","",IF($C59="Material",ROUNDUP(N($G59)*N($N59),0),N($G59)))</f>
        <v/>
      </c>
      <c r="P59" s="19">
        <f>IF(ROW()=2,MAX(0,INDEX(COMMERCIAL_POLICY!$B:$B,MATCH($B59,COMMERCIAL_POLICY!$A:$A,0))-SUM($Q$2:$Q$60)),0)</f>
        <v/>
      </c>
      <c r="Q59" s="35">
        <f>IF($C59="","",IF($C59="Material",N($I59)*N($K59)*N($M59)*N($O59),IF($C59="Logistics",INDEX(COMMERCIAL_POLICY!$D:$D,MATCH($B59,COMMERCIAL_POLICY!$A:$A,0))*N($L59),N($I59)*N($J59)*N($K59)*N($L59)*N($M59)*N($G59))))</f>
        <v/>
      </c>
      <c r="R59" s="19">
        <f>IF($A59="","",INDEX(OBJECT_CONDITIONS!$AM:$AM,MATCH($A59,OBJECT_CONDITIONS!$A:$A,0)))</f>
        <v/>
      </c>
      <c r="S59" s="33">
        <f>IF($R59="","",INDEX(TAX_MODES!$B:$B,MATCH($R59,TAX_MODES!$A:$A,0)))</f>
        <v/>
      </c>
      <c r="T59" s="35">
        <f>IF($Q59="","",N($Q59)*(1+N($S59)))</f>
        <v/>
      </c>
      <c r="U59" s="19">
        <f>IF($C59="","",IF($C59="Material","Net x reserve x rounded purchase logic",IF($C59="Logistics","Mobilization from COMMERCIAL_POLICY x operating coeff","Base x method/variant x site x operating x tariff")) )</f>
        <v/>
      </c>
    </row>
    <row r="60">
      <c r="A60" s="19" t="n"/>
      <c r="B60" s="19" t="n"/>
      <c r="C60" s="19" t="n"/>
      <c r="D60" s="19" t="n"/>
      <c r="E60" s="19" t="n"/>
      <c r="F60" s="19">
        <f>IF($C60="","",IF($C60="Work",IFERROR(IF(SUMIFS(WORK_TARIFF_RULES!$G:$G,WORK_TARIFF_RULES!$A:$A,$D60,WORK_TARIFF_RULES!$C:$C,$B60)&lt;&gt;"",SUMIFS(WORK_TARIFF_RULES!$G:$G,WORK_TARIFF_RULES!$A:$A,$D60,WORK_TARIFF_RULES!$C:$C,$B60),SUMIFS(WORK_MASTER!$C:$C,WORK_MASTER!$A:$A,$D60)),""),IF($C60="Material",IFERROR(IF(SUMIFS(MATERIAL_TARIFF_RULES!$G:$G,MATERIAL_TARIFF_RULES!$A:$A,$D60,MATERIAL_TARIFF_RULES!$C:$C,$B60)&lt;&gt;"",SUMIFS(MATERIAL_TARIFF_RULES!$G:$G,MATERIAL_TARIFF_RULES!$A:$A,$D60,MATERIAL_TARIFF_RULES!$C:$C,$B60),SUMIFS(MATERIAL_VARIANTS!$J:$J,MATERIAL_VARIANTS!$A:$A,$E60)),""),IF($C60="Logistics","Мобилизация и логистика объекта",""))))</f>
        <v/>
      </c>
      <c r="G60" s="19" t="n"/>
      <c r="H60" s="19" t="n"/>
      <c r="I60" s="33">
        <f>IF($C60="","",IF($C60="Work",IFERROR(SUMIFS(WORK_MASTER!$I:$I,WORK_MASTER!$A:$A,$D60),0),IF($C60="Material",IFERROR(SUMIFS(MATERIAL_VARIANTS!$I:$I,MATERIAL_VARIANTS!$A:$A,$E60),0),0)))</f>
        <v/>
      </c>
      <c r="J60" s="33">
        <f>IF($C60="","",IF($C60="Work",IF($E60&lt;&gt;"",IFERROR(SUMIFS(WORK_VARIANTS!$H:$H,WORK_VARIANTS!$A:$A,$E60),1),1),1))</f>
        <v/>
      </c>
      <c r="K60" s="33">
        <f>IF($C60="","",IF($C60="Work",IFERROR(SUMIFS(WORK_FACTOR_APPLICABILITY!$O:$O,WORK_FACTOR_APPLICABILITY!$A:$A,$D60,WORK_FACTOR_APPLICABILITY!$N:$N,$A60),1),IF($C60="Material",IFERROR(INDEX(MATERIAL_QUANTITY_EXAMPLE!$N:$N,MATCH(1,(MATERIAL_QUANTITY_EXAMPLE!$A:$A=MATERIAL_QUANTITY_EXAMPLE!$A:$A)*(MATERIAL_QUANTITY_EXAMPLE!$B:$B=$A60)*(MATERIAL_QUANTITY_EXAMPLE!$C:$C=$D60),0)),1),1)))</f>
        <v/>
      </c>
      <c r="L60" s="33">
        <f>IF($A60="","",IF($C60="Material",1,IFERROR(INDEX(OBJECT_CONDITIONS!$AH:$AH,MATCH($A60,OBJECT_CONDITIONS!$A:$A,0))*INDEX(OBJECT_CONDITIONS!$AJ:$AJ,MATCH($A60,OBJECT_CONDITIONS!$A:$A,0))*INDEX(OBJECT_CONDITIONS!$AL:$AL,MATCH($A60,OBJECT_CONDITIONS!$A:$A,0)),1)))</f>
        <v/>
      </c>
      <c r="M60" s="33">
        <f>IF($B60="","",IF($C60="Work",IFERROR(IF(SUMIFS(WORK_TARIFF_RULES!$F:$F,WORK_TARIFF_RULES!$A:$A,$D60,WORK_TARIFF_RULES!$C:$C,$B60)&lt;&gt;"",SUMIFS(WORK_TARIFF_RULES!$F:$F,WORK_TARIFF_RULES!$A:$A,$D60,WORK_TARIFF_RULES!$C:$C,$B60),SUMIFS(TARIFF_PROFILES!$D:$D,TARIFF_PROFILES!$A:$A,$B60)),1),IF($C60="Material",IFERROR(IF(SUMIFS(MATERIAL_TARIFF_RULES!$E:$E,MATERIAL_TARIFF_RULES!$A:$A,$D60,MATERIAL_TARIFF_RULES!$C:$C,$B60)&lt;&gt;"",SUMIFS(MATERIAL_TARIFF_RULES!$E:$E,MATERIAL_TARIFF_RULES!$A:$A,$D60,MATERIAL_TARIFF_RULES!$C:$C,$B60),SUMIFS(TARIFF_PROFILES!$E:$E,TARIFF_PROFILES!$A:$A,$B60)),1),SUMIFS(TARIFF_PROFILES!$F:$F,TARIFF_PROFILES!$A:$A,$B60))))</f>
        <v/>
      </c>
      <c r="N60" s="33">
        <f>IF($C60="Material",IFERROR(SUMIFS(MATERIAL_MASTER!$P:$P,MATERIAL_MASTER!$A:$A,$D60)*IF(SUMIFS(MATERIAL_TARIFF_RULES!$F:$F,MATERIAL_TARIFF_RULES!$A:$A,$D60,MATERIAL_TARIFF_RULES!$C:$C,$B60)="",SUMIFS(TARIFF_PROFILES!$H:$H,TARIFF_PROFILES!$A:$A,$B60),SUMIFS(MATERIAL_TARIFF_RULES!$F:$F,MATERIAL_TARIFF_RULES!$A:$A,$D60,MATERIAL_TARIFF_RULES!$C:$C,$B60)),1),1)</f>
        <v/>
      </c>
      <c r="O60" s="19">
        <f>IF($C60="","",IF($C60="Material",ROUNDUP(N($G60)*N($N60),0),N($G60)))</f>
        <v/>
      </c>
      <c r="P60" s="19">
        <f>IF(ROW()=2,MAX(0,INDEX(COMMERCIAL_POLICY!$B:$B,MATCH($B60,COMMERCIAL_POLICY!$A:$A,0))-SUM($Q$2:$Q$60)),0)</f>
        <v/>
      </c>
      <c r="Q60" s="35">
        <f>IF($C60="","",IF($C60="Material",N($I60)*N($K60)*N($M60)*N($O60),IF($C60="Logistics",INDEX(COMMERCIAL_POLICY!$D:$D,MATCH($B60,COMMERCIAL_POLICY!$A:$A,0))*N($L60),N($I60)*N($J60)*N($K60)*N($L60)*N($M60)*N($G60))))</f>
        <v/>
      </c>
      <c r="R60" s="19">
        <f>IF($A60="","",INDEX(OBJECT_CONDITIONS!$AM:$AM,MATCH($A60,OBJECT_CONDITIONS!$A:$A,0)))</f>
        <v/>
      </c>
      <c r="S60" s="33">
        <f>IF($R60="","",INDEX(TAX_MODES!$B:$B,MATCH($R60,TAX_MODES!$A:$A,0)))</f>
        <v/>
      </c>
      <c r="T60" s="35">
        <f>IF($Q60="","",N($Q60)*(1+N($S60)))</f>
        <v/>
      </c>
      <c r="U60" s="19">
        <f>IF($C60="","",IF($C60="Material","Net x reserve x rounded purchase logic",IF($C60="Logistics","Mobilization from COMMERCIAL_POLICY x operating coeff","Base x method/variant x site x operating x tariff")) )</f>
        <v/>
      </c>
    </row>
  </sheetData>
  <autoFilter ref="A1:U60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2" customWidth="1" min="3" max="3"/>
  </cols>
  <sheetData>
    <row r="1">
      <c r="A1" s="40" t="inlineStr">
        <is>
          <t>Metric</t>
        </is>
      </c>
      <c r="B1" s="40" t="inlineStr">
        <is>
          <t>Value</t>
        </is>
      </c>
      <c r="C1" s="40" t="inlineStr">
        <is>
          <t>Comment</t>
        </is>
      </c>
    </row>
    <row r="2">
      <c r="A2" s="41" t="inlineStr">
        <is>
          <t>Rows in PRICE_MASTER</t>
        </is>
      </c>
      <c r="B2" s="41" t="n">
        <v>279</v>
      </c>
      <c r="C2" s="41" t="inlineStr">
        <is>
          <t>Все строки источника</t>
        </is>
      </c>
    </row>
    <row r="3">
      <c r="A3" s="42" t="inlineStr">
        <is>
          <t>Imported non-material master rows</t>
        </is>
      </c>
      <c r="B3" s="42" t="n">
        <v>157</v>
      </c>
      <c r="C3" s="42" t="inlineStr">
        <is>
          <t>Работы, техника, логистика, накладные, услуги</t>
        </is>
      </c>
    </row>
    <row r="4">
      <c r="A4" s="41" t="inlineStr">
        <is>
          <t>Imported material master rows</t>
        </is>
      </c>
      <c r="B4" s="41" t="n">
        <v>121</v>
      </c>
      <c r="C4" s="41" t="inlineStr">
        <is>
          <t>Материалы</t>
        </is>
      </c>
    </row>
    <row r="5">
      <c r="A5" s="42" t="inlineStr">
        <is>
          <t>Imported material variants</t>
        </is>
      </c>
      <c r="B5" s="42" t="n">
        <v>121</v>
      </c>
      <c r="C5" s="42" t="inlineStr">
        <is>
          <t>Пока 1:1 на каждую material row</t>
        </is>
      </c>
    </row>
    <row r="6">
      <c r="A6" s="41" t="inlineStr">
        <is>
          <t>Raw rows needing review</t>
        </is>
      </c>
      <c r="B6" s="41" t="n">
        <v>10</v>
      </c>
      <c r="C6" s="41" t="inlineStr">
        <is>
          <t>Средняя уверенность или накладные</t>
        </is>
      </c>
    </row>
    <row r="7">
      <c r="A7" s="42" t="inlineStr">
        <is>
          <t>Unique sections</t>
        </is>
      </c>
      <c r="B7" s="42" t="n">
        <v>16</v>
      </c>
      <c r="C7" s="42" t="inlineStr">
        <is>
          <t>После нормализации столбца 6</t>
        </is>
      </c>
    </row>
    <row r="8">
      <c r="A8" s="41" t="inlineStr">
        <is>
          <t>Unique position types</t>
        </is>
      </c>
      <c r="B8" s="41" t="n">
        <v>6</v>
      </c>
      <c r="C8" s="41" t="inlineStr">
        <is>
          <t>Работа/Материал/Техника/Логистика/Накладные/Услуга</t>
        </is>
      </c>
    </row>
    <row r="9">
      <c r="A9" s="42" t="inlineStr">
        <is>
          <t>Potential normalization groups</t>
        </is>
      </c>
      <c r="B9" s="42" t="n"/>
      <c r="C9" s="42" t="inlineStr">
        <is>
          <t>См. лист REAL_NORMALIZATION_REVIEW</t>
        </is>
      </c>
    </row>
  </sheetData>
  <autoFilter ref="A1:C9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2" customWidth="1" min="3" max="3"/>
    <col width="13" customWidth="1" min="4" max="4"/>
    <col width="13" customWidth="1" min="5" max="5"/>
    <col width="14" customWidth="1" min="6" max="6"/>
    <col width="40" customWidth="1" min="7" max="7"/>
    <col width="24" customWidth="1" min="8" max="8"/>
    <col width="24" customWidth="1" min="9" max="9"/>
    <col width="39" customWidth="1" min="10" max="10"/>
    <col width="14" customWidth="1" min="11" max="11"/>
    <col width="37" customWidth="1" min="12" max="12"/>
    <col width="29" customWidth="1" min="13" max="13"/>
    <col width="29" customWidth="1" min="14" max="14"/>
    <col width="19" customWidth="1" min="15" max="15"/>
    <col width="18" customWidth="1" min="16" max="16"/>
    <col width="19" customWidth="1" min="17" max="17"/>
    <col width="13" customWidth="1" min="18" max="18"/>
    <col width="40" customWidth="1" min="19" max="19"/>
  </cols>
  <sheetData>
    <row r="1">
      <c r="A1" s="40" t="inlineStr">
        <is>
          <t>SourceRowID</t>
        </is>
      </c>
      <c r="B1" s="40" t="inlineStr">
        <is>
          <t>RawName</t>
        </is>
      </c>
      <c r="C1" s="40" t="inlineStr">
        <is>
          <t>RawUnit</t>
        </is>
      </c>
      <c r="D1" s="40" t="inlineStr">
        <is>
          <t>RawPriceRaw</t>
        </is>
      </c>
      <c r="E1" s="40" t="inlineStr">
        <is>
          <t>RawPriceNum</t>
        </is>
      </c>
      <c r="F1" s="40" t="inlineStr">
        <is>
          <t>SourceFile</t>
        </is>
      </c>
      <c r="G1" s="40" t="inlineStr">
        <is>
          <t>LegacySectionName</t>
        </is>
      </c>
      <c r="H1" s="40" t="inlineStr">
        <is>
          <t>LegacyRowNumber</t>
        </is>
      </c>
      <c r="I1" s="40" t="inlineStr">
        <is>
          <t>LegacyRawCode</t>
        </is>
      </c>
      <c r="J1" s="40" t="inlineStr">
        <is>
          <t>RecommendedSection</t>
        </is>
      </c>
      <c r="K1" s="40" t="inlineStr">
        <is>
          <t>PositionType</t>
        </is>
      </c>
      <c r="L1" s="40" t="inlineStr">
        <is>
          <t>Subsection</t>
        </is>
      </c>
      <c r="M1" s="40" t="inlineStr">
        <is>
          <t>KPBlock</t>
        </is>
      </c>
      <c r="N1" s="40" t="inlineStr">
        <is>
          <t>ClientDisplayMode</t>
        </is>
      </c>
      <c r="O1" s="40" t="inlineStr">
        <is>
          <t>MappingConfidence</t>
        </is>
      </c>
      <c r="P1" s="40" t="inlineStr">
        <is>
          <t>ImportedMasterID</t>
        </is>
      </c>
      <c r="Q1" s="40" t="inlineStr">
        <is>
          <t>ImportedVariantID</t>
        </is>
      </c>
      <c r="R1" s="40" t="inlineStr">
        <is>
          <t>NeedsReview</t>
        </is>
      </c>
      <c r="S1" s="40" t="inlineStr">
        <is>
          <t>ImportComment</t>
        </is>
      </c>
    </row>
    <row r="2">
      <c r="A2" s="41" t="inlineStr">
        <is>
          <t>SRC-0001</t>
        </is>
      </c>
      <c r="B2" s="41" t="inlineStr">
        <is>
          <t>Авторское сопровождение</t>
        </is>
      </c>
      <c r="C2" s="41" t="inlineStr">
        <is>
          <t>%</t>
        </is>
      </c>
      <c r="D2" s="41" t="inlineStr">
        <is>
          <t>0.03</t>
        </is>
      </c>
      <c r="E2" s="43" t="n">
        <v>0.03</v>
      </c>
      <c r="F2" s="41" t="inlineStr">
        <is>
          <t>%</t>
        </is>
      </c>
      <c r="G2" s="41" t="inlineStr">
        <is>
          <t>%</t>
        </is>
      </c>
      <c r="H2" s="41" t="inlineStr">
        <is>
          <t>%</t>
        </is>
      </c>
      <c r="I2" s="41" t="inlineStr">
        <is>
          <t>%</t>
        </is>
      </c>
      <c r="J2" s="41" t="inlineStr">
        <is>
          <t>Сопровождение проекта / услуги</t>
        </is>
      </c>
      <c r="K2" s="41" t="inlineStr">
        <is>
          <t>Услуга</t>
        </is>
      </c>
      <c r="L2" s="41" t="inlineStr">
        <is>
          <t>Авторское сопровождение</t>
        </is>
      </c>
      <c r="M2" s="41" t="inlineStr">
        <is>
          <t>Услуги и сопровождение</t>
        </is>
      </c>
      <c r="N2" s="41" t="inlineStr">
        <is>
          <t>Показать строкой</t>
        </is>
      </c>
      <c r="O2" s="41" t="inlineStr">
        <is>
          <t>Высокая</t>
        </is>
      </c>
      <c r="P2" s="44" t="inlineStr">
        <is>
          <t>RWORK-0001</t>
        </is>
      </c>
      <c r="Q2" s="44" t="inlineStr"/>
      <c r="R2" s="41" t="inlineStr">
        <is>
          <t>Нет</t>
        </is>
      </c>
      <c r="S2" s="45" t="inlineStr">
        <is>
          <t>Это продаваемая услуга, можно показывать отдельной строкой</t>
        </is>
      </c>
    </row>
    <row r="3">
      <c r="A3" s="42" t="inlineStr">
        <is>
          <t>SRC-0002</t>
        </is>
      </c>
      <c r="B3" s="42" t="inlineStr">
        <is>
          <t>Амфиболит колотый 50*100*100мм</t>
        </is>
      </c>
      <c r="C3" s="42" t="inlineStr">
        <is>
          <t>м2</t>
        </is>
      </c>
      <c r="D3" s="42" t="inlineStr">
        <is>
          <t>3480</t>
        </is>
      </c>
      <c r="E3" s="46" t="n">
        <v>3480</v>
      </c>
      <c r="F3" s="42" t="inlineStr">
        <is>
          <t>материалы</t>
        </is>
      </c>
      <c r="G3" s="42" t="inlineStr"/>
      <c r="H3" s="42" t="inlineStr">
        <is>
          <t>Мощение</t>
        </is>
      </c>
      <c r="I3" s="42" t="inlineStr">
        <is>
          <t>Мощение</t>
        </is>
      </c>
      <c r="J3" s="42" t="inlineStr">
        <is>
          <t>Мощение</t>
        </is>
      </c>
      <c r="K3" s="42" t="inlineStr">
        <is>
          <t>Материал</t>
        </is>
      </c>
      <c r="L3" s="42" t="inlineStr">
        <is>
          <t>Покрытие</t>
        </is>
      </c>
      <c r="M3" s="42" t="inlineStr">
        <is>
          <t>Материалы</t>
        </is>
      </c>
      <c r="N3" s="42" t="inlineStr">
        <is>
          <t>Показать строкой</t>
        </is>
      </c>
      <c r="O3" s="42" t="inlineStr">
        <is>
          <t>Высокая</t>
        </is>
      </c>
      <c r="P3" s="47" t="inlineStr">
        <is>
          <t>RMAT-0001</t>
        </is>
      </c>
      <c r="Q3" s="47" t="inlineStr">
        <is>
          <t>MV-0001</t>
        </is>
      </c>
      <c r="R3" s="42" t="inlineStr">
        <is>
          <t>Нет</t>
        </is>
      </c>
      <c r="S3" s="48" t="inlineStr">
        <is>
          <t>Нормализовано под генератор КП</t>
        </is>
      </c>
    </row>
    <row r="4">
      <c r="A4" s="41" t="inlineStr">
        <is>
          <t>SRC-0003</t>
        </is>
      </c>
      <c r="B4" s="41" t="inlineStr">
        <is>
          <t>Анкер крепящий для ландшафтного бордюра (количество для установки по дуге 5шт. на 1м.п.)</t>
        </is>
      </c>
      <c r="C4" s="41" t="inlineStr">
        <is>
          <t>шт</t>
        </is>
      </c>
      <c r="D4" s="41" t="inlineStr">
        <is>
          <t>48</t>
        </is>
      </c>
      <c r="E4" s="43" t="n">
        <v>48</v>
      </c>
      <c r="F4" s="41" t="inlineStr">
        <is>
          <t>материалы</t>
        </is>
      </c>
      <c r="G4" s="41" t="inlineStr">
        <is>
          <t>Устройство газона</t>
        </is>
      </c>
      <c r="H4" s="41" t="inlineStr">
        <is>
          <t>газон</t>
        </is>
      </c>
      <c r="I4" s="41" t="inlineStr">
        <is>
          <t>газон</t>
        </is>
      </c>
      <c r="J4" s="41" t="inlineStr">
        <is>
          <t>Газон</t>
        </is>
      </c>
      <c r="K4" s="41" t="inlineStr">
        <is>
          <t>Материал</t>
        </is>
      </c>
      <c r="L4" s="41" t="inlineStr">
        <is>
          <t>Бордюры и ограничения</t>
        </is>
      </c>
      <c r="M4" s="41" t="inlineStr">
        <is>
          <t>Материалы</t>
        </is>
      </c>
      <c r="N4" s="41" t="inlineStr">
        <is>
          <t>Показать строкой</t>
        </is>
      </c>
      <c r="O4" s="41" t="inlineStr">
        <is>
          <t>Высокая</t>
        </is>
      </c>
      <c r="P4" s="44" t="inlineStr">
        <is>
          <t>RMAT-0002</t>
        </is>
      </c>
      <c r="Q4" s="44" t="inlineStr">
        <is>
          <t>MV-0002</t>
        </is>
      </c>
      <c r="R4" s="41" t="inlineStr">
        <is>
          <t>Нет</t>
        </is>
      </c>
      <c r="S4" s="45" t="inlineStr">
        <is>
          <t>Нормализовано под генератор КП</t>
        </is>
      </c>
    </row>
    <row r="5">
      <c r="A5" s="42" t="inlineStr">
        <is>
          <t>SRC-0004</t>
        </is>
      </c>
      <c r="B5" s="42" t="inlineStr">
        <is>
          <t>Антисептик Pinotex Base</t>
        </is>
      </c>
      <c r="C5" s="42" t="inlineStr">
        <is>
          <t>л</t>
        </is>
      </c>
      <c r="D5" s="42" t="inlineStr">
        <is>
          <t>580</t>
        </is>
      </c>
      <c r="E5" s="46" t="n">
        <v>580</v>
      </c>
      <c r="F5" s="42" t="inlineStr">
        <is>
          <t>материалы</t>
        </is>
      </c>
      <c r="G5" s="42" t="inlineStr">
        <is>
          <t>2 мощ-е - подг-ка осн-я</t>
        </is>
      </c>
      <c r="H5" s="42" t="inlineStr">
        <is>
          <t>Мощение</t>
        </is>
      </c>
      <c r="I5" s="42" t="inlineStr">
        <is>
          <t>Мощение</t>
        </is>
      </c>
      <c r="J5" s="42" t="inlineStr">
        <is>
          <t>Мощение</t>
        </is>
      </c>
      <c r="K5" s="42" t="inlineStr">
        <is>
          <t>Материал</t>
        </is>
      </c>
      <c r="L5" s="42" t="inlineStr">
        <is>
          <t>Конструкции и отделка</t>
        </is>
      </c>
      <c r="M5" s="42" t="inlineStr">
        <is>
          <t>Материалы</t>
        </is>
      </c>
      <c r="N5" s="42" t="inlineStr">
        <is>
          <t>Показать строкой</t>
        </is>
      </c>
      <c r="O5" s="42" t="inlineStr">
        <is>
          <t>Высокая</t>
        </is>
      </c>
      <c r="P5" s="47" t="inlineStr">
        <is>
          <t>RMAT-0003</t>
        </is>
      </c>
      <c r="Q5" s="47" t="inlineStr">
        <is>
          <t>MV-0003</t>
        </is>
      </c>
      <c r="R5" s="42" t="inlineStr">
        <is>
          <t>Нет</t>
        </is>
      </c>
      <c r="S5" s="48" t="inlineStr">
        <is>
          <t>Нормализовано под генератор КП</t>
        </is>
      </c>
    </row>
    <row r="6">
      <c r="A6" s="41" t="inlineStr">
        <is>
          <t>SRC-0005</t>
        </is>
      </c>
      <c r="B6" s="41" t="inlineStr">
        <is>
          <t>Антисептирование пиломатериалов с обеих сторон</t>
        </is>
      </c>
      <c r="C6" s="41" t="inlineStr">
        <is>
          <t>м2</t>
        </is>
      </c>
      <c r="D6" s="41" t="inlineStr">
        <is>
          <t>250</t>
        </is>
      </c>
      <c r="E6" s="43" t="n">
        <v>250</v>
      </c>
      <c r="F6" s="41" t="inlineStr">
        <is>
          <t>работа</t>
        </is>
      </c>
      <c r="G6" s="41" t="inlineStr">
        <is>
          <t>2 мощ-е - подг-ка осн-я</t>
        </is>
      </c>
      <c r="H6" s="41" t="inlineStr">
        <is>
          <t>Мощение</t>
        </is>
      </c>
      <c r="I6" s="41" t="inlineStr">
        <is>
          <t>Мощение</t>
        </is>
      </c>
      <c r="J6" s="41" t="inlineStr">
        <is>
          <t>Мощение</t>
        </is>
      </c>
      <c r="K6" s="41" t="inlineStr">
        <is>
          <t>Работа</t>
        </is>
      </c>
      <c r="L6" s="41" t="inlineStr">
        <is>
          <t>Прочее по мощению</t>
        </is>
      </c>
      <c r="M6" s="41" t="inlineStr">
        <is>
          <t>Основные работы</t>
        </is>
      </c>
      <c r="N6" s="41" t="inlineStr">
        <is>
          <t>Показать строкой</t>
        </is>
      </c>
      <c r="O6" s="41" t="inlineStr">
        <is>
          <t>Высокая</t>
        </is>
      </c>
      <c r="P6" s="44" t="inlineStr">
        <is>
          <t>RWORK-0002</t>
        </is>
      </c>
      <c r="Q6" s="44" t="inlineStr"/>
      <c r="R6" s="41" t="inlineStr">
        <is>
          <t>Нет</t>
        </is>
      </c>
      <c r="S6" s="45" t="inlineStr">
        <is>
          <t>Нормализовано под генератор КП</t>
        </is>
      </c>
    </row>
    <row r="7">
      <c r="A7" s="42" t="inlineStr">
        <is>
          <t>SRC-0006</t>
        </is>
      </c>
      <c r="B7" s="42" t="inlineStr">
        <is>
          <t>Аренда вагончика</t>
        </is>
      </c>
      <c r="C7" s="42" t="inlineStr">
        <is>
          <t>мес.</t>
        </is>
      </c>
      <c r="D7" s="42" t="inlineStr">
        <is>
          <t>8000</t>
        </is>
      </c>
      <c r="E7" s="46" t="n">
        <v>8000</v>
      </c>
      <c r="F7" s="42" t="inlineStr">
        <is>
          <t>%</t>
        </is>
      </c>
      <c r="G7" s="42" t="inlineStr">
        <is>
          <t>%</t>
        </is>
      </c>
      <c r="H7" s="42" t="inlineStr">
        <is>
          <t>%</t>
        </is>
      </c>
      <c r="I7" s="42" t="inlineStr">
        <is>
          <t>вагончик</t>
        </is>
      </c>
      <c r="J7" s="42" t="inlineStr">
        <is>
          <t>Временные сооружения и обеспечение</t>
        </is>
      </c>
      <c r="K7" s="42" t="inlineStr">
        <is>
          <t>Логистика</t>
        </is>
      </c>
      <c r="L7" s="42" t="inlineStr">
        <is>
          <t>Бытовые условия стройплощадки</t>
        </is>
      </c>
      <c r="M7" s="42" t="inlineStr">
        <is>
          <t>Логистика и обеспечение</t>
        </is>
      </c>
      <c r="N7" s="42" t="inlineStr">
        <is>
          <t>Свернуть в раздел</t>
        </is>
      </c>
      <c r="O7" s="42" t="inlineStr">
        <is>
          <t>Высокая</t>
        </is>
      </c>
      <c r="P7" s="47" t="inlineStr">
        <is>
          <t>RWORK-0003</t>
        </is>
      </c>
      <c r="Q7" s="47" t="inlineStr"/>
      <c r="R7" s="42" t="inlineStr">
        <is>
          <t>Нет</t>
        </is>
      </c>
      <c r="S7" s="48" t="inlineStr">
        <is>
          <t>Для клиентского КП лучше сворачивать в раздел "Организация стройплощадки"</t>
        </is>
      </c>
    </row>
    <row r="8">
      <c r="A8" s="41" t="inlineStr">
        <is>
          <t>SRC-0007</t>
        </is>
      </c>
      <c r="B8" s="41" t="inlineStr">
        <is>
          <t>Аренда виброплиты 140кг</t>
        </is>
      </c>
      <c r="C8" s="41" t="inlineStr">
        <is>
          <t>сут.</t>
        </is>
      </c>
      <c r="D8" s="41" t="inlineStr">
        <is>
          <t>2300</t>
        </is>
      </c>
      <c r="E8" s="43" t="n">
        <v>2300</v>
      </c>
      <c r="F8" s="41" t="inlineStr">
        <is>
          <t>техника</t>
        </is>
      </c>
      <c r="G8" s="41" t="inlineStr">
        <is>
          <t>Покрытия</t>
        </is>
      </c>
      <c r="H8" s="41" t="inlineStr">
        <is>
          <t>техника</t>
        </is>
      </c>
      <c r="I8" s="41" t="inlineStr">
        <is>
          <t>техника</t>
        </is>
      </c>
      <c r="J8" s="41" t="inlineStr">
        <is>
          <t>Мощение</t>
        </is>
      </c>
      <c r="K8" s="41" t="inlineStr">
        <is>
          <t>Техника</t>
        </is>
      </c>
      <c r="L8" s="41" t="inlineStr">
        <is>
          <t>Техника и механизмы</t>
        </is>
      </c>
      <c r="M8" s="41" t="inlineStr">
        <is>
          <t>Техника и механизмы</t>
        </is>
      </c>
      <c r="N8" s="41" t="inlineStr">
        <is>
          <t>Свернуть в раздел</t>
        </is>
      </c>
      <c r="O8" s="41" t="inlineStr">
        <is>
          <t>Высокая</t>
        </is>
      </c>
      <c r="P8" s="44" t="inlineStr">
        <is>
          <t>RWORK-0004</t>
        </is>
      </c>
      <c r="Q8" s="44" t="inlineStr"/>
      <c r="R8" s="41" t="inlineStr">
        <is>
          <t>Нет</t>
        </is>
      </c>
      <c r="S8" s="45" t="inlineStr">
        <is>
          <t>Из отдельного столбца 6 это нужно убирать: для КП это тип позиции, а не раздел</t>
        </is>
      </c>
    </row>
    <row r="9">
      <c r="A9" s="42" t="inlineStr">
        <is>
          <t>SRC-0008</t>
        </is>
      </c>
      <c r="B9" s="42" t="inlineStr">
        <is>
          <t>Аренда виброплиты 70кг</t>
        </is>
      </c>
      <c r="C9" s="42" t="inlineStr">
        <is>
          <t>сут.</t>
        </is>
      </c>
      <c r="D9" s="42" t="inlineStr">
        <is>
          <t>800</t>
        </is>
      </c>
      <c r="E9" s="46" t="n">
        <v>800</v>
      </c>
      <c r="F9" s="42" t="inlineStr">
        <is>
          <t>техника</t>
        </is>
      </c>
      <c r="G9" s="42" t="inlineStr">
        <is>
          <t>дренаж</t>
        </is>
      </c>
      <c r="H9" s="42" t="inlineStr">
        <is>
          <t>дренаж</t>
        </is>
      </c>
      <c r="I9" s="42" t="inlineStr">
        <is>
          <t>техника</t>
        </is>
      </c>
      <c r="J9" s="42" t="inlineStr">
        <is>
          <t>Дренаж</t>
        </is>
      </c>
      <c r="K9" s="42" t="inlineStr">
        <is>
          <t>Техника</t>
        </is>
      </c>
      <c r="L9" s="42" t="inlineStr">
        <is>
          <t>Техника и механизмы</t>
        </is>
      </c>
      <c r="M9" s="42" t="inlineStr">
        <is>
          <t>Техника и механизмы</t>
        </is>
      </c>
      <c r="N9" s="42" t="inlineStr">
        <is>
          <t>Свернуть в раздел</t>
        </is>
      </c>
      <c r="O9" s="42" t="inlineStr">
        <is>
          <t>Высокая</t>
        </is>
      </c>
      <c r="P9" s="47" t="inlineStr">
        <is>
          <t>RWORK-0005</t>
        </is>
      </c>
      <c r="Q9" s="47" t="inlineStr"/>
      <c r="R9" s="42" t="inlineStr">
        <is>
          <t>Нет</t>
        </is>
      </c>
      <c r="S9" s="48" t="inlineStr">
        <is>
          <t>Нормализовано под генератор КП</t>
        </is>
      </c>
    </row>
    <row r="10">
      <c r="A10" s="41" t="inlineStr">
        <is>
          <t>SRC-0009</t>
        </is>
      </c>
      <c r="B10" s="41" t="inlineStr">
        <is>
          <t>Аренда мотобура</t>
        </is>
      </c>
      <c r="C10" s="41" t="inlineStr">
        <is>
          <t>сут.</t>
        </is>
      </c>
      <c r="D10" s="41" t="inlineStr">
        <is>
          <t>5500</t>
        </is>
      </c>
      <c r="E10" s="43" t="n">
        <v>5500</v>
      </c>
      <c r="F10" s="41" t="inlineStr">
        <is>
          <t>техника</t>
        </is>
      </c>
      <c r="G10" s="41" t="inlineStr">
        <is>
          <t>2 мощ-е - подг-ка осн-я</t>
        </is>
      </c>
      <c r="H10" s="41" t="inlineStr">
        <is>
          <t>техника</t>
        </is>
      </c>
      <c r="I10" s="41" t="inlineStr">
        <is>
          <t>техника</t>
        </is>
      </c>
      <c r="J10" s="41" t="inlineStr">
        <is>
          <t>Мощение</t>
        </is>
      </c>
      <c r="K10" s="41" t="inlineStr">
        <is>
          <t>Техника</t>
        </is>
      </c>
      <c r="L10" s="41" t="inlineStr">
        <is>
          <t>Техника и механизмы</t>
        </is>
      </c>
      <c r="M10" s="41" t="inlineStr">
        <is>
          <t>Техника и механизмы</t>
        </is>
      </c>
      <c r="N10" s="41" t="inlineStr">
        <is>
          <t>Свернуть в раздел</t>
        </is>
      </c>
      <c r="O10" s="41" t="inlineStr">
        <is>
          <t>Высокая</t>
        </is>
      </c>
      <c r="P10" s="44" t="inlineStr">
        <is>
          <t>RWORK-0006</t>
        </is>
      </c>
      <c r="Q10" s="44" t="inlineStr"/>
      <c r="R10" s="41" t="inlineStr">
        <is>
          <t>Нет</t>
        </is>
      </c>
      <c r="S10" s="45" t="inlineStr">
        <is>
          <t>Из отдельного столбца 6 это нужно убирать: для КП это тип позиции, а не раздел</t>
        </is>
      </c>
    </row>
    <row r="11">
      <c r="A11" s="42" t="inlineStr">
        <is>
          <t>SRC-0010</t>
        </is>
      </c>
      <c r="B11" s="42" t="inlineStr">
        <is>
          <t>Аренда обслуживание (2 раза в месяц) туалетной кабины</t>
        </is>
      </c>
      <c r="C11" s="42" t="inlineStr">
        <is>
          <t>мес.</t>
        </is>
      </c>
      <c r="D11" s="42" t="inlineStr">
        <is>
          <t>11700</t>
        </is>
      </c>
      <c r="E11" s="46" t="n">
        <v>11700</v>
      </c>
      <c r="F11" s="42" t="inlineStr">
        <is>
          <t>%</t>
        </is>
      </c>
      <c r="G11" s="42" t="inlineStr">
        <is>
          <t>%</t>
        </is>
      </c>
      <c r="H11" s="42" t="inlineStr">
        <is>
          <t>%</t>
        </is>
      </c>
      <c r="I11" s="42" t="inlineStr">
        <is>
          <t>туалет</t>
        </is>
      </c>
      <c r="J11" s="42" t="inlineStr">
        <is>
          <t>Временные сооружения и обеспечение</t>
        </is>
      </c>
      <c r="K11" s="42" t="inlineStr">
        <is>
          <t>Логистика</t>
        </is>
      </c>
      <c r="L11" s="42" t="inlineStr">
        <is>
          <t>Бытовые условия стройплощадки</t>
        </is>
      </c>
      <c r="M11" s="42" t="inlineStr">
        <is>
          <t>Логистика и обеспечение</t>
        </is>
      </c>
      <c r="N11" s="42" t="inlineStr">
        <is>
          <t>Свернуть в раздел</t>
        </is>
      </c>
      <c r="O11" s="42" t="inlineStr">
        <is>
          <t>Высокая</t>
        </is>
      </c>
      <c r="P11" s="47" t="inlineStr">
        <is>
          <t>RWORK-0007</t>
        </is>
      </c>
      <c r="Q11" s="47" t="inlineStr"/>
      <c r="R11" s="42" t="inlineStr">
        <is>
          <t>Нет</t>
        </is>
      </c>
      <c r="S11" s="48" t="inlineStr">
        <is>
          <t>Для клиентского КП лучше сворачивать в раздел "Организация стройплощадки"</t>
        </is>
      </c>
    </row>
    <row r="12">
      <c r="A12" s="41" t="inlineStr">
        <is>
          <t>SRC-0011</t>
        </is>
      </c>
      <c r="B12" s="41" t="inlineStr">
        <is>
          <t>Аренда торцовочной пилы</t>
        </is>
      </c>
      <c r="C12" s="41" t="inlineStr">
        <is>
          <t>сут.</t>
        </is>
      </c>
      <c r="D12" s="41" t="inlineStr">
        <is>
          <t>770</t>
        </is>
      </c>
      <c r="E12" s="43" t="n">
        <v>770</v>
      </c>
      <c r="F12" s="41" t="inlineStr">
        <is>
          <t>техника</t>
        </is>
      </c>
      <c r="G12" s="41" t="inlineStr">
        <is>
          <t>2 мощ-е - подг-ка осн-я</t>
        </is>
      </c>
      <c r="H12" s="41" t="inlineStr">
        <is>
          <t>техника</t>
        </is>
      </c>
      <c r="I12" s="41" t="inlineStr">
        <is>
          <t>техника</t>
        </is>
      </c>
      <c r="J12" s="41" t="inlineStr">
        <is>
          <t>Мощение</t>
        </is>
      </c>
      <c r="K12" s="41" t="inlineStr">
        <is>
          <t>Техника</t>
        </is>
      </c>
      <c r="L12" s="41" t="inlineStr">
        <is>
          <t>Техника и механизмы</t>
        </is>
      </c>
      <c r="M12" s="41" t="inlineStr">
        <is>
          <t>Техника и механизмы</t>
        </is>
      </c>
      <c r="N12" s="41" t="inlineStr">
        <is>
          <t>Свернуть в раздел</t>
        </is>
      </c>
      <c r="O12" s="41" t="inlineStr">
        <is>
          <t>Высокая</t>
        </is>
      </c>
      <c r="P12" s="44" t="inlineStr">
        <is>
          <t>RWORK-0008</t>
        </is>
      </c>
      <c r="Q12" s="44" t="inlineStr"/>
      <c r="R12" s="41" t="inlineStr">
        <is>
          <t>Нет</t>
        </is>
      </c>
      <c r="S12" s="45" t="inlineStr">
        <is>
          <t>Из отдельного столбца 6 это нужно убирать: для КП это тип позиции, а не раздел</t>
        </is>
      </c>
    </row>
    <row r="13">
      <c r="A13" s="42" t="inlineStr">
        <is>
          <t>SRC-0012</t>
        </is>
      </c>
      <c r="B13" s="42" t="inlineStr">
        <is>
          <t>арматура рифленая, 10мм</t>
        </is>
      </c>
      <c r="C13" s="42" t="inlineStr">
        <is>
          <t>м.пог.</t>
        </is>
      </c>
      <c r="D13" s="42" t="inlineStr">
        <is>
          <t>63</t>
        </is>
      </c>
      <c r="E13" s="46" t="n">
        <v>63</v>
      </c>
      <c r="F13" s="42" t="inlineStr">
        <is>
          <t>материалы</t>
        </is>
      </c>
      <c r="G13" s="42" t="inlineStr">
        <is>
          <t>2 мощ-е - подг-ка осн-я</t>
        </is>
      </c>
      <c r="H13" s="42" t="inlineStr">
        <is>
          <t>Мощение</t>
        </is>
      </c>
      <c r="I13" s="42" t="inlineStr">
        <is>
          <t>Мощение</t>
        </is>
      </c>
      <c r="J13" s="42" t="inlineStr">
        <is>
          <t>Мощение</t>
        </is>
      </c>
      <c r="K13" s="42" t="inlineStr">
        <is>
          <t>Материал</t>
        </is>
      </c>
      <c r="L13" s="42" t="inlineStr">
        <is>
          <t>Прочее по мощению</t>
        </is>
      </c>
      <c r="M13" s="42" t="inlineStr">
        <is>
          <t>Материалы</t>
        </is>
      </c>
      <c r="N13" s="42" t="inlineStr">
        <is>
          <t>Показать строкой</t>
        </is>
      </c>
      <c r="O13" s="42" t="inlineStr">
        <is>
          <t>Высокая</t>
        </is>
      </c>
      <c r="P13" s="47" t="inlineStr">
        <is>
          <t>RMAT-0004</t>
        </is>
      </c>
      <c r="Q13" s="47" t="inlineStr">
        <is>
          <t>MV-0004</t>
        </is>
      </c>
      <c r="R13" s="42" t="inlineStr">
        <is>
          <t>Нет</t>
        </is>
      </c>
      <c r="S13" s="48" t="inlineStr">
        <is>
          <t>Нормализовано под генератор КП</t>
        </is>
      </c>
    </row>
    <row r="14">
      <c r="A14" s="41" t="inlineStr">
        <is>
          <t>SRC-0013</t>
        </is>
      </c>
      <c r="B14" s="41" t="inlineStr">
        <is>
          <t>Арматура рифленая, 12мм</t>
        </is>
      </c>
      <c r="C14" s="41" t="inlineStr">
        <is>
          <t>м.пог.</t>
        </is>
      </c>
      <c r="D14" s="41" t="inlineStr">
        <is>
          <t>85</t>
        </is>
      </c>
      <c r="E14" s="43" t="n">
        <v>85</v>
      </c>
      <c r="F14" s="41" t="inlineStr">
        <is>
          <t>материалы</t>
        </is>
      </c>
      <c r="G14" s="41" t="inlineStr">
        <is>
          <t>2 мощ-е - подг-ка осн-я</t>
        </is>
      </c>
      <c r="H14" s="41" t="inlineStr">
        <is>
          <t>Мощение</t>
        </is>
      </c>
      <c r="I14" s="41" t="inlineStr">
        <is>
          <t>Мощение</t>
        </is>
      </c>
      <c r="J14" s="41" t="inlineStr">
        <is>
          <t>Мощение</t>
        </is>
      </c>
      <c r="K14" s="41" t="inlineStr">
        <is>
          <t>Материал</t>
        </is>
      </c>
      <c r="L14" s="41" t="inlineStr">
        <is>
          <t>Прочее по мощению</t>
        </is>
      </c>
      <c r="M14" s="41" t="inlineStr">
        <is>
          <t>Материалы</t>
        </is>
      </c>
      <c r="N14" s="41" t="inlineStr">
        <is>
          <t>Показать строкой</t>
        </is>
      </c>
      <c r="O14" s="41" t="inlineStr">
        <is>
          <t>Высокая</t>
        </is>
      </c>
      <c r="P14" s="44" t="inlineStr">
        <is>
          <t>RMAT-0005</t>
        </is>
      </c>
      <c r="Q14" s="44" t="inlineStr">
        <is>
          <t>MV-0005</t>
        </is>
      </c>
      <c r="R14" s="41" t="inlineStr">
        <is>
          <t>Нет</t>
        </is>
      </c>
      <c r="S14" s="45" t="inlineStr">
        <is>
          <t>Нормализовано под генератор КП</t>
        </is>
      </c>
    </row>
    <row r="15">
      <c r="A15" s="42" t="inlineStr">
        <is>
          <t>SRC-0014</t>
        </is>
      </c>
      <c r="B15" s="42" t="inlineStr">
        <is>
          <t>Армирование</t>
        </is>
      </c>
      <c r="C15" s="42" t="inlineStr">
        <is>
          <t>м.пог.</t>
        </is>
      </c>
      <c r="D15" s="42" t="inlineStr">
        <is>
          <t>350</t>
        </is>
      </c>
      <c r="E15" s="46" t="n">
        <v>350</v>
      </c>
      <c r="F15" s="42" t="inlineStr">
        <is>
          <t>работа</t>
        </is>
      </c>
      <c r="G15" s="42" t="inlineStr">
        <is>
          <t>2 мощ-е - подг-ка осн-я</t>
        </is>
      </c>
      <c r="H15" s="42" t="inlineStr">
        <is>
          <t>Мощение</t>
        </is>
      </c>
      <c r="I15" s="42" t="inlineStr">
        <is>
          <t>Мощение</t>
        </is>
      </c>
      <c r="J15" s="42" t="inlineStr">
        <is>
          <t>Мощение</t>
        </is>
      </c>
      <c r="K15" s="42" t="inlineStr">
        <is>
          <t>Работа</t>
        </is>
      </c>
      <c r="L15" s="42" t="inlineStr">
        <is>
          <t>Бетон и конструктив</t>
        </is>
      </c>
      <c r="M15" s="42" t="inlineStr">
        <is>
          <t>Основные работы</t>
        </is>
      </c>
      <c r="N15" s="42" t="inlineStr">
        <is>
          <t>Показать строкой</t>
        </is>
      </c>
      <c r="O15" s="42" t="inlineStr">
        <is>
          <t>Высокая</t>
        </is>
      </c>
      <c r="P15" s="47" t="inlineStr">
        <is>
          <t>RWORK-0009</t>
        </is>
      </c>
      <c r="Q15" s="47" t="inlineStr"/>
      <c r="R15" s="42" t="inlineStr">
        <is>
          <t>Нет</t>
        </is>
      </c>
      <c r="S15" s="48" t="inlineStr">
        <is>
          <t>Нормализовано под генератор КП</t>
        </is>
      </c>
    </row>
    <row r="16">
      <c r="A16" s="41" t="inlineStr">
        <is>
          <t>SRC-0015</t>
        </is>
      </c>
      <c r="B16" s="41" t="inlineStr">
        <is>
          <t>Бетон, миксер</t>
        </is>
      </c>
      <c r="C16" s="41" t="inlineStr">
        <is>
          <t>м3</t>
        </is>
      </c>
      <c r="D16" s="41" t="inlineStr">
        <is>
          <t>15000</t>
        </is>
      </c>
      <c r="E16" s="43" t="n">
        <v>15000</v>
      </c>
      <c r="F16" s="41" t="inlineStr">
        <is>
          <t>материалы</t>
        </is>
      </c>
      <c r="G16" s="41" t="inlineStr">
        <is>
          <t>Ступени-пандусы из бетона</t>
        </is>
      </c>
      <c r="H16" s="41" t="inlineStr">
        <is>
          <t>ступени</t>
        </is>
      </c>
      <c r="I16" s="41" t="inlineStr">
        <is>
          <t>ступени</t>
        </is>
      </c>
      <c r="J16" s="41" t="inlineStr">
        <is>
          <t>Ступени / пандусы / бетонные элементы</t>
        </is>
      </c>
      <c r="K16" s="41" t="inlineStr">
        <is>
          <t>Материал</t>
        </is>
      </c>
      <c r="L16" s="41" t="inlineStr">
        <is>
          <t>Бетон и армирование</t>
        </is>
      </c>
      <c r="M16" s="41" t="inlineStr">
        <is>
          <t>Материалы</t>
        </is>
      </c>
      <c r="N16" s="41" t="inlineStr">
        <is>
          <t>Показать строкой</t>
        </is>
      </c>
      <c r="O16" s="41" t="inlineStr">
        <is>
          <t>Высокая</t>
        </is>
      </c>
      <c r="P16" s="44" t="inlineStr">
        <is>
          <t>RMAT-0006</t>
        </is>
      </c>
      <c r="Q16" s="44" t="inlineStr">
        <is>
          <t>MV-0006</t>
        </is>
      </c>
      <c r="R16" s="41" t="inlineStr">
        <is>
          <t>Нет</t>
        </is>
      </c>
      <c r="S16" s="45" t="inlineStr">
        <is>
          <t>Нормализовано под генератор КП</t>
        </is>
      </c>
    </row>
    <row r="17">
      <c r="A17" s="42" t="inlineStr">
        <is>
          <t>SRC-0016</t>
        </is>
      </c>
      <c r="B17" s="42" t="inlineStr">
        <is>
          <t>Бетононасос</t>
        </is>
      </c>
      <c r="C17" s="42" t="inlineStr">
        <is>
          <t>маш./смена</t>
        </is>
      </c>
      <c r="D17" s="42" t="inlineStr">
        <is>
          <t>24000</t>
        </is>
      </c>
      <c r="E17" s="46" t="n">
        <v>24000</v>
      </c>
      <c r="F17" s="42" t="inlineStr">
        <is>
          <t>техника</t>
        </is>
      </c>
      <c r="G17" s="42" t="inlineStr">
        <is>
          <t>Ступени-пандусы из бетона</t>
        </is>
      </c>
      <c r="H17" s="42" t="inlineStr">
        <is>
          <t>ступени</t>
        </is>
      </c>
      <c r="I17" s="42" t="inlineStr">
        <is>
          <t>техника</t>
        </is>
      </c>
      <c r="J17" s="42" t="inlineStr">
        <is>
          <t>Ступени / пандусы / бетонные элементы</t>
        </is>
      </c>
      <c r="K17" s="42" t="inlineStr">
        <is>
          <t>Техника</t>
        </is>
      </c>
      <c r="L17" s="42" t="inlineStr">
        <is>
          <t>Бетон и армирование</t>
        </is>
      </c>
      <c r="M17" s="42" t="inlineStr">
        <is>
          <t>Техника и механизмы</t>
        </is>
      </c>
      <c r="N17" s="42" t="inlineStr">
        <is>
          <t>Свернуть в раздел</t>
        </is>
      </c>
      <c r="O17" s="42" t="inlineStr">
        <is>
          <t>Высокая</t>
        </is>
      </c>
      <c r="P17" s="47" t="inlineStr">
        <is>
          <t>RWORK-0010</t>
        </is>
      </c>
      <c r="Q17" s="47" t="inlineStr"/>
      <c r="R17" s="42" t="inlineStr">
        <is>
          <t>Нет</t>
        </is>
      </c>
      <c r="S17" s="48" t="inlineStr">
        <is>
          <t>Нормализовано под генератор КП</t>
        </is>
      </c>
    </row>
    <row r="18">
      <c r="A18" s="41" t="inlineStr">
        <is>
          <t>SRC-0017</t>
        </is>
      </c>
      <c r="B18" s="41" t="inlineStr">
        <is>
          <t>Блок питания 100Вт</t>
        </is>
      </c>
      <c r="C18" s="41" t="inlineStr">
        <is>
          <t>шт</t>
        </is>
      </c>
      <c r="D18" s="41" t="inlineStr">
        <is>
          <t>6000</t>
        </is>
      </c>
      <c r="E18" s="43" t="n">
        <v>6000</v>
      </c>
      <c r="F18" s="41" t="inlineStr">
        <is>
          <t>материалы</t>
        </is>
      </c>
      <c r="G18" s="41" t="inlineStr">
        <is>
          <t>Освещение</t>
        </is>
      </c>
      <c r="H18" s="41" t="inlineStr">
        <is>
          <t>Освещение</t>
        </is>
      </c>
      <c r="I18" s="41" t="inlineStr">
        <is>
          <t>Освещение</t>
        </is>
      </c>
      <c r="J18" s="41" t="inlineStr">
        <is>
          <t>Освещение</t>
        </is>
      </c>
      <c r="K18" s="41" t="inlineStr">
        <is>
          <t>Материал</t>
        </is>
      </c>
      <c r="L18" s="41" t="inlineStr">
        <is>
          <t>Оборудование и комплектующие</t>
        </is>
      </c>
      <c r="M18" s="41" t="inlineStr">
        <is>
          <t>Материалы</t>
        </is>
      </c>
      <c r="N18" s="41" t="inlineStr">
        <is>
          <t>Показать строкой</t>
        </is>
      </c>
      <c r="O18" s="41" t="inlineStr">
        <is>
          <t>Высокая</t>
        </is>
      </c>
      <c r="P18" s="44" t="inlineStr">
        <is>
          <t>RMAT-0007</t>
        </is>
      </c>
      <c r="Q18" s="44" t="inlineStr">
        <is>
          <t>MV-0007</t>
        </is>
      </c>
      <c r="R18" s="41" t="inlineStr">
        <is>
          <t>Нет</t>
        </is>
      </c>
      <c r="S18" s="45" t="inlineStr">
        <is>
          <t>Нормализовано под генератор КП</t>
        </is>
      </c>
    </row>
    <row r="19">
      <c r="A19" s="42" t="inlineStr">
        <is>
          <t>SRC-0018</t>
        </is>
      </c>
      <c r="B19" s="42" t="inlineStr">
        <is>
          <t>Бордюр металлический</t>
        </is>
      </c>
      <c r="C19" s="42" t="inlineStr">
        <is>
          <t>м.пог.</t>
        </is>
      </c>
      <c r="D19" s="42" t="inlineStr">
        <is>
          <t>0</t>
        </is>
      </c>
      <c r="E19" s="46" t="n">
        <v>0</v>
      </c>
      <c r="F19" s="42" t="inlineStr">
        <is>
          <t>материалы</t>
        </is>
      </c>
      <c r="G19" s="42" t="inlineStr">
        <is>
          <t>1. Подготовка основания для пешеходных дорожек и площадок под мощение тротуарной плиткой.</t>
        </is>
      </c>
      <c r="H19" s="42" t="inlineStr">
        <is>
          <t>Мощение</t>
        </is>
      </c>
      <c r="I19" s="42" t="inlineStr">
        <is>
          <t>Мощение</t>
        </is>
      </c>
      <c r="J19" s="42" t="inlineStr">
        <is>
          <t>Мощение</t>
        </is>
      </c>
      <c r="K19" s="42" t="inlineStr">
        <is>
          <t>Материал</t>
        </is>
      </c>
      <c r="L19" s="42" t="inlineStr">
        <is>
          <t>Бордюры и ограничения</t>
        </is>
      </c>
      <c r="M19" s="42" t="inlineStr">
        <is>
          <t>Материалы</t>
        </is>
      </c>
      <c r="N19" s="42" t="inlineStr">
        <is>
          <t>Показать строкой</t>
        </is>
      </c>
      <c r="O19" s="42" t="inlineStr">
        <is>
          <t>Высокая</t>
        </is>
      </c>
      <c r="P19" s="47" t="inlineStr">
        <is>
          <t>RMAT-0008</t>
        </is>
      </c>
      <c r="Q19" s="47" t="inlineStr">
        <is>
          <t>MV-0008</t>
        </is>
      </c>
      <c r="R19" s="42" t="inlineStr">
        <is>
          <t>Нет</t>
        </is>
      </c>
      <c r="S19" s="48" t="inlineStr">
        <is>
          <t>Нормализовано под генератор КП</t>
        </is>
      </c>
    </row>
    <row r="20">
      <c r="A20" s="41" t="inlineStr">
        <is>
          <t>SRC-0019</t>
        </is>
      </c>
      <c r="B20" s="41" t="inlineStr">
        <is>
          <t>Бордюр пластиковый Plastbort с крепежом</t>
        </is>
      </c>
      <c r="C20" s="41" t="inlineStr">
        <is>
          <t>м.пог.</t>
        </is>
      </c>
      <c r="D20" s="41" t="inlineStr">
        <is>
          <t>320</t>
        </is>
      </c>
      <c r="E20" s="43" t="n">
        <v>320</v>
      </c>
      <c r="F20" s="41" t="inlineStr">
        <is>
          <t>материалы</t>
        </is>
      </c>
      <c r="G20" s="41" t="inlineStr">
        <is>
          <t>2 мощ-е - подг-ка осн-я</t>
        </is>
      </c>
      <c r="H20" s="41" t="inlineStr">
        <is>
          <t>Мощение</t>
        </is>
      </c>
      <c r="I20" s="41" t="inlineStr">
        <is>
          <t>Мощение</t>
        </is>
      </c>
      <c r="J20" s="41" t="inlineStr">
        <is>
          <t>Мощение</t>
        </is>
      </c>
      <c r="K20" s="41" t="inlineStr">
        <is>
          <t>Материал</t>
        </is>
      </c>
      <c r="L20" s="41" t="inlineStr">
        <is>
          <t>Бордюры и ограничения</t>
        </is>
      </c>
      <c r="M20" s="41" t="inlineStr">
        <is>
          <t>Материалы</t>
        </is>
      </c>
      <c r="N20" s="41" t="inlineStr">
        <is>
          <t>Показать строкой</t>
        </is>
      </c>
      <c r="O20" s="41" t="inlineStr">
        <is>
          <t>Высокая</t>
        </is>
      </c>
      <c r="P20" s="44" t="inlineStr">
        <is>
          <t>RMAT-0009</t>
        </is>
      </c>
      <c r="Q20" s="44" t="inlineStr">
        <is>
          <t>MV-0009</t>
        </is>
      </c>
      <c r="R20" s="41" t="inlineStr">
        <is>
          <t>Нет</t>
        </is>
      </c>
      <c r="S20" s="45" t="inlineStr">
        <is>
          <t>Нормализовано под генератор КП</t>
        </is>
      </c>
    </row>
    <row r="21">
      <c r="A21" s="42" t="inlineStr">
        <is>
          <t>SRC-0020</t>
        </is>
      </c>
      <c r="B21" s="42" t="inlineStr">
        <is>
          <t>Бордюр пластиковый, 100х8х4.5см</t>
        </is>
      </c>
      <c r="C21" s="42" t="inlineStr">
        <is>
          <t>м.пог.</t>
        </is>
      </c>
      <c r="D21" s="42" t="inlineStr">
        <is>
          <t>430</t>
        </is>
      </c>
      <c r="E21" s="46" t="n">
        <v>430</v>
      </c>
      <c r="F21" s="42" t="inlineStr">
        <is>
          <t>материалы</t>
        </is>
      </c>
      <c r="G21" s="42" t="inlineStr">
        <is>
          <t>Устройство газона</t>
        </is>
      </c>
      <c r="H21" s="42" t="inlineStr">
        <is>
          <t>газон</t>
        </is>
      </c>
      <c r="I21" s="42" t="inlineStr">
        <is>
          <t>газон</t>
        </is>
      </c>
      <c r="J21" s="42" t="inlineStr">
        <is>
          <t>Газон</t>
        </is>
      </c>
      <c r="K21" s="42" t="inlineStr">
        <is>
          <t>Материал</t>
        </is>
      </c>
      <c r="L21" s="42" t="inlineStr">
        <is>
          <t>Бордюры и ограничения</t>
        </is>
      </c>
      <c r="M21" s="42" t="inlineStr">
        <is>
          <t>Материалы</t>
        </is>
      </c>
      <c r="N21" s="42" t="inlineStr">
        <is>
          <t>Показать строкой</t>
        </is>
      </c>
      <c r="O21" s="42" t="inlineStr">
        <is>
          <t>Высокая</t>
        </is>
      </c>
      <c r="P21" s="47" t="inlineStr">
        <is>
          <t>RMAT-0010</t>
        </is>
      </c>
      <c r="Q21" s="47" t="inlineStr">
        <is>
          <t>MV-0010</t>
        </is>
      </c>
      <c r="R21" s="42" t="inlineStr">
        <is>
          <t>Нет</t>
        </is>
      </c>
      <c r="S21" s="48" t="inlineStr">
        <is>
          <t>Нормализовано под генератор КП</t>
        </is>
      </c>
    </row>
    <row r="22">
      <c r="A22" s="41" t="inlineStr">
        <is>
          <t>SRC-0021</t>
        </is>
      </c>
      <c r="B22" s="41" t="inlineStr">
        <is>
          <t>Брус 50х50х3000мм</t>
        </is>
      </c>
      <c r="C22" s="41" t="inlineStr">
        <is>
          <t>шт</t>
        </is>
      </c>
      <c r="D22" s="41" t="inlineStr">
        <is>
          <t>280</t>
        </is>
      </c>
      <c r="E22" s="43" t="n">
        <v>280</v>
      </c>
      <c r="F22" s="41" t="inlineStr">
        <is>
          <t>материалы</t>
        </is>
      </c>
      <c r="G22" s="41" t="inlineStr">
        <is>
          <t>Ступени-пандусы из бетона</t>
        </is>
      </c>
      <c r="H22" s="41" t="inlineStr">
        <is>
          <t>ступени</t>
        </is>
      </c>
      <c r="I22" s="41" t="inlineStr">
        <is>
          <t>ступени</t>
        </is>
      </c>
      <c r="J22" s="41" t="inlineStr">
        <is>
          <t>Ступени / пандусы / бетонные элементы</t>
        </is>
      </c>
      <c r="K22" s="41" t="inlineStr">
        <is>
          <t>Материал</t>
        </is>
      </c>
      <c r="L22" s="41" t="inlineStr">
        <is>
          <t>Прочее по бетонным элементам</t>
        </is>
      </c>
      <c r="M22" s="41" t="inlineStr">
        <is>
          <t>Материалы</t>
        </is>
      </c>
      <c r="N22" s="41" t="inlineStr">
        <is>
          <t>Показать строкой</t>
        </is>
      </c>
      <c r="O22" s="41" t="inlineStr">
        <is>
          <t>Высокая</t>
        </is>
      </c>
      <c r="P22" s="44" t="inlineStr">
        <is>
          <t>RMAT-0011</t>
        </is>
      </c>
      <c r="Q22" s="44" t="inlineStr">
        <is>
          <t>MV-0011</t>
        </is>
      </c>
      <c r="R22" s="41" t="inlineStr">
        <is>
          <t>Нет</t>
        </is>
      </c>
      <c r="S22" s="45" t="inlineStr">
        <is>
          <t>Нормализовано под генератор КП</t>
        </is>
      </c>
    </row>
    <row r="23">
      <c r="A23" s="42" t="inlineStr">
        <is>
          <t>SRC-0022</t>
        </is>
      </c>
      <c r="B23" s="42" t="inlineStr">
        <is>
          <t>Брусок сухой сосна 30х45х3000 мм сорт АВ</t>
        </is>
      </c>
      <c r="C23" s="42" t="inlineStr">
        <is>
          <t>шт</t>
        </is>
      </c>
      <c r="D23" s="42" t="inlineStr">
        <is>
          <t>245</t>
        </is>
      </c>
      <c r="E23" s="46" t="n">
        <v>245</v>
      </c>
      <c r="F23" s="42" t="inlineStr">
        <is>
          <t>материалы</t>
        </is>
      </c>
      <c r="G23" s="42" t="inlineStr">
        <is>
          <t>2 мощ-е - подг-ка осн-я</t>
        </is>
      </c>
      <c r="H23" s="42" t="inlineStr">
        <is>
          <t>Мощение</t>
        </is>
      </c>
      <c r="I23" s="42" t="inlineStr">
        <is>
          <t>Мощение</t>
        </is>
      </c>
      <c r="J23" s="42" t="inlineStr">
        <is>
          <t>Мощение</t>
        </is>
      </c>
      <c r="K23" s="42" t="inlineStr">
        <is>
          <t>Материал</t>
        </is>
      </c>
      <c r="L23" s="42" t="inlineStr">
        <is>
          <t>Конструкции и отделка</t>
        </is>
      </c>
      <c r="M23" s="42" t="inlineStr">
        <is>
          <t>Материалы</t>
        </is>
      </c>
      <c r="N23" s="42" t="inlineStr">
        <is>
          <t>Показать строкой</t>
        </is>
      </c>
      <c r="O23" s="42" t="inlineStr">
        <is>
          <t>Высокая</t>
        </is>
      </c>
      <c r="P23" s="47" t="inlineStr">
        <is>
          <t>RMAT-0012</t>
        </is>
      </c>
      <c r="Q23" s="47" t="inlineStr">
        <is>
          <t>MV-0012</t>
        </is>
      </c>
      <c r="R23" s="42" t="inlineStr">
        <is>
          <t>Нет</t>
        </is>
      </c>
      <c r="S23" s="48" t="inlineStr">
        <is>
          <t>Нормализовано под генератор КП</t>
        </is>
      </c>
    </row>
    <row r="24">
      <c r="A24" s="41" t="inlineStr">
        <is>
          <t>SRC-0023</t>
        </is>
      </c>
      <c r="B24" s="41" t="inlineStr">
        <is>
          <t>Брусчатка гранитная, 100х100х100мм</t>
        </is>
      </c>
      <c r="C24" s="41" t="inlineStr">
        <is>
          <t>м2</t>
        </is>
      </c>
      <c r="D24" s="41" t="inlineStr">
        <is>
          <t>2500</t>
        </is>
      </c>
      <c r="E24" s="43" t="n">
        <v>2500</v>
      </c>
      <c r="F24" s="41" t="inlineStr">
        <is>
          <t>материалы</t>
        </is>
      </c>
      <c r="G24" s="41" t="inlineStr">
        <is>
          <t>2 мощ-е - подг-ка осн-я</t>
        </is>
      </c>
      <c r="H24" s="41" t="inlineStr">
        <is>
          <t>Мощение</t>
        </is>
      </c>
      <c r="I24" s="41" t="inlineStr">
        <is>
          <t>Мощение</t>
        </is>
      </c>
      <c r="J24" s="41" t="inlineStr">
        <is>
          <t>Мощение</t>
        </is>
      </c>
      <c r="K24" s="41" t="inlineStr">
        <is>
          <t>Материал</t>
        </is>
      </c>
      <c r="L24" s="41" t="inlineStr">
        <is>
          <t>Покрытие</t>
        </is>
      </c>
      <c r="M24" s="41" t="inlineStr">
        <is>
          <t>Материалы</t>
        </is>
      </c>
      <c r="N24" s="41" t="inlineStr">
        <is>
          <t>Показать строкой</t>
        </is>
      </c>
      <c r="O24" s="41" t="inlineStr">
        <is>
          <t>Высокая</t>
        </is>
      </c>
      <c r="P24" s="44" t="inlineStr">
        <is>
          <t>RMAT-0013</t>
        </is>
      </c>
      <c r="Q24" s="44" t="inlineStr">
        <is>
          <t>MV-0013</t>
        </is>
      </c>
      <c r="R24" s="41" t="inlineStr">
        <is>
          <t>Нет</t>
        </is>
      </c>
      <c r="S24" s="45" t="inlineStr">
        <is>
          <t>Нормализовано под генератор КП</t>
        </is>
      </c>
    </row>
    <row r="25">
      <c r="A25" s="42" t="inlineStr">
        <is>
          <t>SRC-0024</t>
        </is>
      </c>
      <c r="B25" s="42" t="inlineStr">
        <is>
          <t>Брусчатка гранитная, 100х100х50мм</t>
        </is>
      </c>
      <c r="C25" s="42" t="inlineStr">
        <is>
          <t>м2</t>
        </is>
      </c>
      <c r="D25" s="42" t="inlineStr">
        <is>
          <t>2300</t>
        </is>
      </c>
      <c r="E25" s="46" t="n">
        <v>2300</v>
      </c>
      <c r="F25" s="42" t="inlineStr">
        <is>
          <t>материалы</t>
        </is>
      </c>
      <c r="G25" s="42" t="inlineStr">
        <is>
          <t>2 мощ-е - подг-ка осн-я</t>
        </is>
      </c>
      <c r="H25" s="42" t="inlineStr">
        <is>
          <t>Мощение</t>
        </is>
      </c>
      <c r="I25" s="42" t="inlineStr">
        <is>
          <t>Мощение</t>
        </is>
      </c>
      <c r="J25" s="42" t="inlineStr">
        <is>
          <t>Мощение</t>
        </is>
      </c>
      <c r="K25" s="42" t="inlineStr">
        <is>
          <t>Материал</t>
        </is>
      </c>
      <c r="L25" s="42" t="inlineStr">
        <is>
          <t>Покрытие</t>
        </is>
      </c>
      <c r="M25" s="42" t="inlineStr">
        <is>
          <t>Материалы</t>
        </is>
      </c>
      <c r="N25" s="42" t="inlineStr">
        <is>
          <t>Показать строкой</t>
        </is>
      </c>
      <c r="O25" s="42" t="inlineStr">
        <is>
          <t>Высокая</t>
        </is>
      </c>
      <c r="P25" s="47" t="inlineStr">
        <is>
          <t>RMAT-0014</t>
        </is>
      </c>
      <c r="Q25" s="47" t="inlineStr">
        <is>
          <t>MV-0014</t>
        </is>
      </c>
      <c r="R25" s="42" t="inlineStr">
        <is>
          <t>Нет</t>
        </is>
      </c>
      <c r="S25" s="48" t="inlineStr">
        <is>
          <t>Нормализовано под генератор КП</t>
        </is>
      </c>
    </row>
    <row r="26">
      <c r="A26" s="41" t="inlineStr">
        <is>
          <t>SRC-0025</t>
        </is>
      </c>
      <c r="B26" s="41" t="inlineStr">
        <is>
          <t>Брусчатка пиленная, шунгитный сланец</t>
        </is>
      </c>
      <c r="C26" s="41" t="inlineStr">
        <is>
          <t>м2</t>
        </is>
      </c>
      <c r="D26" s="41" t="inlineStr">
        <is>
          <t>4730</t>
        </is>
      </c>
      <c r="E26" s="43" t="n">
        <v>4730</v>
      </c>
      <c r="F26" s="41" t="inlineStr">
        <is>
          <t>материалы</t>
        </is>
      </c>
      <c r="G26" s="41" t="inlineStr">
        <is>
          <t>Покрытия</t>
        </is>
      </c>
      <c r="H26" s="41" t="inlineStr">
        <is>
          <t>Мощение</t>
        </is>
      </c>
      <c r="I26" s="41" t="inlineStr">
        <is>
          <t>Мощение</t>
        </is>
      </c>
      <c r="J26" s="41" t="inlineStr">
        <is>
          <t>Мощение</t>
        </is>
      </c>
      <c r="K26" s="41" t="inlineStr">
        <is>
          <t>Материал</t>
        </is>
      </c>
      <c r="L26" s="41" t="inlineStr">
        <is>
          <t>Покрытие</t>
        </is>
      </c>
      <c r="M26" s="41" t="inlineStr">
        <is>
          <t>Материалы</t>
        </is>
      </c>
      <c r="N26" s="41" t="inlineStr">
        <is>
          <t>Показать строкой</t>
        </is>
      </c>
      <c r="O26" s="41" t="inlineStr">
        <is>
          <t>Высокая</t>
        </is>
      </c>
      <c r="P26" s="44" t="inlineStr">
        <is>
          <t>RMAT-0015</t>
        </is>
      </c>
      <c r="Q26" s="44" t="inlineStr">
        <is>
          <t>MV-0015</t>
        </is>
      </c>
      <c r="R26" s="41" t="inlineStr">
        <is>
          <t>Нет</t>
        </is>
      </c>
      <c r="S26" s="45" t="inlineStr">
        <is>
          <t>Нормализовано под генератор КП</t>
        </is>
      </c>
    </row>
    <row r="27">
      <c r="A27" s="42" t="inlineStr">
        <is>
          <t>SRC-0026</t>
        </is>
      </c>
      <c r="B27" s="42" t="inlineStr">
        <is>
          <t>Брусчатка пилено-колотая, гранит 100х100х50мм</t>
        </is>
      </c>
      <c r="C27" s="42" t="inlineStr">
        <is>
          <t>м2</t>
        </is>
      </c>
      <c r="D27" s="42" t="inlineStr">
        <is>
          <t>4630</t>
        </is>
      </c>
      <c r="E27" s="46" t="n">
        <v>4630</v>
      </c>
      <c r="F27" s="42" t="inlineStr">
        <is>
          <t>материалы</t>
        </is>
      </c>
      <c r="G27" s="42" t="inlineStr">
        <is>
          <t>Покрытия</t>
        </is>
      </c>
      <c r="H27" s="42" t="inlineStr">
        <is>
          <t>Мощение</t>
        </is>
      </c>
      <c r="I27" s="42" t="inlineStr">
        <is>
          <t>Мощение</t>
        </is>
      </c>
      <c r="J27" s="42" t="inlineStr">
        <is>
          <t>Мощение</t>
        </is>
      </c>
      <c r="K27" s="42" t="inlineStr">
        <is>
          <t>Материал</t>
        </is>
      </c>
      <c r="L27" s="42" t="inlineStr">
        <is>
          <t>Покрытие</t>
        </is>
      </c>
      <c r="M27" s="42" t="inlineStr">
        <is>
          <t>Материалы</t>
        </is>
      </c>
      <c r="N27" s="42" t="inlineStr">
        <is>
          <t>Показать строкой</t>
        </is>
      </c>
      <c r="O27" s="42" t="inlineStr">
        <is>
          <t>Высокая</t>
        </is>
      </c>
      <c r="P27" s="47" t="inlineStr">
        <is>
          <t>RMAT-0016</t>
        </is>
      </c>
      <c r="Q27" s="47" t="inlineStr">
        <is>
          <t>MV-0016</t>
        </is>
      </c>
      <c r="R27" s="42" t="inlineStr">
        <is>
          <t>Нет</t>
        </is>
      </c>
      <c r="S27" s="48" t="inlineStr">
        <is>
          <t>Нормализовано под генератор КП</t>
        </is>
      </c>
    </row>
    <row r="28">
      <c r="A28" s="41" t="inlineStr">
        <is>
          <t>SRC-0027</t>
        </is>
      </c>
      <c r="B28" s="41" t="inlineStr">
        <is>
          <t>Брусчатка ТБП (простая), 60мм</t>
        </is>
      </c>
      <c r="C28" s="41" t="inlineStr">
        <is>
          <t>м2</t>
        </is>
      </c>
      <c r="D28" s="41" t="inlineStr">
        <is>
          <t>840</t>
        </is>
      </c>
      <c r="E28" s="43" t="n">
        <v>840</v>
      </c>
      <c r="F28" s="41" t="inlineStr">
        <is>
          <t>материалы</t>
        </is>
      </c>
      <c r="G28" s="41" t="inlineStr">
        <is>
          <t>Покрытия</t>
        </is>
      </c>
      <c r="H28" s="41" t="inlineStr">
        <is>
          <t>Мощение</t>
        </is>
      </c>
      <c r="I28" s="41" t="inlineStr">
        <is>
          <t>Мощение</t>
        </is>
      </c>
      <c r="J28" s="41" t="inlineStr">
        <is>
          <t>Мощение</t>
        </is>
      </c>
      <c r="K28" s="41" t="inlineStr">
        <is>
          <t>Материал</t>
        </is>
      </c>
      <c r="L28" s="41" t="inlineStr">
        <is>
          <t>Покрытие</t>
        </is>
      </c>
      <c r="M28" s="41" t="inlineStr">
        <is>
          <t>Материалы</t>
        </is>
      </c>
      <c r="N28" s="41" t="inlineStr">
        <is>
          <t>Показать строкой</t>
        </is>
      </c>
      <c r="O28" s="41" t="inlineStr">
        <is>
          <t>Высокая</t>
        </is>
      </c>
      <c r="P28" s="44" t="inlineStr">
        <is>
          <t>RMAT-0017</t>
        </is>
      </c>
      <c r="Q28" s="44" t="inlineStr">
        <is>
          <t>MV-0017</t>
        </is>
      </c>
      <c r="R28" s="41" t="inlineStr">
        <is>
          <t>Нет</t>
        </is>
      </c>
      <c r="S28" s="45" t="inlineStr">
        <is>
          <t>Нормализовано под генератор КП</t>
        </is>
      </c>
    </row>
    <row r="29">
      <c r="A29" s="42" t="inlineStr">
        <is>
          <t>SRC-0028</t>
        </is>
      </c>
      <c r="B29" s="42" t="inlineStr">
        <is>
          <t>Брусчатка ТБП Антик, 197x97x60мм</t>
        </is>
      </c>
      <c r="C29" s="42" t="inlineStr">
        <is>
          <t>м2</t>
        </is>
      </c>
      <c r="D29" s="42" t="inlineStr">
        <is>
          <t>1100</t>
        </is>
      </c>
      <c r="E29" s="46" t="n">
        <v>1100</v>
      </c>
      <c r="F29" s="42" t="inlineStr">
        <is>
          <t>материалы</t>
        </is>
      </c>
      <c r="G29" s="42" t="inlineStr">
        <is>
          <t>2 мощ-е - подг-ка осн-я</t>
        </is>
      </c>
      <c r="H29" s="42" t="inlineStr">
        <is>
          <t>Мощение</t>
        </is>
      </c>
      <c r="I29" s="42" t="inlineStr">
        <is>
          <t>Мощение</t>
        </is>
      </c>
      <c r="J29" s="42" t="inlineStr">
        <is>
          <t>Мощение</t>
        </is>
      </c>
      <c r="K29" s="42" t="inlineStr">
        <is>
          <t>Материал</t>
        </is>
      </c>
      <c r="L29" s="42" t="inlineStr">
        <is>
          <t>Покрытие</t>
        </is>
      </c>
      <c r="M29" s="42" t="inlineStr">
        <is>
          <t>Материалы</t>
        </is>
      </c>
      <c r="N29" s="42" t="inlineStr">
        <is>
          <t>Показать строкой</t>
        </is>
      </c>
      <c r="O29" s="42" t="inlineStr">
        <is>
          <t>Высокая</t>
        </is>
      </c>
      <c r="P29" s="47" t="inlineStr">
        <is>
          <t>RMAT-0018</t>
        </is>
      </c>
      <c r="Q29" s="47" t="inlineStr">
        <is>
          <t>MV-0018</t>
        </is>
      </c>
      <c r="R29" s="42" t="inlineStr">
        <is>
          <t>Нет</t>
        </is>
      </c>
      <c r="S29" s="48" t="inlineStr">
        <is>
          <t>Нормализовано под генератор КП</t>
        </is>
      </c>
    </row>
    <row r="30">
      <c r="A30" s="41" t="inlineStr">
        <is>
          <t>SRC-0029</t>
        </is>
      </c>
      <c r="B30" s="41" t="inlineStr">
        <is>
          <t>Брусчатка ТБП Классико Б.3.КО.6</t>
        </is>
      </c>
      <c r="C30" s="41" t="inlineStr">
        <is>
          <t>м2</t>
        </is>
      </c>
      <c r="D30" s="41" t="inlineStr">
        <is>
          <t>3025</t>
        </is>
      </c>
      <c r="E30" s="43" t="n">
        <v>3025</v>
      </c>
      <c r="F30" s="41" t="inlineStr">
        <is>
          <t>материалы</t>
        </is>
      </c>
      <c r="G30" s="41" t="inlineStr">
        <is>
          <t>Покрытия</t>
        </is>
      </c>
      <c r="H30" s="41" t="inlineStr">
        <is>
          <t>Мощение</t>
        </is>
      </c>
      <c r="I30" s="41" t="inlineStr">
        <is>
          <t>Мощение</t>
        </is>
      </c>
      <c r="J30" s="41" t="inlineStr">
        <is>
          <t>Мощение</t>
        </is>
      </c>
      <c r="K30" s="41" t="inlineStr">
        <is>
          <t>Материал</t>
        </is>
      </c>
      <c r="L30" s="41" t="inlineStr">
        <is>
          <t>Покрытие</t>
        </is>
      </c>
      <c r="M30" s="41" t="inlineStr">
        <is>
          <t>Материалы</t>
        </is>
      </c>
      <c r="N30" s="41" t="inlineStr">
        <is>
          <t>Показать строкой</t>
        </is>
      </c>
      <c r="O30" s="41" t="inlineStr">
        <is>
          <t>Высокая</t>
        </is>
      </c>
      <c r="P30" s="44" t="inlineStr">
        <is>
          <t>RMAT-0019</t>
        </is>
      </c>
      <c r="Q30" s="44" t="inlineStr">
        <is>
          <t>MV-0019</t>
        </is>
      </c>
      <c r="R30" s="41" t="inlineStr">
        <is>
          <t>Нет</t>
        </is>
      </c>
      <c r="S30" s="45" t="inlineStr">
        <is>
          <t>Нормализовано под генератор КП</t>
        </is>
      </c>
    </row>
    <row r="31">
      <c r="A31" s="42" t="inlineStr">
        <is>
          <t>SRC-0030</t>
        </is>
      </c>
      <c r="B31" s="42" t="inlineStr">
        <is>
          <t>Вертикальная планировка (геопластика)</t>
        </is>
      </c>
      <c r="C31" s="42" t="inlineStr">
        <is>
          <t>м2</t>
        </is>
      </c>
      <c r="D31" s="42" t="inlineStr">
        <is>
          <t>360</t>
        </is>
      </c>
      <c r="E31" s="46" t="n">
        <v>360</v>
      </c>
      <c r="F31" s="42" t="inlineStr">
        <is>
          <t>работа</t>
        </is>
      </c>
      <c r="G31" s="42" t="inlineStr">
        <is>
          <t>2 мощ-е - подг-ка осн-я</t>
        </is>
      </c>
      <c r="H31" s="42" t="inlineStr">
        <is>
          <t>Планировочные работы.</t>
        </is>
      </c>
      <c r="I31" s="42" t="inlineStr">
        <is>
          <t>Мощение</t>
        </is>
      </c>
      <c r="J31" s="42" t="inlineStr">
        <is>
          <t>Земляные и планировочные работы</t>
        </is>
      </c>
      <c r="K31" s="42" t="inlineStr">
        <is>
          <t>Работа</t>
        </is>
      </c>
      <c r="L31" s="42" t="inlineStr">
        <is>
          <t>Планировка и подготовка грунта</t>
        </is>
      </c>
      <c r="M31" s="42" t="inlineStr">
        <is>
          <t>Основные работы</t>
        </is>
      </c>
      <c r="N31" s="42" t="inlineStr">
        <is>
          <t>Показать строкой</t>
        </is>
      </c>
      <c r="O31" s="42" t="inlineStr">
        <is>
          <t>Высокая</t>
        </is>
      </c>
      <c r="P31" s="47" t="inlineStr">
        <is>
          <t>RWORK-0011</t>
        </is>
      </c>
      <c r="Q31" s="47" t="inlineStr"/>
      <c r="R31" s="42" t="inlineStr">
        <is>
          <t>Нет</t>
        </is>
      </c>
      <c r="S31" s="48" t="inlineStr">
        <is>
          <t>Нормализовано под генератор КП</t>
        </is>
      </c>
    </row>
    <row r="32">
      <c r="A32" s="41" t="inlineStr">
        <is>
          <t>SRC-0031</t>
        </is>
      </c>
      <c r="B32" s="41" t="inlineStr">
        <is>
          <t>Вертикальная планировка, выемка и подсыпка</t>
        </is>
      </c>
      <c r="C32" s="41" t="inlineStr">
        <is>
          <t>м3</t>
        </is>
      </c>
      <c r="D32" s="41" t="inlineStr">
        <is>
          <t>1100</t>
        </is>
      </c>
      <c r="E32" s="43" t="n">
        <v>1100</v>
      </c>
      <c r="F32" s="41" t="inlineStr">
        <is>
          <t>работа</t>
        </is>
      </c>
      <c r="G32" s="41" t="inlineStr">
        <is>
          <t>Планировочные работы.</t>
        </is>
      </c>
      <c r="H32" s="41" t="inlineStr">
        <is>
          <t>Планировочные работы.</t>
        </is>
      </c>
      <c r="I32" s="41" t="inlineStr">
        <is>
          <t>Земельные работы</t>
        </is>
      </c>
      <c r="J32" s="41" t="inlineStr">
        <is>
          <t>Земляные и планировочные работы</t>
        </is>
      </c>
      <c r="K32" s="41" t="inlineStr">
        <is>
          <t>Работа</t>
        </is>
      </c>
      <c r="L32" s="41" t="inlineStr">
        <is>
          <t>Планировка и подготовка грунта</t>
        </is>
      </c>
      <c r="M32" s="41" t="inlineStr">
        <is>
          <t>Основные работы</t>
        </is>
      </c>
      <c r="N32" s="41" t="inlineStr">
        <is>
          <t>Показать строкой</t>
        </is>
      </c>
      <c r="O32" s="41" t="inlineStr">
        <is>
          <t>Высокая</t>
        </is>
      </c>
      <c r="P32" s="44" t="inlineStr">
        <is>
          <t>RWORK-0012</t>
        </is>
      </c>
      <c r="Q32" s="44" t="inlineStr"/>
      <c r="R32" s="41" t="inlineStr">
        <is>
          <t>Нет</t>
        </is>
      </c>
      <c r="S32" s="45" t="inlineStr">
        <is>
          <t>Нормализовано под генератор КП</t>
        </is>
      </c>
    </row>
    <row r="33">
      <c r="A33" s="42" t="inlineStr">
        <is>
          <t>SRC-0032</t>
        </is>
      </c>
      <c r="B33" s="42" t="inlineStr">
        <is>
          <t>Восстановление бетонной отмостки</t>
        </is>
      </c>
      <c r="C33" s="42" t="inlineStr">
        <is>
          <t>м2</t>
        </is>
      </c>
      <c r="D33" s="42" t="inlineStr">
        <is>
          <t>6500</t>
        </is>
      </c>
      <c r="E33" s="46" t="n">
        <v>6500</v>
      </c>
      <c r="F33" s="42" t="inlineStr">
        <is>
          <t>работа</t>
        </is>
      </c>
      <c r="G33" s="42" t="inlineStr">
        <is>
          <t>1. Подготовка основания для пешеходных дорожек и площадок под мощение тротуарной плиткой.</t>
        </is>
      </c>
      <c r="H33" s="42" t="inlineStr">
        <is>
          <t>Мощение</t>
        </is>
      </c>
      <c r="I33" s="42" t="inlineStr">
        <is>
          <t>Мощение</t>
        </is>
      </c>
      <c r="J33" s="42" t="inlineStr">
        <is>
          <t>Мощение</t>
        </is>
      </c>
      <c r="K33" s="42" t="inlineStr">
        <is>
          <t>Работа</t>
        </is>
      </c>
      <c r="L33" s="42" t="inlineStr">
        <is>
          <t>Бетон и конструктив</t>
        </is>
      </c>
      <c r="M33" s="42" t="inlineStr">
        <is>
          <t>Основные работы</t>
        </is>
      </c>
      <c r="N33" s="42" t="inlineStr">
        <is>
          <t>Показать строкой</t>
        </is>
      </c>
      <c r="O33" s="42" t="inlineStr">
        <is>
          <t>Высокая</t>
        </is>
      </c>
      <c r="P33" s="47" t="inlineStr">
        <is>
          <t>RWORK-0013</t>
        </is>
      </c>
      <c r="Q33" s="47" t="inlineStr"/>
      <c r="R33" s="42" t="inlineStr">
        <is>
          <t>Нет</t>
        </is>
      </c>
      <c r="S33" s="48" t="inlineStr">
        <is>
          <t>Нормализовано под генератор КП</t>
        </is>
      </c>
    </row>
    <row r="34">
      <c r="A34" s="41" t="inlineStr">
        <is>
          <t>SRC-0033</t>
        </is>
      </c>
      <c r="B34" s="41" t="inlineStr">
        <is>
          <t>Восстановление дернины после устройства дренажа</t>
        </is>
      </c>
      <c r="C34" s="41" t="inlineStr">
        <is>
          <t>м2</t>
        </is>
      </c>
      <c r="D34" s="41" t="inlineStr">
        <is>
          <t>260</t>
        </is>
      </c>
      <c r="E34" s="43" t="n">
        <v>260</v>
      </c>
      <c r="F34" s="41" t="inlineStr">
        <is>
          <t>работа</t>
        </is>
      </c>
      <c r="G34" s="41" t="inlineStr">
        <is>
          <t>дренаж</t>
        </is>
      </c>
      <c r="H34" s="41" t="inlineStr">
        <is>
          <t>дренаж</t>
        </is>
      </c>
      <c r="I34" s="41" t="inlineStr">
        <is>
          <t>дренаж</t>
        </is>
      </c>
      <c r="J34" s="41" t="inlineStr">
        <is>
          <t>Дренаж</t>
        </is>
      </c>
      <c r="K34" s="41" t="inlineStr">
        <is>
          <t>Работа</t>
        </is>
      </c>
      <c r="L34" s="41" t="inlineStr">
        <is>
          <t>Земляные и восстановительные работы</t>
        </is>
      </c>
      <c r="M34" s="41" t="inlineStr">
        <is>
          <t>Основные работы</t>
        </is>
      </c>
      <c r="N34" s="41" t="inlineStr">
        <is>
          <t>Показать строкой</t>
        </is>
      </c>
      <c r="O34" s="41" t="inlineStr">
        <is>
          <t>Высокая</t>
        </is>
      </c>
      <c r="P34" s="44" t="inlineStr">
        <is>
          <t>RWORK-0014</t>
        </is>
      </c>
      <c r="Q34" s="44" t="inlineStr"/>
      <c r="R34" s="41" t="inlineStr">
        <is>
          <t>Нет</t>
        </is>
      </c>
      <c r="S34" s="45" t="inlineStr">
        <is>
          <t>Нормализовано под генератор КП</t>
        </is>
      </c>
    </row>
    <row r="35">
      <c r="A35" s="49" t="inlineStr">
        <is>
          <t>SRC-0034</t>
        </is>
      </c>
      <c r="B35" s="49" t="inlineStr">
        <is>
          <t>Временные бытовые условия (+ спецодежда, связь, ТО туал.кабины)</t>
        </is>
      </c>
      <c r="C35" s="49" t="inlineStr">
        <is>
          <t>%</t>
        </is>
      </c>
      <c r="D35" s="49" t="inlineStr">
        <is>
          <t>0.015</t>
        </is>
      </c>
      <c r="E35" s="50" t="n">
        <v>0.015</v>
      </c>
      <c r="F35" s="49" t="inlineStr">
        <is>
          <t>%</t>
        </is>
      </c>
      <c r="G35" s="49" t="inlineStr">
        <is>
          <t>%</t>
        </is>
      </c>
      <c r="H35" s="49" t="inlineStr">
        <is>
          <t>%</t>
        </is>
      </c>
      <c r="I35" s="49" t="inlineStr">
        <is>
          <t>%</t>
        </is>
      </c>
      <c r="J35" s="49" t="inlineStr">
        <is>
          <t>Временные сооружения и обеспечение</t>
        </is>
      </c>
      <c r="K35" s="49" t="inlineStr">
        <is>
          <t>Накладные</t>
        </is>
      </c>
      <c r="L35" s="49" t="inlineStr">
        <is>
          <t>Бытовые условия стройплощадки</t>
        </is>
      </c>
      <c r="M35" s="49" t="inlineStr">
        <is>
          <t>Накладные и скрытые расходы</t>
        </is>
      </c>
      <c r="N35" s="49" t="inlineStr">
        <is>
          <t>Скрыть из клиентской версии</t>
        </is>
      </c>
      <c r="O35" s="49" t="inlineStr">
        <is>
          <t>Высокая</t>
        </is>
      </c>
      <c r="P35" s="51" t="inlineStr">
        <is>
          <t>RWORK-0015</t>
        </is>
      </c>
      <c r="Q35" s="51" t="inlineStr"/>
      <c r="R35" s="49" t="inlineStr">
        <is>
          <t>Да</t>
        </is>
      </c>
      <c r="S35" s="52" t="inlineStr">
        <is>
          <t>Лучше включать коэффициентом или свернутым разделом</t>
        </is>
      </c>
    </row>
    <row r="36">
      <c r="A36" s="41" t="inlineStr">
        <is>
          <t>SRC-0035</t>
        </is>
      </c>
      <c r="B36" s="41" t="inlineStr">
        <is>
          <t>Выборка ложа от чистовой отметки (вручную)</t>
        </is>
      </c>
      <c r="C36" s="41" t="inlineStr">
        <is>
          <t>м3</t>
        </is>
      </c>
      <c r="D36" s="41" t="inlineStr">
        <is>
          <t>2000</t>
        </is>
      </c>
      <c r="E36" s="43" t="n">
        <v>2000</v>
      </c>
      <c r="F36" s="41" t="inlineStr">
        <is>
          <t>работа</t>
        </is>
      </c>
      <c r="G36" s="41" t="inlineStr">
        <is>
          <t>Устройство газона</t>
        </is>
      </c>
      <c r="H36" s="41" t="inlineStr">
        <is>
          <t>газон</t>
        </is>
      </c>
      <c r="I36" s="41" t="inlineStr">
        <is>
          <t>газон</t>
        </is>
      </c>
      <c r="J36" s="41" t="inlineStr">
        <is>
          <t>Газон</t>
        </is>
      </c>
      <c r="K36" s="41" t="inlineStr">
        <is>
          <t>Работа</t>
        </is>
      </c>
      <c r="L36" s="41" t="inlineStr">
        <is>
          <t>Подготовка основания</t>
        </is>
      </c>
      <c r="M36" s="41" t="inlineStr">
        <is>
          <t>Основные работы</t>
        </is>
      </c>
      <c r="N36" s="41" t="inlineStr">
        <is>
          <t>Показать строкой</t>
        </is>
      </c>
      <c r="O36" s="41" t="inlineStr">
        <is>
          <t>Высокая</t>
        </is>
      </c>
      <c r="P36" s="44" t="inlineStr">
        <is>
          <t>RWORK-0016</t>
        </is>
      </c>
      <c r="Q36" s="44" t="inlineStr"/>
      <c r="R36" s="41" t="inlineStr">
        <is>
          <t>Нет</t>
        </is>
      </c>
      <c r="S36" s="45" t="inlineStr">
        <is>
          <t>Нормализовано под генератор КП</t>
        </is>
      </c>
    </row>
    <row r="37">
      <c r="A37" s="42" t="inlineStr">
        <is>
          <t>SRC-0036</t>
        </is>
      </c>
      <c r="B37" s="42" t="inlineStr">
        <is>
          <t>Выборка ложа от чистовой отметки в отвал (механическая)</t>
        </is>
      </c>
      <c r="C37" s="42" t="inlineStr">
        <is>
          <t>м3</t>
        </is>
      </c>
      <c r="D37" s="42" t="inlineStr">
        <is>
          <t>850</t>
        </is>
      </c>
      <c r="E37" s="46" t="n">
        <v>850</v>
      </c>
      <c r="F37" s="42" t="inlineStr">
        <is>
          <t>работа</t>
        </is>
      </c>
      <c r="G37" s="42" t="inlineStr">
        <is>
          <t>дренаж</t>
        </is>
      </c>
      <c r="H37" s="42" t="inlineStr">
        <is>
          <t>дренаж</t>
        </is>
      </c>
      <c r="I37" s="42" t="inlineStr">
        <is>
          <t>дренаж</t>
        </is>
      </c>
      <c r="J37" s="42" t="inlineStr">
        <is>
          <t>Дренаж</t>
        </is>
      </c>
      <c r="K37" s="42" t="inlineStr">
        <is>
          <t>Работа</t>
        </is>
      </c>
      <c r="L37" s="42" t="inlineStr">
        <is>
          <t>Земляные и восстановительные работы</t>
        </is>
      </c>
      <c r="M37" s="42" t="inlineStr">
        <is>
          <t>Основные работы</t>
        </is>
      </c>
      <c r="N37" s="42" t="inlineStr">
        <is>
          <t>Показать строкой</t>
        </is>
      </c>
      <c r="O37" s="42" t="inlineStr">
        <is>
          <t>Высокая</t>
        </is>
      </c>
      <c r="P37" s="47" t="inlineStr">
        <is>
          <t>RWORK-0017</t>
        </is>
      </c>
      <c r="Q37" s="47" t="inlineStr"/>
      <c r="R37" s="42" t="inlineStr">
        <is>
          <t>Нет</t>
        </is>
      </c>
      <c r="S37" s="48" t="inlineStr">
        <is>
          <t>Нормализовано под генератор КП</t>
        </is>
      </c>
    </row>
    <row r="38">
      <c r="A38" s="41" t="inlineStr">
        <is>
          <t>SRC-0037</t>
        </is>
      </c>
      <c r="B38" s="41" t="inlineStr">
        <is>
          <t>Вывоз мусора (грунт)</t>
        </is>
      </c>
      <c r="C38" s="41" t="inlineStr">
        <is>
          <t>м3</t>
        </is>
      </c>
      <c r="D38" s="41" t="inlineStr">
        <is>
          <t>1200</t>
        </is>
      </c>
      <c r="E38" s="43" t="n">
        <v>1200</v>
      </c>
      <c r="F38" s="41" t="inlineStr">
        <is>
          <t>вывоз мусора</t>
        </is>
      </c>
      <c r="G38" s="41" t="inlineStr">
        <is>
          <t>2 мощ-е - подг-ка осн-я</t>
        </is>
      </c>
      <c r="H38" s="41" t="inlineStr">
        <is>
          <t>вывоз мусора</t>
        </is>
      </c>
      <c r="I38" s="41" t="inlineStr">
        <is>
          <t>вывоз мусора</t>
        </is>
      </c>
      <c r="J38" s="41" t="inlineStr">
        <is>
          <t>Вывоз и утилизация</t>
        </is>
      </c>
      <c r="K38" s="41" t="inlineStr">
        <is>
          <t>Логистика</t>
        </is>
      </c>
      <c r="L38" s="41" t="inlineStr">
        <is>
          <t>Вывоз и погрузка</t>
        </is>
      </c>
      <c r="M38" s="41" t="inlineStr">
        <is>
          <t>Логистика и обеспечение</t>
        </is>
      </c>
      <c r="N38" s="41" t="inlineStr">
        <is>
          <t>Свернуть в раздел</t>
        </is>
      </c>
      <c r="O38" s="41" t="inlineStr">
        <is>
          <t>Высокая</t>
        </is>
      </c>
      <c r="P38" s="44" t="inlineStr">
        <is>
          <t>RWORK-0018</t>
        </is>
      </c>
      <c r="Q38" s="44" t="inlineStr"/>
      <c r="R38" s="41" t="inlineStr">
        <is>
          <t>Нет</t>
        </is>
      </c>
      <c r="S38" s="45" t="inlineStr">
        <is>
          <t>Для генератора КП лучше собирать в отдельный логистический блок</t>
        </is>
      </c>
    </row>
    <row r="39">
      <c r="A39" s="42" t="inlineStr">
        <is>
          <t>SRC-0038</t>
        </is>
      </c>
      <c r="B39" s="42" t="inlineStr">
        <is>
          <t>Вывоз мусора (пухто 27м.куб.)</t>
        </is>
      </c>
      <c r="C39" s="42" t="inlineStr">
        <is>
          <t>кол-во раз</t>
        </is>
      </c>
      <c r="D39" s="42" t="inlineStr">
        <is>
          <t>32000</t>
        </is>
      </c>
      <c r="E39" s="46" t="n">
        <v>32000</v>
      </c>
      <c r="F39" s="42" t="inlineStr">
        <is>
          <t>вывоз мусора</t>
        </is>
      </c>
      <c r="G39" s="42" t="inlineStr">
        <is>
          <t>Вывоз мусора (по факту)</t>
        </is>
      </c>
      <c r="H39" s="42" t="inlineStr">
        <is>
          <t>вывоз мусора</t>
        </is>
      </c>
      <c r="I39" s="42" t="inlineStr">
        <is>
          <t>вывоз мусора</t>
        </is>
      </c>
      <c r="J39" s="42" t="inlineStr">
        <is>
          <t>Вывоз и утилизация</t>
        </is>
      </c>
      <c r="K39" s="42" t="inlineStr">
        <is>
          <t>Логистика</t>
        </is>
      </c>
      <c r="L39" s="42" t="inlineStr">
        <is>
          <t>Вывоз и погрузка</t>
        </is>
      </c>
      <c r="M39" s="42" t="inlineStr">
        <is>
          <t>Логистика и обеспечение</t>
        </is>
      </c>
      <c r="N39" s="42" t="inlineStr">
        <is>
          <t>Свернуть в раздел</t>
        </is>
      </c>
      <c r="O39" s="42" t="inlineStr">
        <is>
          <t>Высокая</t>
        </is>
      </c>
      <c r="P39" s="47" t="inlineStr">
        <is>
          <t>RWORK-0019</t>
        </is>
      </c>
      <c r="Q39" s="47" t="inlineStr"/>
      <c r="R39" s="42" t="inlineStr">
        <is>
          <t>Нет</t>
        </is>
      </c>
      <c r="S39" s="48" t="inlineStr">
        <is>
          <t>Для генератора КП лучше собирать в отдельный логистический блок</t>
        </is>
      </c>
    </row>
    <row r="40">
      <c r="A40" s="41" t="inlineStr">
        <is>
          <t>SRC-0039</t>
        </is>
      </c>
      <c r="B40" s="41" t="inlineStr">
        <is>
          <t>Выезд электрика для подключения в вагончике</t>
        </is>
      </c>
      <c r="C40" s="41" t="inlineStr">
        <is>
          <t>кол-во раз</t>
        </is>
      </c>
      <c r="D40" s="41" t="inlineStr">
        <is>
          <t>5000</t>
        </is>
      </c>
      <c r="E40" s="43" t="n">
        <v>5000</v>
      </c>
      <c r="F40" s="41" t="inlineStr">
        <is>
          <t>%</t>
        </is>
      </c>
      <c r="G40" s="41" t="inlineStr">
        <is>
          <t>%</t>
        </is>
      </c>
      <c r="H40" s="41" t="inlineStr">
        <is>
          <t>%</t>
        </is>
      </c>
      <c r="I40" s="41" t="inlineStr">
        <is>
          <t>вагончик</t>
        </is>
      </c>
      <c r="J40" s="41" t="inlineStr">
        <is>
          <t>Временные сооружения и обеспечение</t>
        </is>
      </c>
      <c r="K40" s="41" t="inlineStr">
        <is>
          <t>Логистика</t>
        </is>
      </c>
      <c r="L40" s="41" t="inlineStr">
        <is>
          <t>Бытовые условия стройплощадки</t>
        </is>
      </c>
      <c r="M40" s="41" t="inlineStr">
        <is>
          <t>Логистика и обеспечение</t>
        </is>
      </c>
      <c r="N40" s="41" t="inlineStr">
        <is>
          <t>Свернуть в раздел</t>
        </is>
      </c>
      <c r="O40" s="41" t="inlineStr">
        <is>
          <t>Высокая</t>
        </is>
      </c>
      <c r="P40" s="44" t="inlineStr">
        <is>
          <t>RWORK-0020</t>
        </is>
      </c>
      <c r="Q40" s="44" t="inlineStr"/>
      <c r="R40" s="41" t="inlineStr">
        <is>
          <t>Нет</t>
        </is>
      </c>
      <c r="S40" s="45" t="inlineStr">
        <is>
          <t>Для клиентского КП лучше сворачивать в раздел "Организация стройплощадки"</t>
        </is>
      </c>
    </row>
    <row r="41">
      <c r="A41" s="42" t="inlineStr">
        <is>
          <t>SRC-0040</t>
        </is>
      </c>
      <c r="B41" s="42" t="inlineStr">
        <is>
          <t>Выемка грунта (вручную)</t>
        </is>
      </c>
      <c r="C41" s="42" t="inlineStr">
        <is>
          <t>м3</t>
        </is>
      </c>
      <c r="D41" s="42" t="inlineStr">
        <is>
          <t>1100</t>
        </is>
      </c>
      <c r="E41" s="46" t="n">
        <v>1100</v>
      </c>
      <c r="F41" s="42" t="inlineStr">
        <is>
          <t>работа</t>
        </is>
      </c>
      <c r="G41" s="42" t="inlineStr">
        <is>
          <t>2 мощ-е - подг-ка осн-я</t>
        </is>
      </c>
      <c r="H41" s="42" t="inlineStr">
        <is>
          <t>Мощение</t>
        </is>
      </c>
      <c r="I41" s="42" t="inlineStr">
        <is>
          <t>Мощение</t>
        </is>
      </c>
      <c r="J41" s="42" t="inlineStr">
        <is>
          <t>Мощение</t>
        </is>
      </c>
      <c r="K41" s="42" t="inlineStr">
        <is>
          <t>Работа</t>
        </is>
      </c>
      <c r="L41" s="42" t="inlineStr">
        <is>
          <t>Подготовка и демонтаж</t>
        </is>
      </c>
      <c r="M41" s="42" t="inlineStr">
        <is>
          <t>Основные работы</t>
        </is>
      </c>
      <c r="N41" s="42" t="inlineStr">
        <is>
          <t>Показать строкой</t>
        </is>
      </c>
      <c r="O41" s="42" t="inlineStr">
        <is>
          <t>Высокая</t>
        </is>
      </c>
      <c r="P41" s="47" t="inlineStr">
        <is>
          <t>RWORK-0021</t>
        </is>
      </c>
      <c r="Q41" s="47" t="inlineStr"/>
      <c r="R41" s="42" t="inlineStr">
        <is>
          <t>Нет</t>
        </is>
      </c>
      <c r="S41" s="48" t="inlineStr">
        <is>
          <t>Нормализовано под генератор КП</t>
        </is>
      </c>
    </row>
    <row r="42">
      <c r="A42" s="41" t="inlineStr">
        <is>
          <t>SRC-0041</t>
        </is>
      </c>
      <c r="B42" s="41" t="inlineStr">
        <is>
          <t>Выемка грунта (механическая)</t>
        </is>
      </c>
      <c r="C42" s="41" t="inlineStr">
        <is>
          <t>м3</t>
        </is>
      </c>
      <c r="D42" s="41" t="inlineStr">
        <is>
          <t>800</t>
        </is>
      </c>
      <c r="E42" s="43" t="n">
        <v>800</v>
      </c>
      <c r="F42" s="41" t="inlineStr">
        <is>
          <t>работа</t>
        </is>
      </c>
      <c r="G42" s="41" t="inlineStr">
        <is>
          <t>2 мощ-е - подг-ка осн-я</t>
        </is>
      </c>
      <c r="H42" s="41" t="inlineStr">
        <is>
          <t>Мощение</t>
        </is>
      </c>
      <c r="I42" s="41" t="inlineStr">
        <is>
          <t>Мощение</t>
        </is>
      </c>
      <c r="J42" s="41" t="inlineStr">
        <is>
          <t>Мощение</t>
        </is>
      </c>
      <c r="K42" s="41" t="inlineStr">
        <is>
          <t>Работа</t>
        </is>
      </c>
      <c r="L42" s="41" t="inlineStr">
        <is>
          <t>Подготовка и демонтаж</t>
        </is>
      </c>
      <c r="M42" s="41" t="inlineStr">
        <is>
          <t>Основные работы</t>
        </is>
      </c>
      <c r="N42" s="41" t="inlineStr">
        <is>
          <t>Показать строкой</t>
        </is>
      </c>
      <c r="O42" s="41" t="inlineStr">
        <is>
          <t>Высокая</t>
        </is>
      </c>
      <c r="P42" s="44" t="inlineStr">
        <is>
          <t>RWORK-0022</t>
        </is>
      </c>
      <c r="Q42" s="44" t="inlineStr"/>
      <c r="R42" s="41" t="inlineStr">
        <is>
          <t>Нет</t>
        </is>
      </c>
      <c r="S42" s="45" t="inlineStr">
        <is>
          <t>Нормализовано под генератор КП</t>
        </is>
      </c>
    </row>
    <row r="43">
      <c r="A43" s="42" t="inlineStr">
        <is>
          <t>SRC-0042</t>
        </is>
      </c>
      <c r="B43" s="42" t="inlineStr">
        <is>
          <t>Выемка кирпича и бетона (с наружной стороны забора) с упаковкой в мешки</t>
        </is>
      </c>
      <c r="C43" s="42" t="inlineStr">
        <is>
          <t>м.пог.</t>
        </is>
      </c>
      <c r="D43" s="42" t="inlineStr">
        <is>
          <t>1200</t>
        </is>
      </c>
      <c r="E43" s="46" t="n">
        <v>1200</v>
      </c>
      <c r="F43" s="42" t="inlineStr">
        <is>
          <t>работа</t>
        </is>
      </c>
      <c r="G43" s="42" t="inlineStr">
        <is>
          <t>Дополнительные работы.</t>
        </is>
      </c>
      <c r="H43" s="42" t="inlineStr">
        <is>
          <t>Дополнительные работы.</t>
        </is>
      </c>
      <c r="I43" s="42" t="inlineStr">
        <is>
          <t>Дополнительные работы.</t>
        </is>
      </c>
      <c r="J43" s="42" t="inlineStr">
        <is>
          <t>Демонтаж и расчистка</t>
        </is>
      </c>
      <c r="K43" s="42" t="inlineStr">
        <is>
          <t>Работа</t>
        </is>
      </c>
      <c r="L43" s="42" t="inlineStr">
        <is>
          <t>Демонтаж</t>
        </is>
      </c>
      <c r="M43" s="42" t="inlineStr">
        <is>
          <t>Основные работы</t>
        </is>
      </c>
      <c r="N43" s="42" t="inlineStr">
        <is>
          <t>Показать строкой</t>
        </is>
      </c>
      <c r="O43" s="42" t="inlineStr">
        <is>
          <t>Высокая</t>
        </is>
      </c>
      <c r="P43" s="47" t="inlineStr">
        <is>
          <t>RWORK-0023</t>
        </is>
      </c>
      <c r="Q43" s="47" t="inlineStr"/>
      <c r="R43" s="42" t="inlineStr">
        <is>
          <t>Нет</t>
        </is>
      </c>
      <c r="S43" s="48" t="inlineStr">
        <is>
          <t>Перенесено из мусорной категории "Дополнительные работы."</t>
        </is>
      </c>
    </row>
    <row r="44">
      <c r="A44" s="41" t="inlineStr">
        <is>
          <t>SRC-0043</t>
        </is>
      </c>
      <c r="B44" s="41" t="inlineStr">
        <is>
          <t>Выемка строительного мусора из почвы</t>
        </is>
      </c>
      <c r="C44" s="41" t="inlineStr">
        <is>
          <t>м3</t>
        </is>
      </c>
      <c r="D44" s="41" t="inlineStr">
        <is>
          <t>3500</t>
        </is>
      </c>
      <c r="E44" s="43" t="n">
        <v>3500</v>
      </c>
      <c r="F44" s="41" t="inlineStr">
        <is>
          <t>работа</t>
        </is>
      </c>
      <c r="G44" s="41" t="inlineStr">
        <is>
          <t>Дополнительные работы.</t>
        </is>
      </c>
      <c r="H44" s="41" t="inlineStr">
        <is>
          <t>Дополнительные работы.</t>
        </is>
      </c>
      <c r="I44" s="41" t="inlineStr">
        <is>
          <t>Дополнительные работы.</t>
        </is>
      </c>
      <c r="J44" s="41" t="inlineStr">
        <is>
          <t>Демонтаж и расчистка</t>
        </is>
      </c>
      <c r="K44" s="41" t="inlineStr">
        <is>
          <t>Работа</t>
        </is>
      </c>
      <c r="L44" s="41" t="inlineStr">
        <is>
          <t>Демонтаж</t>
        </is>
      </c>
      <c r="M44" s="41" t="inlineStr">
        <is>
          <t>Основные работы</t>
        </is>
      </c>
      <c r="N44" s="41" t="inlineStr">
        <is>
          <t>Показать строкой</t>
        </is>
      </c>
      <c r="O44" s="41" t="inlineStr">
        <is>
          <t>Высокая</t>
        </is>
      </c>
      <c r="P44" s="44" t="inlineStr">
        <is>
          <t>RWORK-0024</t>
        </is>
      </c>
      <c r="Q44" s="44" t="inlineStr"/>
      <c r="R44" s="41" t="inlineStr">
        <is>
          <t>Нет</t>
        </is>
      </c>
      <c r="S44" s="45" t="inlineStr">
        <is>
          <t>Перенесено из мусорной категории "Дополнительные работы."</t>
        </is>
      </c>
    </row>
    <row r="45">
      <c r="A45" s="49" t="inlineStr">
        <is>
          <t>SRC-0044</t>
        </is>
      </c>
      <c r="B45" s="49" t="inlineStr">
        <is>
          <t>Выкопка елей 1-1,5м</t>
        </is>
      </c>
      <c r="C45" s="49" t="inlineStr">
        <is>
          <t>шт</t>
        </is>
      </c>
      <c r="D45" s="49" t="inlineStr">
        <is>
          <t>1800</t>
        </is>
      </c>
      <c r="E45" s="50" t="n">
        <v>1800</v>
      </c>
      <c r="F45" s="49" t="inlineStr">
        <is>
          <t>работа</t>
        </is>
      </c>
      <c r="G45" s="49" t="inlineStr">
        <is>
          <t>Дополнительные работы.</t>
        </is>
      </c>
      <c r="H45" s="49" t="inlineStr">
        <is>
          <t>Дополнительные работы.</t>
        </is>
      </c>
      <c r="I45" s="49" t="inlineStr">
        <is>
          <t>Дополнительные работы.</t>
        </is>
      </c>
      <c r="J45" s="49" t="inlineStr">
        <is>
          <t>Посадки и уход</t>
        </is>
      </c>
      <c r="K45" s="49" t="inlineStr">
        <is>
          <t>Работа</t>
        </is>
      </c>
      <c r="L45" s="49" t="inlineStr">
        <is>
          <t>Пересадка / удаление растений</t>
        </is>
      </c>
      <c r="M45" s="49" t="inlineStr">
        <is>
          <t>Основные работы</t>
        </is>
      </c>
      <c r="N45" s="49" t="inlineStr">
        <is>
          <t>Показать строкой</t>
        </is>
      </c>
      <c r="O45" s="49" t="inlineStr">
        <is>
          <t>Средняя</t>
        </is>
      </c>
      <c r="P45" s="51" t="inlineStr">
        <is>
          <t>RWORK-0025</t>
        </is>
      </c>
      <c r="Q45" s="51" t="inlineStr"/>
      <c r="R45" s="49" t="inlineStr">
        <is>
          <t>Да</t>
        </is>
      </c>
      <c r="S45" s="52" t="inlineStr">
        <is>
          <t>Лучше держать вместе с работами по растениям</t>
        </is>
      </c>
    </row>
    <row r="46">
      <c r="A46" s="49" t="inlineStr">
        <is>
          <t>SRC-0045</t>
        </is>
      </c>
      <c r="B46" s="49" t="inlineStr">
        <is>
          <t>Выкопка шиповника</t>
        </is>
      </c>
      <c r="C46" s="49" t="inlineStr">
        <is>
          <t>шт</t>
        </is>
      </c>
      <c r="D46" s="49" t="inlineStr">
        <is>
          <t>950</t>
        </is>
      </c>
      <c r="E46" s="50" t="n">
        <v>950</v>
      </c>
      <c r="F46" s="49" t="inlineStr">
        <is>
          <t>работа</t>
        </is>
      </c>
      <c r="G46" s="49" t="inlineStr">
        <is>
          <t>Дополнительные работы.</t>
        </is>
      </c>
      <c r="H46" s="49" t="inlineStr">
        <is>
          <t>Дополнительные работы.</t>
        </is>
      </c>
      <c r="I46" s="49" t="inlineStr">
        <is>
          <t>Дополнительные работы.</t>
        </is>
      </c>
      <c r="J46" s="49" t="inlineStr">
        <is>
          <t>Демонтаж и расчистка</t>
        </is>
      </c>
      <c r="K46" s="49" t="inlineStr">
        <is>
          <t>Работа</t>
        </is>
      </c>
      <c r="L46" s="49" t="inlineStr">
        <is>
          <t>Удаление кустарников</t>
        </is>
      </c>
      <c r="M46" s="49" t="inlineStr">
        <is>
          <t>Основные работы</t>
        </is>
      </c>
      <c r="N46" s="49" t="inlineStr">
        <is>
          <t>Показать строкой</t>
        </is>
      </c>
      <c r="O46" s="49" t="inlineStr">
        <is>
          <t>Средняя</t>
        </is>
      </c>
      <c r="P46" s="51" t="inlineStr">
        <is>
          <t>RWORK-0026</t>
        </is>
      </c>
      <c r="Q46" s="51" t="inlineStr"/>
      <c r="R46" s="49" t="inlineStr">
        <is>
          <t>Да</t>
        </is>
      </c>
      <c r="S46" s="52" t="inlineStr">
        <is>
          <t>Можно перенести в "Посадки и уход", если в КП это уход за участком</t>
        </is>
      </c>
    </row>
    <row r="47">
      <c r="A47" s="42" t="inlineStr">
        <is>
          <t>SRC-0046</t>
        </is>
      </c>
      <c r="B47" s="42" t="inlineStr">
        <is>
          <t>Вынос проекта с корректировкой по месту</t>
        </is>
      </c>
      <c r="C47" s="42" t="inlineStr">
        <is>
          <t>м2</t>
        </is>
      </c>
      <c r="D47" s="42" t="inlineStr">
        <is>
          <t>40</t>
        </is>
      </c>
      <c r="E47" s="46" t="n">
        <v>40</v>
      </c>
      <c r="F47" s="42" t="inlineStr">
        <is>
          <t>работа</t>
        </is>
      </c>
      <c r="G47" s="42" t="inlineStr">
        <is>
          <t>Планировочные работы.</t>
        </is>
      </c>
      <c r="H47" s="42" t="inlineStr">
        <is>
          <t>Планировочные работы.</t>
        </is>
      </c>
      <c r="I47" s="42" t="inlineStr">
        <is>
          <t>Земельные работы</t>
        </is>
      </c>
      <c r="J47" s="42" t="inlineStr">
        <is>
          <t>Земляные и планировочные работы</t>
        </is>
      </c>
      <c r="K47" s="42" t="inlineStr">
        <is>
          <t>Работа</t>
        </is>
      </c>
      <c r="L47" s="42" t="inlineStr">
        <is>
          <t>Геодезия и разбивка</t>
        </is>
      </c>
      <c r="M47" s="42" t="inlineStr">
        <is>
          <t>Основные работы</t>
        </is>
      </c>
      <c r="N47" s="42" t="inlineStr">
        <is>
          <t>Показать строкой</t>
        </is>
      </c>
      <c r="O47" s="42" t="inlineStr">
        <is>
          <t>Высокая</t>
        </is>
      </c>
      <c r="P47" s="47" t="inlineStr">
        <is>
          <t>RWORK-0027</t>
        </is>
      </c>
      <c r="Q47" s="47" t="inlineStr"/>
      <c r="R47" s="42" t="inlineStr">
        <is>
          <t>Нет</t>
        </is>
      </c>
      <c r="S47" s="48" t="inlineStr">
        <is>
          <t>Нормализовано под генератор КП</t>
        </is>
      </c>
    </row>
    <row r="48">
      <c r="A48" s="41" t="inlineStr">
        <is>
          <t>SRC-0047</t>
        </is>
      </c>
      <c r="B48" s="41" t="inlineStr">
        <is>
          <t>Габбро-диабаз 100*80*50мм</t>
        </is>
      </c>
      <c r="C48" s="41" t="inlineStr">
        <is>
          <t>м2</t>
        </is>
      </c>
      <c r="D48" s="41" t="inlineStr">
        <is>
          <t>3850</t>
        </is>
      </c>
      <c r="E48" s="43" t="n">
        <v>3850</v>
      </c>
      <c r="F48" s="41" t="inlineStr">
        <is>
          <t>материалы</t>
        </is>
      </c>
      <c r="G48" s="41" t="inlineStr">
        <is>
          <t>Покрытия</t>
        </is>
      </c>
      <c r="H48" s="41" t="inlineStr">
        <is>
          <t>Мощение</t>
        </is>
      </c>
      <c r="I48" s="41" t="inlineStr">
        <is>
          <t>Мощение</t>
        </is>
      </c>
      <c r="J48" s="41" t="inlineStr">
        <is>
          <t>Мощение</t>
        </is>
      </c>
      <c r="K48" s="41" t="inlineStr">
        <is>
          <t>Материал</t>
        </is>
      </c>
      <c r="L48" s="41" t="inlineStr">
        <is>
          <t>Покрытие</t>
        </is>
      </c>
      <c r="M48" s="41" t="inlineStr">
        <is>
          <t>Материалы</t>
        </is>
      </c>
      <c r="N48" s="41" t="inlineStr">
        <is>
          <t>Показать строкой</t>
        </is>
      </c>
      <c r="O48" s="41" t="inlineStr">
        <is>
          <t>Высокая</t>
        </is>
      </c>
      <c r="P48" s="44" t="inlineStr">
        <is>
          <t>RMAT-0020</t>
        </is>
      </c>
      <c r="Q48" s="44" t="inlineStr">
        <is>
          <t>MV-0020</t>
        </is>
      </c>
      <c r="R48" s="41" t="inlineStr">
        <is>
          <t>Нет</t>
        </is>
      </c>
      <c r="S48" s="45" t="inlineStr">
        <is>
          <t>Нормализовано под генератор КП</t>
        </is>
      </c>
    </row>
    <row r="49">
      <c r="A49" s="42" t="inlineStr">
        <is>
          <t>SRC-0048</t>
        </is>
      </c>
      <c r="B49" s="42" t="inlineStr">
        <is>
          <t>Габбро-диабаз 80*80*80мм</t>
        </is>
      </c>
      <c r="C49" s="42" t="inlineStr">
        <is>
          <t>м2</t>
        </is>
      </c>
      <c r="D49" s="42" t="inlineStr">
        <is>
          <t>4620</t>
        </is>
      </c>
      <c r="E49" s="46" t="n">
        <v>4620</v>
      </c>
      <c r="F49" s="42" t="inlineStr">
        <is>
          <t>материалы</t>
        </is>
      </c>
      <c r="G49" s="42" t="inlineStr">
        <is>
          <t>Покрытия</t>
        </is>
      </c>
      <c r="H49" s="42" t="inlineStr">
        <is>
          <t>Мощение</t>
        </is>
      </c>
      <c r="I49" s="42" t="inlineStr">
        <is>
          <t>Мощение</t>
        </is>
      </c>
      <c r="J49" s="42" t="inlineStr">
        <is>
          <t>Мощение</t>
        </is>
      </c>
      <c r="K49" s="42" t="inlineStr">
        <is>
          <t>Материал</t>
        </is>
      </c>
      <c r="L49" s="42" t="inlineStr">
        <is>
          <t>Покрытие</t>
        </is>
      </c>
      <c r="M49" s="42" t="inlineStr">
        <is>
          <t>Материалы</t>
        </is>
      </c>
      <c r="N49" s="42" t="inlineStr">
        <is>
          <t>Показать строкой</t>
        </is>
      </c>
      <c r="O49" s="42" t="inlineStr">
        <is>
          <t>Высокая</t>
        </is>
      </c>
      <c r="P49" s="47" t="inlineStr">
        <is>
          <t>RMAT-0021</t>
        </is>
      </c>
      <c r="Q49" s="47" t="inlineStr">
        <is>
          <t>MV-0021</t>
        </is>
      </c>
      <c r="R49" s="42" t="inlineStr">
        <is>
          <t>Нет</t>
        </is>
      </c>
      <c r="S49" s="48" t="inlineStr">
        <is>
          <t>Нормализовано под генератор КП</t>
        </is>
      </c>
    </row>
    <row r="50">
      <c r="A50" s="41" t="inlineStr">
        <is>
          <t>SRC-0049</t>
        </is>
      </c>
      <c r="B50" s="41" t="inlineStr">
        <is>
          <t>Газон рулонный "Универсальный", 0.8м.кв.</t>
        </is>
      </c>
      <c r="C50" s="41" t="inlineStr">
        <is>
          <t>рул.</t>
        </is>
      </c>
      <c r="D50" s="41" t="inlineStr">
        <is>
          <t>330</t>
        </is>
      </c>
      <c r="E50" s="43" t="n">
        <v>330</v>
      </c>
      <c r="F50" s="41" t="inlineStr">
        <is>
          <t>материалы</t>
        </is>
      </c>
      <c r="G50" s="41" t="inlineStr">
        <is>
          <t>Устройство газона</t>
        </is>
      </c>
      <c r="H50" s="41" t="inlineStr">
        <is>
          <t>газон</t>
        </is>
      </c>
      <c r="I50" s="41" t="inlineStr">
        <is>
          <t>газон</t>
        </is>
      </c>
      <c r="J50" s="41" t="inlineStr">
        <is>
          <t>Газон</t>
        </is>
      </c>
      <c r="K50" s="41" t="inlineStr">
        <is>
          <t>Материал</t>
        </is>
      </c>
      <c r="L50" s="41" t="inlineStr">
        <is>
          <t>Газон и укладка</t>
        </is>
      </c>
      <c r="M50" s="41" t="inlineStr">
        <is>
          <t>Материалы</t>
        </is>
      </c>
      <c r="N50" s="41" t="inlineStr">
        <is>
          <t>Показать строкой</t>
        </is>
      </c>
      <c r="O50" s="41" t="inlineStr">
        <is>
          <t>Высокая</t>
        </is>
      </c>
      <c r="P50" s="44" t="inlineStr">
        <is>
          <t>RMAT-0022</t>
        </is>
      </c>
      <c r="Q50" s="44" t="inlineStr">
        <is>
          <t>MV-0022</t>
        </is>
      </c>
      <c r="R50" s="41" t="inlineStr">
        <is>
          <t>Нет</t>
        </is>
      </c>
      <c r="S50" s="45" t="inlineStr">
        <is>
          <t>Нормализовано под генератор КП</t>
        </is>
      </c>
    </row>
    <row r="51">
      <c r="A51" s="42" t="inlineStr">
        <is>
          <t>SRC-0050</t>
        </is>
      </c>
      <c r="B51" s="42" t="inlineStr">
        <is>
          <t>Газон рулонный бюджетный, 0.8м.кв.</t>
        </is>
      </c>
      <c r="C51" s="42" t="inlineStr">
        <is>
          <t>рул.</t>
        </is>
      </c>
      <c r="D51" s="42" t="inlineStr">
        <is>
          <t>115</t>
        </is>
      </c>
      <c r="E51" s="46" t="n">
        <v>115</v>
      </c>
      <c r="F51" s="42" t="inlineStr">
        <is>
          <t>материалы</t>
        </is>
      </c>
      <c r="G51" s="42" t="inlineStr">
        <is>
          <t>1. Подготовка основания для пешеходных дорожек и площадок под мощение тротуарной плиткой.</t>
        </is>
      </c>
      <c r="H51" s="42" t="inlineStr">
        <is>
          <t>Мощение</t>
        </is>
      </c>
      <c r="I51" s="42" t="inlineStr">
        <is>
          <t>Мощение</t>
        </is>
      </c>
      <c r="J51" s="42" t="inlineStr">
        <is>
          <t>Мощение</t>
        </is>
      </c>
      <c r="K51" s="42" t="inlineStr">
        <is>
          <t>Материал</t>
        </is>
      </c>
      <c r="L51" s="42" t="inlineStr">
        <is>
          <t>Прочее по мощению</t>
        </is>
      </c>
      <c r="M51" s="42" t="inlineStr">
        <is>
          <t>Материалы</t>
        </is>
      </c>
      <c r="N51" s="42" t="inlineStr">
        <is>
          <t>Показать строкой</t>
        </is>
      </c>
      <c r="O51" s="42" t="inlineStr">
        <is>
          <t>Высокая</t>
        </is>
      </c>
      <c r="P51" s="47" t="inlineStr">
        <is>
          <t>RMAT-0023</t>
        </is>
      </c>
      <c r="Q51" s="47" t="inlineStr">
        <is>
          <t>MV-0023</t>
        </is>
      </c>
      <c r="R51" s="42" t="inlineStr">
        <is>
          <t>Нет</t>
        </is>
      </c>
      <c r="S51" s="48" t="inlineStr">
        <is>
          <t>Нормализовано под генератор КП</t>
        </is>
      </c>
    </row>
    <row r="52">
      <c r="A52" s="41" t="inlineStr">
        <is>
          <t>SRC-0051</t>
        </is>
      </c>
      <c r="B52" s="41" t="inlineStr">
        <is>
          <t>Газон рулонный бюджетный, 1м.кв.</t>
        </is>
      </c>
      <c r="C52" s="41" t="inlineStr">
        <is>
          <t>рул.</t>
        </is>
      </c>
      <c r="D52" s="41" t="inlineStr">
        <is>
          <t>145</t>
        </is>
      </c>
      <c r="E52" s="43" t="n">
        <v>145</v>
      </c>
      <c r="F52" s="41" t="inlineStr">
        <is>
          <t>материалы</t>
        </is>
      </c>
      <c r="G52" s="41" t="inlineStr">
        <is>
          <t>2 мощ-е - подг-ка осн-я</t>
        </is>
      </c>
      <c r="H52" s="41" t="inlineStr">
        <is>
          <t>Мощение</t>
        </is>
      </c>
      <c r="I52" s="41" t="inlineStr">
        <is>
          <t>Мощение</t>
        </is>
      </c>
      <c r="J52" s="41" t="inlineStr">
        <is>
          <t>Мощение</t>
        </is>
      </c>
      <c r="K52" s="41" t="inlineStr">
        <is>
          <t>Материал</t>
        </is>
      </c>
      <c r="L52" s="41" t="inlineStr">
        <is>
          <t>Прочее по мощению</t>
        </is>
      </c>
      <c r="M52" s="41" t="inlineStr">
        <is>
          <t>Материалы</t>
        </is>
      </c>
      <c r="N52" s="41" t="inlineStr">
        <is>
          <t>Показать строкой</t>
        </is>
      </c>
      <c r="O52" s="41" t="inlineStr">
        <is>
          <t>Высокая</t>
        </is>
      </c>
      <c r="P52" s="44" t="inlineStr">
        <is>
          <t>RMAT-0024</t>
        </is>
      </c>
      <c r="Q52" s="44" t="inlineStr">
        <is>
          <t>MV-0024</t>
        </is>
      </c>
      <c r="R52" s="41" t="inlineStr">
        <is>
          <t>Нет</t>
        </is>
      </c>
      <c r="S52" s="45" t="inlineStr">
        <is>
          <t>Нормализовано под генератор КП</t>
        </is>
      </c>
    </row>
    <row r="53">
      <c r="A53" s="42" t="inlineStr">
        <is>
          <t>SRC-0052</t>
        </is>
      </c>
      <c r="B53" s="42" t="inlineStr">
        <is>
          <t>Геотекстиль, 200г/м2</t>
        </is>
      </c>
      <c r="C53" s="42" t="inlineStr">
        <is>
          <t>м2</t>
        </is>
      </c>
      <c r="D53" s="42" t="inlineStr">
        <is>
          <t>75</t>
        </is>
      </c>
      <c r="E53" s="46" t="n">
        <v>75</v>
      </c>
      <c r="F53" s="42" t="inlineStr">
        <is>
          <t>материалы</t>
        </is>
      </c>
      <c r="G53" s="42" t="inlineStr">
        <is>
          <t>Покрытия</t>
        </is>
      </c>
      <c r="H53" s="42" t="inlineStr">
        <is>
          <t>Мощение</t>
        </is>
      </c>
      <c r="I53" s="42" t="inlineStr">
        <is>
          <t>Мощение</t>
        </is>
      </c>
      <c r="J53" s="42" t="inlineStr">
        <is>
          <t>Мощение</t>
        </is>
      </c>
      <c r="K53" s="42" t="inlineStr">
        <is>
          <t>Материал</t>
        </is>
      </c>
      <c r="L53" s="42" t="inlineStr">
        <is>
          <t>Основание</t>
        </is>
      </c>
      <c r="M53" s="42" t="inlineStr">
        <is>
          <t>Материалы</t>
        </is>
      </c>
      <c r="N53" s="42" t="inlineStr">
        <is>
          <t>Показать строкой</t>
        </is>
      </c>
      <c r="O53" s="42" t="inlineStr">
        <is>
          <t>Высокая</t>
        </is>
      </c>
      <c r="P53" s="47" t="inlineStr">
        <is>
          <t>RMAT-0025</t>
        </is>
      </c>
      <c r="Q53" s="47" t="inlineStr">
        <is>
          <t>MV-0025</t>
        </is>
      </c>
      <c r="R53" s="42" t="inlineStr">
        <is>
          <t>Нет</t>
        </is>
      </c>
      <c r="S53" s="48" t="inlineStr">
        <is>
          <t>Нормализовано под генератор КП</t>
        </is>
      </c>
    </row>
    <row r="54">
      <c r="A54" s="41" t="inlineStr">
        <is>
          <t>SRC-0053</t>
        </is>
      </c>
      <c r="B54" s="41" t="inlineStr">
        <is>
          <t>Геотекстиль, 300г/м2</t>
        </is>
      </c>
      <c r="C54" s="41" t="inlineStr">
        <is>
          <t>м2</t>
        </is>
      </c>
      <c r="D54" s="41" t="inlineStr">
        <is>
          <t>105</t>
        </is>
      </c>
      <c r="E54" s="43" t="n">
        <v>105</v>
      </c>
      <c r="F54" s="41" t="inlineStr">
        <is>
          <t>материалы</t>
        </is>
      </c>
      <c r="G54" s="41" t="inlineStr">
        <is>
          <t>Покрытия</t>
        </is>
      </c>
      <c r="H54" s="41" t="inlineStr">
        <is>
          <t>Мощение</t>
        </is>
      </c>
      <c r="I54" s="41" t="inlineStr">
        <is>
          <t>Мощение</t>
        </is>
      </c>
      <c r="J54" s="41" t="inlineStr">
        <is>
          <t>Мощение</t>
        </is>
      </c>
      <c r="K54" s="41" t="inlineStr">
        <is>
          <t>Материал</t>
        </is>
      </c>
      <c r="L54" s="41" t="inlineStr">
        <is>
          <t>Основание</t>
        </is>
      </c>
      <c r="M54" s="41" t="inlineStr">
        <is>
          <t>Материалы</t>
        </is>
      </c>
      <c r="N54" s="41" t="inlineStr">
        <is>
          <t>Показать строкой</t>
        </is>
      </c>
      <c r="O54" s="41" t="inlineStr">
        <is>
          <t>Высокая</t>
        </is>
      </c>
      <c r="P54" s="44" t="inlineStr">
        <is>
          <t>RMAT-0026</t>
        </is>
      </c>
      <c r="Q54" s="44" t="inlineStr">
        <is>
          <t>MV-0026</t>
        </is>
      </c>
      <c r="R54" s="41" t="inlineStr">
        <is>
          <t>Нет</t>
        </is>
      </c>
      <c r="S54" s="45" t="inlineStr">
        <is>
          <t>Нормализовано под генератор КП</t>
        </is>
      </c>
    </row>
    <row r="55">
      <c r="A55" s="42" t="inlineStr">
        <is>
          <t>SRC-0054</t>
        </is>
      </c>
      <c r="B55" s="42" t="inlineStr">
        <is>
          <t>Герметик</t>
        </is>
      </c>
      <c r="C55" s="42" t="inlineStr">
        <is>
          <t>шт</t>
        </is>
      </c>
      <c r="D55" s="42" t="inlineStr">
        <is>
          <t>650</t>
        </is>
      </c>
      <c r="E55" s="46" t="n">
        <v>650</v>
      </c>
      <c r="F55" s="42" t="inlineStr">
        <is>
          <t>материалы</t>
        </is>
      </c>
      <c r="G55" s="42" t="inlineStr">
        <is>
          <t>дренаж</t>
        </is>
      </c>
      <c r="H55" s="42" t="inlineStr">
        <is>
          <t>дренаж</t>
        </is>
      </c>
      <c r="I55" s="42" t="inlineStr">
        <is>
          <t>дренаж</t>
        </is>
      </c>
      <c r="J55" s="42" t="inlineStr">
        <is>
          <t>Дренаж</t>
        </is>
      </c>
      <c r="K55" s="42" t="inlineStr">
        <is>
          <t>Материал</t>
        </is>
      </c>
      <c r="L55" s="42" t="inlineStr">
        <is>
          <t>Материалы и комплектующие</t>
        </is>
      </c>
      <c r="M55" s="42" t="inlineStr">
        <is>
          <t>Материалы</t>
        </is>
      </c>
      <c r="N55" s="42" t="inlineStr">
        <is>
          <t>Показать строкой</t>
        </is>
      </c>
      <c r="O55" s="42" t="inlineStr">
        <is>
          <t>Высокая</t>
        </is>
      </c>
      <c r="P55" s="47" t="inlineStr">
        <is>
          <t>RMAT-0027</t>
        </is>
      </c>
      <c r="Q55" s="47" t="inlineStr">
        <is>
          <t>MV-0027</t>
        </is>
      </c>
      <c r="R55" s="42" t="inlineStr">
        <is>
          <t>Нет</t>
        </is>
      </c>
      <c r="S55" s="48" t="inlineStr">
        <is>
          <t>Нормализовано под генератор КП</t>
        </is>
      </c>
    </row>
    <row r="56">
      <c r="A56" s="41" t="inlineStr">
        <is>
          <t>SRC-0055</t>
        </is>
      </c>
      <c r="B56" s="41" t="inlineStr">
        <is>
          <t>Гидроизоляция гряд и стенок фундамента теплицы</t>
        </is>
      </c>
      <c r="C56" s="41" t="inlineStr">
        <is>
          <t>м.пог.</t>
        </is>
      </c>
      <c r="D56" s="41" t="inlineStr">
        <is>
          <t>150</t>
        </is>
      </c>
      <c r="E56" s="43" t="n">
        <v>150</v>
      </c>
      <c r="F56" s="41" t="inlineStr">
        <is>
          <t>работа</t>
        </is>
      </c>
      <c r="G56" s="41" t="inlineStr">
        <is>
          <t>2 мощ-е - подг-ка осн-я</t>
        </is>
      </c>
      <c r="H56" s="41" t="inlineStr">
        <is>
          <t>Мощение</t>
        </is>
      </c>
      <c r="I56" s="41" t="inlineStr">
        <is>
          <t>Мощение</t>
        </is>
      </c>
      <c r="J56" s="41" t="inlineStr">
        <is>
          <t>Мощение</t>
        </is>
      </c>
      <c r="K56" s="41" t="inlineStr">
        <is>
          <t>Материал</t>
        </is>
      </c>
      <c r="L56" s="41" t="inlineStr">
        <is>
          <t>Конструкции и отделка</t>
        </is>
      </c>
      <c r="M56" s="41" t="inlineStr">
        <is>
          <t>Материалы</t>
        </is>
      </c>
      <c r="N56" s="41" t="inlineStr">
        <is>
          <t>Показать строкой</t>
        </is>
      </c>
      <c r="O56" s="41" t="inlineStr">
        <is>
          <t>Высокая</t>
        </is>
      </c>
      <c r="P56" s="44" t="inlineStr">
        <is>
          <t>RMAT-0028</t>
        </is>
      </c>
      <c r="Q56" s="44" t="inlineStr">
        <is>
          <t>MV-0028</t>
        </is>
      </c>
      <c r="R56" s="41" t="inlineStr">
        <is>
          <t>Нет</t>
        </is>
      </c>
      <c r="S56" s="45" t="inlineStr">
        <is>
          <t>Нормализовано под генератор КП</t>
        </is>
      </c>
    </row>
    <row r="57">
      <c r="A57" s="42" t="inlineStr">
        <is>
          <t>SRC-0056</t>
        </is>
      </c>
      <c r="B57" s="42" t="inlineStr">
        <is>
          <t>Гравий (щебень гр. 20-40мм)</t>
        </is>
      </c>
      <c r="C57" s="42" t="inlineStr">
        <is>
          <t>м3</t>
        </is>
      </c>
      <c r="D57" s="42" t="inlineStr">
        <is>
          <t>1880</t>
        </is>
      </c>
      <c r="E57" s="46" t="n">
        <v>1880</v>
      </c>
      <c r="F57" s="42" t="inlineStr">
        <is>
          <t>материалы</t>
        </is>
      </c>
      <c r="G57" s="42" t="inlineStr">
        <is>
          <t>2 мощ-е - подг-ка осн-я</t>
        </is>
      </c>
      <c r="H57" s="42" t="inlineStr">
        <is>
          <t>Мощение</t>
        </is>
      </c>
      <c r="I57" s="42" t="inlineStr">
        <is>
          <t>Мощение</t>
        </is>
      </c>
      <c r="J57" s="42" t="inlineStr">
        <is>
          <t>Мощение</t>
        </is>
      </c>
      <c r="K57" s="42" t="inlineStr">
        <is>
          <t>Материал</t>
        </is>
      </c>
      <c r="L57" s="42" t="inlineStr">
        <is>
          <t>Основание</t>
        </is>
      </c>
      <c r="M57" s="42" t="inlineStr">
        <is>
          <t>Материалы</t>
        </is>
      </c>
      <c r="N57" s="42" t="inlineStr">
        <is>
          <t>Показать строкой</t>
        </is>
      </c>
      <c r="O57" s="42" t="inlineStr">
        <is>
          <t>Высокая</t>
        </is>
      </c>
      <c r="P57" s="47" t="inlineStr">
        <is>
          <t>RMAT-0029</t>
        </is>
      </c>
      <c r="Q57" s="47" t="inlineStr">
        <is>
          <t>MV-0029</t>
        </is>
      </c>
      <c r="R57" s="42" t="inlineStr">
        <is>
          <t>Нет</t>
        </is>
      </c>
      <c r="S57" s="48" t="inlineStr">
        <is>
          <t>Нормализовано под генератор КП</t>
        </is>
      </c>
    </row>
    <row r="58">
      <c r="A58" s="41" t="inlineStr">
        <is>
          <t>SRC-0057</t>
        </is>
      </c>
      <c r="B58" s="41" t="inlineStr">
        <is>
          <t>Гравий карьерный 5-20мм</t>
        </is>
      </c>
      <c r="C58" s="41" t="inlineStr">
        <is>
          <t>м3</t>
        </is>
      </c>
      <c r="D58" s="41" t="inlineStr">
        <is>
          <t>8000</t>
        </is>
      </c>
      <c r="E58" s="43" t="n">
        <v>8000</v>
      </c>
      <c r="F58" s="41" t="inlineStr">
        <is>
          <t>материалы</t>
        </is>
      </c>
      <c r="G58" s="41" t="inlineStr">
        <is>
          <t>1. Подготовка основания для пешеходных дорожек и площадок под мощение тротуарной плиткой.</t>
        </is>
      </c>
      <c r="H58" s="41" t="inlineStr">
        <is>
          <t>Мощение</t>
        </is>
      </c>
      <c r="I58" s="41" t="inlineStr">
        <is>
          <t>Мощение</t>
        </is>
      </c>
      <c r="J58" s="41" t="inlineStr">
        <is>
          <t>Мощение</t>
        </is>
      </c>
      <c r="K58" s="41" t="inlineStr">
        <is>
          <t>Материал</t>
        </is>
      </c>
      <c r="L58" s="41" t="inlineStr">
        <is>
          <t>Основание</t>
        </is>
      </c>
      <c r="M58" s="41" t="inlineStr">
        <is>
          <t>Материалы</t>
        </is>
      </c>
      <c r="N58" s="41" t="inlineStr">
        <is>
          <t>Показать строкой</t>
        </is>
      </c>
      <c r="O58" s="41" t="inlineStr">
        <is>
          <t>Высокая</t>
        </is>
      </c>
      <c r="P58" s="44" t="inlineStr">
        <is>
          <t>RMAT-0030</t>
        </is>
      </c>
      <c r="Q58" s="44" t="inlineStr">
        <is>
          <t>MV-0030</t>
        </is>
      </c>
      <c r="R58" s="41" t="inlineStr">
        <is>
          <t>Нет</t>
        </is>
      </c>
      <c r="S58" s="45" t="inlineStr">
        <is>
          <t>Нормализовано под генератор КП</t>
        </is>
      </c>
    </row>
    <row r="59">
      <c r="A59" s="42" t="inlineStr">
        <is>
          <t>SRC-0058</t>
        </is>
      </c>
      <c r="B59" s="42" t="inlineStr">
        <is>
          <t>Гравий колотый</t>
        </is>
      </c>
      <c r="C59" s="42" t="inlineStr">
        <is>
          <t>т</t>
        </is>
      </c>
      <c r="D59" s="42" t="inlineStr">
        <is>
          <t>18700</t>
        </is>
      </c>
      <c r="E59" s="46" t="n">
        <v>18700</v>
      </c>
      <c r="F59" s="42" t="inlineStr">
        <is>
          <t>материалы</t>
        </is>
      </c>
      <c r="G59" s="42" t="inlineStr">
        <is>
          <t>Покрытия</t>
        </is>
      </c>
      <c r="H59" s="42" t="inlineStr">
        <is>
          <t>Мощение</t>
        </is>
      </c>
      <c r="I59" s="42" t="inlineStr">
        <is>
          <t>Мощение</t>
        </is>
      </c>
      <c r="J59" s="42" t="inlineStr">
        <is>
          <t>Мощение</t>
        </is>
      </c>
      <c r="K59" s="42" t="inlineStr">
        <is>
          <t>Материал</t>
        </is>
      </c>
      <c r="L59" s="42" t="inlineStr">
        <is>
          <t>Основание</t>
        </is>
      </c>
      <c r="M59" s="42" t="inlineStr">
        <is>
          <t>Материалы</t>
        </is>
      </c>
      <c r="N59" s="42" t="inlineStr">
        <is>
          <t>Показать строкой</t>
        </is>
      </c>
      <c r="O59" s="42" t="inlineStr">
        <is>
          <t>Высокая</t>
        </is>
      </c>
      <c r="P59" s="47" t="inlineStr">
        <is>
          <t>RMAT-0031</t>
        </is>
      </c>
      <c r="Q59" s="47" t="inlineStr">
        <is>
          <t>MV-0031</t>
        </is>
      </c>
      <c r="R59" s="42" t="inlineStr">
        <is>
          <t>Нет</t>
        </is>
      </c>
      <c r="S59" s="48" t="inlineStr">
        <is>
          <t>Нормализовано под генератор КП</t>
        </is>
      </c>
    </row>
    <row r="60">
      <c r="A60" s="41" t="inlineStr">
        <is>
          <t>SRC-0059</t>
        </is>
      </c>
      <c r="B60" s="41" t="inlineStr">
        <is>
          <t>Грунт дерновый /просеивание местного грунта</t>
        </is>
      </c>
      <c r="C60" s="41" t="inlineStr">
        <is>
          <t>м3</t>
        </is>
      </c>
      <c r="D60" s="41" t="inlineStr">
        <is>
          <t>1200</t>
        </is>
      </c>
      <c r="E60" s="43" t="n">
        <v>1200</v>
      </c>
      <c r="F60" s="41" t="inlineStr">
        <is>
          <t>материалы</t>
        </is>
      </c>
      <c r="G60" s="41" t="inlineStr">
        <is>
          <t>1. Подготовка основания для пешеходных дорожек и площадок под мощение тротуарной плиткой.</t>
        </is>
      </c>
      <c r="H60" s="41" t="inlineStr">
        <is>
          <t>Мощение</t>
        </is>
      </c>
      <c r="I60" s="41" t="inlineStr">
        <is>
          <t>Мощение</t>
        </is>
      </c>
      <c r="J60" s="41" t="inlineStr">
        <is>
          <t>Мощение</t>
        </is>
      </c>
      <c r="K60" s="41" t="inlineStr">
        <is>
          <t>Материал</t>
        </is>
      </c>
      <c r="L60" s="41" t="inlineStr">
        <is>
          <t>Прочее по мощению</t>
        </is>
      </c>
      <c r="M60" s="41" t="inlineStr">
        <is>
          <t>Материалы</t>
        </is>
      </c>
      <c r="N60" s="41" t="inlineStr">
        <is>
          <t>Показать строкой</t>
        </is>
      </c>
      <c r="O60" s="41" t="inlineStr">
        <is>
          <t>Высокая</t>
        </is>
      </c>
      <c r="P60" s="44" t="inlineStr">
        <is>
          <t>RMAT-0032</t>
        </is>
      </c>
      <c r="Q60" s="44" t="inlineStr">
        <is>
          <t>MV-0032</t>
        </is>
      </c>
      <c r="R60" s="41" t="inlineStr">
        <is>
          <t>Нет</t>
        </is>
      </c>
      <c r="S60" s="45" t="inlineStr">
        <is>
          <t>Нормализовано под генератор КП</t>
        </is>
      </c>
    </row>
    <row r="61">
      <c r="A61" s="49" t="inlineStr">
        <is>
          <t>SRC-0060</t>
        </is>
      </c>
      <c r="B61" s="49" t="inlineStr">
        <is>
          <t>Грунт плодородный</t>
        </is>
      </c>
      <c r="C61" s="49" t="inlineStr">
        <is>
          <t>м3</t>
        </is>
      </c>
      <c r="D61" s="49" t="inlineStr">
        <is>
          <t>2300</t>
        </is>
      </c>
      <c r="E61" s="50" t="n">
        <v>2300</v>
      </c>
      <c r="F61" s="49" t="inlineStr">
        <is>
          <t>материалы</t>
        </is>
      </c>
      <c r="G61" s="49" t="inlineStr">
        <is>
          <t>Земельные работы</t>
        </is>
      </c>
      <c r="H61" s="49" t="inlineStr">
        <is>
          <t>Земельные работы</t>
        </is>
      </c>
      <c r="I61" s="49" t="inlineStr">
        <is>
          <t>Земельные работы</t>
        </is>
      </c>
      <c r="J61" s="49" t="inlineStr">
        <is>
          <t>Земляные и планировочные работы</t>
        </is>
      </c>
      <c r="K61" s="49" t="inlineStr">
        <is>
          <t>Материал</t>
        </is>
      </c>
      <c r="L61" s="49" t="inlineStr">
        <is>
          <t>Материалы</t>
        </is>
      </c>
      <c r="M61" s="49" t="inlineStr">
        <is>
          <t>Материалы</t>
        </is>
      </c>
      <c r="N61" s="49" t="inlineStr">
        <is>
          <t>Показать строкой</t>
        </is>
      </c>
      <c r="O61" s="49" t="inlineStr">
        <is>
          <t>Средняя</t>
        </is>
      </c>
      <c r="P61" s="51" t="inlineStr">
        <is>
          <t>RMAT-0033</t>
        </is>
      </c>
      <c r="Q61" s="51" t="inlineStr">
        <is>
          <t>MV-0033</t>
        </is>
      </c>
      <c r="R61" s="49" t="inlineStr">
        <is>
          <t>Да</t>
        </is>
      </c>
      <c r="S61" s="52" t="inlineStr">
        <is>
          <t>Нормализовано под генератор КП</t>
        </is>
      </c>
    </row>
    <row r="62">
      <c r="A62" s="41" t="inlineStr">
        <is>
          <t>SRC-0061</t>
        </is>
      </c>
      <c r="B62" s="41" t="inlineStr">
        <is>
          <t>Грунтование бетонной отмостки в 2 слоя</t>
        </is>
      </c>
      <c r="C62" s="41" t="inlineStr">
        <is>
          <t>м2</t>
        </is>
      </c>
      <c r="D62" s="41" t="inlineStr">
        <is>
          <t>60</t>
        </is>
      </c>
      <c r="E62" s="43" t="n">
        <v>60</v>
      </c>
      <c r="F62" s="41" t="inlineStr">
        <is>
          <t>работа</t>
        </is>
      </c>
      <c r="G62" s="41" t="inlineStr">
        <is>
          <t>1. Подготовка основания для пешеходных дорожек и площадок под мощение тротуарной плиткой.</t>
        </is>
      </c>
      <c r="H62" s="41" t="inlineStr">
        <is>
          <t>Мощение</t>
        </is>
      </c>
      <c r="I62" s="41" t="inlineStr">
        <is>
          <t>Мощение</t>
        </is>
      </c>
      <c r="J62" s="41" t="inlineStr">
        <is>
          <t>Мощение</t>
        </is>
      </c>
      <c r="K62" s="41" t="inlineStr">
        <is>
          <t>Работа</t>
        </is>
      </c>
      <c r="L62" s="41" t="inlineStr">
        <is>
          <t>Бетон и конструктив</t>
        </is>
      </c>
      <c r="M62" s="41" t="inlineStr">
        <is>
          <t>Основные работы</t>
        </is>
      </c>
      <c r="N62" s="41" t="inlineStr">
        <is>
          <t>Показать строкой</t>
        </is>
      </c>
      <c r="O62" s="41" t="inlineStr">
        <is>
          <t>Высокая</t>
        </is>
      </c>
      <c r="P62" s="44" t="inlineStr">
        <is>
          <t>RWORK-0028</t>
        </is>
      </c>
      <c r="Q62" s="44" t="inlineStr"/>
      <c r="R62" s="41" t="inlineStr">
        <is>
          <t>Нет</t>
        </is>
      </c>
      <c r="S62" s="45" t="inlineStr">
        <is>
          <t>Нормализовано под генератор КП</t>
        </is>
      </c>
    </row>
    <row r="63">
      <c r="A63" s="42" t="inlineStr">
        <is>
          <t>SRC-0062</t>
        </is>
      </c>
      <c r="B63" s="42" t="inlineStr">
        <is>
          <t>Грунтовка концентрат</t>
        </is>
      </c>
      <c r="C63" s="42" t="inlineStr">
        <is>
          <t>л</t>
        </is>
      </c>
      <c r="D63" s="42" t="inlineStr">
        <is>
          <t>400</t>
        </is>
      </c>
      <c r="E63" s="46" t="n">
        <v>400</v>
      </c>
      <c r="F63" s="42" t="inlineStr">
        <is>
          <t>материалы</t>
        </is>
      </c>
      <c r="G63" s="42" t="inlineStr">
        <is>
          <t>1. Подготовка основания для пешеходных дорожек и площадок под мощение тротуарной плиткой.</t>
        </is>
      </c>
      <c r="H63" s="42" t="inlineStr">
        <is>
          <t>Мощение</t>
        </is>
      </c>
      <c r="I63" s="42" t="inlineStr">
        <is>
          <t>Мощение</t>
        </is>
      </c>
      <c r="J63" s="42" t="inlineStr">
        <is>
          <t>Мощение</t>
        </is>
      </c>
      <c r="K63" s="42" t="inlineStr">
        <is>
          <t>Материал</t>
        </is>
      </c>
      <c r="L63" s="42" t="inlineStr">
        <is>
          <t>Прочее по мощению</t>
        </is>
      </c>
      <c r="M63" s="42" t="inlineStr">
        <is>
          <t>Материалы</t>
        </is>
      </c>
      <c r="N63" s="42" t="inlineStr">
        <is>
          <t>Показать строкой</t>
        </is>
      </c>
      <c r="O63" s="42" t="inlineStr">
        <is>
          <t>Высокая</t>
        </is>
      </c>
      <c r="P63" s="47" t="inlineStr">
        <is>
          <t>RMAT-0034</t>
        </is>
      </c>
      <c r="Q63" s="47" t="inlineStr">
        <is>
          <t>MV-0034</t>
        </is>
      </c>
      <c r="R63" s="42" t="inlineStr">
        <is>
          <t>Нет</t>
        </is>
      </c>
      <c r="S63" s="48" t="inlineStr">
        <is>
          <t>Нормализовано под генератор КП</t>
        </is>
      </c>
    </row>
    <row r="64">
      <c r="A64" s="41" t="inlineStr">
        <is>
          <t>SRC-0063</t>
        </is>
      </c>
      <c r="B64" s="41" t="inlineStr">
        <is>
          <t>Демонтаж бетона подпорных стенок</t>
        </is>
      </c>
      <c r="C64" s="41" t="inlineStr">
        <is>
          <t>м3</t>
        </is>
      </c>
      <c r="D64" s="41" t="inlineStr">
        <is>
          <t>3900</t>
        </is>
      </c>
      <c r="E64" s="43" t="n">
        <v>3900</v>
      </c>
      <c r="F64" s="41" t="inlineStr">
        <is>
          <t>работа</t>
        </is>
      </c>
      <c r="G64" s="41" t="inlineStr">
        <is>
          <t>Дополнительные работы.</t>
        </is>
      </c>
      <c r="H64" s="41" t="inlineStr">
        <is>
          <t>Дополнительные работы.</t>
        </is>
      </c>
      <c r="I64" s="41" t="inlineStr">
        <is>
          <t>Дополнительные работы.</t>
        </is>
      </c>
      <c r="J64" s="41" t="inlineStr">
        <is>
          <t>Демонтаж и расчистка</t>
        </is>
      </c>
      <c r="K64" s="41" t="inlineStr">
        <is>
          <t>Работа</t>
        </is>
      </c>
      <c r="L64" s="41" t="inlineStr">
        <is>
          <t>Демонтаж</t>
        </is>
      </c>
      <c r="M64" s="41" t="inlineStr">
        <is>
          <t>Основные работы</t>
        </is>
      </c>
      <c r="N64" s="41" t="inlineStr">
        <is>
          <t>Показать строкой</t>
        </is>
      </c>
      <c r="O64" s="41" t="inlineStr">
        <is>
          <t>Высокая</t>
        </is>
      </c>
      <c r="P64" s="44" t="inlineStr">
        <is>
          <t>RWORK-0029</t>
        </is>
      </c>
      <c r="Q64" s="44" t="inlineStr"/>
      <c r="R64" s="41" t="inlineStr">
        <is>
          <t>Нет</t>
        </is>
      </c>
      <c r="S64" s="45" t="inlineStr">
        <is>
          <t>Перенесено из мусорной категории "Дополнительные работы."</t>
        </is>
      </c>
    </row>
    <row r="65">
      <c r="A65" s="42" t="inlineStr">
        <is>
          <t>SRC-0064</t>
        </is>
      </c>
      <c r="B65" s="42" t="inlineStr">
        <is>
          <t>Демонтаж бетонной стяжки с упаковкой в мешки</t>
        </is>
      </c>
      <c r="C65" s="42" t="inlineStr">
        <is>
          <t>м.пог.</t>
        </is>
      </c>
      <c r="D65" s="42" t="inlineStr">
        <is>
          <t>950</t>
        </is>
      </c>
      <c r="E65" s="46" t="n">
        <v>950</v>
      </c>
      <c r="F65" s="42" t="inlineStr">
        <is>
          <t>работа</t>
        </is>
      </c>
      <c r="G65" s="42" t="inlineStr">
        <is>
          <t>Дополнительные работы.</t>
        </is>
      </c>
      <c r="H65" s="42" t="inlineStr">
        <is>
          <t>Дополнительные работы.</t>
        </is>
      </c>
      <c r="I65" s="42" t="inlineStr">
        <is>
          <t>Дополнительные работы.</t>
        </is>
      </c>
      <c r="J65" s="42" t="inlineStr">
        <is>
          <t>Демонтаж и расчистка</t>
        </is>
      </c>
      <c r="K65" s="42" t="inlineStr">
        <is>
          <t>Работа</t>
        </is>
      </c>
      <c r="L65" s="42" t="inlineStr">
        <is>
          <t>Демонтаж</t>
        </is>
      </c>
      <c r="M65" s="42" t="inlineStr">
        <is>
          <t>Основные работы</t>
        </is>
      </c>
      <c r="N65" s="42" t="inlineStr">
        <is>
          <t>Показать строкой</t>
        </is>
      </c>
      <c r="O65" s="42" t="inlineStr">
        <is>
          <t>Высокая</t>
        </is>
      </c>
      <c r="P65" s="47" t="inlineStr">
        <is>
          <t>RWORK-0030</t>
        </is>
      </c>
      <c r="Q65" s="47" t="inlineStr"/>
      <c r="R65" s="42" t="inlineStr">
        <is>
          <t>Нет</t>
        </is>
      </c>
      <c r="S65" s="48" t="inlineStr">
        <is>
          <t>Перенесено из мусорной категории "Дополнительные работы."</t>
        </is>
      </c>
    </row>
    <row r="66">
      <c r="A66" s="41" t="inlineStr">
        <is>
          <t>SRC-0065</t>
        </is>
      </c>
      <c r="B66" s="41" t="inlineStr">
        <is>
          <t>Демонтаж гряд</t>
        </is>
      </c>
      <c r="C66" s="41" t="inlineStr">
        <is>
          <t>м2</t>
        </is>
      </c>
      <c r="D66" s="41" t="inlineStr">
        <is>
          <t>650</t>
        </is>
      </c>
      <c r="E66" s="43" t="n">
        <v>650</v>
      </c>
      <c r="F66" s="41" t="inlineStr">
        <is>
          <t>работа</t>
        </is>
      </c>
      <c r="G66" s="41" t="inlineStr">
        <is>
          <t>дренаж</t>
        </is>
      </c>
      <c r="H66" s="41" t="inlineStr">
        <is>
          <t>Дополнительные работы.</t>
        </is>
      </c>
      <c r="I66" s="41" t="inlineStr">
        <is>
          <t>дренаж</t>
        </is>
      </c>
      <c r="J66" s="41" t="inlineStr">
        <is>
          <t>Демонтаж и расчистка</t>
        </is>
      </c>
      <c r="K66" s="41" t="inlineStr">
        <is>
          <t>Работа</t>
        </is>
      </c>
      <c r="L66" s="41" t="inlineStr">
        <is>
          <t>Демонтаж</t>
        </is>
      </c>
      <c r="M66" s="41" t="inlineStr">
        <is>
          <t>Основные работы</t>
        </is>
      </c>
      <c r="N66" s="41" t="inlineStr">
        <is>
          <t>Показать строкой</t>
        </is>
      </c>
      <c r="O66" s="41" t="inlineStr">
        <is>
          <t>Высокая</t>
        </is>
      </c>
      <c r="P66" s="44" t="inlineStr">
        <is>
          <t>RWORK-0031</t>
        </is>
      </c>
      <c r="Q66" s="44" t="inlineStr"/>
      <c r="R66" s="41" t="inlineStr">
        <is>
          <t>Нет</t>
        </is>
      </c>
      <c r="S66" s="45" t="inlineStr">
        <is>
          <t>Перенесено из мусорной категории "Дополнительные работы."</t>
        </is>
      </c>
    </row>
    <row r="67">
      <c r="A67" s="42" t="inlineStr">
        <is>
          <t>SRC-0066</t>
        </is>
      </c>
      <c r="B67" s="42" t="inlineStr">
        <is>
          <t>Демонтаж дождеприемников</t>
        </is>
      </c>
      <c r="C67" s="42" t="inlineStr">
        <is>
          <t>шт</t>
        </is>
      </c>
      <c r="D67" s="42" t="inlineStr">
        <is>
          <t>1500</t>
        </is>
      </c>
      <c r="E67" s="46" t="n">
        <v>1500</v>
      </c>
      <c r="F67" s="42" t="inlineStr">
        <is>
          <t>работа</t>
        </is>
      </c>
      <c r="G67" s="42" t="inlineStr">
        <is>
          <t>Ливневая система</t>
        </is>
      </c>
      <c r="H67" s="42" t="inlineStr">
        <is>
          <t>ливневка</t>
        </is>
      </c>
      <c r="I67" s="42" t="inlineStr">
        <is>
          <t>ливневка</t>
        </is>
      </c>
      <c r="J67" s="42" t="inlineStr">
        <is>
          <t>Ливневая канализация</t>
        </is>
      </c>
      <c r="K67" s="42" t="inlineStr">
        <is>
          <t>Работа</t>
        </is>
      </c>
      <c r="L67" s="42" t="inlineStr">
        <is>
          <t>Демонтаж</t>
        </is>
      </c>
      <c r="M67" s="42" t="inlineStr">
        <is>
          <t>Основные работы</t>
        </is>
      </c>
      <c r="N67" s="42" t="inlineStr">
        <is>
          <t>Показать строкой</t>
        </is>
      </c>
      <c r="O67" s="42" t="inlineStr">
        <is>
          <t>Высокая</t>
        </is>
      </c>
      <c r="P67" s="47" t="inlineStr">
        <is>
          <t>RWORK-0032</t>
        </is>
      </c>
      <c r="Q67" s="47" t="inlineStr"/>
      <c r="R67" s="42" t="inlineStr">
        <is>
          <t>Нет</t>
        </is>
      </c>
      <c r="S67" s="48" t="inlineStr">
        <is>
          <t>Нормализовано под генератор КП</t>
        </is>
      </c>
    </row>
    <row r="68">
      <c r="A68" s="41" t="inlineStr">
        <is>
          <t>SRC-0067</t>
        </is>
      </c>
      <c r="B68" s="41" t="inlineStr">
        <is>
          <t>Диск алмазный по камню d=230ммхМ14 (гранит)</t>
        </is>
      </c>
      <c r="C68" s="41" t="inlineStr">
        <is>
          <t>шт</t>
        </is>
      </c>
      <c r="D68" s="41" t="inlineStr">
        <is>
          <t>5700</t>
        </is>
      </c>
      <c r="E68" s="43" t="n">
        <v>5700</v>
      </c>
      <c r="F68" s="41" t="inlineStr">
        <is>
          <t>материалы</t>
        </is>
      </c>
      <c r="G68" s="41" t="inlineStr">
        <is>
          <t>Покрытия</t>
        </is>
      </c>
      <c r="H68" s="41" t="inlineStr">
        <is>
          <t>Мощение</t>
        </is>
      </c>
      <c r="I68" s="41" t="inlineStr">
        <is>
          <t>Мощение</t>
        </is>
      </c>
      <c r="J68" s="41" t="inlineStr">
        <is>
          <t>Мощение</t>
        </is>
      </c>
      <c r="K68" s="41" t="inlineStr">
        <is>
          <t>Материал</t>
        </is>
      </c>
      <c r="L68" s="41" t="inlineStr">
        <is>
          <t>Конструкции и отделка</t>
        </is>
      </c>
      <c r="M68" s="41" t="inlineStr">
        <is>
          <t>Материалы</t>
        </is>
      </c>
      <c r="N68" s="41" t="inlineStr">
        <is>
          <t>Показать строкой</t>
        </is>
      </c>
      <c r="O68" s="41" t="inlineStr">
        <is>
          <t>Высокая</t>
        </is>
      </c>
      <c r="P68" s="44" t="inlineStr">
        <is>
          <t>RMAT-0035</t>
        </is>
      </c>
      <c r="Q68" s="44" t="inlineStr">
        <is>
          <t>MV-0035</t>
        </is>
      </c>
      <c r="R68" s="41" t="inlineStr">
        <is>
          <t>Нет</t>
        </is>
      </c>
      <c r="S68" s="45" t="inlineStr">
        <is>
          <t>Нормализовано под генератор КП</t>
        </is>
      </c>
    </row>
    <row r="69">
      <c r="A69" s="42" t="inlineStr">
        <is>
          <t>SRC-0068</t>
        </is>
      </c>
      <c r="B69" s="42" t="inlineStr">
        <is>
          <t>Диск по металлу</t>
        </is>
      </c>
      <c r="C69" s="42" t="inlineStr">
        <is>
          <t>шт</t>
        </is>
      </c>
      <c r="D69" s="42" t="inlineStr">
        <is>
          <t>72</t>
        </is>
      </c>
      <c r="E69" s="46" t="n">
        <v>72</v>
      </c>
      <c r="F69" s="42" t="inlineStr">
        <is>
          <t>материалы</t>
        </is>
      </c>
      <c r="G69" s="42" t="inlineStr">
        <is>
          <t>2 мощ-е - подг-ка осн-я</t>
        </is>
      </c>
      <c r="H69" s="42" t="inlineStr">
        <is>
          <t>Мощение</t>
        </is>
      </c>
      <c r="I69" s="42" t="inlineStr">
        <is>
          <t>Мощение</t>
        </is>
      </c>
      <c r="J69" s="42" t="inlineStr">
        <is>
          <t>Мощение</t>
        </is>
      </c>
      <c r="K69" s="42" t="inlineStr">
        <is>
          <t>Материал</t>
        </is>
      </c>
      <c r="L69" s="42" t="inlineStr">
        <is>
          <t>Конструкции и отделка</t>
        </is>
      </c>
      <c r="M69" s="42" t="inlineStr">
        <is>
          <t>Материалы</t>
        </is>
      </c>
      <c r="N69" s="42" t="inlineStr">
        <is>
          <t>Показать строкой</t>
        </is>
      </c>
      <c r="O69" s="42" t="inlineStr">
        <is>
          <t>Высокая</t>
        </is>
      </c>
      <c r="P69" s="47" t="inlineStr">
        <is>
          <t>RMAT-0036</t>
        </is>
      </c>
      <c r="Q69" s="47" t="inlineStr">
        <is>
          <t>MV-0036</t>
        </is>
      </c>
      <c r="R69" s="42" t="inlineStr">
        <is>
          <t>Нет</t>
        </is>
      </c>
      <c r="S69" s="48" t="inlineStr">
        <is>
          <t>Нормализовано под генератор КП</t>
        </is>
      </c>
    </row>
    <row r="70">
      <c r="A70" s="41" t="inlineStr">
        <is>
          <t>SRC-0069</t>
        </is>
      </c>
      <c r="B70" s="41" t="inlineStr">
        <is>
          <t>Дождеприемник ДП–30.30-ПП с комплектующими и чугунной решеткой, фасонные элементы</t>
        </is>
      </c>
      <c r="C70" s="41" t="inlineStr">
        <is>
          <t>шт</t>
        </is>
      </c>
      <c r="D70" s="41" t="inlineStr">
        <is>
          <t>3300</t>
        </is>
      </c>
      <c r="E70" s="43" t="n">
        <v>3300</v>
      </c>
      <c r="F70" s="41" t="inlineStr">
        <is>
          <t>материалы</t>
        </is>
      </c>
      <c r="G70" s="41" t="inlineStr">
        <is>
          <t>Ливневая система</t>
        </is>
      </c>
      <c r="H70" s="41" t="inlineStr">
        <is>
          <t>ливневка</t>
        </is>
      </c>
      <c r="I70" s="41" t="inlineStr">
        <is>
          <t>ливневка</t>
        </is>
      </c>
      <c r="J70" s="41" t="inlineStr">
        <is>
          <t>Ливневая канализация</t>
        </is>
      </c>
      <c r="K70" s="41" t="inlineStr">
        <is>
          <t>Материал</t>
        </is>
      </c>
      <c r="L70" s="41" t="inlineStr">
        <is>
          <t>Приемные и линейные элементы</t>
        </is>
      </c>
      <c r="M70" s="41" t="inlineStr">
        <is>
          <t>Материалы</t>
        </is>
      </c>
      <c r="N70" s="41" t="inlineStr">
        <is>
          <t>Показать строкой</t>
        </is>
      </c>
      <c r="O70" s="41" t="inlineStr">
        <is>
          <t>Высокая</t>
        </is>
      </c>
      <c r="P70" s="44" t="inlineStr">
        <is>
          <t>RMAT-0037</t>
        </is>
      </c>
      <c r="Q70" s="44" t="inlineStr">
        <is>
          <t>MV-0037</t>
        </is>
      </c>
      <c r="R70" s="41" t="inlineStr">
        <is>
          <t>Нет</t>
        </is>
      </c>
      <c r="S70" s="45" t="inlineStr">
        <is>
          <t>Нормализовано под генератор КП</t>
        </is>
      </c>
    </row>
    <row r="71">
      <c r="A71" s="49" t="inlineStr">
        <is>
          <t>SRC-0070</t>
        </is>
      </c>
      <c r="B71" s="49" t="inlineStr">
        <is>
          <t>Дождеприемник пластик. 300х300х300 мм в сборе с решеткой чугунной</t>
        </is>
      </c>
      <c r="C71" s="49" t="inlineStr">
        <is>
          <t>шт</t>
        </is>
      </c>
      <c r="D71" s="49" t="inlineStr">
        <is>
          <t>1400</t>
        </is>
      </c>
      <c r="E71" s="50" t="n">
        <v>1400</v>
      </c>
      <c r="F71" s="49" t="inlineStr">
        <is>
          <t>материалы</t>
        </is>
      </c>
      <c r="G71" s="49" t="inlineStr">
        <is>
          <t>1. Подготовка основания для пешеходных дорожек и площадок под мощение тротуарной плиткой.</t>
        </is>
      </c>
      <c r="H71" s="49" t="inlineStr">
        <is>
          <t>Мощение</t>
        </is>
      </c>
      <c r="I71" s="49" t="inlineStr">
        <is>
          <t>Мощение</t>
        </is>
      </c>
      <c r="J71" s="49" t="inlineStr">
        <is>
          <t>Мощение</t>
        </is>
      </c>
      <c r="K71" s="49" t="inlineStr">
        <is>
          <t>Материал</t>
        </is>
      </c>
      <c r="L71" s="49" t="inlineStr">
        <is>
          <t>Водоотвод в зоне мощения</t>
        </is>
      </c>
      <c r="M71" s="49" t="inlineStr">
        <is>
          <t>Материалы</t>
        </is>
      </c>
      <c r="N71" s="49" t="inlineStr">
        <is>
          <t>Показать строкой</t>
        </is>
      </c>
      <c r="O71" s="49" t="inlineStr">
        <is>
          <t>Средняя</t>
        </is>
      </c>
      <c r="P71" s="51" t="inlineStr">
        <is>
          <t>RMAT-0038</t>
        </is>
      </c>
      <c r="Q71" s="51" t="inlineStr">
        <is>
          <t>MV-0038</t>
        </is>
      </c>
      <c r="R71" s="49" t="inlineStr">
        <is>
          <t>Да</t>
        </is>
      </c>
      <c r="S71" s="52" t="inlineStr">
        <is>
          <t>В текущем прайсе позиция сидит в мощении; для генератора можно оставить, если это локальный узел в зоне мощения</t>
        </is>
      </c>
    </row>
    <row r="72">
      <c r="A72" s="41" t="inlineStr">
        <is>
          <t>SRC-0071</t>
        </is>
      </c>
      <c r="B72" s="41" t="inlineStr">
        <is>
          <t>доска для опалубки, 25*100*3000мм</t>
        </is>
      </c>
      <c r="C72" s="41" t="inlineStr">
        <is>
          <t>м.пог.</t>
        </is>
      </c>
      <c r="D72" s="41" t="inlineStr">
        <is>
          <t>70</t>
        </is>
      </c>
      <c r="E72" s="43" t="n">
        <v>70</v>
      </c>
      <c r="F72" s="41" t="inlineStr">
        <is>
          <t>материалы</t>
        </is>
      </c>
      <c r="G72" s="41" t="inlineStr">
        <is>
          <t>2 мощ-е - подг-ка осн-я</t>
        </is>
      </c>
      <c r="H72" s="41" t="inlineStr">
        <is>
          <t>Мощение</t>
        </is>
      </c>
      <c r="I72" s="41" t="inlineStr">
        <is>
          <t>Мощение</t>
        </is>
      </c>
      <c r="J72" s="41" t="inlineStr">
        <is>
          <t>Мощение</t>
        </is>
      </c>
      <c r="K72" s="41" t="inlineStr">
        <is>
          <t>Материал</t>
        </is>
      </c>
      <c r="L72" s="41" t="inlineStr">
        <is>
          <t>Конструкции и отделка</t>
        </is>
      </c>
      <c r="M72" s="41" t="inlineStr">
        <is>
          <t>Материалы</t>
        </is>
      </c>
      <c r="N72" s="41" t="inlineStr">
        <is>
          <t>Показать строкой</t>
        </is>
      </c>
      <c r="O72" s="41" t="inlineStr">
        <is>
          <t>Высокая</t>
        </is>
      </c>
      <c r="P72" s="44" t="inlineStr">
        <is>
          <t>RMAT-0039</t>
        </is>
      </c>
      <c r="Q72" s="44" t="inlineStr">
        <is>
          <t>MV-0039</t>
        </is>
      </c>
      <c r="R72" s="41" t="inlineStr">
        <is>
          <t>Нет</t>
        </is>
      </c>
      <c r="S72" s="45" t="inlineStr">
        <is>
          <t>Нормализовано под генератор КП</t>
        </is>
      </c>
    </row>
    <row r="73">
      <c r="A73" s="42" t="inlineStr">
        <is>
          <t>SRC-0072</t>
        </is>
      </c>
      <c r="B73" s="42" t="inlineStr">
        <is>
          <t>Доска импрегнированная 45*145*6000мм, строганая</t>
        </is>
      </c>
      <c r="C73" s="42" t="inlineStr">
        <is>
          <t>шт</t>
        </is>
      </c>
      <c r="D73" s="42" t="inlineStr">
        <is>
          <t>1680</t>
        </is>
      </c>
      <c r="E73" s="46" t="n">
        <v>1680</v>
      </c>
      <c r="F73" s="42" t="inlineStr">
        <is>
          <t>материалы</t>
        </is>
      </c>
      <c r="G73" s="42" t="inlineStr">
        <is>
          <t>2 мощ-е - подг-ка осн-я</t>
        </is>
      </c>
      <c r="H73" s="42" t="inlineStr">
        <is>
          <t>Мощение</t>
        </is>
      </c>
      <c r="I73" s="42" t="inlineStr">
        <is>
          <t>Мощение</t>
        </is>
      </c>
      <c r="J73" s="42" t="inlineStr">
        <is>
          <t>Мощение</t>
        </is>
      </c>
      <c r="K73" s="42" t="inlineStr">
        <is>
          <t>Материал</t>
        </is>
      </c>
      <c r="L73" s="42" t="inlineStr">
        <is>
          <t>Конструкции и отделка</t>
        </is>
      </c>
      <c r="M73" s="42" t="inlineStr">
        <is>
          <t>Материалы</t>
        </is>
      </c>
      <c r="N73" s="42" t="inlineStr">
        <is>
          <t>Показать строкой</t>
        </is>
      </c>
      <c r="O73" s="42" t="inlineStr">
        <is>
          <t>Высокая</t>
        </is>
      </c>
      <c r="P73" s="47" t="inlineStr">
        <is>
          <t>RMAT-0040</t>
        </is>
      </c>
      <c r="Q73" s="47" t="inlineStr">
        <is>
          <t>MV-0040</t>
        </is>
      </c>
      <c r="R73" s="42" t="inlineStr">
        <is>
          <t>Нет</t>
        </is>
      </c>
      <c r="S73" s="48" t="inlineStr">
        <is>
          <t>Нормализовано под генератор КП</t>
        </is>
      </c>
    </row>
    <row r="74">
      <c r="A74" s="41" t="inlineStr">
        <is>
          <t>SRC-0073</t>
        </is>
      </c>
      <c r="B74" s="41" t="inlineStr">
        <is>
          <t>Доска импрегнированная 50*100*6000мм, обрезная</t>
        </is>
      </c>
      <c r="C74" s="41" t="inlineStr">
        <is>
          <t>шт</t>
        </is>
      </c>
      <c r="D74" s="41" t="inlineStr">
        <is>
          <t>1025</t>
        </is>
      </c>
      <c r="E74" s="43" t="n">
        <v>1025</v>
      </c>
      <c r="F74" s="41" t="inlineStr">
        <is>
          <t>материалы</t>
        </is>
      </c>
      <c r="G74" s="41" t="inlineStr">
        <is>
          <t>2 мощ-е - подг-ка осн-я</t>
        </is>
      </c>
      <c r="H74" s="41" t="inlineStr">
        <is>
          <t>Мощение</t>
        </is>
      </c>
      <c r="I74" s="41" t="inlineStr">
        <is>
          <t>Мощение</t>
        </is>
      </c>
      <c r="J74" s="41" t="inlineStr">
        <is>
          <t>Мощение</t>
        </is>
      </c>
      <c r="K74" s="41" t="inlineStr">
        <is>
          <t>Материал</t>
        </is>
      </c>
      <c r="L74" s="41" t="inlineStr">
        <is>
          <t>Конструкции и отделка</t>
        </is>
      </c>
      <c r="M74" s="41" t="inlineStr">
        <is>
          <t>Материалы</t>
        </is>
      </c>
      <c r="N74" s="41" t="inlineStr">
        <is>
          <t>Показать строкой</t>
        </is>
      </c>
      <c r="O74" s="41" t="inlineStr">
        <is>
          <t>Высокая</t>
        </is>
      </c>
      <c r="P74" s="44" t="inlineStr">
        <is>
          <t>RMAT-0041</t>
        </is>
      </c>
      <c r="Q74" s="44" t="inlineStr">
        <is>
          <t>MV-0041</t>
        </is>
      </c>
      <c r="R74" s="41" t="inlineStr">
        <is>
          <t>Нет</t>
        </is>
      </c>
      <c r="S74" s="45" t="inlineStr">
        <is>
          <t>Нормализовано под генератор КП</t>
        </is>
      </c>
    </row>
    <row r="75">
      <c r="A75" s="42" t="inlineStr">
        <is>
          <t>SRC-0074</t>
        </is>
      </c>
      <c r="B75" s="42" t="inlineStr">
        <is>
          <t>Доска обрезн., сосна, 20х125х3000мм</t>
        </is>
      </c>
      <c r="C75" s="42" t="inlineStr">
        <is>
          <t>шт</t>
        </is>
      </c>
      <c r="D75" s="42" t="inlineStr">
        <is>
          <t>410</t>
        </is>
      </c>
      <c r="E75" s="46" t="n">
        <v>410</v>
      </c>
      <c r="F75" s="42" t="inlineStr">
        <is>
          <t>материалы</t>
        </is>
      </c>
      <c r="G75" s="42" t="inlineStr">
        <is>
          <t>2 мощ-е - подг-ка осн-я</t>
        </is>
      </c>
      <c r="H75" s="42" t="inlineStr">
        <is>
          <t>Мощение</t>
        </is>
      </c>
      <c r="I75" s="42" t="inlineStr">
        <is>
          <t>Мощение</t>
        </is>
      </c>
      <c r="J75" s="42" t="inlineStr">
        <is>
          <t>Мощение</t>
        </is>
      </c>
      <c r="K75" s="42" t="inlineStr">
        <is>
          <t>Материал</t>
        </is>
      </c>
      <c r="L75" s="42" t="inlineStr">
        <is>
          <t>Конструкции и отделка</t>
        </is>
      </c>
      <c r="M75" s="42" t="inlineStr">
        <is>
          <t>Материалы</t>
        </is>
      </c>
      <c r="N75" s="42" t="inlineStr">
        <is>
          <t>Показать строкой</t>
        </is>
      </c>
      <c r="O75" s="42" t="inlineStr">
        <is>
          <t>Высокая</t>
        </is>
      </c>
      <c r="P75" s="47" t="inlineStr">
        <is>
          <t>RMAT-0042</t>
        </is>
      </c>
      <c r="Q75" s="47" t="inlineStr">
        <is>
          <t>MV-0042</t>
        </is>
      </c>
      <c r="R75" s="42" t="inlineStr">
        <is>
          <t>Нет</t>
        </is>
      </c>
      <c r="S75" s="48" t="inlineStr">
        <is>
          <t>Нормализовано под генератор КП</t>
        </is>
      </c>
    </row>
    <row r="76">
      <c r="A76" s="41" t="inlineStr">
        <is>
          <t>SRC-0075</t>
        </is>
      </c>
      <c r="B76" s="41" t="inlineStr">
        <is>
          <t>Доска обрезн., сосна, 20х145х3000мм</t>
        </is>
      </c>
      <c r="C76" s="41" t="inlineStr">
        <is>
          <t>шт</t>
        </is>
      </c>
      <c r="D76" s="41" t="inlineStr">
        <is>
          <t>560</t>
        </is>
      </c>
      <c r="E76" s="43" t="n">
        <v>560</v>
      </c>
      <c r="F76" s="41" t="inlineStr">
        <is>
          <t>материалы</t>
        </is>
      </c>
      <c r="G76" s="41" t="inlineStr">
        <is>
          <t>2 мощ-е - подг-ка осн-я</t>
        </is>
      </c>
      <c r="H76" s="41" t="inlineStr">
        <is>
          <t>Мощение</t>
        </is>
      </c>
      <c r="I76" s="41" t="inlineStr">
        <is>
          <t>Мощение</t>
        </is>
      </c>
      <c r="J76" s="41" t="inlineStr">
        <is>
          <t>Мощение</t>
        </is>
      </c>
      <c r="K76" s="41" t="inlineStr">
        <is>
          <t>Материал</t>
        </is>
      </c>
      <c r="L76" s="41" t="inlineStr">
        <is>
          <t>Конструкции и отделка</t>
        </is>
      </c>
      <c r="M76" s="41" t="inlineStr">
        <is>
          <t>Материалы</t>
        </is>
      </c>
      <c r="N76" s="41" t="inlineStr">
        <is>
          <t>Показать строкой</t>
        </is>
      </c>
      <c r="O76" s="41" t="inlineStr">
        <is>
          <t>Высокая</t>
        </is>
      </c>
      <c r="P76" s="44" t="inlineStr">
        <is>
          <t>RMAT-0043</t>
        </is>
      </c>
      <c r="Q76" s="44" t="inlineStr">
        <is>
          <t>MV-0043</t>
        </is>
      </c>
      <c r="R76" s="41" t="inlineStr">
        <is>
          <t>Нет</t>
        </is>
      </c>
      <c r="S76" s="45" t="inlineStr">
        <is>
          <t>Нормализовано под генератор КП</t>
        </is>
      </c>
    </row>
    <row r="77">
      <c r="A77" s="42" t="inlineStr">
        <is>
          <t>SRC-0076</t>
        </is>
      </c>
      <c r="B77" s="42" t="inlineStr">
        <is>
          <t>Доска террасная негофрированная, термообработанная сосна 145*28*6000мм</t>
        </is>
      </c>
      <c r="C77" s="42" t="inlineStr">
        <is>
          <t>шт</t>
        </is>
      </c>
      <c r="D77" s="42" t="inlineStr">
        <is>
          <t>1465</t>
        </is>
      </c>
      <c r="E77" s="46" t="n">
        <v>1465</v>
      </c>
      <c r="F77" s="42" t="inlineStr">
        <is>
          <t>материалы</t>
        </is>
      </c>
      <c r="G77" s="42" t="inlineStr">
        <is>
          <t>Покрытия</t>
        </is>
      </c>
      <c r="H77" s="42" t="inlineStr">
        <is>
          <t>Мощение</t>
        </is>
      </c>
      <c r="I77" s="42" t="inlineStr">
        <is>
          <t>Мощение</t>
        </is>
      </c>
      <c r="J77" s="42" t="inlineStr">
        <is>
          <t>Мощение</t>
        </is>
      </c>
      <c r="K77" s="42" t="inlineStr">
        <is>
          <t>Материал</t>
        </is>
      </c>
      <c r="L77" s="42" t="inlineStr">
        <is>
          <t>Конструкции и отделка</t>
        </is>
      </c>
      <c r="M77" s="42" t="inlineStr">
        <is>
          <t>Материалы</t>
        </is>
      </c>
      <c r="N77" s="42" t="inlineStr">
        <is>
          <t>Показать строкой</t>
        </is>
      </c>
      <c r="O77" s="42" t="inlineStr">
        <is>
          <t>Высокая</t>
        </is>
      </c>
      <c r="P77" s="47" t="inlineStr">
        <is>
          <t>RMAT-0044</t>
        </is>
      </c>
      <c r="Q77" s="47" t="inlineStr">
        <is>
          <t>MV-0044</t>
        </is>
      </c>
      <c r="R77" s="42" t="inlineStr">
        <is>
          <t>Нет</t>
        </is>
      </c>
      <c r="S77" s="48" t="inlineStr">
        <is>
          <t>Нормализовано под генератор КП</t>
        </is>
      </c>
    </row>
    <row r="78">
      <c r="A78" s="41" t="inlineStr">
        <is>
          <t>SRC-0077</t>
        </is>
      </c>
      <c r="B78" s="41" t="inlineStr">
        <is>
          <t>Доска хвойная сырая, нестроганая 150*25*6000мм (для опалубки)</t>
        </is>
      </c>
      <c r="C78" s="41" t="inlineStr">
        <is>
          <t>шт</t>
        </is>
      </c>
      <c r="D78" s="41" t="inlineStr">
        <is>
          <t>570</t>
        </is>
      </c>
      <c r="E78" s="43" t="n">
        <v>570</v>
      </c>
      <c r="F78" s="41" t="inlineStr">
        <is>
          <t>материалы</t>
        </is>
      </c>
      <c r="G78" s="41" t="inlineStr">
        <is>
          <t>дренаж</t>
        </is>
      </c>
      <c r="H78" s="41" t="inlineStr">
        <is>
          <t>дренаж</t>
        </is>
      </c>
      <c r="I78" s="41" t="inlineStr">
        <is>
          <t>дренаж</t>
        </is>
      </c>
      <c r="J78" s="41" t="inlineStr">
        <is>
          <t>Дренаж</t>
        </is>
      </c>
      <c r="K78" s="41" t="inlineStr">
        <is>
          <t>Материал</t>
        </is>
      </c>
      <c r="L78" s="41" t="inlineStr">
        <is>
          <t>Материалы и комплектующие</t>
        </is>
      </c>
      <c r="M78" s="41" t="inlineStr">
        <is>
          <t>Материалы</t>
        </is>
      </c>
      <c r="N78" s="41" t="inlineStr">
        <is>
          <t>Показать строкой</t>
        </is>
      </c>
      <c r="O78" s="41" t="inlineStr">
        <is>
          <t>Высокая</t>
        </is>
      </c>
      <c r="P78" s="44" t="inlineStr">
        <is>
          <t>RMAT-0045</t>
        </is>
      </c>
      <c r="Q78" s="44" t="inlineStr">
        <is>
          <t>MV-0045</t>
        </is>
      </c>
      <c r="R78" s="41" t="inlineStr">
        <is>
          <t>Нет</t>
        </is>
      </c>
      <c r="S78" s="45" t="inlineStr">
        <is>
          <t>Нормализовано под генератор КП</t>
        </is>
      </c>
    </row>
    <row r="79">
      <c r="A79" s="42" t="inlineStr">
        <is>
          <t>SRC-0078</t>
        </is>
      </c>
      <c r="B79" s="42" t="inlineStr">
        <is>
          <t>Доставка/вывоз туалетной кабины</t>
        </is>
      </c>
      <c r="C79" s="42" t="inlineStr">
        <is>
          <t>кол-во раз</t>
        </is>
      </c>
      <c r="D79" s="42" t="inlineStr">
        <is>
          <t>3600</t>
        </is>
      </c>
      <c r="E79" s="46" t="n">
        <v>3600</v>
      </c>
      <c r="F79" s="42" t="inlineStr">
        <is>
          <t>%</t>
        </is>
      </c>
      <c r="G79" s="42" t="inlineStr">
        <is>
          <t>%</t>
        </is>
      </c>
      <c r="H79" s="42" t="inlineStr">
        <is>
          <t>%</t>
        </is>
      </c>
      <c r="I79" s="42" t="inlineStr">
        <is>
          <t>туалет</t>
        </is>
      </c>
      <c r="J79" s="42" t="inlineStr">
        <is>
          <t>Временные сооружения и обеспечение</t>
        </is>
      </c>
      <c r="K79" s="42" t="inlineStr">
        <is>
          <t>Логистика</t>
        </is>
      </c>
      <c r="L79" s="42" t="inlineStr">
        <is>
          <t>Бытовые условия стройплощадки</t>
        </is>
      </c>
      <c r="M79" s="42" t="inlineStr">
        <is>
          <t>Логистика и обеспечение</t>
        </is>
      </c>
      <c r="N79" s="42" t="inlineStr">
        <is>
          <t>Свернуть в раздел</t>
        </is>
      </c>
      <c r="O79" s="42" t="inlineStr">
        <is>
          <t>Высокая</t>
        </is>
      </c>
      <c r="P79" s="47" t="inlineStr">
        <is>
          <t>RWORK-0033</t>
        </is>
      </c>
      <c r="Q79" s="47" t="inlineStr"/>
      <c r="R79" s="42" t="inlineStr">
        <is>
          <t>Нет</t>
        </is>
      </c>
      <c r="S79" s="48" t="inlineStr">
        <is>
          <t>Для клиентского КП лучше сворачивать в раздел "Организация стройплощадки"</t>
        </is>
      </c>
    </row>
    <row r="80">
      <c r="A80" s="41" t="inlineStr">
        <is>
          <t>SRC-0079</t>
        </is>
      </c>
      <c r="B80" s="41" t="inlineStr">
        <is>
          <t>Доставки материалов и оборудования, погрузочно-разгрузочные работы</t>
        </is>
      </c>
      <c r="C80" s="41" t="inlineStr">
        <is>
          <t>%</t>
        </is>
      </c>
      <c r="D80" s="41" t="inlineStr">
        <is>
          <t>0.056</t>
        </is>
      </c>
      <c r="E80" s="43" t="n">
        <v>0.056</v>
      </c>
      <c r="F80" s="41" t="inlineStr">
        <is>
          <t>%</t>
        </is>
      </c>
      <c r="G80" s="41" t="inlineStr">
        <is>
          <t>%</t>
        </is>
      </c>
      <c r="H80" s="41" t="inlineStr">
        <is>
          <t>%</t>
        </is>
      </c>
      <c r="I80" s="41" t="inlineStr">
        <is>
          <t>%</t>
        </is>
      </c>
      <c r="J80" s="41" t="inlineStr">
        <is>
          <t>Логистика и снабжение</t>
        </is>
      </c>
      <c r="K80" s="41" t="inlineStr">
        <is>
          <t>Логистика</t>
        </is>
      </c>
      <c r="L80" s="41" t="inlineStr">
        <is>
          <t>Доставка и ПРР</t>
        </is>
      </c>
      <c r="M80" s="41" t="inlineStr">
        <is>
          <t>Логистика и обеспечение</t>
        </is>
      </c>
      <c r="N80" s="41" t="inlineStr">
        <is>
          <t>Свернуть в раздел</t>
        </is>
      </c>
      <c r="O80" s="41" t="inlineStr">
        <is>
          <t>Высокая</t>
        </is>
      </c>
      <c r="P80" s="44" t="inlineStr">
        <is>
          <t>RWORK-0034</t>
        </is>
      </c>
      <c r="Q80" s="44" t="inlineStr"/>
      <c r="R80" s="41" t="inlineStr">
        <is>
          <t>Нет</t>
        </is>
      </c>
      <c r="S80" s="45" t="inlineStr">
        <is>
          <t>Для генератора лучше сворачивать в логистический блок</t>
        </is>
      </c>
    </row>
    <row r="81">
      <c r="A81" s="42" t="inlineStr">
        <is>
          <t>SRC-0080</t>
        </is>
      </c>
      <c r="B81" s="42" t="inlineStr">
        <is>
          <t>Дюбель-гвоздь 8x100мм</t>
        </is>
      </c>
      <c r="C81" s="42" t="inlineStr">
        <is>
          <t>уп.</t>
        </is>
      </c>
      <c r="D81" s="42" t="inlineStr">
        <is>
          <t>2300</t>
        </is>
      </c>
      <c r="E81" s="46" t="n">
        <v>2300</v>
      </c>
      <c r="F81" s="42" t="inlineStr">
        <is>
          <t>материалы</t>
        </is>
      </c>
      <c r="G81" s="42" t="inlineStr">
        <is>
          <t>2 мощ-е - подг-ка осн-я</t>
        </is>
      </c>
      <c r="H81" s="42" t="inlineStr">
        <is>
          <t>Мощение</t>
        </is>
      </c>
      <c r="I81" s="42" t="inlineStr">
        <is>
          <t>Мощение</t>
        </is>
      </c>
      <c r="J81" s="42" t="inlineStr">
        <is>
          <t>Мощение</t>
        </is>
      </c>
      <c r="K81" s="42" t="inlineStr">
        <is>
          <t>Материал</t>
        </is>
      </c>
      <c r="L81" s="42" t="inlineStr">
        <is>
          <t>Прочее по мощению</t>
        </is>
      </c>
      <c r="M81" s="42" t="inlineStr">
        <is>
          <t>Материалы</t>
        </is>
      </c>
      <c r="N81" s="42" t="inlineStr">
        <is>
          <t>Показать строкой</t>
        </is>
      </c>
      <c r="O81" s="42" t="inlineStr">
        <is>
          <t>Высокая</t>
        </is>
      </c>
      <c r="P81" s="47" t="inlineStr">
        <is>
          <t>RMAT-0046</t>
        </is>
      </c>
      <c r="Q81" s="47" t="inlineStr">
        <is>
          <t>MV-0046</t>
        </is>
      </c>
      <c r="R81" s="42" t="inlineStr">
        <is>
          <t>Нет</t>
        </is>
      </c>
      <c r="S81" s="48" t="inlineStr">
        <is>
          <t>Нормализовано под генератор КП</t>
        </is>
      </c>
    </row>
    <row r="82">
      <c r="A82" s="41" t="inlineStr">
        <is>
          <t>SRC-0081</t>
        </is>
      </c>
      <c r="B82" s="41" t="inlineStr">
        <is>
          <t>Завоз-вывоз вагончика</t>
        </is>
      </c>
      <c r="C82" s="41" t="inlineStr">
        <is>
          <t>кол-во раз</t>
        </is>
      </c>
      <c r="D82" s="41" t="inlineStr">
        <is>
          <t>17900</t>
        </is>
      </c>
      <c r="E82" s="43" t="n">
        <v>17900</v>
      </c>
      <c r="F82" s="41" t="inlineStr">
        <is>
          <t>%</t>
        </is>
      </c>
      <c r="G82" s="41" t="inlineStr">
        <is>
          <t>%</t>
        </is>
      </c>
      <c r="H82" s="41" t="inlineStr">
        <is>
          <t>%</t>
        </is>
      </c>
      <c r="I82" s="41" t="inlineStr">
        <is>
          <t>вагончик</t>
        </is>
      </c>
      <c r="J82" s="41" t="inlineStr">
        <is>
          <t>Временные сооружения и обеспечение</t>
        </is>
      </c>
      <c r="K82" s="41" t="inlineStr">
        <is>
          <t>Логистика</t>
        </is>
      </c>
      <c r="L82" s="41" t="inlineStr">
        <is>
          <t>Бытовые условия стройплощадки</t>
        </is>
      </c>
      <c r="M82" s="41" t="inlineStr">
        <is>
          <t>Логистика и обеспечение</t>
        </is>
      </c>
      <c r="N82" s="41" t="inlineStr">
        <is>
          <t>Свернуть в раздел</t>
        </is>
      </c>
      <c r="O82" s="41" t="inlineStr">
        <is>
          <t>Высокая</t>
        </is>
      </c>
      <c r="P82" s="44" t="inlineStr">
        <is>
          <t>RWORK-0035</t>
        </is>
      </c>
      <c r="Q82" s="44" t="inlineStr"/>
      <c r="R82" s="41" t="inlineStr">
        <is>
          <t>Нет</t>
        </is>
      </c>
      <c r="S82" s="45" t="inlineStr">
        <is>
          <t>Для клиентского КП лучше сворачивать в раздел "Организация стройплощадки"</t>
        </is>
      </c>
    </row>
    <row r="83">
      <c r="A83" s="42" t="inlineStr">
        <is>
          <t>SRC-0082</t>
        </is>
      </c>
      <c r="B83" s="42" t="inlineStr">
        <is>
          <t>Заливка бетона</t>
        </is>
      </c>
      <c r="C83" s="42" t="inlineStr">
        <is>
          <t>м3</t>
        </is>
      </c>
      <c r="D83" s="42" t="inlineStr">
        <is>
          <t>9500</t>
        </is>
      </c>
      <c r="E83" s="46" t="n">
        <v>9500</v>
      </c>
      <c r="F83" s="42" t="inlineStr">
        <is>
          <t>работа</t>
        </is>
      </c>
      <c r="G83" s="42" t="inlineStr">
        <is>
          <t>2 мощ-е - подг-ка осн-я</t>
        </is>
      </c>
      <c r="H83" s="42" t="inlineStr">
        <is>
          <t>Мощение</t>
        </is>
      </c>
      <c r="I83" s="42" t="inlineStr">
        <is>
          <t>Мощение</t>
        </is>
      </c>
      <c r="J83" s="42" t="inlineStr">
        <is>
          <t>Мощение</t>
        </is>
      </c>
      <c r="K83" s="42" t="inlineStr">
        <is>
          <t>Работа</t>
        </is>
      </c>
      <c r="L83" s="42" t="inlineStr">
        <is>
          <t>Бетон и конструктив</t>
        </is>
      </c>
      <c r="M83" s="42" t="inlineStr">
        <is>
          <t>Основные работы</t>
        </is>
      </c>
      <c r="N83" s="42" t="inlineStr">
        <is>
          <t>Показать строкой</t>
        </is>
      </c>
      <c r="O83" s="42" t="inlineStr">
        <is>
          <t>Высокая</t>
        </is>
      </c>
      <c r="P83" s="47" t="inlineStr">
        <is>
          <t>RWORK-0036</t>
        </is>
      </c>
      <c r="Q83" s="47" t="inlineStr"/>
      <c r="R83" s="42" t="inlineStr">
        <is>
          <t>Нет</t>
        </is>
      </c>
      <c r="S83" s="48" t="inlineStr">
        <is>
          <t>Нормализовано под генератор КП</t>
        </is>
      </c>
    </row>
    <row r="84">
      <c r="A84" s="41" t="inlineStr">
        <is>
          <t>SRC-0083</t>
        </is>
      </c>
      <c r="B84" s="41" t="inlineStr">
        <is>
          <t>Заливка бетона</t>
        </is>
      </c>
      <c r="C84" s="41" t="inlineStr">
        <is>
          <t>м3</t>
        </is>
      </c>
      <c r="D84" s="41" t="inlineStr">
        <is>
          <t>9900</t>
        </is>
      </c>
      <c r="E84" s="43" t="n">
        <v>9900</v>
      </c>
      <c r="F84" s="41" t="inlineStr">
        <is>
          <t>работа</t>
        </is>
      </c>
      <c r="G84" s="41" t="inlineStr">
        <is>
          <t>Ступени-пандусы из бетона</t>
        </is>
      </c>
      <c r="H84" s="41" t="inlineStr">
        <is>
          <t>ступени</t>
        </is>
      </c>
      <c r="I84" s="41" t="inlineStr">
        <is>
          <t>ступени</t>
        </is>
      </c>
      <c r="J84" s="41" t="inlineStr">
        <is>
          <t>Ступени / пандусы / бетонные элементы</t>
        </is>
      </c>
      <c r="K84" s="41" t="inlineStr">
        <is>
          <t>Работа</t>
        </is>
      </c>
      <c r="L84" s="41" t="inlineStr">
        <is>
          <t>Бетон и армирование</t>
        </is>
      </c>
      <c r="M84" s="41" t="inlineStr">
        <is>
          <t>Основные работы</t>
        </is>
      </c>
      <c r="N84" s="41" t="inlineStr">
        <is>
          <t>Показать строкой</t>
        </is>
      </c>
      <c r="O84" s="41" t="inlineStr">
        <is>
          <t>Высокая</t>
        </is>
      </c>
      <c r="P84" s="44" t="inlineStr">
        <is>
          <t>RWORK-0037</t>
        </is>
      </c>
      <c r="Q84" s="44" t="inlineStr"/>
      <c r="R84" s="41" t="inlineStr">
        <is>
          <t>Нет</t>
        </is>
      </c>
      <c r="S84" s="45" t="inlineStr">
        <is>
          <t>Нормализовано под генератор КП</t>
        </is>
      </c>
    </row>
    <row r="85">
      <c r="A85" s="42" t="inlineStr">
        <is>
          <t>SRC-0084</t>
        </is>
      </c>
      <c r="B85" s="42" t="inlineStr">
        <is>
          <t>Затирка для широких швов Camonica, 25кг</t>
        </is>
      </c>
      <c r="C85" s="42" t="inlineStr">
        <is>
          <t>шт</t>
        </is>
      </c>
      <c r="D85" s="42" t="inlineStr">
        <is>
          <t>1420</t>
        </is>
      </c>
      <c r="E85" s="46" t="n">
        <v>1420</v>
      </c>
      <c r="F85" s="42" t="inlineStr">
        <is>
          <t>работа</t>
        </is>
      </c>
      <c r="G85" s="42" t="inlineStr">
        <is>
          <t>Покрытия</t>
        </is>
      </c>
      <c r="H85" s="42" t="inlineStr">
        <is>
          <t>Мощение</t>
        </is>
      </c>
      <c r="I85" s="42" t="inlineStr">
        <is>
          <t>Мощение</t>
        </is>
      </c>
      <c r="J85" s="42" t="inlineStr">
        <is>
          <t>Мощение</t>
        </is>
      </c>
      <c r="K85" s="42" t="inlineStr">
        <is>
          <t>Материал</t>
        </is>
      </c>
      <c r="L85" s="42" t="inlineStr">
        <is>
          <t>Прочее по мощению</t>
        </is>
      </c>
      <c r="M85" s="42" t="inlineStr">
        <is>
          <t>Материалы</t>
        </is>
      </c>
      <c r="N85" s="42" t="inlineStr">
        <is>
          <t>Показать строкой</t>
        </is>
      </c>
      <c r="O85" s="42" t="inlineStr">
        <is>
          <t>Высокая</t>
        </is>
      </c>
      <c r="P85" s="47" t="inlineStr">
        <is>
          <t>RMAT-0047</t>
        </is>
      </c>
      <c r="Q85" s="47" t="inlineStr">
        <is>
          <t>MV-0047</t>
        </is>
      </c>
      <c r="R85" s="42" t="inlineStr">
        <is>
          <t>Нет</t>
        </is>
      </c>
      <c r="S85" s="48" t="inlineStr">
        <is>
          <t>Нормализовано под генератор КП</t>
        </is>
      </c>
    </row>
    <row r="86">
      <c r="A86" s="41" t="inlineStr">
        <is>
          <t>SRC-0085</t>
        </is>
      </c>
      <c r="B86" s="41" t="inlineStr">
        <is>
          <t>Изготовление и монтаж грядок в теплице</t>
        </is>
      </c>
      <c r="C86" s="41" t="inlineStr">
        <is>
          <t>м.пог.</t>
        </is>
      </c>
      <c r="D86" s="41" t="inlineStr">
        <is>
          <t>850</t>
        </is>
      </c>
      <c r="E86" s="43" t="n">
        <v>850</v>
      </c>
      <c r="F86" s="41" t="inlineStr">
        <is>
          <t>работа</t>
        </is>
      </c>
      <c r="G86" s="41" t="inlineStr">
        <is>
          <t>2 мощ-е - подг-ка осн-я</t>
        </is>
      </c>
      <c r="H86" s="41" t="inlineStr">
        <is>
          <t>Мощение</t>
        </is>
      </c>
      <c r="I86" s="41" t="inlineStr">
        <is>
          <t>Мощение</t>
        </is>
      </c>
      <c r="J86" s="41" t="inlineStr">
        <is>
          <t>Мощение</t>
        </is>
      </c>
      <c r="K86" s="41" t="inlineStr">
        <is>
          <t>Работа</t>
        </is>
      </c>
      <c r="L86" s="41" t="inlineStr">
        <is>
          <t>Конструкции и отделка</t>
        </is>
      </c>
      <c r="M86" s="41" t="inlineStr">
        <is>
          <t>Основные работы</t>
        </is>
      </c>
      <c r="N86" s="41" t="inlineStr">
        <is>
          <t>Показать строкой</t>
        </is>
      </c>
      <c r="O86" s="41" t="inlineStr">
        <is>
          <t>Высокая</t>
        </is>
      </c>
      <c r="P86" s="44" t="inlineStr">
        <is>
          <t>RWORK-0038</t>
        </is>
      </c>
      <c r="Q86" s="44" t="inlineStr"/>
      <c r="R86" s="41" t="inlineStr">
        <is>
          <t>Нет</t>
        </is>
      </c>
      <c r="S86" s="45" t="inlineStr">
        <is>
          <t>Нормализовано под генератор КП</t>
        </is>
      </c>
    </row>
    <row r="87">
      <c r="A87" s="42" t="inlineStr">
        <is>
          <t>SRC-0086</t>
        </is>
      </c>
      <c r="B87" s="42" t="inlineStr">
        <is>
          <t>Изготовление и монтаж уличных грядок</t>
        </is>
      </c>
      <c r="C87" s="42" t="inlineStr">
        <is>
          <t>м.пог.</t>
        </is>
      </c>
      <c r="D87" s="42" t="inlineStr">
        <is>
          <t>850</t>
        </is>
      </c>
      <c r="E87" s="46" t="n">
        <v>850</v>
      </c>
      <c r="F87" s="42" t="inlineStr">
        <is>
          <t>работа</t>
        </is>
      </c>
      <c r="G87" s="42" t="inlineStr">
        <is>
          <t>2 мощ-е - подг-ка осн-я</t>
        </is>
      </c>
      <c r="H87" s="42" t="inlineStr">
        <is>
          <t>Мощение</t>
        </is>
      </c>
      <c r="I87" s="42" t="inlineStr">
        <is>
          <t>Мощение</t>
        </is>
      </c>
      <c r="J87" s="42" t="inlineStr">
        <is>
          <t>Мощение</t>
        </is>
      </c>
      <c r="K87" s="42" t="inlineStr">
        <is>
          <t>Работа</t>
        </is>
      </c>
      <c r="L87" s="42" t="inlineStr">
        <is>
          <t>Конструкции и отделка</t>
        </is>
      </c>
      <c r="M87" s="42" t="inlineStr">
        <is>
          <t>Основные работы</t>
        </is>
      </c>
      <c r="N87" s="42" t="inlineStr">
        <is>
          <t>Показать строкой</t>
        </is>
      </c>
      <c r="O87" s="42" t="inlineStr">
        <is>
          <t>Высокая</t>
        </is>
      </c>
      <c r="P87" s="47" t="inlineStr">
        <is>
          <t>RWORK-0039</t>
        </is>
      </c>
      <c r="Q87" s="47" t="inlineStr"/>
      <c r="R87" s="42" t="inlineStr">
        <is>
          <t>Нет</t>
        </is>
      </c>
      <c r="S87" s="48" t="inlineStr">
        <is>
          <t>Нормализовано под генератор КП</t>
        </is>
      </c>
    </row>
    <row r="88">
      <c r="A88" s="41" t="inlineStr">
        <is>
          <t>SRC-0087</t>
        </is>
      </c>
      <c r="B88" s="41" t="inlineStr">
        <is>
          <t>Кабель силовой ВБШв нг(А)LS 3*1,5 0,66кВ броня</t>
        </is>
      </c>
      <c r="C88" s="41" t="inlineStr">
        <is>
          <t>шт</t>
        </is>
      </c>
      <c r="D88" s="41" t="inlineStr">
        <is>
          <t>170</t>
        </is>
      </c>
      <c r="E88" s="43" t="n">
        <v>170</v>
      </c>
      <c r="F88" s="41" t="inlineStr">
        <is>
          <t>материалы</t>
        </is>
      </c>
      <c r="G88" s="41" t="inlineStr">
        <is>
          <t>Освещение</t>
        </is>
      </c>
      <c r="H88" s="41" t="inlineStr">
        <is>
          <t>Освещение</t>
        </is>
      </c>
      <c r="I88" s="41" t="inlineStr">
        <is>
          <t>Освещение</t>
        </is>
      </c>
      <c r="J88" s="41" t="inlineStr">
        <is>
          <t>Освещение</t>
        </is>
      </c>
      <c r="K88" s="41" t="inlineStr">
        <is>
          <t>Материал</t>
        </is>
      </c>
      <c r="L88" s="41" t="inlineStr">
        <is>
          <t>Кабельная инфраструктура</t>
        </is>
      </c>
      <c r="M88" s="41" t="inlineStr">
        <is>
          <t>Материалы</t>
        </is>
      </c>
      <c r="N88" s="41" t="inlineStr">
        <is>
          <t>Показать строкой</t>
        </is>
      </c>
      <c r="O88" s="41" t="inlineStr">
        <is>
          <t>Высокая</t>
        </is>
      </c>
      <c r="P88" s="44" t="inlineStr">
        <is>
          <t>RMAT-0048</t>
        </is>
      </c>
      <c r="Q88" s="44" t="inlineStr">
        <is>
          <t>MV-0048</t>
        </is>
      </c>
      <c r="R88" s="41" t="inlineStr">
        <is>
          <t>Нет</t>
        </is>
      </c>
      <c r="S88" s="45" t="inlineStr">
        <is>
          <t>Нормализовано под генератор КП</t>
        </is>
      </c>
    </row>
    <row r="89">
      <c r="A89" s="42" t="inlineStr">
        <is>
          <t>SRC-0088</t>
        </is>
      </c>
      <c r="B89" s="42" t="inlineStr">
        <is>
          <t>Кабель силовой ВБШв нг(А)LS 3*2,5 0,66кВ броня</t>
        </is>
      </c>
      <c r="C89" s="42" t="inlineStr">
        <is>
          <t>шт</t>
        </is>
      </c>
      <c r="D89" s="42" t="inlineStr">
        <is>
          <t>190</t>
        </is>
      </c>
      <c r="E89" s="46" t="n">
        <v>190</v>
      </c>
      <c r="F89" s="42" t="inlineStr">
        <is>
          <t>материалы</t>
        </is>
      </c>
      <c r="G89" s="42" t="inlineStr">
        <is>
          <t>Освещение</t>
        </is>
      </c>
      <c r="H89" s="42" t="inlineStr">
        <is>
          <t>Освещение</t>
        </is>
      </c>
      <c r="I89" s="42" t="inlineStr">
        <is>
          <t>Освещение</t>
        </is>
      </c>
      <c r="J89" s="42" t="inlineStr">
        <is>
          <t>Освещение</t>
        </is>
      </c>
      <c r="K89" s="42" t="inlineStr">
        <is>
          <t>Материал</t>
        </is>
      </c>
      <c r="L89" s="42" t="inlineStr">
        <is>
          <t>Кабельная инфраструктура</t>
        </is>
      </c>
      <c r="M89" s="42" t="inlineStr">
        <is>
          <t>Материалы</t>
        </is>
      </c>
      <c r="N89" s="42" t="inlineStr">
        <is>
          <t>Показать строкой</t>
        </is>
      </c>
      <c r="O89" s="42" t="inlineStr">
        <is>
          <t>Высокая</t>
        </is>
      </c>
      <c r="P89" s="47" t="inlineStr">
        <is>
          <t>RMAT-0049</t>
        </is>
      </c>
      <c r="Q89" s="47" t="inlineStr">
        <is>
          <t>MV-0049</t>
        </is>
      </c>
      <c r="R89" s="42" t="inlineStr">
        <is>
          <t>Нет</t>
        </is>
      </c>
      <c r="S89" s="48" t="inlineStr">
        <is>
          <t>Нормализовано под генератор КП</t>
        </is>
      </c>
    </row>
    <row r="90">
      <c r="A90" s="41" t="inlineStr">
        <is>
          <t>SRC-0089</t>
        </is>
      </c>
      <c r="B90" s="41" t="inlineStr">
        <is>
          <t>Клей по дереву, 0,5л</t>
        </is>
      </c>
      <c r="C90" s="41" t="inlineStr">
        <is>
          <t>шт</t>
        </is>
      </c>
      <c r="D90" s="41" t="inlineStr">
        <is>
          <t>340</t>
        </is>
      </c>
      <c r="E90" s="43" t="n">
        <v>340</v>
      </c>
      <c r="F90" s="41" t="inlineStr">
        <is>
          <t>материалы</t>
        </is>
      </c>
      <c r="G90" s="41" t="inlineStr">
        <is>
          <t>2 мощ-е - подг-ка осн-я</t>
        </is>
      </c>
      <c r="H90" s="41" t="inlineStr">
        <is>
          <t>Мощение</t>
        </is>
      </c>
      <c r="I90" s="41" t="inlineStr">
        <is>
          <t>Мощение</t>
        </is>
      </c>
      <c r="J90" s="41" t="inlineStr">
        <is>
          <t>Мощение</t>
        </is>
      </c>
      <c r="K90" s="41" t="inlineStr">
        <is>
          <t>Материал</t>
        </is>
      </c>
      <c r="L90" s="41" t="inlineStr">
        <is>
          <t>Конструкции и отделка</t>
        </is>
      </c>
      <c r="M90" s="41" t="inlineStr">
        <is>
          <t>Материалы</t>
        </is>
      </c>
      <c r="N90" s="41" t="inlineStr">
        <is>
          <t>Показать строкой</t>
        </is>
      </c>
      <c r="O90" s="41" t="inlineStr">
        <is>
          <t>Высокая</t>
        </is>
      </c>
      <c r="P90" s="44" t="inlineStr">
        <is>
          <t>RMAT-0050</t>
        </is>
      </c>
      <c r="Q90" s="44" t="inlineStr">
        <is>
          <t>MV-0050</t>
        </is>
      </c>
      <c r="R90" s="41" t="inlineStr">
        <is>
          <t>Нет</t>
        </is>
      </c>
      <c r="S90" s="45" t="inlineStr">
        <is>
          <t>Нормализовано под генератор КП</t>
        </is>
      </c>
    </row>
    <row r="91">
      <c r="A91" s="42" t="inlineStr">
        <is>
          <t>SRC-0090</t>
        </is>
      </c>
      <c r="B91" s="42" t="inlineStr">
        <is>
          <t>Колодец дренажный смотровой 315/276х1000 с дном и крышкой</t>
        </is>
      </c>
      <c r="C91" s="42" t="inlineStr">
        <is>
          <t>шт</t>
        </is>
      </c>
      <c r="D91" s="42" t="inlineStr">
        <is>
          <t>1520</t>
        </is>
      </c>
      <c r="E91" s="46" t="n">
        <v>1520</v>
      </c>
      <c r="F91" s="42" t="inlineStr">
        <is>
          <t>материалы</t>
        </is>
      </c>
      <c r="G91" s="42" t="inlineStr">
        <is>
          <t>дренаж</t>
        </is>
      </c>
      <c r="H91" s="42" t="inlineStr">
        <is>
          <t>дренаж</t>
        </is>
      </c>
      <c r="I91" s="42" t="inlineStr">
        <is>
          <t>дренаж</t>
        </is>
      </c>
      <c r="J91" s="42" t="inlineStr">
        <is>
          <t>Дренаж</t>
        </is>
      </c>
      <c r="K91" s="42" t="inlineStr">
        <is>
          <t>Материал</t>
        </is>
      </c>
      <c r="L91" s="42" t="inlineStr">
        <is>
          <t>Колодцы</t>
        </is>
      </c>
      <c r="M91" s="42" t="inlineStr">
        <is>
          <t>Материалы</t>
        </is>
      </c>
      <c r="N91" s="42" t="inlineStr">
        <is>
          <t>Показать строкой</t>
        </is>
      </c>
      <c r="O91" s="42" t="inlineStr">
        <is>
          <t>Высокая</t>
        </is>
      </c>
      <c r="P91" s="47" t="inlineStr">
        <is>
          <t>RMAT-0051</t>
        </is>
      </c>
      <c r="Q91" s="47" t="inlineStr">
        <is>
          <t>MV-0051</t>
        </is>
      </c>
      <c r="R91" s="42" t="inlineStr">
        <is>
          <t>Нет</t>
        </is>
      </c>
      <c r="S91" s="48" t="inlineStr">
        <is>
          <t>Нормализовано под генератор КП</t>
        </is>
      </c>
    </row>
    <row r="92">
      <c r="A92" s="41" t="inlineStr">
        <is>
          <t>SRC-0091</t>
        </is>
      </c>
      <c r="B92" s="41" t="inlineStr">
        <is>
          <t>Колодец дренажный смотровой 315/276х1500 с дном и крышкой</t>
        </is>
      </c>
      <c r="C92" s="41" t="inlineStr">
        <is>
          <t>шт</t>
        </is>
      </c>
      <c r="D92" s="41" t="inlineStr">
        <is>
          <t>2070</t>
        </is>
      </c>
      <c r="E92" s="43" t="n">
        <v>2070</v>
      </c>
      <c r="F92" s="41" t="inlineStr">
        <is>
          <t>материалы</t>
        </is>
      </c>
      <c r="G92" s="41" t="inlineStr">
        <is>
          <t>дренаж</t>
        </is>
      </c>
      <c r="H92" s="41" t="inlineStr">
        <is>
          <t>дренаж</t>
        </is>
      </c>
      <c r="I92" s="41" t="inlineStr">
        <is>
          <t>дренаж</t>
        </is>
      </c>
      <c r="J92" s="41" t="inlineStr">
        <is>
          <t>Дренаж</t>
        </is>
      </c>
      <c r="K92" s="41" t="inlineStr">
        <is>
          <t>Материал</t>
        </is>
      </c>
      <c r="L92" s="41" t="inlineStr">
        <is>
          <t>Колодцы</t>
        </is>
      </c>
      <c r="M92" s="41" t="inlineStr">
        <is>
          <t>Материалы</t>
        </is>
      </c>
      <c r="N92" s="41" t="inlineStr">
        <is>
          <t>Показать строкой</t>
        </is>
      </c>
      <c r="O92" s="41" t="inlineStr">
        <is>
          <t>Высокая</t>
        </is>
      </c>
      <c r="P92" s="44" t="inlineStr">
        <is>
          <t>RMAT-0052</t>
        </is>
      </c>
      <c r="Q92" s="44" t="inlineStr">
        <is>
          <t>MV-0052</t>
        </is>
      </c>
      <c r="R92" s="41" t="inlineStr">
        <is>
          <t>Нет</t>
        </is>
      </c>
      <c r="S92" s="45" t="inlineStr">
        <is>
          <t>Нормализовано под генератор КП</t>
        </is>
      </c>
    </row>
    <row r="93">
      <c r="A93" s="42" t="inlineStr">
        <is>
          <t>SRC-0092</t>
        </is>
      </c>
      <c r="B93" s="42" t="inlineStr">
        <is>
          <t>Колодец дренажный смотровой 460/400х2000мм с дном и крышкой</t>
        </is>
      </c>
      <c r="C93" s="42" t="inlineStr">
        <is>
          <t>шт</t>
        </is>
      </c>
      <c r="D93" s="42" t="inlineStr">
        <is>
          <t>5400</t>
        </is>
      </c>
      <c r="E93" s="46" t="n">
        <v>5400</v>
      </c>
      <c r="F93" s="42" t="inlineStr">
        <is>
          <t>материалы</t>
        </is>
      </c>
      <c r="G93" s="42" t="inlineStr">
        <is>
          <t>дренаж</t>
        </is>
      </c>
      <c r="H93" s="42" t="inlineStr">
        <is>
          <t>дренаж</t>
        </is>
      </c>
      <c r="I93" s="42" t="inlineStr">
        <is>
          <t>дренаж</t>
        </is>
      </c>
      <c r="J93" s="42" t="inlineStr">
        <is>
          <t>Дренаж</t>
        </is>
      </c>
      <c r="K93" s="42" t="inlineStr">
        <is>
          <t>Материал</t>
        </is>
      </c>
      <c r="L93" s="42" t="inlineStr">
        <is>
          <t>Колодцы</t>
        </is>
      </c>
      <c r="M93" s="42" t="inlineStr">
        <is>
          <t>Материалы</t>
        </is>
      </c>
      <c r="N93" s="42" t="inlineStr">
        <is>
          <t>Показать строкой</t>
        </is>
      </c>
      <c r="O93" s="42" t="inlineStr">
        <is>
          <t>Высокая</t>
        </is>
      </c>
      <c r="P93" s="47" t="inlineStr">
        <is>
          <t>RMAT-0053</t>
        </is>
      </c>
      <c r="Q93" s="47" t="inlineStr">
        <is>
          <t>MV-0053</t>
        </is>
      </c>
      <c r="R93" s="42" t="inlineStr">
        <is>
          <t>Нет</t>
        </is>
      </c>
      <c r="S93" s="48" t="inlineStr">
        <is>
          <t>Нормализовано под генератор КП</t>
        </is>
      </c>
    </row>
    <row r="94">
      <c r="A94" s="41" t="inlineStr">
        <is>
          <t>SRC-0093</t>
        </is>
      </c>
      <c r="B94" s="41" t="inlineStr">
        <is>
          <t>Кольцо железобетонное паз/гребень КС10.9 d1000мм</t>
        </is>
      </c>
      <c r="C94" s="41" t="inlineStr">
        <is>
          <t>шт</t>
        </is>
      </c>
      <c r="D94" s="41" t="inlineStr">
        <is>
          <t>5566</t>
        </is>
      </c>
      <c r="E94" s="43" t="n">
        <v>5566</v>
      </c>
      <c r="F94" s="41" t="inlineStr">
        <is>
          <t>материалы</t>
        </is>
      </c>
      <c r="G94" s="41" t="inlineStr">
        <is>
          <t>Ливневая система</t>
        </is>
      </c>
      <c r="H94" s="41" t="inlineStr">
        <is>
          <t>ливневка</t>
        </is>
      </c>
      <c r="I94" s="41" t="inlineStr">
        <is>
          <t>ливневка</t>
        </is>
      </c>
      <c r="J94" s="41" t="inlineStr">
        <is>
          <t>Ливневая канализация</t>
        </is>
      </c>
      <c r="K94" s="41" t="inlineStr">
        <is>
          <t>Материал</t>
        </is>
      </c>
      <c r="L94" s="41" t="inlineStr">
        <is>
          <t>Колодцы и перекрытия</t>
        </is>
      </c>
      <c r="M94" s="41" t="inlineStr">
        <is>
          <t>Материалы</t>
        </is>
      </c>
      <c r="N94" s="41" t="inlineStr">
        <is>
          <t>Показать строкой</t>
        </is>
      </c>
      <c r="O94" s="41" t="inlineStr">
        <is>
          <t>Высокая</t>
        </is>
      </c>
      <c r="P94" s="44" t="inlineStr">
        <is>
          <t>RMAT-0054</t>
        </is>
      </c>
      <c r="Q94" s="44" t="inlineStr">
        <is>
          <t>MV-0054</t>
        </is>
      </c>
      <c r="R94" s="41" t="inlineStr">
        <is>
          <t>Нет</t>
        </is>
      </c>
      <c r="S94" s="45" t="inlineStr">
        <is>
          <t>Нормализовано под генератор КП</t>
        </is>
      </c>
    </row>
    <row r="95">
      <c r="A95" s="42" t="inlineStr">
        <is>
          <t>SRC-0094</t>
        </is>
      </c>
      <c r="B95" s="42" t="inlineStr">
        <is>
          <t>Кольцо железобетонное регулировочное КО-6 d840мм</t>
        </is>
      </c>
      <c r="C95" s="42" t="inlineStr">
        <is>
          <t>шт</t>
        </is>
      </c>
      <c r="D95" s="42" t="inlineStr">
        <is>
          <t>810</t>
        </is>
      </c>
      <c r="E95" s="46" t="n">
        <v>810</v>
      </c>
      <c r="F95" s="42" t="inlineStr">
        <is>
          <t>материалы</t>
        </is>
      </c>
      <c r="G95" s="42" t="inlineStr">
        <is>
          <t>Ливневая система</t>
        </is>
      </c>
      <c r="H95" s="42" t="inlineStr">
        <is>
          <t>ливневка</t>
        </is>
      </c>
      <c r="I95" s="42" t="inlineStr">
        <is>
          <t>ливневка</t>
        </is>
      </c>
      <c r="J95" s="42" t="inlineStr">
        <is>
          <t>Ливневая канализация</t>
        </is>
      </c>
      <c r="K95" s="42" t="inlineStr">
        <is>
          <t>Материал</t>
        </is>
      </c>
      <c r="L95" s="42" t="inlineStr">
        <is>
          <t>Колодцы и перекрытия</t>
        </is>
      </c>
      <c r="M95" s="42" t="inlineStr">
        <is>
          <t>Материалы</t>
        </is>
      </c>
      <c r="N95" s="42" t="inlineStr">
        <is>
          <t>Показать строкой</t>
        </is>
      </c>
      <c r="O95" s="42" t="inlineStr">
        <is>
          <t>Высокая</t>
        </is>
      </c>
      <c r="P95" s="47" t="inlineStr">
        <is>
          <t>RMAT-0055</t>
        </is>
      </c>
      <c r="Q95" s="47" t="inlineStr">
        <is>
          <t>MV-0055</t>
        </is>
      </c>
      <c r="R95" s="42" t="inlineStr">
        <is>
          <t>Нет</t>
        </is>
      </c>
      <c r="S95" s="48" t="inlineStr">
        <is>
          <t>Нормализовано под генератор КП</t>
        </is>
      </c>
    </row>
    <row r="96">
      <c r="A96" s="41" t="inlineStr">
        <is>
          <t>SRC-0095</t>
        </is>
      </c>
      <c r="B96" s="41" t="inlineStr">
        <is>
          <t>Кольцо железобетонное с днищем ДК-10.9 d1000мм</t>
        </is>
      </c>
      <c r="C96" s="41" t="inlineStr">
        <is>
          <t>шт</t>
        </is>
      </c>
      <c r="D96" s="41" t="inlineStr">
        <is>
          <t>8165</t>
        </is>
      </c>
      <c r="E96" s="43" t="n">
        <v>8165</v>
      </c>
      <c r="F96" s="41" t="inlineStr">
        <is>
          <t>материалы</t>
        </is>
      </c>
      <c r="G96" s="41" t="inlineStr">
        <is>
          <t>Ливневая система</t>
        </is>
      </c>
      <c r="H96" s="41" t="inlineStr">
        <is>
          <t>ливневка</t>
        </is>
      </c>
      <c r="I96" s="41" t="inlineStr">
        <is>
          <t>ливневка</t>
        </is>
      </c>
      <c r="J96" s="41" t="inlineStr">
        <is>
          <t>Ливневая канализация</t>
        </is>
      </c>
      <c r="K96" s="41" t="inlineStr">
        <is>
          <t>Материал</t>
        </is>
      </c>
      <c r="L96" s="41" t="inlineStr">
        <is>
          <t>Колодцы и перекрытия</t>
        </is>
      </c>
      <c r="M96" s="41" t="inlineStr">
        <is>
          <t>Материалы</t>
        </is>
      </c>
      <c r="N96" s="41" t="inlineStr">
        <is>
          <t>Показать строкой</t>
        </is>
      </c>
      <c r="O96" s="41" t="inlineStr">
        <is>
          <t>Высокая</t>
        </is>
      </c>
      <c r="P96" s="44" t="inlineStr">
        <is>
          <t>RMAT-0056</t>
        </is>
      </c>
      <c r="Q96" s="44" t="inlineStr">
        <is>
          <t>MV-0056</t>
        </is>
      </c>
      <c r="R96" s="41" t="inlineStr">
        <is>
          <t>Нет</t>
        </is>
      </c>
      <c r="S96" s="45" t="inlineStr">
        <is>
          <t>Нормализовано под генератор КП</t>
        </is>
      </c>
    </row>
    <row r="97">
      <c r="A97" s="42" t="inlineStr">
        <is>
          <t>SRC-0096</t>
        </is>
      </c>
      <c r="B97" s="42" t="inlineStr">
        <is>
          <t>Консервация системы полива на зиму</t>
        </is>
      </c>
      <c r="C97" s="42" t="inlineStr">
        <is>
          <t>компл</t>
        </is>
      </c>
      <c r="D97" s="42" t="inlineStr">
        <is>
          <t>36000</t>
        </is>
      </c>
      <c r="E97" s="46" t="n">
        <v>36000</v>
      </c>
      <c r="F97" s="42" t="inlineStr">
        <is>
          <t>работа</t>
        </is>
      </c>
      <c r="G97" s="42" t="inlineStr">
        <is>
          <t>дренаж</t>
        </is>
      </c>
      <c r="H97" s="42" t="inlineStr">
        <is>
          <t>дренаж</t>
        </is>
      </c>
      <c r="I97" s="42" t="inlineStr">
        <is>
          <t>дренаж</t>
        </is>
      </c>
      <c r="J97" s="42" t="inlineStr">
        <is>
          <t>Полив</t>
        </is>
      </c>
      <c r="K97" s="42" t="inlineStr">
        <is>
          <t>Работа</t>
        </is>
      </c>
      <c r="L97" s="42" t="inlineStr">
        <is>
          <t>Консервация / сервис</t>
        </is>
      </c>
      <c r="M97" s="42" t="inlineStr">
        <is>
          <t>Основные работы</t>
        </is>
      </c>
      <c r="N97" s="42" t="inlineStr">
        <is>
          <t>Показать строкой</t>
        </is>
      </c>
      <c r="O97" s="42" t="inlineStr">
        <is>
          <t>Высокая</t>
        </is>
      </c>
      <c r="P97" s="47" t="inlineStr">
        <is>
          <t>RWORK-0040</t>
        </is>
      </c>
      <c r="Q97" s="47" t="inlineStr"/>
      <c r="R97" s="42" t="inlineStr">
        <is>
          <t>Нет</t>
        </is>
      </c>
      <c r="S97" s="48" t="inlineStr">
        <is>
          <t>Нормализовано под генератор КП</t>
        </is>
      </c>
    </row>
    <row r="98">
      <c r="A98" s="41" t="inlineStr">
        <is>
          <t>SRC-0097</t>
        </is>
      </c>
      <c r="B98" s="41" t="inlineStr">
        <is>
          <t>Копка траншеи под кабель в песчаном грунте</t>
        </is>
      </c>
      <c r="C98" s="41" t="inlineStr">
        <is>
          <t>м.пог.</t>
        </is>
      </c>
      <c r="D98" s="41" t="inlineStr">
        <is>
          <t>50</t>
        </is>
      </c>
      <c r="E98" s="43" t="n">
        <v>50</v>
      </c>
      <c r="F98" s="41" t="inlineStr">
        <is>
          <t>работа</t>
        </is>
      </c>
      <c r="G98" s="41" t="inlineStr">
        <is>
          <t>Дополнительные работы.</t>
        </is>
      </c>
      <c r="H98" s="41" t="inlineStr">
        <is>
          <t>Дополнительные работы.</t>
        </is>
      </c>
      <c r="I98" s="41" t="inlineStr">
        <is>
          <t>Дополнительные работы.</t>
        </is>
      </c>
      <c r="J98" s="41" t="inlineStr">
        <is>
          <t>Закладные / коммуникации</t>
        </is>
      </c>
      <c r="K98" s="41" t="inlineStr">
        <is>
          <t>Работа</t>
        </is>
      </c>
      <c r="L98" s="41" t="inlineStr">
        <is>
          <t>Кабельная траншея</t>
        </is>
      </c>
      <c r="M98" s="41" t="inlineStr">
        <is>
          <t>Основные работы</t>
        </is>
      </c>
      <c r="N98" s="41" t="inlineStr">
        <is>
          <t>Показать строкой</t>
        </is>
      </c>
      <c r="O98" s="41" t="inlineStr">
        <is>
          <t>Высокая</t>
        </is>
      </c>
      <c r="P98" s="44" t="inlineStr">
        <is>
          <t>RWORK-0041</t>
        </is>
      </c>
      <c r="Q98" s="44" t="inlineStr"/>
      <c r="R98" s="41" t="inlineStr">
        <is>
          <t>Нет</t>
        </is>
      </c>
      <c r="S98" s="45" t="inlineStr">
        <is>
          <t>Перенесено из мусорной категории "Дополнительные работы."</t>
        </is>
      </c>
    </row>
    <row r="99">
      <c r="A99" s="42" t="inlineStr">
        <is>
          <t>SRC-0098</t>
        </is>
      </c>
      <c r="B99" s="42" t="inlineStr">
        <is>
          <t>Короб метал. для подвода кабеля к щиту 100*100мм оцинк., неперфорированный, h=1,5м</t>
        </is>
      </c>
      <c r="C99" s="42" t="inlineStr">
        <is>
          <t>компл</t>
        </is>
      </c>
      <c r="D99" s="42" t="inlineStr">
        <is>
          <t>1000</t>
        </is>
      </c>
      <c r="E99" s="46" t="n">
        <v>1000</v>
      </c>
      <c r="F99" s="42" t="inlineStr">
        <is>
          <t>материалы</t>
        </is>
      </c>
      <c r="G99" s="42" t="inlineStr">
        <is>
          <t>Освещение</t>
        </is>
      </c>
      <c r="H99" s="42" t="inlineStr">
        <is>
          <t>Освещение</t>
        </is>
      </c>
      <c r="I99" s="42" t="inlineStr">
        <is>
          <t>Освещение</t>
        </is>
      </c>
      <c r="J99" s="42" t="inlineStr">
        <is>
          <t>Освещение</t>
        </is>
      </c>
      <c r="K99" s="42" t="inlineStr">
        <is>
          <t>Материал</t>
        </is>
      </c>
      <c r="L99" s="42" t="inlineStr">
        <is>
          <t>Оборудование и комплектующие</t>
        </is>
      </c>
      <c r="M99" s="42" t="inlineStr">
        <is>
          <t>Материалы</t>
        </is>
      </c>
      <c r="N99" s="42" t="inlineStr">
        <is>
          <t>Показать строкой</t>
        </is>
      </c>
      <c r="O99" s="42" t="inlineStr">
        <is>
          <t>Высокая</t>
        </is>
      </c>
      <c r="P99" s="47" t="inlineStr">
        <is>
          <t>RMAT-0057</t>
        </is>
      </c>
      <c r="Q99" s="47" t="inlineStr">
        <is>
          <t>MV-0057</t>
        </is>
      </c>
      <c r="R99" s="42" t="inlineStr">
        <is>
          <t>Нет</t>
        </is>
      </c>
      <c r="S99" s="48" t="inlineStr">
        <is>
          <t>Нормализовано под генератор КП</t>
        </is>
      </c>
    </row>
    <row r="100">
      <c r="A100" s="41" t="inlineStr">
        <is>
          <t>SRC-0099</t>
        </is>
      </c>
      <c r="B100" s="41" t="inlineStr">
        <is>
          <t>Корчевка поросли механическая и ручная очистка участка от выкорчеванной поросли</t>
        </is>
      </c>
      <c r="C100" s="41" t="inlineStr">
        <is>
          <t>м2</t>
        </is>
      </c>
      <c r="D100" s="41" t="inlineStr">
        <is>
          <t>300</t>
        </is>
      </c>
      <c r="E100" s="43" t="n">
        <v>300</v>
      </c>
      <c r="F100" s="41" t="inlineStr">
        <is>
          <t>работа</t>
        </is>
      </c>
      <c r="G100" s="41" t="inlineStr">
        <is>
          <t>Земельные работы</t>
        </is>
      </c>
      <c r="H100" s="41" t="inlineStr">
        <is>
          <t>Дополнительные работы.</t>
        </is>
      </c>
      <c r="I100" s="41" t="inlineStr">
        <is>
          <t>Дополнительные работы.</t>
        </is>
      </c>
      <c r="J100" s="41" t="inlineStr">
        <is>
          <t>Демонтаж и расчистка</t>
        </is>
      </c>
      <c r="K100" s="41" t="inlineStr">
        <is>
          <t>Работа</t>
        </is>
      </c>
      <c r="L100" s="41" t="inlineStr">
        <is>
          <t>Корчевка и расчистка</t>
        </is>
      </c>
      <c r="M100" s="41" t="inlineStr">
        <is>
          <t>Основные работы</t>
        </is>
      </c>
      <c r="N100" s="41" t="inlineStr">
        <is>
          <t>Показать строкой</t>
        </is>
      </c>
      <c r="O100" s="41" t="inlineStr">
        <is>
          <t>Высокая</t>
        </is>
      </c>
      <c r="P100" s="44" t="inlineStr">
        <is>
          <t>RWORK-0042</t>
        </is>
      </c>
      <c r="Q100" s="44" t="inlineStr"/>
      <c r="R100" s="41" t="inlineStr">
        <is>
          <t>Нет</t>
        </is>
      </c>
      <c r="S100" s="45" t="inlineStr">
        <is>
          <t>Перенесено из мусорной категории "Дополнительные работы."</t>
        </is>
      </c>
    </row>
    <row r="101">
      <c r="A101" s="42" t="inlineStr">
        <is>
          <t>SRC-0100</t>
        </is>
      </c>
      <c r="B101" s="42" t="inlineStr">
        <is>
          <t>Краска Pinotex Extreme One. Колеровка утренний туман 005</t>
        </is>
      </c>
      <c r="C101" s="42" t="inlineStr">
        <is>
          <t>л</t>
        </is>
      </c>
      <c r="D101" s="42" t="inlineStr">
        <is>
          <t>1300</t>
        </is>
      </c>
      <c r="E101" s="46" t="n">
        <v>1300</v>
      </c>
      <c r="F101" s="42" t="inlineStr">
        <is>
          <t>материалы</t>
        </is>
      </c>
      <c r="G101" s="42" t="inlineStr">
        <is>
          <t>2 мощ-е - подг-ка осн-я</t>
        </is>
      </c>
      <c r="H101" s="42" t="inlineStr">
        <is>
          <t>Мощение</t>
        </is>
      </c>
      <c r="I101" s="42" t="inlineStr">
        <is>
          <t>Мощение</t>
        </is>
      </c>
      <c r="J101" s="42" t="inlineStr">
        <is>
          <t>Мощение</t>
        </is>
      </c>
      <c r="K101" s="42" t="inlineStr">
        <is>
          <t>Материал</t>
        </is>
      </c>
      <c r="L101" s="42" t="inlineStr">
        <is>
          <t>Конструкции и отделка</t>
        </is>
      </c>
      <c r="M101" s="42" t="inlineStr">
        <is>
          <t>Материалы</t>
        </is>
      </c>
      <c r="N101" s="42" t="inlineStr">
        <is>
          <t>Показать строкой</t>
        </is>
      </c>
      <c r="O101" s="42" t="inlineStr">
        <is>
          <t>Высокая</t>
        </is>
      </c>
      <c r="P101" s="47" t="inlineStr">
        <is>
          <t>RMAT-0058</t>
        </is>
      </c>
      <c r="Q101" s="47" t="inlineStr">
        <is>
          <t>MV-0058</t>
        </is>
      </c>
      <c r="R101" s="42" t="inlineStr">
        <is>
          <t>Нет</t>
        </is>
      </c>
      <c r="S101" s="48" t="inlineStr">
        <is>
          <t>Нормализовано под генератор КП</t>
        </is>
      </c>
    </row>
    <row r="102">
      <c r="A102" s="41" t="inlineStr">
        <is>
          <t>SRC-0101</t>
        </is>
      </c>
      <c r="B102" s="41" t="inlineStr">
        <is>
          <t>Крышка для железобетонного кольца ПП10 d1000мм</t>
        </is>
      </c>
      <c r="C102" s="41" t="inlineStr">
        <is>
          <t>шт</t>
        </is>
      </c>
      <c r="D102" s="41" t="inlineStr">
        <is>
          <t>4115</t>
        </is>
      </c>
      <c r="E102" s="43" t="n">
        <v>4115</v>
      </c>
      <c r="F102" s="41" t="inlineStr">
        <is>
          <t>материалы</t>
        </is>
      </c>
      <c r="G102" s="41" t="inlineStr">
        <is>
          <t>Ливневая система</t>
        </is>
      </c>
      <c r="H102" s="41" t="inlineStr">
        <is>
          <t>ливневка</t>
        </is>
      </c>
      <c r="I102" s="41" t="inlineStr">
        <is>
          <t>ливневка</t>
        </is>
      </c>
      <c r="J102" s="41" t="inlineStr">
        <is>
          <t>Ливневая канализация</t>
        </is>
      </c>
      <c r="K102" s="41" t="inlineStr">
        <is>
          <t>Материал</t>
        </is>
      </c>
      <c r="L102" s="41" t="inlineStr">
        <is>
          <t>Колодцы и перекрытия</t>
        </is>
      </c>
      <c r="M102" s="41" t="inlineStr">
        <is>
          <t>Материалы</t>
        </is>
      </c>
      <c r="N102" s="41" t="inlineStr">
        <is>
          <t>Показать строкой</t>
        </is>
      </c>
      <c r="O102" s="41" t="inlineStr">
        <is>
          <t>Высокая</t>
        </is>
      </c>
      <c r="P102" s="44" t="inlineStr">
        <is>
          <t>RMAT-0059</t>
        </is>
      </c>
      <c r="Q102" s="44" t="inlineStr">
        <is>
          <t>MV-0059</t>
        </is>
      </c>
      <c r="R102" s="41" t="inlineStr">
        <is>
          <t>Нет</t>
        </is>
      </c>
      <c r="S102" s="45" t="inlineStr">
        <is>
          <t>Нормализовано под генератор КП</t>
        </is>
      </c>
    </row>
    <row r="103">
      <c r="A103" s="42" t="inlineStr">
        <is>
          <t>SRC-0102</t>
        </is>
      </c>
      <c r="B103" s="42" t="inlineStr">
        <is>
          <t>Лента диодная влагозащищенная, профиль</t>
        </is>
      </c>
      <c r="C103" s="42" t="inlineStr">
        <is>
          <t>м.пог.</t>
        </is>
      </c>
      <c r="D103" s="42" t="inlineStr">
        <is>
          <t>10000</t>
        </is>
      </c>
      <c r="E103" s="46" t="n">
        <v>10000</v>
      </c>
      <c r="F103" s="42" t="inlineStr">
        <is>
          <t>материалы</t>
        </is>
      </c>
      <c r="G103" s="42" t="inlineStr">
        <is>
          <t>Освещение</t>
        </is>
      </c>
      <c r="H103" s="42" t="inlineStr">
        <is>
          <t>Освещение</t>
        </is>
      </c>
      <c r="I103" s="42" t="inlineStr">
        <is>
          <t>Освещение</t>
        </is>
      </c>
      <c r="J103" s="42" t="inlineStr">
        <is>
          <t>Освещение</t>
        </is>
      </c>
      <c r="K103" s="42" t="inlineStr">
        <is>
          <t>Материал</t>
        </is>
      </c>
      <c r="L103" s="42" t="inlineStr">
        <is>
          <t>Оборудование и комплектующие</t>
        </is>
      </c>
      <c r="M103" s="42" t="inlineStr">
        <is>
          <t>Материалы</t>
        </is>
      </c>
      <c r="N103" s="42" t="inlineStr">
        <is>
          <t>Показать строкой</t>
        </is>
      </c>
      <c r="O103" s="42" t="inlineStr">
        <is>
          <t>Высокая</t>
        </is>
      </c>
      <c r="P103" s="47" t="inlineStr">
        <is>
          <t>RMAT-0060</t>
        </is>
      </c>
      <c r="Q103" s="47" t="inlineStr">
        <is>
          <t>MV-0060</t>
        </is>
      </c>
      <c r="R103" s="42" t="inlineStr">
        <is>
          <t>Нет</t>
        </is>
      </c>
      <c r="S103" s="48" t="inlineStr">
        <is>
          <t>Нормализовано под генератор КП</t>
        </is>
      </c>
    </row>
    <row r="104">
      <c r="A104" s="41" t="inlineStr">
        <is>
          <t>SRC-0103</t>
        </is>
      </c>
      <c r="B104" s="41" t="inlineStr">
        <is>
          <t>Лента сигнальная 100м</t>
        </is>
      </c>
      <c r="C104" s="41" t="inlineStr">
        <is>
          <t>шт</t>
        </is>
      </c>
      <c r="D104" s="41" t="inlineStr">
        <is>
          <t>1500</t>
        </is>
      </c>
      <c r="E104" s="43" t="n">
        <v>1500</v>
      </c>
      <c r="F104" s="41" t="inlineStr">
        <is>
          <t>материалы</t>
        </is>
      </c>
      <c r="G104" s="41" t="inlineStr">
        <is>
          <t>Освещение</t>
        </is>
      </c>
      <c r="H104" s="41" t="inlineStr">
        <is>
          <t>Освещение</t>
        </is>
      </c>
      <c r="I104" s="41" t="inlineStr">
        <is>
          <t>Освещение</t>
        </is>
      </c>
      <c r="J104" s="41" t="inlineStr">
        <is>
          <t>Освещение</t>
        </is>
      </c>
      <c r="K104" s="41" t="inlineStr">
        <is>
          <t>Материал</t>
        </is>
      </c>
      <c r="L104" s="41" t="inlineStr">
        <is>
          <t>Кабельная инфраструктура</t>
        </is>
      </c>
      <c r="M104" s="41" t="inlineStr">
        <is>
          <t>Материалы</t>
        </is>
      </c>
      <c r="N104" s="41" t="inlineStr">
        <is>
          <t>Показать строкой</t>
        </is>
      </c>
      <c r="O104" s="41" t="inlineStr">
        <is>
          <t>Высокая</t>
        </is>
      </c>
      <c r="P104" s="44" t="inlineStr">
        <is>
          <t>RMAT-0061</t>
        </is>
      </c>
      <c r="Q104" s="44" t="inlineStr">
        <is>
          <t>MV-0061</t>
        </is>
      </c>
      <c r="R104" s="41" t="inlineStr">
        <is>
          <t>Нет</t>
        </is>
      </c>
      <c r="S104" s="45" t="inlineStr">
        <is>
          <t>Нормализовано под генератор КП</t>
        </is>
      </c>
    </row>
    <row r="105">
      <c r="A105" s="42" t="inlineStr">
        <is>
          <t>SRC-0104</t>
        </is>
      </c>
      <c r="B105" s="42" t="inlineStr">
        <is>
          <t>линия подвязки</t>
        </is>
      </c>
      <c r="C105" s="42" t="inlineStr">
        <is>
          <t>шт</t>
        </is>
      </c>
      <c r="D105" s="42" t="inlineStr">
        <is>
          <t>4000</t>
        </is>
      </c>
      <c r="E105" s="46" t="n">
        <v>4000</v>
      </c>
      <c r="F105" s="42" t="inlineStr">
        <is>
          <t>материалы</t>
        </is>
      </c>
      <c r="G105" s="42" t="inlineStr">
        <is>
          <t>2 мощ-е - подг-ка осн-я</t>
        </is>
      </c>
      <c r="H105" s="42" t="inlineStr">
        <is>
          <t>Мощение</t>
        </is>
      </c>
      <c r="I105" s="42" t="inlineStr">
        <is>
          <t>Мощение</t>
        </is>
      </c>
      <c r="J105" s="42" t="inlineStr">
        <is>
          <t>Мощение</t>
        </is>
      </c>
      <c r="K105" s="42" t="inlineStr">
        <is>
          <t>Материал</t>
        </is>
      </c>
      <c r="L105" s="42" t="inlineStr">
        <is>
          <t>Прочее по мощению</t>
        </is>
      </c>
      <c r="M105" s="42" t="inlineStr">
        <is>
          <t>Материалы</t>
        </is>
      </c>
      <c r="N105" s="42" t="inlineStr">
        <is>
          <t>Показать строкой</t>
        </is>
      </c>
      <c r="O105" s="42" t="inlineStr">
        <is>
          <t>Высокая</t>
        </is>
      </c>
      <c r="P105" s="47" t="inlineStr">
        <is>
          <t>RMAT-0062</t>
        </is>
      </c>
      <c r="Q105" s="47" t="inlineStr">
        <is>
          <t>MV-0062</t>
        </is>
      </c>
      <c r="R105" s="42" t="inlineStr">
        <is>
          <t>Нет</t>
        </is>
      </c>
      <c r="S105" s="48" t="inlineStr">
        <is>
          <t>Нормализовано под генератор КП</t>
        </is>
      </c>
    </row>
    <row r="106">
      <c r="A106" s="41" t="inlineStr">
        <is>
          <t>SRC-0105</t>
        </is>
      </c>
      <c r="B106" s="41" t="inlineStr">
        <is>
          <t>Лоток пластиковый ЛВ-10.16.12-ПП с решетками ячеистыми чугунными</t>
        </is>
      </c>
      <c r="C106" s="41" t="inlineStr">
        <is>
          <t>м.пог.</t>
        </is>
      </c>
      <c r="D106" s="41" t="inlineStr">
        <is>
          <t>4010</t>
        </is>
      </c>
      <c r="E106" s="43" t="n">
        <v>4010</v>
      </c>
      <c r="F106" s="41" t="inlineStr">
        <is>
          <t>материалы</t>
        </is>
      </c>
      <c r="G106" s="41" t="inlineStr">
        <is>
          <t>Ливневая система</t>
        </is>
      </c>
      <c r="H106" s="41" t="inlineStr">
        <is>
          <t>ливневка</t>
        </is>
      </c>
      <c r="I106" s="41" t="inlineStr">
        <is>
          <t>ливневка</t>
        </is>
      </c>
      <c r="J106" s="41" t="inlineStr">
        <is>
          <t>Ливневая канализация</t>
        </is>
      </c>
      <c r="K106" s="41" t="inlineStr">
        <is>
          <t>Материал</t>
        </is>
      </c>
      <c r="L106" s="41" t="inlineStr">
        <is>
          <t>Приемные и линейные элементы</t>
        </is>
      </c>
      <c r="M106" s="41" t="inlineStr">
        <is>
          <t>Материалы</t>
        </is>
      </c>
      <c r="N106" s="41" t="inlineStr">
        <is>
          <t>Показать строкой</t>
        </is>
      </c>
      <c r="O106" s="41" t="inlineStr">
        <is>
          <t>Высокая</t>
        </is>
      </c>
      <c r="P106" s="44" t="inlineStr">
        <is>
          <t>RMAT-0063</t>
        </is>
      </c>
      <c r="Q106" s="44" t="inlineStr">
        <is>
          <t>MV-0063</t>
        </is>
      </c>
      <c r="R106" s="41" t="inlineStr">
        <is>
          <t>Нет</t>
        </is>
      </c>
      <c r="S106" s="45" t="inlineStr">
        <is>
          <t>Нормализовано под генератор КП</t>
        </is>
      </c>
    </row>
    <row r="107">
      <c r="A107" s="42" t="inlineStr">
        <is>
          <t>SRC-0106</t>
        </is>
      </c>
      <c r="B107" s="42" t="inlineStr">
        <is>
          <t>Люк садовый пластиковый черный «ДОМИК» d800мм</t>
        </is>
      </c>
      <c r="C107" s="42" t="inlineStr">
        <is>
          <t>шт</t>
        </is>
      </c>
      <c r="D107" s="42" t="inlineStr">
        <is>
          <t>3640</t>
        </is>
      </c>
      <c r="E107" s="46" t="n">
        <v>3640</v>
      </c>
      <c r="F107" s="42" t="inlineStr">
        <is>
          <t>материалы</t>
        </is>
      </c>
      <c r="G107" s="42" t="inlineStr">
        <is>
          <t>Ливневая система</t>
        </is>
      </c>
      <c r="H107" s="42" t="inlineStr">
        <is>
          <t>ливневка</t>
        </is>
      </c>
      <c r="I107" s="42" t="inlineStr">
        <is>
          <t>ливневка</t>
        </is>
      </c>
      <c r="J107" s="42" t="inlineStr">
        <is>
          <t>Ливневая канализация</t>
        </is>
      </c>
      <c r="K107" s="42" t="inlineStr">
        <is>
          <t>Материал</t>
        </is>
      </c>
      <c r="L107" s="42" t="inlineStr">
        <is>
          <t>Колодцы и перекрытия</t>
        </is>
      </c>
      <c r="M107" s="42" t="inlineStr">
        <is>
          <t>Материалы</t>
        </is>
      </c>
      <c r="N107" s="42" t="inlineStr">
        <is>
          <t>Показать строкой</t>
        </is>
      </c>
      <c r="O107" s="42" t="inlineStr">
        <is>
          <t>Высокая</t>
        </is>
      </c>
      <c r="P107" s="47" t="inlineStr">
        <is>
          <t>RMAT-0064</t>
        </is>
      </c>
      <c r="Q107" s="47" t="inlineStr">
        <is>
          <t>MV-0064</t>
        </is>
      </c>
      <c r="R107" s="42" t="inlineStr">
        <is>
          <t>Нет</t>
        </is>
      </c>
      <c r="S107" s="48" t="inlineStr">
        <is>
          <t>Нормализовано под генератор КП</t>
        </is>
      </c>
    </row>
    <row r="108">
      <c r="A108" s="41" t="inlineStr">
        <is>
          <t>SRC-0107</t>
        </is>
      </c>
      <c r="B108" s="41" t="inlineStr">
        <is>
          <t>Мастика битумная</t>
        </is>
      </c>
      <c r="C108" s="41" t="inlineStr">
        <is>
          <t>кг</t>
        </is>
      </c>
      <c r="D108" s="41" t="inlineStr">
        <is>
          <t>330</t>
        </is>
      </c>
      <c r="E108" s="43" t="n">
        <v>330</v>
      </c>
      <c r="F108" s="41" t="inlineStr">
        <is>
          <t>материалы</t>
        </is>
      </c>
      <c r="G108" s="41" t="inlineStr">
        <is>
          <t>2 мощ-е - подг-ка осн-я</t>
        </is>
      </c>
      <c r="H108" s="41" t="inlineStr">
        <is>
          <t>Мощение</t>
        </is>
      </c>
      <c r="I108" s="41" t="inlineStr">
        <is>
          <t>Мощение</t>
        </is>
      </c>
      <c r="J108" s="41" t="inlineStr">
        <is>
          <t>Мощение</t>
        </is>
      </c>
      <c r="K108" s="41" t="inlineStr">
        <is>
          <t>Материал</t>
        </is>
      </c>
      <c r="L108" s="41" t="inlineStr">
        <is>
          <t>Бетон и конструктив</t>
        </is>
      </c>
      <c r="M108" s="41" t="inlineStr">
        <is>
          <t>Материалы</t>
        </is>
      </c>
      <c r="N108" s="41" t="inlineStr">
        <is>
          <t>Показать строкой</t>
        </is>
      </c>
      <c r="O108" s="41" t="inlineStr">
        <is>
          <t>Высокая</t>
        </is>
      </c>
      <c r="P108" s="44" t="inlineStr">
        <is>
          <t>RMAT-0065</t>
        </is>
      </c>
      <c r="Q108" s="44" t="inlineStr">
        <is>
          <t>MV-0065</t>
        </is>
      </c>
      <c r="R108" s="41" t="inlineStr">
        <is>
          <t>Нет</t>
        </is>
      </c>
      <c r="S108" s="45" t="inlineStr">
        <is>
          <t>Нормализовано под генератор КП</t>
        </is>
      </c>
    </row>
    <row r="109">
      <c r="A109" s="42" t="inlineStr">
        <is>
          <t>SRC-0108</t>
        </is>
      </c>
      <c r="B109" s="42" t="inlineStr">
        <is>
          <t>Мастика битумная, 20л</t>
        </is>
      </c>
      <c r="C109" s="42" t="inlineStr">
        <is>
          <t>шт</t>
        </is>
      </c>
      <c r="D109" s="42" t="inlineStr">
        <is>
          <t>3910</t>
        </is>
      </c>
      <c r="E109" s="46" t="n">
        <v>3910</v>
      </c>
      <c r="F109" s="42" t="inlineStr">
        <is>
          <t>материалы</t>
        </is>
      </c>
      <c r="G109" s="42" t="inlineStr">
        <is>
          <t>Ливневая система</t>
        </is>
      </c>
      <c r="H109" s="42" t="inlineStr">
        <is>
          <t>ливневка</t>
        </is>
      </c>
      <c r="I109" s="42" t="inlineStr">
        <is>
          <t>ливневка</t>
        </is>
      </c>
      <c r="J109" s="42" t="inlineStr">
        <is>
          <t>Ливневая канализация</t>
        </is>
      </c>
      <c r="K109" s="42" t="inlineStr">
        <is>
          <t>Материал</t>
        </is>
      </c>
      <c r="L109" s="42" t="inlineStr">
        <is>
          <t>Материалы и комплектующие</t>
        </is>
      </c>
      <c r="M109" s="42" t="inlineStr">
        <is>
          <t>Материалы</t>
        </is>
      </c>
      <c r="N109" s="42" t="inlineStr">
        <is>
          <t>Показать строкой</t>
        </is>
      </c>
      <c r="O109" s="42" t="inlineStr">
        <is>
          <t>Высокая</t>
        </is>
      </c>
      <c r="P109" s="47" t="inlineStr">
        <is>
          <t>RMAT-0066</t>
        </is>
      </c>
      <c r="Q109" s="47" t="inlineStr">
        <is>
          <t>MV-0066</t>
        </is>
      </c>
      <c r="R109" s="42" t="inlineStr">
        <is>
          <t>Нет</t>
        </is>
      </c>
      <c r="S109" s="48" t="inlineStr">
        <is>
          <t>Нормализовано под генератор КП</t>
        </is>
      </c>
    </row>
    <row r="110">
      <c r="A110" s="49" t="inlineStr">
        <is>
          <t>SRC-0109</t>
        </is>
      </c>
      <c r="B110" s="49" t="inlineStr">
        <is>
          <t>Материалы для разметки</t>
        </is>
      </c>
      <c r="C110" s="49" t="inlineStr">
        <is>
          <t>компл</t>
        </is>
      </c>
      <c r="D110" s="49" t="inlineStr">
        <is>
          <t>9000</t>
        </is>
      </c>
      <c r="E110" s="50" t="n">
        <v>9000</v>
      </c>
      <c r="F110" s="49" t="inlineStr">
        <is>
          <t>материалы</t>
        </is>
      </c>
      <c r="G110" s="49" t="inlineStr">
        <is>
          <t>Земельные работы</t>
        </is>
      </c>
      <c r="H110" s="49" t="inlineStr">
        <is>
          <t>Земельные работы</t>
        </is>
      </c>
      <c r="I110" s="49" t="inlineStr">
        <is>
          <t>Земельные работы</t>
        </is>
      </c>
      <c r="J110" s="49" t="inlineStr">
        <is>
          <t>Земляные и планировочные работы</t>
        </is>
      </c>
      <c r="K110" s="49" t="inlineStr">
        <is>
          <t>Материал</t>
        </is>
      </c>
      <c r="L110" s="49" t="inlineStr">
        <is>
          <t>Материалы</t>
        </is>
      </c>
      <c r="M110" s="49" t="inlineStr">
        <is>
          <t>Материалы</t>
        </is>
      </c>
      <c r="N110" s="49" t="inlineStr">
        <is>
          <t>Показать строкой</t>
        </is>
      </c>
      <c r="O110" s="49" t="inlineStr">
        <is>
          <t>Средняя</t>
        </is>
      </c>
      <c r="P110" s="51" t="inlineStr">
        <is>
          <t>RMAT-0067</t>
        </is>
      </c>
      <c r="Q110" s="51" t="inlineStr">
        <is>
          <t>MV-0067</t>
        </is>
      </c>
      <c r="R110" s="49" t="inlineStr">
        <is>
          <t>Да</t>
        </is>
      </c>
      <c r="S110" s="52" t="inlineStr">
        <is>
          <t>Нормализовано под генератор КП</t>
        </is>
      </c>
    </row>
    <row r="111">
      <c r="A111" s="42" t="inlineStr">
        <is>
          <t>SRC-0110</t>
        </is>
      </c>
      <c r="B111" s="42" t="inlineStr">
        <is>
          <t>Метизы</t>
        </is>
      </c>
      <c r="C111" s="42" t="inlineStr">
        <is>
          <t>кг</t>
        </is>
      </c>
      <c r="D111" s="42" t="inlineStr">
        <is>
          <t>2000</t>
        </is>
      </c>
      <c r="E111" s="46" t="n">
        <v>2000</v>
      </c>
      <c r="F111" s="42" t="inlineStr">
        <is>
          <t>материалы</t>
        </is>
      </c>
      <c r="G111" s="42" t="inlineStr">
        <is>
          <t>2 мощ-е - подг-ка осн-я</t>
        </is>
      </c>
      <c r="H111" s="42" t="inlineStr">
        <is>
          <t>Мощение</t>
        </is>
      </c>
      <c r="I111" s="42" t="inlineStr">
        <is>
          <t>Мощение</t>
        </is>
      </c>
      <c r="J111" s="42" t="inlineStr">
        <is>
          <t>Мощение</t>
        </is>
      </c>
      <c r="K111" s="42" t="inlineStr">
        <is>
          <t>Материал</t>
        </is>
      </c>
      <c r="L111" s="42" t="inlineStr">
        <is>
          <t>Прочее по мощению</t>
        </is>
      </c>
      <c r="M111" s="42" t="inlineStr">
        <is>
          <t>Материалы</t>
        </is>
      </c>
      <c r="N111" s="42" t="inlineStr">
        <is>
          <t>Показать строкой</t>
        </is>
      </c>
      <c r="O111" s="42" t="inlineStr">
        <is>
          <t>Высокая</t>
        </is>
      </c>
      <c r="P111" s="47" t="inlineStr">
        <is>
          <t>RMAT-0068</t>
        </is>
      </c>
      <c r="Q111" s="47" t="inlineStr">
        <is>
          <t>MV-0068</t>
        </is>
      </c>
      <c r="R111" s="42" t="inlineStr">
        <is>
          <t>Нет</t>
        </is>
      </c>
      <c r="S111" s="48" t="inlineStr">
        <is>
          <t>Нормализовано под генератор КП</t>
        </is>
      </c>
    </row>
    <row r="112">
      <c r="A112" s="41" t="inlineStr">
        <is>
          <t>SRC-0111</t>
        </is>
      </c>
      <c r="B112" s="41" t="inlineStr">
        <is>
          <t>Механическая планировка участка: выемка грунта</t>
        </is>
      </c>
      <c r="C112" s="41" t="inlineStr">
        <is>
          <t>м3</t>
        </is>
      </c>
      <c r="D112" s="41" t="inlineStr">
        <is>
          <t>500</t>
        </is>
      </c>
      <c r="E112" s="43" t="n">
        <v>500</v>
      </c>
      <c r="F112" s="41" t="inlineStr">
        <is>
          <t>работа</t>
        </is>
      </c>
      <c r="G112" s="41" t="inlineStr">
        <is>
          <t>Планировочные работы.</t>
        </is>
      </c>
      <c r="H112" s="41" t="inlineStr">
        <is>
          <t>Планировочные работы.</t>
        </is>
      </c>
      <c r="I112" s="41" t="inlineStr">
        <is>
          <t>Планировочные работы.</t>
        </is>
      </c>
      <c r="J112" s="41" t="inlineStr">
        <is>
          <t>Земляные и планировочные работы</t>
        </is>
      </c>
      <c r="K112" s="41" t="inlineStr">
        <is>
          <t>Работа</t>
        </is>
      </c>
      <c r="L112" s="41" t="inlineStr">
        <is>
          <t>Материалы</t>
        </is>
      </c>
      <c r="M112" s="41" t="inlineStr">
        <is>
          <t>Основные работы</t>
        </is>
      </c>
      <c r="N112" s="41" t="inlineStr">
        <is>
          <t>Показать строкой</t>
        </is>
      </c>
      <c r="O112" s="41" t="inlineStr">
        <is>
          <t>Высокая</t>
        </is>
      </c>
      <c r="P112" s="44" t="inlineStr">
        <is>
          <t>RWORK-0043</t>
        </is>
      </c>
      <c r="Q112" s="44" t="inlineStr"/>
      <c r="R112" s="41" t="inlineStr">
        <is>
          <t>Нет</t>
        </is>
      </c>
      <c r="S112" s="45" t="inlineStr">
        <is>
          <t>Нормализовано под генератор КП</t>
        </is>
      </c>
    </row>
    <row r="113">
      <c r="A113" s="42" t="inlineStr">
        <is>
          <t>SRC-0112</t>
        </is>
      </c>
      <c r="B113" s="42" t="inlineStr">
        <is>
          <t>Механическая планировка участка: снятие и подсыпка грунта</t>
        </is>
      </c>
      <c r="C113" s="42" t="inlineStr">
        <is>
          <t>м3</t>
        </is>
      </c>
      <c r="D113" s="42" t="inlineStr">
        <is>
          <t>400</t>
        </is>
      </c>
      <c r="E113" s="46" t="n">
        <v>400</v>
      </c>
      <c r="F113" s="42" t="inlineStr">
        <is>
          <t>работа</t>
        </is>
      </c>
      <c r="G113" s="42" t="inlineStr">
        <is>
          <t>Планировочные работы.</t>
        </is>
      </c>
      <c r="H113" s="42" t="inlineStr">
        <is>
          <t>Планировочные работы.</t>
        </is>
      </c>
      <c r="I113" s="42" t="inlineStr">
        <is>
          <t>Планировочные работы.</t>
        </is>
      </c>
      <c r="J113" s="42" t="inlineStr">
        <is>
          <t>Земляные и планировочные работы</t>
        </is>
      </c>
      <c r="K113" s="42" t="inlineStr">
        <is>
          <t>Работа</t>
        </is>
      </c>
      <c r="L113" s="42" t="inlineStr">
        <is>
          <t>Материалы</t>
        </is>
      </c>
      <c r="M113" s="42" t="inlineStr">
        <is>
          <t>Основные работы</t>
        </is>
      </c>
      <c r="N113" s="42" t="inlineStr">
        <is>
          <t>Показать строкой</t>
        </is>
      </c>
      <c r="O113" s="42" t="inlineStr">
        <is>
          <t>Высокая</t>
        </is>
      </c>
      <c r="P113" s="47" t="inlineStr">
        <is>
          <t>RWORK-0044</t>
        </is>
      </c>
      <c r="Q113" s="47" t="inlineStr"/>
      <c r="R113" s="42" t="inlineStr">
        <is>
          <t>Нет</t>
        </is>
      </c>
      <c r="S113" s="48" t="inlineStr">
        <is>
          <t>Нормализовано под генератор КП</t>
        </is>
      </c>
    </row>
    <row r="114">
      <c r="A114" s="41" t="inlineStr">
        <is>
          <t>SRC-0113</t>
        </is>
      </c>
      <c r="B114" s="41" t="inlineStr">
        <is>
          <t>Мини-геопластика: создание рельефа в лесной зоне</t>
        </is>
      </c>
      <c r="C114" s="41" t="inlineStr">
        <is>
          <t>м3</t>
        </is>
      </c>
      <c r="D114" s="41" t="inlineStr">
        <is>
          <t>1100</t>
        </is>
      </c>
      <c r="E114" s="43" t="n">
        <v>1100</v>
      </c>
      <c r="F114" s="41" t="inlineStr">
        <is>
          <t>работа</t>
        </is>
      </c>
      <c r="G114" s="41" t="inlineStr">
        <is>
          <t>Планировочные работы.</t>
        </is>
      </c>
      <c r="H114" s="41" t="inlineStr">
        <is>
          <t>Планировочные работы.</t>
        </is>
      </c>
      <c r="I114" s="41" t="inlineStr">
        <is>
          <t>Земельные работы</t>
        </is>
      </c>
      <c r="J114" s="41" t="inlineStr">
        <is>
          <t>Земляные и планировочные работы</t>
        </is>
      </c>
      <c r="K114" s="41" t="inlineStr">
        <is>
          <t>Работа</t>
        </is>
      </c>
      <c r="L114" s="41" t="inlineStr">
        <is>
          <t>Планировка и подготовка грунта</t>
        </is>
      </c>
      <c r="M114" s="41" t="inlineStr">
        <is>
          <t>Основные работы</t>
        </is>
      </c>
      <c r="N114" s="41" t="inlineStr">
        <is>
          <t>Показать строкой</t>
        </is>
      </c>
      <c r="O114" s="41" t="inlineStr">
        <is>
          <t>Высокая</t>
        </is>
      </c>
      <c r="P114" s="44" t="inlineStr">
        <is>
          <t>RWORK-0045</t>
        </is>
      </c>
      <c r="Q114" s="44" t="inlineStr"/>
      <c r="R114" s="41" t="inlineStr">
        <is>
          <t>Нет</t>
        </is>
      </c>
      <c r="S114" s="45" t="inlineStr">
        <is>
          <t>Нормализовано под генератор КП</t>
        </is>
      </c>
    </row>
    <row r="115">
      <c r="A115" s="42" t="inlineStr">
        <is>
          <t>SRC-0114</t>
        </is>
      </c>
      <c r="B115" s="42" t="inlineStr">
        <is>
          <t>монтаж алюминиевого каркаса с остеклением</t>
        </is>
      </c>
      <c r="C115" s="42" t="inlineStr">
        <is>
          <t>компл</t>
        </is>
      </c>
      <c r="D115" s="42" t="inlineStr">
        <is>
          <t>30000</t>
        </is>
      </c>
      <c r="E115" s="46" t="n">
        <v>30000</v>
      </c>
      <c r="F115" s="42" t="inlineStr">
        <is>
          <t>работа</t>
        </is>
      </c>
      <c r="G115" s="42" t="inlineStr">
        <is>
          <t>2 мощ-е - подг-ка осн-я</t>
        </is>
      </c>
      <c r="H115" s="42" t="inlineStr">
        <is>
          <t>Мощение</t>
        </is>
      </c>
      <c r="I115" s="42" t="inlineStr">
        <is>
          <t>Мощение</t>
        </is>
      </c>
      <c r="J115" s="42" t="inlineStr">
        <is>
          <t>Мощение</t>
        </is>
      </c>
      <c r="K115" s="42" t="inlineStr">
        <is>
          <t>Работа</t>
        </is>
      </c>
      <c r="L115" s="42" t="inlineStr">
        <is>
          <t>Конструкции и отделка</t>
        </is>
      </c>
      <c r="M115" s="42" t="inlineStr">
        <is>
          <t>Основные работы</t>
        </is>
      </c>
      <c r="N115" s="42" t="inlineStr">
        <is>
          <t>Показать строкой</t>
        </is>
      </c>
      <c r="O115" s="42" t="inlineStr">
        <is>
          <t>Высокая</t>
        </is>
      </c>
      <c r="P115" s="47" t="inlineStr">
        <is>
          <t>RWORK-0046</t>
        </is>
      </c>
      <c r="Q115" s="47" t="inlineStr"/>
      <c r="R115" s="42" t="inlineStr">
        <is>
          <t>Нет</t>
        </is>
      </c>
      <c r="S115" s="48" t="inlineStr">
        <is>
          <t>Нормализовано под генератор КП</t>
        </is>
      </c>
    </row>
    <row r="116">
      <c r="A116" s="41" t="inlineStr">
        <is>
          <t>SRC-0115</t>
        </is>
      </c>
      <c r="B116" s="41" t="inlineStr">
        <is>
          <t>Монтаж блоков питания</t>
        </is>
      </c>
      <c r="C116" s="41" t="inlineStr">
        <is>
          <t>шт</t>
        </is>
      </c>
      <c r="D116" s="41" t="inlineStr">
        <is>
          <t>3500</t>
        </is>
      </c>
      <c r="E116" s="43" t="n">
        <v>3500</v>
      </c>
      <c r="F116" s="41" t="inlineStr">
        <is>
          <t>работа</t>
        </is>
      </c>
      <c r="G116" s="41" t="inlineStr">
        <is>
          <t>Освещение</t>
        </is>
      </c>
      <c r="H116" s="41" t="inlineStr">
        <is>
          <t>Освещение</t>
        </is>
      </c>
      <c r="I116" s="41" t="inlineStr">
        <is>
          <t>Освещение</t>
        </is>
      </c>
      <c r="J116" s="41" t="inlineStr">
        <is>
          <t>Освещение</t>
        </is>
      </c>
      <c r="K116" s="41" t="inlineStr">
        <is>
          <t>Работа</t>
        </is>
      </c>
      <c r="L116" s="41" t="inlineStr">
        <is>
          <t>Монтаж</t>
        </is>
      </c>
      <c r="M116" s="41" t="inlineStr">
        <is>
          <t>Основные работы</t>
        </is>
      </c>
      <c r="N116" s="41" t="inlineStr">
        <is>
          <t>Показать строкой</t>
        </is>
      </c>
      <c r="O116" s="41" t="inlineStr">
        <is>
          <t>Высокая</t>
        </is>
      </c>
      <c r="P116" s="44" t="inlineStr">
        <is>
          <t>RWORK-0047</t>
        </is>
      </c>
      <c r="Q116" s="44" t="inlineStr"/>
      <c r="R116" s="41" t="inlineStr">
        <is>
          <t>Нет</t>
        </is>
      </c>
      <c r="S116" s="45" t="inlineStr">
        <is>
          <t>Нормализовано под генератор КП</t>
        </is>
      </c>
    </row>
    <row r="117">
      <c r="A117" s="42" t="inlineStr">
        <is>
          <t>SRC-0116</t>
        </is>
      </c>
      <c r="B117" s="42" t="inlineStr">
        <is>
          <t>Монтаж водоприемных колодцев 923мм с выемкой</t>
        </is>
      </c>
      <c r="C117" s="42" t="inlineStr">
        <is>
          <t>шт</t>
        </is>
      </c>
      <c r="D117" s="42" t="inlineStr">
        <is>
          <t>15000</t>
        </is>
      </c>
      <c r="E117" s="46" t="n">
        <v>15000</v>
      </c>
      <c r="F117" s="42" t="inlineStr">
        <is>
          <t>работа</t>
        </is>
      </c>
      <c r="G117" s="42" t="inlineStr">
        <is>
          <t>Ливневая система</t>
        </is>
      </c>
      <c r="H117" s="42" t="inlineStr">
        <is>
          <t>ливневка</t>
        </is>
      </c>
      <c r="I117" s="42" t="inlineStr">
        <is>
          <t>ливневка</t>
        </is>
      </c>
      <c r="J117" s="42" t="inlineStr">
        <is>
          <t>Ливневая канализация</t>
        </is>
      </c>
      <c r="K117" s="42" t="inlineStr">
        <is>
          <t>Работа</t>
        </is>
      </c>
      <c r="L117" s="42" t="inlineStr">
        <is>
          <t>Колодцы и перекрытия</t>
        </is>
      </c>
      <c r="M117" s="42" t="inlineStr">
        <is>
          <t>Основные работы</t>
        </is>
      </c>
      <c r="N117" s="42" t="inlineStr">
        <is>
          <t>Показать строкой</t>
        </is>
      </c>
      <c r="O117" s="42" t="inlineStr">
        <is>
          <t>Высокая</t>
        </is>
      </c>
      <c r="P117" s="47" t="inlineStr">
        <is>
          <t>RWORK-0048</t>
        </is>
      </c>
      <c r="Q117" s="47" t="inlineStr"/>
      <c r="R117" s="42" t="inlineStr">
        <is>
          <t>Нет</t>
        </is>
      </c>
      <c r="S117" s="48" t="inlineStr">
        <is>
          <t>Нормализовано под генератор КП</t>
        </is>
      </c>
    </row>
    <row r="118">
      <c r="A118" s="41" t="inlineStr">
        <is>
          <t>SRC-0117</t>
        </is>
      </c>
      <c r="B118" s="41" t="inlineStr">
        <is>
          <t>Монтаж встроенных в настил светильников с устройством отверстий в облицовке</t>
        </is>
      </c>
      <c r="C118" s="41" t="inlineStr">
        <is>
          <t>шт</t>
        </is>
      </c>
      <c r="D118" s="41" t="inlineStr">
        <is>
          <t>1500</t>
        </is>
      </c>
      <c r="E118" s="43" t="n">
        <v>1500</v>
      </c>
      <c r="F118" s="41" t="inlineStr">
        <is>
          <t>работа</t>
        </is>
      </c>
      <c r="G118" s="41" t="inlineStr">
        <is>
          <t>Освещение</t>
        </is>
      </c>
      <c r="H118" s="41" t="inlineStr">
        <is>
          <t>Освещение</t>
        </is>
      </c>
      <c r="I118" s="41" t="inlineStr">
        <is>
          <t>Освещение</t>
        </is>
      </c>
      <c r="J118" s="41" t="inlineStr">
        <is>
          <t>Освещение</t>
        </is>
      </c>
      <c r="K118" s="41" t="inlineStr">
        <is>
          <t>Работа</t>
        </is>
      </c>
      <c r="L118" s="41" t="inlineStr">
        <is>
          <t>Оборудование и комплектующие</t>
        </is>
      </c>
      <c r="M118" s="41" t="inlineStr">
        <is>
          <t>Основные работы</t>
        </is>
      </c>
      <c r="N118" s="41" t="inlineStr">
        <is>
          <t>Показать строкой</t>
        </is>
      </c>
      <c r="O118" s="41" t="inlineStr">
        <is>
          <t>Высокая</t>
        </is>
      </c>
      <c r="P118" s="44" t="inlineStr">
        <is>
          <t>RWORK-0049</t>
        </is>
      </c>
      <c r="Q118" s="44" t="inlineStr"/>
      <c r="R118" s="41" t="inlineStr">
        <is>
          <t>Нет</t>
        </is>
      </c>
      <c r="S118" s="45" t="inlineStr">
        <is>
          <t>Нормализовано под генератор КП</t>
        </is>
      </c>
    </row>
    <row r="119">
      <c r="A119" s="42" t="inlineStr">
        <is>
          <t>SRC-0118</t>
        </is>
      </c>
      <c r="B119" s="42" t="inlineStr">
        <is>
          <t>Монтаж грунтовых светильников</t>
        </is>
      </c>
      <c r="C119" s="42" t="inlineStr">
        <is>
          <t>шт</t>
        </is>
      </c>
      <c r="D119" s="42" t="inlineStr">
        <is>
          <t>1100</t>
        </is>
      </c>
      <c r="E119" s="46" t="n">
        <v>1100</v>
      </c>
      <c r="F119" s="42" t="inlineStr">
        <is>
          <t>работа</t>
        </is>
      </c>
      <c r="G119" s="42" t="inlineStr">
        <is>
          <t>Освещение</t>
        </is>
      </c>
      <c r="H119" s="42" t="inlineStr">
        <is>
          <t>Освещение</t>
        </is>
      </c>
      <c r="I119" s="42" t="inlineStr">
        <is>
          <t>Освещение</t>
        </is>
      </c>
      <c r="J119" s="42" t="inlineStr">
        <is>
          <t>Освещение</t>
        </is>
      </c>
      <c r="K119" s="42" t="inlineStr">
        <is>
          <t>Работа</t>
        </is>
      </c>
      <c r="L119" s="42" t="inlineStr">
        <is>
          <t>Оборудование и комплектующие</t>
        </is>
      </c>
      <c r="M119" s="42" t="inlineStr">
        <is>
          <t>Основные работы</t>
        </is>
      </c>
      <c r="N119" s="42" t="inlineStr">
        <is>
          <t>Показать строкой</t>
        </is>
      </c>
      <c r="O119" s="42" t="inlineStr">
        <is>
          <t>Высокая</t>
        </is>
      </c>
      <c r="P119" s="47" t="inlineStr">
        <is>
          <t>RWORK-0050</t>
        </is>
      </c>
      <c r="Q119" s="47" t="inlineStr"/>
      <c r="R119" s="42" t="inlineStr">
        <is>
          <t>Нет</t>
        </is>
      </c>
      <c r="S119" s="48" t="inlineStr">
        <is>
          <t>Нормализовано под генератор КП</t>
        </is>
      </c>
    </row>
    <row r="120">
      <c r="A120" s="41" t="inlineStr">
        <is>
          <t>SRC-0119</t>
        </is>
      </c>
      <c r="B120" s="41" t="inlineStr">
        <is>
          <t>Монтаж диодной ленты подсветки</t>
        </is>
      </c>
      <c r="C120" s="41" t="inlineStr">
        <is>
          <t>м.пог.</t>
        </is>
      </c>
      <c r="D120" s="41" t="inlineStr">
        <is>
          <t>3000</t>
        </is>
      </c>
      <c r="E120" s="43" t="n">
        <v>3000</v>
      </c>
      <c r="F120" s="41" t="inlineStr">
        <is>
          <t>работа</t>
        </is>
      </c>
      <c r="G120" s="41" t="inlineStr">
        <is>
          <t>Освещение</t>
        </is>
      </c>
      <c r="H120" s="41" t="inlineStr">
        <is>
          <t>Освещение</t>
        </is>
      </c>
      <c r="I120" s="41" t="inlineStr">
        <is>
          <t>Освещение</t>
        </is>
      </c>
      <c r="J120" s="41" t="inlineStr">
        <is>
          <t>Освещение</t>
        </is>
      </c>
      <c r="K120" s="41" t="inlineStr">
        <is>
          <t>Работа</t>
        </is>
      </c>
      <c r="L120" s="41" t="inlineStr">
        <is>
          <t>Монтаж</t>
        </is>
      </c>
      <c r="M120" s="41" t="inlineStr">
        <is>
          <t>Основные работы</t>
        </is>
      </c>
      <c r="N120" s="41" t="inlineStr">
        <is>
          <t>Показать строкой</t>
        </is>
      </c>
      <c r="O120" s="41" t="inlineStr">
        <is>
          <t>Высокая</t>
        </is>
      </c>
      <c r="P120" s="44" t="inlineStr">
        <is>
          <t>RWORK-0051</t>
        </is>
      </c>
      <c r="Q120" s="44" t="inlineStr"/>
      <c r="R120" s="41" t="inlineStr">
        <is>
          <t>Нет</t>
        </is>
      </c>
      <c r="S120" s="45" t="inlineStr">
        <is>
          <t>Нормализовано под генератор КП</t>
        </is>
      </c>
    </row>
    <row r="121">
      <c r="A121" s="42" t="inlineStr">
        <is>
          <t>SRC-0120</t>
        </is>
      </c>
      <c r="B121" s="42" t="inlineStr">
        <is>
          <t>Монтаж дождеприемника</t>
        </is>
      </c>
      <c r="C121" s="42" t="inlineStr">
        <is>
          <t>шт</t>
        </is>
      </c>
      <c r="D121" s="42" t="inlineStr">
        <is>
          <t>1500</t>
        </is>
      </c>
      <c r="E121" s="46" t="n">
        <v>1500</v>
      </c>
      <c r="F121" s="42" t="inlineStr">
        <is>
          <t>работа</t>
        </is>
      </c>
      <c r="G121" s="42" t="inlineStr">
        <is>
          <t>1. Подготовка основания для пешеходных дорожек и площадок под мощение тротуарной плиткой.</t>
        </is>
      </c>
      <c r="H121" s="42" t="inlineStr">
        <is>
          <t>Мощение</t>
        </is>
      </c>
      <c r="I121" s="42" t="inlineStr">
        <is>
          <t>Мощение</t>
        </is>
      </c>
      <c r="J121" s="42" t="inlineStr">
        <is>
          <t>Мощение</t>
        </is>
      </c>
      <c r="K121" s="42" t="inlineStr">
        <is>
          <t>Работа</t>
        </is>
      </c>
      <c r="L121" s="42" t="inlineStr">
        <is>
          <t>Водоотвод в зоне мощения</t>
        </is>
      </c>
      <c r="M121" s="42" t="inlineStr">
        <is>
          <t>Основные работы</t>
        </is>
      </c>
      <c r="N121" s="42" t="inlineStr">
        <is>
          <t>Показать строкой</t>
        </is>
      </c>
      <c r="O121" s="42" t="inlineStr">
        <is>
          <t>Высокая</t>
        </is>
      </c>
      <c r="P121" s="47" t="inlineStr">
        <is>
          <t>RWORK-0052</t>
        </is>
      </c>
      <c r="Q121" s="47" t="inlineStr"/>
      <c r="R121" s="42" t="inlineStr">
        <is>
          <t>Нет</t>
        </is>
      </c>
      <c r="S121" s="48" t="inlineStr">
        <is>
          <t>Нормализовано под генератор КП</t>
        </is>
      </c>
    </row>
    <row r="122">
      <c r="A122" s="41" t="inlineStr">
        <is>
          <t>SRC-0121</t>
        </is>
      </c>
      <c r="B122" s="41" t="inlineStr">
        <is>
          <t>Монтаж дождеприемников со встройкой в террасный настил</t>
        </is>
      </c>
      <c r="C122" s="41" t="inlineStr">
        <is>
          <t>шт</t>
        </is>
      </c>
      <c r="D122" s="41" t="inlineStr">
        <is>
          <t>2200</t>
        </is>
      </c>
      <c r="E122" s="43" t="n">
        <v>2200</v>
      </c>
      <c r="F122" s="41" t="inlineStr">
        <is>
          <t>работа</t>
        </is>
      </c>
      <c r="G122" s="41" t="inlineStr">
        <is>
          <t>Ливневая система</t>
        </is>
      </c>
      <c r="H122" s="41" t="inlineStr">
        <is>
          <t>ливневка</t>
        </is>
      </c>
      <c r="I122" s="41" t="inlineStr">
        <is>
          <t>ливневка</t>
        </is>
      </c>
      <c r="J122" s="41" t="inlineStr">
        <is>
          <t>Ливневая канализация</t>
        </is>
      </c>
      <c r="K122" s="41" t="inlineStr">
        <is>
          <t>Работа</t>
        </is>
      </c>
      <c r="L122" s="41" t="inlineStr">
        <is>
          <t>Приемные и линейные элементы</t>
        </is>
      </c>
      <c r="M122" s="41" t="inlineStr">
        <is>
          <t>Основные работы</t>
        </is>
      </c>
      <c r="N122" s="41" t="inlineStr">
        <is>
          <t>Показать строкой</t>
        </is>
      </c>
      <c r="O122" s="41" t="inlineStr">
        <is>
          <t>Высокая</t>
        </is>
      </c>
      <c r="P122" s="44" t="inlineStr">
        <is>
          <t>RWORK-0053</t>
        </is>
      </c>
      <c r="Q122" s="44" t="inlineStr"/>
      <c r="R122" s="41" t="inlineStr">
        <is>
          <t>Нет</t>
        </is>
      </c>
      <c r="S122" s="45" t="inlineStr">
        <is>
          <t>Нормализовано под генератор КП</t>
        </is>
      </c>
    </row>
    <row r="123">
      <c r="A123" s="42" t="inlineStr">
        <is>
          <t>SRC-0122</t>
        </is>
      </c>
      <c r="B123" s="42" t="inlineStr">
        <is>
          <t>Монтаж доски</t>
        </is>
      </c>
      <c r="C123" s="42" t="inlineStr">
        <is>
          <t>м2</t>
        </is>
      </c>
      <c r="D123" s="42" t="inlineStr">
        <is>
          <t>650</t>
        </is>
      </c>
      <c r="E123" s="46" t="n">
        <v>650</v>
      </c>
      <c r="F123" s="42" t="inlineStr">
        <is>
          <t>работа</t>
        </is>
      </c>
      <c r="G123" s="42" t="inlineStr">
        <is>
          <t>2 мощ-е - подг-ка осн-я</t>
        </is>
      </c>
      <c r="H123" s="42" t="inlineStr">
        <is>
          <t>Мощение</t>
        </is>
      </c>
      <c r="I123" s="42" t="inlineStr">
        <is>
          <t>Мощение</t>
        </is>
      </c>
      <c r="J123" s="42" t="inlineStr">
        <is>
          <t>Мощение</t>
        </is>
      </c>
      <c r="K123" s="42" t="inlineStr">
        <is>
          <t>Работа</t>
        </is>
      </c>
      <c r="L123" s="42" t="inlineStr">
        <is>
          <t>Прочее по мощению</t>
        </is>
      </c>
      <c r="M123" s="42" t="inlineStr">
        <is>
          <t>Основные работы</t>
        </is>
      </c>
      <c r="N123" s="42" t="inlineStr">
        <is>
          <t>Показать строкой</t>
        </is>
      </c>
      <c r="O123" s="42" t="inlineStr">
        <is>
          <t>Высокая</t>
        </is>
      </c>
      <c r="P123" s="47" t="inlineStr">
        <is>
          <t>RWORK-0054</t>
        </is>
      </c>
      <c r="Q123" s="47" t="inlineStr"/>
      <c r="R123" s="42" t="inlineStr">
        <is>
          <t>Нет</t>
        </is>
      </c>
      <c r="S123" s="48" t="inlineStr">
        <is>
          <t>Нормализовано под генератор КП</t>
        </is>
      </c>
    </row>
    <row r="124">
      <c r="A124" s="41" t="inlineStr">
        <is>
          <t>SRC-0123</t>
        </is>
      </c>
      <c r="B124" s="41" t="inlineStr">
        <is>
          <t>Монтаж дренажного колодца h=1,7-2м</t>
        </is>
      </c>
      <c r="C124" s="41" t="inlineStr">
        <is>
          <t>шт</t>
        </is>
      </c>
      <c r="D124" s="41" t="inlineStr">
        <is>
          <t>6500</t>
        </is>
      </c>
      <c r="E124" s="43" t="n">
        <v>6500</v>
      </c>
      <c r="F124" s="41" t="inlineStr">
        <is>
          <t>работа</t>
        </is>
      </c>
      <c r="G124" s="41" t="inlineStr">
        <is>
          <t>дренаж</t>
        </is>
      </c>
      <c r="H124" s="41" t="inlineStr">
        <is>
          <t>дренаж</t>
        </is>
      </c>
      <c r="I124" s="41" t="inlineStr">
        <is>
          <t>дренаж</t>
        </is>
      </c>
      <c r="J124" s="41" t="inlineStr">
        <is>
          <t>Дренаж</t>
        </is>
      </c>
      <c r="K124" s="41" t="inlineStr">
        <is>
          <t>Работа</t>
        </is>
      </c>
      <c r="L124" s="41" t="inlineStr">
        <is>
          <t>Монтаж системы</t>
        </is>
      </c>
      <c r="M124" s="41" t="inlineStr">
        <is>
          <t>Основные работы</t>
        </is>
      </c>
      <c r="N124" s="41" t="inlineStr">
        <is>
          <t>Показать строкой</t>
        </is>
      </c>
      <c r="O124" s="41" t="inlineStr">
        <is>
          <t>Высокая</t>
        </is>
      </c>
      <c r="P124" s="44" t="inlineStr">
        <is>
          <t>RWORK-0055</t>
        </is>
      </c>
      <c r="Q124" s="44" t="inlineStr"/>
      <c r="R124" s="41" t="inlineStr">
        <is>
          <t>Нет</t>
        </is>
      </c>
      <c r="S124" s="45" t="inlineStr">
        <is>
          <t>Нормализовано под генератор КП</t>
        </is>
      </c>
    </row>
    <row r="125">
      <c r="A125" s="42" t="inlineStr">
        <is>
          <t>SRC-0124</t>
        </is>
      </c>
      <c r="B125" s="42" t="inlineStr">
        <is>
          <t>Монтаж дренажного колодца h=1-1,5м</t>
        </is>
      </c>
      <c r="C125" s="42" t="inlineStr">
        <is>
          <t>шт</t>
        </is>
      </c>
      <c r="D125" s="42" t="inlineStr">
        <is>
          <t>3800</t>
        </is>
      </c>
      <c r="E125" s="46" t="n">
        <v>3800</v>
      </c>
      <c r="F125" s="42" t="inlineStr">
        <is>
          <t>работа</t>
        </is>
      </c>
      <c r="G125" s="42" t="inlineStr">
        <is>
          <t>дренаж</t>
        </is>
      </c>
      <c r="H125" s="42" t="inlineStr">
        <is>
          <t>дренаж</t>
        </is>
      </c>
      <c r="I125" s="42" t="inlineStr">
        <is>
          <t>дренаж</t>
        </is>
      </c>
      <c r="J125" s="42" t="inlineStr">
        <is>
          <t>Дренаж</t>
        </is>
      </c>
      <c r="K125" s="42" t="inlineStr">
        <is>
          <t>Работа</t>
        </is>
      </c>
      <c r="L125" s="42" t="inlineStr">
        <is>
          <t>Монтаж системы</t>
        </is>
      </c>
      <c r="M125" s="42" t="inlineStr">
        <is>
          <t>Основные работы</t>
        </is>
      </c>
      <c r="N125" s="42" t="inlineStr">
        <is>
          <t>Показать строкой</t>
        </is>
      </c>
      <c r="O125" s="42" t="inlineStr">
        <is>
          <t>Высокая</t>
        </is>
      </c>
      <c r="P125" s="47" t="inlineStr">
        <is>
          <t>RWORK-0056</t>
        </is>
      </c>
      <c r="Q125" s="47" t="inlineStr"/>
      <c r="R125" s="42" t="inlineStr">
        <is>
          <t>Нет</t>
        </is>
      </c>
      <c r="S125" s="48" t="inlineStr">
        <is>
          <t>Нормализовано под генератор КП</t>
        </is>
      </c>
    </row>
    <row r="126">
      <c r="A126" s="41" t="inlineStr">
        <is>
          <t>SRC-0125</t>
        </is>
      </c>
      <c r="B126" s="41" t="inlineStr">
        <is>
          <t>Монтаж и сборка щита</t>
        </is>
      </c>
      <c r="C126" s="41" t="inlineStr">
        <is>
          <t>шт</t>
        </is>
      </c>
      <c r="D126" s="41" t="inlineStr">
        <is>
          <t>20000</t>
        </is>
      </c>
      <c r="E126" s="43" t="n">
        <v>20000</v>
      </c>
      <c r="F126" s="41" t="inlineStr">
        <is>
          <t>работа</t>
        </is>
      </c>
      <c r="G126" s="41" t="inlineStr">
        <is>
          <t>Освещение</t>
        </is>
      </c>
      <c r="H126" s="41" t="inlineStr">
        <is>
          <t>Освещение</t>
        </is>
      </c>
      <c r="I126" s="41" t="inlineStr">
        <is>
          <t>Освещение</t>
        </is>
      </c>
      <c r="J126" s="41" t="inlineStr">
        <is>
          <t>Освещение</t>
        </is>
      </c>
      <c r="K126" s="41" t="inlineStr">
        <is>
          <t>Работа</t>
        </is>
      </c>
      <c r="L126" s="41" t="inlineStr">
        <is>
          <t>Оборудование и комплектующие</t>
        </is>
      </c>
      <c r="M126" s="41" t="inlineStr">
        <is>
          <t>Основные работы</t>
        </is>
      </c>
      <c r="N126" s="41" t="inlineStr">
        <is>
          <t>Показать строкой</t>
        </is>
      </c>
      <c r="O126" s="41" t="inlineStr">
        <is>
          <t>Высокая</t>
        </is>
      </c>
      <c r="P126" s="44" t="inlineStr">
        <is>
          <t>RWORK-0057</t>
        </is>
      </c>
      <c r="Q126" s="44" t="inlineStr"/>
      <c r="R126" s="41" t="inlineStr">
        <is>
          <t>Нет</t>
        </is>
      </c>
      <c r="S126" s="45" t="inlineStr">
        <is>
          <t>Нормализовано под генератор КП</t>
        </is>
      </c>
    </row>
    <row r="127">
      <c r="A127" s="42" t="inlineStr">
        <is>
          <t>SRC-0126</t>
        </is>
      </c>
      <c r="B127" s="42" t="inlineStr">
        <is>
          <t>Монтаж каркаса на бетонную стенку</t>
        </is>
      </c>
      <c r="C127" s="42" t="inlineStr">
        <is>
          <t>м2</t>
        </is>
      </c>
      <c r="D127" s="42" t="inlineStr">
        <is>
          <t>450</t>
        </is>
      </c>
      <c r="E127" s="46" t="n">
        <v>450</v>
      </c>
      <c r="F127" s="42" t="inlineStr">
        <is>
          <t>работа</t>
        </is>
      </c>
      <c r="G127" s="42" t="inlineStr">
        <is>
          <t>2 мощ-е - подг-ка осн-я</t>
        </is>
      </c>
      <c r="H127" s="42" t="inlineStr">
        <is>
          <t>Мощение</t>
        </is>
      </c>
      <c r="I127" s="42" t="inlineStr">
        <is>
          <t>Мощение</t>
        </is>
      </c>
      <c r="J127" s="42" t="inlineStr">
        <is>
          <t>Мощение</t>
        </is>
      </c>
      <c r="K127" s="42" t="inlineStr">
        <is>
          <t>Работа</t>
        </is>
      </c>
      <c r="L127" s="42" t="inlineStr">
        <is>
          <t>Конструкции и отделка</t>
        </is>
      </c>
      <c r="M127" s="42" t="inlineStr">
        <is>
          <t>Основные работы</t>
        </is>
      </c>
      <c r="N127" s="42" t="inlineStr">
        <is>
          <t>Показать строкой</t>
        </is>
      </c>
      <c r="O127" s="42" t="inlineStr">
        <is>
          <t>Высокая</t>
        </is>
      </c>
      <c r="P127" s="47" t="inlineStr">
        <is>
          <t>RWORK-0058</t>
        </is>
      </c>
      <c r="Q127" s="47" t="inlineStr"/>
      <c r="R127" s="42" t="inlineStr">
        <is>
          <t>Нет</t>
        </is>
      </c>
      <c r="S127" s="48" t="inlineStr">
        <is>
          <t>Нормализовано под генератор КП</t>
        </is>
      </c>
    </row>
    <row r="128">
      <c r="A128" s="41" t="inlineStr">
        <is>
          <t>SRC-0127</t>
        </is>
      </c>
      <c r="B128" s="41" t="inlineStr">
        <is>
          <t>Монтаж колодцев инспекционных d315мм</t>
        </is>
      </c>
      <c r="C128" s="41" t="inlineStr">
        <is>
          <t>шт</t>
        </is>
      </c>
      <c r="D128" s="41" t="inlineStr">
        <is>
          <t>3800</t>
        </is>
      </c>
      <c r="E128" s="43" t="n">
        <v>3800</v>
      </c>
      <c r="F128" s="41" t="inlineStr">
        <is>
          <t>работа</t>
        </is>
      </c>
      <c r="G128" s="41" t="inlineStr">
        <is>
          <t>Ливневая система</t>
        </is>
      </c>
      <c r="H128" s="41" t="inlineStr">
        <is>
          <t>ливневка</t>
        </is>
      </c>
      <c r="I128" s="41" t="inlineStr">
        <is>
          <t>ливневка</t>
        </is>
      </c>
      <c r="J128" s="41" t="inlineStr">
        <is>
          <t>Ливневая канализация</t>
        </is>
      </c>
      <c r="K128" s="41" t="inlineStr">
        <is>
          <t>Работа</t>
        </is>
      </c>
      <c r="L128" s="41" t="inlineStr">
        <is>
          <t>Колодцы и перекрытия</t>
        </is>
      </c>
      <c r="M128" s="41" t="inlineStr">
        <is>
          <t>Основные работы</t>
        </is>
      </c>
      <c r="N128" s="41" t="inlineStr">
        <is>
          <t>Показать строкой</t>
        </is>
      </c>
      <c r="O128" s="41" t="inlineStr">
        <is>
          <t>Высокая</t>
        </is>
      </c>
      <c r="P128" s="44" t="inlineStr">
        <is>
          <t>RWORK-0059</t>
        </is>
      </c>
      <c r="Q128" s="44" t="inlineStr"/>
      <c r="R128" s="41" t="inlineStr">
        <is>
          <t>Нет</t>
        </is>
      </c>
      <c r="S128" s="45" t="inlineStr">
        <is>
          <t>Нормализовано под генератор КП</t>
        </is>
      </c>
    </row>
    <row r="129">
      <c r="A129" s="42" t="inlineStr">
        <is>
          <t>SRC-0128</t>
        </is>
      </c>
      <c r="B129" s="42" t="inlineStr">
        <is>
          <t>Монтаж лотков дождеприемных с решетками и отводами к ливневой канализации на раствор</t>
        </is>
      </c>
      <c r="C129" s="42" t="inlineStr">
        <is>
          <t>м.пог.</t>
        </is>
      </c>
      <c r="D129" s="42" t="inlineStr">
        <is>
          <t>1350</t>
        </is>
      </c>
      <c r="E129" s="46" t="n">
        <v>1350</v>
      </c>
      <c r="F129" s="42" t="inlineStr">
        <is>
          <t>работа</t>
        </is>
      </c>
      <c r="G129" s="42" t="inlineStr">
        <is>
          <t>Ливневая система</t>
        </is>
      </c>
      <c r="H129" s="42" t="inlineStr">
        <is>
          <t>ливневка</t>
        </is>
      </c>
      <c r="I129" s="42" t="inlineStr">
        <is>
          <t>ливневка</t>
        </is>
      </c>
      <c r="J129" s="42" t="inlineStr">
        <is>
          <t>Ливневая канализация</t>
        </is>
      </c>
      <c r="K129" s="42" t="inlineStr">
        <is>
          <t>Работа</t>
        </is>
      </c>
      <c r="L129" s="42" t="inlineStr">
        <is>
          <t>Приемные и линейные элементы</t>
        </is>
      </c>
      <c r="M129" s="42" t="inlineStr">
        <is>
          <t>Основные работы</t>
        </is>
      </c>
      <c r="N129" s="42" t="inlineStr">
        <is>
          <t>Показать строкой</t>
        </is>
      </c>
      <c r="O129" s="42" t="inlineStr">
        <is>
          <t>Высокая</t>
        </is>
      </c>
      <c r="P129" s="47" t="inlineStr">
        <is>
          <t>RWORK-0060</t>
        </is>
      </c>
      <c r="Q129" s="47" t="inlineStr"/>
      <c r="R129" s="42" t="inlineStr">
        <is>
          <t>Нет</t>
        </is>
      </c>
      <c r="S129" s="48" t="inlineStr">
        <is>
          <t>Нормализовано под генератор КП</t>
        </is>
      </c>
    </row>
    <row r="130">
      <c r="A130" s="41" t="inlineStr">
        <is>
          <t>SRC-0129</t>
        </is>
      </c>
      <c r="B130" s="41" t="inlineStr">
        <is>
          <t>Монтаж пескоуловителей на раствор</t>
        </is>
      </c>
      <c r="C130" s="41" t="inlineStr">
        <is>
          <t>шт</t>
        </is>
      </c>
      <c r="D130" s="41" t="inlineStr">
        <is>
          <t>2200</t>
        </is>
      </c>
      <c r="E130" s="43" t="n">
        <v>2200</v>
      </c>
      <c r="F130" s="41" t="inlineStr">
        <is>
          <t>работа</t>
        </is>
      </c>
      <c r="G130" s="41" t="inlineStr">
        <is>
          <t>Ливневая система</t>
        </is>
      </c>
      <c r="H130" s="41" t="inlineStr">
        <is>
          <t>ливневка</t>
        </is>
      </c>
      <c r="I130" s="41" t="inlineStr">
        <is>
          <t>ливневка</t>
        </is>
      </c>
      <c r="J130" s="41" t="inlineStr">
        <is>
          <t>Ливневая канализация</t>
        </is>
      </c>
      <c r="K130" s="41" t="inlineStr">
        <is>
          <t>Работа</t>
        </is>
      </c>
      <c r="L130" s="41" t="inlineStr">
        <is>
          <t>Приемные и линейные элементы</t>
        </is>
      </c>
      <c r="M130" s="41" t="inlineStr">
        <is>
          <t>Основные работы</t>
        </is>
      </c>
      <c r="N130" s="41" t="inlineStr">
        <is>
          <t>Показать строкой</t>
        </is>
      </c>
      <c r="O130" s="41" t="inlineStr">
        <is>
          <t>Высокая</t>
        </is>
      </c>
      <c r="P130" s="44" t="inlineStr">
        <is>
          <t>RWORK-0061</t>
        </is>
      </c>
      <c r="Q130" s="44" t="inlineStr"/>
      <c r="R130" s="41" t="inlineStr">
        <is>
          <t>Нет</t>
        </is>
      </c>
      <c r="S130" s="45" t="inlineStr">
        <is>
          <t>Нормализовано под генератор КП</t>
        </is>
      </c>
    </row>
    <row r="131">
      <c r="A131" s="42" t="inlineStr">
        <is>
          <t>SRC-0130</t>
        </is>
      </c>
      <c r="B131" s="42" t="inlineStr">
        <is>
          <t>Монтаж светильников накладных на столбы - въездная зона</t>
        </is>
      </c>
      <c r="C131" s="42" t="inlineStr">
        <is>
          <t>шт</t>
        </is>
      </c>
      <c r="D131" s="42" t="inlineStr">
        <is>
          <t>1200</t>
        </is>
      </c>
      <c r="E131" s="46" t="n">
        <v>1200</v>
      </c>
      <c r="F131" s="42" t="inlineStr">
        <is>
          <t>работа</t>
        </is>
      </c>
      <c r="G131" s="42" t="inlineStr">
        <is>
          <t>Освещение</t>
        </is>
      </c>
      <c r="H131" s="42" t="inlineStr">
        <is>
          <t>Освещение</t>
        </is>
      </c>
      <c r="I131" s="42" t="inlineStr">
        <is>
          <t>Освещение</t>
        </is>
      </c>
      <c r="J131" s="42" t="inlineStr">
        <is>
          <t>Освещение</t>
        </is>
      </c>
      <c r="K131" s="42" t="inlineStr">
        <is>
          <t>Работа</t>
        </is>
      </c>
      <c r="L131" s="42" t="inlineStr">
        <is>
          <t>Оборудование и комплектующие</t>
        </is>
      </c>
      <c r="M131" s="42" t="inlineStr">
        <is>
          <t>Основные работы</t>
        </is>
      </c>
      <c r="N131" s="42" t="inlineStr">
        <is>
          <t>Показать строкой</t>
        </is>
      </c>
      <c r="O131" s="42" t="inlineStr">
        <is>
          <t>Высокая</t>
        </is>
      </c>
      <c r="P131" s="47" t="inlineStr">
        <is>
          <t>RWORK-0062</t>
        </is>
      </c>
      <c r="Q131" s="47" t="inlineStr"/>
      <c r="R131" s="42" t="inlineStr">
        <is>
          <t>Нет</t>
        </is>
      </c>
      <c r="S131" s="48" t="inlineStr">
        <is>
          <t>Нормализовано под генератор КП</t>
        </is>
      </c>
    </row>
    <row r="132">
      <c r="A132" s="41" t="inlineStr">
        <is>
          <t>SRC-0131</t>
        </is>
      </c>
      <c r="B132" s="41" t="inlineStr">
        <is>
          <t>Монтаж светильников столбиков, розеток</t>
        </is>
      </c>
      <c r="C132" s="41" t="inlineStr">
        <is>
          <t>шт</t>
        </is>
      </c>
      <c r="D132" s="41" t="inlineStr">
        <is>
          <t>1100</t>
        </is>
      </c>
      <c r="E132" s="43" t="n">
        <v>1100</v>
      </c>
      <c r="F132" s="41" t="inlineStr">
        <is>
          <t>работа</t>
        </is>
      </c>
      <c r="G132" s="41" t="inlineStr">
        <is>
          <t>Освещение</t>
        </is>
      </c>
      <c r="H132" s="41" t="inlineStr">
        <is>
          <t>Освещение</t>
        </is>
      </c>
      <c r="I132" s="41" t="inlineStr">
        <is>
          <t>Освещение</t>
        </is>
      </c>
      <c r="J132" s="41" t="inlineStr">
        <is>
          <t>Освещение</t>
        </is>
      </c>
      <c r="K132" s="41" t="inlineStr">
        <is>
          <t>Работа</t>
        </is>
      </c>
      <c r="L132" s="41" t="inlineStr">
        <is>
          <t>Оборудование и комплектующие</t>
        </is>
      </c>
      <c r="M132" s="41" t="inlineStr">
        <is>
          <t>Основные работы</t>
        </is>
      </c>
      <c r="N132" s="41" t="inlineStr">
        <is>
          <t>Показать строкой</t>
        </is>
      </c>
      <c r="O132" s="41" t="inlineStr">
        <is>
          <t>Высокая</t>
        </is>
      </c>
      <c r="P132" s="44" t="inlineStr">
        <is>
          <t>RWORK-0063</t>
        </is>
      </c>
      <c r="Q132" s="44" t="inlineStr"/>
      <c r="R132" s="41" t="inlineStr">
        <is>
          <t>Нет</t>
        </is>
      </c>
      <c r="S132" s="45" t="inlineStr">
        <is>
          <t>Нормализовано под генератор КП</t>
        </is>
      </c>
    </row>
    <row r="133">
      <c r="A133" s="42" t="inlineStr">
        <is>
          <t>SRC-0132</t>
        </is>
      </c>
      <c r="B133" s="42" t="inlineStr">
        <is>
          <t>Монтаж/демонтаж опалубки</t>
        </is>
      </c>
      <c r="C133" s="42" t="inlineStr">
        <is>
          <t>м.пог.</t>
        </is>
      </c>
      <c r="D133" s="42" t="inlineStr">
        <is>
          <t>450</t>
        </is>
      </c>
      <c r="E133" s="46" t="n">
        <v>450</v>
      </c>
      <c r="F133" s="42" t="inlineStr">
        <is>
          <t>работа</t>
        </is>
      </c>
      <c r="G133" s="42" t="inlineStr">
        <is>
          <t>2 мощ-е - подг-ка осн-я</t>
        </is>
      </c>
      <c r="H133" s="42" t="inlineStr">
        <is>
          <t>Мощение</t>
        </is>
      </c>
      <c r="I133" s="42" t="inlineStr">
        <is>
          <t>Мощение</t>
        </is>
      </c>
      <c r="J133" s="42" t="inlineStr">
        <is>
          <t>Мощение</t>
        </is>
      </c>
      <c r="K133" s="42" t="inlineStr">
        <is>
          <t>Работа</t>
        </is>
      </c>
      <c r="L133" s="42" t="inlineStr">
        <is>
          <t>Бетон и конструктив</t>
        </is>
      </c>
      <c r="M133" s="42" t="inlineStr">
        <is>
          <t>Основные работы</t>
        </is>
      </c>
      <c r="N133" s="42" t="inlineStr">
        <is>
          <t>Показать строкой</t>
        </is>
      </c>
      <c r="O133" s="42" t="inlineStr">
        <is>
          <t>Высокая</t>
        </is>
      </c>
      <c r="P133" s="47" t="inlineStr">
        <is>
          <t>RWORK-0064</t>
        </is>
      </c>
      <c r="Q133" s="47" t="inlineStr"/>
      <c r="R133" s="42" t="inlineStr">
        <is>
          <t>Нет</t>
        </is>
      </c>
      <c r="S133" s="48" t="inlineStr">
        <is>
          <t>Нормализовано под генератор КП</t>
        </is>
      </c>
    </row>
    <row r="134">
      <c r="A134" s="41" t="inlineStr">
        <is>
          <t>SRC-0133</t>
        </is>
      </c>
      <c r="B134" s="41" t="inlineStr">
        <is>
          <t>Монтаж/демонтаж опалубки</t>
        </is>
      </c>
      <c r="C134" s="41" t="inlineStr">
        <is>
          <t>м.пог.</t>
        </is>
      </c>
      <c r="D134" s="41" t="inlineStr">
        <is>
          <t>990</t>
        </is>
      </c>
      <c r="E134" s="43" t="n">
        <v>990</v>
      </c>
      <c r="F134" s="41" t="inlineStr">
        <is>
          <t>работа</t>
        </is>
      </c>
      <c r="G134" s="41" t="inlineStr">
        <is>
          <t>Ступени-пандусы из бетона</t>
        </is>
      </c>
      <c r="H134" s="41" t="inlineStr">
        <is>
          <t>ступени</t>
        </is>
      </c>
      <c r="I134" s="41" t="inlineStr">
        <is>
          <t>ступени</t>
        </is>
      </c>
      <c r="J134" s="41" t="inlineStr">
        <is>
          <t>Ступени / пандусы / бетонные элементы</t>
        </is>
      </c>
      <c r="K134" s="41" t="inlineStr">
        <is>
          <t>Работа</t>
        </is>
      </c>
      <c r="L134" s="41" t="inlineStr">
        <is>
          <t>Бетон и армирование</t>
        </is>
      </c>
      <c r="M134" s="41" t="inlineStr">
        <is>
          <t>Основные работы</t>
        </is>
      </c>
      <c r="N134" s="41" t="inlineStr">
        <is>
          <t>Показать строкой</t>
        </is>
      </c>
      <c r="O134" s="41" t="inlineStr">
        <is>
          <t>Высокая</t>
        </is>
      </c>
      <c r="P134" s="44" t="inlineStr">
        <is>
          <t>RWORK-0065</t>
        </is>
      </c>
      <c r="Q134" s="44" t="inlineStr"/>
      <c r="R134" s="41" t="inlineStr">
        <is>
          <t>Нет</t>
        </is>
      </c>
      <c r="S134" s="45" t="inlineStr">
        <is>
          <t>Нормализовано под генератор КП</t>
        </is>
      </c>
    </row>
    <row r="135">
      <c r="A135" s="42" t="inlineStr">
        <is>
          <t>SRC-0134</t>
        </is>
      </c>
      <c r="B135" s="42" t="inlineStr">
        <is>
          <t>Мощение брусчаткой габбро 100*80*50мм на отсев (пешеходная часть)</t>
        </is>
      </c>
      <c r="C135" s="42" t="inlineStr">
        <is>
          <t>м2</t>
        </is>
      </c>
      <c r="D135" s="42" t="inlineStr">
        <is>
          <t>3400</t>
        </is>
      </c>
      <c r="E135" s="46" t="n">
        <v>3400</v>
      </c>
      <c r="F135" s="42" t="inlineStr">
        <is>
          <t>работа</t>
        </is>
      </c>
      <c r="G135" s="42" t="inlineStr">
        <is>
          <t>Покрытия</t>
        </is>
      </c>
      <c r="H135" s="42" t="inlineStr">
        <is>
          <t>Мощение</t>
        </is>
      </c>
      <c r="I135" s="42" t="inlineStr">
        <is>
          <t>Мощение</t>
        </is>
      </c>
      <c r="J135" s="42" t="inlineStr">
        <is>
          <t>Мощение</t>
        </is>
      </c>
      <c r="K135" s="42" t="inlineStr">
        <is>
          <t>Работа</t>
        </is>
      </c>
      <c r="L135" s="42" t="inlineStr">
        <is>
          <t>Покрытие</t>
        </is>
      </c>
      <c r="M135" s="42" t="inlineStr">
        <is>
          <t>Основные работы</t>
        </is>
      </c>
      <c r="N135" s="42" t="inlineStr">
        <is>
          <t>Показать строкой</t>
        </is>
      </c>
      <c r="O135" s="42" t="inlineStr">
        <is>
          <t>Высокая</t>
        </is>
      </c>
      <c r="P135" s="47" t="inlineStr">
        <is>
          <t>RWORK-0066</t>
        </is>
      </c>
      <c r="Q135" s="47" t="inlineStr"/>
      <c r="R135" s="42" t="inlineStr">
        <is>
          <t>Нет</t>
        </is>
      </c>
      <c r="S135" s="48" t="inlineStr">
        <is>
          <t>Нормализовано под генератор КП</t>
        </is>
      </c>
    </row>
    <row r="136">
      <c r="A136" s="41" t="inlineStr">
        <is>
          <t>SRC-0135</t>
        </is>
      </c>
      <c r="B136" s="41" t="inlineStr">
        <is>
          <t>Мощение брусчаткой габбро 80*80*80мм на отсев (проезжая часть)</t>
        </is>
      </c>
      <c r="C136" s="41" t="inlineStr">
        <is>
          <t>м2</t>
        </is>
      </c>
      <c r="D136" s="41" t="inlineStr">
        <is>
          <t>3700</t>
        </is>
      </c>
      <c r="E136" s="43" t="n">
        <v>3700</v>
      </c>
      <c r="F136" s="41" t="inlineStr">
        <is>
          <t>работа</t>
        </is>
      </c>
      <c r="G136" s="41" t="inlineStr">
        <is>
          <t>Покрытия</t>
        </is>
      </c>
      <c r="H136" s="41" t="inlineStr">
        <is>
          <t>Мощение</t>
        </is>
      </c>
      <c r="I136" s="41" t="inlineStr">
        <is>
          <t>Мощение</t>
        </is>
      </c>
      <c r="J136" s="41" t="inlineStr">
        <is>
          <t>Мощение</t>
        </is>
      </c>
      <c r="K136" s="41" t="inlineStr">
        <is>
          <t>Работа</t>
        </is>
      </c>
      <c r="L136" s="41" t="inlineStr">
        <is>
          <t>Покрытие</t>
        </is>
      </c>
      <c r="M136" s="41" t="inlineStr">
        <is>
          <t>Основные работы</t>
        </is>
      </c>
      <c r="N136" s="41" t="inlineStr">
        <is>
          <t>Показать строкой</t>
        </is>
      </c>
      <c r="O136" s="41" t="inlineStr">
        <is>
          <t>Высокая</t>
        </is>
      </c>
      <c r="P136" s="44" t="inlineStr">
        <is>
          <t>RWORK-0067</t>
        </is>
      </c>
      <c r="Q136" s="44" t="inlineStr"/>
      <c r="R136" s="41" t="inlineStr">
        <is>
          <t>Нет</t>
        </is>
      </c>
      <c r="S136" s="45" t="inlineStr">
        <is>
          <t>Нормализовано под генератор КП</t>
        </is>
      </c>
    </row>
    <row r="137">
      <c r="A137" s="42" t="inlineStr">
        <is>
          <t>SRC-0136</t>
        </is>
      </c>
      <c r="B137" s="42" t="inlineStr">
        <is>
          <t>Мощение брусчаткой пиленной из шунгитного сланца на отсев</t>
        </is>
      </c>
      <c r="C137" s="42" t="inlineStr">
        <is>
          <t>м2</t>
        </is>
      </c>
      <c r="D137" s="42" t="inlineStr">
        <is>
          <t>2700</t>
        </is>
      </c>
      <c r="E137" s="46" t="n">
        <v>2700</v>
      </c>
      <c r="F137" s="42" t="inlineStr">
        <is>
          <t>работа</t>
        </is>
      </c>
      <c r="G137" s="42" t="inlineStr">
        <is>
          <t>Покрытия</t>
        </is>
      </c>
      <c r="H137" s="42" t="inlineStr">
        <is>
          <t>Мощение</t>
        </is>
      </c>
      <c r="I137" s="42" t="inlineStr">
        <is>
          <t>Мощение</t>
        </is>
      </c>
      <c r="J137" s="42" t="inlineStr">
        <is>
          <t>Мощение</t>
        </is>
      </c>
      <c r="K137" s="42" t="inlineStr">
        <is>
          <t>Работа</t>
        </is>
      </c>
      <c r="L137" s="42" t="inlineStr">
        <is>
          <t>Покрытие</t>
        </is>
      </c>
      <c r="M137" s="42" t="inlineStr">
        <is>
          <t>Основные работы</t>
        </is>
      </c>
      <c r="N137" s="42" t="inlineStr">
        <is>
          <t>Показать строкой</t>
        </is>
      </c>
      <c r="O137" s="42" t="inlineStr">
        <is>
          <t>Высокая</t>
        </is>
      </c>
      <c r="P137" s="47" t="inlineStr">
        <is>
          <t>RWORK-0068</t>
        </is>
      </c>
      <c r="Q137" s="47" t="inlineStr"/>
      <c r="R137" s="42" t="inlineStr">
        <is>
          <t>Нет</t>
        </is>
      </c>
      <c r="S137" s="48" t="inlineStr">
        <is>
          <t>Нормализовано под генератор КП</t>
        </is>
      </c>
    </row>
    <row r="138">
      <c r="A138" s="41" t="inlineStr">
        <is>
          <t>SRC-0137</t>
        </is>
      </c>
      <c r="B138" s="41" t="inlineStr">
        <is>
          <t>Мощение гранитной брусчаткой (без рисунка)</t>
        </is>
      </c>
      <c r="C138" s="41" t="inlineStr">
        <is>
          <t>м2</t>
        </is>
      </c>
      <c r="D138" s="41" t="inlineStr">
        <is>
          <t>2200</t>
        </is>
      </c>
      <c r="E138" s="43" t="n">
        <v>2200</v>
      </c>
      <c r="F138" s="41" t="inlineStr">
        <is>
          <t>работа</t>
        </is>
      </c>
      <c r="G138" s="41" t="inlineStr">
        <is>
          <t>2 мощ-е - подг-ка осн-я</t>
        </is>
      </c>
      <c r="H138" s="41" t="inlineStr">
        <is>
          <t>Мощение</t>
        </is>
      </c>
      <c r="I138" s="41" t="inlineStr">
        <is>
          <t>Мощение</t>
        </is>
      </c>
      <c r="J138" s="41" t="inlineStr">
        <is>
          <t>Мощение</t>
        </is>
      </c>
      <c r="K138" s="41" t="inlineStr">
        <is>
          <t>Работа</t>
        </is>
      </c>
      <c r="L138" s="41" t="inlineStr">
        <is>
          <t>Покрытие</t>
        </is>
      </c>
      <c r="M138" s="41" t="inlineStr">
        <is>
          <t>Основные работы</t>
        </is>
      </c>
      <c r="N138" s="41" t="inlineStr">
        <is>
          <t>Показать строкой</t>
        </is>
      </c>
      <c r="O138" s="41" t="inlineStr">
        <is>
          <t>Высокая</t>
        </is>
      </c>
      <c r="P138" s="44" t="inlineStr">
        <is>
          <t>RWORK-0069</t>
        </is>
      </c>
      <c r="Q138" s="44" t="inlineStr"/>
      <c r="R138" s="41" t="inlineStr">
        <is>
          <t>Нет</t>
        </is>
      </c>
      <c r="S138" s="45" t="inlineStr">
        <is>
          <t>Нормализовано под генератор КП</t>
        </is>
      </c>
    </row>
    <row r="139">
      <c r="A139" s="42" t="inlineStr">
        <is>
          <t>SRC-0138</t>
        </is>
      </c>
      <c r="B139" s="42" t="inlineStr">
        <is>
          <t>Мощение колотым амфиболитом</t>
        </is>
      </c>
      <c r="C139" s="42" t="inlineStr">
        <is>
          <t>м2</t>
        </is>
      </c>
      <c r="D139" s="42" t="inlineStr">
        <is>
          <t>2300</t>
        </is>
      </c>
      <c r="E139" s="46" t="n">
        <v>2300</v>
      </c>
      <c r="F139" s="42" t="inlineStr">
        <is>
          <t>работа</t>
        </is>
      </c>
      <c r="G139" s="42" t="inlineStr">
        <is>
          <t>дренаж</t>
        </is>
      </c>
      <c r="H139" s="42" t="inlineStr">
        <is>
          <t>Мощение</t>
        </is>
      </c>
      <c r="I139" s="42" t="inlineStr">
        <is>
          <t>Мощение</t>
        </is>
      </c>
      <c r="J139" s="42" t="inlineStr">
        <is>
          <t>Мощение</t>
        </is>
      </c>
      <c r="K139" s="42" t="inlineStr">
        <is>
          <t>Работа</t>
        </is>
      </c>
      <c r="L139" s="42" t="inlineStr">
        <is>
          <t>Покрытие</t>
        </is>
      </c>
      <c r="M139" s="42" t="inlineStr">
        <is>
          <t>Основные работы</t>
        </is>
      </c>
      <c r="N139" s="42" t="inlineStr">
        <is>
          <t>Показать строкой</t>
        </is>
      </c>
      <c r="O139" s="42" t="inlineStr">
        <is>
          <t>Высокая</t>
        </is>
      </c>
      <c r="P139" s="47" t="inlineStr">
        <is>
          <t>RWORK-0070</t>
        </is>
      </c>
      <c r="Q139" s="47" t="inlineStr"/>
      <c r="R139" s="42" t="inlineStr">
        <is>
          <t>Нет</t>
        </is>
      </c>
      <c r="S139" s="48" t="inlineStr">
        <is>
          <t>Нормализовано под генератор КП</t>
        </is>
      </c>
    </row>
    <row r="140">
      <c r="A140" s="41" t="inlineStr">
        <is>
          <t>SRC-0139</t>
        </is>
      </c>
      <c r="B140" s="41" t="inlineStr">
        <is>
          <t>Мощение пилено-колотрой гранитной брусчаткой 100х100х50мм</t>
        </is>
      </c>
      <c r="C140" s="41" t="inlineStr">
        <is>
          <t>м2</t>
        </is>
      </c>
      <c r="D140" s="41" t="inlineStr">
        <is>
          <t>1980</t>
        </is>
      </c>
      <c r="E140" s="43" t="n">
        <v>1980</v>
      </c>
      <c r="F140" s="41" t="inlineStr">
        <is>
          <t>работа</t>
        </is>
      </c>
      <c r="G140" s="41" t="inlineStr">
        <is>
          <t>Покрытия</t>
        </is>
      </c>
      <c r="H140" s="41" t="inlineStr">
        <is>
          <t>Мощение</t>
        </is>
      </c>
      <c r="I140" s="41" t="inlineStr">
        <is>
          <t>Мощение</t>
        </is>
      </c>
      <c r="J140" s="41" t="inlineStr">
        <is>
          <t>Мощение</t>
        </is>
      </c>
      <c r="K140" s="41" t="inlineStr">
        <is>
          <t>Работа</t>
        </is>
      </c>
      <c r="L140" s="41" t="inlineStr">
        <is>
          <t>Покрытие</t>
        </is>
      </c>
      <c r="M140" s="41" t="inlineStr">
        <is>
          <t>Основные работы</t>
        </is>
      </c>
      <c r="N140" s="41" t="inlineStr">
        <is>
          <t>Показать строкой</t>
        </is>
      </c>
      <c r="O140" s="41" t="inlineStr">
        <is>
          <t>Высокая</t>
        </is>
      </c>
      <c r="P140" s="44" t="inlineStr">
        <is>
          <t>RWORK-0071</t>
        </is>
      </c>
      <c r="Q140" s="44" t="inlineStr"/>
      <c r="R140" s="41" t="inlineStr">
        <is>
          <t>Нет</t>
        </is>
      </c>
      <c r="S140" s="45" t="inlineStr">
        <is>
          <t>Нормализовано под генератор КП</t>
        </is>
      </c>
    </row>
    <row r="141">
      <c r="A141" s="42" t="inlineStr">
        <is>
          <t>SRC-0140</t>
        </is>
      </c>
      <c r="B141" s="42" t="inlineStr">
        <is>
          <t>Мощение плитами</t>
        </is>
      </c>
      <c r="C141" s="42" t="inlineStr">
        <is>
          <t>м2</t>
        </is>
      </c>
      <c r="D141" s="42" t="inlineStr">
        <is>
          <t>950</t>
        </is>
      </c>
      <c r="E141" s="46" t="n">
        <v>950</v>
      </c>
      <c r="F141" s="42" t="inlineStr">
        <is>
          <t>работа</t>
        </is>
      </c>
      <c r="G141" s="42" t="inlineStr">
        <is>
          <t>1. Подготовка основания для пешеходных дорожек и площадок под мощение тротуарной плиткой.</t>
        </is>
      </c>
      <c r="H141" s="42" t="inlineStr">
        <is>
          <t>Мощение</t>
        </is>
      </c>
      <c r="I141" s="42" t="inlineStr">
        <is>
          <t>Мощение</t>
        </is>
      </c>
      <c r="J141" s="42" t="inlineStr">
        <is>
          <t>Мощение</t>
        </is>
      </c>
      <c r="K141" s="42" t="inlineStr">
        <is>
          <t>Работа</t>
        </is>
      </c>
      <c r="L141" s="42" t="inlineStr">
        <is>
          <t>Покрытие</t>
        </is>
      </c>
      <c r="M141" s="42" t="inlineStr">
        <is>
          <t>Основные работы</t>
        </is>
      </c>
      <c r="N141" s="42" t="inlineStr">
        <is>
          <t>Показать строкой</t>
        </is>
      </c>
      <c r="O141" s="42" t="inlineStr">
        <is>
          <t>Высокая</t>
        </is>
      </c>
      <c r="P141" s="47" t="inlineStr">
        <is>
          <t>RWORK-0072</t>
        </is>
      </c>
      <c r="Q141" s="47" t="inlineStr"/>
      <c r="R141" s="42" t="inlineStr">
        <is>
          <t>Нет</t>
        </is>
      </c>
      <c r="S141" s="48" t="inlineStr">
        <is>
          <t>Нормализовано под генератор КП</t>
        </is>
      </c>
    </row>
    <row r="142">
      <c r="A142" s="41" t="inlineStr">
        <is>
          <t>SRC-0141</t>
        </is>
      </c>
      <c r="B142" s="41" t="inlineStr">
        <is>
          <t>Мощение плитами согласно схеме раскладки</t>
        </is>
      </c>
      <c r="C142" s="41" t="inlineStr">
        <is>
          <t>м2</t>
        </is>
      </c>
      <c r="D142" s="41" t="inlineStr">
        <is>
          <t>2900</t>
        </is>
      </c>
      <c r="E142" s="43" t="n">
        <v>2900</v>
      </c>
      <c r="F142" s="41" t="inlineStr">
        <is>
          <t>работа</t>
        </is>
      </c>
      <c r="G142" s="41" t="inlineStr">
        <is>
          <t>2 мощ-е - подг-ка осн-я</t>
        </is>
      </c>
      <c r="H142" s="41" t="inlineStr">
        <is>
          <t>Мощение</t>
        </is>
      </c>
      <c r="I142" s="41" t="inlineStr">
        <is>
          <t>Мощение</t>
        </is>
      </c>
      <c r="J142" s="41" t="inlineStr">
        <is>
          <t>Мощение</t>
        </is>
      </c>
      <c r="K142" s="41" t="inlineStr">
        <is>
          <t>Работа</t>
        </is>
      </c>
      <c r="L142" s="41" t="inlineStr">
        <is>
          <t>Покрытие</t>
        </is>
      </c>
      <c r="M142" s="41" t="inlineStr">
        <is>
          <t>Основные работы</t>
        </is>
      </c>
      <c r="N142" s="41" t="inlineStr">
        <is>
          <t>Показать строкой</t>
        </is>
      </c>
      <c r="O142" s="41" t="inlineStr">
        <is>
          <t>Высокая</t>
        </is>
      </c>
      <c r="P142" s="44" t="inlineStr">
        <is>
          <t>RWORK-0073</t>
        </is>
      </c>
      <c r="Q142" s="44" t="inlineStr"/>
      <c r="R142" s="41" t="inlineStr">
        <is>
          <t>Нет</t>
        </is>
      </c>
      <c r="S142" s="45" t="inlineStr">
        <is>
          <t>Нормализовано под генератор КП</t>
        </is>
      </c>
    </row>
    <row r="143">
      <c r="A143" s="42" t="inlineStr">
        <is>
          <t>SRC-0142</t>
        </is>
      </c>
      <c r="B143" s="42" t="inlineStr">
        <is>
          <t>Мощение ТБП</t>
        </is>
      </c>
      <c r="C143" s="42" t="inlineStr">
        <is>
          <t>м2</t>
        </is>
      </c>
      <c r="D143" s="42" t="inlineStr">
        <is>
          <t>1600</t>
        </is>
      </c>
      <c r="E143" s="46" t="n">
        <v>1600</v>
      </c>
      <c r="F143" s="42" t="inlineStr">
        <is>
          <t>работа</t>
        </is>
      </c>
      <c r="G143" s="42" t="inlineStr">
        <is>
          <t>Покрытия</t>
        </is>
      </c>
      <c r="H143" s="42" t="inlineStr">
        <is>
          <t>Мощение</t>
        </is>
      </c>
      <c r="I143" s="42" t="inlineStr">
        <is>
          <t>Мощение</t>
        </is>
      </c>
      <c r="J143" s="42" t="inlineStr">
        <is>
          <t>Мощение</t>
        </is>
      </c>
      <c r="K143" s="42" t="inlineStr">
        <is>
          <t>Работа</t>
        </is>
      </c>
      <c r="L143" s="42" t="inlineStr">
        <is>
          <t>Покрытие</t>
        </is>
      </c>
      <c r="M143" s="42" t="inlineStr">
        <is>
          <t>Основные работы</t>
        </is>
      </c>
      <c r="N143" s="42" t="inlineStr">
        <is>
          <t>Показать строкой</t>
        </is>
      </c>
      <c r="O143" s="42" t="inlineStr">
        <is>
          <t>Высокая</t>
        </is>
      </c>
      <c r="P143" s="47" t="inlineStr">
        <is>
          <t>RWORK-0074</t>
        </is>
      </c>
      <c r="Q143" s="47" t="inlineStr"/>
      <c r="R143" s="42" t="inlineStr">
        <is>
          <t>Нет</t>
        </is>
      </c>
      <c r="S143" s="48" t="inlineStr">
        <is>
          <t>Нормализовано под генератор КП</t>
        </is>
      </c>
    </row>
    <row r="144">
      <c r="A144" s="41" t="inlineStr">
        <is>
          <t>SRC-0143</t>
        </is>
      </c>
      <c r="B144" s="41" t="inlineStr">
        <is>
          <t>Мощение ТБП</t>
        </is>
      </c>
      <c r="C144" s="41" t="inlineStr">
        <is>
          <t>м2</t>
        </is>
      </c>
      <c r="D144" s="41" t="inlineStr">
        <is>
          <t>950</t>
        </is>
      </c>
      <c r="E144" s="43" t="n">
        <v>950</v>
      </c>
      <c r="F144" s="41" t="inlineStr">
        <is>
          <t>работа</t>
        </is>
      </c>
      <c r="G144" s="41" t="inlineStr">
        <is>
          <t>1. Подготовка основания для пешеходных дорожек и площадок под мощение тротуарной плиткой.</t>
        </is>
      </c>
      <c r="H144" s="41" t="inlineStr">
        <is>
          <t>Мощение</t>
        </is>
      </c>
      <c r="I144" s="41" t="inlineStr">
        <is>
          <t>Мощение</t>
        </is>
      </c>
      <c r="J144" s="41" t="inlineStr">
        <is>
          <t>Мощение</t>
        </is>
      </c>
      <c r="K144" s="41" t="inlineStr">
        <is>
          <t>Работа</t>
        </is>
      </c>
      <c r="L144" s="41" t="inlineStr">
        <is>
          <t>Покрытие</t>
        </is>
      </c>
      <c r="M144" s="41" t="inlineStr">
        <is>
          <t>Основные работы</t>
        </is>
      </c>
      <c r="N144" s="41" t="inlineStr">
        <is>
          <t>Показать строкой</t>
        </is>
      </c>
      <c r="O144" s="41" t="inlineStr">
        <is>
          <t>Высокая</t>
        </is>
      </c>
      <c r="P144" s="44" t="inlineStr">
        <is>
          <t>RWORK-0074</t>
        </is>
      </c>
      <c r="Q144" s="44" t="inlineStr"/>
      <c r="R144" s="41" t="inlineStr">
        <is>
          <t>Нет</t>
        </is>
      </c>
      <c r="S144" s="45" t="inlineStr">
        <is>
          <t>Нормализовано под генератор КП</t>
        </is>
      </c>
    </row>
    <row r="145">
      <c r="A145" s="42" t="inlineStr">
        <is>
          <t>SRC-0144</t>
        </is>
      </c>
      <c r="B145" s="42" t="inlineStr">
        <is>
          <t>Мощение ТБП 60мм</t>
        </is>
      </c>
      <c r="C145" s="42" t="inlineStr">
        <is>
          <t>м2</t>
        </is>
      </c>
      <c r="D145" s="42" t="inlineStr">
        <is>
          <t>1300</t>
        </is>
      </c>
      <c r="E145" s="46" t="n">
        <v>1300</v>
      </c>
      <c r="F145" s="42" t="inlineStr">
        <is>
          <t>работа</t>
        </is>
      </c>
      <c r="G145" s="42" t="inlineStr">
        <is>
          <t>Покрытия</t>
        </is>
      </c>
      <c r="H145" s="42" t="inlineStr">
        <is>
          <t>Мощение</t>
        </is>
      </c>
      <c r="I145" s="42" t="inlineStr">
        <is>
          <t>Мощение</t>
        </is>
      </c>
      <c r="J145" s="42" t="inlineStr">
        <is>
          <t>Мощение</t>
        </is>
      </c>
      <c r="K145" s="42" t="inlineStr">
        <is>
          <t>Работа</t>
        </is>
      </c>
      <c r="L145" s="42" t="inlineStr">
        <is>
          <t>Покрытие</t>
        </is>
      </c>
      <c r="M145" s="42" t="inlineStr">
        <is>
          <t>Основные работы</t>
        </is>
      </c>
      <c r="N145" s="42" t="inlineStr">
        <is>
          <t>Показать строкой</t>
        </is>
      </c>
      <c r="O145" s="42" t="inlineStr">
        <is>
          <t>Высокая</t>
        </is>
      </c>
      <c r="P145" s="47" t="inlineStr">
        <is>
          <t>RWORK-0075</t>
        </is>
      </c>
      <c r="Q145" s="47" t="inlineStr"/>
      <c r="R145" s="42" t="inlineStr">
        <is>
          <t>Нет</t>
        </is>
      </c>
      <c r="S145" s="48" t="inlineStr">
        <is>
          <t>Нормализовано под генератор КП</t>
        </is>
      </c>
    </row>
    <row r="146">
      <c r="A146" s="41" t="inlineStr">
        <is>
          <t>SRC-0145</t>
        </is>
      </c>
      <c r="B146" s="41" t="inlineStr">
        <is>
          <t>Мощение шунгитным сланцем, рваным</t>
        </is>
      </c>
      <c r="C146" s="41" t="inlineStr">
        <is>
          <t>м2</t>
        </is>
      </c>
      <c r="D146" s="41" t="inlineStr">
        <is>
          <t>3900</t>
        </is>
      </c>
      <c r="E146" s="43" t="n">
        <v>3900</v>
      </c>
      <c r="F146" s="41" t="inlineStr">
        <is>
          <t>работа</t>
        </is>
      </c>
      <c r="G146" s="41" t="inlineStr">
        <is>
          <t>Покрытия</t>
        </is>
      </c>
      <c r="H146" s="41" t="inlineStr">
        <is>
          <t>Мощение</t>
        </is>
      </c>
      <c r="I146" s="41" t="inlineStr">
        <is>
          <t>Мощение</t>
        </is>
      </c>
      <c r="J146" s="41" t="inlineStr">
        <is>
          <t>Мощение</t>
        </is>
      </c>
      <c r="K146" s="41" t="inlineStr">
        <is>
          <t>Работа</t>
        </is>
      </c>
      <c r="L146" s="41" t="inlineStr">
        <is>
          <t>Покрытие</t>
        </is>
      </c>
      <c r="M146" s="41" t="inlineStr">
        <is>
          <t>Основные работы</t>
        </is>
      </c>
      <c r="N146" s="41" t="inlineStr">
        <is>
          <t>Показать строкой</t>
        </is>
      </c>
      <c r="O146" s="41" t="inlineStr">
        <is>
          <t>Высокая</t>
        </is>
      </c>
      <c r="P146" s="44" t="inlineStr">
        <is>
          <t>RWORK-0076</t>
        </is>
      </c>
      <c r="Q146" s="44" t="inlineStr"/>
      <c r="R146" s="41" t="inlineStr">
        <is>
          <t>Нет</t>
        </is>
      </c>
      <c r="S146" s="45" t="inlineStr">
        <is>
          <t>Нормализовано под генератор КП</t>
        </is>
      </c>
    </row>
    <row r="147">
      <c r="A147" s="42" t="inlineStr">
        <is>
          <t>SRC-0146</t>
        </is>
      </c>
      <c r="B147" s="42" t="inlineStr">
        <is>
          <t>Муфта d110мм для врезки в колодец</t>
        </is>
      </c>
      <c r="C147" s="42" t="inlineStr">
        <is>
          <t>шт</t>
        </is>
      </c>
      <c r="D147" s="42" t="inlineStr">
        <is>
          <t>630</t>
        </is>
      </c>
      <c r="E147" s="46" t="n">
        <v>630</v>
      </c>
      <c r="F147" s="42" t="inlineStr">
        <is>
          <t>материалы</t>
        </is>
      </c>
      <c r="G147" s="42" t="inlineStr">
        <is>
          <t>Ливневая система</t>
        </is>
      </c>
      <c r="H147" s="42" t="inlineStr">
        <is>
          <t>ливневка</t>
        </is>
      </c>
      <c r="I147" s="42" t="inlineStr">
        <is>
          <t>ливневка</t>
        </is>
      </c>
      <c r="J147" s="42" t="inlineStr">
        <is>
          <t>Ливневая канализация</t>
        </is>
      </c>
      <c r="K147" s="42" t="inlineStr">
        <is>
          <t>Материал</t>
        </is>
      </c>
      <c r="L147" s="42" t="inlineStr">
        <is>
          <t>Колодцы и перекрытия</t>
        </is>
      </c>
      <c r="M147" s="42" t="inlineStr">
        <is>
          <t>Материалы</t>
        </is>
      </c>
      <c r="N147" s="42" t="inlineStr">
        <is>
          <t>Показать строкой</t>
        </is>
      </c>
      <c r="O147" s="42" t="inlineStr">
        <is>
          <t>Высокая</t>
        </is>
      </c>
      <c r="P147" s="47" t="inlineStr">
        <is>
          <t>RMAT-0069</t>
        </is>
      </c>
      <c r="Q147" s="47" t="inlineStr">
        <is>
          <t>MV-0069</t>
        </is>
      </c>
      <c r="R147" s="42" t="inlineStr">
        <is>
          <t>Нет</t>
        </is>
      </c>
      <c r="S147" s="48" t="inlineStr">
        <is>
          <t>Нормализовано под генератор КП</t>
        </is>
      </c>
    </row>
    <row r="148">
      <c r="A148" s="41" t="inlineStr">
        <is>
          <t>SRC-0147</t>
        </is>
      </c>
      <c r="B148" s="41" t="inlineStr">
        <is>
          <t>Муфта d160мм для врезки в колодец</t>
        </is>
      </c>
      <c r="C148" s="41" t="inlineStr">
        <is>
          <t>шт</t>
        </is>
      </c>
      <c r="D148" s="41" t="inlineStr">
        <is>
          <t>1300</t>
        </is>
      </c>
      <c r="E148" s="43" t="n">
        <v>1300</v>
      </c>
      <c r="F148" s="41" t="inlineStr">
        <is>
          <t>материалы</t>
        </is>
      </c>
      <c r="G148" s="41" t="inlineStr">
        <is>
          <t>Ливневая система</t>
        </is>
      </c>
      <c r="H148" s="41" t="inlineStr">
        <is>
          <t>ливневка</t>
        </is>
      </c>
      <c r="I148" s="41" t="inlineStr">
        <is>
          <t>ливневка</t>
        </is>
      </c>
      <c r="J148" s="41" t="inlineStr">
        <is>
          <t>Ливневая канализация</t>
        </is>
      </c>
      <c r="K148" s="41" t="inlineStr">
        <is>
          <t>Материал</t>
        </is>
      </c>
      <c r="L148" s="41" t="inlineStr">
        <is>
          <t>Колодцы и перекрытия</t>
        </is>
      </c>
      <c r="M148" s="41" t="inlineStr">
        <is>
          <t>Материалы</t>
        </is>
      </c>
      <c r="N148" s="41" t="inlineStr">
        <is>
          <t>Показать строкой</t>
        </is>
      </c>
      <c r="O148" s="41" t="inlineStr">
        <is>
          <t>Высокая</t>
        </is>
      </c>
      <c r="P148" s="44" t="inlineStr">
        <is>
          <t>RMAT-0070</t>
        </is>
      </c>
      <c r="Q148" s="44" t="inlineStr">
        <is>
          <t>MV-0070</t>
        </is>
      </c>
      <c r="R148" s="41" t="inlineStr">
        <is>
          <t>Нет</t>
        </is>
      </c>
      <c r="S148" s="45" t="inlineStr">
        <is>
          <t>Нормализовано под генератор КП</t>
        </is>
      </c>
    </row>
    <row r="149">
      <c r="A149" s="49" t="inlineStr">
        <is>
          <t>SRC-0148</t>
        </is>
      </c>
      <c r="B149" s="49" t="inlineStr">
        <is>
          <t>Накладные расходы (расходные материалы, комплектация заказов, зарплата АУП и пр.)</t>
        </is>
      </c>
      <c r="C149" s="49" t="inlineStr">
        <is>
          <t>%</t>
        </is>
      </c>
      <c r="D149" s="49" t="inlineStr">
        <is>
          <t>0.05</t>
        </is>
      </c>
      <c r="E149" s="50" t="n">
        <v>0.05</v>
      </c>
      <c r="F149" s="49" t="inlineStr">
        <is>
          <t>%</t>
        </is>
      </c>
      <c r="G149" s="49" t="inlineStr">
        <is>
          <t>%</t>
        </is>
      </c>
      <c r="H149" s="49" t="inlineStr">
        <is>
          <t>%</t>
        </is>
      </c>
      <c r="I149" s="49" t="inlineStr">
        <is>
          <t>%</t>
        </is>
      </c>
      <c r="J149" s="49" t="inlineStr">
        <is>
          <t>Накладные / коэффициенты</t>
        </is>
      </c>
      <c r="K149" s="49" t="inlineStr">
        <is>
          <t>Накладные</t>
        </is>
      </c>
      <c r="L149" s="49" t="inlineStr">
        <is>
          <t>Накладные расходы</t>
        </is>
      </c>
      <c r="M149" s="49" t="inlineStr">
        <is>
          <t>Накладные и скрытые расходы</t>
        </is>
      </c>
      <c r="N149" s="49" t="inlineStr">
        <is>
          <t>Скрыть из клиентской версии</t>
        </is>
      </c>
      <c r="O149" s="49" t="inlineStr">
        <is>
          <t>Высокая</t>
        </is>
      </c>
      <c r="P149" s="51" t="inlineStr">
        <is>
          <t>RWORK-0077</t>
        </is>
      </c>
      <c r="Q149" s="51" t="inlineStr"/>
      <c r="R149" s="49" t="inlineStr">
        <is>
          <t>Да</t>
        </is>
      </c>
      <c r="S149" s="52" t="inlineStr">
        <is>
          <t>Для клиентской версии КП не выводить отдельной строкой</t>
        </is>
      </c>
    </row>
    <row r="150">
      <c r="A150" s="41" t="inlineStr">
        <is>
          <t>SRC-0149</t>
        </is>
      </c>
      <c r="B150" s="41" t="inlineStr">
        <is>
          <t>Обратная засыпка грунта</t>
        </is>
      </c>
      <c r="C150" s="41" t="inlineStr">
        <is>
          <t>м3</t>
        </is>
      </c>
      <c r="D150" s="41" t="inlineStr">
        <is>
          <t>900</t>
        </is>
      </c>
      <c r="E150" s="43" t="n">
        <v>900</v>
      </c>
      <c r="F150" s="41" t="inlineStr">
        <is>
          <t>работа</t>
        </is>
      </c>
      <c r="G150" s="41" t="inlineStr">
        <is>
          <t>Устройство закладных.</t>
        </is>
      </c>
      <c r="H150" s="41" t="inlineStr">
        <is>
          <t>Закладные</t>
        </is>
      </c>
      <c r="I150" s="41" t="inlineStr">
        <is>
          <t>Закладные</t>
        </is>
      </c>
      <c r="J150" s="41" t="inlineStr">
        <is>
          <t>Закладные / коммуникации</t>
        </is>
      </c>
      <c r="K150" s="41" t="inlineStr">
        <is>
          <t>Работа</t>
        </is>
      </c>
      <c r="L150" s="41" t="inlineStr">
        <is>
          <t>Обратная засыпка</t>
        </is>
      </c>
      <c r="M150" s="41" t="inlineStr">
        <is>
          <t>Основные работы</t>
        </is>
      </c>
      <c r="N150" s="41" t="inlineStr">
        <is>
          <t>Показать строкой</t>
        </is>
      </c>
      <c r="O150" s="41" t="inlineStr">
        <is>
          <t>Высокая</t>
        </is>
      </c>
      <c r="P150" s="44" t="inlineStr">
        <is>
          <t>RWORK-0078</t>
        </is>
      </c>
      <c r="Q150" s="44" t="inlineStr"/>
      <c r="R150" s="41" t="inlineStr">
        <is>
          <t>Нет</t>
        </is>
      </c>
      <c r="S150" s="45" t="inlineStr">
        <is>
          <t>Нормализовано под генератор КП</t>
        </is>
      </c>
    </row>
    <row r="151">
      <c r="A151" s="42" t="inlineStr">
        <is>
          <t>SRC-0150</t>
        </is>
      </c>
      <c r="B151" s="42" t="inlineStr">
        <is>
          <t>Обратная засыпка с послойной трамбовкой вручную</t>
        </is>
      </c>
      <c r="C151" s="42" t="inlineStr">
        <is>
          <t>м3</t>
        </is>
      </c>
      <c r="D151" s="42" t="inlineStr">
        <is>
          <t>900</t>
        </is>
      </c>
      <c r="E151" s="46" t="n">
        <v>900</v>
      </c>
      <c r="F151" s="42" t="inlineStr">
        <is>
          <t>работа</t>
        </is>
      </c>
      <c r="G151" s="42" t="inlineStr">
        <is>
          <t>2 мощ-е - подг-ка осн-я</t>
        </is>
      </c>
      <c r="H151" s="42" t="inlineStr">
        <is>
          <t>Мощение</t>
        </is>
      </c>
      <c r="I151" s="42" t="inlineStr">
        <is>
          <t>Мощение</t>
        </is>
      </c>
      <c r="J151" s="42" t="inlineStr">
        <is>
          <t>Мощение</t>
        </is>
      </c>
      <c r="K151" s="42" t="inlineStr">
        <is>
          <t>Работа</t>
        </is>
      </c>
      <c r="L151" s="42" t="inlineStr">
        <is>
          <t>Подготовка и демонтаж</t>
        </is>
      </c>
      <c r="M151" s="42" t="inlineStr">
        <is>
          <t>Основные работы</t>
        </is>
      </c>
      <c r="N151" s="42" t="inlineStr">
        <is>
          <t>Показать строкой</t>
        </is>
      </c>
      <c r="O151" s="42" t="inlineStr">
        <is>
          <t>Высокая</t>
        </is>
      </c>
      <c r="P151" s="47" t="inlineStr">
        <is>
          <t>RWORK-0079</t>
        </is>
      </c>
      <c r="Q151" s="47" t="inlineStr"/>
      <c r="R151" s="42" t="inlineStr">
        <is>
          <t>Нет</t>
        </is>
      </c>
      <c r="S151" s="48" t="inlineStr">
        <is>
          <t>Нормализовано под генератор КП</t>
        </is>
      </c>
    </row>
    <row r="152">
      <c r="A152" s="41" t="inlineStr">
        <is>
          <t>SRC-0151</t>
        </is>
      </c>
      <c r="B152" s="41" t="inlineStr">
        <is>
          <t>Обратная засыпка траншеи после прокладки кабеля</t>
        </is>
      </c>
      <c r="C152" s="41" t="inlineStr">
        <is>
          <t>м.пог.</t>
        </is>
      </c>
      <c r="D152" s="41" t="inlineStr">
        <is>
          <t>400</t>
        </is>
      </c>
      <c r="E152" s="43" t="n">
        <v>400</v>
      </c>
      <c r="F152" s="41" t="inlineStr">
        <is>
          <t>работа</t>
        </is>
      </c>
      <c r="G152" s="41" t="inlineStr">
        <is>
          <t>Освещение</t>
        </is>
      </c>
      <c r="H152" s="41" t="inlineStr">
        <is>
          <t>Освещение</t>
        </is>
      </c>
      <c r="I152" s="41" t="inlineStr">
        <is>
          <t>Освещение</t>
        </is>
      </c>
      <c r="J152" s="41" t="inlineStr">
        <is>
          <t>Освещение</t>
        </is>
      </c>
      <c r="K152" s="41" t="inlineStr">
        <is>
          <t>Работа</t>
        </is>
      </c>
      <c r="L152" s="41" t="inlineStr">
        <is>
          <t>Кабельная инфраструктура</t>
        </is>
      </c>
      <c r="M152" s="41" t="inlineStr">
        <is>
          <t>Основные работы</t>
        </is>
      </c>
      <c r="N152" s="41" t="inlineStr">
        <is>
          <t>Показать строкой</t>
        </is>
      </c>
      <c r="O152" s="41" t="inlineStr">
        <is>
          <t>Высокая</t>
        </is>
      </c>
      <c r="P152" s="44" t="inlineStr">
        <is>
          <t>RWORK-0080</t>
        </is>
      </c>
      <c r="Q152" s="44" t="inlineStr"/>
      <c r="R152" s="41" t="inlineStr">
        <is>
          <t>Нет</t>
        </is>
      </c>
      <c r="S152" s="45" t="inlineStr">
        <is>
          <t>Нормализовано под генератор КП</t>
        </is>
      </c>
    </row>
    <row r="153">
      <c r="A153" s="42" t="inlineStr">
        <is>
          <t>SRC-0152</t>
        </is>
      </c>
      <c r="B153" s="42" t="inlineStr">
        <is>
          <t>Обрезка краев газона криволинейная</t>
        </is>
      </c>
      <c r="C153" s="42" t="inlineStr">
        <is>
          <t>м.пог.</t>
        </is>
      </c>
      <c r="D153" s="42" t="inlineStr">
        <is>
          <t>220</t>
        </is>
      </c>
      <c r="E153" s="46" t="n">
        <v>220</v>
      </c>
      <c r="F153" s="42" t="inlineStr">
        <is>
          <t>работа</t>
        </is>
      </c>
      <c r="G153" s="42" t="inlineStr">
        <is>
          <t>Устройство газона</t>
        </is>
      </c>
      <c r="H153" s="42" t="inlineStr">
        <is>
          <t>газон</t>
        </is>
      </c>
      <c r="I153" s="42" t="inlineStr">
        <is>
          <t>газон</t>
        </is>
      </c>
      <c r="J153" s="42" t="inlineStr">
        <is>
          <t>Газон</t>
        </is>
      </c>
      <c r="K153" s="42" t="inlineStr">
        <is>
          <t>Работа</t>
        </is>
      </c>
      <c r="L153" s="42" t="inlineStr">
        <is>
          <t>Газон и укладка</t>
        </is>
      </c>
      <c r="M153" s="42" t="inlineStr">
        <is>
          <t>Основные работы</t>
        </is>
      </c>
      <c r="N153" s="42" t="inlineStr">
        <is>
          <t>Показать строкой</t>
        </is>
      </c>
      <c r="O153" s="42" t="inlineStr">
        <is>
          <t>Высокая</t>
        </is>
      </c>
      <c r="P153" s="47" t="inlineStr">
        <is>
          <t>RWORK-0081</t>
        </is>
      </c>
      <c r="Q153" s="47" t="inlineStr"/>
      <c r="R153" s="42" t="inlineStr">
        <is>
          <t>Нет</t>
        </is>
      </c>
      <c r="S153" s="48" t="inlineStr">
        <is>
          <t>Нормализовано под генератор КП</t>
        </is>
      </c>
    </row>
    <row r="154">
      <c r="A154" s="41" t="inlineStr">
        <is>
          <t>SRC-0153</t>
        </is>
      </c>
      <c r="B154" s="41" t="inlineStr">
        <is>
          <t>Обрезка плодовых деревьев (май и сентябрь)</t>
        </is>
      </c>
      <c r="C154" s="41" t="inlineStr">
        <is>
          <t>шт</t>
        </is>
      </c>
      <c r="D154" s="41" t="inlineStr">
        <is>
          <t>15000</t>
        </is>
      </c>
      <c r="E154" s="43" t="n">
        <v>15000</v>
      </c>
      <c r="F154" s="41" t="inlineStr">
        <is>
          <t>работа</t>
        </is>
      </c>
      <c r="G154" s="41" t="inlineStr">
        <is>
          <t>Дополнительные работы.</t>
        </is>
      </c>
      <c r="H154" s="41" t="inlineStr">
        <is>
          <t>Дополнительные работы.</t>
        </is>
      </c>
      <c r="I154" s="41" t="inlineStr">
        <is>
          <t>Дополнительные работы.</t>
        </is>
      </c>
      <c r="J154" s="41" t="inlineStr">
        <is>
          <t>Посадки и уход</t>
        </is>
      </c>
      <c r="K154" s="41" t="inlineStr">
        <is>
          <t>Работа</t>
        </is>
      </c>
      <c r="L154" s="41" t="inlineStr">
        <is>
          <t>Уход и посадка</t>
        </is>
      </c>
      <c r="M154" s="41" t="inlineStr">
        <is>
          <t>Основные работы</t>
        </is>
      </c>
      <c r="N154" s="41" t="inlineStr">
        <is>
          <t>Показать строкой</t>
        </is>
      </c>
      <c r="O154" s="41" t="inlineStr">
        <is>
          <t>Высокая</t>
        </is>
      </c>
      <c r="P154" s="44" t="inlineStr">
        <is>
          <t>RWORK-0082</t>
        </is>
      </c>
      <c r="Q154" s="44" t="inlineStr"/>
      <c r="R154" s="41" t="inlineStr">
        <is>
          <t>Нет</t>
        </is>
      </c>
      <c r="S154" s="45" t="inlineStr">
        <is>
          <t>Перенесено из мусорной категории "Дополнительные работы."</t>
        </is>
      </c>
    </row>
    <row r="155">
      <c r="A155" s="42" t="inlineStr">
        <is>
          <t>SRC-0154</t>
        </is>
      </c>
      <c r="B155" s="42" t="inlineStr">
        <is>
          <t>окраска в цвет по RAL</t>
        </is>
      </c>
      <c r="C155" s="42" t="inlineStr">
        <is>
          <t>компл</t>
        </is>
      </c>
      <c r="D155" s="42" t="inlineStr">
        <is>
          <t>26400</t>
        </is>
      </c>
      <c r="E155" s="46" t="n">
        <v>26400</v>
      </c>
      <c r="F155" s="42" t="inlineStr">
        <is>
          <t>работа</t>
        </is>
      </c>
      <c r="G155" s="42" t="inlineStr">
        <is>
          <t>2 мощ-е - подг-ка осн-я</t>
        </is>
      </c>
      <c r="H155" s="42" t="inlineStr">
        <is>
          <t>Мощение</t>
        </is>
      </c>
      <c r="I155" s="42" t="inlineStr">
        <is>
          <t>Мощение</t>
        </is>
      </c>
      <c r="J155" s="42" t="inlineStr">
        <is>
          <t>Мощение</t>
        </is>
      </c>
      <c r="K155" s="42" t="inlineStr">
        <is>
          <t>Работа</t>
        </is>
      </c>
      <c r="L155" s="42" t="inlineStr">
        <is>
          <t>Конструкции и отделка</t>
        </is>
      </c>
      <c r="M155" s="42" t="inlineStr">
        <is>
          <t>Основные работы</t>
        </is>
      </c>
      <c r="N155" s="42" t="inlineStr">
        <is>
          <t>Показать строкой</t>
        </is>
      </c>
      <c r="O155" s="42" t="inlineStr">
        <is>
          <t>Высокая</t>
        </is>
      </c>
      <c r="P155" s="47" t="inlineStr">
        <is>
          <t>RWORK-0083</t>
        </is>
      </c>
      <c r="Q155" s="47" t="inlineStr"/>
      <c r="R155" s="42" t="inlineStr">
        <is>
          <t>Нет</t>
        </is>
      </c>
      <c r="S155" s="48" t="inlineStr">
        <is>
          <t>Нормализовано под генератор КП</t>
        </is>
      </c>
    </row>
    <row r="156">
      <c r="A156" s="41" t="inlineStr">
        <is>
          <t>SRC-0155</t>
        </is>
      </c>
      <c r="B156" s="41" t="inlineStr">
        <is>
          <t>Окраска доски в один слой с фасадной стороны и торцов</t>
        </is>
      </c>
      <c r="C156" s="41" t="inlineStr">
        <is>
          <t>м2</t>
        </is>
      </c>
      <c r="D156" s="41" t="inlineStr">
        <is>
          <t>250</t>
        </is>
      </c>
      <c r="E156" s="43" t="n">
        <v>250</v>
      </c>
      <c r="F156" s="41" t="inlineStr">
        <is>
          <t>работа</t>
        </is>
      </c>
      <c r="G156" s="41" t="inlineStr">
        <is>
          <t>2 мощ-е - подг-ка осн-я</t>
        </is>
      </c>
      <c r="H156" s="41" t="inlineStr">
        <is>
          <t>Мощение</t>
        </is>
      </c>
      <c r="I156" s="41" t="inlineStr">
        <is>
          <t>Мощение</t>
        </is>
      </c>
      <c r="J156" s="41" t="inlineStr">
        <is>
          <t>Мощение</t>
        </is>
      </c>
      <c r="K156" s="41" t="inlineStr">
        <is>
          <t>Работа</t>
        </is>
      </c>
      <c r="L156" s="41" t="inlineStr">
        <is>
          <t>Конструкции и отделка</t>
        </is>
      </c>
      <c r="M156" s="41" t="inlineStr">
        <is>
          <t>Основные работы</t>
        </is>
      </c>
      <c r="N156" s="41" t="inlineStr">
        <is>
          <t>Показать строкой</t>
        </is>
      </c>
      <c r="O156" s="41" t="inlineStr">
        <is>
          <t>Высокая</t>
        </is>
      </c>
      <c r="P156" s="44" t="inlineStr">
        <is>
          <t>RWORK-0084</t>
        </is>
      </c>
      <c r="Q156" s="44" t="inlineStr"/>
      <c r="R156" s="41" t="inlineStr">
        <is>
          <t>Нет</t>
        </is>
      </c>
      <c r="S156" s="45" t="inlineStr">
        <is>
          <t>Нормализовано под генератор КП</t>
        </is>
      </c>
    </row>
    <row r="157">
      <c r="A157" s="42" t="inlineStr">
        <is>
          <t>SRC-0156</t>
        </is>
      </c>
      <c r="B157" s="42" t="inlineStr">
        <is>
          <t>Опора ландшафтная для установки светильников в бетон</t>
        </is>
      </c>
      <c r="C157" s="42" t="inlineStr">
        <is>
          <t>шт</t>
        </is>
      </c>
      <c r="D157" s="42" t="inlineStr">
        <is>
          <t>2150</t>
        </is>
      </c>
      <c r="E157" s="46" t="n">
        <v>2150</v>
      </c>
      <c r="F157" s="42" t="inlineStr">
        <is>
          <t>материалы</t>
        </is>
      </c>
      <c r="G157" s="42" t="inlineStr">
        <is>
          <t>Освещение</t>
        </is>
      </c>
      <c r="H157" s="42" t="inlineStr">
        <is>
          <t>Освещение</t>
        </is>
      </c>
      <c r="I157" s="42" t="inlineStr">
        <is>
          <t>Освещение</t>
        </is>
      </c>
      <c r="J157" s="42" t="inlineStr">
        <is>
          <t>Освещение</t>
        </is>
      </c>
      <c r="K157" s="42" t="inlineStr">
        <is>
          <t>Материал</t>
        </is>
      </c>
      <c r="L157" s="42" t="inlineStr">
        <is>
          <t>Оборудование и комплектующие</t>
        </is>
      </c>
      <c r="M157" s="42" t="inlineStr">
        <is>
          <t>Материалы</t>
        </is>
      </c>
      <c r="N157" s="42" t="inlineStr">
        <is>
          <t>Показать строкой</t>
        </is>
      </c>
      <c r="O157" s="42" t="inlineStr">
        <is>
          <t>Высокая</t>
        </is>
      </c>
      <c r="P157" s="47" t="inlineStr">
        <is>
          <t>RMAT-0071</t>
        </is>
      </c>
      <c r="Q157" s="47" t="inlineStr">
        <is>
          <t>MV-0071</t>
        </is>
      </c>
      <c r="R157" s="42" t="inlineStr">
        <is>
          <t>Нет</t>
        </is>
      </c>
      <c r="S157" s="48" t="inlineStr">
        <is>
          <t>Нормализовано под генератор КП</t>
        </is>
      </c>
    </row>
    <row r="158">
      <c r="A158" s="41" t="inlineStr">
        <is>
          <t>SRC-0157</t>
        </is>
      </c>
      <c r="B158" s="41" t="inlineStr">
        <is>
          <t>Отсев гранитный</t>
        </is>
      </c>
      <c r="C158" s="41" t="inlineStr">
        <is>
          <t>м3</t>
        </is>
      </c>
      <c r="D158" s="41" t="inlineStr">
        <is>
          <t>3100</t>
        </is>
      </c>
      <c r="E158" s="43" t="n">
        <v>3100</v>
      </c>
      <c r="F158" s="41" t="inlineStr">
        <is>
          <t>материалы</t>
        </is>
      </c>
      <c r="G158" s="41" t="inlineStr">
        <is>
          <t>Покрытия</t>
        </is>
      </c>
      <c r="H158" s="41" t="inlineStr">
        <is>
          <t>Мощение</t>
        </is>
      </c>
      <c r="I158" s="41" t="inlineStr">
        <is>
          <t>Мощение</t>
        </is>
      </c>
      <c r="J158" s="41" t="inlineStr">
        <is>
          <t>Мощение</t>
        </is>
      </c>
      <c r="K158" s="41" t="inlineStr">
        <is>
          <t>Материал</t>
        </is>
      </c>
      <c r="L158" s="41" t="inlineStr">
        <is>
          <t>Основание</t>
        </is>
      </c>
      <c r="M158" s="41" t="inlineStr">
        <is>
          <t>Материалы</t>
        </is>
      </c>
      <c r="N158" s="41" t="inlineStr">
        <is>
          <t>Показать строкой</t>
        </is>
      </c>
      <c r="O158" s="41" t="inlineStr">
        <is>
          <t>Высокая</t>
        </is>
      </c>
      <c r="P158" s="44" t="inlineStr">
        <is>
          <t>RMAT-0072</t>
        </is>
      </c>
      <c r="Q158" s="44" t="inlineStr">
        <is>
          <t>MV-0072</t>
        </is>
      </c>
      <c r="R158" s="41" t="inlineStr">
        <is>
          <t>Нет</t>
        </is>
      </c>
      <c r="S158" s="45" t="inlineStr">
        <is>
          <t>Нормализовано под генератор КП</t>
        </is>
      </c>
    </row>
    <row r="159">
      <c r="A159" s="42" t="inlineStr">
        <is>
          <t>SRC-0158</t>
        </is>
      </c>
      <c r="B159" s="42" t="inlineStr">
        <is>
          <t>Отсев гранитный 2-5мм</t>
        </is>
      </c>
      <c r="C159" s="42" t="inlineStr">
        <is>
          <t>м3</t>
        </is>
      </c>
      <c r="D159" s="42" t="inlineStr">
        <is>
          <t>1500</t>
        </is>
      </c>
      <c r="E159" s="46" t="n">
        <v>1500</v>
      </c>
      <c r="F159" s="42" t="inlineStr">
        <is>
          <t>материалы</t>
        </is>
      </c>
      <c r="G159" s="42" t="inlineStr">
        <is>
          <t>1. Подготовка основания для пешеходных дорожек и площадок под мощение тротуарной плиткой.</t>
        </is>
      </c>
      <c r="H159" s="42" t="inlineStr">
        <is>
          <t>Мощение</t>
        </is>
      </c>
      <c r="I159" s="42" t="inlineStr">
        <is>
          <t>Мощение</t>
        </is>
      </c>
      <c r="J159" s="42" t="inlineStr">
        <is>
          <t>Мощение</t>
        </is>
      </c>
      <c r="K159" s="42" t="inlineStr">
        <is>
          <t>Материал</t>
        </is>
      </c>
      <c r="L159" s="42" t="inlineStr">
        <is>
          <t>Основание</t>
        </is>
      </c>
      <c r="M159" s="42" t="inlineStr">
        <is>
          <t>Материалы</t>
        </is>
      </c>
      <c r="N159" s="42" t="inlineStr">
        <is>
          <t>Показать строкой</t>
        </is>
      </c>
      <c r="O159" s="42" t="inlineStr">
        <is>
          <t>Высокая</t>
        </is>
      </c>
      <c r="P159" s="47" t="inlineStr">
        <is>
          <t>RMAT-0073</t>
        </is>
      </c>
      <c r="Q159" s="47" t="inlineStr">
        <is>
          <t>MV-0073</t>
        </is>
      </c>
      <c r="R159" s="42" t="inlineStr">
        <is>
          <t>Нет</t>
        </is>
      </c>
      <c r="S159" s="48" t="inlineStr">
        <is>
          <t>Нормализовано под генератор КП</t>
        </is>
      </c>
    </row>
    <row r="160">
      <c r="A160" s="41" t="inlineStr">
        <is>
          <t>SRC-0159</t>
        </is>
      </c>
      <c r="B160" s="41" t="inlineStr">
        <is>
          <t>Отсев розовый 0-5мм, 50кг</t>
        </is>
      </c>
      <c r="C160" s="41" t="inlineStr">
        <is>
          <t>шт</t>
        </is>
      </c>
      <c r="D160" s="41" t="inlineStr">
        <is>
          <t>450</t>
        </is>
      </c>
      <c r="E160" s="43" t="n">
        <v>450</v>
      </c>
      <c r="F160" s="41" t="inlineStr">
        <is>
          <t>материалы</t>
        </is>
      </c>
      <c r="G160" s="41" t="inlineStr">
        <is>
          <t>дренаж</t>
        </is>
      </c>
      <c r="H160" s="41" t="inlineStr">
        <is>
          <t>дренаж</t>
        </is>
      </c>
      <c r="I160" s="41" t="inlineStr">
        <is>
          <t>дренаж</t>
        </is>
      </c>
      <c r="J160" s="41" t="inlineStr">
        <is>
          <t>Дренаж</t>
        </is>
      </c>
      <c r="K160" s="41" t="inlineStr">
        <is>
          <t>Материал</t>
        </is>
      </c>
      <c r="L160" s="41" t="inlineStr">
        <is>
          <t>Материалы и комплектующие</t>
        </is>
      </c>
      <c r="M160" s="41" t="inlineStr">
        <is>
          <t>Материалы</t>
        </is>
      </c>
      <c r="N160" s="41" t="inlineStr">
        <is>
          <t>Показать строкой</t>
        </is>
      </c>
      <c r="O160" s="41" t="inlineStr">
        <is>
          <t>Высокая</t>
        </is>
      </c>
      <c r="P160" s="44" t="inlineStr">
        <is>
          <t>RMAT-0074</t>
        </is>
      </c>
      <c r="Q160" s="44" t="inlineStr">
        <is>
          <t>MV-0074</t>
        </is>
      </c>
      <c r="R160" s="41" t="inlineStr">
        <is>
          <t>Нет</t>
        </is>
      </c>
      <c r="S160" s="45" t="inlineStr">
        <is>
          <t>Нормализовано под генератор КП</t>
        </is>
      </c>
    </row>
    <row r="161">
      <c r="A161" s="42" t="inlineStr">
        <is>
          <t>SRC-0160</t>
        </is>
      </c>
      <c r="B161" s="42" t="inlineStr">
        <is>
          <t>Перекопка верхнего слоя почвы с выбором корневищ и мусора, внесением грунта и песка</t>
        </is>
      </c>
      <c r="C161" s="42" t="inlineStr">
        <is>
          <t>м2</t>
        </is>
      </c>
      <c r="D161" s="42" t="inlineStr">
        <is>
          <t>400</t>
        </is>
      </c>
      <c r="E161" s="46" t="n">
        <v>400</v>
      </c>
      <c r="F161" s="42" t="inlineStr">
        <is>
          <t>работа</t>
        </is>
      </c>
      <c r="G161" s="42" t="inlineStr">
        <is>
          <t>Земельные работы</t>
        </is>
      </c>
      <c r="H161" s="42" t="inlineStr">
        <is>
          <t>Земельные работы</t>
        </is>
      </c>
      <c r="I161" s="42" t="inlineStr">
        <is>
          <t>Земельные работы</t>
        </is>
      </c>
      <c r="J161" s="42" t="inlineStr">
        <is>
          <t>Земляные и планировочные работы</t>
        </is>
      </c>
      <c r="K161" s="42" t="inlineStr">
        <is>
          <t>Работа</t>
        </is>
      </c>
      <c r="L161" s="42" t="inlineStr">
        <is>
          <t>Материалы</t>
        </is>
      </c>
      <c r="M161" s="42" t="inlineStr">
        <is>
          <t>Основные работы</t>
        </is>
      </c>
      <c r="N161" s="42" t="inlineStr">
        <is>
          <t>Показать строкой</t>
        </is>
      </c>
      <c r="O161" s="42" t="inlineStr">
        <is>
          <t>Высокая</t>
        </is>
      </c>
      <c r="P161" s="47" t="inlineStr">
        <is>
          <t>RWORK-0085</t>
        </is>
      </c>
      <c r="Q161" s="47" t="inlineStr"/>
      <c r="R161" s="42" t="inlineStr">
        <is>
          <t>Нет</t>
        </is>
      </c>
      <c r="S161" s="48" t="inlineStr">
        <is>
          <t>Нормализовано под генератор КП</t>
        </is>
      </c>
    </row>
    <row r="162">
      <c r="A162" s="41" t="inlineStr">
        <is>
          <t>SRC-0161</t>
        </is>
      </c>
      <c r="B162" s="41" t="inlineStr">
        <is>
          <t>Перекопка с внесением крупного песка и с дальнейшим выравниванием, выведением уклонов и уплотнением</t>
        </is>
      </c>
      <c r="C162" s="41" t="inlineStr">
        <is>
          <t>м2</t>
        </is>
      </c>
      <c r="D162" s="41" t="inlineStr">
        <is>
          <t>470</t>
        </is>
      </c>
      <c r="E162" s="43" t="n">
        <v>470</v>
      </c>
      <c r="F162" s="41" t="inlineStr">
        <is>
          <t>работа</t>
        </is>
      </c>
      <c r="G162" s="41" t="inlineStr">
        <is>
          <t>Устройство газона</t>
        </is>
      </c>
      <c r="H162" s="41" t="inlineStr">
        <is>
          <t>газон</t>
        </is>
      </c>
      <c r="I162" s="41" t="inlineStr">
        <is>
          <t>газон</t>
        </is>
      </c>
      <c r="J162" s="41" t="inlineStr">
        <is>
          <t>Газон</t>
        </is>
      </c>
      <c r="K162" s="41" t="inlineStr">
        <is>
          <t>Работа</t>
        </is>
      </c>
      <c r="L162" s="41" t="inlineStr">
        <is>
          <t>Подготовка основания</t>
        </is>
      </c>
      <c r="M162" s="41" t="inlineStr">
        <is>
          <t>Основные работы</t>
        </is>
      </c>
      <c r="N162" s="41" t="inlineStr">
        <is>
          <t>Показать строкой</t>
        </is>
      </c>
      <c r="O162" s="41" t="inlineStr">
        <is>
          <t>Высокая</t>
        </is>
      </c>
      <c r="P162" s="44" t="inlineStr">
        <is>
          <t>RWORK-0086</t>
        </is>
      </c>
      <c r="Q162" s="44" t="inlineStr"/>
      <c r="R162" s="41" t="inlineStr">
        <is>
          <t>Нет</t>
        </is>
      </c>
      <c r="S162" s="45" t="inlineStr">
        <is>
          <t>Нормализовано под генератор КП</t>
        </is>
      </c>
    </row>
    <row r="163">
      <c r="A163" s="42" t="inlineStr">
        <is>
          <t>SRC-0162</t>
        </is>
      </c>
      <c r="B163" s="42" t="inlineStr">
        <is>
          <t>Перемещение камня по участку</t>
        </is>
      </c>
      <c r="C163" s="42" t="inlineStr">
        <is>
          <t>м3</t>
        </is>
      </c>
      <c r="D163" s="42" t="inlineStr">
        <is>
          <t>900</t>
        </is>
      </c>
      <c r="E163" s="46" t="n">
        <v>900</v>
      </c>
      <c r="F163" s="42" t="inlineStr">
        <is>
          <t>работа</t>
        </is>
      </c>
      <c r="G163" s="42" t="inlineStr">
        <is>
          <t>дренаж</t>
        </is>
      </c>
      <c r="H163" s="42" t="inlineStr">
        <is>
          <t>Мощение</t>
        </is>
      </c>
      <c r="I163" s="42" t="inlineStr">
        <is>
          <t>Мощение</t>
        </is>
      </c>
      <c r="J163" s="42" t="inlineStr">
        <is>
          <t>Мощение</t>
        </is>
      </c>
      <c r="K163" s="42" t="inlineStr">
        <is>
          <t>Работа</t>
        </is>
      </c>
      <c r="L163" s="42" t="inlineStr">
        <is>
          <t>Подготовка и демонтаж</t>
        </is>
      </c>
      <c r="M163" s="42" t="inlineStr">
        <is>
          <t>Основные работы</t>
        </is>
      </c>
      <c r="N163" s="42" t="inlineStr">
        <is>
          <t>Показать строкой</t>
        </is>
      </c>
      <c r="O163" s="42" t="inlineStr">
        <is>
          <t>Высокая</t>
        </is>
      </c>
      <c r="P163" s="47" t="inlineStr">
        <is>
          <t>RWORK-0087</t>
        </is>
      </c>
      <c r="Q163" s="47" t="inlineStr"/>
      <c r="R163" s="42" t="inlineStr">
        <is>
          <t>Нет</t>
        </is>
      </c>
      <c r="S163" s="48" t="inlineStr">
        <is>
          <t>Нормализовано под генератор КП</t>
        </is>
      </c>
    </row>
    <row r="164">
      <c r="A164" s="41" t="inlineStr">
        <is>
          <t>SRC-0163</t>
        </is>
      </c>
      <c r="B164" s="41" t="inlineStr">
        <is>
          <t>Перемещение песка по участку</t>
        </is>
      </c>
      <c r="C164" s="41" t="inlineStr">
        <is>
          <t>м3</t>
        </is>
      </c>
      <c r="D164" s="41" t="inlineStr">
        <is>
          <t>600</t>
        </is>
      </c>
      <c r="E164" s="43" t="n">
        <v>600</v>
      </c>
      <c r="F164" s="41" t="inlineStr">
        <is>
          <t>работа</t>
        </is>
      </c>
      <c r="G164" s="41" t="inlineStr">
        <is>
          <t>дренаж</t>
        </is>
      </c>
      <c r="H164" s="41" t="inlineStr">
        <is>
          <t>Мощение</t>
        </is>
      </c>
      <c r="I164" s="41" t="inlineStr">
        <is>
          <t>Мощение</t>
        </is>
      </c>
      <c r="J164" s="41" t="inlineStr">
        <is>
          <t>Мощение</t>
        </is>
      </c>
      <c r="K164" s="41" t="inlineStr">
        <is>
          <t>Работа</t>
        </is>
      </c>
      <c r="L164" s="41" t="inlineStr">
        <is>
          <t>Подготовка и демонтаж</t>
        </is>
      </c>
      <c r="M164" s="41" t="inlineStr">
        <is>
          <t>Основные работы</t>
        </is>
      </c>
      <c r="N164" s="41" t="inlineStr">
        <is>
          <t>Показать строкой</t>
        </is>
      </c>
      <c r="O164" s="41" t="inlineStr">
        <is>
          <t>Высокая</t>
        </is>
      </c>
      <c r="P164" s="44" t="inlineStr">
        <is>
          <t>RWORK-0088</t>
        </is>
      </c>
      <c r="Q164" s="44" t="inlineStr"/>
      <c r="R164" s="41" t="inlineStr">
        <is>
          <t>Нет</t>
        </is>
      </c>
      <c r="S164" s="45" t="inlineStr">
        <is>
          <t>Нормализовано под генератор КП</t>
        </is>
      </c>
    </row>
    <row r="165">
      <c r="A165" s="42" t="inlineStr">
        <is>
          <t>SRC-0164</t>
        </is>
      </c>
      <c r="B165" s="42" t="inlineStr">
        <is>
          <t>Перемещение щебня по участку</t>
        </is>
      </c>
      <c r="C165" s="42" t="inlineStr">
        <is>
          <t>м3</t>
        </is>
      </c>
      <c r="D165" s="42" t="inlineStr">
        <is>
          <t>800</t>
        </is>
      </c>
      <c r="E165" s="46" t="n">
        <v>800</v>
      </c>
      <c r="F165" s="42" t="inlineStr">
        <is>
          <t>работа</t>
        </is>
      </c>
      <c r="G165" s="42" t="inlineStr">
        <is>
          <t>дренаж</t>
        </is>
      </c>
      <c r="H165" s="42" t="inlineStr">
        <is>
          <t>Мощение</t>
        </is>
      </c>
      <c r="I165" s="42" t="inlineStr">
        <is>
          <t>Мощение</t>
        </is>
      </c>
      <c r="J165" s="42" t="inlineStr">
        <is>
          <t>Мощение</t>
        </is>
      </c>
      <c r="K165" s="42" t="inlineStr">
        <is>
          <t>Работа</t>
        </is>
      </c>
      <c r="L165" s="42" t="inlineStr">
        <is>
          <t>Основание</t>
        </is>
      </c>
      <c r="M165" s="42" t="inlineStr">
        <is>
          <t>Основные работы</t>
        </is>
      </c>
      <c r="N165" s="42" t="inlineStr">
        <is>
          <t>Показать строкой</t>
        </is>
      </c>
      <c r="O165" s="42" t="inlineStr">
        <is>
          <t>Высокая</t>
        </is>
      </c>
      <c r="P165" s="47" t="inlineStr">
        <is>
          <t>RWORK-0089</t>
        </is>
      </c>
      <c r="Q165" s="47" t="inlineStr"/>
      <c r="R165" s="42" t="inlineStr">
        <is>
          <t>Нет</t>
        </is>
      </c>
      <c r="S165" s="48" t="inlineStr">
        <is>
          <t>Нормализовано под генератор КП</t>
        </is>
      </c>
    </row>
    <row r="166">
      <c r="A166" s="41" t="inlineStr">
        <is>
          <t>SRC-0165</t>
        </is>
      </c>
      <c r="B166" s="41" t="inlineStr">
        <is>
          <t>Пескоуловители пластиковые 500х160х420мм с решетками ячеистыми чугунными</t>
        </is>
      </c>
      <c r="C166" s="41" t="inlineStr">
        <is>
          <t>шт</t>
        </is>
      </c>
      <c r="D166" s="41" t="inlineStr">
        <is>
          <t>2700</t>
        </is>
      </c>
      <c r="E166" s="43" t="n">
        <v>2700</v>
      </c>
      <c r="F166" s="41" t="inlineStr">
        <is>
          <t>материалы</t>
        </is>
      </c>
      <c r="G166" s="41" t="inlineStr">
        <is>
          <t>Ливневая система</t>
        </is>
      </c>
      <c r="H166" s="41" t="inlineStr">
        <is>
          <t>ливневка</t>
        </is>
      </c>
      <c r="I166" s="41" t="inlineStr">
        <is>
          <t>ливневка</t>
        </is>
      </c>
      <c r="J166" s="41" t="inlineStr">
        <is>
          <t>Ливневая канализация</t>
        </is>
      </c>
      <c r="K166" s="41" t="inlineStr">
        <is>
          <t>Материал</t>
        </is>
      </c>
      <c r="L166" s="41" t="inlineStr">
        <is>
          <t>Приемные и линейные элементы</t>
        </is>
      </c>
      <c r="M166" s="41" t="inlineStr">
        <is>
          <t>Материалы</t>
        </is>
      </c>
      <c r="N166" s="41" t="inlineStr">
        <is>
          <t>Показать строкой</t>
        </is>
      </c>
      <c r="O166" s="41" t="inlineStr">
        <is>
          <t>Высокая</t>
        </is>
      </c>
      <c r="P166" s="44" t="inlineStr">
        <is>
          <t>RMAT-0075</t>
        </is>
      </c>
      <c r="Q166" s="44" t="inlineStr">
        <is>
          <t>MV-0075</t>
        </is>
      </c>
      <c r="R166" s="41" t="inlineStr">
        <is>
          <t>Нет</t>
        </is>
      </c>
      <c r="S166" s="45" t="inlineStr">
        <is>
          <t>Нормализовано под генератор КП</t>
        </is>
      </c>
    </row>
    <row r="167">
      <c r="A167" s="42" t="inlineStr">
        <is>
          <t>SRC-0166</t>
        </is>
      </c>
      <c r="B167" s="42" t="inlineStr">
        <is>
          <t>Песок крупнозернистый намывной</t>
        </is>
      </c>
      <c r="C167" s="42" t="inlineStr">
        <is>
          <t>м3</t>
        </is>
      </c>
      <c r="D167" s="42" t="inlineStr">
        <is>
          <t>2600</t>
        </is>
      </c>
      <c r="E167" s="46" t="n">
        <v>2600</v>
      </c>
      <c r="F167" s="42" t="inlineStr">
        <is>
          <t>материалы</t>
        </is>
      </c>
      <c r="G167" s="42" t="inlineStr">
        <is>
          <t>Устройство газона</t>
        </is>
      </c>
      <c r="H167" s="42" t="inlineStr">
        <is>
          <t>газон</t>
        </is>
      </c>
      <c r="I167" s="42" t="inlineStr">
        <is>
          <t>газон</t>
        </is>
      </c>
      <c r="J167" s="42" t="inlineStr">
        <is>
          <t>Газон</t>
        </is>
      </c>
      <c r="K167" s="42" t="inlineStr">
        <is>
          <t>Материал</t>
        </is>
      </c>
      <c r="L167" s="42" t="inlineStr">
        <is>
          <t>Материалы и комплектующие</t>
        </is>
      </c>
      <c r="M167" s="42" t="inlineStr">
        <is>
          <t>Материалы</t>
        </is>
      </c>
      <c r="N167" s="42" t="inlineStr">
        <is>
          <t>Показать строкой</t>
        </is>
      </c>
      <c r="O167" s="42" t="inlineStr">
        <is>
          <t>Высокая</t>
        </is>
      </c>
      <c r="P167" s="47" t="inlineStr">
        <is>
          <t>RMAT-0076</t>
        </is>
      </c>
      <c r="Q167" s="47" t="inlineStr">
        <is>
          <t>MV-0076</t>
        </is>
      </c>
      <c r="R167" s="42" t="inlineStr">
        <is>
          <t>Нет</t>
        </is>
      </c>
      <c r="S167" s="48" t="inlineStr">
        <is>
          <t>Нормализовано под генератор КП</t>
        </is>
      </c>
    </row>
    <row r="168">
      <c r="A168" s="41" t="inlineStr">
        <is>
          <t>SRC-0167</t>
        </is>
      </c>
      <c r="B168" s="41" t="inlineStr">
        <is>
          <t>Песок мелкий сеяный для швов, 50кг</t>
        </is>
      </c>
      <c r="C168" s="41" t="inlineStr">
        <is>
          <t>шт</t>
        </is>
      </c>
      <c r="D168" s="41" t="inlineStr">
        <is>
          <t>399</t>
        </is>
      </c>
      <c r="E168" s="43" t="n">
        <v>399</v>
      </c>
      <c r="F168" s="41" t="inlineStr">
        <is>
          <t>материалы</t>
        </is>
      </c>
      <c r="G168" s="41" t="inlineStr">
        <is>
          <t>1. Подготовка основания для пешеходных дорожек и площадок под мощение тротуарной плиткой.</t>
        </is>
      </c>
      <c r="H168" s="41" t="inlineStr">
        <is>
          <t>Мощение</t>
        </is>
      </c>
      <c r="I168" s="41" t="inlineStr">
        <is>
          <t>Мощение</t>
        </is>
      </c>
      <c r="J168" s="41" t="inlineStr">
        <is>
          <t>Мощение</t>
        </is>
      </c>
      <c r="K168" s="41" t="inlineStr">
        <is>
          <t>Материал</t>
        </is>
      </c>
      <c r="L168" s="41" t="inlineStr">
        <is>
          <t>Основание</t>
        </is>
      </c>
      <c r="M168" s="41" t="inlineStr">
        <is>
          <t>Материалы</t>
        </is>
      </c>
      <c r="N168" s="41" t="inlineStr">
        <is>
          <t>Показать строкой</t>
        </is>
      </c>
      <c r="O168" s="41" t="inlineStr">
        <is>
          <t>Высокая</t>
        </is>
      </c>
      <c r="P168" s="44" t="inlineStr">
        <is>
          <t>RMAT-0077</t>
        </is>
      </c>
      <c r="Q168" s="44" t="inlineStr">
        <is>
          <t>MV-0077</t>
        </is>
      </c>
      <c r="R168" s="41" t="inlineStr">
        <is>
          <t>Нет</t>
        </is>
      </c>
      <c r="S168" s="45" t="inlineStr">
        <is>
          <t>Нормализовано под генератор КП</t>
        </is>
      </c>
    </row>
    <row r="169">
      <c r="A169" s="42" t="inlineStr">
        <is>
          <t>SRC-0168</t>
        </is>
      </c>
      <c r="B169" s="42" t="inlineStr">
        <is>
          <t>Песок строительный, 50кг</t>
        </is>
      </c>
      <c r="C169" s="42" t="inlineStr">
        <is>
          <t>шт</t>
        </is>
      </c>
      <c r="D169" s="42" t="inlineStr">
        <is>
          <t>250</t>
        </is>
      </c>
      <c r="E169" s="46" t="n">
        <v>250</v>
      </c>
      <c r="F169" s="42" t="inlineStr">
        <is>
          <t>материалы</t>
        </is>
      </c>
      <c r="G169" s="42" t="inlineStr">
        <is>
          <t>1. Подготовка основания для пешеходных дорожек и площадок под мощение тротуарной плиткой.</t>
        </is>
      </c>
      <c r="H169" s="42" t="inlineStr">
        <is>
          <t>Мощение</t>
        </is>
      </c>
      <c r="I169" s="42" t="inlineStr">
        <is>
          <t>Мощение</t>
        </is>
      </c>
      <c r="J169" s="42" t="inlineStr">
        <is>
          <t>Мощение</t>
        </is>
      </c>
      <c r="K169" s="42" t="inlineStr">
        <is>
          <t>Материал</t>
        </is>
      </c>
      <c r="L169" s="42" t="inlineStr">
        <is>
          <t>Основание</t>
        </is>
      </c>
      <c r="M169" s="42" t="inlineStr">
        <is>
          <t>Материалы</t>
        </is>
      </c>
      <c r="N169" s="42" t="inlineStr">
        <is>
          <t>Показать строкой</t>
        </is>
      </c>
      <c r="O169" s="42" t="inlineStr">
        <is>
          <t>Высокая</t>
        </is>
      </c>
      <c r="P169" s="47" t="inlineStr">
        <is>
          <t>RMAT-0078</t>
        </is>
      </c>
      <c r="Q169" s="47" t="inlineStr">
        <is>
          <t>MV-0078</t>
        </is>
      </c>
      <c r="R169" s="42" t="inlineStr">
        <is>
          <t>Нет</t>
        </is>
      </c>
      <c r="S169" s="48" t="inlineStr">
        <is>
          <t>Нормализовано под генератор КП</t>
        </is>
      </c>
    </row>
    <row r="170">
      <c r="A170" s="41" t="inlineStr">
        <is>
          <t>SRC-0169</t>
        </is>
      </c>
      <c r="B170" s="41" t="inlineStr">
        <is>
          <t>пленка техническая 150мк</t>
        </is>
      </c>
      <c r="C170" s="41" t="inlineStr">
        <is>
          <t>м2</t>
        </is>
      </c>
      <c r="D170" s="41" t="inlineStr">
        <is>
          <t>30</t>
        </is>
      </c>
      <c r="E170" s="43" t="n">
        <v>30</v>
      </c>
      <c r="F170" s="41" t="inlineStr">
        <is>
          <t>материалы</t>
        </is>
      </c>
      <c r="G170" s="41" t="inlineStr">
        <is>
          <t>2 мощ-е - подг-ка осн-я</t>
        </is>
      </c>
      <c r="H170" s="41" t="inlineStr">
        <is>
          <t>Мощение</t>
        </is>
      </c>
      <c r="I170" s="41" t="inlineStr">
        <is>
          <t>Мощение</t>
        </is>
      </c>
      <c r="J170" s="41" t="inlineStr">
        <is>
          <t>Мощение</t>
        </is>
      </c>
      <c r="K170" s="41" t="inlineStr">
        <is>
          <t>Материал</t>
        </is>
      </c>
      <c r="L170" s="41" t="inlineStr">
        <is>
          <t>Прочее по мощению</t>
        </is>
      </c>
      <c r="M170" s="41" t="inlineStr">
        <is>
          <t>Материалы</t>
        </is>
      </c>
      <c r="N170" s="41" t="inlineStr">
        <is>
          <t>Показать строкой</t>
        </is>
      </c>
      <c r="O170" s="41" t="inlineStr">
        <is>
          <t>Высокая</t>
        </is>
      </c>
      <c r="P170" s="44" t="inlineStr">
        <is>
          <t>RMAT-0079</t>
        </is>
      </c>
      <c r="Q170" s="44" t="inlineStr">
        <is>
          <t>MV-0079</t>
        </is>
      </c>
      <c r="R170" s="41" t="inlineStr">
        <is>
          <t>Нет</t>
        </is>
      </c>
      <c r="S170" s="45" t="inlineStr">
        <is>
          <t>Нормализовано под генератор КП</t>
        </is>
      </c>
    </row>
    <row r="171">
      <c r="A171" s="42" t="inlineStr">
        <is>
          <t>SRC-0170</t>
        </is>
      </c>
      <c r="B171" s="42" t="inlineStr">
        <is>
          <t>Плита бетонная, 40мм</t>
        </is>
      </c>
      <c r="C171" s="42" t="inlineStr">
        <is>
          <t>м2</t>
        </is>
      </c>
      <c r="D171" s="42" t="inlineStr">
        <is>
          <t>2500</t>
        </is>
      </c>
      <c r="E171" s="46" t="n">
        <v>2500</v>
      </c>
      <c r="F171" s="42" t="inlineStr">
        <is>
          <t>материалы</t>
        </is>
      </c>
      <c r="G171" s="42" t="inlineStr">
        <is>
          <t>1. Подготовка основания для пешеходных дорожек и площадок под мощение тротуарной плиткой.</t>
        </is>
      </c>
      <c r="H171" s="42" t="inlineStr">
        <is>
          <t>Мощение</t>
        </is>
      </c>
      <c r="I171" s="42" t="inlineStr">
        <is>
          <t>Мощение</t>
        </is>
      </c>
      <c r="J171" s="42" t="inlineStr">
        <is>
          <t>Мощение</t>
        </is>
      </c>
      <c r="K171" s="42" t="inlineStr">
        <is>
          <t>Материал</t>
        </is>
      </c>
      <c r="L171" s="42" t="inlineStr">
        <is>
          <t>Покрытие</t>
        </is>
      </c>
      <c r="M171" s="42" t="inlineStr">
        <is>
          <t>Материалы</t>
        </is>
      </c>
      <c r="N171" s="42" t="inlineStr">
        <is>
          <t>Показать строкой</t>
        </is>
      </c>
      <c r="O171" s="42" t="inlineStr">
        <is>
          <t>Высокая</t>
        </is>
      </c>
      <c r="P171" s="47" t="inlineStr">
        <is>
          <t>RMAT-0080</t>
        </is>
      </c>
      <c r="Q171" s="47" t="inlineStr">
        <is>
          <t>MV-0080</t>
        </is>
      </c>
      <c r="R171" s="42" t="inlineStr">
        <is>
          <t>Нет</t>
        </is>
      </c>
      <c r="S171" s="48" t="inlineStr">
        <is>
          <t>Нормализовано под генератор КП</t>
        </is>
      </c>
    </row>
    <row r="172">
      <c r="A172" s="41" t="inlineStr">
        <is>
          <t>SRC-0171</t>
        </is>
      </c>
      <c r="B172" s="41" t="inlineStr">
        <is>
          <t>Плита бетонная: толщина 50мм, ширина 0,36м, длина от 1 до 1,8м</t>
        </is>
      </c>
      <c r="C172" s="41" t="inlineStr">
        <is>
          <t>м2</t>
        </is>
      </c>
      <c r="D172" s="41" t="inlineStr">
        <is>
          <t>8500</t>
        </is>
      </c>
      <c r="E172" s="43" t="n">
        <v>8500</v>
      </c>
      <c r="F172" s="41" t="inlineStr">
        <is>
          <t>материалы</t>
        </is>
      </c>
      <c r="G172" s="41" t="inlineStr">
        <is>
          <t>2 мощ-е - подг-ка осн-я</t>
        </is>
      </c>
      <c r="H172" s="41" t="inlineStr">
        <is>
          <t>Мощение</t>
        </is>
      </c>
      <c r="I172" s="41" t="inlineStr">
        <is>
          <t>Мощение</t>
        </is>
      </c>
      <c r="J172" s="41" t="inlineStr">
        <is>
          <t>Мощение</t>
        </is>
      </c>
      <c r="K172" s="41" t="inlineStr">
        <is>
          <t>Материал</t>
        </is>
      </c>
      <c r="L172" s="41" t="inlineStr">
        <is>
          <t>Покрытие</t>
        </is>
      </c>
      <c r="M172" s="41" t="inlineStr">
        <is>
          <t>Материалы</t>
        </is>
      </c>
      <c r="N172" s="41" t="inlineStr">
        <is>
          <t>Показать строкой</t>
        </is>
      </c>
      <c r="O172" s="41" t="inlineStr">
        <is>
          <t>Высокая</t>
        </is>
      </c>
      <c r="P172" s="44" t="inlineStr">
        <is>
          <t>RMAT-0081</t>
        </is>
      </c>
      <c r="Q172" s="44" t="inlineStr">
        <is>
          <t>MV-0081</t>
        </is>
      </c>
      <c r="R172" s="41" t="inlineStr">
        <is>
          <t>Нет</t>
        </is>
      </c>
      <c r="S172" s="45" t="inlineStr">
        <is>
          <t>Нормализовано под генератор КП</t>
        </is>
      </c>
    </row>
    <row r="173">
      <c r="A173" s="42" t="inlineStr">
        <is>
          <t>SRC-0172</t>
        </is>
      </c>
      <c r="B173" s="42" t="inlineStr">
        <is>
          <t>Погрузка мусора (механическая)</t>
        </is>
      </c>
      <c r="C173" s="42" t="inlineStr">
        <is>
          <t>м3</t>
        </is>
      </c>
      <c r="D173" s="42" t="inlineStr">
        <is>
          <t>500</t>
        </is>
      </c>
      <c r="E173" s="46" t="n">
        <v>500</v>
      </c>
      <c r="F173" s="42" t="inlineStr">
        <is>
          <t>работа</t>
        </is>
      </c>
      <c r="G173" s="42" t="inlineStr">
        <is>
          <t>Вывоз мусора (по факту)</t>
        </is>
      </c>
      <c r="H173" s="42" t="inlineStr">
        <is>
          <t>вывоз мусора</t>
        </is>
      </c>
      <c r="I173" s="42" t="inlineStr">
        <is>
          <t>вывоз мусора</t>
        </is>
      </c>
      <c r="J173" s="42" t="inlineStr">
        <is>
          <t>Вывоз и утилизация</t>
        </is>
      </c>
      <c r="K173" s="42" t="inlineStr">
        <is>
          <t>Работа</t>
        </is>
      </c>
      <c r="L173" s="42" t="inlineStr">
        <is>
          <t>Вывоз и погрузка</t>
        </is>
      </c>
      <c r="M173" s="42" t="inlineStr">
        <is>
          <t>Логистика и обеспечение</t>
        </is>
      </c>
      <c r="N173" s="42" t="inlineStr">
        <is>
          <t>Свернуть в раздел</t>
        </is>
      </c>
      <c r="O173" s="42" t="inlineStr">
        <is>
          <t>Высокая</t>
        </is>
      </c>
      <c r="P173" s="47" t="inlineStr">
        <is>
          <t>RWORK-0090</t>
        </is>
      </c>
      <c r="Q173" s="47" t="inlineStr"/>
      <c r="R173" s="42" t="inlineStr">
        <is>
          <t>Нет</t>
        </is>
      </c>
      <c r="S173" s="48" t="inlineStr">
        <is>
          <t>Для генератора КП лучше собирать в отдельный логистический блок</t>
        </is>
      </c>
    </row>
    <row r="174">
      <c r="A174" s="41" t="inlineStr">
        <is>
          <t>SRC-0173</t>
        </is>
      </c>
      <c r="B174" s="41" t="inlineStr">
        <is>
          <t>Подготовка оснований лестниц и пандусов</t>
        </is>
      </c>
      <c r="C174" s="41" t="inlineStr">
        <is>
          <t>м2</t>
        </is>
      </c>
      <c r="D174" s="41" t="inlineStr">
        <is>
          <t>2000</t>
        </is>
      </c>
      <c r="E174" s="43" t="n">
        <v>2000</v>
      </c>
      <c r="F174" s="41" t="inlineStr">
        <is>
          <t>работа</t>
        </is>
      </c>
      <c r="G174" s="41" t="inlineStr">
        <is>
          <t>Ступени-пандусы из бетона</t>
        </is>
      </c>
      <c r="H174" s="41" t="inlineStr">
        <is>
          <t>ступени</t>
        </is>
      </c>
      <c r="I174" s="41" t="inlineStr">
        <is>
          <t>ступени</t>
        </is>
      </c>
      <c r="J174" s="41" t="inlineStr">
        <is>
          <t>Ступени / пандусы / бетонные элементы</t>
        </is>
      </c>
      <c r="K174" s="41" t="inlineStr">
        <is>
          <t>Работа</t>
        </is>
      </c>
      <c r="L174" s="41" t="inlineStr">
        <is>
          <t>Основание</t>
        </is>
      </c>
      <c r="M174" s="41" t="inlineStr">
        <is>
          <t>Основные работы</t>
        </is>
      </c>
      <c r="N174" s="41" t="inlineStr">
        <is>
          <t>Показать строкой</t>
        </is>
      </c>
      <c r="O174" s="41" t="inlineStr">
        <is>
          <t>Высокая</t>
        </is>
      </c>
      <c r="P174" s="44" t="inlineStr">
        <is>
          <t>RWORK-0091</t>
        </is>
      </c>
      <c r="Q174" s="44" t="inlineStr"/>
      <c r="R174" s="41" t="inlineStr">
        <is>
          <t>Нет</t>
        </is>
      </c>
      <c r="S174" s="45" t="inlineStr">
        <is>
          <t>Нормализовано под генератор КП</t>
        </is>
      </c>
    </row>
    <row r="175">
      <c r="A175" s="42" t="inlineStr">
        <is>
          <t>SRC-0174</t>
        </is>
      </c>
      <c r="B175" s="42" t="inlineStr">
        <is>
          <t>Подпиливание бетона подпорных стенок</t>
        </is>
      </c>
      <c r="C175" s="42" t="inlineStr">
        <is>
          <t>м.пог.</t>
        </is>
      </c>
      <c r="D175" s="42" t="inlineStr">
        <is>
          <t>580</t>
        </is>
      </c>
      <c r="E175" s="46" t="n">
        <v>580</v>
      </c>
      <c r="F175" s="42" t="inlineStr">
        <is>
          <t>работа</t>
        </is>
      </c>
      <c r="G175" s="42" t="inlineStr">
        <is>
          <t>2 мощ-е - подг-ка осн-я</t>
        </is>
      </c>
      <c r="H175" s="42" t="inlineStr">
        <is>
          <t>Мощение</t>
        </is>
      </c>
      <c r="I175" s="42" t="inlineStr">
        <is>
          <t>Мощение</t>
        </is>
      </c>
      <c r="J175" s="42" t="inlineStr">
        <is>
          <t>Мощение</t>
        </is>
      </c>
      <c r="K175" s="42" t="inlineStr">
        <is>
          <t>Работа</t>
        </is>
      </c>
      <c r="L175" s="42" t="inlineStr">
        <is>
          <t>Бетон и конструктив</t>
        </is>
      </c>
      <c r="M175" s="42" t="inlineStr">
        <is>
          <t>Основные работы</t>
        </is>
      </c>
      <c r="N175" s="42" t="inlineStr">
        <is>
          <t>Показать строкой</t>
        </is>
      </c>
      <c r="O175" s="42" t="inlineStr">
        <is>
          <t>Высокая</t>
        </is>
      </c>
      <c r="P175" s="47" t="inlineStr">
        <is>
          <t>RWORK-0092</t>
        </is>
      </c>
      <c r="Q175" s="47" t="inlineStr"/>
      <c r="R175" s="42" t="inlineStr">
        <is>
          <t>Нет</t>
        </is>
      </c>
      <c r="S175" s="48" t="inlineStr">
        <is>
          <t>Нормализовано под генератор КП</t>
        </is>
      </c>
    </row>
    <row r="176">
      <c r="A176" s="41" t="inlineStr">
        <is>
          <t>SRC-0175</t>
        </is>
      </c>
      <c r="B176" s="41" t="inlineStr">
        <is>
          <t>Подрезка плитки</t>
        </is>
      </c>
      <c r="C176" s="41" t="inlineStr">
        <is>
          <t>м.пог.</t>
        </is>
      </c>
      <c r="D176" s="41" t="inlineStr">
        <is>
          <t>700</t>
        </is>
      </c>
      <c r="E176" s="43" t="n">
        <v>700</v>
      </c>
      <c r="F176" s="41" t="inlineStr">
        <is>
          <t>работа</t>
        </is>
      </c>
      <c r="G176" s="41" t="inlineStr">
        <is>
          <t>Покрытия</t>
        </is>
      </c>
      <c r="H176" s="41" t="inlineStr">
        <is>
          <t>Мощение</t>
        </is>
      </c>
      <c r="I176" s="41" t="inlineStr">
        <is>
          <t>Мощение</t>
        </is>
      </c>
      <c r="J176" s="41" t="inlineStr">
        <is>
          <t>Мощение</t>
        </is>
      </c>
      <c r="K176" s="41" t="inlineStr">
        <is>
          <t>Работа</t>
        </is>
      </c>
      <c r="L176" s="41" t="inlineStr">
        <is>
          <t>Прочее по мощению</t>
        </is>
      </c>
      <c r="M176" s="41" t="inlineStr">
        <is>
          <t>Основные работы</t>
        </is>
      </c>
      <c r="N176" s="41" t="inlineStr">
        <is>
          <t>Показать строкой</t>
        </is>
      </c>
      <c r="O176" s="41" t="inlineStr">
        <is>
          <t>Высокая</t>
        </is>
      </c>
      <c r="P176" s="44" t="inlineStr">
        <is>
          <t>RWORK-0093</t>
        </is>
      </c>
      <c r="Q176" s="44" t="inlineStr"/>
      <c r="R176" s="41" t="inlineStr">
        <is>
          <t>Нет</t>
        </is>
      </c>
      <c r="S176" s="45" t="inlineStr">
        <is>
          <t>Нормализовано под генератор КП</t>
        </is>
      </c>
    </row>
    <row r="177">
      <c r="A177" s="42" t="inlineStr">
        <is>
          <t>SRC-0176</t>
        </is>
      </c>
      <c r="B177" s="42" t="inlineStr">
        <is>
          <t>Покраска щита и коробов в цвет дома</t>
        </is>
      </c>
      <c r="C177" s="42" t="inlineStr">
        <is>
          <t>компл</t>
        </is>
      </c>
      <c r="D177" s="42" t="inlineStr">
        <is>
          <t>2000</t>
        </is>
      </c>
      <c r="E177" s="46" t="n">
        <v>2000</v>
      </c>
      <c r="F177" s="42" t="inlineStr">
        <is>
          <t>работа</t>
        </is>
      </c>
      <c r="G177" s="42" t="inlineStr">
        <is>
          <t>Освещение</t>
        </is>
      </c>
      <c r="H177" s="42" t="inlineStr">
        <is>
          <t>Освещение</t>
        </is>
      </c>
      <c r="I177" s="42" t="inlineStr">
        <is>
          <t>Освещение</t>
        </is>
      </c>
      <c r="J177" s="42" t="inlineStr">
        <is>
          <t>Освещение</t>
        </is>
      </c>
      <c r="K177" s="42" t="inlineStr">
        <is>
          <t>Работа</t>
        </is>
      </c>
      <c r="L177" s="42" t="inlineStr">
        <is>
          <t>Оборудование и комплектующие</t>
        </is>
      </c>
      <c r="M177" s="42" t="inlineStr">
        <is>
          <t>Основные работы</t>
        </is>
      </c>
      <c r="N177" s="42" t="inlineStr">
        <is>
          <t>Показать строкой</t>
        </is>
      </c>
      <c r="O177" s="42" t="inlineStr">
        <is>
          <t>Высокая</t>
        </is>
      </c>
      <c r="P177" s="47" t="inlineStr">
        <is>
          <t>RWORK-0094</t>
        </is>
      </c>
      <c r="Q177" s="47" t="inlineStr"/>
      <c r="R177" s="42" t="inlineStr">
        <is>
          <t>Нет</t>
        </is>
      </c>
      <c r="S177" s="48" t="inlineStr">
        <is>
          <t>Нормализовано под генератор КП</t>
        </is>
      </c>
    </row>
    <row r="178">
      <c r="A178" s="41" t="inlineStr">
        <is>
          <t>SRC-0177</t>
        </is>
      </c>
      <c r="B178" s="41" t="inlineStr">
        <is>
          <t>Покрытие спортивное (однослойное ударопоглощающее резиновое на однокомпонентном полиуретановом связующем толщиной 15мм )</t>
        </is>
      </c>
      <c r="C178" s="41" t="inlineStr">
        <is>
          <t>м2</t>
        </is>
      </c>
      <c r="D178" s="41" t="inlineStr">
        <is>
          <t>2200</t>
        </is>
      </c>
      <c r="E178" s="43" t="n">
        <v>2200</v>
      </c>
      <c r="F178" s="41" t="inlineStr">
        <is>
          <t>материалы</t>
        </is>
      </c>
      <c r="G178" s="41" t="inlineStr">
        <is>
          <t>Покрытия</t>
        </is>
      </c>
      <c r="H178" s="41" t="inlineStr">
        <is>
          <t>Мощение</t>
        </is>
      </c>
      <c r="I178" s="41" t="inlineStr">
        <is>
          <t>Мощение</t>
        </is>
      </c>
      <c r="J178" s="41" t="inlineStr">
        <is>
          <t>Мощение</t>
        </is>
      </c>
      <c r="K178" s="41" t="inlineStr">
        <is>
          <t>Материал</t>
        </is>
      </c>
      <c r="L178" s="41" t="inlineStr">
        <is>
          <t>Покрытие</t>
        </is>
      </c>
      <c r="M178" s="41" t="inlineStr">
        <is>
          <t>Материалы</t>
        </is>
      </c>
      <c r="N178" s="41" t="inlineStr">
        <is>
          <t>Показать строкой</t>
        </is>
      </c>
      <c r="O178" s="41" t="inlineStr">
        <is>
          <t>Высокая</t>
        </is>
      </c>
      <c r="P178" s="44" t="inlineStr">
        <is>
          <t>RMAT-0082</t>
        </is>
      </c>
      <c r="Q178" s="44" t="inlineStr">
        <is>
          <t>MV-0082</t>
        </is>
      </c>
      <c r="R178" s="41" t="inlineStr">
        <is>
          <t>Нет</t>
        </is>
      </c>
      <c r="S178" s="45" t="inlineStr">
        <is>
          <t>Нормализовано под генератор КП</t>
        </is>
      </c>
    </row>
    <row r="179">
      <c r="A179" s="42" t="inlineStr">
        <is>
          <t>SRC-0178</t>
        </is>
      </c>
      <c r="B179" s="42" t="inlineStr">
        <is>
          <t>Портландцемент М400, 50кг</t>
        </is>
      </c>
      <c r="C179" s="42" t="inlineStr">
        <is>
          <t>шт</t>
        </is>
      </c>
      <c r="D179" s="42" t="inlineStr">
        <is>
          <t>605</t>
        </is>
      </c>
      <c r="E179" s="46" t="n">
        <v>605</v>
      </c>
      <c r="F179" s="42" t="inlineStr">
        <is>
          <t>материалы</t>
        </is>
      </c>
      <c r="G179" s="42" t="inlineStr">
        <is>
          <t>Покрытия</t>
        </is>
      </c>
      <c r="H179" s="42" t="inlineStr">
        <is>
          <t>Мощение</t>
        </is>
      </c>
      <c r="I179" s="42" t="inlineStr">
        <is>
          <t>Мощение</t>
        </is>
      </c>
      <c r="J179" s="42" t="inlineStr">
        <is>
          <t>Мощение</t>
        </is>
      </c>
      <c r="K179" s="42" t="inlineStr">
        <is>
          <t>Материал</t>
        </is>
      </c>
      <c r="L179" s="42" t="inlineStr">
        <is>
          <t>Бетон и конструктив</t>
        </is>
      </c>
      <c r="M179" s="42" t="inlineStr">
        <is>
          <t>Материалы</t>
        </is>
      </c>
      <c r="N179" s="42" t="inlineStr">
        <is>
          <t>Показать строкой</t>
        </is>
      </c>
      <c r="O179" s="42" t="inlineStr">
        <is>
          <t>Высокая</t>
        </is>
      </c>
      <c r="P179" s="47" t="inlineStr">
        <is>
          <t>RMAT-0083</t>
        </is>
      </c>
      <c r="Q179" s="47" t="inlineStr">
        <is>
          <t>MV-0083</t>
        </is>
      </c>
      <c r="R179" s="42" t="inlineStr">
        <is>
          <t>Нет</t>
        </is>
      </c>
      <c r="S179" s="48" t="inlineStr">
        <is>
          <t>Нормализовано под генератор КП</t>
        </is>
      </c>
    </row>
    <row r="180">
      <c r="A180" s="41" t="inlineStr">
        <is>
          <t>SRC-0179</t>
        </is>
      </c>
      <c r="B180" s="41" t="inlineStr">
        <is>
          <t>Посадка розы</t>
        </is>
      </c>
      <c r="C180" s="41" t="inlineStr">
        <is>
          <t>шт</t>
        </is>
      </c>
      <c r="D180" s="41" t="inlineStr">
        <is>
          <t>950</t>
        </is>
      </c>
      <c r="E180" s="43" t="n">
        <v>950</v>
      </c>
      <c r="F180" s="41" t="inlineStr">
        <is>
          <t>работа</t>
        </is>
      </c>
      <c r="G180" s="41" t="inlineStr">
        <is>
          <t>Дополнительные работы.</t>
        </is>
      </c>
      <c r="H180" s="41" t="inlineStr">
        <is>
          <t>Дополнительные работы.</t>
        </is>
      </c>
      <c r="I180" s="41" t="inlineStr">
        <is>
          <t>Дополнительные работы.</t>
        </is>
      </c>
      <c r="J180" s="41" t="inlineStr">
        <is>
          <t>Посадки и уход</t>
        </is>
      </c>
      <c r="K180" s="41" t="inlineStr">
        <is>
          <t>Работа</t>
        </is>
      </c>
      <c r="L180" s="41" t="inlineStr">
        <is>
          <t>Уход и посадка</t>
        </is>
      </c>
      <c r="M180" s="41" t="inlineStr">
        <is>
          <t>Основные работы</t>
        </is>
      </c>
      <c r="N180" s="41" t="inlineStr">
        <is>
          <t>Показать строкой</t>
        </is>
      </c>
      <c r="O180" s="41" t="inlineStr">
        <is>
          <t>Высокая</t>
        </is>
      </c>
      <c r="P180" s="44" t="inlineStr">
        <is>
          <t>RWORK-0095</t>
        </is>
      </c>
      <c r="Q180" s="44" t="inlineStr"/>
      <c r="R180" s="41" t="inlineStr">
        <is>
          <t>Нет</t>
        </is>
      </c>
      <c r="S180" s="45" t="inlineStr">
        <is>
          <t>Перенесено из мусорной категории "Дополнительные работы."</t>
        </is>
      </c>
    </row>
    <row r="181">
      <c r="A181" s="42" t="inlineStr">
        <is>
          <t>SRC-0180</t>
        </is>
      </c>
      <c r="B181" s="42" t="inlineStr">
        <is>
          <t>Проволока вязальная</t>
        </is>
      </c>
      <c r="C181" s="42" t="inlineStr">
        <is>
          <t>шт</t>
        </is>
      </c>
      <c r="D181" s="42" t="inlineStr">
        <is>
          <t>1100</t>
        </is>
      </c>
      <c r="E181" s="46" t="n">
        <v>1100</v>
      </c>
      <c r="F181" s="42" t="inlineStr">
        <is>
          <t>материалы</t>
        </is>
      </c>
      <c r="G181" s="42" t="inlineStr">
        <is>
          <t>Ступени-пандусы из бетона</t>
        </is>
      </c>
      <c r="H181" s="42" t="inlineStr">
        <is>
          <t>ступени</t>
        </is>
      </c>
      <c r="I181" s="42" t="inlineStr">
        <is>
          <t>ступени</t>
        </is>
      </c>
      <c r="J181" s="42" t="inlineStr">
        <is>
          <t>Ступени / пандусы / бетонные элементы</t>
        </is>
      </c>
      <c r="K181" s="42" t="inlineStr">
        <is>
          <t>Материал</t>
        </is>
      </c>
      <c r="L181" s="42" t="inlineStr">
        <is>
          <t>Бетон и армирование</t>
        </is>
      </c>
      <c r="M181" s="42" t="inlineStr">
        <is>
          <t>Материалы</t>
        </is>
      </c>
      <c r="N181" s="42" t="inlineStr">
        <is>
          <t>Показать строкой</t>
        </is>
      </c>
      <c r="O181" s="42" t="inlineStr">
        <is>
          <t>Высокая</t>
        </is>
      </c>
      <c r="P181" s="47" t="inlineStr">
        <is>
          <t>RMAT-0084</t>
        </is>
      </c>
      <c r="Q181" s="47" t="inlineStr">
        <is>
          <t>MV-0084</t>
        </is>
      </c>
      <c r="R181" s="42" t="inlineStr">
        <is>
          <t>Нет</t>
        </is>
      </c>
      <c r="S181" s="48" t="inlineStr">
        <is>
          <t>Нормализовано под генератор КП</t>
        </is>
      </c>
    </row>
    <row r="182">
      <c r="A182" s="41" t="inlineStr">
        <is>
          <t>SRC-0181</t>
        </is>
      </c>
      <c r="B182" s="41" t="inlineStr">
        <is>
          <t>Прометание мощения отсевом/ песком</t>
        </is>
      </c>
      <c r="C182" s="41" t="inlineStr">
        <is>
          <t>м2</t>
        </is>
      </c>
      <c r="D182" s="41" t="inlineStr">
        <is>
          <t>150</t>
        </is>
      </c>
      <c r="E182" s="43" t="n">
        <v>150</v>
      </c>
      <c r="F182" s="41" t="inlineStr">
        <is>
          <t>работа</t>
        </is>
      </c>
      <c r="G182" s="41" t="inlineStr">
        <is>
          <t>Покрытия</t>
        </is>
      </c>
      <c r="H182" s="41" t="inlineStr">
        <is>
          <t>Мощение</t>
        </is>
      </c>
      <c r="I182" s="41" t="inlineStr">
        <is>
          <t>Мощение</t>
        </is>
      </c>
      <c r="J182" s="41" t="inlineStr">
        <is>
          <t>Мощение</t>
        </is>
      </c>
      <c r="K182" s="41" t="inlineStr">
        <is>
          <t>Работа</t>
        </is>
      </c>
      <c r="L182" s="41" t="inlineStr">
        <is>
          <t>Основание</t>
        </is>
      </c>
      <c r="M182" s="41" t="inlineStr">
        <is>
          <t>Основные работы</t>
        </is>
      </c>
      <c r="N182" s="41" t="inlineStr">
        <is>
          <t>Показать строкой</t>
        </is>
      </c>
      <c r="O182" s="41" t="inlineStr">
        <is>
          <t>Высокая</t>
        </is>
      </c>
      <c r="P182" s="44" t="inlineStr">
        <is>
          <t>RWORK-0096</t>
        </is>
      </c>
      <c r="Q182" s="44" t="inlineStr"/>
      <c r="R182" s="41" t="inlineStr">
        <is>
          <t>Нет</t>
        </is>
      </c>
      <c r="S182" s="45" t="inlineStr">
        <is>
          <t>Нормализовано под генератор КП</t>
        </is>
      </c>
    </row>
    <row r="183">
      <c r="A183" s="42" t="inlineStr">
        <is>
          <t>SRC-0182</t>
        </is>
      </c>
      <c r="B183" s="42" t="inlineStr">
        <is>
          <t>Просеивание местного грунта</t>
        </is>
      </c>
      <c r="C183" s="42" t="inlineStr">
        <is>
          <t>м3</t>
        </is>
      </c>
      <c r="D183" s="42" t="inlineStr">
        <is>
          <t>1700</t>
        </is>
      </c>
      <c r="E183" s="46" t="n">
        <v>1700</v>
      </c>
      <c r="F183" s="42" t="inlineStr">
        <is>
          <t>работа</t>
        </is>
      </c>
      <c r="G183" s="42" t="inlineStr">
        <is>
          <t>Устройство газона</t>
        </is>
      </c>
      <c r="H183" s="42" t="inlineStr">
        <is>
          <t>газон</t>
        </is>
      </c>
      <c r="I183" s="42" t="inlineStr">
        <is>
          <t>газон</t>
        </is>
      </c>
      <c r="J183" s="42" t="inlineStr">
        <is>
          <t>Газон</t>
        </is>
      </c>
      <c r="K183" s="42" t="inlineStr">
        <is>
          <t>Материал</t>
        </is>
      </c>
      <c r="L183" s="42" t="inlineStr">
        <is>
          <t>Подготовка основания</t>
        </is>
      </c>
      <c r="M183" s="42" t="inlineStr">
        <is>
          <t>Материалы</t>
        </is>
      </c>
      <c r="N183" s="42" t="inlineStr">
        <is>
          <t>Показать строкой</t>
        </is>
      </c>
      <c r="O183" s="42" t="inlineStr">
        <is>
          <t>Высокая</t>
        </is>
      </c>
      <c r="P183" s="47" t="inlineStr">
        <is>
          <t>RMAT-0085</t>
        </is>
      </c>
      <c r="Q183" s="47" t="inlineStr">
        <is>
          <t>MV-0085</t>
        </is>
      </c>
      <c r="R183" s="42" t="inlineStr">
        <is>
          <t>Нет</t>
        </is>
      </c>
      <c r="S183" s="48" t="inlineStr">
        <is>
          <t>Нормализовано под генератор КП</t>
        </is>
      </c>
    </row>
    <row r="184">
      <c r="A184" s="41" t="inlineStr">
        <is>
          <t>SRC-0183</t>
        </is>
      </c>
      <c r="B184" s="41" t="inlineStr">
        <is>
          <t>Профиль алюминиевый</t>
        </is>
      </c>
      <c r="C184" s="41" t="inlineStr">
        <is>
          <t>компл</t>
        </is>
      </c>
      <c r="D184" s="41" t="inlineStr">
        <is>
          <t>131400</t>
        </is>
      </c>
      <c r="E184" s="43" t="n">
        <v>131400</v>
      </c>
      <c r="F184" s="41" t="inlineStr">
        <is>
          <t>материалы</t>
        </is>
      </c>
      <c r="G184" s="41" t="inlineStr">
        <is>
          <t>2 мощ-е - подг-ка осн-я</t>
        </is>
      </c>
      <c r="H184" s="41" t="inlineStr">
        <is>
          <t>Мощение</t>
        </is>
      </c>
      <c r="I184" s="41" t="inlineStr">
        <is>
          <t>Мощение</t>
        </is>
      </c>
      <c r="J184" s="41" t="inlineStr">
        <is>
          <t>Мощение</t>
        </is>
      </c>
      <c r="K184" s="41" t="inlineStr">
        <is>
          <t>Материал</t>
        </is>
      </c>
      <c r="L184" s="41" t="inlineStr">
        <is>
          <t>Конструкции и отделка</t>
        </is>
      </c>
      <c r="M184" s="41" t="inlineStr">
        <is>
          <t>Материалы</t>
        </is>
      </c>
      <c r="N184" s="41" t="inlineStr">
        <is>
          <t>Показать строкой</t>
        </is>
      </c>
      <c r="O184" s="41" t="inlineStr">
        <is>
          <t>Высокая</t>
        </is>
      </c>
      <c r="P184" s="44" t="inlineStr">
        <is>
          <t>RMAT-0086</t>
        </is>
      </c>
      <c r="Q184" s="44" t="inlineStr">
        <is>
          <t>MV-0086</t>
        </is>
      </c>
      <c r="R184" s="41" t="inlineStr">
        <is>
          <t>Нет</t>
        </is>
      </c>
      <c r="S184" s="45" t="inlineStr">
        <is>
          <t>Нормализовано под генератор КП</t>
        </is>
      </c>
    </row>
    <row r="185">
      <c r="A185" s="42" t="inlineStr">
        <is>
          <t>SRC-0184</t>
        </is>
      </c>
      <c r="B185" s="42" t="inlineStr">
        <is>
          <t>Работа трактора</t>
        </is>
      </c>
      <c r="C185" s="42" t="inlineStr">
        <is>
          <t>маш./смена</t>
        </is>
      </c>
      <c r="D185" s="42" t="inlineStr">
        <is>
          <t>26000</t>
        </is>
      </c>
      <c r="E185" s="46" t="n">
        <v>26000</v>
      </c>
      <c r="F185" s="42" t="inlineStr">
        <is>
          <t>техника</t>
        </is>
      </c>
      <c r="G185" s="42" t="inlineStr">
        <is>
          <t>дренаж</t>
        </is>
      </c>
      <c r="H185" s="42" t="inlineStr">
        <is>
          <t>дренаж</t>
        </is>
      </c>
      <c r="I185" s="42" t="inlineStr">
        <is>
          <t>техника</t>
        </is>
      </c>
      <c r="J185" s="42" t="inlineStr">
        <is>
          <t>Дренаж</t>
        </is>
      </c>
      <c r="K185" s="42" t="inlineStr">
        <is>
          <t>Техника</t>
        </is>
      </c>
      <c r="L185" s="42" t="inlineStr">
        <is>
          <t>Техника и механизмы</t>
        </is>
      </c>
      <c r="M185" s="42" t="inlineStr">
        <is>
          <t>Техника и механизмы</t>
        </is>
      </c>
      <c r="N185" s="42" t="inlineStr">
        <is>
          <t>Свернуть в раздел</t>
        </is>
      </c>
      <c r="O185" s="42" t="inlineStr">
        <is>
          <t>Высокая</t>
        </is>
      </c>
      <c r="P185" s="47" t="inlineStr">
        <is>
          <t>RWORK-0097</t>
        </is>
      </c>
      <c r="Q185" s="47" t="inlineStr"/>
      <c r="R185" s="42" t="inlineStr">
        <is>
          <t>Нет</t>
        </is>
      </c>
      <c r="S185" s="48" t="inlineStr">
        <is>
          <t>Нормализовано под генератор КП</t>
        </is>
      </c>
    </row>
    <row r="186">
      <c r="A186" s="41" t="inlineStr">
        <is>
          <t>SRC-0185</t>
        </is>
      </c>
      <c r="B186" s="41" t="inlineStr">
        <is>
          <t>Работы по проверке цепей, параметрированию и настройке оборудования</t>
        </is>
      </c>
      <c r="C186" s="41" t="inlineStr">
        <is>
          <t>компл</t>
        </is>
      </c>
      <c r="D186" s="41" t="inlineStr">
        <is>
          <t>10000</t>
        </is>
      </c>
      <c r="E186" s="43" t="n">
        <v>10000</v>
      </c>
      <c r="F186" s="41" t="inlineStr">
        <is>
          <t>работа</t>
        </is>
      </c>
      <c r="G186" s="41" t="inlineStr">
        <is>
          <t>Освещение</t>
        </is>
      </c>
      <c r="H186" s="41" t="inlineStr">
        <is>
          <t>Освещение</t>
        </is>
      </c>
      <c r="I186" s="41" t="inlineStr">
        <is>
          <t>Освещение</t>
        </is>
      </c>
      <c r="J186" s="41" t="inlineStr">
        <is>
          <t>Освещение</t>
        </is>
      </c>
      <c r="K186" s="41" t="inlineStr">
        <is>
          <t>Работа</t>
        </is>
      </c>
      <c r="L186" s="41" t="inlineStr">
        <is>
          <t>Пусконаладка</t>
        </is>
      </c>
      <c r="M186" s="41" t="inlineStr">
        <is>
          <t>Основные работы</t>
        </is>
      </c>
      <c r="N186" s="41" t="inlineStr">
        <is>
          <t>Показать строкой</t>
        </is>
      </c>
      <c r="O186" s="41" t="inlineStr">
        <is>
          <t>Высокая</t>
        </is>
      </c>
      <c r="P186" s="44" t="inlineStr">
        <is>
          <t>RWORK-0098</t>
        </is>
      </c>
      <c r="Q186" s="44" t="inlineStr"/>
      <c r="R186" s="41" t="inlineStr">
        <is>
          <t>Нет</t>
        </is>
      </c>
      <c r="S186" s="45" t="inlineStr">
        <is>
          <t>Нормализовано под генератор КП</t>
        </is>
      </c>
    </row>
    <row r="187">
      <c r="A187" s="42" t="inlineStr">
        <is>
          <t>SRC-0186</t>
        </is>
      </c>
      <c r="B187" s="42" t="inlineStr">
        <is>
          <t>Разборка существующего покрытия</t>
        </is>
      </c>
      <c r="C187" s="42" t="inlineStr">
        <is>
          <t>м2</t>
        </is>
      </c>
      <c r="D187" s="42" t="inlineStr">
        <is>
          <t>700</t>
        </is>
      </c>
      <c r="E187" s="46" t="n">
        <v>700</v>
      </c>
      <c r="F187" s="42" t="inlineStr">
        <is>
          <t>работа</t>
        </is>
      </c>
      <c r="G187" s="42" t="inlineStr">
        <is>
          <t>Дополнительные работы.</t>
        </is>
      </c>
      <c r="H187" s="42" t="inlineStr">
        <is>
          <t>Дополнительные работы.</t>
        </is>
      </c>
      <c r="I187" s="42" t="inlineStr">
        <is>
          <t>Дополнительные работы.</t>
        </is>
      </c>
      <c r="J187" s="42" t="inlineStr">
        <is>
          <t>Демонтаж и расчистка</t>
        </is>
      </c>
      <c r="K187" s="42" t="inlineStr">
        <is>
          <t>Работа</t>
        </is>
      </c>
      <c r="L187" s="42" t="inlineStr">
        <is>
          <t>Демонтаж</t>
        </is>
      </c>
      <c r="M187" s="42" t="inlineStr">
        <is>
          <t>Основные работы</t>
        </is>
      </c>
      <c r="N187" s="42" t="inlineStr">
        <is>
          <t>Показать строкой</t>
        </is>
      </c>
      <c r="O187" s="42" t="inlineStr">
        <is>
          <t>Высокая</t>
        </is>
      </c>
      <c r="P187" s="47" t="inlineStr">
        <is>
          <t>RWORK-0099</t>
        </is>
      </c>
      <c r="Q187" s="47" t="inlineStr"/>
      <c r="R187" s="42" t="inlineStr">
        <is>
          <t>Нет</t>
        </is>
      </c>
      <c r="S187" s="48" t="inlineStr">
        <is>
          <t>Перенесено из мусорной категории "Дополнительные работы."</t>
        </is>
      </c>
    </row>
    <row r="188">
      <c r="A188" s="41" t="inlineStr">
        <is>
          <t>SRC-0187</t>
        </is>
      </c>
      <c r="B188" s="41" t="inlineStr">
        <is>
          <t>Разметка и нивелировка площадей, задание вертикальных уровней и уклона (геодезическая разбивка)</t>
        </is>
      </c>
      <c r="C188" s="41" t="inlineStr">
        <is>
          <t>м2</t>
        </is>
      </c>
      <c r="D188" s="41" t="inlineStr">
        <is>
          <t>30</t>
        </is>
      </c>
      <c r="E188" s="43" t="n">
        <v>30</v>
      </c>
      <c r="F188" s="41" t="inlineStr">
        <is>
          <t>работа</t>
        </is>
      </c>
      <c r="G188" s="41" t="inlineStr">
        <is>
          <t>Планировочные работы.</t>
        </is>
      </c>
      <c r="H188" s="41" t="inlineStr">
        <is>
          <t>Планировочные работы.</t>
        </is>
      </c>
      <c r="I188" s="41" t="inlineStr">
        <is>
          <t>Земельные работы</t>
        </is>
      </c>
      <c r="J188" s="41" t="inlineStr">
        <is>
          <t>Земляные и планировочные работы</t>
        </is>
      </c>
      <c r="K188" s="41" t="inlineStr">
        <is>
          <t>Работа</t>
        </is>
      </c>
      <c r="L188" s="41" t="inlineStr">
        <is>
          <t>Геодезия и разбивка</t>
        </is>
      </c>
      <c r="M188" s="41" t="inlineStr">
        <is>
          <t>Основные работы</t>
        </is>
      </c>
      <c r="N188" s="41" t="inlineStr">
        <is>
          <t>Показать строкой</t>
        </is>
      </c>
      <c r="O188" s="41" t="inlineStr">
        <is>
          <t>Высокая</t>
        </is>
      </c>
      <c r="P188" s="44" t="inlineStr">
        <is>
          <t>RWORK-0100</t>
        </is>
      </c>
      <c r="Q188" s="44" t="inlineStr"/>
      <c r="R188" s="41" t="inlineStr">
        <is>
          <t>Нет</t>
        </is>
      </c>
      <c r="S188" s="45" t="inlineStr">
        <is>
          <t>Нормализовано под генератор КП</t>
        </is>
      </c>
    </row>
    <row r="189">
      <c r="A189" s="49" t="inlineStr">
        <is>
          <t>SRC-0188</t>
        </is>
      </c>
      <c r="B189" s="49" t="inlineStr">
        <is>
          <t>Расходные материалы</t>
        </is>
      </c>
      <c r="C189" s="49" t="inlineStr">
        <is>
          <t>компл</t>
        </is>
      </c>
      <c r="D189" s="49" t="inlineStr"/>
      <c r="E189" s="50" t="n"/>
      <c r="F189" s="49" t="inlineStr">
        <is>
          <t>материалы</t>
        </is>
      </c>
      <c r="G189" s="49" t="inlineStr">
        <is>
          <t>дренаж</t>
        </is>
      </c>
      <c r="H189" s="49" t="inlineStr">
        <is>
          <t>дренаж</t>
        </is>
      </c>
      <c r="I189" s="49" t="inlineStr">
        <is>
          <t>дренаж</t>
        </is>
      </c>
      <c r="J189" s="49" t="inlineStr">
        <is>
          <t>Дренаж</t>
        </is>
      </c>
      <c r="K189" s="49" t="inlineStr">
        <is>
          <t>Материал</t>
        </is>
      </c>
      <c r="L189" s="49" t="inlineStr">
        <is>
          <t>Материалы и комплектующие</t>
        </is>
      </c>
      <c r="M189" s="49" t="inlineStr">
        <is>
          <t>Материалы</t>
        </is>
      </c>
      <c r="N189" s="49" t="inlineStr">
        <is>
          <t>Свернуть в раздел</t>
        </is>
      </c>
      <c r="O189" s="49" t="inlineStr">
        <is>
          <t>Средняя</t>
        </is>
      </c>
      <c r="P189" s="51" t="inlineStr">
        <is>
          <t>RMAT-0087</t>
        </is>
      </c>
      <c r="Q189" s="51" t="inlineStr">
        <is>
          <t>MV-0087</t>
        </is>
      </c>
      <c r="R189" s="49" t="inlineStr">
        <is>
          <t>Да</t>
        </is>
      </c>
      <c r="S189" s="52" t="inlineStr">
        <is>
          <t>Расходники лучше не показывать клиенту отдельной строкой</t>
        </is>
      </c>
    </row>
    <row r="190">
      <c r="A190" s="41" t="inlineStr">
        <is>
          <t>SRC-0189</t>
        </is>
      </c>
      <c r="B190" s="41" t="inlineStr">
        <is>
          <t>Ровнитель для бетона Plitonit, 25кг</t>
        </is>
      </c>
      <c r="C190" s="41" t="inlineStr">
        <is>
          <t>шт</t>
        </is>
      </c>
      <c r="D190" s="41" t="inlineStr">
        <is>
          <t>645</t>
        </is>
      </c>
      <c r="E190" s="43" t="n">
        <v>645</v>
      </c>
      <c r="F190" s="41" t="inlineStr">
        <is>
          <t>материалы</t>
        </is>
      </c>
      <c r="G190" s="41" t="inlineStr">
        <is>
          <t>1. Подготовка основания для пешеходных дорожек и площадок под мощение тротуарной плиткой.</t>
        </is>
      </c>
      <c r="H190" s="41" t="inlineStr">
        <is>
          <t>Мощение</t>
        </is>
      </c>
      <c r="I190" s="41" t="inlineStr">
        <is>
          <t>Мощение</t>
        </is>
      </c>
      <c r="J190" s="41" t="inlineStr">
        <is>
          <t>Мощение</t>
        </is>
      </c>
      <c r="K190" s="41" t="inlineStr">
        <is>
          <t>Материал</t>
        </is>
      </c>
      <c r="L190" s="41" t="inlineStr">
        <is>
          <t>Бетон и конструктив</t>
        </is>
      </c>
      <c r="M190" s="41" t="inlineStr">
        <is>
          <t>Материалы</t>
        </is>
      </c>
      <c r="N190" s="41" t="inlineStr">
        <is>
          <t>Показать строкой</t>
        </is>
      </c>
      <c r="O190" s="41" t="inlineStr">
        <is>
          <t>Высокая</t>
        </is>
      </c>
      <c r="P190" s="44" t="inlineStr">
        <is>
          <t>RMAT-0088</t>
        </is>
      </c>
      <c r="Q190" s="44" t="inlineStr">
        <is>
          <t>MV-0088</t>
        </is>
      </c>
      <c r="R190" s="41" t="inlineStr">
        <is>
          <t>Нет</t>
        </is>
      </c>
      <c r="S190" s="45" t="inlineStr">
        <is>
          <t>Нормализовано под генератор КП</t>
        </is>
      </c>
    </row>
    <row r="191">
      <c r="A191" s="42" t="inlineStr">
        <is>
          <t>SRC-0190</t>
        </is>
      </c>
      <c r="B191" s="42" t="inlineStr">
        <is>
          <t>Розетка двойная наружная с заземлением с крышкой ФОРС IP54 ERS22-K03-16-54-DC IEK</t>
        </is>
      </c>
      <c r="C191" s="42" t="inlineStr">
        <is>
          <t>шт</t>
        </is>
      </c>
      <c r="D191" s="42" t="inlineStr">
        <is>
          <t>1100</t>
        </is>
      </c>
      <c r="E191" s="46" t="n">
        <v>1100</v>
      </c>
      <c r="F191" s="42" t="inlineStr">
        <is>
          <t>материалы</t>
        </is>
      </c>
      <c r="G191" s="42" t="inlineStr">
        <is>
          <t>Освещение</t>
        </is>
      </c>
      <c r="H191" s="42" t="inlineStr">
        <is>
          <t>Освещение</t>
        </is>
      </c>
      <c r="I191" s="42" t="inlineStr">
        <is>
          <t>Освещение</t>
        </is>
      </c>
      <c r="J191" s="42" t="inlineStr">
        <is>
          <t>Освещение</t>
        </is>
      </c>
      <c r="K191" s="42" t="inlineStr">
        <is>
          <t>Материал</t>
        </is>
      </c>
      <c r="L191" s="42" t="inlineStr">
        <is>
          <t>Оборудование и комплектующие</t>
        </is>
      </c>
      <c r="M191" s="42" t="inlineStr">
        <is>
          <t>Материалы</t>
        </is>
      </c>
      <c r="N191" s="42" t="inlineStr">
        <is>
          <t>Показать строкой</t>
        </is>
      </c>
      <c r="O191" s="42" t="inlineStr">
        <is>
          <t>Высокая</t>
        </is>
      </c>
      <c r="P191" s="47" t="inlineStr">
        <is>
          <t>RMAT-0089</t>
        </is>
      </c>
      <c r="Q191" s="47" t="inlineStr">
        <is>
          <t>MV-0089</t>
        </is>
      </c>
      <c r="R191" s="42" t="inlineStr">
        <is>
          <t>Нет</t>
        </is>
      </c>
      <c r="S191" s="48" t="inlineStr">
        <is>
          <t>Нормализовано под генератор КП</t>
        </is>
      </c>
    </row>
    <row r="192">
      <c r="A192" s="41" t="inlineStr">
        <is>
          <t>SRC-0191</t>
        </is>
      </c>
      <c r="B192" s="41" t="inlineStr">
        <is>
          <t>Розетка садовая Paulmann Rio 94657, столб с двумя розетками</t>
        </is>
      </c>
      <c r="C192" s="41" t="inlineStr">
        <is>
          <t>шт</t>
        </is>
      </c>
      <c r="D192" s="41" t="inlineStr">
        <is>
          <t>7900</t>
        </is>
      </c>
      <c r="E192" s="43" t="n">
        <v>7900</v>
      </c>
      <c r="F192" s="41" t="inlineStr">
        <is>
          <t>материалы</t>
        </is>
      </c>
      <c r="G192" s="41" t="inlineStr">
        <is>
          <t>Освещение</t>
        </is>
      </c>
      <c r="H192" s="41" t="inlineStr">
        <is>
          <t>Освещение</t>
        </is>
      </c>
      <c r="I192" s="41" t="inlineStr">
        <is>
          <t>Освещение</t>
        </is>
      </c>
      <c r="J192" s="41" t="inlineStr">
        <is>
          <t>Освещение</t>
        </is>
      </c>
      <c r="K192" s="41" t="inlineStr">
        <is>
          <t>Материал</t>
        </is>
      </c>
      <c r="L192" s="41" t="inlineStr">
        <is>
          <t>Оборудование и комплектующие</t>
        </is>
      </c>
      <c r="M192" s="41" t="inlineStr">
        <is>
          <t>Материалы</t>
        </is>
      </c>
      <c r="N192" s="41" t="inlineStr">
        <is>
          <t>Показать строкой</t>
        </is>
      </c>
      <c r="O192" s="41" t="inlineStr">
        <is>
          <t>Высокая</t>
        </is>
      </c>
      <c r="P192" s="44" t="inlineStr">
        <is>
          <t>RMAT-0090</t>
        </is>
      </c>
      <c r="Q192" s="44" t="inlineStr">
        <is>
          <t>MV-0090</t>
        </is>
      </c>
      <c r="R192" s="41" t="inlineStr">
        <is>
          <t>Нет</t>
        </is>
      </c>
      <c r="S192" s="45" t="inlineStr">
        <is>
          <t>Нормализовано под генератор КП</t>
        </is>
      </c>
    </row>
    <row r="193">
      <c r="A193" s="42" t="inlineStr">
        <is>
          <t>SRC-0192</t>
        </is>
      </c>
      <c r="B193" s="42" t="inlineStr">
        <is>
          <t>Ручная перекопка участка с удалением корней и корневищ</t>
        </is>
      </c>
      <c r="C193" s="42" t="inlineStr">
        <is>
          <t>м2</t>
        </is>
      </c>
      <c r="D193" s="42" t="inlineStr">
        <is>
          <t>220</t>
        </is>
      </c>
      <c r="E193" s="46" t="n">
        <v>220</v>
      </c>
      <c r="F193" s="42" t="inlineStr">
        <is>
          <t>работа</t>
        </is>
      </c>
      <c r="G193" s="42" t="inlineStr">
        <is>
          <t>Дополнительные работы.</t>
        </is>
      </c>
      <c r="H193" s="42" t="inlineStr">
        <is>
          <t>Дополнительные работы.</t>
        </is>
      </c>
      <c r="I193" s="42" t="inlineStr">
        <is>
          <t>Дополнительные работы.</t>
        </is>
      </c>
      <c r="J193" s="42" t="inlineStr">
        <is>
          <t>Земляные и планировочные работы</t>
        </is>
      </c>
      <c r="K193" s="42" t="inlineStr">
        <is>
          <t>Работа</t>
        </is>
      </c>
      <c r="L193" s="42" t="inlineStr">
        <is>
          <t>Подготовка грунта</t>
        </is>
      </c>
      <c r="M193" s="42" t="inlineStr">
        <is>
          <t>Основные работы</t>
        </is>
      </c>
      <c r="N193" s="42" t="inlineStr">
        <is>
          <t>Показать строкой</t>
        </is>
      </c>
      <c r="O193" s="42" t="inlineStr">
        <is>
          <t>Высокая</t>
        </is>
      </c>
      <c r="P193" s="47" t="inlineStr">
        <is>
          <t>RWORK-0101</t>
        </is>
      </c>
      <c r="Q193" s="47" t="inlineStr"/>
      <c r="R193" s="42" t="inlineStr">
        <is>
          <t>Нет</t>
        </is>
      </c>
      <c r="S193" s="48" t="inlineStr">
        <is>
          <t>Перенесено из мусорной категории "Дополнительные работы."</t>
        </is>
      </c>
    </row>
    <row r="194">
      <c r="A194" s="41" t="inlineStr">
        <is>
          <t>SRC-0193</t>
        </is>
      </c>
      <c r="B194" s="41" t="inlineStr">
        <is>
          <t>Саморезы нержавеющие, 5см (1500шт.)</t>
        </is>
      </c>
      <c r="C194" s="41" t="inlineStr">
        <is>
          <t>уп.</t>
        </is>
      </c>
      <c r="D194" s="41" t="inlineStr">
        <is>
          <t>1470</t>
        </is>
      </c>
      <c r="E194" s="43" t="n">
        <v>1470</v>
      </c>
      <c r="F194" s="41" t="inlineStr">
        <is>
          <t>материалы</t>
        </is>
      </c>
      <c r="G194" s="41" t="inlineStr">
        <is>
          <t>Покрытия</t>
        </is>
      </c>
      <c r="H194" s="41" t="inlineStr">
        <is>
          <t>Мощение</t>
        </is>
      </c>
      <c r="I194" s="41" t="inlineStr">
        <is>
          <t>Мощение</t>
        </is>
      </c>
      <c r="J194" s="41" t="inlineStr">
        <is>
          <t>Мощение</t>
        </is>
      </c>
      <c r="K194" s="41" t="inlineStr">
        <is>
          <t>Материал</t>
        </is>
      </c>
      <c r="L194" s="41" t="inlineStr">
        <is>
          <t>Конструкции и отделка</t>
        </is>
      </c>
      <c r="M194" s="41" t="inlineStr">
        <is>
          <t>Материалы</t>
        </is>
      </c>
      <c r="N194" s="41" t="inlineStr">
        <is>
          <t>Показать строкой</t>
        </is>
      </c>
      <c r="O194" s="41" t="inlineStr">
        <is>
          <t>Высокая</t>
        </is>
      </c>
      <c r="P194" s="44" t="inlineStr">
        <is>
          <t>RMAT-0091</t>
        </is>
      </c>
      <c r="Q194" s="44" t="inlineStr">
        <is>
          <t>MV-0091</t>
        </is>
      </c>
      <c r="R194" s="41" t="inlineStr">
        <is>
          <t>Нет</t>
        </is>
      </c>
      <c r="S194" s="45" t="inlineStr">
        <is>
          <t>Нормализовано под генератор КП</t>
        </is>
      </c>
    </row>
    <row r="195">
      <c r="A195" s="42" t="inlineStr">
        <is>
          <t>SRC-0194</t>
        </is>
      </c>
      <c r="B195" s="42" t="inlineStr">
        <is>
          <t>Саморезы по дереву</t>
        </is>
      </c>
      <c r="C195" s="42" t="inlineStr">
        <is>
          <t>уп.</t>
        </is>
      </c>
      <c r="D195" s="42" t="inlineStr">
        <is>
          <t>680</t>
        </is>
      </c>
      <c r="E195" s="46" t="n">
        <v>680</v>
      </c>
      <c r="F195" s="42" t="inlineStr">
        <is>
          <t>материалы</t>
        </is>
      </c>
      <c r="G195" s="42" t="inlineStr">
        <is>
          <t>2 мощ-е - подг-ка осн-я</t>
        </is>
      </c>
      <c r="H195" s="42" t="inlineStr">
        <is>
          <t>Мощение</t>
        </is>
      </c>
      <c r="I195" s="42" t="inlineStr">
        <is>
          <t>Мощение</t>
        </is>
      </c>
      <c r="J195" s="42" t="inlineStr">
        <is>
          <t>Мощение</t>
        </is>
      </c>
      <c r="K195" s="42" t="inlineStr">
        <is>
          <t>Материал</t>
        </is>
      </c>
      <c r="L195" s="42" t="inlineStr">
        <is>
          <t>Конструкции и отделка</t>
        </is>
      </c>
      <c r="M195" s="42" t="inlineStr">
        <is>
          <t>Материалы</t>
        </is>
      </c>
      <c r="N195" s="42" t="inlineStr">
        <is>
          <t>Показать строкой</t>
        </is>
      </c>
      <c r="O195" s="42" t="inlineStr">
        <is>
          <t>Высокая</t>
        </is>
      </c>
      <c r="P195" s="47" t="inlineStr">
        <is>
          <t>RMAT-0092</t>
        </is>
      </c>
      <c r="Q195" s="47" t="inlineStr">
        <is>
          <t>MV-0092</t>
        </is>
      </c>
      <c r="R195" s="42" t="inlineStr">
        <is>
          <t>Нет</t>
        </is>
      </c>
      <c r="S195" s="48" t="inlineStr">
        <is>
          <t>Нормализовано под генератор КП</t>
        </is>
      </c>
    </row>
    <row r="196">
      <c r="A196" s="41" t="inlineStr">
        <is>
          <t>SRC-0195</t>
        </is>
      </c>
      <c r="B196" s="41" t="inlineStr">
        <is>
          <t>Сверло по дереву 8*100мм</t>
        </is>
      </c>
      <c r="C196" s="41" t="inlineStr">
        <is>
          <t>шт</t>
        </is>
      </c>
      <c r="D196" s="41" t="inlineStr">
        <is>
          <t>540</t>
        </is>
      </c>
      <c r="E196" s="43" t="n">
        <v>540</v>
      </c>
      <c r="F196" s="41" t="inlineStr">
        <is>
          <t>материалы</t>
        </is>
      </c>
      <c r="G196" s="41" t="inlineStr">
        <is>
          <t>2 мощ-е - подг-ка осн-я</t>
        </is>
      </c>
      <c r="H196" s="41" t="inlineStr">
        <is>
          <t>Мощение</t>
        </is>
      </c>
      <c r="I196" s="41" t="inlineStr">
        <is>
          <t>Мощение</t>
        </is>
      </c>
      <c r="J196" s="41" t="inlineStr">
        <is>
          <t>Мощение</t>
        </is>
      </c>
      <c r="K196" s="41" t="inlineStr">
        <is>
          <t>Материал</t>
        </is>
      </c>
      <c r="L196" s="41" t="inlineStr">
        <is>
          <t>Конструкции и отделка</t>
        </is>
      </c>
      <c r="M196" s="41" t="inlineStr">
        <is>
          <t>Материалы</t>
        </is>
      </c>
      <c r="N196" s="41" t="inlineStr">
        <is>
          <t>Показать строкой</t>
        </is>
      </c>
      <c r="O196" s="41" t="inlineStr">
        <is>
          <t>Высокая</t>
        </is>
      </c>
      <c r="P196" s="44" t="inlineStr">
        <is>
          <t>RMAT-0093</t>
        </is>
      </c>
      <c r="Q196" s="44" t="inlineStr">
        <is>
          <t>MV-0093</t>
        </is>
      </c>
      <c r="R196" s="41" t="inlineStr">
        <is>
          <t>Нет</t>
        </is>
      </c>
      <c r="S196" s="45" t="inlineStr">
        <is>
          <t>Нормализовано под генератор КП</t>
        </is>
      </c>
    </row>
    <row r="197">
      <c r="A197" s="42" t="inlineStr">
        <is>
          <t>SRC-0196</t>
        </is>
      </c>
      <c r="B197" s="42" t="inlineStr">
        <is>
          <t>Светильник</t>
        </is>
      </c>
      <c r="C197" s="42" t="inlineStr">
        <is>
          <t>шт</t>
        </is>
      </c>
      <c r="D197" s="42" t="inlineStr">
        <is>
          <t>12000</t>
        </is>
      </c>
      <c r="E197" s="46" t="n">
        <v>12000</v>
      </c>
      <c r="F197" s="42" t="inlineStr">
        <is>
          <t>материалы</t>
        </is>
      </c>
      <c r="G197" s="42" t="inlineStr">
        <is>
          <t>Освещение</t>
        </is>
      </c>
      <c r="H197" s="42" t="inlineStr">
        <is>
          <t>Освещение</t>
        </is>
      </c>
      <c r="I197" s="42" t="inlineStr">
        <is>
          <t>Освещение</t>
        </is>
      </c>
      <c r="J197" s="42" t="inlineStr">
        <is>
          <t>Освещение</t>
        </is>
      </c>
      <c r="K197" s="42" t="inlineStr">
        <is>
          <t>Материал</t>
        </is>
      </c>
      <c r="L197" s="42" t="inlineStr">
        <is>
          <t>Оборудование и комплектующие</t>
        </is>
      </c>
      <c r="M197" s="42" t="inlineStr">
        <is>
          <t>Материалы</t>
        </is>
      </c>
      <c r="N197" s="42" t="inlineStr">
        <is>
          <t>Показать строкой</t>
        </is>
      </c>
      <c r="O197" s="42" t="inlineStr">
        <is>
          <t>Высокая</t>
        </is>
      </c>
      <c r="P197" s="47" t="inlineStr">
        <is>
          <t>RMAT-0094</t>
        </is>
      </c>
      <c r="Q197" s="47" t="inlineStr">
        <is>
          <t>MV-0094</t>
        </is>
      </c>
      <c r="R197" s="42" t="inlineStr">
        <is>
          <t>Нет</t>
        </is>
      </c>
      <c r="S197" s="48" t="inlineStr">
        <is>
          <t>Нормализовано под генератор КП</t>
        </is>
      </c>
    </row>
    <row r="198">
      <c r="A198" s="41" t="inlineStr">
        <is>
          <t>SRC-0197</t>
        </is>
      </c>
      <c r="B198" s="41" t="inlineStr">
        <is>
          <t>Светильник h=1000</t>
        </is>
      </c>
      <c r="C198" s="41" t="inlineStr">
        <is>
          <t>шт</t>
        </is>
      </c>
      <c r="D198" s="41" t="inlineStr">
        <is>
          <t>20000</t>
        </is>
      </c>
      <c r="E198" s="43" t="n">
        <v>20000</v>
      </c>
      <c r="F198" s="41" t="inlineStr">
        <is>
          <t>материалы</t>
        </is>
      </c>
      <c r="G198" s="41" t="inlineStr">
        <is>
          <t>Освещение</t>
        </is>
      </c>
      <c r="H198" s="41" t="inlineStr">
        <is>
          <t>Освещение</t>
        </is>
      </c>
      <c r="I198" s="41" t="inlineStr">
        <is>
          <t>Освещение</t>
        </is>
      </c>
      <c r="J198" s="41" t="inlineStr">
        <is>
          <t>Освещение</t>
        </is>
      </c>
      <c r="K198" s="41" t="inlineStr">
        <is>
          <t>Материал</t>
        </is>
      </c>
      <c r="L198" s="41" t="inlineStr">
        <is>
          <t>Оборудование и комплектующие</t>
        </is>
      </c>
      <c r="M198" s="41" t="inlineStr">
        <is>
          <t>Материалы</t>
        </is>
      </c>
      <c r="N198" s="41" t="inlineStr">
        <is>
          <t>Показать строкой</t>
        </is>
      </c>
      <c r="O198" s="41" t="inlineStr">
        <is>
          <t>Высокая</t>
        </is>
      </c>
      <c r="P198" s="44" t="inlineStr">
        <is>
          <t>RMAT-0095</t>
        </is>
      </c>
      <c r="Q198" s="44" t="inlineStr">
        <is>
          <t>MV-0095</t>
        </is>
      </c>
      <c r="R198" s="41" t="inlineStr">
        <is>
          <t>Нет</t>
        </is>
      </c>
      <c r="S198" s="45" t="inlineStr">
        <is>
          <t>Нормализовано под генератор КП</t>
        </is>
      </c>
    </row>
    <row r="199">
      <c r="A199" s="42" t="inlineStr">
        <is>
          <t>SRC-0198</t>
        </is>
      </c>
      <c r="B199" s="42" t="inlineStr">
        <is>
          <t>Светильник h=600</t>
        </is>
      </c>
      <c r="C199" s="42" t="inlineStr">
        <is>
          <t>шт</t>
        </is>
      </c>
      <c r="D199" s="42" t="inlineStr">
        <is>
          <t>18000</t>
        </is>
      </c>
      <c r="E199" s="46" t="n">
        <v>18000</v>
      </c>
      <c r="F199" s="42" t="inlineStr">
        <is>
          <t>материалы</t>
        </is>
      </c>
      <c r="G199" s="42" t="inlineStr">
        <is>
          <t>Освещение</t>
        </is>
      </c>
      <c r="H199" s="42" t="inlineStr">
        <is>
          <t>Освещение</t>
        </is>
      </c>
      <c r="I199" s="42" t="inlineStr">
        <is>
          <t>Освещение</t>
        </is>
      </c>
      <c r="J199" s="42" t="inlineStr">
        <is>
          <t>Освещение</t>
        </is>
      </c>
      <c r="K199" s="42" t="inlineStr">
        <is>
          <t>Материал</t>
        </is>
      </c>
      <c r="L199" s="42" t="inlineStr">
        <is>
          <t>Оборудование и комплектующие</t>
        </is>
      </c>
      <c r="M199" s="42" t="inlineStr">
        <is>
          <t>Материалы</t>
        </is>
      </c>
      <c r="N199" s="42" t="inlineStr">
        <is>
          <t>Показать строкой</t>
        </is>
      </c>
      <c r="O199" s="42" t="inlineStr">
        <is>
          <t>Высокая</t>
        </is>
      </c>
      <c r="P199" s="47" t="inlineStr">
        <is>
          <t>RMAT-0096</t>
        </is>
      </c>
      <c r="Q199" s="47" t="inlineStr">
        <is>
          <t>MV-0096</t>
        </is>
      </c>
      <c r="R199" s="42" t="inlineStr">
        <is>
          <t>Нет</t>
        </is>
      </c>
      <c r="S199" s="48" t="inlineStr">
        <is>
          <t>Нормализовано под генератор КП</t>
        </is>
      </c>
    </row>
    <row r="200">
      <c r="A200" s="41" t="inlineStr">
        <is>
          <t>SRC-0199</t>
        </is>
      </c>
      <c r="B200" s="41" t="inlineStr">
        <is>
          <t>Сетка кладочная яч. 50х50мм d3,5-3,8мм, 0,51х2м</t>
        </is>
      </c>
      <c r="C200" s="41" t="inlineStr">
        <is>
          <t>шт</t>
        </is>
      </c>
      <c r="D200" s="41" t="inlineStr">
        <is>
          <t>225</t>
        </is>
      </c>
      <c r="E200" s="43" t="n">
        <v>225</v>
      </c>
      <c r="F200" s="41" t="inlineStr">
        <is>
          <t>материалы</t>
        </is>
      </c>
      <c r="G200" s="41" t="inlineStr">
        <is>
          <t>1. Подготовка основания для пешеходных дорожек и площадок под мощение тротуарной плиткой.</t>
        </is>
      </c>
      <c r="H200" s="41" t="inlineStr">
        <is>
          <t>Мощение</t>
        </is>
      </c>
      <c r="I200" s="41" t="inlineStr">
        <is>
          <t>Мощение</t>
        </is>
      </c>
      <c r="J200" s="41" t="inlineStr">
        <is>
          <t>Мощение</t>
        </is>
      </c>
      <c r="K200" s="41" t="inlineStr">
        <is>
          <t>Материал</t>
        </is>
      </c>
      <c r="L200" s="41" t="inlineStr">
        <is>
          <t>Бетон и конструктив</t>
        </is>
      </c>
      <c r="M200" s="41" t="inlineStr">
        <is>
          <t>Материалы</t>
        </is>
      </c>
      <c r="N200" s="41" t="inlineStr">
        <is>
          <t>Показать строкой</t>
        </is>
      </c>
      <c r="O200" s="41" t="inlineStr">
        <is>
          <t>Высокая</t>
        </is>
      </c>
      <c r="P200" s="44" t="inlineStr">
        <is>
          <t>RMAT-0097</t>
        </is>
      </c>
      <c r="Q200" s="44" t="inlineStr">
        <is>
          <t>MV-0097</t>
        </is>
      </c>
      <c r="R200" s="41" t="inlineStr">
        <is>
          <t>Нет</t>
        </is>
      </c>
      <c r="S200" s="45" t="inlineStr">
        <is>
          <t>Нормализовано под генератор КП</t>
        </is>
      </c>
    </row>
    <row r="201">
      <c r="A201" s="42" t="inlineStr">
        <is>
          <t>SRC-0200</t>
        </is>
      </c>
      <c r="B201" s="42" t="inlineStr">
        <is>
          <t>Сланец шунгитный (рваный), 40мм</t>
        </is>
      </c>
      <c r="C201" s="42" t="inlineStr">
        <is>
          <t>м2</t>
        </is>
      </c>
      <c r="D201" s="42" t="inlineStr">
        <is>
          <t>1600</t>
        </is>
      </c>
      <c r="E201" s="46" t="n">
        <v>1600</v>
      </c>
      <c r="F201" s="42" t="inlineStr">
        <is>
          <t>материалы</t>
        </is>
      </c>
      <c r="G201" s="42" t="inlineStr">
        <is>
          <t>Покрытия</t>
        </is>
      </c>
      <c r="H201" s="42" t="inlineStr">
        <is>
          <t>Мощение</t>
        </is>
      </c>
      <c r="I201" s="42" t="inlineStr">
        <is>
          <t>Мощение</t>
        </is>
      </c>
      <c r="J201" s="42" t="inlineStr">
        <is>
          <t>Мощение</t>
        </is>
      </c>
      <c r="K201" s="42" t="inlineStr">
        <is>
          <t>Материал</t>
        </is>
      </c>
      <c r="L201" s="42" t="inlineStr">
        <is>
          <t>Покрытие</t>
        </is>
      </c>
      <c r="M201" s="42" t="inlineStr">
        <is>
          <t>Материалы</t>
        </is>
      </c>
      <c r="N201" s="42" t="inlineStr">
        <is>
          <t>Показать строкой</t>
        </is>
      </c>
      <c r="O201" s="42" t="inlineStr">
        <is>
          <t>Высокая</t>
        </is>
      </c>
      <c r="P201" s="47" t="inlineStr">
        <is>
          <t>RMAT-0098</t>
        </is>
      </c>
      <c r="Q201" s="47" t="inlineStr">
        <is>
          <t>MV-0098</t>
        </is>
      </c>
      <c r="R201" s="42" t="inlineStr">
        <is>
          <t>Нет</t>
        </is>
      </c>
      <c r="S201" s="48" t="inlineStr">
        <is>
          <t>Нормализовано под генератор КП</t>
        </is>
      </c>
    </row>
    <row r="202">
      <c r="A202" s="41" t="inlineStr">
        <is>
          <t>SRC-0201</t>
        </is>
      </c>
      <c r="B202" s="41" t="inlineStr">
        <is>
          <t>Снятие дернины</t>
        </is>
      </c>
      <c r="C202" s="41" t="inlineStr">
        <is>
          <t>м2</t>
        </is>
      </c>
      <c r="D202" s="41" t="inlineStr">
        <is>
          <t>300</t>
        </is>
      </c>
      <c r="E202" s="43" t="n">
        <v>300</v>
      </c>
      <c r="F202" s="41" t="inlineStr">
        <is>
          <t>работа</t>
        </is>
      </c>
      <c r="G202" s="41" t="inlineStr">
        <is>
          <t>дренаж</t>
        </is>
      </c>
      <c r="H202" s="41" t="inlineStr">
        <is>
          <t>дренаж</t>
        </is>
      </c>
      <c r="I202" s="41" t="inlineStr">
        <is>
          <t>дренаж</t>
        </is>
      </c>
      <c r="J202" s="41" t="inlineStr">
        <is>
          <t>Дренаж</t>
        </is>
      </c>
      <c r="K202" s="41" t="inlineStr">
        <is>
          <t>Работа</t>
        </is>
      </c>
      <c r="L202" s="41" t="inlineStr">
        <is>
          <t>Земляные и восстановительные работы</t>
        </is>
      </c>
      <c r="M202" s="41" t="inlineStr">
        <is>
          <t>Основные работы</t>
        </is>
      </c>
      <c r="N202" s="41" t="inlineStr">
        <is>
          <t>Показать строкой</t>
        </is>
      </c>
      <c r="O202" s="41" t="inlineStr">
        <is>
          <t>Высокая</t>
        </is>
      </c>
      <c r="P202" s="44" t="inlineStr">
        <is>
          <t>RWORK-0102</t>
        </is>
      </c>
      <c r="Q202" s="44" t="inlineStr"/>
      <c r="R202" s="41" t="inlineStr">
        <is>
          <t>Нет</t>
        </is>
      </c>
      <c r="S202" s="45" t="inlineStr">
        <is>
          <t>Нормализовано под генератор КП</t>
        </is>
      </c>
    </row>
    <row r="203">
      <c r="A203" s="42" t="inlineStr">
        <is>
          <t>SRC-0202</t>
        </is>
      </c>
      <c r="B203" s="42" t="inlineStr">
        <is>
          <t>Снятие утрамбованного щебня (бывшая дорожка перед баней)</t>
        </is>
      </c>
      <c r="C203" s="42" t="inlineStr">
        <is>
          <t>м2</t>
        </is>
      </c>
      <c r="D203" s="42" t="inlineStr">
        <is>
          <t>3650</t>
        </is>
      </c>
      <c r="E203" s="46" t="n">
        <v>3650</v>
      </c>
      <c r="F203" s="42" t="inlineStr">
        <is>
          <t>работа</t>
        </is>
      </c>
      <c r="G203" s="42" t="inlineStr">
        <is>
          <t>Дополнительные работы.</t>
        </is>
      </c>
      <c r="H203" s="42" t="inlineStr">
        <is>
          <t>Дополнительные работы.</t>
        </is>
      </c>
      <c r="I203" s="42" t="inlineStr">
        <is>
          <t>Дополнительные работы.</t>
        </is>
      </c>
      <c r="J203" s="42" t="inlineStr">
        <is>
          <t>Демонтаж и расчистка</t>
        </is>
      </c>
      <c r="K203" s="42" t="inlineStr">
        <is>
          <t>Работа</t>
        </is>
      </c>
      <c r="L203" s="42" t="inlineStr">
        <is>
          <t>Демонтаж</t>
        </is>
      </c>
      <c r="M203" s="42" t="inlineStr">
        <is>
          <t>Основные работы</t>
        </is>
      </c>
      <c r="N203" s="42" t="inlineStr">
        <is>
          <t>Показать строкой</t>
        </is>
      </c>
      <c r="O203" s="42" t="inlineStr">
        <is>
          <t>Высокая</t>
        </is>
      </c>
      <c r="P203" s="47" t="inlineStr">
        <is>
          <t>RWORK-0103</t>
        </is>
      </c>
      <c r="Q203" s="47" t="inlineStr"/>
      <c r="R203" s="42" t="inlineStr">
        <is>
          <t>Нет</t>
        </is>
      </c>
      <c r="S203" s="48" t="inlineStr">
        <is>
          <t>Перенесено из мусорной категории "Дополнительные работы."</t>
        </is>
      </c>
    </row>
    <row r="204">
      <c r="A204" s="41" t="inlineStr">
        <is>
          <t>SRC-0203</t>
        </is>
      </c>
      <c r="B204" s="41" t="inlineStr">
        <is>
          <t>Соединитель CON T3 PIN IP68</t>
        </is>
      </c>
      <c r="C204" s="41" t="inlineStr">
        <is>
          <t>шт</t>
        </is>
      </c>
      <c r="D204" s="41" t="inlineStr">
        <is>
          <t>2500</t>
        </is>
      </c>
      <c r="E204" s="43" t="n">
        <v>2500</v>
      </c>
      <c r="F204" s="41" t="inlineStr">
        <is>
          <t>материалы</t>
        </is>
      </c>
      <c r="G204" s="41" t="inlineStr">
        <is>
          <t>Освещение</t>
        </is>
      </c>
      <c r="H204" s="41" t="inlineStr">
        <is>
          <t>Освещение</t>
        </is>
      </c>
      <c r="I204" s="41" t="inlineStr">
        <is>
          <t>Освещение</t>
        </is>
      </c>
      <c r="J204" s="41" t="inlineStr">
        <is>
          <t>Освещение</t>
        </is>
      </c>
      <c r="K204" s="41" t="inlineStr">
        <is>
          <t>Материал</t>
        </is>
      </c>
      <c r="L204" s="41" t="inlineStr">
        <is>
          <t>Оборудование и комплектующие</t>
        </is>
      </c>
      <c r="M204" s="41" t="inlineStr">
        <is>
          <t>Материалы</t>
        </is>
      </c>
      <c r="N204" s="41" t="inlineStr">
        <is>
          <t>Показать строкой</t>
        </is>
      </c>
      <c r="O204" s="41" t="inlineStr">
        <is>
          <t>Высокая</t>
        </is>
      </c>
      <c r="P204" s="44" t="inlineStr">
        <is>
          <t>RMAT-0099</t>
        </is>
      </c>
      <c r="Q204" s="44" t="inlineStr">
        <is>
          <t>MV-0099</t>
        </is>
      </c>
      <c r="R204" s="41" t="inlineStr">
        <is>
          <t>Нет</t>
        </is>
      </c>
      <c r="S204" s="45" t="inlineStr">
        <is>
          <t>Нормализовано под генератор КП</t>
        </is>
      </c>
    </row>
    <row r="205">
      <c r="A205" s="42" t="inlineStr">
        <is>
          <t>SRC-0204</t>
        </is>
      </c>
      <c r="B205" s="42" t="inlineStr">
        <is>
          <t>Спил березы</t>
        </is>
      </c>
      <c r="C205" s="42" t="inlineStr">
        <is>
          <t>шт</t>
        </is>
      </c>
      <c r="D205" s="42" t="inlineStr">
        <is>
          <t>3800</t>
        </is>
      </c>
      <c r="E205" s="46" t="n">
        <v>3800</v>
      </c>
      <c r="F205" s="42" t="inlineStr">
        <is>
          <t>работа</t>
        </is>
      </c>
      <c r="G205" s="42" t="inlineStr">
        <is>
          <t>Дополнительные работы.</t>
        </is>
      </c>
      <c r="H205" s="42" t="inlineStr">
        <is>
          <t>Дополнительные работы.</t>
        </is>
      </c>
      <c r="I205" s="42" t="inlineStr">
        <is>
          <t>Дополнительные работы.</t>
        </is>
      </c>
      <c r="J205" s="42" t="inlineStr">
        <is>
          <t>Демонтаж и расчистка</t>
        </is>
      </c>
      <c r="K205" s="42" t="inlineStr">
        <is>
          <t>Работа</t>
        </is>
      </c>
      <c r="L205" s="42" t="inlineStr">
        <is>
          <t>Удаление деревьев</t>
        </is>
      </c>
      <c r="M205" s="42" t="inlineStr">
        <is>
          <t>Основные работы</t>
        </is>
      </c>
      <c r="N205" s="42" t="inlineStr">
        <is>
          <t>Показать строкой</t>
        </is>
      </c>
      <c r="O205" s="42" t="inlineStr">
        <is>
          <t>Высокая</t>
        </is>
      </c>
      <c r="P205" s="47" t="inlineStr">
        <is>
          <t>RWORK-0104</t>
        </is>
      </c>
      <c r="Q205" s="47" t="inlineStr"/>
      <c r="R205" s="42" t="inlineStr">
        <is>
          <t>Нет</t>
        </is>
      </c>
      <c r="S205" s="48" t="inlineStr">
        <is>
          <t>Перенесено из мусорной категории "Дополнительные работы."</t>
        </is>
      </c>
    </row>
    <row r="206">
      <c r="A206" s="49" t="inlineStr">
        <is>
          <t>SRC-0205</t>
        </is>
      </c>
      <c r="B206" s="49" t="inlineStr">
        <is>
          <t>Торф нейтрализованный, 300л</t>
        </is>
      </c>
      <c r="C206" s="49" t="inlineStr">
        <is>
          <t>кипа</t>
        </is>
      </c>
      <c r="D206" s="49" t="inlineStr">
        <is>
          <t>1200</t>
        </is>
      </c>
      <c r="E206" s="50" t="n">
        <v>1200</v>
      </c>
      <c r="F206" s="49" t="inlineStr">
        <is>
          <t>материалы</t>
        </is>
      </c>
      <c r="G206" s="49" t="inlineStr">
        <is>
          <t>Земельные работы</t>
        </is>
      </c>
      <c r="H206" s="49" t="inlineStr">
        <is>
          <t>Земельные работы</t>
        </is>
      </c>
      <c r="I206" s="49" t="inlineStr">
        <is>
          <t>Земельные работы</t>
        </is>
      </c>
      <c r="J206" s="49" t="inlineStr">
        <is>
          <t>Земляные и планировочные работы</t>
        </is>
      </c>
      <c r="K206" s="49" t="inlineStr">
        <is>
          <t>Материал</t>
        </is>
      </c>
      <c r="L206" s="49" t="inlineStr">
        <is>
          <t>Материалы</t>
        </is>
      </c>
      <c r="M206" s="49" t="inlineStr">
        <is>
          <t>Материалы</t>
        </is>
      </c>
      <c r="N206" s="49" t="inlineStr">
        <is>
          <t>Показать строкой</t>
        </is>
      </c>
      <c r="O206" s="49" t="inlineStr">
        <is>
          <t>Средняя</t>
        </is>
      </c>
      <c r="P206" s="51" t="inlineStr">
        <is>
          <t>RMAT-0100</t>
        </is>
      </c>
      <c r="Q206" s="51" t="inlineStr">
        <is>
          <t>MV-0100</t>
        </is>
      </c>
      <c r="R206" s="49" t="inlineStr">
        <is>
          <t>Да</t>
        </is>
      </c>
      <c r="S206" s="52" t="inlineStr">
        <is>
          <t>Нормализовано под генератор КП</t>
        </is>
      </c>
    </row>
    <row r="207">
      <c r="A207" s="42" t="inlineStr">
        <is>
          <t>SRC-0206</t>
        </is>
      </c>
      <c r="B207" s="42" t="inlineStr">
        <is>
          <t>Торфогрунт питательный, 300л</t>
        </is>
      </c>
      <c r="C207" s="42" t="inlineStr">
        <is>
          <t>кипа</t>
        </is>
      </c>
      <c r="D207" s="42" t="inlineStr">
        <is>
          <t>2200</t>
        </is>
      </c>
      <c r="E207" s="46" t="n">
        <v>2200</v>
      </c>
      <c r="F207" s="42" t="inlineStr">
        <is>
          <t>материалы</t>
        </is>
      </c>
      <c r="G207" s="42" t="inlineStr">
        <is>
          <t>Устройство газона</t>
        </is>
      </c>
      <c r="H207" s="42" t="inlineStr">
        <is>
          <t>газон</t>
        </is>
      </c>
      <c r="I207" s="42" t="inlineStr">
        <is>
          <t>газон</t>
        </is>
      </c>
      <c r="J207" s="42" t="inlineStr">
        <is>
          <t>Газон</t>
        </is>
      </c>
      <c r="K207" s="42" t="inlineStr">
        <is>
          <t>Материал</t>
        </is>
      </c>
      <c r="L207" s="42" t="inlineStr">
        <is>
          <t>Материалы и комплектующие</t>
        </is>
      </c>
      <c r="M207" s="42" t="inlineStr">
        <is>
          <t>Материалы</t>
        </is>
      </c>
      <c r="N207" s="42" t="inlineStr">
        <is>
          <t>Показать строкой</t>
        </is>
      </c>
      <c r="O207" s="42" t="inlineStr">
        <is>
          <t>Высокая</t>
        </is>
      </c>
      <c r="P207" s="47" t="inlineStr">
        <is>
          <t>RMAT-0101</t>
        </is>
      </c>
      <c r="Q207" s="47" t="inlineStr">
        <is>
          <t>MV-0101</t>
        </is>
      </c>
      <c r="R207" s="42" t="inlineStr">
        <is>
          <t>Нет</t>
        </is>
      </c>
      <c r="S207" s="48" t="inlineStr">
        <is>
          <t>Нормализовано под генератор КП</t>
        </is>
      </c>
    </row>
    <row r="208">
      <c r="A208" s="49" t="inlineStr">
        <is>
          <t>SRC-0207</t>
        </is>
      </c>
      <c r="B208" s="49" t="inlineStr">
        <is>
          <t>Транспортные расходы</t>
        </is>
      </c>
      <c r="C208" s="49" t="inlineStr">
        <is>
          <t>%</t>
        </is>
      </c>
      <c r="D208" s="49" t="inlineStr">
        <is>
          <t>0.01</t>
        </is>
      </c>
      <c r="E208" s="50" t="n">
        <v>0.01</v>
      </c>
      <c r="F208" s="49" t="inlineStr">
        <is>
          <t>%</t>
        </is>
      </c>
      <c r="G208" s="49" t="inlineStr">
        <is>
          <t>%</t>
        </is>
      </c>
      <c r="H208" s="49" t="inlineStr">
        <is>
          <t>%</t>
        </is>
      </c>
      <c r="I208" s="49" t="inlineStr">
        <is>
          <t>%</t>
        </is>
      </c>
      <c r="J208" s="49" t="inlineStr">
        <is>
          <t>Логистика и снабжение</t>
        </is>
      </c>
      <c r="K208" s="49" t="inlineStr">
        <is>
          <t>Накладные</t>
        </is>
      </c>
      <c r="L208" s="49" t="inlineStr">
        <is>
          <t>Транспорт</t>
        </is>
      </c>
      <c r="M208" s="49" t="inlineStr">
        <is>
          <t>Накладные и скрытые расходы</t>
        </is>
      </c>
      <c r="N208" s="49" t="inlineStr">
        <is>
          <t>Скрыть из клиентской версии</t>
        </is>
      </c>
      <c r="O208" s="49" t="inlineStr">
        <is>
          <t>Высокая</t>
        </is>
      </c>
      <c r="P208" s="51" t="inlineStr">
        <is>
          <t>RWORK-0105</t>
        </is>
      </c>
      <c r="Q208" s="51" t="inlineStr"/>
      <c r="R208" s="49" t="inlineStr">
        <is>
          <t>Да</t>
        </is>
      </c>
      <c r="S208" s="52" t="inlineStr">
        <is>
          <t>Лучше прятать в коэффициент или логистический пакет</t>
        </is>
      </c>
    </row>
    <row r="209">
      <c r="A209" s="42" t="inlineStr">
        <is>
          <t>SRC-0208</t>
        </is>
      </c>
      <c r="B209" s="42" t="inlineStr">
        <is>
          <t>Труба двустенная гофрированная d=110мм SN8</t>
        </is>
      </c>
      <c r="C209" s="42" t="inlineStr">
        <is>
          <t>м.пог.</t>
        </is>
      </c>
      <c r="D209" s="42" t="inlineStr">
        <is>
          <t>480</t>
        </is>
      </c>
      <c r="E209" s="46" t="n">
        <v>480</v>
      </c>
      <c r="F209" s="42" t="inlineStr">
        <is>
          <t>материалы</t>
        </is>
      </c>
      <c r="G209" s="42" t="inlineStr">
        <is>
          <t>Ливневая система</t>
        </is>
      </c>
      <c r="H209" s="42" t="inlineStr">
        <is>
          <t>ливневка</t>
        </is>
      </c>
      <c r="I209" s="42" t="inlineStr">
        <is>
          <t>ливневка</t>
        </is>
      </c>
      <c r="J209" s="42" t="inlineStr">
        <is>
          <t>Ливневая канализация</t>
        </is>
      </c>
      <c r="K209" s="42" t="inlineStr">
        <is>
          <t>Материал</t>
        </is>
      </c>
      <c r="L209" s="42" t="inlineStr">
        <is>
          <t>Трубопровод и фасонные части</t>
        </is>
      </c>
      <c r="M209" s="42" t="inlineStr">
        <is>
          <t>Материалы</t>
        </is>
      </c>
      <c r="N209" s="42" t="inlineStr">
        <is>
          <t>Показать строкой</t>
        </is>
      </c>
      <c r="O209" s="42" t="inlineStr">
        <is>
          <t>Высокая</t>
        </is>
      </c>
      <c r="P209" s="47" t="inlineStr">
        <is>
          <t>RMAT-0102</t>
        </is>
      </c>
      <c r="Q209" s="47" t="inlineStr">
        <is>
          <t>MV-0102</t>
        </is>
      </c>
      <c r="R209" s="42" t="inlineStr">
        <is>
          <t>Нет</t>
        </is>
      </c>
      <c r="S209" s="48" t="inlineStr">
        <is>
          <t>Нормализовано под генератор КП</t>
        </is>
      </c>
    </row>
    <row r="210">
      <c r="A210" s="41" t="inlineStr">
        <is>
          <t>SRC-0209</t>
        </is>
      </c>
      <c r="B210" s="41" t="inlineStr">
        <is>
          <t>Труба дренажная d110 SN6</t>
        </is>
      </c>
      <c r="C210" s="41" t="inlineStr">
        <is>
          <t>м.пог.</t>
        </is>
      </c>
      <c r="D210" s="41" t="inlineStr">
        <is>
          <t>185</t>
        </is>
      </c>
      <c r="E210" s="43" t="n">
        <v>185</v>
      </c>
      <c r="F210" s="41" t="inlineStr">
        <is>
          <t>материалы</t>
        </is>
      </c>
      <c r="G210" s="41" t="inlineStr">
        <is>
          <t>дренаж</t>
        </is>
      </c>
      <c r="H210" s="41" t="inlineStr">
        <is>
          <t>дренаж</t>
        </is>
      </c>
      <c r="I210" s="41" t="inlineStr">
        <is>
          <t>дренаж</t>
        </is>
      </c>
      <c r="J210" s="41" t="inlineStr">
        <is>
          <t>Дренаж</t>
        </is>
      </c>
      <c r="K210" s="41" t="inlineStr">
        <is>
          <t>Материал</t>
        </is>
      </c>
      <c r="L210" s="41" t="inlineStr">
        <is>
          <t>Трубопровод</t>
        </is>
      </c>
      <c r="M210" s="41" t="inlineStr">
        <is>
          <t>Материалы</t>
        </is>
      </c>
      <c r="N210" s="41" t="inlineStr">
        <is>
          <t>Показать строкой</t>
        </is>
      </c>
      <c r="O210" s="41" t="inlineStr">
        <is>
          <t>Высокая</t>
        </is>
      </c>
      <c r="P210" s="44" t="inlineStr">
        <is>
          <t>RMAT-0103</t>
        </is>
      </c>
      <c r="Q210" s="44" t="inlineStr">
        <is>
          <t>MV-0103</t>
        </is>
      </c>
      <c r="R210" s="41" t="inlineStr">
        <is>
          <t>Нет</t>
        </is>
      </c>
      <c r="S210" s="45" t="inlineStr">
        <is>
          <t>Нормализовано под генератор КП</t>
        </is>
      </c>
    </row>
    <row r="211">
      <c r="A211" s="42" t="inlineStr">
        <is>
          <t>SRC-0210</t>
        </is>
      </c>
      <c r="B211" s="42" t="inlineStr">
        <is>
          <t>Труба наружной канализации d110мм SN4</t>
        </is>
      </c>
      <c r="C211" s="42" t="inlineStr">
        <is>
          <t>м.пог.</t>
        </is>
      </c>
      <c r="D211" s="42" t="inlineStr">
        <is>
          <t>305</t>
        </is>
      </c>
      <c r="E211" s="46" t="n">
        <v>305</v>
      </c>
      <c r="F211" s="42" t="inlineStr">
        <is>
          <t>материалы</t>
        </is>
      </c>
      <c r="G211" s="42" t="inlineStr">
        <is>
          <t>2 мощ-е - подг-ка осн-я</t>
        </is>
      </c>
      <c r="H211" s="42" t="inlineStr">
        <is>
          <t>Мощение</t>
        </is>
      </c>
      <c r="I211" s="42" t="inlineStr">
        <is>
          <t>Мощение</t>
        </is>
      </c>
      <c r="J211" s="42" t="inlineStr">
        <is>
          <t>Мощение</t>
        </is>
      </c>
      <c r="K211" s="42" t="inlineStr">
        <is>
          <t>Материал</t>
        </is>
      </c>
      <c r="L211" s="42" t="inlineStr">
        <is>
          <t>Прочее по мощению</t>
        </is>
      </c>
      <c r="M211" s="42" t="inlineStr">
        <is>
          <t>Материалы</t>
        </is>
      </c>
      <c r="N211" s="42" t="inlineStr">
        <is>
          <t>Показать строкой</t>
        </is>
      </c>
      <c r="O211" s="42" t="inlineStr">
        <is>
          <t>Высокая</t>
        </is>
      </c>
      <c r="P211" s="47" t="inlineStr">
        <is>
          <t>RMAT-0104</t>
        </is>
      </c>
      <c r="Q211" s="47" t="inlineStr">
        <is>
          <t>MV-0104</t>
        </is>
      </c>
      <c r="R211" s="42" t="inlineStr">
        <is>
          <t>Нет</t>
        </is>
      </c>
      <c r="S211" s="48" t="inlineStr">
        <is>
          <t>Нормализовано под генератор КП</t>
        </is>
      </c>
    </row>
    <row r="212">
      <c r="A212" s="41" t="inlineStr">
        <is>
          <t>SRC-0211</t>
        </is>
      </c>
      <c r="B212" s="41" t="inlineStr">
        <is>
          <t>Труба наружной канализации d110мм SN8</t>
        </is>
      </c>
      <c r="C212" s="41" t="inlineStr">
        <is>
          <t>шт</t>
        </is>
      </c>
      <c r="D212" s="41" t="inlineStr">
        <is>
          <t>710</t>
        </is>
      </c>
      <c r="E212" s="43" t="n">
        <v>710</v>
      </c>
      <c r="F212" s="41" t="inlineStr">
        <is>
          <t>материалы</t>
        </is>
      </c>
      <c r="G212" s="41" t="inlineStr">
        <is>
          <t>Ливневая система</t>
        </is>
      </c>
      <c r="H212" s="41" t="inlineStr">
        <is>
          <t>ливневка</t>
        </is>
      </c>
      <c r="I212" s="41" t="inlineStr">
        <is>
          <t>ливневка</t>
        </is>
      </c>
      <c r="J212" s="41" t="inlineStr">
        <is>
          <t>Ливневая канализация</t>
        </is>
      </c>
      <c r="K212" s="41" t="inlineStr">
        <is>
          <t>Материал</t>
        </is>
      </c>
      <c r="L212" s="41" t="inlineStr">
        <is>
          <t>Трубопровод и фасонные части</t>
        </is>
      </c>
      <c r="M212" s="41" t="inlineStr">
        <is>
          <t>Материалы</t>
        </is>
      </c>
      <c r="N212" s="41" t="inlineStr">
        <is>
          <t>Показать строкой</t>
        </is>
      </c>
      <c r="O212" s="41" t="inlineStr">
        <is>
          <t>Высокая</t>
        </is>
      </c>
      <c r="P212" s="44" t="inlineStr">
        <is>
          <t>RMAT-0105</t>
        </is>
      </c>
      <c r="Q212" s="44" t="inlineStr">
        <is>
          <t>MV-0105</t>
        </is>
      </c>
      <c r="R212" s="41" t="inlineStr">
        <is>
          <t>Нет</t>
        </is>
      </c>
      <c r="S212" s="45" t="inlineStr">
        <is>
          <t>Нормализовано под генератор КП</t>
        </is>
      </c>
    </row>
    <row r="213">
      <c r="A213" s="42" t="inlineStr">
        <is>
          <t>SRC-0212</t>
        </is>
      </c>
      <c r="B213" s="42" t="inlineStr">
        <is>
          <t>Уголок металл., 50*50*5мм</t>
        </is>
      </c>
      <c r="C213" s="42" t="inlineStr">
        <is>
          <t>м.пог.</t>
        </is>
      </c>
      <c r="D213" s="42" t="inlineStr">
        <is>
          <t>460</t>
        </is>
      </c>
      <c r="E213" s="46" t="n">
        <v>460</v>
      </c>
      <c r="F213" s="42" t="inlineStr">
        <is>
          <t>материалы</t>
        </is>
      </c>
      <c r="G213" s="42" t="inlineStr">
        <is>
          <t>2 мощ-е - подг-ка осн-я</t>
        </is>
      </c>
      <c r="H213" s="42" t="inlineStr">
        <is>
          <t>Мощение</t>
        </is>
      </c>
      <c r="I213" s="42" t="inlineStr">
        <is>
          <t>Мощение</t>
        </is>
      </c>
      <c r="J213" s="42" t="inlineStr">
        <is>
          <t>Мощение</t>
        </is>
      </c>
      <c r="K213" s="42" t="inlineStr">
        <is>
          <t>Материал</t>
        </is>
      </c>
      <c r="L213" s="42" t="inlineStr">
        <is>
          <t>Бордюры и ограничения</t>
        </is>
      </c>
      <c r="M213" s="42" t="inlineStr">
        <is>
          <t>Материалы</t>
        </is>
      </c>
      <c r="N213" s="42" t="inlineStr">
        <is>
          <t>Показать строкой</t>
        </is>
      </c>
      <c r="O213" s="42" t="inlineStr">
        <is>
          <t>Высокая</t>
        </is>
      </c>
      <c r="P213" s="47" t="inlineStr">
        <is>
          <t>RMAT-0106</t>
        </is>
      </c>
      <c r="Q213" s="47" t="inlineStr">
        <is>
          <t>MV-0106</t>
        </is>
      </c>
      <c r="R213" s="42" t="inlineStr">
        <is>
          <t>Нет</t>
        </is>
      </c>
      <c r="S213" s="48" t="inlineStr">
        <is>
          <t>Нормализовано под генератор КП</t>
        </is>
      </c>
    </row>
    <row r="214">
      <c r="A214" s="41" t="inlineStr">
        <is>
          <t>SRC-0213</t>
        </is>
      </c>
      <c r="B214" s="41" t="inlineStr">
        <is>
          <t>Удобрение минеральное длительного действия</t>
        </is>
      </c>
      <c r="C214" s="41" t="inlineStr">
        <is>
          <t>кг</t>
        </is>
      </c>
      <c r="D214" s="41" t="inlineStr">
        <is>
          <t>615</t>
        </is>
      </c>
      <c r="E214" s="43" t="n">
        <v>615</v>
      </c>
      <c r="F214" s="41" t="inlineStr">
        <is>
          <t>материалы</t>
        </is>
      </c>
      <c r="G214" s="41" t="inlineStr">
        <is>
          <t>1. Подготовка основания для пешеходных дорожек и площадок под мощение тротуарной плиткой.</t>
        </is>
      </c>
      <c r="H214" s="41" t="inlineStr">
        <is>
          <t>Мощение</t>
        </is>
      </c>
      <c r="I214" s="41" t="inlineStr">
        <is>
          <t>Мощение</t>
        </is>
      </c>
      <c r="J214" s="41" t="inlineStr">
        <is>
          <t>Мощение</t>
        </is>
      </c>
      <c r="K214" s="41" t="inlineStr">
        <is>
          <t>Материал</t>
        </is>
      </c>
      <c r="L214" s="41" t="inlineStr">
        <is>
          <t>Прочее по мощению</t>
        </is>
      </c>
      <c r="M214" s="41" t="inlineStr">
        <is>
          <t>Материалы</t>
        </is>
      </c>
      <c r="N214" s="41" t="inlineStr">
        <is>
          <t>Показать строкой</t>
        </is>
      </c>
      <c r="O214" s="41" t="inlineStr">
        <is>
          <t>Высокая</t>
        </is>
      </c>
      <c r="P214" s="44" t="inlineStr">
        <is>
          <t>RMAT-0107</t>
        </is>
      </c>
      <c r="Q214" s="44" t="inlineStr">
        <is>
          <t>MV-0107</t>
        </is>
      </c>
      <c r="R214" s="41" t="inlineStr">
        <is>
          <t>Нет</t>
        </is>
      </c>
      <c r="S214" s="45" t="inlineStr">
        <is>
          <t>Нормализовано под генератор КП</t>
        </is>
      </c>
    </row>
    <row r="215">
      <c r="A215" s="42" t="inlineStr">
        <is>
          <t>SRC-0214</t>
        </is>
      </c>
      <c r="B215" s="42" t="inlineStr">
        <is>
          <t>Удобрение универсальн., газонное</t>
        </is>
      </c>
      <c r="C215" s="42" t="inlineStr">
        <is>
          <t>кг</t>
        </is>
      </c>
      <c r="D215" s="42" t="inlineStr">
        <is>
          <t>190</t>
        </is>
      </c>
      <c r="E215" s="46" t="n">
        <v>190</v>
      </c>
      <c r="F215" s="42" t="inlineStr">
        <is>
          <t>материалы</t>
        </is>
      </c>
      <c r="G215" s="42" t="inlineStr">
        <is>
          <t>Устройство газона</t>
        </is>
      </c>
      <c r="H215" s="42" t="inlineStr">
        <is>
          <t>газон</t>
        </is>
      </c>
      <c r="I215" s="42" t="inlineStr">
        <is>
          <t>газон</t>
        </is>
      </c>
      <c r="J215" s="42" t="inlineStr">
        <is>
          <t>Газон</t>
        </is>
      </c>
      <c r="K215" s="42" t="inlineStr">
        <is>
          <t>Материал</t>
        </is>
      </c>
      <c r="L215" s="42" t="inlineStr">
        <is>
          <t>Газон и укладка</t>
        </is>
      </c>
      <c r="M215" s="42" t="inlineStr">
        <is>
          <t>Материалы</t>
        </is>
      </c>
      <c r="N215" s="42" t="inlineStr">
        <is>
          <t>Показать строкой</t>
        </is>
      </c>
      <c r="O215" s="42" t="inlineStr">
        <is>
          <t>Высокая</t>
        </is>
      </c>
      <c r="P215" s="47" t="inlineStr">
        <is>
          <t>RMAT-0108</t>
        </is>
      </c>
      <c r="Q215" s="47" t="inlineStr">
        <is>
          <t>MV-0108</t>
        </is>
      </c>
      <c r="R215" s="42" t="inlineStr">
        <is>
          <t>Нет</t>
        </is>
      </c>
      <c r="S215" s="48" t="inlineStr">
        <is>
          <t>Нормализовано под генератор КП</t>
        </is>
      </c>
    </row>
    <row r="216">
      <c r="A216" s="41" t="inlineStr">
        <is>
          <t>SRC-0215</t>
        </is>
      </c>
      <c r="B216" s="41" t="inlineStr">
        <is>
          <t>Укладка силового бронированного кабеля с сигнальной лентой</t>
        </is>
      </c>
      <c r="C216" s="41" t="inlineStr">
        <is>
          <t>м.пог.</t>
        </is>
      </c>
      <c r="D216" s="41" t="inlineStr">
        <is>
          <t>150</t>
        </is>
      </c>
      <c r="E216" s="43" t="n">
        <v>150</v>
      </c>
      <c r="F216" s="41" t="inlineStr">
        <is>
          <t>работа</t>
        </is>
      </c>
      <c r="G216" s="41" t="inlineStr">
        <is>
          <t>Освещение</t>
        </is>
      </c>
      <c r="H216" s="41" t="inlineStr">
        <is>
          <t>Освещение</t>
        </is>
      </c>
      <c r="I216" s="41" t="inlineStr">
        <is>
          <t>Освещение</t>
        </is>
      </c>
      <c r="J216" s="41" t="inlineStr">
        <is>
          <t>Освещение</t>
        </is>
      </c>
      <c r="K216" s="41" t="inlineStr">
        <is>
          <t>Работа</t>
        </is>
      </c>
      <c r="L216" s="41" t="inlineStr">
        <is>
          <t>Кабельная инфраструктура</t>
        </is>
      </c>
      <c r="M216" s="41" t="inlineStr">
        <is>
          <t>Основные работы</t>
        </is>
      </c>
      <c r="N216" s="41" t="inlineStr">
        <is>
          <t>Показать строкой</t>
        </is>
      </c>
      <c r="O216" s="41" t="inlineStr">
        <is>
          <t>Высокая</t>
        </is>
      </c>
      <c r="P216" s="44" t="inlineStr">
        <is>
          <t>RWORK-0106</t>
        </is>
      </c>
      <c r="Q216" s="44" t="inlineStr"/>
      <c r="R216" s="41" t="inlineStr">
        <is>
          <t>Нет</t>
        </is>
      </c>
      <c r="S216" s="45" t="inlineStr">
        <is>
          <t>Нормализовано под генератор КП</t>
        </is>
      </c>
    </row>
    <row r="217">
      <c r="A217" s="42" t="inlineStr">
        <is>
          <t>SRC-0216</t>
        </is>
      </c>
      <c r="B217" s="42" t="inlineStr">
        <is>
          <t>Укладка геотекстиля</t>
        </is>
      </c>
      <c r="C217" s="42" t="inlineStr">
        <is>
          <t>м2</t>
        </is>
      </c>
      <c r="D217" s="42" t="inlineStr">
        <is>
          <t>40</t>
        </is>
      </c>
      <c r="E217" s="46" t="n">
        <v>40</v>
      </c>
      <c r="F217" s="42" t="inlineStr">
        <is>
          <t>работа</t>
        </is>
      </c>
      <c r="G217" s="42" t="inlineStr">
        <is>
          <t>Мощение</t>
        </is>
      </c>
      <c r="H217" s="42" t="inlineStr">
        <is>
          <t>Мощение</t>
        </is>
      </c>
      <c r="I217" s="42" t="inlineStr">
        <is>
          <t>Мощение</t>
        </is>
      </c>
      <c r="J217" s="42" t="inlineStr">
        <is>
          <t>Мощение</t>
        </is>
      </c>
      <c r="K217" s="42" t="inlineStr">
        <is>
          <t>Работа</t>
        </is>
      </c>
      <c r="L217" s="42" t="inlineStr">
        <is>
          <t>Основание</t>
        </is>
      </c>
      <c r="M217" s="42" t="inlineStr">
        <is>
          <t>Основные работы</t>
        </is>
      </c>
      <c r="N217" s="42" t="inlineStr">
        <is>
          <t>Показать строкой</t>
        </is>
      </c>
      <c r="O217" s="42" t="inlineStr">
        <is>
          <t>Высокая</t>
        </is>
      </c>
      <c r="P217" s="47" t="inlineStr">
        <is>
          <t>RWORK-0107</t>
        </is>
      </c>
      <c r="Q217" s="47" t="inlineStr"/>
      <c r="R217" s="42" t="inlineStr">
        <is>
          <t>Нет</t>
        </is>
      </c>
      <c r="S217" s="48" t="inlineStr">
        <is>
          <t>Нормализовано под генератор КП</t>
        </is>
      </c>
    </row>
    <row r="218">
      <c r="A218" s="41" t="inlineStr">
        <is>
          <t>SRC-0217</t>
        </is>
      </c>
      <c r="B218" s="41" t="inlineStr">
        <is>
          <t>Укладка кабеля с креплением - под настилом, для освещения подпорных стенок, в стойках ограждения</t>
        </is>
      </c>
      <c r="C218" s="41" t="inlineStr">
        <is>
          <t>м.пог.</t>
        </is>
      </c>
      <c r="D218" s="41" t="inlineStr">
        <is>
          <t>180</t>
        </is>
      </c>
      <c r="E218" s="43" t="n">
        <v>180</v>
      </c>
      <c r="F218" s="41" t="inlineStr">
        <is>
          <t>работа</t>
        </is>
      </c>
      <c r="G218" s="41" t="inlineStr">
        <is>
          <t>Освещение</t>
        </is>
      </c>
      <c r="H218" s="41" t="inlineStr">
        <is>
          <t>Освещение</t>
        </is>
      </c>
      <c r="I218" s="41" t="inlineStr">
        <is>
          <t>Освещение</t>
        </is>
      </c>
      <c r="J218" s="41" t="inlineStr">
        <is>
          <t>Освещение</t>
        </is>
      </c>
      <c r="K218" s="41" t="inlineStr">
        <is>
          <t>Работа</t>
        </is>
      </c>
      <c r="L218" s="41" t="inlineStr">
        <is>
          <t>Монтаж</t>
        </is>
      </c>
      <c r="M218" s="41" t="inlineStr">
        <is>
          <t>Основные работы</t>
        </is>
      </c>
      <c r="N218" s="41" t="inlineStr">
        <is>
          <t>Показать строкой</t>
        </is>
      </c>
      <c r="O218" s="41" t="inlineStr">
        <is>
          <t>Высокая</t>
        </is>
      </c>
      <c r="P218" s="44" t="inlineStr">
        <is>
          <t>RWORK-0108</t>
        </is>
      </c>
      <c r="Q218" s="44" t="inlineStr"/>
      <c r="R218" s="41" t="inlineStr">
        <is>
          <t>Нет</t>
        </is>
      </c>
      <c r="S218" s="45" t="inlineStr">
        <is>
          <t>Нормализовано под генератор КП</t>
        </is>
      </c>
    </row>
    <row r="219">
      <c r="A219" s="42" t="inlineStr">
        <is>
          <t>SRC-0218</t>
        </is>
      </c>
      <c r="B219" s="42" t="inlineStr">
        <is>
          <t>Укрепление крайнего ряда мощения</t>
        </is>
      </c>
      <c r="C219" s="42" t="inlineStr">
        <is>
          <t>м.пог.</t>
        </is>
      </c>
      <c r="D219" s="42" t="inlineStr">
        <is>
          <t>600</t>
        </is>
      </c>
      <c r="E219" s="46" t="n">
        <v>600</v>
      </c>
      <c r="F219" s="42" t="inlineStr">
        <is>
          <t>работа</t>
        </is>
      </c>
      <c r="G219" s="42" t="inlineStr">
        <is>
          <t>Мощение</t>
        </is>
      </c>
      <c r="H219" s="42" t="inlineStr">
        <is>
          <t>Мощение</t>
        </is>
      </c>
      <c r="I219" s="42" t="inlineStr">
        <is>
          <t>Мощение</t>
        </is>
      </c>
      <c r="J219" s="42" t="inlineStr">
        <is>
          <t>Мощение</t>
        </is>
      </c>
      <c r="K219" s="42" t="inlineStr">
        <is>
          <t>Работа</t>
        </is>
      </c>
      <c r="L219" s="42" t="inlineStr">
        <is>
          <t>Прочее по мощению</t>
        </is>
      </c>
      <c r="M219" s="42" t="inlineStr">
        <is>
          <t>Основные работы</t>
        </is>
      </c>
      <c r="N219" s="42" t="inlineStr">
        <is>
          <t>Показать строкой</t>
        </is>
      </c>
      <c r="O219" s="42" t="inlineStr">
        <is>
          <t>Высокая</t>
        </is>
      </c>
      <c r="P219" s="47" t="inlineStr">
        <is>
          <t>RWORK-0109</t>
        </is>
      </c>
      <c r="Q219" s="47" t="inlineStr"/>
      <c r="R219" s="42" t="inlineStr">
        <is>
          <t>Нет</t>
        </is>
      </c>
      <c r="S219" s="48" t="inlineStr">
        <is>
          <t>Нормализовано под генератор КП</t>
        </is>
      </c>
    </row>
    <row r="220">
      <c r="A220" s="41" t="inlineStr">
        <is>
          <t>SRC-0219</t>
        </is>
      </c>
      <c r="B220" s="41" t="inlineStr">
        <is>
          <t>Уплотнение основания виброплитой</t>
        </is>
      </c>
      <c r="C220" s="41" t="inlineStr">
        <is>
          <t>м2</t>
        </is>
      </c>
      <c r="D220" s="41" t="inlineStr">
        <is>
          <t>80</t>
        </is>
      </c>
      <c r="E220" s="43" t="n">
        <v>80</v>
      </c>
      <c r="F220" s="41" t="inlineStr">
        <is>
          <t>работа</t>
        </is>
      </c>
      <c r="G220" s="41" t="inlineStr">
        <is>
          <t>Мощение</t>
        </is>
      </c>
      <c r="H220" s="41" t="inlineStr">
        <is>
          <t>Мощение</t>
        </is>
      </c>
      <c r="I220" s="41" t="inlineStr">
        <is>
          <t>Мощение</t>
        </is>
      </c>
      <c r="J220" s="41" t="inlineStr">
        <is>
          <t>Мощение</t>
        </is>
      </c>
      <c r="K220" s="41" t="inlineStr">
        <is>
          <t>Работа</t>
        </is>
      </c>
      <c r="L220" s="41" t="inlineStr">
        <is>
          <t>Прочее по мощению</t>
        </is>
      </c>
      <c r="M220" s="41" t="inlineStr">
        <is>
          <t>Основные работы</t>
        </is>
      </c>
      <c r="N220" s="41" t="inlineStr">
        <is>
          <t>Показать строкой</t>
        </is>
      </c>
      <c r="O220" s="41" t="inlineStr">
        <is>
          <t>Высокая</t>
        </is>
      </c>
      <c r="P220" s="44" t="inlineStr">
        <is>
          <t>RWORK-0110</t>
        </is>
      </c>
      <c r="Q220" s="44" t="inlineStr"/>
      <c r="R220" s="41" t="inlineStr">
        <is>
          <t>Нет</t>
        </is>
      </c>
      <c r="S220" s="45" t="inlineStr">
        <is>
          <t>Нормализовано под генератор КП</t>
        </is>
      </c>
    </row>
    <row r="221">
      <c r="A221" s="42" t="inlineStr">
        <is>
          <t>SRC-0220</t>
        </is>
      </c>
      <c r="B221" s="42" t="inlineStr">
        <is>
          <t>Установка бордюра (криволинейная)</t>
        </is>
      </c>
      <c r="C221" s="42" t="inlineStr">
        <is>
          <t>м.пог.</t>
        </is>
      </c>
      <c r="D221" s="42" t="inlineStr">
        <is>
          <t>240</t>
        </is>
      </c>
      <c r="E221" s="46" t="n">
        <v>240</v>
      </c>
      <c r="F221" s="42" t="inlineStr">
        <is>
          <t>работа</t>
        </is>
      </c>
      <c r="G221" s="42" t="inlineStr">
        <is>
          <t>Устройство газона</t>
        </is>
      </c>
      <c r="H221" s="42" t="inlineStr">
        <is>
          <t>газон</t>
        </is>
      </c>
      <c r="I221" s="42" t="inlineStr">
        <is>
          <t>газон</t>
        </is>
      </c>
      <c r="J221" s="42" t="inlineStr">
        <is>
          <t>Газон</t>
        </is>
      </c>
      <c r="K221" s="42" t="inlineStr">
        <is>
          <t>Материал</t>
        </is>
      </c>
      <c r="L221" s="42" t="inlineStr">
        <is>
          <t>Бордюры и ограничения</t>
        </is>
      </c>
      <c r="M221" s="42" t="inlineStr">
        <is>
          <t>Материалы</t>
        </is>
      </c>
      <c r="N221" s="42" t="inlineStr">
        <is>
          <t>Показать строкой</t>
        </is>
      </c>
      <c r="O221" s="42" t="inlineStr">
        <is>
          <t>Высокая</t>
        </is>
      </c>
      <c r="P221" s="47" t="inlineStr">
        <is>
          <t>RMAT-0109</t>
        </is>
      </c>
      <c r="Q221" s="47" t="inlineStr">
        <is>
          <t>MV-0109</t>
        </is>
      </c>
      <c r="R221" s="42" t="inlineStr">
        <is>
          <t>Нет</t>
        </is>
      </c>
      <c r="S221" s="48" t="inlineStr">
        <is>
          <t>Нормализовано под генератор КП</t>
        </is>
      </c>
    </row>
    <row r="222">
      <c r="A222" s="41" t="inlineStr">
        <is>
          <t>SRC-0221</t>
        </is>
      </c>
      <c r="B222" s="41" t="inlineStr">
        <is>
          <t>Установка бордюра металлического</t>
        </is>
      </c>
      <c r="C222" s="41" t="inlineStr">
        <is>
          <t>м.пог.</t>
        </is>
      </c>
      <c r="D222" s="41" t="inlineStr">
        <is>
          <t>260</t>
        </is>
      </c>
      <c r="E222" s="43" t="n">
        <v>260</v>
      </c>
      <c r="F222" s="41" t="inlineStr">
        <is>
          <t>работа</t>
        </is>
      </c>
      <c r="G222" s="41" t="inlineStr">
        <is>
          <t>1. Подготовка основания для пешеходных дорожек и площадок под мощение тротуарной плиткой.</t>
        </is>
      </c>
      <c r="H222" s="41" t="inlineStr">
        <is>
          <t>Мощение</t>
        </is>
      </c>
      <c r="I222" s="41" t="inlineStr">
        <is>
          <t>Мощение</t>
        </is>
      </c>
      <c r="J222" s="41" t="inlineStr">
        <is>
          <t>Мощение</t>
        </is>
      </c>
      <c r="K222" s="41" t="inlineStr">
        <is>
          <t>Материал</t>
        </is>
      </c>
      <c r="L222" s="41" t="inlineStr">
        <is>
          <t>Бордюры и ограничения</t>
        </is>
      </c>
      <c r="M222" s="41" t="inlineStr">
        <is>
          <t>Материалы</t>
        </is>
      </c>
      <c r="N222" s="41" t="inlineStr">
        <is>
          <t>Показать строкой</t>
        </is>
      </c>
      <c r="O222" s="41" t="inlineStr">
        <is>
          <t>Высокая</t>
        </is>
      </c>
      <c r="P222" s="44" t="inlineStr">
        <is>
          <t>RMAT-0110</t>
        </is>
      </c>
      <c r="Q222" s="44" t="inlineStr">
        <is>
          <t>MV-0110</t>
        </is>
      </c>
      <c r="R222" s="41" t="inlineStr">
        <is>
          <t>Нет</t>
        </is>
      </c>
      <c r="S222" s="45" t="inlineStr">
        <is>
          <t>Нормализовано под генератор КП</t>
        </is>
      </c>
    </row>
    <row r="223">
      <c r="A223" s="42" t="inlineStr">
        <is>
          <t>SRC-0222</t>
        </is>
      </c>
      <c r="B223" s="42" t="inlineStr">
        <is>
          <t>Установка бордюра ограничивающего (доска, брусок)</t>
        </is>
      </c>
      <c r="C223" s="42" t="inlineStr">
        <is>
          <t>м.пог.</t>
        </is>
      </c>
      <c r="D223" s="42" t="inlineStr">
        <is>
          <t>450</t>
        </is>
      </c>
      <c r="E223" s="46" t="n">
        <v>450</v>
      </c>
      <c r="F223" s="42" t="inlineStr">
        <is>
          <t>работа</t>
        </is>
      </c>
      <c r="G223" s="42" t="inlineStr">
        <is>
          <t>Устройство газона</t>
        </is>
      </c>
      <c r="H223" s="42" t="inlineStr">
        <is>
          <t>газон</t>
        </is>
      </c>
      <c r="I223" s="42" t="inlineStr">
        <is>
          <t>газон</t>
        </is>
      </c>
      <c r="J223" s="42" t="inlineStr">
        <is>
          <t>Газон</t>
        </is>
      </c>
      <c r="K223" s="42" t="inlineStr">
        <is>
          <t>Материал</t>
        </is>
      </c>
      <c r="L223" s="42" t="inlineStr">
        <is>
          <t>Бордюры и ограничения</t>
        </is>
      </c>
      <c r="M223" s="42" t="inlineStr">
        <is>
          <t>Материалы</t>
        </is>
      </c>
      <c r="N223" s="42" t="inlineStr">
        <is>
          <t>Показать строкой</t>
        </is>
      </c>
      <c r="O223" s="42" t="inlineStr">
        <is>
          <t>Высокая</t>
        </is>
      </c>
      <c r="P223" s="47" t="inlineStr">
        <is>
          <t>RMAT-0111</t>
        </is>
      </c>
      <c r="Q223" s="47" t="inlineStr">
        <is>
          <t>MV-0111</t>
        </is>
      </c>
      <c r="R223" s="42" t="inlineStr">
        <is>
          <t>Нет</t>
        </is>
      </c>
      <c r="S223" s="48" t="inlineStr">
        <is>
          <t>Нормализовано под генератор КП</t>
        </is>
      </c>
    </row>
    <row r="224">
      <c r="A224" s="41" t="inlineStr">
        <is>
          <t>SRC-0223</t>
        </is>
      </c>
      <c r="B224" s="41" t="inlineStr">
        <is>
          <t>Установка бордюра пластикового</t>
        </is>
      </c>
      <c r="C224" s="41" t="inlineStr">
        <is>
          <t>м.пог.</t>
        </is>
      </c>
      <c r="D224" s="41" t="inlineStr">
        <is>
          <t>120</t>
        </is>
      </c>
      <c r="E224" s="43" t="n">
        <v>120</v>
      </c>
      <c r="F224" s="41" t="inlineStr">
        <is>
          <t>работа</t>
        </is>
      </c>
      <c r="G224" s="41" t="inlineStr">
        <is>
          <t>1. Подготовка основания для пешеходных дорожек и площадок под мощение тротуарной плиткой.</t>
        </is>
      </c>
      <c r="H224" s="41" t="inlineStr">
        <is>
          <t>Мощение</t>
        </is>
      </c>
      <c r="I224" s="41" t="inlineStr">
        <is>
          <t>Мощение</t>
        </is>
      </c>
      <c r="J224" s="41" t="inlineStr">
        <is>
          <t>Мощение</t>
        </is>
      </c>
      <c r="K224" s="41" t="inlineStr">
        <is>
          <t>Материал</t>
        </is>
      </c>
      <c r="L224" s="41" t="inlineStr">
        <is>
          <t>Бордюры и ограничения</t>
        </is>
      </c>
      <c r="M224" s="41" t="inlineStr">
        <is>
          <t>Материалы</t>
        </is>
      </c>
      <c r="N224" s="41" t="inlineStr">
        <is>
          <t>Показать строкой</t>
        </is>
      </c>
      <c r="O224" s="41" t="inlineStr">
        <is>
          <t>Высокая</t>
        </is>
      </c>
      <c r="P224" s="44" t="inlineStr">
        <is>
          <t>RMAT-0112</t>
        </is>
      </c>
      <c r="Q224" s="44" t="inlineStr">
        <is>
          <t>MV-0112</t>
        </is>
      </c>
      <c r="R224" s="41" t="inlineStr">
        <is>
          <t>Нет</t>
        </is>
      </c>
      <c r="S224" s="45" t="inlineStr">
        <is>
          <t>Нормализовано под генератор КП</t>
        </is>
      </c>
    </row>
    <row r="225">
      <c r="A225" s="42" t="inlineStr">
        <is>
          <t>SRC-0224</t>
        </is>
      </c>
      <c r="B225" s="42" t="inlineStr">
        <is>
          <t>Устройство армокаркасов</t>
        </is>
      </c>
      <c r="C225" s="42" t="inlineStr">
        <is>
          <t>м3</t>
        </is>
      </c>
      <c r="D225" s="42" t="inlineStr">
        <is>
          <t>2700</t>
        </is>
      </c>
      <c r="E225" s="46" t="n">
        <v>2700</v>
      </c>
      <c r="F225" s="42" t="inlineStr">
        <is>
          <t>работа</t>
        </is>
      </c>
      <c r="G225" s="42" t="inlineStr">
        <is>
          <t>Ступени-пандусы из бетона</t>
        </is>
      </c>
      <c r="H225" s="42" t="inlineStr">
        <is>
          <t>ступени</t>
        </is>
      </c>
      <c r="I225" s="42" t="inlineStr">
        <is>
          <t>ступени</t>
        </is>
      </c>
      <c r="J225" s="42" t="inlineStr">
        <is>
          <t>Ступени / пандусы / бетонные элементы</t>
        </is>
      </c>
      <c r="K225" s="42" t="inlineStr">
        <is>
          <t>Работа</t>
        </is>
      </c>
      <c r="L225" s="42" t="inlineStr">
        <is>
          <t>Бетон и армирование</t>
        </is>
      </c>
      <c r="M225" s="42" t="inlineStr">
        <is>
          <t>Основные работы</t>
        </is>
      </c>
      <c r="N225" s="42" t="inlineStr">
        <is>
          <t>Показать строкой</t>
        </is>
      </c>
      <c r="O225" s="42" t="inlineStr">
        <is>
          <t>Высокая</t>
        </is>
      </c>
      <c r="P225" s="47" t="inlineStr">
        <is>
          <t>RWORK-0111</t>
        </is>
      </c>
      <c r="Q225" s="47" t="inlineStr"/>
      <c r="R225" s="42" t="inlineStr">
        <is>
          <t>Нет</t>
        </is>
      </c>
      <c r="S225" s="48" t="inlineStr">
        <is>
          <t>Нормализовано под генератор КП</t>
        </is>
      </c>
    </row>
    <row r="226">
      <c r="A226" s="41" t="inlineStr">
        <is>
          <t>SRC-0225</t>
        </is>
      </c>
      <c r="B226" s="41" t="inlineStr">
        <is>
          <t>Устройство бесшовного покрытия отмостки из резиновой крошки, 10мм (с материалами)</t>
        </is>
      </c>
      <c r="C226" s="41" t="inlineStr">
        <is>
          <t>м2</t>
        </is>
      </c>
      <c r="D226" s="41" t="inlineStr">
        <is>
          <t>1150</t>
        </is>
      </c>
      <c r="E226" s="43" t="n">
        <v>1150</v>
      </c>
      <c r="F226" s="41" t="inlineStr">
        <is>
          <t>работа</t>
        </is>
      </c>
      <c r="G226" s="41" t="inlineStr">
        <is>
          <t>1. Подготовка основания для пешеходных дорожек и площадок под мощение тротуарной плиткой.</t>
        </is>
      </c>
      <c r="H226" s="41" t="inlineStr">
        <is>
          <t>Мощение</t>
        </is>
      </c>
      <c r="I226" s="41" t="inlineStr">
        <is>
          <t>Мощение</t>
        </is>
      </c>
      <c r="J226" s="41" t="inlineStr">
        <is>
          <t>Мощение</t>
        </is>
      </c>
      <c r="K226" s="41" t="inlineStr">
        <is>
          <t>Работа</t>
        </is>
      </c>
      <c r="L226" s="41" t="inlineStr">
        <is>
          <t>Покрытие</t>
        </is>
      </c>
      <c r="M226" s="41" t="inlineStr">
        <is>
          <t>Основные работы</t>
        </is>
      </c>
      <c r="N226" s="41" t="inlineStr">
        <is>
          <t>Показать строкой</t>
        </is>
      </c>
      <c r="O226" s="41" t="inlineStr">
        <is>
          <t>Высокая</t>
        </is>
      </c>
      <c r="P226" s="44" t="inlineStr">
        <is>
          <t>RWORK-0112</t>
        </is>
      </c>
      <c r="Q226" s="44" t="inlineStr"/>
      <c r="R226" s="41" t="inlineStr">
        <is>
          <t>Нет</t>
        </is>
      </c>
      <c r="S226" s="45" t="inlineStr">
        <is>
          <t>Нормализовано под генератор КП</t>
        </is>
      </c>
    </row>
    <row r="227">
      <c r="A227" s="42" t="inlineStr">
        <is>
          <t>SRC-0226</t>
        </is>
      </c>
      <c r="B227" s="42" t="inlineStr">
        <is>
          <t>Устройство бордюра из габбро-диабаза в два ряда на бетон 80*80*80мм</t>
        </is>
      </c>
      <c r="C227" s="42" t="inlineStr">
        <is>
          <t>м.пог.</t>
        </is>
      </c>
      <c r="D227" s="42" t="inlineStr">
        <is>
          <t>1900</t>
        </is>
      </c>
      <c r="E227" s="46" t="n">
        <v>1900</v>
      </c>
      <c r="F227" s="42" t="inlineStr">
        <is>
          <t>работа</t>
        </is>
      </c>
      <c r="G227" s="42" t="inlineStr">
        <is>
          <t>Покрытия</t>
        </is>
      </c>
      <c r="H227" s="42" t="inlineStr">
        <is>
          <t>Мощение</t>
        </is>
      </c>
      <c r="I227" s="42" t="inlineStr">
        <is>
          <t>Мощение</t>
        </is>
      </c>
      <c r="J227" s="42" t="inlineStr">
        <is>
          <t>Мощение</t>
        </is>
      </c>
      <c r="K227" s="42" t="inlineStr">
        <is>
          <t>Работа</t>
        </is>
      </c>
      <c r="L227" s="42" t="inlineStr">
        <is>
          <t>Бордюры и ограничения</t>
        </is>
      </c>
      <c r="M227" s="42" t="inlineStr">
        <is>
          <t>Основные работы</t>
        </is>
      </c>
      <c r="N227" s="42" t="inlineStr">
        <is>
          <t>Показать строкой</t>
        </is>
      </c>
      <c r="O227" s="42" t="inlineStr">
        <is>
          <t>Высокая</t>
        </is>
      </c>
      <c r="P227" s="47" t="inlineStr">
        <is>
          <t>RWORK-0113</t>
        </is>
      </c>
      <c r="Q227" s="47" t="inlineStr"/>
      <c r="R227" s="42" t="inlineStr">
        <is>
          <t>Нет</t>
        </is>
      </c>
      <c r="S227" s="48" t="inlineStr">
        <is>
          <t>Нормализовано под генератор КП</t>
        </is>
      </c>
    </row>
    <row r="228">
      <c r="A228" s="41" t="inlineStr">
        <is>
          <t>SRC-0227</t>
        </is>
      </c>
      <c r="B228" s="41" t="inlineStr">
        <is>
          <t>Устройство бордюра из габбро-диабаза в один ряд на бетон 80*80*80мм</t>
        </is>
      </c>
      <c r="C228" s="41" t="inlineStr">
        <is>
          <t>м.пог.</t>
        </is>
      </c>
      <c r="D228" s="41" t="inlineStr">
        <is>
          <t>1400</t>
        </is>
      </c>
      <c r="E228" s="43" t="n">
        <v>1400</v>
      </c>
      <c r="F228" s="41" t="inlineStr">
        <is>
          <t>работа</t>
        </is>
      </c>
      <c r="G228" s="41" t="inlineStr">
        <is>
          <t>Покрытия</t>
        </is>
      </c>
      <c r="H228" s="41" t="inlineStr">
        <is>
          <t>Мощение</t>
        </is>
      </c>
      <c r="I228" s="41" t="inlineStr">
        <is>
          <t>Мощение</t>
        </is>
      </c>
      <c r="J228" s="41" t="inlineStr">
        <is>
          <t>Мощение</t>
        </is>
      </c>
      <c r="K228" s="41" t="inlineStr">
        <is>
          <t>Работа</t>
        </is>
      </c>
      <c r="L228" s="41" t="inlineStr">
        <is>
          <t>Бордюры и ограничения</t>
        </is>
      </c>
      <c r="M228" s="41" t="inlineStr">
        <is>
          <t>Основные работы</t>
        </is>
      </c>
      <c r="N228" s="41" t="inlineStr">
        <is>
          <t>Показать строкой</t>
        </is>
      </c>
      <c r="O228" s="41" t="inlineStr">
        <is>
          <t>Высокая</t>
        </is>
      </c>
      <c r="P228" s="44" t="inlineStr">
        <is>
          <t>RWORK-0114</t>
        </is>
      </c>
      <c r="Q228" s="44" t="inlineStr"/>
      <c r="R228" s="41" t="inlineStr">
        <is>
          <t>Нет</t>
        </is>
      </c>
      <c r="S228" s="45" t="inlineStr">
        <is>
          <t>Нормализовано под генератор КП</t>
        </is>
      </c>
    </row>
    <row r="229">
      <c r="A229" s="42" t="inlineStr">
        <is>
          <t>SRC-0228</t>
        </is>
      </c>
      <c r="B229" s="42" t="inlineStr">
        <is>
          <t>Устройство врезок в бетонный колодец d110мм</t>
        </is>
      </c>
      <c r="C229" s="42" t="inlineStr">
        <is>
          <t>шт</t>
        </is>
      </c>
      <c r="D229" s="42" t="inlineStr">
        <is>
          <t>900</t>
        </is>
      </c>
      <c r="E229" s="46" t="n">
        <v>900</v>
      </c>
      <c r="F229" s="42" t="inlineStr">
        <is>
          <t>работа</t>
        </is>
      </c>
      <c r="G229" s="42" t="inlineStr">
        <is>
          <t>Ливневая система</t>
        </is>
      </c>
      <c r="H229" s="42" t="inlineStr">
        <is>
          <t>ливневка</t>
        </is>
      </c>
      <c r="I229" s="42" t="inlineStr">
        <is>
          <t>ливневка</t>
        </is>
      </c>
      <c r="J229" s="42" t="inlineStr">
        <is>
          <t>Ливневая канализация</t>
        </is>
      </c>
      <c r="K229" s="42" t="inlineStr">
        <is>
          <t>Работа</t>
        </is>
      </c>
      <c r="L229" s="42" t="inlineStr">
        <is>
          <t>Колодцы и перекрытия</t>
        </is>
      </c>
      <c r="M229" s="42" t="inlineStr">
        <is>
          <t>Основные работы</t>
        </is>
      </c>
      <c r="N229" s="42" t="inlineStr">
        <is>
          <t>Показать строкой</t>
        </is>
      </c>
      <c r="O229" s="42" t="inlineStr">
        <is>
          <t>Высокая</t>
        </is>
      </c>
      <c r="P229" s="47" t="inlineStr">
        <is>
          <t>RWORK-0115</t>
        </is>
      </c>
      <c r="Q229" s="47" t="inlineStr"/>
      <c r="R229" s="42" t="inlineStr">
        <is>
          <t>Нет</t>
        </is>
      </c>
      <c r="S229" s="48" t="inlineStr">
        <is>
          <t>Нормализовано под генератор КП</t>
        </is>
      </c>
    </row>
    <row r="230">
      <c r="A230" s="41" t="inlineStr">
        <is>
          <t>SRC-0229</t>
        </is>
      </c>
      <c r="B230" s="41" t="inlineStr">
        <is>
          <t>Устройство врезок в бетонный колодец d160мм</t>
        </is>
      </c>
      <c r="C230" s="41" t="inlineStr">
        <is>
          <t>шт</t>
        </is>
      </c>
      <c r="D230" s="41" t="inlineStr">
        <is>
          <t>1400</t>
        </is>
      </c>
      <c r="E230" s="43" t="n">
        <v>1400</v>
      </c>
      <c r="F230" s="41" t="inlineStr">
        <is>
          <t>работа</t>
        </is>
      </c>
      <c r="G230" s="41" t="inlineStr">
        <is>
          <t>Ливневая система</t>
        </is>
      </c>
      <c r="H230" s="41" t="inlineStr">
        <is>
          <t>ливневка</t>
        </is>
      </c>
      <c r="I230" s="41" t="inlineStr">
        <is>
          <t>ливневка</t>
        </is>
      </c>
      <c r="J230" s="41" t="inlineStr">
        <is>
          <t>Ливневая канализация</t>
        </is>
      </c>
      <c r="K230" s="41" t="inlineStr">
        <is>
          <t>Работа</t>
        </is>
      </c>
      <c r="L230" s="41" t="inlineStr">
        <is>
          <t>Колодцы и перекрытия</t>
        </is>
      </c>
      <c r="M230" s="41" t="inlineStr">
        <is>
          <t>Основные работы</t>
        </is>
      </c>
      <c r="N230" s="41" t="inlineStr">
        <is>
          <t>Показать строкой</t>
        </is>
      </c>
      <c r="O230" s="41" t="inlineStr">
        <is>
          <t>Высокая</t>
        </is>
      </c>
      <c r="P230" s="44" t="inlineStr">
        <is>
          <t>RWORK-0116</t>
        </is>
      </c>
      <c r="Q230" s="44" t="inlineStr"/>
      <c r="R230" s="41" t="inlineStr">
        <is>
          <t>Нет</t>
        </is>
      </c>
      <c r="S230" s="45" t="inlineStr">
        <is>
          <t>Нормализовано под генератор КП</t>
        </is>
      </c>
    </row>
    <row r="231">
      <c r="A231" s="42" t="inlineStr">
        <is>
          <t>SRC-0230</t>
        </is>
      </c>
      <c r="B231" s="42" t="inlineStr">
        <is>
          <t>Устройство врезок в колодец</t>
        </is>
      </c>
      <c r="C231" s="42" t="inlineStr">
        <is>
          <t>шт</t>
        </is>
      </c>
      <c r="D231" s="42" t="inlineStr">
        <is>
          <t>350</t>
        </is>
      </c>
      <c r="E231" s="46" t="n">
        <v>350</v>
      </c>
      <c r="F231" s="42" t="inlineStr">
        <is>
          <t>работа</t>
        </is>
      </c>
      <c r="G231" s="42" t="inlineStr">
        <is>
          <t>Ливневая система</t>
        </is>
      </c>
      <c r="H231" s="42" t="inlineStr">
        <is>
          <t>ливневка</t>
        </is>
      </c>
      <c r="I231" s="42" t="inlineStr">
        <is>
          <t>ливневка</t>
        </is>
      </c>
      <c r="J231" s="42" t="inlineStr">
        <is>
          <t>Ливневая канализация</t>
        </is>
      </c>
      <c r="K231" s="42" t="inlineStr">
        <is>
          <t>Работа</t>
        </is>
      </c>
      <c r="L231" s="42" t="inlineStr">
        <is>
          <t>Колодцы и перекрытия</t>
        </is>
      </c>
      <c r="M231" s="42" t="inlineStr">
        <is>
          <t>Основные работы</t>
        </is>
      </c>
      <c r="N231" s="42" t="inlineStr">
        <is>
          <t>Показать строкой</t>
        </is>
      </c>
      <c r="O231" s="42" t="inlineStr">
        <is>
          <t>Высокая</t>
        </is>
      </c>
      <c r="P231" s="47" t="inlineStr">
        <is>
          <t>RWORK-0117</t>
        </is>
      </c>
      <c r="Q231" s="47" t="inlineStr"/>
      <c r="R231" s="42" t="inlineStr">
        <is>
          <t>Нет</t>
        </is>
      </c>
      <c r="S231" s="48" t="inlineStr">
        <is>
          <t>Нормализовано под генератор КП</t>
        </is>
      </c>
    </row>
    <row r="232">
      <c r="A232" s="41" t="inlineStr">
        <is>
          <t>SRC-0231</t>
        </is>
      </c>
      <c r="B232" s="41" t="inlineStr">
        <is>
          <t>Устройство временной съемной опалубки</t>
        </is>
      </c>
      <c r="C232" s="41" t="inlineStr">
        <is>
          <t>м.пог.</t>
        </is>
      </c>
      <c r="D232" s="41" t="inlineStr">
        <is>
          <t>100</t>
        </is>
      </c>
      <c r="E232" s="43" t="n">
        <v>100</v>
      </c>
      <c r="F232" s="41" t="inlineStr">
        <is>
          <t>работа</t>
        </is>
      </c>
      <c r="G232" s="41" t="inlineStr">
        <is>
          <t>1. Подготовка основания для пешеходных дорожек и площадок под мощение тротуарной плиткой.</t>
        </is>
      </c>
      <c r="H232" s="41" t="inlineStr">
        <is>
          <t>Мощение</t>
        </is>
      </c>
      <c r="I232" s="41" t="inlineStr">
        <is>
          <t>Мощение</t>
        </is>
      </c>
      <c r="J232" s="41" t="inlineStr">
        <is>
          <t>Мощение</t>
        </is>
      </c>
      <c r="K232" s="41" t="inlineStr">
        <is>
          <t>Работа</t>
        </is>
      </c>
      <c r="L232" s="41" t="inlineStr">
        <is>
          <t>Бетон и конструктив</t>
        </is>
      </c>
      <c r="M232" s="41" t="inlineStr">
        <is>
          <t>Основные работы</t>
        </is>
      </c>
      <c r="N232" s="41" t="inlineStr">
        <is>
          <t>Показать строкой</t>
        </is>
      </c>
      <c r="O232" s="41" t="inlineStr">
        <is>
          <t>Высокая</t>
        </is>
      </c>
      <c r="P232" s="44" t="inlineStr">
        <is>
          <t>RWORK-0118</t>
        </is>
      </c>
      <c r="Q232" s="44" t="inlineStr"/>
      <c r="R232" s="41" t="inlineStr">
        <is>
          <t>Нет</t>
        </is>
      </c>
      <c r="S232" s="45" t="inlineStr">
        <is>
          <t>Нормализовано под генератор КП</t>
        </is>
      </c>
    </row>
    <row r="233">
      <c r="A233" s="42" t="inlineStr">
        <is>
          <t>SRC-0232</t>
        </is>
      </c>
      <c r="B233" s="42" t="inlineStr">
        <is>
          <t>Устройство выравнивающего слоя (5-20мм)</t>
        </is>
      </c>
      <c r="C233" s="42" t="inlineStr">
        <is>
          <t>м2</t>
        </is>
      </c>
      <c r="D233" s="42" t="inlineStr">
        <is>
          <t>250</t>
        </is>
      </c>
      <c r="E233" s="46" t="n">
        <v>250</v>
      </c>
      <c r="F233" s="42" t="inlineStr">
        <is>
          <t>работа</t>
        </is>
      </c>
      <c r="G233" s="42" t="inlineStr">
        <is>
          <t>1. Подготовка основания для пешеходных дорожек и площадок под мощение тротуарной плиткой.</t>
        </is>
      </c>
      <c r="H233" s="42" t="inlineStr">
        <is>
          <t>Мощение</t>
        </is>
      </c>
      <c r="I233" s="42" t="inlineStr">
        <is>
          <t>Мощение</t>
        </is>
      </c>
      <c r="J233" s="42" t="inlineStr">
        <is>
          <t>Мощение</t>
        </is>
      </c>
      <c r="K233" s="42" t="inlineStr">
        <is>
          <t>Работа</t>
        </is>
      </c>
      <c r="L233" s="42" t="inlineStr">
        <is>
          <t>Основание</t>
        </is>
      </c>
      <c r="M233" s="42" t="inlineStr">
        <is>
          <t>Основные работы</t>
        </is>
      </c>
      <c r="N233" s="42" t="inlineStr">
        <is>
          <t>Показать строкой</t>
        </is>
      </c>
      <c r="O233" s="42" t="inlineStr">
        <is>
          <t>Высокая</t>
        </is>
      </c>
      <c r="P233" s="47" t="inlineStr">
        <is>
          <t>RWORK-0119</t>
        </is>
      </c>
      <c r="Q233" s="47" t="inlineStr"/>
      <c r="R233" s="42" t="inlineStr">
        <is>
          <t>Нет</t>
        </is>
      </c>
      <c r="S233" s="48" t="inlineStr">
        <is>
          <t>Нормализовано под генератор КП</t>
        </is>
      </c>
    </row>
    <row r="234">
      <c r="A234" s="41" t="inlineStr">
        <is>
          <t>SRC-0233</t>
        </is>
      </c>
      <c r="B234" s="41" t="inlineStr">
        <is>
          <t>Устройство газонного ложа</t>
        </is>
      </c>
      <c r="C234" s="41" t="inlineStr">
        <is>
          <t>м2</t>
        </is>
      </c>
      <c r="D234" s="41" t="inlineStr">
        <is>
          <t>680</t>
        </is>
      </c>
      <c r="E234" s="43" t="n">
        <v>680</v>
      </c>
      <c r="F234" s="41" t="inlineStr">
        <is>
          <t>работа</t>
        </is>
      </c>
      <c r="G234" s="41" t="inlineStr">
        <is>
          <t>Устройство газона</t>
        </is>
      </c>
      <c r="H234" s="41" t="inlineStr">
        <is>
          <t>газон</t>
        </is>
      </c>
      <c r="I234" s="41" t="inlineStr">
        <is>
          <t>газон</t>
        </is>
      </c>
      <c r="J234" s="41" t="inlineStr">
        <is>
          <t>Газон</t>
        </is>
      </c>
      <c r="K234" s="41" t="inlineStr">
        <is>
          <t>Работа</t>
        </is>
      </c>
      <c r="L234" s="41" t="inlineStr">
        <is>
          <t>Газон и укладка</t>
        </is>
      </c>
      <c r="M234" s="41" t="inlineStr">
        <is>
          <t>Основные работы</t>
        </is>
      </c>
      <c r="N234" s="41" t="inlineStr">
        <is>
          <t>Показать строкой</t>
        </is>
      </c>
      <c r="O234" s="41" t="inlineStr">
        <is>
          <t>Высокая</t>
        </is>
      </c>
      <c r="P234" s="44" t="inlineStr">
        <is>
          <t>RWORK-0120</t>
        </is>
      </c>
      <c r="Q234" s="44" t="inlineStr"/>
      <c r="R234" s="41" t="inlineStr">
        <is>
          <t>Нет</t>
        </is>
      </c>
      <c r="S234" s="45" t="inlineStr">
        <is>
          <t>Нормализовано под генератор КП</t>
        </is>
      </c>
    </row>
    <row r="235">
      <c r="A235" s="42" t="inlineStr">
        <is>
          <t>SRC-0234</t>
        </is>
      </c>
      <c r="B235" s="42" t="inlineStr">
        <is>
          <t>Устройство газонного ложа для обыкновенного газона: грунт плодородный (торфогрунт:песок:дерновая земля - 1:2:3), 150мм</t>
        </is>
      </c>
      <c r="C235" s="42" t="inlineStr">
        <is>
          <t>м2</t>
        </is>
      </c>
      <c r="D235" s="42" t="inlineStr">
        <is>
          <t>195</t>
        </is>
      </c>
      <c r="E235" s="46" t="n">
        <v>195</v>
      </c>
      <c r="F235" s="42" t="inlineStr">
        <is>
          <t>работа</t>
        </is>
      </c>
      <c r="G235" s="42" t="inlineStr">
        <is>
          <t>1. Подготовка основания для пешеходных дорожек и площадок под мощение тротуарной плиткой.</t>
        </is>
      </c>
      <c r="H235" s="42" t="inlineStr">
        <is>
          <t>Мощение</t>
        </is>
      </c>
      <c r="I235" s="42" t="inlineStr">
        <is>
          <t>Мощение</t>
        </is>
      </c>
      <c r="J235" s="42" t="inlineStr">
        <is>
          <t>Мощение</t>
        </is>
      </c>
      <c r="K235" s="42" t="inlineStr">
        <is>
          <t>Работа</t>
        </is>
      </c>
      <c r="L235" s="42" t="inlineStr">
        <is>
          <t>Основание</t>
        </is>
      </c>
      <c r="M235" s="42" t="inlineStr">
        <is>
          <t>Основные работы</t>
        </is>
      </c>
      <c r="N235" s="42" t="inlineStr">
        <is>
          <t>Показать строкой</t>
        </is>
      </c>
      <c r="O235" s="42" t="inlineStr">
        <is>
          <t>Высокая</t>
        </is>
      </c>
      <c r="P235" s="47" t="inlineStr">
        <is>
          <t>RWORK-0121</t>
        </is>
      </c>
      <c r="Q235" s="47" t="inlineStr"/>
      <c r="R235" s="42" t="inlineStr">
        <is>
          <t>Нет</t>
        </is>
      </c>
      <c r="S235" s="48" t="inlineStr">
        <is>
          <t>Нормализовано под генератор КП</t>
        </is>
      </c>
    </row>
    <row r="236">
      <c r="A236" s="41" t="inlineStr">
        <is>
          <t>SRC-0235</t>
        </is>
      </c>
      <c r="B236" s="41" t="inlineStr">
        <is>
          <t>Устройство газонного ложа для обыкновенного газона: грунт плодородный (торфогрунт:песок:дерновая земля - 1:2:3), 160мм</t>
        </is>
      </c>
      <c r="C236" s="41" t="inlineStr">
        <is>
          <t>м2</t>
        </is>
      </c>
      <c r="D236" s="41" t="inlineStr">
        <is>
          <t>208</t>
        </is>
      </c>
      <c r="E236" s="43" t="n">
        <v>208</v>
      </c>
      <c r="F236" s="41" t="inlineStr">
        <is>
          <t>работа</t>
        </is>
      </c>
      <c r="G236" s="41" t="inlineStr">
        <is>
          <t>Устройство газона</t>
        </is>
      </c>
      <c r="H236" s="41" t="inlineStr">
        <is>
          <t>газон</t>
        </is>
      </c>
      <c r="I236" s="41" t="inlineStr">
        <is>
          <t>газон</t>
        </is>
      </c>
      <c r="J236" s="41" t="inlineStr">
        <is>
          <t>Газон</t>
        </is>
      </c>
      <c r="K236" s="41" t="inlineStr">
        <is>
          <t>Работа</t>
        </is>
      </c>
      <c r="L236" s="41" t="inlineStr">
        <is>
          <t>Газон и укладка</t>
        </is>
      </c>
      <c r="M236" s="41" t="inlineStr">
        <is>
          <t>Основные работы</t>
        </is>
      </c>
      <c r="N236" s="41" t="inlineStr">
        <is>
          <t>Показать строкой</t>
        </is>
      </c>
      <c r="O236" s="41" t="inlineStr">
        <is>
          <t>Высокая</t>
        </is>
      </c>
      <c r="P236" s="44" t="inlineStr">
        <is>
          <t>RWORK-0122</t>
        </is>
      </c>
      <c r="Q236" s="44" t="inlineStr"/>
      <c r="R236" s="41" t="inlineStr">
        <is>
          <t>Нет</t>
        </is>
      </c>
      <c r="S236" s="45" t="inlineStr">
        <is>
          <t>Нормализовано под генератор КП</t>
        </is>
      </c>
    </row>
    <row r="237">
      <c r="A237" s="42" t="inlineStr">
        <is>
          <t>SRC-0236</t>
        </is>
      </c>
      <c r="B237" s="42" t="inlineStr">
        <is>
          <t>Устройство гравийного покрытия</t>
        </is>
      </c>
      <c r="C237" s="42" t="inlineStr">
        <is>
          <t>м2</t>
        </is>
      </c>
      <c r="D237" s="42" t="inlineStr">
        <is>
          <t>900</t>
        </is>
      </c>
      <c r="E237" s="46" t="n">
        <v>900</v>
      </c>
      <c r="F237" s="42" t="inlineStr">
        <is>
          <t>работа</t>
        </is>
      </c>
      <c r="G237" s="42" t="inlineStr">
        <is>
          <t>Покрытия</t>
        </is>
      </c>
      <c r="H237" s="42" t="inlineStr">
        <is>
          <t>Мощение</t>
        </is>
      </c>
      <c r="I237" s="42" t="inlineStr">
        <is>
          <t>Мощение</t>
        </is>
      </c>
      <c r="J237" s="42" t="inlineStr">
        <is>
          <t>Мощение</t>
        </is>
      </c>
      <c r="K237" s="42" t="inlineStr">
        <is>
          <t>Работа</t>
        </is>
      </c>
      <c r="L237" s="42" t="inlineStr">
        <is>
          <t>Основание</t>
        </is>
      </c>
      <c r="M237" s="42" t="inlineStr">
        <is>
          <t>Основные работы</t>
        </is>
      </c>
      <c r="N237" s="42" t="inlineStr">
        <is>
          <t>Показать строкой</t>
        </is>
      </c>
      <c r="O237" s="42" t="inlineStr">
        <is>
          <t>Высокая</t>
        </is>
      </c>
      <c r="P237" s="47" t="inlineStr">
        <is>
          <t>RWORK-0123</t>
        </is>
      </c>
      <c r="Q237" s="47" t="inlineStr"/>
      <c r="R237" s="42" t="inlineStr">
        <is>
          <t>Нет</t>
        </is>
      </c>
      <c r="S237" s="48" t="inlineStr">
        <is>
          <t>Нормализовано под генератор КП</t>
        </is>
      </c>
    </row>
    <row r="238">
      <c r="A238" s="41" t="inlineStr">
        <is>
          <t>SRC-0237</t>
        </is>
      </c>
      <c r="B238" s="41" t="inlineStr">
        <is>
          <t>Устройство декинга</t>
        </is>
      </c>
      <c r="C238" s="41" t="inlineStr">
        <is>
          <t>м2</t>
        </is>
      </c>
      <c r="D238" s="41" t="inlineStr">
        <is>
          <t>6500</t>
        </is>
      </c>
      <c r="E238" s="43" t="n">
        <v>6500</v>
      </c>
      <c r="F238" s="41" t="inlineStr">
        <is>
          <t>работа</t>
        </is>
      </c>
      <c r="G238" s="41" t="inlineStr">
        <is>
          <t>Покрытия</t>
        </is>
      </c>
      <c r="H238" s="41" t="inlineStr">
        <is>
          <t>Мощение</t>
        </is>
      </c>
      <c r="I238" s="41" t="inlineStr">
        <is>
          <t>Мощение</t>
        </is>
      </c>
      <c r="J238" s="41" t="inlineStr">
        <is>
          <t>Мощение</t>
        </is>
      </c>
      <c r="K238" s="41" t="inlineStr">
        <is>
          <t>Работа</t>
        </is>
      </c>
      <c r="L238" s="41" t="inlineStr">
        <is>
          <t>Покрытие</t>
        </is>
      </c>
      <c r="M238" s="41" t="inlineStr">
        <is>
          <t>Основные работы</t>
        </is>
      </c>
      <c r="N238" s="41" t="inlineStr">
        <is>
          <t>Показать строкой</t>
        </is>
      </c>
      <c r="O238" s="41" t="inlineStr">
        <is>
          <t>Высокая</t>
        </is>
      </c>
      <c r="P238" s="44" t="inlineStr">
        <is>
          <t>RWORK-0124</t>
        </is>
      </c>
      <c r="Q238" s="44" t="inlineStr"/>
      <c r="R238" s="41" t="inlineStr">
        <is>
          <t>Нет</t>
        </is>
      </c>
      <c r="S238" s="45" t="inlineStr">
        <is>
          <t>Нормализовано под генератор КП</t>
        </is>
      </c>
    </row>
    <row r="239">
      <c r="A239" s="42" t="inlineStr">
        <is>
          <t>SRC-0238</t>
        </is>
      </c>
      <c r="B239" s="42" t="inlineStr">
        <is>
          <t>Устройство деревянной опалубки</t>
        </is>
      </c>
      <c r="C239" s="42" t="inlineStr">
        <is>
          <t>м.пог.</t>
        </is>
      </c>
      <c r="D239" s="42" t="inlineStr">
        <is>
          <t>150</t>
        </is>
      </c>
      <c r="E239" s="46" t="n">
        <v>150</v>
      </c>
      <c r="F239" s="42" t="inlineStr">
        <is>
          <t>работа</t>
        </is>
      </c>
      <c r="G239" s="42" t="inlineStr">
        <is>
          <t>дренаж</t>
        </is>
      </c>
      <c r="H239" s="42" t="inlineStr">
        <is>
          <t>дренаж</t>
        </is>
      </c>
      <c r="I239" s="42" t="inlineStr">
        <is>
          <t>дренаж</t>
        </is>
      </c>
      <c r="J239" s="42" t="inlineStr">
        <is>
          <t>Дренаж</t>
        </is>
      </c>
      <c r="K239" s="42" t="inlineStr">
        <is>
          <t>Работа</t>
        </is>
      </c>
      <c r="L239" s="42" t="inlineStr">
        <is>
          <t>Прочее по дренажу</t>
        </is>
      </c>
      <c r="M239" s="42" t="inlineStr">
        <is>
          <t>Основные работы</t>
        </is>
      </c>
      <c r="N239" s="42" t="inlineStr">
        <is>
          <t>Показать строкой</t>
        </is>
      </c>
      <c r="O239" s="42" t="inlineStr">
        <is>
          <t>Высокая</t>
        </is>
      </c>
      <c r="P239" s="47" t="inlineStr">
        <is>
          <t>RWORK-0125</t>
        </is>
      </c>
      <c r="Q239" s="47" t="inlineStr"/>
      <c r="R239" s="42" t="inlineStr">
        <is>
          <t>Нет</t>
        </is>
      </c>
      <c r="S239" s="48" t="inlineStr">
        <is>
          <t>Нормализовано под генератор КП</t>
        </is>
      </c>
    </row>
    <row r="240">
      <c r="A240" s="41" t="inlineStr">
        <is>
          <t>SRC-0239</t>
        </is>
      </c>
      <c r="B240" s="41" t="inlineStr">
        <is>
          <t>Устройство дорожных одежд в парковочной зоне с расклинцовкой, трамбовкой и проливом водой</t>
        </is>
      </c>
      <c r="C240" s="41" t="inlineStr">
        <is>
          <t>м2</t>
        </is>
      </c>
      <c r="D240" s="41" t="inlineStr">
        <is>
          <t>860</t>
        </is>
      </c>
      <c r="E240" s="43" t="n">
        <v>860</v>
      </c>
      <c r="F240" s="41" t="inlineStr">
        <is>
          <t>работа</t>
        </is>
      </c>
      <c r="G240" s="41" t="inlineStr">
        <is>
          <t>Покрытия</t>
        </is>
      </c>
      <c r="H240" s="41" t="inlineStr">
        <is>
          <t>Мощение</t>
        </is>
      </c>
      <c r="I240" s="41" t="inlineStr">
        <is>
          <t>Мощение</t>
        </is>
      </c>
      <c r="J240" s="41" t="inlineStr">
        <is>
          <t>Мощение</t>
        </is>
      </c>
      <c r="K240" s="41" t="inlineStr">
        <is>
          <t>Работа</t>
        </is>
      </c>
      <c r="L240" s="41" t="inlineStr">
        <is>
          <t>Основание</t>
        </is>
      </c>
      <c r="M240" s="41" t="inlineStr">
        <is>
          <t>Основные работы</t>
        </is>
      </c>
      <c r="N240" s="41" t="inlineStr">
        <is>
          <t>Показать строкой</t>
        </is>
      </c>
      <c r="O240" s="41" t="inlineStr">
        <is>
          <t>Высокая</t>
        </is>
      </c>
      <c r="P240" s="44" t="inlineStr">
        <is>
          <t>RWORK-0126</t>
        </is>
      </c>
      <c r="Q240" s="44" t="inlineStr"/>
      <c r="R240" s="41" t="inlineStr">
        <is>
          <t>Нет</t>
        </is>
      </c>
      <c r="S240" s="45" t="inlineStr">
        <is>
          <t>Нормализовано под генератор КП</t>
        </is>
      </c>
    </row>
    <row r="241">
      <c r="A241" s="42" t="inlineStr">
        <is>
          <t>SRC-0240</t>
        </is>
      </c>
      <c r="B241" s="42" t="inlineStr">
        <is>
          <t>Устройство дорожных одежд в пешеходной зоне с расклинцовкой, трамбовкой и проливом водой</t>
        </is>
      </c>
      <c r="C241" s="42" t="inlineStr">
        <is>
          <t>м2</t>
        </is>
      </c>
      <c r="D241" s="42" t="inlineStr">
        <is>
          <t>640</t>
        </is>
      </c>
      <c r="E241" s="46" t="n">
        <v>640</v>
      </c>
      <c r="F241" s="42" t="inlineStr">
        <is>
          <t>работа</t>
        </is>
      </c>
      <c r="G241" s="42" t="inlineStr">
        <is>
          <t>Покрытия</t>
        </is>
      </c>
      <c r="H241" s="42" t="inlineStr">
        <is>
          <t>Мощение</t>
        </is>
      </c>
      <c r="I241" s="42" t="inlineStr">
        <is>
          <t>Мощение</t>
        </is>
      </c>
      <c r="J241" s="42" t="inlineStr">
        <is>
          <t>Мощение</t>
        </is>
      </c>
      <c r="K241" s="42" t="inlineStr">
        <is>
          <t>Работа</t>
        </is>
      </c>
      <c r="L241" s="42" t="inlineStr">
        <is>
          <t>Основание</t>
        </is>
      </c>
      <c r="M241" s="42" t="inlineStr">
        <is>
          <t>Основные работы</t>
        </is>
      </c>
      <c r="N241" s="42" t="inlineStr">
        <is>
          <t>Показать строкой</t>
        </is>
      </c>
      <c r="O241" s="42" t="inlineStr">
        <is>
          <t>Высокая</t>
        </is>
      </c>
      <c r="P241" s="47" t="inlineStr">
        <is>
          <t>RWORK-0127</t>
        </is>
      </c>
      <c r="Q241" s="47" t="inlineStr"/>
      <c r="R241" s="42" t="inlineStr">
        <is>
          <t>Нет</t>
        </is>
      </c>
      <c r="S241" s="48" t="inlineStr">
        <is>
          <t>Нормализовано под генератор КП</t>
        </is>
      </c>
    </row>
    <row r="242">
      <c r="A242" s="41" t="inlineStr">
        <is>
          <t>SRC-0241</t>
        </is>
      </c>
      <c r="B242" s="41" t="inlineStr">
        <is>
          <t>Устройство дренажа на глубине 80-130см</t>
        </is>
      </c>
      <c r="C242" s="41" t="inlineStr">
        <is>
          <t>м.пог.</t>
        </is>
      </c>
      <c r="D242" s="41" t="inlineStr">
        <is>
          <t>920</t>
        </is>
      </c>
      <c r="E242" s="43" t="n">
        <v>920</v>
      </c>
      <c r="F242" s="41" t="inlineStr">
        <is>
          <t>работа</t>
        </is>
      </c>
      <c r="G242" s="41" t="inlineStr">
        <is>
          <t>дренаж</t>
        </is>
      </c>
      <c r="H242" s="41" t="inlineStr">
        <is>
          <t>дренаж</t>
        </is>
      </c>
      <c r="I242" s="41" t="inlineStr">
        <is>
          <t>дренаж</t>
        </is>
      </c>
      <c r="J242" s="41" t="inlineStr">
        <is>
          <t>Дренаж</t>
        </is>
      </c>
      <c r="K242" s="41" t="inlineStr">
        <is>
          <t>Работа</t>
        </is>
      </c>
      <c r="L242" s="41" t="inlineStr">
        <is>
          <t>Монтаж системы</t>
        </is>
      </c>
      <c r="M242" s="41" t="inlineStr">
        <is>
          <t>Основные работы</t>
        </is>
      </c>
      <c r="N242" s="41" t="inlineStr">
        <is>
          <t>Показать строкой</t>
        </is>
      </c>
      <c r="O242" s="41" t="inlineStr">
        <is>
          <t>Высокая</t>
        </is>
      </c>
      <c r="P242" s="44" t="inlineStr">
        <is>
          <t>RWORK-0128</t>
        </is>
      </c>
      <c r="Q242" s="44" t="inlineStr"/>
      <c r="R242" s="41" t="inlineStr">
        <is>
          <t>Нет</t>
        </is>
      </c>
      <c r="S242" s="45" t="inlineStr">
        <is>
          <t>Нормализовано под генератор КП</t>
        </is>
      </c>
    </row>
    <row r="243">
      <c r="A243" s="42" t="inlineStr">
        <is>
          <t>SRC-0242</t>
        </is>
      </c>
      <c r="B243" s="42" t="inlineStr">
        <is>
          <t>Устройство закладных из 3-х труб d=110 мм</t>
        </is>
      </c>
      <c r="C243" s="42" t="inlineStr">
        <is>
          <t>м.пог.</t>
        </is>
      </c>
      <c r="D243" s="42" t="inlineStr">
        <is>
          <t>500</t>
        </is>
      </c>
      <c r="E243" s="46" t="n">
        <v>500</v>
      </c>
      <c r="F243" s="42" t="inlineStr">
        <is>
          <t>работа</t>
        </is>
      </c>
      <c r="G243" s="42" t="inlineStr">
        <is>
          <t>Устройство закладных.</t>
        </is>
      </c>
      <c r="H243" s="42" t="inlineStr">
        <is>
          <t>Закладные</t>
        </is>
      </c>
      <c r="I243" s="42" t="inlineStr">
        <is>
          <t>Закладные</t>
        </is>
      </c>
      <c r="J243" s="42" t="inlineStr">
        <is>
          <t>Закладные / коммуникации</t>
        </is>
      </c>
      <c r="K243" s="42" t="inlineStr">
        <is>
          <t>Работа</t>
        </is>
      </c>
      <c r="L243" s="42" t="inlineStr">
        <is>
          <t>Закладные и проходки</t>
        </is>
      </c>
      <c r="M243" s="42" t="inlineStr">
        <is>
          <t>Основные работы</t>
        </is>
      </c>
      <c r="N243" s="42" t="inlineStr">
        <is>
          <t>Показать строкой</t>
        </is>
      </c>
      <c r="O243" s="42" t="inlineStr">
        <is>
          <t>Высокая</t>
        </is>
      </c>
      <c r="P243" s="47" t="inlineStr">
        <is>
          <t>RWORK-0129</t>
        </is>
      </c>
      <c r="Q243" s="47" t="inlineStr"/>
      <c r="R243" s="42" t="inlineStr">
        <is>
          <t>Нет</t>
        </is>
      </c>
      <c r="S243" s="48" t="inlineStr">
        <is>
          <t>Нормализовано под генератор КП</t>
        </is>
      </c>
    </row>
    <row r="244">
      <c r="A244" s="41" t="inlineStr">
        <is>
          <t>SRC-0243</t>
        </is>
      </c>
      <c r="B244" s="41" t="inlineStr">
        <is>
          <t>Устройство закладных из 3-х труб d=110мм</t>
        </is>
      </c>
      <c r="C244" s="41" t="inlineStr">
        <is>
          <t>м.пог.</t>
        </is>
      </c>
      <c r="D244" s="41" t="inlineStr">
        <is>
          <t>500</t>
        </is>
      </c>
      <c r="E244" s="43" t="n">
        <v>500</v>
      </c>
      <c r="F244" s="41" t="inlineStr">
        <is>
          <t>работа</t>
        </is>
      </c>
      <c r="G244" s="41" t="inlineStr">
        <is>
          <t>2 мощ-е - подг-ка осн-я</t>
        </is>
      </c>
      <c r="H244" s="41" t="inlineStr">
        <is>
          <t>Мощение</t>
        </is>
      </c>
      <c r="I244" s="41" t="inlineStr">
        <is>
          <t>Мощение</t>
        </is>
      </c>
      <c r="J244" s="41" t="inlineStr">
        <is>
          <t>Мощение</t>
        </is>
      </c>
      <c r="K244" s="41" t="inlineStr">
        <is>
          <t>Работа</t>
        </is>
      </c>
      <c r="L244" s="41" t="inlineStr">
        <is>
          <t>Прочее по мощению</t>
        </is>
      </c>
      <c r="M244" s="41" t="inlineStr">
        <is>
          <t>Основные работы</t>
        </is>
      </c>
      <c r="N244" s="41" t="inlineStr">
        <is>
          <t>Показать строкой</t>
        </is>
      </c>
      <c r="O244" s="41" t="inlineStr">
        <is>
          <t>Высокая</t>
        </is>
      </c>
      <c r="P244" s="44" t="inlineStr">
        <is>
          <t>RWORK-0130</t>
        </is>
      </c>
      <c r="Q244" s="44" t="inlineStr"/>
      <c r="R244" s="41" t="inlineStr">
        <is>
          <t>Нет</t>
        </is>
      </c>
      <c r="S244" s="45" t="inlineStr">
        <is>
          <t>Нормализовано под генератор КП</t>
        </is>
      </c>
    </row>
    <row r="245">
      <c r="A245" s="42" t="inlineStr">
        <is>
          <t>SRC-0244</t>
        </is>
      </c>
      <c r="B245" s="42" t="inlineStr">
        <is>
          <t>Устройство закладных под мощением</t>
        </is>
      </c>
      <c r="C245" s="42" t="inlineStr">
        <is>
          <t>м.пог.</t>
        </is>
      </c>
      <c r="D245" s="42" t="inlineStr">
        <is>
          <t>750</t>
        </is>
      </c>
      <c r="E245" s="46" t="n">
        <v>750</v>
      </c>
      <c r="F245" s="42" t="inlineStr">
        <is>
          <t>работа</t>
        </is>
      </c>
      <c r="G245" s="42" t="inlineStr">
        <is>
          <t>Устройство закладных.</t>
        </is>
      </c>
      <c r="H245" s="42" t="inlineStr">
        <is>
          <t>Закладные</t>
        </is>
      </c>
      <c r="I245" s="42" t="inlineStr">
        <is>
          <t>Закладные</t>
        </is>
      </c>
      <c r="J245" s="42" t="inlineStr">
        <is>
          <t>Закладные / коммуникации</t>
        </is>
      </c>
      <c r="K245" s="42" t="inlineStr">
        <is>
          <t>Работа</t>
        </is>
      </c>
      <c r="L245" s="42" t="inlineStr">
        <is>
          <t>Закладные и проходки</t>
        </is>
      </c>
      <c r="M245" s="42" t="inlineStr">
        <is>
          <t>Основные работы</t>
        </is>
      </c>
      <c r="N245" s="42" t="inlineStr">
        <is>
          <t>Показать строкой</t>
        </is>
      </c>
      <c r="O245" s="42" t="inlineStr">
        <is>
          <t>Высокая</t>
        </is>
      </c>
      <c r="P245" s="47" t="inlineStr">
        <is>
          <t>RWORK-0131</t>
        </is>
      </c>
      <c r="Q245" s="47" t="inlineStr"/>
      <c r="R245" s="42" t="inlineStr">
        <is>
          <t>Нет</t>
        </is>
      </c>
      <c r="S245" s="48" t="inlineStr">
        <is>
          <t>Нормализовано под генератор КП</t>
        </is>
      </c>
    </row>
    <row r="246">
      <c r="A246" s="41" t="inlineStr">
        <is>
          <t>SRC-0245</t>
        </is>
      </c>
      <c r="B246" s="41" t="inlineStr">
        <is>
          <t>Устройство ливневой системы (монтаж трубы d110мм с уклоном, средняя глубина 700мм), копка и обратная засыпка траншеи</t>
        </is>
      </c>
      <c r="C246" s="41" t="inlineStr">
        <is>
          <t>м.пог.</t>
        </is>
      </c>
      <c r="D246" s="41" t="inlineStr">
        <is>
          <t>1800</t>
        </is>
      </c>
      <c r="E246" s="43" t="n">
        <v>1800</v>
      </c>
      <c r="F246" s="41" t="inlineStr">
        <is>
          <t>работа</t>
        </is>
      </c>
      <c r="G246" s="41" t="inlineStr">
        <is>
          <t>Ливневая система</t>
        </is>
      </c>
      <c r="H246" s="41" t="inlineStr">
        <is>
          <t>ливневка</t>
        </is>
      </c>
      <c r="I246" s="41" t="inlineStr">
        <is>
          <t>ливневка</t>
        </is>
      </c>
      <c r="J246" s="41" t="inlineStr">
        <is>
          <t>Ливневая канализация</t>
        </is>
      </c>
      <c r="K246" s="41" t="inlineStr">
        <is>
          <t>Работа</t>
        </is>
      </c>
      <c r="L246" s="41" t="inlineStr">
        <is>
          <t>Монтаж системы</t>
        </is>
      </c>
      <c r="M246" s="41" t="inlineStr">
        <is>
          <t>Основные работы</t>
        </is>
      </c>
      <c r="N246" s="41" t="inlineStr">
        <is>
          <t>Показать строкой</t>
        </is>
      </c>
      <c r="O246" s="41" t="inlineStr">
        <is>
          <t>Высокая</t>
        </is>
      </c>
      <c r="P246" s="44" t="inlineStr">
        <is>
          <t>RWORK-0132</t>
        </is>
      </c>
      <c r="Q246" s="44" t="inlineStr"/>
      <c r="R246" s="41" t="inlineStr">
        <is>
          <t>Нет</t>
        </is>
      </c>
      <c r="S246" s="45" t="inlineStr">
        <is>
          <t>Нормализовано под генератор КП</t>
        </is>
      </c>
    </row>
    <row r="247">
      <c r="A247" s="42" t="inlineStr">
        <is>
          <t>SRC-0246</t>
        </is>
      </c>
      <c r="B247" s="42" t="inlineStr">
        <is>
          <t>Устройство ливневой системы водоотвода (глубина 700мм)</t>
        </is>
      </c>
      <c r="C247" s="42" t="inlineStr">
        <is>
          <t>м.пог.</t>
        </is>
      </c>
      <c r="D247" s="42" t="inlineStr">
        <is>
          <t>600</t>
        </is>
      </c>
      <c r="E247" s="46" t="n">
        <v>600</v>
      </c>
      <c r="F247" s="42" t="inlineStr">
        <is>
          <t>работа</t>
        </is>
      </c>
      <c r="G247" s="42" t="inlineStr">
        <is>
          <t>1. Подготовка основания для пешеходных дорожек и площадок под мощение тротуарной плиткой.</t>
        </is>
      </c>
      <c r="H247" s="42" t="inlineStr">
        <is>
          <t>Мощение</t>
        </is>
      </c>
      <c r="I247" s="42" t="inlineStr">
        <is>
          <t>Мощение</t>
        </is>
      </c>
      <c r="J247" s="42" t="inlineStr">
        <is>
          <t>Мощение</t>
        </is>
      </c>
      <c r="K247" s="42" t="inlineStr">
        <is>
          <t>Работа</t>
        </is>
      </c>
      <c r="L247" s="42" t="inlineStr">
        <is>
          <t>Водоотвод в зоне мощения</t>
        </is>
      </c>
      <c r="M247" s="42" t="inlineStr">
        <is>
          <t>Основные работы</t>
        </is>
      </c>
      <c r="N247" s="42" t="inlineStr">
        <is>
          <t>Показать строкой</t>
        </is>
      </c>
      <c r="O247" s="42" t="inlineStr">
        <is>
          <t>Высокая</t>
        </is>
      </c>
      <c r="P247" s="47" t="inlineStr">
        <is>
          <t>RWORK-0133</t>
        </is>
      </c>
      <c r="Q247" s="47" t="inlineStr"/>
      <c r="R247" s="42" t="inlineStr">
        <is>
          <t>Нет</t>
        </is>
      </c>
      <c r="S247" s="48" t="inlineStr">
        <is>
          <t>Нормализовано под генератор КП</t>
        </is>
      </c>
    </row>
    <row r="248">
      <c r="A248" s="41" t="inlineStr">
        <is>
          <t>SRC-0247</t>
        </is>
      </c>
      <c r="B248" s="41" t="inlineStr">
        <is>
          <t>Устройство монтажного слоя из отсева (4см)</t>
        </is>
      </c>
      <c r="C248" s="41" t="inlineStr">
        <is>
          <t>м2</t>
        </is>
      </c>
      <c r="D248" s="41" t="inlineStr">
        <is>
          <t>70</t>
        </is>
      </c>
      <c r="E248" s="43" t="n">
        <v>70</v>
      </c>
      <c r="F248" s="41" t="inlineStr">
        <is>
          <t>работа</t>
        </is>
      </c>
      <c r="G248" s="41" t="inlineStr">
        <is>
          <t>дренаж</t>
        </is>
      </c>
      <c r="H248" s="41" t="inlineStr">
        <is>
          <t>Мощение</t>
        </is>
      </c>
      <c r="I248" s="41" t="inlineStr">
        <is>
          <t>Мощение</t>
        </is>
      </c>
      <c r="J248" s="41" t="inlineStr">
        <is>
          <t>Мощение</t>
        </is>
      </c>
      <c r="K248" s="41" t="inlineStr">
        <is>
          <t>Работа</t>
        </is>
      </c>
      <c r="L248" s="41" t="inlineStr">
        <is>
          <t>Основание</t>
        </is>
      </c>
      <c r="M248" s="41" t="inlineStr">
        <is>
          <t>Основные работы</t>
        </is>
      </c>
      <c r="N248" s="41" t="inlineStr">
        <is>
          <t>Показать строкой</t>
        </is>
      </c>
      <c r="O248" s="41" t="inlineStr">
        <is>
          <t>Высокая</t>
        </is>
      </c>
      <c r="P248" s="44" t="inlineStr">
        <is>
          <t>RWORK-0134</t>
        </is>
      </c>
      <c r="Q248" s="44" t="inlineStr"/>
      <c r="R248" s="41" t="inlineStr">
        <is>
          <t>Нет</t>
        </is>
      </c>
      <c r="S248" s="45" t="inlineStr">
        <is>
          <t>Нормализовано под генератор КП</t>
        </is>
      </c>
    </row>
    <row r="249">
      <c r="A249" s="42" t="inlineStr">
        <is>
          <t>SRC-0248</t>
        </is>
      </c>
      <c r="B249" s="42" t="inlineStr">
        <is>
          <t>Устройство монтажного слоя из отсева (70мм)</t>
        </is>
      </c>
      <c r="C249" s="42" t="inlineStr">
        <is>
          <t>м2</t>
        </is>
      </c>
      <c r="D249" s="42" t="inlineStr">
        <is>
          <t>230</t>
        </is>
      </c>
      <c r="E249" s="46" t="n">
        <v>230</v>
      </c>
      <c r="F249" s="42" t="inlineStr">
        <is>
          <t>работа</t>
        </is>
      </c>
      <c r="G249" s="42" t="inlineStr">
        <is>
          <t>Покрытия</t>
        </is>
      </c>
      <c r="H249" s="42" t="inlineStr">
        <is>
          <t>Мощение</t>
        </is>
      </c>
      <c r="I249" s="42" t="inlineStr">
        <is>
          <t>Мощение</t>
        </is>
      </c>
      <c r="J249" s="42" t="inlineStr">
        <is>
          <t>Мощение</t>
        </is>
      </c>
      <c r="K249" s="42" t="inlineStr">
        <is>
          <t>Работа</t>
        </is>
      </c>
      <c r="L249" s="42" t="inlineStr">
        <is>
          <t>Основание</t>
        </is>
      </c>
      <c r="M249" s="42" t="inlineStr">
        <is>
          <t>Основные работы</t>
        </is>
      </c>
      <c r="N249" s="42" t="inlineStr">
        <is>
          <t>Показать строкой</t>
        </is>
      </c>
      <c r="O249" s="42" t="inlineStr">
        <is>
          <t>Высокая</t>
        </is>
      </c>
      <c r="P249" s="47" t="inlineStr">
        <is>
          <t>RWORK-0135</t>
        </is>
      </c>
      <c r="Q249" s="47" t="inlineStr"/>
      <c r="R249" s="42" t="inlineStr">
        <is>
          <t>Нет</t>
        </is>
      </c>
      <c r="S249" s="48" t="inlineStr">
        <is>
          <t>Нормализовано под генератор КП</t>
        </is>
      </c>
    </row>
    <row r="250">
      <c r="A250" s="41" t="inlineStr">
        <is>
          <t>SRC-0249</t>
        </is>
      </c>
      <c r="B250" s="41" t="inlineStr">
        <is>
          <t>Устройство монтажного слоя из отсева с добавлением цемента (40мм)</t>
        </is>
      </c>
      <c r="C250" s="41" t="inlineStr">
        <is>
          <t>м2</t>
        </is>
      </c>
      <c r="D250" s="41" t="inlineStr">
        <is>
          <t>220</t>
        </is>
      </c>
      <c r="E250" s="43" t="n">
        <v>220</v>
      </c>
      <c r="F250" s="41" t="inlineStr">
        <is>
          <t>работа</t>
        </is>
      </c>
      <c r="G250" s="41" t="inlineStr">
        <is>
          <t>Покрытия</t>
        </is>
      </c>
      <c r="H250" s="41" t="inlineStr">
        <is>
          <t>Мощение</t>
        </is>
      </c>
      <c r="I250" s="41" t="inlineStr">
        <is>
          <t>Мощение</t>
        </is>
      </c>
      <c r="J250" s="41" t="inlineStr">
        <is>
          <t>Мощение</t>
        </is>
      </c>
      <c r="K250" s="41" t="inlineStr">
        <is>
          <t>Работа</t>
        </is>
      </c>
      <c r="L250" s="41" t="inlineStr">
        <is>
          <t>Бетон и конструктив</t>
        </is>
      </c>
      <c r="M250" s="41" t="inlineStr">
        <is>
          <t>Основные работы</t>
        </is>
      </c>
      <c r="N250" s="41" t="inlineStr">
        <is>
          <t>Показать строкой</t>
        </is>
      </c>
      <c r="O250" s="41" t="inlineStr">
        <is>
          <t>Высокая</t>
        </is>
      </c>
      <c r="P250" s="44" t="inlineStr">
        <is>
          <t>RWORK-0136</t>
        </is>
      </c>
      <c r="Q250" s="44" t="inlineStr"/>
      <c r="R250" s="41" t="inlineStr">
        <is>
          <t>Нет</t>
        </is>
      </c>
      <c r="S250" s="45" t="inlineStr">
        <is>
          <t>Нормализовано под генератор КП</t>
        </is>
      </c>
    </row>
    <row r="251">
      <c r="A251" s="42" t="inlineStr">
        <is>
          <t>SRC-0250</t>
        </is>
      </c>
      <c r="B251" s="42" t="inlineStr">
        <is>
          <t>Устройство набивного финишного покрытия из гравия (40мм) с мытьем</t>
        </is>
      </c>
      <c r="C251" s="42" t="inlineStr">
        <is>
          <t>м2</t>
        </is>
      </c>
      <c r="D251" s="42" t="inlineStr">
        <is>
          <t>200</t>
        </is>
      </c>
      <c r="E251" s="46" t="n">
        <v>200</v>
      </c>
      <c r="F251" s="42" t="inlineStr">
        <is>
          <t>работа</t>
        </is>
      </c>
      <c r="G251" s="42" t="inlineStr">
        <is>
          <t>1. Подготовка основания для пешеходных дорожек и площадок под мощение тротуарной плиткой.</t>
        </is>
      </c>
      <c r="H251" s="42" t="inlineStr">
        <is>
          <t>Мощение</t>
        </is>
      </c>
      <c r="I251" s="42" t="inlineStr">
        <is>
          <t>Мощение</t>
        </is>
      </c>
      <c r="J251" s="42" t="inlineStr">
        <is>
          <t>Мощение</t>
        </is>
      </c>
      <c r="K251" s="42" t="inlineStr">
        <is>
          <t>Работа</t>
        </is>
      </c>
      <c r="L251" s="42" t="inlineStr">
        <is>
          <t>Прочее по мощению</t>
        </is>
      </c>
      <c r="M251" s="42" t="inlineStr">
        <is>
          <t>Основные работы</t>
        </is>
      </c>
      <c r="N251" s="42" t="inlineStr">
        <is>
          <t>Показать строкой</t>
        </is>
      </c>
      <c r="O251" s="42" t="inlineStr">
        <is>
          <t>Высокая</t>
        </is>
      </c>
      <c r="P251" s="47" t="inlineStr">
        <is>
          <t>RWORK-0137</t>
        </is>
      </c>
      <c r="Q251" s="47" t="inlineStr"/>
      <c r="R251" s="42" t="inlineStr">
        <is>
          <t>Нет</t>
        </is>
      </c>
      <c r="S251" s="48" t="inlineStr">
        <is>
          <t>Нормализовано под генератор КП</t>
        </is>
      </c>
    </row>
    <row r="252">
      <c r="A252" s="41" t="inlineStr">
        <is>
          <t>SRC-0251</t>
        </is>
      </c>
      <c r="B252" s="41" t="inlineStr">
        <is>
          <t>Устройство набивного финишного покрытия из отсева (40мм)</t>
        </is>
      </c>
      <c r="C252" s="41" t="inlineStr">
        <is>
          <t>м2</t>
        </is>
      </c>
      <c r="D252" s="41" t="inlineStr">
        <is>
          <t>130</t>
        </is>
      </c>
      <c r="E252" s="43" t="n">
        <v>130</v>
      </c>
      <c r="F252" s="41" t="inlineStr">
        <is>
          <t>работа</t>
        </is>
      </c>
      <c r="G252" s="41" t="inlineStr">
        <is>
          <t>1. Подготовка основания для пешеходных дорожек и площадок под мощение тротуарной плиткой.</t>
        </is>
      </c>
      <c r="H252" s="41" t="inlineStr">
        <is>
          <t>Мощение</t>
        </is>
      </c>
      <c r="I252" s="41" t="inlineStr">
        <is>
          <t>Мощение</t>
        </is>
      </c>
      <c r="J252" s="41" t="inlineStr">
        <is>
          <t>Мощение</t>
        </is>
      </c>
      <c r="K252" s="41" t="inlineStr">
        <is>
          <t>Работа</t>
        </is>
      </c>
      <c r="L252" s="41" t="inlineStr">
        <is>
          <t>Основание</t>
        </is>
      </c>
      <c r="M252" s="41" t="inlineStr">
        <is>
          <t>Основные работы</t>
        </is>
      </c>
      <c r="N252" s="41" t="inlineStr">
        <is>
          <t>Показать строкой</t>
        </is>
      </c>
      <c r="O252" s="41" t="inlineStr">
        <is>
          <t>Высокая</t>
        </is>
      </c>
      <c r="P252" s="44" t="inlineStr">
        <is>
          <t>RWORK-0138</t>
        </is>
      </c>
      <c r="Q252" s="44" t="inlineStr"/>
      <c r="R252" s="41" t="inlineStr">
        <is>
          <t>Нет</t>
        </is>
      </c>
      <c r="S252" s="45" t="inlineStr">
        <is>
          <t>Нормализовано под генератор КП</t>
        </is>
      </c>
    </row>
    <row r="253">
      <c r="A253" s="42" t="inlineStr">
        <is>
          <t>SRC-0252</t>
        </is>
      </c>
      <c r="B253" s="42" t="inlineStr">
        <is>
          <t>Устройство несущего щебнистого слоя (120мм) из щебня 20-40мм с проливом водой и трамбовкой с расклинцовкой щебнем 5-20мм</t>
        </is>
      </c>
      <c r="C253" s="42" t="inlineStr">
        <is>
          <t>м2</t>
        </is>
      </c>
      <c r="D253" s="42" t="inlineStr">
        <is>
          <t>289</t>
        </is>
      </c>
      <c r="E253" s="46" t="n">
        <v>289</v>
      </c>
      <c r="F253" s="42" t="inlineStr">
        <is>
          <t>работа</t>
        </is>
      </c>
      <c r="G253" s="42" t="inlineStr">
        <is>
          <t>2 мощ-е - подг-ка осн-я</t>
        </is>
      </c>
      <c r="H253" s="42" t="inlineStr">
        <is>
          <t>Мощение</t>
        </is>
      </c>
      <c r="I253" s="42" t="inlineStr">
        <is>
          <t>Мощение</t>
        </is>
      </c>
      <c r="J253" s="42" t="inlineStr">
        <is>
          <t>Мощение</t>
        </is>
      </c>
      <c r="K253" s="42" t="inlineStr">
        <is>
          <t>Работа</t>
        </is>
      </c>
      <c r="L253" s="42" t="inlineStr">
        <is>
          <t>Основание</t>
        </is>
      </c>
      <c r="M253" s="42" t="inlineStr">
        <is>
          <t>Основные работы</t>
        </is>
      </c>
      <c r="N253" s="42" t="inlineStr">
        <is>
          <t>Показать строкой</t>
        </is>
      </c>
      <c r="O253" s="42" t="inlineStr">
        <is>
          <t>Высокая</t>
        </is>
      </c>
      <c r="P253" s="47" t="inlineStr">
        <is>
          <t>RWORK-0139</t>
        </is>
      </c>
      <c r="Q253" s="47" t="inlineStr"/>
      <c r="R253" s="42" t="inlineStr">
        <is>
          <t>Нет</t>
        </is>
      </c>
      <c r="S253" s="48" t="inlineStr">
        <is>
          <t>Нормализовано под генератор КП</t>
        </is>
      </c>
    </row>
    <row r="254">
      <c r="A254" s="41" t="inlineStr">
        <is>
          <t>SRC-0253</t>
        </is>
      </c>
      <c r="B254" s="41" t="inlineStr">
        <is>
          <t>Устройство несущего щебнистого слоя (150мм) из щебня 20-40мм с проливом водой и трамбовкой с расклинцовкой щебнем 5-20мм</t>
        </is>
      </c>
      <c r="C254" s="41" t="inlineStr">
        <is>
          <t>м2</t>
        </is>
      </c>
      <c r="D254" s="41" t="inlineStr">
        <is>
          <t>480</t>
        </is>
      </c>
      <c r="E254" s="43" t="n">
        <v>480</v>
      </c>
      <c r="F254" s="41" t="inlineStr">
        <is>
          <t>работа</t>
        </is>
      </c>
      <c r="G254" s="41" t="inlineStr">
        <is>
          <t>2 мощ-е - подг-ка осн-я</t>
        </is>
      </c>
      <c r="H254" s="41" t="inlineStr">
        <is>
          <t>Мощение</t>
        </is>
      </c>
      <c r="I254" s="41" t="inlineStr">
        <is>
          <t>Мощение</t>
        </is>
      </c>
      <c r="J254" s="41" t="inlineStr">
        <is>
          <t>Мощение</t>
        </is>
      </c>
      <c r="K254" s="41" t="inlineStr">
        <is>
          <t>Работа</t>
        </is>
      </c>
      <c r="L254" s="41" t="inlineStr">
        <is>
          <t>Основание</t>
        </is>
      </c>
      <c r="M254" s="41" t="inlineStr">
        <is>
          <t>Основные работы</t>
        </is>
      </c>
      <c r="N254" s="41" t="inlineStr">
        <is>
          <t>Показать строкой</t>
        </is>
      </c>
      <c r="O254" s="41" t="inlineStr">
        <is>
          <t>Высокая</t>
        </is>
      </c>
      <c r="P254" s="44" t="inlineStr">
        <is>
          <t>RWORK-0140</t>
        </is>
      </c>
      <c r="Q254" s="44" t="inlineStr"/>
      <c r="R254" s="41" t="inlineStr">
        <is>
          <t>Нет</t>
        </is>
      </c>
      <c r="S254" s="45" t="inlineStr">
        <is>
          <t>Нормализовано под генератор КП</t>
        </is>
      </c>
    </row>
    <row r="255">
      <c r="A255" s="42" t="inlineStr">
        <is>
          <t>SRC-0254</t>
        </is>
      </c>
      <c r="B255" s="42" t="inlineStr">
        <is>
          <t>Устройство несущего щебнистого слоя (150мм) из щебня 20-40мм с проливом водой и трамбовкой с расклинцовкой щебнем 5-20мм (пешеходная зона)</t>
        </is>
      </c>
      <c r="C255" s="42" t="inlineStr">
        <is>
          <t>м2</t>
        </is>
      </c>
      <c r="D255" s="42" t="inlineStr">
        <is>
          <t>400</t>
        </is>
      </c>
      <c r="E255" s="46" t="n">
        <v>400</v>
      </c>
      <c r="F255" s="42" t="inlineStr">
        <is>
          <t>работа</t>
        </is>
      </c>
      <c r="G255" s="42" t="inlineStr">
        <is>
          <t>дренаж</t>
        </is>
      </c>
      <c r="H255" s="42" t="inlineStr">
        <is>
          <t>Мощение</t>
        </is>
      </c>
      <c r="I255" s="42" t="inlineStr">
        <is>
          <t>Мощение</t>
        </is>
      </c>
      <c r="J255" s="42" t="inlineStr">
        <is>
          <t>Мощение</t>
        </is>
      </c>
      <c r="K255" s="42" t="inlineStr">
        <is>
          <t>Работа</t>
        </is>
      </c>
      <c r="L255" s="42" t="inlineStr">
        <is>
          <t>Основание</t>
        </is>
      </c>
      <c r="M255" s="42" t="inlineStr">
        <is>
          <t>Основные работы</t>
        </is>
      </c>
      <c r="N255" s="42" t="inlineStr">
        <is>
          <t>Показать строкой</t>
        </is>
      </c>
      <c r="O255" s="42" t="inlineStr">
        <is>
          <t>Высокая</t>
        </is>
      </c>
      <c r="P255" s="47" t="inlineStr">
        <is>
          <t>RWORK-0141</t>
        </is>
      </c>
      <c r="Q255" s="47" t="inlineStr"/>
      <c r="R255" s="42" t="inlineStr">
        <is>
          <t>Нет</t>
        </is>
      </c>
      <c r="S255" s="48" t="inlineStr">
        <is>
          <t>Нормализовано под генератор КП</t>
        </is>
      </c>
    </row>
    <row r="256">
      <c r="A256" s="41" t="inlineStr">
        <is>
          <t>SRC-0255</t>
        </is>
      </c>
      <c r="B256" s="41" t="inlineStr">
        <is>
          <t>Устройство несущего щебнистого слоя (250мм) под пешеходное мощение из щебня 20-40мм с проливом водой и трамбовкой с расклинцовкой щебнем 5-20мм</t>
        </is>
      </c>
      <c r="C256" s="41" t="inlineStr">
        <is>
          <t>м2</t>
        </is>
      </c>
      <c r="D256" s="41" t="inlineStr">
        <is>
          <t>510</t>
        </is>
      </c>
      <c r="E256" s="43" t="n">
        <v>510</v>
      </c>
      <c r="F256" s="41" t="inlineStr">
        <is>
          <t>работа</t>
        </is>
      </c>
      <c r="G256" s="41" t="inlineStr">
        <is>
          <t>2 мощ-е - подг-ка осн-я</t>
        </is>
      </c>
      <c r="H256" s="41" t="inlineStr">
        <is>
          <t>Мощение</t>
        </is>
      </c>
      <c r="I256" s="41" t="inlineStr">
        <is>
          <t>Мощение</t>
        </is>
      </c>
      <c r="J256" s="41" t="inlineStr">
        <is>
          <t>Мощение</t>
        </is>
      </c>
      <c r="K256" s="41" t="inlineStr">
        <is>
          <t>Работа</t>
        </is>
      </c>
      <c r="L256" s="41" t="inlineStr">
        <is>
          <t>Покрытие</t>
        </is>
      </c>
      <c r="M256" s="41" t="inlineStr">
        <is>
          <t>Основные работы</t>
        </is>
      </c>
      <c r="N256" s="41" t="inlineStr">
        <is>
          <t>Показать строкой</t>
        </is>
      </c>
      <c r="O256" s="41" t="inlineStr">
        <is>
          <t>Высокая</t>
        </is>
      </c>
      <c r="P256" s="44" t="inlineStr">
        <is>
          <t>RWORK-0142</t>
        </is>
      </c>
      <c r="Q256" s="44" t="inlineStr"/>
      <c r="R256" s="41" t="inlineStr">
        <is>
          <t>Нет</t>
        </is>
      </c>
      <c r="S256" s="45" t="inlineStr">
        <is>
          <t>Нормализовано под генератор КП</t>
        </is>
      </c>
    </row>
    <row r="257">
      <c r="A257" s="42" t="inlineStr">
        <is>
          <t>SRC-0256</t>
        </is>
      </c>
      <c r="B257" s="42" t="inlineStr">
        <is>
          <t>Устройство ограничительного бордюра из металлического уголка 50*50мм</t>
        </is>
      </c>
      <c r="C257" s="42" t="inlineStr">
        <is>
          <t>м.пог.</t>
        </is>
      </c>
      <c r="D257" s="42" t="inlineStr">
        <is>
          <t>700</t>
        </is>
      </c>
      <c r="E257" s="46" t="n">
        <v>700</v>
      </c>
      <c r="F257" s="42" t="inlineStr">
        <is>
          <t>работа</t>
        </is>
      </c>
      <c r="G257" s="42" t="inlineStr">
        <is>
          <t>2 мощ-е - подг-ка осн-я</t>
        </is>
      </c>
      <c r="H257" s="42" t="inlineStr">
        <is>
          <t>Мощение</t>
        </is>
      </c>
      <c r="I257" s="42" t="inlineStr">
        <is>
          <t>Мощение</t>
        </is>
      </c>
      <c r="J257" s="42" t="inlineStr">
        <is>
          <t>Мощение</t>
        </is>
      </c>
      <c r="K257" s="42" t="inlineStr">
        <is>
          <t>Работа</t>
        </is>
      </c>
      <c r="L257" s="42" t="inlineStr">
        <is>
          <t>Бордюры и ограничения</t>
        </is>
      </c>
      <c r="M257" s="42" t="inlineStr">
        <is>
          <t>Основные работы</t>
        </is>
      </c>
      <c r="N257" s="42" t="inlineStr">
        <is>
          <t>Показать строкой</t>
        </is>
      </c>
      <c r="O257" s="42" t="inlineStr">
        <is>
          <t>Высокая</t>
        </is>
      </c>
      <c r="P257" s="47" t="inlineStr">
        <is>
          <t>RWORK-0143</t>
        </is>
      </c>
      <c r="Q257" s="47" t="inlineStr"/>
      <c r="R257" s="42" t="inlineStr">
        <is>
          <t>Нет</t>
        </is>
      </c>
      <c r="S257" s="48" t="inlineStr">
        <is>
          <t>Нормализовано под генератор КП</t>
        </is>
      </c>
    </row>
    <row r="258">
      <c r="A258" s="41" t="inlineStr">
        <is>
          <t>SRC-0257</t>
        </is>
      </c>
      <c r="B258" s="41" t="inlineStr">
        <is>
          <t>Устройство песчаного слоя (100мм)</t>
        </is>
      </c>
      <c r="C258" s="41" t="inlineStr">
        <is>
          <t>м2</t>
        </is>
      </c>
      <c r="D258" s="41" t="inlineStr">
        <is>
          <t>120</t>
        </is>
      </c>
      <c r="E258" s="43" t="n">
        <v>120</v>
      </c>
      <c r="F258" s="41" t="inlineStr">
        <is>
          <t>работа</t>
        </is>
      </c>
      <c r="G258" s="41" t="inlineStr">
        <is>
          <t>1. Подготовка основания для пешеходных дорожек и площадок под мощение тротуарной плиткой.</t>
        </is>
      </c>
      <c r="H258" s="41" t="inlineStr">
        <is>
          <t>Мощение</t>
        </is>
      </c>
      <c r="I258" s="41" t="inlineStr">
        <is>
          <t>Мощение</t>
        </is>
      </c>
      <c r="J258" s="41" t="inlineStr">
        <is>
          <t>Мощение</t>
        </is>
      </c>
      <c r="K258" s="41" t="inlineStr">
        <is>
          <t>Работа</t>
        </is>
      </c>
      <c r="L258" s="41" t="inlineStr">
        <is>
          <t>Основание</t>
        </is>
      </c>
      <c r="M258" s="41" t="inlineStr">
        <is>
          <t>Основные работы</t>
        </is>
      </c>
      <c r="N258" s="41" t="inlineStr">
        <is>
          <t>Показать строкой</t>
        </is>
      </c>
      <c r="O258" s="41" t="inlineStr">
        <is>
          <t>Высокая</t>
        </is>
      </c>
      <c r="P258" s="44" t="inlineStr">
        <is>
          <t>RWORK-0144</t>
        </is>
      </c>
      <c r="Q258" s="44" t="inlineStr"/>
      <c r="R258" s="41" t="inlineStr">
        <is>
          <t>Нет</t>
        </is>
      </c>
      <c r="S258" s="45" t="inlineStr">
        <is>
          <t>Нормализовано под генератор КП</t>
        </is>
      </c>
    </row>
    <row r="259">
      <c r="A259" s="42" t="inlineStr">
        <is>
          <t>SRC-0258</t>
        </is>
      </c>
      <c r="B259" s="42" t="inlineStr">
        <is>
          <t>Устройство песчаного слоя (150мм)</t>
        </is>
      </c>
      <c r="C259" s="42" t="inlineStr">
        <is>
          <t>м2</t>
        </is>
      </c>
      <c r="D259" s="42" t="inlineStr">
        <is>
          <t>165</t>
        </is>
      </c>
      <c r="E259" s="46" t="n">
        <v>165</v>
      </c>
      <c r="F259" s="42" t="inlineStr">
        <is>
          <t>работа</t>
        </is>
      </c>
      <c r="G259" s="42" t="inlineStr">
        <is>
          <t>1. Подготовка основания для пешеходных дорожек и площадок под мощение тротуарной плиткой.</t>
        </is>
      </c>
      <c r="H259" s="42" t="inlineStr">
        <is>
          <t>Мощение</t>
        </is>
      </c>
      <c r="I259" s="42" t="inlineStr">
        <is>
          <t>Мощение</t>
        </is>
      </c>
      <c r="J259" s="42" t="inlineStr">
        <is>
          <t>Мощение</t>
        </is>
      </c>
      <c r="K259" s="42" t="inlineStr">
        <is>
          <t>Работа</t>
        </is>
      </c>
      <c r="L259" s="42" t="inlineStr">
        <is>
          <t>Основание</t>
        </is>
      </c>
      <c r="M259" s="42" t="inlineStr">
        <is>
          <t>Основные работы</t>
        </is>
      </c>
      <c r="N259" s="42" t="inlineStr">
        <is>
          <t>Показать строкой</t>
        </is>
      </c>
      <c r="O259" s="42" t="inlineStr">
        <is>
          <t>Высокая</t>
        </is>
      </c>
      <c r="P259" s="47" t="inlineStr">
        <is>
          <t>RWORK-0145</t>
        </is>
      </c>
      <c r="Q259" s="47" t="inlineStr"/>
      <c r="R259" s="42" t="inlineStr">
        <is>
          <t>Нет</t>
        </is>
      </c>
      <c r="S259" s="48" t="inlineStr">
        <is>
          <t>Нормализовано под генератор КП</t>
        </is>
      </c>
    </row>
    <row r="260">
      <c r="A260" s="41" t="inlineStr">
        <is>
          <t>SRC-0259</t>
        </is>
      </c>
      <c r="B260" s="41" t="inlineStr">
        <is>
          <t>Устройство песчаного слоя (180мм)</t>
        </is>
      </c>
      <c r="C260" s="41" t="inlineStr">
        <is>
          <t>м2</t>
        </is>
      </c>
      <c r="D260" s="41" t="inlineStr">
        <is>
          <t>198</t>
        </is>
      </c>
      <c r="E260" s="43" t="n">
        <v>198</v>
      </c>
      <c r="F260" s="41" t="inlineStr">
        <is>
          <t>работа</t>
        </is>
      </c>
      <c r="G260" s="41" t="inlineStr">
        <is>
          <t>2 мощ-е - подг-ка осн-я</t>
        </is>
      </c>
      <c r="H260" s="41" t="inlineStr">
        <is>
          <t>Мощение</t>
        </is>
      </c>
      <c r="I260" s="41" t="inlineStr">
        <is>
          <t>Мощение</t>
        </is>
      </c>
      <c r="J260" s="41" t="inlineStr">
        <is>
          <t>Мощение</t>
        </is>
      </c>
      <c r="K260" s="41" t="inlineStr">
        <is>
          <t>Работа</t>
        </is>
      </c>
      <c r="L260" s="41" t="inlineStr">
        <is>
          <t>Основание</t>
        </is>
      </c>
      <c r="M260" s="41" t="inlineStr">
        <is>
          <t>Основные работы</t>
        </is>
      </c>
      <c r="N260" s="41" t="inlineStr">
        <is>
          <t>Показать строкой</t>
        </is>
      </c>
      <c r="O260" s="41" t="inlineStr">
        <is>
          <t>Высокая</t>
        </is>
      </c>
      <c r="P260" s="44" t="inlineStr">
        <is>
          <t>RWORK-0146</t>
        </is>
      </c>
      <c r="Q260" s="44" t="inlineStr"/>
      <c r="R260" s="41" t="inlineStr">
        <is>
          <t>Нет</t>
        </is>
      </c>
      <c r="S260" s="45" t="inlineStr">
        <is>
          <t>Нормализовано под генератор КП</t>
        </is>
      </c>
    </row>
    <row r="261">
      <c r="A261" s="42" t="inlineStr">
        <is>
          <t>SRC-0260</t>
        </is>
      </c>
      <c r="B261" s="42" t="inlineStr">
        <is>
          <t>Устройство песчаного слоя (230мм)</t>
        </is>
      </c>
      <c r="C261" s="42" t="inlineStr">
        <is>
          <t>м2</t>
        </is>
      </c>
      <c r="D261" s="42" t="inlineStr">
        <is>
          <t>253</t>
        </is>
      </c>
      <c r="E261" s="46" t="n">
        <v>253</v>
      </c>
      <c r="F261" s="42" t="inlineStr">
        <is>
          <t>работа</t>
        </is>
      </c>
      <c r="G261" s="42" t="inlineStr">
        <is>
          <t>1. Подготовка основания для пешеходных дорожек и площадок под мощение тротуарной плиткой.</t>
        </is>
      </c>
      <c r="H261" s="42" t="inlineStr">
        <is>
          <t>Мощение</t>
        </is>
      </c>
      <c r="I261" s="42" t="inlineStr">
        <is>
          <t>Мощение</t>
        </is>
      </c>
      <c r="J261" s="42" t="inlineStr">
        <is>
          <t>Мощение</t>
        </is>
      </c>
      <c r="K261" s="42" t="inlineStr">
        <is>
          <t>Работа</t>
        </is>
      </c>
      <c r="L261" s="42" t="inlineStr">
        <is>
          <t>Основание</t>
        </is>
      </c>
      <c r="M261" s="42" t="inlineStr">
        <is>
          <t>Основные работы</t>
        </is>
      </c>
      <c r="N261" s="42" t="inlineStr">
        <is>
          <t>Показать строкой</t>
        </is>
      </c>
      <c r="O261" s="42" t="inlineStr">
        <is>
          <t>Высокая</t>
        </is>
      </c>
      <c r="P261" s="47" t="inlineStr">
        <is>
          <t>RWORK-0147</t>
        </is>
      </c>
      <c r="Q261" s="47" t="inlineStr"/>
      <c r="R261" s="42" t="inlineStr">
        <is>
          <t>Нет</t>
        </is>
      </c>
      <c r="S261" s="48" t="inlineStr">
        <is>
          <t>Нормализовано под генератор КП</t>
        </is>
      </c>
    </row>
    <row r="262">
      <c r="A262" s="41" t="inlineStr">
        <is>
          <t>SRC-0261</t>
        </is>
      </c>
      <c r="B262" s="41" t="inlineStr">
        <is>
          <t>Устройство песчаного слоя (250мм)</t>
        </is>
      </c>
      <c r="C262" s="41" t="inlineStr">
        <is>
          <t>м2</t>
        </is>
      </c>
      <c r="D262" s="41" t="inlineStr">
        <is>
          <t>275</t>
        </is>
      </c>
      <c r="E262" s="43" t="n">
        <v>275</v>
      </c>
      <c r="F262" s="41" t="inlineStr">
        <is>
          <t>работа</t>
        </is>
      </c>
      <c r="G262" s="41" t="inlineStr">
        <is>
          <t>дренаж</t>
        </is>
      </c>
      <c r="H262" s="41" t="inlineStr">
        <is>
          <t>Мощение</t>
        </is>
      </c>
      <c r="I262" s="41" t="inlineStr">
        <is>
          <t>Мощение</t>
        </is>
      </c>
      <c r="J262" s="41" t="inlineStr">
        <is>
          <t>Мощение</t>
        </is>
      </c>
      <c r="K262" s="41" t="inlineStr">
        <is>
          <t>Работа</t>
        </is>
      </c>
      <c r="L262" s="41" t="inlineStr">
        <is>
          <t>Основание</t>
        </is>
      </c>
      <c r="M262" s="41" t="inlineStr">
        <is>
          <t>Основные работы</t>
        </is>
      </c>
      <c r="N262" s="41" t="inlineStr">
        <is>
          <t>Показать строкой</t>
        </is>
      </c>
      <c r="O262" s="41" t="inlineStr">
        <is>
          <t>Высокая</t>
        </is>
      </c>
      <c r="P262" s="44" t="inlineStr">
        <is>
          <t>RWORK-0148</t>
        </is>
      </c>
      <c r="Q262" s="44" t="inlineStr"/>
      <c r="R262" s="41" t="inlineStr">
        <is>
          <t>Нет</t>
        </is>
      </c>
      <c r="S262" s="45" t="inlineStr">
        <is>
          <t>Нормализовано под генератор КП</t>
        </is>
      </c>
    </row>
    <row r="263">
      <c r="A263" s="42" t="inlineStr">
        <is>
          <t>SRC-0262</t>
        </is>
      </c>
      <c r="B263" s="42" t="inlineStr">
        <is>
          <t>Устройство песчаного слоя (300мм)</t>
        </is>
      </c>
      <c r="C263" s="42" t="inlineStr">
        <is>
          <t>м2</t>
        </is>
      </c>
      <c r="D263" s="42" t="inlineStr">
        <is>
          <t>330</t>
        </is>
      </c>
      <c r="E263" s="46" t="n">
        <v>330</v>
      </c>
      <c r="F263" s="42" t="inlineStr">
        <is>
          <t>работа</t>
        </is>
      </c>
      <c r="G263" s="42" t="inlineStr">
        <is>
          <t>2 мощ-е - подг-ка осн-я</t>
        </is>
      </c>
      <c r="H263" s="42" t="inlineStr">
        <is>
          <t>Мощение</t>
        </is>
      </c>
      <c r="I263" s="42" t="inlineStr">
        <is>
          <t>Мощение</t>
        </is>
      </c>
      <c r="J263" s="42" t="inlineStr">
        <is>
          <t>Мощение</t>
        </is>
      </c>
      <c r="K263" s="42" t="inlineStr">
        <is>
          <t>Работа</t>
        </is>
      </c>
      <c r="L263" s="42" t="inlineStr">
        <is>
          <t>Основание</t>
        </is>
      </c>
      <c r="M263" s="42" t="inlineStr">
        <is>
          <t>Основные работы</t>
        </is>
      </c>
      <c r="N263" s="42" t="inlineStr">
        <is>
          <t>Показать строкой</t>
        </is>
      </c>
      <c r="O263" s="42" t="inlineStr">
        <is>
          <t>Высокая</t>
        </is>
      </c>
      <c r="P263" s="47" t="inlineStr">
        <is>
          <t>RWORK-0149</t>
        </is>
      </c>
      <c r="Q263" s="47" t="inlineStr"/>
      <c r="R263" s="42" t="inlineStr">
        <is>
          <t>Нет</t>
        </is>
      </c>
      <c r="S263" s="48" t="inlineStr">
        <is>
          <t>Нормализовано под генератор КП</t>
        </is>
      </c>
    </row>
    <row r="264">
      <c r="A264" s="41" t="inlineStr">
        <is>
          <t>SRC-0263</t>
        </is>
      </c>
      <c r="B264" s="41" t="inlineStr">
        <is>
          <t>Устройство песчаного слоя (600мм)</t>
        </is>
      </c>
      <c r="C264" s="41" t="inlineStr">
        <is>
          <t>м2</t>
        </is>
      </c>
      <c r="D264" s="41" t="inlineStr">
        <is>
          <t>660</t>
        </is>
      </c>
      <c r="E264" s="43" t="n">
        <v>660</v>
      </c>
      <c r="F264" s="41" t="inlineStr">
        <is>
          <t>работа</t>
        </is>
      </c>
      <c r="G264" s="41" t="inlineStr">
        <is>
          <t>2 мощ-е - подг-ка осн-я</t>
        </is>
      </c>
      <c r="H264" s="41" t="inlineStr">
        <is>
          <t>Мощение</t>
        </is>
      </c>
      <c r="I264" s="41" t="inlineStr">
        <is>
          <t>Мощение</t>
        </is>
      </c>
      <c r="J264" s="41" t="inlineStr">
        <is>
          <t>Мощение</t>
        </is>
      </c>
      <c r="K264" s="41" t="inlineStr">
        <is>
          <t>Работа</t>
        </is>
      </c>
      <c r="L264" s="41" t="inlineStr">
        <is>
          <t>Основание</t>
        </is>
      </c>
      <c r="M264" s="41" t="inlineStr">
        <is>
          <t>Основные работы</t>
        </is>
      </c>
      <c r="N264" s="41" t="inlineStr">
        <is>
          <t>Показать строкой</t>
        </is>
      </c>
      <c r="O264" s="41" t="inlineStr">
        <is>
          <t>Высокая</t>
        </is>
      </c>
      <c r="P264" s="44" t="inlineStr">
        <is>
          <t>RWORK-0150</t>
        </is>
      </c>
      <c r="Q264" s="44" t="inlineStr"/>
      <c r="R264" s="41" t="inlineStr">
        <is>
          <t>Нет</t>
        </is>
      </c>
      <c r="S264" s="45" t="inlineStr">
        <is>
          <t>Нормализовано под генератор КП</t>
        </is>
      </c>
    </row>
    <row r="265">
      <c r="A265" s="42" t="inlineStr">
        <is>
          <t>SRC-0264</t>
        </is>
      </c>
      <c r="B265" s="42" t="inlineStr">
        <is>
          <t>Устройство поверхностного дренажного слоя из песка с прикаткой, 2см</t>
        </is>
      </c>
      <c r="C265" s="42" t="inlineStr">
        <is>
          <t>м2</t>
        </is>
      </c>
      <c r="D265" s="42" t="inlineStr">
        <is>
          <t>60</t>
        </is>
      </c>
      <c r="E265" s="46" t="n">
        <v>60</v>
      </c>
      <c r="F265" s="42" t="inlineStr">
        <is>
          <t>работа</t>
        </is>
      </c>
      <c r="G265" s="42" t="inlineStr">
        <is>
          <t>Устройство газона</t>
        </is>
      </c>
      <c r="H265" s="42" t="inlineStr">
        <is>
          <t>газон</t>
        </is>
      </c>
      <c r="I265" s="42" t="inlineStr">
        <is>
          <t>газон</t>
        </is>
      </c>
      <c r="J265" s="42" t="inlineStr">
        <is>
          <t>Газон</t>
        </is>
      </c>
      <c r="K265" s="42" t="inlineStr">
        <is>
          <t>Работа</t>
        </is>
      </c>
      <c r="L265" s="42" t="inlineStr">
        <is>
          <t>Подготовка основания</t>
        </is>
      </c>
      <c r="M265" s="42" t="inlineStr">
        <is>
          <t>Основные работы</t>
        </is>
      </c>
      <c r="N265" s="42" t="inlineStr">
        <is>
          <t>Показать строкой</t>
        </is>
      </c>
      <c r="O265" s="42" t="inlineStr">
        <is>
          <t>Высокая</t>
        </is>
      </c>
      <c r="P265" s="47" t="inlineStr">
        <is>
          <t>RWORK-0151</t>
        </is>
      </c>
      <c r="Q265" s="47" t="inlineStr"/>
      <c r="R265" s="42" t="inlineStr">
        <is>
          <t>Нет</t>
        </is>
      </c>
      <c r="S265" s="48" t="inlineStr">
        <is>
          <t>Нормализовано под генератор КП</t>
        </is>
      </c>
    </row>
    <row r="266">
      <c r="A266" s="41" t="inlineStr">
        <is>
          <t>SRC-0265</t>
        </is>
      </c>
      <c r="B266" s="41" t="inlineStr">
        <is>
          <t>Устройство рулонного газона на подготовленном основании</t>
        </is>
      </c>
      <c r="C266" s="41" t="inlineStr">
        <is>
          <t>м2</t>
        </is>
      </c>
      <c r="D266" s="41" t="inlineStr">
        <is>
          <t>260</t>
        </is>
      </c>
      <c r="E266" s="43" t="n">
        <v>260</v>
      </c>
      <c r="F266" s="41" t="inlineStr">
        <is>
          <t>работа</t>
        </is>
      </c>
      <c r="G266" s="41" t="inlineStr">
        <is>
          <t>Устройство газона</t>
        </is>
      </c>
      <c r="H266" s="41" t="inlineStr">
        <is>
          <t>газон</t>
        </is>
      </c>
      <c r="I266" s="41" t="inlineStr">
        <is>
          <t>газон</t>
        </is>
      </c>
      <c r="J266" s="41" t="inlineStr">
        <is>
          <t>Газон</t>
        </is>
      </c>
      <c r="K266" s="41" t="inlineStr">
        <is>
          <t>Работа</t>
        </is>
      </c>
      <c r="L266" s="41" t="inlineStr">
        <is>
          <t>Газон и укладка</t>
        </is>
      </c>
      <c r="M266" s="41" t="inlineStr">
        <is>
          <t>Основные работы</t>
        </is>
      </c>
      <c r="N266" s="41" t="inlineStr">
        <is>
          <t>Показать строкой</t>
        </is>
      </c>
      <c r="O266" s="41" t="inlineStr">
        <is>
          <t>Высокая</t>
        </is>
      </c>
      <c r="P266" s="44" t="inlineStr">
        <is>
          <t>RWORK-0152</t>
        </is>
      </c>
      <c r="Q266" s="44" t="inlineStr"/>
      <c r="R266" s="41" t="inlineStr">
        <is>
          <t>Нет</t>
        </is>
      </c>
      <c r="S266" s="45" t="inlineStr">
        <is>
          <t>Нормализовано под генератор КП</t>
        </is>
      </c>
    </row>
    <row r="267">
      <c r="A267" s="42" t="inlineStr">
        <is>
          <t>SRC-0266</t>
        </is>
      </c>
      <c r="B267" s="42" t="inlineStr">
        <is>
          <t>Устройство спортивного ударопоглощающего покрытия из резиновой крошки</t>
        </is>
      </c>
      <c r="C267" s="42" t="inlineStr">
        <is>
          <t>м2</t>
        </is>
      </c>
      <c r="D267" s="42" t="inlineStr">
        <is>
          <t>2550</t>
        </is>
      </c>
      <c r="E267" s="46" t="n">
        <v>2550</v>
      </c>
      <c r="F267" s="42" t="inlineStr">
        <is>
          <t>работа</t>
        </is>
      </c>
      <c r="G267" s="42" t="inlineStr">
        <is>
          <t>Покрытия</t>
        </is>
      </c>
      <c r="H267" s="42" t="inlineStr">
        <is>
          <t>Мощение</t>
        </is>
      </c>
      <c r="I267" s="42" t="inlineStr">
        <is>
          <t>Мощение</t>
        </is>
      </c>
      <c r="J267" s="42" t="inlineStr">
        <is>
          <t>Мощение</t>
        </is>
      </c>
      <c r="K267" s="42" t="inlineStr">
        <is>
          <t>Работа</t>
        </is>
      </c>
      <c r="L267" s="42" t="inlineStr">
        <is>
          <t>Покрытие</t>
        </is>
      </c>
      <c r="M267" s="42" t="inlineStr">
        <is>
          <t>Основные работы</t>
        </is>
      </c>
      <c r="N267" s="42" t="inlineStr">
        <is>
          <t>Показать строкой</t>
        </is>
      </c>
      <c r="O267" s="42" t="inlineStr">
        <is>
          <t>Высокая</t>
        </is>
      </c>
      <c r="P267" s="47" t="inlineStr">
        <is>
          <t>RWORK-0153</t>
        </is>
      </c>
      <c r="Q267" s="47" t="inlineStr"/>
      <c r="R267" s="42" t="inlineStr">
        <is>
          <t>Нет</t>
        </is>
      </c>
      <c r="S267" s="48" t="inlineStr">
        <is>
          <t>Нормализовано под генератор КП</t>
        </is>
      </c>
    </row>
    <row r="268">
      <c r="A268" s="41" t="inlineStr">
        <is>
          <t>SRC-0267</t>
        </is>
      </c>
      <c r="B268" s="41" t="inlineStr">
        <is>
          <t>Устройство траншеи 0,7м с песчаным основанием для кабеля</t>
        </is>
      </c>
      <c r="C268" s="41" t="inlineStr">
        <is>
          <t>м.пог.</t>
        </is>
      </c>
      <c r="D268" s="41" t="inlineStr">
        <is>
          <t>900</t>
        </is>
      </c>
      <c r="E268" s="43" t="n">
        <v>900</v>
      </c>
      <c r="F268" s="41" t="inlineStr">
        <is>
          <t>работа</t>
        </is>
      </c>
      <c r="G268" s="41" t="inlineStr">
        <is>
          <t>Освещение</t>
        </is>
      </c>
      <c r="H268" s="41" t="inlineStr">
        <is>
          <t>Освещение</t>
        </is>
      </c>
      <c r="I268" s="41" t="inlineStr">
        <is>
          <t>Освещение</t>
        </is>
      </c>
      <c r="J268" s="41" t="inlineStr">
        <is>
          <t>Освещение</t>
        </is>
      </c>
      <c r="K268" s="41" t="inlineStr">
        <is>
          <t>Работа</t>
        </is>
      </c>
      <c r="L268" s="41" t="inlineStr">
        <is>
          <t>Кабельная инфраструктура</t>
        </is>
      </c>
      <c r="M268" s="41" t="inlineStr">
        <is>
          <t>Основные работы</t>
        </is>
      </c>
      <c r="N268" s="41" t="inlineStr">
        <is>
          <t>Показать строкой</t>
        </is>
      </c>
      <c r="O268" s="41" t="inlineStr">
        <is>
          <t>Высокая</t>
        </is>
      </c>
      <c r="P268" s="44" t="inlineStr">
        <is>
          <t>RWORK-0154</t>
        </is>
      </c>
      <c r="Q268" s="44" t="inlineStr"/>
      <c r="R268" s="41" t="inlineStr">
        <is>
          <t>Нет</t>
        </is>
      </c>
      <c r="S268" s="45" t="inlineStr">
        <is>
          <t>Нормализовано под генератор КП</t>
        </is>
      </c>
    </row>
    <row r="269">
      <c r="A269" s="42" t="inlineStr">
        <is>
          <t>SRC-0268</t>
        </is>
      </c>
      <c r="B269" s="42" t="inlineStr">
        <is>
          <t>Устройство фундаментов светильников столбиков, розеток</t>
        </is>
      </c>
      <c r="C269" s="42" t="inlineStr">
        <is>
          <t>шт</t>
        </is>
      </c>
      <c r="D269" s="42" t="inlineStr">
        <is>
          <t>3700</t>
        </is>
      </c>
      <c r="E269" s="46" t="n">
        <v>3700</v>
      </c>
      <c r="F269" s="42" t="inlineStr">
        <is>
          <t>работа</t>
        </is>
      </c>
      <c r="G269" s="42" t="inlineStr">
        <is>
          <t>Освещение</t>
        </is>
      </c>
      <c r="H269" s="42" t="inlineStr">
        <is>
          <t>Освещение</t>
        </is>
      </c>
      <c r="I269" s="42" t="inlineStr">
        <is>
          <t>Освещение</t>
        </is>
      </c>
      <c r="J269" s="42" t="inlineStr">
        <is>
          <t>Освещение</t>
        </is>
      </c>
      <c r="K269" s="42" t="inlineStr">
        <is>
          <t>Работа</t>
        </is>
      </c>
      <c r="L269" s="42" t="inlineStr">
        <is>
          <t>Оборудование и комплектующие</t>
        </is>
      </c>
      <c r="M269" s="42" t="inlineStr">
        <is>
          <t>Основные работы</t>
        </is>
      </c>
      <c r="N269" s="42" t="inlineStr">
        <is>
          <t>Показать строкой</t>
        </is>
      </c>
      <c r="O269" s="42" t="inlineStr">
        <is>
          <t>Высокая</t>
        </is>
      </c>
      <c r="P269" s="47" t="inlineStr">
        <is>
          <t>RWORK-0155</t>
        </is>
      </c>
      <c r="Q269" s="47" t="inlineStr"/>
      <c r="R269" s="42" t="inlineStr">
        <is>
          <t>Нет</t>
        </is>
      </c>
      <c r="S269" s="48" t="inlineStr">
        <is>
          <t>Нормализовано под генератор КП</t>
        </is>
      </c>
    </row>
    <row r="270">
      <c r="A270" s="41" t="inlineStr">
        <is>
          <t>SRC-0269</t>
        </is>
      </c>
      <c r="B270" s="41" t="inlineStr">
        <is>
          <t>фанера 12х1220*2440мм (для опалубки)</t>
        </is>
      </c>
      <c r="C270" s="41" t="inlineStr">
        <is>
          <t>шт</t>
        </is>
      </c>
      <c r="D270" s="41" t="inlineStr">
        <is>
          <t>2880</t>
        </is>
      </c>
      <c r="E270" s="43" t="n">
        <v>2880</v>
      </c>
      <c r="F270" s="41" t="inlineStr">
        <is>
          <t>материалы</t>
        </is>
      </c>
      <c r="G270" s="41" t="inlineStr">
        <is>
          <t>2 мощ-е - подг-ка осн-я</t>
        </is>
      </c>
      <c r="H270" s="41" t="inlineStr">
        <is>
          <t>Мощение</t>
        </is>
      </c>
      <c r="I270" s="41" t="inlineStr">
        <is>
          <t>Мощение</t>
        </is>
      </c>
      <c r="J270" s="41" t="inlineStr">
        <is>
          <t>Мощение</t>
        </is>
      </c>
      <c r="K270" s="41" t="inlineStr">
        <is>
          <t>Материал</t>
        </is>
      </c>
      <c r="L270" s="41" t="inlineStr">
        <is>
          <t>Бетон и конструктив</t>
        </is>
      </c>
      <c r="M270" s="41" t="inlineStr">
        <is>
          <t>Материалы</t>
        </is>
      </c>
      <c r="N270" s="41" t="inlineStr">
        <is>
          <t>Показать строкой</t>
        </is>
      </c>
      <c r="O270" s="41" t="inlineStr">
        <is>
          <t>Высокая</t>
        </is>
      </c>
      <c r="P270" s="44" t="inlineStr">
        <is>
          <t>RMAT-0113</t>
        </is>
      </c>
      <c r="Q270" s="44" t="inlineStr">
        <is>
          <t>MV-0113</t>
        </is>
      </c>
      <c r="R270" s="41" t="inlineStr">
        <is>
          <t>Нет</t>
        </is>
      </c>
      <c r="S270" s="45" t="inlineStr">
        <is>
          <t>Нормализовано под генератор КП</t>
        </is>
      </c>
    </row>
    <row r="271">
      <c r="A271" s="42" t="inlineStr">
        <is>
          <t>SRC-0270</t>
        </is>
      </c>
      <c r="B271" s="42" t="inlineStr">
        <is>
          <t>Фасонные элементы - тройники, соединения, заглушки</t>
        </is>
      </c>
      <c r="C271" s="42" t="inlineStr">
        <is>
          <t>компл</t>
        </is>
      </c>
      <c r="D271" s="42" t="inlineStr">
        <is>
          <t>200</t>
        </is>
      </c>
      <c r="E271" s="46" t="n">
        <v>200</v>
      </c>
      <c r="F271" s="42" t="inlineStr">
        <is>
          <t>материалы</t>
        </is>
      </c>
      <c r="G271" s="42" t="inlineStr">
        <is>
          <t>Ливневая система</t>
        </is>
      </c>
      <c r="H271" s="42" t="inlineStr">
        <is>
          <t>ливневка</t>
        </is>
      </c>
      <c r="I271" s="42" t="inlineStr">
        <is>
          <t>ливневка</t>
        </is>
      </c>
      <c r="J271" s="42" t="inlineStr">
        <is>
          <t>Ливневая канализация</t>
        </is>
      </c>
      <c r="K271" s="42" t="inlineStr">
        <is>
          <t>Материал</t>
        </is>
      </c>
      <c r="L271" s="42" t="inlineStr">
        <is>
          <t>Трубопровод и фасонные части</t>
        </is>
      </c>
      <c r="M271" s="42" t="inlineStr">
        <is>
          <t>Материалы</t>
        </is>
      </c>
      <c r="N271" s="42" t="inlineStr">
        <is>
          <t>Показать строкой</t>
        </is>
      </c>
      <c r="O271" s="42" t="inlineStr">
        <is>
          <t>Высокая</t>
        </is>
      </c>
      <c r="P271" s="47" t="inlineStr">
        <is>
          <t>RMAT-0114</t>
        </is>
      </c>
      <c r="Q271" s="47" t="inlineStr">
        <is>
          <t>MV-0114</t>
        </is>
      </c>
      <c r="R271" s="42" t="inlineStr">
        <is>
          <t>Нет</t>
        </is>
      </c>
      <c r="S271" s="48" t="inlineStr">
        <is>
          <t>Нормализовано под генератор КП</t>
        </is>
      </c>
    </row>
    <row r="272">
      <c r="A272" s="41" t="inlineStr">
        <is>
          <t>SRC-0271</t>
        </is>
      </c>
      <c r="B272" s="41" t="inlineStr">
        <is>
          <t>Цемент М400, 50кг</t>
        </is>
      </c>
      <c r="C272" s="41" t="inlineStr">
        <is>
          <t>шт</t>
        </is>
      </c>
      <c r="D272" s="41" t="inlineStr">
        <is>
          <t>510</t>
        </is>
      </c>
      <c r="E272" s="43" t="n">
        <v>510</v>
      </c>
      <c r="F272" s="41" t="inlineStr">
        <is>
          <t>материалы</t>
        </is>
      </c>
      <c r="G272" s="41" t="inlineStr">
        <is>
          <t>Ливневая система</t>
        </is>
      </c>
      <c r="H272" s="41" t="inlineStr">
        <is>
          <t>ливневка</t>
        </is>
      </c>
      <c r="I272" s="41" t="inlineStr">
        <is>
          <t>ливневка</t>
        </is>
      </c>
      <c r="J272" s="41" t="inlineStr">
        <is>
          <t>Ливневая канализация</t>
        </is>
      </c>
      <c r="K272" s="41" t="inlineStr">
        <is>
          <t>Материал</t>
        </is>
      </c>
      <c r="L272" s="41" t="inlineStr">
        <is>
          <t>Материалы и комплектующие</t>
        </is>
      </c>
      <c r="M272" s="41" t="inlineStr">
        <is>
          <t>Материалы</t>
        </is>
      </c>
      <c r="N272" s="41" t="inlineStr">
        <is>
          <t>Показать строкой</t>
        </is>
      </c>
      <c r="O272" s="41" t="inlineStr">
        <is>
          <t>Высокая</t>
        </is>
      </c>
      <c r="P272" s="44" t="inlineStr">
        <is>
          <t>RMAT-0115</t>
        </is>
      </c>
      <c r="Q272" s="44" t="inlineStr">
        <is>
          <t>MV-0115</t>
        </is>
      </c>
      <c r="R272" s="41" t="inlineStr">
        <is>
          <t>Нет</t>
        </is>
      </c>
      <c r="S272" s="45" t="inlineStr">
        <is>
          <t>Нормализовано под генератор КП</t>
        </is>
      </c>
    </row>
    <row r="273">
      <c r="A273" s="42" t="inlineStr">
        <is>
          <t>SRC-0272</t>
        </is>
      </c>
      <c r="B273" s="42" t="inlineStr">
        <is>
          <t>ЦПС М300, 25кг</t>
        </is>
      </c>
      <c r="C273" s="42" t="inlineStr">
        <is>
          <t>шт</t>
        </is>
      </c>
      <c r="D273" s="42" t="inlineStr">
        <is>
          <t>265</t>
        </is>
      </c>
      <c r="E273" s="46" t="n">
        <v>265</v>
      </c>
      <c r="F273" s="42" t="inlineStr">
        <is>
          <t>материалы</t>
        </is>
      </c>
      <c r="G273" s="42" t="inlineStr">
        <is>
          <t>Освещение</t>
        </is>
      </c>
      <c r="H273" s="42" t="inlineStr">
        <is>
          <t>Освещение</t>
        </is>
      </c>
      <c r="I273" s="42" t="inlineStr">
        <is>
          <t>Освещение</t>
        </is>
      </c>
      <c r="J273" s="42" t="inlineStr">
        <is>
          <t>Освещение</t>
        </is>
      </c>
      <c r="K273" s="42" t="inlineStr">
        <is>
          <t>Материал</t>
        </is>
      </c>
      <c r="L273" s="42" t="inlineStr">
        <is>
          <t>Основания и расходники</t>
        </is>
      </c>
      <c r="M273" s="42" t="inlineStr">
        <is>
          <t>Материалы</t>
        </is>
      </c>
      <c r="N273" s="42" t="inlineStr">
        <is>
          <t>Показать строкой</t>
        </is>
      </c>
      <c r="O273" s="42" t="inlineStr">
        <is>
          <t>Высокая</t>
        </is>
      </c>
      <c r="P273" s="47" t="inlineStr">
        <is>
          <t>RMAT-0116</t>
        </is>
      </c>
      <c r="Q273" s="47" t="inlineStr">
        <is>
          <t>MV-0116</t>
        </is>
      </c>
      <c r="R273" s="42" t="inlineStr">
        <is>
          <t>Нет</t>
        </is>
      </c>
      <c r="S273" s="48" t="inlineStr">
        <is>
          <t>Нормализовано под генератор КП</t>
        </is>
      </c>
    </row>
    <row r="274">
      <c r="A274" s="41" t="inlineStr">
        <is>
          <t>SRC-0273</t>
        </is>
      </c>
      <c r="B274" s="41" t="inlineStr">
        <is>
          <t>Частичный демонтаж мощения</t>
        </is>
      </c>
      <c r="C274" s="41" t="inlineStr">
        <is>
          <t>м2</t>
        </is>
      </c>
      <c r="D274" s="41" t="inlineStr">
        <is>
          <t>950</t>
        </is>
      </c>
      <c r="E274" s="43" t="n">
        <v>950</v>
      </c>
      <c r="F274" s="41" t="inlineStr">
        <is>
          <t>работа</t>
        </is>
      </c>
      <c r="G274" s="41" t="inlineStr">
        <is>
          <t>дренаж</t>
        </is>
      </c>
      <c r="H274" s="41" t="inlineStr">
        <is>
          <t>Мощение</t>
        </is>
      </c>
      <c r="I274" s="41" t="inlineStr">
        <is>
          <t>Мощение</t>
        </is>
      </c>
      <c r="J274" s="41" t="inlineStr">
        <is>
          <t>Мощение</t>
        </is>
      </c>
      <c r="K274" s="41" t="inlineStr">
        <is>
          <t>Работа</t>
        </is>
      </c>
      <c r="L274" s="41" t="inlineStr">
        <is>
          <t>Подготовка и демонтаж</t>
        </is>
      </c>
      <c r="M274" s="41" t="inlineStr">
        <is>
          <t>Основные работы</t>
        </is>
      </c>
      <c r="N274" s="41" t="inlineStr">
        <is>
          <t>Показать строкой</t>
        </is>
      </c>
      <c r="O274" s="41" t="inlineStr">
        <is>
          <t>Высокая</t>
        </is>
      </c>
      <c r="P274" s="44" t="inlineStr">
        <is>
          <t>RWORK-0156</t>
        </is>
      </c>
      <c r="Q274" s="44" t="inlineStr"/>
      <c r="R274" s="41" t="inlineStr">
        <is>
          <t>Нет</t>
        </is>
      </c>
      <c r="S274" s="45" t="inlineStr">
        <is>
          <t>Нормализовано под генератор КП</t>
        </is>
      </c>
    </row>
    <row r="275">
      <c r="A275" s="42" t="inlineStr">
        <is>
          <t>SRC-0274</t>
        </is>
      </c>
      <c r="B275" s="42" t="inlineStr">
        <is>
          <t>Чистка бетонной отмостки</t>
        </is>
      </c>
      <c r="C275" s="42" t="inlineStr">
        <is>
          <t>м2</t>
        </is>
      </c>
      <c r="D275" s="42" t="inlineStr">
        <is>
          <t>50</t>
        </is>
      </c>
      <c r="E275" s="46" t="n">
        <v>50</v>
      </c>
      <c r="F275" s="42" t="inlineStr">
        <is>
          <t>работа</t>
        </is>
      </c>
      <c r="G275" s="42" t="inlineStr">
        <is>
          <t>1. Подготовка основания для пешеходных дорожек и площадок под мощение тротуарной плиткой.</t>
        </is>
      </c>
      <c r="H275" s="42" t="inlineStr">
        <is>
          <t>Мощение</t>
        </is>
      </c>
      <c r="I275" s="42" t="inlineStr">
        <is>
          <t>Мощение</t>
        </is>
      </c>
      <c r="J275" s="42" t="inlineStr">
        <is>
          <t>Мощение</t>
        </is>
      </c>
      <c r="K275" s="42" t="inlineStr">
        <is>
          <t>Работа</t>
        </is>
      </c>
      <c r="L275" s="42" t="inlineStr">
        <is>
          <t>Бетон и конструктив</t>
        </is>
      </c>
      <c r="M275" s="42" t="inlineStr">
        <is>
          <t>Основные работы</t>
        </is>
      </c>
      <c r="N275" s="42" t="inlineStr">
        <is>
          <t>Показать строкой</t>
        </is>
      </c>
      <c r="O275" s="42" t="inlineStr">
        <is>
          <t>Высокая</t>
        </is>
      </c>
      <c r="P275" s="47" t="inlineStr">
        <is>
          <t>RWORK-0157</t>
        </is>
      </c>
      <c r="Q275" s="47" t="inlineStr"/>
      <c r="R275" s="42" t="inlineStr">
        <is>
          <t>Нет</t>
        </is>
      </c>
      <c r="S275" s="48" t="inlineStr">
        <is>
          <t>Нормализовано под генератор КП</t>
        </is>
      </c>
    </row>
    <row r="276">
      <c r="A276" s="41" t="inlineStr">
        <is>
          <t>SRC-0275</t>
        </is>
      </c>
      <c r="B276" s="41" t="inlineStr">
        <is>
          <t>Щебень гранитный фр. 20-40мм</t>
        </is>
      </c>
      <c r="C276" s="41" t="inlineStr">
        <is>
          <t>м3</t>
        </is>
      </c>
      <c r="D276" s="41" t="inlineStr">
        <is>
          <t>2060</t>
        </is>
      </c>
      <c r="E276" s="43" t="n">
        <v>2060</v>
      </c>
      <c r="F276" s="41" t="inlineStr">
        <is>
          <t>материалы</t>
        </is>
      </c>
      <c r="G276" s="41" t="inlineStr">
        <is>
          <t>дренаж</t>
        </is>
      </c>
      <c r="H276" s="41" t="inlineStr">
        <is>
          <t>дренаж</t>
        </is>
      </c>
      <c r="I276" s="41" t="inlineStr">
        <is>
          <t>дренаж</t>
        </is>
      </c>
      <c r="J276" s="41" t="inlineStr">
        <is>
          <t>Дренаж</t>
        </is>
      </c>
      <c r="K276" s="41" t="inlineStr">
        <is>
          <t>Материал</t>
        </is>
      </c>
      <c r="L276" s="41" t="inlineStr">
        <is>
          <t>Материалы и комплектующие</t>
        </is>
      </c>
      <c r="M276" s="41" t="inlineStr">
        <is>
          <t>Материалы</t>
        </is>
      </c>
      <c r="N276" s="41" t="inlineStr">
        <is>
          <t>Показать строкой</t>
        </is>
      </c>
      <c r="O276" s="41" t="inlineStr">
        <is>
          <t>Высокая</t>
        </is>
      </c>
      <c r="P276" s="44" t="inlineStr">
        <is>
          <t>RMAT-0117</t>
        </is>
      </c>
      <c r="Q276" s="44" t="inlineStr">
        <is>
          <t>MV-0117</t>
        </is>
      </c>
      <c r="R276" s="41" t="inlineStr">
        <is>
          <t>Нет</t>
        </is>
      </c>
      <c r="S276" s="45" t="inlineStr">
        <is>
          <t>Нормализовано под генератор КП</t>
        </is>
      </c>
    </row>
    <row r="277">
      <c r="A277" s="42" t="inlineStr">
        <is>
          <t>SRC-0276</t>
        </is>
      </c>
      <c r="B277" s="42" t="inlineStr">
        <is>
          <t>Щебень гранитный фр. 5-20мм</t>
        </is>
      </c>
      <c r="C277" s="42" t="inlineStr">
        <is>
          <t>м3</t>
        </is>
      </c>
      <c r="D277" s="42" t="inlineStr">
        <is>
          <t>2840</t>
        </is>
      </c>
      <c r="E277" s="46" t="n">
        <v>2840</v>
      </c>
      <c r="F277" s="42" t="inlineStr">
        <is>
          <t>материалы</t>
        </is>
      </c>
      <c r="G277" s="42" t="inlineStr">
        <is>
          <t>дренаж</t>
        </is>
      </c>
      <c r="H277" s="42" t="inlineStr">
        <is>
          <t>дренаж</t>
        </is>
      </c>
      <c r="I277" s="42" t="inlineStr">
        <is>
          <t>дренаж</t>
        </is>
      </c>
      <c r="J277" s="42" t="inlineStr">
        <is>
          <t>Дренаж</t>
        </is>
      </c>
      <c r="K277" s="42" t="inlineStr">
        <is>
          <t>Материал</t>
        </is>
      </c>
      <c r="L277" s="42" t="inlineStr">
        <is>
          <t>Материалы и комплектующие</t>
        </is>
      </c>
      <c r="M277" s="42" t="inlineStr">
        <is>
          <t>Материалы</t>
        </is>
      </c>
      <c r="N277" s="42" t="inlineStr">
        <is>
          <t>Показать строкой</t>
        </is>
      </c>
      <c r="O277" s="42" t="inlineStr">
        <is>
          <t>Высокая</t>
        </is>
      </c>
      <c r="P277" s="47" t="inlineStr">
        <is>
          <t>RMAT-0118</t>
        </is>
      </c>
      <c r="Q277" s="47" t="inlineStr">
        <is>
          <t>MV-0118</t>
        </is>
      </c>
      <c r="R277" s="42" t="inlineStr">
        <is>
          <t>Нет</t>
        </is>
      </c>
      <c r="S277" s="48" t="inlineStr">
        <is>
          <t>Нормализовано под генератор КП</t>
        </is>
      </c>
    </row>
    <row r="278">
      <c r="A278" s="41" t="inlineStr">
        <is>
          <t>SRC-0277</t>
        </is>
      </c>
      <c r="B278" s="41" t="inlineStr">
        <is>
          <t>Щебень гранитный фр. 5-20мм, 50кг</t>
        </is>
      </c>
      <c r="C278" s="41" t="inlineStr">
        <is>
          <t>шт</t>
        </is>
      </c>
      <c r="D278" s="41" t="inlineStr">
        <is>
          <t>340</t>
        </is>
      </c>
      <c r="E278" s="43" t="n">
        <v>340</v>
      </c>
      <c r="F278" s="41" t="inlineStr">
        <is>
          <t>материалы</t>
        </is>
      </c>
      <c r="G278" s="41" t="inlineStr">
        <is>
          <t>Освещение</t>
        </is>
      </c>
      <c r="H278" s="41" t="inlineStr">
        <is>
          <t>Освещение</t>
        </is>
      </c>
      <c r="I278" s="41" t="inlineStr">
        <is>
          <t>Освещение</t>
        </is>
      </c>
      <c r="J278" s="41" t="inlineStr">
        <is>
          <t>Освещение</t>
        </is>
      </c>
      <c r="K278" s="41" t="inlineStr">
        <is>
          <t>Материал</t>
        </is>
      </c>
      <c r="L278" s="41" t="inlineStr">
        <is>
          <t>Основания и расходники</t>
        </is>
      </c>
      <c r="M278" s="41" t="inlineStr">
        <is>
          <t>Материалы</t>
        </is>
      </c>
      <c r="N278" s="41" t="inlineStr">
        <is>
          <t>Показать строкой</t>
        </is>
      </c>
      <c r="O278" s="41" t="inlineStr">
        <is>
          <t>Высокая</t>
        </is>
      </c>
      <c r="P278" s="44" t="inlineStr">
        <is>
          <t>RMAT-0119</t>
        </is>
      </c>
      <c r="Q278" s="44" t="inlineStr">
        <is>
          <t>MV-0119</t>
        </is>
      </c>
      <c r="R278" s="41" t="inlineStr">
        <is>
          <t>Нет</t>
        </is>
      </c>
      <c r="S278" s="45" t="inlineStr">
        <is>
          <t>Нормализовано под генератор КП</t>
        </is>
      </c>
    </row>
    <row r="279">
      <c r="A279" s="42" t="inlineStr">
        <is>
          <t>SRC-0278</t>
        </is>
      </c>
      <c r="B279" s="42" t="inlineStr">
        <is>
          <t>Щит управления ландшафтным освещением (щит DKC 500*600*200мм IP65, кол-во модулей 72 элементы на базе ИЕК, 3 фазы 32А, 8 выходов под защитой УЗО)</t>
        </is>
      </c>
      <c r="C279" s="42" t="inlineStr">
        <is>
          <t>шт</t>
        </is>
      </c>
      <c r="D279" s="42" t="inlineStr">
        <is>
          <t>35000</t>
        </is>
      </c>
      <c r="E279" s="46" t="n">
        <v>35000</v>
      </c>
      <c r="F279" s="42" t="inlineStr">
        <is>
          <t>работа</t>
        </is>
      </c>
      <c r="G279" s="42" t="inlineStr">
        <is>
          <t>Освещение</t>
        </is>
      </c>
      <c r="H279" s="42" t="inlineStr">
        <is>
          <t>Освещение</t>
        </is>
      </c>
      <c r="I279" s="42" t="inlineStr">
        <is>
          <t>Освещение</t>
        </is>
      </c>
      <c r="J279" s="42" t="inlineStr">
        <is>
          <t>Освещение</t>
        </is>
      </c>
      <c r="K279" s="42" t="inlineStr">
        <is>
          <t>Материал</t>
        </is>
      </c>
      <c r="L279" s="42" t="inlineStr">
        <is>
          <t>Оборудование и комплектующие</t>
        </is>
      </c>
      <c r="M279" s="42" t="inlineStr">
        <is>
          <t>Материалы</t>
        </is>
      </c>
      <c r="N279" s="42" t="inlineStr">
        <is>
          <t>Показать строкой</t>
        </is>
      </c>
      <c r="O279" s="42" t="inlineStr">
        <is>
          <t>Высокая</t>
        </is>
      </c>
      <c r="P279" s="47" t="inlineStr">
        <is>
          <t>RMAT-0120</t>
        </is>
      </c>
      <c r="Q279" s="47" t="inlineStr">
        <is>
          <t>MV-0120</t>
        </is>
      </c>
      <c r="R279" s="42" t="inlineStr">
        <is>
          <t>Нет</t>
        </is>
      </c>
      <c r="S279" s="48" t="inlineStr">
        <is>
          <t>Нормализовано под генератор КП</t>
        </is>
      </c>
    </row>
    <row r="280">
      <c r="A280" s="41" t="inlineStr">
        <is>
          <t>SRC-0279</t>
        </is>
      </c>
      <c r="B280" s="41" t="inlineStr">
        <is>
          <t>Электроды</t>
        </is>
      </c>
      <c r="C280" s="41" t="inlineStr">
        <is>
          <t>уп.</t>
        </is>
      </c>
      <c r="D280" s="41" t="inlineStr">
        <is>
          <t>690</t>
        </is>
      </c>
      <c r="E280" s="43" t="n">
        <v>690</v>
      </c>
      <c r="F280" s="41" t="inlineStr">
        <is>
          <t>материалы</t>
        </is>
      </c>
      <c r="G280" s="41" t="inlineStr">
        <is>
          <t>2 мощ-е - подг-ка осн-я</t>
        </is>
      </c>
      <c r="H280" s="41" t="inlineStr">
        <is>
          <t>Мощение</t>
        </is>
      </c>
      <c r="I280" s="41" t="inlineStr">
        <is>
          <t>Мощение</t>
        </is>
      </c>
      <c r="J280" s="41" t="inlineStr">
        <is>
          <t>Мощение</t>
        </is>
      </c>
      <c r="K280" s="41" t="inlineStr">
        <is>
          <t>Материал</t>
        </is>
      </c>
      <c r="L280" s="41" t="inlineStr">
        <is>
          <t>Конструкции и отделка</t>
        </is>
      </c>
      <c r="M280" s="41" t="inlineStr">
        <is>
          <t>Материалы</t>
        </is>
      </c>
      <c r="N280" s="41" t="inlineStr">
        <is>
          <t>Показать строкой</t>
        </is>
      </c>
      <c r="O280" s="41" t="inlineStr">
        <is>
          <t>Высокая</t>
        </is>
      </c>
      <c r="P280" s="44" t="inlineStr">
        <is>
          <t>RMAT-0121</t>
        </is>
      </c>
      <c r="Q280" s="44" t="inlineStr">
        <is>
          <t>MV-0121</t>
        </is>
      </c>
      <c r="R280" s="41" t="inlineStr">
        <is>
          <t>Нет</t>
        </is>
      </c>
      <c r="S280" s="45" t="inlineStr">
        <is>
          <t>Нормализовано под генератор КП</t>
        </is>
      </c>
    </row>
  </sheetData>
  <autoFilter ref="A1:S280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39" customWidth="1" min="4" max="4"/>
    <col width="37" customWidth="1" min="5" max="5"/>
    <col width="14" customWidth="1" min="6" max="6"/>
    <col width="12" customWidth="1" min="7" max="7"/>
    <col width="14" customWidth="1" min="8" max="8"/>
    <col width="11" customWidth="1" min="9" max="9"/>
    <col width="18" customWidth="1" min="10" max="10"/>
    <col width="29" customWidth="1" min="11" max="11"/>
    <col width="40" customWidth="1" min="12" max="12"/>
    <col width="16" customWidth="1" min="13" max="13"/>
    <col width="10" customWidth="1" min="14" max="14"/>
    <col width="40" customWidth="1" min="15" max="15"/>
    <col width="17" customWidth="1" min="16" max="16"/>
    <col width="24" customWidth="1" min="17" max="17"/>
    <col width="19" customWidth="1" min="18" max="18"/>
    <col width="17" customWidth="1" min="19" max="19"/>
    <col width="20" customWidth="1" min="20" max="20"/>
  </cols>
  <sheetData>
    <row r="1">
      <c r="A1" s="40" t="inlineStr">
        <is>
          <t>WorkID</t>
        </is>
      </c>
      <c r="B1" s="40" t="inlineStr">
        <is>
          <t>CanonicalWork</t>
        </is>
      </c>
      <c r="C1" s="40" t="inlineStr">
        <is>
          <t>CommercialName</t>
        </is>
      </c>
      <c r="D1" s="40" t="inlineStr">
        <is>
          <t>Section</t>
        </is>
      </c>
      <c r="E1" s="40" t="inlineStr">
        <is>
          <t>Subsection</t>
        </is>
      </c>
      <c r="F1" s="40" t="inlineStr">
        <is>
          <t>PositionType</t>
        </is>
      </c>
      <c r="G1" s="40" t="inlineStr">
        <is>
          <t>Unit</t>
        </is>
      </c>
      <c r="H1" s="40" t="inlineStr">
        <is>
          <t>PricingModel</t>
        </is>
      </c>
      <c r="I1" s="40" t="inlineStr">
        <is>
          <t>BasePrice</t>
        </is>
      </c>
      <c r="J1" s="40" t="inlineStr">
        <is>
          <t>BaseMethod</t>
        </is>
      </c>
      <c r="K1" s="40" t="inlineStr">
        <is>
          <t>ClientDisplayMode</t>
        </is>
      </c>
      <c r="L1" s="40" t="inlineStr">
        <is>
          <t>Keywords</t>
        </is>
      </c>
      <c r="M1" s="40" t="inlineStr">
        <is>
          <t>BundleEligible</t>
        </is>
      </c>
      <c r="N1" s="40" t="inlineStr">
        <is>
          <t>IsActive</t>
        </is>
      </c>
      <c r="O1" s="40" t="inlineStr">
        <is>
          <t>Notes</t>
        </is>
      </c>
      <c r="P1" s="40" t="inlineStr">
        <is>
          <t>TariffSensitive</t>
        </is>
      </c>
      <c r="Q1" s="40" t="inlineStr">
        <is>
          <t>PriceSource</t>
        </is>
      </c>
      <c r="R1" s="40" t="inlineStr">
        <is>
          <t>MappingConfidence</t>
        </is>
      </c>
      <c r="S1" s="40" t="inlineStr">
        <is>
          <t>SourceRowsCount</t>
        </is>
      </c>
      <c r="T1" s="40" t="inlineStr">
        <is>
          <t>ExampleSourceRowID</t>
        </is>
      </c>
    </row>
    <row r="2">
      <c r="A2" s="41" t="inlineStr">
        <is>
          <t>RWORK-0001</t>
        </is>
      </c>
      <c r="B2" s="41" t="inlineStr">
        <is>
          <t>Авторское сопровождение</t>
        </is>
      </c>
      <c r="C2" s="41" t="inlineStr">
        <is>
          <t>Авторское сопровождение</t>
        </is>
      </c>
      <c r="D2" s="41" t="inlineStr">
        <is>
          <t>Сопровождение проекта / услуги</t>
        </is>
      </c>
      <c r="E2" s="41" t="inlineStr">
        <is>
          <t>Авторское сопровождение</t>
        </is>
      </c>
      <c r="F2" s="41" t="inlineStr">
        <is>
          <t>Услуга</t>
        </is>
      </c>
      <c r="G2" s="41" t="inlineStr">
        <is>
          <t>%</t>
        </is>
      </c>
      <c r="H2" s="41" t="inlineStr">
        <is>
          <t>%</t>
        </is>
      </c>
      <c r="I2" s="43" t="n">
        <v>0.03</v>
      </c>
      <c r="J2" s="41" t="inlineStr">
        <is>
          <t>Стандарт</t>
        </is>
      </c>
      <c r="K2" s="41" t="inlineStr">
        <is>
          <t>Показать строкой</t>
        </is>
      </c>
      <c r="L2" s="41" t="inlineStr">
        <is>
          <t>авторское, сопровождение</t>
        </is>
      </c>
      <c r="M2" s="41" t="inlineStr">
        <is>
          <t>Да</t>
        </is>
      </c>
      <c r="N2" s="41" t="inlineStr">
        <is>
          <t>Да</t>
        </is>
      </c>
      <c r="O2" s="45" t="inlineStr">
        <is>
          <t>Импортировано из PRICE_MASTER; строк-источников: 1</t>
        </is>
      </c>
      <c r="P2" s="41" t="inlineStr">
        <is>
          <t>Да</t>
        </is>
      </c>
      <c r="Q2" s="41" t="inlineStr">
        <is>
          <t>Импорт из PRICE_MASTER</t>
        </is>
      </c>
      <c r="R2" s="41" t="inlineStr">
        <is>
          <t>Высокая</t>
        </is>
      </c>
      <c r="S2" s="41" t="n">
        <v>1</v>
      </c>
      <c r="T2" s="41" t="inlineStr">
        <is>
          <t>SRC-0001</t>
        </is>
      </c>
    </row>
    <row r="3">
      <c r="A3" s="42" t="inlineStr">
        <is>
          <t>RWORK-0002</t>
        </is>
      </c>
      <c r="B3" s="42" t="inlineStr">
        <is>
          <t>Антисептирование пиломатериалов с обеих сторон</t>
        </is>
      </c>
      <c r="C3" s="42" t="inlineStr">
        <is>
          <t>Антисептирование пиломатериалов с обеих сторон</t>
        </is>
      </c>
      <c r="D3" s="42" t="inlineStr">
        <is>
          <t>Мощение</t>
        </is>
      </c>
      <c r="E3" s="42" t="inlineStr">
        <is>
          <t>Прочее по мощению</t>
        </is>
      </c>
      <c r="F3" s="42" t="inlineStr">
        <is>
          <t>Работа</t>
        </is>
      </c>
      <c r="G3" s="42" t="inlineStr">
        <is>
          <t>м2</t>
        </is>
      </c>
      <c r="H3" s="42" t="inlineStr">
        <is>
          <t>за м2</t>
        </is>
      </c>
      <c r="I3" s="46" t="n">
        <v>250</v>
      </c>
      <c r="J3" s="42" t="inlineStr">
        <is>
          <t>Стандарт</t>
        </is>
      </c>
      <c r="K3" s="42" t="inlineStr">
        <is>
          <t>Показать строкой</t>
        </is>
      </c>
      <c r="L3" s="42" t="inlineStr">
        <is>
          <t>антисептирование, пиломатериалов, обеих, сторон</t>
        </is>
      </c>
      <c r="M3" s="42" t="inlineStr">
        <is>
          <t>Да</t>
        </is>
      </c>
      <c r="N3" s="42" t="inlineStr">
        <is>
          <t>Да</t>
        </is>
      </c>
      <c r="O3" s="48" t="inlineStr">
        <is>
          <t>Импортировано из PRICE_MASTER; строк-источников: 1</t>
        </is>
      </c>
      <c r="P3" s="42" t="inlineStr">
        <is>
          <t>Да</t>
        </is>
      </c>
      <c r="Q3" s="42" t="inlineStr">
        <is>
          <t>Импорт из PRICE_MASTER</t>
        </is>
      </c>
      <c r="R3" s="42" t="inlineStr">
        <is>
          <t>Высокая</t>
        </is>
      </c>
      <c r="S3" s="42" t="n">
        <v>1</v>
      </c>
      <c r="T3" s="42" t="inlineStr">
        <is>
          <t>SRC-0005</t>
        </is>
      </c>
    </row>
    <row r="4">
      <c r="A4" s="41" t="inlineStr">
        <is>
          <t>RWORK-0003</t>
        </is>
      </c>
      <c r="B4" s="41" t="inlineStr">
        <is>
          <t>Аренда вагончика</t>
        </is>
      </c>
      <c r="C4" s="41" t="inlineStr">
        <is>
          <t>Аренда вагончика</t>
        </is>
      </c>
      <c r="D4" s="41" t="inlineStr">
        <is>
          <t>Временные сооружения и обеспечение</t>
        </is>
      </c>
      <c r="E4" s="41" t="inlineStr">
        <is>
          <t>Бытовые условия стройплощадки</t>
        </is>
      </c>
      <c r="F4" s="41" t="inlineStr">
        <is>
          <t>Логистика</t>
        </is>
      </c>
      <c r="G4" s="41" t="inlineStr">
        <is>
          <t>мес.</t>
        </is>
      </c>
      <c r="H4" s="41" t="inlineStr">
        <is>
          <t>за ед.</t>
        </is>
      </c>
      <c r="I4" s="43" t="n">
        <v>8000</v>
      </c>
      <c r="J4" s="41" t="inlineStr">
        <is>
          <t>Стандарт</t>
        </is>
      </c>
      <c r="K4" s="41" t="inlineStr">
        <is>
          <t>Свернуть в раздел</t>
        </is>
      </c>
      <c r="L4" s="41" t="inlineStr">
        <is>
          <t>аренда, вагончика</t>
        </is>
      </c>
      <c r="M4" s="41" t="inlineStr">
        <is>
          <t>Да</t>
        </is>
      </c>
      <c r="N4" s="41" t="inlineStr">
        <is>
          <t>Да</t>
        </is>
      </c>
      <c r="O4" s="45" t="inlineStr">
        <is>
          <t>Импортировано из PRICE_MASTER; строк-источников: 1</t>
        </is>
      </c>
      <c r="P4" s="41" t="inlineStr">
        <is>
          <t>Нет</t>
        </is>
      </c>
      <c r="Q4" s="41" t="inlineStr">
        <is>
          <t>Импорт из PRICE_MASTER</t>
        </is>
      </c>
      <c r="R4" s="41" t="inlineStr">
        <is>
          <t>Высокая</t>
        </is>
      </c>
      <c r="S4" s="41" t="n">
        <v>1</v>
      </c>
      <c r="T4" s="41" t="inlineStr">
        <is>
          <t>SRC-0006</t>
        </is>
      </c>
    </row>
    <row r="5">
      <c r="A5" s="42" t="inlineStr">
        <is>
          <t>RWORK-0004</t>
        </is>
      </c>
      <c r="B5" s="42" t="inlineStr">
        <is>
          <t>Аренда виброплиты 140кг</t>
        </is>
      </c>
      <c r="C5" s="42" t="inlineStr">
        <is>
          <t>Аренда виброплиты 140кг</t>
        </is>
      </c>
      <c r="D5" s="42" t="inlineStr">
        <is>
          <t>Мощение</t>
        </is>
      </c>
      <c r="E5" s="42" t="inlineStr">
        <is>
          <t>Техника и механизмы</t>
        </is>
      </c>
      <c r="F5" s="42" t="inlineStr">
        <is>
          <t>Техника</t>
        </is>
      </c>
      <c r="G5" s="42" t="inlineStr">
        <is>
          <t>сут.</t>
        </is>
      </c>
      <c r="H5" s="42" t="inlineStr">
        <is>
          <t>за ед.</t>
        </is>
      </c>
      <c r="I5" s="46" t="n">
        <v>2300</v>
      </c>
      <c r="J5" s="42" t="inlineStr">
        <is>
          <t>Механизированный</t>
        </is>
      </c>
      <c r="K5" s="42" t="inlineStr">
        <is>
          <t>Свернуть в раздел</t>
        </is>
      </c>
      <c r="L5" s="42" t="inlineStr">
        <is>
          <t>аренда, виброплиты, 140кг</t>
        </is>
      </c>
      <c r="M5" s="42" t="inlineStr">
        <is>
          <t>Да</t>
        </is>
      </c>
      <c r="N5" s="42" t="inlineStr">
        <is>
          <t>Да</t>
        </is>
      </c>
      <c r="O5" s="48" t="inlineStr">
        <is>
          <t>Импортировано из PRICE_MASTER; строк-источников: 1</t>
        </is>
      </c>
      <c r="P5" s="42" t="inlineStr">
        <is>
          <t>Нет</t>
        </is>
      </c>
      <c r="Q5" s="42" t="inlineStr">
        <is>
          <t>Импорт из PRICE_MASTER</t>
        </is>
      </c>
      <c r="R5" s="42" t="inlineStr">
        <is>
          <t>Высокая</t>
        </is>
      </c>
      <c r="S5" s="42" t="n">
        <v>1</v>
      </c>
      <c r="T5" s="42" t="inlineStr">
        <is>
          <t>SRC-0007</t>
        </is>
      </c>
    </row>
    <row r="6">
      <c r="A6" s="41" t="inlineStr">
        <is>
          <t>RWORK-0005</t>
        </is>
      </c>
      <c r="B6" s="41" t="inlineStr">
        <is>
          <t>Аренда виброплиты 70кг</t>
        </is>
      </c>
      <c r="C6" s="41" t="inlineStr">
        <is>
          <t>Аренда виброплиты 70кг</t>
        </is>
      </c>
      <c r="D6" s="41" t="inlineStr">
        <is>
          <t>Дренаж</t>
        </is>
      </c>
      <c r="E6" s="41" t="inlineStr">
        <is>
          <t>Техника и механизмы</t>
        </is>
      </c>
      <c r="F6" s="41" t="inlineStr">
        <is>
          <t>Техника</t>
        </is>
      </c>
      <c r="G6" s="41" t="inlineStr">
        <is>
          <t>сут.</t>
        </is>
      </c>
      <c r="H6" s="41" t="inlineStr">
        <is>
          <t>за ед.</t>
        </is>
      </c>
      <c r="I6" s="43" t="n">
        <v>800</v>
      </c>
      <c r="J6" s="41" t="inlineStr">
        <is>
          <t>Механизированный</t>
        </is>
      </c>
      <c r="K6" s="41" t="inlineStr">
        <is>
          <t>Свернуть в раздел</t>
        </is>
      </c>
      <c r="L6" s="41" t="inlineStr">
        <is>
          <t>аренда, виброплиты, 70кг</t>
        </is>
      </c>
      <c r="M6" s="41" t="inlineStr">
        <is>
          <t>Да</t>
        </is>
      </c>
      <c r="N6" s="41" t="inlineStr">
        <is>
          <t>Да</t>
        </is>
      </c>
      <c r="O6" s="45" t="inlineStr">
        <is>
          <t>Импортировано из PRICE_MASTER; строк-источников: 1</t>
        </is>
      </c>
      <c r="P6" s="41" t="inlineStr">
        <is>
          <t>Нет</t>
        </is>
      </c>
      <c r="Q6" s="41" t="inlineStr">
        <is>
          <t>Импорт из PRICE_MASTER</t>
        </is>
      </c>
      <c r="R6" s="41" t="inlineStr">
        <is>
          <t>Высокая</t>
        </is>
      </c>
      <c r="S6" s="41" t="n">
        <v>1</v>
      </c>
      <c r="T6" s="41" t="inlineStr">
        <is>
          <t>SRC-0008</t>
        </is>
      </c>
    </row>
    <row r="7">
      <c r="A7" s="42" t="inlineStr">
        <is>
          <t>RWORK-0006</t>
        </is>
      </c>
      <c r="B7" s="42" t="inlineStr">
        <is>
          <t>Аренда мотобура</t>
        </is>
      </c>
      <c r="C7" s="42" t="inlineStr">
        <is>
          <t>Аренда мотобура</t>
        </is>
      </c>
      <c r="D7" s="42" t="inlineStr">
        <is>
          <t>Мощение</t>
        </is>
      </c>
      <c r="E7" s="42" t="inlineStr">
        <is>
          <t>Техника и механизмы</t>
        </is>
      </c>
      <c r="F7" s="42" t="inlineStr">
        <is>
          <t>Техника</t>
        </is>
      </c>
      <c r="G7" s="42" t="inlineStr">
        <is>
          <t>сут.</t>
        </is>
      </c>
      <c r="H7" s="42" t="inlineStr">
        <is>
          <t>за ед.</t>
        </is>
      </c>
      <c r="I7" s="46" t="n">
        <v>5500</v>
      </c>
      <c r="J7" s="42" t="inlineStr">
        <is>
          <t>Механизированный</t>
        </is>
      </c>
      <c r="K7" s="42" t="inlineStr">
        <is>
          <t>Свернуть в раздел</t>
        </is>
      </c>
      <c r="L7" s="42" t="inlineStr">
        <is>
          <t>аренда, мотобура</t>
        </is>
      </c>
      <c r="M7" s="42" t="inlineStr">
        <is>
          <t>Да</t>
        </is>
      </c>
      <c r="N7" s="42" t="inlineStr">
        <is>
          <t>Да</t>
        </is>
      </c>
      <c r="O7" s="48" t="inlineStr">
        <is>
          <t>Импортировано из PRICE_MASTER; строк-источников: 1</t>
        </is>
      </c>
      <c r="P7" s="42" t="inlineStr">
        <is>
          <t>Нет</t>
        </is>
      </c>
      <c r="Q7" s="42" t="inlineStr">
        <is>
          <t>Импорт из PRICE_MASTER</t>
        </is>
      </c>
      <c r="R7" s="42" t="inlineStr">
        <is>
          <t>Высокая</t>
        </is>
      </c>
      <c r="S7" s="42" t="n">
        <v>1</v>
      </c>
      <c r="T7" s="42" t="inlineStr">
        <is>
          <t>SRC-0009</t>
        </is>
      </c>
    </row>
    <row r="8">
      <c r="A8" s="41" t="inlineStr">
        <is>
          <t>RWORK-0007</t>
        </is>
      </c>
      <c r="B8" s="41" t="inlineStr">
        <is>
          <t>Аренда обслуживание (2 раза в месяц) туалетной кабины</t>
        </is>
      </c>
      <c r="C8" s="41" t="inlineStr">
        <is>
          <t>Аренда обслуживание (2 раза в месяц) туалетной кабины</t>
        </is>
      </c>
      <c r="D8" s="41" t="inlineStr">
        <is>
          <t>Временные сооружения и обеспечение</t>
        </is>
      </c>
      <c r="E8" s="41" t="inlineStr">
        <is>
          <t>Бытовые условия стройплощадки</t>
        </is>
      </c>
      <c r="F8" s="41" t="inlineStr">
        <is>
          <t>Логистика</t>
        </is>
      </c>
      <c r="G8" s="41" t="inlineStr">
        <is>
          <t>мес.</t>
        </is>
      </c>
      <c r="H8" s="41" t="inlineStr">
        <is>
          <t>за ед.</t>
        </is>
      </c>
      <c r="I8" s="43" t="n">
        <v>11700</v>
      </c>
      <c r="J8" s="41" t="inlineStr">
        <is>
          <t>Стандарт</t>
        </is>
      </c>
      <c r="K8" s="41" t="inlineStr">
        <is>
          <t>Свернуть в раздел</t>
        </is>
      </c>
      <c r="L8" s="41" t="inlineStr">
        <is>
          <t>аренда, обслуживание, раза, месяц, туалетной, кабины</t>
        </is>
      </c>
      <c r="M8" s="41" t="inlineStr">
        <is>
          <t>Да</t>
        </is>
      </c>
      <c r="N8" s="41" t="inlineStr">
        <is>
          <t>Да</t>
        </is>
      </c>
      <c r="O8" s="45" t="inlineStr">
        <is>
          <t>Импортировано из PRICE_MASTER; строк-источников: 1</t>
        </is>
      </c>
      <c r="P8" s="41" t="inlineStr">
        <is>
          <t>Нет</t>
        </is>
      </c>
      <c r="Q8" s="41" t="inlineStr">
        <is>
          <t>Импорт из PRICE_MASTER</t>
        </is>
      </c>
      <c r="R8" s="41" t="inlineStr">
        <is>
          <t>Высокая</t>
        </is>
      </c>
      <c r="S8" s="41" t="n">
        <v>1</v>
      </c>
      <c r="T8" s="41" t="inlineStr">
        <is>
          <t>SRC-0010</t>
        </is>
      </c>
    </row>
    <row r="9">
      <c r="A9" s="42" t="inlineStr">
        <is>
          <t>RWORK-0008</t>
        </is>
      </c>
      <c r="B9" s="42" t="inlineStr">
        <is>
          <t>Аренда торцовочной пилы</t>
        </is>
      </c>
      <c r="C9" s="42" t="inlineStr">
        <is>
          <t>Аренда торцовочной пилы</t>
        </is>
      </c>
      <c r="D9" s="42" t="inlineStr">
        <is>
          <t>Мощение</t>
        </is>
      </c>
      <c r="E9" s="42" t="inlineStr">
        <is>
          <t>Техника и механизмы</t>
        </is>
      </c>
      <c r="F9" s="42" t="inlineStr">
        <is>
          <t>Техника</t>
        </is>
      </c>
      <c r="G9" s="42" t="inlineStr">
        <is>
          <t>сут.</t>
        </is>
      </c>
      <c r="H9" s="42" t="inlineStr">
        <is>
          <t>за ед.</t>
        </is>
      </c>
      <c r="I9" s="46" t="n">
        <v>770</v>
      </c>
      <c r="J9" s="42" t="inlineStr">
        <is>
          <t>Механизированный</t>
        </is>
      </c>
      <c r="K9" s="42" t="inlineStr">
        <is>
          <t>Свернуть в раздел</t>
        </is>
      </c>
      <c r="L9" s="42" t="inlineStr">
        <is>
          <t>аренда, торцовочной, пилы</t>
        </is>
      </c>
      <c r="M9" s="42" t="inlineStr">
        <is>
          <t>Да</t>
        </is>
      </c>
      <c r="N9" s="42" t="inlineStr">
        <is>
          <t>Да</t>
        </is>
      </c>
      <c r="O9" s="48" t="inlineStr">
        <is>
          <t>Импортировано из PRICE_MASTER; строк-источников: 1</t>
        </is>
      </c>
      <c r="P9" s="42" t="inlineStr">
        <is>
          <t>Нет</t>
        </is>
      </c>
      <c r="Q9" s="42" t="inlineStr">
        <is>
          <t>Импорт из PRICE_MASTER</t>
        </is>
      </c>
      <c r="R9" s="42" t="inlineStr">
        <is>
          <t>Высокая</t>
        </is>
      </c>
      <c r="S9" s="42" t="n">
        <v>1</v>
      </c>
      <c r="T9" s="42" t="inlineStr">
        <is>
          <t>SRC-0011</t>
        </is>
      </c>
    </row>
    <row r="10">
      <c r="A10" s="41" t="inlineStr">
        <is>
          <t>RWORK-0009</t>
        </is>
      </c>
      <c r="B10" s="41" t="inlineStr">
        <is>
          <t>Армирование</t>
        </is>
      </c>
      <c r="C10" s="41" t="inlineStr">
        <is>
          <t>Армирование</t>
        </is>
      </c>
      <c r="D10" s="41" t="inlineStr">
        <is>
          <t>Мощение</t>
        </is>
      </c>
      <c r="E10" s="41" t="inlineStr">
        <is>
          <t>Бетон и конструктив</t>
        </is>
      </c>
      <c r="F10" s="41" t="inlineStr">
        <is>
          <t>Работа</t>
        </is>
      </c>
      <c r="G10" s="41" t="inlineStr">
        <is>
          <t>м.пог.</t>
        </is>
      </c>
      <c r="H10" s="41" t="inlineStr">
        <is>
          <t>за ед.</t>
        </is>
      </c>
      <c r="I10" s="43" t="n">
        <v>350</v>
      </c>
      <c r="J10" s="41" t="inlineStr">
        <is>
          <t>Стандарт</t>
        </is>
      </c>
      <c r="K10" s="41" t="inlineStr">
        <is>
          <t>Показать строкой</t>
        </is>
      </c>
      <c r="L10" s="41" t="inlineStr">
        <is>
          <t>армирование</t>
        </is>
      </c>
      <c r="M10" s="41" t="inlineStr">
        <is>
          <t>Да</t>
        </is>
      </c>
      <c r="N10" s="41" t="inlineStr">
        <is>
          <t>Да</t>
        </is>
      </c>
      <c r="O10" s="45" t="inlineStr">
        <is>
          <t>Импортировано из PRICE_MASTER; строк-источников: 1</t>
        </is>
      </c>
      <c r="P10" s="41" t="inlineStr">
        <is>
          <t>Да</t>
        </is>
      </c>
      <c r="Q10" s="41" t="inlineStr">
        <is>
          <t>Импорт из PRICE_MASTER</t>
        </is>
      </c>
      <c r="R10" s="41" t="inlineStr">
        <is>
          <t>Высокая</t>
        </is>
      </c>
      <c r="S10" s="41" t="n">
        <v>1</v>
      </c>
      <c r="T10" s="41" t="inlineStr">
        <is>
          <t>SRC-0014</t>
        </is>
      </c>
    </row>
    <row r="11">
      <c r="A11" s="42" t="inlineStr">
        <is>
          <t>RWORK-0010</t>
        </is>
      </c>
      <c r="B11" s="42" t="inlineStr">
        <is>
          <t>Бетононасос</t>
        </is>
      </c>
      <c r="C11" s="42" t="inlineStr">
        <is>
          <t>Бетононасос</t>
        </is>
      </c>
      <c r="D11" s="42" t="inlineStr">
        <is>
          <t>Ступени / пандусы / бетонные элементы</t>
        </is>
      </c>
      <c r="E11" s="42" t="inlineStr">
        <is>
          <t>Бетон и армирование</t>
        </is>
      </c>
      <c r="F11" s="42" t="inlineStr">
        <is>
          <t>Техника</t>
        </is>
      </c>
      <c r="G11" s="42" t="inlineStr">
        <is>
          <t>маш./смена</t>
        </is>
      </c>
      <c r="H11" s="42" t="inlineStr">
        <is>
          <t>за ед.</t>
        </is>
      </c>
      <c r="I11" s="46" t="n">
        <v>24000</v>
      </c>
      <c r="J11" s="42" t="inlineStr">
        <is>
          <t>Механизированный</t>
        </is>
      </c>
      <c r="K11" s="42" t="inlineStr">
        <is>
          <t>Свернуть в раздел</t>
        </is>
      </c>
      <c r="L11" s="42" t="inlineStr">
        <is>
          <t>бетононасос</t>
        </is>
      </c>
      <c r="M11" s="42" t="inlineStr">
        <is>
          <t>Да</t>
        </is>
      </c>
      <c r="N11" s="42" t="inlineStr">
        <is>
          <t>Да</t>
        </is>
      </c>
      <c r="O11" s="48" t="inlineStr">
        <is>
          <t>Импортировано из PRICE_MASTER; строк-источников: 1</t>
        </is>
      </c>
      <c r="P11" s="42" t="inlineStr">
        <is>
          <t>Нет</t>
        </is>
      </c>
      <c r="Q11" s="42" t="inlineStr">
        <is>
          <t>Импорт из PRICE_MASTER</t>
        </is>
      </c>
      <c r="R11" s="42" t="inlineStr">
        <is>
          <t>Высокая</t>
        </is>
      </c>
      <c r="S11" s="42" t="n">
        <v>1</v>
      </c>
      <c r="T11" s="42" t="inlineStr">
        <is>
          <t>SRC-0016</t>
        </is>
      </c>
    </row>
    <row r="12">
      <c r="A12" s="41" t="inlineStr">
        <is>
          <t>RWORK-0011</t>
        </is>
      </c>
      <c r="B12" s="41" t="inlineStr">
        <is>
          <t>Вертикальная планировка (геопластика)</t>
        </is>
      </c>
      <c r="C12" s="41" t="inlineStr">
        <is>
          <t>Вертикальная планировка (геопластика)</t>
        </is>
      </c>
      <c r="D12" s="41" t="inlineStr">
        <is>
          <t>Земляные и планировочные работы</t>
        </is>
      </c>
      <c r="E12" s="41" t="inlineStr">
        <is>
          <t>Планировка и подготовка грунта</t>
        </is>
      </c>
      <c r="F12" s="41" t="inlineStr">
        <is>
          <t>Работа</t>
        </is>
      </c>
      <c r="G12" s="41" t="inlineStr">
        <is>
          <t>м2</t>
        </is>
      </c>
      <c r="H12" s="41" t="inlineStr">
        <is>
          <t>за м2</t>
        </is>
      </c>
      <c r="I12" s="43" t="n">
        <v>360</v>
      </c>
      <c r="J12" s="41" t="inlineStr">
        <is>
          <t>Стандарт</t>
        </is>
      </c>
      <c r="K12" s="41" t="inlineStr">
        <is>
          <t>Показать строкой</t>
        </is>
      </c>
      <c r="L12" s="41" t="inlineStr">
        <is>
          <t>вертикальная, планировка, геопластика</t>
        </is>
      </c>
      <c r="M12" s="41" t="inlineStr">
        <is>
          <t>Да</t>
        </is>
      </c>
      <c r="N12" s="41" t="inlineStr">
        <is>
          <t>Да</t>
        </is>
      </c>
      <c r="O12" s="45" t="inlineStr">
        <is>
          <t>Импортировано из PRICE_MASTER; строк-источников: 1</t>
        </is>
      </c>
      <c r="P12" s="41" t="inlineStr">
        <is>
          <t>Да</t>
        </is>
      </c>
      <c r="Q12" s="41" t="inlineStr">
        <is>
          <t>Импорт из PRICE_MASTER</t>
        </is>
      </c>
      <c r="R12" s="41" t="inlineStr">
        <is>
          <t>Высокая</t>
        </is>
      </c>
      <c r="S12" s="41" t="n">
        <v>1</v>
      </c>
      <c r="T12" s="41" t="inlineStr">
        <is>
          <t>SRC-0030</t>
        </is>
      </c>
    </row>
    <row r="13">
      <c r="A13" s="42" t="inlineStr">
        <is>
          <t>RWORK-0012</t>
        </is>
      </c>
      <c r="B13" s="42" t="inlineStr">
        <is>
          <t>Вертикальная планировка, выемка и подсыпка</t>
        </is>
      </c>
      <c r="C13" s="42" t="inlineStr">
        <is>
          <t>Вертикальная планировка, выемка и подсыпка</t>
        </is>
      </c>
      <c r="D13" s="42" t="inlineStr">
        <is>
          <t>Земляные и планировочные работы</t>
        </is>
      </c>
      <c r="E13" s="42" t="inlineStr">
        <is>
          <t>Планировка и подготовка грунта</t>
        </is>
      </c>
      <c r="F13" s="42" t="inlineStr">
        <is>
          <t>Работа</t>
        </is>
      </c>
      <c r="G13" s="42" t="inlineStr">
        <is>
          <t>м3</t>
        </is>
      </c>
      <c r="H13" s="42" t="inlineStr">
        <is>
          <t>за м3</t>
        </is>
      </c>
      <c r="I13" s="46" t="n">
        <v>1100</v>
      </c>
      <c r="J13" s="42" t="inlineStr">
        <is>
          <t>Стандарт</t>
        </is>
      </c>
      <c r="K13" s="42" t="inlineStr">
        <is>
          <t>Показать строкой</t>
        </is>
      </c>
      <c r="L13" s="42" t="inlineStr">
        <is>
          <t>вертикальная, планировка, выемка, подсыпка</t>
        </is>
      </c>
      <c r="M13" s="42" t="inlineStr">
        <is>
          <t>Да</t>
        </is>
      </c>
      <c r="N13" s="42" t="inlineStr">
        <is>
          <t>Да</t>
        </is>
      </c>
      <c r="O13" s="48" t="inlineStr">
        <is>
          <t>Импортировано из PRICE_MASTER; строк-источников: 1</t>
        </is>
      </c>
      <c r="P13" s="42" t="inlineStr">
        <is>
          <t>Да</t>
        </is>
      </c>
      <c r="Q13" s="42" t="inlineStr">
        <is>
          <t>Импорт из PRICE_MASTER</t>
        </is>
      </c>
      <c r="R13" s="42" t="inlineStr">
        <is>
          <t>Высокая</t>
        </is>
      </c>
      <c r="S13" s="42" t="n">
        <v>1</v>
      </c>
      <c r="T13" s="42" t="inlineStr">
        <is>
          <t>SRC-0031</t>
        </is>
      </c>
    </row>
    <row r="14">
      <c r="A14" s="41" t="inlineStr">
        <is>
          <t>RWORK-0013</t>
        </is>
      </c>
      <c r="B14" s="41" t="inlineStr">
        <is>
          <t>Восстановление бетонной отмостки</t>
        </is>
      </c>
      <c r="C14" s="41" t="inlineStr">
        <is>
          <t>Восстановление бетонной отмостки</t>
        </is>
      </c>
      <c r="D14" s="41" t="inlineStr">
        <is>
          <t>Мощение</t>
        </is>
      </c>
      <c r="E14" s="41" t="inlineStr">
        <is>
          <t>Бетон и конструктив</t>
        </is>
      </c>
      <c r="F14" s="41" t="inlineStr">
        <is>
          <t>Работа</t>
        </is>
      </c>
      <c r="G14" s="41" t="inlineStr">
        <is>
          <t>м2</t>
        </is>
      </c>
      <c r="H14" s="41" t="inlineStr">
        <is>
          <t>за м2</t>
        </is>
      </c>
      <c r="I14" s="43" t="n">
        <v>6500</v>
      </c>
      <c r="J14" s="41" t="inlineStr">
        <is>
          <t>Стандарт</t>
        </is>
      </c>
      <c r="K14" s="41" t="inlineStr">
        <is>
          <t>Показать строкой</t>
        </is>
      </c>
      <c r="L14" s="41" t="inlineStr">
        <is>
          <t>восстановление, бетонной, отмостки</t>
        </is>
      </c>
      <c r="M14" s="41" t="inlineStr">
        <is>
          <t>Да</t>
        </is>
      </c>
      <c r="N14" s="41" t="inlineStr">
        <is>
          <t>Да</t>
        </is>
      </c>
      <c r="O14" s="45" t="inlineStr">
        <is>
          <t>Импортировано из PRICE_MASTER; строк-источников: 1</t>
        </is>
      </c>
      <c r="P14" s="41" t="inlineStr">
        <is>
          <t>Да</t>
        </is>
      </c>
      <c r="Q14" s="41" t="inlineStr">
        <is>
          <t>Импорт из PRICE_MASTER</t>
        </is>
      </c>
      <c r="R14" s="41" t="inlineStr">
        <is>
          <t>Высокая</t>
        </is>
      </c>
      <c r="S14" s="41" t="n">
        <v>1</v>
      </c>
      <c r="T14" s="41" t="inlineStr">
        <is>
          <t>SRC-0032</t>
        </is>
      </c>
    </row>
    <row r="15">
      <c r="A15" s="42" t="inlineStr">
        <is>
          <t>RWORK-0014</t>
        </is>
      </c>
      <c r="B15" s="42" t="inlineStr">
        <is>
          <t>Восстановление дернины после устройства дренажа</t>
        </is>
      </c>
      <c r="C15" s="42" t="inlineStr">
        <is>
          <t>Восстановление дернины после устройства дренажа</t>
        </is>
      </c>
      <c r="D15" s="42" t="inlineStr">
        <is>
          <t>Дренаж</t>
        </is>
      </c>
      <c r="E15" s="42" t="inlineStr">
        <is>
          <t>Земляные и восстановительные работы</t>
        </is>
      </c>
      <c r="F15" s="42" t="inlineStr">
        <is>
          <t>Работа</t>
        </is>
      </c>
      <c r="G15" s="42" t="inlineStr">
        <is>
          <t>м2</t>
        </is>
      </c>
      <c r="H15" s="42" t="inlineStr">
        <is>
          <t>за м2</t>
        </is>
      </c>
      <c r="I15" s="46" t="n">
        <v>260</v>
      </c>
      <c r="J15" s="42" t="inlineStr">
        <is>
          <t>Стандарт</t>
        </is>
      </c>
      <c r="K15" s="42" t="inlineStr">
        <is>
          <t>Показать строкой</t>
        </is>
      </c>
      <c r="L15" s="42" t="inlineStr">
        <is>
          <t>восстановление, дернины, после, устройства, дренажа</t>
        </is>
      </c>
      <c r="M15" s="42" t="inlineStr">
        <is>
          <t>Да</t>
        </is>
      </c>
      <c r="N15" s="42" t="inlineStr">
        <is>
          <t>Да</t>
        </is>
      </c>
      <c r="O15" s="48" t="inlineStr">
        <is>
          <t>Импортировано из PRICE_MASTER; строк-источников: 1</t>
        </is>
      </c>
      <c r="P15" s="42" t="inlineStr">
        <is>
          <t>Да</t>
        </is>
      </c>
      <c r="Q15" s="42" t="inlineStr">
        <is>
          <t>Импорт из PRICE_MASTER</t>
        </is>
      </c>
      <c r="R15" s="42" t="inlineStr">
        <is>
          <t>Высокая</t>
        </is>
      </c>
      <c r="S15" s="42" t="n">
        <v>1</v>
      </c>
      <c r="T15" s="42" t="inlineStr">
        <is>
          <t>SRC-0033</t>
        </is>
      </c>
    </row>
    <row r="16">
      <c r="A16" s="41" t="inlineStr">
        <is>
          <t>RWORK-0015</t>
        </is>
      </c>
      <c r="B16" s="41" t="inlineStr">
        <is>
          <t>Временные бытовые условия (+ спецодежда, связь, ТО туал.кабины)</t>
        </is>
      </c>
      <c r="C16" s="41" t="inlineStr">
        <is>
          <t>Временные бытовые условия (+ спецодежда, связь, ТО туал.кабины)</t>
        </is>
      </c>
      <c r="D16" s="41" t="inlineStr">
        <is>
          <t>Временные сооружения и обеспечение</t>
        </is>
      </c>
      <c r="E16" s="41" t="inlineStr">
        <is>
          <t>Бытовые условия стройплощадки</t>
        </is>
      </c>
      <c r="F16" s="41" t="inlineStr">
        <is>
          <t>Накладные</t>
        </is>
      </c>
      <c r="G16" s="41" t="inlineStr">
        <is>
          <t>%</t>
        </is>
      </c>
      <c r="H16" s="41" t="inlineStr">
        <is>
          <t>%</t>
        </is>
      </c>
      <c r="I16" s="43" t="n">
        <v>0.015</v>
      </c>
      <c r="J16" s="41" t="inlineStr">
        <is>
          <t>Стандарт</t>
        </is>
      </c>
      <c r="K16" s="41" t="inlineStr">
        <is>
          <t>Скрыть из клиентской версии</t>
        </is>
      </c>
      <c r="L16" s="41" t="inlineStr">
        <is>
          <t>временные, бытовые, условия, спецодежда, связь, туал, кабины</t>
        </is>
      </c>
      <c r="M16" s="41" t="inlineStr">
        <is>
          <t>Нет</t>
        </is>
      </c>
      <c r="N16" s="41" t="inlineStr">
        <is>
          <t>Да</t>
        </is>
      </c>
      <c r="O16" s="45" t="inlineStr">
        <is>
          <t>Импортировано из PRICE_MASTER; строк-источников: 1</t>
        </is>
      </c>
      <c r="P16" s="41" t="inlineStr">
        <is>
          <t>Нет</t>
        </is>
      </c>
      <c r="Q16" s="41" t="inlineStr">
        <is>
          <t>Импорт из PRICE_MASTER</t>
        </is>
      </c>
      <c r="R16" s="41" t="inlineStr">
        <is>
          <t>Высокая</t>
        </is>
      </c>
      <c r="S16" s="41" t="n">
        <v>1</v>
      </c>
      <c r="T16" s="41" t="inlineStr">
        <is>
          <t>SRC-0034</t>
        </is>
      </c>
    </row>
    <row r="17">
      <c r="A17" s="42" t="inlineStr">
        <is>
          <t>RWORK-0016</t>
        </is>
      </c>
      <c r="B17" s="42" t="inlineStr">
        <is>
          <t>Выборка ложа от чистовой отметки (вручную)</t>
        </is>
      </c>
      <c r="C17" s="42" t="inlineStr">
        <is>
          <t>Выборка ложа от чистовой отметки (вручную)</t>
        </is>
      </c>
      <c r="D17" s="42" t="inlineStr">
        <is>
          <t>Газон</t>
        </is>
      </c>
      <c r="E17" s="42" t="inlineStr">
        <is>
          <t>Подготовка основания</t>
        </is>
      </c>
      <c r="F17" s="42" t="inlineStr">
        <is>
          <t>Работа</t>
        </is>
      </c>
      <c r="G17" s="42" t="inlineStr">
        <is>
          <t>м3</t>
        </is>
      </c>
      <c r="H17" s="42" t="inlineStr">
        <is>
          <t>за м3</t>
        </is>
      </c>
      <c r="I17" s="46" t="n">
        <v>2000</v>
      </c>
      <c r="J17" s="42" t="inlineStr">
        <is>
          <t>Ручной</t>
        </is>
      </c>
      <c r="K17" s="42" t="inlineStr">
        <is>
          <t>Показать строкой</t>
        </is>
      </c>
      <c r="L17" s="42" t="inlineStr">
        <is>
          <t>выборка, ложа, чистовой, отметки, вручную</t>
        </is>
      </c>
      <c r="M17" s="42" t="inlineStr">
        <is>
          <t>Да</t>
        </is>
      </c>
      <c r="N17" s="42" t="inlineStr">
        <is>
          <t>Да</t>
        </is>
      </c>
      <c r="O17" s="48" t="inlineStr">
        <is>
          <t>Импортировано из PRICE_MASTER; строк-источников: 1</t>
        </is>
      </c>
      <c r="P17" s="42" t="inlineStr">
        <is>
          <t>Да</t>
        </is>
      </c>
      <c r="Q17" s="42" t="inlineStr">
        <is>
          <t>Импорт из PRICE_MASTER</t>
        </is>
      </c>
      <c r="R17" s="42" t="inlineStr">
        <is>
          <t>Высокая</t>
        </is>
      </c>
      <c r="S17" s="42" t="n">
        <v>1</v>
      </c>
      <c r="T17" s="42" t="inlineStr">
        <is>
          <t>SRC-0035</t>
        </is>
      </c>
    </row>
    <row r="18">
      <c r="A18" s="41" t="inlineStr">
        <is>
          <t>RWORK-0017</t>
        </is>
      </c>
      <c r="B18" s="41" t="inlineStr">
        <is>
          <t>Выборка ложа от чистовой отметки в отвал (механическая)</t>
        </is>
      </c>
      <c r="C18" s="41" t="inlineStr">
        <is>
          <t>Выборка ложа от чистовой отметки в отвал (механическая)</t>
        </is>
      </c>
      <c r="D18" s="41" t="inlineStr">
        <is>
          <t>Дренаж</t>
        </is>
      </c>
      <c r="E18" s="41" t="inlineStr">
        <is>
          <t>Земляные и восстановительные работы</t>
        </is>
      </c>
      <c r="F18" s="41" t="inlineStr">
        <is>
          <t>Работа</t>
        </is>
      </c>
      <c r="G18" s="41" t="inlineStr">
        <is>
          <t>м3</t>
        </is>
      </c>
      <c r="H18" s="41" t="inlineStr">
        <is>
          <t>за м3</t>
        </is>
      </c>
      <c r="I18" s="43" t="n">
        <v>850</v>
      </c>
      <c r="J18" s="41" t="inlineStr">
        <is>
          <t>Стандарт</t>
        </is>
      </c>
      <c r="K18" s="41" t="inlineStr">
        <is>
          <t>Показать строкой</t>
        </is>
      </c>
      <c r="L18" s="41" t="inlineStr">
        <is>
          <t>выборка, ложа, чистовой, отметки, отвал, механическая</t>
        </is>
      </c>
      <c r="M18" s="41" t="inlineStr">
        <is>
          <t>Да</t>
        </is>
      </c>
      <c r="N18" s="41" t="inlineStr">
        <is>
          <t>Да</t>
        </is>
      </c>
      <c r="O18" s="45" t="inlineStr">
        <is>
          <t>Импортировано из PRICE_MASTER; строк-источников: 1</t>
        </is>
      </c>
      <c r="P18" s="41" t="inlineStr">
        <is>
          <t>Да</t>
        </is>
      </c>
      <c r="Q18" s="41" t="inlineStr">
        <is>
          <t>Импорт из PRICE_MASTER</t>
        </is>
      </c>
      <c r="R18" s="41" t="inlineStr">
        <is>
          <t>Высокая</t>
        </is>
      </c>
      <c r="S18" s="41" t="n">
        <v>1</v>
      </c>
      <c r="T18" s="41" t="inlineStr">
        <is>
          <t>SRC-0036</t>
        </is>
      </c>
    </row>
    <row r="19">
      <c r="A19" s="42" t="inlineStr">
        <is>
          <t>RWORK-0018</t>
        </is>
      </c>
      <c r="B19" s="42" t="inlineStr">
        <is>
          <t>Вывоз мусора (грунт)</t>
        </is>
      </c>
      <c r="C19" s="42" t="inlineStr">
        <is>
          <t>Вывоз мусора (грунт)</t>
        </is>
      </c>
      <c r="D19" s="42" t="inlineStr">
        <is>
          <t>Вывоз и утилизация</t>
        </is>
      </c>
      <c r="E19" s="42" t="inlineStr">
        <is>
          <t>Вывоз и погрузка</t>
        </is>
      </c>
      <c r="F19" s="42" t="inlineStr">
        <is>
          <t>Логистика</t>
        </is>
      </c>
      <c r="G19" s="42" t="inlineStr">
        <is>
          <t>м3</t>
        </is>
      </c>
      <c r="H19" s="42" t="inlineStr">
        <is>
          <t>за м3</t>
        </is>
      </c>
      <c r="I19" s="46" t="n">
        <v>1200</v>
      </c>
      <c r="J19" s="42" t="inlineStr">
        <is>
          <t>Стандарт</t>
        </is>
      </c>
      <c r="K19" s="42" t="inlineStr">
        <is>
          <t>Свернуть в раздел</t>
        </is>
      </c>
      <c r="L19" s="42" t="inlineStr">
        <is>
          <t>вывоз, мусора, грунт</t>
        </is>
      </c>
      <c r="M19" s="42" t="inlineStr">
        <is>
          <t>Да</t>
        </is>
      </c>
      <c r="N19" s="42" t="inlineStr">
        <is>
          <t>Да</t>
        </is>
      </c>
      <c r="O19" s="48" t="inlineStr">
        <is>
          <t>Импортировано из PRICE_MASTER; строк-источников: 1</t>
        </is>
      </c>
      <c r="P19" s="42" t="inlineStr">
        <is>
          <t>Нет</t>
        </is>
      </c>
      <c r="Q19" s="42" t="inlineStr">
        <is>
          <t>Импорт из PRICE_MASTER</t>
        </is>
      </c>
      <c r="R19" s="42" t="inlineStr">
        <is>
          <t>Высокая</t>
        </is>
      </c>
      <c r="S19" s="42" t="n">
        <v>1</v>
      </c>
      <c r="T19" s="42" t="inlineStr">
        <is>
          <t>SRC-0037</t>
        </is>
      </c>
    </row>
    <row r="20">
      <c r="A20" s="41" t="inlineStr">
        <is>
          <t>RWORK-0019</t>
        </is>
      </c>
      <c r="B20" s="41" t="inlineStr">
        <is>
          <t>Вывоз мусора (пухто 27м.куб.)</t>
        </is>
      </c>
      <c r="C20" s="41" t="inlineStr">
        <is>
          <t>Вывоз мусора (пухто 27м.куб.)</t>
        </is>
      </c>
      <c r="D20" s="41" t="inlineStr">
        <is>
          <t>Вывоз и утилизация</t>
        </is>
      </c>
      <c r="E20" s="41" t="inlineStr">
        <is>
          <t>Вывоз и погрузка</t>
        </is>
      </c>
      <c r="F20" s="41" t="inlineStr">
        <is>
          <t>Логистика</t>
        </is>
      </c>
      <c r="G20" s="41" t="inlineStr">
        <is>
          <t>кол-во раз</t>
        </is>
      </c>
      <c r="H20" s="41" t="inlineStr">
        <is>
          <t>за ед.</t>
        </is>
      </c>
      <c r="I20" s="43" t="n">
        <v>32000</v>
      </c>
      <c r="J20" s="41" t="inlineStr">
        <is>
          <t>Стандарт</t>
        </is>
      </c>
      <c r="K20" s="41" t="inlineStr">
        <is>
          <t>Свернуть в раздел</t>
        </is>
      </c>
      <c r="L20" s="41" t="inlineStr">
        <is>
          <t>вывоз, мусора, пухто, 27м, куб</t>
        </is>
      </c>
      <c r="M20" s="41" t="inlineStr">
        <is>
          <t>Да</t>
        </is>
      </c>
      <c r="N20" s="41" t="inlineStr">
        <is>
          <t>Да</t>
        </is>
      </c>
      <c r="O20" s="45" t="inlineStr">
        <is>
          <t>Импортировано из PRICE_MASTER; строк-источников: 1</t>
        </is>
      </c>
      <c r="P20" s="41" t="inlineStr">
        <is>
          <t>Нет</t>
        </is>
      </c>
      <c r="Q20" s="41" t="inlineStr">
        <is>
          <t>Импорт из PRICE_MASTER</t>
        </is>
      </c>
      <c r="R20" s="41" t="inlineStr">
        <is>
          <t>Высокая</t>
        </is>
      </c>
      <c r="S20" s="41" t="n">
        <v>1</v>
      </c>
      <c r="T20" s="41" t="inlineStr">
        <is>
          <t>SRC-0038</t>
        </is>
      </c>
    </row>
    <row r="21">
      <c r="A21" s="42" t="inlineStr">
        <is>
          <t>RWORK-0020</t>
        </is>
      </c>
      <c r="B21" s="42" t="inlineStr">
        <is>
          <t>Выезд электрика для подключения в вагончике</t>
        </is>
      </c>
      <c r="C21" s="42" t="inlineStr">
        <is>
          <t>Выезд электрика для подключения в вагончике</t>
        </is>
      </c>
      <c r="D21" s="42" t="inlineStr">
        <is>
          <t>Временные сооружения и обеспечение</t>
        </is>
      </c>
      <c r="E21" s="42" t="inlineStr">
        <is>
          <t>Бытовые условия стройплощадки</t>
        </is>
      </c>
      <c r="F21" s="42" t="inlineStr">
        <is>
          <t>Логистика</t>
        </is>
      </c>
      <c r="G21" s="42" t="inlineStr">
        <is>
          <t>кол-во раз</t>
        </is>
      </c>
      <c r="H21" s="42" t="inlineStr">
        <is>
          <t>за ед.</t>
        </is>
      </c>
      <c r="I21" s="46" t="n">
        <v>5000</v>
      </c>
      <c r="J21" s="42" t="inlineStr">
        <is>
          <t>Стандарт</t>
        </is>
      </c>
      <c r="K21" s="42" t="inlineStr">
        <is>
          <t>Свернуть в раздел</t>
        </is>
      </c>
      <c r="L21" s="42" t="inlineStr">
        <is>
          <t>выезд, электрика, подключения, вагончике</t>
        </is>
      </c>
      <c r="M21" s="42" t="inlineStr">
        <is>
          <t>Да</t>
        </is>
      </c>
      <c r="N21" s="42" t="inlineStr">
        <is>
          <t>Да</t>
        </is>
      </c>
      <c r="O21" s="48" t="inlineStr">
        <is>
          <t>Импортировано из PRICE_MASTER; строк-источников: 1</t>
        </is>
      </c>
      <c r="P21" s="42" t="inlineStr">
        <is>
          <t>Нет</t>
        </is>
      </c>
      <c r="Q21" s="42" t="inlineStr">
        <is>
          <t>Импорт из PRICE_MASTER</t>
        </is>
      </c>
      <c r="R21" s="42" t="inlineStr">
        <is>
          <t>Высокая</t>
        </is>
      </c>
      <c r="S21" s="42" t="n">
        <v>1</v>
      </c>
      <c r="T21" s="42" t="inlineStr">
        <is>
          <t>SRC-0039</t>
        </is>
      </c>
    </row>
    <row r="22">
      <c r="A22" s="41" t="inlineStr">
        <is>
          <t>RWORK-0021</t>
        </is>
      </c>
      <c r="B22" s="41" t="inlineStr">
        <is>
          <t>Выемка грунта (вручную)</t>
        </is>
      </c>
      <c r="C22" s="41" t="inlineStr">
        <is>
          <t>Выемка грунта (вручную)</t>
        </is>
      </c>
      <c r="D22" s="41" t="inlineStr">
        <is>
          <t>Мощение</t>
        </is>
      </c>
      <c r="E22" s="41" t="inlineStr">
        <is>
          <t>Подготовка и демонтаж</t>
        </is>
      </c>
      <c r="F22" s="41" t="inlineStr">
        <is>
          <t>Работа</t>
        </is>
      </c>
      <c r="G22" s="41" t="inlineStr">
        <is>
          <t>м3</t>
        </is>
      </c>
      <c r="H22" s="41" t="inlineStr">
        <is>
          <t>за м3</t>
        </is>
      </c>
      <c r="I22" s="43" t="n">
        <v>1100</v>
      </c>
      <c r="J22" s="41" t="inlineStr">
        <is>
          <t>Ручной</t>
        </is>
      </c>
      <c r="K22" s="41" t="inlineStr">
        <is>
          <t>Показать строкой</t>
        </is>
      </c>
      <c r="L22" s="41" t="inlineStr">
        <is>
          <t>выемка, грунта, вручную</t>
        </is>
      </c>
      <c r="M22" s="41" t="inlineStr">
        <is>
          <t>Да</t>
        </is>
      </c>
      <c r="N22" s="41" t="inlineStr">
        <is>
          <t>Да</t>
        </is>
      </c>
      <c r="O22" s="45" t="inlineStr">
        <is>
          <t>Импортировано из PRICE_MASTER; строк-источников: 1</t>
        </is>
      </c>
      <c r="P22" s="41" t="inlineStr">
        <is>
          <t>Да</t>
        </is>
      </c>
      <c r="Q22" s="41" t="inlineStr">
        <is>
          <t>Импорт из PRICE_MASTER</t>
        </is>
      </c>
      <c r="R22" s="41" t="inlineStr">
        <is>
          <t>Высокая</t>
        </is>
      </c>
      <c r="S22" s="41" t="n">
        <v>1</v>
      </c>
      <c r="T22" s="41" t="inlineStr">
        <is>
          <t>SRC-0040</t>
        </is>
      </c>
    </row>
    <row r="23">
      <c r="A23" s="42" t="inlineStr">
        <is>
          <t>RWORK-0022</t>
        </is>
      </c>
      <c r="B23" s="42" t="inlineStr">
        <is>
          <t>Выемка грунта (механическая)</t>
        </is>
      </c>
      <c r="C23" s="42" t="inlineStr">
        <is>
          <t>Выемка грунта (механическая)</t>
        </is>
      </c>
      <c r="D23" s="42" t="inlineStr">
        <is>
          <t>Мощение</t>
        </is>
      </c>
      <c r="E23" s="42" t="inlineStr">
        <is>
          <t>Подготовка и демонтаж</t>
        </is>
      </c>
      <c r="F23" s="42" t="inlineStr">
        <is>
          <t>Работа</t>
        </is>
      </c>
      <c r="G23" s="42" t="inlineStr">
        <is>
          <t>м3</t>
        </is>
      </c>
      <c r="H23" s="42" t="inlineStr">
        <is>
          <t>за м3</t>
        </is>
      </c>
      <c r="I23" s="46" t="n">
        <v>800</v>
      </c>
      <c r="J23" s="42" t="inlineStr">
        <is>
          <t>Стандарт</t>
        </is>
      </c>
      <c r="K23" s="42" t="inlineStr">
        <is>
          <t>Показать строкой</t>
        </is>
      </c>
      <c r="L23" s="42" t="inlineStr">
        <is>
          <t>выемка, грунта, механическая</t>
        </is>
      </c>
      <c r="M23" s="42" t="inlineStr">
        <is>
          <t>Да</t>
        </is>
      </c>
      <c r="N23" s="42" t="inlineStr">
        <is>
          <t>Да</t>
        </is>
      </c>
      <c r="O23" s="48" t="inlineStr">
        <is>
          <t>Импортировано из PRICE_MASTER; строк-источников: 1</t>
        </is>
      </c>
      <c r="P23" s="42" t="inlineStr">
        <is>
          <t>Да</t>
        </is>
      </c>
      <c r="Q23" s="42" t="inlineStr">
        <is>
          <t>Импорт из PRICE_MASTER</t>
        </is>
      </c>
      <c r="R23" s="42" t="inlineStr">
        <is>
          <t>Высокая</t>
        </is>
      </c>
      <c r="S23" s="42" t="n">
        <v>1</v>
      </c>
      <c r="T23" s="42" t="inlineStr">
        <is>
          <t>SRC-0041</t>
        </is>
      </c>
    </row>
    <row r="24">
      <c r="A24" s="41" t="inlineStr">
        <is>
          <t>RWORK-0023</t>
        </is>
      </c>
      <c r="B24" s="41" t="inlineStr">
        <is>
          <t>Выемка кирпича и бетона (с наружной стороны забора) с упаковкой в мешки</t>
        </is>
      </c>
      <c r="C24" s="41" t="inlineStr">
        <is>
          <t>Выемка кирпича и бетона (с наружной стороны забора) с упаковкой в мешки</t>
        </is>
      </c>
      <c r="D24" s="41" t="inlineStr">
        <is>
          <t>Демонтаж и расчистка</t>
        </is>
      </c>
      <c r="E24" s="41" t="inlineStr">
        <is>
          <t>Демонтаж</t>
        </is>
      </c>
      <c r="F24" s="41" t="inlineStr">
        <is>
          <t>Работа</t>
        </is>
      </c>
      <c r="G24" s="41" t="inlineStr">
        <is>
          <t>м.пог.</t>
        </is>
      </c>
      <c r="H24" s="41" t="inlineStr">
        <is>
          <t>за ед.</t>
        </is>
      </c>
      <c r="I24" s="43" t="n">
        <v>1200</v>
      </c>
      <c r="J24" s="41" t="inlineStr">
        <is>
          <t>Стандарт</t>
        </is>
      </c>
      <c r="K24" s="41" t="inlineStr">
        <is>
          <t>Показать строкой</t>
        </is>
      </c>
      <c r="L24" s="41" t="inlineStr">
        <is>
          <t>выемка, кирпича, бетона, наружной, стороны, забора, упаковкой, мешки</t>
        </is>
      </c>
      <c r="M24" s="41" t="inlineStr">
        <is>
          <t>Да</t>
        </is>
      </c>
      <c r="N24" s="41" t="inlineStr">
        <is>
          <t>Да</t>
        </is>
      </c>
      <c r="O24" s="45" t="inlineStr">
        <is>
          <t>Импортировано из PRICE_MASTER; строк-источников: 1</t>
        </is>
      </c>
      <c r="P24" s="41" t="inlineStr">
        <is>
          <t>Да</t>
        </is>
      </c>
      <c r="Q24" s="41" t="inlineStr">
        <is>
          <t>Импорт из PRICE_MASTER</t>
        </is>
      </c>
      <c r="R24" s="41" t="inlineStr">
        <is>
          <t>Высокая</t>
        </is>
      </c>
      <c r="S24" s="41" t="n">
        <v>1</v>
      </c>
      <c r="T24" s="41" t="inlineStr">
        <is>
          <t>SRC-0042</t>
        </is>
      </c>
    </row>
    <row r="25">
      <c r="A25" s="42" t="inlineStr">
        <is>
          <t>RWORK-0024</t>
        </is>
      </c>
      <c r="B25" s="42" t="inlineStr">
        <is>
          <t>Выемка строительного мусора из почвы</t>
        </is>
      </c>
      <c r="C25" s="42" t="inlineStr">
        <is>
          <t>Выемка строительного мусора из почвы</t>
        </is>
      </c>
      <c r="D25" s="42" t="inlineStr">
        <is>
          <t>Демонтаж и расчистка</t>
        </is>
      </c>
      <c r="E25" s="42" t="inlineStr">
        <is>
          <t>Демонтаж</t>
        </is>
      </c>
      <c r="F25" s="42" t="inlineStr">
        <is>
          <t>Работа</t>
        </is>
      </c>
      <c r="G25" s="42" t="inlineStr">
        <is>
          <t>м3</t>
        </is>
      </c>
      <c r="H25" s="42" t="inlineStr">
        <is>
          <t>за м3</t>
        </is>
      </c>
      <c r="I25" s="46" t="n">
        <v>3500</v>
      </c>
      <c r="J25" s="42" t="inlineStr">
        <is>
          <t>Стандарт</t>
        </is>
      </c>
      <c r="K25" s="42" t="inlineStr">
        <is>
          <t>Показать строкой</t>
        </is>
      </c>
      <c r="L25" s="42" t="inlineStr">
        <is>
          <t>выемка, строительного, мусора, почвы</t>
        </is>
      </c>
      <c r="M25" s="42" t="inlineStr">
        <is>
          <t>Да</t>
        </is>
      </c>
      <c r="N25" s="42" t="inlineStr">
        <is>
          <t>Да</t>
        </is>
      </c>
      <c r="O25" s="48" t="inlineStr">
        <is>
          <t>Импортировано из PRICE_MASTER; строк-источников: 1</t>
        </is>
      </c>
      <c r="P25" s="42" t="inlineStr">
        <is>
          <t>Да</t>
        </is>
      </c>
      <c r="Q25" s="42" t="inlineStr">
        <is>
          <t>Импорт из PRICE_MASTER</t>
        </is>
      </c>
      <c r="R25" s="42" t="inlineStr">
        <is>
          <t>Высокая</t>
        </is>
      </c>
      <c r="S25" s="42" t="n">
        <v>1</v>
      </c>
      <c r="T25" s="42" t="inlineStr">
        <is>
          <t>SRC-0043</t>
        </is>
      </c>
    </row>
    <row r="26">
      <c r="A26" s="41" t="inlineStr">
        <is>
          <t>RWORK-0025</t>
        </is>
      </c>
      <c r="B26" s="41" t="inlineStr">
        <is>
          <t>Выкопка елей 1-1,5м</t>
        </is>
      </c>
      <c r="C26" s="41" t="inlineStr">
        <is>
          <t>Выкопка елей 1-1,5м</t>
        </is>
      </c>
      <c r="D26" s="41" t="inlineStr">
        <is>
          <t>Посадки и уход</t>
        </is>
      </c>
      <c r="E26" s="41" t="inlineStr">
        <is>
          <t>Пересадка / удаление растений</t>
        </is>
      </c>
      <c r="F26" s="41" t="inlineStr">
        <is>
          <t>Работа</t>
        </is>
      </c>
      <c r="G26" s="41" t="inlineStr">
        <is>
          <t>шт</t>
        </is>
      </c>
      <c r="H26" s="41" t="inlineStr">
        <is>
          <t>за шт</t>
        </is>
      </c>
      <c r="I26" s="43" t="n">
        <v>1800</v>
      </c>
      <c r="J26" s="41" t="inlineStr">
        <is>
          <t>Стандарт</t>
        </is>
      </c>
      <c r="K26" s="41" t="inlineStr">
        <is>
          <t>Показать строкой</t>
        </is>
      </c>
      <c r="L26" s="41" t="inlineStr">
        <is>
          <t>выкопка, елей</t>
        </is>
      </c>
      <c r="M26" s="41" t="inlineStr">
        <is>
          <t>Да</t>
        </is>
      </c>
      <c r="N26" s="41" t="inlineStr">
        <is>
          <t>Да</t>
        </is>
      </c>
      <c r="O26" s="45" t="inlineStr">
        <is>
          <t>Импортировано из PRICE_MASTER; строк-источников: 1</t>
        </is>
      </c>
      <c r="P26" s="41" t="inlineStr">
        <is>
          <t>Да</t>
        </is>
      </c>
      <c r="Q26" s="41" t="inlineStr">
        <is>
          <t>Импорт из PRICE_MASTER</t>
        </is>
      </c>
      <c r="R26" s="41" t="inlineStr">
        <is>
          <t>Средняя</t>
        </is>
      </c>
      <c r="S26" s="41" t="n">
        <v>1</v>
      </c>
      <c r="T26" s="41" t="inlineStr">
        <is>
          <t>SRC-0044</t>
        </is>
      </c>
    </row>
    <row r="27">
      <c r="A27" s="42" t="inlineStr">
        <is>
          <t>RWORK-0026</t>
        </is>
      </c>
      <c r="B27" s="42" t="inlineStr">
        <is>
          <t>Выкопка шиповника</t>
        </is>
      </c>
      <c r="C27" s="42" t="inlineStr">
        <is>
          <t>Выкопка шиповника</t>
        </is>
      </c>
      <c r="D27" s="42" t="inlineStr">
        <is>
          <t>Демонтаж и расчистка</t>
        </is>
      </c>
      <c r="E27" s="42" t="inlineStr">
        <is>
          <t>Удаление кустарников</t>
        </is>
      </c>
      <c r="F27" s="42" t="inlineStr">
        <is>
          <t>Работа</t>
        </is>
      </c>
      <c r="G27" s="42" t="inlineStr">
        <is>
          <t>шт</t>
        </is>
      </c>
      <c r="H27" s="42" t="inlineStr">
        <is>
          <t>за шт</t>
        </is>
      </c>
      <c r="I27" s="46" t="n">
        <v>950</v>
      </c>
      <c r="J27" s="42" t="inlineStr">
        <is>
          <t>Стандарт</t>
        </is>
      </c>
      <c r="K27" s="42" t="inlineStr">
        <is>
          <t>Показать строкой</t>
        </is>
      </c>
      <c r="L27" s="42" t="inlineStr">
        <is>
          <t>выкопка, шиповника</t>
        </is>
      </c>
      <c r="M27" s="42" t="inlineStr">
        <is>
          <t>Да</t>
        </is>
      </c>
      <c r="N27" s="42" t="inlineStr">
        <is>
          <t>Да</t>
        </is>
      </c>
      <c r="O27" s="48" t="inlineStr">
        <is>
          <t>Импортировано из PRICE_MASTER; строк-источников: 1</t>
        </is>
      </c>
      <c r="P27" s="42" t="inlineStr">
        <is>
          <t>Да</t>
        </is>
      </c>
      <c r="Q27" s="42" t="inlineStr">
        <is>
          <t>Импорт из PRICE_MASTER</t>
        </is>
      </c>
      <c r="R27" s="42" t="inlineStr">
        <is>
          <t>Средняя</t>
        </is>
      </c>
      <c r="S27" s="42" t="n">
        <v>1</v>
      </c>
      <c r="T27" s="42" t="inlineStr">
        <is>
          <t>SRC-0045</t>
        </is>
      </c>
    </row>
    <row r="28">
      <c r="A28" s="41" t="inlineStr">
        <is>
          <t>RWORK-0027</t>
        </is>
      </c>
      <c r="B28" s="41" t="inlineStr">
        <is>
          <t>Вынос проекта с корректировкой по месту</t>
        </is>
      </c>
      <c r="C28" s="41" t="inlineStr">
        <is>
          <t>Вынос проекта с корректировкой по месту</t>
        </is>
      </c>
      <c r="D28" s="41" t="inlineStr">
        <is>
          <t>Земляные и планировочные работы</t>
        </is>
      </c>
      <c r="E28" s="41" t="inlineStr">
        <is>
          <t>Геодезия и разбивка</t>
        </is>
      </c>
      <c r="F28" s="41" t="inlineStr">
        <is>
          <t>Работа</t>
        </is>
      </c>
      <c r="G28" s="41" t="inlineStr">
        <is>
          <t>м2</t>
        </is>
      </c>
      <c r="H28" s="41" t="inlineStr">
        <is>
          <t>за м2</t>
        </is>
      </c>
      <c r="I28" s="43" t="n">
        <v>40</v>
      </c>
      <c r="J28" s="41" t="inlineStr">
        <is>
          <t>Стандарт</t>
        </is>
      </c>
      <c r="K28" s="41" t="inlineStr">
        <is>
          <t>Показать строкой</t>
        </is>
      </c>
      <c r="L28" s="41" t="inlineStr">
        <is>
          <t>вынос, проекта, корректировкой, месту</t>
        </is>
      </c>
      <c r="M28" s="41" t="inlineStr">
        <is>
          <t>Да</t>
        </is>
      </c>
      <c r="N28" s="41" t="inlineStr">
        <is>
          <t>Да</t>
        </is>
      </c>
      <c r="O28" s="45" t="inlineStr">
        <is>
          <t>Импортировано из PRICE_MASTER; строк-источников: 1</t>
        </is>
      </c>
      <c r="P28" s="41" t="inlineStr">
        <is>
          <t>Да</t>
        </is>
      </c>
      <c r="Q28" s="41" t="inlineStr">
        <is>
          <t>Импорт из PRICE_MASTER</t>
        </is>
      </c>
      <c r="R28" s="41" t="inlineStr">
        <is>
          <t>Высокая</t>
        </is>
      </c>
      <c r="S28" s="41" t="n">
        <v>1</v>
      </c>
      <c r="T28" s="41" t="inlineStr">
        <is>
          <t>SRC-0046</t>
        </is>
      </c>
    </row>
    <row r="29">
      <c r="A29" s="42" t="inlineStr">
        <is>
          <t>RWORK-0028</t>
        </is>
      </c>
      <c r="B29" s="42" t="inlineStr">
        <is>
          <t>Грунтование бетонной отмостки в 2 слоя</t>
        </is>
      </c>
      <c r="C29" s="42" t="inlineStr">
        <is>
          <t>Грунтование бетонной отмостки в 2 слоя</t>
        </is>
      </c>
      <c r="D29" s="42" t="inlineStr">
        <is>
          <t>Мощение</t>
        </is>
      </c>
      <c r="E29" s="42" t="inlineStr">
        <is>
          <t>Бетон и конструктив</t>
        </is>
      </c>
      <c r="F29" s="42" t="inlineStr">
        <is>
          <t>Работа</t>
        </is>
      </c>
      <c r="G29" s="42" t="inlineStr">
        <is>
          <t>м2</t>
        </is>
      </c>
      <c r="H29" s="42" t="inlineStr">
        <is>
          <t>за м2</t>
        </is>
      </c>
      <c r="I29" s="46" t="n">
        <v>60</v>
      </c>
      <c r="J29" s="42" t="inlineStr">
        <is>
          <t>Стандарт</t>
        </is>
      </c>
      <c r="K29" s="42" t="inlineStr">
        <is>
          <t>Показать строкой</t>
        </is>
      </c>
      <c r="L29" s="42" t="inlineStr">
        <is>
          <t>грунтование, бетонной, отмостки</t>
        </is>
      </c>
      <c r="M29" s="42" t="inlineStr">
        <is>
          <t>Да</t>
        </is>
      </c>
      <c r="N29" s="42" t="inlineStr">
        <is>
          <t>Да</t>
        </is>
      </c>
      <c r="O29" s="48" t="inlineStr">
        <is>
          <t>Импортировано из PRICE_MASTER; строк-источников: 1</t>
        </is>
      </c>
      <c r="P29" s="42" t="inlineStr">
        <is>
          <t>Да</t>
        </is>
      </c>
      <c r="Q29" s="42" t="inlineStr">
        <is>
          <t>Импорт из PRICE_MASTER</t>
        </is>
      </c>
      <c r="R29" s="42" t="inlineStr">
        <is>
          <t>Высокая</t>
        </is>
      </c>
      <c r="S29" s="42" t="n">
        <v>1</v>
      </c>
      <c r="T29" s="42" t="inlineStr">
        <is>
          <t>SRC-0061</t>
        </is>
      </c>
    </row>
    <row r="30">
      <c r="A30" s="41" t="inlineStr">
        <is>
          <t>RWORK-0029</t>
        </is>
      </c>
      <c r="B30" s="41" t="inlineStr">
        <is>
          <t>Демонтаж бетона подпорных стенок</t>
        </is>
      </c>
      <c r="C30" s="41" t="inlineStr">
        <is>
          <t>Демонтаж бетона подпорных стенок</t>
        </is>
      </c>
      <c r="D30" s="41" t="inlineStr">
        <is>
          <t>Демонтаж и расчистка</t>
        </is>
      </c>
      <c r="E30" s="41" t="inlineStr">
        <is>
          <t>Демонтаж</t>
        </is>
      </c>
      <c r="F30" s="41" t="inlineStr">
        <is>
          <t>Работа</t>
        </is>
      </c>
      <c r="G30" s="41" t="inlineStr">
        <is>
          <t>м3</t>
        </is>
      </c>
      <c r="H30" s="41" t="inlineStr">
        <is>
          <t>за м3</t>
        </is>
      </c>
      <c r="I30" s="43" t="n">
        <v>3900</v>
      </c>
      <c r="J30" s="41" t="inlineStr">
        <is>
          <t>Стандарт</t>
        </is>
      </c>
      <c r="K30" s="41" t="inlineStr">
        <is>
          <t>Показать строкой</t>
        </is>
      </c>
      <c r="L30" s="41" t="inlineStr">
        <is>
          <t>демонтаж, бетона, подпорных, стенок</t>
        </is>
      </c>
      <c r="M30" s="41" t="inlineStr">
        <is>
          <t>Да</t>
        </is>
      </c>
      <c r="N30" s="41" t="inlineStr">
        <is>
          <t>Да</t>
        </is>
      </c>
      <c r="O30" s="45" t="inlineStr">
        <is>
          <t>Импортировано из PRICE_MASTER; строк-источников: 1</t>
        </is>
      </c>
      <c r="P30" s="41" t="inlineStr">
        <is>
          <t>Да</t>
        </is>
      </c>
      <c r="Q30" s="41" t="inlineStr">
        <is>
          <t>Импорт из PRICE_MASTER</t>
        </is>
      </c>
      <c r="R30" s="41" t="inlineStr">
        <is>
          <t>Высокая</t>
        </is>
      </c>
      <c r="S30" s="41" t="n">
        <v>1</v>
      </c>
      <c r="T30" s="41" t="inlineStr">
        <is>
          <t>SRC-0063</t>
        </is>
      </c>
    </row>
    <row r="31">
      <c r="A31" s="42" t="inlineStr">
        <is>
          <t>RWORK-0030</t>
        </is>
      </c>
      <c r="B31" s="42" t="inlineStr">
        <is>
          <t>Демонтаж бетонной стяжки с упаковкой в мешки</t>
        </is>
      </c>
      <c r="C31" s="42" t="inlineStr">
        <is>
          <t>Демонтаж бетонной стяжки с упаковкой в мешки</t>
        </is>
      </c>
      <c r="D31" s="42" t="inlineStr">
        <is>
          <t>Демонтаж и расчистка</t>
        </is>
      </c>
      <c r="E31" s="42" t="inlineStr">
        <is>
          <t>Демонтаж</t>
        </is>
      </c>
      <c r="F31" s="42" t="inlineStr">
        <is>
          <t>Работа</t>
        </is>
      </c>
      <c r="G31" s="42" t="inlineStr">
        <is>
          <t>м.пог.</t>
        </is>
      </c>
      <c r="H31" s="42" t="inlineStr">
        <is>
          <t>за ед.</t>
        </is>
      </c>
      <c r="I31" s="46" t="n">
        <v>950</v>
      </c>
      <c r="J31" s="42" t="inlineStr">
        <is>
          <t>Стандарт</t>
        </is>
      </c>
      <c r="K31" s="42" t="inlineStr">
        <is>
          <t>Показать строкой</t>
        </is>
      </c>
      <c r="L31" s="42" t="inlineStr">
        <is>
          <t>демонтаж, бетонной, стяжки, упаковкой, мешки</t>
        </is>
      </c>
      <c r="M31" s="42" t="inlineStr">
        <is>
          <t>Да</t>
        </is>
      </c>
      <c r="N31" s="42" t="inlineStr">
        <is>
          <t>Да</t>
        </is>
      </c>
      <c r="O31" s="48" t="inlineStr">
        <is>
          <t>Импортировано из PRICE_MASTER; строк-источников: 1</t>
        </is>
      </c>
      <c r="P31" s="42" t="inlineStr">
        <is>
          <t>Да</t>
        </is>
      </c>
      <c r="Q31" s="42" t="inlineStr">
        <is>
          <t>Импорт из PRICE_MASTER</t>
        </is>
      </c>
      <c r="R31" s="42" t="inlineStr">
        <is>
          <t>Высокая</t>
        </is>
      </c>
      <c r="S31" s="42" t="n">
        <v>1</v>
      </c>
      <c r="T31" s="42" t="inlineStr">
        <is>
          <t>SRC-0064</t>
        </is>
      </c>
    </row>
    <row r="32">
      <c r="A32" s="41" t="inlineStr">
        <is>
          <t>RWORK-0031</t>
        </is>
      </c>
      <c r="B32" s="41" t="inlineStr">
        <is>
          <t>Демонтаж гряд</t>
        </is>
      </c>
      <c r="C32" s="41" t="inlineStr">
        <is>
          <t>Демонтаж гряд</t>
        </is>
      </c>
      <c r="D32" s="41" t="inlineStr">
        <is>
          <t>Демонтаж и расчистка</t>
        </is>
      </c>
      <c r="E32" s="41" t="inlineStr">
        <is>
          <t>Демонтаж</t>
        </is>
      </c>
      <c r="F32" s="41" t="inlineStr">
        <is>
          <t>Работа</t>
        </is>
      </c>
      <c r="G32" s="41" t="inlineStr">
        <is>
          <t>м2</t>
        </is>
      </c>
      <c r="H32" s="41" t="inlineStr">
        <is>
          <t>за м2</t>
        </is>
      </c>
      <c r="I32" s="43" t="n">
        <v>650</v>
      </c>
      <c r="J32" s="41" t="inlineStr">
        <is>
          <t>Стандарт</t>
        </is>
      </c>
      <c r="K32" s="41" t="inlineStr">
        <is>
          <t>Показать строкой</t>
        </is>
      </c>
      <c r="L32" s="41" t="inlineStr">
        <is>
          <t>демонтаж, гряд</t>
        </is>
      </c>
      <c r="M32" s="41" t="inlineStr">
        <is>
          <t>Да</t>
        </is>
      </c>
      <c r="N32" s="41" t="inlineStr">
        <is>
          <t>Да</t>
        </is>
      </c>
      <c r="O32" s="45" t="inlineStr">
        <is>
          <t>Импортировано из PRICE_MASTER; строк-источников: 1</t>
        </is>
      </c>
      <c r="P32" s="41" t="inlineStr">
        <is>
          <t>Да</t>
        </is>
      </c>
      <c r="Q32" s="41" t="inlineStr">
        <is>
          <t>Импорт из PRICE_MASTER</t>
        </is>
      </c>
      <c r="R32" s="41" t="inlineStr">
        <is>
          <t>Высокая</t>
        </is>
      </c>
      <c r="S32" s="41" t="n">
        <v>1</v>
      </c>
      <c r="T32" s="41" t="inlineStr">
        <is>
          <t>SRC-0065</t>
        </is>
      </c>
    </row>
    <row r="33">
      <c r="A33" s="42" t="inlineStr">
        <is>
          <t>RWORK-0032</t>
        </is>
      </c>
      <c r="B33" s="42" t="inlineStr">
        <is>
          <t>Демонтаж дождеприемников</t>
        </is>
      </c>
      <c r="C33" s="42" t="inlineStr">
        <is>
          <t>Демонтаж дождеприемников</t>
        </is>
      </c>
      <c r="D33" s="42" t="inlineStr">
        <is>
          <t>Ливневая канализация</t>
        </is>
      </c>
      <c r="E33" s="42" t="inlineStr">
        <is>
          <t>Демонтаж</t>
        </is>
      </c>
      <c r="F33" s="42" t="inlineStr">
        <is>
          <t>Работа</t>
        </is>
      </c>
      <c r="G33" s="42" t="inlineStr">
        <is>
          <t>шт</t>
        </is>
      </c>
      <c r="H33" s="42" t="inlineStr">
        <is>
          <t>за шт</t>
        </is>
      </c>
      <c r="I33" s="46" t="n">
        <v>1500</v>
      </c>
      <c r="J33" s="42" t="inlineStr">
        <is>
          <t>Стандарт</t>
        </is>
      </c>
      <c r="K33" s="42" t="inlineStr">
        <is>
          <t>Показать строкой</t>
        </is>
      </c>
      <c r="L33" s="42" t="inlineStr">
        <is>
          <t>демонтаж, дождеприемников</t>
        </is>
      </c>
      <c r="M33" s="42" t="inlineStr">
        <is>
          <t>Да</t>
        </is>
      </c>
      <c r="N33" s="42" t="inlineStr">
        <is>
          <t>Да</t>
        </is>
      </c>
      <c r="O33" s="48" t="inlineStr">
        <is>
          <t>Импортировано из PRICE_MASTER; строк-источников: 1</t>
        </is>
      </c>
      <c r="P33" s="42" t="inlineStr">
        <is>
          <t>Да</t>
        </is>
      </c>
      <c r="Q33" s="42" t="inlineStr">
        <is>
          <t>Импорт из PRICE_MASTER</t>
        </is>
      </c>
      <c r="R33" s="42" t="inlineStr">
        <is>
          <t>Высокая</t>
        </is>
      </c>
      <c r="S33" s="42" t="n">
        <v>1</v>
      </c>
      <c r="T33" s="42" t="inlineStr">
        <is>
          <t>SRC-0066</t>
        </is>
      </c>
    </row>
    <row r="34">
      <c r="A34" s="41" t="inlineStr">
        <is>
          <t>RWORK-0033</t>
        </is>
      </c>
      <c r="B34" s="41" t="inlineStr">
        <is>
          <t>Доставка/вывоз туалетной кабины</t>
        </is>
      </c>
      <c r="C34" s="41" t="inlineStr">
        <is>
          <t>Доставка/вывоз туалетной кабины</t>
        </is>
      </c>
      <c r="D34" s="41" t="inlineStr">
        <is>
          <t>Временные сооружения и обеспечение</t>
        </is>
      </c>
      <c r="E34" s="41" t="inlineStr">
        <is>
          <t>Бытовые условия стройплощадки</t>
        </is>
      </c>
      <c r="F34" s="41" t="inlineStr">
        <is>
          <t>Логистика</t>
        </is>
      </c>
      <c r="G34" s="41" t="inlineStr">
        <is>
          <t>кол-во раз</t>
        </is>
      </c>
      <c r="H34" s="41" t="inlineStr">
        <is>
          <t>за ед.</t>
        </is>
      </c>
      <c r="I34" s="43" t="n">
        <v>3600</v>
      </c>
      <c r="J34" s="41" t="inlineStr">
        <is>
          <t>Стандарт</t>
        </is>
      </c>
      <c r="K34" s="41" t="inlineStr">
        <is>
          <t>Свернуть в раздел</t>
        </is>
      </c>
      <c r="L34" s="41" t="inlineStr">
        <is>
          <t>доставка, вывоз, туалетной, кабины</t>
        </is>
      </c>
      <c r="M34" s="41" t="inlineStr">
        <is>
          <t>Да</t>
        </is>
      </c>
      <c r="N34" s="41" t="inlineStr">
        <is>
          <t>Да</t>
        </is>
      </c>
      <c r="O34" s="45" t="inlineStr">
        <is>
          <t>Импортировано из PRICE_MASTER; строк-источников: 1</t>
        </is>
      </c>
      <c r="P34" s="41" t="inlineStr">
        <is>
          <t>Нет</t>
        </is>
      </c>
      <c r="Q34" s="41" t="inlineStr">
        <is>
          <t>Импорт из PRICE_MASTER</t>
        </is>
      </c>
      <c r="R34" s="41" t="inlineStr">
        <is>
          <t>Высокая</t>
        </is>
      </c>
      <c r="S34" s="41" t="n">
        <v>1</v>
      </c>
      <c r="T34" s="41" t="inlineStr">
        <is>
          <t>SRC-0078</t>
        </is>
      </c>
    </row>
    <row r="35">
      <c r="A35" s="42" t="inlineStr">
        <is>
          <t>RWORK-0034</t>
        </is>
      </c>
      <c r="B35" s="42" t="inlineStr">
        <is>
          <t>Доставки материалов и оборудования, погрузочно-разгрузочные работы</t>
        </is>
      </c>
      <c r="C35" s="42" t="inlineStr">
        <is>
          <t>Доставки материалов и оборудования, погрузочно-разгрузочные работы</t>
        </is>
      </c>
      <c r="D35" s="42" t="inlineStr">
        <is>
          <t>Логистика и снабжение</t>
        </is>
      </c>
      <c r="E35" s="42" t="inlineStr">
        <is>
          <t>Доставка и ПРР</t>
        </is>
      </c>
      <c r="F35" s="42" t="inlineStr">
        <is>
          <t>Логистика</t>
        </is>
      </c>
      <c r="G35" s="42" t="inlineStr">
        <is>
          <t>%</t>
        </is>
      </c>
      <c r="H35" s="42" t="inlineStr">
        <is>
          <t>%</t>
        </is>
      </c>
      <c r="I35" s="46" t="n">
        <v>0.056</v>
      </c>
      <c r="J35" s="42" t="inlineStr">
        <is>
          <t>Стандарт</t>
        </is>
      </c>
      <c r="K35" s="42" t="inlineStr">
        <is>
          <t>Свернуть в раздел</t>
        </is>
      </c>
      <c r="L35" s="42" t="inlineStr">
        <is>
          <t>доставки, оборудования, погрузочно, разгрузочные, работы</t>
        </is>
      </c>
      <c r="M35" s="42" t="inlineStr">
        <is>
          <t>Да</t>
        </is>
      </c>
      <c r="N35" s="42" t="inlineStr">
        <is>
          <t>Да</t>
        </is>
      </c>
      <c r="O35" s="48" t="inlineStr">
        <is>
          <t>Импортировано из PRICE_MASTER; строк-источников: 1</t>
        </is>
      </c>
      <c r="P35" s="42" t="inlineStr">
        <is>
          <t>Нет</t>
        </is>
      </c>
      <c r="Q35" s="42" t="inlineStr">
        <is>
          <t>Импорт из PRICE_MASTER</t>
        </is>
      </c>
      <c r="R35" s="42" t="inlineStr">
        <is>
          <t>Высокая</t>
        </is>
      </c>
      <c r="S35" s="42" t="n">
        <v>1</v>
      </c>
      <c r="T35" s="42" t="inlineStr">
        <is>
          <t>SRC-0079</t>
        </is>
      </c>
    </row>
    <row r="36">
      <c r="A36" s="41" t="inlineStr">
        <is>
          <t>RWORK-0035</t>
        </is>
      </c>
      <c r="B36" s="41" t="inlineStr">
        <is>
          <t>Завоз-вывоз вагончика</t>
        </is>
      </c>
      <c r="C36" s="41" t="inlineStr">
        <is>
          <t>Завоз-вывоз вагончика</t>
        </is>
      </c>
      <c r="D36" s="41" t="inlineStr">
        <is>
          <t>Временные сооружения и обеспечение</t>
        </is>
      </c>
      <c r="E36" s="41" t="inlineStr">
        <is>
          <t>Бытовые условия стройплощадки</t>
        </is>
      </c>
      <c r="F36" s="41" t="inlineStr">
        <is>
          <t>Логистика</t>
        </is>
      </c>
      <c r="G36" s="41" t="inlineStr">
        <is>
          <t>кол-во раз</t>
        </is>
      </c>
      <c r="H36" s="41" t="inlineStr">
        <is>
          <t>за ед.</t>
        </is>
      </c>
      <c r="I36" s="43" t="n">
        <v>17900</v>
      </c>
      <c r="J36" s="41" t="inlineStr">
        <is>
          <t>Стандарт</t>
        </is>
      </c>
      <c r="K36" s="41" t="inlineStr">
        <is>
          <t>Свернуть в раздел</t>
        </is>
      </c>
      <c r="L36" s="41" t="inlineStr">
        <is>
          <t>завоз, вывоз, вагончика</t>
        </is>
      </c>
      <c r="M36" s="41" t="inlineStr">
        <is>
          <t>Да</t>
        </is>
      </c>
      <c r="N36" s="41" t="inlineStr">
        <is>
          <t>Да</t>
        </is>
      </c>
      <c r="O36" s="45" t="inlineStr">
        <is>
          <t>Импортировано из PRICE_MASTER; строк-источников: 1</t>
        </is>
      </c>
      <c r="P36" s="41" t="inlineStr">
        <is>
          <t>Нет</t>
        </is>
      </c>
      <c r="Q36" s="41" t="inlineStr">
        <is>
          <t>Импорт из PRICE_MASTER</t>
        </is>
      </c>
      <c r="R36" s="41" t="inlineStr">
        <is>
          <t>Высокая</t>
        </is>
      </c>
      <c r="S36" s="41" t="n">
        <v>1</v>
      </c>
      <c r="T36" s="41" t="inlineStr">
        <is>
          <t>SRC-0081</t>
        </is>
      </c>
    </row>
    <row r="37">
      <c r="A37" s="42" t="inlineStr">
        <is>
          <t>RWORK-0036</t>
        </is>
      </c>
      <c r="B37" s="42" t="inlineStr">
        <is>
          <t>Заливка бетона</t>
        </is>
      </c>
      <c r="C37" s="42" t="inlineStr">
        <is>
          <t>Заливка бетона</t>
        </is>
      </c>
      <c r="D37" s="42" t="inlineStr">
        <is>
          <t>Мощение</t>
        </is>
      </c>
      <c r="E37" s="42" t="inlineStr">
        <is>
          <t>Бетон и конструктив</t>
        </is>
      </c>
      <c r="F37" s="42" t="inlineStr">
        <is>
          <t>Работа</t>
        </is>
      </c>
      <c r="G37" s="42" t="inlineStr">
        <is>
          <t>м3</t>
        </is>
      </c>
      <c r="H37" s="42" t="inlineStr">
        <is>
          <t>за м3</t>
        </is>
      </c>
      <c r="I37" s="46" t="n">
        <v>9500</v>
      </c>
      <c r="J37" s="42" t="inlineStr">
        <is>
          <t>Стандарт</t>
        </is>
      </c>
      <c r="K37" s="42" t="inlineStr">
        <is>
          <t>Показать строкой</t>
        </is>
      </c>
      <c r="L37" s="42" t="inlineStr">
        <is>
          <t>заливка, бетона</t>
        </is>
      </c>
      <c r="M37" s="42" t="inlineStr">
        <is>
          <t>Да</t>
        </is>
      </c>
      <c r="N37" s="42" t="inlineStr">
        <is>
          <t>Да</t>
        </is>
      </c>
      <c r="O37" s="48" t="inlineStr">
        <is>
          <t>Импортировано из PRICE_MASTER; строк-источников: 1</t>
        </is>
      </c>
      <c r="P37" s="42" t="inlineStr">
        <is>
          <t>Да</t>
        </is>
      </c>
      <c r="Q37" s="42" t="inlineStr">
        <is>
          <t>Импорт из PRICE_MASTER</t>
        </is>
      </c>
      <c r="R37" s="42" t="inlineStr">
        <is>
          <t>Высокая</t>
        </is>
      </c>
      <c r="S37" s="42" t="n">
        <v>1</v>
      </c>
      <c r="T37" s="42" t="inlineStr">
        <is>
          <t>SRC-0082</t>
        </is>
      </c>
    </row>
    <row r="38">
      <c r="A38" s="41" t="inlineStr">
        <is>
          <t>RWORK-0037</t>
        </is>
      </c>
      <c r="B38" s="41" t="inlineStr">
        <is>
          <t>Заливка бетона</t>
        </is>
      </c>
      <c r="C38" s="41" t="inlineStr">
        <is>
          <t>Заливка бетона</t>
        </is>
      </c>
      <c r="D38" s="41" t="inlineStr">
        <is>
          <t>Ступени / пандусы / бетонные элементы</t>
        </is>
      </c>
      <c r="E38" s="41" t="inlineStr">
        <is>
          <t>Бетон и армирование</t>
        </is>
      </c>
      <c r="F38" s="41" t="inlineStr">
        <is>
          <t>Работа</t>
        </is>
      </c>
      <c r="G38" s="41" t="inlineStr">
        <is>
          <t>м3</t>
        </is>
      </c>
      <c r="H38" s="41" t="inlineStr">
        <is>
          <t>за м3</t>
        </is>
      </c>
      <c r="I38" s="43" t="n">
        <v>9900</v>
      </c>
      <c r="J38" s="41" t="inlineStr">
        <is>
          <t>Стандарт</t>
        </is>
      </c>
      <c r="K38" s="41" t="inlineStr">
        <is>
          <t>Показать строкой</t>
        </is>
      </c>
      <c r="L38" s="41" t="inlineStr">
        <is>
          <t>заливка, бетона</t>
        </is>
      </c>
      <c r="M38" s="41" t="inlineStr">
        <is>
          <t>Да</t>
        </is>
      </c>
      <c r="N38" s="41" t="inlineStr">
        <is>
          <t>Да</t>
        </is>
      </c>
      <c r="O38" s="45" t="inlineStr">
        <is>
          <t>Импортировано из PRICE_MASTER; строк-источников: 1</t>
        </is>
      </c>
      <c r="P38" s="41" t="inlineStr">
        <is>
          <t>Да</t>
        </is>
      </c>
      <c r="Q38" s="41" t="inlineStr">
        <is>
          <t>Импорт из PRICE_MASTER</t>
        </is>
      </c>
      <c r="R38" s="41" t="inlineStr">
        <is>
          <t>Высокая</t>
        </is>
      </c>
      <c r="S38" s="41" t="n">
        <v>1</v>
      </c>
      <c r="T38" s="41" t="inlineStr">
        <is>
          <t>SRC-0083</t>
        </is>
      </c>
    </row>
    <row r="39">
      <c r="A39" s="42" t="inlineStr">
        <is>
          <t>RWORK-0038</t>
        </is>
      </c>
      <c r="B39" s="42" t="inlineStr">
        <is>
          <t>Изготовление и монтаж грядок в теплице</t>
        </is>
      </c>
      <c r="C39" s="42" t="inlineStr">
        <is>
          <t>Изготовление и монтаж грядок в теплице</t>
        </is>
      </c>
      <c r="D39" s="42" t="inlineStr">
        <is>
          <t>Мощение</t>
        </is>
      </c>
      <c r="E39" s="42" t="inlineStr">
        <is>
          <t>Конструкции и отделка</t>
        </is>
      </c>
      <c r="F39" s="42" t="inlineStr">
        <is>
          <t>Работа</t>
        </is>
      </c>
      <c r="G39" s="42" t="inlineStr">
        <is>
          <t>м.пог.</t>
        </is>
      </c>
      <c r="H39" s="42" t="inlineStr">
        <is>
          <t>за ед.</t>
        </is>
      </c>
      <c r="I39" s="46" t="n">
        <v>850</v>
      </c>
      <c r="J39" s="42" t="inlineStr">
        <is>
          <t>Стандарт</t>
        </is>
      </c>
      <c r="K39" s="42" t="inlineStr">
        <is>
          <t>Показать строкой</t>
        </is>
      </c>
      <c r="L39" s="42" t="inlineStr">
        <is>
          <t>изготовление, грядок, теплице</t>
        </is>
      </c>
      <c r="M39" s="42" t="inlineStr">
        <is>
          <t>Да</t>
        </is>
      </c>
      <c r="N39" s="42" t="inlineStr">
        <is>
          <t>Да</t>
        </is>
      </c>
      <c r="O39" s="48" t="inlineStr">
        <is>
          <t>Импортировано из PRICE_MASTER; строк-источников: 1</t>
        </is>
      </c>
      <c r="P39" s="42" t="inlineStr">
        <is>
          <t>Да</t>
        </is>
      </c>
      <c r="Q39" s="42" t="inlineStr">
        <is>
          <t>Импорт из PRICE_MASTER</t>
        </is>
      </c>
      <c r="R39" s="42" t="inlineStr">
        <is>
          <t>Высокая</t>
        </is>
      </c>
      <c r="S39" s="42" t="n">
        <v>1</v>
      </c>
      <c r="T39" s="42" t="inlineStr">
        <is>
          <t>SRC-0085</t>
        </is>
      </c>
    </row>
    <row r="40">
      <c r="A40" s="41" t="inlineStr">
        <is>
          <t>RWORK-0039</t>
        </is>
      </c>
      <c r="B40" s="41" t="inlineStr">
        <is>
          <t>Изготовление и монтаж уличных грядок</t>
        </is>
      </c>
      <c r="C40" s="41" t="inlineStr">
        <is>
          <t>Изготовление и монтаж уличных грядок</t>
        </is>
      </c>
      <c r="D40" s="41" t="inlineStr">
        <is>
          <t>Мощение</t>
        </is>
      </c>
      <c r="E40" s="41" t="inlineStr">
        <is>
          <t>Конструкции и отделка</t>
        </is>
      </c>
      <c r="F40" s="41" t="inlineStr">
        <is>
          <t>Работа</t>
        </is>
      </c>
      <c r="G40" s="41" t="inlineStr">
        <is>
          <t>м.пог.</t>
        </is>
      </c>
      <c r="H40" s="41" t="inlineStr">
        <is>
          <t>за ед.</t>
        </is>
      </c>
      <c r="I40" s="43" t="n">
        <v>850</v>
      </c>
      <c r="J40" s="41" t="inlineStr">
        <is>
          <t>Стандарт</t>
        </is>
      </c>
      <c r="K40" s="41" t="inlineStr">
        <is>
          <t>Показать строкой</t>
        </is>
      </c>
      <c r="L40" s="41" t="inlineStr">
        <is>
          <t>изготовление, уличных, грядок</t>
        </is>
      </c>
      <c r="M40" s="41" t="inlineStr">
        <is>
          <t>Да</t>
        </is>
      </c>
      <c r="N40" s="41" t="inlineStr">
        <is>
          <t>Да</t>
        </is>
      </c>
      <c r="O40" s="45" t="inlineStr">
        <is>
          <t>Импортировано из PRICE_MASTER; строк-источников: 1</t>
        </is>
      </c>
      <c r="P40" s="41" t="inlineStr">
        <is>
          <t>Да</t>
        </is>
      </c>
      <c r="Q40" s="41" t="inlineStr">
        <is>
          <t>Импорт из PRICE_MASTER</t>
        </is>
      </c>
      <c r="R40" s="41" t="inlineStr">
        <is>
          <t>Высокая</t>
        </is>
      </c>
      <c r="S40" s="41" t="n">
        <v>1</v>
      </c>
      <c r="T40" s="41" t="inlineStr">
        <is>
          <t>SRC-0086</t>
        </is>
      </c>
    </row>
    <row r="41">
      <c r="A41" s="42" t="inlineStr">
        <is>
          <t>RWORK-0040</t>
        </is>
      </c>
      <c r="B41" s="42" t="inlineStr">
        <is>
          <t>Консервация системы полива на зиму</t>
        </is>
      </c>
      <c r="C41" s="42" t="inlineStr">
        <is>
          <t>Консервация системы полива на зиму</t>
        </is>
      </c>
      <c r="D41" s="42" t="inlineStr">
        <is>
          <t>Полив</t>
        </is>
      </c>
      <c r="E41" s="42" t="inlineStr">
        <is>
          <t>Консервация / сервис</t>
        </is>
      </c>
      <c r="F41" s="42" t="inlineStr">
        <is>
          <t>Работа</t>
        </is>
      </c>
      <c r="G41" s="42" t="inlineStr">
        <is>
          <t>компл</t>
        </is>
      </c>
      <c r="H41" s="42" t="inlineStr">
        <is>
          <t>за компл</t>
        </is>
      </c>
      <c r="I41" s="46" t="n">
        <v>36000</v>
      </c>
      <c r="J41" s="42" t="inlineStr">
        <is>
          <t>Стандарт</t>
        </is>
      </c>
      <c r="K41" s="42" t="inlineStr">
        <is>
          <t>Показать строкой</t>
        </is>
      </c>
      <c r="L41" s="42" t="inlineStr">
        <is>
          <t>консервация, полива, зиму</t>
        </is>
      </c>
      <c r="M41" s="42" t="inlineStr">
        <is>
          <t>Да</t>
        </is>
      </c>
      <c r="N41" s="42" t="inlineStr">
        <is>
          <t>Да</t>
        </is>
      </c>
      <c r="O41" s="48" t="inlineStr">
        <is>
          <t>Импортировано из PRICE_MASTER; строк-источников: 1</t>
        </is>
      </c>
      <c r="P41" s="42" t="inlineStr">
        <is>
          <t>Да</t>
        </is>
      </c>
      <c r="Q41" s="42" t="inlineStr">
        <is>
          <t>Импорт из PRICE_MASTER</t>
        </is>
      </c>
      <c r="R41" s="42" t="inlineStr">
        <is>
          <t>Высокая</t>
        </is>
      </c>
      <c r="S41" s="42" t="n">
        <v>1</v>
      </c>
      <c r="T41" s="42" t="inlineStr">
        <is>
          <t>SRC-0096</t>
        </is>
      </c>
    </row>
    <row r="42">
      <c r="A42" s="41" t="inlineStr">
        <is>
          <t>RWORK-0041</t>
        </is>
      </c>
      <c r="B42" s="41" t="inlineStr">
        <is>
          <t>Копка траншеи под кабель в песчаном грунте</t>
        </is>
      </c>
      <c r="C42" s="41" t="inlineStr">
        <is>
          <t>Копка траншеи под кабель в песчаном грунте</t>
        </is>
      </c>
      <c r="D42" s="41" t="inlineStr">
        <is>
          <t>Закладные / коммуникации</t>
        </is>
      </c>
      <c r="E42" s="41" t="inlineStr">
        <is>
          <t>Кабельная траншея</t>
        </is>
      </c>
      <c r="F42" s="41" t="inlineStr">
        <is>
          <t>Работа</t>
        </is>
      </c>
      <c r="G42" s="41" t="inlineStr">
        <is>
          <t>м.пог.</t>
        </is>
      </c>
      <c r="H42" s="41" t="inlineStr">
        <is>
          <t>за ед.</t>
        </is>
      </c>
      <c r="I42" s="43" t="n">
        <v>50</v>
      </c>
      <c r="J42" s="41" t="inlineStr">
        <is>
          <t>Стандарт</t>
        </is>
      </c>
      <c r="K42" s="41" t="inlineStr">
        <is>
          <t>Показать строкой</t>
        </is>
      </c>
      <c r="L42" s="41" t="inlineStr">
        <is>
          <t>копка, траншеи, кабель, песчаном, грунте</t>
        </is>
      </c>
      <c r="M42" s="41" t="inlineStr">
        <is>
          <t>Да</t>
        </is>
      </c>
      <c r="N42" s="41" t="inlineStr">
        <is>
          <t>Да</t>
        </is>
      </c>
      <c r="O42" s="45" t="inlineStr">
        <is>
          <t>Импортировано из PRICE_MASTER; строк-источников: 1</t>
        </is>
      </c>
      <c r="P42" s="41" t="inlineStr">
        <is>
          <t>Да</t>
        </is>
      </c>
      <c r="Q42" s="41" t="inlineStr">
        <is>
          <t>Импорт из PRICE_MASTER</t>
        </is>
      </c>
      <c r="R42" s="41" t="inlineStr">
        <is>
          <t>Высокая</t>
        </is>
      </c>
      <c r="S42" s="41" t="n">
        <v>1</v>
      </c>
      <c r="T42" s="41" t="inlineStr">
        <is>
          <t>SRC-0097</t>
        </is>
      </c>
    </row>
    <row r="43">
      <c r="A43" s="42" t="inlineStr">
        <is>
          <t>RWORK-0042</t>
        </is>
      </c>
      <c r="B43" s="42" t="inlineStr">
        <is>
          <t>Корчевка поросли механическая и ручная очистка участка от выкорчеванной поросли</t>
        </is>
      </c>
      <c r="C43" s="42" t="inlineStr">
        <is>
          <t>Корчевка поросли механическая и ручная очистка участка от выкорчеванной поросли</t>
        </is>
      </c>
      <c r="D43" s="42" t="inlineStr">
        <is>
          <t>Демонтаж и расчистка</t>
        </is>
      </c>
      <c r="E43" s="42" t="inlineStr">
        <is>
          <t>Корчевка и расчистка</t>
        </is>
      </c>
      <c r="F43" s="42" t="inlineStr">
        <is>
          <t>Работа</t>
        </is>
      </c>
      <c r="G43" s="42" t="inlineStr">
        <is>
          <t>м2</t>
        </is>
      </c>
      <c r="H43" s="42" t="inlineStr">
        <is>
          <t>за м2</t>
        </is>
      </c>
      <c r="I43" s="46" t="n">
        <v>300</v>
      </c>
      <c r="J43" s="42" t="inlineStr">
        <is>
          <t>Ручной</t>
        </is>
      </c>
      <c r="K43" s="42" t="inlineStr">
        <is>
          <t>Показать строкой</t>
        </is>
      </c>
      <c r="L43" s="42" t="inlineStr">
        <is>
          <t>корчевка, поросли, механическая, ручная, очистка, участка, выкорчеванной</t>
        </is>
      </c>
      <c r="M43" s="42" t="inlineStr">
        <is>
          <t>Да</t>
        </is>
      </c>
      <c r="N43" s="42" t="inlineStr">
        <is>
          <t>Да</t>
        </is>
      </c>
      <c r="O43" s="48" t="inlineStr">
        <is>
          <t>Импортировано из PRICE_MASTER; строк-источников: 1</t>
        </is>
      </c>
      <c r="P43" s="42" t="inlineStr">
        <is>
          <t>Да</t>
        </is>
      </c>
      <c r="Q43" s="42" t="inlineStr">
        <is>
          <t>Импорт из PRICE_MASTER</t>
        </is>
      </c>
      <c r="R43" s="42" t="inlineStr">
        <is>
          <t>Высокая</t>
        </is>
      </c>
      <c r="S43" s="42" t="n">
        <v>1</v>
      </c>
      <c r="T43" s="42" t="inlineStr">
        <is>
          <t>SRC-0099</t>
        </is>
      </c>
    </row>
    <row r="44">
      <c r="A44" s="41" t="inlineStr">
        <is>
          <t>RWORK-0043</t>
        </is>
      </c>
      <c r="B44" s="41" t="inlineStr">
        <is>
          <t>Механическая планировка участка: выемка грунта</t>
        </is>
      </c>
      <c r="C44" s="41" t="inlineStr">
        <is>
          <t>Механическая планировка участка: выемка грунта</t>
        </is>
      </c>
      <c r="D44" s="41" t="inlineStr">
        <is>
          <t>Земляные и планировочные работы</t>
        </is>
      </c>
      <c r="E44" s="41" t="inlineStr">
        <is>
          <t>Материалы</t>
        </is>
      </c>
      <c r="F44" s="41" t="inlineStr">
        <is>
          <t>Работа</t>
        </is>
      </c>
      <c r="G44" s="41" t="inlineStr">
        <is>
          <t>м3</t>
        </is>
      </c>
      <c r="H44" s="41" t="inlineStr">
        <is>
          <t>за м3</t>
        </is>
      </c>
      <c r="I44" s="43" t="n">
        <v>500</v>
      </c>
      <c r="J44" s="41" t="inlineStr">
        <is>
          <t>Стандарт</t>
        </is>
      </c>
      <c r="K44" s="41" t="inlineStr">
        <is>
          <t>Показать строкой</t>
        </is>
      </c>
      <c r="L44" s="41" t="inlineStr">
        <is>
          <t>механическая, планировка, участка, выемка, грунта</t>
        </is>
      </c>
      <c r="M44" s="41" t="inlineStr">
        <is>
          <t>Да</t>
        </is>
      </c>
      <c r="N44" s="41" t="inlineStr">
        <is>
          <t>Да</t>
        </is>
      </c>
      <c r="O44" s="45" t="inlineStr">
        <is>
          <t>Импортировано из PRICE_MASTER; строк-источников: 1</t>
        </is>
      </c>
      <c r="P44" s="41" t="inlineStr">
        <is>
          <t>Да</t>
        </is>
      </c>
      <c r="Q44" s="41" t="inlineStr">
        <is>
          <t>Импорт из PRICE_MASTER</t>
        </is>
      </c>
      <c r="R44" s="41" t="inlineStr">
        <is>
          <t>Высокая</t>
        </is>
      </c>
      <c r="S44" s="41" t="n">
        <v>1</v>
      </c>
      <c r="T44" s="41" t="inlineStr">
        <is>
          <t>SRC-0111</t>
        </is>
      </c>
    </row>
    <row r="45">
      <c r="A45" s="42" t="inlineStr">
        <is>
          <t>RWORK-0044</t>
        </is>
      </c>
      <c r="B45" s="42" t="inlineStr">
        <is>
          <t>Механическая планировка участка: снятие и подсыпка грунта</t>
        </is>
      </c>
      <c r="C45" s="42" t="inlineStr">
        <is>
          <t>Механическая планировка участка: снятие и подсыпка грунта</t>
        </is>
      </c>
      <c r="D45" s="42" t="inlineStr">
        <is>
          <t>Земляные и планировочные работы</t>
        </is>
      </c>
      <c r="E45" s="42" t="inlineStr">
        <is>
          <t>Материалы</t>
        </is>
      </c>
      <c r="F45" s="42" t="inlineStr">
        <is>
          <t>Работа</t>
        </is>
      </c>
      <c r="G45" s="42" t="inlineStr">
        <is>
          <t>м3</t>
        </is>
      </c>
      <c r="H45" s="42" t="inlineStr">
        <is>
          <t>за м3</t>
        </is>
      </c>
      <c r="I45" s="46" t="n">
        <v>400</v>
      </c>
      <c r="J45" s="42" t="inlineStr">
        <is>
          <t>Стандарт</t>
        </is>
      </c>
      <c r="K45" s="42" t="inlineStr">
        <is>
          <t>Показать строкой</t>
        </is>
      </c>
      <c r="L45" s="42" t="inlineStr">
        <is>
          <t>механическая, планировка, участка, снятие, подсыпка, грунта</t>
        </is>
      </c>
      <c r="M45" s="42" t="inlineStr">
        <is>
          <t>Да</t>
        </is>
      </c>
      <c r="N45" s="42" t="inlineStr">
        <is>
          <t>Да</t>
        </is>
      </c>
      <c r="O45" s="48" t="inlineStr">
        <is>
          <t>Импортировано из PRICE_MASTER; строк-источников: 1</t>
        </is>
      </c>
      <c r="P45" s="42" t="inlineStr">
        <is>
          <t>Да</t>
        </is>
      </c>
      <c r="Q45" s="42" t="inlineStr">
        <is>
          <t>Импорт из PRICE_MASTER</t>
        </is>
      </c>
      <c r="R45" s="42" t="inlineStr">
        <is>
          <t>Высокая</t>
        </is>
      </c>
      <c r="S45" s="42" t="n">
        <v>1</v>
      </c>
      <c r="T45" s="42" t="inlineStr">
        <is>
          <t>SRC-0112</t>
        </is>
      </c>
    </row>
    <row r="46">
      <c r="A46" s="41" t="inlineStr">
        <is>
          <t>RWORK-0045</t>
        </is>
      </c>
      <c r="B46" s="41" t="inlineStr">
        <is>
          <t>Мини-геопластика: создание рельефа в лесной зоне</t>
        </is>
      </c>
      <c r="C46" s="41" t="inlineStr">
        <is>
          <t>Мини-геопластика: создание рельефа в лесной зоне</t>
        </is>
      </c>
      <c r="D46" s="41" t="inlineStr">
        <is>
          <t>Земляные и планировочные работы</t>
        </is>
      </c>
      <c r="E46" s="41" t="inlineStr">
        <is>
          <t>Планировка и подготовка грунта</t>
        </is>
      </c>
      <c r="F46" s="41" t="inlineStr">
        <is>
          <t>Работа</t>
        </is>
      </c>
      <c r="G46" s="41" t="inlineStr">
        <is>
          <t>м3</t>
        </is>
      </c>
      <c r="H46" s="41" t="inlineStr">
        <is>
          <t>за м3</t>
        </is>
      </c>
      <c r="I46" s="43" t="n">
        <v>1100</v>
      </c>
      <c r="J46" s="41" t="inlineStr">
        <is>
          <t>Стандарт</t>
        </is>
      </c>
      <c r="K46" s="41" t="inlineStr">
        <is>
          <t>Показать строкой</t>
        </is>
      </c>
      <c r="L46" s="41" t="inlineStr">
        <is>
          <t>мини, геопластика, создание, рельефа, лесной, зоне</t>
        </is>
      </c>
      <c r="M46" s="41" t="inlineStr">
        <is>
          <t>Да</t>
        </is>
      </c>
      <c r="N46" s="41" t="inlineStr">
        <is>
          <t>Да</t>
        </is>
      </c>
      <c r="O46" s="45" t="inlineStr">
        <is>
          <t>Импортировано из PRICE_MASTER; строк-источников: 1</t>
        </is>
      </c>
      <c r="P46" s="41" t="inlineStr">
        <is>
          <t>Да</t>
        </is>
      </c>
      <c r="Q46" s="41" t="inlineStr">
        <is>
          <t>Импорт из PRICE_MASTER</t>
        </is>
      </c>
      <c r="R46" s="41" t="inlineStr">
        <is>
          <t>Высокая</t>
        </is>
      </c>
      <c r="S46" s="41" t="n">
        <v>1</v>
      </c>
      <c r="T46" s="41" t="inlineStr">
        <is>
          <t>SRC-0113</t>
        </is>
      </c>
    </row>
    <row r="47">
      <c r="A47" s="42" t="inlineStr">
        <is>
          <t>RWORK-0046</t>
        </is>
      </c>
      <c r="B47" s="42" t="inlineStr">
        <is>
          <t>монтаж алюминиевого каркаса с остеклением</t>
        </is>
      </c>
      <c r="C47" s="42" t="inlineStr">
        <is>
          <t>монтаж алюминиевого каркаса с остеклением</t>
        </is>
      </c>
      <c r="D47" s="42" t="inlineStr">
        <is>
          <t>Мощение</t>
        </is>
      </c>
      <c r="E47" s="42" t="inlineStr">
        <is>
          <t>Конструкции и отделка</t>
        </is>
      </c>
      <c r="F47" s="42" t="inlineStr">
        <is>
          <t>Работа</t>
        </is>
      </c>
      <c r="G47" s="42" t="inlineStr">
        <is>
          <t>компл</t>
        </is>
      </c>
      <c r="H47" s="42" t="inlineStr">
        <is>
          <t>за компл</t>
        </is>
      </c>
      <c r="I47" s="46" t="n">
        <v>30000</v>
      </c>
      <c r="J47" s="42" t="inlineStr">
        <is>
          <t>Стандарт</t>
        </is>
      </c>
      <c r="K47" s="42" t="inlineStr">
        <is>
          <t>Показать строкой</t>
        </is>
      </c>
      <c r="L47" s="42" t="inlineStr">
        <is>
          <t>алюминиевого, каркаса, остеклением</t>
        </is>
      </c>
      <c r="M47" s="42" t="inlineStr">
        <is>
          <t>Да</t>
        </is>
      </c>
      <c r="N47" s="42" t="inlineStr">
        <is>
          <t>Да</t>
        </is>
      </c>
      <c r="O47" s="48" t="inlineStr">
        <is>
          <t>Импортировано из PRICE_MASTER; строк-источников: 1</t>
        </is>
      </c>
      <c r="P47" s="42" t="inlineStr">
        <is>
          <t>Да</t>
        </is>
      </c>
      <c r="Q47" s="42" t="inlineStr">
        <is>
          <t>Импорт из PRICE_MASTER</t>
        </is>
      </c>
      <c r="R47" s="42" t="inlineStr">
        <is>
          <t>Высокая</t>
        </is>
      </c>
      <c r="S47" s="42" t="n">
        <v>1</v>
      </c>
      <c r="T47" s="42" t="inlineStr">
        <is>
          <t>SRC-0114</t>
        </is>
      </c>
    </row>
    <row r="48">
      <c r="A48" s="41" t="inlineStr">
        <is>
          <t>RWORK-0047</t>
        </is>
      </c>
      <c r="B48" s="41" t="inlineStr">
        <is>
          <t>Монтаж блоков питания</t>
        </is>
      </c>
      <c r="C48" s="41" t="inlineStr">
        <is>
          <t>Монтаж блоков питания</t>
        </is>
      </c>
      <c r="D48" s="41" t="inlineStr">
        <is>
          <t>Освещение</t>
        </is>
      </c>
      <c r="E48" s="41" t="inlineStr">
        <is>
          <t>Монтаж</t>
        </is>
      </c>
      <c r="F48" s="41" t="inlineStr">
        <is>
          <t>Работа</t>
        </is>
      </c>
      <c r="G48" s="41" t="inlineStr">
        <is>
          <t>шт</t>
        </is>
      </c>
      <c r="H48" s="41" t="inlineStr">
        <is>
          <t>за шт</t>
        </is>
      </c>
      <c r="I48" s="43" t="n">
        <v>3500</v>
      </c>
      <c r="J48" s="41" t="inlineStr">
        <is>
          <t>Стандарт</t>
        </is>
      </c>
      <c r="K48" s="41" t="inlineStr">
        <is>
          <t>Показать строкой</t>
        </is>
      </c>
      <c r="L48" s="41" t="inlineStr">
        <is>
          <t>блоков, питания</t>
        </is>
      </c>
      <c r="M48" s="41" t="inlineStr">
        <is>
          <t>Да</t>
        </is>
      </c>
      <c r="N48" s="41" t="inlineStr">
        <is>
          <t>Да</t>
        </is>
      </c>
      <c r="O48" s="45" t="inlineStr">
        <is>
          <t>Импортировано из PRICE_MASTER; строк-источников: 1</t>
        </is>
      </c>
      <c r="P48" s="41" t="inlineStr">
        <is>
          <t>Да</t>
        </is>
      </c>
      <c r="Q48" s="41" t="inlineStr">
        <is>
          <t>Импорт из PRICE_MASTER</t>
        </is>
      </c>
      <c r="R48" s="41" t="inlineStr">
        <is>
          <t>Высокая</t>
        </is>
      </c>
      <c r="S48" s="41" t="n">
        <v>1</v>
      </c>
      <c r="T48" s="41" t="inlineStr">
        <is>
          <t>SRC-0115</t>
        </is>
      </c>
    </row>
    <row r="49">
      <c r="A49" s="42" t="inlineStr">
        <is>
          <t>RWORK-0048</t>
        </is>
      </c>
      <c r="B49" s="42" t="inlineStr">
        <is>
          <t>Монтаж водоприемных колодцев 923мм с выемкой</t>
        </is>
      </c>
      <c r="C49" s="42" t="inlineStr">
        <is>
          <t>Монтаж водоприемных колодцев 923мм с выемкой</t>
        </is>
      </c>
      <c r="D49" s="42" t="inlineStr">
        <is>
          <t>Ливневая канализация</t>
        </is>
      </c>
      <c r="E49" s="42" t="inlineStr">
        <is>
          <t>Колодцы и перекрытия</t>
        </is>
      </c>
      <c r="F49" s="42" t="inlineStr">
        <is>
          <t>Работа</t>
        </is>
      </c>
      <c r="G49" s="42" t="inlineStr">
        <is>
          <t>шт</t>
        </is>
      </c>
      <c r="H49" s="42" t="inlineStr">
        <is>
          <t>за шт</t>
        </is>
      </c>
      <c r="I49" s="46" t="n">
        <v>15000</v>
      </c>
      <c r="J49" s="42" t="inlineStr">
        <is>
          <t>Стандарт</t>
        </is>
      </c>
      <c r="K49" s="42" t="inlineStr">
        <is>
          <t>Показать строкой</t>
        </is>
      </c>
      <c r="L49" s="42" t="inlineStr">
        <is>
          <t>водоприемных, колодцев, 923мм, выемкой</t>
        </is>
      </c>
      <c r="M49" s="42" t="inlineStr">
        <is>
          <t>Да</t>
        </is>
      </c>
      <c r="N49" s="42" t="inlineStr">
        <is>
          <t>Да</t>
        </is>
      </c>
      <c r="O49" s="48" t="inlineStr">
        <is>
          <t>Импортировано из PRICE_MASTER; строк-источников: 1</t>
        </is>
      </c>
      <c r="P49" s="42" t="inlineStr">
        <is>
          <t>Да</t>
        </is>
      </c>
      <c r="Q49" s="42" t="inlineStr">
        <is>
          <t>Импорт из PRICE_MASTER</t>
        </is>
      </c>
      <c r="R49" s="42" t="inlineStr">
        <is>
          <t>Высокая</t>
        </is>
      </c>
      <c r="S49" s="42" t="n">
        <v>1</v>
      </c>
      <c r="T49" s="42" t="inlineStr">
        <is>
          <t>SRC-0116</t>
        </is>
      </c>
    </row>
    <row r="50">
      <c r="A50" s="41" t="inlineStr">
        <is>
          <t>RWORK-0049</t>
        </is>
      </c>
      <c r="B50" s="41" t="inlineStr">
        <is>
          <t>Монтаж встроенных в настил светильников с устройством отверстий в облицовке</t>
        </is>
      </c>
      <c r="C50" s="41" t="inlineStr">
        <is>
          <t>Монтаж встроенных в настил светильников с устройством отверстий в облицовке</t>
        </is>
      </c>
      <c r="D50" s="41" t="inlineStr">
        <is>
          <t>Освещение</t>
        </is>
      </c>
      <c r="E50" s="41" t="inlineStr">
        <is>
          <t>Оборудование и комплектующие</t>
        </is>
      </c>
      <c r="F50" s="41" t="inlineStr">
        <is>
          <t>Работа</t>
        </is>
      </c>
      <c r="G50" s="41" t="inlineStr">
        <is>
          <t>шт</t>
        </is>
      </c>
      <c r="H50" s="41" t="inlineStr">
        <is>
          <t>за шт</t>
        </is>
      </c>
      <c r="I50" s="43" t="n">
        <v>1500</v>
      </c>
      <c r="J50" s="41" t="inlineStr">
        <is>
          <t>Стандарт</t>
        </is>
      </c>
      <c r="K50" s="41" t="inlineStr">
        <is>
          <t>Показать строкой</t>
        </is>
      </c>
      <c r="L50" s="41" t="inlineStr">
        <is>
          <t>встроенных, настил, светильников, устройством, отверстий, облицовке</t>
        </is>
      </c>
      <c r="M50" s="41" t="inlineStr">
        <is>
          <t>Да</t>
        </is>
      </c>
      <c r="N50" s="41" t="inlineStr">
        <is>
          <t>Да</t>
        </is>
      </c>
      <c r="O50" s="45" t="inlineStr">
        <is>
          <t>Импортировано из PRICE_MASTER; строк-источников: 1</t>
        </is>
      </c>
      <c r="P50" s="41" t="inlineStr">
        <is>
          <t>Да</t>
        </is>
      </c>
      <c r="Q50" s="41" t="inlineStr">
        <is>
          <t>Импорт из PRICE_MASTER</t>
        </is>
      </c>
      <c r="R50" s="41" t="inlineStr">
        <is>
          <t>Высокая</t>
        </is>
      </c>
      <c r="S50" s="41" t="n">
        <v>1</v>
      </c>
      <c r="T50" s="41" t="inlineStr">
        <is>
          <t>SRC-0117</t>
        </is>
      </c>
    </row>
    <row r="51">
      <c r="A51" s="42" t="inlineStr">
        <is>
          <t>RWORK-0050</t>
        </is>
      </c>
      <c r="B51" s="42" t="inlineStr">
        <is>
          <t>Монтаж грунтовых светильников</t>
        </is>
      </c>
      <c r="C51" s="42" t="inlineStr">
        <is>
          <t>Монтаж грунтовых светильников</t>
        </is>
      </c>
      <c r="D51" s="42" t="inlineStr">
        <is>
          <t>Освещение</t>
        </is>
      </c>
      <c r="E51" s="42" t="inlineStr">
        <is>
          <t>Оборудование и комплектующие</t>
        </is>
      </c>
      <c r="F51" s="42" t="inlineStr">
        <is>
          <t>Работа</t>
        </is>
      </c>
      <c r="G51" s="42" t="inlineStr">
        <is>
          <t>шт</t>
        </is>
      </c>
      <c r="H51" s="42" t="inlineStr">
        <is>
          <t>за шт</t>
        </is>
      </c>
      <c r="I51" s="46" t="n">
        <v>1100</v>
      </c>
      <c r="J51" s="42" t="inlineStr">
        <is>
          <t>Стандарт</t>
        </is>
      </c>
      <c r="K51" s="42" t="inlineStr">
        <is>
          <t>Показать строкой</t>
        </is>
      </c>
      <c r="L51" s="42" t="inlineStr">
        <is>
          <t>грунтовых, светильников</t>
        </is>
      </c>
      <c r="M51" s="42" t="inlineStr">
        <is>
          <t>Да</t>
        </is>
      </c>
      <c r="N51" s="42" t="inlineStr">
        <is>
          <t>Да</t>
        </is>
      </c>
      <c r="O51" s="48" t="inlineStr">
        <is>
          <t>Импортировано из PRICE_MASTER; строк-источников: 1</t>
        </is>
      </c>
      <c r="P51" s="42" t="inlineStr">
        <is>
          <t>Да</t>
        </is>
      </c>
      <c r="Q51" s="42" t="inlineStr">
        <is>
          <t>Импорт из PRICE_MASTER</t>
        </is>
      </c>
      <c r="R51" s="42" t="inlineStr">
        <is>
          <t>Высокая</t>
        </is>
      </c>
      <c r="S51" s="42" t="n">
        <v>1</v>
      </c>
      <c r="T51" s="42" t="inlineStr">
        <is>
          <t>SRC-0118</t>
        </is>
      </c>
    </row>
    <row r="52">
      <c r="A52" s="41" t="inlineStr">
        <is>
          <t>RWORK-0051</t>
        </is>
      </c>
      <c r="B52" s="41" t="inlineStr">
        <is>
          <t>Монтаж диодной ленты подсветки</t>
        </is>
      </c>
      <c r="C52" s="41" t="inlineStr">
        <is>
          <t>Монтаж диодной ленты подсветки</t>
        </is>
      </c>
      <c r="D52" s="41" t="inlineStr">
        <is>
          <t>Освещение</t>
        </is>
      </c>
      <c r="E52" s="41" t="inlineStr">
        <is>
          <t>Монтаж</t>
        </is>
      </c>
      <c r="F52" s="41" t="inlineStr">
        <is>
          <t>Работа</t>
        </is>
      </c>
      <c r="G52" s="41" t="inlineStr">
        <is>
          <t>м.пог.</t>
        </is>
      </c>
      <c r="H52" s="41" t="inlineStr">
        <is>
          <t>за ед.</t>
        </is>
      </c>
      <c r="I52" s="43" t="n">
        <v>3000</v>
      </c>
      <c r="J52" s="41" t="inlineStr">
        <is>
          <t>Стандарт</t>
        </is>
      </c>
      <c r="K52" s="41" t="inlineStr">
        <is>
          <t>Показать строкой</t>
        </is>
      </c>
      <c r="L52" s="41" t="inlineStr">
        <is>
          <t>диодной, ленты, подсветки</t>
        </is>
      </c>
      <c r="M52" s="41" t="inlineStr">
        <is>
          <t>Да</t>
        </is>
      </c>
      <c r="N52" s="41" t="inlineStr">
        <is>
          <t>Да</t>
        </is>
      </c>
      <c r="O52" s="45" t="inlineStr">
        <is>
          <t>Импортировано из PRICE_MASTER; строк-источников: 1</t>
        </is>
      </c>
      <c r="P52" s="41" t="inlineStr">
        <is>
          <t>Да</t>
        </is>
      </c>
      <c r="Q52" s="41" t="inlineStr">
        <is>
          <t>Импорт из PRICE_MASTER</t>
        </is>
      </c>
      <c r="R52" s="41" t="inlineStr">
        <is>
          <t>Высокая</t>
        </is>
      </c>
      <c r="S52" s="41" t="n">
        <v>1</v>
      </c>
      <c r="T52" s="41" t="inlineStr">
        <is>
          <t>SRC-0119</t>
        </is>
      </c>
    </row>
    <row r="53">
      <c r="A53" s="42" t="inlineStr">
        <is>
          <t>RWORK-0052</t>
        </is>
      </c>
      <c r="B53" s="42" t="inlineStr">
        <is>
          <t>Монтаж дождеприемника</t>
        </is>
      </c>
      <c r="C53" s="42" t="inlineStr">
        <is>
          <t>Монтаж дождеприемника</t>
        </is>
      </c>
      <c r="D53" s="42" t="inlineStr">
        <is>
          <t>Мощение</t>
        </is>
      </c>
      <c r="E53" s="42" t="inlineStr">
        <is>
          <t>Водоотвод в зоне мощения</t>
        </is>
      </c>
      <c r="F53" s="42" t="inlineStr">
        <is>
          <t>Работа</t>
        </is>
      </c>
      <c r="G53" s="42" t="inlineStr">
        <is>
          <t>шт</t>
        </is>
      </c>
      <c r="H53" s="42" t="inlineStr">
        <is>
          <t>за шт</t>
        </is>
      </c>
      <c r="I53" s="46" t="n">
        <v>1500</v>
      </c>
      <c r="J53" s="42" t="inlineStr">
        <is>
          <t>Стандарт</t>
        </is>
      </c>
      <c r="K53" s="42" t="inlineStr">
        <is>
          <t>Показать строкой</t>
        </is>
      </c>
      <c r="L53" s="42" t="inlineStr">
        <is>
          <t>дождеприемника</t>
        </is>
      </c>
      <c r="M53" s="42" t="inlineStr">
        <is>
          <t>Да</t>
        </is>
      </c>
      <c r="N53" s="42" t="inlineStr">
        <is>
          <t>Да</t>
        </is>
      </c>
      <c r="O53" s="48" t="inlineStr">
        <is>
          <t>Импортировано из PRICE_MASTER; строк-источников: 1</t>
        </is>
      </c>
      <c r="P53" s="42" t="inlineStr">
        <is>
          <t>Да</t>
        </is>
      </c>
      <c r="Q53" s="42" t="inlineStr">
        <is>
          <t>Импорт из PRICE_MASTER</t>
        </is>
      </c>
      <c r="R53" s="42" t="inlineStr">
        <is>
          <t>Высокая</t>
        </is>
      </c>
      <c r="S53" s="42" t="n">
        <v>1</v>
      </c>
      <c r="T53" s="42" t="inlineStr">
        <is>
          <t>SRC-0120</t>
        </is>
      </c>
    </row>
    <row r="54">
      <c r="A54" s="41" t="inlineStr">
        <is>
          <t>RWORK-0053</t>
        </is>
      </c>
      <c r="B54" s="41" t="inlineStr">
        <is>
          <t>Монтаж дождеприемников со встройкой в террасный настил</t>
        </is>
      </c>
      <c r="C54" s="41" t="inlineStr">
        <is>
          <t>Монтаж дождеприемников со встройкой в террасный настил</t>
        </is>
      </c>
      <c r="D54" s="41" t="inlineStr">
        <is>
          <t>Ливневая канализация</t>
        </is>
      </c>
      <c r="E54" s="41" t="inlineStr">
        <is>
          <t>Приемные и линейные элементы</t>
        </is>
      </c>
      <c r="F54" s="41" t="inlineStr">
        <is>
          <t>Работа</t>
        </is>
      </c>
      <c r="G54" s="41" t="inlineStr">
        <is>
          <t>шт</t>
        </is>
      </c>
      <c r="H54" s="41" t="inlineStr">
        <is>
          <t>за шт</t>
        </is>
      </c>
      <c r="I54" s="43" t="n">
        <v>2200</v>
      </c>
      <c r="J54" s="41" t="inlineStr">
        <is>
          <t>Стандарт</t>
        </is>
      </c>
      <c r="K54" s="41" t="inlineStr">
        <is>
          <t>Показать строкой</t>
        </is>
      </c>
      <c r="L54" s="41" t="inlineStr">
        <is>
          <t>дождеприемников, встройкой, террасный, настил</t>
        </is>
      </c>
      <c r="M54" s="41" t="inlineStr">
        <is>
          <t>Да</t>
        </is>
      </c>
      <c r="N54" s="41" t="inlineStr">
        <is>
          <t>Да</t>
        </is>
      </c>
      <c r="O54" s="45" t="inlineStr">
        <is>
          <t>Импортировано из PRICE_MASTER; строк-источников: 1</t>
        </is>
      </c>
      <c r="P54" s="41" t="inlineStr">
        <is>
          <t>Да</t>
        </is>
      </c>
      <c r="Q54" s="41" t="inlineStr">
        <is>
          <t>Импорт из PRICE_MASTER</t>
        </is>
      </c>
      <c r="R54" s="41" t="inlineStr">
        <is>
          <t>Высокая</t>
        </is>
      </c>
      <c r="S54" s="41" t="n">
        <v>1</v>
      </c>
      <c r="T54" s="41" t="inlineStr">
        <is>
          <t>SRC-0121</t>
        </is>
      </c>
    </row>
    <row r="55">
      <c r="A55" s="42" t="inlineStr">
        <is>
          <t>RWORK-0054</t>
        </is>
      </c>
      <c r="B55" s="42" t="inlineStr">
        <is>
          <t>Монтаж доски</t>
        </is>
      </c>
      <c r="C55" s="42" t="inlineStr">
        <is>
          <t>Монтаж доски</t>
        </is>
      </c>
      <c r="D55" s="42" t="inlineStr">
        <is>
          <t>Мощение</t>
        </is>
      </c>
      <c r="E55" s="42" t="inlineStr">
        <is>
          <t>Прочее по мощению</t>
        </is>
      </c>
      <c r="F55" s="42" t="inlineStr">
        <is>
          <t>Работа</t>
        </is>
      </c>
      <c r="G55" s="42" t="inlineStr">
        <is>
          <t>м2</t>
        </is>
      </c>
      <c r="H55" s="42" t="inlineStr">
        <is>
          <t>за м2</t>
        </is>
      </c>
      <c r="I55" s="46" t="n">
        <v>650</v>
      </c>
      <c r="J55" s="42" t="inlineStr">
        <is>
          <t>Стандарт</t>
        </is>
      </c>
      <c r="K55" s="42" t="inlineStr">
        <is>
          <t>Показать строкой</t>
        </is>
      </c>
      <c r="L55" s="42" t="inlineStr">
        <is>
          <t>доски</t>
        </is>
      </c>
      <c r="M55" s="42" t="inlineStr">
        <is>
          <t>Да</t>
        </is>
      </c>
      <c r="N55" s="42" t="inlineStr">
        <is>
          <t>Да</t>
        </is>
      </c>
      <c r="O55" s="48" t="inlineStr">
        <is>
          <t>Импортировано из PRICE_MASTER; строк-источников: 1</t>
        </is>
      </c>
      <c r="P55" s="42" t="inlineStr">
        <is>
          <t>Да</t>
        </is>
      </c>
      <c r="Q55" s="42" t="inlineStr">
        <is>
          <t>Импорт из PRICE_MASTER</t>
        </is>
      </c>
      <c r="R55" s="42" t="inlineStr">
        <is>
          <t>Высокая</t>
        </is>
      </c>
      <c r="S55" s="42" t="n">
        <v>1</v>
      </c>
      <c r="T55" s="42" t="inlineStr">
        <is>
          <t>SRC-0122</t>
        </is>
      </c>
    </row>
    <row r="56">
      <c r="A56" s="41" t="inlineStr">
        <is>
          <t>RWORK-0055</t>
        </is>
      </c>
      <c r="B56" s="41" t="inlineStr">
        <is>
          <t>Монтаж дренажного колодца h=1,7-2м</t>
        </is>
      </c>
      <c r="C56" s="41" t="inlineStr">
        <is>
          <t>Монтаж дренажного колодца h=1,7-2м</t>
        </is>
      </c>
      <c r="D56" s="41" t="inlineStr">
        <is>
          <t>Дренаж</t>
        </is>
      </c>
      <c r="E56" s="41" t="inlineStr">
        <is>
          <t>Монтаж системы</t>
        </is>
      </c>
      <c r="F56" s="41" t="inlineStr">
        <is>
          <t>Работа</t>
        </is>
      </c>
      <c r="G56" s="41" t="inlineStr">
        <is>
          <t>шт</t>
        </is>
      </c>
      <c r="H56" s="41" t="inlineStr">
        <is>
          <t>за шт</t>
        </is>
      </c>
      <c r="I56" s="43" t="n">
        <v>6500</v>
      </c>
      <c r="J56" s="41" t="inlineStr">
        <is>
          <t>Стандарт</t>
        </is>
      </c>
      <c r="K56" s="41" t="inlineStr">
        <is>
          <t>Показать строкой</t>
        </is>
      </c>
      <c r="L56" s="41" t="inlineStr">
        <is>
          <t>дренажного, колодца</t>
        </is>
      </c>
      <c r="M56" s="41" t="inlineStr">
        <is>
          <t>Да</t>
        </is>
      </c>
      <c r="N56" s="41" t="inlineStr">
        <is>
          <t>Да</t>
        </is>
      </c>
      <c r="O56" s="45" t="inlineStr">
        <is>
          <t>Импортировано из PRICE_MASTER; строк-источников: 1</t>
        </is>
      </c>
      <c r="P56" s="41" t="inlineStr">
        <is>
          <t>Да</t>
        </is>
      </c>
      <c r="Q56" s="41" t="inlineStr">
        <is>
          <t>Импорт из PRICE_MASTER</t>
        </is>
      </c>
      <c r="R56" s="41" t="inlineStr">
        <is>
          <t>Высокая</t>
        </is>
      </c>
      <c r="S56" s="41" t="n">
        <v>1</v>
      </c>
      <c r="T56" s="41" t="inlineStr">
        <is>
          <t>SRC-0123</t>
        </is>
      </c>
    </row>
    <row r="57">
      <c r="A57" s="42" t="inlineStr">
        <is>
          <t>RWORK-0056</t>
        </is>
      </c>
      <c r="B57" s="42" t="inlineStr">
        <is>
          <t>Монтаж дренажного колодца h=1-1,5м</t>
        </is>
      </c>
      <c r="C57" s="42" t="inlineStr">
        <is>
          <t>Монтаж дренажного колодца h=1-1,5м</t>
        </is>
      </c>
      <c r="D57" s="42" t="inlineStr">
        <is>
          <t>Дренаж</t>
        </is>
      </c>
      <c r="E57" s="42" t="inlineStr">
        <is>
          <t>Монтаж системы</t>
        </is>
      </c>
      <c r="F57" s="42" t="inlineStr">
        <is>
          <t>Работа</t>
        </is>
      </c>
      <c r="G57" s="42" t="inlineStr">
        <is>
          <t>шт</t>
        </is>
      </c>
      <c r="H57" s="42" t="inlineStr">
        <is>
          <t>за шт</t>
        </is>
      </c>
      <c r="I57" s="46" t="n">
        <v>3800</v>
      </c>
      <c r="J57" s="42" t="inlineStr">
        <is>
          <t>Стандарт</t>
        </is>
      </c>
      <c r="K57" s="42" t="inlineStr">
        <is>
          <t>Показать строкой</t>
        </is>
      </c>
      <c r="L57" s="42" t="inlineStr">
        <is>
          <t>дренажного, колодца</t>
        </is>
      </c>
      <c r="M57" s="42" t="inlineStr">
        <is>
          <t>Да</t>
        </is>
      </c>
      <c r="N57" s="42" t="inlineStr">
        <is>
          <t>Да</t>
        </is>
      </c>
      <c r="O57" s="48" t="inlineStr">
        <is>
          <t>Импортировано из PRICE_MASTER; строк-источников: 1</t>
        </is>
      </c>
      <c r="P57" s="42" t="inlineStr">
        <is>
          <t>Да</t>
        </is>
      </c>
      <c r="Q57" s="42" t="inlineStr">
        <is>
          <t>Импорт из PRICE_MASTER</t>
        </is>
      </c>
      <c r="R57" s="42" t="inlineStr">
        <is>
          <t>Высокая</t>
        </is>
      </c>
      <c r="S57" s="42" t="n">
        <v>1</v>
      </c>
      <c r="T57" s="42" t="inlineStr">
        <is>
          <t>SRC-0124</t>
        </is>
      </c>
    </row>
    <row r="58">
      <c r="A58" s="41" t="inlineStr">
        <is>
          <t>RWORK-0057</t>
        </is>
      </c>
      <c r="B58" s="41" t="inlineStr">
        <is>
          <t>Монтаж и сборка щита</t>
        </is>
      </c>
      <c r="C58" s="41" t="inlineStr">
        <is>
          <t>Монтаж и сборка щита</t>
        </is>
      </c>
      <c r="D58" s="41" t="inlineStr">
        <is>
          <t>Освещение</t>
        </is>
      </c>
      <c r="E58" s="41" t="inlineStr">
        <is>
          <t>Оборудование и комплектующие</t>
        </is>
      </c>
      <c r="F58" s="41" t="inlineStr">
        <is>
          <t>Работа</t>
        </is>
      </c>
      <c r="G58" s="41" t="inlineStr">
        <is>
          <t>шт</t>
        </is>
      </c>
      <c r="H58" s="41" t="inlineStr">
        <is>
          <t>за шт</t>
        </is>
      </c>
      <c r="I58" s="43" t="n">
        <v>20000</v>
      </c>
      <c r="J58" s="41" t="inlineStr">
        <is>
          <t>Стандарт</t>
        </is>
      </c>
      <c r="K58" s="41" t="inlineStr">
        <is>
          <t>Показать строкой</t>
        </is>
      </c>
      <c r="L58" s="41" t="inlineStr">
        <is>
          <t>сборка, щита</t>
        </is>
      </c>
      <c r="M58" s="41" t="inlineStr">
        <is>
          <t>Да</t>
        </is>
      </c>
      <c r="N58" s="41" t="inlineStr">
        <is>
          <t>Да</t>
        </is>
      </c>
      <c r="O58" s="45" t="inlineStr">
        <is>
          <t>Импортировано из PRICE_MASTER; строк-источников: 1</t>
        </is>
      </c>
      <c r="P58" s="41" t="inlineStr">
        <is>
          <t>Да</t>
        </is>
      </c>
      <c r="Q58" s="41" t="inlineStr">
        <is>
          <t>Импорт из PRICE_MASTER</t>
        </is>
      </c>
      <c r="R58" s="41" t="inlineStr">
        <is>
          <t>Высокая</t>
        </is>
      </c>
      <c r="S58" s="41" t="n">
        <v>1</v>
      </c>
      <c r="T58" s="41" t="inlineStr">
        <is>
          <t>SRC-0125</t>
        </is>
      </c>
    </row>
    <row r="59">
      <c r="A59" s="42" t="inlineStr">
        <is>
          <t>RWORK-0058</t>
        </is>
      </c>
      <c r="B59" s="42" t="inlineStr">
        <is>
          <t>Монтаж каркаса на бетонную стенку</t>
        </is>
      </c>
      <c r="C59" s="42" t="inlineStr">
        <is>
          <t>Монтаж каркаса на бетонную стенку</t>
        </is>
      </c>
      <c r="D59" s="42" t="inlineStr">
        <is>
          <t>Мощение</t>
        </is>
      </c>
      <c r="E59" s="42" t="inlineStr">
        <is>
          <t>Конструкции и отделка</t>
        </is>
      </c>
      <c r="F59" s="42" t="inlineStr">
        <is>
          <t>Работа</t>
        </is>
      </c>
      <c r="G59" s="42" t="inlineStr">
        <is>
          <t>м2</t>
        </is>
      </c>
      <c r="H59" s="42" t="inlineStr">
        <is>
          <t>за м2</t>
        </is>
      </c>
      <c r="I59" s="46" t="n">
        <v>450</v>
      </c>
      <c r="J59" s="42" t="inlineStr">
        <is>
          <t>Стандарт</t>
        </is>
      </c>
      <c r="K59" s="42" t="inlineStr">
        <is>
          <t>Показать строкой</t>
        </is>
      </c>
      <c r="L59" s="42" t="inlineStr">
        <is>
          <t>каркаса, бетонную, стенку</t>
        </is>
      </c>
      <c r="M59" s="42" t="inlineStr">
        <is>
          <t>Да</t>
        </is>
      </c>
      <c r="N59" s="42" t="inlineStr">
        <is>
          <t>Да</t>
        </is>
      </c>
      <c r="O59" s="48" t="inlineStr">
        <is>
          <t>Импортировано из PRICE_MASTER; строк-источников: 1</t>
        </is>
      </c>
      <c r="P59" s="42" t="inlineStr">
        <is>
          <t>Да</t>
        </is>
      </c>
      <c r="Q59" s="42" t="inlineStr">
        <is>
          <t>Импорт из PRICE_MASTER</t>
        </is>
      </c>
      <c r="R59" s="42" t="inlineStr">
        <is>
          <t>Высокая</t>
        </is>
      </c>
      <c r="S59" s="42" t="n">
        <v>1</v>
      </c>
      <c r="T59" s="42" t="inlineStr">
        <is>
          <t>SRC-0126</t>
        </is>
      </c>
    </row>
    <row r="60">
      <c r="A60" s="41" t="inlineStr">
        <is>
          <t>RWORK-0059</t>
        </is>
      </c>
      <c r="B60" s="41" t="inlineStr">
        <is>
          <t>Монтаж колодцев инспекционных d315мм</t>
        </is>
      </c>
      <c r="C60" s="41" t="inlineStr">
        <is>
          <t>Монтаж колодцев инспекционных d315мм</t>
        </is>
      </c>
      <c r="D60" s="41" t="inlineStr">
        <is>
          <t>Ливневая канализация</t>
        </is>
      </c>
      <c r="E60" s="41" t="inlineStr">
        <is>
          <t>Колодцы и перекрытия</t>
        </is>
      </c>
      <c r="F60" s="41" t="inlineStr">
        <is>
          <t>Работа</t>
        </is>
      </c>
      <c r="G60" s="41" t="inlineStr">
        <is>
          <t>шт</t>
        </is>
      </c>
      <c r="H60" s="41" t="inlineStr">
        <is>
          <t>за шт</t>
        </is>
      </c>
      <c r="I60" s="43" t="n">
        <v>3800</v>
      </c>
      <c r="J60" s="41" t="inlineStr">
        <is>
          <t>Стандарт</t>
        </is>
      </c>
      <c r="K60" s="41" t="inlineStr">
        <is>
          <t>Показать строкой</t>
        </is>
      </c>
      <c r="L60" s="41" t="inlineStr">
        <is>
          <t>колодцев, инспекционных, d315мм</t>
        </is>
      </c>
      <c r="M60" s="41" t="inlineStr">
        <is>
          <t>Да</t>
        </is>
      </c>
      <c r="N60" s="41" t="inlineStr">
        <is>
          <t>Да</t>
        </is>
      </c>
      <c r="O60" s="45" t="inlineStr">
        <is>
          <t>Импортировано из PRICE_MASTER; строк-источников: 1</t>
        </is>
      </c>
      <c r="P60" s="41" t="inlineStr">
        <is>
          <t>Да</t>
        </is>
      </c>
      <c r="Q60" s="41" t="inlineStr">
        <is>
          <t>Импорт из PRICE_MASTER</t>
        </is>
      </c>
      <c r="R60" s="41" t="inlineStr">
        <is>
          <t>Высокая</t>
        </is>
      </c>
      <c r="S60" s="41" t="n">
        <v>1</v>
      </c>
      <c r="T60" s="41" t="inlineStr">
        <is>
          <t>SRC-0127</t>
        </is>
      </c>
    </row>
    <row r="61">
      <c r="A61" s="42" t="inlineStr">
        <is>
          <t>RWORK-0060</t>
        </is>
      </c>
      <c r="B61" s="42" t="inlineStr">
        <is>
          <t>Монтаж лотков дождеприемных с решетками и отводами к ливневой канализации на раствор</t>
        </is>
      </c>
      <c r="C61" s="42" t="inlineStr">
        <is>
          <t>Монтаж лотков дождеприемных с решетками и отводами к ливневой канализации на раствор</t>
        </is>
      </c>
      <c r="D61" s="42" t="inlineStr">
        <is>
          <t>Ливневая канализация</t>
        </is>
      </c>
      <c r="E61" s="42" t="inlineStr">
        <is>
          <t>Приемные и линейные элементы</t>
        </is>
      </c>
      <c r="F61" s="42" t="inlineStr">
        <is>
          <t>Работа</t>
        </is>
      </c>
      <c r="G61" s="42" t="inlineStr">
        <is>
          <t>м.пог.</t>
        </is>
      </c>
      <c r="H61" s="42" t="inlineStr">
        <is>
          <t>за ед.</t>
        </is>
      </c>
      <c r="I61" s="46" t="n">
        <v>1350</v>
      </c>
      <c r="J61" s="42" t="inlineStr">
        <is>
          <t>Стандарт</t>
        </is>
      </c>
      <c r="K61" s="42" t="inlineStr">
        <is>
          <t>Показать строкой</t>
        </is>
      </c>
      <c r="L61" s="42" t="inlineStr">
        <is>
          <t>лотков, дождеприемных, решетками, отводами, ливневой, канализации, раствор</t>
        </is>
      </c>
      <c r="M61" s="42" t="inlineStr">
        <is>
          <t>Да</t>
        </is>
      </c>
      <c r="N61" s="42" t="inlineStr">
        <is>
          <t>Да</t>
        </is>
      </c>
      <c r="O61" s="48" t="inlineStr">
        <is>
          <t>Импортировано из PRICE_MASTER; строк-источников: 1</t>
        </is>
      </c>
      <c r="P61" s="42" t="inlineStr">
        <is>
          <t>Да</t>
        </is>
      </c>
      <c r="Q61" s="42" t="inlineStr">
        <is>
          <t>Импорт из PRICE_MASTER</t>
        </is>
      </c>
      <c r="R61" s="42" t="inlineStr">
        <is>
          <t>Высокая</t>
        </is>
      </c>
      <c r="S61" s="42" t="n">
        <v>1</v>
      </c>
      <c r="T61" s="42" t="inlineStr">
        <is>
          <t>SRC-0128</t>
        </is>
      </c>
    </row>
    <row r="62">
      <c r="A62" s="41" t="inlineStr">
        <is>
          <t>RWORK-0061</t>
        </is>
      </c>
      <c r="B62" s="41" t="inlineStr">
        <is>
          <t>Монтаж пескоуловителей на раствор</t>
        </is>
      </c>
      <c r="C62" s="41" t="inlineStr">
        <is>
          <t>Монтаж пескоуловителей на раствор</t>
        </is>
      </c>
      <c r="D62" s="41" t="inlineStr">
        <is>
          <t>Ливневая канализация</t>
        </is>
      </c>
      <c r="E62" s="41" t="inlineStr">
        <is>
          <t>Приемные и линейные элементы</t>
        </is>
      </c>
      <c r="F62" s="41" t="inlineStr">
        <is>
          <t>Работа</t>
        </is>
      </c>
      <c r="G62" s="41" t="inlineStr">
        <is>
          <t>шт</t>
        </is>
      </c>
      <c r="H62" s="41" t="inlineStr">
        <is>
          <t>за шт</t>
        </is>
      </c>
      <c r="I62" s="43" t="n">
        <v>2200</v>
      </c>
      <c r="J62" s="41" t="inlineStr">
        <is>
          <t>Стандарт</t>
        </is>
      </c>
      <c r="K62" s="41" t="inlineStr">
        <is>
          <t>Показать строкой</t>
        </is>
      </c>
      <c r="L62" s="41" t="inlineStr">
        <is>
          <t>пескоуловителей, раствор</t>
        </is>
      </c>
      <c r="M62" s="41" t="inlineStr">
        <is>
          <t>Да</t>
        </is>
      </c>
      <c r="N62" s="41" t="inlineStr">
        <is>
          <t>Да</t>
        </is>
      </c>
      <c r="O62" s="45" t="inlineStr">
        <is>
          <t>Импортировано из PRICE_MASTER; строк-источников: 1</t>
        </is>
      </c>
      <c r="P62" s="41" t="inlineStr">
        <is>
          <t>Да</t>
        </is>
      </c>
      <c r="Q62" s="41" t="inlineStr">
        <is>
          <t>Импорт из PRICE_MASTER</t>
        </is>
      </c>
      <c r="R62" s="41" t="inlineStr">
        <is>
          <t>Высокая</t>
        </is>
      </c>
      <c r="S62" s="41" t="n">
        <v>1</v>
      </c>
      <c r="T62" s="41" t="inlineStr">
        <is>
          <t>SRC-0129</t>
        </is>
      </c>
    </row>
    <row r="63">
      <c r="A63" s="42" t="inlineStr">
        <is>
          <t>RWORK-0062</t>
        </is>
      </c>
      <c r="B63" s="42" t="inlineStr">
        <is>
          <t>Монтаж светильников накладных на столбы - въездная зона</t>
        </is>
      </c>
      <c r="C63" s="42" t="inlineStr">
        <is>
          <t>Монтаж светильников накладных на столбы - въездная зона</t>
        </is>
      </c>
      <c r="D63" s="42" t="inlineStr">
        <is>
          <t>Освещение</t>
        </is>
      </c>
      <c r="E63" s="42" t="inlineStr">
        <is>
          <t>Оборудование и комплектующие</t>
        </is>
      </c>
      <c r="F63" s="42" t="inlineStr">
        <is>
          <t>Работа</t>
        </is>
      </c>
      <c r="G63" s="42" t="inlineStr">
        <is>
          <t>шт</t>
        </is>
      </c>
      <c r="H63" s="42" t="inlineStr">
        <is>
          <t>за шт</t>
        </is>
      </c>
      <c r="I63" s="46" t="n">
        <v>1200</v>
      </c>
      <c r="J63" s="42" t="inlineStr">
        <is>
          <t>Стандарт</t>
        </is>
      </c>
      <c r="K63" s="42" t="inlineStr">
        <is>
          <t>Показать строкой</t>
        </is>
      </c>
      <c r="L63" s="42" t="inlineStr">
        <is>
          <t>светильников, накладных, столбы, въездная, зона</t>
        </is>
      </c>
      <c r="M63" s="42" t="inlineStr">
        <is>
          <t>Да</t>
        </is>
      </c>
      <c r="N63" s="42" t="inlineStr">
        <is>
          <t>Да</t>
        </is>
      </c>
      <c r="O63" s="48" t="inlineStr">
        <is>
          <t>Импортировано из PRICE_MASTER; строк-источников: 1</t>
        </is>
      </c>
      <c r="P63" s="42" t="inlineStr">
        <is>
          <t>Да</t>
        </is>
      </c>
      <c r="Q63" s="42" t="inlineStr">
        <is>
          <t>Импорт из PRICE_MASTER</t>
        </is>
      </c>
      <c r="R63" s="42" t="inlineStr">
        <is>
          <t>Высокая</t>
        </is>
      </c>
      <c r="S63" s="42" t="n">
        <v>1</v>
      </c>
      <c r="T63" s="42" t="inlineStr">
        <is>
          <t>SRC-0130</t>
        </is>
      </c>
    </row>
    <row r="64">
      <c r="A64" s="41" t="inlineStr">
        <is>
          <t>RWORK-0063</t>
        </is>
      </c>
      <c r="B64" s="41" t="inlineStr">
        <is>
          <t>Монтаж светильников столбиков, розеток</t>
        </is>
      </c>
      <c r="C64" s="41" t="inlineStr">
        <is>
          <t>Монтаж светильников столбиков, розеток</t>
        </is>
      </c>
      <c r="D64" s="41" t="inlineStr">
        <is>
          <t>Освещение</t>
        </is>
      </c>
      <c r="E64" s="41" t="inlineStr">
        <is>
          <t>Оборудование и комплектующие</t>
        </is>
      </c>
      <c r="F64" s="41" t="inlineStr">
        <is>
          <t>Работа</t>
        </is>
      </c>
      <c r="G64" s="41" t="inlineStr">
        <is>
          <t>шт</t>
        </is>
      </c>
      <c r="H64" s="41" t="inlineStr">
        <is>
          <t>за шт</t>
        </is>
      </c>
      <c r="I64" s="43" t="n">
        <v>1100</v>
      </c>
      <c r="J64" s="41" t="inlineStr">
        <is>
          <t>Стандарт</t>
        </is>
      </c>
      <c r="K64" s="41" t="inlineStr">
        <is>
          <t>Показать строкой</t>
        </is>
      </c>
      <c r="L64" s="41" t="inlineStr">
        <is>
          <t>светильников, столбиков, розеток</t>
        </is>
      </c>
      <c r="M64" s="41" t="inlineStr">
        <is>
          <t>Да</t>
        </is>
      </c>
      <c r="N64" s="41" t="inlineStr">
        <is>
          <t>Да</t>
        </is>
      </c>
      <c r="O64" s="45" t="inlineStr">
        <is>
          <t>Импортировано из PRICE_MASTER; строк-источников: 1</t>
        </is>
      </c>
      <c r="P64" s="41" t="inlineStr">
        <is>
          <t>Да</t>
        </is>
      </c>
      <c r="Q64" s="41" t="inlineStr">
        <is>
          <t>Импорт из PRICE_MASTER</t>
        </is>
      </c>
      <c r="R64" s="41" t="inlineStr">
        <is>
          <t>Высокая</t>
        </is>
      </c>
      <c r="S64" s="41" t="n">
        <v>1</v>
      </c>
      <c r="T64" s="41" t="inlineStr">
        <is>
          <t>SRC-0131</t>
        </is>
      </c>
    </row>
    <row r="65">
      <c r="A65" s="42" t="inlineStr">
        <is>
          <t>RWORK-0064</t>
        </is>
      </c>
      <c r="B65" s="42" t="inlineStr">
        <is>
          <t>Монтаж/демонтаж опалубки</t>
        </is>
      </c>
      <c r="C65" s="42" t="inlineStr">
        <is>
          <t>Монтаж/демонтаж опалубки</t>
        </is>
      </c>
      <c r="D65" s="42" t="inlineStr">
        <is>
          <t>Мощение</t>
        </is>
      </c>
      <c r="E65" s="42" t="inlineStr">
        <is>
          <t>Бетон и конструктив</t>
        </is>
      </c>
      <c r="F65" s="42" t="inlineStr">
        <is>
          <t>Работа</t>
        </is>
      </c>
      <c r="G65" s="42" t="inlineStr">
        <is>
          <t>м.пог.</t>
        </is>
      </c>
      <c r="H65" s="42" t="inlineStr">
        <is>
          <t>за ед.</t>
        </is>
      </c>
      <c r="I65" s="46" t="n">
        <v>450</v>
      </c>
      <c r="J65" s="42" t="inlineStr">
        <is>
          <t>Стандарт</t>
        </is>
      </c>
      <c r="K65" s="42" t="inlineStr">
        <is>
          <t>Показать строкой</t>
        </is>
      </c>
      <c r="L65" s="42" t="inlineStr">
        <is>
          <t>демонтаж, опалубки</t>
        </is>
      </c>
      <c r="M65" s="42" t="inlineStr">
        <is>
          <t>Да</t>
        </is>
      </c>
      <c r="N65" s="42" t="inlineStr">
        <is>
          <t>Да</t>
        </is>
      </c>
      <c r="O65" s="48" t="inlineStr">
        <is>
          <t>Импортировано из PRICE_MASTER; строк-источников: 1</t>
        </is>
      </c>
      <c r="P65" s="42" t="inlineStr">
        <is>
          <t>Да</t>
        </is>
      </c>
      <c r="Q65" s="42" t="inlineStr">
        <is>
          <t>Импорт из PRICE_MASTER</t>
        </is>
      </c>
      <c r="R65" s="42" t="inlineStr">
        <is>
          <t>Высокая</t>
        </is>
      </c>
      <c r="S65" s="42" t="n">
        <v>1</v>
      </c>
      <c r="T65" s="42" t="inlineStr">
        <is>
          <t>SRC-0132</t>
        </is>
      </c>
    </row>
    <row r="66">
      <c r="A66" s="41" t="inlineStr">
        <is>
          <t>RWORK-0065</t>
        </is>
      </c>
      <c r="B66" s="41" t="inlineStr">
        <is>
          <t>Монтаж/демонтаж опалубки</t>
        </is>
      </c>
      <c r="C66" s="41" t="inlineStr">
        <is>
          <t>Монтаж/демонтаж опалубки</t>
        </is>
      </c>
      <c r="D66" s="41" t="inlineStr">
        <is>
          <t>Ступени / пандусы / бетонные элементы</t>
        </is>
      </c>
      <c r="E66" s="41" t="inlineStr">
        <is>
          <t>Бетон и армирование</t>
        </is>
      </c>
      <c r="F66" s="41" t="inlineStr">
        <is>
          <t>Работа</t>
        </is>
      </c>
      <c r="G66" s="41" t="inlineStr">
        <is>
          <t>м.пог.</t>
        </is>
      </c>
      <c r="H66" s="41" t="inlineStr">
        <is>
          <t>за ед.</t>
        </is>
      </c>
      <c r="I66" s="43" t="n">
        <v>990</v>
      </c>
      <c r="J66" s="41" t="inlineStr">
        <is>
          <t>Стандарт</t>
        </is>
      </c>
      <c r="K66" s="41" t="inlineStr">
        <is>
          <t>Показать строкой</t>
        </is>
      </c>
      <c r="L66" s="41" t="inlineStr">
        <is>
          <t>демонтаж, опалубки</t>
        </is>
      </c>
      <c r="M66" s="41" t="inlineStr">
        <is>
          <t>Да</t>
        </is>
      </c>
      <c r="N66" s="41" t="inlineStr">
        <is>
          <t>Да</t>
        </is>
      </c>
      <c r="O66" s="45" t="inlineStr">
        <is>
          <t>Импортировано из PRICE_MASTER; строк-источников: 1</t>
        </is>
      </c>
      <c r="P66" s="41" t="inlineStr">
        <is>
          <t>Да</t>
        </is>
      </c>
      <c r="Q66" s="41" t="inlineStr">
        <is>
          <t>Импорт из PRICE_MASTER</t>
        </is>
      </c>
      <c r="R66" s="41" t="inlineStr">
        <is>
          <t>Высокая</t>
        </is>
      </c>
      <c r="S66" s="41" t="n">
        <v>1</v>
      </c>
      <c r="T66" s="41" t="inlineStr">
        <is>
          <t>SRC-0133</t>
        </is>
      </c>
    </row>
    <row r="67">
      <c r="A67" s="42" t="inlineStr">
        <is>
          <t>RWORK-0066</t>
        </is>
      </c>
      <c r="B67" s="42" t="inlineStr">
        <is>
          <t>Мощение брусчаткой габбро 100*80*50мм на отсев (пешеходная часть)</t>
        </is>
      </c>
      <c r="C67" s="42" t="inlineStr">
        <is>
          <t>Мощение брусчаткой габбро 100*80*50мм на отсев (пешеходная часть)</t>
        </is>
      </c>
      <c r="D67" s="42" t="inlineStr">
        <is>
          <t>Мощение</t>
        </is>
      </c>
      <c r="E67" s="42" t="inlineStr">
        <is>
          <t>Покрытие</t>
        </is>
      </c>
      <c r="F67" s="42" t="inlineStr">
        <is>
          <t>Работа</t>
        </is>
      </c>
      <c r="G67" s="42" t="inlineStr">
        <is>
          <t>м2</t>
        </is>
      </c>
      <c r="H67" s="42" t="inlineStr">
        <is>
          <t>за м2</t>
        </is>
      </c>
      <c r="I67" s="46" t="n">
        <v>3400</v>
      </c>
      <c r="J67" s="42" t="inlineStr">
        <is>
          <t>Стандарт</t>
        </is>
      </c>
      <c r="K67" s="42" t="inlineStr">
        <is>
          <t>Показать строкой</t>
        </is>
      </c>
      <c r="L67" s="42" t="inlineStr">
        <is>
          <t>мощение, брусчаткой, габбро, 100, 50мм, отсев, пешеходная, часть</t>
        </is>
      </c>
      <c r="M67" s="42" t="inlineStr">
        <is>
          <t>Да</t>
        </is>
      </c>
      <c r="N67" s="42" t="inlineStr">
        <is>
          <t>Да</t>
        </is>
      </c>
      <c r="O67" s="48" t="inlineStr">
        <is>
          <t>Импортировано из PRICE_MASTER; строк-источников: 1</t>
        </is>
      </c>
      <c r="P67" s="42" t="inlineStr">
        <is>
          <t>Да</t>
        </is>
      </c>
      <c r="Q67" s="42" t="inlineStr">
        <is>
          <t>Импорт из PRICE_MASTER</t>
        </is>
      </c>
      <c r="R67" s="42" t="inlineStr">
        <is>
          <t>Высокая</t>
        </is>
      </c>
      <c r="S67" s="42" t="n">
        <v>1</v>
      </c>
      <c r="T67" s="42" t="inlineStr">
        <is>
          <t>SRC-0134</t>
        </is>
      </c>
    </row>
    <row r="68">
      <c r="A68" s="41" t="inlineStr">
        <is>
          <t>RWORK-0067</t>
        </is>
      </c>
      <c r="B68" s="41" t="inlineStr">
        <is>
          <t>Мощение брусчаткой габбро 80*80*80мм на отсев (проезжая часть)</t>
        </is>
      </c>
      <c r="C68" s="41" t="inlineStr">
        <is>
          <t>Мощение брусчаткой габбро 80*80*80мм на отсев (проезжая часть)</t>
        </is>
      </c>
      <c r="D68" s="41" t="inlineStr">
        <is>
          <t>Мощение</t>
        </is>
      </c>
      <c r="E68" s="41" t="inlineStr">
        <is>
          <t>Покрытие</t>
        </is>
      </c>
      <c r="F68" s="41" t="inlineStr">
        <is>
          <t>Работа</t>
        </is>
      </c>
      <c r="G68" s="41" t="inlineStr">
        <is>
          <t>м2</t>
        </is>
      </c>
      <c r="H68" s="41" t="inlineStr">
        <is>
          <t>за м2</t>
        </is>
      </c>
      <c r="I68" s="43" t="n">
        <v>3700</v>
      </c>
      <c r="J68" s="41" t="inlineStr">
        <is>
          <t>Стандарт</t>
        </is>
      </c>
      <c r="K68" s="41" t="inlineStr">
        <is>
          <t>Показать строкой</t>
        </is>
      </c>
      <c r="L68" s="41" t="inlineStr">
        <is>
          <t>мощение, брусчаткой, габбро, 80мм, отсев, проезжая, часть</t>
        </is>
      </c>
      <c r="M68" s="41" t="inlineStr">
        <is>
          <t>Да</t>
        </is>
      </c>
      <c r="N68" s="41" t="inlineStr">
        <is>
          <t>Да</t>
        </is>
      </c>
      <c r="O68" s="45" t="inlineStr">
        <is>
          <t>Импортировано из PRICE_MASTER; строк-источников: 1</t>
        </is>
      </c>
      <c r="P68" s="41" t="inlineStr">
        <is>
          <t>Да</t>
        </is>
      </c>
      <c r="Q68" s="41" t="inlineStr">
        <is>
          <t>Импорт из PRICE_MASTER</t>
        </is>
      </c>
      <c r="R68" s="41" t="inlineStr">
        <is>
          <t>Высокая</t>
        </is>
      </c>
      <c r="S68" s="41" t="n">
        <v>1</v>
      </c>
      <c r="T68" s="41" t="inlineStr">
        <is>
          <t>SRC-0135</t>
        </is>
      </c>
    </row>
    <row r="69">
      <c r="A69" s="42" t="inlineStr">
        <is>
          <t>RWORK-0068</t>
        </is>
      </c>
      <c r="B69" s="42" t="inlineStr">
        <is>
          <t>Мощение брусчаткой пиленной из шунгитного сланца на отсев</t>
        </is>
      </c>
      <c r="C69" s="42" t="inlineStr">
        <is>
          <t>Мощение брусчаткой пиленной из шунгитного сланца на отсев</t>
        </is>
      </c>
      <c r="D69" s="42" t="inlineStr">
        <is>
          <t>Мощение</t>
        </is>
      </c>
      <c r="E69" s="42" t="inlineStr">
        <is>
          <t>Покрытие</t>
        </is>
      </c>
      <c r="F69" s="42" t="inlineStr">
        <is>
          <t>Работа</t>
        </is>
      </c>
      <c r="G69" s="42" t="inlineStr">
        <is>
          <t>м2</t>
        </is>
      </c>
      <c r="H69" s="42" t="inlineStr">
        <is>
          <t>за м2</t>
        </is>
      </c>
      <c r="I69" s="46" t="n">
        <v>2700</v>
      </c>
      <c r="J69" s="42" t="inlineStr">
        <is>
          <t>Стандарт</t>
        </is>
      </c>
      <c r="K69" s="42" t="inlineStr">
        <is>
          <t>Показать строкой</t>
        </is>
      </c>
      <c r="L69" s="42" t="inlineStr">
        <is>
          <t>мощение, брусчаткой, пиленной, шунгитного, сланца, отсев</t>
        </is>
      </c>
      <c r="M69" s="42" t="inlineStr">
        <is>
          <t>Да</t>
        </is>
      </c>
      <c r="N69" s="42" t="inlineStr">
        <is>
          <t>Да</t>
        </is>
      </c>
      <c r="O69" s="48" t="inlineStr">
        <is>
          <t>Импортировано из PRICE_MASTER; строк-источников: 1</t>
        </is>
      </c>
      <c r="P69" s="42" t="inlineStr">
        <is>
          <t>Да</t>
        </is>
      </c>
      <c r="Q69" s="42" t="inlineStr">
        <is>
          <t>Импорт из PRICE_MASTER</t>
        </is>
      </c>
      <c r="R69" s="42" t="inlineStr">
        <is>
          <t>Высокая</t>
        </is>
      </c>
      <c r="S69" s="42" t="n">
        <v>1</v>
      </c>
      <c r="T69" s="42" t="inlineStr">
        <is>
          <t>SRC-0136</t>
        </is>
      </c>
    </row>
    <row r="70">
      <c r="A70" s="41" t="inlineStr">
        <is>
          <t>RWORK-0069</t>
        </is>
      </c>
      <c r="B70" s="41" t="inlineStr">
        <is>
          <t>Мощение гранитной брусчаткой (без рисунка)</t>
        </is>
      </c>
      <c r="C70" s="41" t="inlineStr">
        <is>
          <t>Мощение гранитной брусчаткой (без рисунка)</t>
        </is>
      </c>
      <c r="D70" s="41" t="inlineStr">
        <is>
          <t>Мощение</t>
        </is>
      </c>
      <c r="E70" s="41" t="inlineStr">
        <is>
          <t>Покрытие</t>
        </is>
      </c>
      <c r="F70" s="41" t="inlineStr">
        <is>
          <t>Работа</t>
        </is>
      </c>
      <c r="G70" s="41" t="inlineStr">
        <is>
          <t>м2</t>
        </is>
      </c>
      <c r="H70" s="41" t="inlineStr">
        <is>
          <t>за м2</t>
        </is>
      </c>
      <c r="I70" s="43" t="n">
        <v>2200</v>
      </c>
      <c r="J70" s="41" t="inlineStr">
        <is>
          <t>Стандарт</t>
        </is>
      </c>
      <c r="K70" s="41" t="inlineStr">
        <is>
          <t>Показать строкой</t>
        </is>
      </c>
      <c r="L70" s="41" t="inlineStr">
        <is>
          <t>мощение, гранитной, брусчаткой, рисунка</t>
        </is>
      </c>
      <c r="M70" s="41" t="inlineStr">
        <is>
          <t>Да</t>
        </is>
      </c>
      <c r="N70" s="41" t="inlineStr">
        <is>
          <t>Да</t>
        </is>
      </c>
      <c r="O70" s="45" t="inlineStr">
        <is>
          <t>Импортировано из PRICE_MASTER; строк-источников: 1</t>
        </is>
      </c>
      <c r="P70" s="41" t="inlineStr">
        <is>
          <t>Да</t>
        </is>
      </c>
      <c r="Q70" s="41" t="inlineStr">
        <is>
          <t>Импорт из PRICE_MASTER</t>
        </is>
      </c>
      <c r="R70" s="41" t="inlineStr">
        <is>
          <t>Высокая</t>
        </is>
      </c>
      <c r="S70" s="41" t="n">
        <v>1</v>
      </c>
      <c r="T70" s="41" t="inlineStr">
        <is>
          <t>SRC-0137</t>
        </is>
      </c>
    </row>
    <row r="71">
      <c r="A71" s="42" t="inlineStr">
        <is>
          <t>RWORK-0070</t>
        </is>
      </c>
      <c r="B71" s="42" t="inlineStr">
        <is>
          <t>Мощение колотым амфиболитом</t>
        </is>
      </c>
      <c r="C71" s="42" t="inlineStr">
        <is>
          <t>Мощение колотым амфиболитом</t>
        </is>
      </c>
      <c r="D71" s="42" t="inlineStr">
        <is>
          <t>Мощение</t>
        </is>
      </c>
      <c r="E71" s="42" t="inlineStr">
        <is>
          <t>Покрытие</t>
        </is>
      </c>
      <c r="F71" s="42" t="inlineStr">
        <is>
          <t>Работа</t>
        </is>
      </c>
      <c r="G71" s="42" t="inlineStr">
        <is>
          <t>м2</t>
        </is>
      </c>
      <c r="H71" s="42" t="inlineStr">
        <is>
          <t>за м2</t>
        </is>
      </c>
      <c r="I71" s="46" t="n">
        <v>2300</v>
      </c>
      <c r="J71" s="42" t="inlineStr">
        <is>
          <t>Стандарт</t>
        </is>
      </c>
      <c r="K71" s="42" t="inlineStr">
        <is>
          <t>Показать строкой</t>
        </is>
      </c>
      <c r="L71" s="42" t="inlineStr">
        <is>
          <t>мощение, колотым, амфиболитом</t>
        </is>
      </c>
      <c r="M71" s="42" t="inlineStr">
        <is>
          <t>Да</t>
        </is>
      </c>
      <c r="N71" s="42" t="inlineStr">
        <is>
          <t>Да</t>
        </is>
      </c>
      <c r="O71" s="48" t="inlineStr">
        <is>
          <t>Импортировано из PRICE_MASTER; строк-источников: 1</t>
        </is>
      </c>
      <c r="P71" s="42" t="inlineStr">
        <is>
          <t>Да</t>
        </is>
      </c>
      <c r="Q71" s="42" t="inlineStr">
        <is>
          <t>Импорт из PRICE_MASTER</t>
        </is>
      </c>
      <c r="R71" s="42" t="inlineStr">
        <is>
          <t>Высокая</t>
        </is>
      </c>
      <c r="S71" s="42" t="n">
        <v>1</v>
      </c>
      <c r="T71" s="42" t="inlineStr">
        <is>
          <t>SRC-0138</t>
        </is>
      </c>
    </row>
    <row r="72">
      <c r="A72" s="41" t="inlineStr">
        <is>
          <t>RWORK-0071</t>
        </is>
      </c>
      <c r="B72" s="41" t="inlineStr">
        <is>
          <t>Мощение пилено-колотрой гранитной брусчаткой 100х100х50мм</t>
        </is>
      </c>
      <c r="C72" s="41" t="inlineStr">
        <is>
          <t>Мощение пилено-колотрой гранитной брусчаткой 100х100х50мм</t>
        </is>
      </c>
      <c r="D72" s="41" t="inlineStr">
        <is>
          <t>Мощение</t>
        </is>
      </c>
      <c r="E72" s="41" t="inlineStr">
        <is>
          <t>Покрытие</t>
        </is>
      </c>
      <c r="F72" s="41" t="inlineStr">
        <is>
          <t>Работа</t>
        </is>
      </c>
      <c r="G72" s="41" t="inlineStr">
        <is>
          <t>м2</t>
        </is>
      </c>
      <c r="H72" s="41" t="inlineStr">
        <is>
          <t>за м2</t>
        </is>
      </c>
      <c r="I72" s="43" t="n">
        <v>1980</v>
      </c>
      <c r="J72" s="41" t="inlineStr">
        <is>
          <t>Стандарт</t>
        </is>
      </c>
      <c r="K72" s="41" t="inlineStr">
        <is>
          <t>Показать строкой</t>
        </is>
      </c>
      <c r="L72" s="41" t="inlineStr">
        <is>
          <t>мощение, пилено, колотрой, гранитной, брусчаткой, 100х100х50мм</t>
        </is>
      </c>
      <c r="M72" s="41" t="inlineStr">
        <is>
          <t>Да</t>
        </is>
      </c>
      <c r="N72" s="41" t="inlineStr">
        <is>
          <t>Да</t>
        </is>
      </c>
      <c r="O72" s="45" t="inlineStr">
        <is>
          <t>Импортировано из PRICE_MASTER; строк-источников: 1</t>
        </is>
      </c>
      <c r="P72" s="41" t="inlineStr">
        <is>
          <t>Да</t>
        </is>
      </c>
      <c r="Q72" s="41" t="inlineStr">
        <is>
          <t>Импорт из PRICE_MASTER</t>
        </is>
      </c>
      <c r="R72" s="41" t="inlineStr">
        <is>
          <t>Высокая</t>
        </is>
      </c>
      <c r="S72" s="41" t="n">
        <v>1</v>
      </c>
      <c r="T72" s="41" t="inlineStr">
        <is>
          <t>SRC-0139</t>
        </is>
      </c>
    </row>
    <row r="73">
      <c r="A73" s="42" t="inlineStr">
        <is>
          <t>RWORK-0072</t>
        </is>
      </c>
      <c r="B73" s="42" t="inlineStr">
        <is>
          <t>Мощение плитами</t>
        </is>
      </c>
      <c r="C73" s="42" t="inlineStr">
        <is>
          <t>Мощение плитами</t>
        </is>
      </c>
      <c r="D73" s="42" t="inlineStr">
        <is>
          <t>Мощение</t>
        </is>
      </c>
      <c r="E73" s="42" t="inlineStr">
        <is>
          <t>Покрытие</t>
        </is>
      </c>
      <c r="F73" s="42" t="inlineStr">
        <is>
          <t>Работа</t>
        </is>
      </c>
      <c r="G73" s="42" t="inlineStr">
        <is>
          <t>м2</t>
        </is>
      </c>
      <c r="H73" s="42" t="inlineStr">
        <is>
          <t>за м2</t>
        </is>
      </c>
      <c r="I73" s="46" t="n">
        <v>950</v>
      </c>
      <c r="J73" s="42" t="inlineStr">
        <is>
          <t>Стандарт</t>
        </is>
      </c>
      <c r="K73" s="42" t="inlineStr">
        <is>
          <t>Показать строкой</t>
        </is>
      </c>
      <c r="L73" s="42" t="inlineStr">
        <is>
          <t>мощение, плитами</t>
        </is>
      </c>
      <c r="M73" s="42" t="inlineStr">
        <is>
          <t>Да</t>
        </is>
      </c>
      <c r="N73" s="42" t="inlineStr">
        <is>
          <t>Да</t>
        </is>
      </c>
      <c r="O73" s="48" t="inlineStr">
        <is>
          <t>Импортировано из PRICE_MASTER; строк-источников: 1</t>
        </is>
      </c>
      <c r="P73" s="42" t="inlineStr">
        <is>
          <t>Да</t>
        </is>
      </c>
      <c r="Q73" s="42" t="inlineStr">
        <is>
          <t>Импорт из PRICE_MASTER</t>
        </is>
      </c>
      <c r="R73" s="42" t="inlineStr">
        <is>
          <t>Высокая</t>
        </is>
      </c>
      <c r="S73" s="42" t="n">
        <v>1</v>
      </c>
      <c r="T73" s="42" t="inlineStr">
        <is>
          <t>SRC-0140</t>
        </is>
      </c>
    </row>
    <row r="74">
      <c r="A74" s="41" t="inlineStr">
        <is>
          <t>RWORK-0073</t>
        </is>
      </c>
      <c r="B74" s="41" t="inlineStr">
        <is>
          <t>Мощение плитами согласно схеме раскладки</t>
        </is>
      </c>
      <c r="C74" s="41" t="inlineStr">
        <is>
          <t>Мощение плитами согласно схеме раскладки</t>
        </is>
      </c>
      <c r="D74" s="41" t="inlineStr">
        <is>
          <t>Мощение</t>
        </is>
      </c>
      <c r="E74" s="41" t="inlineStr">
        <is>
          <t>Покрытие</t>
        </is>
      </c>
      <c r="F74" s="41" t="inlineStr">
        <is>
          <t>Работа</t>
        </is>
      </c>
      <c r="G74" s="41" t="inlineStr">
        <is>
          <t>м2</t>
        </is>
      </c>
      <c r="H74" s="41" t="inlineStr">
        <is>
          <t>за м2</t>
        </is>
      </c>
      <c r="I74" s="43" t="n">
        <v>2900</v>
      </c>
      <c r="J74" s="41" t="inlineStr">
        <is>
          <t>Стандарт</t>
        </is>
      </c>
      <c r="K74" s="41" t="inlineStr">
        <is>
          <t>Показать строкой</t>
        </is>
      </c>
      <c r="L74" s="41" t="inlineStr">
        <is>
          <t>мощение, плитами, согласно, схеме, раскладки</t>
        </is>
      </c>
      <c r="M74" s="41" t="inlineStr">
        <is>
          <t>Да</t>
        </is>
      </c>
      <c r="N74" s="41" t="inlineStr">
        <is>
          <t>Да</t>
        </is>
      </c>
      <c r="O74" s="45" t="inlineStr">
        <is>
          <t>Импортировано из PRICE_MASTER; строк-источников: 1</t>
        </is>
      </c>
      <c r="P74" s="41" t="inlineStr">
        <is>
          <t>Да</t>
        </is>
      </c>
      <c r="Q74" s="41" t="inlineStr">
        <is>
          <t>Импорт из PRICE_MASTER</t>
        </is>
      </c>
      <c r="R74" s="41" t="inlineStr">
        <is>
          <t>Высокая</t>
        </is>
      </c>
      <c r="S74" s="41" t="n">
        <v>1</v>
      </c>
      <c r="T74" s="41" t="inlineStr">
        <is>
          <t>SRC-0141</t>
        </is>
      </c>
    </row>
    <row r="75">
      <c r="A75" s="42" t="inlineStr">
        <is>
          <t>RWORK-0074</t>
        </is>
      </c>
      <c r="B75" s="42" t="inlineStr">
        <is>
          <t>Мощение ТБП</t>
        </is>
      </c>
      <c r="C75" s="42" t="inlineStr">
        <is>
          <t>Мощение ТБП</t>
        </is>
      </c>
      <c r="D75" s="42" t="inlineStr">
        <is>
          <t>Мощение</t>
        </is>
      </c>
      <c r="E75" s="42" t="inlineStr">
        <is>
          <t>Покрытие</t>
        </is>
      </c>
      <c r="F75" s="42" t="inlineStr">
        <is>
          <t>Работа</t>
        </is>
      </c>
      <c r="G75" s="42" t="inlineStr">
        <is>
          <t>м2</t>
        </is>
      </c>
      <c r="H75" s="42" t="inlineStr">
        <is>
          <t>за м2</t>
        </is>
      </c>
      <c r="I75" s="46" t="n">
        <v>1600</v>
      </c>
      <c r="J75" s="42" t="inlineStr">
        <is>
          <t>Стандарт</t>
        </is>
      </c>
      <c r="K75" s="42" t="inlineStr">
        <is>
          <t>Показать строкой</t>
        </is>
      </c>
      <c r="L75" s="42" t="inlineStr">
        <is>
          <t>мощение, тбп</t>
        </is>
      </c>
      <c r="M75" s="42" t="inlineStr">
        <is>
          <t>Да</t>
        </is>
      </c>
      <c r="N75" s="42" t="inlineStr">
        <is>
          <t>Да</t>
        </is>
      </c>
      <c r="O75" s="48" t="inlineStr">
        <is>
          <t>Импортировано из PRICE_MASTER; строк-источников: 2</t>
        </is>
      </c>
      <c r="P75" s="42" t="inlineStr">
        <is>
          <t>Да</t>
        </is>
      </c>
      <c r="Q75" s="42" t="inlineStr">
        <is>
          <t>Импорт из PRICE_MASTER</t>
        </is>
      </c>
      <c r="R75" s="42" t="inlineStr">
        <is>
          <t>Высокая</t>
        </is>
      </c>
      <c r="S75" s="42" t="n">
        <v>2</v>
      </c>
      <c r="T75" s="42" t="inlineStr">
        <is>
          <t>SRC-0142</t>
        </is>
      </c>
    </row>
    <row r="76">
      <c r="A76" s="41" t="inlineStr">
        <is>
          <t>RWORK-0075</t>
        </is>
      </c>
      <c r="B76" s="41" t="inlineStr">
        <is>
          <t>Мощение ТБП 60мм</t>
        </is>
      </c>
      <c r="C76" s="41" t="inlineStr">
        <is>
          <t>Мощение ТБП 60мм</t>
        </is>
      </c>
      <c r="D76" s="41" t="inlineStr">
        <is>
          <t>Мощение</t>
        </is>
      </c>
      <c r="E76" s="41" t="inlineStr">
        <is>
          <t>Покрытие</t>
        </is>
      </c>
      <c r="F76" s="41" t="inlineStr">
        <is>
          <t>Работа</t>
        </is>
      </c>
      <c r="G76" s="41" t="inlineStr">
        <is>
          <t>м2</t>
        </is>
      </c>
      <c r="H76" s="41" t="inlineStr">
        <is>
          <t>за м2</t>
        </is>
      </c>
      <c r="I76" s="43" t="n">
        <v>1300</v>
      </c>
      <c r="J76" s="41" t="inlineStr">
        <is>
          <t>Стандарт</t>
        </is>
      </c>
      <c r="K76" s="41" t="inlineStr">
        <is>
          <t>Показать строкой</t>
        </is>
      </c>
      <c r="L76" s="41" t="inlineStr">
        <is>
          <t>мощение, тбп, 60мм</t>
        </is>
      </c>
      <c r="M76" s="41" t="inlineStr">
        <is>
          <t>Да</t>
        </is>
      </c>
      <c r="N76" s="41" t="inlineStr">
        <is>
          <t>Да</t>
        </is>
      </c>
      <c r="O76" s="45" t="inlineStr">
        <is>
          <t>Импортировано из PRICE_MASTER; строк-источников: 1</t>
        </is>
      </c>
      <c r="P76" s="41" t="inlineStr">
        <is>
          <t>Да</t>
        </is>
      </c>
      <c r="Q76" s="41" t="inlineStr">
        <is>
          <t>Импорт из PRICE_MASTER</t>
        </is>
      </c>
      <c r="R76" s="41" t="inlineStr">
        <is>
          <t>Высокая</t>
        </is>
      </c>
      <c r="S76" s="41" t="n">
        <v>1</v>
      </c>
      <c r="T76" s="41" t="inlineStr">
        <is>
          <t>SRC-0144</t>
        </is>
      </c>
    </row>
    <row r="77">
      <c r="A77" s="42" t="inlineStr">
        <is>
          <t>RWORK-0076</t>
        </is>
      </c>
      <c r="B77" s="42" t="inlineStr">
        <is>
          <t>Мощение шунгитным сланцем, рваным</t>
        </is>
      </c>
      <c r="C77" s="42" t="inlineStr">
        <is>
          <t>Мощение шунгитным сланцем, рваным</t>
        </is>
      </c>
      <c r="D77" s="42" t="inlineStr">
        <is>
          <t>Мощение</t>
        </is>
      </c>
      <c r="E77" s="42" t="inlineStr">
        <is>
          <t>Покрытие</t>
        </is>
      </c>
      <c r="F77" s="42" t="inlineStr">
        <is>
          <t>Работа</t>
        </is>
      </c>
      <c r="G77" s="42" t="inlineStr">
        <is>
          <t>м2</t>
        </is>
      </c>
      <c r="H77" s="42" t="inlineStr">
        <is>
          <t>за м2</t>
        </is>
      </c>
      <c r="I77" s="46" t="n">
        <v>3900</v>
      </c>
      <c r="J77" s="42" t="inlineStr">
        <is>
          <t>Стандарт</t>
        </is>
      </c>
      <c r="K77" s="42" t="inlineStr">
        <is>
          <t>Показать строкой</t>
        </is>
      </c>
      <c r="L77" s="42" t="inlineStr">
        <is>
          <t>мощение, шунгитным, сланцем, рваным</t>
        </is>
      </c>
      <c r="M77" s="42" t="inlineStr">
        <is>
          <t>Да</t>
        </is>
      </c>
      <c r="N77" s="42" t="inlineStr">
        <is>
          <t>Да</t>
        </is>
      </c>
      <c r="O77" s="48" t="inlineStr">
        <is>
          <t>Импортировано из PRICE_MASTER; строк-источников: 1</t>
        </is>
      </c>
      <c r="P77" s="42" t="inlineStr">
        <is>
          <t>Да</t>
        </is>
      </c>
      <c r="Q77" s="42" t="inlineStr">
        <is>
          <t>Импорт из PRICE_MASTER</t>
        </is>
      </c>
      <c r="R77" s="42" t="inlineStr">
        <is>
          <t>Высокая</t>
        </is>
      </c>
      <c r="S77" s="42" t="n">
        <v>1</v>
      </c>
      <c r="T77" s="42" t="inlineStr">
        <is>
          <t>SRC-0145</t>
        </is>
      </c>
    </row>
    <row r="78">
      <c r="A78" s="41" t="inlineStr">
        <is>
          <t>RWORK-0077</t>
        </is>
      </c>
      <c r="B78" s="41" t="inlineStr">
        <is>
          <t>Накладные расходы (расходные материалы, комплектация заказов, зарплата АУП и пр.)</t>
        </is>
      </c>
      <c r="C78" s="41" t="inlineStr">
        <is>
          <t>Накладные расходы (расходные материалы, комплектация заказов, зарплата АУП и пр.)</t>
        </is>
      </c>
      <c r="D78" s="41" t="inlineStr">
        <is>
          <t>Накладные / коэффициенты</t>
        </is>
      </c>
      <c r="E78" s="41" t="inlineStr">
        <is>
          <t>Накладные расходы</t>
        </is>
      </c>
      <c r="F78" s="41" t="inlineStr">
        <is>
          <t>Накладные</t>
        </is>
      </c>
      <c r="G78" s="41" t="inlineStr">
        <is>
          <t>%</t>
        </is>
      </c>
      <c r="H78" s="41" t="inlineStr">
        <is>
          <t>%</t>
        </is>
      </c>
      <c r="I78" s="43" t="n">
        <v>0.05</v>
      </c>
      <c r="J78" s="41" t="inlineStr">
        <is>
          <t>Стандарт</t>
        </is>
      </c>
      <c r="K78" s="41" t="inlineStr">
        <is>
          <t>Скрыть из клиентской версии</t>
        </is>
      </c>
      <c r="L78" s="41" t="inlineStr">
        <is>
          <t>накладные, расходы, расходные, материалы, комплектация, заказов, зарплата, ауп</t>
        </is>
      </c>
      <c r="M78" s="41" t="inlineStr">
        <is>
          <t>Нет</t>
        </is>
      </c>
      <c r="N78" s="41" t="inlineStr">
        <is>
          <t>Да</t>
        </is>
      </c>
      <c r="O78" s="45" t="inlineStr">
        <is>
          <t>Импортировано из PRICE_MASTER; строк-источников: 1</t>
        </is>
      </c>
      <c r="P78" s="41" t="inlineStr">
        <is>
          <t>Нет</t>
        </is>
      </c>
      <c r="Q78" s="41" t="inlineStr">
        <is>
          <t>Импорт из PRICE_MASTER</t>
        </is>
      </c>
      <c r="R78" s="41" t="inlineStr">
        <is>
          <t>Высокая</t>
        </is>
      </c>
      <c r="S78" s="41" t="n">
        <v>1</v>
      </c>
      <c r="T78" s="41" t="inlineStr">
        <is>
          <t>SRC-0148</t>
        </is>
      </c>
    </row>
    <row r="79">
      <c r="A79" s="42" t="inlineStr">
        <is>
          <t>RWORK-0078</t>
        </is>
      </c>
      <c r="B79" s="42" t="inlineStr">
        <is>
          <t>Обратная засыпка грунта</t>
        </is>
      </c>
      <c r="C79" s="42" t="inlineStr">
        <is>
          <t>Обратная засыпка грунта</t>
        </is>
      </c>
      <c r="D79" s="42" t="inlineStr">
        <is>
          <t>Закладные / коммуникации</t>
        </is>
      </c>
      <c r="E79" s="42" t="inlineStr">
        <is>
          <t>Обратная засыпка</t>
        </is>
      </c>
      <c r="F79" s="42" t="inlineStr">
        <is>
          <t>Работа</t>
        </is>
      </c>
      <c r="G79" s="42" t="inlineStr">
        <is>
          <t>м3</t>
        </is>
      </c>
      <c r="H79" s="42" t="inlineStr">
        <is>
          <t>за м3</t>
        </is>
      </c>
      <c r="I79" s="46" t="n">
        <v>900</v>
      </c>
      <c r="J79" s="42" t="inlineStr">
        <is>
          <t>Стандарт</t>
        </is>
      </c>
      <c r="K79" s="42" t="inlineStr">
        <is>
          <t>Показать строкой</t>
        </is>
      </c>
      <c r="L79" s="42" t="inlineStr">
        <is>
          <t>обратная, засыпка, грунта</t>
        </is>
      </c>
      <c r="M79" s="42" t="inlineStr">
        <is>
          <t>Да</t>
        </is>
      </c>
      <c r="N79" s="42" t="inlineStr">
        <is>
          <t>Да</t>
        </is>
      </c>
      <c r="O79" s="48" t="inlineStr">
        <is>
          <t>Импортировано из PRICE_MASTER; строк-источников: 1</t>
        </is>
      </c>
      <c r="P79" s="42" t="inlineStr">
        <is>
          <t>Да</t>
        </is>
      </c>
      <c r="Q79" s="42" t="inlineStr">
        <is>
          <t>Импорт из PRICE_MASTER</t>
        </is>
      </c>
      <c r="R79" s="42" t="inlineStr">
        <is>
          <t>Высокая</t>
        </is>
      </c>
      <c r="S79" s="42" t="n">
        <v>1</v>
      </c>
      <c r="T79" s="42" t="inlineStr">
        <is>
          <t>SRC-0149</t>
        </is>
      </c>
    </row>
    <row r="80">
      <c r="A80" s="41" t="inlineStr">
        <is>
          <t>RWORK-0079</t>
        </is>
      </c>
      <c r="B80" s="41" t="inlineStr">
        <is>
          <t>Обратная засыпка с послойной трамбовкой вручную</t>
        </is>
      </c>
      <c r="C80" s="41" t="inlineStr">
        <is>
          <t>Обратная засыпка с послойной трамбовкой вручную</t>
        </is>
      </c>
      <c r="D80" s="41" t="inlineStr">
        <is>
          <t>Мощение</t>
        </is>
      </c>
      <c r="E80" s="41" t="inlineStr">
        <is>
          <t>Подготовка и демонтаж</t>
        </is>
      </c>
      <c r="F80" s="41" t="inlineStr">
        <is>
          <t>Работа</t>
        </is>
      </c>
      <c r="G80" s="41" t="inlineStr">
        <is>
          <t>м3</t>
        </is>
      </c>
      <c r="H80" s="41" t="inlineStr">
        <is>
          <t>за м3</t>
        </is>
      </c>
      <c r="I80" s="43" t="n">
        <v>900</v>
      </c>
      <c r="J80" s="41" t="inlineStr">
        <is>
          <t>Ручной</t>
        </is>
      </c>
      <c r="K80" s="41" t="inlineStr">
        <is>
          <t>Показать строкой</t>
        </is>
      </c>
      <c r="L80" s="41" t="inlineStr">
        <is>
          <t>обратная, засыпка, послойной, трамбовкой, вручную</t>
        </is>
      </c>
      <c r="M80" s="41" t="inlineStr">
        <is>
          <t>Да</t>
        </is>
      </c>
      <c r="N80" s="41" t="inlineStr">
        <is>
          <t>Да</t>
        </is>
      </c>
      <c r="O80" s="45" t="inlineStr">
        <is>
          <t>Импортировано из PRICE_MASTER; строк-источников: 1</t>
        </is>
      </c>
      <c r="P80" s="41" t="inlineStr">
        <is>
          <t>Да</t>
        </is>
      </c>
      <c r="Q80" s="41" t="inlineStr">
        <is>
          <t>Импорт из PRICE_MASTER</t>
        </is>
      </c>
      <c r="R80" s="41" t="inlineStr">
        <is>
          <t>Высокая</t>
        </is>
      </c>
      <c r="S80" s="41" t="n">
        <v>1</v>
      </c>
      <c r="T80" s="41" t="inlineStr">
        <is>
          <t>SRC-0150</t>
        </is>
      </c>
    </row>
    <row r="81">
      <c r="A81" s="42" t="inlineStr">
        <is>
          <t>RWORK-0080</t>
        </is>
      </c>
      <c r="B81" s="42" t="inlineStr">
        <is>
          <t>Обратная засыпка траншеи после прокладки кабеля</t>
        </is>
      </c>
      <c r="C81" s="42" t="inlineStr">
        <is>
          <t>Обратная засыпка траншеи после прокладки кабеля</t>
        </is>
      </c>
      <c r="D81" s="42" t="inlineStr">
        <is>
          <t>Освещение</t>
        </is>
      </c>
      <c r="E81" s="42" t="inlineStr">
        <is>
          <t>Кабельная инфраструктура</t>
        </is>
      </c>
      <c r="F81" s="42" t="inlineStr">
        <is>
          <t>Работа</t>
        </is>
      </c>
      <c r="G81" s="42" t="inlineStr">
        <is>
          <t>м.пог.</t>
        </is>
      </c>
      <c r="H81" s="42" t="inlineStr">
        <is>
          <t>за ед.</t>
        </is>
      </c>
      <c r="I81" s="46" t="n">
        <v>400</v>
      </c>
      <c r="J81" s="42" t="inlineStr">
        <is>
          <t>Стандарт</t>
        </is>
      </c>
      <c r="K81" s="42" t="inlineStr">
        <is>
          <t>Показать строкой</t>
        </is>
      </c>
      <c r="L81" s="42" t="inlineStr">
        <is>
          <t>обратная, засыпка, траншеи, после, прокладки, кабеля</t>
        </is>
      </c>
      <c r="M81" s="42" t="inlineStr">
        <is>
          <t>Да</t>
        </is>
      </c>
      <c r="N81" s="42" t="inlineStr">
        <is>
          <t>Да</t>
        </is>
      </c>
      <c r="O81" s="48" t="inlineStr">
        <is>
          <t>Импортировано из PRICE_MASTER; строк-источников: 1</t>
        </is>
      </c>
      <c r="P81" s="42" t="inlineStr">
        <is>
          <t>Да</t>
        </is>
      </c>
      <c r="Q81" s="42" t="inlineStr">
        <is>
          <t>Импорт из PRICE_MASTER</t>
        </is>
      </c>
      <c r="R81" s="42" t="inlineStr">
        <is>
          <t>Высокая</t>
        </is>
      </c>
      <c r="S81" s="42" t="n">
        <v>1</v>
      </c>
      <c r="T81" s="42" t="inlineStr">
        <is>
          <t>SRC-0151</t>
        </is>
      </c>
    </row>
    <row r="82">
      <c r="A82" s="41" t="inlineStr">
        <is>
          <t>RWORK-0081</t>
        </is>
      </c>
      <c r="B82" s="41" t="inlineStr">
        <is>
          <t>Обрезка краев газона криволинейная</t>
        </is>
      </c>
      <c r="C82" s="41" t="inlineStr">
        <is>
          <t>Обрезка краев газона криволинейная</t>
        </is>
      </c>
      <c r="D82" s="41" t="inlineStr">
        <is>
          <t>Газон</t>
        </is>
      </c>
      <c r="E82" s="41" t="inlineStr">
        <is>
          <t>Газон и укладка</t>
        </is>
      </c>
      <c r="F82" s="41" t="inlineStr">
        <is>
          <t>Работа</t>
        </is>
      </c>
      <c r="G82" s="41" t="inlineStr">
        <is>
          <t>м.пог.</t>
        </is>
      </c>
      <c r="H82" s="41" t="inlineStr">
        <is>
          <t>за ед.</t>
        </is>
      </c>
      <c r="I82" s="43" t="n">
        <v>220</v>
      </c>
      <c r="J82" s="41" t="inlineStr">
        <is>
          <t>Стандарт</t>
        </is>
      </c>
      <c r="K82" s="41" t="inlineStr">
        <is>
          <t>Показать строкой</t>
        </is>
      </c>
      <c r="L82" s="41" t="inlineStr">
        <is>
          <t>обрезка, краев, газона, криволинейная</t>
        </is>
      </c>
      <c r="M82" s="41" t="inlineStr">
        <is>
          <t>Да</t>
        </is>
      </c>
      <c r="N82" s="41" t="inlineStr">
        <is>
          <t>Да</t>
        </is>
      </c>
      <c r="O82" s="45" t="inlineStr">
        <is>
          <t>Импортировано из PRICE_MASTER; строк-источников: 1</t>
        </is>
      </c>
      <c r="P82" s="41" t="inlineStr">
        <is>
          <t>Да</t>
        </is>
      </c>
      <c r="Q82" s="41" t="inlineStr">
        <is>
          <t>Импорт из PRICE_MASTER</t>
        </is>
      </c>
      <c r="R82" s="41" t="inlineStr">
        <is>
          <t>Высокая</t>
        </is>
      </c>
      <c r="S82" s="41" t="n">
        <v>1</v>
      </c>
      <c r="T82" s="41" t="inlineStr">
        <is>
          <t>SRC-0152</t>
        </is>
      </c>
    </row>
    <row r="83">
      <c r="A83" s="42" t="inlineStr">
        <is>
          <t>RWORK-0082</t>
        </is>
      </c>
      <c r="B83" s="42" t="inlineStr">
        <is>
          <t>Обрезка плодовых деревьев (май и сентябрь)</t>
        </is>
      </c>
      <c r="C83" s="42" t="inlineStr">
        <is>
          <t>Обрезка плодовых деревьев (май и сентябрь)</t>
        </is>
      </c>
      <c r="D83" s="42" t="inlineStr">
        <is>
          <t>Посадки и уход</t>
        </is>
      </c>
      <c r="E83" s="42" t="inlineStr">
        <is>
          <t>Уход и посадка</t>
        </is>
      </c>
      <c r="F83" s="42" t="inlineStr">
        <is>
          <t>Работа</t>
        </is>
      </c>
      <c r="G83" s="42" t="inlineStr">
        <is>
          <t>шт</t>
        </is>
      </c>
      <c r="H83" s="42" t="inlineStr">
        <is>
          <t>за шт</t>
        </is>
      </c>
      <c r="I83" s="46" t="n">
        <v>15000</v>
      </c>
      <c r="J83" s="42" t="inlineStr">
        <is>
          <t>Стандарт</t>
        </is>
      </c>
      <c r="K83" s="42" t="inlineStr">
        <is>
          <t>Показать строкой</t>
        </is>
      </c>
      <c r="L83" s="42" t="inlineStr">
        <is>
          <t>обрезка, плодовых, деревьев, май, сентябрь</t>
        </is>
      </c>
      <c r="M83" s="42" t="inlineStr">
        <is>
          <t>Да</t>
        </is>
      </c>
      <c r="N83" s="42" t="inlineStr">
        <is>
          <t>Да</t>
        </is>
      </c>
      <c r="O83" s="48" t="inlineStr">
        <is>
          <t>Импортировано из PRICE_MASTER; строк-источников: 1</t>
        </is>
      </c>
      <c r="P83" s="42" t="inlineStr">
        <is>
          <t>Да</t>
        </is>
      </c>
      <c r="Q83" s="42" t="inlineStr">
        <is>
          <t>Импорт из PRICE_MASTER</t>
        </is>
      </c>
      <c r="R83" s="42" t="inlineStr">
        <is>
          <t>Высокая</t>
        </is>
      </c>
      <c r="S83" s="42" t="n">
        <v>1</v>
      </c>
      <c r="T83" s="42" t="inlineStr">
        <is>
          <t>SRC-0153</t>
        </is>
      </c>
    </row>
    <row r="84">
      <c r="A84" s="41" t="inlineStr">
        <is>
          <t>RWORK-0083</t>
        </is>
      </c>
      <c r="B84" s="41" t="inlineStr">
        <is>
          <t>окраска в цвет по RAL</t>
        </is>
      </c>
      <c r="C84" s="41" t="inlineStr">
        <is>
          <t>окраска в цвет по RAL</t>
        </is>
      </c>
      <c r="D84" s="41" t="inlineStr">
        <is>
          <t>Мощение</t>
        </is>
      </c>
      <c r="E84" s="41" t="inlineStr">
        <is>
          <t>Конструкции и отделка</t>
        </is>
      </c>
      <c r="F84" s="41" t="inlineStr">
        <is>
          <t>Работа</t>
        </is>
      </c>
      <c r="G84" s="41" t="inlineStr">
        <is>
          <t>компл</t>
        </is>
      </c>
      <c r="H84" s="41" t="inlineStr">
        <is>
          <t>за компл</t>
        </is>
      </c>
      <c r="I84" s="43" t="n">
        <v>26400</v>
      </c>
      <c r="J84" s="41" t="inlineStr">
        <is>
          <t>Стандарт</t>
        </is>
      </c>
      <c r="K84" s="41" t="inlineStr">
        <is>
          <t>Показать строкой</t>
        </is>
      </c>
      <c r="L84" s="41" t="inlineStr">
        <is>
          <t>окраска, цвет, ral</t>
        </is>
      </c>
      <c r="M84" s="41" t="inlineStr">
        <is>
          <t>Да</t>
        </is>
      </c>
      <c r="N84" s="41" t="inlineStr">
        <is>
          <t>Да</t>
        </is>
      </c>
      <c r="O84" s="45" t="inlineStr">
        <is>
          <t>Импортировано из PRICE_MASTER; строк-источников: 1</t>
        </is>
      </c>
      <c r="P84" s="41" t="inlineStr">
        <is>
          <t>Да</t>
        </is>
      </c>
      <c r="Q84" s="41" t="inlineStr">
        <is>
          <t>Импорт из PRICE_MASTER</t>
        </is>
      </c>
      <c r="R84" s="41" t="inlineStr">
        <is>
          <t>Высокая</t>
        </is>
      </c>
      <c r="S84" s="41" t="n">
        <v>1</v>
      </c>
      <c r="T84" s="41" t="inlineStr">
        <is>
          <t>SRC-0154</t>
        </is>
      </c>
    </row>
    <row r="85">
      <c r="A85" s="42" t="inlineStr">
        <is>
          <t>RWORK-0084</t>
        </is>
      </c>
      <c r="B85" s="42" t="inlineStr">
        <is>
          <t>Окраска доски в один слой с фасадной стороны и торцов</t>
        </is>
      </c>
      <c r="C85" s="42" t="inlineStr">
        <is>
          <t>Окраска доски в один слой с фасадной стороны и торцов</t>
        </is>
      </c>
      <c r="D85" s="42" t="inlineStr">
        <is>
          <t>Мощение</t>
        </is>
      </c>
      <c r="E85" s="42" t="inlineStr">
        <is>
          <t>Конструкции и отделка</t>
        </is>
      </c>
      <c r="F85" s="42" t="inlineStr">
        <is>
          <t>Работа</t>
        </is>
      </c>
      <c r="G85" s="42" t="inlineStr">
        <is>
          <t>м2</t>
        </is>
      </c>
      <c r="H85" s="42" t="inlineStr">
        <is>
          <t>за м2</t>
        </is>
      </c>
      <c r="I85" s="46" t="n">
        <v>250</v>
      </c>
      <c r="J85" s="42" t="inlineStr">
        <is>
          <t>Стандарт</t>
        </is>
      </c>
      <c r="K85" s="42" t="inlineStr">
        <is>
          <t>Показать строкой</t>
        </is>
      </c>
      <c r="L85" s="42" t="inlineStr">
        <is>
          <t>окраска, доски, один, фасадной, стороны, торцов</t>
        </is>
      </c>
      <c r="M85" s="42" t="inlineStr">
        <is>
          <t>Да</t>
        </is>
      </c>
      <c r="N85" s="42" t="inlineStr">
        <is>
          <t>Да</t>
        </is>
      </c>
      <c r="O85" s="48" t="inlineStr">
        <is>
          <t>Импортировано из PRICE_MASTER; строк-источников: 1</t>
        </is>
      </c>
      <c r="P85" s="42" t="inlineStr">
        <is>
          <t>Да</t>
        </is>
      </c>
      <c r="Q85" s="42" t="inlineStr">
        <is>
          <t>Импорт из PRICE_MASTER</t>
        </is>
      </c>
      <c r="R85" s="42" t="inlineStr">
        <is>
          <t>Высокая</t>
        </is>
      </c>
      <c r="S85" s="42" t="n">
        <v>1</v>
      </c>
      <c r="T85" s="42" t="inlineStr">
        <is>
          <t>SRC-0155</t>
        </is>
      </c>
    </row>
    <row r="86">
      <c r="A86" s="41" t="inlineStr">
        <is>
          <t>RWORK-0085</t>
        </is>
      </c>
      <c r="B86" s="41" t="inlineStr">
        <is>
          <t>Перекопка верхнего слоя почвы с выбором корневищ и мусора, внесением грунта и песка</t>
        </is>
      </c>
      <c r="C86" s="41" t="inlineStr">
        <is>
          <t>Перекопка верхнего слоя почвы с выбором корневищ и мусора, внесением грунта и песка</t>
        </is>
      </c>
      <c r="D86" s="41" t="inlineStr">
        <is>
          <t>Земляные и планировочные работы</t>
        </is>
      </c>
      <c r="E86" s="41" t="inlineStr">
        <is>
          <t>Материалы</t>
        </is>
      </c>
      <c r="F86" s="41" t="inlineStr">
        <is>
          <t>Работа</t>
        </is>
      </c>
      <c r="G86" s="41" t="inlineStr">
        <is>
          <t>м2</t>
        </is>
      </c>
      <c r="H86" s="41" t="inlineStr">
        <is>
          <t>за м2</t>
        </is>
      </c>
      <c r="I86" s="43" t="n">
        <v>400</v>
      </c>
      <c r="J86" s="41" t="inlineStr">
        <is>
          <t>Стандарт</t>
        </is>
      </c>
      <c r="K86" s="41" t="inlineStr">
        <is>
          <t>Показать строкой</t>
        </is>
      </c>
      <c r="L86" s="41" t="inlineStr">
        <is>
          <t>перекопка, верхнего, почвы, выбором, корневищ, мусора, внесением, грунта</t>
        </is>
      </c>
      <c r="M86" s="41" t="inlineStr">
        <is>
          <t>Да</t>
        </is>
      </c>
      <c r="N86" s="41" t="inlineStr">
        <is>
          <t>Да</t>
        </is>
      </c>
      <c r="O86" s="45" t="inlineStr">
        <is>
          <t>Импортировано из PRICE_MASTER; строк-источников: 1</t>
        </is>
      </c>
      <c r="P86" s="41" t="inlineStr">
        <is>
          <t>Да</t>
        </is>
      </c>
      <c r="Q86" s="41" t="inlineStr">
        <is>
          <t>Импорт из PRICE_MASTER</t>
        </is>
      </c>
      <c r="R86" s="41" t="inlineStr">
        <is>
          <t>Высокая</t>
        </is>
      </c>
      <c r="S86" s="41" t="n">
        <v>1</v>
      </c>
      <c r="T86" s="41" t="inlineStr">
        <is>
          <t>SRC-0160</t>
        </is>
      </c>
    </row>
    <row r="87">
      <c r="A87" s="42" t="inlineStr">
        <is>
          <t>RWORK-0086</t>
        </is>
      </c>
      <c r="B87" s="42" t="inlineStr">
        <is>
          <t>Перекопка с внесением крупного песка и с дальнейшим выравниванием, выведением уклонов и уплотнением</t>
        </is>
      </c>
      <c r="C87" s="42" t="inlineStr">
        <is>
          <t>Перекопка с внесением крупного песка и с дальнейшим выравниванием, выведением уклонов и уплотнением</t>
        </is>
      </c>
      <c r="D87" s="42" t="inlineStr">
        <is>
          <t>Газон</t>
        </is>
      </c>
      <c r="E87" s="42" t="inlineStr">
        <is>
          <t>Подготовка основания</t>
        </is>
      </c>
      <c r="F87" s="42" t="inlineStr">
        <is>
          <t>Работа</t>
        </is>
      </c>
      <c r="G87" s="42" t="inlineStr">
        <is>
          <t>м2</t>
        </is>
      </c>
      <c r="H87" s="42" t="inlineStr">
        <is>
          <t>за м2</t>
        </is>
      </c>
      <c r="I87" s="46" t="n">
        <v>470</v>
      </c>
      <c r="J87" s="42" t="inlineStr">
        <is>
          <t>Стандарт</t>
        </is>
      </c>
      <c r="K87" s="42" t="inlineStr">
        <is>
          <t>Показать строкой</t>
        </is>
      </c>
      <c r="L87" s="42" t="inlineStr">
        <is>
          <t>перекопка, внесением, крупного, песка, дальнейшим, выравниванием, выведением, уклонов</t>
        </is>
      </c>
      <c r="M87" s="42" t="inlineStr">
        <is>
          <t>Да</t>
        </is>
      </c>
      <c r="N87" s="42" t="inlineStr">
        <is>
          <t>Да</t>
        </is>
      </c>
      <c r="O87" s="48" t="inlineStr">
        <is>
          <t>Импортировано из PRICE_MASTER; строк-источников: 1</t>
        </is>
      </c>
      <c r="P87" s="42" t="inlineStr">
        <is>
          <t>Да</t>
        </is>
      </c>
      <c r="Q87" s="42" t="inlineStr">
        <is>
          <t>Импорт из PRICE_MASTER</t>
        </is>
      </c>
      <c r="R87" s="42" t="inlineStr">
        <is>
          <t>Высокая</t>
        </is>
      </c>
      <c r="S87" s="42" t="n">
        <v>1</v>
      </c>
      <c r="T87" s="42" t="inlineStr">
        <is>
          <t>SRC-0161</t>
        </is>
      </c>
    </row>
    <row r="88">
      <c r="A88" s="41" t="inlineStr">
        <is>
          <t>RWORK-0087</t>
        </is>
      </c>
      <c r="B88" s="41" t="inlineStr">
        <is>
          <t>Перемещение камня по участку</t>
        </is>
      </c>
      <c r="C88" s="41" t="inlineStr">
        <is>
          <t>Перемещение камня по участку</t>
        </is>
      </c>
      <c r="D88" s="41" t="inlineStr">
        <is>
          <t>Мощение</t>
        </is>
      </c>
      <c r="E88" s="41" t="inlineStr">
        <is>
          <t>Подготовка и демонтаж</t>
        </is>
      </c>
      <c r="F88" s="41" t="inlineStr">
        <is>
          <t>Работа</t>
        </is>
      </c>
      <c r="G88" s="41" t="inlineStr">
        <is>
          <t>м3</t>
        </is>
      </c>
      <c r="H88" s="41" t="inlineStr">
        <is>
          <t>за м3</t>
        </is>
      </c>
      <c r="I88" s="43" t="n">
        <v>900</v>
      </c>
      <c r="J88" s="41" t="inlineStr">
        <is>
          <t>Стандарт</t>
        </is>
      </c>
      <c r="K88" s="41" t="inlineStr">
        <is>
          <t>Показать строкой</t>
        </is>
      </c>
      <c r="L88" s="41" t="inlineStr">
        <is>
          <t>перемещение, камня, участку</t>
        </is>
      </c>
      <c r="M88" s="41" t="inlineStr">
        <is>
          <t>Да</t>
        </is>
      </c>
      <c r="N88" s="41" t="inlineStr">
        <is>
          <t>Да</t>
        </is>
      </c>
      <c r="O88" s="45" t="inlineStr">
        <is>
          <t>Импортировано из PRICE_MASTER; строк-источников: 1</t>
        </is>
      </c>
      <c r="P88" s="41" t="inlineStr">
        <is>
          <t>Да</t>
        </is>
      </c>
      <c r="Q88" s="41" t="inlineStr">
        <is>
          <t>Импорт из PRICE_MASTER</t>
        </is>
      </c>
      <c r="R88" s="41" t="inlineStr">
        <is>
          <t>Высокая</t>
        </is>
      </c>
      <c r="S88" s="41" t="n">
        <v>1</v>
      </c>
      <c r="T88" s="41" t="inlineStr">
        <is>
          <t>SRC-0162</t>
        </is>
      </c>
    </row>
    <row r="89">
      <c r="A89" s="42" t="inlineStr">
        <is>
          <t>RWORK-0088</t>
        </is>
      </c>
      <c r="B89" s="42" t="inlineStr">
        <is>
          <t>Перемещение песка по участку</t>
        </is>
      </c>
      <c r="C89" s="42" t="inlineStr">
        <is>
          <t>Перемещение песка по участку</t>
        </is>
      </c>
      <c r="D89" s="42" t="inlineStr">
        <is>
          <t>Мощение</t>
        </is>
      </c>
      <c r="E89" s="42" t="inlineStr">
        <is>
          <t>Подготовка и демонтаж</t>
        </is>
      </c>
      <c r="F89" s="42" t="inlineStr">
        <is>
          <t>Работа</t>
        </is>
      </c>
      <c r="G89" s="42" t="inlineStr">
        <is>
          <t>м3</t>
        </is>
      </c>
      <c r="H89" s="42" t="inlineStr">
        <is>
          <t>за м3</t>
        </is>
      </c>
      <c r="I89" s="46" t="n">
        <v>600</v>
      </c>
      <c r="J89" s="42" t="inlineStr">
        <is>
          <t>Стандарт</t>
        </is>
      </c>
      <c r="K89" s="42" t="inlineStr">
        <is>
          <t>Показать строкой</t>
        </is>
      </c>
      <c r="L89" s="42" t="inlineStr">
        <is>
          <t>перемещение, песка, участку</t>
        </is>
      </c>
      <c r="M89" s="42" t="inlineStr">
        <is>
          <t>Да</t>
        </is>
      </c>
      <c r="N89" s="42" t="inlineStr">
        <is>
          <t>Да</t>
        </is>
      </c>
      <c r="O89" s="48" t="inlineStr">
        <is>
          <t>Импортировано из PRICE_MASTER; строк-источников: 1</t>
        </is>
      </c>
      <c r="P89" s="42" t="inlineStr">
        <is>
          <t>Да</t>
        </is>
      </c>
      <c r="Q89" s="42" t="inlineStr">
        <is>
          <t>Импорт из PRICE_MASTER</t>
        </is>
      </c>
      <c r="R89" s="42" t="inlineStr">
        <is>
          <t>Высокая</t>
        </is>
      </c>
      <c r="S89" s="42" t="n">
        <v>1</v>
      </c>
      <c r="T89" s="42" t="inlineStr">
        <is>
          <t>SRC-0163</t>
        </is>
      </c>
    </row>
    <row r="90">
      <c r="A90" s="41" t="inlineStr">
        <is>
          <t>RWORK-0089</t>
        </is>
      </c>
      <c r="B90" s="41" t="inlineStr">
        <is>
          <t>Перемещение щебня по участку</t>
        </is>
      </c>
      <c r="C90" s="41" t="inlineStr">
        <is>
          <t>Перемещение щебня по участку</t>
        </is>
      </c>
      <c r="D90" s="41" t="inlineStr">
        <is>
          <t>Мощение</t>
        </is>
      </c>
      <c r="E90" s="41" t="inlineStr">
        <is>
          <t>Основание</t>
        </is>
      </c>
      <c r="F90" s="41" t="inlineStr">
        <is>
          <t>Работа</t>
        </is>
      </c>
      <c r="G90" s="41" t="inlineStr">
        <is>
          <t>м3</t>
        </is>
      </c>
      <c r="H90" s="41" t="inlineStr">
        <is>
          <t>за м3</t>
        </is>
      </c>
      <c r="I90" s="43" t="n">
        <v>800</v>
      </c>
      <c r="J90" s="41" t="inlineStr">
        <is>
          <t>Стандарт</t>
        </is>
      </c>
      <c r="K90" s="41" t="inlineStr">
        <is>
          <t>Показать строкой</t>
        </is>
      </c>
      <c r="L90" s="41" t="inlineStr">
        <is>
          <t>перемещение, щебня, участку</t>
        </is>
      </c>
      <c r="M90" s="41" t="inlineStr">
        <is>
          <t>Да</t>
        </is>
      </c>
      <c r="N90" s="41" t="inlineStr">
        <is>
          <t>Да</t>
        </is>
      </c>
      <c r="O90" s="45" t="inlineStr">
        <is>
          <t>Импортировано из PRICE_MASTER; строк-источников: 1</t>
        </is>
      </c>
      <c r="P90" s="41" t="inlineStr">
        <is>
          <t>Да</t>
        </is>
      </c>
      <c r="Q90" s="41" t="inlineStr">
        <is>
          <t>Импорт из PRICE_MASTER</t>
        </is>
      </c>
      <c r="R90" s="41" t="inlineStr">
        <is>
          <t>Высокая</t>
        </is>
      </c>
      <c r="S90" s="41" t="n">
        <v>1</v>
      </c>
      <c r="T90" s="41" t="inlineStr">
        <is>
          <t>SRC-0164</t>
        </is>
      </c>
    </row>
    <row r="91">
      <c r="A91" s="42" t="inlineStr">
        <is>
          <t>RWORK-0090</t>
        </is>
      </c>
      <c r="B91" s="42" t="inlineStr">
        <is>
          <t>Погрузка мусора (механическая)</t>
        </is>
      </c>
      <c r="C91" s="42" t="inlineStr">
        <is>
          <t>Погрузка мусора (механическая)</t>
        </is>
      </c>
      <c r="D91" s="42" t="inlineStr">
        <is>
          <t>Вывоз и утилизация</t>
        </is>
      </c>
      <c r="E91" s="42" t="inlineStr">
        <is>
          <t>Вывоз и погрузка</t>
        </is>
      </c>
      <c r="F91" s="42" t="inlineStr">
        <is>
          <t>Работа</t>
        </is>
      </c>
      <c r="G91" s="42" t="inlineStr">
        <is>
          <t>м3</t>
        </is>
      </c>
      <c r="H91" s="42" t="inlineStr">
        <is>
          <t>за м3</t>
        </is>
      </c>
      <c r="I91" s="46" t="n">
        <v>500</v>
      </c>
      <c r="J91" s="42" t="inlineStr">
        <is>
          <t>Стандарт</t>
        </is>
      </c>
      <c r="K91" s="42" t="inlineStr">
        <is>
          <t>Свернуть в раздел</t>
        </is>
      </c>
      <c r="L91" s="42" t="inlineStr">
        <is>
          <t>погрузка, мусора, механическая</t>
        </is>
      </c>
      <c r="M91" s="42" t="inlineStr">
        <is>
          <t>Да</t>
        </is>
      </c>
      <c r="N91" s="42" t="inlineStr">
        <is>
          <t>Да</t>
        </is>
      </c>
      <c r="O91" s="48" t="inlineStr">
        <is>
          <t>Импортировано из PRICE_MASTER; строк-источников: 1</t>
        </is>
      </c>
      <c r="P91" s="42" t="inlineStr">
        <is>
          <t>Да</t>
        </is>
      </c>
      <c r="Q91" s="42" t="inlineStr">
        <is>
          <t>Импорт из PRICE_MASTER</t>
        </is>
      </c>
      <c r="R91" s="42" t="inlineStr">
        <is>
          <t>Высокая</t>
        </is>
      </c>
      <c r="S91" s="42" t="n">
        <v>1</v>
      </c>
      <c r="T91" s="42" t="inlineStr">
        <is>
          <t>SRC-0172</t>
        </is>
      </c>
    </row>
    <row r="92">
      <c r="A92" s="41" t="inlineStr">
        <is>
          <t>RWORK-0091</t>
        </is>
      </c>
      <c r="B92" s="41" t="inlineStr">
        <is>
          <t>Подготовка оснований лестниц и пандусов</t>
        </is>
      </c>
      <c r="C92" s="41" t="inlineStr">
        <is>
          <t>Подготовка оснований лестниц и пандусов</t>
        </is>
      </c>
      <c r="D92" s="41" t="inlineStr">
        <is>
          <t>Ступени / пандусы / бетонные элементы</t>
        </is>
      </c>
      <c r="E92" s="41" t="inlineStr">
        <is>
          <t>Основание</t>
        </is>
      </c>
      <c r="F92" s="41" t="inlineStr">
        <is>
          <t>Работа</t>
        </is>
      </c>
      <c r="G92" s="41" t="inlineStr">
        <is>
          <t>м2</t>
        </is>
      </c>
      <c r="H92" s="41" t="inlineStr">
        <is>
          <t>за м2</t>
        </is>
      </c>
      <c r="I92" s="43" t="n">
        <v>2000</v>
      </c>
      <c r="J92" s="41" t="inlineStr">
        <is>
          <t>Стандарт</t>
        </is>
      </c>
      <c r="K92" s="41" t="inlineStr">
        <is>
          <t>Показать строкой</t>
        </is>
      </c>
      <c r="L92" s="41" t="inlineStr">
        <is>
          <t>оснований, лестниц, пандусов</t>
        </is>
      </c>
      <c r="M92" s="41" t="inlineStr">
        <is>
          <t>Да</t>
        </is>
      </c>
      <c r="N92" s="41" t="inlineStr">
        <is>
          <t>Да</t>
        </is>
      </c>
      <c r="O92" s="45" t="inlineStr">
        <is>
          <t>Импортировано из PRICE_MASTER; строк-источников: 1</t>
        </is>
      </c>
      <c r="P92" s="41" t="inlineStr">
        <is>
          <t>Да</t>
        </is>
      </c>
      <c r="Q92" s="41" t="inlineStr">
        <is>
          <t>Импорт из PRICE_MASTER</t>
        </is>
      </c>
      <c r="R92" s="41" t="inlineStr">
        <is>
          <t>Высокая</t>
        </is>
      </c>
      <c r="S92" s="41" t="n">
        <v>1</v>
      </c>
      <c r="T92" s="41" t="inlineStr">
        <is>
          <t>SRC-0173</t>
        </is>
      </c>
    </row>
    <row r="93">
      <c r="A93" s="42" t="inlineStr">
        <is>
          <t>RWORK-0092</t>
        </is>
      </c>
      <c r="B93" s="42" t="inlineStr">
        <is>
          <t>Подпиливание бетона подпорных стенок</t>
        </is>
      </c>
      <c r="C93" s="42" t="inlineStr">
        <is>
          <t>Подпиливание бетона подпорных стенок</t>
        </is>
      </c>
      <c r="D93" s="42" t="inlineStr">
        <is>
          <t>Мощение</t>
        </is>
      </c>
      <c r="E93" s="42" t="inlineStr">
        <is>
          <t>Бетон и конструктив</t>
        </is>
      </c>
      <c r="F93" s="42" t="inlineStr">
        <is>
          <t>Работа</t>
        </is>
      </c>
      <c r="G93" s="42" t="inlineStr">
        <is>
          <t>м.пог.</t>
        </is>
      </c>
      <c r="H93" s="42" t="inlineStr">
        <is>
          <t>за ед.</t>
        </is>
      </c>
      <c r="I93" s="46" t="n">
        <v>580</v>
      </c>
      <c r="J93" s="42" t="inlineStr">
        <is>
          <t>Стандарт</t>
        </is>
      </c>
      <c r="K93" s="42" t="inlineStr">
        <is>
          <t>Показать строкой</t>
        </is>
      </c>
      <c r="L93" s="42" t="inlineStr">
        <is>
          <t>подпиливание, бетона, подпорных, стенок</t>
        </is>
      </c>
      <c r="M93" s="42" t="inlineStr">
        <is>
          <t>Да</t>
        </is>
      </c>
      <c r="N93" s="42" t="inlineStr">
        <is>
          <t>Да</t>
        </is>
      </c>
      <c r="O93" s="48" t="inlineStr">
        <is>
          <t>Импортировано из PRICE_MASTER; строк-источников: 1</t>
        </is>
      </c>
      <c r="P93" s="42" t="inlineStr">
        <is>
          <t>Да</t>
        </is>
      </c>
      <c r="Q93" s="42" t="inlineStr">
        <is>
          <t>Импорт из PRICE_MASTER</t>
        </is>
      </c>
      <c r="R93" s="42" t="inlineStr">
        <is>
          <t>Высокая</t>
        </is>
      </c>
      <c r="S93" s="42" t="n">
        <v>1</v>
      </c>
      <c r="T93" s="42" t="inlineStr">
        <is>
          <t>SRC-0174</t>
        </is>
      </c>
    </row>
    <row r="94">
      <c r="A94" s="41" t="inlineStr">
        <is>
          <t>RWORK-0093</t>
        </is>
      </c>
      <c r="B94" s="41" t="inlineStr">
        <is>
          <t>Подрезка плитки</t>
        </is>
      </c>
      <c r="C94" s="41" t="inlineStr">
        <is>
          <t>Подрезка плитки</t>
        </is>
      </c>
      <c r="D94" s="41" t="inlineStr">
        <is>
          <t>Мощение</t>
        </is>
      </c>
      <c r="E94" s="41" t="inlineStr">
        <is>
          <t>Прочее по мощению</t>
        </is>
      </c>
      <c r="F94" s="41" t="inlineStr">
        <is>
          <t>Работа</t>
        </is>
      </c>
      <c r="G94" s="41" t="inlineStr">
        <is>
          <t>м.пог.</t>
        </is>
      </c>
      <c r="H94" s="41" t="inlineStr">
        <is>
          <t>за ед.</t>
        </is>
      </c>
      <c r="I94" s="43" t="n">
        <v>700</v>
      </c>
      <c r="J94" s="41" t="inlineStr">
        <is>
          <t>Стандарт</t>
        </is>
      </c>
      <c r="K94" s="41" t="inlineStr">
        <is>
          <t>Показать строкой</t>
        </is>
      </c>
      <c r="L94" s="41" t="inlineStr">
        <is>
          <t>подрезка, плитки</t>
        </is>
      </c>
      <c r="M94" s="41" t="inlineStr">
        <is>
          <t>Да</t>
        </is>
      </c>
      <c r="N94" s="41" t="inlineStr">
        <is>
          <t>Да</t>
        </is>
      </c>
      <c r="O94" s="45" t="inlineStr">
        <is>
          <t>Импортировано из PRICE_MASTER; строк-источников: 1</t>
        </is>
      </c>
      <c r="P94" s="41" t="inlineStr">
        <is>
          <t>Да</t>
        </is>
      </c>
      <c r="Q94" s="41" t="inlineStr">
        <is>
          <t>Импорт из PRICE_MASTER</t>
        </is>
      </c>
      <c r="R94" s="41" t="inlineStr">
        <is>
          <t>Высокая</t>
        </is>
      </c>
      <c r="S94" s="41" t="n">
        <v>1</v>
      </c>
      <c r="T94" s="41" t="inlineStr">
        <is>
          <t>SRC-0175</t>
        </is>
      </c>
    </row>
    <row r="95">
      <c r="A95" s="42" t="inlineStr">
        <is>
          <t>RWORK-0094</t>
        </is>
      </c>
      <c r="B95" s="42" t="inlineStr">
        <is>
          <t>Покраска щита и коробов в цвет дома</t>
        </is>
      </c>
      <c r="C95" s="42" t="inlineStr">
        <is>
          <t>Покраска щита и коробов в цвет дома</t>
        </is>
      </c>
      <c r="D95" s="42" t="inlineStr">
        <is>
          <t>Освещение</t>
        </is>
      </c>
      <c r="E95" s="42" t="inlineStr">
        <is>
          <t>Оборудование и комплектующие</t>
        </is>
      </c>
      <c r="F95" s="42" t="inlineStr">
        <is>
          <t>Работа</t>
        </is>
      </c>
      <c r="G95" s="42" t="inlineStr">
        <is>
          <t>компл</t>
        </is>
      </c>
      <c r="H95" s="42" t="inlineStr">
        <is>
          <t>за компл</t>
        </is>
      </c>
      <c r="I95" s="46" t="n">
        <v>2000</v>
      </c>
      <c r="J95" s="42" t="inlineStr">
        <is>
          <t>Стандарт</t>
        </is>
      </c>
      <c r="K95" s="42" t="inlineStr">
        <is>
          <t>Показать строкой</t>
        </is>
      </c>
      <c r="L95" s="42" t="inlineStr">
        <is>
          <t>покраска, щита, коробов, цвет, дома</t>
        </is>
      </c>
      <c r="M95" s="42" t="inlineStr">
        <is>
          <t>Да</t>
        </is>
      </c>
      <c r="N95" s="42" t="inlineStr">
        <is>
          <t>Да</t>
        </is>
      </c>
      <c r="O95" s="48" t="inlineStr">
        <is>
          <t>Импортировано из PRICE_MASTER; строк-источников: 1</t>
        </is>
      </c>
      <c r="P95" s="42" t="inlineStr">
        <is>
          <t>Да</t>
        </is>
      </c>
      <c r="Q95" s="42" t="inlineStr">
        <is>
          <t>Импорт из PRICE_MASTER</t>
        </is>
      </c>
      <c r="R95" s="42" t="inlineStr">
        <is>
          <t>Высокая</t>
        </is>
      </c>
      <c r="S95" s="42" t="n">
        <v>1</v>
      </c>
      <c r="T95" s="42" t="inlineStr">
        <is>
          <t>SRC-0176</t>
        </is>
      </c>
    </row>
    <row r="96">
      <c r="A96" s="41" t="inlineStr">
        <is>
          <t>RWORK-0095</t>
        </is>
      </c>
      <c r="B96" s="41" t="inlineStr">
        <is>
          <t>Посадка розы</t>
        </is>
      </c>
      <c r="C96" s="41" t="inlineStr">
        <is>
          <t>Посадка розы</t>
        </is>
      </c>
      <c r="D96" s="41" t="inlineStr">
        <is>
          <t>Посадки и уход</t>
        </is>
      </c>
      <c r="E96" s="41" t="inlineStr">
        <is>
          <t>Уход и посадка</t>
        </is>
      </c>
      <c r="F96" s="41" t="inlineStr">
        <is>
          <t>Работа</t>
        </is>
      </c>
      <c r="G96" s="41" t="inlineStr">
        <is>
          <t>шт</t>
        </is>
      </c>
      <c r="H96" s="41" t="inlineStr">
        <is>
          <t>за шт</t>
        </is>
      </c>
      <c r="I96" s="43" t="n">
        <v>950</v>
      </c>
      <c r="J96" s="41" t="inlineStr">
        <is>
          <t>Стандарт</t>
        </is>
      </c>
      <c r="K96" s="41" t="inlineStr">
        <is>
          <t>Показать строкой</t>
        </is>
      </c>
      <c r="L96" s="41" t="inlineStr">
        <is>
          <t>посадка, розы</t>
        </is>
      </c>
      <c r="M96" s="41" t="inlineStr">
        <is>
          <t>Да</t>
        </is>
      </c>
      <c r="N96" s="41" t="inlineStr">
        <is>
          <t>Да</t>
        </is>
      </c>
      <c r="O96" s="45" t="inlineStr">
        <is>
          <t>Импортировано из PRICE_MASTER; строк-источников: 1</t>
        </is>
      </c>
      <c r="P96" s="41" t="inlineStr">
        <is>
          <t>Да</t>
        </is>
      </c>
      <c r="Q96" s="41" t="inlineStr">
        <is>
          <t>Импорт из PRICE_MASTER</t>
        </is>
      </c>
      <c r="R96" s="41" t="inlineStr">
        <is>
          <t>Высокая</t>
        </is>
      </c>
      <c r="S96" s="41" t="n">
        <v>1</v>
      </c>
      <c r="T96" s="41" t="inlineStr">
        <is>
          <t>SRC-0179</t>
        </is>
      </c>
    </row>
    <row r="97">
      <c r="A97" s="42" t="inlineStr">
        <is>
          <t>RWORK-0096</t>
        </is>
      </c>
      <c r="B97" s="42" t="inlineStr">
        <is>
          <t>Прометание мощения отсевом/ песком</t>
        </is>
      </c>
      <c r="C97" s="42" t="inlineStr">
        <is>
          <t>Прометание мощения отсевом/ песком</t>
        </is>
      </c>
      <c r="D97" s="42" t="inlineStr">
        <is>
          <t>Мощение</t>
        </is>
      </c>
      <c r="E97" s="42" t="inlineStr">
        <is>
          <t>Основание</t>
        </is>
      </c>
      <c r="F97" s="42" t="inlineStr">
        <is>
          <t>Работа</t>
        </is>
      </c>
      <c r="G97" s="42" t="inlineStr">
        <is>
          <t>м2</t>
        </is>
      </c>
      <c r="H97" s="42" t="inlineStr">
        <is>
          <t>за м2</t>
        </is>
      </c>
      <c r="I97" s="46" t="n">
        <v>150</v>
      </c>
      <c r="J97" s="42" t="inlineStr">
        <is>
          <t>Стандарт</t>
        </is>
      </c>
      <c r="K97" s="42" t="inlineStr">
        <is>
          <t>Показать строкой</t>
        </is>
      </c>
      <c r="L97" s="42" t="inlineStr">
        <is>
          <t>прометание, мощения, отсевом, песком</t>
        </is>
      </c>
      <c r="M97" s="42" t="inlineStr">
        <is>
          <t>Да</t>
        </is>
      </c>
      <c r="N97" s="42" t="inlineStr">
        <is>
          <t>Да</t>
        </is>
      </c>
      <c r="O97" s="48" t="inlineStr">
        <is>
          <t>Импортировано из PRICE_MASTER; строк-источников: 1</t>
        </is>
      </c>
      <c r="P97" s="42" t="inlineStr">
        <is>
          <t>Да</t>
        </is>
      </c>
      <c r="Q97" s="42" t="inlineStr">
        <is>
          <t>Импорт из PRICE_MASTER</t>
        </is>
      </c>
      <c r="R97" s="42" t="inlineStr">
        <is>
          <t>Высокая</t>
        </is>
      </c>
      <c r="S97" s="42" t="n">
        <v>1</v>
      </c>
      <c r="T97" s="42" t="inlineStr">
        <is>
          <t>SRC-0181</t>
        </is>
      </c>
    </row>
    <row r="98">
      <c r="A98" s="41" t="inlineStr">
        <is>
          <t>RWORK-0097</t>
        </is>
      </c>
      <c r="B98" s="41" t="inlineStr">
        <is>
          <t>Работа трактора</t>
        </is>
      </c>
      <c r="C98" s="41" t="inlineStr">
        <is>
          <t>Работа трактора</t>
        </is>
      </c>
      <c r="D98" s="41" t="inlineStr">
        <is>
          <t>Дренаж</t>
        </is>
      </c>
      <c r="E98" s="41" t="inlineStr">
        <is>
          <t>Техника и механизмы</t>
        </is>
      </c>
      <c r="F98" s="41" t="inlineStr">
        <is>
          <t>Техника</t>
        </is>
      </c>
      <c r="G98" s="41" t="inlineStr">
        <is>
          <t>маш./смена</t>
        </is>
      </c>
      <c r="H98" s="41" t="inlineStr">
        <is>
          <t>за ед.</t>
        </is>
      </c>
      <c r="I98" s="43" t="n">
        <v>26000</v>
      </c>
      <c r="J98" s="41" t="inlineStr">
        <is>
          <t>Механизированный</t>
        </is>
      </c>
      <c r="K98" s="41" t="inlineStr">
        <is>
          <t>Свернуть в раздел</t>
        </is>
      </c>
      <c r="L98" s="41" t="inlineStr">
        <is>
          <t>трактора</t>
        </is>
      </c>
      <c r="M98" s="41" t="inlineStr">
        <is>
          <t>Да</t>
        </is>
      </c>
      <c r="N98" s="41" t="inlineStr">
        <is>
          <t>Да</t>
        </is>
      </c>
      <c r="O98" s="45" t="inlineStr">
        <is>
          <t>Импортировано из PRICE_MASTER; строк-источников: 1</t>
        </is>
      </c>
      <c r="P98" s="41" t="inlineStr">
        <is>
          <t>Нет</t>
        </is>
      </c>
      <c r="Q98" s="41" t="inlineStr">
        <is>
          <t>Импорт из PRICE_MASTER</t>
        </is>
      </c>
      <c r="R98" s="41" t="inlineStr">
        <is>
          <t>Высокая</t>
        </is>
      </c>
      <c r="S98" s="41" t="n">
        <v>1</v>
      </c>
      <c r="T98" s="41" t="inlineStr">
        <is>
          <t>SRC-0184</t>
        </is>
      </c>
    </row>
    <row r="99">
      <c r="A99" s="42" t="inlineStr">
        <is>
          <t>RWORK-0098</t>
        </is>
      </c>
      <c r="B99" s="42" t="inlineStr">
        <is>
          <t>Работы по проверке цепей, параметрированию и настройке оборудования</t>
        </is>
      </c>
      <c r="C99" s="42" t="inlineStr">
        <is>
          <t>Работы по проверке цепей, параметрированию и настройке оборудования</t>
        </is>
      </c>
      <c r="D99" s="42" t="inlineStr">
        <is>
          <t>Освещение</t>
        </is>
      </c>
      <c r="E99" s="42" t="inlineStr">
        <is>
          <t>Пусконаладка</t>
        </is>
      </c>
      <c r="F99" s="42" t="inlineStr">
        <is>
          <t>Работа</t>
        </is>
      </c>
      <c r="G99" s="42" t="inlineStr">
        <is>
          <t>компл</t>
        </is>
      </c>
      <c r="H99" s="42" t="inlineStr">
        <is>
          <t>за компл</t>
        </is>
      </c>
      <c r="I99" s="46" t="n">
        <v>10000</v>
      </c>
      <c r="J99" s="42" t="inlineStr">
        <is>
          <t>Стандарт</t>
        </is>
      </c>
      <c r="K99" s="42" t="inlineStr">
        <is>
          <t>Показать строкой</t>
        </is>
      </c>
      <c r="L99" s="42" t="inlineStr">
        <is>
          <t>работы, проверке, цепей, параметрированию, настройке, оборудования</t>
        </is>
      </c>
      <c r="M99" s="42" t="inlineStr">
        <is>
          <t>Да</t>
        </is>
      </c>
      <c r="N99" s="42" t="inlineStr">
        <is>
          <t>Да</t>
        </is>
      </c>
      <c r="O99" s="48" t="inlineStr">
        <is>
          <t>Импортировано из PRICE_MASTER; строк-источников: 1</t>
        </is>
      </c>
      <c r="P99" s="42" t="inlineStr">
        <is>
          <t>Да</t>
        </is>
      </c>
      <c r="Q99" s="42" t="inlineStr">
        <is>
          <t>Импорт из PRICE_MASTER</t>
        </is>
      </c>
      <c r="R99" s="42" t="inlineStr">
        <is>
          <t>Высокая</t>
        </is>
      </c>
      <c r="S99" s="42" t="n">
        <v>1</v>
      </c>
      <c r="T99" s="42" t="inlineStr">
        <is>
          <t>SRC-0185</t>
        </is>
      </c>
    </row>
    <row r="100">
      <c r="A100" s="41" t="inlineStr">
        <is>
          <t>RWORK-0099</t>
        </is>
      </c>
      <c r="B100" s="41" t="inlineStr">
        <is>
          <t>Разборка существующего покрытия</t>
        </is>
      </c>
      <c r="C100" s="41" t="inlineStr">
        <is>
          <t>Разборка существующего покрытия</t>
        </is>
      </c>
      <c r="D100" s="41" t="inlineStr">
        <is>
          <t>Демонтаж и расчистка</t>
        </is>
      </c>
      <c r="E100" s="41" t="inlineStr">
        <is>
          <t>Демонтаж</t>
        </is>
      </c>
      <c r="F100" s="41" t="inlineStr">
        <is>
          <t>Работа</t>
        </is>
      </c>
      <c r="G100" s="41" t="inlineStr">
        <is>
          <t>м2</t>
        </is>
      </c>
      <c r="H100" s="41" t="inlineStr">
        <is>
          <t>за м2</t>
        </is>
      </c>
      <c r="I100" s="43" t="n">
        <v>700</v>
      </c>
      <c r="J100" s="41" t="inlineStr">
        <is>
          <t>Стандарт</t>
        </is>
      </c>
      <c r="K100" s="41" t="inlineStr">
        <is>
          <t>Показать строкой</t>
        </is>
      </c>
      <c r="L100" s="41" t="inlineStr">
        <is>
          <t>разборка, существующего, покрытия</t>
        </is>
      </c>
      <c r="M100" s="41" t="inlineStr">
        <is>
          <t>Да</t>
        </is>
      </c>
      <c r="N100" s="41" t="inlineStr">
        <is>
          <t>Да</t>
        </is>
      </c>
      <c r="O100" s="45" t="inlineStr">
        <is>
          <t>Импортировано из PRICE_MASTER; строк-источников: 1</t>
        </is>
      </c>
      <c r="P100" s="41" t="inlineStr">
        <is>
          <t>Да</t>
        </is>
      </c>
      <c r="Q100" s="41" t="inlineStr">
        <is>
          <t>Импорт из PRICE_MASTER</t>
        </is>
      </c>
      <c r="R100" s="41" t="inlineStr">
        <is>
          <t>Высокая</t>
        </is>
      </c>
      <c r="S100" s="41" t="n">
        <v>1</v>
      </c>
      <c r="T100" s="41" t="inlineStr">
        <is>
          <t>SRC-0186</t>
        </is>
      </c>
    </row>
    <row r="101">
      <c r="A101" s="42" t="inlineStr">
        <is>
          <t>RWORK-0100</t>
        </is>
      </c>
      <c r="B101" s="42" t="inlineStr">
        <is>
          <t>Разметка и нивелировка площадей, задание вертикальных уровней и уклона (геодезическая разбивка)</t>
        </is>
      </c>
      <c r="C101" s="42" t="inlineStr">
        <is>
          <t>Разметка и нивелировка площадей, задание вертикальных уровней и уклона (геодезическая разбивка)</t>
        </is>
      </c>
      <c r="D101" s="42" t="inlineStr">
        <is>
          <t>Земляные и планировочные работы</t>
        </is>
      </c>
      <c r="E101" s="42" t="inlineStr">
        <is>
          <t>Геодезия и разбивка</t>
        </is>
      </c>
      <c r="F101" s="42" t="inlineStr">
        <is>
          <t>Работа</t>
        </is>
      </c>
      <c r="G101" s="42" t="inlineStr">
        <is>
          <t>м2</t>
        </is>
      </c>
      <c r="H101" s="42" t="inlineStr">
        <is>
          <t>за м2</t>
        </is>
      </c>
      <c r="I101" s="46" t="n">
        <v>30</v>
      </c>
      <c r="J101" s="42" t="inlineStr">
        <is>
          <t>Стандарт</t>
        </is>
      </c>
      <c r="K101" s="42" t="inlineStr">
        <is>
          <t>Показать строкой</t>
        </is>
      </c>
      <c r="L101" s="42" t="inlineStr">
        <is>
          <t>разметка, нивелировка, площадей, задание, вертикальных, уровней, уклона, геодезическая</t>
        </is>
      </c>
      <c r="M101" s="42" t="inlineStr">
        <is>
          <t>Да</t>
        </is>
      </c>
      <c r="N101" s="42" t="inlineStr">
        <is>
          <t>Да</t>
        </is>
      </c>
      <c r="O101" s="48" t="inlineStr">
        <is>
          <t>Импортировано из PRICE_MASTER; строк-источников: 1</t>
        </is>
      </c>
      <c r="P101" s="42" t="inlineStr">
        <is>
          <t>Да</t>
        </is>
      </c>
      <c r="Q101" s="42" t="inlineStr">
        <is>
          <t>Импорт из PRICE_MASTER</t>
        </is>
      </c>
      <c r="R101" s="42" t="inlineStr">
        <is>
          <t>Высокая</t>
        </is>
      </c>
      <c r="S101" s="42" t="n">
        <v>1</v>
      </c>
      <c r="T101" s="42" t="inlineStr">
        <is>
          <t>SRC-0187</t>
        </is>
      </c>
    </row>
    <row r="102">
      <c r="A102" s="41" t="inlineStr">
        <is>
          <t>RWORK-0101</t>
        </is>
      </c>
      <c r="B102" s="41" t="inlineStr">
        <is>
          <t>Ручная перекопка участка с удалением корней и корневищ</t>
        </is>
      </c>
      <c r="C102" s="41" t="inlineStr">
        <is>
          <t>Ручная перекопка участка с удалением корней и корневищ</t>
        </is>
      </c>
      <c r="D102" s="41" t="inlineStr">
        <is>
          <t>Земляные и планировочные работы</t>
        </is>
      </c>
      <c r="E102" s="41" t="inlineStr">
        <is>
          <t>Подготовка грунта</t>
        </is>
      </c>
      <c r="F102" s="41" t="inlineStr">
        <is>
          <t>Работа</t>
        </is>
      </c>
      <c r="G102" s="41" t="inlineStr">
        <is>
          <t>м2</t>
        </is>
      </c>
      <c r="H102" s="41" t="inlineStr">
        <is>
          <t>за м2</t>
        </is>
      </c>
      <c r="I102" s="43" t="n">
        <v>220</v>
      </c>
      <c r="J102" s="41" t="inlineStr">
        <is>
          <t>Ручной</t>
        </is>
      </c>
      <c r="K102" s="41" t="inlineStr">
        <is>
          <t>Показать строкой</t>
        </is>
      </c>
      <c r="L102" s="41" t="inlineStr">
        <is>
          <t>ручная, перекопка, участка, удалением, корней, корневищ</t>
        </is>
      </c>
      <c r="M102" s="41" t="inlineStr">
        <is>
          <t>Да</t>
        </is>
      </c>
      <c r="N102" s="41" t="inlineStr">
        <is>
          <t>Да</t>
        </is>
      </c>
      <c r="O102" s="45" t="inlineStr">
        <is>
          <t>Импортировано из PRICE_MASTER; строк-источников: 1</t>
        </is>
      </c>
      <c r="P102" s="41" t="inlineStr">
        <is>
          <t>Да</t>
        </is>
      </c>
      <c r="Q102" s="41" t="inlineStr">
        <is>
          <t>Импорт из PRICE_MASTER</t>
        </is>
      </c>
      <c r="R102" s="41" t="inlineStr">
        <is>
          <t>Высокая</t>
        </is>
      </c>
      <c r="S102" s="41" t="n">
        <v>1</v>
      </c>
      <c r="T102" s="41" t="inlineStr">
        <is>
          <t>SRC-0192</t>
        </is>
      </c>
    </row>
    <row r="103">
      <c r="A103" s="42" t="inlineStr">
        <is>
          <t>RWORK-0102</t>
        </is>
      </c>
      <c r="B103" s="42" t="inlineStr">
        <is>
          <t>Снятие дернины</t>
        </is>
      </c>
      <c r="C103" s="42" t="inlineStr">
        <is>
          <t>Снятие дернины</t>
        </is>
      </c>
      <c r="D103" s="42" t="inlineStr">
        <is>
          <t>Дренаж</t>
        </is>
      </c>
      <c r="E103" s="42" t="inlineStr">
        <is>
          <t>Земляные и восстановительные работы</t>
        </is>
      </c>
      <c r="F103" s="42" t="inlineStr">
        <is>
          <t>Работа</t>
        </is>
      </c>
      <c r="G103" s="42" t="inlineStr">
        <is>
          <t>м2</t>
        </is>
      </c>
      <c r="H103" s="42" t="inlineStr">
        <is>
          <t>за м2</t>
        </is>
      </c>
      <c r="I103" s="46" t="n">
        <v>300</v>
      </c>
      <c r="J103" s="42" t="inlineStr">
        <is>
          <t>Стандарт</t>
        </is>
      </c>
      <c r="K103" s="42" t="inlineStr">
        <is>
          <t>Показать строкой</t>
        </is>
      </c>
      <c r="L103" s="42" t="inlineStr">
        <is>
          <t>снятие, дернины</t>
        </is>
      </c>
      <c r="M103" s="42" t="inlineStr">
        <is>
          <t>Да</t>
        </is>
      </c>
      <c r="N103" s="42" t="inlineStr">
        <is>
          <t>Да</t>
        </is>
      </c>
      <c r="O103" s="48" t="inlineStr">
        <is>
          <t>Импортировано из PRICE_MASTER; строк-источников: 1</t>
        </is>
      </c>
      <c r="P103" s="42" t="inlineStr">
        <is>
          <t>Да</t>
        </is>
      </c>
      <c r="Q103" s="42" t="inlineStr">
        <is>
          <t>Импорт из PRICE_MASTER</t>
        </is>
      </c>
      <c r="R103" s="42" t="inlineStr">
        <is>
          <t>Высокая</t>
        </is>
      </c>
      <c r="S103" s="42" t="n">
        <v>1</v>
      </c>
      <c r="T103" s="42" t="inlineStr">
        <is>
          <t>SRC-0201</t>
        </is>
      </c>
    </row>
    <row r="104">
      <c r="A104" s="41" t="inlineStr">
        <is>
          <t>RWORK-0103</t>
        </is>
      </c>
      <c r="B104" s="41" t="inlineStr">
        <is>
          <t>Снятие утрамбованного щебня (бывшая дорожка перед баней)</t>
        </is>
      </c>
      <c r="C104" s="41" t="inlineStr">
        <is>
          <t>Снятие утрамбованного щебня (бывшая дорожка перед баней)</t>
        </is>
      </c>
      <c r="D104" s="41" t="inlineStr">
        <is>
          <t>Демонтаж и расчистка</t>
        </is>
      </c>
      <c r="E104" s="41" t="inlineStr">
        <is>
          <t>Демонтаж</t>
        </is>
      </c>
      <c r="F104" s="41" t="inlineStr">
        <is>
          <t>Работа</t>
        </is>
      </c>
      <c r="G104" s="41" t="inlineStr">
        <is>
          <t>м2</t>
        </is>
      </c>
      <c r="H104" s="41" t="inlineStr">
        <is>
          <t>за м2</t>
        </is>
      </c>
      <c r="I104" s="43" t="n">
        <v>3650</v>
      </c>
      <c r="J104" s="41" t="inlineStr">
        <is>
          <t>Стандарт</t>
        </is>
      </c>
      <c r="K104" s="41" t="inlineStr">
        <is>
          <t>Показать строкой</t>
        </is>
      </c>
      <c r="L104" s="41" t="inlineStr">
        <is>
          <t>снятие, утрамбованного, щебня, бывшая, дорожка, перед, баней</t>
        </is>
      </c>
      <c r="M104" s="41" t="inlineStr">
        <is>
          <t>Да</t>
        </is>
      </c>
      <c r="N104" s="41" t="inlineStr">
        <is>
          <t>Да</t>
        </is>
      </c>
      <c r="O104" s="45" t="inlineStr">
        <is>
          <t>Импортировано из PRICE_MASTER; строк-источников: 1</t>
        </is>
      </c>
      <c r="P104" s="41" t="inlineStr">
        <is>
          <t>Да</t>
        </is>
      </c>
      <c r="Q104" s="41" t="inlineStr">
        <is>
          <t>Импорт из PRICE_MASTER</t>
        </is>
      </c>
      <c r="R104" s="41" t="inlineStr">
        <is>
          <t>Высокая</t>
        </is>
      </c>
      <c r="S104" s="41" t="n">
        <v>1</v>
      </c>
      <c r="T104" s="41" t="inlineStr">
        <is>
          <t>SRC-0202</t>
        </is>
      </c>
    </row>
    <row r="105">
      <c r="A105" s="42" t="inlineStr">
        <is>
          <t>RWORK-0104</t>
        </is>
      </c>
      <c r="B105" s="42" t="inlineStr">
        <is>
          <t>Спил березы</t>
        </is>
      </c>
      <c r="C105" s="42" t="inlineStr">
        <is>
          <t>Спил березы</t>
        </is>
      </c>
      <c r="D105" s="42" t="inlineStr">
        <is>
          <t>Демонтаж и расчистка</t>
        </is>
      </c>
      <c r="E105" s="42" t="inlineStr">
        <is>
          <t>Удаление деревьев</t>
        </is>
      </c>
      <c r="F105" s="42" t="inlineStr">
        <is>
          <t>Работа</t>
        </is>
      </c>
      <c r="G105" s="42" t="inlineStr">
        <is>
          <t>шт</t>
        </is>
      </c>
      <c r="H105" s="42" t="inlineStr">
        <is>
          <t>за шт</t>
        </is>
      </c>
      <c r="I105" s="46" t="n">
        <v>3800</v>
      </c>
      <c r="J105" s="42" t="inlineStr">
        <is>
          <t>Стандарт</t>
        </is>
      </c>
      <c r="K105" s="42" t="inlineStr">
        <is>
          <t>Показать строкой</t>
        </is>
      </c>
      <c r="L105" s="42" t="inlineStr">
        <is>
          <t>спил, березы</t>
        </is>
      </c>
      <c r="M105" s="42" t="inlineStr">
        <is>
          <t>Да</t>
        </is>
      </c>
      <c r="N105" s="42" t="inlineStr">
        <is>
          <t>Да</t>
        </is>
      </c>
      <c r="O105" s="48" t="inlineStr">
        <is>
          <t>Импортировано из PRICE_MASTER; строк-источников: 1</t>
        </is>
      </c>
      <c r="P105" s="42" t="inlineStr">
        <is>
          <t>Да</t>
        </is>
      </c>
      <c r="Q105" s="42" t="inlineStr">
        <is>
          <t>Импорт из PRICE_MASTER</t>
        </is>
      </c>
      <c r="R105" s="42" t="inlineStr">
        <is>
          <t>Высокая</t>
        </is>
      </c>
      <c r="S105" s="42" t="n">
        <v>1</v>
      </c>
      <c r="T105" s="42" t="inlineStr">
        <is>
          <t>SRC-0204</t>
        </is>
      </c>
    </row>
    <row r="106">
      <c r="A106" s="41" t="inlineStr">
        <is>
          <t>RWORK-0105</t>
        </is>
      </c>
      <c r="B106" s="41" t="inlineStr">
        <is>
          <t>Транспортные расходы</t>
        </is>
      </c>
      <c r="C106" s="41" t="inlineStr">
        <is>
          <t>Транспортные расходы</t>
        </is>
      </c>
      <c r="D106" s="41" t="inlineStr">
        <is>
          <t>Логистика и снабжение</t>
        </is>
      </c>
      <c r="E106" s="41" t="inlineStr">
        <is>
          <t>Транспорт</t>
        </is>
      </c>
      <c r="F106" s="41" t="inlineStr">
        <is>
          <t>Накладные</t>
        </is>
      </c>
      <c r="G106" s="41" t="inlineStr">
        <is>
          <t>%</t>
        </is>
      </c>
      <c r="H106" s="41" t="inlineStr">
        <is>
          <t>%</t>
        </is>
      </c>
      <c r="I106" s="43" t="n">
        <v>0.01</v>
      </c>
      <c r="J106" s="41" t="inlineStr">
        <is>
          <t>Стандарт</t>
        </is>
      </c>
      <c r="K106" s="41" t="inlineStr">
        <is>
          <t>Скрыть из клиентской версии</t>
        </is>
      </c>
      <c r="L106" s="41" t="inlineStr">
        <is>
          <t>транспортные, расходы</t>
        </is>
      </c>
      <c r="M106" s="41" t="inlineStr">
        <is>
          <t>Нет</t>
        </is>
      </c>
      <c r="N106" s="41" t="inlineStr">
        <is>
          <t>Да</t>
        </is>
      </c>
      <c r="O106" s="45" t="inlineStr">
        <is>
          <t>Импортировано из PRICE_MASTER; строк-источников: 1</t>
        </is>
      </c>
      <c r="P106" s="41" t="inlineStr">
        <is>
          <t>Нет</t>
        </is>
      </c>
      <c r="Q106" s="41" t="inlineStr">
        <is>
          <t>Импорт из PRICE_MASTER</t>
        </is>
      </c>
      <c r="R106" s="41" t="inlineStr">
        <is>
          <t>Высокая</t>
        </is>
      </c>
      <c r="S106" s="41" t="n">
        <v>1</v>
      </c>
      <c r="T106" s="41" t="inlineStr">
        <is>
          <t>SRC-0207</t>
        </is>
      </c>
    </row>
    <row r="107">
      <c r="A107" s="42" t="inlineStr">
        <is>
          <t>RWORK-0106</t>
        </is>
      </c>
      <c r="B107" s="42" t="inlineStr">
        <is>
          <t>Укладка силового бронированного кабеля с сигнальной лентой</t>
        </is>
      </c>
      <c r="C107" s="42" t="inlineStr">
        <is>
          <t>Укладка силового бронированного кабеля с сигнальной лентой</t>
        </is>
      </c>
      <c r="D107" s="42" t="inlineStr">
        <is>
          <t>Освещение</t>
        </is>
      </c>
      <c r="E107" s="42" t="inlineStr">
        <is>
          <t>Кабельная инфраструктура</t>
        </is>
      </c>
      <c r="F107" s="42" t="inlineStr">
        <is>
          <t>Работа</t>
        </is>
      </c>
      <c r="G107" s="42" t="inlineStr">
        <is>
          <t>м.пог.</t>
        </is>
      </c>
      <c r="H107" s="42" t="inlineStr">
        <is>
          <t>за ед.</t>
        </is>
      </c>
      <c r="I107" s="46" t="n">
        <v>150</v>
      </c>
      <c r="J107" s="42" t="inlineStr">
        <is>
          <t>Стандарт</t>
        </is>
      </c>
      <c r="K107" s="42" t="inlineStr">
        <is>
          <t>Показать строкой</t>
        </is>
      </c>
      <c r="L107" s="42" t="inlineStr">
        <is>
          <t>силового, бронированного, кабеля, сигнальной, лентой</t>
        </is>
      </c>
      <c r="M107" s="42" t="inlineStr">
        <is>
          <t>Да</t>
        </is>
      </c>
      <c r="N107" s="42" t="inlineStr">
        <is>
          <t>Да</t>
        </is>
      </c>
      <c r="O107" s="48" t="inlineStr">
        <is>
          <t>Импортировано из PRICE_MASTER; строк-источников: 1</t>
        </is>
      </c>
      <c r="P107" s="42" t="inlineStr">
        <is>
          <t>Да</t>
        </is>
      </c>
      <c r="Q107" s="42" t="inlineStr">
        <is>
          <t>Импорт из PRICE_MASTER</t>
        </is>
      </c>
      <c r="R107" s="42" t="inlineStr">
        <is>
          <t>Высокая</t>
        </is>
      </c>
      <c r="S107" s="42" t="n">
        <v>1</v>
      </c>
      <c r="T107" s="42" t="inlineStr">
        <is>
          <t>SRC-0215</t>
        </is>
      </c>
    </row>
    <row r="108">
      <c r="A108" s="41" t="inlineStr">
        <is>
          <t>RWORK-0107</t>
        </is>
      </c>
      <c r="B108" s="41" t="inlineStr">
        <is>
          <t>Укладка геотекстиля</t>
        </is>
      </c>
      <c r="C108" s="41" t="inlineStr">
        <is>
          <t>Укладка геотекстиля</t>
        </is>
      </c>
      <c r="D108" s="41" t="inlineStr">
        <is>
          <t>Мощение</t>
        </is>
      </c>
      <c r="E108" s="41" t="inlineStr">
        <is>
          <t>Основание</t>
        </is>
      </c>
      <c r="F108" s="41" t="inlineStr">
        <is>
          <t>Работа</t>
        </is>
      </c>
      <c r="G108" s="41" t="inlineStr">
        <is>
          <t>м2</t>
        </is>
      </c>
      <c r="H108" s="41" t="inlineStr">
        <is>
          <t>за м2</t>
        </is>
      </c>
      <c r="I108" s="43" t="n">
        <v>40</v>
      </c>
      <c r="J108" s="41" t="inlineStr">
        <is>
          <t>Стандарт</t>
        </is>
      </c>
      <c r="K108" s="41" t="inlineStr">
        <is>
          <t>Показать строкой</t>
        </is>
      </c>
      <c r="L108" s="41" t="inlineStr">
        <is>
          <t>геотекстиля</t>
        </is>
      </c>
      <c r="M108" s="41" t="inlineStr">
        <is>
          <t>Да</t>
        </is>
      </c>
      <c r="N108" s="41" t="inlineStr">
        <is>
          <t>Да</t>
        </is>
      </c>
      <c r="O108" s="45" t="inlineStr">
        <is>
          <t>Импортировано из PRICE_MASTER; строк-источников: 1</t>
        </is>
      </c>
      <c r="P108" s="41" t="inlineStr">
        <is>
          <t>Да</t>
        </is>
      </c>
      <c r="Q108" s="41" t="inlineStr">
        <is>
          <t>Импорт из PRICE_MASTER</t>
        </is>
      </c>
      <c r="R108" s="41" t="inlineStr">
        <is>
          <t>Высокая</t>
        </is>
      </c>
      <c r="S108" s="41" t="n">
        <v>1</v>
      </c>
      <c r="T108" s="41" t="inlineStr">
        <is>
          <t>SRC-0216</t>
        </is>
      </c>
    </row>
    <row r="109">
      <c r="A109" s="42" t="inlineStr">
        <is>
          <t>RWORK-0108</t>
        </is>
      </c>
      <c r="B109" s="42" t="inlineStr">
        <is>
          <t>Укладка кабеля с креплением - под настилом, для освещения подпорных стенок, в стойках ограждения</t>
        </is>
      </c>
      <c r="C109" s="42" t="inlineStr">
        <is>
          <t>Укладка кабеля с креплением - под настилом, для освещения подпорных стенок, в стойках ограждения</t>
        </is>
      </c>
      <c r="D109" s="42" t="inlineStr">
        <is>
          <t>Освещение</t>
        </is>
      </c>
      <c r="E109" s="42" t="inlineStr">
        <is>
          <t>Монтаж</t>
        </is>
      </c>
      <c r="F109" s="42" t="inlineStr">
        <is>
          <t>Работа</t>
        </is>
      </c>
      <c r="G109" s="42" t="inlineStr">
        <is>
          <t>м.пог.</t>
        </is>
      </c>
      <c r="H109" s="42" t="inlineStr">
        <is>
          <t>за ед.</t>
        </is>
      </c>
      <c r="I109" s="46" t="n">
        <v>180</v>
      </c>
      <c r="J109" s="42" t="inlineStr">
        <is>
          <t>Стандарт</t>
        </is>
      </c>
      <c r="K109" s="42" t="inlineStr">
        <is>
          <t>Показать строкой</t>
        </is>
      </c>
      <c r="L109" s="42" t="inlineStr">
        <is>
          <t>кабеля, креплением, настилом, освещения, подпорных, стенок, стойках, ограждения</t>
        </is>
      </c>
      <c r="M109" s="42" t="inlineStr">
        <is>
          <t>Да</t>
        </is>
      </c>
      <c r="N109" s="42" t="inlineStr">
        <is>
          <t>Да</t>
        </is>
      </c>
      <c r="O109" s="48" t="inlineStr">
        <is>
          <t>Импортировано из PRICE_MASTER; строк-источников: 1</t>
        </is>
      </c>
      <c r="P109" s="42" t="inlineStr">
        <is>
          <t>Да</t>
        </is>
      </c>
      <c r="Q109" s="42" t="inlineStr">
        <is>
          <t>Импорт из PRICE_MASTER</t>
        </is>
      </c>
      <c r="R109" s="42" t="inlineStr">
        <is>
          <t>Высокая</t>
        </is>
      </c>
      <c r="S109" s="42" t="n">
        <v>1</v>
      </c>
      <c r="T109" s="42" t="inlineStr">
        <is>
          <t>SRC-0217</t>
        </is>
      </c>
    </row>
    <row r="110">
      <c r="A110" s="41" t="inlineStr">
        <is>
          <t>RWORK-0109</t>
        </is>
      </c>
      <c r="B110" s="41" t="inlineStr">
        <is>
          <t>Укрепление крайнего ряда мощения</t>
        </is>
      </c>
      <c r="C110" s="41" t="inlineStr">
        <is>
          <t>Укрепление крайнего ряда мощения</t>
        </is>
      </c>
      <c r="D110" s="41" t="inlineStr">
        <is>
          <t>Мощение</t>
        </is>
      </c>
      <c r="E110" s="41" t="inlineStr">
        <is>
          <t>Прочее по мощению</t>
        </is>
      </c>
      <c r="F110" s="41" t="inlineStr">
        <is>
          <t>Работа</t>
        </is>
      </c>
      <c r="G110" s="41" t="inlineStr">
        <is>
          <t>м.пог.</t>
        </is>
      </c>
      <c r="H110" s="41" t="inlineStr">
        <is>
          <t>за ед.</t>
        </is>
      </c>
      <c r="I110" s="43" t="n">
        <v>600</v>
      </c>
      <c r="J110" s="41" t="inlineStr">
        <is>
          <t>Стандарт</t>
        </is>
      </c>
      <c r="K110" s="41" t="inlineStr">
        <is>
          <t>Показать строкой</t>
        </is>
      </c>
      <c r="L110" s="41" t="inlineStr">
        <is>
          <t>укрепление, крайнего, ряда, мощения</t>
        </is>
      </c>
      <c r="M110" s="41" t="inlineStr">
        <is>
          <t>Да</t>
        </is>
      </c>
      <c r="N110" s="41" t="inlineStr">
        <is>
          <t>Да</t>
        </is>
      </c>
      <c r="O110" s="45" t="inlineStr">
        <is>
          <t>Импортировано из PRICE_MASTER; строк-источников: 1</t>
        </is>
      </c>
      <c r="P110" s="41" t="inlineStr">
        <is>
          <t>Да</t>
        </is>
      </c>
      <c r="Q110" s="41" t="inlineStr">
        <is>
          <t>Импорт из PRICE_MASTER</t>
        </is>
      </c>
      <c r="R110" s="41" t="inlineStr">
        <is>
          <t>Высокая</t>
        </is>
      </c>
      <c r="S110" s="41" t="n">
        <v>1</v>
      </c>
      <c r="T110" s="41" t="inlineStr">
        <is>
          <t>SRC-0218</t>
        </is>
      </c>
    </row>
    <row r="111">
      <c r="A111" s="42" t="inlineStr">
        <is>
          <t>RWORK-0110</t>
        </is>
      </c>
      <c r="B111" s="42" t="inlineStr">
        <is>
          <t>Уплотнение основания виброплитой</t>
        </is>
      </c>
      <c r="C111" s="42" t="inlineStr">
        <is>
          <t>Уплотнение основания виброплитой</t>
        </is>
      </c>
      <c r="D111" s="42" t="inlineStr">
        <is>
          <t>Мощение</t>
        </is>
      </c>
      <c r="E111" s="42" t="inlineStr">
        <is>
          <t>Прочее по мощению</t>
        </is>
      </c>
      <c r="F111" s="42" t="inlineStr">
        <is>
          <t>Работа</t>
        </is>
      </c>
      <c r="G111" s="42" t="inlineStr">
        <is>
          <t>м2</t>
        </is>
      </c>
      <c r="H111" s="42" t="inlineStr">
        <is>
          <t>за м2</t>
        </is>
      </c>
      <c r="I111" s="46" t="n">
        <v>80</v>
      </c>
      <c r="J111" s="42" t="inlineStr">
        <is>
          <t>Механизированный</t>
        </is>
      </c>
      <c r="K111" s="42" t="inlineStr">
        <is>
          <t>Показать строкой</t>
        </is>
      </c>
      <c r="L111" s="42" t="inlineStr">
        <is>
          <t>уплотнение, основания, виброплитой</t>
        </is>
      </c>
      <c r="M111" s="42" t="inlineStr">
        <is>
          <t>Да</t>
        </is>
      </c>
      <c r="N111" s="42" t="inlineStr">
        <is>
          <t>Да</t>
        </is>
      </c>
      <c r="O111" s="48" t="inlineStr">
        <is>
          <t>Импортировано из PRICE_MASTER; строк-источников: 1</t>
        </is>
      </c>
      <c r="P111" s="42" t="inlineStr">
        <is>
          <t>Да</t>
        </is>
      </c>
      <c r="Q111" s="42" t="inlineStr">
        <is>
          <t>Импорт из PRICE_MASTER</t>
        </is>
      </c>
      <c r="R111" s="42" t="inlineStr">
        <is>
          <t>Высокая</t>
        </is>
      </c>
      <c r="S111" s="42" t="n">
        <v>1</v>
      </c>
      <c r="T111" s="42" t="inlineStr">
        <is>
          <t>SRC-0219</t>
        </is>
      </c>
    </row>
    <row r="112">
      <c r="A112" s="41" t="inlineStr">
        <is>
          <t>RWORK-0111</t>
        </is>
      </c>
      <c r="B112" s="41" t="inlineStr">
        <is>
          <t>Устройство армокаркасов</t>
        </is>
      </c>
      <c r="C112" s="41" t="inlineStr">
        <is>
          <t>Устройство армокаркасов</t>
        </is>
      </c>
      <c r="D112" s="41" t="inlineStr">
        <is>
          <t>Ступени / пандусы / бетонные элементы</t>
        </is>
      </c>
      <c r="E112" s="41" t="inlineStr">
        <is>
          <t>Бетон и армирование</t>
        </is>
      </c>
      <c r="F112" s="41" t="inlineStr">
        <is>
          <t>Работа</t>
        </is>
      </c>
      <c r="G112" s="41" t="inlineStr">
        <is>
          <t>м3</t>
        </is>
      </c>
      <c r="H112" s="41" t="inlineStr">
        <is>
          <t>за м3</t>
        </is>
      </c>
      <c r="I112" s="43" t="n">
        <v>2700</v>
      </c>
      <c r="J112" s="41" t="inlineStr">
        <is>
          <t>Стандарт</t>
        </is>
      </c>
      <c r="K112" s="41" t="inlineStr">
        <is>
          <t>Показать строкой</t>
        </is>
      </c>
      <c r="L112" s="41" t="inlineStr">
        <is>
          <t>армокаркасов</t>
        </is>
      </c>
      <c r="M112" s="41" t="inlineStr">
        <is>
          <t>Да</t>
        </is>
      </c>
      <c r="N112" s="41" t="inlineStr">
        <is>
          <t>Да</t>
        </is>
      </c>
      <c r="O112" s="45" t="inlineStr">
        <is>
          <t>Импортировано из PRICE_MASTER; строк-источников: 1</t>
        </is>
      </c>
      <c r="P112" s="41" t="inlineStr">
        <is>
          <t>Да</t>
        </is>
      </c>
      <c r="Q112" s="41" t="inlineStr">
        <is>
          <t>Импорт из PRICE_MASTER</t>
        </is>
      </c>
      <c r="R112" s="41" t="inlineStr">
        <is>
          <t>Высокая</t>
        </is>
      </c>
      <c r="S112" s="41" t="n">
        <v>1</v>
      </c>
      <c r="T112" s="41" t="inlineStr">
        <is>
          <t>SRC-0224</t>
        </is>
      </c>
    </row>
    <row r="113">
      <c r="A113" s="42" t="inlineStr">
        <is>
          <t>RWORK-0112</t>
        </is>
      </c>
      <c r="B113" s="42" t="inlineStr">
        <is>
          <t>Устройство бесшовного покрытия отмостки из резиновой крошки, 10мм (с материалами)</t>
        </is>
      </c>
      <c r="C113" s="42" t="inlineStr">
        <is>
          <t>Устройство бесшовного покрытия отмостки из резиновой крошки, 10мм (с материалами)</t>
        </is>
      </c>
      <c r="D113" s="42" t="inlineStr">
        <is>
          <t>Мощение</t>
        </is>
      </c>
      <c r="E113" s="42" t="inlineStr">
        <is>
          <t>Покрытие</t>
        </is>
      </c>
      <c r="F113" s="42" t="inlineStr">
        <is>
          <t>Работа</t>
        </is>
      </c>
      <c r="G113" s="42" t="inlineStr">
        <is>
          <t>м2</t>
        </is>
      </c>
      <c r="H113" s="42" t="inlineStr">
        <is>
          <t>за м2</t>
        </is>
      </c>
      <c r="I113" s="46" t="n">
        <v>1150</v>
      </c>
      <c r="J113" s="42" t="inlineStr">
        <is>
          <t>Стандарт</t>
        </is>
      </c>
      <c r="K113" s="42" t="inlineStr">
        <is>
          <t>Показать строкой</t>
        </is>
      </c>
      <c r="L113" s="42" t="inlineStr">
        <is>
          <t>бесшовного, покрытия, отмостки, резиновой, крошки, 10мм, материалами</t>
        </is>
      </c>
      <c r="M113" s="42" t="inlineStr">
        <is>
          <t>Да</t>
        </is>
      </c>
      <c r="N113" s="42" t="inlineStr">
        <is>
          <t>Да</t>
        </is>
      </c>
      <c r="O113" s="48" t="inlineStr">
        <is>
          <t>Импортировано из PRICE_MASTER; строк-источников: 1</t>
        </is>
      </c>
      <c r="P113" s="42" t="inlineStr">
        <is>
          <t>Да</t>
        </is>
      </c>
      <c r="Q113" s="42" t="inlineStr">
        <is>
          <t>Импорт из PRICE_MASTER</t>
        </is>
      </c>
      <c r="R113" s="42" t="inlineStr">
        <is>
          <t>Высокая</t>
        </is>
      </c>
      <c r="S113" s="42" t="n">
        <v>1</v>
      </c>
      <c r="T113" s="42" t="inlineStr">
        <is>
          <t>SRC-0225</t>
        </is>
      </c>
    </row>
    <row r="114">
      <c r="A114" s="41" t="inlineStr">
        <is>
          <t>RWORK-0113</t>
        </is>
      </c>
      <c r="B114" s="41" t="inlineStr">
        <is>
          <t>Устройство бордюра из габбро-диабаза в два ряда на бетон 80*80*80мм</t>
        </is>
      </c>
      <c r="C114" s="41" t="inlineStr">
        <is>
          <t>Устройство бордюра из габбро-диабаза в два ряда на бетон 80*80*80мм</t>
        </is>
      </c>
      <c r="D114" s="41" t="inlineStr">
        <is>
          <t>Мощение</t>
        </is>
      </c>
      <c r="E114" s="41" t="inlineStr">
        <is>
          <t>Бордюры и ограничения</t>
        </is>
      </c>
      <c r="F114" s="41" t="inlineStr">
        <is>
          <t>Работа</t>
        </is>
      </c>
      <c r="G114" s="41" t="inlineStr">
        <is>
          <t>м.пог.</t>
        </is>
      </c>
      <c r="H114" s="41" t="inlineStr">
        <is>
          <t>за ед.</t>
        </is>
      </c>
      <c r="I114" s="43" t="n">
        <v>1900</v>
      </c>
      <c r="J114" s="41" t="inlineStr">
        <is>
          <t>Стандарт</t>
        </is>
      </c>
      <c r="K114" s="41" t="inlineStr">
        <is>
          <t>Показать строкой</t>
        </is>
      </c>
      <c r="L114" s="41" t="inlineStr">
        <is>
          <t>бордюра, габбро, диабаза, два, ряда, бетон, 80мм</t>
        </is>
      </c>
      <c r="M114" s="41" t="inlineStr">
        <is>
          <t>Да</t>
        </is>
      </c>
      <c r="N114" s="41" t="inlineStr">
        <is>
          <t>Да</t>
        </is>
      </c>
      <c r="O114" s="45" t="inlineStr">
        <is>
          <t>Импортировано из PRICE_MASTER; строк-источников: 1</t>
        </is>
      </c>
      <c r="P114" s="41" t="inlineStr">
        <is>
          <t>Да</t>
        </is>
      </c>
      <c r="Q114" s="41" t="inlineStr">
        <is>
          <t>Импорт из PRICE_MASTER</t>
        </is>
      </c>
      <c r="R114" s="41" t="inlineStr">
        <is>
          <t>Высокая</t>
        </is>
      </c>
      <c r="S114" s="41" t="n">
        <v>1</v>
      </c>
      <c r="T114" s="41" t="inlineStr">
        <is>
          <t>SRC-0226</t>
        </is>
      </c>
    </row>
    <row r="115">
      <c r="A115" s="42" t="inlineStr">
        <is>
          <t>RWORK-0114</t>
        </is>
      </c>
      <c r="B115" s="42" t="inlineStr">
        <is>
          <t>Устройство бордюра из габбро-диабаза в один ряд на бетон 80*80*80мм</t>
        </is>
      </c>
      <c r="C115" s="42" t="inlineStr">
        <is>
          <t>Устройство бордюра из габбро-диабаза в один ряд на бетон 80*80*80мм</t>
        </is>
      </c>
      <c r="D115" s="42" t="inlineStr">
        <is>
          <t>Мощение</t>
        </is>
      </c>
      <c r="E115" s="42" t="inlineStr">
        <is>
          <t>Бордюры и ограничения</t>
        </is>
      </c>
      <c r="F115" s="42" t="inlineStr">
        <is>
          <t>Работа</t>
        </is>
      </c>
      <c r="G115" s="42" t="inlineStr">
        <is>
          <t>м.пог.</t>
        </is>
      </c>
      <c r="H115" s="42" t="inlineStr">
        <is>
          <t>за ед.</t>
        </is>
      </c>
      <c r="I115" s="46" t="n">
        <v>1400</v>
      </c>
      <c r="J115" s="42" t="inlineStr">
        <is>
          <t>Стандарт</t>
        </is>
      </c>
      <c r="K115" s="42" t="inlineStr">
        <is>
          <t>Показать строкой</t>
        </is>
      </c>
      <c r="L115" s="42" t="inlineStr">
        <is>
          <t>бордюра, габбро, диабаза, один, ряд, бетон, 80мм</t>
        </is>
      </c>
      <c r="M115" s="42" t="inlineStr">
        <is>
          <t>Да</t>
        </is>
      </c>
      <c r="N115" s="42" t="inlineStr">
        <is>
          <t>Да</t>
        </is>
      </c>
      <c r="O115" s="48" t="inlineStr">
        <is>
          <t>Импортировано из PRICE_MASTER; строк-источников: 1</t>
        </is>
      </c>
      <c r="P115" s="42" t="inlineStr">
        <is>
          <t>Да</t>
        </is>
      </c>
      <c r="Q115" s="42" t="inlineStr">
        <is>
          <t>Импорт из PRICE_MASTER</t>
        </is>
      </c>
      <c r="R115" s="42" t="inlineStr">
        <is>
          <t>Высокая</t>
        </is>
      </c>
      <c r="S115" s="42" t="n">
        <v>1</v>
      </c>
      <c r="T115" s="42" t="inlineStr">
        <is>
          <t>SRC-0227</t>
        </is>
      </c>
    </row>
    <row r="116">
      <c r="A116" s="41" t="inlineStr">
        <is>
          <t>RWORK-0115</t>
        </is>
      </c>
      <c r="B116" s="41" t="inlineStr">
        <is>
          <t>Устройство врезок в бетонный колодец d110мм</t>
        </is>
      </c>
      <c r="C116" s="41" t="inlineStr">
        <is>
          <t>Устройство врезок в бетонный колодец d110мм</t>
        </is>
      </c>
      <c r="D116" s="41" t="inlineStr">
        <is>
          <t>Ливневая канализация</t>
        </is>
      </c>
      <c r="E116" s="41" t="inlineStr">
        <is>
          <t>Колодцы и перекрытия</t>
        </is>
      </c>
      <c r="F116" s="41" t="inlineStr">
        <is>
          <t>Работа</t>
        </is>
      </c>
      <c r="G116" s="41" t="inlineStr">
        <is>
          <t>шт</t>
        </is>
      </c>
      <c r="H116" s="41" t="inlineStr">
        <is>
          <t>за шт</t>
        </is>
      </c>
      <c r="I116" s="43" t="n">
        <v>900</v>
      </c>
      <c r="J116" s="41" t="inlineStr">
        <is>
          <t>Стандарт</t>
        </is>
      </c>
      <c r="K116" s="41" t="inlineStr">
        <is>
          <t>Показать строкой</t>
        </is>
      </c>
      <c r="L116" s="41" t="inlineStr">
        <is>
          <t>врезок, бетонный, колодец, d110мм</t>
        </is>
      </c>
      <c r="M116" s="41" t="inlineStr">
        <is>
          <t>Да</t>
        </is>
      </c>
      <c r="N116" s="41" t="inlineStr">
        <is>
          <t>Да</t>
        </is>
      </c>
      <c r="O116" s="45" t="inlineStr">
        <is>
          <t>Импортировано из PRICE_MASTER; строк-источников: 1</t>
        </is>
      </c>
      <c r="P116" s="41" t="inlineStr">
        <is>
          <t>Да</t>
        </is>
      </c>
      <c r="Q116" s="41" t="inlineStr">
        <is>
          <t>Импорт из PRICE_MASTER</t>
        </is>
      </c>
      <c r="R116" s="41" t="inlineStr">
        <is>
          <t>Высокая</t>
        </is>
      </c>
      <c r="S116" s="41" t="n">
        <v>1</v>
      </c>
      <c r="T116" s="41" t="inlineStr">
        <is>
          <t>SRC-0228</t>
        </is>
      </c>
    </row>
    <row r="117">
      <c r="A117" s="42" t="inlineStr">
        <is>
          <t>RWORK-0116</t>
        </is>
      </c>
      <c r="B117" s="42" t="inlineStr">
        <is>
          <t>Устройство врезок в бетонный колодец d160мм</t>
        </is>
      </c>
      <c r="C117" s="42" t="inlineStr">
        <is>
          <t>Устройство врезок в бетонный колодец d160мм</t>
        </is>
      </c>
      <c r="D117" s="42" t="inlineStr">
        <is>
          <t>Ливневая канализация</t>
        </is>
      </c>
      <c r="E117" s="42" t="inlineStr">
        <is>
          <t>Колодцы и перекрытия</t>
        </is>
      </c>
      <c r="F117" s="42" t="inlineStr">
        <is>
          <t>Работа</t>
        </is>
      </c>
      <c r="G117" s="42" t="inlineStr">
        <is>
          <t>шт</t>
        </is>
      </c>
      <c r="H117" s="42" t="inlineStr">
        <is>
          <t>за шт</t>
        </is>
      </c>
      <c r="I117" s="46" t="n">
        <v>1400</v>
      </c>
      <c r="J117" s="42" t="inlineStr">
        <is>
          <t>Стандарт</t>
        </is>
      </c>
      <c r="K117" s="42" t="inlineStr">
        <is>
          <t>Показать строкой</t>
        </is>
      </c>
      <c r="L117" s="42" t="inlineStr">
        <is>
          <t>врезок, бетонный, колодец, d160мм</t>
        </is>
      </c>
      <c r="M117" s="42" t="inlineStr">
        <is>
          <t>Да</t>
        </is>
      </c>
      <c r="N117" s="42" t="inlineStr">
        <is>
          <t>Да</t>
        </is>
      </c>
      <c r="O117" s="48" t="inlineStr">
        <is>
          <t>Импортировано из PRICE_MASTER; строк-источников: 1</t>
        </is>
      </c>
      <c r="P117" s="42" t="inlineStr">
        <is>
          <t>Да</t>
        </is>
      </c>
      <c r="Q117" s="42" t="inlineStr">
        <is>
          <t>Импорт из PRICE_MASTER</t>
        </is>
      </c>
      <c r="R117" s="42" t="inlineStr">
        <is>
          <t>Высокая</t>
        </is>
      </c>
      <c r="S117" s="42" t="n">
        <v>1</v>
      </c>
      <c r="T117" s="42" t="inlineStr">
        <is>
          <t>SRC-0229</t>
        </is>
      </c>
    </row>
    <row r="118">
      <c r="A118" s="41" t="inlineStr">
        <is>
          <t>RWORK-0117</t>
        </is>
      </c>
      <c r="B118" s="41" t="inlineStr">
        <is>
          <t>Устройство врезок в колодец</t>
        </is>
      </c>
      <c r="C118" s="41" t="inlineStr">
        <is>
          <t>Устройство врезок в колодец</t>
        </is>
      </c>
      <c r="D118" s="41" t="inlineStr">
        <is>
          <t>Ливневая канализация</t>
        </is>
      </c>
      <c r="E118" s="41" t="inlineStr">
        <is>
          <t>Колодцы и перекрытия</t>
        </is>
      </c>
      <c r="F118" s="41" t="inlineStr">
        <is>
          <t>Работа</t>
        </is>
      </c>
      <c r="G118" s="41" t="inlineStr">
        <is>
          <t>шт</t>
        </is>
      </c>
      <c r="H118" s="41" t="inlineStr">
        <is>
          <t>за шт</t>
        </is>
      </c>
      <c r="I118" s="43" t="n">
        <v>350</v>
      </c>
      <c r="J118" s="41" t="inlineStr">
        <is>
          <t>Стандарт</t>
        </is>
      </c>
      <c r="K118" s="41" t="inlineStr">
        <is>
          <t>Показать строкой</t>
        </is>
      </c>
      <c r="L118" s="41" t="inlineStr">
        <is>
          <t>врезок, колодец</t>
        </is>
      </c>
      <c r="M118" s="41" t="inlineStr">
        <is>
          <t>Да</t>
        </is>
      </c>
      <c r="N118" s="41" t="inlineStr">
        <is>
          <t>Да</t>
        </is>
      </c>
      <c r="O118" s="45" t="inlineStr">
        <is>
          <t>Импортировано из PRICE_MASTER; строк-источников: 1</t>
        </is>
      </c>
      <c r="P118" s="41" t="inlineStr">
        <is>
          <t>Да</t>
        </is>
      </c>
      <c r="Q118" s="41" t="inlineStr">
        <is>
          <t>Импорт из PRICE_MASTER</t>
        </is>
      </c>
      <c r="R118" s="41" t="inlineStr">
        <is>
          <t>Высокая</t>
        </is>
      </c>
      <c r="S118" s="41" t="n">
        <v>1</v>
      </c>
      <c r="T118" s="41" t="inlineStr">
        <is>
          <t>SRC-0230</t>
        </is>
      </c>
    </row>
    <row r="119">
      <c r="A119" s="42" t="inlineStr">
        <is>
          <t>RWORK-0118</t>
        </is>
      </c>
      <c r="B119" s="42" t="inlineStr">
        <is>
          <t>Устройство временной съемной опалубки</t>
        </is>
      </c>
      <c r="C119" s="42" t="inlineStr">
        <is>
          <t>Устройство временной съемной опалубки</t>
        </is>
      </c>
      <c r="D119" s="42" t="inlineStr">
        <is>
          <t>Мощение</t>
        </is>
      </c>
      <c r="E119" s="42" t="inlineStr">
        <is>
          <t>Бетон и конструктив</t>
        </is>
      </c>
      <c r="F119" s="42" t="inlineStr">
        <is>
          <t>Работа</t>
        </is>
      </c>
      <c r="G119" s="42" t="inlineStr">
        <is>
          <t>м.пог.</t>
        </is>
      </c>
      <c r="H119" s="42" t="inlineStr">
        <is>
          <t>за ед.</t>
        </is>
      </c>
      <c r="I119" s="46" t="n">
        <v>100</v>
      </c>
      <c r="J119" s="42" t="inlineStr">
        <is>
          <t>Стандарт</t>
        </is>
      </c>
      <c r="K119" s="42" t="inlineStr">
        <is>
          <t>Показать строкой</t>
        </is>
      </c>
      <c r="L119" s="42" t="inlineStr">
        <is>
          <t>временной, съемной, опалубки</t>
        </is>
      </c>
      <c r="M119" s="42" t="inlineStr">
        <is>
          <t>Да</t>
        </is>
      </c>
      <c r="N119" s="42" t="inlineStr">
        <is>
          <t>Да</t>
        </is>
      </c>
      <c r="O119" s="48" t="inlineStr">
        <is>
          <t>Импортировано из PRICE_MASTER; строк-источников: 1</t>
        </is>
      </c>
      <c r="P119" s="42" t="inlineStr">
        <is>
          <t>Да</t>
        </is>
      </c>
      <c r="Q119" s="42" t="inlineStr">
        <is>
          <t>Импорт из PRICE_MASTER</t>
        </is>
      </c>
      <c r="R119" s="42" t="inlineStr">
        <is>
          <t>Высокая</t>
        </is>
      </c>
      <c r="S119" s="42" t="n">
        <v>1</v>
      </c>
      <c r="T119" s="42" t="inlineStr">
        <is>
          <t>SRC-0231</t>
        </is>
      </c>
    </row>
    <row r="120">
      <c r="A120" s="41" t="inlineStr">
        <is>
          <t>RWORK-0119</t>
        </is>
      </c>
      <c r="B120" s="41" t="inlineStr">
        <is>
          <t>Устройство выравнивающего слоя (5-20мм)</t>
        </is>
      </c>
      <c r="C120" s="41" t="inlineStr">
        <is>
          <t>Устройство выравнивающего слоя (5-20мм)</t>
        </is>
      </c>
      <c r="D120" s="41" t="inlineStr">
        <is>
          <t>Мощение</t>
        </is>
      </c>
      <c r="E120" s="41" t="inlineStr">
        <is>
          <t>Основание</t>
        </is>
      </c>
      <c r="F120" s="41" t="inlineStr">
        <is>
          <t>Работа</t>
        </is>
      </c>
      <c r="G120" s="41" t="inlineStr">
        <is>
          <t>м2</t>
        </is>
      </c>
      <c r="H120" s="41" t="inlineStr">
        <is>
          <t>за м2</t>
        </is>
      </c>
      <c r="I120" s="43" t="n">
        <v>250</v>
      </c>
      <c r="J120" s="41" t="inlineStr">
        <is>
          <t>Стандарт</t>
        </is>
      </c>
      <c r="K120" s="41" t="inlineStr">
        <is>
          <t>Показать строкой</t>
        </is>
      </c>
      <c r="L120" s="41" t="inlineStr">
        <is>
          <t>выравнивающего, 20мм</t>
        </is>
      </c>
      <c r="M120" s="41" t="inlineStr">
        <is>
          <t>Да</t>
        </is>
      </c>
      <c r="N120" s="41" t="inlineStr">
        <is>
          <t>Да</t>
        </is>
      </c>
      <c r="O120" s="45" t="inlineStr">
        <is>
          <t>Импортировано из PRICE_MASTER; строк-источников: 1</t>
        </is>
      </c>
      <c r="P120" s="41" t="inlineStr">
        <is>
          <t>Да</t>
        </is>
      </c>
      <c r="Q120" s="41" t="inlineStr">
        <is>
          <t>Импорт из PRICE_MASTER</t>
        </is>
      </c>
      <c r="R120" s="41" t="inlineStr">
        <is>
          <t>Высокая</t>
        </is>
      </c>
      <c r="S120" s="41" t="n">
        <v>1</v>
      </c>
      <c r="T120" s="41" t="inlineStr">
        <is>
          <t>SRC-0232</t>
        </is>
      </c>
    </row>
    <row r="121">
      <c r="A121" s="42" t="inlineStr">
        <is>
          <t>RWORK-0120</t>
        </is>
      </c>
      <c r="B121" s="42" t="inlineStr">
        <is>
          <t>Устройство газонного ложа</t>
        </is>
      </c>
      <c r="C121" s="42" t="inlineStr">
        <is>
          <t>Устройство газонного ложа</t>
        </is>
      </c>
      <c r="D121" s="42" t="inlineStr">
        <is>
          <t>Газон</t>
        </is>
      </c>
      <c r="E121" s="42" t="inlineStr">
        <is>
          <t>Газон и укладка</t>
        </is>
      </c>
      <c r="F121" s="42" t="inlineStr">
        <is>
          <t>Работа</t>
        </is>
      </c>
      <c r="G121" s="42" t="inlineStr">
        <is>
          <t>м2</t>
        </is>
      </c>
      <c r="H121" s="42" t="inlineStr">
        <is>
          <t>за м2</t>
        </is>
      </c>
      <c r="I121" s="46" t="n">
        <v>680</v>
      </c>
      <c r="J121" s="42" t="inlineStr">
        <is>
          <t>Стандарт</t>
        </is>
      </c>
      <c r="K121" s="42" t="inlineStr">
        <is>
          <t>Показать строкой</t>
        </is>
      </c>
      <c r="L121" s="42" t="inlineStr">
        <is>
          <t>газонного, ложа</t>
        </is>
      </c>
      <c r="M121" s="42" t="inlineStr">
        <is>
          <t>Да</t>
        </is>
      </c>
      <c r="N121" s="42" t="inlineStr">
        <is>
          <t>Да</t>
        </is>
      </c>
      <c r="O121" s="48" t="inlineStr">
        <is>
          <t>Импортировано из PRICE_MASTER; строк-источников: 1</t>
        </is>
      </c>
      <c r="P121" s="42" t="inlineStr">
        <is>
          <t>Да</t>
        </is>
      </c>
      <c r="Q121" s="42" t="inlineStr">
        <is>
          <t>Импорт из PRICE_MASTER</t>
        </is>
      </c>
      <c r="R121" s="42" t="inlineStr">
        <is>
          <t>Высокая</t>
        </is>
      </c>
      <c r="S121" s="42" t="n">
        <v>1</v>
      </c>
      <c r="T121" s="42" t="inlineStr">
        <is>
          <t>SRC-0233</t>
        </is>
      </c>
    </row>
    <row r="122">
      <c r="A122" s="41" t="inlineStr">
        <is>
          <t>RWORK-0121</t>
        </is>
      </c>
      <c r="B122" s="41" t="inlineStr">
        <is>
          <t>Устройство газонного ложа для обыкновенного газона: грунт плодородный (торфогрунт:песок:дерновая земля - 1:2:3), 150мм</t>
        </is>
      </c>
      <c r="C122" s="41" t="inlineStr">
        <is>
          <t>Устройство газонного ложа для обыкновенного газона: грунт плодородный (торфогрунт:песок:дерновая земля - 1:2:3), 150мм</t>
        </is>
      </c>
      <c r="D122" s="41" t="inlineStr">
        <is>
          <t>Мощение</t>
        </is>
      </c>
      <c r="E122" s="41" t="inlineStr">
        <is>
          <t>Основание</t>
        </is>
      </c>
      <c r="F122" s="41" t="inlineStr">
        <is>
          <t>Работа</t>
        </is>
      </c>
      <c r="G122" s="41" t="inlineStr">
        <is>
          <t>м2</t>
        </is>
      </c>
      <c r="H122" s="41" t="inlineStr">
        <is>
          <t>за м2</t>
        </is>
      </c>
      <c r="I122" s="43" t="n">
        <v>195</v>
      </c>
      <c r="J122" s="41" t="inlineStr">
        <is>
          <t>Стандарт</t>
        </is>
      </c>
      <c r="K122" s="41" t="inlineStr">
        <is>
          <t>Показать строкой</t>
        </is>
      </c>
      <c r="L122" s="41" t="inlineStr">
        <is>
          <t>газонного, ложа, обыкновенного, газона, грунт, плодородный, торфогрунт, песок</t>
        </is>
      </c>
      <c r="M122" s="41" t="inlineStr">
        <is>
          <t>Да</t>
        </is>
      </c>
      <c r="N122" s="41" t="inlineStr">
        <is>
          <t>Да</t>
        </is>
      </c>
      <c r="O122" s="45" t="inlineStr">
        <is>
          <t>Импортировано из PRICE_MASTER; строк-источников: 1</t>
        </is>
      </c>
      <c r="P122" s="41" t="inlineStr">
        <is>
          <t>Да</t>
        </is>
      </c>
      <c r="Q122" s="41" t="inlineStr">
        <is>
          <t>Импорт из PRICE_MASTER</t>
        </is>
      </c>
      <c r="R122" s="41" t="inlineStr">
        <is>
          <t>Высокая</t>
        </is>
      </c>
      <c r="S122" s="41" t="n">
        <v>1</v>
      </c>
      <c r="T122" s="41" t="inlineStr">
        <is>
          <t>SRC-0234</t>
        </is>
      </c>
    </row>
    <row r="123">
      <c r="A123" s="42" t="inlineStr">
        <is>
          <t>RWORK-0122</t>
        </is>
      </c>
      <c r="B123" s="42" t="inlineStr">
        <is>
          <t>Устройство газонного ложа для обыкновенного газона: грунт плодородный (торфогрунт:песок:дерновая земля - 1:2:3), 160мм</t>
        </is>
      </c>
      <c r="C123" s="42" t="inlineStr">
        <is>
          <t>Устройство газонного ложа для обыкновенного газона: грунт плодородный (торфогрунт:песок:дерновая земля - 1:2:3), 160мм</t>
        </is>
      </c>
      <c r="D123" s="42" t="inlineStr">
        <is>
          <t>Газон</t>
        </is>
      </c>
      <c r="E123" s="42" t="inlineStr">
        <is>
          <t>Газон и укладка</t>
        </is>
      </c>
      <c r="F123" s="42" t="inlineStr">
        <is>
          <t>Работа</t>
        </is>
      </c>
      <c r="G123" s="42" t="inlineStr">
        <is>
          <t>м2</t>
        </is>
      </c>
      <c r="H123" s="42" t="inlineStr">
        <is>
          <t>за м2</t>
        </is>
      </c>
      <c r="I123" s="46" t="n">
        <v>208</v>
      </c>
      <c r="J123" s="42" t="inlineStr">
        <is>
          <t>Стандарт</t>
        </is>
      </c>
      <c r="K123" s="42" t="inlineStr">
        <is>
          <t>Показать строкой</t>
        </is>
      </c>
      <c r="L123" s="42" t="inlineStr">
        <is>
          <t>газонного, ложа, обыкновенного, газона, грунт, плодородный, торфогрунт, песок</t>
        </is>
      </c>
      <c r="M123" s="42" t="inlineStr">
        <is>
          <t>Да</t>
        </is>
      </c>
      <c r="N123" s="42" t="inlineStr">
        <is>
          <t>Да</t>
        </is>
      </c>
      <c r="O123" s="48" t="inlineStr">
        <is>
          <t>Импортировано из PRICE_MASTER; строк-источников: 1</t>
        </is>
      </c>
      <c r="P123" s="42" t="inlineStr">
        <is>
          <t>Да</t>
        </is>
      </c>
      <c r="Q123" s="42" t="inlineStr">
        <is>
          <t>Импорт из PRICE_MASTER</t>
        </is>
      </c>
      <c r="R123" s="42" t="inlineStr">
        <is>
          <t>Высокая</t>
        </is>
      </c>
      <c r="S123" s="42" t="n">
        <v>1</v>
      </c>
      <c r="T123" s="42" t="inlineStr">
        <is>
          <t>SRC-0235</t>
        </is>
      </c>
    </row>
    <row r="124">
      <c r="A124" s="41" t="inlineStr">
        <is>
          <t>RWORK-0123</t>
        </is>
      </c>
      <c r="B124" s="41" t="inlineStr">
        <is>
          <t>Устройство гравийного покрытия</t>
        </is>
      </c>
      <c r="C124" s="41" t="inlineStr">
        <is>
          <t>Устройство гравийного покрытия</t>
        </is>
      </c>
      <c r="D124" s="41" t="inlineStr">
        <is>
          <t>Мощение</t>
        </is>
      </c>
      <c r="E124" s="41" t="inlineStr">
        <is>
          <t>Основание</t>
        </is>
      </c>
      <c r="F124" s="41" t="inlineStr">
        <is>
          <t>Работа</t>
        </is>
      </c>
      <c r="G124" s="41" t="inlineStr">
        <is>
          <t>м2</t>
        </is>
      </c>
      <c r="H124" s="41" t="inlineStr">
        <is>
          <t>за м2</t>
        </is>
      </c>
      <c r="I124" s="43" t="n">
        <v>900</v>
      </c>
      <c r="J124" s="41" t="inlineStr">
        <is>
          <t>Стандарт</t>
        </is>
      </c>
      <c r="K124" s="41" t="inlineStr">
        <is>
          <t>Показать строкой</t>
        </is>
      </c>
      <c r="L124" s="41" t="inlineStr">
        <is>
          <t>гравийного, покрытия</t>
        </is>
      </c>
      <c r="M124" s="41" t="inlineStr">
        <is>
          <t>Да</t>
        </is>
      </c>
      <c r="N124" s="41" t="inlineStr">
        <is>
          <t>Да</t>
        </is>
      </c>
      <c r="O124" s="45" t="inlineStr">
        <is>
          <t>Импортировано из PRICE_MASTER; строк-источников: 1</t>
        </is>
      </c>
      <c r="P124" s="41" t="inlineStr">
        <is>
          <t>Да</t>
        </is>
      </c>
      <c r="Q124" s="41" t="inlineStr">
        <is>
          <t>Импорт из PRICE_MASTER</t>
        </is>
      </c>
      <c r="R124" s="41" t="inlineStr">
        <is>
          <t>Высокая</t>
        </is>
      </c>
      <c r="S124" s="41" t="n">
        <v>1</v>
      </c>
      <c r="T124" s="41" t="inlineStr">
        <is>
          <t>SRC-0236</t>
        </is>
      </c>
    </row>
    <row r="125">
      <c r="A125" s="42" t="inlineStr">
        <is>
          <t>RWORK-0124</t>
        </is>
      </c>
      <c r="B125" s="42" t="inlineStr">
        <is>
          <t>Устройство декинга</t>
        </is>
      </c>
      <c r="C125" s="42" t="inlineStr">
        <is>
          <t>Устройство декинга</t>
        </is>
      </c>
      <c r="D125" s="42" t="inlineStr">
        <is>
          <t>Мощение</t>
        </is>
      </c>
      <c r="E125" s="42" t="inlineStr">
        <is>
          <t>Покрытие</t>
        </is>
      </c>
      <c r="F125" s="42" t="inlineStr">
        <is>
          <t>Работа</t>
        </is>
      </c>
      <c r="G125" s="42" t="inlineStr">
        <is>
          <t>м2</t>
        </is>
      </c>
      <c r="H125" s="42" t="inlineStr">
        <is>
          <t>за м2</t>
        </is>
      </c>
      <c r="I125" s="46" t="n">
        <v>6500</v>
      </c>
      <c r="J125" s="42" t="inlineStr">
        <is>
          <t>Стандарт</t>
        </is>
      </c>
      <c r="K125" s="42" t="inlineStr">
        <is>
          <t>Показать строкой</t>
        </is>
      </c>
      <c r="L125" s="42" t="inlineStr">
        <is>
          <t>декинга</t>
        </is>
      </c>
      <c r="M125" s="42" t="inlineStr">
        <is>
          <t>Да</t>
        </is>
      </c>
      <c r="N125" s="42" t="inlineStr">
        <is>
          <t>Да</t>
        </is>
      </c>
      <c r="O125" s="48" t="inlineStr">
        <is>
          <t>Импортировано из PRICE_MASTER; строк-источников: 1</t>
        </is>
      </c>
      <c r="P125" s="42" t="inlineStr">
        <is>
          <t>Да</t>
        </is>
      </c>
      <c r="Q125" s="42" t="inlineStr">
        <is>
          <t>Импорт из PRICE_MASTER</t>
        </is>
      </c>
      <c r="R125" s="42" t="inlineStr">
        <is>
          <t>Высокая</t>
        </is>
      </c>
      <c r="S125" s="42" t="n">
        <v>1</v>
      </c>
      <c r="T125" s="42" t="inlineStr">
        <is>
          <t>SRC-0237</t>
        </is>
      </c>
    </row>
    <row r="126">
      <c r="A126" s="41" t="inlineStr">
        <is>
          <t>RWORK-0125</t>
        </is>
      </c>
      <c r="B126" s="41" t="inlineStr">
        <is>
          <t>Устройство деревянной опалубки</t>
        </is>
      </c>
      <c r="C126" s="41" t="inlineStr">
        <is>
          <t>Устройство деревянной опалубки</t>
        </is>
      </c>
      <c r="D126" s="41" t="inlineStr">
        <is>
          <t>Дренаж</t>
        </is>
      </c>
      <c r="E126" s="41" t="inlineStr">
        <is>
          <t>Прочее по дренажу</t>
        </is>
      </c>
      <c r="F126" s="41" t="inlineStr">
        <is>
          <t>Работа</t>
        </is>
      </c>
      <c r="G126" s="41" t="inlineStr">
        <is>
          <t>м.пог.</t>
        </is>
      </c>
      <c r="H126" s="41" t="inlineStr">
        <is>
          <t>за ед.</t>
        </is>
      </c>
      <c r="I126" s="43" t="n">
        <v>150</v>
      </c>
      <c r="J126" s="41" t="inlineStr">
        <is>
          <t>Стандарт</t>
        </is>
      </c>
      <c r="K126" s="41" t="inlineStr">
        <is>
          <t>Показать строкой</t>
        </is>
      </c>
      <c r="L126" s="41" t="inlineStr">
        <is>
          <t>деревянной, опалубки</t>
        </is>
      </c>
      <c r="M126" s="41" t="inlineStr">
        <is>
          <t>Да</t>
        </is>
      </c>
      <c r="N126" s="41" t="inlineStr">
        <is>
          <t>Да</t>
        </is>
      </c>
      <c r="O126" s="45" t="inlineStr">
        <is>
          <t>Импортировано из PRICE_MASTER; строк-источников: 1</t>
        </is>
      </c>
      <c r="P126" s="41" t="inlineStr">
        <is>
          <t>Да</t>
        </is>
      </c>
      <c r="Q126" s="41" t="inlineStr">
        <is>
          <t>Импорт из PRICE_MASTER</t>
        </is>
      </c>
      <c r="R126" s="41" t="inlineStr">
        <is>
          <t>Высокая</t>
        </is>
      </c>
      <c r="S126" s="41" t="n">
        <v>1</v>
      </c>
      <c r="T126" s="41" t="inlineStr">
        <is>
          <t>SRC-0238</t>
        </is>
      </c>
    </row>
    <row r="127">
      <c r="A127" s="42" t="inlineStr">
        <is>
          <t>RWORK-0126</t>
        </is>
      </c>
      <c r="B127" s="42" t="inlineStr">
        <is>
          <t>Устройство дорожных одежд в парковочной зоне с расклинцовкой, трамбовкой и проливом водой</t>
        </is>
      </c>
      <c r="C127" s="42" t="inlineStr">
        <is>
          <t>Устройство дорожных одежд в парковочной зоне с расклинцовкой, трамбовкой и проливом водой</t>
        </is>
      </c>
      <c r="D127" s="42" t="inlineStr">
        <is>
          <t>Мощение</t>
        </is>
      </c>
      <c r="E127" s="42" t="inlineStr">
        <is>
          <t>Основание</t>
        </is>
      </c>
      <c r="F127" s="42" t="inlineStr">
        <is>
          <t>Работа</t>
        </is>
      </c>
      <c r="G127" s="42" t="inlineStr">
        <is>
          <t>м2</t>
        </is>
      </c>
      <c r="H127" s="42" t="inlineStr">
        <is>
          <t>за м2</t>
        </is>
      </c>
      <c r="I127" s="46" t="n">
        <v>860</v>
      </c>
      <c r="J127" s="42" t="inlineStr">
        <is>
          <t>Стандарт</t>
        </is>
      </c>
      <c r="K127" s="42" t="inlineStr">
        <is>
          <t>Показать строкой</t>
        </is>
      </c>
      <c r="L127" s="42" t="inlineStr">
        <is>
          <t>дорожных, одежд, парковочной, зоне, расклинцовкой, трамбовкой, проливом, водой</t>
        </is>
      </c>
      <c r="M127" s="42" t="inlineStr">
        <is>
          <t>Да</t>
        </is>
      </c>
      <c r="N127" s="42" t="inlineStr">
        <is>
          <t>Да</t>
        </is>
      </c>
      <c r="O127" s="48" t="inlineStr">
        <is>
          <t>Импортировано из PRICE_MASTER; строк-источников: 1</t>
        </is>
      </c>
      <c r="P127" s="42" t="inlineStr">
        <is>
          <t>Да</t>
        </is>
      </c>
      <c r="Q127" s="42" t="inlineStr">
        <is>
          <t>Импорт из PRICE_MASTER</t>
        </is>
      </c>
      <c r="R127" s="42" t="inlineStr">
        <is>
          <t>Высокая</t>
        </is>
      </c>
      <c r="S127" s="42" t="n">
        <v>1</v>
      </c>
      <c r="T127" s="42" t="inlineStr">
        <is>
          <t>SRC-0239</t>
        </is>
      </c>
    </row>
    <row r="128">
      <c r="A128" s="41" t="inlineStr">
        <is>
          <t>RWORK-0127</t>
        </is>
      </c>
      <c r="B128" s="41" t="inlineStr">
        <is>
          <t>Устройство дорожных одежд в пешеходной зоне с расклинцовкой, трамбовкой и проливом водой</t>
        </is>
      </c>
      <c r="C128" s="41" t="inlineStr">
        <is>
          <t>Устройство дорожных одежд в пешеходной зоне с расклинцовкой, трамбовкой и проливом водой</t>
        </is>
      </c>
      <c r="D128" s="41" t="inlineStr">
        <is>
          <t>Мощение</t>
        </is>
      </c>
      <c r="E128" s="41" t="inlineStr">
        <is>
          <t>Основание</t>
        </is>
      </c>
      <c r="F128" s="41" t="inlineStr">
        <is>
          <t>Работа</t>
        </is>
      </c>
      <c r="G128" s="41" t="inlineStr">
        <is>
          <t>м2</t>
        </is>
      </c>
      <c r="H128" s="41" t="inlineStr">
        <is>
          <t>за м2</t>
        </is>
      </c>
      <c r="I128" s="43" t="n">
        <v>640</v>
      </c>
      <c r="J128" s="41" t="inlineStr">
        <is>
          <t>Стандарт</t>
        </is>
      </c>
      <c r="K128" s="41" t="inlineStr">
        <is>
          <t>Показать строкой</t>
        </is>
      </c>
      <c r="L128" s="41" t="inlineStr">
        <is>
          <t>дорожных, одежд, пешеходной, зоне, расклинцовкой, трамбовкой, проливом, водой</t>
        </is>
      </c>
      <c r="M128" s="41" t="inlineStr">
        <is>
          <t>Да</t>
        </is>
      </c>
      <c r="N128" s="41" t="inlineStr">
        <is>
          <t>Да</t>
        </is>
      </c>
      <c r="O128" s="45" t="inlineStr">
        <is>
          <t>Импортировано из PRICE_MASTER; строк-источников: 1</t>
        </is>
      </c>
      <c r="P128" s="41" t="inlineStr">
        <is>
          <t>Да</t>
        </is>
      </c>
      <c r="Q128" s="41" t="inlineStr">
        <is>
          <t>Импорт из PRICE_MASTER</t>
        </is>
      </c>
      <c r="R128" s="41" t="inlineStr">
        <is>
          <t>Высокая</t>
        </is>
      </c>
      <c r="S128" s="41" t="n">
        <v>1</v>
      </c>
      <c r="T128" s="41" t="inlineStr">
        <is>
          <t>SRC-0240</t>
        </is>
      </c>
    </row>
    <row r="129">
      <c r="A129" s="42" t="inlineStr">
        <is>
          <t>RWORK-0128</t>
        </is>
      </c>
      <c r="B129" s="42" t="inlineStr">
        <is>
          <t>Устройство дренажа на глубине 80-130см</t>
        </is>
      </c>
      <c r="C129" s="42" t="inlineStr">
        <is>
          <t>Устройство дренажа на глубине 80-130см</t>
        </is>
      </c>
      <c r="D129" s="42" t="inlineStr">
        <is>
          <t>Дренаж</t>
        </is>
      </c>
      <c r="E129" s="42" t="inlineStr">
        <is>
          <t>Монтаж системы</t>
        </is>
      </c>
      <c r="F129" s="42" t="inlineStr">
        <is>
          <t>Работа</t>
        </is>
      </c>
      <c r="G129" s="42" t="inlineStr">
        <is>
          <t>м.пог.</t>
        </is>
      </c>
      <c r="H129" s="42" t="inlineStr">
        <is>
          <t>за ед.</t>
        </is>
      </c>
      <c r="I129" s="46" t="n">
        <v>920</v>
      </c>
      <c r="J129" s="42" t="inlineStr">
        <is>
          <t>Стандарт</t>
        </is>
      </c>
      <c r="K129" s="42" t="inlineStr">
        <is>
          <t>Показать строкой</t>
        </is>
      </c>
      <c r="L129" s="42" t="inlineStr">
        <is>
          <t>дренажа, глубине, 130см</t>
        </is>
      </c>
      <c r="M129" s="42" t="inlineStr">
        <is>
          <t>Да</t>
        </is>
      </c>
      <c r="N129" s="42" t="inlineStr">
        <is>
          <t>Да</t>
        </is>
      </c>
      <c r="O129" s="48" t="inlineStr">
        <is>
          <t>Импортировано из PRICE_MASTER; строк-источников: 1</t>
        </is>
      </c>
      <c r="P129" s="42" t="inlineStr">
        <is>
          <t>Да</t>
        </is>
      </c>
      <c r="Q129" s="42" t="inlineStr">
        <is>
          <t>Импорт из PRICE_MASTER</t>
        </is>
      </c>
      <c r="R129" s="42" t="inlineStr">
        <is>
          <t>Высокая</t>
        </is>
      </c>
      <c r="S129" s="42" t="n">
        <v>1</v>
      </c>
      <c r="T129" s="42" t="inlineStr">
        <is>
          <t>SRC-0241</t>
        </is>
      </c>
    </row>
    <row r="130">
      <c r="A130" s="41" t="inlineStr">
        <is>
          <t>RWORK-0129</t>
        </is>
      </c>
      <c r="B130" s="41" t="inlineStr">
        <is>
          <t>Устройство закладных из 3-х труб d=110 мм</t>
        </is>
      </c>
      <c r="C130" s="41" t="inlineStr">
        <is>
          <t>Устройство закладных из 3-х труб d=110 мм</t>
        </is>
      </c>
      <c r="D130" s="41" t="inlineStr">
        <is>
          <t>Закладные / коммуникации</t>
        </is>
      </c>
      <c r="E130" s="41" t="inlineStr">
        <is>
          <t>Закладные и проходки</t>
        </is>
      </c>
      <c r="F130" s="41" t="inlineStr">
        <is>
          <t>Работа</t>
        </is>
      </c>
      <c r="G130" s="41" t="inlineStr">
        <is>
          <t>м.пог.</t>
        </is>
      </c>
      <c r="H130" s="41" t="inlineStr">
        <is>
          <t>за ед.</t>
        </is>
      </c>
      <c r="I130" s="43" t="n">
        <v>500</v>
      </c>
      <c r="J130" s="41" t="inlineStr">
        <is>
          <t>Стандарт</t>
        </is>
      </c>
      <c r="K130" s="41" t="inlineStr">
        <is>
          <t>Показать строкой</t>
        </is>
      </c>
      <c r="L130" s="41" t="inlineStr">
        <is>
          <t>закладных, труб, 110</t>
        </is>
      </c>
      <c r="M130" s="41" t="inlineStr">
        <is>
          <t>Да</t>
        </is>
      </c>
      <c r="N130" s="41" t="inlineStr">
        <is>
          <t>Да</t>
        </is>
      </c>
      <c r="O130" s="45" t="inlineStr">
        <is>
          <t>Импортировано из PRICE_MASTER; строк-источников: 1</t>
        </is>
      </c>
      <c r="P130" s="41" t="inlineStr">
        <is>
          <t>Да</t>
        </is>
      </c>
      <c r="Q130" s="41" t="inlineStr">
        <is>
          <t>Импорт из PRICE_MASTER</t>
        </is>
      </c>
      <c r="R130" s="41" t="inlineStr">
        <is>
          <t>Высокая</t>
        </is>
      </c>
      <c r="S130" s="41" t="n">
        <v>1</v>
      </c>
      <c r="T130" s="41" t="inlineStr">
        <is>
          <t>SRC-0242</t>
        </is>
      </c>
    </row>
    <row r="131">
      <c r="A131" s="42" t="inlineStr">
        <is>
          <t>RWORK-0130</t>
        </is>
      </c>
      <c r="B131" s="42" t="inlineStr">
        <is>
          <t>Устройство закладных из 3-х труб d=110мм</t>
        </is>
      </c>
      <c r="C131" s="42" t="inlineStr">
        <is>
          <t>Устройство закладных из 3-х труб d=110мм</t>
        </is>
      </c>
      <c r="D131" s="42" t="inlineStr">
        <is>
          <t>Мощение</t>
        </is>
      </c>
      <c r="E131" s="42" t="inlineStr">
        <is>
          <t>Прочее по мощению</t>
        </is>
      </c>
      <c r="F131" s="42" t="inlineStr">
        <is>
          <t>Работа</t>
        </is>
      </c>
      <c r="G131" s="42" t="inlineStr">
        <is>
          <t>м.пог.</t>
        </is>
      </c>
      <c r="H131" s="42" t="inlineStr">
        <is>
          <t>за ед.</t>
        </is>
      </c>
      <c r="I131" s="46" t="n">
        <v>500</v>
      </c>
      <c r="J131" s="42" t="inlineStr">
        <is>
          <t>Стандарт</t>
        </is>
      </c>
      <c r="K131" s="42" t="inlineStr">
        <is>
          <t>Показать строкой</t>
        </is>
      </c>
      <c r="L131" s="42" t="inlineStr">
        <is>
          <t>закладных, труб, 110мм</t>
        </is>
      </c>
      <c r="M131" s="42" t="inlineStr">
        <is>
          <t>Да</t>
        </is>
      </c>
      <c r="N131" s="42" t="inlineStr">
        <is>
          <t>Да</t>
        </is>
      </c>
      <c r="O131" s="48" t="inlineStr">
        <is>
          <t>Импортировано из PRICE_MASTER; строк-источников: 1</t>
        </is>
      </c>
      <c r="P131" s="42" t="inlineStr">
        <is>
          <t>Да</t>
        </is>
      </c>
      <c r="Q131" s="42" t="inlineStr">
        <is>
          <t>Импорт из PRICE_MASTER</t>
        </is>
      </c>
      <c r="R131" s="42" t="inlineStr">
        <is>
          <t>Высокая</t>
        </is>
      </c>
      <c r="S131" s="42" t="n">
        <v>1</v>
      </c>
      <c r="T131" s="42" t="inlineStr">
        <is>
          <t>SRC-0243</t>
        </is>
      </c>
    </row>
    <row r="132">
      <c r="A132" s="41" t="inlineStr">
        <is>
          <t>RWORK-0131</t>
        </is>
      </c>
      <c r="B132" s="41" t="inlineStr">
        <is>
          <t>Устройство закладных под мощением</t>
        </is>
      </c>
      <c r="C132" s="41" t="inlineStr">
        <is>
          <t>Устройство закладных под мощением</t>
        </is>
      </c>
      <c r="D132" s="41" t="inlineStr">
        <is>
          <t>Закладные / коммуникации</t>
        </is>
      </c>
      <c r="E132" s="41" t="inlineStr">
        <is>
          <t>Закладные и проходки</t>
        </is>
      </c>
      <c r="F132" s="41" t="inlineStr">
        <is>
          <t>Работа</t>
        </is>
      </c>
      <c r="G132" s="41" t="inlineStr">
        <is>
          <t>м.пог.</t>
        </is>
      </c>
      <c r="H132" s="41" t="inlineStr">
        <is>
          <t>за ед.</t>
        </is>
      </c>
      <c r="I132" s="43" t="n">
        <v>750</v>
      </c>
      <c r="J132" s="41" t="inlineStr">
        <is>
          <t>Стандарт</t>
        </is>
      </c>
      <c r="K132" s="41" t="inlineStr">
        <is>
          <t>Показать строкой</t>
        </is>
      </c>
      <c r="L132" s="41" t="inlineStr">
        <is>
          <t>закладных, мощением</t>
        </is>
      </c>
      <c r="M132" s="41" t="inlineStr">
        <is>
          <t>Да</t>
        </is>
      </c>
      <c r="N132" s="41" t="inlineStr">
        <is>
          <t>Да</t>
        </is>
      </c>
      <c r="O132" s="45" t="inlineStr">
        <is>
          <t>Импортировано из PRICE_MASTER; строк-источников: 1</t>
        </is>
      </c>
      <c r="P132" s="41" t="inlineStr">
        <is>
          <t>Да</t>
        </is>
      </c>
      <c r="Q132" s="41" t="inlineStr">
        <is>
          <t>Импорт из PRICE_MASTER</t>
        </is>
      </c>
      <c r="R132" s="41" t="inlineStr">
        <is>
          <t>Высокая</t>
        </is>
      </c>
      <c r="S132" s="41" t="n">
        <v>1</v>
      </c>
      <c r="T132" s="41" t="inlineStr">
        <is>
          <t>SRC-0244</t>
        </is>
      </c>
    </row>
    <row r="133">
      <c r="A133" s="42" t="inlineStr">
        <is>
          <t>RWORK-0132</t>
        </is>
      </c>
      <c r="B133" s="42" t="inlineStr">
        <is>
          <t>Устройство ливневой системы (монтаж трубы d110мм с уклоном, средняя глубина 700мм), копка и обратная засыпка траншеи</t>
        </is>
      </c>
      <c r="C133" s="42" t="inlineStr">
        <is>
          <t>Устройство ливневой системы (монтаж трубы d110мм с уклоном, средняя глубина 700мм), копка и обратная засыпка траншеи</t>
        </is>
      </c>
      <c r="D133" s="42" t="inlineStr">
        <is>
          <t>Ливневая канализация</t>
        </is>
      </c>
      <c r="E133" s="42" t="inlineStr">
        <is>
          <t>Монтаж системы</t>
        </is>
      </c>
      <c r="F133" s="42" t="inlineStr">
        <is>
          <t>Работа</t>
        </is>
      </c>
      <c r="G133" s="42" t="inlineStr">
        <is>
          <t>м.пог.</t>
        </is>
      </c>
      <c r="H133" s="42" t="inlineStr">
        <is>
          <t>за ед.</t>
        </is>
      </c>
      <c r="I133" s="46" t="n">
        <v>1800</v>
      </c>
      <c r="J133" s="42" t="inlineStr">
        <is>
          <t>Стандарт</t>
        </is>
      </c>
      <c r="K133" s="42" t="inlineStr">
        <is>
          <t>Показать строкой</t>
        </is>
      </c>
      <c r="L133" s="42" t="inlineStr">
        <is>
          <t>ливневой, трубы, d110мм, уклоном, средняя, глубина, 700мм, копка</t>
        </is>
      </c>
      <c r="M133" s="42" t="inlineStr">
        <is>
          <t>Да</t>
        </is>
      </c>
      <c r="N133" s="42" t="inlineStr">
        <is>
          <t>Да</t>
        </is>
      </c>
      <c r="O133" s="48" t="inlineStr">
        <is>
          <t>Импортировано из PRICE_MASTER; строк-источников: 1</t>
        </is>
      </c>
      <c r="P133" s="42" t="inlineStr">
        <is>
          <t>Да</t>
        </is>
      </c>
      <c r="Q133" s="42" t="inlineStr">
        <is>
          <t>Импорт из PRICE_MASTER</t>
        </is>
      </c>
      <c r="R133" s="42" t="inlineStr">
        <is>
          <t>Высокая</t>
        </is>
      </c>
      <c r="S133" s="42" t="n">
        <v>1</v>
      </c>
      <c r="T133" s="42" t="inlineStr">
        <is>
          <t>SRC-0245</t>
        </is>
      </c>
    </row>
    <row r="134">
      <c r="A134" s="41" t="inlineStr">
        <is>
          <t>RWORK-0133</t>
        </is>
      </c>
      <c r="B134" s="41" t="inlineStr">
        <is>
          <t>Устройство ливневой системы водоотвода (глубина 700мм)</t>
        </is>
      </c>
      <c r="C134" s="41" t="inlineStr">
        <is>
          <t>Устройство ливневой системы водоотвода (глубина 700мм)</t>
        </is>
      </c>
      <c r="D134" s="41" t="inlineStr">
        <is>
          <t>Мощение</t>
        </is>
      </c>
      <c r="E134" s="41" t="inlineStr">
        <is>
          <t>Водоотвод в зоне мощения</t>
        </is>
      </c>
      <c r="F134" s="41" t="inlineStr">
        <is>
          <t>Работа</t>
        </is>
      </c>
      <c r="G134" s="41" t="inlineStr">
        <is>
          <t>м.пог.</t>
        </is>
      </c>
      <c r="H134" s="41" t="inlineStr">
        <is>
          <t>за ед.</t>
        </is>
      </c>
      <c r="I134" s="43" t="n">
        <v>600</v>
      </c>
      <c r="J134" s="41" t="inlineStr">
        <is>
          <t>Стандарт</t>
        </is>
      </c>
      <c r="K134" s="41" t="inlineStr">
        <is>
          <t>Показать строкой</t>
        </is>
      </c>
      <c r="L134" s="41" t="inlineStr">
        <is>
          <t>ливневой, водоотвода, глубина, 700мм</t>
        </is>
      </c>
      <c r="M134" s="41" t="inlineStr">
        <is>
          <t>Да</t>
        </is>
      </c>
      <c r="N134" s="41" t="inlineStr">
        <is>
          <t>Да</t>
        </is>
      </c>
      <c r="O134" s="45" t="inlineStr">
        <is>
          <t>Импортировано из PRICE_MASTER; строк-источников: 1</t>
        </is>
      </c>
      <c r="P134" s="41" t="inlineStr">
        <is>
          <t>Да</t>
        </is>
      </c>
      <c r="Q134" s="41" t="inlineStr">
        <is>
          <t>Импорт из PRICE_MASTER</t>
        </is>
      </c>
      <c r="R134" s="41" t="inlineStr">
        <is>
          <t>Высокая</t>
        </is>
      </c>
      <c r="S134" s="41" t="n">
        <v>1</v>
      </c>
      <c r="T134" s="41" t="inlineStr">
        <is>
          <t>SRC-0246</t>
        </is>
      </c>
    </row>
    <row r="135">
      <c r="A135" s="42" t="inlineStr">
        <is>
          <t>RWORK-0134</t>
        </is>
      </c>
      <c r="B135" s="42" t="inlineStr">
        <is>
          <t>Устройство монтажного слоя из отсева (4см)</t>
        </is>
      </c>
      <c r="C135" s="42" t="inlineStr">
        <is>
          <t>Устройство монтажного слоя из отсева (4см)</t>
        </is>
      </c>
      <c r="D135" s="42" t="inlineStr">
        <is>
          <t>Мощение</t>
        </is>
      </c>
      <c r="E135" s="42" t="inlineStr">
        <is>
          <t>Основание</t>
        </is>
      </c>
      <c r="F135" s="42" t="inlineStr">
        <is>
          <t>Работа</t>
        </is>
      </c>
      <c r="G135" s="42" t="inlineStr">
        <is>
          <t>м2</t>
        </is>
      </c>
      <c r="H135" s="42" t="inlineStr">
        <is>
          <t>за м2</t>
        </is>
      </c>
      <c r="I135" s="46" t="n">
        <v>70</v>
      </c>
      <c r="J135" s="42" t="inlineStr">
        <is>
          <t>Стандарт</t>
        </is>
      </c>
      <c r="K135" s="42" t="inlineStr">
        <is>
          <t>Показать строкой</t>
        </is>
      </c>
      <c r="L135" s="42" t="inlineStr">
        <is>
          <t>монтажного, отсева, 4см</t>
        </is>
      </c>
      <c r="M135" s="42" t="inlineStr">
        <is>
          <t>Да</t>
        </is>
      </c>
      <c r="N135" s="42" t="inlineStr">
        <is>
          <t>Да</t>
        </is>
      </c>
      <c r="O135" s="48" t="inlineStr">
        <is>
          <t>Импортировано из PRICE_MASTER; строк-источников: 1</t>
        </is>
      </c>
      <c r="P135" s="42" t="inlineStr">
        <is>
          <t>Да</t>
        </is>
      </c>
      <c r="Q135" s="42" t="inlineStr">
        <is>
          <t>Импорт из PRICE_MASTER</t>
        </is>
      </c>
      <c r="R135" s="42" t="inlineStr">
        <is>
          <t>Высокая</t>
        </is>
      </c>
      <c r="S135" s="42" t="n">
        <v>1</v>
      </c>
      <c r="T135" s="42" t="inlineStr">
        <is>
          <t>SRC-0247</t>
        </is>
      </c>
    </row>
    <row r="136">
      <c r="A136" s="41" t="inlineStr">
        <is>
          <t>RWORK-0135</t>
        </is>
      </c>
      <c r="B136" s="41" t="inlineStr">
        <is>
          <t>Устройство монтажного слоя из отсева (70мм)</t>
        </is>
      </c>
      <c r="C136" s="41" t="inlineStr">
        <is>
          <t>Устройство монтажного слоя из отсева (70мм)</t>
        </is>
      </c>
      <c r="D136" s="41" t="inlineStr">
        <is>
          <t>Мощение</t>
        </is>
      </c>
      <c r="E136" s="41" t="inlineStr">
        <is>
          <t>Основание</t>
        </is>
      </c>
      <c r="F136" s="41" t="inlineStr">
        <is>
          <t>Работа</t>
        </is>
      </c>
      <c r="G136" s="41" t="inlineStr">
        <is>
          <t>м2</t>
        </is>
      </c>
      <c r="H136" s="41" t="inlineStr">
        <is>
          <t>за м2</t>
        </is>
      </c>
      <c r="I136" s="43" t="n">
        <v>230</v>
      </c>
      <c r="J136" s="41" t="inlineStr">
        <is>
          <t>Стандарт</t>
        </is>
      </c>
      <c r="K136" s="41" t="inlineStr">
        <is>
          <t>Показать строкой</t>
        </is>
      </c>
      <c r="L136" s="41" t="inlineStr">
        <is>
          <t>монтажного, отсева, 70мм</t>
        </is>
      </c>
      <c r="M136" s="41" t="inlineStr">
        <is>
          <t>Да</t>
        </is>
      </c>
      <c r="N136" s="41" t="inlineStr">
        <is>
          <t>Да</t>
        </is>
      </c>
      <c r="O136" s="45" t="inlineStr">
        <is>
          <t>Импортировано из PRICE_MASTER; строк-источников: 1</t>
        </is>
      </c>
      <c r="P136" s="41" t="inlineStr">
        <is>
          <t>Да</t>
        </is>
      </c>
      <c r="Q136" s="41" t="inlineStr">
        <is>
          <t>Импорт из PRICE_MASTER</t>
        </is>
      </c>
      <c r="R136" s="41" t="inlineStr">
        <is>
          <t>Высокая</t>
        </is>
      </c>
      <c r="S136" s="41" t="n">
        <v>1</v>
      </c>
      <c r="T136" s="41" t="inlineStr">
        <is>
          <t>SRC-0248</t>
        </is>
      </c>
    </row>
    <row r="137">
      <c r="A137" s="42" t="inlineStr">
        <is>
          <t>RWORK-0136</t>
        </is>
      </c>
      <c r="B137" s="42" t="inlineStr">
        <is>
          <t>Устройство монтажного слоя из отсева с добавлением цемента (40мм)</t>
        </is>
      </c>
      <c r="C137" s="42" t="inlineStr">
        <is>
          <t>Устройство монтажного слоя из отсева с добавлением цемента (40мм)</t>
        </is>
      </c>
      <c r="D137" s="42" t="inlineStr">
        <is>
          <t>Мощение</t>
        </is>
      </c>
      <c r="E137" s="42" t="inlineStr">
        <is>
          <t>Бетон и конструктив</t>
        </is>
      </c>
      <c r="F137" s="42" t="inlineStr">
        <is>
          <t>Работа</t>
        </is>
      </c>
      <c r="G137" s="42" t="inlineStr">
        <is>
          <t>м2</t>
        </is>
      </c>
      <c r="H137" s="42" t="inlineStr">
        <is>
          <t>за м2</t>
        </is>
      </c>
      <c r="I137" s="46" t="n">
        <v>220</v>
      </c>
      <c r="J137" s="42" t="inlineStr">
        <is>
          <t>Стандарт</t>
        </is>
      </c>
      <c r="K137" s="42" t="inlineStr">
        <is>
          <t>Показать строкой</t>
        </is>
      </c>
      <c r="L137" s="42" t="inlineStr">
        <is>
          <t>монтажного, отсева, добавлением, цемента, 40мм</t>
        </is>
      </c>
      <c r="M137" s="42" t="inlineStr">
        <is>
          <t>Да</t>
        </is>
      </c>
      <c r="N137" s="42" t="inlineStr">
        <is>
          <t>Да</t>
        </is>
      </c>
      <c r="O137" s="48" t="inlineStr">
        <is>
          <t>Импортировано из PRICE_MASTER; строк-источников: 1</t>
        </is>
      </c>
      <c r="P137" s="42" t="inlineStr">
        <is>
          <t>Да</t>
        </is>
      </c>
      <c r="Q137" s="42" t="inlineStr">
        <is>
          <t>Импорт из PRICE_MASTER</t>
        </is>
      </c>
      <c r="R137" s="42" t="inlineStr">
        <is>
          <t>Высокая</t>
        </is>
      </c>
      <c r="S137" s="42" t="n">
        <v>1</v>
      </c>
      <c r="T137" s="42" t="inlineStr">
        <is>
          <t>SRC-0249</t>
        </is>
      </c>
    </row>
    <row r="138">
      <c r="A138" s="41" t="inlineStr">
        <is>
          <t>RWORK-0137</t>
        </is>
      </c>
      <c r="B138" s="41" t="inlineStr">
        <is>
          <t>Устройство набивного финишного покрытия из гравия (40мм) с мытьем</t>
        </is>
      </c>
      <c r="C138" s="41" t="inlineStr">
        <is>
          <t>Устройство набивного финишного покрытия из гравия (40мм) с мытьем</t>
        </is>
      </c>
      <c r="D138" s="41" t="inlineStr">
        <is>
          <t>Мощение</t>
        </is>
      </c>
      <c r="E138" s="41" t="inlineStr">
        <is>
          <t>Прочее по мощению</t>
        </is>
      </c>
      <c r="F138" s="41" t="inlineStr">
        <is>
          <t>Работа</t>
        </is>
      </c>
      <c r="G138" s="41" t="inlineStr">
        <is>
          <t>м2</t>
        </is>
      </c>
      <c r="H138" s="41" t="inlineStr">
        <is>
          <t>за м2</t>
        </is>
      </c>
      <c r="I138" s="43" t="n">
        <v>200</v>
      </c>
      <c r="J138" s="41" t="inlineStr">
        <is>
          <t>Стандарт</t>
        </is>
      </c>
      <c r="K138" s="41" t="inlineStr">
        <is>
          <t>Показать строкой</t>
        </is>
      </c>
      <c r="L138" s="41" t="inlineStr">
        <is>
          <t>набивного, финишного, покрытия, гравия, 40мм, мытьем</t>
        </is>
      </c>
      <c r="M138" s="41" t="inlineStr">
        <is>
          <t>Да</t>
        </is>
      </c>
      <c r="N138" s="41" t="inlineStr">
        <is>
          <t>Да</t>
        </is>
      </c>
      <c r="O138" s="45" t="inlineStr">
        <is>
          <t>Импортировано из PRICE_MASTER; строк-источников: 1</t>
        </is>
      </c>
      <c r="P138" s="41" t="inlineStr">
        <is>
          <t>Да</t>
        </is>
      </c>
      <c r="Q138" s="41" t="inlineStr">
        <is>
          <t>Импорт из PRICE_MASTER</t>
        </is>
      </c>
      <c r="R138" s="41" t="inlineStr">
        <is>
          <t>Высокая</t>
        </is>
      </c>
      <c r="S138" s="41" t="n">
        <v>1</v>
      </c>
      <c r="T138" s="41" t="inlineStr">
        <is>
          <t>SRC-0250</t>
        </is>
      </c>
    </row>
    <row r="139">
      <c r="A139" s="42" t="inlineStr">
        <is>
          <t>RWORK-0138</t>
        </is>
      </c>
      <c r="B139" s="42" t="inlineStr">
        <is>
          <t>Устройство набивного финишного покрытия из отсева (40мм)</t>
        </is>
      </c>
      <c r="C139" s="42" t="inlineStr">
        <is>
          <t>Устройство набивного финишного покрытия из отсева (40мм)</t>
        </is>
      </c>
      <c r="D139" s="42" t="inlineStr">
        <is>
          <t>Мощение</t>
        </is>
      </c>
      <c r="E139" s="42" t="inlineStr">
        <is>
          <t>Основание</t>
        </is>
      </c>
      <c r="F139" s="42" t="inlineStr">
        <is>
          <t>Работа</t>
        </is>
      </c>
      <c r="G139" s="42" t="inlineStr">
        <is>
          <t>м2</t>
        </is>
      </c>
      <c r="H139" s="42" t="inlineStr">
        <is>
          <t>за м2</t>
        </is>
      </c>
      <c r="I139" s="46" t="n">
        <v>130</v>
      </c>
      <c r="J139" s="42" t="inlineStr">
        <is>
          <t>Стандарт</t>
        </is>
      </c>
      <c r="K139" s="42" t="inlineStr">
        <is>
          <t>Показать строкой</t>
        </is>
      </c>
      <c r="L139" s="42" t="inlineStr">
        <is>
          <t>набивного, финишного, покрытия, отсева, 40мм</t>
        </is>
      </c>
      <c r="M139" s="42" t="inlineStr">
        <is>
          <t>Да</t>
        </is>
      </c>
      <c r="N139" s="42" t="inlineStr">
        <is>
          <t>Да</t>
        </is>
      </c>
      <c r="O139" s="48" t="inlineStr">
        <is>
          <t>Импортировано из PRICE_MASTER; строк-источников: 1</t>
        </is>
      </c>
      <c r="P139" s="42" t="inlineStr">
        <is>
          <t>Да</t>
        </is>
      </c>
      <c r="Q139" s="42" t="inlineStr">
        <is>
          <t>Импорт из PRICE_MASTER</t>
        </is>
      </c>
      <c r="R139" s="42" t="inlineStr">
        <is>
          <t>Высокая</t>
        </is>
      </c>
      <c r="S139" s="42" t="n">
        <v>1</v>
      </c>
      <c r="T139" s="42" t="inlineStr">
        <is>
          <t>SRC-0251</t>
        </is>
      </c>
    </row>
    <row r="140">
      <c r="A140" s="41" t="inlineStr">
        <is>
          <t>RWORK-0139</t>
        </is>
      </c>
      <c r="B140" s="41" t="inlineStr">
        <is>
          <t>Устройство несущего щебнистого слоя (120мм) из щебня 20-40мм с проливом водой и трамбовкой с расклинцовкой щебнем 5-20мм</t>
        </is>
      </c>
      <c r="C140" s="41" t="inlineStr">
        <is>
          <t>Устройство несущего щебнистого слоя (120мм) из щебня 20-40мм с проливом водой и трамбовкой с расклинцовкой щебнем 5-20мм</t>
        </is>
      </c>
      <c r="D140" s="41" t="inlineStr">
        <is>
          <t>Мощение</t>
        </is>
      </c>
      <c r="E140" s="41" t="inlineStr">
        <is>
          <t>Основание</t>
        </is>
      </c>
      <c r="F140" s="41" t="inlineStr">
        <is>
          <t>Работа</t>
        </is>
      </c>
      <c r="G140" s="41" t="inlineStr">
        <is>
          <t>м2</t>
        </is>
      </c>
      <c r="H140" s="41" t="inlineStr">
        <is>
          <t>за м2</t>
        </is>
      </c>
      <c r="I140" s="43" t="n">
        <v>289</v>
      </c>
      <c r="J140" s="41" t="inlineStr">
        <is>
          <t>Стандарт</t>
        </is>
      </c>
      <c r="K140" s="41" t="inlineStr">
        <is>
          <t>Показать строкой</t>
        </is>
      </c>
      <c r="L140" s="41" t="inlineStr">
        <is>
          <t>несущего, щебнистого, 120мм, щебня, 40мм, проливом, водой, трамбовкой</t>
        </is>
      </c>
      <c r="M140" s="41" t="inlineStr">
        <is>
          <t>Да</t>
        </is>
      </c>
      <c r="N140" s="41" t="inlineStr">
        <is>
          <t>Да</t>
        </is>
      </c>
      <c r="O140" s="45" t="inlineStr">
        <is>
          <t>Импортировано из PRICE_MASTER; строк-источников: 1</t>
        </is>
      </c>
      <c r="P140" s="41" t="inlineStr">
        <is>
          <t>Да</t>
        </is>
      </c>
      <c r="Q140" s="41" t="inlineStr">
        <is>
          <t>Импорт из PRICE_MASTER</t>
        </is>
      </c>
      <c r="R140" s="41" t="inlineStr">
        <is>
          <t>Высокая</t>
        </is>
      </c>
      <c r="S140" s="41" t="n">
        <v>1</v>
      </c>
      <c r="T140" s="41" t="inlineStr">
        <is>
          <t>SRC-0252</t>
        </is>
      </c>
    </row>
    <row r="141">
      <c r="A141" s="42" t="inlineStr">
        <is>
          <t>RWORK-0140</t>
        </is>
      </c>
      <c r="B141" s="42" t="inlineStr">
        <is>
          <t>Устройство несущего щебнистого слоя (150мм) из щебня 20-40мм с проливом водой и трамбовкой с расклинцовкой щебнем 5-20мм</t>
        </is>
      </c>
      <c r="C141" s="42" t="inlineStr">
        <is>
          <t>Устройство несущего щебнистого слоя (150мм) из щебня 20-40мм с проливом водой и трамбовкой с расклинцовкой щебнем 5-20мм</t>
        </is>
      </c>
      <c r="D141" s="42" t="inlineStr">
        <is>
          <t>Мощение</t>
        </is>
      </c>
      <c r="E141" s="42" t="inlineStr">
        <is>
          <t>Основание</t>
        </is>
      </c>
      <c r="F141" s="42" t="inlineStr">
        <is>
          <t>Работа</t>
        </is>
      </c>
      <c r="G141" s="42" t="inlineStr">
        <is>
          <t>м2</t>
        </is>
      </c>
      <c r="H141" s="42" t="inlineStr">
        <is>
          <t>за м2</t>
        </is>
      </c>
      <c r="I141" s="46" t="n">
        <v>480</v>
      </c>
      <c r="J141" s="42" t="inlineStr">
        <is>
          <t>Стандарт</t>
        </is>
      </c>
      <c r="K141" s="42" t="inlineStr">
        <is>
          <t>Показать строкой</t>
        </is>
      </c>
      <c r="L141" s="42" t="inlineStr">
        <is>
          <t>несущего, щебнистого, 150мм, щебня, 40мм, проливом, водой, трамбовкой</t>
        </is>
      </c>
      <c r="M141" s="42" t="inlineStr">
        <is>
          <t>Да</t>
        </is>
      </c>
      <c r="N141" s="42" t="inlineStr">
        <is>
          <t>Да</t>
        </is>
      </c>
      <c r="O141" s="48" t="inlineStr">
        <is>
          <t>Импортировано из PRICE_MASTER; строк-источников: 1</t>
        </is>
      </c>
      <c r="P141" s="42" t="inlineStr">
        <is>
          <t>Да</t>
        </is>
      </c>
      <c r="Q141" s="42" t="inlineStr">
        <is>
          <t>Импорт из PRICE_MASTER</t>
        </is>
      </c>
      <c r="R141" s="42" t="inlineStr">
        <is>
          <t>Высокая</t>
        </is>
      </c>
      <c r="S141" s="42" t="n">
        <v>1</v>
      </c>
      <c r="T141" s="42" t="inlineStr">
        <is>
          <t>SRC-0253</t>
        </is>
      </c>
    </row>
    <row r="142">
      <c r="A142" s="41" t="inlineStr">
        <is>
          <t>RWORK-0141</t>
        </is>
      </c>
      <c r="B142" s="41" t="inlineStr">
        <is>
          <t>Устройство несущего щебнистого слоя (150мм) из щебня 20-40мм с проливом водой и трамбовкой с расклинцовкой щебнем 5-20мм (пешеходная зона)</t>
        </is>
      </c>
      <c r="C142" s="41" t="inlineStr">
        <is>
          <t>Устройство несущего щебнистого слоя (150мм) из щебня 20-40мм с проливом водой и трамбовкой с расклинцовкой щебнем 5-20мм (пешеходная зона)</t>
        </is>
      </c>
      <c r="D142" s="41" t="inlineStr">
        <is>
          <t>Мощение</t>
        </is>
      </c>
      <c r="E142" s="41" t="inlineStr">
        <is>
          <t>Основание</t>
        </is>
      </c>
      <c r="F142" s="41" t="inlineStr">
        <is>
          <t>Работа</t>
        </is>
      </c>
      <c r="G142" s="41" t="inlineStr">
        <is>
          <t>м2</t>
        </is>
      </c>
      <c r="H142" s="41" t="inlineStr">
        <is>
          <t>за м2</t>
        </is>
      </c>
      <c r="I142" s="43" t="n">
        <v>400</v>
      </c>
      <c r="J142" s="41" t="inlineStr">
        <is>
          <t>Стандарт</t>
        </is>
      </c>
      <c r="K142" s="41" t="inlineStr">
        <is>
          <t>Показать строкой</t>
        </is>
      </c>
      <c r="L142" s="41" t="inlineStr">
        <is>
          <t>несущего, щебнистого, 150мм, щебня, 40мм, проливом, водой, трамбовкой</t>
        </is>
      </c>
      <c r="M142" s="41" t="inlineStr">
        <is>
          <t>Да</t>
        </is>
      </c>
      <c r="N142" s="41" t="inlineStr">
        <is>
          <t>Да</t>
        </is>
      </c>
      <c r="O142" s="45" t="inlineStr">
        <is>
          <t>Импортировано из PRICE_MASTER; строк-источников: 1</t>
        </is>
      </c>
      <c r="P142" s="41" t="inlineStr">
        <is>
          <t>Да</t>
        </is>
      </c>
      <c r="Q142" s="41" t="inlineStr">
        <is>
          <t>Импорт из PRICE_MASTER</t>
        </is>
      </c>
      <c r="R142" s="41" t="inlineStr">
        <is>
          <t>Высокая</t>
        </is>
      </c>
      <c r="S142" s="41" t="n">
        <v>1</v>
      </c>
      <c r="T142" s="41" t="inlineStr">
        <is>
          <t>SRC-0254</t>
        </is>
      </c>
    </row>
    <row r="143">
      <c r="A143" s="42" t="inlineStr">
        <is>
          <t>RWORK-0142</t>
        </is>
      </c>
      <c r="B143" s="42" t="inlineStr">
        <is>
          <t>Устройство несущего щебнистого слоя (250мм) под пешеходное мощение из щебня 20-40мм с проливом водой и трамбовкой с расклинцовкой щебнем 5-20мм</t>
        </is>
      </c>
      <c r="C143" s="42" t="inlineStr">
        <is>
          <t>Устройство несущего щебнистого слоя (250мм) под пешеходное мощение из щебня 20-40мм с проливом водой и трамбовкой с расклинцовкой щебнем 5-20мм</t>
        </is>
      </c>
      <c r="D143" s="42" t="inlineStr">
        <is>
          <t>Мощение</t>
        </is>
      </c>
      <c r="E143" s="42" t="inlineStr">
        <is>
          <t>Покрытие</t>
        </is>
      </c>
      <c r="F143" s="42" t="inlineStr">
        <is>
          <t>Работа</t>
        </is>
      </c>
      <c r="G143" s="42" t="inlineStr">
        <is>
          <t>м2</t>
        </is>
      </c>
      <c r="H143" s="42" t="inlineStr">
        <is>
          <t>за м2</t>
        </is>
      </c>
      <c r="I143" s="46" t="n">
        <v>510</v>
      </c>
      <c r="J143" s="42" t="inlineStr">
        <is>
          <t>Стандарт</t>
        </is>
      </c>
      <c r="K143" s="42" t="inlineStr">
        <is>
          <t>Показать строкой</t>
        </is>
      </c>
      <c r="L143" s="42" t="inlineStr">
        <is>
          <t>несущего, щебнистого, 250мм, пешеходное, мощение, щебня, 40мм, проливом</t>
        </is>
      </c>
      <c r="M143" s="42" t="inlineStr">
        <is>
          <t>Да</t>
        </is>
      </c>
      <c r="N143" s="42" t="inlineStr">
        <is>
          <t>Да</t>
        </is>
      </c>
      <c r="O143" s="48" t="inlineStr">
        <is>
          <t>Импортировано из PRICE_MASTER; строк-источников: 1</t>
        </is>
      </c>
      <c r="P143" s="42" t="inlineStr">
        <is>
          <t>Да</t>
        </is>
      </c>
      <c r="Q143" s="42" t="inlineStr">
        <is>
          <t>Импорт из PRICE_MASTER</t>
        </is>
      </c>
      <c r="R143" s="42" t="inlineStr">
        <is>
          <t>Высокая</t>
        </is>
      </c>
      <c r="S143" s="42" t="n">
        <v>1</v>
      </c>
      <c r="T143" s="42" t="inlineStr">
        <is>
          <t>SRC-0255</t>
        </is>
      </c>
    </row>
    <row r="144">
      <c r="A144" s="41" t="inlineStr">
        <is>
          <t>RWORK-0143</t>
        </is>
      </c>
      <c r="B144" s="41" t="inlineStr">
        <is>
          <t>Устройство ограничительного бордюра из металлического уголка 50*50мм</t>
        </is>
      </c>
      <c r="C144" s="41" t="inlineStr">
        <is>
          <t>Устройство ограничительного бордюра из металлического уголка 50*50мм</t>
        </is>
      </c>
      <c r="D144" s="41" t="inlineStr">
        <is>
          <t>Мощение</t>
        </is>
      </c>
      <c r="E144" s="41" t="inlineStr">
        <is>
          <t>Бордюры и ограничения</t>
        </is>
      </c>
      <c r="F144" s="41" t="inlineStr">
        <is>
          <t>Работа</t>
        </is>
      </c>
      <c r="G144" s="41" t="inlineStr">
        <is>
          <t>м.пог.</t>
        </is>
      </c>
      <c r="H144" s="41" t="inlineStr">
        <is>
          <t>за ед.</t>
        </is>
      </c>
      <c r="I144" s="43" t="n">
        <v>700</v>
      </c>
      <c r="J144" s="41" t="inlineStr">
        <is>
          <t>Стандарт</t>
        </is>
      </c>
      <c r="K144" s="41" t="inlineStr">
        <is>
          <t>Показать строкой</t>
        </is>
      </c>
      <c r="L144" s="41" t="inlineStr">
        <is>
          <t>ограничительного, бордюра, металлического, уголка, 50мм</t>
        </is>
      </c>
      <c r="M144" s="41" t="inlineStr">
        <is>
          <t>Да</t>
        </is>
      </c>
      <c r="N144" s="41" t="inlineStr">
        <is>
          <t>Да</t>
        </is>
      </c>
      <c r="O144" s="45" t="inlineStr">
        <is>
          <t>Импортировано из PRICE_MASTER; строк-источников: 1</t>
        </is>
      </c>
      <c r="P144" s="41" t="inlineStr">
        <is>
          <t>Да</t>
        </is>
      </c>
      <c r="Q144" s="41" t="inlineStr">
        <is>
          <t>Импорт из PRICE_MASTER</t>
        </is>
      </c>
      <c r="R144" s="41" t="inlineStr">
        <is>
          <t>Высокая</t>
        </is>
      </c>
      <c r="S144" s="41" t="n">
        <v>1</v>
      </c>
      <c r="T144" s="41" t="inlineStr">
        <is>
          <t>SRC-0256</t>
        </is>
      </c>
    </row>
    <row r="145">
      <c r="A145" s="42" t="inlineStr">
        <is>
          <t>RWORK-0144</t>
        </is>
      </c>
      <c r="B145" s="42" t="inlineStr">
        <is>
          <t>Устройство песчаного слоя (100мм)</t>
        </is>
      </c>
      <c r="C145" s="42" t="inlineStr">
        <is>
          <t>Устройство песчаного слоя (100мм)</t>
        </is>
      </c>
      <c r="D145" s="42" t="inlineStr">
        <is>
          <t>Мощение</t>
        </is>
      </c>
      <c r="E145" s="42" t="inlineStr">
        <is>
          <t>Основание</t>
        </is>
      </c>
      <c r="F145" s="42" t="inlineStr">
        <is>
          <t>Работа</t>
        </is>
      </c>
      <c r="G145" s="42" t="inlineStr">
        <is>
          <t>м2</t>
        </is>
      </c>
      <c r="H145" s="42" t="inlineStr">
        <is>
          <t>за м2</t>
        </is>
      </c>
      <c r="I145" s="46" t="n">
        <v>120</v>
      </c>
      <c r="J145" s="42" t="inlineStr">
        <is>
          <t>Стандарт</t>
        </is>
      </c>
      <c r="K145" s="42" t="inlineStr">
        <is>
          <t>Показать строкой</t>
        </is>
      </c>
      <c r="L145" s="42" t="inlineStr">
        <is>
          <t>песчаного, 100мм</t>
        </is>
      </c>
      <c r="M145" s="42" t="inlineStr">
        <is>
          <t>Да</t>
        </is>
      </c>
      <c r="N145" s="42" t="inlineStr">
        <is>
          <t>Да</t>
        </is>
      </c>
      <c r="O145" s="48" t="inlineStr">
        <is>
          <t>Импортировано из PRICE_MASTER; строк-источников: 1</t>
        </is>
      </c>
      <c r="P145" s="42" t="inlineStr">
        <is>
          <t>Да</t>
        </is>
      </c>
      <c r="Q145" s="42" t="inlineStr">
        <is>
          <t>Импорт из PRICE_MASTER</t>
        </is>
      </c>
      <c r="R145" s="42" t="inlineStr">
        <is>
          <t>Высокая</t>
        </is>
      </c>
      <c r="S145" s="42" t="n">
        <v>1</v>
      </c>
      <c r="T145" s="42" t="inlineStr">
        <is>
          <t>SRC-0257</t>
        </is>
      </c>
    </row>
    <row r="146">
      <c r="A146" s="41" t="inlineStr">
        <is>
          <t>RWORK-0145</t>
        </is>
      </c>
      <c r="B146" s="41" t="inlineStr">
        <is>
          <t>Устройство песчаного слоя (150мм)</t>
        </is>
      </c>
      <c r="C146" s="41" t="inlineStr">
        <is>
          <t>Устройство песчаного слоя (150мм)</t>
        </is>
      </c>
      <c r="D146" s="41" t="inlineStr">
        <is>
          <t>Мощение</t>
        </is>
      </c>
      <c r="E146" s="41" t="inlineStr">
        <is>
          <t>Основание</t>
        </is>
      </c>
      <c r="F146" s="41" t="inlineStr">
        <is>
          <t>Работа</t>
        </is>
      </c>
      <c r="G146" s="41" t="inlineStr">
        <is>
          <t>м2</t>
        </is>
      </c>
      <c r="H146" s="41" t="inlineStr">
        <is>
          <t>за м2</t>
        </is>
      </c>
      <c r="I146" s="43" t="n">
        <v>165</v>
      </c>
      <c r="J146" s="41" t="inlineStr">
        <is>
          <t>Стандарт</t>
        </is>
      </c>
      <c r="K146" s="41" t="inlineStr">
        <is>
          <t>Показать строкой</t>
        </is>
      </c>
      <c r="L146" s="41" t="inlineStr">
        <is>
          <t>песчаного, 150мм</t>
        </is>
      </c>
      <c r="M146" s="41" t="inlineStr">
        <is>
          <t>Да</t>
        </is>
      </c>
      <c r="N146" s="41" t="inlineStr">
        <is>
          <t>Да</t>
        </is>
      </c>
      <c r="O146" s="45" t="inlineStr">
        <is>
          <t>Импортировано из PRICE_MASTER; строк-источников: 1</t>
        </is>
      </c>
      <c r="P146" s="41" t="inlineStr">
        <is>
          <t>Да</t>
        </is>
      </c>
      <c r="Q146" s="41" t="inlineStr">
        <is>
          <t>Импорт из PRICE_MASTER</t>
        </is>
      </c>
      <c r="R146" s="41" t="inlineStr">
        <is>
          <t>Высокая</t>
        </is>
      </c>
      <c r="S146" s="41" t="n">
        <v>1</v>
      </c>
      <c r="T146" s="41" t="inlineStr">
        <is>
          <t>SRC-0258</t>
        </is>
      </c>
    </row>
    <row r="147">
      <c r="A147" s="42" t="inlineStr">
        <is>
          <t>RWORK-0146</t>
        </is>
      </c>
      <c r="B147" s="42" t="inlineStr">
        <is>
          <t>Устройство песчаного слоя (180мм)</t>
        </is>
      </c>
      <c r="C147" s="42" t="inlineStr">
        <is>
          <t>Устройство песчаного слоя (180мм)</t>
        </is>
      </c>
      <c r="D147" s="42" t="inlineStr">
        <is>
          <t>Мощение</t>
        </is>
      </c>
      <c r="E147" s="42" t="inlineStr">
        <is>
          <t>Основание</t>
        </is>
      </c>
      <c r="F147" s="42" t="inlineStr">
        <is>
          <t>Работа</t>
        </is>
      </c>
      <c r="G147" s="42" t="inlineStr">
        <is>
          <t>м2</t>
        </is>
      </c>
      <c r="H147" s="42" t="inlineStr">
        <is>
          <t>за м2</t>
        </is>
      </c>
      <c r="I147" s="46" t="n">
        <v>198</v>
      </c>
      <c r="J147" s="42" t="inlineStr">
        <is>
          <t>Стандарт</t>
        </is>
      </c>
      <c r="K147" s="42" t="inlineStr">
        <is>
          <t>Показать строкой</t>
        </is>
      </c>
      <c r="L147" s="42" t="inlineStr">
        <is>
          <t>песчаного, 180мм</t>
        </is>
      </c>
      <c r="M147" s="42" t="inlineStr">
        <is>
          <t>Да</t>
        </is>
      </c>
      <c r="N147" s="42" t="inlineStr">
        <is>
          <t>Да</t>
        </is>
      </c>
      <c r="O147" s="48" t="inlineStr">
        <is>
          <t>Импортировано из PRICE_MASTER; строк-источников: 1</t>
        </is>
      </c>
      <c r="P147" s="42" t="inlineStr">
        <is>
          <t>Да</t>
        </is>
      </c>
      <c r="Q147" s="42" t="inlineStr">
        <is>
          <t>Импорт из PRICE_MASTER</t>
        </is>
      </c>
      <c r="R147" s="42" t="inlineStr">
        <is>
          <t>Высокая</t>
        </is>
      </c>
      <c r="S147" s="42" t="n">
        <v>1</v>
      </c>
      <c r="T147" s="42" t="inlineStr">
        <is>
          <t>SRC-0259</t>
        </is>
      </c>
    </row>
    <row r="148">
      <c r="A148" s="41" t="inlineStr">
        <is>
          <t>RWORK-0147</t>
        </is>
      </c>
      <c r="B148" s="41" t="inlineStr">
        <is>
          <t>Устройство песчаного слоя (230мм)</t>
        </is>
      </c>
      <c r="C148" s="41" t="inlineStr">
        <is>
          <t>Устройство песчаного слоя (230мм)</t>
        </is>
      </c>
      <c r="D148" s="41" t="inlineStr">
        <is>
          <t>Мощение</t>
        </is>
      </c>
      <c r="E148" s="41" t="inlineStr">
        <is>
          <t>Основание</t>
        </is>
      </c>
      <c r="F148" s="41" t="inlineStr">
        <is>
          <t>Работа</t>
        </is>
      </c>
      <c r="G148" s="41" t="inlineStr">
        <is>
          <t>м2</t>
        </is>
      </c>
      <c r="H148" s="41" t="inlineStr">
        <is>
          <t>за м2</t>
        </is>
      </c>
      <c r="I148" s="43" t="n">
        <v>253</v>
      </c>
      <c r="J148" s="41" t="inlineStr">
        <is>
          <t>Стандарт</t>
        </is>
      </c>
      <c r="K148" s="41" t="inlineStr">
        <is>
          <t>Показать строкой</t>
        </is>
      </c>
      <c r="L148" s="41" t="inlineStr">
        <is>
          <t>песчаного, 230мм</t>
        </is>
      </c>
      <c r="M148" s="41" t="inlineStr">
        <is>
          <t>Да</t>
        </is>
      </c>
      <c r="N148" s="41" t="inlineStr">
        <is>
          <t>Да</t>
        </is>
      </c>
      <c r="O148" s="45" t="inlineStr">
        <is>
          <t>Импортировано из PRICE_MASTER; строк-источников: 1</t>
        </is>
      </c>
      <c r="P148" s="41" t="inlineStr">
        <is>
          <t>Да</t>
        </is>
      </c>
      <c r="Q148" s="41" t="inlineStr">
        <is>
          <t>Импорт из PRICE_MASTER</t>
        </is>
      </c>
      <c r="R148" s="41" t="inlineStr">
        <is>
          <t>Высокая</t>
        </is>
      </c>
      <c r="S148" s="41" t="n">
        <v>1</v>
      </c>
      <c r="T148" s="41" t="inlineStr">
        <is>
          <t>SRC-0260</t>
        </is>
      </c>
    </row>
    <row r="149">
      <c r="A149" s="42" t="inlineStr">
        <is>
          <t>RWORK-0148</t>
        </is>
      </c>
      <c r="B149" s="42" t="inlineStr">
        <is>
          <t>Устройство песчаного слоя (250мм)</t>
        </is>
      </c>
      <c r="C149" s="42" t="inlineStr">
        <is>
          <t>Устройство песчаного слоя (250мм)</t>
        </is>
      </c>
      <c r="D149" s="42" t="inlineStr">
        <is>
          <t>Мощение</t>
        </is>
      </c>
      <c r="E149" s="42" t="inlineStr">
        <is>
          <t>Основание</t>
        </is>
      </c>
      <c r="F149" s="42" t="inlineStr">
        <is>
          <t>Работа</t>
        </is>
      </c>
      <c r="G149" s="42" t="inlineStr">
        <is>
          <t>м2</t>
        </is>
      </c>
      <c r="H149" s="42" t="inlineStr">
        <is>
          <t>за м2</t>
        </is>
      </c>
      <c r="I149" s="46" t="n">
        <v>275</v>
      </c>
      <c r="J149" s="42" t="inlineStr">
        <is>
          <t>Стандарт</t>
        </is>
      </c>
      <c r="K149" s="42" t="inlineStr">
        <is>
          <t>Показать строкой</t>
        </is>
      </c>
      <c r="L149" s="42" t="inlineStr">
        <is>
          <t>песчаного, 250мм</t>
        </is>
      </c>
      <c r="M149" s="42" t="inlineStr">
        <is>
          <t>Да</t>
        </is>
      </c>
      <c r="N149" s="42" t="inlineStr">
        <is>
          <t>Да</t>
        </is>
      </c>
      <c r="O149" s="48" t="inlineStr">
        <is>
          <t>Импортировано из PRICE_MASTER; строк-источников: 1</t>
        </is>
      </c>
      <c r="P149" s="42" t="inlineStr">
        <is>
          <t>Да</t>
        </is>
      </c>
      <c r="Q149" s="42" t="inlineStr">
        <is>
          <t>Импорт из PRICE_MASTER</t>
        </is>
      </c>
      <c r="R149" s="42" t="inlineStr">
        <is>
          <t>Высокая</t>
        </is>
      </c>
      <c r="S149" s="42" t="n">
        <v>1</v>
      </c>
      <c r="T149" s="42" t="inlineStr">
        <is>
          <t>SRC-0261</t>
        </is>
      </c>
    </row>
    <row r="150">
      <c r="A150" s="41" t="inlineStr">
        <is>
          <t>RWORK-0149</t>
        </is>
      </c>
      <c r="B150" s="41" t="inlineStr">
        <is>
          <t>Устройство песчаного слоя (300мм)</t>
        </is>
      </c>
      <c r="C150" s="41" t="inlineStr">
        <is>
          <t>Устройство песчаного слоя (300мм)</t>
        </is>
      </c>
      <c r="D150" s="41" t="inlineStr">
        <is>
          <t>Мощение</t>
        </is>
      </c>
      <c r="E150" s="41" t="inlineStr">
        <is>
          <t>Основание</t>
        </is>
      </c>
      <c r="F150" s="41" t="inlineStr">
        <is>
          <t>Работа</t>
        </is>
      </c>
      <c r="G150" s="41" t="inlineStr">
        <is>
          <t>м2</t>
        </is>
      </c>
      <c r="H150" s="41" t="inlineStr">
        <is>
          <t>за м2</t>
        </is>
      </c>
      <c r="I150" s="43" t="n">
        <v>330</v>
      </c>
      <c r="J150" s="41" t="inlineStr">
        <is>
          <t>Стандарт</t>
        </is>
      </c>
      <c r="K150" s="41" t="inlineStr">
        <is>
          <t>Показать строкой</t>
        </is>
      </c>
      <c r="L150" s="41" t="inlineStr">
        <is>
          <t>песчаного, 300мм</t>
        </is>
      </c>
      <c r="M150" s="41" t="inlineStr">
        <is>
          <t>Да</t>
        </is>
      </c>
      <c r="N150" s="41" t="inlineStr">
        <is>
          <t>Да</t>
        </is>
      </c>
      <c r="O150" s="45" t="inlineStr">
        <is>
          <t>Импортировано из PRICE_MASTER; строк-источников: 1</t>
        </is>
      </c>
      <c r="P150" s="41" t="inlineStr">
        <is>
          <t>Да</t>
        </is>
      </c>
      <c r="Q150" s="41" t="inlineStr">
        <is>
          <t>Импорт из PRICE_MASTER</t>
        </is>
      </c>
      <c r="R150" s="41" t="inlineStr">
        <is>
          <t>Высокая</t>
        </is>
      </c>
      <c r="S150" s="41" t="n">
        <v>1</v>
      </c>
      <c r="T150" s="41" t="inlineStr">
        <is>
          <t>SRC-0262</t>
        </is>
      </c>
    </row>
    <row r="151">
      <c r="A151" s="42" t="inlineStr">
        <is>
          <t>RWORK-0150</t>
        </is>
      </c>
      <c r="B151" s="42" t="inlineStr">
        <is>
          <t>Устройство песчаного слоя (600мм)</t>
        </is>
      </c>
      <c r="C151" s="42" t="inlineStr">
        <is>
          <t>Устройство песчаного слоя (600мм)</t>
        </is>
      </c>
      <c r="D151" s="42" t="inlineStr">
        <is>
          <t>Мощение</t>
        </is>
      </c>
      <c r="E151" s="42" t="inlineStr">
        <is>
          <t>Основание</t>
        </is>
      </c>
      <c r="F151" s="42" t="inlineStr">
        <is>
          <t>Работа</t>
        </is>
      </c>
      <c r="G151" s="42" t="inlineStr">
        <is>
          <t>м2</t>
        </is>
      </c>
      <c r="H151" s="42" t="inlineStr">
        <is>
          <t>за м2</t>
        </is>
      </c>
      <c r="I151" s="46" t="n">
        <v>660</v>
      </c>
      <c r="J151" s="42" t="inlineStr">
        <is>
          <t>Стандарт</t>
        </is>
      </c>
      <c r="K151" s="42" t="inlineStr">
        <is>
          <t>Показать строкой</t>
        </is>
      </c>
      <c r="L151" s="42" t="inlineStr">
        <is>
          <t>песчаного, 600мм</t>
        </is>
      </c>
      <c r="M151" s="42" t="inlineStr">
        <is>
          <t>Да</t>
        </is>
      </c>
      <c r="N151" s="42" t="inlineStr">
        <is>
          <t>Да</t>
        </is>
      </c>
      <c r="O151" s="48" t="inlineStr">
        <is>
          <t>Импортировано из PRICE_MASTER; строк-источников: 1</t>
        </is>
      </c>
      <c r="P151" s="42" t="inlineStr">
        <is>
          <t>Да</t>
        </is>
      </c>
      <c r="Q151" s="42" t="inlineStr">
        <is>
          <t>Импорт из PRICE_MASTER</t>
        </is>
      </c>
      <c r="R151" s="42" t="inlineStr">
        <is>
          <t>Высокая</t>
        </is>
      </c>
      <c r="S151" s="42" t="n">
        <v>1</v>
      </c>
      <c r="T151" s="42" t="inlineStr">
        <is>
          <t>SRC-0263</t>
        </is>
      </c>
    </row>
    <row r="152">
      <c r="A152" s="41" t="inlineStr">
        <is>
          <t>RWORK-0151</t>
        </is>
      </c>
      <c r="B152" s="41" t="inlineStr">
        <is>
          <t>Устройство поверхностного дренажного слоя из песка с прикаткой, 2см</t>
        </is>
      </c>
      <c r="C152" s="41" t="inlineStr">
        <is>
          <t>Устройство поверхностного дренажного слоя из песка с прикаткой, 2см</t>
        </is>
      </c>
      <c r="D152" s="41" t="inlineStr">
        <is>
          <t>Газон</t>
        </is>
      </c>
      <c r="E152" s="41" t="inlineStr">
        <is>
          <t>Подготовка основания</t>
        </is>
      </c>
      <c r="F152" s="41" t="inlineStr">
        <is>
          <t>Работа</t>
        </is>
      </c>
      <c r="G152" s="41" t="inlineStr">
        <is>
          <t>м2</t>
        </is>
      </c>
      <c r="H152" s="41" t="inlineStr">
        <is>
          <t>за м2</t>
        </is>
      </c>
      <c r="I152" s="43" t="n">
        <v>60</v>
      </c>
      <c r="J152" s="41" t="inlineStr">
        <is>
          <t>Стандарт</t>
        </is>
      </c>
      <c r="K152" s="41" t="inlineStr">
        <is>
          <t>Показать строкой</t>
        </is>
      </c>
      <c r="L152" s="41" t="inlineStr">
        <is>
          <t>поверхностного, дренажного, песка, прикаткой, 2см</t>
        </is>
      </c>
      <c r="M152" s="41" t="inlineStr">
        <is>
          <t>Да</t>
        </is>
      </c>
      <c r="N152" s="41" t="inlineStr">
        <is>
          <t>Да</t>
        </is>
      </c>
      <c r="O152" s="45" t="inlineStr">
        <is>
          <t>Импортировано из PRICE_MASTER; строк-источников: 1</t>
        </is>
      </c>
      <c r="P152" s="41" t="inlineStr">
        <is>
          <t>Да</t>
        </is>
      </c>
      <c r="Q152" s="41" t="inlineStr">
        <is>
          <t>Импорт из PRICE_MASTER</t>
        </is>
      </c>
      <c r="R152" s="41" t="inlineStr">
        <is>
          <t>Высокая</t>
        </is>
      </c>
      <c r="S152" s="41" t="n">
        <v>1</v>
      </c>
      <c r="T152" s="41" t="inlineStr">
        <is>
          <t>SRC-0264</t>
        </is>
      </c>
    </row>
    <row r="153">
      <c r="A153" s="42" t="inlineStr">
        <is>
          <t>RWORK-0152</t>
        </is>
      </c>
      <c r="B153" s="42" t="inlineStr">
        <is>
          <t>Устройство рулонного газона на подготовленном основании</t>
        </is>
      </c>
      <c r="C153" s="42" t="inlineStr">
        <is>
          <t>Устройство рулонного газона на подготовленном основании</t>
        </is>
      </c>
      <c r="D153" s="42" t="inlineStr">
        <is>
          <t>Газон</t>
        </is>
      </c>
      <c r="E153" s="42" t="inlineStr">
        <is>
          <t>Газон и укладка</t>
        </is>
      </c>
      <c r="F153" s="42" t="inlineStr">
        <is>
          <t>Работа</t>
        </is>
      </c>
      <c r="G153" s="42" t="inlineStr">
        <is>
          <t>м2</t>
        </is>
      </c>
      <c r="H153" s="42" t="inlineStr">
        <is>
          <t>за м2</t>
        </is>
      </c>
      <c r="I153" s="46" t="n">
        <v>260</v>
      </c>
      <c r="J153" s="42" t="inlineStr">
        <is>
          <t>Стандарт</t>
        </is>
      </c>
      <c r="K153" s="42" t="inlineStr">
        <is>
          <t>Показать строкой</t>
        </is>
      </c>
      <c r="L153" s="42" t="inlineStr">
        <is>
          <t>рулонного, газона, подготовленном, основании</t>
        </is>
      </c>
      <c r="M153" s="42" t="inlineStr">
        <is>
          <t>Да</t>
        </is>
      </c>
      <c r="N153" s="42" t="inlineStr">
        <is>
          <t>Да</t>
        </is>
      </c>
      <c r="O153" s="48" t="inlineStr">
        <is>
          <t>Импортировано из PRICE_MASTER; строк-источников: 1</t>
        </is>
      </c>
      <c r="P153" s="42" t="inlineStr">
        <is>
          <t>Да</t>
        </is>
      </c>
      <c r="Q153" s="42" t="inlineStr">
        <is>
          <t>Импорт из PRICE_MASTER</t>
        </is>
      </c>
      <c r="R153" s="42" t="inlineStr">
        <is>
          <t>Высокая</t>
        </is>
      </c>
      <c r="S153" s="42" t="n">
        <v>1</v>
      </c>
      <c r="T153" s="42" t="inlineStr">
        <is>
          <t>SRC-0265</t>
        </is>
      </c>
    </row>
    <row r="154">
      <c r="A154" s="41" t="inlineStr">
        <is>
          <t>RWORK-0153</t>
        </is>
      </c>
      <c r="B154" s="41" t="inlineStr">
        <is>
          <t>Устройство спортивного ударопоглощающего покрытия из резиновой крошки</t>
        </is>
      </c>
      <c r="C154" s="41" t="inlineStr">
        <is>
          <t>Устройство спортивного ударопоглощающего покрытия из резиновой крошки</t>
        </is>
      </c>
      <c r="D154" s="41" t="inlineStr">
        <is>
          <t>Мощение</t>
        </is>
      </c>
      <c r="E154" s="41" t="inlineStr">
        <is>
          <t>Покрытие</t>
        </is>
      </c>
      <c r="F154" s="41" t="inlineStr">
        <is>
          <t>Работа</t>
        </is>
      </c>
      <c r="G154" s="41" t="inlineStr">
        <is>
          <t>м2</t>
        </is>
      </c>
      <c r="H154" s="41" t="inlineStr">
        <is>
          <t>за м2</t>
        </is>
      </c>
      <c r="I154" s="43" t="n">
        <v>2550</v>
      </c>
      <c r="J154" s="41" t="inlineStr">
        <is>
          <t>Стандарт</t>
        </is>
      </c>
      <c r="K154" s="41" t="inlineStr">
        <is>
          <t>Показать строкой</t>
        </is>
      </c>
      <c r="L154" s="41" t="inlineStr">
        <is>
          <t>спортивного, ударопоглощающего, покрытия, резиновой, крошки</t>
        </is>
      </c>
      <c r="M154" s="41" t="inlineStr">
        <is>
          <t>Да</t>
        </is>
      </c>
      <c r="N154" s="41" t="inlineStr">
        <is>
          <t>Да</t>
        </is>
      </c>
      <c r="O154" s="45" t="inlineStr">
        <is>
          <t>Импортировано из PRICE_MASTER; строк-источников: 1</t>
        </is>
      </c>
      <c r="P154" s="41" t="inlineStr">
        <is>
          <t>Да</t>
        </is>
      </c>
      <c r="Q154" s="41" t="inlineStr">
        <is>
          <t>Импорт из PRICE_MASTER</t>
        </is>
      </c>
      <c r="R154" s="41" t="inlineStr">
        <is>
          <t>Высокая</t>
        </is>
      </c>
      <c r="S154" s="41" t="n">
        <v>1</v>
      </c>
      <c r="T154" s="41" t="inlineStr">
        <is>
          <t>SRC-0266</t>
        </is>
      </c>
    </row>
    <row r="155">
      <c r="A155" s="42" t="inlineStr">
        <is>
          <t>RWORK-0154</t>
        </is>
      </c>
      <c r="B155" s="42" t="inlineStr">
        <is>
          <t>Устройство траншеи 0,7м с песчаным основанием для кабеля</t>
        </is>
      </c>
      <c r="C155" s="42" t="inlineStr">
        <is>
          <t>Устройство траншеи 0,7м с песчаным основанием для кабеля</t>
        </is>
      </c>
      <c r="D155" s="42" t="inlineStr">
        <is>
          <t>Освещение</t>
        </is>
      </c>
      <c r="E155" s="42" t="inlineStr">
        <is>
          <t>Кабельная инфраструктура</t>
        </is>
      </c>
      <c r="F155" s="42" t="inlineStr">
        <is>
          <t>Работа</t>
        </is>
      </c>
      <c r="G155" s="42" t="inlineStr">
        <is>
          <t>м.пог.</t>
        </is>
      </c>
      <c r="H155" s="42" t="inlineStr">
        <is>
          <t>за ед.</t>
        </is>
      </c>
      <c r="I155" s="46" t="n">
        <v>900</v>
      </c>
      <c r="J155" s="42" t="inlineStr">
        <is>
          <t>Стандарт</t>
        </is>
      </c>
      <c r="K155" s="42" t="inlineStr">
        <is>
          <t>Показать строкой</t>
        </is>
      </c>
      <c r="L155" s="42" t="inlineStr">
        <is>
          <t>траншеи, песчаным, основанием, кабеля</t>
        </is>
      </c>
      <c r="M155" s="42" t="inlineStr">
        <is>
          <t>Да</t>
        </is>
      </c>
      <c r="N155" s="42" t="inlineStr">
        <is>
          <t>Да</t>
        </is>
      </c>
      <c r="O155" s="48" t="inlineStr">
        <is>
          <t>Импортировано из PRICE_MASTER; строк-источников: 1</t>
        </is>
      </c>
      <c r="P155" s="42" t="inlineStr">
        <is>
          <t>Да</t>
        </is>
      </c>
      <c r="Q155" s="42" t="inlineStr">
        <is>
          <t>Импорт из PRICE_MASTER</t>
        </is>
      </c>
      <c r="R155" s="42" t="inlineStr">
        <is>
          <t>Высокая</t>
        </is>
      </c>
      <c r="S155" s="42" t="n">
        <v>1</v>
      </c>
      <c r="T155" s="42" t="inlineStr">
        <is>
          <t>SRC-0267</t>
        </is>
      </c>
    </row>
    <row r="156">
      <c r="A156" s="41" t="inlineStr">
        <is>
          <t>RWORK-0155</t>
        </is>
      </c>
      <c r="B156" s="41" t="inlineStr">
        <is>
          <t>Устройство фундаментов светильников столбиков, розеток</t>
        </is>
      </c>
      <c r="C156" s="41" t="inlineStr">
        <is>
          <t>Устройство фундаментов светильников столбиков, розеток</t>
        </is>
      </c>
      <c r="D156" s="41" t="inlineStr">
        <is>
          <t>Освещение</t>
        </is>
      </c>
      <c r="E156" s="41" t="inlineStr">
        <is>
          <t>Оборудование и комплектующие</t>
        </is>
      </c>
      <c r="F156" s="41" t="inlineStr">
        <is>
          <t>Работа</t>
        </is>
      </c>
      <c r="G156" s="41" t="inlineStr">
        <is>
          <t>шт</t>
        </is>
      </c>
      <c r="H156" s="41" t="inlineStr">
        <is>
          <t>за шт</t>
        </is>
      </c>
      <c r="I156" s="43" t="n">
        <v>3700</v>
      </c>
      <c r="J156" s="41" t="inlineStr">
        <is>
          <t>Стандарт</t>
        </is>
      </c>
      <c r="K156" s="41" t="inlineStr">
        <is>
          <t>Показать строкой</t>
        </is>
      </c>
      <c r="L156" s="41" t="inlineStr">
        <is>
          <t>фундаментов, светильников, столбиков, розеток</t>
        </is>
      </c>
      <c r="M156" s="41" t="inlineStr">
        <is>
          <t>Да</t>
        </is>
      </c>
      <c r="N156" s="41" t="inlineStr">
        <is>
          <t>Да</t>
        </is>
      </c>
      <c r="O156" s="45" t="inlineStr">
        <is>
          <t>Импортировано из PRICE_MASTER; строк-источников: 1</t>
        </is>
      </c>
      <c r="P156" s="41" t="inlineStr">
        <is>
          <t>Да</t>
        </is>
      </c>
      <c r="Q156" s="41" t="inlineStr">
        <is>
          <t>Импорт из PRICE_MASTER</t>
        </is>
      </c>
      <c r="R156" s="41" t="inlineStr">
        <is>
          <t>Высокая</t>
        </is>
      </c>
      <c r="S156" s="41" t="n">
        <v>1</v>
      </c>
      <c r="T156" s="41" t="inlineStr">
        <is>
          <t>SRC-0268</t>
        </is>
      </c>
    </row>
    <row r="157">
      <c r="A157" s="42" t="inlineStr">
        <is>
          <t>RWORK-0156</t>
        </is>
      </c>
      <c r="B157" s="42" t="inlineStr">
        <is>
          <t>Частичный демонтаж мощения</t>
        </is>
      </c>
      <c r="C157" s="42" t="inlineStr">
        <is>
          <t>Частичный демонтаж мощения</t>
        </is>
      </c>
      <c r="D157" s="42" t="inlineStr">
        <is>
          <t>Мощение</t>
        </is>
      </c>
      <c r="E157" s="42" t="inlineStr">
        <is>
          <t>Подготовка и демонтаж</t>
        </is>
      </c>
      <c r="F157" s="42" t="inlineStr">
        <is>
          <t>Работа</t>
        </is>
      </c>
      <c r="G157" s="42" t="inlineStr">
        <is>
          <t>м2</t>
        </is>
      </c>
      <c r="H157" s="42" t="inlineStr">
        <is>
          <t>за м2</t>
        </is>
      </c>
      <c r="I157" s="46" t="n">
        <v>950</v>
      </c>
      <c r="J157" s="42" t="inlineStr">
        <is>
          <t>Стандарт</t>
        </is>
      </c>
      <c r="K157" s="42" t="inlineStr">
        <is>
          <t>Показать строкой</t>
        </is>
      </c>
      <c r="L157" s="42" t="inlineStr">
        <is>
          <t>частичный, демонтаж, мощения</t>
        </is>
      </c>
      <c r="M157" s="42" t="inlineStr">
        <is>
          <t>Да</t>
        </is>
      </c>
      <c r="N157" s="42" t="inlineStr">
        <is>
          <t>Да</t>
        </is>
      </c>
      <c r="O157" s="48" t="inlineStr">
        <is>
          <t>Импортировано из PRICE_MASTER; строк-источников: 1</t>
        </is>
      </c>
      <c r="P157" s="42" t="inlineStr">
        <is>
          <t>Да</t>
        </is>
      </c>
      <c r="Q157" s="42" t="inlineStr">
        <is>
          <t>Импорт из PRICE_MASTER</t>
        </is>
      </c>
      <c r="R157" s="42" t="inlineStr">
        <is>
          <t>Высокая</t>
        </is>
      </c>
      <c r="S157" s="42" t="n">
        <v>1</v>
      </c>
      <c r="T157" s="42" t="inlineStr">
        <is>
          <t>SRC-0273</t>
        </is>
      </c>
    </row>
    <row r="158">
      <c r="A158" s="41" t="inlineStr">
        <is>
          <t>RWORK-0157</t>
        </is>
      </c>
      <c r="B158" s="41" t="inlineStr">
        <is>
          <t>Чистка бетонной отмостки</t>
        </is>
      </c>
      <c r="C158" s="41" t="inlineStr">
        <is>
          <t>Чистка бетонной отмостки</t>
        </is>
      </c>
      <c r="D158" s="41" t="inlineStr">
        <is>
          <t>Мощение</t>
        </is>
      </c>
      <c r="E158" s="41" t="inlineStr">
        <is>
          <t>Бетон и конструктив</t>
        </is>
      </c>
      <c r="F158" s="41" t="inlineStr">
        <is>
          <t>Работа</t>
        </is>
      </c>
      <c r="G158" s="41" t="inlineStr">
        <is>
          <t>м2</t>
        </is>
      </c>
      <c r="H158" s="41" t="inlineStr">
        <is>
          <t>за м2</t>
        </is>
      </c>
      <c r="I158" s="43" t="n">
        <v>50</v>
      </c>
      <c r="J158" s="41" t="inlineStr">
        <is>
          <t>Стандарт</t>
        </is>
      </c>
      <c r="K158" s="41" t="inlineStr">
        <is>
          <t>Показать строкой</t>
        </is>
      </c>
      <c r="L158" s="41" t="inlineStr">
        <is>
          <t>чистка, бетонной, отмостки</t>
        </is>
      </c>
      <c r="M158" s="41" t="inlineStr">
        <is>
          <t>Да</t>
        </is>
      </c>
      <c r="N158" s="41" t="inlineStr">
        <is>
          <t>Да</t>
        </is>
      </c>
      <c r="O158" s="45" t="inlineStr">
        <is>
          <t>Импортировано из PRICE_MASTER; строк-источников: 1</t>
        </is>
      </c>
      <c r="P158" s="41" t="inlineStr">
        <is>
          <t>Да</t>
        </is>
      </c>
      <c r="Q158" s="41" t="inlineStr">
        <is>
          <t>Импорт из PRICE_MASTER</t>
        </is>
      </c>
      <c r="R158" s="41" t="inlineStr">
        <is>
          <t>Высокая</t>
        </is>
      </c>
      <c r="S158" s="41" t="n">
        <v>1</v>
      </c>
      <c r="T158" s="41" t="inlineStr">
        <is>
          <t>SRC-0274</t>
        </is>
      </c>
    </row>
  </sheetData>
  <autoFilter ref="A1:T158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4" customWidth="1" min="4" max="4"/>
    <col width="13" customWidth="1" min="5" max="5"/>
    <col width="16" customWidth="1" min="6" max="6"/>
    <col width="21" customWidth="1" min="7" max="7"/>
    <col width="20" customWidth="1" min="8" max="8"/>
    <col width="11" customWidth="1" min="9" max="9"/>
    <col width="10" customWidth="1" min="10" max="10"/>
    <col width="40" customWidth="1" min="11" max="11"/>
  </cols>
  <sheetData>
    <row r="1">
      <c r="A1" s="40" t="inlineStr">
        <is>
          <t>VariantID</t>
        </is>
      </c>
      <c r="B1" s="40" t="inlineStr">
        <is>
          <t>WorkID</t>
        </is>
      </c>
      <c r="C1" s="40" t="inlineStr">
        <is>
          <t>ExecutionMethod</t>
        </is>
      </c>
      <c r="D1" s="40" t="inlineStr">
        <is>
          <t>ConditionTag</t>
        </is>
      </c>
      <c r="E1" s="40" t="inlineStr">
        <is>
          <t>MethodCoeff</t>
        </is>
      </c>
      <c r="F1" s="40" t="inlineStr">
        <is>
          <t>ConditionCoeff</t>
        </is>
      </c>
      <c r="G1" s="40" t="inlineStr">
        <is>
          <t>ManualOverridePrice</t>
        </is>
      </c>
      <c r="H1" s="40" t="inlineStr">
        <is>
          <t>EffectiveUnitPrice</t>
        </is>
      </c>
      <c r="I1" s="40" t="inlineStr">
        <is>
          <t>IsDefault</t>
        </is>
      </c>
      <c r="J1" s="40" t="inlineStr">
        <is>
          <t>IsActive</t>
        </is>
      </c>
      <c r="K1" s="40" t="inlineStr">
        <is>
          <t>Notes</t>
        </is>
      </c>
    </row>
    <row r="2">
      <c r="A2" s="44" t="inlineStr">
        <is>
          <t>WV-0001</t>
        </is>
      </c>
      <c r="B2" s="41" t="inlineStr">
        <is>
          <t>RWORK-0001</t>
        </is>
      </c>
      <c r="C2" s="41" t="inlineStr">
        <is>
          <t>Стандарт</t>
        </is>
      </c>
      <c r="D2" s="41" t="inlineStr">
        <is>
          <t>Стандарт</t>
        </is>
      </c>
      <c r="E2" s="53" t="n">
        <v>1</v>
      </c>
      <c r="F2" s="53" t="n">
        <v>1</v>
      </c>
      <c r="G2" s="54" t="n"/>
      <c r="H2" s="54" t="n">
        <v>0.03</v>
      </c>
      <c r="I2" s="41" t="inlineStr">
        <is>
          <t>Да</t>
        </is>
      </c>
      <c r="J2" s="41" t="inlineStr">
        <is>
          <t>Да</t>
        </is>
      </c>
      <c r="K2" s="45" t="inlineStr">
        <is>
          <t>Автосозданный базовый вариант из реального прайса</t>
        </is>
      </c>
    </row>
    <row r="3">
      <c r="A3" s="47" t="inlineStr">
        <is>
          <t>WV-0002</t>
        </is>
      </c>
      <c r="B3" s="42" t="inlineStr">
        <is>
          <t>RWORK-0002</t>
        </is>
      </c>
      <c r="C3" s="42" t="inlineStr">
        <is>
          <t>Стандарт</t>
        </is>
      </c>
      <c r="D3" s="42" t="inlineStr">
        <is>
          <t>Стандарт</t>
        </is>
      </c>
      <c r="E3" s="55" t="n">
        <v>1</v>
      </c>
      <c r="F3" s="55" t="n">
        <v>1</v>
      </c>
      <c r="G3" s="56" t="n"/>
      <c r="H3" s="56" t="n">
        <v>250</v>
      </c>
      <c r="I3" s="42" t="inlineStr">
        <is>
          <t>Да</t>
        </is>
      </c>
      <c r="J3" s="42" t="inlineStr">
        <is>
          <t>Да</t>
        </is>
      </c>
      <c r="K3" s="48" t="inlineStr">
        <is>
          <t>Автосозданный базовый вариант из реального прайса</t>
        </is>
      </c>
    </row>
    <row r="4">
      <c r="A4" s="44" t="inlineStr">
        <is>
          <t>WV-0003</t>
        </is>
      </c>
      <c r="B4" s="41" t="inlineStr">
        <is>
          <t>RWORK-0003</t>
        </is>
      </c>
      <c r="C4" s="41" t="inlineStr">
        <is>
          <t>Стандарт</t>
        </is>
      </c>
      <c r="D4" s="41" t="inlineStr">
        <is>
          <t>Стандарт</t>
        </is>
      </c>
      <c r="E4" s="53" t="n">
        <v>1</v>
      </c>
      <c r="F4" s="53" t="n">
        <v>1</v>
      </c>
      <c r="G4" s="54" t="n"/>
      <c r="H4" s="54" t="n">
        <v>8000</v>
      </c>
      <c r="I4" s="41" t="inlineStr">
        <is>
          <t>Да</t>
        </is>
      </c>
      <c r="J4" s="41" t="inlineStr">
        <is>
          <t>Да</t>
        </is>
      </c>
      <c r="K4" s="45" t="inlineStr">
        <is>
          <t>Автосозданный базовый вариант из реального прайса</t>
        </is>
      </c>
    </row>
    <row r="5">
      <c r="A5" s="47" t="inlineStr">
        <is>
          <t>WV-0004</t>
        </is>
      </c>
      <c r="B5" s="42" t="inlineStr">
        <is>
          <t>RWORK-0004</t>
        </is>
      </c>
      <c r="C5" s="42" t="inlineStr">
        <is>
          <t>Механизированный</t>
        </is>
      </c>
      <c r="D5" s="42" t="inlineStr">
        <is>
          <t>Стандарт</t>
        </is>
      </c>
      <c r="E5" s="55" t="n">
        <v>1</v>
      </c>
      <c r="F5" s="55" t="n">
        <v>1</v>
      </c>
      <c r="G5" s="56" t="n"/>
      <c r="H5" s="56" t="n">
        <v>2300</v>
      </c>
      <c r="I5" s="42" t="inlineStr">
        <is>
          <t>Да</t>
        </is>
      </c>
      <c r="J5" s="42" t="inlineStr">
        <is>
          <t>Да</t>
        </is>
      </c>
      <c r="K5" s="48" t="inlineStr">
        <is>
          <t>Автосозданный базовый вариант из реального прайса</t>
        </is>
      </c>
    </row>
    <row r="6">
      <c r="A6" s="44" t="inlineStr">
        <is>
          <t>WV-0005</t>
        </is>
      </c>
      <c r="B6" s="41" t="inlineStr">
        <is>
          <t>RWORK-0005</t>
        </is>
      </c>
      <c r="C6" s="41" t="inlineStr">
        <is>
          <t>Механизированный</t>
        </is>
      </c>
      <c r="D6" s="41" t="inlineStr">
        <is>
          <t>Стандарт</t>
        </is>
      </c>
      <c r="E6" s="53" t="n">
        <v>1</v>
      </c>
      <c r="F6" s="53" t="n">
        <v>1</v>
      </c>
      <c r="G6" s="54" t="n"/>
      <c r="H6" s="54" t="n">
        <v>800</v>
      </c>
      <c r="I6" s="41" t="inlineStr">
        <is>
          <t>Да</t>
        </is>
      </c>
      <c r="J6" s="41" t="inlineStr">
        <is>
          <t>Да</t>
        </is>
      </c>
      <c r="K6" s="45" t="inlineStr">
        <is>
          <t>Автосозданный базовый вариант из реального прайса</t>
        </is>
      </c>
    </row>
    <row r="7">
      <c r="A7" s="47" t="inlineStr">
        <is>
          <t>WV-0006</t>
        </is>
      </c>
      <c r="B7" s="42" t="inlineStr">
        <is>
          <t>RWORK-0006</t>
        </is>
      </c>
      <c r="C7" s="42" t="inlineStr">
        <is>
          <t>Механизированный</t>
        </is>
      </c>
      <c r="D7" s="42" t="inlineStr">
        <is>
          <t>Стандарт</t>
        </is>
      </c>
      <c r="E7" s="55" t="n">
        <v>1</v>
      </c>
      <c r="F7" s="55" t="n">
        <v>1</v>
      </c>
      <c r="G7" s="56" t="n"/>
      <c r="H7" s="56" t="n">
        <v>5500</v>
      </c>
      <c r="I7" s="42" t="inlineStr">
        <is>
          <t>Да</t>
        </is>
      </c>
      <c r="J7" s="42" t="inlineStr">
        <is>
          <t>Да</t>
        </is>
      </c>
      <c r="K7" s="48" t="inlineStr">
        <is>
          <t>Автосозданный базовый вариант из реального прайса</t>
        </is>
      </c>
    </row>
    <row r="8">
      <c r="A8" s="44" t="inlineStr">
        <is>
          <t>WV-0007</t>
        </is>
      </c>
      <c r="B8" s="41" t="inlineStr">
        <is>
          <t>RWORK-0007</t>
        </is>
      </c>
      <c r="C8" s="41" t="inlineStr">
        <is>
          <t>Стандарт</t>
        </is>
      </c>
      <c r="D8" s="41" t="inlineStr">
        <is>
          <t>Стандарт</t>
        </is>
      </c>
      <c r="E8" s="53" t="n">
        <v>1</v>
      </c>
      <c r="F8" s="53" t="n">
        <v>1</v>
      </c>
      <c r="G8" s="54" t="n"/>
      <c r="H8" s="54" t="n">
        <v>11700</v>
      </c>
      <c r="I8" s="41" t="inlineStr">
        <is>
          <t>Да</t>
        </is>
      </c>
      <c r="J8" s="41" t="inlineStr">
        <is>
          <t>Да</t>
        </is>
      </c>
      <c r="K8" s="45" t="inlineStr">
        <is>
          <t>Автосозданный базовый вариант из реального прайса</t>
        </is>
      </c>
    </row>
    <row r="9">
      <c r="A9" s="47" t="inlineStr">
        <is>
          <t>WV-0008</t>
        </is>
      </c>
      <c r="B9" s="42" t="inlineStr">
        <is>
          <t>RWORK-0008</t>
        </is>
      </c>
      <c r="C9" s="42" t="inlineStr">
        <is>
          <t>Механизированный</t>
        </is>
      </c>
      <c r="D9" s="42" t="inlineStr">
        <is>
          <t>Стандарт</t>
        </is>
      </c>
      <c r="E9" s="55" t="n">
        <v>1</v>
      </c>
      <c r="F9" s="55" t="n">
        <v>1</v>
      </c>
      <c r="G9" s="56" t="n"/>
      <c r="H9" s="56" t="n">
        <v>770</v>
      </c>
      <c r="I9" s="42" t="inlineStr">
        <is>
          <t>Да</t>
        </is>
      </c>
      <c r="J9" s="42" t="inlineStr">
        <is>
          <t>Да</t>
        </is>
      </c>
      <c r="K9" s="48" t="inlineStr">
        <is>
          <t>Автосозданный базовый вариант из реального прайса</t>
        </is>
      </c>
    </row>
    <row r="10">
      <c r="A10" s="44" t="inlineStr">
        <is>
          <t>WV-0009</t>
        </is>
      </c>
      <c r="B10" s="41" t="inlineStr">
        <is>
          <t>RWORK-0009</t>
        </is>
      </c>
      <c r="C10" s="41" t="inlineStr">
        <is>
          <t>Стандарт</t>
        </is>
      </c>
      <c r="D10" s="41" t="inlineStr">
        <is>
          <t>Стандарт</t>
        </is>
      </c>
      <c r="E10" s="53" t="n">
        <v>1</v>
      </c>
      <c r="F10" s="53" t="n">
        <v>1</v>
      </c>
      <c r="G10" s="54" t="n"/>
      <c r="H10" s="54" t="n">
        <v>350</v>
      </c>
      <c r="I10" s="41" t="inlineStr">
        <is>
          <t>Да</t>
        </is>
      </c>
      <c r="J10" s="41" t="inlineStr">
        <is>
          <t>Да</t>
        </is>
      </c>
      <c r="K10" s="45" t="inlineStr">
        <is>
          <t>Автосозданный базовый вариант из реального прайса</t>
        </is>
      </c>
    </row>
    <row r="11">
      <c r="A11" s="47" t="inlineStr">
        <is>
          <t>WV-0010</t>
        </is>
      </c>
      <c r="B11" s="42" t="inlineStr">
        <is>
          <t>RWORK-0010</t>
        </is>
      </c>
      <c r="C11" s="42" t="inlineStr">
        <is>
          <t>Механизированный</t>
        </is>
      </c>
      <c r="D11" s="42" t="inlineStr">
        <is>
          <t>Стандарт</t>
        </is>
      </c>
      <c r="E11" s="55" t="n">
        <v>1</v>
      </c>
      <c r="F11" s="55" t="n">
        <v>1</v>
      </c>
      <c r="G11" s="56" t="n"/>
      <c r="H11" s="56" t="n">
        <v>24000</v>
      </c>
      <c r="I11" s="42" t="inlineStr">
        <is>
          <t>Да</t>
        </is>
      </c>
      <c r="J11" s="42" t="inlineStr">
        <is>
          <t>Да</t>
        </is>
      </c>
      <c r="K11" s="48" t="inlineStr">
        <is>
          <t>Автосозданный базовый вариант из реального прайса</t>
        </is>
      </c>
    </row>
    <row r="12">
      <c r="A12" s="44" t="inlineStr">
        <is>
          <t>WV-0011</t>
        </is>
      </c>
      <c r="B12" s="41" t="inlineStr">
        <is>
          <t>RWORK-0011</t>
        </is>
      </c>
      <c r="C12" s="41" t="inlineStr">
        <is>
          <t>Стандарт</t>
        </is>
      </c>
      <c r="D12" s="41" t="inlineStr">
        <is>
          <t>Стандарт</t>
        </is>
      </c>
      <c r="E12" s="53" t="n">
        <v>1</v>
      </c>
      <c r="F12" s="53" t="n">
        <v>1</v>
      </c>
      <c r="G12" s="54" t="n"/>
      <c r="H12" s="54" t="n">
        <v>360</v>
      </c>
      <c r="I12" s="41" t="inlineStr">
        <is>
          <t>Да</t>
        </is>
      </c>
      <c r="J12" s="41" t="inlineStr">
        <is>
          <t>Да</t>
        </is>
      </c>
      <c r="K12" s="45" t="inlineStr">
        <is>
          <t>Автосозданный базовый вариант из реального прайса</t>
        </is>
      </c>
    </row>
    <row r="13">
      <c r="A13" s="47" t="inlineStr">
        <is>
          <t>WV-0012</t>
        </is>
      </c>
      <c r="B13" s="42" t="inlineStr">
        <is>
          <t>RWORK-0012</t>
        </is>
      </c>
      <c r="C13" s="42" t="inlineStr">
        <is>
          <t>Стандарт</t>
        </is>
      </c>
      <c r="D13" s="42" t="inlineStr">
        <is>
          <t>Стандарт</t>
        </is>
      </c>
      <c r="E13" s="55" t="n">
        <v>1</v>
      </c>
      <c r="F13" s="55" t="n">
        <v>1</v>
      </c>
      <c r="G13" s="56" t="n"/>
      <c r="H13" s="56" t="n">
        <v>1100</v>
      </c>
      <c r="I13" s="42" t="inlineStr">
        <is>
          <t>Да</t>
        </is>
      </c>
      <c r="J13" s="42" t="inlineStr">
        <is>
          <t>Да</t>
        </is>
      </c>
      <c r="K13" s="48" t="inlineStr">
        <is>
          <t>Автосозданный базовый вариант из реального прайса</t>
        </is>
      </c>
    </row>
    <row r="14">
      <c r="A14" s="44" t="inlineStr">
        <is>
          <t>WV-0013</t>
        </is>
      </c>
      <c r="B14" s="41" t="inlineStr">
        <is>
          <t>RWORK-0013</t>
        </is>
      </c>
      <c r="C14" s="41" t="inlineStr">
        <is>
          <t>Стандарт</t>
        </is>
      </c>
      <c r="D14" s="41" t="inlineStr">
        <is>
          <t>Стандарт</t>
        </is>
      </c>
      <c r="E14" s="53" t="n">
        <v>1</v>
      </c>
      <c r="F14" s="53" t="n">
        <v>1</v>
      </c>
      <c r="G14" s="54" t="n"/>
      <c r="H14" s="54" t="n">
        <v>6500</v>
      </c>
      <c r="I14" s="41" t="inlineStr">
        <is>
          <t>Да</t>
        </is>
      </c>
      <c r="J14" s="41" t="inlineStr">
        <is>
          <t>Да</t>
        </is>
      </c>
      <c r="K14" s="45" t="inlineStr">
        <is>
          <t>Автосозданный базовый вариант из реального прайса</t>
        </is>
      </c>
    </row>
    <row r="15">
      <c r="A15" s="47" t="inlineStr">
        <is>
          <t>WV-0014</t>
        </is>
      </c>
      <c r="B15" s="42" t="inlineStr">
        <is>
          <t>RWORK-0014</t>
        </is>
      </c>
      <c r="C15" s="42" t="inlineStr">
        <is>
          <t>Стандарт</t>
        </is>
      </c>
      <c r="D15" s="42" t="inlineStr">
        <is>
          <t>Стандарт</t>
        </is>
      </c>
      <c r="E15" s="55" t="n">
        <v>1</v>
      </c>
      <c r="F15" s="55" t="n">
        <v>1</v>
      </c>
      <c r="G15" s="56" t="n"/>
      <c r="H15" s="56" t="n">
        <v>260</v>
      </c>
      <c r="I15" s="42" t="inlineStr">
        <is>
          <t>Да</t>
        </is>
      </c>
      <c r="J15" s="42" t="inlineStr">
        <is>
          <t>Да</t>
        </is>
      </c>
      <c r="K15" s="48" t="inlineStr">
        <is>
          <t>Автосозданный базовый вариант из реального прайса</t>
        </is>
      </c>
    </row>
    <row r="16">
      <c r="A16" s="44" t="inlineStr">
        <is>
          <t>WV-0015</t>
        </is>
      </c>
      <c r="B16" s="41" t="inlineStr">
        <is>
          <t>RWORK-0015</t>
        </is>
      </c>
      <c r="C16" s="41" t="inlineStr">
        <is>
          <t>Стандарт</t>
        </is>
      </c>
      <c r="D16" s="41" t="inlineStr">
        <is>
          <t>Стандарт</t>
        </is>
      </c>
      <c r="E16" s="53" t="n">
        <v>1</v>
      </c>
      <c r="F16" s="53" t="n">
        <v>1</v>
      </c>
      <c r="G16" s="54" t="n"/>
      <c r="H16" s="54" t="n">
        <v>0.015</v>
      </c>
      <c r="I16" s="41" t="inlineStr">
        <is>
          <t>Да</t>
        </is>
      </c>
      <c r="J16" s="41" t="inlineStr">
        <is>
          <t>Да</t>
        </is>
      </c>
      <c r="K16" s="45" t="inlineStr">
        <is>
          <t>Автосозданный базовый вариант из реального прайса</t>
        </is>
      </c>
    </row>
    <row r="17">
      <c r="A17" s="47" t="inlineStr">
        <is>
          <t>WV-0016</t>
        </is>
      </c>
      <c r="B17" s="42" t="inlineStr">
        <is>
          <t>RWORK-0016</t>
        </is>
      </c>
      <c r="C17" s="42" t="inlineStr">
        <is>
          <t>Ручной</t>
        </is>
      </c>
      <c r="D17" s="42" t="inlineStr">
        <is>
          <t>Стандарт</t>
        </is>
      </c>
      <c r="E17" s="55" t="n">
        <v>1</v>
      </c>
      <c r="F17" s="55" t="n">
        <v>1</v>
      </c>
      <c r="G17" s="56" t="n"/>
      <c r="H17" s="56" t="n">
        <v>2000</v>
      </c>
      <c r="I17" s="42" t="inlineStr">
        <is>
          <t>Да</t>
        </is>
      </c>
      <c r="J17" s="42" t="inlineStr">
        <is>
          <t>Да</t>
        </is>
      </c>
      <c r="K17" s="48" t="inlineStr">
        <is>
          <t>Автосозданный базовый вариант из реального прайса</t>
        </is>
      </c>
    </row>
    <row r="18">
      <c r="A18" s="44" t="inlineStr">
        <is>
          <t>WV-0017</t>
        </is>
      </c>
      <c r="B18" s="41" t="inlineStr">
        <is>
          <t>RWORK-0017</t>
        </is>
      </c>
      <c r="C18" s="41" t="inlineStr">
        <is>
          <t>Стандарт</t>
        </is>
      </c>
      <c r="D18" s="41" t="inlineStr">
        <is>
          <t>Стандарт</t>
        </is>
      </c>
      <c r="E18" s="53" t="n">
        <v>1</v>
      </c>
      <c r="F18" s="53" t="n">
        <v>1</v>
      </c>
      <c r="G18" s="54" t="n"/>
      <c r="H18" s="54" t="n">
        <v>850</v>
      </c>
      <c r="I18" s="41" t="inlineStr">
        <is>
          <t>Да</t>
        </is>
      </c>
      <c r="J18" s="41" t="inlineStr">
        <is>
          <t>Да</t>
        </is>
      </c>
      <c r="K18" s="45" t="inlineStr">
        <is>
          <t>Автосозданный базовый вариант из реального прайса</t>
        </is>
      </c>
    </row>
    <row r="19">
      <c r="A19" s="47" t="inlineStr">
        <is>
          <t>WV-0018</t>
        </is>
      </c>
      <c r="B19" s="42" t="inlineStr">
        <is>
          <t>RWORK-0018</t>
        </is>
      </c>
      <c r="C19" s="42" t="inlineStr">
        <is>
          <t>Стандарт</t>
        </is>
      </c>
      <c r="D19" s="42" t="inlineStr">
        <is>
          <t>Стандарт</t>
        </is>
      </c>
      <c r="E19" s="55" t="n">
        <v>1</v>
      </c>
      <c r="F19" s="55" t="n">
        <v>1</v>
      </c>
      <c r="G19" s="56" t="n"/>
      <c r="H19" s="56" t="n">
        <v>1200</v>
      </c>
      <c r="I19" s="42" t="inlineStr">
        <is>
          <t>Да</t>
        </is>
      </c>
      <c r="J19" s="42" t="inlineStr">
        <is>
          <t>Да</t>
        </is>
      </c>
      <c r="K19" s="48" t="inlineStr">
        <is>
          <t>Автосозданный базовый вариант из реального прайса</t>
        </is>
      </c>
    </row>
    <row r="20">
      <c r="A20" s="44" t="inlineStr">
        <is>
          <t>WV-0019</t>
        </is>
      </c>
      <c r="B20" s="41" t="inlineStr">
        <is>
          <t>RWORK-0019</t>
        </is>
      </c>
      <c r="C20" s="41" t="inlineStr">
        <is>
          <t>Стандарт</t>
        </is>
      </c>
      <c r="D20" s="41" t="inlineStr">
        <is>
          <t>Стандарт</t>
        </is>
      </c>
      <c r="E20" s="53" t="n">
        <v>1</v>
      </c>
      <c r="F20" s="53" t="n">
        <v>1</v>
      </c>
      <c r="G20" s="54" t="n"/>
      <c r="H20" s="54" t="n">
        <v>32000</v>
      </c>
      <c r="I20" s="41" t="inlineStr">
        <is>
          <t>Да</t>
        </is>
      </c>
      <c r="J20" s="41" t="inlineStr">
        <is>
          <t>Да</t>
        </is>
      </c>
      <c r="K20" s="45" t="inlineStr">
        <is>
          <t>Автосозданный базовый вариант из реального прайса</t>
        </is>
      </c>
    </row>
    <row r="21">
      <c r="A21" s="47" t="inlineStr">
        <is>
          <t>WV-0020</t>
        </is>
      </c>
      <c r="B21" s="42" t="inlineStr">
        <is>
          <t>RWORK-0020</t>
        </is>
      </c>
      <c r="C21" s="42" t="inlineStr">
        <is>
          <t>Стандарт</t>
        </is>
      </c>
      <c r="D21" s="42" t="inlineStr">
        <is>
          <t>Стандарт</t>
        </is>
      </c>
      <c r="E21" s="55" t="n">
        <v>1</v>
      </c>
      <c r="F21" s="55" t="n">
        <v>1</v>
      </c>
      <c r="G21" s="56" t="n"/>
      <c r="H21" s="56" t="n">
        <v>5000</v>
      </c>
      <c r="I21" s="42" t="inlineStr">
        <is>
          <t>Да</t>
        </is>
      </c>
      <c r="J21" s="42" t="inlineStr">
        <is>
          <t>Да</t>
        </is>
      </c>
      <c r="K21" s="48" t="inlineStr">
        <is>
          <t>Автосозданный базовый вариант из реального прайса</t>
        </is>
      </c>
    </row>
    <row r="22">
      <c r="A22" s="44" t="inlineStr">
        <is>
          <t>WV-0021</t>
        </is>
      </c>
      <c r="B22" s="41" t="inlineStr">
        <is>
          <t>RWORK-0021</t>
        </is>
      </c>
      <c r="C22" s="41" t="inlineStr">
        <is>
          <t>Ручной</t>
        </is>
      </c>
      <c r="D22" s="41" t="inlineStr">
        <is>
          <t>Стандарт</t>
        </is>
      </c>
      <c r="E22" s="53" t="n">
        <v>1</v>
      </c>
      <c r="F22" s="53" t="n">
        <v>1</v>
      </c>
      <c r="G22" s="54" t="n"/>
      <c r="H22" s="54" t="n">
        <v>1100</v>
      </c>
      <c r="I22" s="41" t="inlineStr">
        <is>
          <t>Да</t>
        </is>
      </c>
      <c r="J22" s="41" t="inlineStr">
        <is>
          <t>Да</t>
        </is>
      </c>
      <c r="K22" s="45" t="inlineStr">
        <is>
          <t>Автосозданный базовый вариант из реального прайса</t>
        </is>
      </c>
    </row>
    <row r="23">
      <c r="A23" s="47" t="inlineStr">
        <is>
          <t>WV-0022</t>
        </is>
      </c>
      <c r="B23" s="42" t="inlineStr">
        <is>
          <t>RWORK-0022</t>
        </is>
      </c>
      <c r="C23" s="42" t="inlineStr">
        <is>
          <t>Стандарт</t>
        </is>
      </c>
      <c r="D23" s="42" t="inlineStr">
        <is>
          <t>Стандарт</t>
        </is>
      </c>
      <c r="E23" s="55" t="n">
        <v>1</v>
      </c>
      <c r="F23" s="55" t="n">
        <v>1</v>
      </c>
      <c r="G23" s="56" t="n"/>
      <c r="H23" s="56" t="n">
        <v>800</v>
      </c>
      <c r="I23" s="42" t="inlineStr">
        <is>
          <t>Да</t>
        </is>
      </c>
      <c r="J23" s="42" t="inlineStr">
        <is>
          <t>Да</t>
        </is>
      </c>
      <c r="K23" s="48" t="inlineStr">
        <is>
          <t>Автосозданный базовый вариант из реального прайса</t>
        </is>
      </c>
    </row>
    <row r="24">
      <c r="A24" s="44" t="inlineStr">
        <is>
          <t>WV-0023</t>
        </is>
      </c>
      <c r="B24" s="41" t="inlineStr">
        <is>
          <t>RWORK-0023</t>
        </is>
      </c>
      <c r="C24" s="41" t="inlineStr">
        <is>
          <t>Стандарт</t>
        </is>
      </c>
      <c r="D24" s="41" t="inlineStr">
        <is>
          <t>Стандарт</t>
        </is>
      </c>
      <c r="E24" s="53" t="n">
        <v>1</v>
      </c>
      <c r="F24" s="53" t="n">
        <v>1</v>
      </c>
      <c r="G24" s="54" t="n"/>
      <c r="H24" s="54" t="n">
        <v>1200</v>
      </c>
      <c r="I24" s="41" t="inlineStr">
        <is>
          <t>Да</t>
        </is>
      </c>
      <c r="J24" s="41" t="inlineStr">
        <is>
          <t>Да</t>
        </is>
      </c>
      <c r="K24" s="45" t="inlineStr">
        <is>
          <t>Автосозданный базовый вариант из реального прайса</t>
        </is>
      </c>
    </row>
    <row r="25">
      <c r="A25" s="47" t="inlineStr">
        <is>
          <t>WV-0024</t>
        </is>
      </c>
      <c r="B25" s="42" t="inlineStr">
        <is>
          <t>RWORK-0024</t>
        </is>
      </c>
      <c r="C25" s="42" t="inlineStr">
        <is>
          <t>Стандарт</t>
        </is>
      </c>
      <c r="D25" s="42" t="inlineStr">
        <is>
          <t>Стандарт</t>
        </is>
      </c>
      <c r="E25" s="55" t="n">
        <v>1</v>
      </c>
      <c r="F25" s="55" t="n">
        <v>1</v>
      </c>
      <c r="G25" s="56" t="n"/>
      <c r="H25" s="56" t="n">
        <v>3500</v>
      </c>
      <c r="I25" s="42" t="inlineStr">
        <is>
          <t>Да</t>
        </is>
      </c>
      <c r="J25" s="42" t="inlineStr">
        <is>
          <t>Да</t>
        </is>
      </c>
      <c r="K25" s="48" t="inlineStr">
        <is>
          <t>Автосозданный базовый вариант из реального прайса</t>
        </is>
      </c>
    </row>
    <row r="26">
      <c r="A26" s="44" t="inlineStr">
        <is>
          <t>WV-0025</t>
        </is>
      </c>
      <c r="B26" s="41" t="inlineStr">
        <is>
          <t>RWORK-0025</t>
        </is>
      </c>
      <c r="C26" s="41" t="inlineStr">
        <is>
          <t>Стандарт</t>
        </is>
      </c>
      <c r="D26" s="41" t="inlineStr">
        <is>
          <t>Стандарт</t>
        </is>
      </c>
      <c r="E26" s="53" t="n">
        <v>1</v>
      </c>
      <c r="F26" s="53" t="n">
        <v>1</v>
      </c>
      <c r="G26" s="54" t="n"/>
      <c r="H26" s="54" t="n">
        <v>1800</v>
      </c>
      <c r="I26" s="41" t="inlineStr">
        <is>
          <t>Да</t>
        </is>
      </c>
      <c r="J26" s="41" t="inlineStr">
        <is>
          <t>Да</t>
        </is>
      </c>
      <c r="K26" s="45" t="inlineStr">
        <is>
          <t>Автосозданный базовый вариант из реального прайса</t>
        </is>
      </c>
    </row>
    <row r="27">
      <c r="A27" s="47" t="inlineStr">
        <is>
          <t>WV-0026</t>
        </is>
      </c>
      <c r="B27" s="42" t="inlineStr">
        <is>
          <t>RWORK-0026</t>
        </is>
      </c>
      <c r="C27" s="42" t="inlineStr">
        <is>
          <t>Стандарт</t>
        </is>
      </c>
      <c r="D27" s="42" t="inlineStr">
        <is>
          <t>Стандарт</t>
        </is>
      </c>
      <c r="E27" s="55" t="n">
        <v>1</v>
      </c>
      <c r="F27" s="55" t="n">
        <v>1</v>
      </c>
      <c r="G27" s="56" t="n"/>
      <c r="H27" s="56" t="n">
        <v>950</v>
      </c>
      <c r="I27" s="42" t="inlineStr">
        <is>
          <t>Да</t>
        </is>
      </c>
      <c r="J27" s="42" t="inlineStr">
        <is>
          <t>Да</t>
        </is>
      </c>
      <c r="K27" s="48" t="inlineStr">
        <is>
          <t>Автосозданный базовый вариант из реального прайса</t>
        </is>
      </c>
    </row>
    <row r="28">
      <c r="A28" s="44" t="inlineStr">
        <is>
          <t>WV-0027</t>
        </is>
      </c>
      <c r="B28" s="41" t="inlineStr">
        <is>
          <t>RWORK-0027</t>
        </is>
      </c>
      <c r="C28" s="41" t="inlineStr">
        <is>
          <t>Стандарт</t>
        </is>
      </c>
      <c r="D28" s="41" t="inlineStr">
        <is>
          <t>Стандарт</t>
        </is>
      </c>
      <c r="E28" s="53" t="n">
        <v>1</v>
      </c>
      <c r="F28" s="53" t="n">
        <v>1</v>
      </c>
      <c r="G28" s="54" t="n"/>
      <c r="H28" s="54" t="n">
        <v>40</v>
      </c>
      <c r="I28" s="41" t="inlineStr">
        <is>
          <t>Да</t>
        </is>
      </c>
      <c r="J28" s="41" t="inlineStr">
        <is>
          <t>Да</t>
        </is>
      </c>
      <c r="K28" s="45" t="inlineStr">
        <is>
          <t>Автосозданный базовый вариант из реального прайса</t>
        </is>
      </c>
    </row>
    <row r="29">
      <c r="A29" s="47" t="inlineStr">
        <is>
          <t>WV-0028</t>
        </is>
      </c>
      <c r="B29" s="42" t="inlineStr">
        <is>
          <t>RWORK-0028</t>
        </is>
      </c>
      <c r="C29" s="42" t="inlineStr">
        <is>
          <t>Стандарт</t>
        </is>
      </c>
      <c r="D29" s="42" t="inlineStr">
        <is>
          <t>Стандарт</t>
        </is>
      </c>
      <c r="E29" s="55" t="n">
        <v>1</v>
      </c>
      <c r="F29" s="55" t="n">
        <v>1</v>
      </c>
      <c r="G29" s="56" t="n"/>
      <c r="H29" s="56" t="n">
        <v>60</v>
      </c>
      <c r="I29" s="42" t="inlineStr">
        <is>
          <t>Да</t>
        </is>
      </c>
      <c r="J29" s="42" t="inlineStr">
        <is>
          <t>Да</t>
        </is>
      </c>
      <c r="K29" s="48" t="inlineStr">
        <is>
          <t>Автосозданный базовый вариант из реального прайса</t>
        </is>
      </c>
    </row>
    <row r="30">
      <c r="A30" s="44" t="inlineStr">
        <is>
          <t>WV-0029</t>
        </is>
      </c>
      <c r="B30" s="41" t="inlineStr">
        <is>
          <t>RWORK-0029</t>
        </is>
      </c>
      <c r="C30" s="41" t="inlineStr">
        <is>
          <t>Стандарт</t>
        </is>
      </c>
      <c r="D30" s="41" t="inlineStr">
        <is>
          <t>Стандарт</t>
        </is>
      </c>
      <c r="E30" s="53" t="n">
        <v>1</v>
      </c>
      <c r="F30" s="53" t="n">
        <v>1</v>
      </c>
      <c r="G30" s="54" t="n"/>
      <c r="H30" s="54" t="n">
        <v>3900</v>
      </c>
      <c r="I30" s="41" t="inlineStr">
        <is>
          <t>Да</t>
        </is>
      </c>
      <c r="J30" s="41" t="inlineStr">
        <is>
          <t>Да</t>
        </is>
      </c>
      <c r="K30" s="45" t="inlineStr">
        <is>
          <t>Автосозданный базовый вариант из реального прайса</t>
        </is>
      </c>
    </row>
    <row r="31">
      <c r="A31" s="47" t="inlineStr">
        <is>
          <t>WV-0030</t>
        </is>
      </c>
      <c r="B31" s="42" t="inlineStr">
        <is>
          <t>RWORK-0030</t>
        </is>
      </c>
      <c r="C31" s="42" t="inlineStr">
        <is>
          <t>Стандарт</t>
        </is>
      </c>
      <c r="D31" s="42" t="inlineStr">
        <is>
          <t>Стандарт</t>
        </is>
      </c>
      <c r="E31" s="55" t="n">
        <v>1</v>
      </c>
      <c r="F31" s="55" t="n">
        <v>1</v>
      </c>
      <c r="G31" s="56" t="n"/>
      <c r="H31" s="56" t="n">
        <v>950</v>
      </c>
      <c r="I31" s="42" t="inlineStr">
        <is>
          <t>Да</t>
        </is>
      </c>
      <c r="J31" s="42" t="inlineStr">
        <is>
          <t>Да</t>
        </is>
      </c>
      <c r="K31" s="48" t="inlineStr">
        <is>
          <t>Автосозданный базовый вариант из реального прайса</t>
        </is>
      </c>
    </row>
    <row r="32">
      <c r="A32" s="44" t="inlineStr">
        <is>
          <t>WV-0031</t>
        </is>
      </c>
      <c r="B32" s="41" t="inlineStr">
        <is>
          <t>RWORK-0031</t>
        </is>
      </c>
      <c r="C32" s="41" t="inlineStr">
        <is>
          <t>Стандарт</t>
        </is>
      </c>
      <c r="D32" s="41" t="inlineStr">
        <is>
          <t>Стандарт</t>
        </is>
      </c>
      <c r="E32" s="53" t="n">
        <v>1</v>
      </c>
      <c r="F32" s="53" t="n">
        <v>1</v>
      </c>
      <c r="G32" s="54" t="n"/>
      <c r="H32" s="54" t="n">
        <v>650</v>
      </c>
      <c r="I32" s="41" t="inlineStr">
        <is>
          <t>Да</t>
        </is>
      </c>
      <c r="J32" s="41" t="inlineStr">
        <is>
          <t>Да</t>
        </is>
      </c>
      <c r="K32" s="45" t="inlineStr">
        <is>
          <t>Автосозданный базовый вариант из реального прайса</t>
        </is>
      </c>
    </row>
    <row r="33">
      <c r="A33" s="47" t="inlineStr">
        <is>
          <t>WV-0032</t>
        </is>
      </c>
      <c r="B33" s="42" t="inlineStr">
        <is>
          <t>RWORK-0032</t>
        </is>
      </c>
      <c r="C33" s="42" t="inlineStr">
        <is>
          <t>Стандарт</t>
        </is>
      </c>
      <c r="D33" s="42" t="inlineStr">
        <is>
          <t>Стандарт</t>
        </is>
      </c>
      <c r="E33" s="55" t="n">
        <v>1</v>
      </c>
      <c r="F33" s="55" t="n">
        <v>1</v>
      </c>
      <c r="G33" s="56" t="n"/>
      <c r="H33" s="56" t="n">
        <v>1500</v>
      </c>
      <c r="I33" s="42" t="inlineStr">
        <is>
          <t>Да</t>
        </is>
      </c>
      <c r="J33" s="42" t="inlineStr">
        <is>
          <t>Да</t>
        </is>
      </c>
      <c r="K33" s="48" t="inlineStr">
        <is>
          <t>Автосозданный базовый вариант из реального прайса</t>
        </is>
      </c>
    </row>
    <row r="34">
      <c r="A34" s="44" t="inlineStr">
        <is>
          <t>WV-0033</t>
        </is>
      </c>
      <c r="B34" s="41" t="inlineStr">
        <is>
          <t>RWORK-0033</t>
        </is>
      </c>
      <c r="C34" s="41" t="inlineStr">
        <is>
          <t>Стандарт</t>
        </is>
      </c>
      <c r="D34" s="41" t="inlineStr">
        <is>
          <t>Стандарт</t>
        </is>
      </c>
      <c r="E34" s="53" t="n">
        <v>1</v>
      </c>
      <c r="F34" s="53" t="n">
        <v>1</v>
      </c>
      <c r="G34" s="54" t="n"/>
      <c r="H34" s="54" t="n">
        <v>3600</v>
      </c>
      <c r="I34" s="41" t="inlineStr">
        <is>
          <t>Да</t>
        </is>
      </c>
      <c r="J34" s="41" t="inlineStr">
        <is>
          <t>Да</t>
        </is>
      </c>
      <c r="K34" s="45" t="inlineStr">
        <is>
          <t>Автосозданный базовый вариант из реального прайса</t>
        </is>
      </c>
    </row>
    <row r="35">
      <c r="A35" s="47" t="inlineStr">
        <is>
          <t>WV-0034</t>
        </is>
      </c>
      <c r="B35" s="42" t="inlineStr">
        <is>
          <t>RWORK-0034</t>
        </is>
      </c>
      <c r="C35" s="42" t="inlineStr">
        <is>
          <t>Стандарт</t>
        </is>
      </c>
      <c r="D35" s="42" t="inlineStr">
        <is>
          <t>Стандарт</t>
        </is>
      </c>
      <c r="E35" s="55" t="n">
        <v>1</v>
      </c>
      <c r="F35" s="55" t="n">
        <v>1</v>
      </c>
      <c r="G35" s="56" t="n"/>
      <c r="H35" s="56" t="n">
        <v>0.056</v>
      </c>
      <c r="I35" s="42" t="inlineStr">
        <is>
          <t>Да</t>
        </is>
      </c>
      <c r="J35" s="42" t="inlineStr">
        <is>
          <t>Да</t>
        </is>
      </c>
      <c r="K35" s="48" t="inlineStr">
        <is>
          <t>Автосозданный базовый вариант из реального прайса</t>
        </is>
      </c>
    </row>
    <row r="36">
      <c r="A36" s="44" t="inlineStr">
        <is>
          <t>WV-0035</t>
        </is>
      </c>
      <c r="B36" s="41" t="inlineStr">
        <is>
          <t>RWORK-0035</t>
        </is>
      </c>
      <c r="C36" s="41" t="inlineStr">
        <is>
          <t>Стандарт</t>
        </is>
      </c>
      <c r="D36" s="41" t="inlineStr">
        <is>
          <t>Стандарт</t>
        </is>
      </c>
      <c r="E36" s="53" t="n">
        <v>1</v>
      </c>
      <c r="F36" s="53" t="n">
        <v>1</v>
      </c>
      <c r="G36" s="54" t="n"/>
      <c r="H36" s="54" t="n">
        <v>17900</v>
      </c>
      <c r="I36" s="41" t="inlineStr">
        <is>
          <t>Да</t>
        </is>
      </c>
      <c r="J36" s="41" t="inlineStr">
        <is>
          <t>Да</t>
        </is>
      </c>
      <c r="K36" s="45" t="inlineStr">
        <is>
          <t>Автосозданный базовый вариант из реального прайса</t>
        </is>
      </c>
    </row>
    <row r="37">
      <c r="A37" s="47" t="inlineStr">
        <is>
          <t>WV-0036</t>
        </is>
      </c>
      <c r="B37" s="42" t="inlineStr">
        <is>
          <t>RWORK-0036</t>
        </is>
      </c>
      <c r="C37" s="42" t="inlineStr">
        <is>
          <t>Стандарт</t>
        </is>
      </c>
      <c r="D37" s="42" t="inlineStr">
        <is>
          <t>Стандарт</t>
        </is>
      </c>
      <c r="E37" s="55" t="n">
        <v>1</v>
      </c>
      <c r="F37" s="55" t="n">
        <v>1</v>
      </c>
      <c r="G37" s="56" t="n"/>
      <c r="H37" s="56" t="n">
        <v>9500</v>
      </c>
      <c r="I37" s="42" t="inlineStr">
        <is>
          <t>Да</t>
        </is>
      </c>
      <c r="J37" s="42" t="inlineStr">
        <is>
          <t>Да</t>
        </is>
      </c>
      <c r="K37" s="48" t="inlineStr">
        <is>
          <t>Автосозданный базовый вариант из реального прайса</t>
        </is>
      </c>
    </row>
    <row r="38">
      <c r="A38" s="44" t="inlineStr">
        <is>
          <t>WV-0037</t>
        </is>
      </c>
      <c r="B38" s="41" t="inlineStr">
        <is>
          <t>RWORK-0037</t>
        </is>
      </c>
      <c r="C38" s="41" t="inlineStr">
        <is>
          <t>Стандарт</t>
        </is>
      </c>
      <c r="D38" s="41" t="inlineStr">
        <is>
          <t>Стандарт</t>
        </is>
      </c>
      <c r="E38" s="53" t="n">
        <v>1</v>
      </c>
      <c r="F38" s="53" t="n">
        <v>1</v>
      </c>
      <c r="G38" s="54" t="n"/>
      <c r="H38" s="54" t="n">
        <v>9900</v>
      </c>
      <c r="I38" s="41" t="inlineStr">
        <is>
          <t>Да</t>
        </is>
      </c>
      <c r="J38" s="41" t="inlineStr">
        <is>
          <t>Да</t>
        </is>
      </c>
      <c r="K38" s="45" t="inlineStr">
        <is>
          <t>Автосозданный базовый вариант из реального прайса</t>
        </is>
      </c>
    </row>
    <row r="39">
      <c r="A39" s="47" t="inlineStr">
        <is>
          <t>WV-0038</t>
        </is>
      </c>
      <c r="B39" s="42" t="inlineStr">
        <is>
          <t>RWORK-0038</t>
        </is>
      </c>
      <c r="C39" s="42" t="inlineStr">
        <is>
          <t>Стандарт</t>
        </is>
      </c>
      <c r="D39" s="42" t="inlineStr">
        <is>
          <t>Стандарт</t>
        </is>
      </c>
      <c r="E39" s="55" t="n">
        <v>1</v>
      </c>
      <c r="F39" s="55" t="n">
        <v>1</v>
      </c>
      <c r="G39" s="56" t="n"/>
      <c r="H39" s="56" t="n">
        <v>850</v>
      </c>
      <c r="I39" s="42" t="inlineStr">
        <is>
          <t>Да</t>
        </is>
      </c>
      <c r="J39" s="42" t="inlineStr">
        <is>
          <t>Да</t>
        </is>
      </c>
      <c r="K39" s="48" t="inlineStr">
        <is>
          <t>Автосозданный базовый вариант из реального прайса</t>
        </is>
      </c>
    </row>
    <row r="40">
      <c r="A40" s="44" t="inlineStr">
        <is>
          <t>WV-0039</t>
        </is>
      </c>
      <c r="B40" s="41" t="inlineStr">
        <is>
          <t>RWORK-0039</t>
        </is>
      </c>
      <c r="C40" s="41" t="inlineStr">
        <is>
          <t>Стандарт</t>
        </is>
      </c>
      <c r="D40" s="41" t="inlineStr">
        <is>
          <t>Стандарт</t>
        </is>
      </c>
      <c r="E40" s="53" t="n">
        <v>1</v>
      </c>
      <c r="F40" s="53" t="n">
        <v>1</v>
      </c>
      <c r="G40" s="54" t="n"/>
      <c r="H40" s="54" t="n">
        <v>850</v>
      </c>
      <c r="I40" s="41" t="inlineStr">
        <is>
          <t>Да</t>
        </is>
      </c>
      <c r="J40" s="41" t="inlineStr">
        <is>
          <t>Да</t>
        </is>
      </c>
      <c r="K40" s="45" t="inlineStr">
        <is>
          <t>Автосозданный базовый вариант из реального прайса</t>
        </is>
      </c>
    </row>
    <row r="41">
      <c r="A41" s="47" t="inlineStr">
        <is>
          <t>WV-0040</t>
        </is>
      </c>
      <c r="B41" s="42" t="inlineStr">
        <is>
          <t>RWORK-0040</t>
        </is>
      </c>
      <c r="C41" s="42" t="inlineStr">
        <is>
          <t>Стандарт</t>
        </is>
      </c>
      <c r="D41" s="42" t="inlineStr">
        <is>
          <t>Стандарт</t>
        </is>
      </c>
      <c r="E41" s="55" t="n">
        <v>1</v>
      </c>
      <c r="F41" s="55" t="n">
        <v>1</v>
      </c>
      <c r="G41" s="56" t="n"/>
      <c r="H41" s="56" t="n">
        <v>36000</v>
      </c>
      <c r="I41" s="42" t="inlineStr">
        <is>
          <t>Да</t>
        </is>
      </c>
      <c r="J41" s="42" t="inlineStr">
        <is>
          <t>Да</t>
        </is>
      </c>
      <c r="K41" s="48" t="inlineStr">
        <is>
          <t>Автосозданный базовый вариант из реального прайса</t>
        </is>
      </c>
    </row>
    <row r="42">
      <c r="A42" s="44" t="inlineStr">
        <is>
          <t>WV-0041</t>
        </is>
      </c>
      <c r="B42" s="41" t="inlineStr">
        <is>
          <t>RWORK-0041</t>
        </is>
      </c>
      <c r="C42" s="41" t="inlineStr">
        <is>
          <t>Стандарт</t>
        </is>
      </c>
      <c r="D42" s="41" t="inlineStr">
        <is>
          <t>Стандарт</t>
        </is>
      </c>
      <c r="E42" s="53" t="n">
        <v>1</v>
      </c>
      <c r="F42" s="53" t="n">
        <v>1</v>
      </c>
      <c r="G42" s="54" t="n"/>
      <c r="H42" s="54" t="n">
        <v>50</v>
      </c>
      <c r="I42" s="41" t="inlineStr">
        <is>
          <t>Да</t>
        </is>
      </c>
      <c r="J42" s="41" t="inlineStr">
        <is>
          <t>Да</t>
        </is>
      </c>
      <c r="K42" s="45" t="inlineStr">
        <is>
          <t>Автосозданный базовый вариант из реального прайса</t>
        </is>
      </c>
    </row>
    <row r="43">
      <c r="A43" s="47" t="inlineStr">
        <is>
          <t>WV-0042</t>
        </is>
      </c>
      <c r="B43" s="42" t="inlineStr">
        <is>
          <t>RWORK-0042</t>
        </is>
      </c>
      <c r="C43" s="42" t="inlineStr">
        <is>
          <t>Ручной</t>
        </is>
      </c>
      <c r="D43" s="42" t="inlineStr">
        <is>
          <t>Стандарт</t>
        </is>
      </c>
      <c r="E43" s="55" t="n">
        <v>1</v>
      </c>
      <c r="F43" s="55" t="n">
        <v>1</v>
      </c>
      <c r="G43" s="56" t="n"/>
      <c r="H43" s="56" t="n">
        <v>300</v>
      </c>
      <c r="I43" s="42" t="inlineStr">
        <is>
          <t>Да</t>
        </is>
      </c>
      <c r="J43" s="42" t="inlineStr">
        <is>
          <t>Да</t>
        </is>
      </c>
      <c r="K43" s="48" t="inlineStr">
        <is>
          <t>Автосозданный базовый вариант из реального прайса</t>
        </is>
      </c>
    </row>
    <row r="44">
      <c r="A44" s="44" t="inlineStr">
        <is>
          <t>WV-0043</t>
        </is>
      </c>
      <c r="B44" s="41" t="inlineStr">
        <is>
          <t>RWORK-0043</t>
        </is>
      </c>
      <c r="C44" s="41" t="inlineStr">
        <is>
          <t>Стандарт</t>
        </is>
      </c>
      <c r="D44" s="41" t="inlineStr">
        <is>
          <t>Стандарт</t>
        </is>
      </c>
      <c r="E44" s="53" t="n">
        <v>1</v>
      </c>
      <c r="F44" s="53" t="n">
        <v>1</v>
      </c>
      <c r="G44" s="54" t="n"/>
      <c r="H44" s="54" t="n">
        <v>500</v>
      </c>
      <c r="I44" s="41" t="inlineStr">
        <is>
          <t>Да</t>
        </is>
      </c>
      <c r="J44" s="41" t="inlineStr">
        <is>
          <t>Да</t>
        </is>
      </c>
      <c r="K44" s="45" t="inlineStr">
        <is>
          <t>Автосозданный базовый вариант из реального прайса</t>
        </is>
      </c>
    </row>
    <row r="45">
      <c r="A45" s="47" t="inlineStr">
        <is>
          <t>WV-0044</t>
        </is>
      </c>
      <c r="B45" s="42" t="inlineStr">
        <is>
          <t>RWORK-0044</t>
        </is>
      </c>
      <c r="C45" s="42" t="inlineStr">
        <is>
          <t>Стандарт</t>
        </is>
      </c>
      <c r="D45" s="42" t="inlineStr">
        <is>
          <t>Стандарт</t>
        </is>
      </c>
      <c r="E45" s="55" t="n">
        <v>1</v>
      </c>
      <c r="F45" s="55" t="n">
        <v>1</v>
      </c>
      <c r="G45" s="56" t="n"/>
      <c r="H45" s="56" t="n">
        <v>400</v>
      </c>
      <c r="I45" s="42" t="inlineStr">
        <is>
          <t>Да</t>
        </is>
      </c>
      <c r="J45" s="42" t="inlineStr">
        <is>
          <t>Да</t>
        </is>
      </c>
      <c r="K45" s="48" t="inlineStr">
        <is>
          <t>Автосозданный базовый вариант из реального прайса</t>
        </is>
      </c>
    </row>
    <row r="46">
      <c r="A46" s="44" t="inlineStr">
        <is>
          <t>WV-0045</t>
        </is>
      </c>
      <c r="B46" s="41" t="inlineStr">
        <is>
          <t>RWORK-0045</t>
        </is>
      </c>
      <c r="C46" s="41" t="inlineStr">
        <is>
          <t>Стандарт</t>
        </is>
      </c>
      <c r="D46" s="41" t="inlineStr">
        <is>
          <t>Стандарт</t>
        </is>
      </c>
      <c r="E46" s="53" t="n">
        <v>1</v>
      </c>
      <c r="F46" s="53" t="n">
        <v>1</v>
      </c>
      <c r="G46" s="54" t="n"/>
      <c r="H46" s="54" t="n">
        <v>1100</v>
      </c>
      <c r="I46" s="41" t="inlineStr">
        <is>
          <t>Да</t>
        </is>
      </c>
      <c r="J46" s="41" t="inlineStr">
        <is>
          <t>Да</t>
        </is>
      </c>
      <c r="K46" s="45" t="inlineStr">
        <is>
          <t>Автосозданный базовый вариант из реального прайса</t>
        </is>
      </c>
    </row>
    <row r="47">
      <c r="A47" s="47" t="inlineStr">
        <is>
          <t>WV-0046</t>
        </is>
      </c>
      <c r="B47" s="42" t="inlineStr">
        <is>
          <t>RWORK-0046</t>
        </is>
      </c>
      <c r="C47" s="42" t="inlineStr">
        <is>
          <t>Стандарт</t>
        </is>
      </c>
      <c r="D47" s="42" t="inlineStr">
        <is>
          <t>Стандарт</t>
        </is>
      </c>
      <c r="E47" s="55" t="n">
        <v>1</v>
      </c>
      <c r="F47" s="55" t="n">
        <v>1</v>
      </c>
      <c r="G47" s="56" t="n"/>
      <c r="H47" s="56" t="n">
        <v>30000</v>
      </c>
      <c r="I47" s="42" t="inlineStr">
        <is>
          <t>Да</t>
        </is>
      </c>
      <c r="J47" s="42" t="inlineStr">
        <is>
          <t>Да</t>
        </is>
      </c>
      <c r="K47" s="48" t="inlineStr">
        <is>
          <t>Автосозданный базовый вариант из реального прайса</t>
        </is>
      </c>
    </row>
    <row r="48">
      <c r="A48" s="44" t="inlineStr">
        <is>
          <t>WV-0047</t>
        </is>
      </c>
      <c r="B48" s="41" t="inlineStr">
        <is>
          <t>RWORK-0047</t>
        </is>
      </c>
      <c r="C48" s="41" t="inlineStr">
        <is>
          <t>Стандарт</t>
        </is>
      </c>
      <c r="D48" s="41" t="inlineStr">
        <is>
          <t>Стандарт</t>
        </is>
      </c>
      <c r="E48" s="53" t="n">
        <v>1</v>
      </c>
      <c r="F48" s="53" t="n">
        <v>1</v>
      </c>
      <c r="G48" s="54" t="n"/>
      <c r="H48" s="54" t="n">
        <v>3500</v>
      </c>
      <c r="I48" s="41" t="inlineStr">
        <is>
          <t>Да</t>
        </is>
      </c>
      <c r="J48" s="41" t="inlineStr">
        <is>
          <t>Да</t>
        </is>
      </c>
      <c r="K48" s="45" t="inlineStr">
        <is>
          <t>Автосозданный базовый вариант из реального прайса</t>
        </is>
      </c>
    </row>
    <row r="49">
      <c r="A49" s="47" t="inlineStr">
        <is>
          <t>WV-0048</t>
        </is>
      </c>
      <c r="B49" s="42" t="inlineStr">
        <is>
          <t>RWORK-0048</t>
        </is>
      </c>
      <c r="C49" s="42" t="inlineStr">
        <is>
          <t>Стандарт</t>
        </is>
      </c>
      <c r="D49" s="42" t="inlineStr">
        <is>
          <t>Стандарт</t>
        </is>
      </c>
      <c r="E49" s="55" t="n">
        <v>1</v>
      </c>
      <c r="F49" s="55" t="n">
        <v>1</v>
      </c>
      <c r="G49" s="56" t="n"/>
      <c r="H49" s="56" t="n">
        <v>15000</v>
      </c>
      <c r="I49" s="42" t="inlineStr">
        <is>
          <t>Да</t>
        </is>
      </c>
      <c r="J49" s="42" t="inlineStr">
        <is>
          <t>Да</t>
        </is>
      </c>
      <c r="K49" s="48" t="inlineStr">
        <is>
          <t>Автосозданный базовый вариант из реального прайса</t>
        </is>
      </c>
    </row>
    <row r="50">
      <c r="A50" s="44" t="inlineStr">
        <is>
          <t>WV-0049</t>
        </is>
      </c>
      <c r="B50" s="41" t="inlineStr">
        <is>
          <t>RWORK-0049</t>
        </is>
      </c>
      <c r="C50" s="41" t="inlineStr">
        <is>
          <t>Стандарт</t>
        </is>
      </c>
      <c r="D50" s="41" t="inlineStr">
        <is>
          <t>Стандарт</t>
        </is>
      </c>
      <c r="E50" s="53" t="n">
        <v>1</v>
      </c>
      <c r="F50" s="53" t="n">
        <v>1</v>
      </c>
      <c r="G50" s="54" t="n"/>
      <c r="H50" s="54" t="n">
        <v>1500</v>
      </c>
      <c r="I50" s="41" t="inlineStr">
        <is>
          <t>Да</t>
        </is>
      </c>
      <c r="J50" s="41" t="inlineStr">
        <is>
          <t>Да</t>
        </is>
      </c>
      <c r="K50" s="45" t="inlineStr">
        <is>
          <t>Автосозданный базовый вариант из реального прайса</t>
        </is>
      </c>
    </row>
    <row r="51">
      <c r="A51" s="47" t="inlineStr">
        <is>
          <t>WV-0050</t>
        </is>
      </c>
      <c r="B51" s="42" t="inlineStr">
        <is>
          <t>RWORK-0050</t>
        </is>
      </c>
      <c r="C51" s="42" t="inlineStr">
        <is>
          <t>Стандарт</t>
        </is>
      </c>
      <c r="D51" s="42" t="inlineStr">
        <is>
          <t>Стандарт</t>
        </is>
      </c>
      <c r="E51" s="55" t="n">
        <v>1</v>
      </c>
      <c r="F51" s="55" t="n">
        <v>1</v>
      </c>
      <c r="G51" s="56" t="n"/>
      <c r="H51" s="56" t="n">
        <v>1100</v>
      </c>
      <c r="I51" s="42" t="inlineStr">
        <is>
          <t>Да</t>
        </is>
      </c>
      <c r="J51" s="42" t="inlineStr">
        <is>
          <t>Да</t>
        </is>
      </c>
      <c r="K51" s="48" t="inlineStr">
        <is>
          <t>Автосозданный базовый вариант из реального прайса</t>
        </is>
      </c>
    </row>
    <row r="52">
      <c r="A52" s="44" t="inlineStr">
        <is>
          <t>WV-0051</t>
        </is>
      </c>
      <c r="B52" s="41" t="inlineStr">
        <is>
          <t>RWORK-0051</t>
        </is>
      </c>
      <c r="C52" s="41" t="inlineStr">
        <is>
          <t>Стандарт</t>
        </is>
      </c>
      <c r="D52" s="41" t="inlineStr">
        <is>
          <t>Стандарт</t>
        </is>
      </c>
      <c r="E52" s="53" t="n">
        <v>1</v>
      </c>
      <c r="F52" s="53" t="n">
        <v>1</v>
      </c>
      <c r="G52" s="54" t="n"/>
      <c r="H52" s="54" t="n">
        <v>3000</v>
      </c>
      <c r="I52" s="41" t="inlineStr">
        <is>
          <t>Да</t>
        </is>
      </c>
      <c r="J52" s="41" t="inlineStr">
        <is>
          <t>Да</t>
        </is>
      </c>
      <c r="K52" s="45" t="inlineStr">
        <is>
          <t>Автосозданный базовый вариант из реального прайса</t>
        </is>
      </c>
    </row>
    <row r="53">
      <c r="A53" s="47" t="inlineStr">
        <is>
          <t>WV-0052</t>
        </is>
      </c>
      <c r="B53" s="42" t="inlineStr">
        <is>
          <t>RWORK-0052</t>
        </is>
      </c>
      <c r="C53" s="42" t="inlineStr">
        <is>
          <t>Стандарт</t>
        </is>
      </c>
      <c r="D53" s="42" t="inlineStr">
        <is>
          <t>Стандарт</t>
        </is>
      </c>
      <c r="E53" s="55" t="n">
        <v>1</v>
      </c>
      <c r="F53" s="55" t="n">
        <v>1</v>
      </c>
      <c r="G53" s="56" t="n"/>
      <c r="H53" s="56" t="n">
        <v>1500</v>
      </c>
      <c r="I53" s="42" t="inlineStr">
        <is>
          <t>Да</t>
        </is>
      </c>
      <c r="J53" s="42" t="inlineStr">
        <is>
          <t>Да</t>
        </is>
      </c>
      <c r="K53" s="48" t="inlineStr">
        <is>
          <t>Автосозданный базовый вариант из реального прайса</t>
        </is>
      </c>
    </row>
    <row r="54">
      <c r="A54" s="44" t="inlineStr">
        <is>
          <t>WV-0053</t>
        </is>
      </c>
      <c r="B54" s="41" t="inlineStr">
        <is>
          <t>RWORK-0053</t>
        </is>
      </c>
      <c r="C54" s="41" t="inlineStr">
        <is>
          <t>Стандарт</t>
        </is>
      </c>
      <c r="D54" s="41" t="inlineStr">
        <is>
          <t>Стандарт</t>
        </is>
      </c>
      <c r="E54" s="53" t="n">
        <v>1</v>
      </c>
      <c r="F54" s="53" t="n">
        <v>1</v>
      </c>
      <c r="G54" s="54" t="n"/>
      <c r="H54" s="54" t="n">
        <v>2200</v>
      </c>
      <c r="I54" s="41" t="inlineStr">
        <is>
          <t>Да</t>
        </is>
      </c>
      <c r="J54" s="41" t="inlineStr">
        <is>
          <t>Да</t>
        </is>
      </c>
      <c r="K54" s="45" t="inlineStr">
        <is>
          <t>Автосозданный базовый вариант из реального прайса</t>
        </is>
      </c>
    </row>
    <row r="55">
      <c r="A55" s="47" t="inlineStr">
        <is>
          <t>WV-0054</t>
        </is>
      </c>
      <c r="B55" s="42" t="inlineStr">
        <is>
          <t>RWORK-0054</t>
        </is>
      </c>
      <c r="C55" s="42" t="inlineStr">
        <is>
          <t>Стандарт</t>
        </is>
      </c>
      <c r="D55" s="42" t="inlineStr">
        <is>
          <t>Стандарт</t>
        </is>
      </c>
      <c r="E55" s="55" t="n">
        <v>1</v>
      </c>
      <c r="F55" s="55" t="n">
        <v>1</v>
      </c>
      <c r="G55" s="56" t="n"/>
      <c r="H55" s="56" t="n">
        <v>650</v>
      </c>
      <c r="I55" s="42" t="inlineStr">
        <is>
          <t>Да</t>
        </is>
      </c>
      <c r="J55" s="42" t="inlineStr">
        <is>
          <t>Да</t>
        </is>
      </c>
      <c r="K55" s="48" t="inlineStr">
        <is>
          <t>Автосозданный базовый вариант из реального прайса</t>
        </is>
      </c>
    </row>
    <row r="56">
      <c r="A56" s="44" t="inlineStr">
        <is>
          <t>WV-0055</t>
        </is>
      </c>
      <c r="B56" s="41" t="inlineStr">
        <is>
          <t>RWORK-0055</t>
        </is>
      </c>
      <c r="C56" s="41" t="inlineStr">
        <is>
          <t>Стандарт</t>
        </is>
      </c>
      <c r="D56" s="41" t="inlineStr">
        <is>
          <t>Стандарт</t>
        </is>
      </c>
      <c r="E56" s="53" t="n">
        <v>1</v>
      </c>
      <c r="F56" s="53" t="n">
        <v>1</v>
      </c>
      <c r="G56" s="54" t="n"/>
      <c r="H56" s="54" t="n">
        <v>6500</v>
      </c>
      <c r="I56" s="41" t="inlineStr">
        <is>
          <t>Да</t>
        </is>
      </c>
      <c r="J56" s="41" t="inlineStr">
        <is>
          <t>Да</t>
        </is>
      </c>
      <c r="K56" s="45" t="inlineStr">
        <is>
          <t>Автосозданный базовый вариант из реального прайса</t>
        </is>
      </c>
    </row>
    <row r="57">
      <c r="A57" s="47" t="inlineStr">
        <is>
          <t>WV-0056</t>
        </is>
      </c>
      <c r="B57" s="42" t="inlineStr">
        <is>
          <t>RWORK-0056</t>
        </is>
      </c>
      <c r="C57" s="42" t="inlineStr">
        <is>
          <t>Стандарт</t>
        </is>
      </c>
      <c r="D57" s="42" t="inlineStr">
        <is>
          <t>Стандарт</t>
        </is>
      </c>
      <c r="E57" s="55" t="n">
        <v>1</v>
      </c>
      <c r="F57" s="55" t="n">
        <v>1</v>
      </c>
      <c r="G57" s="56" t="n"/>
      <c r="H57" s="56" t="n">
        <v>3800</v>
      </c>
      <c r="I57" s="42" t="inlineStr">
        <is>
          <t>Да</t>
        </is>
      </c>
      <c r="J57" s="42" t="inlineStr">
        <is>
          <t>Да</t>
        </is>
      </c>
      <c r="K57" s="48" t="inlineStr">
        <is>
          <t>Автосозданный базовый вариант из реального прайса</t>
        </is>
      </c>
    </row>
    <row r="58">
      <c r="A58" s="44" t="inlineStr">
        <is>
          <t>WV-0057</t>
        </is>
      </c>
      <c r="B58" s="41" t="inlineStr">
        <is>
          <t>RWORK-0057</t>
        </is>
      </c>
      <c r="C58" s="41" t="inlineStr">
        <is>
          <t>Стандарт</t>
        </is>
      </c>
      <c r="D58" s="41" t="inlineStr">
        <is>
          <t>Стандарт</t>
        </is>
      </c>
      <c r="E58" s="53" t="n">
        <v>1</v>
      </c>
      <c r="F58" s="53" t="n">
        <v>1</v>
      </c>
      <c r="G58" s="54" t="n"/>
      <c r="H58" s="54" t="n">
        <v>20000</v>
      </c>
      <c r="I58" s="41" t="inlineStr">
        <is>
          <t>Да</t>
        </is>
      </c>
      <c r="J58" s="41" t="inlineStr">
        <is>
          <t>Да</t>
        </is>
      </c>
      <c r="K58" s="45" t="inlineStr">
        <is>
          <t>Автосозданный базовый вариант из реального прайса</t>
        </is>
      </c>
    </row>
    <row r="59">
      <c r="A59" s="47" t="inlineStr">
        <is>
          <t>WV-0058</t>
        </is>
      </c>
      <c r="B59" s="42" t="inlineStr">
        <is>
          <t>RWORK-0058</t>
        </is>
      </c>
      <c r="C59" s="42" t="inlineStr">
        <is>
          <t>Стандарт</t>
        </is>
      </c>
      <c r="D59" s="42" t="inlineStr">
        <is>
          <t>Стандарт</t>
        </is>
      </c>
      <c r="E59" s="55" t="n">
        <v>1</v>
      </c>
      <c r="F59" s="55" t="n">
        <v>1</v>
      </c>
      <c r="G59" s="56" t="n"/>
      <c r="H59" s="56" t="n">
        <v>450</v>
      </c>
      <c r="I59" s="42" t="inlineStr">
        <is>
          <t>Да</t>
        </is>
      </c>
      <c r="J59" s="42" t="inlineStr">
        <is>
          <t>Да</t>
        </is>
      </c>
      <c r="K59" s="48" t="inlineStr">
        <is>
          <t>Автосозданный базовый вариант из реального прайса</t>
        </is>
      </c>
    </row>
    <row r="60">
      <c r="A60" s="44" t="inlineStr">
        <is>
          <t>WV-0059</t>
        </is>
      </c>
      <c r="B60" s="41" t="inlineStr">
        <is>
          <t>RWORK-0059</t>
        </is>
      </c>
      <c r="C60" s="41" t="inlineStr">
        <is>
          <t>Стандарт</t>
        </is>
      </c>
      <c r="D60" s="41" t="inlineStr">
        <is>
          <t>Стандарт</t>
        </is>
      </c>
      <c r="E60" s="53" t="n">
        <v>1</v>
      </c>
      <c r="F60" s="53" t="n">
        <v>1</v>
      </c>
      <c r="G60" s="54" t="n"/>
      <c r="H60" s="54" t="n">
        <v>3800</v>
      </c>
      <c r="I60" s="41" t="inlineStr">
        <is>
          <t>Да</t>
        </is>
      </c>
      <c r="J60" s="41" t="inlineStr">
        <is>
          <t>Да</t>
        </is>
      </c>
      <c r="K60" s="45" t="inlineStr">
        <is>
          <t>Автосозданный базовый вариант из реального прайса</t>
        </is>
      </c>
    </row>
    <row r="61">
      <c r="A61" s="47" t="inlineStr">
        <is>
          <t>WV-0060</t>
        </is>
      </c>
      <c r="B61" s="42" t="inlineStr">
        <is>
          <t>RWORK-0060</t>
        </is>
      </c>
      <c r="C61" s="42" t="inlineStr">
        <is>
          <t>Стандарт</t>
        </is>
      </c>
      <c r="D61" s="42" t="inlineStr">
        <is>
          <t>Стандарт</t>
        </is>
      </c>
      <c r="E61" s="55" t="n">
        <v>1</v>
      </c>
      <c r="F61" s="55" t="n">
        <v>1</v>
      </c>
      <c r="G61" s="56" t="n"/>
      <c r="H61" s="56" t="n">
        <v>1350</v>
      </c>
      <c r="I61" s="42" t="inlineStr">
        <is>
          <t>Да</t>
        </is>
      </c>
      <c r="J61" s="42" t="inlineStr">
        <is>
          <t>Да</t>
        </is>
      </c>
      <c r="K61" s="48" t="inlineStr">
        <is>
          <t>Автосозданный базовый вариант из реального прайса</t>
        </is>
      </c>
    </row>
    <row r="62">
      <c r="A62" s="44" t="inlineStr">
        <is>
          <t>WV-0061</t>
        </is>
      </c>
      <c r="B62" s="41" t="inlineStr">
        <is>
          <t>RWORK-0061</t>
        </is>
      </c>
      <c r="C62" s="41" t="inlineStr">
        <is>
          <t>Стандарт</t>
        </is>
      </c>
      <c r="D62" s="41" t="inlineStr">
        <is>
          <t>Стандарт</t>
        </is>
      </c>
      <c r="E62" s="53" t="n">
        <v>1</v>
      </c>
      <c r="F62" s="53" t="n">
        <v>1</v>
      </c>
      <c r="G62" s="54" t="n"/>
      <c r="H62" s="54" t="n">
        <v>2200</v>
      </c>
      <c r="I62" s="41" t="inlineStr">
        <is>
          <t>Да</t>
        </is>
      </c>
      <c r="J62" s="41" t="inlineStr">
        <is>
          <t>Да</t>
        </is>
      </c>
      <c r="K62" s="45" t="inlineStr">
        <is>
          <t>Автосозданный базовый вариант из реального прайса</t>
        </is>
      </c>
    </row>
    <row r="63">
      <c r="A63" s="47" t="inlineStr">
        <is>
          <t>WV-0062</t>
        </is>
      </c>
      <c r="B63" s="42" t="inlineStr">
        <is>
          <t>RWORK-0062</t>
        </is>
      </c>
      <c r="C63" s="42" t="inlineStr">
        <is>
          <t>Стандарт</t>
        </is>
      </c>
      <c r="D63" s="42" t="inlineStr">
        <is>
          <t>Стандарт</t>
        </is>
      </c>
      <c r="E63" s="55" t="n">
        <v>1</v>
      </c>
      <c r="F63" s="55" t="n">
        <v>1</v>
      </c>
      <c r="G63" s="56" t="n"/>
      <c r="H63" s="56" t="n">
        <v>1200</v>
      </c>
      <c r="I63" s="42" t="inlineStr">
        <is>
          <t>Да</t>
        </is>
      </c>
      <c r="J63" s="42" t="inlineStr">
        <is>
          <t>Да</t>
        </is>
      </c>
      <c r="K63" s="48" t="inlineStr">
        <is>
          <t>Автосозданный базовый вариант из реального прайса</t>
        </is>
      </c>
    </row>
    <row r="64">
      <c r="A64" s="44" t="inlineStr">
        <is>
          <t>WV-0063</t>
        </is>
      </c>
      <c r="B64" s="41" t="inlineStr">
        <is>
          <t>RWORK-0063</t>
        </is>
      </c>
      <c r="C64" s="41" t="inlineStr">
        <is>
          <t>Стандарт</t>
        </is>
      </c>
      <c r="D64" s="41" t="inlineStr">
        <is>
          <t>Стандарт</t>
        </is>
      </c>
      <c r="E64" s="53" t="n">
        <v>1</v>
      </c>
      <c r="F64" s="53" t="n">
        <v>1</v>
      </c>
      <c r="G64" s="54" t="n"/>
      <c r="H64" s="54" t="n">
        <v>1100</v>
      </c>
      <c r="I64" s="41" t="inlineStr">
        <is>
          <t>Да</t>
        </is>
      </c>
      <c r="J64" s="41" t="inlineStr">
        <is>
          <t>Да</t>
        </is>
      </c>
      <c r="K64" s="45" t="inlineStr">
        <is>
          <t>Автосозданный базовый вариант из реального прайса</t>
        </is>
      </c>
    </row>
    <row r="65">
      <c r="A65" s="47" t="inlineStr">
        <is>
          <t>WV-0064</t>
        </is>
      </c>
      <c r="B65" s="42" t="inlineStr">
        <is>
          <t>RWORK-0064</t>
        </is>
      </c>
      <c r="C65" s="42" t="inlineStr">
        <is>
          <t>Стандарт</t>
        </is>
      </c>
      <c r="D65" s="42" t="inlineStr">
        <is>
          <t>Стандарт</t>
        </is>
      </c>
      <c r="E65" s="55" t="n">
        <v>1</v>
      </c>
      <c r="F65" s="55" t="n">
        <v>1</v>
      </c>
      <c r="G65" s="56" t="n"/>
      <c r="H65" s="56" t="n">
        <v>450</v>
      </c>
      <c r="I65" s="42" t="inlineStr">
        <is>
          <t>Да</t>
        </is>
      </c>
      <c r="J65" s="42" t="inlineStr">
        <is>
          <t>Да</t>
        </is>
      </c>
      <c r="K65" s="48" t="inlineStr">
        <is>
          <t>Автосозданный базовый вариант из реального прайса</t>
        </is>
      </c>
    </row>
    <row r="66">
      <c r="A66" s="44" t="inlineStr">
        <is>
          <t>WV-0065</t>
        </is>
      </c>
      <c r="B66" s="41" t="inlineStr">
        <is>
          <t>RWORK-0065</t>
        </is>
      </c>
      <c r="C66" s="41" t="inlineStr">
        <is>
          <t>Стандарт</t>
        </is>
      </c>
      <c r="D66" s="41" t="inlineStr">
        <is>
          <t>Стандарт</t>
        </is>
      </c>
      <c r="E66" s="53" t="n">
        <v>1</v>
      </c>
      <c r="F66" s="53" t="n">
        <v>1</v>
      </c>
      <c r="G66" s="54" t="n"/>
      <c r="H66" s="54" t="n">
        <v>990</v>
      </c>
      <c r="I66" s="41" t="inlineStr">
        <is>
          <t>Да</t>
        </is>
      </c>
      <c r="J66" s="41" t="inlineStr">
        <is>
          <t>Да</t>
        </is>
      </c>
      <c r="K66" s="45" t="inlineStr">
        <is>
          <t>Автосозданный базовый вариант из реального прайса</t>
        </is>
      </c>
    </row>
    <row r="67">
      <c r="A67" s="47" t="inlineStr">
        <is>
          <t>WV-0066</t>
        </is>
      </c>
      <c r="B67" s="42" t="inlineStr">
        <is>
          <t>RWORK-0066</t>
        </is>
      </c>
      <c r="C67" s="42" t="inlineStr">
        <is>
          <t>Стандарт</t>
        </is>
      </c>
      <c r="D67" s="42" t="inlineStr">
        <is>
          <t>Стандарт</t>
        </is>
      </c>
      <c r="E67" s="55" t="n">
        <v>1</v>
      </c>
      <c r="F67" s="55" t="n">
        <v>1</v>
      </c>
      <c r="G67" s="56" t="n"/>
      <c r="H67" s="56" t="n">
        <v>3400</v>
      </c>
      <c r="I67" s="42" t="inlineStr">
        <is>
          <t>Да</t>
        </is>
      </c>
      <c r="J67" s="42" t="inlineStr">
        <is>
          <t>Да</t>
        </is>
      </c>
      <c r="K67" s="48" t="inlineStr">
        <is>
          <t>Автосозданный базовый вариант из реального прайса</t>
        </is>
      </c>
    </row>
    <row r="68">
      <c r="A68" s="44" t="inlineStr">
        <is>
          <t>WV-0067</t>
        </is>
      </c>
      <c r="B68" s="41" t="inlineStr">
        <is>
          <t>RWORK-0067</t>
        </is>
      </c>
      <c r="C68" s="41" t="inlineStr">
        <is>
          <t>Стандарт</t>
        </is>
      </c>
      <c r="D68" s="41" t="inlineStr">
        <is>
          <t>Стандарт</t>
        </is>
      </c>
      <c r="E68" s="53" t="n">
        <v>1</v>
      </c>
      <c r="F68" s="53" t="n">
        <v>1</v>
      </c>
      <c r="G68" s="54" t="n"/>
      <c r="H68" s="54" t="n">
        <v>3700</v>
      </c>
      <c r="I68" s="41" t="inlineStr">
        <is>
          <t>Да</t>
        </is>
      </c>
      <c r="J68" s="41" t="inlineStr">
        <is>
          <t>Да</t>
        </is>
      </c>
      <c r="K68" s="45" t="inlineStr">
        <is>
          <t>Автосозданный базовый вариант из реального прайса</t>
        </is>
      </c>
    </row>
    <row r="69">
      <c r="A69" s="47" t="inlineStr">
        <is>
          <t>WV-0068</t>
        </is>
      </c>
      <c r="B69" s="42" t="inlineStr">
        <is>
          <t>RWORK-0068</t>
        </is>
      </c>
      <c r="C69" s="42" t="inlineStr">
        <is>
          <t>Стандарт</t>
        </is>
      </c>
      <c r="D69" s="42" t="inlineStr">
        <is>
          <t>Стандарт</t>
        </is>
      </c>
      <c r="E69" s="55" t="n">
        <v>1</v>
      </c>
      <c r="F69" s="55" t="n">
        <v>1</v>
      </c>
      <c r="G69" s="56" t="n"/>
      <c r="H69" s="56" t="n">
        <v>2700</v>
      </c>
      <c r="I69" s="42" t="inlineStr">
        <is>
          <t>Да</t>
        </is>
      </c>
      <c r="J69" s="42" t="inlineStr">
        <is>
          <t>Да</t>
        </is>
      </c>
      <c r="K69" s="48" t="inlineStr">
        <is>
          <t>Автосозданный базовый вариант из реального прайса</t>
        </is>
      </c>
    </row>
    <row r="70">
      <c r="A70" s="44" t="inlineStr">
        <is>
          <t>WV-0069</t>
        </is>
      </c>
      <c r="B70" s="41" t="inlineStr">
        <is>
          <t>RWORK-0069</t>
        </is>
      </c>
      <c r="C70" s="41" t="inlineStr">
        <is>
          <t>Стандарт</t>
        </is>
      </c>
      <c r="D70" s="41" t="inlineStr">
        <is>
          <t>Стандарт</t>
        </is>
      </c>
      <c r="E70" s="53" t="n">
        <v>1</v>
      </c>
      <c r="F70" s="53" t="n">
        <v>1</v>
      </c>
      <c r="G70" s="54" t="n"/>
      <c r="H70" s="54" t="n">
        <v>2200</v>
      </c>
      <c r="I70" s="41" t="inlineStr">
        <is>
          <t>Да</t>
        </is>
      </c>
      <c r="J70" s="41" t="inlineStr">
        <is>
          <t>Да</t>
        </is>
      </c>
      <c r="K70" s="45" t="inlineStr">
        <is>
          <t>Автосозданный базовый вариант из реального прайса</t>
        </is>
      </c>
    </row>
    <row r="71">
      <c r="A71" s="47" t="inlineStr">
        <is>
          <t>WV-0070</t>
        </is>
      </c>
      <c r="B71" s="42" t="inlineStr">
        <is>
          <t>RWORK-0070</t>
        </is>
      </c>
      <c r="C71" s="42" t="inlineStr">
        <is>
          <t>Стандарт</t>
        </is>
      </c>
      <c r="D71" s="42" t="inlineStr">
        <is>
          <t>Стандарт</t>
        </is>
      </c>
      <c r="E71" s="55" t="n">
        <v>1</v>
      </c>
      <c r="F71" s="55" t="n">
        <v>1</v>
      </c>
      <c r="G71" s="56" t="n"/>
      <c r="H71" s="56" t="n">
        <v>2300</v>
      </c>
      <c r="I71" s="42" t="inlineStr">
        <is>
          <t>Да</t>
        </is>
      </c>
      <c r="J71" s="42" t="inlineStr">
        <is>
          <t>Да</t>
        </is>
      </c>
      <c r="K71" s="48" t="inlineStr">
        <is>
          <t>Автосозданный базовый вариант из реального прайса</t>
        </is>
      </c>
    </row>
    <row r="72">
      <c r="A72" s="44" t="inlineStr">
        <is>
          <t>WV-0071</t>
        </is>
      </c>
      <c r="B72" s="41" t="inlineStr">
        <is>
          <t>RWORK-0071</t>
        </is>
      </c>
      <c r="C72" s="41" t="inlineStr">
        <is>
          <t>Стандарт</t>
        </is>
      </c>
      <c r="D72" s="41" t="inlineStr">
        <is>
          <t>Стандарт</t>
        </is>
      </c>
      <c r="E72" s="53" t="n">
        <v>1</v>
      </c>
      <c r="F72" s="53" t="n">
        <v>1</v>
      </c>
      <c r="G72" s="54" t="n"/>
      <c r="H72" s="54" t="n">
        <v>1980</v>
      </c>
      <c r="I72" s="41" t="inlineStr">
        <is>
          <t>Да</t>
        </is>
      </c>
      <c r="J72" s="41" t="inlineStr">
        <is>
          <t>Да</t>
        </is>
      </c>
      <c r="K72" s="45" t="inlineStr">
        <is>
          <t>Автосозданный базовый вариант из реального прайса</t>
        </is>
      </c>
    </row>
    <row r="73">
      <c r="A73" s="47" t="inlineStr">
        <is>
          <t>WV-0072</t>
        </is>
      </c>
      <c r="B73" s="42" t="inlineStr">
        <is>
          <t>RWORK-0072</t>
        </is>
      </c>
      <c r="C73" s="42" t="inlineStr">
        <is>
          <t>Стандарт</t>
        </is>
      </c>
      <c r="D73" s="42" t="inlineStr">
        <is>
          <t>Стандарт</t>
        </is>
      </c>
      <c r="E73" s="55" t="n">
        <v>1</v>
      </c>
      <c r="F73" s="55" t="n">
        <v>1</v>
      </c>
      <c r="G73" s="56" t="n"/>
      <c r="H73" s="56" t="n">
        <v>950</v>
      </c>
      <c r="I73" s="42" t="inlineStr">
        <is>
          <t>Да</t>
        </is>
      </c>
      <c r="J73" s="42" t="inlineStr">
        <is>
          <t>Да</t>
        </is>
      </c>
      <c r="K73" s="48" t="inlineStr">
        <is>
          <t>Автосозданный базовый вариант из реального прайса</t>
        </is>
      </c>
    </row>
    <row r="74">
      <c r="A74" s="44" t="inlineStr">
        <is>
          <t>WV-0073</t>
        </is>
      </c>
      <c r="B74" s="41" t="inlineStr">
        <is>
          <t>RWORK-0073</t>
        </is>
      </c>
      <c r="C74" s="41" t="inlineStr">
        <is>
          <t>Стандарт</t>
        </is>
      </c>
      <c r="D74" s="41" t="inlineStr">
        <is>
          <t>Стандарт</t>
        </is>
      </c>
      <c r="E74" s="53" t="n">
        <v>1</v>
      </c>
      <c r="F74" s="53" t="n">
        <v>1</v>
      </c>
      <c r="G74" s="54" t="n"/>
      <c r="H74" s="54" t="n">
        <v>2900</v>
      </c>
      <c r="I74" s="41" t="inlineStr">
        <is>
          <t>Да</t>
        </is>
      </c>
      <c r="J74" s="41" t="inlineStr">
        <is>
          <t>Да</t>
        </is>
      </c>
      <c r="K74" s="45" t="inlineStr">
        <is>
          <t>Автосозданный базовый вариант из реального прайса</t>
        </is>
      </c>
    </row>
    <row r="75">
      <c r="A75" s="47" t="inlineStr">
        <is>
          <t>WV-0074</t>
        </is>
      </c>
      <c r="B75" s="42" t="inlineStr">
        <is>
          <t>RWORK-0074</t>
        </is>
      </c>
      <c r="C75" s="42" t="inlineStr">
        <is>
          <t>Стандарт</t>
        </is>
      </c>
      <c r="D75" s="42" t="inlineStr">
        <is>
          <t>Стандарт</t>
        </is>
      </c>
      <c r="E75" s="55" t="n">
        <v>1</v>
      </c>
      <c r="F75" s="55" t="n">
        <v>1</v>
      </c>
      <c r="G75" s="56" t="n"/>
      <c r="H75" s="56" t="n">
        <v>1600</v>
      </c>
      <c r="I75" s="42" t="inlineStr">
        <is>
          <t>Да</t>
        </is>
      </c>
      <c r="J75" s="42" t="inlineStr">
        <is>
          <t>Да</t>
        </is>
      </c>
      <c r="K75" s="48" t="inlineStr">
        <is>
          <t>Автосозданный базовый вариант из реального прайса</t>
        </is>
      </c>
    </row>
    <row r="76">
      <c r="A76" s="44" t="inlineStr">
        <is>
          <t>WV-0075</t>
        </is>
      </c>
      <c r="B76" s="41" t="inlineStr">
        <is>
          <t>RWORK-0075</t>
        </is>
      </c>
      <c r="C76" s="41" t="inlineStr">
        <is>
          <t>Стандарт</t>
        </is>
      </c>
      <c r="D76" s="41" t="inlineStr">
        <is>
          <t>Стандарт</t>
        </is>
      </c>
      <c r="E76" s="53" t="n">
        <v>1</v>
      </c>
      <c r="F76" s="53" t="n">
        <v>1</v>
      </c>
      <c r="G76" s="54" t="n"/>
      <c r="H76" s="54" t="n">
        <v>1300</v>
      </c>
      <c r="I76" s="41" t="inlineStr">
        <is>
          <t>Да</t>
        </is>
      </c>
      <c r="J76" s="41" t="inlineStr">
        <is>
          <t>Да</t>
        </is>
      </c>
      <c r="K76" s="45" t="inlineStr">
        <is>
          <t>Автосозданный базовый вариант из реального прайса</t>
        </is>
      </c>
    </row>
    <row r="77">
      <c r="A77" s="47" t="inlineStr">
        <is>
          <t>WV-0076</t>
        </is>
      </c>
      <c r="B77" s="42" t="inlineStr">
        <is>
          <t>RWORK-0076</t>
        </is>
      </c>
      <c r="C77" s="42" t="inlineStr">
        <is>
          <t>Стандарт</t>
        </is>
      </c>
      <c r="D77" s="42" t="inlineStr">
        <is>
          <t>Стандарт</t>
        </is>
      </c>
      <c r="E77" s="55" t="n">
        <v>1</v>
      </c>
      <c r="F77" s="55" t="n">
        <v>1</v>
      </c>
      <c r="G77" s="56" t="n"/>
      <c r="H77" s="56" t="n">
        <v>3900</v>
      </c>
      <c r="I77" s="42" t="inlineStr">
        <is>
          <t>Да</t>
        </is>
      </c>
      <c r="J77" s="42" t="inlineStr">
        <is>
          <t>Да</t>
        </is>
      </c>
      <c r="K77" s="48" t="inlineStr">
        <is>
          <t>Автосозданный базовый вариант из реального прайса</t>
        </is>
      </c>
    </row>
    <row r="78">
      <c r="A78" s="44" t="inlineStr">
        <is>
          <t>WV-0077</t>
        </is>
      </c>
      <c r="B78" s="41" t="inlineStr">
        <is>
          <t>RWORK-0077</t>
        </is>
      </c>
      <c r="C78" s="41" t="inlineStr">
        <is>
          <t>Стандарт</t>
        </is>
      </c>
      <c r="D78" s="41" t="inlineStr">
        <is>
          <t>Стандарт</t>
        </is>
      </c>
      <c r="E78" s="53" t="n">
        <v>1</v>
      </c>
      <c r="F78" s="53" t="n">
        <v>1</v>
      </c>
      <c r="G78" s="54" t="n"/>
      <c r="H78" s="54" t="n">
        <v>0.05</v>
      </c>
      <c r="I78" s="41" t="inlineStr">
        <is>
          <t>Да</t>
        </is>
      </c>
      <c r="J78" s="41" t="inlineStr">
        <is>
          <t>Да</t>
        </is>
      </c>
      <c r="K78" s="45" t="inlineStr">
        <is>
          <t>Автосозданный базовый вариант из реального прайса</t>
        </is>
      </c>
    </row>
    <row r="79">
      <c r="A79" s="47" t="inlineStr">
        <is>
          <t>WV-0078</t>
        </is>
      </c>
      <c r="B79" s="42" t="inlineStr">
        <is>
          <t>RWORK-0078</t>
        </is>
      </c>
      <c r="C79" s="42" t="inlineStr">
        <is>
          <t>Стандарт</t>
        </is>
      </c>
      <c r="D79" s="42" t="inlineStr">
        <is>
          <t>Стандарт</t>
        </is>
      </c>
      <c r="E79" s="55" t="n">
        <v>1</v>
      </c>
      <c r="F79" s="55" t="n">
        <v>1</v>
      </c>
      <c r="G79" s="56" t="n"/>
      <c r="H79" s="56" t="n">
        <v>900</v>
      </c>
      <c r="I79" s="42" t="inlineStr">
        <is>
          <t>Да</t>
        </is>
      </c>
      <c r="J79" s="42" t="inlineStr">
        <is>
          <t>Да</t>
        </is>
      </c>
      <c r="K79" s="48" t="inlineStr">
        <is>
          <t>Автосозданный базовый вариант из реального прайса</t>
        </is>
      </c>
    </row>
    <row r="80">
      <c r="A80" s="44" t="inlineStr">
        <is>
          <t>WV-0079</t>
        </is>
      </c>
      <c r="B80" s="41" t="inlineStr">
        <is>
          <t>RWORK-0079</t>
        </is>
      </c>
      <c r="C80" s="41" t="inlineStr">
        <is>
          <t>Ручной</t>
        </is>
      </c>
      <c r="D80" s="41" t="inlineStr">
        <is>
          <t>Стандарт</t>
        </is>
      </c>
      <c r="E80" s="53" t="n">
        <v>1</v>
      </c>
      <c r="F80" s="53" t="n">
        <v>1</v>
      </c>
      <c r="G80" s="54" t="n"/>
      <c r="H80" s="54" t="n">
        <v>900</v>
      </c>
      <c r="I80" s="41" t="inlineStr">
        <is>
          <t>Да</t>
        </is>
      </c>
      <c r="J80" s="41" t="inlineStr">
        <is>
          <t>Да</t>
        </is>
      </c>
      <c r="K80" s="45" t="inlineStr">
        <is>
          <t>Автосозданный базовый вариант из реального прайса</t>
        </is>
      </c>
    </row>
    <row r="81">
      <c r="A81" s="47" t="inlineStr">
        <is>
          <t>WV-0080</t>
        </is>
      </c>
      <c r="B81" s="42" t="inlineStr">
        <is>
          <t>RWORK-0080</t>
        </is>
      </c>
      <c r="C81" s="42" t="inlineStr">
        <is>
          <t>Стандарт</t>
        </is>
      </c>
      <c r="D81" s="42" t="inlineStr">
        <is>
          <t>Стандарт</t>
        </is>
      </c>
      <c r="E81" s="55" t="n">
        <v>1</v>
      </c>
      <c r="F81" s="55" t="n">
        <v>1</v>
      </c>
      <c r="G81" s="56" t="n"/>
      <c r="H81" s="56" t="n">
        <v>400</v>
      </c>
      <c r="I81" s="42" t="inlineStr">
        <is>
          <t>Да</t>
        </is>
      </c>
      <c r="J81" s="42" t="inlineStr">
        <is>
          <t>Да</t>
        </is>
      </c>
      <c r="K81" s="48" t="inlineStr">
        <is>
          <t>Автосозданный базовый вариант из реального прайса</t>
        </is>
      </c>
    </row>
    <row r="82">
      <c r="A82" s="44" t="inlineStr">
        <is>
          <t>WV-0081</t>
        </is>
      </c>
      <c r="B82" s="41" t="inlineStr">
        <is>
          <t>RWORK-0081</t>
        </is>
      </c>
      <c r="C82" s="41" t="inlineStr">
        <is>
          <t>Стандарт</t>
        </is>
      </c>
      <c r="D82" s="41" t="inlineStr">
        <is>
          <t>Стандарт</t>
        </is>
      </c>
      <c r="E82" s="53" t="n">
        <v>1</v>
      </c>
      <c r="F82" s="53" t="n">
        <v>1</v>
      </c>
      <c r="G82" s="54" t="n"/>
      <c r="H82" s="54" t="n">
        <v>220</v>
      </c>
      <c r="I82" s="41" t="inlineStr">
        <is>
          <t>Да</t>
        </is>
      </c>
      <c r="J82" s="41" t="inlineStr">
        <is>
          <t>Да</t>
        </is>
      </c>
      <c r="K82" s="45" t="inlineStr">
        <is>
          <t>Автосозданный базовый вариант из реального прайса</t>
        </is>
      </c>
    </row>
    <row r="83">
      <c r="A83" s="47" t="inlineStr">
        <is>
          <t>WV-0082</t>
        </is>
      </c>
      <c r="B83" s="42" t="inlineStr">
        <is>
          <t>RWORK-0082</t>
        </is>
      </c>
      <c r="C83" s="42" t="inlineStr">
        <is>
          <t>Стандарт</t>
        </is>
      </c>
      <c r="D83" s="42" t="inlineStr">
        <is>
          <t>Стандарт</t>
        </is>
      </c>
      <c r="E83" s="55" t="n">
        <v>1</v>
      </c>
      <c r="F83" s="55" t="n">
        <v>1</v>
      </c>
      <c r="G83" s="56" t="n"/>
      <c r="H83" s="56" t="n">
        <v>15000</v>
      </c>
      <c r="I83" s="42" t="inlineStr">
        <is>
          <t>Да</t>
        </is>
      </c>
      <c r="J83" s="42" t="inlineStr">
        <is>
          <t>Да</t>
        </is>
      </c>
      <c r="K83" s="48" t="inlineStr">
        <is>
          <t>Автосозданный базовый вариант из реального прайса</t>
        </is>
      </c>
    </row>
    <row r="84">
      <c r="A84" s="44" t="inlineStr">
        <is>
          <t>WV-0083</t>
        </is>
      </c>
      <c r="B84" s="41" t="inlineStr">
        <is>
          <t>RWORK-0083</t>
        </is>
      </c>
      <c r="C84" s="41" t="inlineStr">
        <is>
          <t>Стандарт</t>
        </is>
      </c>
      <c r="D84" s="41" t="inlineStr">
        <is>
          <t>Стандарт</t>
        </is>
      </c>
      <c r="E84" s="53" t="n">
        <v>1</v>
      </c>
      <c r="F84" s="53" t="n">
        <v>1</v>
      </c>
      <c r="G84" s="54" t="n"/>
      <c r="H84" s="54" t="n">
        <v>26400</v>
      </c>
      <c r="I84" s="41" t="inlineStr">
        <is>
          <t>Да</t>
        </is>
      </c>
      <c r="J84" s="41" t="inlineStr">
        <is>
          <t>Да</t>
        </is>
      </c>
      <c r="K84" s="45" t="inlineStr">
        <is>
          <t>Автосозданный базовый вариант из реального прайса</t>
        </is>
      </c>
    </row>
    <row r="85">
      <c r="A85" s="47" t="inlineStr">
        <is>
          <t>WV-0084</t>
        </is>
      </c>
      <c r="B85" s="42" t="inlineStr">
        <is>
          <t>RWORK-0084</t>
        </is>
      </c>
      <c r="C85" s="42" t="inlineStr">
        <is>
          <t>Стандарт</t>
        </is>
      </c>
      <c r="D85" s="42" t="inlineStr">
        <is>
          <t>Стандарт</t>
        </is>
      </c>
      <c r="E85" s="55" t="n">
        <v>1</v>
      </c>
      <c r="F85" s="55" t="n">
        <v>1</v>
      </c>
      <c r="G85" s="56" t="n"/>
      <c r="H85" s="56" t="n">
        <v>250</v>
      </c>
      <c r="I85" s="42" t="inlineStr">
        <is>
          <t>Да</t>
        </is>
      </c>
      <c r="J85" s="42" t="inlineStr">
        <is>
          <t>Да</t>
        </is>
      </c>
      <c r="K85" s="48" t="inlineStr">
        <is>
          <t>Автосозданный базовый вариант из реального прайса</t>
        </is>
      </c>
    </row>
    <row r="86">
      <c r="A86" s="44" t="inlineStr">
        <is>
          <t>WV-0085</t>
        </is>
      </c>
      <c r="B86" s="41" t="inlineStr">
        <is>
          <t>RWORK-0085</t>
        </is>
      </c>
      <c r="C86" s="41" t="inlineStr">
        <is>
          <t>Стандарт</t>
        </is>
      </c>
      <c r="D86" s="41" t="inlineStr">
        <is>
          <t>Стандарт</t>
        </is>
      </c>
      <c r="E86" s="53" t="n">
        <v>1</v>
      </c>
      <c r="F86" s="53" t="n">
        <v>1</v>
      </c>
      <c r="G86" s="54" t="n"/>
      <c r="H86" s="54" t="n">
        <v>400</v>
      </c>
      <c r="I86" s="41" t="inlineStr">
        <is>
          <t>Да</t>
        </is>
      </c>
      <c r="J86" s="41" t="inlineStr">
        <is>
          <t>Да</t>
        </is>
      </c>
      <c r="K86" s="45" t="inlineStr">
        <is>
          <t>Автосозданный базовый вариант из реального прайса</t>
        </is>
      </c>
    </row>
    <row r="87">
      <c r="A87" s="47" t="inlineStr">
        <is>
          <t>WV-0086</t>
        </is>
      </c>
      <c r="B87" s="42" t="inlineStr">
        <is>
          <t>RWORK-0086</t>
        </is>
      </c>
      <c r="C87" s="42" t="inlineStr">
        <is>
          <t>Стандарт</t>
        </is>
      </c>
      <c r="D87" s="42" t="inlineStr">
        <is>
          <t>Стандарт</t>
        </is>
      </c>
      <c r="E87" s="55" t="n">
        <v>1</v>
      </c>
      <c r="F87" s="55" t="n">
        <v>1</v>
      </c>
      <c r="G87" s="56" t="n"/>
      <c r="H87" s="56" t="n">
        <v>470</v>
      </c>
      <c r="I87" s="42" t="inlineStr">
        <is>
          <t>Да</t>
        </is>
      </c>
      <c r="J87" s="42" t="inlineStr">
        <is>
          <t>Да</t>
        </is>
      </c>
      <c r="K87" s="48" t="inlineStr">
        <is>
          <t>Автосозданный базовый вариант из реального прайса</t>
        </is>
      </c>
    </row>
    <row r="88">
      <c r="A88" s="44" t="inlineStr">
        <is>
          <t>WV-0087</t>
        </is>
      </c>
      <c r="B88" s="41" t="inlineStr">
        <is>
          <t>RWORK-0087</t>
        </is>
      </c>
      <c r="C88" s="41" t="inlineStr">
        <is>
          <t>Стандарт</t>
        </is>
      </c>
      <c r="D88" s="41" t="inlineStr">
        <is>
          <t>Стандарт</t>
        </is>
      </c>
      <c r="E88" s="53" t="n">
        <v>1</v>
      </c>
      <c r="F88" s="53" t="n">
        <v>1</v>
      </c>
      <c r="G88" s="54" t="n"/>
      <c r="H88" s="54" t="n">
        <v>900</v>
      </c>
      <c r="I88" s="41" t="inlineStr">
        <is>
          <t>Да</t>
        </is>
      </c>
      <c r="J88" s="41" t="inlineStr">
        <is>
          <t>Да</t>
        </is>
      </c>
      <c r="K88" s="45" t="inlineStr">
        <is>
          <t>Автосозданный базовый вариант из реального прайса</t>
        </is>
      </c>
    </row>
    <row r="89">
      <c r="A89" s="47" t="inlineStr">
        <is>
          <t>WV-0088</t>
        </is>
      </c>
      <c r="B89" s="42" t="inlineStr">
        <is>
          <t>RWORK-0088</t>
        </is>
      </c>
      <c r="C89" s="42" t="inlineStr">
        <is>
          <t>Стандарт</t>
        </is>
      </c>
      <c r="D89" s="42" t="inlineStr">
        <is>
          <t>Стандарт</t>
        </is>
      </c>
      <c r="E89" s="55" t="n">
        <v>1</v>
      </c>
      <c r="F89" s="55" t="n">
        <v>1</v>
      </c>
      <c r="G89" s="56" t="n"/>
      <c r="H89" s="56" t="n">
        <v>600</v>
      </c>
      <c r="I89" s="42" t="inlineStr">
        <is>
          <t>Да</t>
        </is>
      </c>
      <c r="J89" s="42" t="inlineStr">
        <is>
          <t>Да</t>
        </is>
      </c>
      <c r="K89" s="48" t="inlineStr">
        <is>
          <t>Автосозданный базовый вариант из реального прайса</t>
        </is>
      </c>
    </row>
    <row r="90">
      <c r="A90" s="44" t="inlineStr">
        <is>
          <t>WV-0089</t>
        </is>
      </c>
      <c r="B90" s="41" t="inlineStr">
        <is>
          <t>RWORK-0089</t>
        </is>
      </c>
      <c r="C90" s="41" t="inlineStr">
        <is>
          <t>Стандарт</t>
        </is>
      </c>
      <c r="D90" s="41" t="inlineStr">
        <is>
          <t>Стандарт</t>
        </is>
      </c>
      <c r="E90" s="53" t="n">
        <v>1</v>
      </c>
      <c r="F90" s="53" t="n">
        <v>1</v>
      </c>
      <c r="G90" s="54" t="n"/>
      <c r="H90" s="54" t="n">
        <v>800</v>
      </c>
      <c r="I90" s="41" t="inlineStr">
        <is>
          <t>Да</t>
        </is>
      </c>
      <c r="J90" s="41" t="inlineStr">
        <is>
          <t>Да</t>
        </is>
      </c>
      <c r="K90" s="45" t="inlineStr">
        <is>
          <t>Автосозданный базовый вариант из реального прайса</t>
        </is>
      </c>
    </row>
    <row r="91">
      <c r="A91" s="47" t="inlineStr">
        <is>
          <t>WV-0090</t>
        </is>
      </c>
      <c r="B91" s="42" t="inlineStr">
        <is>
          <t>RWORK-0090</t>
        </is>
      </c>
      <c r="C91" s="42" t="inlineStr">
        <is>
          <t>Стандарт</t>
        </is>
      </c>
      <c r="D91" s="42" t="inlineStr">
        <is>
          <t>Стандарт</t>
        </is>
      </c>
      <c r="E91" s="55" t="n">
        <v>1</v>
      </c>
      <c r="F91" s="55" t="n">
        <v>1</v>
      </c>
      <c r="G91" s="56" t="n"/>
      <c r="H91" s="56" t="n">
        <v>500</v>
      </c>
      <c r="I91" s="42" t="inlineStr">
        <is>
          <t>Да</t>
        </is>
      </c>
      <c r="J91" s="42" t="inlineStr">
        <is>
          <t>Да</t>
        </is>
      </c>
      <c r="K91" s="48" t="inlineStr">
        <is>
          <t>Автосозданный базовый вариант из реального прайса</t>
        </is>
      </c>
    </row>
    <row r="92">
      <c r="A92" s="44" t="inlineStr">
        <is>
          <t>WV-0091</t>
        </is>
      </c>
      <c r="B92" s="41" t="inlineStr">
        <is>
          <t>RWORK-0091</t>
        </is>
      </c>
      <c r="C92" s="41" t="inlineStr">
        <is>
          <t>Стандарт</t>
        </is>
      </c>
      <c r="D92" s="41" t="inlineStr">
        <is>
          <t>Стандарт</t>
        </is>
      </c>
      <c r="E92" s="53" t="n">
        <v>1</v>
      </c>
      <c r="F92" s="53" t="n">
        <v>1</v>
      </c>
      <c r="G92" s="54" t="n"/>
      <c r="H92" s="54" t="n">
        <v>2000</v>
      </c>
      <c r="I92" s="41" t="inlineStr">
        <is>
          <t>Да</t>
        </is>
      </c>
      <c r="J92" s="41" t="inlineStr">
        <is>
          <t>Да</t>
        </is>
      </c>
      <c r="K92" s="45" t="inlineStr">
        <is>
          <t>Автосозданный базовый вариант из реального прайса</t>
        </is>
      </c>
    </row>
    <row r="93">
      <c r="A93" s="47" t="inlineStr">
        <is>
          <t>WV-0092</t>
        </is>
      </c>
      <c r="B93" s="42" t="inlineStr">
        <is>
          <t>RWORK-0092</t>
        </is>
      </c>
      <c r="C93" s="42" t="inlineStr">
        <is>
          <t>Стандарт</t>
        </is>
      </c>
      <c r="D93" s="42" t="inlineStr">
        <is>
          <t>Стандарт</t>
        </is>
      </c>
      <c r="E93" s="55" t="n">
        <v>1</v>
      </c>
      <c r="F93" s="55" t="n">
        <v>1</v>
      </c>
      <c r="G93" s="56" t="n"/>
      <c r="H93" s="56" t="n">
        <v>580</v>
      </c>
      <c r="I93" s="42" t="inlineStr">
        <is>
          <t>Да</t>
        </is>
      </c>
      <c r="J93" s="42" t="inlineStr">
        <is>
          <t>Да</t>
        </is>
      </c>
      <c r="K93" s="48" t="inlineStr">
        <is>
          <t>Автосозданный базовый вариант из реального прайса</t>
        </is>
      </c>
    </row>
    <row r="94">
      <c r="A94" s="44" t="inlineStr">
        <is>
          <t>WV-0093</t>
        </is>
      </c>
      <c r="B94" s="41" t="inlineStr">
        <is>
          <t>RWORK-0093</t>
        </is>
      </c>
      <c r="C94" s="41" t="inlineStr">
        <is>
          <t>Стандарт</t>
        </is>
      </c>
      <c r="D94" s="41" t="inlineStr">
        <is>
          <t>Стандарт</t>
        </is>
      </c>
      <c r="E94" s="53" t="n">
        <v>1</v>
      </c>
      <c r="F94" s="53" t="n">
        <v>1</v>
      </c>
      <c r="G94" s="54" t="n"/>
      <c r="H94" s="54" t="n">
        <v>700</v>
      </c>
      <c r="I94" s="41" t="inlineStr">
        <is>
          <t>Да</t>
        </is>
      </c>
      <c r="J94" s="41" t="inlineStr">
        <is>
          <t>Да</t>
        </is>
      </c>
      <c r="K94" s="45" t="inlineStr">
        <is>
          <t>Автосозданный базовый вариант из реального прайса</t>
        </is>
      </c>
    </row>
    <row r="95">
      <c r="A95" s="47" t="inlineStr">
        <is>
          <t>WV-0094</t>
        </is>
      </c>
      <c r="B95" s="42" t="inlineStr">
        <is>
          <t>RWORK-0094</t>
        </is>
      </c>
      <c r="C95" s="42" t="inlineStr">
        <is>
          <t>Стандарт</t>
        </is>
      </c>
      <c r="D95" s="42" t="inlineStr">
        <is>
          <t>Стандарт</t>
        </is>
      </c>
      <c r="E95" s="55" t="n">
        <v>1</v>
      </c>
      <c r="F95" s="55" t="n">
        <v>1</v>
      </c>
      <c r="G95" s="56" t="n"/>
      <c r="H95" s="56" t="n">
        <v>2000</v>
      </c>
      <c r="I95" s="42" t="inlineStr">
        <is>
          <t>Да</t>
        </is>
      </c>
      <c r="J95" s="42" t="inlineStr">
        <is>
          <t>Да</t>
        </is>
      </c>
      <c r="K95" s="48" t="inlineStr">
        <is>
          <t>Автосозданный базовый вариант из реального прайса</t>
        </is>
      </c>
    </row>
    <row r="96">
      <c r="A96" s="44" t="inlineStr">
        <is>
          <t>WV-0095</t>
        </is>
      </c>
      <c r="B96" s="41" t="inlineStr">
        <is>
          <t>RWORK-0095</t>
        </is>
      </c>
      <c r="C96" s="41" t="inlineStr">
        <is>
          <t>Стандарт</t>
        </is>
      </c>
      <c r="D96" s="41" t="inlineStr">
        <is>
          <t>Стандарт</t>
        </is>
      </c>
      <c r="E96" s="53" t="n">
        <v>1</v>
      </c>
      <c r="F96" s="53" t="n">
        <v>1</v>
      </c>
      <c r="G96" s="54" t="n"/>
      <c r="H96" s="54" t="n">
        <v>950</v>
      </c>
      <c r="I96" s="41" t="inlineStr">
        <is>
          <t>Да</t>
        </is>
      </c>
      <c r="J96" s="41" t="inlineStr">
        <is>
          <t>Да</t>
        </is>
      </c>
      <c r="K96" s="45" t="inlineStr">
        <is>
          <t>Автосозданный базовый вариант из реального прайса</t>
        </is>
      </c>
    </row>
    <row r="97">
      <c r="A97" s="47" t="inlineStr">
        <is>
          <t>WV-0096</t>
        </is>
      </c>
      <c r="B97" s="42" t="inlineStr">
        <is>
          <t>RWORK-0096</t>
        </is>
      </c>
      <c r="C97" s="42" t="inlineStr">
        <is>
          <t>Стандарт</t>
        </is>
      </c>
      <c r="D97" s="42" t="inlineStr">
        <is>
          <t>Стандарт</t>
        </is>
      </c>
      <c r="E97" s="55" t="n">
        <v>1</v>
      </c>
      <c r="F97" s="55" t="n">
        <v>1</v>
      </c>
      <c r="G97" s="56" t="n"/>
      <c r="H97" s="56" t="n">
        <v>150</v>
      </c>
      <c r="I97" s="42" t="inlineStr">
        <is>
          <t>Да</t>
        </is>
      </c>
      <c r="J97" s="42" t="inlineStr">
        <is>
          <t>Да</t>
        </is>
      </c>
      <c r="K97" s="48" t="inlineStr">
        <is>
          <t>Автосозданный базовый вариант из реального прайса</t>
        </is>
      </c>
    </row>
    <row r="98">
      <c r="A98" s="44" t="inlineStr">
        <is>
          <t>WV-0097</t>
        </is>
      </c>
      <c r="B98" s="41" t="inlineStr">
        <is>
          <t>RWORK-0097</t>
        </is>
      </c>
      <c r="C98" s="41" t="inlineStr">
        <is>
          <t>Механизированный</t>
        </is>
      </c>
      <c r="D98" s="41" t="inlineStr">
        <is>
          <t>Стандарт</t>
        </is>
      </c>
      <c r="E98" s="53" t="n">
        <v>1</v>
      </c>
      <c r="F98" s="53" t="n">
        <v>1</v>
      </c>
      <c r="G98" s="54" t="n"/>
      <c r="H98" s="54" t="n">
        <v>26000</v>
      </c>
      <c r="I98" s="41" t="inlineStr">
        <is>
          <t>Да</t>
        </is>
      </c>
      <c r="J98" s="41" t="inlineStr">
        <is>
          <t>Да</t>
        </is>
      </c>
      <c r="K98" s="45" t="inlineStr">
        <is>
          <t>Автосозданный базовый вариант из реального прайса</t>
        </is>
      </c>
    </row>
    <row r="99">
      <c r="A99" s="47" t="inlineStr">
        <is>
          <t>WV-0098</t>
        </is>
      </c>
      <c r="B99" s="42" t="inlineStr">
        <is>
          <t>RWORK-0098</t>
        </is>
      </c>
      <c r="C99" s="42" t="inlineStr">
        <is>
          <t>Стандарт</t>
        </is>
      </c>
      <c r="D99" s="42" t="inlineStr">
        <is>
          <t>Стандарт</t>
        </is>
      </c>
      <c r="E99" s="55" t="n">
        <v>1</v>
      </c>
      <c r="F99" s="55" t="n">
        <v>1</v>
      </c>
      <c r="G99" s="56" t="n"/>
      <c r="H99" s="56" t="n">
        <v>10000</v>
      </c>
      <c r="I99" s="42" t="inlineStr">
        <is>
          <t>Да</t>
        </is>
      </c>
      <c r="J99" s="42" t="inlineStr">
        <is>
          <t>Да</t>
        </is>
      </c>
      <c r="K99" s="48" t="inlineStr">
        <is>
          <t>Автосозданный базовый вариант из реального прайса</t>
        </is>
      </c>
    </row>
    <row r="100">
      <c r="A100" s="44" t="inlineStr">
        <is>
          <t>WV-0099</t>
        </is>
      </c>
      <c r="B100" s="41" t="inlineStr">
        <is>
          <t>RWORK-0099</t>
        </is>
      </c>
      <c r="C100" s="41" t="inlineStr">
        <is>
          <t>Стандарт</t>
        </is>
      </c>
      <c r="D100" s="41" t="inlineStr">
        <is>
          <t>Стандарт</t>
        </is>
      </c>
      <c r="E100" s="53" t="n">
        <v>1</v>
      </c>
      <c r="F100" s="53" t="n">
        <v>1</v>
      </c>
      <c r="G100" s="54" t="n"/>
      <c r="H100" s="54" t="n">
        <v>700</v>
      </c>
      <c r="I100" s="41" t="inlineStr">
        <is>
          <t>Да</t>
        </is>
      </c>
      <c r="J100" s="41" t="inlineStr">
        <is>
          <t>Да</t>
        </is>
      </c>
      <c r="K100" s="45" t="inlineStr">
        <is>
          <t>Автосозданный базовый вариант из реального прайса</t>
        </is>
      </c>
    </row>
    <row r="101">
      <c r="A101" s="47" t="inlineStr">
        <is>
          <t>WV-0100</t>
        </is>
      </c>
      <c r="B101" s="42" t="inlineStr">
        <is>
          <t>RWORK-0100</t>
        </is>
      </c>
      <c r="C101" s="42" t="inlineStr">
        <is>
          <t>Стандарт</t>
        </is>
      </c>
      <c r="D101" s="42" t="inlineStr">
        <is>
          <t>Стандарт</t>
        </is>
      </c>
      <c r="E101" s="55" t="n">
        <v>1</v>
      </c>
      <c r="F101" s="55" t="n">
        <v>1</v>
      </c>
      <c r="G101" s="56" t="n"/>
      <c r="H101" s="56" t="n">
        <v>30</v>
      </c>
      <c r="I101" s="42" t="inlineStr">
        <is>
          <t>Да</t>
        </is>
      </c>
      <c r="J101" s="42" t="inlineStr">
        <is>
          <t>Да</t>
        </is>
      </c>
      <c r="K101" s="48" t="inlineStr">
        <is>
          <t>Автосозданный базовый вариант из реального прайса</t>
        </is>
      </c>
    </row>
    <row r="102">
      <c r="A102" s="44" t="inlineStr">
        <is>
          <t>WV-0101</t>
        </is>
      </c>
      <c r="B102" s="41" t="inlineStr">
        <is>
          <t>RWORK-0101</t>
        </is>
      </c>
      <c r="C102" s="41" t="inlineStr">
        <is>
          <t>Ручной</t>
        </is>
      </c>
      <c r="D102" s="41" t="inlineStr">
        <is>
          <t>Стандарт</t>
        </is>
      </c>
      <c r="E102" s="53" t="n">
        <v>1</v>
      </c>
      <c r="F102" s="53" t="n">
        <v>1</v>
      </c>
      <c r="G102" s="54" t="n"/>
      <c r="H102" s="54" t="n">
        <v>220</v>
      </c>
      <c r="I102" s="41" t="inlineStr">
        <is>
          <t>Да</t>
        </is>
      </c>
      <c r="J102" s="41" t="inlineStr">
        <is>
          <t>Да</t>
        </is>
      </c>
      <c r="K102" s="45" t="inlineStr">
        <is>
          <t>Автосозданный базовый вариант из реального прайса</t>
        </is>
      </c>
    </row>
    <row r="103">
      <c r="A103" s="47" t="inlineStr">
        <is>
          <t>WV-0102</t>
        </is>
      </c>
      <c r="B103" s="42" t="inlineStr">
        <is>
          <t>RWORK-0102</t>
        </is>
      </c>
      <c r="C103" s="42" t="inlineStr">
        <is>
          <t>Стандарт</t>
        </is>
      </c>
      <c r="D103" s="42" t="inlineStr">
        <is>
          <t>Стандарт</t>
        </is>
      </c>
      <c r="E103" s="55" t="n">
        <v>1</v>
      </c>
      <c r="F103" s="55" t="n">
        <v>1</v>
      </c>
      <c r="G103" s="56" t="n"/>
      <c r="H103" s="56" t="n">
        <v>300</v>
      </c>
      <c r="I103" s="42" t="inlineStr">
        <is>
          <t>Да</t>
        </is>
      </c>
      <c r="J103" s="42" t="inlineStr">
        <is>
          <t>Да</t>
        </is>
      </c>
      <c r="K103" s="48" t="inlineStr">
        <is>
          <t>Автосозданный базовый вариант из реального прайса</t>
        </is>
      </c>
    </row>
    <row r="104">
      <c r="A104" s="44" t="inlineStr">
        <is>
          <t>WV-0103</t>
        </is>
      </c>
      <c r="B104" s="41" t="inlineStr">
        <is>
          <t>RWORK-0103</t>
        </is>
      </c>
      <c r="C104" s="41" t="inlineStr">
        <is>
          <t>Стандарт</t>
        </is>
      </c>
      <c r="D104" s="41" t="inlineStr">
        <is>
          <t>Стандарт</t>
        </is>
      </c>
      <c r="E104" s="53" t="n">
        <v>1</v>
      </c>
      <c r="F104" s="53" t="n">
        <v>1</v>
      </c>
      <c r="G104" s="54" t="n"/>
      <c r="H104" s="54" t="n">
        <v>3650</v>
      </c>
      <c r="I104" s="41" t="inlineStr">
        <is>
          <t>Да</t>
        </is>
      </c>
      <c r="J104" s="41" t="inlineStr">
        <is>
          <t>Да</t>
        </is>
      </c>
      <c r="K104" s="45" t="inlineStr">
        <is>
          <t>Автосозданный базовый вариант из реального прайса</t>
        </is>
      </c>
    </row>
    <row r="105">
      <c r="A105" s="47" t="inlineStr">
        <is>
          <t>WV-0104</t>
        </is>
      </c>
      <c r="B105" s="42" t="inlineStr">
        <is>
          <t>RWORK-0104</t>
        </is>
      </c>
      <c r="C105" s="42" t="inlineStr">
        <is>
          <t>Стандарт</t>
        </is>
      </c>
      <c r="D105" s="42" t="inlineStr">
        <is>
          <t>Стандарт</t>
        </is>
      </c>
      <c r="E105" s="55" t="n">
        <v>1</v>
      </c>
      <c r="F105" s="55" t="n">
        <v>1</v>
      </c>
      <c r="G105" s="56" t="n"/>
      <c r="H105" s="56" t="n">
        <v>3800</v>
      </c>
      <c r="I105" s="42" t="inlineStr">
        <is>
          <t>Да</t>
        </is>
      </c>
      <c r="J105" s="42" t="inlineStr">
        <is>
          <t>Да</t>
        </is>
      </c>
      <c r="K105" s="48" t="inlineStr">
        <is>
          <t>Автосозданный базовый вариант из реального прайса</t>
        </is>
      </c>
    </row>
    <row r="106">
      <c r="A106" s="44" t="inlineStr">
        <is>
          <t>WV-0105</t>
        </is>
      </c>
      <c r="B106" s="41" t="inlineStr">
        <is>
          <t>RWORK-0105</t>
        </is>
      </c>
      <c r="C106" s="41" t="inlineStr">
        <is>
          <t>Стандарт</t>
        </is>
      </c>
      <c r="D106" s="41" t="inlineStr">
        <is>
          <t>Стандарт</t>
        </is>
      </c>
      <c r="E106" s="53" t="n">
        <v>1</v>
      </c>
      <c r="F106" s="53" t="n">
        <v>1</v>
      </c>
      <c r="G106" s="54" t="n"/>
      <c r="H106" s="54" t="n">
        <v>0.01</v>
      </c>
      <c r="I106" s="41" t="inlineStr">
        <is>
          <t>Да</t>
        </is>
      </c>
      <c r="J106" s="41" t="inlineStr">
        <is>
          <t>Да</t>
        </is>
      </c>
      <c r="K106" s="45" t="inlineStr">
        <is>
          <t>Автосозданный базовый вариант из реального прайса</t>
        </is>
      </c>
    </row>
    <row r="107">
      <c r="A107" s="47" t="inlineStr">
        <is>
          <t>WV-0106</t>
        </is>
      </c>
      <c r="B107" s="42" t="inlineStr">
        <is>
          <t>RWORK-0106</t>
        </is>
      </c>
      <c r="C107" s="42" t="inlineStr">
        <is>
          <t>Стандарт</t>
        </is>
      </c>
      <c r="D107" s="42" t="inlineStr">
        <is>
          <t>Стандарт</t>
        </is>
      </c>
      <c r="E107" s="55" t="n">
        <v>1</v>
      </c>
      <c r="F107" s="55" t="n">
        <v>1</v>
      </c>
      <c r="G107" s="56" t="n"/>
      <c r="H107" s="56" t="n">
        <v>150</v>
      </c>
      <c r="I107" s="42" t="inlineStr">
        <is>
          <t>Да</t>
        </is>
      </c>
      <c r="J107" s="42" t="inlineStr">
        <is>
          <t>Да</t>
        </is>
      </c>
      <c r="K107" s="48" t="inlineStr">
        <is>
          <t>Автосозданный базовый вариант из реального прайса</t>
        </is>
      </c>
    </row>
    <row r="108">
      <c r="A108" s="44" t="inlineStr">
        <is>
          <t>WV-0107</t>
        </is>
      </c>
      <c r="B108" s="41" t="inlineStr">
        <is>
          <t>RWORK-0107</t>
        </is>
      </c>
      <c r="C108" s="41" t="inlineStr">
        <is>
          <t>Стандарт</t>
        </is>
      </c>
      <c r="D108" s="41" t="inlineStr">
        <is>
          <t>Стандарт</t>
        </is>
      </c>
      <c r="E108" s="53" t="n">
        <v>1</v>
      </c>
      <c r="F108" s="53" t="n">
        <v>1</v>
      </c>
      <c r="G108" s="54" t="n"/>
      <c r="H108" s="54" t="n">
        <v>40</v>
      </c>
      <c r="I108" s="41" t="inlineStr">
        <is>
          <t>Да</t>
        </is>
      </c>
      <c r="J108" s="41" t="inlineStr">
        <is>
          <t>Да</t>
        </is>
      </c>
      <c r="K108" s="45" t="inlineStr">
        <is>
          <t>Автосозданный базовый вариант из реального прайса</t>
        </is>
      </c>
    </row>
    <row r="109">
      <c r="A109" s="47" t="inlineStr">
        <is>
          <t>WV-0108</t>
        </is>
      </c>
      <c r="B109" s="42" t="inlineStr">
        <is>
          <t>RWORK-0108</t>
        </is>
      </c>
      <c r="C109" s="42" t="inlineStr">
        <is>
          <t>Стандарт</t>
        </is>
      </c>
      <c r="D109" s="42" t="inlineStr">
        <is>
          <t>Стандарт</t>
        </is>
      </c>
      <c r="E109" s="55" t="n">
        <v>1</v>
      </c>
      <c r="F109" s="55" t="n">
        <v>1</v>
      </c>
      <c r="G109" s="56" t="n"/>
      <c r="H109" s="56" t="n">
        <v>180</v>
      </c>
      <c r="I109" s="42" t="inlineStr">
        <is>
          <t>Да</t>
        </is>
      </c>
      <c r="J109" s="42" t="inlineStr">
        <is>
          <t>Да</t>
        </is>
      </c>
      <c r="K109" s="48" t="inlineStr">
        <is>
          <t>Автосозданный базовый вариант из реального прайса</t>
        </is>
      </c>
    </row>
    <row r="110">
      <c r="A110" s="44" t="inlineStr">
        <is>
          <t>WV-0109</t>
        </is>
      </c>
      <c r="B110" s="41" t="inlineStr">
        <is>
          <t>RWORK-0109</t>
        </is>
      </c>
      <c r="C110" s="41" t="inlineStr">
        <is>
          <t>Стандарт</t>
        </is>
      </c>
      <c r="D110" s="41" t="inlineStr">
        <is>
          <t>Стандарт</t>
        </is>
      </c>
      <c r="E110" s="53" t="n">
        <v>1</v>
      </c>
      <c r="F110" s="53" t="n">
        <v>1</v>
      </c>
      <c r="G110" s="54" t="n"/>
      <c r="H110" s="54" t="n">
        <v>600</v>
      </c>
      <c r="I110" s="41" t="inlineStr">
        <is>
          <t>Да</t>
        </is>
      </c>
      <c r="J110" s="41" t="inlineStr">
        <is>
          <t>Да</t>
        </is>
      </c>
      <c r="K110" s="45" t="inlineStr">
        <is>
          <t>Автосозданный базовый вариант из реального прайса</t>
        </is>
      </c>
    </row>
    <row r="111">
      <c r="A111" s="47" t="inlineStr">
        <is>
          <t>WV-0110</t>
        </is>
      </c>
      <c r="B111" s="42" t="inlineStr">
        <is>
          <t>RWORK-0110</t>
        </is>
      </c>
      <c r="C111" s="42" t="inlineStr">
        <is>
          <t>Механизированный</t>
        </is>
      </c>
      <c r="D111" s="42" t="inlineStr">
        <is>
          <t>Стандарт</t>
        </is>
      </c>
      <c r="E111" s="55" t="n">
        <v>1</v>
      </c>
      <c r="F111" s="55" t="n">
        <v>1</v>
      </c>
      <c r="G111" s="56" t="n"/>
      <c r="H111" s="56" t="n">
        <v>80</v>
      </c>
      <c r="I111" s="42" t="inlineStr">
        <is>
          <t>Да</t>
        </is>
      </c>
      <c r="J111" s="42" t="inlineStr">
        <is>
          <t>Да</t>
        </is>
      </c>
      <c r="K111" s="48" t="inlineStr">
        <is>
          <t>Автосозданный базовый вариант из реального прайса</t>
        </is>
      </c>
    </row>
    <row r="112">
      <c r="A112" s="44" t="inlineStr">
        <is>
          <t>WV-0111</t>
        </is>
      </c>
      <c r="B112" s="41" t="inlineStr">
        <is>
          <t>RWORK-0111</t>
        </is>
      </c>
      <c r="C112" s="41" t="inlineStr">
        <is>
          <t>Стандарт</t>
        </is>
      </c>
      <c r="D112" s="41" t="inlineStr">
        <is>
          <t>Стандарт</t>
        </is>
      </c>
      <c r="E112" s="53" t="n">
        <v>1</v>
      </c>
      <c r="F112" s="53" t="n">
        <v>1</v>
      </c>
      <c r="G112" s="54" t="n"/>
      <c r="H112" s="54" t="n">
        <v>2700</v>
      </c>
      <c r="I112" s="41" t="inlineStr">
        <is>
          <t>Да</t>
        </is>
      </c>
      <c r="J112" s="41" t="inlineStr">
        <is>
          <t>Да</t>
        </is>
      </c>
      <c r="K112" s="45" t="inlineStr">
        <is>
          <t>Автосозданный базовый вариант из реального прайса</t>
        </is>
      </c>
    </row>
    <row r="113">
      <c r="A113" s="47" t="inlineStr">
        <is>
          <t>WV-0112</t>
        </is>
      </c>
      <c r="B113" s="42" t="inlineStr">
        <is>
          <t>RWORK-0112</t>
        </is>
      </c>
      <c r="C113" s="42" t="inlineStr">
        <is>
          <t>Стандарт</t>
        </is>
      </c>
      <c r="D113" s="42" t="inlineStr">
        <is>
          <t>Стандарт</t>
        </is>
      </c>
      <c r="E113" s="55" t="n">
        <v>1</v>
      </c>
      <c r="F113" s="55" t="n">
        <v>1</v>
      </c>
      <c r="G113" s="56" t="n"/>
      <c r="H113" s="56" t="n">
        <v>1150</v>
      </c>
      <c r="I113" s="42" t="inlineStr">
        <is>
          <t>Да</t>
        </is>
      </c>
      <c r="J113" s="42" t="inlineStr">
        <is>
          <t>Да</t>
        </is>
      </c>
      <c r="K113" s="48" t="inlineStr">
        <is>
          <t>Автосозданный базовый вариант из реального прайса</t>
        </is>
      </c>
    </row>
    <row r="114">
      <c r="A114" s="44" t="inlineStr">
        <is>
          <t>WV-0113</t>
        </is>
      </c>
      <c r="B114" s="41" t="inlineStr">
        <is>
          <t>RWORK-0113</t>
        </is>
      </c>
      <c r="C114" s="41" t="inlineStr">
        <is>
          <t>Стандарт</t>
        </is>
      </c>
      <c r="D114" s="41" t="inlineStr">
        <is>
          <t>Стандарт</t>
        </is>
      </c>
      <c r="E114" s="53" t="n">
        <v>1</v>
      </c>
      <c r="F114" s="53" t="n">
        <v>1</v>
      </c>
      <c r="G114" s="54" t="n"/>
      <c r="H114" s="54" t="n">
        <v>1900</v>
      </c>
      <c r="I114" s="41" t="inlineStr">
        <is>
          <t>Да</t>
        </is>
      </c>
      <c r="J114" s="41" t="inlineStr">
        <is>
          <t>Да</t>
        </is>
      </c>
      <c r="K114" s="45" t="inlineStr">
        <is>
          <t>Автосозданный базовый вариант из реального прайса</t>
        </is>
      </c>
    </row>
    <row r="115">
      <c r="A115" s="47" t="inlineStr">
        <is>
          <t>WV-0114</t>
        </is>
      </c>
      <c r="B115" s="42" t="inlineStr">
        <is>
          <t>RWORK-0114</t>
        </is>
      </c>
      <c r="C115" s="42" t="inlineStr">
        <is>
          <t>Стандарт</t>
        </is>
      </c>
      <c r="D115" s="42" t="inlineStr">
        <is>
          <t>Стандарт</t>
        </is>
      </c>
      <c r="E115" s="55" t="n">
        <v>1</v>
      </c>
      <c r="F115" s="55" t="n">
        <v>1</v>
      </c>
      <c r="G115" s="56" t="n"/>
      <c r="H115" s="56" t="n">
        <v>1400</v>
      </c>
      <c r="I115" s="42" t="inlineStr">
        <is>
          <t>Да</t>
        </is>
      </c>
      <c r="J115" s="42" t="inlineStr">
        <is>
          <t>Да</t>
        </is>
      </c>
      <c r="K115" s="48" t="inlineStr">
        <is>
          <t>Автосозданный базовый вариант из реального прайса</t>
        </is>
      </c>
    </row>
    <row r="116">
      <c r="A116" s="44" t="inlineStr">
        <is>
          <t>WV-0115</t>
        </is>
      </c>
      <c r="B116" s="41" t="inlineStr">
        <is>
          <t>RWORK-0115</t>
        </is>
      </c>
      <c r="C116" s="41" t="inlineStr">
        <is>
          <t>Стандарт</t>
        </is>
      </c>
      <c r="D116" s="41" t="inlineStr">
        <is>
          <t>Стандарт</t>
        </is>
      </c>
      <c r="E116" s="53" t="n">
        <v>1</v>
      </c>
      <c r="F116" s="53" t="n">
        <v>1</v>
      </c>
      <c r="G116" s="54" t="n"/>
      <c r="H116" s="54" t="n">
        <v>900</v>
      </c>
      <c r="I116" s="41" t="inlineStr">
        <is>
          <t>Да</t>
        </is>
      </c>
      <c r="J116" s="41" t="inlineStr">
        <is>
          <t>Да</t>
        </is>
      </c>
      <c r="K116" s="45" t="inlineStr">
        <is>
          <t>Автосозданный базовый вариант из реального прайса</t>
        </is>
      </c>
    </row>
    <row r="117">
      <c r="A117" s="47" t="inlineStr">
        <is>
          <t>WV-0116</t>
        </is>
      </c>
      <c r="B117" s="42" t="inlineStr">
        <is>
          <t>RWORK-0116</t>
        </is>
      </c>
      <c r="C117" s="42" t="inlineStr">
        <is>
          <t>Стандарт</t>
        </is>
      </c>
      <c r="D117" s="42" t="inlineStr">
        <is>
          <t>Стандарт</t>
        </is>
      </c>
      <c r="E117" s="55" t="n">
        <v>1</v>
      </c>
      <c r="F117" s="55" t="n">
        <v>1</v>
      </c>
      <c r="G117" s="56" t="n"/>
      <c r="H117" s="56" t="n">
        <v>1400</v>
      </c>
      <c r="I117" s="42" t="inlineStr">
        <is>
          <t>Да</t>
        </is>
      </c>
      <c r="J117" s="42" t="inlineStr">
        <is>
          <t>Да</t>
        </is>
      </c>
      <c r="K117" s="48" t="inlineStr">
        <is>
          <t>Автосозданный базовый вариант из реального прайса</t>
        </is>
      </c>
    </row>
    <row r="118">
      <c r="A118" s="44" t="inlineStr">
        <is>
          <t>WV-0117</t>
        </is>
      </c>
      <c r="B118" s="41" t="inlineStr">
        <is>
          <t>RWORK-0117</t>
        </is>
      </c>
      <c r="C118" s="41" t="inlineStr">
        <is>
          <t>Стандарт</t>
        </is>
      </c>
      <c r="D118" s="41" t="inlineStr">
        <is>
          <t>Стандарт</t>
        </is>
      </c>
      <c r="E118" s="53" t="n">
        <v>1</v>
      </c>
      <c r="F118" s="53" t="n">
        <v>1</v>
      </c>
      <c r="G118" s="54" t="n"/>
      <c r="H118" s="54" t="n">
        <v>350</v>
      </c>
      <c r="I118" s="41" t="inlineStr">
        <is>
          <t>Да</t>
        </is>
      </c>
      <c r="J118" s="41" t="inlineStr">
        <is>
          <t>Да</t>
        </is>
      </c>
      <c r="K118" s="45" t="inlineStr">
        <is>
          <t>Автосозданный базовый вариант из реального прайса</t>
        </is>
      </c>
    </row>
    <row r="119">
      <c r="A119" s="47" t="inlineStr">
        <is>
          <t>WV-0118</t>
        </is>
      </c>
      <c r="B119" s="42" t="inlineStr">
        <is>
          <t>RWORK-0118</t>
        </is>
      </c>
      <c r="C119" s="42" t="inlineStr">
        <is>
          <t>Стандарт</t>
        </is>
      </c>
      <c r="D119" s="42" t="inlineStr">
        <is>
          <t>Стандарт</t>
        </is>
      </c>
      <c r="E119" s="55" t="n">
        <v>1</v>
      </c>
      <c r="F119" s="55" t="n">
        <v>1</v>
      </c>
      <c r="G119" s="56" t="n"/>
      <c r="H119" s="56" t="n">
        <v>100</v>
      </c>
      <c r="I119" s="42" t="inlineStr">
        <is>
          <t>Да</t>
        </is>
      </c>
      <c r="J119" s="42" t="inlineStr">
        <is>
          <t>Да</t>
        </is>
      </c>
      <c r="K119" s="48" t="inlineStr">
        <is>
          <t>Автосозданный базовый вариант из реального прайса</t>
        </is>
      </c>
    </row>
    <row r="120">
      <c r="A120" s="44" t="inlineStr">
        <is>
          <t>WV-0119</t>
        </is>
      </c>
      <c r="B120" s="41" t="inlineStr">
        <is>
          <t>RWORK-0119</t>
        </is>
      </c>
      <c r="C120" s="41" t="inlineStr">
        <is>
          <t>Стандарт</t>
        </is>
      </c>
      <c r="D120" s="41" t="inlineStr">
        <is>
          <t>Стандарт</t>
        </is>
      </c>
      <c r="E120" s="53" t="n">
        <v>1</v>
      </c>
      <c r="F120" s="53" t="n">
        <v>1</v>
      </c>
      <c r="G120" s="54" t="n"/>
      <c r="H120" s="54" t="n">
        <v>250</v>
      </c>
      <c r="I120" s="41" t="inlineStr">
        <is>
          <t>Да</t>
        </is>
      </c>
      <c r="J120" s="41" t="inlineStr">
        <is>
          <t>Да</t>
        </is>
      </c>
      <c r="K120" s="45" t="inlineStr">
        <is>
          <t>Автосозданный базовый вариант из реального прайса</t>
        </is>
      </c>
    </row>
    <row r="121">
      <c r="A121" s="47" t="inlineStr">
        <is>
          <t>WV-0120</t>
        </is>
      </c>
      <c r="B121" s="42" t="inlineStr">
        <is>
          <t>RWORK-0120</t>
        </is>
      </c>
      <c r="C121" s="42" t="inlineStr">
        <is>
          <t>Стандарт</t>
        </is>
      </c>
      <c r="D121" s="42" t="inlineStr">
        <is>
          <t>Стандарт</t>
        </is>
      </c>
      <c r="E121" s="55" t="n">
        <v>1</v>
      </c>
      <c r="F121" s="55" t="n">
        <v>1</v>
      </c>
      <c r="G121" s="56" t="n"/>
      <c r="H121" s="56" t="n">
        <v>680</v>
      </c>
      <c r="I121" s="42" t="inlineStr">
        <is>
          <t>Да</t>
        </is>
      </c>
      <c r="J121" s="42" t="inlineStr">
        <is>
          <t>Да</t>
        </is>
      </c>
      <c r="K121" s="48" t="inlineStr">
        <is>
          <t>Автосозданный базовый вариант из реального прайса</t>
        </is>
      </c>
    </row>
    <row r="122">
      <c r="A122" s="44" t="inlineStr">
        <is>
          <t>WV-0121</t>
        </is>
      </c>
      <c r="B122" s="41" t="inlineStr">
        <is>
          <t>RWORK-0121</t>
        </is>
      </c>
      <c r="C122" s="41" t="inlineStr">
        <is>
          <t>Стандарт</t>
        </is>
      </c>
      <c r="D122" s="41" t="inlineStr">
        <is>
          <t>Стандарт</t>
        </is>
      </c>
      <c r="E122" s="53" t="n">
        <v>1</v>
      </c>
      <c r="F122" s="53" t="n">
        <v>1</v>
      </c>
      <c r="G122" s="54" t="n"/>
      <c r="H122" s="54" t="n">
        <v>195</v>
      </c>
      <c r="I122" s="41" t="inlineStr">
        <is>
          <t>Да</t>
        </is>
      </c>
      <c r="J122" s="41" t="inlineStr">
        <is>
          <t>Да</t>
        </is>
      </c>
      <c r="K122" s="45" t="inlineStr">
        <is>
          <t>Автосозданный базовый вариант из реального прайса</t>
        </is>
      </c>
    </row>
    <row r="123">
      <c r="A123" s="47" t="inlineStr">
        <is>
          <t>WV-0122</t>
        </is>
      </c>
      <c r="B123" s="42" t="inlineStr">
        <is>
          <t>RWORK-0122</t>
        </is>
      </c>
      <c r="C123" s="42" t="inlineStr">
        <is>
          <t>Стандарт</t>
        </is>
      </c>
      <c r="D123" s="42" t="inlineStr">
        <is>
          <t>Стандарт</t>
        </is>
      </c>
      <c r="E123" s="55" t="n">
        <v>1</v>
      </c>
      <c r="F123" s="55" t="n">
        <v>1</v>
      </c>
      <c r="G123" s="56" t="n"/>
      <c r="H123" s="56" t="n">
        <v>208</v>
      </c>
      <c r="I123" s="42" t="inlineStr">
        <is>
          <t>Да</t>
        </is>
      </c>
      <c r="J123" s="42" t="inlineStr">
        <is>
          <t>Да</t>
        </is>
      </c>
      <c r="K123" s="48" t="inlineStr">
        <is>
          <t>Автосозданный базовый вариант из реального прайса</t>
        </is>
      </c>
    </row>
    <row r="124">
      <c r="A124" s="44" t="inlineStr">
        <is>
          <t>WV-0123</t>
        </is>
      </c>
      <c r="B124" s="41" t="inlineStr">
        <is>
          <t>RWORK-0123</t>
        </is>
      </c>
      <c r="C124" s="41" t="inlineStr">
        <is>
          <t>Стандарт</t>
        </is>
      </c>
      <c r="D124" s="41" t="inlineStr">
        <is>
          <t>Стандарт</t>
        </is>
      </c>
      <c r="E124" s="53" t="n">
        <v>1</v>
      </c>
      <c r="F124" s="53" t="n">
        <v>1</v>
      </c>
      <c r="G124" s="54" t="n"/>
      <c r="H124" s="54" t="n">
        <v>900</v>
      </c>
      <c r="I124" s="41" t="inlineStr">
        <is>
          <t>Да</t>
        </is>
      </c>
      <c r="J124" s="41" t="inlineStr">
        <is>
          <t>Да</t>
        </is>
      </c>
      <c r="K124" s="45" t="inlineStr">
        <is>
          <t>Автосозданный базовый вариант из реального прайса</t>
        </is>
      </c>
    </row>
    <row r="125">
      <c r="A125" s="47" t="inlineStr">
        <is>
          <t>WV-0124</t>
        </is>
      </c>
      <c r="B125" s="42" t="inlineStr">
        <is>
          <t>RWORK-0124</t>
        </is>
      </c>
      <c r="C125" s="42" t="inlineStr">
        <is>
          <t>Стандарт</t>
        </is>
      </c>
      <c r="D125" s="42" t="inlineStr">
        <is>
          <t>Стандарт</t>
        </is>
      </c>
      <c r="E125" s="55" t="n">
        <v>1</v>
      </c>
      <c r="F125" s="55" t="n">
        <v>1</v>
      </c>
      <c r="G125" s="56" t="n"/>
      <c r="H125" s="56" t="n">
        <v>6500</v>
      </c>
      <c r="I125" s="42" t="inlineStr">
        <is>
          <t>Да</t>
        </is>
      </c>
      <c r="J125" s="42" t="inlineStr">
        <is>
          <t>Да</t>
        </is>
      </c>
      <c r="K125" s="48" t="inlineStr">
        <is>
          <t>Автосозданный базовый вариант из реального прайса</t>
        </is>
      </c>
    </row>
    <row r="126">
      <c r="A126" s="44" t="inlineStr">
        <is>
          <t>WV-0125</t>
        </is>
      </c>
      <c r="B126" s="41" t="inlineStr">
        <is>
          <t>RWORK-0125</t>
        </is>
      </c>
      <c r="C126" s="41" t="inlineStr">
        <is>
          <t>Стандарт</t>
        </is>
      </c>
      <c r="D126" s="41" t="inlineStr">
        <is>
          <t>Стандарт</t>
        </is>
      </c>
      <c r="E126" s="53" t="n">
        <v>1</v>
      </c>
      <c r="F126" s="53" t="n">
        <v>1</v>
      </c>
      <c r="G126" s="54" t="n"/>
      <c r="H126" s="54" t="n">
        <v>150</v>
      </c>
      <c r="I126" s="41" t="inlineStr">
        <is>
          <t>Да</t>
        </is>
      </c>
      <c r="J126" s="41" t="inlineStr">
        <is>
          <t>Да</t>
        </is>
      </c>
      <c r="K126" s="45" t="inlineStr">
        <is>
          <t>Автосозданный базовый вариант из реального прайса</t>
        </is>
      </c>
    </row>
    <row r="127">
      <c r="A127" s="47" t="inlineStr">
        <is>
          <t>WV-0126</t>
        </is>
      </c>
      <c r="B127" s="42" t="inlineStr">
        <is>
          <t>RWORK-0126</t>
        </is>
      </c>
      <c r="C127" s="42" t="inlineStr">
        <is>
          <t>Стандарт</t>
        </is>
      </c>
      <c r="D127" s="42" t="inlineStr">
        <is>
          <t>Стандарт</t>
        </is>
      </c>
      <c r="E127" s="55" t="n">
        <v>1</v>
      </c>
      <c r="F127" s="55" t="n">
        <v>1</v>
      </c>
      <c r="G127" s="56" t="n"/>
      <c r="H127" s="56" t="n">
        <v>860</v>
      </c>
      <c r="I127" s="42" t="inlineStr">
        <is>
          <t>Да</t>
        </is>
      </c>
      <c r="J127" s="42" t="inlineStr">
        <is>
          <t>Да</t>
        </is>
      </c>
      <c r="K127" s="48" t="inlineStr">
        <is>
          <t>Автосозданный базовый вариант из реального прайса</t>
        </is>
      </c>
    </row>
    <row r="128">
      <c r="A128" s="44" t="inlineStr">
        <is>
          <t>WV-0127</t>
        </is>
      </c>
      <c r="B128" s="41" t="inlineStr">
        <is>
          <t>RWORK-0127</t>
        </is>
      </c>
      <c r="C128" s="41" t="inlineStr">
        <is>
          <t>Стандарт</t>
        </is>
      </c>
      <c r="D128" s="41" t="inlineStr">
        <is>
          <t>Стандарт</t>
        </is>
      </c>
      <c r="E128" s="53" t="n">
        <v>1</v>
      </c>
      <c r="F128" s="53" t="n">
        <v>1</v>
      </c>
      <c r="G128" s="54" t="n"/>
      <c r="H128" s="54" t="n">
        <v>640</v>
      </c>
      <c r="I128" s="41" t="inlineStr">
        <is>
          <t>Да</t>
        </is>
      </c>
      <c r="J128" s="41" t="inlineStr">
        <is>
          <t>Да</t>
        </is>
      </c>
      <c r="K128" s="45" t="inlineStr">
        <is>
          <t>Автосозданный базовый вариант из реального прайса</t>
        </is>
      </c>
    </row>
    <row r="129">
      <c r="A129" s="47" t="inlineStr">
        <is>
          <t>WV-0128</t>
        </is>
      </c>
      <c r="B129" s="42" t="inlineStr">
        <is>
          <t>RWORK-0128</t>
        </is>
      </c>
      <c r="C129" s="42" t="inlineStr">
        <is>
          <t>Стандарт</t>
        </is>
      </c>
      <c r="D129" s="42" t="inlineStr">
        <is>
          <t>Стандарт</t>
        </is>
      </c>
      <c r="E129" s="55" t="n">
        <v>1</v>
      </c>
      <c r="F129" s="55" t="n">
        <v>1</v>
      </c>
      <c r="G129" s="56" t="n"/>
      <c r="H129" s="56" t="n">
        <v>920</v>
      </c>
      <c r="I129" s="42" t="inlineStr">
        <is>
          <t>Да</t>
        </is>
      </c>
      <c r="J129" s="42" t="inlineStr">
        <is>
          <t>Да</t>
        </is>
      </c>
      <c r="K129" s="48" t="inlineStr">
        <is>
          <t>Автосозданный базовый вариант из реального прайса</t>
        </is>
      </c>
    </row>
    <row r="130">
      <c r="A130" s="44" t="inlineStr">
        <is>
          <t>WV-0129</t>
        </is>
      </c>
      <c r="B130" s="41" t="inlineStr">
        <is>
          <t>RWORK-0129</t>
        </is>
      </c>
      <c r="C130" s="41" t="inlineStr">
        <is>
          <t>Стандарт</t>
        </is>
      </c>
      <c r="D130" s="41" t="inlineStr">
        <is>
          <t>Стандарт</t>
        </is>
      </c>
      <c r="E130" s="53" t="n">
        <v>1</v>
      </c>
      <c r="F130" s="53" t="n">
        <v>1</v>
      </c>
      <c r="G130" s="54" t="n"/>
      <c r="H130" s="54" t="n">
        <v>500</v>
      </c>
      <c r="I130" s="41" t="inlineStr">
        <is>
          <t>Да</t>
        </is>
      </c>
      <c r="J130" s="41" t="inlineStr">
        <is>
          <t>Да</t>
        </is>
      </c>
      <c r="K130" s="45" t="inlineStr">
        <is>
          <t>Автосозданный базовый вариант из реального прайса</t>
        </is>
      </c>
    </row>
    <row r="131">
      <c r="A131" s="47" t="inlineStr">
        <is>
          <t>WV-0130</t>
        </is>
      </c>
      <c r="B131" s="42" t="inlineStr">
        <is>
          <t>RWORK-0130</t>
        </is>
      </c>
      <c r="C131" s="42" t="inlineStr">
        <is>
          <t>Стандарт</t>
        </is>
      </c>
      <c r="D131" s="42" t="inlineStr">
        <is>
          <t>Стандарт</t>
        </is>
      </c>
      <c r="E131" s="55" t="n">
        <v>1</v>
      </c>
      <c r="F131" s="55" t="n">
        <v>1</v>
      </c>
      <c r="G131" s="56" t="n"/>
      <c r="H131" s="56" t="n">
        <v>500</v>
      </c>
      <c r="I131" s="42" t="inlineStr">
        <is>
          <t>Да</t>
        </is>
      </c>
      <c r="J131" s="42" t="inlineStr">
        <is>
          <t>Да</t>
        </is>
      </c>
      <c r="K131" s="48" t="inlineStr">
        <is>
          <t>Автосозданный базовый вариант из реального прайса</t>
        </is>
      </c>
    </row>
    <row r="132">
      <c r="A132" s="44" t="inlineStr">
        <is>
          <t>WV-0131</t>
        </is>
      </c>
      <c r="B132" s="41" t="inlineStr">
        <is>
          <t>RWORK-0131</t>
        </is>
      </c>
      <c r="C132" s="41" t="inlineStr">
        <is>
          <t>Стандарт</t>
        </is>
      </c>
      <c r="D132" s="41" t="inlineStr">
        <is>
          <t>Стандарт</t>
        </is>
      </c>
      <c r="E132" s="53" t="n">
        <v>1</v>
      </c>
      <c r="F132" s="53" t="n">
        <v>1</v>
      </c>
      <c r="G132" s="54" t="n"/>
      <c r="H132" s="54" t="n">
        <v>750</v>
      </c>
      <c r="I132" s="41" t="inlineStr">
        <is>
          <t>Да</t>
        </is>
      </c>
      <c r="J132" s="41" t="inlineStr">
        <is>
          <t>Да</t>
        </is>
      </c>
      <c r="K132" s="45" t="inlineStr">
        <is>
          <t>Автосозданный базовый вариант из реального прайса</t>
        </is>
      </c>
    </row>
    <row r="133">
      <c r="A133" s="47" t="inlineStr">
        <is>
          <t>WV-0132</t>
        </is>
      </c>
      <c r="B133" s="42" t="inlineStr">
        <is>
          <t>RWORK-0132</t>
        </is>
      </c>
      <c r="C133" s="42" t="inlineStr">
        <is>
          <t>Стандарт</t>
        </is>
      </c>
      <c r="D133" s="42" t="inlineStr">
        <is>
          <t>Стандарт</t>
        </is>
      </c>
      <c r="E133" s="55" t="n">
        <v>1</v>
      </c>
      <c r="F133" s="55" t="n">
        <v>1</v>
      </c>
      <c r="G133" s="56" t="n"/>
      <c r="H133" s="56" t="n">
        <v>1800</v>
      </c>
      <c r="I133" s="42" t="inlineStr">
        <is>
          <t>Да</t>
        </is>
      </c>
      <c r="J133" s="42" t="inlineStr">
        <is>
          <t>Да</t>
        </is>
      </c>
      <c r="K133" s="48" t="inlineStr">
        <is>
          <t>Автосозданный базовый вариант из реального прайса</t>
        </is>
      </c>
    </row>
    <row r="134">
      <c r="A134" s="44" t="inlineStr">
        <is>
          <t>WV-0133</t>
        </is>
      </c>
      <c r="B134" s="41" t="inlineStr">
        <is>
          <t>RWORK-0133</t>
        </is>
      </c>
      <c r="C134" s="41" t="inlineStr">
        <is>
          <t>Стандарт</t>
        </is>
      </c>
      <c r="D134" s="41" t="inlineStr">
        <is>
          <t>Стандарт</t>
        </is>
      </c>
      <c r="E134" s="53" t="n">
        <v>1</v>
      </c>
      <c r="F134" s="53" t="n">
        <v>1</v>
      </c>
      <c r="G134" s="54" t="n"/>
      <c r="H134" s="54" t="n">
        <v>600</v>
      </c>
      <c r="I134" s="41" t="inlineStr">
        <is>
          <t>Да</t>
        </is>
      </c>
      <c r="J134" s="41" t="inlineStr">
        <is>
          <t>Да</t>
        </is>
      </c>
      <c r="K134" s="45" t="inlineStr">
        <is>
          <t>Автосозданный базовый вариант из реального прайса</t>
        </is>
      </c>
    </row>
    <row r="135">
      <c r="A135" s="47" t="inlineStr">
        <is>
          <t>WV-0134</t>
        </is>
      </c>
      <c r="B135" s="42" t="inlineStr">
        <is>
          <t>RWORK-0134</t>
        </is>
      </c>
      <c r="C135" s="42" t="inlineStr">
        <is>
          <t>Стандарт</t>
        </is>
      </c>
      <c r="D135" s="42" t="inlineStr">
        <is>
          <t>Стандарт</t>
        </is>
      </c>
      <c r="E135" s="55" t="n">
        <v>1</v>
      </c>
      <c r="F135" s="55" t="n">
        <v>1</v>
      </c>
      <c r="G135" s="56" t="n"/>
      <c r="H135" s="56" t="n">
        <v>70</v>
      </c>
      <c r="I135" s="42" t="inlineStr">
        <is>
          <t>Да</t>
        </is>
      </c>
      <c r="J135" s="42" t="inlineStr">
        <is>
          <t>Да</t>
        </is>
      </c>
      <c r="K135" s="48" t="inlineStr">
        <is>
          <t>Автосозданный базовый вариант из реального прайса</t>
        </is>
      </c>
    </row>
    <row r="136">
      <c r="A136" s="44" t="inlineStr">
        <is>
          <t>WV-0135</t>
        </is>
      </c>
      <c r="B136" s="41" t="inlineStr">
        <is>
          <t>RWORK-0135</t>
        </is>
      </c>
      <c r="C136" s="41" t="inlineStr">
        <is>
          <t>Стандарт</t>
        </is>
      </c>
      <c r="D136" s="41" t="inlineStr">
        <is>
          <t>Стандарт</t>
        </is>
      </c>
      <c r="E136" s="53" t="n">
        <v>1</v>
      </c>
      <c r="F136" s="53" t="n">
        <v>1</v>
      </c>
      <c r="G136" s="54" t="n"/>
      <c r="H136" s="54" t="n">
        <v>230</v>
      </c>
      <c r="I136" s="41" t="inlineStr">
        <is>
          <t>Да</t>
        </is>
      </c>
      <c r="J136" s="41" t="inlineStr">
        <is>
          <t>Да</t>
        </is>
      </c>
      <c r="K136" s="45" t="inlineStr">
        <is>
          <t>Автосозданный базовый вариант из реального прайса</t>
        </is>
      </c>
    </row>
    <row r="137">
      <c r="A137" s="47" t="inlineStr">
        <is>
          <t>WV-0136</t>
        </is>
      </c>
      <c r="B137" s="42" t="inlineStr">
        <is>
          <t>RWORK-0136</t>
        </is>
      </c>
      <c r="C137" s="42" t="inlineStr">
        <is>
          <t>Стандарт</t>
        </is>
      </c>
      <c r="D137" s="42" t="inlineStr">
        <is>
          <t>Стандарт</t>
        </is>
      </c>
      <c r="E137" s="55" t="n">
        <v>1</v>
      </c>
      <c r="F137" s="55" t="n">
        <v>1</v>
      </c>
      <c r="G137" s="56" t="n"/>
      <c r="H137" s="56" t="n">
        <v>220</v>
      </c>
      <c r="I137" s="42" t="inlineStr">
        <is>
          <t>Да</t>
        </is>
      </c>
      <c r="J137" s="42" t="inlineStr">
        <is>
          <t>Да</t>
        </is>
      </c>
      <c r="K137" s="48" t="inlineStr">
        <is>
          <t>Автосозданный базовый вариант из реального прайса</t>
        </is>
      </c>
    </row>
    <row r="138">
      <c r="A138" s="44" t="inlineStr">
        <is>
          <t>WV-0137</t>
        </is>
      </c>
      <c r="B138" s="41" t="inlineStr">
        <is>
          <t>RWORK-0137</t>
        </is>
      </c>
      <c r="C138" s="41" t="inlineStr">
        <is>
          <t>Стандарт</t>
        </is>
      </c>
      <c r="D138" s="41" t="inlineStr">
        <is>
          <t>Стандарт</t>
        </is>
      </c>
      <c r="E138" s="53" t="n">
        <v>1</v>
      </c>
      <c r="F138" s="53" t="n">
        <v>1</v>
      </c>
      <c r="G138" s="54" t="n"/>
      <c r="H138" s="54" t="n">
        <v>200</v>
      </c>
      <c r="I138" s="41" t="inlineStr">
        <is>
          <t>Да</t>
        </is>
      </c>
      <c r="J138" s="41" t="inlineStr">
        <is>
          <t>Да</t>
        </is>
      </c>
      <c r="K138" s="45" t="inlineStr">
        <is>
          <t>Автосозданный базовый вариант из реального прайса</t>
        </is>
      </c>
    </row>
    <row r="139">
      <c r="A139" s="47" t="inlineStr">
        <is>
          <t>WV-0138</t>
        </is>
      </c>
      <c r="B139" s="42" t="inlineStr">
        <is>
          <t>RWORK-0138</t>
        </is>
      </c>
      <c r="C139" s="42" t="inlineStr">
        <is>
          <t>Стандарт</t>
        </is>
      </c>
      <c r="D139" s="42" t="inlineStr">
        <is>
          <t>Стандарт</t>
        </is>
      </c>
      <c r="E139" s="55" t="n">
        <v>1</v>
      </c>
      <c r="F139" s="55" t="n">
        <v>1</v>
      </c>
      <c r="G139" s="56" t="n"/>
      <c r="H139" s="56" t="n">
        <v>130</v>
      </c>
      <c r="I139" s="42" t="inlineStr">
        <is>
          <t>Да</t>
        </is>
      </c>
      <c r="J139" s="42" t="inlineStr">
        <is>
          <t>Да</t>
        </is>
      </c>
      <c r="K139" s="48" t="inlineStr">
        <is>
          <t>Автосозданный базовый вариант из реального прайса</t>
        </is>
      </c>
    </row>
    <row r="140">
      <c r="A140" s="44" t="inlineStr">
        <is>
          <t>WV-0139</t>
        </is>
      </c>
      <c r="B140" s="41" t="inlineStr">
        <is>
          <t>RWORK-0139</t>
        </is>
      </c>
      <c r="C140" s="41" t="inlineStr">
        <is>
          <t>Стандарт</t>
        </is>
      </c>
      <c r="D140" s="41" t="inlineStr">
        <is>
          <t>Стандарт</t>
        </is>
      </c>
      <c r="E140" s="53" t="n">
        <v>1</v>
      </c>
      <c r="F140" s="53" t="n">
        <v>1</v>
      </c>
      <c r="G140" s="54" t="n"/>
      <c r="H140" s="54" t="n">
        <v>289</v>
      </c>
      <c r="I140" s="41" t="inlineStr">
        <is>
          <t>Да</t>
        </is>
      </c>
      <c r="J140" s="41" t="inlineStr">
        <is>
          <t>Да</t>
        </is>
      </c>
      <c r="K140" s="45" t="inlineStr">
        <is>
          <t>Автосозданный базовый вариант из реального прайса</t>
        </is>
      </c>
    </row>
    <row r="141">
      <c r="A141" s="47" t="inlineStr">
        <is>
          <t>WV-0140</t>
        </is>
      </c>
      <c r="B141" s="42" t="inlineStr">
        <is>
          <t>RWORK-0140</t>
        </is>
      </c>
      <c r="C141" s="42" t="inlineStr">
        <is>
          <t>Стандарт</t>
        </is>
      </c>
      <c r="D141" s="42" t="inlineStr">
        <is>
          <t>Стандарт</t>
        </is>
      </c>
      <c r="E141" s="55" t="n">
        <v>1</v>
      </c>
      <c r="F141" s="55" t="n">
        <v>1</v>
      </c>
      <c r="G141" s="56" t="n"/>
      <c r="H141" s="56" t="n">
        <v>480</v>
      </c>
      <c r="I141" s="42" t="inlineStr">
        <is>
          <t>Да</t>
        </is>
      </c>
      <c r="J141" s="42" t="inlineStr">
        <is>
          <t>Да</t>
        </is>
      </c>
      <c r="K141" s="48" t="inlineStr">
        <is>
          <t>Автосозданный базовый вариант из реального прайса</t>
        </is>
      </c>
    </row>
    <row r="142">
      <c r="A142" s="44" t="inlineStr">
        <is>
          <t>WV-0141</t>
        </is>
      </c>
      <c r="B142" s="41" t="inlineStr">
        <is>
          <t>RWORK-0141</t>
        </is>
      </c>
      <c r="C142" s="41" t="inlineStr">
        <is>
          <t>Стандарт</t>
        </is>
      </c>
      <c r="D142" s="41" t="inlineStr">
        <is>
          <t>Стандарт</t>
        </is>
      </c>
      <c r="E142" s="53" t="n">
        <v>1</v>
      </c>
      <c r="F142" s="53" t="n">
        <v>1</v>
      </c>
      <c r="G142" s="54" t="n"/>
      <c r="H142" s="54" t="n">
        <v>400</v>
      </c>
      <c r="I142" s="41" t="inlineStr">
        <is>
          <t>Да</t>
        </is>
      </c>
      <c r="J142" s="41" t="inlineStr">
        <is>
          <t>Да</t>
        </is>
      </c>
      <c r="K142" s="45" t="inlineStr">
        <is>
          <t>Автосозданный базовый вариант из реального прайса</t>
        </is>
      </c>
    </row>
    <row r="143">
      <c r="A143" s="47" t="inlineStr">
        <is>
          <t>WV-0142</t>
        </is>
      </c>
      <c r="B143" s="42" t="inlineStr">
        <is>
          <t>RWORK-0142</t>
        </is>
      </c>
      <c r="C143" s="42" t="inlineStr">
        <is>
          <t>Стандарт</t>
        </is>
      </c>
      <c r="D143" s="42" t="inlineStr">
        <is>
          <t>Стандарт</t>
        </is>
      </c>
      <c r="E143" s="55" t="n">
        <v>1</v>
      </c>
      <c r="F143" s="55" t="n">
        <v>1</v>
      </c>
      <c r="G143" s="56" t="n"/>
      <c r="H143" s="56" t="n">
        <v>510</v>
      </c>
      <c r="I143" s="42" t="inlineStr">
        <is>
          <t>Да</t>
        </is>
      </c>
      <c r="J143" s="42" t="inlineStr">
        <is>
          <t>Да</t>
        </is>
      </c>
      <c r="K143" s="48" t="inlineStr">
        <is>
          <t>Автосозданный базовый вариант из реального прайса</t>
        </is>
      </c>
    </row>
    <row r="144">
      <c r="A144" s="44" t="inlineStr">
        <is>
          <t>WV-0143</t>
        </is>
      </c>
      <c r="B144" s="41" t="inlineStr">
        <is>
          <t>RWORK-0143</t>
        </is>
      </c>
      <c r="C144" s="41" t="inlineStr">
        <is>
          <t>Стандарт</t>
        </is>
      </c>
      <c r="D144" s="41" t="inlineStr">
        <is>
          <t>Стандарт</t>
        </is>
      </c>
      <c r="E144" s="53" t="n">
        <v>1</v>
      </c>
      <c r="F144" s="53" t="n">
        <v>1</v>
      </c>
      <c r="G144" s="54" t="n"/>
      <c r="H144" s="54" t="n">
        <v>700</v>
      </c>
      <c r="I144" s="41" t="inlineStr">
        <is>
          <t>Да</t>
        </is>
      </c>
      <c r="J144" s="41" t="inlineStr">
        <is>
          <t>Да</t>
        </is>
      </c>
      <c r="K144" s="45" t="inlineStr">
        <is>
          <t>Автосозданный базовый вариант из реального прайса</t>
        </is>
      </c>
    </row>
    <row r="145">
      <c r="A145" s="47" t="inlineStr">
        <is>
          <t>WV-0144</t>
        </is>
      </c>
      <c r="B145" s="42" t="inlineStr">
        <is>
          <t>RWORK-0144</t>
        </is>
      </c>
      <c r="C145" s="42" t="inlineStr">
        <is>
          <t>Стандарт</t>
        </is>
      </c>
      <c r="D145" s="42" t="inlineStr">
        <is>
          <t>Стандарт</t>
        </is>
      </c>
      <c r="E145" s="55" t="n">
        <v>1</v>
      </c>
      <c r="F145" s="55" t="n">
        <v>1</v>
      </c>
      <c r="G145" s="56" t="n"/>
      <c r="H145" s="56" t="n">
        <v>120</v>
      </c>
      <c r="I145" s="42" t="inlineStr">
        <is>
          <t>Да</t>
        </is>
      </c>
      <c r="J145" s="42" t="inlineStr">
        <is>
          <t>Да</t>
        </is>
      </c>
      <c r="K145" s="48" t="inlineStr">
        <is>
          <t>Автосозданный базовый вариант из реального прайса</t>
        </is>
      </c>
    </row>
    <row r="146">
      <c r="A146" s="44" t="inlineStr">
        <is>
          <t>WV-0145</t>
        </is>
      </c>
      <c r="B146" s="41" t="inlineStr">
        <is>
          <t>RWORK-0145</t>
        </is>
      </c>
      <c r="C146" s="41" t="inlineStr">
        <is>
          <t>Стандарт</t>
        </is>
      </c>
      <c r="D146" s="41" t="inlineStr">
        <is>
          <t>Стандарт</t>
        </is>
      </c>
      <c r="E146" s="53" t="n">
        <v>1</v>
      </c>
      <c r="F146" s="53" t="n">
        <v>1</v>
      </c>
      <c r="G146" s="54" t="n"/>
      <c r="H146" s="54" t="n">
        <v>165</v>
      </c>
      <c r="I146" s="41" t="inlineStr">
        <is>
          <t>Да</t>
        </is>
      </c>
      <c r="J146" s="41" t="inlineStr">
        <is>
          <t>Да</t>
        </is>
      </c>
      <c r="K146" s="45" t="inlineStr">
        <is>
          <t>Автосозданный базовый вариант из реального прайса</t>
        </is>
      </c>
    </row>
    <row r="147">
      <c r="A147" s="47" t="inlineStr">
        <is>
          <t>WV-0146</t>
        </is>
      </c>
      <c r="B147" s="42" t="inlineStr">
        <is>
          <t>RWORK-0146</t>
        </is>
      </c>
      <c r="C147" s="42" t="inlineStr">
        <is>
          <t>Стандарт</t>
        </is>
      </c>
      <c r="D147" s="42" t="inlineStr">
        <is>
          <t>Стандарт</t>
        </is>
      </c>
      <c r="E147" s="55" t="n">
        <v>1</v>
      </c>
      <c r="F147" s="55" t="n">
        <v>1</v>
      </c>
      <c r="G147" s="56" t="n"/>
      <c r="H147" s="56" t="n">
        <v>198</v>
      </c>
      <c r="I147" s="42" t="inlineStr">
        <is>
          <t>Да</t>
        </is>
      </c>
      <c r="J147" s="42" t="inlineStr">
        <is>
          <t>Да</t>
        </is>
      </c>
      <c r="K147" s="48" t="inlineStr">
        <is>
          <t>Автосозданный базовый вариант из реального прайса</t>
        </is>
      </c>
    </row>
    <row r="148">
      <c r="A148" s="44" t="inlineStr">
        <is>
          <t>WV-0147</t>
        </is>
      </c>
      <c r="B148" s="41" t="inlineStr">
        <is>
          <t>RWORK-0147</t>
        </is>
      </c>
      <c r="C148" s="41" t="inlineStr">
        <is>
          <t>Стандарт</t>
        </is>
      </c>
      <c r="D148" s="41" t="inlineStr">
        <is>
          <t>Стандарт</t>
        </is>
      </c>
      <c r="E148" s="53" t="n">
        <v>1</v>
      </c>
      <c r="F148" s="53" t="n">
        <v>1</v>
      </c>
      <c r="G148" s="54" t="n"/>
      <c r="H148" s="54" t="n">
        <v>253</v>
      </c>
      <c r="I148" s="41" t="inlineStr">
        <is>
          <t>Да</t>
        </is>
      </c>
      <c r="J148" s="41" t="inlineStr">
        <is>
          <t>Да</t>
        </is>
      </c>
      <c r="K148" s="45" t="inlineStr">
        <is>
          <t>Автосозданный базовый вариант из реального прайса</t>
        </is>
      </c>
    </row>
    <row r="149">
      <c r="A149" s="47" t="inlineStr">
        <is>
          <t>WV-0148</t>
        </is>
      </c>
      <c r="B149" s="42" t="inlineStr">
        <is>
          <t>RWORK-0148</t>
        </is>
      </c>
      <c r="C149" s="42" t="inlineStr">
        <is>
          <t>Стандарт</t>
        </is>
      </c>
      <c r="D149" s="42" t="inlineStr">
        <is>
          <t>Стандарт</t>
        </is>
      </c>
      <c r="E149" s="55" t="n">
        <v>1</v>
      </c>
      <c r="F149" s="55" t="n">
        <v>1</v>
      </c>
      <c r="G149" s="56" t="n"/>
      <c r="H149" s="56" t="n">
        <v>275</v>
      </c>
      <c r="I149" s="42" t="inlineStr">
        <is>
          <t>Да</t>
        </is>
      </c>
      <c r="J149" s="42" t="inlineStr">
        <is>
          <t>Да</t>
        </is>
      </c>
      <c r="K149" s="48" t="inlineStr">
        <is>
          <t>Автосозданный базовый вариант из реального прайса</t>
        </is>
      </c>
    </row>
    <row r="150">
      <c r="A150" s="44" t="inlineStr">
        <is>
          <t>WV-0149</t>
        </is>
      </c>
      <c r="B150" s="41" t="inlineStr">
        <is>
          <t>RWORK-0149</t>
        </is>
      </c>
      <c r="C150" s="41" t="inlineStr">
        <is>
          <t>Стандарт</t>
        </is>
      </c>
      <c r="D150" s="41" t="inlineStr">
        <is>
          <t>Стандарт</t>
        </is>
      </c>
      <c r="E150" s="53" t="n">
        <v>1</v>
      </c>
      <c r="F150" s="53" t="n">
        <v>1</v>
      </c>
      <c r="G150" s="54" t="n"/>
      <c r="H150" s="54" t="n">
        <v>330</v>
      </c>
      <c r="I150" s="41" t="inlineStr">
        <is>
          <t>Да</t>
        </is>
      </c>
      <c r="J150" s="41" t="inlineStr">
        <is>
          <t>Да</t>
        </is>
      </c>
      <c r="K150" s="45" t="inlineStr">
        <is>
          <t>Автосозданный базовый вариант из реального прайса</t>
        </is>
      </c>
    </row>
    <row r="151">
      <c r="A151" s="47" t="inlineStr">
        <is>
          <t>WV-0150</t>
        </is>
      </c>
      <c r="B151" s="42" t="inlineStr">
        <is>
          <t>RWORK-0150</t>
        </is>
      </c>
      <c r="C151" s="42" t="inlineStr">
        <is>
          <t>Стандарт</t>
        </is>
      </c>
      <c r="D151" s="42" t="inlineStr">
        <is>
          <t>Стандарт</t>
        </is>
      </c>
      <c r="E151" s="55" t="n">
        <v>1</v>
      </c>
      <c r="F151" s="55" t="n">
        <v>1</v>
      </c>
      <c r="G151" s="56" t="n"/>
      <c r="H151" s="56" t="n">
        <v>660</v>
      </c>
      <c r="I151" s="42" t="inlineStr">
        <is>
          <t>Да</t>
        </is>
      </c>
      <c r="J151" s="42" t="inlineStr">
        <is>
          <t>Да</t>
        </is>
      </c>
      <c r="K151" s="48" t="inlineStr">
        <is>
          <t>Автосозданный базовый вариант из реального прайса</t>
        </is>
      </c>
    </row>
    <row r="152">
      <c r="A152" s="44" t="inlineStr">
        <is>
          <t>WV-0151</t>
        </is>
      </c>
      <c r="B152" s="41" t="inlineStr">
        <is>
          <t>RWORK-0151</t>
        </is>
      </c>
      <c r="C152" s="41" t="inlineStr">
        <is>
          <t>Стандарт</t>
        </is>
      </c>
      <c r="D152" s="41" t="inlineStr">
        <is>
          <t>Стандарт</t>
        </is>
      </c>
      <c r="E152" s="53" t="n">
        <v>1</v>
      </c>
      <c r="F152" s="53" t="n">
        <v>1</v>
      </c>
      <c r="G152" s="54" t="n"/>
      <c r="H152" s="54" t="n">
        <v>60</v>
      </c>
      <c r="I152" s="41" t="inlineStr">
        <is>
          <t>Да</t>
        </is>
      </c>
      <c r="J152" s="41" t="inlineStr">
        <is>
          <t>Да</t>
        </is>
      </c>
      <c r="K152" s="45" t="inlineStr">
        <is>
          <t>Автосозданный базовый вариант из реального прайса</t>
        </is>
      </c>
    </row>
    <row r="153">
      <c r="A153" s="47" t="inlineStr">
        <is>
          <t>WV-0152</t>
        </is>
      </c>
      <c r="B153" s="42" t="inlineStr">
        <is>
          <t>RWORK-0152</t>
        </is>
      </c>
      <c r="C153" s="42" t="inlineStr">
        <is>
          <t>Стандарт</t>
        </is>
      </c>
      <c r="D153" s="42" t="inlineStr">
        <is>
          <t>Стандарт</t>
        </is>
      </c>
      <c r="E153" s="55" t="n">
        <v>1</v>
      </c>
      <c r="F153" s="55" t="n">
        <v>1</v>
      </c>
      <c r="G153" s="56" t="n"/>
      <c r="H153" s="56" t="n">
        <v>260</v>
      </c>
      <c r="I153" s="42" t="inlineStr">
        <is>
          <t>Да</t>
        </is>
      </c>
      <c r="J153" s="42" t="inlineStr">
        <is>
          <t>Да</t>
        </is>
      </c>
      <c r="K153" s="48" t="inlineStr">
        <is>
          <t>Автосозданный базовый вариант из реального прайса</t>
        </is>
      </c>
    </row>
    <row r="154">
      <c r="A154" s="44" t="inlineStr">
        <is>
          <t>WV-0153</t>
        </is>
      </c>
      <c r="B154" s="41" t="inlineStr">
        <is>
          <t>RWORK-0153</t>
        </is>
      </c>
      <c r="C154" s="41" t="inlineStr">
        <is>
          <t>Стандарт</t>
        </is>
      </c>
      <c r="D154" s="41" t="inlineStr">
        <is>
          <t>Стандарт</t>
        </is>
      </c>
      <c r="E154" s="53" t="n">
        <v>1</v>
      </c>
      <c r="F154" s="53" t="n">
        <v>1</v>
      </c>
      <c r="G154" s="54" t="n"/>
      <c r="H154" s="54" t="n">
        <v>2550</v>
      </c>
      <c r="I154" s="41" t="inlineStr">
        <is>
          <t>Да</t>
        </is>
      </c>
      <c r="J154" s="41" t="inlineStr">
        <is>
          <t>Да</t>
        </is>
      </c>
      <c r="K154" s="45" t="inlineStr">
        <is>
          <t>Автосозданный базовый вариант из реального прайса</t>
        </is>
      </c>
    </row>
    <row r="155">
      <c r="A155" s="47" t="inlineStr">
        <is>
          <t>WV-0154</t>
        </is>
      </c>
      <c r="B155" s="42" t="inlineStr">
        <is>
          <t>RWORK-0154</t>
        </is>
      </c>
      <c r="C155" s="42" t="inlineStr">
        <is>
          <t>Стандарт</t>
        </is>
      </c>
      <c r="D155" s="42" t="inlineStr">
        <is>
          <t>Стандарт</t>
        </is>
      </c>
      <c r="E155" s="55" t="n">
        <v>1</v>
      </c>
      <c r="F155" s="55" t="n">
        <v>1</v>
      </c>
      <c r="G155" s="56" t="n"/>
      <c r="H155" s="56" t="n">
        <v>900</v>
      </c>
      <c r="I155" s="42" t="inlineStr">
        <is>
          <t>Да</t>
        </is>
      </c>
      <c r="J155" s="42" t="inlineStr">
        <is>
          <t>Да</t>
        </is>
      </c>
      <c r="K155" s="48" t="inlineStr">
        <is>
          <t>Автосозданный базовый вариант из реального прайса</t>
        </is>
      </c>
    </row>
    <row r="156">
      <c r="A156" s="44" t="inlineStr">
        <is>
          <t>WV-0155</t>
        </is>
      </c>
      <c r="B156" s="41" t="inlineStr">
        <is>
          <t>RWORK-0155</t>
        </is>
      </c>
      <c r="C156" s="41" t="inlineStr">
        <is>
          <t>Стандарт</t>
        </is>
      </c>
      <c r="D156" s="41" t="inlineStr">
        <is>
          <t>Стандарт</t>
        </is>
      </c>
      <c r="E156" s="53" t="n">
        <v>1</v>
      </c>
      <c r="F156" s="53" t="n">
        <v>1</v>
      </c>
      <c r="G156" s="54" t="n"/>
      <c r="H156" s="54" t="n">
        <v>3700</v>
      </c>
      <c r="I156" s="41" t="inlineStr">
        <is>
          <t>Да</t>
        </is>
      </c>
      <c r="J156" s="41" t="inlineStr">
        <is>
          <t>Да</t>
        </is>
      </c>
      <c r="K156" s="45" t="inlineStr">
        <is>
          <t>Автосозданный базовый вариант из реального прайса</t>
        </is>
      </c>
    </row>
    <row r="157">
      <c r="A157" s="47" t="inlineStr">
        <is>
          <t>WV-0156</t>
        </is>
      </c>
      <c r="B157" s="42" t="inlineStr">
        <is>
          <t>RWORK-0156</t>
        </is>
      </c>
      <c r="C157" s="42" t="inlineStr">
        <is>
          <t>Стандарт</t>
        </is>
      </c>
      <c r="D157" s="42" t="inlineStr">
        <is>
          <t>Стандарт</t>
        </is>
      </c>
      <c r="E157" s="55" t="n">
        <v>1</v>
      </c>
      <c r="F157" s="55" t="n">
        <v>1</v>
      </c>
      <c r="G157" s="56" t="n"/>
      <c r="H157" s="56" t="n">
        <v>950</v>
      </c>
      <c r="I157" s="42" t="inlineStr">
        <is>
          <t>Да</t>
        </is>
      </c>
      <c r="J157" s="42" t="inlineStr">
        <is>
          <t>Да</t>
        </is>
      </c>
      <c r="K157" s="48" t="inlineStr">
        <is>
          <t>Автосозданный базовый вариант из реального прайса</t>
        </is>
      </c>
    </row>
    <row r="158">
      <c r="A158" s="44" t="inlineStr">
        <is>
          <t>WV-0157</t>
        </is>
      </c>
      <c r="B158" s="41" t="inlineStr">
        <is>
          <t>RWORK-0157</t>
        </is>
      </c>
      <c r="C158" s="41" t="inlineStr">
        <is>
          <t>Стандарт</t>
        </is>
      </c>
      <c r="D158" s="41" t="inlineStr">
        <is>
          <t>Стандарт</t>
        </is>
      </c>
      <c r="E158" s="53" t="n">
        <v>1</v>
      </c>
      <c r="F158" s="53" t="n">
        <v>1</v>
      </c>
      <c r="G158" s="54" t="n"/>
      <c r="H158" s="54" t="n">
        <v>50</v>
      </c>
      <c r="I158" s="41" t="inlineStr">
        <is>
          <t>Да</t>
        </is>
      </c>
      <c r="J158" s="41" t="inlineStr">
        <is>
          <t>Да</t>
        </is>
      </c>
      <c r="K158" s="45" t="inlineStr">
        <is>
          <t>Автосозданный базовый вариант из реального прайса</t>
        </is>
      </c>
    </row>
  </sheetData>
  <autoFilter ref="A1:K158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40" customWidth="1" min="4" max="4"/>
    <col width="39" customWidth="1" min="5" max="5"/>
    <col width="30" customWidth="1" min="6" max="6"/>
    <col width="14" customWidth="1" min="7" max="7"/>
    <col width="10" customWidth="1" min="8" max="8"/>
    <col width="10" customWidth="1" min="9" max="9"/>
    <col width="10" customWidth="1" min="10" max="10"/>
    <col width="21" customWidth="1" min="11" max="11"/>
    <col width="26" customWidth="1" min="12" max="12"/>
    <col width="10" customWidth="1" min="13" max="13"/>
    <col width="31" customWidth="1" min="14" max="14"/>
    <col width="25" customWidth="1" min="15" max="15"/>
    <col width="18" customWidth="1" min="16" max="16"/>
    <col width="32" customWidth="1" min="17" max="17"/>
    <col width="17" customWidth="1" min="18" max="18"/>
  </cols>
  <sheetData>
    <row r="1">
      <c r="A1" s="40" t="inlineStr">
        <is>
          <t>MaterialID</t>
        </is>
      </c>
      <c r="B1" s="40" t="inlineStr">
        <is>
          <t>MaterialFamily</t>
        </is>
      </c>
      <c r="C1" s="40" t="inlineStr">
        <is>
          <t>CanonicalMaterial</t>
        </is>
      </c>
      <c r="D1" s="40" t="inlineStr">
        <is>
          <t>CommercialBaseName</t>
        </is>
      </c>
      <c r="E1" s="40" t="inlineStr">
        <is>
          <t>Section</t>
        </is>
      </c>
      <c r="F1" s="40" t="inlineStr">
        <is>
          <t>Subsection</t>
        </is>
      </c>
      <c r="G1" s="40" t="inlineStr">
        <is>
          <t>PositionType</t>
        </is>
      </c>
      <c r="H1" s="40" t="inlineStr">
        <is>
          <t>BaseUnit</t>
        </is>
      </c>
      <c r="I1" s="40" t="inlineStr">
        <is>
          <t>LengthMM</t>
        </is>
      </c>
      <c r="J1" s="40" t="inlineStr">
        <is>
          <t>WidthMM</t>
        </is>
      </c>
      <c r="K1" s="40" t="inlineStr">
        <is>
          <t>MaterialType</t>
        </is>
      </c>
      <c r="L1" s="40" t="inlineStr">
        <is>
          <t>DefaultClientDisplayMode</t>
        </is>
      </c>
      <c r="M1" s="40" t="inlineStr">
        <is>
          <t>IsActive</t>
        </is>
      </c>
      <c r="N1" s="40" t="inlineStr">
        <is>
          <t>Notes</t>
        </is>
      </c>
      <c r="O1" s="40" t="inlineStr">
        <is>
          <t>AllowanceGroup</t>
        </is>
      </c>
      <c r="P1" s="40" t="inlineStr">
        <is>
          <t>BaseReserveCoeff</t>
        </is>
      </c>
      <c r="Q1" s="40" t="inlineStr">
        <is>
          <t>AllowanceCalcMode</t>
        </is>
      </c>
      <c r="R1" s="40" t="inlineStr">
        <is>
          <t>TariffSensitive</t>
        </is>
      </c>
    </row>
    <row r="2">
      <c r="A2" s="41" t="inlineStr">
        <is>
          <t>RMAT-0001</t>
        </is>
      </c>
      <c r="B2" s="41" t="inlineStr">
        <is>
          <t>амфиболит колотый мм</t>
        </is>
      </c>
      <c r="C2" s="41" t="inlineStr">
        <is>
          <t>Амфиболит колотый 50*100*100мм</t>
        </is>
      </c>
      <c r="D2" s="41" t="inlineStr">
        <is>
          <t>Амфиболит колотый 50*100*100мм</t>
        </is>
      </c>
      <c r="E2" s="41" t="inlineStr">
        <is>
          <t>Мощение</t>
        </is>
      </c>
      <c r="F2" s="41" t="inlineStr">
        <is>
          <t>Покрытие</t>
        </is>
      </c>
      <c r="G2" s="41" t="inlineStr">
        <is>
          <t>Материал</t>
        </is>
      </c>
      <c r="H2" s="41" t="inlineStr">
        <is>
          <t>м2</t>
        </is>
      </c>
      <c r="I2" s="57" t="n">
        <v>50</v>
      </c>
      <c r="J2" s="57" t="n">
        <v>100</v>
      </c>
      <c r="K2" s="41" t="inlineStr">
        <is>
          <t>Покрытие</t>
        </is>
      </c>
      <c r="L2" s="41" t="inlineStr">
        <is>
          <t>Показать строкой</t>
        </is>
      </c>
      <c r="M2" s="41" t="inlineStr">
        <is>
          <t>Да</t>
        </is>
      </c>
      <c r="N2" s="45" t="inlineStr">
        <is>
          <t>Импортировано из PRICE_MASTER</t>
        </is>
      </c>
      <c r="O2" s="41" t="inlineStr">
        <is>
          <t>Штучные / покрытия</t>
        </is>
      </c>
      <c r="P2" s="53" t="n">
        <v>1.05</v>
      </c>
      <c r="Q2" s="41" t="inlineStr">
        <is>
          <t>NetArea/Length x reserve coeff</t>
        </is>
      </c>
      <c r="R2" s="41" t="inlineStr">
        <is>
          <t>Да</t>
        </is>
      </c>
    </row>
    <row r="3">
      <c r="A3" s="42" t="inlineStr">
        <is>
          <t>RMAT-0002</t>
        </is>
      </c>
      <c r="B3" s="42" t="inlineStr">
        <is>
          <t>анкер крепящий для ландшафтного бордюра количество для установки по дуге на п</t>
        </is>
      </c>
      <c r="C3" s="42" t="inlineStr">
        <is>
          <t>Анкер крепящий для ландшафтного бордюра (количество для установки по дуге 5шт. на 1м.п.)</t>
        </is>
      </c>
      <c r="D3" s="42" t="inlineStr">
        <is>
          <t>Анкер крепящий для ландшафтного бордюра (количество для установки по дуге 5шт. на 1м.п.)</t>
        </is>
      </c>
      <c r="E3" s="42" t="inlineStr">
        <is>
          <t>Газон</t>
        </is>
      </c>
      <c r="F3" s="42" t="inlineStr">
        <is>
          <t>Бордюры и ограничения</t>
        </is>
      </c>
      <c r="G3" s="42" t="inlineStr">
        <is>
          <t>Материал</t>
        </is>
      </c>
      <c r="H3" s="42" t="inlineStr">
        <is>
          <t>шт</t>
        </is>
      </c>
      <c r="I3" s="58" t="n"/>
      <c r="J3" s="58" t="n"/>
      <c r="K3" s="42" t="inlineStr">
        <is>
          <t>Бортовой элемент</t>
        </is>
      </c>
      <c r="L3" s="42" t="inlineStr">
        <is>
          <t>Показать строкой</t>
        </is>
      </c>
      <c r="M3" s="42" t="inlineStr">
        <is>
          <t>Да</t>
        </is>
      </c>
      <c r="N3" s="48" t="inlineStr">
        <is>
          <t>Импортировано из PRICE_MASTER</t>
        </is>
      </c>
      <c r="O3" s="42" t="inlineStr">
        <is>
          <t>Погонаж / доски / борта</t>
        </is>
      </c>
      <c r="P3" s="55" t="n">
        <v>1.1</v>
      </c>
      <c r="Q3" s="42" t="inlineStr">
        <is>
          <t>NetArea/Length x reserve coeff</t>
        </is>
      </c>
      <c r="R3" s="42" t="inlineStr">
        <is>
          <t>Да</t>
        </is>
      </c>
    </row>
    <row r="4">
      <c r="A4" s="41" t="inlineStr">
        <is>
          <t>RMAT-0003</t>
        </is>
      </c>
      <c r="B4" s="41" t="inlineStr">
        <is>
          <t>антисептик pinotex base</t>
        </is>
      </c>
      <c r="C4" s="41" t="inlineStr">
        <is>
          <t>Антисептик Pinotex Base</t>
        </is>
      </c>
      <c r="D4" s="41" t="inlineStr">
        <is>
          <t>Антисептик Pinotex Base</t>
        </is>
      </c>
      <c r="E4" s="41" t="inlineStr">
        <is>
          <t>Мощение</t>
        </is>
      </c>
      <c r="F4" s="41" t="inlineStr">
        <is>
          <t>Конструкции и отделка</t>
        </is>
      </c>
      <c r="G4" s="41" t="inlineStr">
        <is>
          <t>Материал</t>
        </is>
      </c>
      <c r="H4" s="41" t="inlineStr">
        <is>
          <t>л</t>
        </is>
      </c>
      <c r="I4" s="57" t="n"/>
      <c r="J4" s="57" t="n"/>
      <c r="K4" s="41" t="inlineStr">
        <is>
          <t>Прочий материал</t>
        </is>
      </c>
      <c r="L4" s="41" t="inlineStr">
        <is>
          <t>Показать строкой</t>
        </is>
      </c>
      <c r="M4" s="41" t="inlineStr">
        <is>
          <t>Да</t>
        </is>
      </c>
      <c r="N4" s="45" t="inlineStr">
        <is>
          <t>Импортировано из PRICE_MASTER</t>
        </is>
      </c>
      <c r="O4" s="41" t="inlineStr">
        <is>
          <t>Без доп. запаса</t>
        </is>
      </c>
      <c r="P4" s="53" t="n">
        <v>1</v>
      </c>
      <c r="Q4" s="41" t="inlineStr">
        <is>
          <t>Direct</t>
        </is>
      </c>
      <c r="R4" s="41" t="inlineStr">
        <is>
          <t>Да</t>
        </is>
      </c>
    </row>
    <row r="5">
      <c r="A5" s="42" t="inlineStr">
        <is>
          <t>RMAT-0004</t>
        </is>
      </c>
      <c r="B5" s="42" t="inlineStr">
        <is>
          <t>арматура рифленая</t>
        </is>
      </c>
      <c r="C5" s="42" t="inlineStr">
        <is>
          <t>арматура рифленая, 10мм</t>
        </is>
      </c>
      <c r="D5" s="42" t="inlineStr">
        <is>
          <t>арматура рифленая, 10мм</t>
        </is>
      </c>
      <c r="E5" s="42" t="inlineStr">
        <is>
          <t>Мощение</t>
        </is>
      </c>
      <c r="F5" s="42" t="inlineStr">
        <is>
          <t>Прочее по мощению</t>
        </is>
      </c>
      <c r="G5" s="42" t="inlineStr">
        <is>
          <t>Материал</t>
        </is>
      </c>
      <c r="H5" s="42" t="inlineStr">
        <is>
          <t>м.пог.</t>
        </is>
      </c>
      <c r="I5" s="58" t="n"/>
      <c r="J5" s="58" t="n"/>
      <c r="K5" s="42" t="inlineStr">
        <is>
          <t>Прочий материал</t>
        </is>
      </c>
      <c r="L5" s="42" t="inlineStr">
        <is>
          <t>Показать строкой</t>
        </is>
      </c>
      <c r="M5" s="42" t="inlineStr">
        <is>
          <t>Да</t>
        </is>
      </c>
      <c r="N5" s="48" t="inlineStr">
        <is>
          <t>Импортировано из PRICE_MASTER</t>
        </is>
      </c>
      <c r="O5" s="42" t="inlineStr">
        <is>
          <t>Без доп. запаса</t>
        </is>
      </c>
      <c r="P5" s="55" t="n">
        <v>1</v>
      </c>
      <c r="Q5" s="42" t="inlineStr">
        <is>
          <t>Direct</t>
        </is>
      </c>
      <c r="R5" s="42" t="inlineStr">
        <is>
          <t>Да</t>
        </is>
      </c>
    </row>
    <row r="6">
      <c r="A6" s="41" t="inlineStr">
        <is>
          <t>RMAT-0005</t>
        </is>
      </c>
      <c r="B6" s="41" t="inlineStr">
        <is>
          <t>арматура рифленая</t>
        </is>
      </c>
      <c r="C6" s="41" t="inlineStr">
        <is>
          <t>Арматура рифленая, 12мм</t>
        </is>
      </c>
      <c r="D6" s="41" t="inlineStr">
        <is>
          <t>Арматура рифленая, 12мм</t>
        </is>
      </c>
      <c r="E6" s="41" t="inlineStr">
        <is>
          <t>Мощение</t>
        </is>
      </c>
      <c r="F6" s="41" t="inlineStr">
        <is>
          <t>Прочее по мощению</t>
        </is>
      </c>
      <c r="G6" s="41" t="inlineStr">
        <is>
          <t>Материал</t>
        </is>
      </c>
      <c r="H6" s="41" t="inlineStr">
        <is>
          <t>м.пог.</t>
        </is>
      </c>
      <c r="I6" s="57" t="n"/>
      <c r="J6" s="57" t="n"/>
      <c r="K6" s="41" t="inlineStr">
        <is>
          <t>Прочий материал</t>
        </is>
      </c>
      <c r="L6" s="41" t="inlineStr">
        <is>
          <t>Показать строкой</t>
        </is>
      </c>
      <c r="M6" s="41" t="inlineStr">
        <is>
          <t>Да</t>
        </is>
      </c>
      <c r="N6" s="45" t="inlineStr">
        <is>
          <t>Импортировано из PRICE_MASTER</t>
        </is>
      </c>
      <c r="O6" s="41" t="inlineStr">
        <is>
          <t>Без доп. запаса</t>
        </is>
      </c>
      <c r="P6" s="53" t="n">
        <v>1</v>
      </c>
      <c r="Q6" s="41" t="inlineStr">
        <is>
          <t>Direct</t>
        </is>
      </c>
      <c r="R6" s="41" t="inlineStr">
        <is>
          <t>Да</t>
        </is>
      </c>
    </row>
    <row r="7">
      <c r="A7" s="42" t="inlineStr">
        <is>
          <t>RMAT-0006</t>
        </is>
      </c>
      <c r="B7" s="42" t="inlineStr">
        <is>
          <t>бетон миксер</t>
        </is>
      </c>
      <c r="C7" s="42" t="inlineStr">
        <is>
          <t>Бетон, миксер</t>
        </is>
      </c>
      <c r="D7" s="42" t="inlineStr">
        <is>
          <t>Бетон, миксер</t>
        </is>
      </c>
      <c r="E7" s="42" t="inlineStr">
        <is>
          <t>Ступени / пандусы / бетонные элементы</t>
        </is>
      </c>
      <c r="F7" s="42" t="inlineStr">
        <is>
          <t>Бетон и армирование</t>
        </is>
      </c>
      <c r="G7" s="42" t="inlineStr">
        <is>
          <t>Материал</t>
        </is>
      </c>
      <c r="H7" s="42" t="inlineStr">
        <is>
          <t>м3</t>
        </is>
      </c>
      <c r="I7" s="58" t="n"/>
      <c r="J7" s="58" t="n"/>
      <c r="K7" s="42" t="inlineStr">
        <is>
          <t>Сыпучий / объёмный</t>
        </is>
      </c>
      <c r="L7" s="42" t="inlineStr">
        <is>
          <t>Показать строкой</t>
        </is>
      </c>
      <c r="M7" s="42" t="inlineStr">
        <is>
          <t>Да</t>
        </is>
      </c>
      <c r="N7" s="48" t="inlineStr">
        <is>
          <t>Импортировано из PRICE_MASTER</t>
        </is>
      </c>
      <c r="O7" s="42" t="inlineStr">
        <is>
          <t>Сыпучие / объёмные</t>
        </is>
      </c>
      <c r="P7" s="55" t="n">
        <v>1.08</v>
      </c>
      <c r="Q7" s="42" t="inlineStr">
        <is>
          <t>NetQty x reserve coeff</t>
        </is>
      </c>
      <c r="R7" s="42" t="inlineStr">
        <is>
          <t>Да</t>
        </is>
      </c>
    </row>
    <row r="8">
      <c r="A8" s="41" t="inlineStr">
        <is>
          <t>RMAT-0007</t>
        </is>
      </c>
      <c r="B8" s="41" t="inlineStr">
        <is>
          <t>блок питания 100вт</t>
        </is>
      </c>
      <c r="C8" s="41" t="inlineStr">
        <is>
          <t>Блок питания 100Вт</t>
        </is>
      </c>
      <c r="D8" s="41" t="inlineStr">
        <is>
          <t>Блок питания 100Вт</t>
        </is>
      </c>
      <c r="E8" s="41" t="inlineStr">
        <is>
          <t>Освещение</t>
        </is>
      </c>
      <c r="F8" s="41" t="inlineStr">
        <is>
          <t>Оборудование и комплектующие</t>
        </is>
      </c>
      <c r="G8" s="41" t="inlineStr">
        <is>
          <t>Материал</t>
        </is>
      </c>
      <c r="H8" s="41" t="inlineStr">
        <is>
          <t>шт</t>
        </is>
      </c>
      <c r="I8" s="57" t="n"/>
      <c r="J8" s="57" t="n"/>
      <c r="K8" s="41" t="inlineStr">
        <is>
          <t>Штучный материал</t>
        </is>
      </c>
      <c r="L8" s="41" t="inlineStr">
        <is>
          <t>Показать строкой</t>
        </is>
      </c>
      <c r="M8" s="41" t="inlineStr">
        <is>
          <t>Да</t>
        </is>
      </c>
      <c r="N8" s="45" t="inlineStr">
        <is>
          <t>Импортировано из PRICE_MASTER</t>
        </is>
      </c>
      <c r="O8" s="41" t="inlineStr">
        <is>
          <t>Штучные / покрытия</t>
        </is>
      </c>
      <c r="P8" s="53" t="n">
        <v>1.05</v>
      </c>
      <c r="Q8" s="41" t="inlineStr">
        <is>
          <t>NetArea/Length x reserve coeff</t>
        </is>
      </c>
      <c r="R8" s="41" t="inlineStr">
        <is>
          <t>Да</t>
        </is>
      </c>
    </row>
    <row r="9">
      <c r="A9" s="42" t="inlineStr">
        <is>
          <t>RMAT-0008</t>
        </is>
      </c>
      <c r="B9" s="42" t="inlineStr">
        <is>
          <t>бордюр металлический</t>
        </is>
      </c>
      <c r="C9" s="42" t="inlineStr">
        <is>
          <t>Бордюр металлический</t>
        </is>
      </c>
      <c r="D9" s="42" t="inlineStr">
        <is>
          <t>Бордюр металлический</t>
        </is>
      </c>
      <c r="E9" s="42" t="inlineStr">
        <is>
          <t>Мощение</t>
        </is>
      </c>
      <c r="F9" s="42" t="inlineStr">
        <is>
          <t>Бордюры и ограничения</t>
        </is>
      </c>
      <c r="G9" s="42" t="inlineStr">
        <is>
          <t>Материал</t>
        </is>
      </c>
      <c r="H9" s="42" t="inlineStr">
        <is>
          <t>м.пог.</t>
        </is>
      </c>
      <c r="I9" s="58" t="n"/>
      <c r="J9" s="58" t="n"/>
      <c r="K9" s="42" t="inlineStr">
        <is>
          <t>Бортовой элемент</t>
        </is>
      </c>
      <c r="L9" s="42" t="inlineStr">
        <is>
          <t>Показать строкой</t>
        </is>
      </c>
      <c r="M9" s="42" t="inlineStr">
        <is>
          <t>Да</t>
        </is>
      </c>
      <c r="N9" s="48" t="inlineStr">
        <is>
          <t>Импортировано из PRICE_MASTER</t>
        </is>
      </c>
      <c r="O9" s="42" t="inlineStr">
        <is>
          <t>Погонаж / доски / борта</t>
        </is>
      </c>
      <c r="P9" s="55" t="n">
        <v>1.1</v>
      </c>
      <c r="Q9" s="42" t="inlineStr">
        <is>
          <t>NetArea/Length x reserve coeff</t>
        </is>
      </c>
      <c r="R9" s="42" t="inlineStr">
        <is>
          <t>Да</t>
        </is>
      </c>
    </row>
    <row r="10">
      <c r="A10" s="41" t="inlineStr">
        <is>
          <t>RMAT-0009</t>
        </is>
      </c>
      <c r="B10" s="41" t="inlineStr">
        <is>
          <t>бордюр пластиковый plastbort с крепежом</t>
        </is>
      </c>
      <c r="C10" s="41" t="inlineStr">
        <is>
          <t>Бордюр пластиковый Plastbort с крепежом</t>
        </is>
      </c>
      <c r="D10" s="41" t="inlineStr">
        <is>
          <t>Бордюр пластиковый Plastbort с крепежом</t>
        </is>
      </c>
      <c r="E10" s="41" t="inlineStr">
        <is>
          <t>Мощение</t>
        </is>
      </c>
      <c r="F10" s="41" t="inlineStr">
        <is>
          <t>Бордюры и ограничения</t>
        </is>
      </c>
      <c r="G10" s="41" t="inlineStr">
        <is>
          <t>Материал</t>
        </is>
      </c>
      <c r="H10" s="41" t="inlineStr">
        <is>
          <t>м.пог.</t>
        </is>
      </c>
      <c r="I10" s="57" t="n"/>
      <c r="J10" s="57" t="n"/>
      <c r="K10" s="41" t="inlineStr">
        <is>
          <t>Бортовой элемент</t>
        </is>
      </c>
      <c r="L10" s="41" t="inlineStr">
        <is>
          <t>Показать строкой</t>
        </is>
      </c>
      <c r="M10" s="41" t="inlineStr">
        <is>
          <t>Да</t>
        </is>
      </c>
      <c r="N10" s="45" t="inlineStr">
        <is>
          <t>Импортировано из PRICE_MASTER</t>
        </is>
      </c>
      <c r="O10" s="41" t="inlineStr">
        <is>
          <t>Погонаж / доски / борта</t>
        </is>
      </c>
      <c r="P10" s="53" t="n">
        <v>1.1</v>
      </c>
      <c r="Q10" s="41" t="inlineStr">
        <is>
          <t>NetArea/Length x reserve coeff</t>
        </is>
      </c>
      <c r="R10" s="41" t="inlineStr">
        <is>
          <t>Да</t>
        </is>
      </c>
    </row>
    <row r="11">
      <c r="A11" s="42" t="inlineStr">
        <is>
          <t>RMAT-0010</t>
        </is>
      </c>
      <c r="B11" s="42" t="inlineStr">
        <is>
          <t>бордюр пластиковый</t>
        </is>
      </c>
      <c r="C11" s="42" t="inlineStr">
        <is>
          <t>Бордюр пластиковый, 100х8х4.5см</t>
        </is>
      </c>
      <c r="D11" s="42" t="inlineStr">
        <is>
          <t>Бордюр пластиковый, 100х8х4.5см</t>
        </is>
      </c>
      <c r="E11" s="42" t="inlineStr">
        <is>
          <t>Газон</t>
        </is>
      </c>
      <c r="F11" s="42" t="inlineStr">
        <is>
          <t>Бордюры и ограничения</t>
        </is>
      </c>
      <c r="G11" s="42" t="inlineStr">
        <is>
          <t>Материал</t>
        </is>
      </c>
      <c r="H11" s="42" t="inlineStr">
        <is>
          <t>м.пог.</t>
        </is>
      </c>
      <c r="I11" s="58" t="n">
        <v>100</v>
      </c>
      <c r="J11" s="58" t="n">
        <v>8</v>
      </c>
      <c r="K11" s="42" t="inlineStr">
        <is>
          <t>Бортовой элемент</t>
        </is>
      </c>
      <c r="L11" s="42" t="inlineStr">
        <is>
          <t>Показать строкой</t>
        </is>
      </c>
      <c r="M11" s="42" t="inlineStr">
        <is>
          <t>Да</t>
        </is>
      </c>
      <c r="N11" s="48" t="inlineStr">
        <is>
          <t>Импортировано из PRICE_MASTER</t>
        </is>
      </c>
      <c r="O11" s="42" t="inlineStr">
        <is>
          <t>Погонаж / доски / борта</t>
        </is>
      </c>
      <c r="P11" s="55" t="n">
        <v>1.1</v>
      </c>
      <c r="Q11" s="42" t="inlineStr">
        <is>
          <t>NetArea/Length x reserve coeff</t>
        </is>
      </c>
      <c r="R11" s="42" t="inlineStr">
        <is>
          <t>Да</t>
        </is>
      </c>
    </row>
    <row r="12">
      <c r="A12" s="41" t="inlineStr">
        <is>
          <t>RMAT-0011</t>
        </is>
      </c>
      <c r="B12" s="41" t="inlineStr">
        <is>
          <t>брус мм</t>
        </is>
      </c>
      <c r="C12" s="41" t="inlineStr">
        <is>
          <t>Брус 50х50х3000мм</t>
        </is>
      </c>
      <c r="D12" s="41" t="inlineStr">
        <is>
          <t>Брус 50х50х3000мм</t>
        </is>
      </c>
      <c r="E12" s="41" t="inlineStr">
        <is>
          <t>Ступени / пандусы / бетонные элементы</t>
        </is>
      </c>
      <c r="F12" s="41" t="inlineStr">
        <is>
          <t>Прочее по бетонным элементам</t>
        </is>
      </c>
      <c r="G12" s="41" t="inlineStr">
        <is>
          <t>Материал</t>
        </is>
      </c>
      <c r="H12" s="41" t="inlineStr">
        <is>
          <t>шт</t>
        </is>
      </c>
      <c r="I12" s="57" t="n">
        <v>50</v>
      </c>
      <c r="J12" s="57" t="n">
        <v>50</v>
      </c>
      <c r="K12" s="41" t="inlineStr">
        <is>
          <t>Погонаж / дерево</t>
        </is>
      </c>
      <c r="L12" s="41" t="inlineStr">
        <is>
          <t>Показать строкой</t>
        </is>
      </c>
      <c r="M12" s="41" t="inlineStr">
        <is>
          <t>Да</t>
        </is>
      </c>
      <c r="N12" s="45" t="inlineStr">
        <is>
          <t>Импортировано из PRICE_MASTER</t>
        </is>
      </c>
      <c r="O12" s="41" t="inlineStr">
        <is>
          <t>Погонаж / доски / борта</t>
        </is>
      </c>
      <c r="P12" s="53" t="n">
        <v>1.1</v>
      </c>
      <c r="Q12" s="41" t="inlineStr">
        <is>
          <t>NetArea/Length x reserve coeff</t>
        </is>
      </c>
      <c r="R12" s="41" t="inlineStr">
        <is>
          <t>Да</t>
        </is>
      </c>
    </row>
    <row r="13">
      <c r="A13" s="42" t="inlineStr">
        <is>
          <t>RMAT-0012</t>
        </is>
      </c>
      <c r="B13" s="42" t="inlineStr">
        <is>
          <t>брусок сухой сосна мм сорт ав</t>
        </is>
      </c>
      <c r="C13" s="42" t="inlineStr">
        <is>
          <t>Брусок сухой сосна 30х45х3000 мм сорт АВ</t>
        </is>
      </c>
      <c r="D13" s="42" t="inlineStr">
        <is>
          <t>Брусок сухой сосна 30х45х3000 мм сорт АВ</t>
        </is>
      </c>
      <c r="E13" s="42" t="inlineStr">
        <is>
          <t>Мощение</t>
        </is>
      </c>
      <c r="F13" s="42" t="inlineStr">
        <is>
          <t>Конструкции и отделка</t>
        </is>
      </c>
      <c r="G13" s="42" t="inlineStr">
        <is>
          <t>Материал</t>
        </is>
      </c>
      <c r="H13" s="42" t="inlineStr">
        <is>
          <t>шт</t>
        </is>
      </c>
      <c r="I13" s="58" t="n">
        <v>30</v>
      </c>
      <c r="J13" s="58" t="n">
        <v>45</v>
      </c>
      <c r="K13" s="42" t="inlineStr">
        <is>
          <t>Погонаж / дерево</t>
        </is>
      </c>
      <c r="L13" s="42" t="inlineStr">
        <is>
          <t>Показать строкой</t>
        </is>
      </c>
      <c r="M13" s="42" t="inlineStr">
        <is>
          <t>Да</t>
        </is>
      </c>
      <c r="N13" s="48" t="inlineStr">
        <is>
          <t>Импортировано из PRICE_MASTER</t>
        </is>
      </c>
      <c r="O13" s="42" t="inlineStr">
        <is>
          <t>Погонаж / доски / борта</t>
        </is>
      </c>
      <c r="P13" s="55" t="n">
        <v>1.1</v>
      </c>
      <c r="Q13" s="42" t="inlineStr">
        <is>
          <t>NetArea/Length x reserve coeff</t>
        </is>
      </c>
      <c r="R13" s="42" t="inlineStr">
        <is>
          <t>Да</t>
        </is>
      </c>
    </row>
    <row r="14">
      <c r="A14" s="41" t="inlineStr">
        <is>
          <t>RMAT-0013</t>
        </is>
      </c>
      <c r="B14" s="41" t="inlineStr">
        <is>
          <t>брусчатка гранитная мм</t>
        </is>
      </c>
      <c r="C14" s="41" t="inlineStr">
        <is>
          <t>Брусчатка гранитная, 100х100х100мм</t>
        </is>
      </c>
      <c r="D14" s="41" t="inlineStr">
        <is>
          <t>Брусчатка гранитная, 100х100х100мм</t>
        </is>
      </c>
      <c r="E14" s="41" t="inlineStr">
        <is>
          <t>Мощение</t>
        </is>
      </c>
      <c r="F14" s="41" t="inlineStr">
        <is>
          <t>Покрытие</t>
        </is>
      </c>
      <c r="G14" s="41" t="inlineStr">
        <is>
          <t>Материал</t>
        </is>
      </c>
      <c r="H14" s="41" t="inlineStr">
        <is>
          <t>м2</t>
        </is>
      </c>
      <c r="I14" s="57" t="n">
        <v>100</v>
      </c>
      <c r="J14" s="57" t="n">
        <v>100</v>
      </c>
      <c r="K14" s="41" t="inlineStr">
        <is>
          <t>Покрытие</t>
        </is>
      </c>
      <c r="L14" s="41" t="inlineStr">
        <is>
          <t>Показать строкой</t>
        </is>
      </c>
      <c r="M14" s="41" t="inlineStr">
        <is>
          <t>Да</t>
        </is>
      </c>
      <c r="N14" s="45" t="inlineStr">
        <is>
          <t>Импортировано из PRICE_MASTER</t>
        </is>
      </c>
      <c r="O14" s="41" t="inlineStr">
        <is>
          <t>Штучные / покрытия</t>
        </is>
      </c>
      <c r="P14" s="53" t="n">
        <v>1.05</v>
      </c>
      <c r="Q14" s="41" t="inlineStr">
        <is>
          <t>NetArea/Length x reserve coeff</t>
        </is>
      </c>
      <c r="R14" s="41" t="inlineStr">
        <is>
          <t>Да</t>
        </is>
      </c>
    </row>
    <row r="15">
      <c r="A15" s="42" t="inlineStr">
        <is>
          <t>RMAT-0014</t>
        </is>
      </c>
      <c r="B15" s="42" t="inlineStr">
        <is>
          <t>брусчатка гранитная мм</t>
        </is>
      </c>
      <c r="C15" s="42" t="inlineStr">
        <is>
          <t>Брусчатка гранитная, 100х100х50мм</t>
        </is>
      </c>
      <c r="D15" s="42" t="inlineStr">
        <is>
          <t>Брусчатка гранитная, 100х100х50мм</t>
        </is>
      </c>
      <c r="E15" s="42" t="inlineStr">
        <is>
          <t>Мощение</t>
        </is>
      </c>
      <c r="F15" s="42" t="inlineStr">
        <is>
          <t>Покрытие</t>
        </is>
      </c>
      <c r="G15" s="42" t="inlineStr">
        <is>
          <t>Материал</t>
        </is>
      </c>
      <c r="H15" s="42" t="inlineStr">
        <is>
          <t>м2</t>
        </is>
      </c>
      <c r="I15" s="58" t="n">
        <v>100</v>
      </c>
      <c r="J15" s="58" t="n">
        <v>100</v>
      </c>
      <c r="K15" s="42" t="inlineStr">
        <is>
          <t>Покрытие</t>
        </is>
      </c>
      <c r="L15" s="42" t="inlineStr">
        <is>
          <t>Показать строкой</t>
        </is>
      </c>
      <c r="M15" s="42" t="inlineStr">
        <is>
          <t>Да</t>
        </is>
      </c>
      <c r="N15" s="48" t="inlineStr">
        <is>
          <t>Импортировано из PRICE_MASTER</t>
        </is>
      </c>
      <c r="O15" s="42" t="inlineStr">
        <is>
          <t>Штучные / покрытия</t>
        </is>
      </c>
      <c r="P15" s="55" t="n">
        <v>1.05</v>
      </c>
      <c r="Q15" s="42" t="inlineStr">
        <is>
          <t>NetArea/Length x reserve coeff</t>
        </is>
      </c>
      <c r="R15" s="42" t="inlineStr">
        <is>
          <t>Да</t>
        </is>
      </c>
    </row>
    <row r="16">
      <c r="A16" s="41" t="inlineStr">
        <is>
          <t>RMAT-0015</t>
        </is>
      </c>
      <c r="B16" s="41" t="inlineStr">
        <is>
          <t>брусчатка пиленная шунгитный сланец</t>
        </is>
      </c>
      <c r="C16" s="41" t="inlineStr">
        <is>
          <t>Брусчатка пиленная, шунгитный сланец</t>
        </is>
      </c>
      <c r="D16" s="41" t="inlineStr">
        <is>
          <t>Брусчатка пиленная, шунгитный сланец</t>
        </is>
      </c>
      <c r="E16" s="41" t="inlineStr">
        <is>
          <t>Мощение</t>
        </is>
      </c>
      <c r="F16" s="41" t="inlineStr">
        <is>
          <t>Покрытие</t>
        </is>
      </c>
      <c r="G16" s="41" t="inlineStr">
        <is>
          <t>Материал</t>
        </is>
      </c>
      <c r="H16" s="41" t="inlineStr">
        <is>
          <t>м2</t>
        </is>
      </c>
      <c r="I16" s="57" t="n"/>
      <c r="J16" s="57" t="n"/>
      <c r="K16" s="41" t="inlineStr">
        <is>
          <t>Покрытие</t>
        </is>
      </c>
      <c r="L16" s="41" t="inlineStr">
        <is>
          <t>Показать строкой</t>
        </is>
      </c>
      <c r="M16" s="41" t="inlineStr">
        <is>
          <t>Да</t>
        </is>
      </c>
      <c r="N16" s="45" t="inlineStr">
        <is>
          <t>Импортировано из PRICE_MASTER</t>
        </is>
      </c>
      <c r="O16" s="41" t="inlineStr">
        <is>
          <t>Штучные / покрытия</t>
        </is>
      </c>
      <c r="P16" s="53" t="n">
        <v>1.05</v>
      </c>
      <c r="Q16" s="41" t="inlineStr">
        <is>
          <t>NetArea/Length x reserve coeff</t>
        </is>
      </c>
      <c r="R16" s="41" t="inlineStr">
        <is>
          <t>Да</t>
        </is>
      </c>
    </row>
    <row r="17">
      <c r="A17" s="42" t="inlineStr">
        <is>
          <t>RMAT-0016</t>
        </is>
      </c>
      <c r="B17" s="42" t="inlineStr">
        <is>
          <t>брусчатка пилено колотая гранит мм</t>
        </is>
      </c>
      <c r="C17" s="42" t="inlineStr">
        <is>
          <t>Брусчатка пилено-колотая, гранит 100х100х50мм</t>
        </is>
      </c>
      <c r="D17" s="42" t="inlineStr">
        <is>
          <t>Брусчатка пилено-колотая, гранит 100х100х50мм</t>
        </is>
      </c>
      <c r="E17" s="42" t="inlineStr">
        <is>
          <t>Мощение</t>
        </is>
      </c>
      <c r="F17" s="42" t="inlineStr">
        <is>
          <t>Покрытие</t>
        </is>
      </c>
      <c r="G17" s="42" t="inlineStr">
        <is>
          <t>Материал</t>
        </is>
      </c>
      <c r="H17" s="42" t="inlineStr">
        <is>
          <t>м2</t>
        </is>
      </c>
      <c r="I17" s="58" t="n">
        <v>100</v>
      </c>
      <c r="J17" s="58" t="n">
        <v>100</v>
      </c>
      <c r="K17" s="42" t="inlineStr">
        <is>
          <t>Покрытие</t>
        </is>
      </c>
      <c r="L17" s="42" t="inlineStr">
        <is>
          <t>Показать строкой</t>
        </is>
      </c>
      <c r="M17" s="42" t="inlineStr">
        <is>
          <t>Да</t>
        </is>
      </c>
      <c r="N17" s="48" t="inlineStr">
        <is>
          <t>Импортировано из PRICE_MASTER</t>
        </is>
      </c>
      <c r="O17" s="42" t="inlineStr">
        <is>
          <t>Штучные / покрытия</t>
        </is>
      </c>
      <c r="P17" s="55" t="n">
        <v>1.05</v>
      </c>
      <c r="Q17" s="42" t="inlineStr">
        <is>
          <t>NetArea/Length x reserve coeff</t>
        </is>
      </c>
      <c r="R17" s="42" t="inlineStr">
        <is>
          <t>Да</t>
        </is>
      </c>
    </row>
    <row r="18">
      <c r="A18" s="41" t="inlineStr">
        <is>
          <t>RMAT-0017</t>
        </is>
      </c>
      <c r="B18" s="41" t="inlineStr">
        <is>
          <t>брусчатка тбп простая</t>
        </is>
      </c>
      <c r="C18" s="41" t="inlineStr">
        <is>
          <t>Брусчатка ТБП (простая), 60мм</t>
        </is>
      </c>
      <c r="D18" s="41" t="inlineStr">
        <is>
          <t>Брусчатка ТБП (простая), 60мм</t>
        </is>
      </c>
      <c r="E18" s="41" t="inlineStr">
        <is>
          <t>Мощение</t>
        </is>
      </c>
      <c r="F18" s="41" t="inlineStr">
        <is>
          <t>Покрытие</t>
        </is>
      </c>
      <c r="G18" s="41" t="inlineStr">
        <is>
          <t>Материал</t>
        </is>
      </c>
      <c r="H18" s="41" t="inlineStr">
        <is>
          <t>м2</t>
        </is>
      </c>
      <c r="I18" s="57" t="n"/>
      <c r="J18" s="57" t="n"/>
      <c r="K18" s="41" t="inlineStr">
        <is>
          <t>Покрытие</t>
        </is>
      </c>
      <c r="L18" s="41" t="inlineStr">
        <is>
          <t>Показать строкой</t>
        </is>
      </c>
      <c r="M18" s="41" t="inlineStr">
        <is>
          <t>Да</t>
        </is>
      </c>
      <c r="N18" s="45" t="inlineStr">
        <is>
          <t>Импортировано из PRICE_MASTER</t>
        </is>
      </c>
      <c r="O18" s="41" t="inlineStr">
        <is>
          <t>Штучные / покрытия</t>
        </is>
      </c>
      <c r="P18" s="53" t="n">
        <v>1.05</v>
      </c>
      <c r="Q18" s="41" t="inlineStr">
        <is>
          <t>NetArea/Length x reserve coeff</t>
        </is>
      </c>
      <c r="R18" s="41" t="inlineStr">
        <is>
          <t>Да</t>
        </is>
      </c>
    </row>
    <row r="19">
      <c r="A19" s="42" t="inlineStr">
        <is>
          <t>RMAT-0018</t>
        </is>
      </c>
      <c r="B19" s="42" t="inlineStr">
        <is>
          <t>брусчатка тбп антик мм</t>
        </is>
      </c>
      <c r="C19" s="42" t="inlineStr">
        <is>
          <t>Брусчатка ТБП Антик, 197x97x60мм</t>
        </is>
      </c>
      <c r="D19" s="42" t="inlineStr">
        <is>
          <t>Брусчатка ТБП Антик, 197x97x60мм</t>
        </is>
      </c>
      <c r="E19" s="42" t="inlineStr">
        <is>
          <t>Мощение</t>
        </is>
      </c>
      <c r="F19" s="42" t="inlineStr">
        <is>
          <t>Покрытие</t>
        </is>
      </c>
      <c r="G19" s="42" t="inlineStr">
        <is>
          <t>Материал</t>
        </is>
      </c>
      <c r="H19" s="42" t="inlineStr">
        <is>
          <t>м2</t>
        </is>
      </c>
      <c r="I19" s="58" t="n">
        <v>197</v>
      </c>
      <c r="J19" s="58" t="n">
        <v>97</v>
      </c>
      <c r="K19" s="42" t="inlineStr">
        <is>
          <t>Покрытие</t>
        </is>
      </c>
      <c r="L19" s="42" t="inlineStr">
        <is>
          <t>Показать строкой</t>
        </is>
      </c>
      <c r="M19" s="42" t="inlineStr">
        <is>
          <t>Да</t>
        </is>
      </c>
      <c r="N19" s="48" t="inlineStr">
        <is>
          <t>Импортировано из PRICE_MASTER</t>
        </is>
      </c>
      <c r="O19" s="42" t="inlineStr">
        <is>
          <t>Штучные / покрытия</t>
        </is>
      </c>
      <c r="P19" s="55" t="n">
        <v>1.05</v>
      </c>
      <c r="Q19" s="42" t="inlineStr">
        <is>
          <t>NetArea/Length x reserve coeff</t>
        </is>
      </c>
      <c r="R19" s="42" t="inlineStr">
        <is>
          <t>Да</t>
        </is>
      </c>
    </row>
    <row r="20">
      <c r="A20" s="41" t="inlineStr">
        <is>
          <t>RMAT-0019</t>
        </is>
      </c>
      <c r="B20" s="41" t="inlineStr">
        <is>
          <t>брусчатка тбп классико б 3 ко 6</t>
        </is>
      </c>
      <c r="C20" s="41" t="inlineStr">
        <is>
          <t>Брусчатка ТБП Классико Б.3.КО.6</t>
        </is>
      </c>
      <c r="D20" s="41" t="inlineStr">
        <is>
          <t>Брусчатка ТБП Классико Б.3.КО.6</t>
        </is>
      </c>
      <c r="E20" s="41" t="inlineStr">
        <is>
          <t>Мощение</t>
        </is>
      </c>
      <c r="F20" s="41" t="inlineStr">
        <is>
          <t>Покрытие</t>
        </is>
      </c>
      <c r="G20" s="41" t="inlineStr">
        <is>
          <t>Материал</t>
        </is>
      </c>
      <c r="H20" s="41" t="inlineStr">
        <is>
          <t>м2</t>
        </is>
      </c>
      <c r="I20" s="57" t="n"/>
      <c r="J20" s="57" t="n"/>
      <c r="K20" s="41" t="inlineStr">
        <is>
          <t>Покрытие</t>
        </is>
      </c>
      <c r="L20" s="41" t="inlineStr">
        <is>
          <t>Показать строкой</t>
        </is>
      </c>
      <c r="M20" s="41" t="inlineStr">
        <is>
          <t>Да</t>
        </is>
      </c>
      <c r="N20" s="45" t="inlineStr">
        <is>
          <t>Импортировано из PRICE_MASTER</t>
        </is>
      </c>
      <c r="O20" s="41" t="inlineStr">
        <is>
          <t>Штучные / покрытия</t>
        </is>
      </c>
      <c r="P20" s="53" t="n">
        <v>1.05</v>
      </c>
      <c r="Q20" s="41" t="inlineStr">
        <is>
          <t>NetArea/Length x reserve coeff</t>
        </is>
      </c>
      <c r="R20" s="41" t="inlineStr">
        <is>
          <t>Да</t>
        </is>
      </c>
    </row>
    <row r="21">
      <c r="A21" s="42" t="inlineStr">
        <is>
          <t>RMAT-0020</t>
        </is>
      </c>
      <c r="B21" s="42" t="inlineStr">
        <is>
          <t>габбро диабаз мм</t>
        </is>
      </c>
      <c r="C21" s="42" t="inlineStr">
        <is>
          <t>Габбро-диабаз 100*80*50мм</t>
        </is>
      </c>
      <c r="D21" s="42" t="inlineStr">
        <is>
          <t>Габбро-диабаз 100*80*50мм</t>
        </is>
      </c>
      <c r="E21" s="42" t="inlineStr">
        <is>
          <t>Мощение</t>
        </is>
      </c>
      <c r="F21" s="42" t="inlineStr">
        <is>
          <t>Покрытие</t>
        </is>
      </c>
      <c r="G21" s="42" t="inlineStr">
        <is>
          <t>Материал</t>
        </is>
      </c>
      <c r="H21" s="42" t="inlineStr">
        <is>
          <t>м2</t>
        </is>
      </c>
      <c r="I21" s="58" t="n">
        <v>100</v>
      </c>
      <c r="J21" s="58" t="n">
        <v>80</v>
      </c>
      <c r="K21" s="42" t="inlineStr">
        <is>
          <t>Покрытие</t>
        </is>
      </c>
      <c r="L21" s="42" t="inlineStr">
        <is>
          <t>Показать строкой</t>
        </is>
      </c>
      <c r="M21" s="42" t="inlineStr">
        <is>
          <t>Да</t>
        </is>
      </c>
      <c r="N21" s="48" t="inlineStr">
        <is>
          <t>Импортировано из PRICE_MASTER</t>
        </is>
      </c>
      <c r="O21" s="42" t="inlineStr">
        <is>
          <t>Штучные / покрытия</t>
        </is>
      </c>
      <c r="P21" s="55" t="n">
        <v>1.05</v>
      </c>
      <c r="Q21" s="42" t="inlineStr">
        <is>
          <t>NetArea/Length x reserve coeff</t>
        </is>
      </c>
      <c r="R21" s="42" t="inlineStr">
        <is>
          <t>Да</t>
        </is>
      </c>
    </row>
    <row r="22">
      <c r="A22" s="41" t="inlineStr">
        <is>
          <t>RMAT-0021</t>
        </is>
      </c>
      <c r="B22" s="41" t="inlineStr">
        <is>
          <t>габбро диабаз мм</t>
        </is>
      </c>
      <c r="C22" s="41" t="inlineStr">
        <is>
          <t>Габбро-диабаз 80*80*80мм</t>
        </is>
      </c>
      <c r="D22" s="41" t="inlineStr">
        <is>
          <t>Габбро-диабаз 80*80*80мм</t>
        </is>
      </c>
      <c r="E22" s="41" t="inlineStr">
        <is>
          <t>Мощение</t>
        </is>
      </c>
      <c r="F22" s="41" t="inlineStr">
        <is>
          <t>Покрытие</t>
        </is>
      </c>
      <c r="G22" s="41" t="inlineStr">
        <is>
          <t>Материал</t>
        </is>
      </c>
      <c r="H22" s="41" t="inlineStr">
        <is>
          <t>м2</t>
        </is>
      </c>
      <c r="I22" s="57" t="n">
        <v>80</v>
      </c>
      <c r="J22" s="57" t="n">
        <v>80</v>
      </c>
      <c r="K22" s="41" t="inlineStr">
        <is>
          <t>Покрытие</t>
        </is>
      </c>
      <c r="L22" s="41" t="inlineStr">
        <is>
          <t>Показать строкой</t>
        </is>
      </c>
      <c r="M22" s="41" t="inlineStr">
        <is>
          <t>Да</t>
        </is>
      </c>
      <c r="N22" s="45" t="inlineStr">
        <is>
          <t>Импортировано из PRICE_MASTER</t>
        </is>
      </c>
      <c r="O22" s="41" t="inlineStr">
        <is>
          <t>Штучные / покрытия</t>
        </is>
      </c>
      <c r="P22" s="53" t="n">
        <v>1.05</v>
      </c>
      <c r="Q22" s="41" t="inlineStr">
        <is>
          <t>NetArea/Length x reserve coeff</t>
        </is>
      </c>
      <c r="R22" s="41" t="inlineStr">
        <is>
          <t>Да</t>
        </is>
      </c>
    </row>
    <row r="23">
      <c r="A23" s="42" t="inlineStr">
        <is>
          <t>RMAT-0022</t>
        </is>
      </c>
      <c r="B23" s="42" t="inlineStr">
        <is>
          <t>газон рулонный универсальный кв</t>
        </is>
      </c>
      <c r="C23" s="42" t="inlineStr">
        <is>
          <t>Газон рулонный "Универсальный", 0.8м.кв.</t>
        </is>
      </c>
      <c r="D23" s="42" t="inlineStr">
        <is>
          <t>Газон рулонный "Универсальный", 0.8м.кв.</t>
        </is>
      </c>
      <c r="E23" s="42" t="inlineStr">
        <is>
          <t>Газон</t>
        </is>
      </c>
      <c r="F23" s="42" t="inlineStr">
        <is>
          <t>Газон и укладка</t>
        </is>
      </c>
      <c r="G23" s="42" t="inlineStr">
        <is>
          <t>Материал</t>
        </is>
      </c>
      <c r="H23" s="42" t="inlineStr">
        <is>
          <t>рул.</t>
        </is>
      </c>
      <c r="I23" s="58" t="n"/>
      <c r="J23" s="58" t="n"/>
      <c r="K23" s="42" t="inlineStr">
        <is>
          <t>Рулонный материал</t>
        </is>
      </c>
      <c r="L23" s="42" t="inlineStr">
        <is>
          <t>Показать строкой</t>
        </is>
      </c>
      <c r="M23" s="42" t="inlineStr">
        <is>
          <t>Да</t>
        </is>
      </c>
      <c r="N23" s="48" t="inlineStr">
        <is>
          <t>Импортировано из PRICE_MASTER</t>
        </is>
      </c>
      <c r="O23" s="42" t="inlineStr">
        <is>
          <t>Рулонные / листовые</t>
        </is>
      </c>
      <c r="P23" s="55" t="n">
        <v>1.1</v>
      </c>
      <c r="Q23" s="42" t="inlineStr">
        <is>
          <t>NetArea/Length x reserve coeff</t>
        </is>
      </c>
      <c r="R23" s="42" t="inlineStr">
        <is>
          <t>Да</t>
        </is>
      </c>
    </row>
    <row r="24">
      <c r="A24" s="41" t="inlineStr">
        <is>
          <t>RMAT-0023</t>
        </is>
      </c>
      <c r="B24" s="41" t="inlineStr">
        <is>
          <t>газон рулонный бюджетный кв</t>
        </is>
      </c>
      <c r="C24" s="41" t="inlineStr">
        <is>
          <t>Газон рулонный бюджетный, 0.8м.кв.</t>
        </is>
      </c>
      <c r="D24" s="41" t="inlineStr">
        <is>
          <t>Газон рулонный бюджетный, 0.8м.кв.</t>
        </is>
      </c>
      <c r="E24" s="41" t="inlineStr">
        <is>
          <t>Мощение</t>
        </is>
      </c>
      <c r="F24" s="41" t="inlineStr">
        <is>
          <t>Прочее по мощению</t>
        </is>
      </c>
      <c r="G24" s="41" t="inlineStr">
        <is>
          <t>Материал</t>
        </is>
      </c>
      <c r="H24" s="41" t="inlineStr">
        <is>
          <t>рул.</t>
        </is>
      </c>
      <c r="I24" s="57" t="n"/>
      <c r="J24" s="57" t="n"/>
      <c r="K24" s="41" t="inlineStr">
        <is>
          <t>Рулонный материал</t>
        </is>
      </c>
      <c r="L24" s="41" t="inlineStr">
        <is>
          <t>Показать строкой</t>
        </is>
      </c>
      <c r="M24" s="41" t="inlineStr">
        <is>
          <t>Да</t>
        </is>
      </c>
      <c r="N24" s="45" t="inlineStr">
        <is>
          <t>Импортировано из PRICE_MASTER</t>
        </is>
      </c>
      <c r="O24" s="41" t="inlineStr">
        <is>
          <t>Рулонные / листовые</t>
        </is>
      </c>
      <c r="P24" s="53" t="n">
        <v>1.1</v>
      </c>
      <c r="Q24" s="41" t="inlineStr">
        <is>
          <t>NetArea/Length x reserve coeff</t>
        </is>
      </c>
      <c r="R24" s="41" t="inlineStr">
        <is>
          <t>Да</t>
        </is>
      </c>
    </row>
    <row r="25">
      <c r="A25" s="42" t="inlineStr">
        <is>
          <t>RMAT-0024</t>
        </is>
      </c>
      <c r="B25" s="42" t="inlineStr">
        <is>
          <t>газон рулонный бюджетный кв</t>
        </is>
      </c>
      <c r="C25" s="42" t="inlineStr">
        <is>
          <t>Газон рулонный бюджетный, 1м.кв.</t>
        </is>
      </c>
      <c r="D25" s="42" t="inlineStr">
        <is>
          <t>Газон рулонный бюджетный, 1м.кв.</t>
        </is>
      </c>
      <c r="E25" s="42" t="inlineStr">
        <is>
          <t>Мощение</t>
        </is>
      </c>
      <c r="F25" s="42" t="inlineStr">
        <is>
          <t>Прочее по мощению</t>
        </is>
      </c>
      <c r="G25" s="42" t="inlineStr">
        <is>
          <t>Материал</t>
        </is>
      </c>
      <c r="H25" s="42" t="inlineStr">
        <is>
          <t>рул.</t>
        </is>
      </c>
      <c r="I25" s="58" t="n"/>
      <c r="J25" s="58" t="n"/>
      <c r="K25" s="42" t="inlineStr">
        <is>
          <t>Рулонный материал</t>
        </is>
      </c>
      <c r="L25" s="42" t="inlineStr">
        <is>
          <t>Показать строкой</t>
        </is>
      </c>
      <c r="M25" s="42" t="inlineStr">
        <is>
          <t>Да</t>
        </is>
      </c>
      <c r="N25" s="48" t="inlineStr">
        <is>
          <t>Импортировано из PRICE_MASTER</t>
        </is>
      </c>
      <c r="O25" s="42" t="inlineStr">
        <is>
          <t>Рулонные / листовые</t>
        </is>
      </c>
      <c r="P25" s="55" t="n">
        <v>1.1</v>
      </c>
      <c r="Q25" s="42" t="inlineStr">
        <is>
          <t>NetArea/Length x reserve coeff</t>
        </is>
      </c>
      <c r="R25" s="42" t="inlineStr">
        <is>
          <t>Да</t>
        </is>
      </c>
    </row>
    <row r="26">
      <c r="A26" s="41" t="inlineStr">
        <is>
          <t>RMAT-0025</t>
        </is>
      </c>
      <c r="B26" s="41" t="inlineStr">
        <is>
          <t>геотекстиль</t>
        </is>
      </c>
      <c r="C26" s="41" t="inlineStr">
        <is>
          <t>Геотекстиль, 200г/м2</t>
        </is>
      </c>
      <c r="D26" s="41" t="inlineStr">
        <is>
          <t>Геотекстиль, 200г/м2</t>
        </is>
      </c>
      <c r="E26" s="41" t="inlineStr">
        <is>
          <t>Мощение</t>
        </is>
      </c>
      <c r="F26" s="41" t="inlineStr">
        <is>
          <t>Основание</t>
        </is>
      </c>
      <c r="G26" s="41" t="inlineStr">
        <is>
          <t>Материал</t>
        </is>
      </c>
      <c r="H26" s="41" t="inlineStr">
        <is>
          <t>м2</t>
        </is>
      </c>
      <c r="I26" s="57" t="n"/>
      <c r="J26" s="57" t="n"/>
      <c r="K26" s="41" t="inlineStr">
        <is>
          <t>Сетка / текстиль</t>
        </is>
      </c>
      <c r="L26" s="41" t="inlineStr">
        <is>
          <t>Показать строкой</t>
        </is>
      </c>
      <c r="M26" s="41" t="inlineStr">
        <is>
          <t>Да</t>
        </is>
      </c>
      <c r="N26" s="45" t="inlineStr">
        <is>
          <t>Импортировано из PRICE_MASTER</t>
        </is>
      </c>
      <c r="O26" s="41" t="inlineStr">
        <is>
          <t>Рулонные / листовые</t>
        </is>
      </c>
      <c r="P26" s="53" t="n">
        <v>1.1</v>
      </c>
      <c r="Q26" s="41" t="inlineStr">
        <is>
          <t>NetArea/Length x reserve coeff</t>
        </is>
      </c>
      <c r="R26" s="41" t="inlineStr">
        <is>
          <t>Да</t>
        </is>
      </c>
    </row>
    <row r="27">
      <c r="A27" s="42" t="inlineStr">
        <is>
          <t>RMAT-0026</t>
        </is>
      </c>
      <c r="B27" s="42" t="inlineStr">
        <is>
          <t>геотекстиль</t>
        </is>
      </c>
      <c r="C27" s="42" t="inlineStr">
        <is>
          <t>Геотекстиль, 300г/м2</t>
        </is>
      </c>
      <c r="D27" s="42" t="inlineStr">
        <is>
          <t>Геотекстиль, 300г/м2</t>
        </is>
      </c>
      <c r="E27" s="42" t="inlineStr">
        <is>
          <t>Мощение</t>
        </is>
      </c>
      <c r="F27" s="42" t="inlineStr">
        <is>
          <t>Основание</t>
        </is>
      </c>
      <c r="G27" s="42" t="inlineStr">
        <is>
          <t>Материал</t>
        </is>
      </c>
      <c r="H27" s="42" t="inlineStr">
        <is>
          <t>м2</t>
        </is>
      </c>
      <c r="I27" s="58" t="n"/>
      <c r="J27" s="58" t="n"/>
      <c r="K27" s="42" t="inlineStr">
        <is>
          <t>Сетка / текстиль</t>
        </is>
      </c>
      <c r="L27" s="42" t="inlineStr">
        <is>
          <t>Показать строкой</t>
        </is>
      </c>
      <c r="M27" s="42" t="inlineStr">
        <is>
          <t>Да</t>
        </is>
      </c>
      <c r="N27" s="48" t="inlineStr">
        <is>
          <t>Импортировано из PRICE_MASTER</t>
        </is>
      </c>
      <c r="O27" s="42" t="inlineStr">
        <is>
          <t>Рулонные / листовые</t>
        </is>
      </c>
      <c r="P27" s="55" t="n">
        <v>1.1</v>
      </c>
      <c r="Q27" s="42" t="inlineStr">
        <is>
          <t>NetArea/Length x reserve coeff</t>
        </is>
      </c>
      <c r="R27" s="42" t="inlineStr">
        <is>
          <t>Да</t>
        </is>
      </c>
    </row>
    <row r="28">
      <c r="A28" s="41" t="inlineStr">
        <is>
          <t>RMAT-0027</t>
        </is>
      </c>
      <c r="B28" s="41" t="inlineStr">
        <is>
          <t>герметик</t>
        </is>
      </c>
      <c r="C28" s="41" t="inlineStr">
        <is>
          <t>Герметик</t>
        </is>
      </c>
      <c r="D28" s="41" t="inlineStr">
        <is>
          <t>Герметик</t>
        </is>
      </c>
      <c r="E28" s="41" t="inlineStr">
        <is>
          <t>Дренаж</t>
        </is>
      </c>
      <c r="F28" s="41" t="inlineStr">
        <is>
          <t>Материалы и комплектующие</t>
        </is>
      </c>
      <c r="G28" s="41" t="inlineStr">
        <is>
          <t>Материал</t>
        </is>
      </c>
      <c r="H28" s="41" t="inlineStr">
        <is>
          <t>шт</t>
        </is>
      </c>
      <c r="I28" s="57" t="n"/>
      <c r="J28" s="57" t="n"/>
      <c r="K28" s="41" t="inlineStr">
        <is>
          <t>Штучный материал</t>
        </is>
      </c>
      <c r="L28" s="41" t="inlineStr">
        <is>
          <t>Показать строкой</t>
        </is>
      </c>
      <c r="M28" s="41" t="inlineStr">
        <is>
          <t>Да</t>
        </is>
      </c>
      <c r="N28" s="45" t="inlineStr">
        <is>
          <t>Импортировано из PRICE_MASTER</t>
        </is>
      </c>
      <c r="O28" s="41" t="inlineStr">
        <is>
          <t>Штучные / покрытия</t>
        </is>
      </c>
      <c r="P28" s="53" t="n">
        <v>1.05</v>
      </c>
      <c r="Q28" s="41" t="inlineStr">
        <is>
          <t>NetArea/Length x reserve coeff</t>
        </is>
      </c>
      <c r="R28" s="41" t="inlineStr">
        <is>
          <t>Да</t>
        </is>
      </c>
    </row>
    <row r="29">
      <c r="A29" s="42" t="inlineStr">
        <is>
          <t>RMAT-0028</t>
        </is>
      </c>
      <c r="B29" s="42" t="inlineStr">
        <is>
          <t>гидроизоляция гряд и стенок фундамента теплицы</t>
        </is>
      </c>
      <c r="C29" s="42" t="inlineStr">
        <is>
          <t>Гидроизоляция гряд и стенок фундамента теплицы</t>
        </is>
      </c>
      <c r="D29" s="42" t="inlineStr">
        <is>
          <t>Гидроизоляция гряд и стенок фундамента теплицы</t>
        </is>
      </c>
      <c r="E29" s="42" t="inlineStr">
        <is>
          <t>Мощение</t>
        </is>
      </c>
      <c r="F29" s="42" t="inlineStr">
        <is>
          <t>Конструкции и отделка</t>
        </is>
      </c>
      <c r="G29" s="42" t="inlineStr">
        <is>
          <t>Материал</t>
        </is>
      </c>
      <c r="H29" s="42" t="inlineStr">
        <is>
          <t>м.пог.</t>
        </is>
      </c>
      <c r="I29" s="58" t="n"/>
      <c r="J29" s="58" t="n"/>
      <c r="K29" s="42" t="inlineStr">
        <is>
          <t>Прочий материал</t>
        </is>
      </c>
      <c r="L29" s="42" t="inlineStr">
        <is>
          <t>Показать строкой</t>
        </is>
      </c>
      <c r="M29" s="42" t="inlineStr">
        <is>
          <t>Да</t>
        </is>
      </c>
      <c r="N29" s="48" t="inlineStr">
        <is>
          <t>Импортировано из PRICE_MASTER</t>
        </is>
      </c>
      <c r="O29" s="42" t="inlineStr">
        <is>
          <t>Без доп. запаса</t>
        </is>
      </c>
      <c r="P29" s="55" t="n">
        <v>1</v>
      </c>
      <c r="Q29" s="42" t="inlineStr">
        <is>
          <t>Direct</t>
        </is>
      </c>
      <c r="R29" s="42" t="inlineStr">
        <is>
          <t>Да</t>
        </is>
      </c>
    </row>
    <row r="30">
      <c r="A30" s="41" t="inlineStr">
        <is>
          <t>RMAT-0029</t>
        </is>
      </c>
      <c r="B30" s="41" t="inlineStr">
        <is>
          <t>гравий щебень гр 20</t>
        </is>
      </c>
      <c r="C30" s="41" t="inlineStr">
        <is>
          <t>Гравий (щебень гр. 20-40мм)</t>
        </is>
      </c>
      <c r="D30" s="41" t="inlineStr">
        <is>
          <t>Гравий (щебень гр. 20-40мм)</t>
        </is>
      </c>
      <c r="E30" s="41" t="inlineStr">
        <is>
          <t>Мощение</t>
        </is>
      </c>
      <c r="F30" s="41" t="inlineStr">
        <is>
          <t>Основание</t>
        </is>
      </c>
      <c r="G30" s="41" t="inlineStr">
        <is>
          <t>Материал</t>
        </is>
      </c>
      <c r="H30" s="41" t="inlineStr">
        <is>
          <t>м3</t>
        </is>
      </c>
      <c r="I30" s="57" t="n"/>
      <c r="J30" s="57" t="n"/>
      <c r="K30" s="41" t="inlineStr">
        <is>
          <t>Сыпучий / объёмный</t>
        </is>
      </c>
      <c r="L30" s="41" t="inlineStr">
        <is>
          <t>Показать строкой</t>
        </is>
      </c>
      <c r="M30" s="41" t="inlineStr">
        <is>
          <t>Да</t>
        </is>
      </c>
      <c r="N30" s="45" t="inlineStr">
        <is>
          <t>Импортировано из PRICE_MASTER</t>
        </is>
      </c>
      <c r="O30" s="41" t="inlineStr">
        <is>
          <t>Сыпучие / объёмные</t>
        </is>
      </c>
      <c r="P30" s="53" t="n">
        <v>1.08</v>
      </c>
      <c r="Q30" s="41" t="inlineStr">
        <is>
          <t>NetQty x reserve coeff</t>
        </is>
      </c>
      <c r="R30" s="41" t="inlineStr">
        <is>
          <t>Да</t>
        </is>
      </c>
    </row>
    <row r="31">
      <c r="A31" s="42" t="inlineStr">
        <is>
          <t>RMAT-0030</t>
        </is>
      </c>
      <c r="B31" s="42" t="inlineStr">
        <is>
          <t>гравий карьерный 5</t>
        </is>
      </c>
      <c r="C31" s="42" t="inlineStr">
        <is>
          <t>Гравий карьерный 5-20мм</t>
        </is>
      </c>
      <c r="D31" s="42" t="inlineStr">
        <is>
          <t>Гравий карьерный 5-20мм</t>
        </is>
      </c>
      <c r="E31" s="42" t="inlineStr">
        <is>
          <t>Мощение</t>
        </is>
      </c>
      <c r="F31" s="42" t="inlineStr">
        <is>
          <t>Основание</t>
        </is>
      </c>
      <c r="G31" s="42" t="inlineStr">
        <is>
          <t>Материал</t>
        </is>
      </c>
      <c r="H31" s="42" t="inlineStr">
        <is>
          <t>м3</t>
        </is>
      </c>
      <c r="I31" s="58" t="n"/>
      <c r="J31" s="58" t="n"/>
      <c r="K31" s="42" t="inlineStr">
        <is>
          <t>Прочий материал</t>
        </is>
      </c>
      <c r="L31" s="42" t="inlineStr">
        <is>
          <t>Показать строкой</t>
        </is>
      </c>
      <c r="M31" s="42" t="inlineStr">
        <is>
          <t>Да</t>
        </is>
      </c>
      <c r="N31" s="48" t="inlineStr">
        <is>
          <t>Импортировано из PRICE_MASTER</t>
        </is>
      </c>
      <c r="O31" s="42" t="inlineStr">
        <is>
          <t>Сыпучие / объёмные</t>
        </is>
      </c>
      <c r="P31" s="55" t="n">
        <v>1.08</v>
      </c>
      <c r="Q31" s="42" t="inlineStr">
        <is>
          <t>NetQty x reserve coeff</t>
        </is>
      </c>
      <c r="R31" s="42" t="inlineStr">
        <is>
          <t>Да</t>
        </is>
      </c>
    </row>
    <row r="32">
      <c r="A32" s="41" t="inlineStr">
        <is>
          <t>RMAT-0031</t>
        </is>
      </c>
      <c r="B32" s="41" t="inlineStr">
        <is>
          <t>гравий колотый</t>
        </is>
      </c>
      <c r="C32" s="41" t="inlineStr">
        <is>
          <t>Гравий колотый</t>
        </is>
      </c>
      <c r="D32" s="41" t="inlineStr">
        <is>
          <t>Гравий колотый</t>
        </is>
      </c>
      <c r="E32" s="41" t="inlineStr">
        <is>
          <t>Мощение</t>
        </is>
      </c>
      <c r="F32" s="41" t="inlineStr">
        <is>
          <t>Основание</t>
        </is>
      </c>
      <c r="G32" s="41" t="inlineStr">
        <is>
          <t>Материал</t>
        </is>
      </c>
      <c r="H32" s="41" t="inlineStr">
        <is>
          <t>т</t>
        </is>
      </c>
      <c r="I32" s="57" t="n"/>
      <c r="J32" s="57" t="n"/>
      <c r="K32" s="41" t="inlineStr">
        <is>
          <t>Прочий материал</t>
        </is>
      </c>
      <c r="L32" s="41" t="inlineStr">
        <is>
          <t>Показать строкой</t>
        </is>
      </c>
      <c r="M32" s="41" t="inlineStr">
        <is>
          <t>Да</t>
        </is>
      </c>
      <c r="N32" s="45" t="inlineStr">
        <is>
          <t>Импортировано из PRICE_MASTER</t>
        </is>
      </c>
      <c r="O32" s="41" t="inlineStr">
        <is>
          <t>Без доп. запаса</t>
        </is>
      </c>
      <c r="P32" s="53" t="n">
        <v>1</v>
      </c>
      <c r="Q32" s="41" t="inlineStr">
        <is>
          <t>Direct</t>
        </is>
      </c>
      <c r="R32" s="41" t="inlineStr">
        <is>
          <t>Да</t>
        </is>
      </c>
    </row>
    <row r="33">
      <c r="A33" s="42" t="inlineStr">
        <is>
          <t>RMAT-0032</t>
        </is>
      </c>
      <c r="B33" s="42" t="inlineStr">
        <is>
          <t>грунт дерновый просеивание местного грунта</t>
        </is>
      </c>
      <c r="C33" s="42" t="inlineStr">
        <is>
          <t>Грунт дерновый /просеивание местного грунта</t>
        </is>
      </c>
      <c r="D33" s="42" t="inlineStr">
        <is>
          <t>Грунт дерновый /просеивание местного грунта</t>
        </is>
      </c>
      <c r="E33" s="42" t="inlineStr">
        <is>
          <t>Мощение</t>
        </is>
      </c>
      <c r="F33" s="42" t="inlineStr">
        <is>
          <t>Прочее по мощению</t>
        </is>
      </c>
      <c r="G33" s="42" t="inlineStr">
        <is>
          <t>Материал</t>
        </is>
      </c>
      <c r="H33" s="42" t="inlineStr">
        <is>
          <t>м3</t>
        </is>
      </c>
      <c r="I33" s="58" t="n"/>
      <c r="J33" s="58" t="n"/>
      <c r="K33" s="42" t="inlineStr">
        <is>
          <t>Сыпучий / объёмный</t>
        </is>
      </c>
      <c r="L33" s="42" t="inlineStr">
        <is>
          <t>Показать строкой</t>
        </is>
      </c>
      <c r="M33" s="42" t="inlineStr">
        <is>
          <t>Да</t>
        </is>
      </c>
      <c r="N33" s="48" t="inlineStr">
        <is>
          <t>Импортировано из PRICE_MASTER</t>
        </is>
      </c>
      <c r="O33" s="42" t="inlineStr">
        <is>
          <t>Сыпучие / объёмные</t>
        </is>
      </c>
      <c r="P33" s="55" t="n">
        <v>1.08</v>
      </c>
      <c r="Q33" s="42" t="inlineStr">
        <is>
          <t>NetQty x reserve coeff</t>
        </is>
      </c>
      <c r="R33" s="42" t="inlineStr">
        <is>
          <t>Да</t>
        </is>
      </c>
    </row>
    <row r="34">
      <c r="A34" s="41" t="inlineStr">
        <is>
          <t>RMAT-0033</t>
        </is>
      </c>
      <c r="B34" s="41" t="inlineStr">
        <is>
          <t>грунт плодородный</t>
        </is>
      </c>
      <c r="C34" s="41" t="inlineStr">
        <is>
          <t>Грунт плодородный</t>
        </is>
      </c>
      <c r="D34" s="41" t="inlineStr">
        <is>
          <t>Грунт плодородный</t>
        </is>
      </c>
      <c r="E34" s="41" t="inlineStr">
        <is>
          <t>Земляные и планировочные работы</t>
        </is>
      </c>
      <c r="F34" s="41" t="inlineStr">
        <is>
          <t>Материалы</t>
        </is>
      </c>
      <c r="G34" s="41" t="inlineStr">
        <is>
          <t>Материал</t>
        </is>
      </c>
      <c r="H34" s="41" t="inlineStr">
        <is>
          <t>м3</t>
        </is>
      </c>
      <c r="I34" s="57" t="n"/>
      <c r="J34" s="57" t="n"/>
      <c r="K34" s="41" t="inlineStr">
        <is>
          <t>Сыпучий / объёмный</t>
        </is>
      </c>
      <c r="L34" s="41" t="inlineStr">
        <is>
          <t>Показать строкой</t>
        </is>
      </c>
      <c r="M34" s="41" t="inlineStr">
        <is>
          <t>Да</t>
        </is>
      </c>
      <c r="N34" s="45" t="inlineStr">
        <is>
          <t>Импортировано из PRICE_MASTER</t>
        </is>
      </c>
      <c r="O34" s="41" t="inlineStr">
        <is>
          <t>Сыпучие / объёмные</t>
        </is>
      </c>
      <c r="P34" s="53" t="n">
        <v>1.08</v>
      </c>
      <c r="Q34" s="41" t="inlineStr">
        <is>
          <t>NetQty x reserve coeff</t>
        </is>
      </c>
      <c r="R34" s="41" t="inlineStr">
        <is>
          <t>Да</t>
        </is>
      </c>
    </row>
    <row r="35">
      <c r="A35" s="42" t="inlineStr">
        <is>
          <t>RMAT-0034</t>
        </is>
      </c>
      <c r="B35" s="42" t="inlineStr">
        <is>
          <t>грунтовка концентрат</t>
        </is>
      </c>
      <c r="C35" s="42" t="inlineStr">
        <is>
          <t>Грунтовка концентрат</t>
        </is>
      </c>
      <c r="D35" s="42" t="inlineStr">
        <is>
          <t>Грунтовка концентрат</t>
        </is>
      </c>
      <c r="E35" s="42" t="inlineStr">
        <is>
          <t>Мощение</t>
        </is>
      </c>
      <c r="F35" s="42" t="inlineStr">
        <is>
          <t>Прочее по мощению</t>
        </is>
      </c>
      <c r="G35" s="42" t="inlineStr">
        <is>
          <t>Материал</t>
        </is>
      </c>
      <c r="H35" s="42" t="inlineStr">
        <is>
          <t>л</t>
        </is>
      </c>
      <c r="I35" s="58" t="n"/>
      <c r="J35" s="58" t="n"/>
      <c r="K35" s="42" t="inlineStr">
        <is>
          <t>Сыпучий / объёмный</t>
        </is>
      </c>
      <c r="L35" s="42" t="inlineStr">
        <is>
          <t>Показать строкой</t>
        </is>
      </c>
      <c r="M35" s="42" t="inlineStr">
        <is>
          <t>Да</t>
        </is>
      </c>
      <c r="N35" s="48" t="inlineStr">
        <is>
          <t>Импортировано из PRICE_MASTER</t>
        </is>
      </c>
      <c r="O35" s="42" t="inlineStr">
        <is>
          <t>Сыпучие / объёмные</t>
        </is>
      </c>
      <c r="P35" s="55" t="n">
        <v>1.08</v>
      </c>
      <c r="Q35" s="42" t="inlineStr">
        <is>
          <t>NetQty x reserve coeff</t>
        </is>
      </c>
      <c r="R35" s="42" t="inlineStr">
        <is>
          <t>Да</t>
        </is>
      </c>
    </row>
    <row r="36">
      <c r="A36" s="41" t="inlineStr">
        <is>
          <t>RMAT-0035</t>
        </is>
      </c>
      <c r="B36" s="41" t="inlineStr">
        <is>
          <t>диск алмазный по камню d 230ммхм14 гранит</t>
        </is>
      </c>
      <c r="C36" s="41" t="inlineStr">
        <is>
          <t>Диск алмазный по камню d=230ммхМ14 (гранит)</t>
        </is>
      </c>
      <c r="D36" s="41" t="inlineStr">
        <is>
          <t>Диск алмазный по камню d=230ммхМ14 (гранит)</t>
        </is>
      </c>
      <c r="E36" s="41" t="inlineStr">
        <is>
          <t>Мощение</t>
        </is>
      </c>
      <c r="F36" s="41" t="inlineStr">
        <is>
          <t>Конструкции и отделка</t>
        </is>
      </c>
      <c r="G36" s="41" t="inlineStr">
        <is>
          <t>Материал</t>
        </is>
      </c>
      <c r="H36" s="41" t="inlineStr">
        <is>
          <t>шт</t>
        </is>
      </c>
      <c r="I36" s="57" t="n"/>
      <c r="J36" s="57" t="n"/>
      <c r="K36" s="41" t="inlineStr">
        <is>
          <t>Штучный материал</t>
        </is>
      </c>
      <c r="L36" s="41" t="inlineStr">
        <is>
          <t>Показать строкой</t>
        </is>
      </c>
      <c r="M36" s="41" t="inlineStr">
        <is>
          <t>Да</t>
        </is>
      </c>
      <c r="N36" s="45" t="inlineStr">
        <is>
          <t>Импортировано из PRICE_MASTER</t>
        </is>
      </c>
      <c r="O36" s="41" t="inlineStr">
        <is>
          <t>Штучные / покрытия</t>
        </is>
      </c>
      <c r="P36" s="53" t="n">
        <v>1.05</v>
      </c>
      <c r="Q36" s="41" t="inlineStr">
        <is>
          <t>NetArea/Length x reserve coeff</t>
        </is>
      </c>
      <c r="R36" s="41" t="inlineStr">
        <is>
          <t>Да</t>
        </is>
      </c>
    </row>
    <row r="37">
      <c r="A37" s="42" t="inlineStr">
        <is>
          <t>RMAT-0036</t>
        </is>
      </c>
      <c r="B37" s="42" t="inlineStr">
        <is>
          <t>диск по металлу</t>
        </is>
      </c>
      <c r="C37" s="42" t="inlineStr">
        <is>
          <t>Диск по металлу</t>
        </is>
      </c>
      <c r="D37" s="42" t="inlineStr">
        <is>
          <t>Диск по металлу</t>
        </is>
      </c>
      <c r="E37" s="42" t="inlineStr">
        <is>
          <t>Мощение</t>
        </is>
      </c>
      <c r="F37" s="42" t="inlineStr">
        <is>
          <t>Конструкции и отделка</t>
        </is>
      </c>
      <c r="G37" s="42" t="inlineStr">
        <is>
          <t>Материал</t>
        </is>
      </c>
      <c r="H37" s="42" t="inlineStr">
        <is>
          <t>шт</t>
        </is>
      </c>
      <c r="I37" s="58" t="n"/>
      <c r="J37" s="58" t="n"/>
      <c r="K37" s="42" t="inlineStr">
        <is>
          <t>Штучный материал</t>
        </is>
      </c>
      <c r="L37" s="42" t="inlineStr">
        <is>
          <t>Показать строкой</t>
        </is>
      </c>
      <c r="M37" s="42" t="inlineStr">
        <is>
          <t>Да</t>
        </is>
      </c>
      <c r="N37" s="48" t="inlineStr">
        <is>
          <t>Импортировано из PRICE_MASTER</t>
        </is>
      </c>
      <c r="O37" s="42" t="inlineStr">
        <is>
          <t>Штучные / покрытия</t>
        </is>
      </c>
      <c r="P37" s="55" t="n">
        <v>1.05</v>
      </c>
      <c r="Q37" s="42" t="inlineStr">
        <is>
          <t>NetArea/Length x reserve coeff</t>
        </is>
      </c>
      <c r="R37" s="42" t="inlineStr">
        <is>
          <t>Да</t>
        </is>
      </c>
    </row>
    <row r="38">
      <c r="A38" s="41" t="inlineStr">
        <is>
          <t>RMAT-0037</t>
        </is>
      </c>
      <c r="B38" s="41" t="inlineStr">
        <is>
          <t>дождеприемник дп 30 30 пп с комплектующими и чугунной решеткой фасонные элементы</t>
        </is>
      </c>
      <c r="C38" s="41" t="inlineStr">
        <is>
          <t>Дождеприемник ДП–30.30-ПП с комплектующими и чугунной решеткой, фасонные элементы</t>
        </is>
      </c>
      <c r="D38" s="41" t="inlineStr">
        <is>
          <t>Дождеприемник ДП–30.30-ПП с комплектующими и чугунной решеткой, фасонные элементы</t>
        </is>
      </c>
      <c r="E38" s="41" t="inlineStr">
        <is>
          <t>Ливневая канализация</t>
        </is>
      </c>
      <c r="F38" s="41" t="inlineStr">
        <is>
          <t>Приемные и линейные элементы</t>
        </is>
      </c>
      <c r="G38" s="41" t="inlineStr">
        <is>
          <t>Материал</t>
        </is>
      </c>
      <c r="H38" s="41" t="inlineStr">
        <is>
          <t>шт</t>
        </is>
      </c>
      <c r="I38" s="57" t="n"/>
      <c r="J38" s="57" t="n"/>
      <c r="K38" s="41" t="inlineStr">
        <is>
          <t>Инженерный материал</t>
        </is>
      </c>
      <c r="L38" s="41" t="inlineStr">
        <is>
          <t>Показать строкой</t>
        </is>
      </c>
      <c r="M38" s="41" t="inlineStr">
        <is>
          <t>Да</t>
        </is>
      </c>
      <c r="N38" s="45" t="inlineStr">
        <is>
          <t>Импортировано из PRICE_MASTER</t>
        </is>
      </c>
      <c r="O38" s="41" t="inlineStr">
        <is>
          <t>Без доп. запаса</t>
        </is>
      </c>
      <c r="P38" s="53" t="n">
        <v>1</v>
      </c>
      <c r="Q38" s="41" t="inlineStr">
        <is>
          <t>Direct</t>
        </is>
      </c>
      <c r="R38" s="41" t="inlineStr">
        <is>
          <t>Да</t>
        </is>
      </c>
    </row>
    <row r="39">
      <c r="A39" s="42" t="inlineStr">
        <is>
          <t>RMAT-0038</t>
        </is>
      </c>
      <c r="B39" s="42" t="inlineStr">
        <is>
          <t>дождеприемник пластик мм в сборе с решеткой чугунной</t>
        </is>
      </c>
      <c r="C39" s="42" t="inlineStr">
        <is>
          <t>Дождеприемник пластик. 300х300х300 мм в сборе с решеткой чугунной</t>
        </is>
      </c>
      <c r="D39" s="42" t="inlineStr">
        <is>
          <t>Дождеприемник пластик. 300х300х300 мм в сборе с решеткой чугунной</t>
        </is>
      </c>
      <c r="E39" s="42" t="inlineStr">
        <is>
          <t>Мощение</t>
        </is>
      </c>
      <c r="F39" s="42" t="inlineStr">
        <is>
          <t>Водоотвод в зоне мощения</t>
        </is>
      </c>
      <c r="G39" s="42" t="inlineStr">
        <is>
          <t>Материал</t>
        </is>
      </c>
      <c r="H39" s="42" t="inlineStr">
        <is>
          <t>шт</t>
        </is>
      </c>
      <c r="I39" s="58" t="n">
        <v>300</v>
      </c>
      <c r="J39" s="58" t="n">
        <v>300</v>
      </c>
      <c r="K39" s="42" t="inlineStr">
        <is>
          <t>Инженерный материал</t>
        </is>
      </c>
      <c r="L39" s="42" t="inlineStr">
        <is>
          <t>Показать строкой</t>
        </is>
      </c>
      <c r="M39" s="42" t="inlineStr">
        <is>
          <t>Да</t>
        </is>
      </c>
      <c r="N39" s="48" t="inlineStr">
        <is>
          <t>Импортировано из PRICE_MASTER</t>
        </is>
      </c>
      <c r="O39" s="42" t="inlineStr">
        <is>
          <t>Без доп. запаса</t>
        </is>
      </c>
      <c r="P39" s="55" t="n">
        <v>1</v>
      </c>
      <c r="Q39" s="42" t="inlineStr">
        <is>
          <t>Direct</t>
        </is>
      </c>
      <c r="R39" s="42" t="inlineStr">
        <is>
          <t>Да</t>
        </is>
      </c>
    </row>
    <row r="40">
      <c r="A40" s="41" t="inlineStr">
        <is>
          <t>RMAT-0039</t>
        </is>
      </c>
      <c r="B40" s="41" t="inlineStr">
        <is>
          <t>доска для опалубки мм</t>
        </is>
      </c>
      <c r="C40" s="41" t="inlineStr">
        <is>
          <t>доска для опалубки, 25*100*3000мм</t>
        </is>
      </c>
      <c r="D40" s="41" t="inlineStr">
        <is>
          <t>доска для опалубки, 25*100*3000мм</t>
        </is>
      </c>
      <c r="E40" s="41" t="inlineStr">
        <is>
          <t>Мощение</t>
        </is>
      </c>
      <c r="F40" s="41" t="inlineStr">
        <is>
          <t>Конструкции и отделка</t>
        </is>
      </c>
      <c r="G40" s="41" t="inlineStr">
        <is>
          <t>Материал</t>
        </is>
      </c>
      <c r="H40" s="41" t="inlineStr">
        <is>
          <t>м.пог.</t>
        </is>
      </c>
      <c r="I40" s="57" t="n">
        <v>25</v>
      </c>
      <c r="J40" s="57" t="n">
        <v>100</v>
      </c>
      <c r="K40" s="41" t="inlineStr">
        <is>
          <t>Погонаж / дерево</t>
        </is>
      </c>
      <c r="L40" s="41" t="inlineStr">
        <is>
          <t>Показать строкой</t>
        </is>
      </c>
      <c r="M40" s="41" t="inlineStr">
        <is>
          <t>Да</t>
        </is>
      </c>
      <c r="N40" s="45" t="inlineStr">
        <is>
          <t>Импортировано из PRICE_MASTER</t>
        </is>
      </c>
      <c r="O40" s="41" t="inlineStr">
        <is>
          <t>Погонаж / доски / борта</t>
        </is>
      </c>
      <c r="P40" s="53" t="n">
        <v>1.1</v>
      </c>
      <c r="Q40" s="41" t="inlineStr">
        <is>
          <t>NetArea/Length x reserve coeff</t>
        </is>
      </c>
      <c r="R40" s="41" t="inlineStr">
        <is>
          <t>Да</t>
        </is>
      </c>
    </row>
    <row r="41">
      <c r="A41" s="42" t="inlineStr">
        <is>
          <t>RMAT-0040</t>
        </is>
      </c>
      <c r="B41" s="42" t="inlineStr">
        <is>
          <t>доска импрегнированная мм строганая</t>
        </is>
      </c>
      <c r="C41" s="42" t="inlineStr">
        <is>
          <t>Доска импрегнированная 45*145*6000мм, строганая</t>
        </is>
      </c>
      <c r="D41" s="42" t="inlineStr">
        <is>
          <t>Доска импрегнированная 45*145*6000мм, строганая</t>
        </is>
      </c>
      <c r="E41" s="42" t="inlineStr">
        <is>
          <t>Мощение</t>
        </is>
      </c>
      <c r="F41" s="42" t="inlineStr">
        <is>
          <t>Конструкции и отделка</t>
        </is>
      </c>
      <c r="G41" s="42" t="inlineStr">
        <is>
          <t>Материал</t>
        </is>
      </c>
      <c r="H41" s="42" t="inlineStr">
        <is>
          <t>шт</t>
        </is>
      </c>
      <c r="I41" s="58" t="n">
        <v>45</v>
      </c>
      <c r="J41" s="58" t="n">
        <v>145</v>
      </c>
      <c r="K41" s="42" t="inlineStr">
        <is>
          <t>Погонаж / дерево</t>
        </is>
      </c>
      <c r="L41" s="42" t="inlineStr">
        <is>
          <t>Показать строкой</t>
        </is>
      </c>
      <c r="M41" s="42" t="inlineStr">
        <is>
          <t>Да</t>
        </is>
      </c>
      <c r="N41" s="48" t="inlineStr">
        <is>
          <t>Импортировано из PRICE_MASTER</t>
        </is>
      </c>
      <c r="O41" s="42" t="inlineStr">
        <is>
          <t>Погонаж / доски / борта</t>
        </is>
      </c>
      <c r="P41" s="55" t="n">
        <v>1.1</v>
      </c>
      <c r="Q41" s="42" t="inlineStr">
        <is>
          <t>NetArea/Length x reserve coeff</t>
        </is>
      </c>
      <c r="R41" s="42" t="inlineStr">
        <is>
          <t>Да</t>
        </is>
      </c>
    </row>
    <row r="42">
      <c r="A42" s="41" t="inlineStr">
        <is>
          <t>RMAT-0041</t>
        </is>
      </c>
      <c r="B42" s="41" t="inlineStr">
        <is>
          <t>доска импрегнированная мм обрезная</t>
        </is>
      </c>
      <c r="C42" s="41" t="inlineStr">
        <is>
          <t>Доска импрегнированная 50*100*6000мм, обрезная</t>
        </is>
      </c>
      <c r="D42" s="41" t="inlineStr">
        <is>
          <t>Доска импрегнированная 50*100*6000мм, обрезная</t>
        </is>
      </c>
      <c r="E42" s="41" t="inlineStr">
        <is>
          <t>Мощение</t>
        </is>
      </c>
      <c r="F42" s="41" t="inlineStr">
        <is>
          <t>Конструкции и отделка</t>
        </is>
      </c>
      <c r="G42" s="41" t="inlineStr">
        <is>
          <t>Материал</t>
        </is>
      </c>
      <c r="H42" s="41" t="inlineStr">
        <is>
          <t>шт</t>
        </is>
      </c>
      <c r="I42" s="57" t="n">
        <v>50</v>
      </c>
      <c r="J42" s="57" t="n">
        <v>100</v>
      </c>
      <c r="K42" s="41" t="inlineStr">
        <is>
          <t>Погонаж / дерево</t>
        </is>
      </c>
      <c r="L42" s="41" t="inlineStr">
        <is>
          <t>Показать строкой</t>
        </is>
      </c>
      <c r="M42" s="41" t="inlineStr">
        <is>
          <t>Да</t>
        </is>
      </c>
      <c r="N42" s="45" t="inlineStr">
        <is>
          <t>Импортировано из PRICE_MASTER</t>
        </is>
      </c>
      <c r="O42" s="41" t="inlineStr">
        <is>
          <t>Погонаж / доски / борта</t>
        </is>
      </c>
      <c r="P42" s="53" t="n">
        <v>1.1</v>
      </c>
      <c r="Q42" s="41" t="inlineStr">
        <is>
          <t>NetArea/Length x reserve coeff</t>
        </is>
      </c>
      <c r="R42" s="41" t="inlineStr">
        <is>
          <t>Да</t>
        </is>
      </c>
    </row>
    <row r="43">
      <c r="A43" s="42" t="inlineStr">
        <is>
          <t>RMAT-0042</t>
        </is>
      </c>
      <c r="B43" s="42" t="inlineStr">
        <is>
          <t>доска обрезн сосна мм</t>
        </is>
      </c>
      <c r="C43" s="42" t="inlineStr">
        <is>
          <t>Доска обрезн., сосна, 20х125х3000мм</t>
        </is>
      </c>
      <c r="D43" s="42" t="inlineStr">
        <is>
          <t>Доска обрезн., сосна, 20х125х3000мм</t>
        </is>
      </c>
      <c r="E43" s="42" t="inlineStr">
        <is>
          <t>Мощение</t>
        </is>
      </c>
      <c r="F43" s="42" t="inlineStr">
        <is>
          <t>Конструкции и отделка</t>
        </is>
      </c>
      <c r="G43" s="42" t="inlineStr">
        <is>
          <t>Материал</t>
        </is>
      </c>
      <c r="H43" s="42" t="inlineStr">
        <is>
          <t>шт</t>
        </is>
      </c>
      <c r="I43" s="58" t="n">
        <v>20</v>
      </c>
      <c r="J43" s="58" t="n">
        <v>125</v>
      </c>
      <c r="K43" s="42" t="inlineStr">
        <is>
          <t>Погонаж / дерево</t>
        </is>
      </c>
      <c r="L43" s="42" t="inlineStr">
        <is>
          <t>Показать строкой</t>
        </is>
      </c>
      <c r="M43" s="42" t="inlineStr">
        <is>
          <t>Да</t>
        </is>
      </c>
      <c r="N43" s="48" t="inlineStr">
        <is>
          <t>Импортировано из PRICE_MASTER</t>
        </is>
      </c>
      <c r="O43" s="42" t="inlineStr">
        <is>
          <t>Погонаж / доски / борта</t>
        </is>
      </c>
      <c r="P43" s="55" t="n">
        <v>1.1</v>
      </c>
      <c r="Q43" s="42" t="inlineStr">
        <is>
          <t>NetArea/Length x reserve coeff</t>
        </is>
      </c>
      <c r="R43" s="42" t="inlineStr">
        <is>
          <t>Да</t>
        </is>
      </c>
    </row>
    <row r="44">
      <c r="A44" s="41" t="inlineStr">
        <is>
          <t>RMAT-0043</t>
        </is>
      </c>
      <c r="B44" s="41" t="inlineStr">
        <is>
          <t>доска обрезн сосна мм</t>
        </is>
      </c>
      <c r="C44" s="41" t="inlineStr">
        <is>
          <t>Доска обрезн., сосна, 20х145х3000мм</t>
        </is>
      </c>
      <c r="D44" s="41" t="inlineStr">
        <is>
          <t>Доска обрезн., сосна, 20х145х3000мм</t>
        </is>
      </c>
      <c r="E44" s="41" t="inlineStr">
        <is>
          <t>Мощение</t>
        </is>
      </c>
      <c r="F44" s="41" t="inlineStr">
        <is>
          <t>Конструкции и отделка</t>
        </is>
      </c>
      <c r="G44" s="41" t="inlineStr">
        <is>
          <t>Материал</t>
        </is>
      </c>
      <c r="H44" s="41" t="inlineStr">
        <is>
          <t>шт</t>
        </is>
      </c>
      <c r="I44" s="57" t="n">
        <v>20</v>
      </c>
      <c r="J44" s="57" t="n">
        <v>145</v>
      </c>
      <c r="K44" s="41" t="inlineStr">
        <is>
          <t>Погонаж / дерево</t>
        </is>
      </c>
      <c r="L44" s="41" t="inlineStr">
        <is>
          <t>Показать строкой</t>
        </is>
      </c>
      <c r="M44" s="41" t="inlineStr">
        <is>
          <t>Да</t>
        </is>
      </c>
      <c r="N44" s="45" t="inlineStr">
        <is>
          <t>Импортировано из PRICE_MASTER</t>
        </is>
      </c>
      <c r="O44" s="41" t="inlineStr">
        <is>
          <t>Погонаж / доски / борта</t>
        </is>
      </c>
      <c r="P44" s="53" t="n">
        <v>1.1</v>
      </c>
      <c r="Q44" s="41" t="inlineStr">
        <is>
          <t>NetArea/Length x reserve coeff</t>
        </is>
      </c>
      <c r="R44" s="41" t="inlineStr">
        <is>
          <t>Да</t>
        </is>
      </c>
    </row>
    <row r="45">
      <c r="A45" s="42" t="inlineStr">
        <is>
          <t>RMAT-0044</t>
        </is>
      </c>
      <c r="B45" s="42" t="inlineStr">
        <is>
          <t>доска террасная негофрированная термообработанная сосна мм</t>
        </is>
      </c>
      <c r="C45" s="42" t="inlineStr">
        <is>
          <t>Доска террасная негофрированная, термообработанная сосна 145*28*6000мм</t>
        </is>
      </c>
      <c r="D45" s="42" t="inlineStr">
        <is>
          <t>Доска террасная негофрированная, термообработанная сосна 145*28*6000мм</t>
        </is>
      </c>
      <c r="E45" s="42" t="inlineStr">
        <is>
          <t>Мощение</t>
        </is>
      </c>
      <c r="F45" s="42" t="inlineStr">
        <is>
          <t>Конструкции и отделка</t>
        </is>
      </c>
      <c r="G45" s="42" t="inlineStr">
        <is>
          <t>Материал</t>
        </is>
      </c>
      <c r="H45" s="42" t="inlineStr">
        <is>
          <t>шт</t>
        </is>
      </c>
      <c r="I45" s="58" t="n">
        <v>145</v>
      </c>
      <c r="J45" s="58" t="n">
        <v>28</v>
      </c>
      <c r="K45" s="42" t="inlineStr">
        <is>
          <t>Погонаж / дерево</t>
        </is>
      </c>
      <c r="L45" s="42" t="inlineStr">
        <is>
          <t>Показать строкой</t>
        </is>
      </c>
      <c r="M45" s="42" t="inlineStr">
        <is>
          <t>Да</t>
        </is>
      </c>
      <c r="N45" s="48" t="inlineStr">
        <is>
          <t>Импортировано из PRICE_MASTER</t>
        </is>
      </c>
      <c r="O45" s="42" t="inlineStr">
        <is>
          <t>Погонаж / доски / борта</t>
        </is>
      </c>
      <c r="P45" s="55" t="n">
        <v>1.1</v>
      </c>
      <c r="Q45" s="42" t="inlineStr">
        <is>
          <t>NetArea/Length x reserve coeff</t>
        </is>
      </c>
      <c r="R45" s="42" t="inlineStr">
        <is>
          <t>Да</t>
        </is>
      </c>
    </row>
    <row r="46">
      <c r="A46" s="41" t="inlineStr">
        <is>
          <t>RMAT-0045</t>
        </is>
      </c>
      <c r="B46" s="41" t="inlineStr">
        <is>
          <t>доска хвойная сырая нестроганая мм для опалубки</t>
        </is>
      </c>
      <c r="C46" s="41" t="inlineStr">
        <is>
          <t>Доска хвойная сырая, нестроганая 150*25*6000мм (для опалубки)</t>
        </is>
      </c>
      <c r="D46" s="41" t="inlineStr">
        <is>
          <t>Доска хвойная сырая, нестроганая 150*25*6000мм (для опалубки)</t>
        </is>
      </c>
      <c r="E46" s="41" t="inlineStr">
        <is>
          <t>Дренаж</t>
        </is>
      </c>
      <c r="F46" s="41" t="inlineStr">
        <is>
          <t>Материалы и комплектующие</t>
        </is>
      </c>
      <c r="G46" s="41" t="inlineStr">
        <is>
          <t>Материал</t>
        </is>
      </c>
      <c r="H46" s="41" t="inlineStr">
        <is>
          <t>шт</t>
        </is>
      </c>
      <c r="I46" s="57" t="n">
        <v>150</v>
      </c>
      <c r="J46" s="57" t="n">
        <v>25</v>
      </c>
      <c r="K46" s="41" t="inlineStr">
        <is>
          <t>Погонаж / дерево</t>
        </is>
      </c>
      <c r="L46" s="41" t="inlineStr">
        <is>
          <t>Показать строкой</t>
        </is>
      </c>
      <c r="M46" s="41" t="inlineStr">
        <is>
          <t>Да</t>
        </is>
      </c>
      <c r="N46" s="45" t="inlineStr">
        <is>
          <t>Импортировано из PRICE_MASTER</t>
        </is>
      </c>
      <c r="O46" s="41" t="inlineStr">
        <is>
          <t>Погонаж / доски / борта</t>
        </is>
      </c>
      <c r="P46" s="53" t="n">
        <v>1.1</v>
      </c>
      <c r="Q46" s="41" t="inlineStr">
        <is>
          <t>NetArea/Length x reserve coeff</t>
        </is>
      </c>
      <c r="R46" s="41" t="inlineStr">
        <is>
          <t>Да</t>
        </is>
      </c>
    </row>
    <row r="47">
      <c r="A47" s="42" t="inlineStr">
        <is>
          <t>RMAT-0046</t>
        </is>
      </c>
      <c r="B47" s="42" t="inlineStr">
        <is>
          <t>дюбель гвоздь мм</t>
        </is>
      </c>
      <c r="C47" s="42" t="inlineStr">
        <is>
          <t>Дюбель-гвоздь 8x100мм</t>
        </is>
      </c>
      <c r="D47" s="42" t="inlineStr">
        <is>
          <t>Дюбель-гвоздь 8x100мм</t>
        </is>
      </c>
      <c r="E47" s="42" t="inlineStr">
        <is>
          <t>Мощение</t>
        </is>
      </c>
      <c r="F47" s="42" t="inlineStr">
        <is>
          <t>Прочее по мощению</t>
        </is>
      </c>
      <c r="G47" s="42" t="inlineStr">
        <is>
          <t>Материал</t>
        </is>
      </c>
      <c r="H47" s="42" t="inlineStr">
        <is>
          <t>уп.</t>
        </is>
      </c>
      <c r="I47" s="58" t="n">
        <v>8</v>
      </c>
      <c r="J47" s="58" t="n">
        <v>100</v>
      </c>
      <c r="K47" s="42" t="inlineStr">
        <is>
          <t>Прочий материал</t>
        </is>
      </c>
      <c r="L47" s="42" t="inlineStr">
        <is>
          <t>Показать строкой</t>
        </is>
      </c>
      <c r="M47" s="42" t="inlineStr">
        <is>
          <t>Да</t>
        </is>
      </c>
      <c r="N47" s="48" t="inlineStr">
        <is>
          <t>Импортировано из PRICE_MASTER</t>
        </is>
      </c>
      <c r="O47" s="42" t="inlineStr">
        <is>
          <t>Без доп. запаса</t>
        </is>
      </c>
      <c r="P47" s="55" t="n">
        <v>1</v>
      </c>
      <c r="Q47" s="42" t="inlineStr">
        <is>
          <t>Direct</t>
        </is>
      </c>
      <c r="R47" s="42" t="inlineStr">
        <is>
          <t>Да</t>
        </is>
      </c>
    </row>
    <row r="48">
      <c r="A48" s="41" t="inlineStr">
        <is>
          <t>RMAT-0047</t>
        </is>
      </c>
      <c r="B48" s="41" t="inlineStr">
        <is>
          <t>затирка для широких швов camonica</t>
        </is>
      </c>
      <c r="C48" s="41" t="inlineStr">
        <is>
          <t>Затирка для широких швов Camonica, 25кг</t>
        </is>
      </c>
      <c r="D48" s="41" t="inlineStr">
        <is>
          <t>Затирка для широких швов Camonica, 25кг</t>
        </is>
      </c>
      <c r="E48" s="41" t="inlineStr">
        <is>
          <t>Мощение</t>
        </is>
      </c>
      <c r="F48" s="41" t="inlineStr">
        <is>
          <t>Прочее по мощению</t>
        </is>
      </c>
      <c r="G48" s="41" t="inlineStr">
        <is>
          <t>Материал</t>
        </is>
      </c>
      <c r="H48" s="41" t="inlineStr">
        <is>
          <t>шт</t>
        </is>
      </c>
      <c r="I48" s="57" t="n"/>
      <c r="J48" s="57" t="n"/>
      <c r="K48" s="41" t="inlineStr">
        <is>
          <t>Штучный материал</t>
        </is>
      </c>
      <c r="L48" s="41" t="inlineStr">
        <is>
          <t>Показать строкой</t>
        </is>
      </c>
      <c r="M48" s="41" t="inlineStr">
        <is>
          <t>Да</t>
        </is>
      </c>
      <c r="N48" s="45" t="inlineStr">
        <is>
          <t>Импортировано из PRICE_MASTER</t>
        </is>
      </c>
      <c r="O48" s="41" t="inlineStr">
        <is>
          <t>Штучные / покрытия</t>
        </is>
      </c>
      <c r="P48" s="53" t="n">
        <v>1.05</v>
      </c>
      <c r="Q48" s="41" t="inlineStr">
        <is>
          <t>NetArea/Length x reserve coeff</t>
        </is>
      </c>
      <c r="R48" s="41" t="inlineStr">
        <is>
          <t>Да</t>
        </is>
      </c>
    </row>
    <row r="49">
      <c r="A49" s="42" t="inlineStr">
        <is>
          <t>RMAT-0048</t>
        </is>
      </c>
      <c r="B49" s="42" t="inlineStr">
        <is>
          <t>кабель силовой вбшв нг а ls 5 0 66кв броня</t>
        </is>
      </c>
      <c r="C49" s="42" t="inlineStr">
        <is>
          <t>Кабель силовой ВБШв нг(А)LS 3*1,5 0,66кВ броня</t>
        </is>
      </c>
      <c r="D49" s="42" t="inlineStr">
        <is>
          <t>Кабель силовой ВБШв нг(А)LS 3*1,5 0,66кВ броня</t>
        </is>
      </c>
      <c r="E49" s="42" t="inlineStr">
        <is>
          <t>Освещение</t>
        </is>
      </c>
      <c r="F49" s="42" t="inlineStr">
        <is>
          <t>Кабельная инфраструктура</t>
        </is>
      </c>
      <c r="G49" s="42" t="inlineStr">
        <is>
          <t>Материал</t>
        </is>
      </c>
      <c r="H49" s="42" t="inlineStr">
        <is>
          <t>шт</t>
        </is>
      </c>
      <c r="I49" s="58" t="n">
        <v>3</v>
      </c>
      <c r="J49" s="58" t="n">
        <v>1</v>
      </c>
      <c r="K49" s="42" t="inlineStr">
        <is>
          <t>Инженерный материал</t>
        </is>
      </c>
      <c r="L49" s="42" t="inlineStr">
        <is>
          <t>Показать строкой</t>
        </is>
      </c>
      <c r="M49" s="42" t="inlineStr">
        <is>
          <t>Да</t>
        </is>
      </c>
      <c r="N49" s="48" t="inlineStr">
        <is>
          <t>Импортировано из PRICE_MASTER</t>
        </is>
      </c>
      <c r="O49" s="42" t="inlineStr">
        <is>
          <t>Без доп. запаса</t>
        </is>
      </c>
      <c r="P49" s="55" t="n">
        <v>1</v>
      </c>
      <c r="Q49" s="42" t="inlineStr">
        <is>
          <t>Direct</t>
        </is>
      </c>
      <c r="R49" s="42" t="inlineStr">
        <is>
          <t>Да</t>
        </is>
      </c>
    </row>
    <row r="50">
      <c r="A50" s="41" t="inlineStr">
        <is>
          <t>RMAT-0049</t>
        </is>
      </c>
      <c r="B50" s="41" t="inlineStr">
        <is>
          <t>кабель силовой вбшв нг а ls 5 0 66кв броня</t>
        </is>
      </c>
      <c r="C50" s="41" t="inlineStr">
        <is>
          <t>Кабель силовой ВБШв нг(А)LS 3*2,5 0,66кВ броня</t>
        </is>
      </c>
      <c r="D50" s="41" t="inlineStr">
        <is>
          <t>Кабель силовой ВБШв нг(А)LS 3*2,5 0,66кВ броня</t>
        </is>
      </c>
      <c r="E50" s="41" t="inlineStr">
        <is>
          <t>Освещение</t>
        </is>
      </c>
      <c r="F50" s="41" t="inlineStr">
        <is>
          <t>Кабельная инфраструктура</t>
        </is>
      </c>
      <c r="G50" s="41" t="inlineStr">
        <is>
          <t>Материал</t>
        </is>
      </c>
      <c r="H50" s="41" t="inlineStr">
        <is>
          <t>шт</t>
        </is>
      </c>
      <c r="I50" s="57" t="n">
        <v>3</v>
      </c>
      <c r="J50" s="57" t="n">
        <v>2</v>
      </c>
      <c r="K50" s="41" t="inlineStr">
        <is>
          <t>Инженерный материал</t>
        </is>
      </c>
      <c r="L50" s="41" t="inlineStr">
        <is>
          <t>Показать строкой</t>
        </is>
      </c>
      <c r="M50" s="41" t="inlineStr">
        <is>
          <t>Да</t>
        </is>
      </c>
      <c r="N50" s="45" t="inlineStr">
        <is>
          <t>Импортировано из PRICE_MASTER</t>
        </is>
      </c>
      <c r="O50" s="41" t="inlineStr">
        <is>
          <t>Без доп. запаса</t>
        </is>
      </c>
      <c r="P50" s="53" t="n">
        <v>1</v>
      </c>
      <c r="Q50" s="41" t="inlineStr">
        <is>
          <t>Direct</t>
        </is>
      </c>
      <c r="R50" s="41" t="inlineStr">
        <is>
          <t>Да</t>
        </is>
      </c>
    </row>
    <row r="51">
      <c r="A51" s="42" t="inlineStr">
        <is>
          <t>RMAT-0050</t>
        </is>
      </c>
      <c r="B51" s="42" t="inlineStr">
        <is>
          <t>клей по дереву</t>
        </is>
      </c>
      <c r="C51" s="42" t="inlineStr">
        <is>
          <t>Клей по дереву, 0,5л</t>
        </is>
      </c>
      <c r="D51" s="42" t="inlineStr">
        <is>
          <t>Клей по дереву, 0,5л</t>
        </is>
      </c>
      <c r="E51" s="42" t="inlineStr">
        <is>
          <t>Мощение</t>
        </is>
      </c>
      <c r="F51" s="42" t="inlineStr">
        <is>
          <t>Конструкции и отделка</t>
        </is>
      </c>
      <c r="G51" s="42" t="inlineStr">
        <is>
          <t>Материал</t>
        </is>
      </c>
      <c r="H51" s="42" t="inlineStr">
        <is>
          <t>шт</t>
        </is>
      </c>
      <c r="I51" s="58" t="n"/>
      <c r="J51" s="58" t="n"/>
      <c r="K51" s="42" t="inlineStr">
        <is>
          <t>Штучный материал</t>
        </is>
      </c>
      <c r="L51" s="42" t="inlineStr">
        <is>
          <t>Показать строкой</t>
        </is>
      </c>
      <c r="M51" s="42" t="inlineStr">
        <is>
          <t>Да</t>
        </is>
      </c>
      <c r="N51" s="48" t="inlineStr">
        <is>
          <t>Импортировано из PRICE_MASTER</t>
        </is>
      </c>
      <c r="O51" s="42" t="inlineStr">
        <is>
          <t>Штучные / покрытия</t>
        </is>
      </c>
      <c r="P51" s="55" t="n">
        <v>1.05</v>
      </c>
      <c r="Q51" s="42" t="inlineStr">
        <is>
          <t>NetArea/Length x reserve coeff</t>
        </is>
      </c>
      <c r="R51" s="42" t="inlineStr">
        <is>
          <t>Да</t>
        </is>
      </c>
    </row>
    <row r="52">
      <c r="A52" s="41" t="inlineStr">
        <is>
          <t>RMAT-0051</t>
        </is>
      </c>
      <c r="B52" s="41" t="inlineStr">
        <is>
          <t>колодец дренажный смотровой 315 с дном и крышкой</t>
        </is>
      </c>
      <c r="C52" s="41" t="inlineStr">
        <is>
          <t>Колодец дренажный смотровой 315/276х1000 с дном и крышкой</t>
        </is>
      </c>
      <c r="D52" s="41" t="inlineStr">
        <is>
          <t>Колодец дренажный смотровой 315/276х1000 с дном и крышкой</t>
        </is>
      </c>
      <c r="E52" s="41" t="inlineStr">
        <is>
          <t>Дренаж</t>
        </is>
      </c>
      <c r="F52" s="41" t="inlineStr">
        <is>
          <t>Колодцы</t>
        </is>
      </c>
      <c r="G52" s="41" t="inlineStr">
        <is>
          <t>Материал</t>
        </is>
      </c>
      <c r="H52" s="41" t="inlineStr">
        <is>
          <t>шт</t>
        </is>
      </c>
      <c r="I52" s="57" t="n">
        <v>276</v>
      </c>
      <c r="J52" s="57" t="n">
        <v>1000</v>
      </c>
      <c r="K52" s="41" t="inlineStr">
        <is>
          <t>Инженерный материал</t>
        </is>
      </c>
      <c r="L52" s="41" t="inlineStr">
        <is>
          <t>Показать строкой</t>
        </is>
      </c>
      <c r="M52" s="41" t="inlineStr">
        <is>
          <t>Да</t>
        </is>
      </c>
      <c r="N52" s="45" t="inlineStr">
        <is>
          <t>Импортировано из PRICE_MASTER</t>
        </is>
      </c>
      <c r="O52" s="41" t="inlineStr">
        <is>
          <t>Без доп. запаса</t>
        </is>
      </c>
      <c r="P52" s="53" t="n">
        <v>1</v>
      </c>
      <c r="Q52" s="41" t="inlineStr">
        <is>
          <t>Direct</t>
        </is>
      </c>
      <c r="R52" s="41" t="inlineStr">
        <is>
          <t>Да</t>
        </is>
      </c>
    </row>
    <row r="53">
      <c r="A53" s="42" t="inlineStr">
        <is>
          <t>RMAT-0052</t>
        </is>
      </c>
      <c r="B53" s="42" t="inlineStr">
        <is>
          <t>колодец дренажный смотровой 315 с дном и крышкой</t>
        </is>
      </c>
      <c r="C53" s="42" t="inlineStr">
        <is>
          <t>Колодец дренажный смотровой 315/276х1500 с дном и крышкой</t>
        </is>
      </c>
      <c r="D53" s="42" t="inlineStr">
        <is>
          <t>Колодец дренажный смотровой 315/276х1500 с дном и крышкой</t>
        </is>
      </c>
      <c r="E53" s="42" t="inlineStr">
        <is>
          <t>Дренаж</t>
        </is>
      </c>
      <c r="F53" s="42" t="inlineStr">
        <is>
          <t>Колодцы</t>
        </is>
      </c>
      <c r="G53" s="42" t="inlineStr">
        <is>
          <t>Материал</t>
        </is>
      </c>
      <c r="H53" s="42" t="inlineStr">
        <is>
          <t>шт</t>
        </is>
      </c>
      <c r="I53" s="58" t="n">
        <v>276</v>
      </c>
      <c r="J53" s="58" t="n">
        <v>1500</v>
      </c>
      <c r="K53" s="42" t="inlineStr">
        <is>
          <t>Инженерный материал</t>
        </is>
      </c>
      <c r="L53" s="42" t="inlineStr">
        <is>
          <t>Показать строкой</t>
        </is>
      </c>
      <c r="M53" s="42" t="inlineStr">
        <is>
          <t>Да</t>
        </is>
      </c>
      <c r="N53" s="48" t="inlineStr">
        <is>
          <t>Импортировано из PRICE_MASTER</t>
        </is>
      </c>
      <c r="O53" s="42" t="inlineStr">
        <is>
          <t>Без доп. запаса</t>
        </is>
      </c>
      <c r="P53" s="55" t="n">
        <v>1</v>
      </c>
      <c r="Q53" s="42" t="inlineStr">
        <is>
          <t>Direct</t>
        </is>
      </c>
      <c r="R53" s="42" t="inlineStr">
        <is>
          <t>Да</t>
        </is>
      </c>
    </row>
    <row r="54">
      <c r="A54" s="41" t="inlineStr">
        <is>
          <t>RMAT-0053</t>
        </is>
      </c>
      <c r="B54" s="41" t="inlineStr">
        <is>
          <t>колодец дренажный смотровой 460 мм с дном и крышкой</t>
        </is>
      </c>
      <c r="C54" s="41" t="inlineStr">
        <is>
          <t>Колодец дренажный смотровой 460/400х2000мм с дном и крышкой</t>
        </is>
      </c>
      <c r="D54" s="41" t="inlineStr">
        <is>
          <t>Колодец дренажный смотровой 460/400х2000мм с дном и крышкой</t>
        </is>
      </c>
      <c r="E54" s="41" t="inlineStr">
        <is>
          <t>Дренаж</t>
        </is>
      </c>
      <c r="F54" s="41" t="inlineStr">
        <is>
          <t>Колодцы</t>
        </is>
      </c>
      <c r="G54" s="41" t="inlineStr">
        <is>
          <t>Материал</t>
        </is>
      </c>
      <c r="H54" s="41" t="inlineStr">
        <is>
          <t>шт</t>
        </is>
      </c>
      <c r="I54" s="57" t="n">
        <v>400</v>
      </c>
      <c r="J54" s="57" t="n">
        <v>2000</v>
      </c>
      <c r="K54" s="41" t="inlineStr">
        <is>
          <t>Инженерный материал</t>
        </is>
      </c>
      <c r="L54" s="41" t="inlineStr">
        <is>
          <t>Показать строкой</t>
        </is>
      </c>
      <c r="M54" s="41" t="inlineStr">
        <is>
          <t>Да</t>
        </is>
      </c>
      <c r="N54" s="45" t="inlineStr">
        <is>
          <t>Импортировано из PRICE_MASTER</t>
        </is>
      </c>
      <c r="O54" s="41" t="inlineStr">
        <is>
          <t>Без доп. запаса</t>
        </is>
      </c>
      <c r="P54" s="53" t="n">
        <v>1</v>
      </c>
      <c r="Q54" s="41" t="inlineStr">
        <is>
          <t>Direct</t>
        </is>
      </c>
      <c r="R54" s="41" t="inlineStr">
        <is>
          <t>Да</t>
        </is>
      </c>
    </row>
    <row r="55">
      <c r="A55" s="42" t="inlineStr">
        <is>
          <t>RMAT-0054</t>
        </is>
      </c>
      <c r="B55" s="42" t="inlineStr">
        <is>
          <t>кольцо железобетонное паз гребень кс10 9 d1000мм</t>
        </is>
      </c>
      <c r="C55" s="42" t="inlineStr">
        <is>
          <t>Кольцо железобетонное паз/гребень КС10.9 d1000мм</t>
        </is>
      </c>
      <c r="D55" s="42" t="inlineStr">
        <is>
          <t>Кольцо железобетонное паз/гребень КС10.9 d1000мм</t>
        </is>
      </c>
      <c r="E55" s="42" t="inlineStr">
        <is>
          <t>Ливневая канализация</t>
        </is>
      </c>
      <c r="F55" s="42" t="inlineStr">
        <is>
          <t>Колодцы и перекрытия</t>
        </is>
      </c>
      <c r="G55" s="42" t="inlineStr">
        <is>
          <t>Материал</t>
        </is>
      </c>
      <c r="H55" s="42" t="inlineStr">
        <is>
          <t>шт</t>
        </is>
      </c>
      <c r="I55" s="58" t="n"/>
      <c r="J55" s="58" t="n"/>
      <c r="K55" s="42" t="inlineStr">
        <is>
          <t>Сыпучий / объёмный</t>
        </is>
      </c>
      <c r="L55" s="42" t="inlineStr">
        <is>
          <t>Показать строкой</t>
        </is>
      </c>
      <c r="M55" s="42" t="inlineStr">
        <is>
          <t>Да</t>
        </is>
      </c>
      <c r="N55" s="48" t="inlineStr">
        <is>
          <t>Импортировано из PRICE_MASTER</t>
        </is>
      </c>
      <c r="O55" s="42" t="inlineStr">
        <is>
          <t>Сыпучие / объёмные</t>
        </is>
      </c>
      <c r="P55" s="55" t="n">
        <v>1.08</v>
      </c>
      <c r="Q55" s="42" t="inlineStr">
        <is>
          <t>NetQty x reserve coeff</t>
        </is>
      </c>
      <c r="R55" s="42" t="inlineStr">
        <is>
          <t>Да</t>
        </is>
      </c>
    </row>
    <row r="56">
      <c r="A56" s="41" t="inlineStr">
        <is>
          <t>RMAT-0055</t>
        </is>
      </c>
      <c r="B56" s="41" t="inlineStr">
        <is>
          <t>кольцо железобетонное регулировочное ко 6 d840мм</t>
        </is>
      </c>
      <c r="C56" s="41" t="inlineStr">
        <is>
          <t>Кольцо железобетонное регулировочное КО-6 d840мм</t>
        </is>
      </c>
      <c r="D56" s="41" t="inlineStr">
        <is>
          <t>Кольцо железобетонное регулировочное КО-6 d840мм</t>
        </is>
      </c>
      <c r="E56" s="41" t="inlineStr">
        <is>
          <t>Ливневая канализация</t>
        </is>
      </c>
      <c r="F56" s="41" t="inlineStr">
        <is>
          <t>Колодцы и перекрытия</t>
        </is>
      </c>
      <c r="G56" s="41" t="inlineStr">
        <is>
          <t>Материал</t>
        </is>
      </c>
      <c r="H56" s="41" t="inlineStr">
        <is>
          <t>шт</t>
        </is>
      </c>
      <c r="I56" s="57" t="n"/>
      <c r="J56" s="57" t="n"/>
      <c r="K56" s="41" t="inlineStr">
        <is>
          <t>Сыпучий / объёмный</t>
        </is>
      </c>
      <c r="L56" s="41" t="inlineStr">
        <is>
          <t>Показать строкой</t>
        </is>
      </c>
      <c r="M56" s="41" t="inlineStr">
        <is>
          <t>Да</t>
        </is>
      </c>
      <c r="N56" s="45" t="inlineStr">
        <is>
          <t>Импортировано из PRICE_MASTER</t>
        </is>
      </c>
      <c r="O56" s="41" t="inlineStr">
        <is>
          <t>Сыпучие / объёмные</t>
        </is>
      </c>
      <c r="P56" s="53" t="n">
        <v>1.08</v>
      </c>
      <c r="Q56" s="41" t="inlineStr">
        <is>
          <t>NetQty x reserve coeff</t>
        </is>
      </c>
      <c r="R56" s="41" t="inlineStr">
        <is>
          <t>Да</t>
        </is>
      </c>
    </row>
    <row r="57">
      <c r="A57" s="42" t="inlineStr">
        <is>
          <t>RMAT-0056</t>
        </is>
      </c>
      <c r="B57" s="42" t="inlineStr">
        <is>
          <t>кольцо железобетонное с днищем дк 10 9 d1000мм</t>
        </is>
      </c>
      <c r="C57" s="42" t="inlineStr">
        <is>
          <t>Кольцо железобетонное с днищем ДК-10.9 d1000мм</t>
        </is>
      </c>
      <c r="D57" s="42" t="inlineStr">
        <is>
          <t>Кольцо железобетонное с днищем ДК-10.9 d1000мм</t>
        </is>
      </c>
      <c r="E57" s="42" t="inlineStr">
        <is>
          <t>Ливневая канализация</t>
        </is>
      </c>
      <c r="F57" s="42" t="inlineStr">
        <is>
          <t>Колодцы и перекрытия</t>
        </is>
      </c>
      <c r="G57" s="42" t="inlineStr">
        <is>
          <t>Материал</t>
        </is>
      </c>
      <c r="H57" s="42" t="inlineStr">
        <is>
          <t>шт</t>
        </is>
      </c>
      <c r="I57" s="58" t="n"/>
      <c r="J57" s="58" t="n"/>
      <c r="K57" s="42" t="inlineStr">
        <is>
          <t>Сыпучий / объёмный</t>
        </is>
      </c>
      <c r="L57" s="42" t="inlineStr">
        <is>
          <t>Показать строкой</t>
        </is>
      </c>
      <c r="M57" s="42" t="inlineStr">
        <is>
          <t>Да</t>
        </is>
      </c>
      <c r="N57" s="48" t="inlineStr">
        <is>
          <t>Импортировано из PRICE_MASTER</t>
        </is>
      </c>
      <c r="O57" s="42" t="inlineStr">
        <is>
          <t>Сыпучие / объёмные</t>
        </is>
      </c>
      <c r="P57" s="55" t="n">
        <v>1.08</v>
      </c>
      <c r="Q57" s="42" t="inlineStr">
        <is>
          <t>NetQty x reserve coeff</t>
        </is>
      </c>
      <c r="R57" s="42" t="inlineStr">
        <is>
          <t>Да</t>
        </is>
      </c>
    </row>
    <row r="58">
      <c r="A58" s="41" t="inlineStr">
        <is>
          <t>RMAT-0057</t>
        </is>
      </c>
      <c r="B58" s="41" t="inlineStr">
        <is>
          <t>короб метал для подвода кабеля к щиту мм оцинк неперфорированный h</t>
        </is>
      </c>
      <c r="C58" s="41" t="inlineStr">
        <is>
          <t>Короб метал. для подвода кабеля к щиту 100*100мм оцинк., неперфорированный, h=1,5м</t>
        </is>
      </c>
      <c r="D58" s="41" t="inlineStr">
        <is>
          <t>Короб метал. для подвода кабеля к щиту 100*100мм оцинк., неперфорированный, h=1,5м</t>
        </is>
      </c>
      <c r="E58" s="41" t="inlineStr">
        <is>
          <t>Освещение</t>
        </is>
      </c>
      <c r="F58" s="41" t="inlineStr">
        <is>
          <t>Оборудование и комплектующие</t>
        </is>
      </c>
      <c r="G58" s="41" t="inlineStr">
        <is>
          <t>Материал</t>
        </is>
      </c>
      <c r="H58" s="41" t="inlineStr">
        <is>
          <t>компл</t>
        </is>
      </c>
      <c r="I58" s="57" t="n">
        <v>100</v>
      </c>
      <c r="J58" s="57" t="n">
        <v>100</v>
      </c>
      <c r="K58" s="41" t="inlineStr">
        <is>
          <t>Прочий материал</t>
        </is>
      </c>
      <c r="L58" s="41" t="inlineStr">
        <is>
          <t>Показать строкой</t>
        </is>
      </c>
      <c r="M58" s="41" t="inlineStr">
        <is>
          <t>Да</t>
        </is>
      </c>
      <c r="N58" s="45" t="inlineStr">
        <is>
          <t>Импортировано из PRICE_MASTER</t>
        </is>
      </c>
      <c r="O58" s="41" t="inlineStr">
        <is>
          <t>Без доп. запаса</t>
        </is>
      </c>
      <c r="P58" s="53" t="n">
        <v>1</v>
      </c>
      <c r="Q58" s="41" t="inlineStr">
        <is>
          <t>Direct</t>
        </is>
      </c>
      <c r="R58" s="41" t="inlineStr">
        <is>
          <t>Да</t>
        </is>
      </c>
    </row>
    <row r="59">
      <c r="A59" s="42" t="inlineStr">
        <is>
          <t>RMAT-0058</t>
        </is>
      </c>
      <c r="B59" s="42" t="inlineStr">
        <is>
          <t>краска pinotex extreme one колеровка утренний туман 005</t>
        </is>
      </c>
      <c r="C59" s="42" t="inlineStr">
        <is>
          <t>Краска Pinotex Extreme One. Колеровка утренний туман 005</t>
        </is>
      </c>
      <c r="D59" s="42" t="inlineStr">
        <is>
          <t>Краска Pinotex Extreme One. Колеровка утренний туман 005</t>
        </is>
      </c>
      <c r="E59" s="42" t="inlineStr">
        <is>
          <t>Мощение</t>
        </is>
      </c>
      <c r="F59" s="42" t="inlineStr">
        <is>
          <t>Конструкции и отделка</t>
        </is>
      </c>
      <c r="G59" s="42" t="inlineStr">
        <is>
          <t>Материал</t>
        </is>
      </c>
      <c r="H59" s="42" t="inlineStr">
        <is>
          <t>л</t>
        </is>
      </c>
      <c r="I59" s="58" t="n"/>
      <c r="J59" s="58" t="n"/>
      <c r="K59" s="42" t="inlineStr">
        <is>
          <t>Прочий материал</t>
        </is>
      </c>
      <c r="L59" s="42" t="inlineStr">
        <is>
          <t>Показать строкой</t>
        </is>
      </c>
      <c r="M59" s="42" t="inlineStr">
        <is>
          <t>Да</t>
        </is>
      </c>
      <c r="N59" s="48" t="inlineStr">
        <is>
          <t>Импортировано из PRICE_MASTER</t>
        </is>
      </c>
      <c r="O59" s="42" t="inlineStr">
        <is>
          <t>Без доп. запаса</t>
        </is>
      </c>
      <c r="P59" s="55" t="n">
        <v>1</v>
      </c>
      <c r="Q59" s="42" t="inlineStr">
        <is>
          <t>Direct</t>
        </is>
      </c>
      <c r="R59" s="42" t="inlineStr">
        <is>
          <t>Да</t>
        </is>
      </c>
    </row>
    <row r="60">
      <c r="A60" s="41" t="inlineStr">
        <is>
          <t>RMAT-0059</t>
        </is>
      </c>
      <c r="B60" s="41" t="inlineStr">
        <is>
          <t>крышка для железобетонного кольца пп10 d1000мм</t>
        </is>
      </c>
      <c r="C60" s="41" t="inlineStr">
        <is>
          <t>Крышка для железобетонного кольца ПП10 d1000мм</t>
        </is>
      </c>
      <c r="D60" s="41" t="inlineStr">
        <is>
          <t>Крышка для железобетонного кольца ПП10 d1000мм</t>
        </is>
      </c>
      <c r="E60" s="41" t="inlineStr">
        <is>
          <t>Ливневая канализация</t>
        </is>
      </c>
      <c r="F60" s="41" t="inlineStr">
        <is>
          <t>Колодцы и перекрытия</t>
        </is>
      </c>
      <c r="G60" s="41" t="inlineStr">
        <is>
          <t>Материал</t>
        </is>
      </c>
      <c r="H60" s="41" t="inlineStr">
        <is>
          <t>шт</t>
        </is>
      </c>
      <c r="I60" s="57" t="n"/>
      <c r="J60" s="57" t="n"/>
      <c r="K60" s="41" t="inlineStr">
        <is>
          <t>Сыпучий / объёмный</t>
        </is>
      </c>
      <c r="L60" s="41" t="inlineStr">
        <is>
          <t>Показать строкой</t>
        </is>
      </c>
      <c r="M60" s="41" t="inlineStr">
        <is>
          <t>Да</t>
        </is>
      </c>
      <c r="N60" s="45" t="inlineStr">
        <is>
          <t>Импортировано из PRICE_MASTER</t>
        </is>
      </c>
      <c r="O60" s="41" t="inlineStr">
        <is>
          <t>Сыпучие / объёмные</t>
        </is>
      </c>
      <c r="P60" s="53" t="n">
        <v>1.08</v>
      </c>
      <c r="Q60" s="41" t="inlineStr">
        <is>
          <t>NetQty x reserve coeff</t>
        </is>
      </c>
      <c r="R60" s="41" t="inlineStr">
        <is>
          <t>Да</t>
        </is>
      </c>
    </row>
    <row r="61">
      <c r="A61" s="42" t="inlineStr">
        <is>
          <t>RMAT-0060</t>
        </is>
      </c>
      <c r="B61" s="42" t="inlineStr">
        <is>
          <t>лента диодная влагозащищенная профиль</t>
        </is>
      </c>
      <c r="C61" s="42" t="inlineStr">
        <is>
          <t>Лента диодная влагозащищенная, профиль</t>
        </is>
      </c>
      <c r="D61" s="42" t="inlineStr">
        <is>
          <t>Лента диодная влагозащищенная, профиль</t>
        </is>
      </c>
      <c r="E61" s="42" t="inlineStr">
        <is>
          <t>Освещение</t>
        </is>
      </c>
      <c r="F61" s="42" t="inlineStr">
        <is>
          <t>Оборудование и комплектующие</t>
        </is>
      </c>
      <c r="G61" s="42" t="inlineStr">
        <is>
          <t>Материал</t>
        </is>
      </c>
      <c r="H61" s="42" t="inlineStr">
        <is>
          <t>м.пог.</t>
        </is>
      </c>
      <c r="I61" s="58" t="n"/>
      <c r="J61" s="58" t="n"/>
      <c r="K61" s="42" t="inlineStr">
        <is>
          <t>Прочий материал</t>
        </is>
      </c>
      <c r="L61" s="42" t="inlineStr">
        <is>
          <t>Показать строкой</t>
        </is>
      </c>
      <c r="M61" s="42" t="inlineStr">
        <is>
          <t>Да</t>
        </is>
      </c>
      <c r="N61" s="48" t="inlineStr">
        <is>
          <t>Импортировано из PRICE_MASTER</t>
        </is>
      </c>
      <c r="O61" s="42" t="inlineStr">
        <is>
          <t>Без доп. запаса</t>
        </is>
      </c>
      <c r="P61" s="55" t="n">
        <v>1</v>
      </c>
      <c r="Q61" s="42" t="inlineStr">
        <is>
          <t>Direct</t>
        </is>
      </c>
      <c r="R61" s="42" t="inlineStr">
        <is>
          <t>Да</t>
        </is>
      </c>
    </row>
    <row r="62">
      <c r="A62" s="41" t="inlineStr">
        <is>
          <t>RMAT-0061</t>
        </is>
      </c>
      <c r="B62" s="41" t="inlineStr">
        <is>
          <t>лента сигнальная</t>
        </is>
      </c>
      <c r="C62" s="41" t="inlineStr">
        <is>
          <t>Лента сигнальная 100м</t>
        </is>
      </c>
      <c r="D62" s="41" t="inlineStr">
        <is>
          <t>Лента сигнальная 100м</t>
        </is>
      </c>
      <c r="E62" s="41" t="inlineStr">
        <is>
          <t>Освещение</t>
        </is>
      </c>
      <c r="F62" s="41" t="inlineStr">
        <is>
          <t>Кабельная инфраструктура</t>
        </is>
      </c>
      <c r="G62" s="41" t="inlineStr">
        <is>
          <t>Материал</t>
        </is>
      </c>
      <c r="H62" s="41" t="inlineStr">
        <is>
          <t>шт</t>
        </is>
      </c>
      <c r="I62" s="57" t="n"/>
      <c r="J62" s="57" t="n"/>
      <c r="K62" s="41" t="inlineStr">
        <is>
          <t>Штучный материал</t>
        </is>
      </c>
      <c r="L62" s="41" t="inlineStr">
        <is>
          <t>Показать строкой</t>
        </is>
      </c>
      <c r="M62" s="41" t="inlineStr">
        <is>
          <t>Да</t>
        </is>
      </c>
      <c r="N62" s="45" t="inlineStr">
        <is>
          <t>Импортировано из PRICE_MASTER</t>
        </is>
      </c>
      <c r="O62" s="41" t="inlineStr">
        <is>
          <t>Штучные / покрытия</t>
        </is>
      </c>
      <c r="P62" s="53" t="n">
        <v>1.05</v>
      </c>
      <c r="Q62" s="41" t="inlineStr">
        <is>
          <t>NetArea/Length x reserve coeff</t>
        </is>
      </c>
      <c r="R62" s="41" t="inlineStr">
        <is>
          <t>Да</t>
        </is>
      </c>
    </row>
    <row r="63">
      <c r="A63" s="42" t="inlineStr">
        <is>
          <t>RMAT-0062</t>
        </is>
      </c>
      <c r="B63" s="42" t="inlineStr">
        <is>
          <t>линия подвязки</t>
        </is>
      </c>
      <c r="C63" s="42" t="inlineStr">
        <is>
          <t>линия подвязки</t>
        </is>
      </c>
      <c r="D63" s="42" t="inlineStr">
        <is>
          <t>линия подвязки</t>
        </is>
      </c>
      <c r="E63" s="42" t="inlineStr">
        <is>
          <t>Мощение</t>
        </is>
      </c>
      <c r="F63" s="42" t="inlineStr">
        <is>
          <t>Прочее по мощению</t>
        </is>
      </c>
      <c r="G63" s="42" t="inlineStr">
        <is>
          <t>Материал</t>
        </is>
      </c>
      <c r="H63" s="42" t="inlineStr">
        <is>
          <t>шт</t>
        </is>
      </c>
      <c r="I63" s="58" t="n"/>
      <c r="J63" s="58" t="n"/>
      <c r="K63" s="42" t="inlineStr">
        <is>
          <t>Штучный материал</t>
        </is>
      </c>
      <c r="L63" s="42" t="inlineStr">
        <is>
          <t>Показать строкой</t>
        </is>
      </c>
      <c r="M63" s="42" t="inlineStr">
        <is>
          <t>Да</t>
        </is>
      </c>
      <c r="N63" s="48" t="inlineStr">
        <is>
          <t>Импортировано из PRICE_MASTER</t>
        </is>
      </c>
      <c r="O63" s="42" t="inlineStr">
        <is>
          <t>Штучные / покрытия</t>
        </is>
      </c>
      <c r="P63" s="55" t="n">
        <v>1.05</v>
      </c>
      <c r="Q63" s="42" t="inlineStr">
        <is>
          <t>NetArea/Length x reserve coeff</t>
        </is>
      </c>
      <c r="R63" s="42" t="inlineStr">
        <is>
          <t>Да</t>
        </is>
      </c>
    </row>
    <row r="64">
      <c r="A64" s="41" t="inlineStr">
        <is>
          <t>RMAT-0063</t>
        </is>
      </c>
      <c r="B64" s="41" t="inlineStr">
        <is>
          <t>лоток пластиковый лв 10 16 12 пп с решетками ячеистыми чугунными</t>
        </is>
      </c>
      <c r="C64" s="41" t="inlineStr">
        <is>
          <t>Лоток пластиковый ЛВ-10.16.12-ПП с решетками ячеистыми чугунными</t>
        </is>
      </c>
      <c r="D64" s="41" t="inlineStr">
        <is>
          <t>Лоток пластиковый ЛВ-10.16.12-ПП с решетками ячеистыми чугунными</t>
        </is>
      </c>
      <c r="E64" s="41" t="inlineStr">
        <is>
          <t>Ливневая канализация</t>
        </is>
      </c>
      <c r="F64" s="41" t="inlineStr">
        <is>
          <t>Приемные и линейные элементы</t>
        </is>
      </c>
      <c r="G64" s="41" t="inlineStr">
        <is>
          <t>Материал</t>
        </is>
      </c>
      <c r="H64" s="41" t="inlineStr">
        <is>
          <t>м.пог.</t>
        </is>
      </c>
      <c r="I64" s="57" t="n"/>
      <c r="J64" s="57" t="n"/>
      <c r="K64" s="41" t="inlineStr">
        <is>
          <t>Инженерный материал</t>
        </is>
      </c>
      <c r="L64" s="41" t="inlineStr">
        <is>
          <t>Показать строкой</t>
        </is>
      </c>
      <c r="M64" s="41" t="inlineStr">
        <is>
          <t>Да</t>
        </is>
      </c>
      <c r="N64" s="45" t="inlineStr">
        <is>
          <t>Импортировано из PRICE_MASTER</t>
        </is>
      </c>
      <c r="O64" s="41" t="inlineStr">
        <is>
          <t>Без доп. запаса</t>
        </is>
      </c>
      <c r="P64" s="53" t="n">
        <v>1</v>
      </c>
      <c r="Q64" s="41" t="inlineStr">
        <is>
          <t>Direct</t>
        </is>
      </c>
      <c r="R64" s="41" t="inlineStr">
        <is>
          <t>Да</t>
        </is>
      </c>
    </row>
    <row r="65">
      <c r="A65" s="42" t="inlineStr">
        <is>
          <t>RMAT-0064</t>
        </is>
      </c>
      <c r="B65" s="42" t="inlineStr">
        <is>
          <t>люк садовый пластиковый домик d800мм</t>
        </is>
      </c>
      <c r="C65" s="42" t="inlineStr">
        <is>
          <t>Люк садовый пластиковый черный «ДОМИК» d800мм</t>
        </is>
      </c>
      <c r="D65" s="42" t="inlineStr">
        <is>
          <t>Люк садовый пластиковый черный «ДОМИК» d800мм</t>
        </is>
      </c>
      <c r="E65" s="42" t="inlineStr">
        <is>
          <t>Ливневая канализация</t>
        </is>
      </c>
      <c r="F65" s="42" t="inlineStr">
        <is>
          <t>Колодцы и перекрытия</t>
        </is>
      </c>
      <c r="G65" s="42" t="inlineStr">
        <is>
          <t>Материал</t>
        </is>
      </c>
      <c r="H65" s="42" t="inlineStr">
        <is>
          <t>шт</t>
        </is>
      </c>
      <c r="I65" s="58" t="n"/>
      <c r="J65" s="58" t="n"/>
      <c r="K65" s="42" t="inlineStr">
        <is>
          <t>Инженерный материал</t>
        </is>
      </c>
      <c r="L65" s="42" t="inlineStr">
        <is>
          <t>Показать строкой</t>
        </is>
      </c>
      <c r="M65" s="42" t="inlineStr">
        <is>
          <t>Да</t>
        </is>
      </c>
      <c r="N65" s="48" t="inlineStr">
        <is>
          <t>Импортировано из PRICE_MASTER</t>
        </is>
      </c>
      <c r="O65" s="42" t="inlineStr">
        <is>
          <t>Без доп. запаса</t>
        </is>
      </c>
      <c r="P65" s="55" t="n">
        <v>1</v>
      </c>
      <c r="Q65" s="42" t="inlineStr">
        <is>
          <t>Direct</t>
        </is>
      </c>
      <c r="R65" s="42" t="inlineStr">
        <is>
          <t>Да</t>
        </is>
      </c>
    </row>
    <row r="66">
      <c r="A66" s="41" t="inlineStr">
        <is>
          <t>RMAT-0065</t>
        </is>
      </c>
      <c r="B66" s="41" t="inlineStr">
        <is>
          <t>мастика битумная</t>
        </is>
      </c>
      <c r="C66" s="41" t="inlineStr">
        <is>
          <t>Мастика битумная</t>
        </is>
      </c>
      <c r="D66" s="41" t="inlineStr">
        <is>
          <t>Мастика битумная</t>
        </is>
      </c>
      <c r="E66" s="41" t="inlineStr">
        <is>
          <t>Мощение</t>
        </is>
      </c>
      <c r="F66" s="41" t="inlineStr">
        <is>
          <t>Бетон и конструктив</t>
        </is>
      </c>
      <c r="G66" s="41" t="inlineStr">
        <is>
          <t>Материал</t>
        </is>
      </c>
      <c r="H66" s="41" t="inlineStr">
        <is>
          <t>кг</t>
        </is>
      </c>
      <c r="I66" s="57" t="n"/>
      <c r="J66" s="57" t="n"/>
      <c r="K66" s="41" t="inlineStr">
        <is>
          <t>Прочий материал</t>
        </is>
      </c>
      <c r="L66" s="41" t="inlineStr">
        <is>
          <t>Показать строкой</t>
        </is>
      </c>
      <c r="M66" s="41" t="inlineStr">
        <is>
          <t>Да</t>
        </is>
      </c>
      <c r="N66" s="45" t="inlineStr">
        <is>
          <t>Импортировано из PRICE_MASTER</t>
        </is>
      </c>
      <c r="O66" s="41" t="inlineStr">
        <is>
          <t>Без доп. запаса</t>
        </is>
      </c>
      <c r="P66" s="53" t="n">
        <v>1</v>
      </c>
      <c r="Q66" s="41" t="inlineStr">
        <is>
          <t>Direct</t>
        </is>
      </c>
      <c r="R66" s="41" t="inlineStr">
        <is>
          <t>Да</t>
        </is>
      </c>
    </row>
    <row r="67">
      <c r="A67" s="42" t="inlineStr">
        <is>
          <t>RMAT-0066</t>
        </is>
      </c>
      <c r="B67" s="42" t="inlineStr">
        <is>
          <t>мастика битумная</t>
        </is>
      </c>
      <c r="C67" s="42" t="inlineStr">
        <is>
          <t>Мастика битумная, 20л</t>
        </is>
      </c>
      <c r="D67" s="42" t="inlineStr">
        <is>
          <t>Мастика битумная, 20л</t>
        </is>
      </c>
      <c r="E67" s="42" t="inlineStr">
        <is>
          <t>Ливневая канализация</t>
        </is>
      </c>
      <c r="F67" s="42" t="inlineStr">
        <is>
          <t>Материалы и комплектующие</t>
        </is>
      </c>
      <c r="G67" s="42" t="inlineStr">
        <is>
          <t>Материал</t>
        </is>
      </c>
      <c r="H67" s="42" t="inlineStr">
        <is>
          <t>шт</t>
        </is>
      </c>
      <c r="I67" s="58" t="n"/>
      <c r="J67" s="58" t="n"/>
      <c r="K67" s="42" t="inlineStr">
        <is>
          <t>Штучный материал</t>
        </is>
      </c>
      <c r="L67" s="42" t="inlineStr">
        <is>
          <t>Показать строкой</t>
        </is>
      </c>
      <c r="M67" s="42" t="inlineStr">
        <is>
          <t>Да</t>
        </is>
      </c>
      <c r="N67" s="48" t="inlineStr">
        <is>
          <t>Импортировано из PRICE_MASTER</t>
        </is>
      </c>
      <c r="O67" s="42" t="inlineStr">
        <is>
          <t>Штучные / покрытия</t>
        </is>
      </c>
      <c r="P67" s="55" t="n">
        <v>1.05</v>
      </c>
      <c r="Q67" s="42" t="inlineStr">
        <is>
          <t>NetArea/Length x reserve coeff</t>
        </is>
      </c>
      <c r="R67" s="42" t="inlineStr">
        <is>
          <t>Да</t>
        </is>
      </c>
    </row>
    <row r="68">
      <c r="A68" s="41" t="inlineStr">
        <is>
          <t>RMAT-0067</t>
        </is>
      </c>
      <c r="B68" s="41" t="inlineStr">
        <is>
          <t>материалы для разметки</t>
        </is>
      </c>
      <c r="C68" s="41" t="inlineStr">
        <is>
          <t>Материалы для разметки</t>
        </is>
      </c>
      <c r="D68" s="41" t="inlineStr">
        <is>
          <t>Материалы для разметки</t>
        </is>
      </c>
      <c r="E68" s="41" t="inlineStr">
        <is>
          <t>Земляные и планировочные работы</t>
        </is>
      </c>
      <c r="F68" s="41" t="inlineStr">
        <is>
          <t>Материалы</t>
        </is>
      </c>
      <c r="G68" s="41" t="inlineStr">
        <is>
          <t>Материал</t>
        </is>
      </c>
      <c r="H68" s="41" t="inlineStr">
        <is>
          <t>компл</t>
        </is>
      </c>
      <c r="I68" s="57" t="n"/>
      <c r="J68" s="57" t="n"/>
      <c r="K68" s="41" t="inlineStr">
        <is>
          <t>Прочий материал</t>
        </is>
      </c>
      <c r="L68" s="41" t="inlineStr">
        <is>
          <t>Показать строкой</t>
        </is>
      </c>
      <c r="M68" s="41" t="inlineStr">
        <is>
          <t>Да</t>
        </is>
      </c>
      <c r="N68" s="45" t="inlineStr">
        <is>
          <t>Импортировано из PRICE_MASTER</t>
        </is>
      </c>
      <c r="O68" s="41" t="inlineStr">
        <is>
          <t>Без доп. запаса</t>
        </is>
      </c>
      <c r="P68" s="53" t="n">
        <v>1</v>
      </c>
      <c r="Q68" s="41" t="inlineStr">
        <is>
          <t>Direct</t>
        </is>
      </c>
      <c r="R68" s="41" t="inlineStr">
        <is>
          <t>Да</t>
        </is>
      </c>
    </row>
    <row r="69">
      <c r="A69" s="42" t="inlineStr">
        <is>
          <t>RMAT-0068</t>
        </is>
      </c>
      <c r="B69" s="42" t="inlineStr">
        <is>
          <t>метизы</t>
        </is>
      </c>
      <c r="C69" s="42" t="inlineStr">
        <is>
          <t>Метизы</t>
        </is>
      </c>
      <c r="D69" s="42" t="inlineStr">
        <is>
          <t>Метизы</t>
        </is>
      </c>
      <c r="E69" s="42" t="inlineStr">
        <is>
          <t>Мощение</t>
        </is>
      </c>
      <c r="F69" s="42" t="inlineStr">
        <is>
          <t>Прочее по мощению</t>
        </is>
      </c>
      <c r="G69" s="42" t="inlineStr">
        <is>
          <t>Материал</t>
        </is>
      </c>
      <c r="H69" s="42" t="inlineStr">
        <is>
          <t>кг</t>
        </is>
      </c>
      <c r="I69" s="58" t="n"/>
      <c r="J69" s="58" t="n"/>
      <c r="K69" s="42" t="inlineStr">
        <is>
          <t>Прочий материал</t>
        </is>
      </c>
      <c r="L69" s="42" t="inlineStr">
        <is>
          <t>Показать строкой</t>
        </is>
      </c>
      <c r="M69" s="42" t="inlineStr">
        <is>
          <t>Да</t>
        </is>
      </c>
      <c r="N69" s="48" t="inlineStr">
        <is>
          <t>Импортировано из PRICE_MASTER</t>
        </is>
      </c>
      <c r="O69" s="42" t="inlineStr">
        <is>
          <t>Без доп. запаса</t>
        </is>
      </c>
      <c r="P69" s="55" t="n">
        <v>1</v>
      </c>
      <c r="Q69" s="42" t="inlineStr">
        <is>
          <t>Direct</t>
        </is>
      </c>
      <c r="R69" s="42" t="inlineStr">
        <is>
          <t>Да</t>
        </is>
      </c>
    </row>
    <row r="70">
      <c r="A70" s="41" t="inlineStr">
        <is>
          <t>RMAT-0069</t>
        </is>
      </c>
      <c r="B70" s="41" t="inlineStr">
        <is>
          <t>муфта d110мм для врезки в колодец</t>
        </is>
      </c>
      <c r="C70" s="41" t="inlineStr">
        <is>
          <t>Муфта d110мм для врезки в колодец</t>
        </is>
      </c>
      <c r="D70" s="41" t="inlineStr">
        <is>
          <t>Муфта d110мм для врезки в колодец</t>
        </is>
      </c>
      <c r="E70" s="41" t="inlineStr">
        <is>
          <t>Ливневая канализация</t>
        </is>
      </c>
      <c r="F70" s="41" t="inlineStr">
        <is>
          <t>Колодцы и перекрытия</t>
        </is>
      </c>
      <c r="G70" s="41" t="inlineStr">
        <is>
          <t>Материал</t>
        </is>
      </c>
      <c r="H70" s="41" t="inlineStr">
        <is>
          <t>шт</t>
        </is>
      </c>
      <c r="I70" s="57" t="n"/>
      <c r="J70" s="57" t="n"/>
      <c r="K70" s="41" t="inlineStr">
        <is>
          <t>Инженерный материал</t>
        </is>
      </c>
      <c r="L70" s="41" t="inlineStr">
        <is>
          <t>Показать строкой</t>
        </is>
      </c>
      <c r="M70" s="41" t="inlineStr">
        <is>
          <t>Да</t>
        </is>
      </c>
      <c r="N70" s="45" t="inlineStr">
        <is>
          <t>Импортировано из PRICE_MASTER</t>
        </is>
      </c>
      <c r="O70" s="41" t="inlineStr">
        <is>
          <t>Без доп. запаса</t>
        </is>
      </c>
      <c r="P70" s="53" t="n">
        <v>1</v>
      </c>
      <c r="Q70" s="41" t="inlineStr">
        <is>
          <t>Direct</t>
        </is>
      </c>
      <c r="R70" s="41" t="inlineStr">
        <is>
          <t>Да</t>
        </is>
      </c>
    </row>
    <row r="71">
      <c r="A71" s="42" t="inlineStr">
        <is>
          <t>RMAT-0070</t>
        </is>
      </c>
      <c r="B71" s="42" t="inlineStr">
        <is>
          <t>муфта d160мм для врезки в колодец</t>
        </is>
      </c>
      <c r="C71" s="42" t="inlineStr">
        <is>
          <t>Муфта d160мм для врезки в колодец</t>
        </is>
      </c>
      <c r="D71" s="42" t="inlineStr">
        <is>
          <t>Муфта d160мм для врезки в колодец</t>
        </is>
      </c>
      <c r="E71" s="42" t="inlineStr">
        <is>
          <t>Ливневая канализация</t>
        </is>
      </c>
      <c r="F71" s="42" t="inlineStr">
        <is>
          <t>Колодцы и перекрытия</t>
        </is>
      </c>
      <c r="G71" s="42" t="inlineStr">
        <is>
          <t>Материал</t>
        </is>
      </c>
      <c r="H71" s="42" t="inlineStr">
        <is>
          <t>шт</t>
        </is>
      </c>
      <c r="I71" s="58" t="n"/>
      <c r="J71" s="58" t="n"/>
      <c r="K71" s="42" t="inlineStr">
        <is>
          <t>Инженерный материал</t>
        </is>
      </c>
      <c r="L71" s="42" t="inlineStr">
        <is>
          <t>Показать строкой</t>
        </is>
      </c>
      <c r="M71" s="42" t="inlineStr">
        <is>
          <t>Да</t>
        </is>
      </c>
      <c r="N71" s="48" t="inlineStr">
        <is>
          <t>Импортировано из PRICE_MASTER</t>
        </is>
      </c>
      <c r="O71" s="42" t="inlineStr">
        <is>
          <t>Без доп. запаса</t>
        </is>
      </c>
      <c r="P71" s="55" t="n">
        <v>1</v>
      </c>
      <c r="Q71" s="42" t="inlineStr">
        <is>
          <t>Direct</t>
        </is>
      </c>
      <c r="R71" s="42" t="inlineStr">
        <is>
          <t>Да</t>
        </is>
      </c>
    </row>
    <row r="72">
      <c r="A72" s="41" t="inlineStr">
        <is>
          <t>RMAT-0071</t>
        </is>
      </c>
      <c r="B72" s="41" t="inlineStr">
        <is>
          <t>опора ландшафтная для установки светильников в бетон</t>
        </is>
      </c>
      <c r="C72" s="41" t="inlineStr">
        <is>
          <t>Опора ландшафтная для установки светильников в бетон</t>
        </is>
      </c>
      <c r="D72" s="41" t="inlineStr">
        <is>
          <t>Опора ландшафтная для установки светильников в бетон</t>
        </is>
      </c>
      <c r="E72" s="41" t="inlineStr">
        <is>
          <t>Освещение</t>
        </is>
      </c>
      <c r="F72" s="41" t="inlineStr">
        <is>
          <t>Оборудование и комплектующие</t>
        </is>
      </c>
      <c r="G72" s="41" t="inlineStr">
        <is>
          <t>Материал</t>
        </is>
      </c>
      <c r="H72" s="41" t="inlineStr">
        <is>
          <t>шт</t>
        </is>
      </c>
      <c r="I72" s="57" t="n"/>
      <c r="J72" s="57" t="n"/>
      <c r="K72" s="41" t="inlineStr">
        <is>
          <t>Сыпучий / объёмный</t>
        </is>
      </c>
      <c r="L72" s="41" t="inlineStr">
        <is>
          <t>Показать строкой</t>
        </is>
      </c>
      <c r="M72" s="41" t="inlineStr">
        <is>
          <t>Да</t>
        </is>
      </c>
      <c r="N72" s="45" t="inlineStr">
        <is>
          <t>Импортировано из PRICE_MASTER</t>
        </is>
      </c>
      <c r="O72" s="41" t="inlineStr">
        <is>
          <t>Сыпучие / объёмные</t>
        </is>
      </c>
      <c r="P72" s="53" t="n">
        <v>1.08</v>
      </c>
      <c r="Q72" s="41" t="inlineStr">
        <is>
          <t>NetQty x reserve coeff</t>
        </is>
      </c>
      <c r="R72" s="41" t="inlineStr">
        <is>
          <t>Да</t>
        </is>
      </c>
    </row>
    <row r="73">
      <c r="A73" s="42" t="inlineStr">
        <is>
          <t>RMAT-0072</t>
        </is>
      </c>
      <c r="B73" s="42" t="inlineStr">
        <is>
          <t>отсев гранитный</t>
        </is>
      </c>
      <c r="C73" s="42" t="inlineStr">
        <is>
          <t>Отсев гранитный</t>
        </is>
      </c>
      <c r="D73" s="42" t="inlineStr">
        <is>
          <t>Отсев гранитный</t>
        </is>
      </c>
      <c r="E73" s="42" t="inlineStr">
        <is>
          <t>Мощение</t>
        </is>
      </c>
      <c r="F73" s="42" t="inlineStr">
        <is>
          <t>Основание</t>
        </is>
      </c>
      <c r="G73" s="42" t="inlineStr">
        <is>
          <t>Материал</t>
        </is>
      </c>
      <c r="H73" s="42" t="inlineStr">
        <is>
          <t>м3</t>
        </is>
      </c>
      <c r="I73" s="58" t="n"/>
      <c r="J73" s="58" t="n"/>
      <c r="K73" s="42" t="inlineStr">
        <is>
          <t>Сыпучий / объёмный</t>
        </is>
      </c>
      <c r="L73" s="42" t="inlineStr">
        <is>
          <t>Показать строкой</t>
        </is>
      </c>
      <c r="M73" s="42" t="inlineStr">
        <is>
          <t>Да</t>
        </is>
      </c>
      <c r="N73" s="48" t="inlineStr">
        <is>
          <t>Импортировано из PRICE_MASTER</t>
        </is>
      </c>
      <c r="O73" s="42" t="inlineStr">
        <is>
          <t>Сыпучие / объёмные</t>
        </is>
      </c>
      <c r="P73" s="55" t="n">
        <v>1.08</v>
      </c>
      <c r="Q73" s="42" t="inlineStr">
        <is>
          <t>NetQty x reserve coeff</t>
        </is>
      </c>
      <c r="R73" s="42" t="inlineStr">
        <is>
          <t>Да</t>
        </is>
      </c>
    </row>
    <row r="74">
      <c r="A74" s="41" t="inlineStr">
        <is>
          <t>RMAT-0073</t>
        </is>
      </c>
      <c r="B74" s="41" t="inlineStr">
        <is>
          <t>отсев гранитный 2</t>
        </is>
      </c>
      <c r="C74" s="41" t="inlineStr">
        <is>
          <t>Отсев гранитный 2-5мм</t>
        </is>
      </c>
      <c r="D74" s="41" t="inlineStr">
        <is>
          <t>Отсев гранитный 2-5мм</t>
        </is>
      </c>
      <c r="E74" s="41" t="inlineStr">
        <is>
          <t>Мощение</t>
        </is>
      </c>
      <c r="F74" s="41" t="inlineStr">
        <is>
          <t>Основание</t>
        </is>
      </c>
      <c r="G74" s="41" t="inlineStr">
        <is>
          <t>Материал</t>
        </is>
      </c>
      <c r="H74" s="41" t="inlineStr">
        <is>
          <t>м3</t>
        </is>
      </c>
      <c r="I74" s="57" t="n"/>
      <c r="J74" s="57" t="n"/>
      <c r="K74" s="41" t="inlineStr">
        <is>
          <t>Сыпучий / объёмный</t>
        </is>
      </c>
      <c r="L74" s="41" t="inlineStr">
        <is>
          <t>Показать строкой</t>
        </is>
      </c>
      <c r="M74" s="41" t="inlineStr">
        <is>
          <t>Да</t>
        </is>
      </c>
      <c r="N74" s="45" t="inlineStr">
        <is>
          <t>Импортировано из PRICE_MASTER</t>
        </is>
      </c>
      <c r="O74" s="41" t="inlineStr">
        <is>
          <t>Сыпучие / объёмные</t>
        </is>
      </c>
      <c r="P74" s="53" t="n">
        <v>1.08</v>
      </c>
      <c r="Q74" s="41" t="inlineStr">
        <is>
          <t>NetQty x reserve coeff</t>
        </is>
      </c>
      <c r="R74" s="41" t="inlineStr">
        <is>
          <t>Да</t>
        </is>
      </c>
    </row>
    <row r="75">
      <c r="A75" s="42" t="inlineStr">
        <is>
          <t>RMAT-0074</t>
        </is>
      </c>
      <c r="B75" s="42" t="inlineStr">
        <is>
          <t>отсев розовый 0</t>
        </is>
      </c>
      <c r="C75" s="42" t="inlineStr">
        <is>
          <t>Отсев розовый 0-5мм, 50кг</t>
        </is>
      </c>
      <c r="D75" s="42" t="inlineStr">
        <is>
          <t>Отсев розовый 0-5мм, 50кг</t>
        </is>
      </c>
      <c r="E75" s="42" t="inlineStr">
        <is>
          <t>Дренаж</t>
        </is>
      </c>
      <c r="F75" s="42" t="inlineStr">
        <is>
          <t>Материалы и комплектующие</t>
        </is>
      </c>
      <c r="G75" s="42" t="inlineStr">
        <is>
          <t>Материал</t>
        </is>
      </c>
      <c r="H75" s="42" t="inlineStr">
        <is>
          <t>шт</t>
        </is>
      </c>
      <c r="I75" s="58" t="n"/>
      <c r="J75" s="58" t="n"/>
      <c r="K75" s="42" t="inlineStr">
        <is>
          <t>Сыпучий / объёмный</t>
        </is>
      </c>
      <c r="L75" s="42" t="inlineStr">
        <is>
          <t>Показать строкой</t>
        </is>
      </c>
      <c r="M75" s="42" t="inlineStr">
        <is>
          <t>Да</t>
        </is>
      </c>
      <c r="N75" s="48" t="inlineStr">
        <is>
          <t>Импортировано из PRICE_MASTER</t>
        </is>
      </c>
      <c r="O75" s="42" t="inlineStr">
        <is>
          <t>Сыпучие / объёмные</t>
        </is>
      </c>
      <c r="P75" s="55" t="n">
        <v>1.08</v>
      </c>
      <c r="Q75" s="42" t="inlineStr">
        <is>
          <t>NetQty x reserve coeff</t>
        </is>
      </c>
      <c r="R75" s="42" t="inlineStr">
        <is>
          <t>Да</t>
        </is>
      </c>
    </row>
    <row r="76">
      <c r="A76" s="41" t="inlineStr">
        <is>
          <t>RMAT-0075</t>
        </is>
      </c>
      <c r="B76" s="41" t="inlineStr">
        <is>
          <t>пескоуловители пластиковые мм с решетками ячеистыми чугунными</t>
        </is>
      </c>
      <c r="C76" s="41" t="inlineStr">
        <is>
          <t>Пескоуловители пластиковые 500х160х420мм с решетками ячеистыми чугунными</t>
        </is>
      </c>
      <c r="D76" s="41" t="inlineStr">
        <is>
          <t>Пескоуловители пластиковые 500х160х420мм с решетками ячеистыми чугунными</t>
        </is>
      </c>
      <c r="E76" s="41" t="inlineStr">
        <is>
          <t>Ливневая канализация</t>
        </is>
      </c>
      <c r="F76" s="41" t="inlineStr">
        <is>
          <t>Приемные и линейные элементы</t>
        </is>
      </c>
      <c r="G76" s="41" t="inlineStr">
        <is>
          <t>Материал</t>
        </is>
      </c>
      <c r="H76" s="41" t="inlineStr">
        <is>
          <t>шт</t>
        </is>
      </c>
      <c r="I76" s="57" t="n">
        <v>500</v>
      </c>
      <c r="J76" s="57" t="n">
        <v>160</v>
      </c>
      <c r="K76" s="41" t="inlineStr">
        <is>
          <t>Сыпучий / объёмный</t>
        </is>
      </c>
      <c r="L76" s="41" t="inlineStr">
        <is>
          <t>Показать строкой</t>
        </is>
      </c>
      <c r="M76" s="41" t="inlineStr">
        <is>
          <t>Да</t>
        </is>
      </c>
      <c r="N76" s="45" t="inlineStr">
        <is>
          <t>Импортировано из PRICE_MASTER</t>
        </is>
      </c>
      <c r="O76" s="41" t="inlineStr">
        <is>
          <t>Сыпучие / объёмные</t>
        </is>
      </c>
      <c r="P76" s="53" t="n">
        <v>1.08</v>
      </c>
      <c r="Q76" s="41" t="inlineStr">
        <is>
          <t>NetQty x reserve coeff</t>
        </is>
      </c>
      <c r="R76" s="41" t="inlineStr">
        <is>
          <t>Да</t>
        </is>
      </c>
    </row>
    <row r="77">
      <c r="A77" s="42" t="inlineStr">
        <is>
          <t>RMAT-0076</t>
        </is>
      </c>
      <c r="B77" s="42" t="inlineStr">
        <is>
          <t>песок крупнозернистый намывной</t>
        </is>
      </c>
      <c r="C77" s="42" t="inlineStr">
        <is>
          <t>Песок крупнозернистый намывной</t>
        </is>
      </c>
      <c r="D77" s="42" t="inlineStr">
        <is>
          <t>Песок крупнозернистый намывной</t>
        </is>
      </c>
      <c r="E77" s="42" t="inlineStr">
        <is>
          <t>Газон</t>
        </is>
      </c>
      <c r="F77" s="42" t="inlineStr">
        <is>
          <t>Материалы и комплектующие</t>
        </is>
      </c>
      <c r="G77" s="42" t="inlineStr">
        <is>
          <t>Материал</t>
        </is>
      </c>
      <c r="H77" s="42" t="inlineStr">
        <is>
          <t>м3</t>
        </is>
      </c>
      <c r="I77" s="58" t="n"/>
      <c r="J77" s="58" t="n"/>
      <c r="K77" s="42" t="inlineStr">
        <is>
          <t>Сыпучий / объёмный</t>
        </is>
      </c>
      <c r="L77" s="42" t="inlineStr">
        <is>
          <t>Показать строкой</t>
        </is>
      </c>
      <c r="M77" s="42" t="inlineStr">
        <is>
          <t>Да</t>
        </is>
      </c>
      <c r="N77" s="48" t="inlineStr">
        <is>
          <t>Импортировано из PRICE_MASTER</t>
        </is>
      </c>
      <c r="O77" s="42" t="inlineStr">
        <is>
          <t>Сыпучие / объёмные</t>
        </is>
      </c>
      <c r="P77" s="55" t="n">
        <v>1.08</v>
      </c>
      <c r="Q77" s="42" t="inlineStr">
        <is>
          <t>NetQty x reserve coeff</t>
        </is>
      </c>
      <c r="R77" s="42" t="inlineStr">
        <is>
          <t>Да</t>
        </is>
      </c>
    </row>
    <row r="78">
      <c r="A78" s="41" t="inlineStr">
        <is>
          <t>RMAT-0077</t>
        </is>
      </c>
      <c r="B78" s="41" t="inlineStr">
        <is>
          <t>песок мелкий сеяный для швов</t>
        </is>
      </c>
      <c r="C78" s="41" t="inlineStr">
        <is>
          <t>Песок мелкий сеяный для швов, 50кг</t>
        </is>
      </c>
      <c r="D78" s="41" t="inlineStr">
        <is>
          <t>Песок мелкий сеяный для швов, 50кг</t>
        </is>
      </c>
      <c r="E78" s="41" t="inlineStr">
        <is>
          <t>Мощение</t>
        </is>
      </c>
      <c r="F78" s="41" t="inlineStr">
        <is>
          <t>Основание</t>
        </is>
      </c>
      <c r="G78" s="41" t="inlineStr">
        <is>
          <t>Материал</t>
        </is>
      </c>
      <c r="H78" s="41" t="inlineStr">
        <is>
          <t>шт</t>
        </is>
      </c>
      <c r="I78" s="57" t="n"/>
      <c r="J78" s="57" t="n"/>
      <c r="K78" s="41" t="inlineStr">
        <is>
          <t>Сыпучий / объёмный</t>
        </is>
      </c>
      <c r="L78" s="41" t="inlineStr">
        <is>
          <t>Показать строкой</t>
        </is>
      </c>
      <c r="M78" s="41" t="inlineStr">
        <is>
          <t>Да</t>
        </is>
      </c>
      <c r="N78" s="45" t="inlineStr">
        <is>
          <t>Импортировано из PRICE_MASTER</t>
        </is>
      </c>
      <c r="O78" s="41" t="inlineStr">
        <is>
          <t>Сыпучие / объёмные</t>
        </is>
      </c>
      <c r="P78" s="53" t="n">
        <v>1.08</v>
      </c>
      <c r="Q78" s="41" t="inlineStr">
        <is>
          <t>NetQty x reserve coeff</t>
        </is>
      </c>
      <c r="R78" s="41" t="inlineStr">
        <is>
          <t>Да</t>
        </is>
      </c>
    </row>
    <row r="79">
      <c r="A79" s="42" t="inlineStr">
        <is>
          <t>RMAT-0078</t>
        </is>
      </c>
      <c r="B79" s="42" t="inlineStr">
        <is>
          <t>песок строительный</t>
        </is>
      </c>
      <c r="C79" s="42" t="inlineStr">
        <is>
          <t>Песок строительный, 50кг</t>
        </is>
      </c>
      <c r="D79" s="42" t="inlineStr">
        <is>
          <t>Песок строительный, 50кг</t>
        </is>
      </c>
      <c r="E79" s="42" t="inlineStr">
        <is>
          <t>Мощение</t>
        </is>
      </c>
      <c r="F79" s="42" t="inlineStr">
        <is>
          <t>Основание</t>
        </is>
      </c>
      <c r="G79" s="42" t="inlineStr">
        <is>
          <t>Материал</t>
        </is>
      </c>
      <c r="H79" s="42" t="inlineStr">
        <is>
          <t>шт</t>
        </is>
      </c>
      <c r="I79" s="58" t="n"/>
      <c r="J79" s="58" t="n"/>
      <c r="K79" s="42" t="inlineStr">
        <is>
          <t>Сыпучий / объёмный</t>
        </is>
      </c>
      <c r="L79" s="42" t="inlineStr">
        <is>
          <t>Показать строкой</t>
        </is>
      </c>
      <c r="M79" s="42" t="inlineStr">
        <is>
          <t>Да</t>
        </is>
      </c>
      <c r="N79" s="48" t="inlineStr">
        <is>
          <t>Импортировано из PRICE_MASTER</t>
        </is>
      </c>
      <c r="O79" s="42" t="inlineStr">
        <is>
          <t>Сыпучие / объёмные</t>
        </is>
      </c>
      <c r="P79" s="55" t="n">
        <v>1.08</v>
      </c>
      <c r="Q79" s="42" t="inlineStr">
        <is>
          <t>NetQty x reserve coeff</t>
        </is>
      </c>
      <c r="R79" s="42" t="inlineStr">
        <is>
          <t>Да</t>
        </is>
      </c>
    </row>
    <row r="80">
      <c r="A80" s="41" t="inlineStr">
        <is>
          <t>RMAT-0079</t>
        </is>
      </c>
      <c r="B80" s="41" t="inlineStr">
        <is>
          <t>пленка техническая 150мк</t>
        </is>
      </c>
      <c r="C80" s="41" t="inlineStr">
        <is>
          <t>пленка техническая 150мк</t>
        </is>
      </c>
      <c r="D80" s="41" t="inlineStr">
        <is>
          <t>пленка техническая 150мк</t>
        </is>
      </c>
      <c r="E80" s="41" t="inlineStr">
        <is>
          <t>Мощение</t>
        </is>
      </c>
      <c r="F80" s="41" t="inlineStr">
        <is>
          <t>Прочее по мощению</t>
        </is>
      </c>
      <c r="G80" s="41" t="inlineStr">
        <is>
          <t>Материал</t>
        </is>
      </c>
      <c r="H80" s="41" t="inlineStr">
        <is>
          <t>м2</t>
        </is>
      </c>
      <c r="I80" s="57" t="n"/>
      <c r="J80" s="57" t="n"/>
      <c r="K80" s="41" t="inlineStr">
        <is>
          <t>Сетка / текстиль</t>
        </is>
      </c>
      <c r="L80" s="41" t="inlineStr">
        <is>
          <t>Показать строкой</t>
        </is>
      </c>
      <c r="M80" s="41" t="inlineStr">
        <is>
          <t>Да</t>
        </is>
      </c>
      <c r="N80" s="45" t="inlineStr">
        <is>
          <t>Импортировано из PRICE_MASTER</t>
        </is>
      </c>
      <c r="O80" s="41" t="inlineStr">
        <is>
          <t>Рулонные / листовые</t>
        </is>
      </c>
      <c r="P80" s="53" t="n">
        <v>1.1</v>
      </c>
      <c r="Q80" s="41" t="inlineStr">
        <is>
          <t>NetArea/Length x reserve coeff</t>
        </is>
      </c>
      <c r="R80" s="41" t="inlineStr">
        <is>
          <t>Да</t>
        </is>
      </c>
    </row>
    <row r="81">
      <c r="A81" s="42" t="inlineStr">
        <is>
          <t>RMAT-0080</t>
        </is>
      </c>
      <c r="B81" s="42" t="inlineStr">
        <is>
          <t>плита бетонная</t>
        </is>
      </c>
      <c r="C81" s="42" t="inlineStr">
        <is>
          <t>Плита бетонная, 40мм</t>
        </is>
      </c>
      <c r="D81" s="42" t="inlineStr">
        <is>
          <t>Плита бетонная, 40мм</t>
        </is>
      </c>
      <c r="E81" s="42" t="inlineStr">
        <is>
          <t>Мощение</t>
        </is>
      </c>
      <c r="F81" s="42" t="inlineStr">
        <is>
          <t>Покрытие</t>
        </is>
      </c>
      <c r="G81" s="42" t="inlineStr">
        <is>
          <t>Материал</t>
        </is>
      </c>
      <c r="H81" s="42" t="inlineStr">
        <is>
          <t>м2</t>
        </is>
      </c>
      <c r="I81" s="58" t="n"/>
      <c r="J81" s="58" t="n"/>
      <c r="K81" s="42" t="inlineStr">
        <is>
          <t>Покрытие</t>
        </is>
      </c>
      <c r="L81" s="42" t="inlineStr">
        <is>
          <t>Показать строкой</t>
        </is>
      </c>
      <c r="M81" s="42" t="inlineStr">
        <is>
          <t>Да</t>
        </is>
      </c>
      <c r="N81" s="48" t="inlineStr">
        <is>
          <t>Импортировано из PRICE_MASTER</t>
        </is>
      </c>
      <c r="O81" s="42" t="inlineStr">
        <is>
          <t>Сыпучие / объёмные</t>
        </is>
      </c>
      <c r="P81" s="55" t="n">
        <v>1.08</v>
      </c>
      <c r="Q81" s="42" t="inlineStr">
        <is>
          <t>NetQty x reserve coeff</t>
        </is>
      </c>
      <c r="R81" s="42" t="inlineStr">
        <is>
          <t>Да</t>
        </is>
      </c>
    </row>
    <row r="82">
      <c r="A82" s="41" t="inlineStr">
        <is>
          <t>RMAT-0081</t>
        </is>
      </c>
      <c r="B82" s="41" t="inlineStr">
        <is>
          <t>плита бетонная толщина ширина длина от 1 до</t>
        </is>
      </c>
      <c r="C82" s="41" t="inlineStr">
        <is>
          <t>Плита бетонная: толщина 50мм, ширина 0,36м, длина от 1 до 1,8м</t>
        </is>
      </c>
      <c r="D82" s="41" t="inlineStr">
        <is>
          <t>Плита бетонная: толщина 50мм, ширина 0,36м, длина от 1 до 1,8м</t>
        </is>
      </c>
      <c r="E82" s="41" t="inlineStr">
        <is>
          <t>Мощение</t>
        </is>
      </c>
      <c r="F82" s="41" t="inlineStr">
        <is>
          <t>Покрытие</t>
        </is>
      </c>
      <c r="G82" s="41" t="inlineStr">
        <is>
          <t>Материал</t>
        </is>
      </c>
      <c r="H82" s="41" t="inlineStr">
        <is>
          <t>м2</t>
        </is>
      </c>
      <c r="I82" s="57" t="n"/>
      <c r="J82" s="57" t="n"/>
      <c r="K82" s="41" t="inlineStr">
        <is>
          <t>Покрытие</t>
        </is>
      </c>
      <c r="L82" s="41" t="inlineStr">
        <is>
          <t>Показать строкой</t>
        </is>
      </c>
      <c r="M82" s="41" t="inlineStr">
        <is>
          <t>Да</t>
        </is>
      </c>
      <c r="N82" s="45" t="inlineStr">
        <is>
          <t>Импортировано из PRICE_MASTER</t>
        </is>
      </c>
      <c r="O82" s="41" t="inlineStr">
        <is>
          <t>Сыпучие / объёмные</t>
        </is>
      </c>
      <c r="P82" s="53" t="n">
        <v>1.08</v>
      </c>
      <c r="Q82" s="41" t="inlineStr">
        <is>
          <t>NetQty x reserve coeff</t>
        </is>
      </c>
      <c r="R82" s="41" t="inlineStr">
        <is>
          <t>Да</t>
        </is>
      </c>
    </row>
    <row r="83">
      <c r="A83" s="42" t="inlineStr">
        <is>
          <t>RMAT-0082</t>
        </is>
      </c>
      <c r="B83" s="42" t="inlineStr">
        <is>
          <t>покрытие спортивное однослойное ударопоглощающее резиновое на однокомпонентном полиуретановом связующем толщиной</t>
        </is>
      </c>
      <c r="C83" s="42" t="inlineStr">
        <is>
          <t>Покрытие спортивное (однослойное ударопоглощающее резиновое на однокомпонентном полиуретановом связующем толщиной 15мм )</t>
        </is>
      </c>
      <c r="D83" s="42" t="inlineStr">
        <is>
          <t>Покрытие спортивное (однослойное ударопоглощающее резиновое на однокомпонентном полиуретановом связующем толщиной 15мм )</t>
        </is>
      </c>
      <c r="E83" s="42" t="inlineStr">
        <is>
          <t>Мощение</t>
        </is>
      </c>
      <c r="F83" s="42" t="inlineStr">
        <is>
          <t>Покрытие</t>
        </is>
      </c>
      <c r="G83" s="42" t="inlineStr">
        <is>
          <t>Материал</t>
        </is>
      </c>
      <c r="H83" s="42" t="inlineStr">
        <is>
          <t>м2</t>
        </is>
      </c>
      <c r="I83" s="58" t="n"/>
      <c r="J83" s="58" t="n"/>
      <c r="K83" s="42" t="inlineStr">
        <is>
          <t>Покрытие</t>
        </is>
      </c>
      <c r="L83" s="42" t="inlineStr">
        <is>
          <t>Показать строкой</t>
        </is>
      </c>
      <c r="M83" s="42" t="inlineStr">
        <is>
          <t>Да</t>
        </is>
      </c>
      <c r="N83" s="48" t="inlineStr">
        <is>
          <t>Импортировано из PRICE_MASTER</t>
        </is>
      </c>
      <c r="O83" s="42" t="inlineStr">
        <is>
          <t>Штучные / покрытия</t>
        </is>
      </c>
      <c r="P83" s="55" t="n">
        <v>1.05</v>
      </c>
      <c r="Q83" s="42" t="inlineStr">
        <is>
          <t>NetArea/Length x reserve coeff</t>
        </is>
      </c>
      <c r="R83" s="42" t="inlineStr">
        <is>
          <t>Да</t>
        </is>
      </c>
    </row>
    <row r="84">
      <c r="A84" s="41" t="inlineStr">
        <is>
          <t>RMAT-0083</t>
        </is>
      </c>
      <c r="B84" s="41" t="inlineStr">
        <is>
          <t>портландцемент м400</t>
        </is>
      </c>
      <c r="C84" s="41" t="inlineStr">
        <is>
          <t>Портландцемент М400, 50кг</t>
        </is>
      </c>
      <c r="D84" s="41" t="inlineStr">
        <is>
          <t>Портландцемент М400, 50кг</t>
        </is>
      </c>
      <c r="E84" s="41" t="inlineStr">
        <is>
          <t>Мощение</t>
        </is>
      </c>
      <c r="F84" s="41" t="inlineStr">
        <is>
          <t>Бетон и конструктив</t>
        </is>
      </c>
      <c r="G84" s="41" t="inlineStr">
        <is>
          <t>Материал</t>
        </is>
      </c>
      <c r="H84" s="41" t="inlineStr">
        <is>
          <t>шт</t>
        </is>
      </c>
      <c r="I84" s="57" t="n"/>
      <c r="J84" s="57" t="n"/>
      <c r="K84" s="41" t="inlineStr">
        <is>
          <t>Сыпучий / объёмный</t>
        </is>
      </c>
      <c r="L84" s="41" t="inlineStr">
        <is>
          <t>Показать строкой</t>
        </is>
      </c>
      <c r="M84" s="41" t="inlineStr">
        <is>
          <t>Да</t>
        </is>
      </c>
      <c r="N84" s="45" t="inlineStr">
        <is>
          <t>Импортировано из PRICE_MASTER</t>
        </is>
      </c>
      <c r="O84" s="41" t="inlineStr">
        <is>
          <t>Сыпучие / объёмные</t>
        </is>
      </c>
      <c r="P84" s="53" t="n">
        <v>1.08</v>
      </c>
      <c r="Q84" s="41" t="inlineStr">
        <is>
          <t>NetQty x reserve coeff</t>
        </is>
      </c>
      <c r="R84" s="41" t="inlineStr">
        <is>
          <t>Да</t>
        </is>
      </c>
    </row>
    <row r="85">
      <c r="A85" s="42" t="inlineStr">
        <is>
          <t>RMAT-0084</t>
        </is>
      </c>
      <c r="B85" s="42" t="inlineStr">
        <is>
          <t>проволока вязальная</t>
        </is>
      </c>
      <c r="C85" s="42" t="inlineStr">
        <is>
          <t>Проволока вязальная</t>
        </is>
      </c>
      <c r="D85" s="42" t="inlineStr">
        <is>
          <t>Проволока вязальная</t>
        </is>
      </c>
      <c r="E85" s="42" t="inlineStr">
        <is>
          <t>Ступени / пандусы / бетонные элементы</t>
        </is>
      </c>
      <c r="F85" s="42" t="inlineStr">
        <is>
          <t>Бетон и армирование</t>
        </is>
      </c>
      <c r="G85" s="42" t="inlineStr">
        <is>
          <t>Материал</t>
        </is>
      </c>
      <c r="H85" s="42" t="inlineStr">
        <is>
          <t>шт</t>
        </is>
      </c>
      <c r="I85" s="58" t="n"/>
      <c r="J85" s="58" t="n"/>
      <c r="K85" s="42" t="inlineStr">
        <is>
          <t>Штучный материал</t>
        </is>
      </c>
      <c r="L85" s="42" t="inlineStr">
        <is>
          <t>Показать строкой</t>
        </is>
      </c>
      <c r="M85" s="42" t="inlineStr">
        <is>
          <t>Да</t>
        </is>
      </c>
      <c r="N85" s="48" t="inlineStr">
        <is>
          <t>Импортировано из PRICE_MASTER</t>
        </is>
      </c>
      <c r="O85" s="42" t="inlineStr">
        <is>
          <t>Штучные / покрытия</t>
        </is>
      </c>
      <c r="P85" s="55" t="n">
        <v>1.05</v>
      </c>
      <c r="Q85" s="42" t="inlineStr">
        <is>
          <t>NetArea/Length x reserve coeff</t>
        </is>
      </c>
      <c r="R85" s="42" t="inlineStr">
        <is>
          <t>Да</t>
        </is>
      </c>
    </row>
    <row r="86">
      <c r="A86" s="41" t="inlineStr">
        <is>
          <t>RMAT-0085</t>
        </is>
      </c>
      <c r="B86" s="41" t="inlineStr">
        <is>
          <t>просеивание местного грунта</t>
        </is>
      </c>
      <c r="C86" s="41" t="inlineStr">
        <is>
          <t>Просеивание местного грунта</t>
        </is>
      </c>
      <c r="D86" s="41" t="inlineStr">
        <is>
          <t>Просеивание местного грунта</t>
        </is>
      </c>
      <c r="E86" s="41" t="inlineStr">
        <is>
          <t>Газон</t>
        </is>
      </c>
      <c r="F86" s="41" t="inlineStr">
        <is>
          <t>Подготовка основания</t>
        </is>
      </c>
      <c r="G86" s="41" t="inlineStr">
        <is>
          <t>Материал</t>
        </is>
      </c>
      <c r="H86" s="41" t="inlineStr">
        <is>
          <t>м3</t>
        </is>
      </c>
      <c r="I86" s="57" t="n"/>
      <c r="J86" s="57" t="n"/>
      <c r="K86" s="41" t="inlineStr">
        <is>
          <t>Сыпучий / объёмный</t>
        </is>
      </c>
      <c r="L86" s="41" t="inlineStr">
        <is>
          <t>Показать строкой</t>
        </is>
      </c>
      <c r="M86" s="41" t="inlineStr">
        <is>
          <t>Да</t>
        </is>
      </c>
      <c r="N86" s="45" t="inlineStr">
        <is>
          <t>Импортировано из PRICE_MASTER</t>
        </is>
      </c>
      <c r="O86" s="41" t="inlineStr">
        <is>
          <t>Сыпучие / объёмные</t>
        </is>
      </c>
      <c r="P86" s="53" t="n">
        <v>1.08</v>
      </c>
      <c r="Q86" s="41" t="inlineStr">
        <is>
          <t>NetQty x reserve coeff</t>
        </is>
      </c>
      <c r="R86" s="41" t="inlineStr">
        <is>
          <t>Да</t>
        </is>
      </c>
    </row>
    <row r="87">
      <c r="A87" s="42" t="inlineStr">
        <is>
          <t>RMAT-0086</t>
        </is>
      </c>
      <c r="B87" s="42" t="inlineStr">
        <is>
          <t>профиль алюминиевый</t>
        </is>
      </c>
      <c r="C87" s="42" t="inlineStr">
        <is>
          <t>Профиль алюминиевый</t>
        </is>
      </c>
      <c r="D87" s="42" t="inlineStr">
        <is>
          <t>Профиль алюминиевый</t>
        </is>
      </c>
      <c r="E87" s="42" t="inlineStr">
        <is>
          <t>Мощение</t>
        </is>
      </c>
      <c r="F87" s="42" t="inlineStr">
        <is>
          <t>Конструкции и отделка</t>
        </is>
      </c>
      <c r="G87" s="42" t="inlineStr">
        <is>
          <t>Материал</t>
        </is>
      </c>
      <c r="H87" s="42" t="inlineStr">
        <is>
          <t>компл</t>
        </is>
      </c>
      <c r="I87" s="58" t="n"/>
      <c r="J87" s="58" t="n"/>
      <c r="K87" s="42" t="inlineStr">
        <is>
          <t>Прочий материал</t>
        </is>
      </c>
      <c r="L87" s="42" t="inlineStr">
        <is>
          <t>Показать строкой</t>
        </is>
      </c>
      <c r="M87" s="42" t="inlineStr">
        <is>
          <t>Да</t>
        </is>
      </c>
      <c r="N87" s="48" t="inlineStr">
        <is>
          <t>Импортировано из PRICE_MASTER</t>
        </is>
      </c>
      <c r="O87" s="42" t="inlineStr">
        <is>
          <t>Без доп. запаса</t>
        </is>
      </c>
      <c r="P87" s="55" t="n">
        <v>1</v>
      </c>
      <c r="Q87" s="42" t="inlineStr">
        <is>
          <t>Direct</t>
        </is>
      </c>
      <c r="R87" s="42" t="inlineStr">
        <is>
          <t>Да</t>
        </is>
      </c>
    </row>
    <row r="88">
      <c r="A88" s="41" t="inlineStr">
        <is>
          <t>RMAT-0087</t>
        </is>
      </c>
      <c r="B88" s="41" t="inlineStr">
        <is>
          <t>расходные материалы</t>
        </is>
      </c>
      <c r="C88" s="41" t="inlineStr">
        <is>
          <t>Расходные материалы</t>
        </is>
      </c>
      <c r="D88" s="41" t="inlineStr">
        <is>
          <t>Расходные материалы</t>
        </is>
      </c>
      <c r="E88" s="41" t="inlineStr">
        <is>
          <t>Дренаж</t>
        </is>
      </c>
      <c r="F88" s="41" t="inlineStr">
        <is>
          <t>Материалы и комплектующие</t>
        </is>
      </c>
      <c r="G88" s="41" t="inlineStr">
        <is>
          <t>Материал</t>
        </is>
      </c>
      <c r="H88" s="41" t="inlineStr">
        <is>
          <t>компл</t>
        </is>
      </c>
      <c r="I88" s="57" t="n"/>
      <c r="J88" s="57" t="n"/>
      <c r="K88" s="41" t="inlineStr">
        <is>
          <t>Прочий материал</t>
        </is>
      </c>
      <c r="L88" s="41" t="inlineStr">
        <is>
          <t>Свернуть в раздел</t>
        </is>
      </c>
      <c r="M88" s="41" t="inlineStr">
        <is>
          <t>Да</t>
        </is>
      </c>
      <c r="N88" s="45" t="inlineStr">
        <is>
          <t>Импортировано из PRICE_MASTER</t>
        </is>
      </c>
      <c r="O88" s="41" t="inlineStr">
        <is>
          <t>Без доп. запаса</t>
        </is>
      </c>
      <c r="P88" s="53" t="n">
        <v>1</v>
      </c>
      <c r="Q88" s="41" t="inlineStr">
        <is>
          <t>Direct</t>
        </is>
      </c>
      <c r="R88" s="41" t="inlineStr">
        <is>
          <t>Да</t>
        </is>
      </c>
    </row>
    <row r="89">
      <c r="A89" s="42" t="inlineStr">
        <is>
          <t>RMAT-0088</t>
        </is>
      </c>
      <c r="B89" s="42" t="inlineStr">
        <is>
          <t>ровнитель для бетона plitonit</t>
        </is>
      </c>
      <c r="C89" s="42" t="inlineStr">
        <is>
          <t>Ровнитель для бетона Plitonit, 25кг</t>
        </is>
      </c>
      <c r="D89" s="42" t="inlineStr">
        <is>
          <t>Ровнитель для бетона Plitonit, 25кг</t>
        </is>
      </c>
      <c r="E89" s="42" t="inlineStr">
        <is>
          <t>Мощение</t>
        </is>
      </c>
      <c r="F89" s="42" t="inlineStr">
        <is>
          <t>Бетон и конструктив</t>
        </is>
      </c>
      <c r="G89" s="42" t="inlineStr">
        <is>
          <t>Материал</t>
        </is>
      </c>
      <c r="H89" s="42" t="inlineStr">
        <is>
          <t>шт</t>
        </is>
      </c>
      <c r="I89" s="58" t="n"/>
      <c r="J89" s="58" t="n"/>
      <c r="K89" s="42" t="inlineStr">
        <is>
          <t>Сыпучий / объёмный</t>
        </is>
      </c>
      <c r="L89" s="42" t="inlineStr">
        <is>
          <t>Показать строкой</t>
        </is>
      </c>
      <c r="M89" s="42" t="inlineStr">
        <is>
          <t>Да</t>
        </is>
      </c>
      <c r="N89" s="48" t="inlineStr">
        <is>
          <t>Импортировано из PRICE_MASTER</t>
        </is>
      </c>
      <c r="O89" s="42" t="inlineStr">
        <is>
          <t>Сыпучие / объёмные</t>
        </is>
      </c>
      <c r="P89" s="55" t="n">
        <v>1.08</v>
      </c>
      <c r="Q89" s="42" t="inlineStr">
        <is>
          <t>NetQty x reserve coeff</t>
        </is>
      </c>
      <c r="R89" s="42" t="inlineStr">
        <is>
          <t>Да</t>
        </is>
      </c>
    </row>
    <row r="90">
      <c r="A90" s="41" t="inlineStr">
        <is>
          <t>RMAT-0089</t>
        </is>
      </c>
      <c r="B90" s="41" t="inlineStr">
        <is>
          <t>розетка двойная наружная с заземлением с крышкой форс ip54 ers22 k03 16 54 dc iek</t>
        </is>
      </c>
      <c r="C90" s="41" t="inlineStr">
        <is>
          <t>Розетка двойная наружная с заземлением с крышкой ФОРС IP54 ERS22-K03-16-54-DC IEK</t>
        </is>
      </c>
      <c r="D90" s="41" t="inlineStr">
        <is>
          <t>Розетка двойная наружная с заземлением с крышкой ФОРС IP54 ERS22-K03-16-54-DC IEK</t>
        </is>
      </c>
      <c r="E90" s="41" t="inlineStr">
        <is>
          <t>Освещение</t>
        </is>
      </c>
      <c r="F90" s="41" t="inlineStr">
        <is>
          <t>Оборудование и комплектующие</t>
        </is>
      </c>
      <c r="G90" s="41" t="inlineStr">
        <is>
          <t>Материал</t>
        </is>
      </c>
      <c r="H90" s="41" t="inlineStr">
        <is>
          <t>шт</t>
        </is>
      </c>
      <c r="I90" s="57" t="n"/>
      <c r="J90" s="57" t="n"/>
      <c r="K90" s="41" t="inlineStr">
        <is>
          <t>Сыпучий / объёмный</t>
        </is>
      </c>
      <c r="L90" s="41" t="inlineStr">
        <is>
          <t>Показать строкой</t>
        </is>
      </c>
      <c r="M90" s="41" t="inlineStr">
        <is>
          <t>Да</t>
        </is>
      </c>
      <c r="N90" s="45" t="inlineStr">
        <is>
          <t>Импортировано из PRICE_MASTER</t>
        </is>
      </c>
      <c r="O90" s="41" t="inlineStr">
        <is>
          <t>Сыпучие / объёмные</t>
        </is>
      </c>
      <c r="P90" s="53" t="n">
        <v>1.08</v>
      </c>
      <c r="Q90" s="41" t="inlineStr">
        <is>
          <t>NetQty x reserve coeff</t>
        </is>
      </c>
      <c r="R90" s="41" t="inlineStr">
        <is>
          <t>Да</t>
        </is>
      </c>
    </row>
    <row r="91">
      <c r="A91" s="42" t="inlineStr">
        <is>
          <t>RMAT-0090</t>
        </is>
      </c>
      <c r="B91" s="42" t="inlineStr">
        <is>
          <t>розетка садовая paulmann rio 94657 столб с двумя розетками</t>
        </is>
      </c>
      <c r="C91" s="42" t="inlineStr">
        <is>
          <t>Розетка садовая Paulmann Rio 94657, столб с двумя розетками</t>
        </is>
      </c>
      <c r="D91" s="42" t="inlineStr">
        <is>
          <t>Розетка садовая Paulmann Rio 94657, столб с двумя розетками</t>
        </is>
      </c>
      <c r="E91" s="42" t="inlineStr">
        <is>
          <t>Освещение</t>
        </is>
      </c>
      <c r="F91" s="42" t="inlineStr">
        <is>
          <t>Оборудование и комплектующие</t>
        </is>
      </c>
      <c r="G91" s="42" t="inlineStr">
        <is>
          <t>Материал</t>
        </is>
      </c>
      <c r="H91" s="42" t="inlineStr">
        <is>
          <t>шт</t>
        </is>
      </c>
      <c r="I91" s="58" t="n"/>
      <c r="J91" s="58" t="n"/>
      <c r="K91" s="42" t="inlineStr">
        <is>
          <t>Штучный материал</t>
        </is>
      </c>
      <c r="L91" s="42" t="inlineStr">
        <is>
          <t>Показать строкой</t>
        </is>
      </c>
      <c r="M91" s="42" t="inlineStr">
        <is>
          <t>Да</t>
        </is>
      </c>
      <c r="N91" s="48" t="inlineStr">
        <is>
          <t>Импортировано из PRICE_MASTER</t>
        </is>
      </c>
      <c r="O91" s="42" t="inlineStr">
        <is>
          <t>Штучные / покрытия</t>
        </is>
      </c>
      <c r="P91" s="55" t="n">
        <v>1.05</v>
      </c>
      <c r="Q91" s="42" t="inlineStr">
        <is>
          <t>NetArea/Length x reserve coeff</t>
        </is>
      </c>
      <c r="R91" s="42" t="inlineStr">
        <is>
          <t>Да</t>
        </is>
      </c>
    </row>
    <row r="92">
      <c r="A92" s="41" t="inlineStr">
        <is>
          <t>RMAT-0091</t>
        </is>
      </c>
      <c r="B92" s="41" t="inlineStr">
        <is>
          <t>саморезы нержавеющие</t>
        </is>
      </c>
      <c r="C92" s="41" t="inlineStr">
        <is>
          <t>Саморезы нержавеющие, 5см (1500шт.)</t>
        </is>
      </c>
      <c r="D92" s="41" t="inlineStr">
        <is>
          <t>Саморезы нержавеющие, 5см (1500шт.)</t>
        </is>
      </c>
      <c r="E92" s="41" t="inlineStr">
        <is>
          <t>Мощение</t>
        </is>
      </c>
      <c r="F92" s="41" t="inlineStr">
        <is>
          <t>Конструкции и отделка</t>
        </is>
      </c>
      <c r="G92" s="41" t="inlineStr">
        <is>
          <t>Материал</t>
        </is>
      </c>
      <c r="H92" s="41" t="inlineStr">
        <is>
          <t>уп.</t>
        </is>
      </c>
      <c r="I92" s="57" t="n"/>
      <c r="J92" s="57" t="n"/>
      <c r="K92" s="41" t="inlineStr">
        <is>
          <t>Прочий материал</t>
        </is>
      </c>
      <c r="L92" s="41" t="inlineStr">
        <is>
          <t>Показать строкой</t>
        </is>
      </c>
      <c r="M92" s="41" t="inlineStr">
        <is>
          <t>Да</t>
        </is>
      </c>
      <c r="N92" s="45" t="inlineStr">
        <is>
          <t>Импортировано из PRICE_MASTER</t>
        </is>
      </c>
      <c r="O92" s="41" t="inlineStr">
        <is>
          <t>Без доп. запаса</t>
        </is>
      </c>
      <c r="P92" s="53" t="n">
        <v>1</v>
      </c>
      <c r="Q92" s="41" t="inlineStr">
        <is>
          <t>Direct</t>
        </is>
      </c>
      <c r="R92" s="41" t="inlineStr">
        <is>
          <t>Да</t>
        </is>
      </c>
    </row>
    <row r="93">
      <c r="A93" s="42" t="inlineStr">
        <is>
          <t>RMAT-0092</t>
        </is>
      </c>
      <c r="B93" s="42" t="inlineStr">
        <is>
          <t>саморезы по дереву</t>
        </is>
      </c>
      <c r="C93" s="42" t="inlineStr">
        <is>
          <t>Саморезы по дереву</t>
        </is>
      </c>
      <c r="D93" s="42" t="inlineStr">
        <is>
          <t>Саморезы по дереву</t>
        </is>
      </c>
      <c r="E93" s="42" t="inlineStr">
        <is>
          <t>Мощение</t>
        </is>
      </c>
      <c r="F93" s="42" t="inlineStr">
        <is>
          <t>Конструкции и отделка</t>
        </is>
      </c>
      <c r="G93" s="42" t="inlineStr">
        <is>
          <t>Материал</t>
        </is>
      </c>
      <c r="H93" s="42" t="inlineStr">
        <is>
          <t>уп.</t>
        </is>
      </c>
      <c r="I93" s="58" t="n"/>
      <c r="J93" s="58" t="n"/>
      <c r="K93" s="42" t="inlineStr">
        <is>
          <t>Прочий материал</t>
        </is>
      </c>
      <c r="L93" s="42" t="inlineStr">
        <is>
          <t>Показать строкой</t>
        </is>
      </c>
      <c r="M93" s="42" t="inlineStr">
        <is>
          <t>Да</t>
        </is>
      </c>
      <c r="N93" s="48" t="inlineStr">
        <is>
          <t>Импортировано из PRICE_MASTER</t>
        </is>
      </c>
      <c r="O93" s="42" t="inlineStr">
        <is>
          <t>Без доп. запаса</t>
        </is>
      </c>
      <c r="P93" s="55" t="n">
        <v>1</v>
      </c>
      <c r="Q93" s="42" t="inlineStr">
        <is>
          <t>Direct</t>
        </is>
      </c>
      <c r="R93" s="42" t="inlineStr">
        <is>
          <t>Да</t>
        </is>
      </c>
    </row>
    <row r="94">
      <c r="A94" s="41" t="inlineStr">
        <is>
          <t>RMAT-0093</t>
        </is>
      </c>
      <c r="B94" s="41" t="inlineStr">
        <is>
          <t>сверло по дереву мм</t>
        </is>
      </c>
      <c r="C94" s="41" t="inlineStr">
        <is>
          <t>Сверло по дереву 8*100мм</t>
        </is>
      </c>
      <c r="D94" s="41" t="inlineStr">
        <is>
          <t>Сверло по дереву 8*100мм</t>
        </is>
      </c>
      <c r="E94" s="41" t="inlineStr">
        <is>
          <t>Мощение</t>
        </is>
      </c>
      <c r="F94" s="41" t="inlineStr">
        <is>
          <t>Конструкции и отделка</t>
        </is>
      </c>
      <c r="G94" s="41" t="inlineStr">
        <is>
          <t>Материал</t>
        </is>
      </c>
      <c r="H94" s="41" t="inlineStr">
        <is>
          <t>шт</t>
        </is>
      </c>
      <c r="I94" s="57" t="n">
        <v>8</v>
      </c>
      <c r="J94" s="57" t="n">
        <v>100</v>
      </c>
      <c r="K94" s="41" t="inlineStr">
        <is>
          <t>Штучный материал</t>
        </is>
      </c>
      <c r="L94" s="41" t="inlineStr">
        <is>
          <t>Показать строкой</t>
        </is>
      </c>
      <c r="M94" s="41" t="inlineStr">
        <is>
          <t>Да</t>
        </is>
      </c>
      <c r="N94" s="45" t="inlineStr">
        <is>
          <t>Импортировано из PRICE_MASTER</t>
        </is>
      </c>
      <c r="O94" s="41" t="inlineStr">
        <is>
          <t>Штучные / покрытия</t>
        </is>
      </c>
      <c r="P94" s="53" t="n">
        <v>1.05</v>
      </c>
      <c r="Q94" s="41" t="inlineStr">
        <is>
          <t>NetArea/Length x reserve coeff</t>
        </is>
      </c>
      <c r="R94" s="41" t="inlineStr">
        <is>
          <t>Да</t>
        </is>
      </c>
    </row>
    <row r="95">
      <c r="A95" s="42" t="inlineStr">
        <is>
          <t>RMAT-0094</t>
        </is>
      </c>
      <c r="B95" s="42" t="inlineStr">
        <is>
          <t>светильник</t>
        </is>
      </c>
      <c r="C95" s="42" t="inlineStr">
        <is>
          <t>Светильник</t>
        </is>
      </c>
      <c r="D95" s="42" t="inlineStr">
        <is>
          <t>Светильник</t>
        </is>
      </c>
      <c r="E95" s="42" t="inlineStr">
        <is>
          <t>Освещение</t>
        </is>
      </c>
      <c r="F95" s="42" t="inlineStr">
        <is>
          <t>Оборудование и комплектующие</t>
        </is>
      </c>
      <c r="G95" s="42" t="inlineStr">
        <is>
          <t>Материал</t>
        </is>
      </c>
      <c r="H95" s="42" t="inlineStr">
        <is>
          <t>шт</t>
        </is>
      </c>
      <c r="I95" s="58" t="n"/>
      <c r="J95" s="58" t="n"/>
      <c r="K95" s="42" t="inlineStr">
        <is>
          <t>Штучный материал</t>
        </is>
      </c>
      <c r="L95" s="42" t="inlineStr">
        <is>
          <t>Показать строкой</t>
        </is>
      </c>
      <c r="M95" s="42" t="inlineStr">
        <is>
          <t>Да</t>
        </is>
      </c>
      <c r="N95" s="48" t="inlineStr">
        <is>
          <t>Импортировано из PRICE_MASTER</t>
        </is>
      </c>
      <c r="O95" s="42" t="inlineStr">
        <is>
          <t>Штучные / покрытия</t>
        </is>
      </c>
      <c r="P95" s="55" t="n">
        <v>1.05</v>
      </c>
      <c r="Q95" s="42" t="inlineStr">
        <is>
          <t>NetArea/Length x reserve coeff</t>
        </is>
      </c>
      <c r="R95" s="42" t="inlineStr">
        <is>
          <t>Да</t>
        </is>
      </c>
    </row>
    <row r="96">
      <c r="A96" s="41" t="inlineStr">
        <is>
          <t>RMAT-0095</t>
        </is>
      </c>
      <c r="B96" s="41" t="inlineStr">
        <is>
          <t>светильник h 1000</t>
        </is>
      </c>
      <c r="C96" s="41" t="inlineStr">
        <is>
          <t>Светильник h=1000</t>
        </is>
      </c>
      <c r="D96" s="41" t="inlineStr">
        <is>
          <t>Светильник h=1000</t>
        </is>
      </c>
      <c r="E96" s="41" t="inlineStr">
        <is>
          <t>Освещение</t>
        </is>
      </c>
      <c r="F96" s="41" t="inlineStr">
        <is>
          <t>Оборудование и комплектующие</t>
        </is>
      </c>
      <c r="G96" s="41" t="inlineStr">
        <is>
          <t>Материал</t>
        </is>
      </c>
      <c r="H96" s="41" t="inlineStr">
        <is>
          <t>шт</t>
        </is>
      </c>
      <c r="I96" s="57" t="n"/>
      <c r="J96" s="57" t="n"/>
      <c r="K96" s="41" t="inlineStr">
        <is>
          <t>Штучный материал</t>
        </is>
      </c>
      <c r="L96" s="41" t="inlineStr">
        <is>
          <t>Показать строкой</t>
        </is>
      </c>
      <c r="M96" s="41" t="inlineStr">
        <is>
          <t>Да</t>
        </is>
      </c>
      <c r="N96" s="45" t="inlineStr">
        <is>
          <t>Импортировано из PRICE_MASTER</t>
        </is>
      </c>
      <c r="O96" s="41" t="inlineStr">
        <is>
          <t>Штучные / покрытия</t>
        </is>
      </c>
      <c r="P96" s="53" t="n">
        <v>1.05</v>
      </c>
      <c r="Q96" s="41" t="inlineStr">
        <is>
          <t>NetArea/Length x reserve coeff</t>
        </is>
      </c>
      <c r="R96" s="41" t="inlineStr">
        <is>
          <t>Да</t>
        </is>
      </c>
    </row>
    <row r="97">
      <c r="A97" s="42" t="inlineStr">
        <is>
          <t>RMAT-0096</t>
        </is>
      </c>
      <c r="B97" s="42" t="inlineStr">
        <is>
          <t>светильник h 600</t>
        </is>
      </c>
      <c r="C97" s="42" t="inlineStr">
        <is>
          <t>Светильник h=600</t>
        </is>
      </c>
      <c r="D97" s="42" t="inlineStr">
        <is>
          <t>Светильник h=600</t>
        </is>
      </c>
      <c r="E97" s="42" t="inlineStr">
        <is>
          <t>Освещение</t>
        </is>
      </c>
      <c r="F97" s="42" t="inlineStr">
        <is>
          <t>Оборудование и комплектующие</t>
        </is>
      </c>
      <c r="G97" s="42" t="inlineStr">
        <is>
          <t>Материал</t>
        </is>
      </c>
      <c r="H97" s="42" t="inlineStr">
        <is>
          <t>шт</t>
        </is>
      </c>
      <c r="I97" s="58" t="n"/>
      <c r="J97" s="58" t="n"/>
      <c r="K97" s="42" t="inlineStr">
        <is>
          <t>Штучный материал</t>
        </is>
      </c>
      <c r="L97" s="42" t="inlineStr">
        <is>
          <t>Показать строкой</t>
        </is>
      </c>
      <c r="M97" s="42" t="inlineStr">
        <is>
          <t>Да</t>
        </is>
      </c>
      <c r="N97" s="48" t="inlineStr">
        <is>
          <t>Импортировано из PRICE_MASTER</t>
        </is>
      </c>
      <c r="O97" s="42" t="inlineStr">
        <is>
          <t>Штучные / покрытия</t>
        </is>
      </c>
      <c r="P97" s="55" t="n">
        <v>1.05</v>
      </c>
      <c r="Q97" s="42" t="inlineStr">
        <is>
          <t>NetArea/Length x reserve coeff</t>
        </is>
      </c>
      <c r="R97" s="42" t="inlineStr">
        <is>
          <t>Да</t>
        </is>
      </c>
    </row>
    <row r="98">
      <c r="A98" s="41" t="inlineStr">
        <is>
          <t>RMAT-0097</t>
        </is>
      </c>
      <c r="B98" s="41" t="inlineStr">
        <is>
          <t>сетка кладочная яч мм d3 5 0 м</t>
        </is>
      </c>
      <c r="C98" s="41" t="inlineStr">
        <is>
          <t>Сетка кладочная яч. 50х50мм d3,5-3,8мм, 0,51х2м</t>
        </is>
      </c>
      <c r="D98" s="41" t="inlineStr">
        <is>
          <t>Сетка кладочная яч. 50х50мм d3,5-3,8мм, 0,51х2м</t>
        </is>
      </c>
      <c r="E98" s="41" t="inlineStr">
        <is>
          <t>Мощение</t>
        </is>
      </c>
      <c r="F98" s="41" t="inlineStr">
        <is>
          <t>Бетон и конструктив</t>
        </is>
      </c>
      <c r="G98" s="41" t="inlineStr">
        <is>
          <t>Материал</t>
        </is>
      </c>
      <c r="H98" s="41" t="inlineStr">
        <is>
          <t>шт</t>
        </is>
      </c>
      <c r="I98" s="57" t="n">
        <v>50</v>
      </c>
      <c r="J98" s="57" t="n">
        <v>50</v>
      </c>
      <c r="K98" s="41" t="inlineStr">
        <is>
          <t>Сетка / текстиль</t>
        </is>
      </c>
      <c r="L98" s="41" t="inlineStr">
        <is>
          <t>Показать строкой</t>
        </is>
      </c>
      <c r="M98" s="41" t="inlineStr">
        <is>
          <t>Да</t>
        </is>
      </c>
      <c r="N98" s="45" t="inlineStr">
        <is>
          <t>Импортировано из PRICE_MASTER</t>
        </is>
      </c>
      <c r="O98" s="41" t="inlineStr">
        <is>
          <t>Без доп. запаса</t>
        </is>
      </c>
      <c r="P98" s="53" t="n">
        <v>1</v>
      </c>
      <c r="Q98" s="41" t="inlineStr">
        <is>
          <t>Direct</t>
        </is>
      </c>
      <c r="R98" s="41" t="inlineStr">
        <is>
          <t>Да</t>
        </is>
      </c>
    </row>
    <row r="99">
      <c r="A99" s="42" t="inlineStr">
        <is>
          <t>RMAT-0098</t>
        </is>
      </c>
      <c r="B99" s="42" t="inlineStr">
        <is>
          <t>сланец шунгитный рваный</t>
        </is>
      </c>
      <c r="C99" s="42" t="inlineStr">
        <is>
          <t>Сланец шунгитный (рваный), 40мм</t>
        </is>
      </c>
      <c r="D99" s="42" t="inlineStr">
        <is>
          <t>Сланец шунгитный (рваный), 40мм</t>
        </is>
      </c>
      <c r="E99" s="42" t="inlineStr">
        <is>
          <t>Мощение</t>
        </is>
      </c>
      <c r="F99" s="42" t="inlineStr">
        <is>
          <t>Покрытие</t>
        </is>
      </c>
      <c r="G99" s="42" t="inlineStr">
        <is>
          <t>Материал</t>
        </is>
      </c>
      <c r="H99" s="42" t="inlineStr">
        <is>
          <t>м2</t>
        </is>
      </c>
      <c r="I99" s="58" t="n"/>
      <c r="J99" s="58" t="n"/>
      <c r="K99" s="42" t="inlineStr">
        <is>
          <t>Покрытие</t>
        </is>
      </c>
      <c r="L99" s="42" t="inlineStr">
        <is>
          <t>Показать строкой</t>
        </is>
      </c>
      <c r="M99" s="42" t="inlineStr">
        <is>
          <t>Да</t>
        </is>
      </c>
      <c r="N99" s="48" t="inlineStr">
        <is>
          <t>Импортировано из PRICE_MASTER</t>
        </is>
      </c>
      <c r="O99" s="42" t="inlineStr">
        <is>
          <t>Штучные / покрытия</t>
        </is>
      </c>
      <c r="P99" s="55" t="n">
        <v>1.05</v>
      </c>
      <c r="Q99" s="42" t="inlineStr">
        <is>
          <t>NetArea/Length x reserve coeff</t>
        </is>
      </c>
      <c r="R99" s="42" t="inlineStr">
        <is>
          <t>Да</t>
        </is>
      </c>
    </row>
    <row r="100">
      <c r="A100" s="41" t="inlineStr">
        <is>
          <t>RMAT-0099</t>
        </is>
      </c>
      <c r="B100" s="41" t="inlineStr">
        <is>
          <t>соединитель con t3 pin ip68</t>
        </is>
      </c>
      <c r="C100" s="41" t="inlineStr">
        <is>
          <t>Соединитель CON T3 PIN IP68</t>
        </is>
      </c>
      <c r="D100" s="41" t="inlineStr">
        <is>
          <t>Соединитель CON T3 PIN IP68</t>
        </is>
      </c>
      <c r="E100" s="41" t="inlineStr">
        <is>
          <t>Освещение</t>
        </is>
      </c>
      <c r="F100" s="41" t="inlineStr">
        <is>
          <t>Оборудование и комплектующие</t>
        </is>
      </c>
      <c r="G100" s="41" t="inlineStr">
        <is>
          <t>Материал</t>
        </is>
      </c>
      <c r="H100" s="41" t="inlineStr">
        <is>
          <t>шт</t>
        </is>
      </c>
      <c r="I100" s="57" t="n"/>
      <c r="J100" s="57" t="n"/>
      <c r="K100" s="41" t="inlineStr">
        <is>
          <t>Штучный материал</t>
        </is>
      </c>
      <c r="L100" s="41" t="inlineStr">
        <is>
          <t>Показать строкой</t>
        </is>
      </c>
      <c r="M100" s="41" t="inlineStr">
        <is>
          <t>Да</t>
        </is>
      </c>
      <c r="N100" s="45" t="inlineStr">
        <is>
          <t>Импортировано из PRICE_MASTER</t>
        </is>
      </c>
      <c r="O100" s="41" t="inlineStr">
        <is>
          <t>Штучные / покрытия</t>
        </is>
      </c>
      <c r="P100" s="53" t="n">
        <v>1.05</v>
      </c>
      <c r="Q100" s="41" t="inlineStr">
        <is>
          <t>NetArea/Length x reserve coeff</t>
        </is>
      </c>
      <c r="R100" s="41" t="inlineStr">
        <is>
          <t>Да</t>
        </is>
      </c>
    </row>
    <row r="101">
      <c r="A101" s="42" t="inlineStr">
        <is>
          <t>RMAT-0100</t>
        </is>
      </c>
      <c r="B101" s="42" t="inlineStr">
        <is>
          <t>торф нейтрализованный</t>
        </is>
      </c>
      <c r="C101" s="42" t="inlineStr">
        <is>
          <t>Торф нейтрализованный, 300л</t>
        </is>
      </c>
      <c r="D101" s="42" t="inlineStr">
        <is>
          <t>Торф нейтрализованный, 300л</t>
        </is>
      </c>
      <c r="E101" s="42" t="inlineStr">
        <is>
          <t>Земляные и планировочные работы</t>
        </is>
      </c>
      <c r="F101" s="42" t="inlineStr">
        <is>
          <t>Материалы</t>
        </is>
      </c>
      <c r="G101" s="42" t="inlineStr">
        <is>
          <t>Материал</t>
        </is>
      </c>
      <c r="H101" s="42" t="inlineStr">
        <is>
          <t>кипа</t>
        </is>
      </c>
      <c r="I101" s="58" t="n"/>
      <c r="J101" s="58" t="n"/>
      <c r="K101" s="42" t="inlineStr">
        <is>
          <t>Сыпучий / объёмный</t>
        </is>
      </c>
      <c r="L101" s="42" t="inlineStr">
        <is>
          <t>Показать строкой</t>
        </is>
      </c>
      <c r="M101" s="42" t="inlineStr">
        <is>
          <t>Да</t>
        </is>
      </c>
      <c r="N101" s="48" t="inlineStr">
        <is>
          <t>Импортировано из PRICE_MASTER</t>
        </is>
      </c>
      <c r="O101" s="42" t="inlineStr">
        <is>
          <t>Сыпучие / объёмные</t>
        </is>
      </c>
      <c r="P101" s="55" t="n">
        <v>1.08</v>
      </c>
      <c r="Q101" s="42" t="inlineStr">
        <is>
          <t>NetQty x reserve coeff</t>
        </is>
      </c>
      <c r="R101" s="42" t="inlineStr">
        <is>
          <t>Да</t>
        </is>
      </c>
    </row>
    <row r="102">
      <c r="A102" s="41" t="inlineStr">
        <is>
          <t>RMAT-0101</t>
        </is>
      </c>
      <c r="B102" s="41" t="inlineStr">
        <is>
          <t>торфогрунт питательный</t>
        </is>
      </c>
      <c r="C102" s="41" t="inlineStr">
        <is>
          <t>Торфогрунт питательный, 300л</t>
        </is>
      </c>
      <c r="D102" s="41" t="inlineStr">
        <is>
          <t>Торфогрунт питательный, 300л</t>
        </is>
      </c>
      <c r="E102" s="41" t="inlineStr">
        <is>
          <t>Газон</t>
        </is>
      </c>
      <c r="F102" s="41" t="inlineStr">
        <is>
          <t>Материалы и комплектующие</t>
        </is>
      </c>
      <c r="G102" s="41" t="inlineStr">
        <is>
          <t>Материал</t>
        </is>
      </c>
      <c r="H102" s="41" t="inlineStr">
        <is>
          <t>кипа</t>
        </is>
      </c>
      <c r="I102" s="57" t="n"/>
      <c r="J102" s="57" t="n"/>
      <c r="K102" s="41" t="inlineStr">
        <is>
          <t>Сыпучий / объёмный</t>
        </is>
      </c>
      <c r="L102" s="41" t="inlineStr">
        <is>
          <t>Показать строкой</t>
        </is>
      </c>
      <c r="M102" s="41" t="inlineStr">
        <is>
          <t>Да</t>
        </is>
      </c>
      <c r="N102" s="45" t="inlineStr">
        <is>
          <t>Импортировано из PRICE_MASTER</t>
        </is>
      </c>
      <c r="O102" s="41" t="inlineStr">
        <is>
          <t>Сыпучие / объёмные</t>
        </is>
      </c>
      <c r="P102" s="53" t="n">
        <v>1.08</v>
      </c>
      <c r="Q102" s="41" t="inlineStr">
        <is>
          <t>NetQty x reserve coeff</t>
        </is>
      </c>
      <c r="R102" s="41" t="inlineStr">
        <is>
          <t>Да</t>
        </is>
      </c>
    </row>
    <row r="103">
      <c r="A103" s="42" t="inlineStr">
        <is>
          <t>RMAT-0102</t>
        </is>
      </c>
      <c r="B103" s="42" t="inlineStr">
        <is>
          <t>труба двустенная гофрированная d sn8</t>
        </is>
      </c>
      <c r="C103" s="42" t="inlineStr">
        <is>
          <t>Труба двустенная гофрированная d=110мм SN8</t>
        </is>
      </c>
      <c r="D103" s="42" t="inlineStr">
        <is>
          <t>Труба двустенная гофрированная d=110мм SN8</t>
        </is>
      </c>
      <c r="E103" s="42" t="inlineStr">
        <is>
          <t>Ливневая канализация</t>
        </is>
      </c>
      <c r="F103" s="42" t="inlineStr">
        <is>
          <t>Трубопровод и фасонные части</t>
        </is>
      </c>
      <c r="G103" s="42" t="inlineStr">
        <is>
          <t>Материал</t>
        </is>
      </c>
      <c r="H103" s="42" t="inlineStr">
        <is>
          <t>м.пог.</t>
        </is>
      </c>
      <c r="I103" s="58" t="n"/>
      <c r="J103" s="58" t="n"/>
      <c r="K103" s="42" t="inlineStr">
        <is>
          <t>Инженерный материал</t>
        </is>
      </c>
      <c r="L103" s="42" t="inlineStr">
        <is>
          <t>Показать строкой</t>
        </is>
      </c>
      <c r="M103" s="42" t="inlineStr">
        <is>
          <t>Да</t>
        </is>
      </c>
      <c r="N103" s="48" t="inlineStr">
        <is>
          <t>Импортировано из PRICE_MASTER</t>
        </is>
      </c>
      <c r="O103" s="42" t="inlineStr">
        <is>
          <t>Без доп. запаса</t>
        </is>
      </c>
      <c r="P103" s="55" t="n">
        <v>1</v>
      </c>
      <c r="Q103" s="42" t="inlineStr">
        <is>
          <t>Direct</t>
        </is>
      </c>
      <c r="R103" s="42" t="inlineStr">
        <is>
          <t>Да</t>
        </is>
      </c>
    </row>
    <row r="104">
      <c r="A104" s="41" t="inlineStr">
        <is>
          <t>RMAT-0103</t>
        </is>
      </c>
      <c r="B104" s="41" t="inlineStr">
        <is>
          <t>труба дренажная d110 sn6</t>
        </is>
      </c>
      <c r="C104" s="41" t="inlineStr">
        <is>
          <t>Труба дренажная d110 SN6</t>
        </is>
      </c>
      <c r="D104" s="41" t="inlineStr">
        <is>
          <t>Труба дренажная d110 SN6</t>
        </is>
      </c>
      <c r="E104" s="41" t="inlineStr">
        <is>
          <t>Дренаж</t>
        </is>
      </c>
      <c r="F104" s="41" t="inlineStr">
        <is>
          <t>Трубопровод</t>
        </is>
      </c>
      <c r="G104" s="41" t="inlineStr">
        <is>
          <t>Материал</t>
        </is>
      </c>
      <c r="H104" s="41" t="inlineStr">
        <is>
          <t>м.пог.</t>
        </is>
      </c>
      <c r="I104" s="57" t="n"/>
      <c r="J104" s="57" t="n"/>
      <c r="K104" s="41" t="inlineStr">
        <is>
          <t>Инженерный материал</t>
        </is>
      </c>
      <c r="L104" s="41" t="inlineStr">
        <is>
          <t>Показать строкой</t>
        </is>
      </c>
      <c r="M104" s="41" t="inlineStr">
        <is>
          <t>Да</t>
        </is>
      </c>
      <c r="N104" s="45" t="inlineStr">
        <is>
          <t>Импортировано из PRICE_MASTER</t>
        </is>
      </c>
      <c r="O104" s="41" t="inlineStr">
        <is>
          <t>Без доп. запаса</t>
        </is>
      </c>
      <c r="P104" s="53" t="n">
        <v>1</v>
      </c>
      <c r="Q104" s="41" t="inlineStr">
        <is>
          <t>Direct</t>
        </is>
      </c>
      <c r="R104" s="41" t="inlineStr">
        <is>
          <t>Да</t>
        </is>
      </c>
    </row>
    <row r="105">
      <c r="A105" s="42" t="inlineStr">
        <is>
          <t>RMAT-0104</t>
        </is>
      </c>
      <c r="B105" s="42" t="inlineStr">
        <is>
          <t>труба наружной канализации d110мм sn4</t>
        </is>
      </c>
      <c r="C105" s="42" t="inlineStr">
        <is>
          <t>Труба наружной канализации d110мм SN4</t>
        </is>
      </c>
      <c r="D105" s="42" t="inlineStr">
        <is>
          <t>Труба наружной канализации d110мм SN4</t>
        </is>
      </c>
      <c r="E105" s="42" t="inlineStr">
        <is>
          <t>Мощение</t>
        </is>
      </c>
      <c r="F105" s="42" t="inlineStr">
        <is>
          <t>Прочее по мощению</t>
        </is>
      </c>
      <c r="G105" s="42" t="inlineStr">
        <is>
          <t>Материал</t>
        </is>
      </c>
      <c r="H105" s="42" t="inlineStr">
        <is>
          <t>м.пог.</t>
        </is>
      </c>
      <c r="I105" s="58" t="n"/>
      <c r="J105" s="58" t="n"/>
      <c r="K105" s="42" t="inlineStr">
        <is>
          <t>Инженерный материал</t>
        </is>
      </c>
      <c r="L105" s="42" t="inlineStr">
        <is>
          <t>Показать строкой</t>
        </is>
      </c>
      <c r="M105" s="42" t="inlineStr">
        <is>
          <t>Да</t>
        </is>
      </c>
      <c r="N105" s="48" t="inlineStr">
        <is>
          <t>Импортировано из PRICE_MASTER</t>
        </is>
      </c>
      <c r="O105" s="42" t="inlineStr">
        <is>
          <t>Без доп. запаса</t>
        </is>
      </c>
      <c r="P105" s="55" t="n">
        <v>1</v>
      </c>
      <c r="Q105" s="42" t="inlineStr">
        <is>
          <t>Direct</t>
        </is>
      </c>
      <c r="R105" s="42" t="inlineStr">
        <is>
          <t>Да</t>
        </is>
      </c>
    </row>
    <row r="106">
      <c r="A106" s="41" t="inlineStr">
        <is>
          <t>RMAT-0105</t>
        </is>
      </c>
      <c r="B106" s="41" t="inlineStr">
        <is>
          <t>труба наружной канализации d110мм sn8</t>
        </is>
      </c>
      <c r="C106" s="41" t="inlineStr">
        <is>
          <t>Труба наружной канализации d110мм SN8</t>
        </is>
      </c>
      <c r="D106" s="41" t="inlineStr">
        <is>
          <t>Труба наружной канализации d110мм SN8</t>
        </is>
      </c>
      <c r="E106" s="41" t="inlineStr">
        <is>
          <t>Ливневая канализация</t>
        </is>
      </c>
      <c r="F106" s="41" t="inlineStr">
        <is>
          <t>Трубопровод и фасонные части</t>
        </is>
      </c>
      <c r="G106" s="41" t="inlineStr">
        <is>
          <t>Материал</t>
        </is>
      </c>
      <c r="H106" s="41" t="inlineStr">
        <is>
          <t>шт</t>
        </is>
      </c>
      <c r="I106" s="57" t="n"/>
      <c r="J106" s="57" t="n"/>
      <c r="K106" s="41" t="inlineStr">
        <is>
          <t>Инженерный материал</t>
        </is>
      </c>
      <c r="L106" s="41" t="inlineStr">
        <is>
          <t>Показать строкой</t>
        </is>
      </c>
      <c r="M106" s="41" t="inlineStr">
        <is>
          <t>Да</t>
        </is>
      </c>
      <c r="N106" s="45" t="inlineStr">
        <is>
          <t>Импортировано из PRICE_MASTER</t>
        </is>
      </c>
      <c r="O106" s="41" t="inlineStr">
        <is>
          <t>Без доп. запаса</t>
        </is>
      </c>
      <c r="P106" s="53" t="n">
        <v>1</v>
      </c>
      <c r="Q106" s="41" t="inlineStr">
        <is>
          <t>Direct</t>
        </is>
      </c>
      <c r="R106" s="41" t="inlineStr">
        <is>
          <t>Да</t>
        </is>
      </c>
    </row>
    <row r="107">
      <c r="A107" s="42" t="inlineStr">
        <is>
          <t>RMAT-0106</t>
        </is>
      </c>
      <c r="B107" s="42" t="inlineStr">
        <is>
          <t>уголок металл мм</t>
        </is>
      </c>
      <c r="C107" s="42" t="inlineStr">
        <is>
          <t>Уголок металл., 50*50*5мм</t>
        </is>
      </c>
      <c r="D107" s="42" t="inlineStr">
        <is>
          <t>Уголок металл., 50*50*5мм</t>
        </is>
      </c>
      <c r="E107" s="42" t="inlineStr">
        <is>
          <t>Мощение</t>
        </is>
      </c>
      <c r="F107" s="42" t="inlineStr">
        <is>
          <t>Бордюры и ограничения</t>
        </is>
      </c>
      <c r="G107" s="42" t="inlineStr">
        <is>
          <t>Материал</t>
        </is>
      </c>
      <c r="H107" s="42" t="inlineStr">
        <is>
          <t>м.пог.</t>
        </is>
      </c>
      <c r="I107" s="58" t="n">
        <v>50</v>
      </c>
      <c r="J107" s="58" t="n">
        <v>50</v>
      </c>
      <c r="K107" s="42" t="inlineStr">
        <is>
          <t>Прочий материал</t>
        </is>
      </c>
      <c r="L107" s="42" t="inlineStr">
        <is>
          <t>Показать строкой</t>
        </is>
      </c>
      <c r="M107" s="42" t="inlineStr">
        <is>
          <t>Да</t>
        </is>
      </c>
      <c r="N107" s="48" t="inlineStr">
        <is>
          <t>Импортировано из PRICE_MASTER</t>
        </is>
      </c>
      <c r="O107" s="42" t="inlineStr">
        <is>
          <t>Без доп. запаса</t>
        </is>
      </c>
      <c r="P107" s="55" t="n">
        <v>1</v>
      </c>
      <c r="Q107" s="42" t="inlineStr">
        <is>
          <t>Direct</t>
        </is>
      </c>
      <c r="R107" s="42" t="inlineStr">
        <is>
          <t>Да</t>
        </is>
      </c>
    </row>
    <row r="108">
      <c r="A108" s="41" t="inlineStr">
        <is>
          <t>RMAT-0107</t>
        </is>
      </c>
      <c r="B108" s="41" t="inlineStr">
        <is>
          <t>удобрение минеральное длительного действия</t>
        </is>
      </c>
      <c r="C108" s="41" t="inlineStr">
        <is>
          <t>Удобрение минеральное длительного действия</t>
        </is>
      </c>
      <c r="D108" s="41" t="inlineStr">
        <is>
          <t>Удобрение минеральное длительного действия</t>
        </is>
      </c>
      <c r="E108" s="41" t="inlineStr">
        <is>
          <t>Мощение</t>
        </is>
      </c>
      <c r="F108" s="41" t="inlineStr">
        <is>
          <t>Прочее по мощению</t>
        </is>
      </c>
      <c r="G108" s="41" t="inlineStr">
        <is>
          <t>Материал</t>
        </is>
      </c>
      <c r="H108" s="41" t="inlineStr">
        <is>
          <t>кг</t>
        </is>
      </c>
      <c r="I108" s="57" t="n"/>
      <c r="J108" s="57" t="n"/>
      <c r="K108" s="41" t="inlineStr">
        <is>
          <t>Прочий материал</t>
        </is>
      </c>
      <c r="L108" s="41" t="inlineStr">
        <is>
          <t>Показать строкой</t>
        </is>
      </c>
      <c r="M108" s="41" t="inlineStr">
        <is>
          <t>Да</t>
        </is>
      </c>
      <c r="N108" s="45" t="inlineStr">
        <is>
          <t>Импортировано из PRICE_MASTER</t>
        </is>
      </c>
      <c r="O108" s="41" t="inlineStr">
        <is>
          <t>Без доп. запаса</t>
        </is>
      </c>
      <c r="P108" s="53" t="n">
        <v>1</v>
      </c>
      <c r="Q108" s="41" t="inlineStr">
        <is>
          <t>Direct</t>
        </is>
      </c>
      <c r="R108" s="41" t="inlineStr">
        <is>
          <t>Да</t>
        </is>
      </c>
    </row>
    <row r="109">
      <c r="A109" s="42" t="inlineStr">
        <is>
          <t>RMAT-0108</t>
        </is>
      </c>
      <c r="B109" s="42" t="inlineStr">
        <is>
          <t>удобрение универсальн газонное</t>
        </is>
      </c>
      <c r="C109" s="42" t="inlineStr">
        <is>
          <t>Удобрение универсальн., газонное</t>
        </is>
      </c>
      <c r="D109" s="42" t="inlineStr">
        <is>
          <t>Удобрение универсальн., газонное</t>
        </is>
      </c>
      <c r="E109" s="42" t="inlineStr">
        <is>
          <t>Газон</t>
        </is>
      </c>
      <c r="F109" s="42" t="inlineStr">
        <is>
          <t>Газон и укладка</t>
        </is>
      </c>
      <c r="G109" s="42" t="inlineStr">
        <is>
          <t>Материал</t>
        </is>
      </c>
      <c r="H109" s="42" t="inlineStr">
        <is>
          <t>кг</t>
        </is>
      </c>
      <c r="I109" s="58" t="n"/>
      <c r="J109" s="58" t="n"/>
      <c r="K109" s="42" t="inlineStr">
        <is>
          <t>Рулонный материал</t>
        </is>
      </c>
      <c r="L109" s="42" t="inlineStr">
        <is>
          <t>Показать строкой</t>
        </is>
      </c>
      <c r="M109" s="42" t="inlineStr">
        <is>
          <t>Да</t>
        </is>
      </c>
      <c r="N109" s="48" t="inlineStr">
        <is>
          <t>Импортировано из PRICE_MASTER</t>
        </is>
      </c>
      <c r="O109" s="42" t="inlineStr">
        <is>
          <t>Без доп. запаса</t>
        </is>
      </c>
      <c r="P109" s="55" t="n">
        <v>1</v>
      </c>
      <c r="Q109" s="42" t="inlineStr">
        <is>
          <t>Direct</t>
        </is>
      </c>
      <c r="R109" s="42" t="inlineStr">
        <is>
          <t>Да</t>
        </is>
      </c>
    </row>
    <row r="110">
      <c r="A110" s="41" t="inlineStr">
        <is>
          <t>RMAT-0109</t>
        </is>
      </c>
      <c r="B110" s="41" t="inlineStr">
        <is>
          <t>установка бордюра криволинейная</t>
        </is>
      </c>
      <c r="C110" s="41" t="inlineStr">
        <is>
          <t>Установка бордюра (криволинейная)</t>
        </is>
      </c>
      <c r="D110" s="41" t="inlineStr">
        <is>
          <t>Установка бордюра (криволинейная)</t>
        </is>
      </c>
      <c r="E110" s="41" t="inlineStr">
        <is>
          <t>Газон</t>
        </is>
      </c>
      <c r="F110" s="41" t="inlineStr">
        <is>
          <t>Бордюры и ограничения</t>
        </is>
      </c>
      <c r="G110" s="41" t="inlineStr">
        <is>
          <t>Материал</t>
        </is>
      </c>
      <c r="H110" s="41" t="inlineStr">
        <is>
          <t>м.пог.</t>
        </is>
      </c>
      <c r="I110" s="57" t="n"/>
      <c r="J110" s="57" t="n"/>
      <c r="K110" s="41" t="inlineStr">
        <is>
          <t>Бортовой элемент</t>
        </is>
      </c>
      <c r="L110" s="41" t="inlineStr">
        <is>
          <t>Показать строкой</t>
        </is>
      </c>
      <c r="M110" s="41" t="inlineStr">
        <is>
          <t>Да</t>
        </is>
      </c>
      <c r="N110" s="45" t="inlineStr">
        <is>
          <t>Импортировано из PRICE_MASTER</t>
        </is>
      </c>
      <c r="O110" s="41" t="inlineStr">
        <is>
          <t>Погонаж / доски / борта</t>
        </is>
      </c>
      <c r="P110" s="53" t="n">
        <v>1.1</v>
      </c>
      <c r="Q110" s="41" t="inlineStr">
        <is>
          <t>NetArea/Length x reserve coeff</t>
        </is>
      </c>
      <c r="R110" s="41" t="inlineStr">
        <is>
          <t>Да</t>
        </is>
      </c>
    </row>
    <row r="111">
      <c r="A111" s="42" t="inlineStr">
        <is>
          <t>RMAT-0110</t>
        </is>
      </c>
      <c r="B111" s="42" t="inlineStr">
        <is>
          <t>установка бордюра металлического</t>
        </is>
      </c>
      <c r="C111" s="42" t="inlineStr">
        <is>
          <t>Установка бордюра металлического</t>
        </is>
      </c>
      <c r="D111" s="42" t="inlineStr">
        <is>
          <t>Установка бордюра металлического</t>
        </is>
      </c>
      <c r="E111" s="42" t="inlineStr">
        <is>
          <t>Мощение</t>
        </is>
      </c>
      <c r="F111" s="42" t="inlineStr">
        <is>
          <t>Бордюры и ограничения</t>
        </is>
      </c>
      <c r="G111" s="42" t="inlineStr">
        <is>
          <t>Материал</t>
        </is>
      </c>
      <c r="H111" s="42" t="inlineStr">
        <is>
          <t>м.пог.</t>
        </is>
      </c>
      <c r="I111" s="58" t="n"/>
      <c r="J111" s="58" t="n"/>
      <c r="K111" s="42" t="inlineStr">
        <is>
          <t>Бортовой элемент</t>
        </is>
      </c>
      <c r="L111" s="42" t="inlineStr">
        <is>
          <t>Показать строкой</t>
        </is>
      </c>
      <c r="M111" s="42" t="inlineStr">
        <is>
          <t>Да</t>
        </is>
      </c>
      <c r="N111" s="48" t="inlineStr">
        <is>
          <t>Импортировано из PRICE_MASTER</t>
        </is>
      </c>
      <c r="O111" s="42" t="inlineStr">
        <is>
          <t>Погонаж / доски / борта</t>
        </is>
      </c>
      <c r="P111" s="55" t="n">
        <v>1.1</v>
      </c>
      <c r="Q111" s="42" t="inlineStr">
        <is>
          <t>NetArea/Length x reserve coeff</t>
        </is>
      </c>
      <c r="R111" s="42" t="inlineStr">
        <is>
          <t>Да</t>
        </is>
      </c>
    </row>
    <row r="112">
      <c r="A112" s="41" t="inlineStr">
        <is>
          <t>RMAT-0111</t>
        </is>
      </c>
      <c r="B112" s="41" t="inlineStr">
        <is>
          <t>установка бордюра ограничивающего доска брусок</t>
        </is>
      </c>
      <c r="C112" s="41" t="inlineStr">
        <is>
          <t>Установка бордюра ограничивающего (доска, брусок)</t>
        </is>
      </c>
      <c r="D112" s="41" t="inlineStr">
        <is>
          <t>Установка бордюра ограничивающего (доска, брусок)</t>
        </is>
      </c>
      <c r="E112" s="41" t="inlineStr">
        <is>
          <t>Газон</t>
        </is>
      </c>
      <c r="F112" s="41" t="inlineStr">
        <is>
          <t>Бордюры и ограничения</t>
        </is>
      </c>
      <c r="G112" s="41" t="inlineStr">
        <is>
          <t>Материал</t>
        </is>
      </c>
      <c r="H112" s="41" t="inlineStr">
        <is>
          <t>м.пог.</t>
        </is>
      </c>
      <c r="I112" s="57" t="n"/>
      <c r="J112" s="57" t="n"/>
      <c r="K112" s="41" t="inlineStr">
        <is>
          <t>Бортовой элемент</t>
        </is>
      </c>
      <c r="L112" s="41" t="inlineStr">
        <is>
          <t>Показать строкой</t>
        </is>
      </c>
      <c r="M112" s="41" t="inlineStr">
        <is>
          <t>Да</t>
        </is>
      </c>
      <c r="N112" s="45" t="inlineStr">
        <is>
          <t>Импортировано из PRICE_MASTER</t>
        </is>
      </c>
      <c r="O112" s="41" t="inlineStr">
        <is>
          <t>Погонаж / доски / борта</t>
        </is>
      </c>
      <c r="P112" s="53" t="n">
        <v>1.1</v>
      </c>
      <c r="Q112" s="41" t="inlineStr">
        <is>
          <t>NetArea/Length x reserve coeff</t>
        </is>
      </c>
      <c r="R112" s="41" t="inlineStr">
        <is>
          <t>Да</t>
        </is>
      </c>
    </row>
    <row r="113">
      <c r="A113" s="42" t="inlineStr">
        <is>
          <t>RMAT-0112</t>
        </is>
      </c>
      <c r="B113" s="42" t="inlineStr">
        <is>
          <t>установка бордюра пластикового</t>
        </is>
      </c>
      <c r="C113" s="42" t="inlineStr">
        <is>
          <t>Установка бордюра пластикового</t>
        </is>
      </c>
      <c r="D113" s="42" t="inlineStr">
        <is>
          <t>Установка бордюра пластикового</t>
        </is>
      </c>
      <c r="E113" s="42" t="inlineStr">
        <is>
          <t>Мощение</t>
        </is>
      </c>
      <c r="F113" s="42" t="inlineStr">
        <is>
          <t>Бордюры и ограничения</t>
        </is>
      </c>
      <c r="G113" s="42" t="inlineStr">
        <is>
          <t>Материал</t>
        </is>
      </c>
      <c r="H113" s="42" t="inlineStr">
        <is>
          <t>м.пог.</t>
        </is>
      </c>
      <c r="I113" s="58" t="n"/>
      <c r="J113" s="58" t="n"/>
      <c r="K113" s="42" t="inlineStr">
        <is>
          <t>Бортовой элемент</t>
        </is>
      </c>
      <c r="L113" s="42" t="inlineStr">
        <is>
          <t>Показать строкой</t>
        </is>
      </c>
      <c r="M113" s="42" t="inlineStr">
        <is>
          <t>Да</t>
        </is>
      </c>
      <c r="N113" s="48" t="inlineStr">
        <is>
          <t>Импортировано из PRICE_MASTER</t>
        </is>
      </c>
      <c r="O113" s="42" t="inlineStr">
        <is>
          <t>Погонаж / доски / борта</t>
        </is>
      </c>
      <c r="P113" s="55" t="n">
        <v>1.1</v>
      </c>
      <c r="Q113" s="42" t="inlineStr">
        <is>
          <t>NetArea/Length x reserve coeff</t>
        </is>
      </c>
      <c r="R113" s="42" t="inlineStr">
        <is>
          <t>Да</t>
        </is>
      </c>
    </row>
    <row r="114">
      <c r="A114" s="41" t="inlineStr">
        <is>
          <t>RMAT-0113</t>
        </is>
      </c>
      <c r="B114" s="41" t="inlineStr">
        <is>
          <t>фанера мм для опалубки</t>
        </is>
      </c>
      <c r="C114" s="41" t="inlineStr">
        <is>
          <t>фанера 12х1220*2440мм (для опалубки)</t>
        </is>
      </c>
      <c r="D114" s="41" t="inlineStr">
        <is>
          <t>фанера 12х1220*2440мм (для опалубки)</t>
        </is>
      </c>
      <c r="E114" s="41" t="inlineStr">
        <is>
          <t>Мощение</t>
        </is>
      </c>
      <c r="F114" s="41" t="inlineStr">
        <is>
          <t>Бетон и конструктив</t>
        </is>
      </c>
      <c r="G114" s="41" t="inlineStr">
        <is>
          <t>Материал</t>
        </is>
      </c>
      <c r="H114" s="41" t="inlineStr">
        <is>
          <t>шт</t>
        </is>
      </c>
      <c r="I114" s="57" t="n">
        <v>12</v>
      </c>
      <c r="J114" s="57" t="n">
        <v>1220</v>
      </c>
      <c r="K114" s="41" t="inlineStr">
        <is>
          <t>Штучный материал</t>
        </is>
      </c>
      <c r="L114" s="41" t="inlineStr">
        <is>
          <t>Показать строкой</t>
        </is>
      </c>
      <c r="M114" s="41" t="inlineStr">
        <is>
          <t>Да</t>
        </is>
      </c>
      <c r="N114" s="45" t="inlineStr">
        <is>
          <t>Импортировано из PRICE_MASTER</t>
        </is>
      </c>
      <c r="O114" s="41" t="inlineStr">
        <is>
          <t>Штучные / покрытия</t>
        </is>
      </c>
      <c r="P114" s="53" t="n">
        <v>1.05</v>
      </c>
      <c r="Q114" s="41" t="inlineStr">
        <is>
          <t>NetArea/Length x reserve coeff</t>
        </is>
      </c>
      <c r="R114" s="41" t="inlineStr">
        <is>
          <t>Да</t>
        </is>
      </c>
    </row>
    <row r="115">
      <c r="A115" s="42" t="inlineStr">
        <is>
          <t>RMAT-0114</t>
        </is>
      </c>
      <c r="B115" s="42" t="inlineStr">
        <is>
          <t>фасонные элементы тройники соединения заглушки</t>
        </is>
      </c>
      <c r="C115" s="42" t="inlineStr">
        <is>
          <t>Фасонные элементы - тройники, соединения, заглушки</t>
        </is>
      </c>
      <c r="D115" s="42" t="inlineStr">
        <is>
          <t>Фасонные элементы - тройники, соединения, заглушки</t>
        </is>
      </c>
      <c r="E115" s="42" t="inlineStr">
        <is>
          <t>Ливневая канализация</t>
        </is>
      </c>
      <c r="F115" s="42" t="inlineStr">
        <is>
          <t>Трубопровод и фасонные части</t>
        </is>
      </c>
      <c r="G115" s="42" t="inlineStr">
        <is>
          <t>Материал</t>
        </is>
      </c>
      <c r="H115" s="42" t="inlineStr">
        <is>
          <t>компл</t>
        </is>
      </c>
      <c r="I115" s="58" t="n"/>
      <c r="J115" s="58" t="n"/>
      <c r="K115" s="42" t="inlineStr">
        <is>
          <t>Прочий материал</t>
        </is>
      </c>
      <c r="L115" s="42" t="inlineStr">
        <is>
          <t>Показать строкой</t>
        </is>
      </c>
      <c r="M115" s="42" t="inlineStr">
        <is>
          <t>Да</t>
        </is>
      </c>
      <c r="N115" s="48" t="inlineStr">
        <is>
          <t>Импортировано из PRICE_MASTER</t>
        </is>
      </c>
      <c r="O115" s="42" t="inlineStr">
        <is>
          <t>Без доп. запаса</t>
        </is>
      </c>
      <c r="P115" s="55" t="n">
        <v>1</v>
      </c>
      <c r="Q115" s="42" t="inlineStr">
        <is>
          <t>Direct</t>
        </is>
      </c>
      <c r="R115" s="42" t="inlineStr">
        <is>
          <t>Да</t>
        </is>
      </c>
    </row>
    <row r="116">
      <c r="A116" s="41" t="inlineStr">
        <is>
          <t>RMAT-0115</t>
        </is>
      </c>
      <c r="B116" s="41" t="inlineStr">
        <is>
          <t>цемент м400</t>
        </is>
      </c>
      <c r="C116" s="41" t="inlineStr">
        <is>
          <t>Цемент М400, 50кг</t>
        </is>
      </c>
      <c r="D116" s="41" t="inlineStr">
        <is>
          <t>Цемент М400, 50кг</t>
        </is>
      </c>
      <c r="E116" s="41" t="inlineStr">
        <is>
          <t>Ливневая канализация</t>
        </is>
      </c>
      <c r="F116" s="41" t="inlineStr">
        <is>
          <t>Материалы и комплектующие</t>
        </is>
      </c>
      <c r="G116" s="41" t="inlineStr">
        <is>
          <t>Материал</t>
        </is>
      </c>
      <c r="H116" s="41" t="inlineStr">
        <is>
          <t>шт</t>
        </is>
      </c>
      <c r="I116" s="57" t="n"/>
      <c r="J116" s="57" t="n"/>
      <c r="K116" s="41" t="inlineStr">
        <is>
          <t>Сыпучий / объёмный</t>
        </is>
      </c>
      <c r="L116" s="41" t="inlineStr">
        <is>
          <t>Показать строкой</t>
        </is>
      </c>
      <c r="M116" s="41" t="inlineStr">
        <is>
          <t>Да</t>
        </is>
      </c>
      <c r="N116" s="45" t="inlineStr">
        <is>
          <t>Импортировано из PRICE_MASTER</t>
        </is>
      </c>
      <c r="O116" s="41" t="inlineStr">
        <is>
          <t>Сыпучие / объёмные</t>
        </is>
      </c>
      <c r="P116" s="53" t="n">
        <v>1.08</v>
      </c>
      <c r="Q116" s="41" t="inlineStr">
        <is>
          <t>NetQty x reserve coeff</t>
        </is>
      </c>
      <c r="R116" s="41" t="inlineStr">
        <is>
          <t>Да</t>
        </is>
      </c>
    </row>
    <row r="117">
      <c r="A117" s="42" t="inlineStr">
        <is>
          <t>RMAT-0116</t>
        </is>
      </c>
      <c r="B117" s="42" t="inlineStr">
        <is>
          <t>цпс м300</t>
        </is>
      </c>
      <c r="C117" s="42" t="inlineStr">
        <is>
          <t>ЦПС М300, 25кг</t>
        </is>
      </c>
      <c r="D117" s="42" t="inlineStr">
        <is>
          <t>ЦПС М300, 25кг</t>
        </is>
      </c>
      <c r="E117" s="42" t="inlineStr">
        <is>
          <t>Освещение</t>
        </is>
      </c>
      <c r="F117" s="42" t="inlineStr">
        <is>
          <t>Основания и расходники</t>
        </is>
      </c>
      <c r="G117" s="42" t="inlineStr">
        <is>
          <t>Материал</t>
        </is>
      </c>
      <c r="H117" s="42" t="inlineStr">
        <is>
          <t>шт</t>
        </is>
      </c>
      <c r="I117" s="58" t="n"/>
      <c r="J117" s="58" t="n"/>
      <c r="K117" s="42" t="inlineStr">
        <is>
          <t>Штучный материал</t>
        </is>
      </c>
      <c r="L117" s="42" t="inlineStr">
        <is>
          <t>Показать строкой</t>
        </is>
      </c>
      <c r="M117" s="42" t="inlineStr">
        <is>
          <t>Да</t>
        </is>
      </c>
      <c r="N117" s="48" t="inlineStr">
        <is>
          <t>Импортировано из PRICE_MASTER</t>
        </is>
      </c>
      <c r="O117" s="42" t="inlineStr">
        <is>
          <t>Штучные / покрытия</t>
        </is>
      </c>
      <c r="P117" s="55" t="n">
        <v>1.05</v>
      </c>
      <c r="Q117" s="42" t="inlineStr">
        <is>
          <t>NetArea/Length x reserve coeff</t>
        </is>
      </c>
      <c r="R117" s="42" t="inlineStr">
        <is>
          <t>Да</t>
        </is>
      </c>
    </row>
    <row r="118">
      <c r="A118" s="41" t="inlineStr">
        <is>
          <t>RMAT-0117</t>
        </is>
      </c>
      <c r="B118" s="41" t="inlineStr">
        <is>
          <t>щебень гранитный фр 20</t>
        </is>
      </c>
      <c r="C118" s="41" t="inlineStr">
        <is>
          <t>Щебень гранитный фр. 20-40мм</t>
        </is>
      </c>
      <c r="D118" s="41" t="inlineStr">
        <is>
          <t>Щебень гранитный фр. 20-40мм</t>
        </is>
      </c>
      <c r="E118" s="41" t="inlineStr">
        <is>
          <t>Дренаж</t>
        </is>
      </c>
      <c r="F118" s="41" t="inlineStr">
        <is>
          <t>Материалы и комплектующие</t>
        </is>
      </c>
      <c r="G118" s="41" t="inlineStr">
        <is>
          <t>Материал</t>
        </is>
      </c>
      <c r="H118" s="41" t="inlineStr">
        <is>
          <t>м3</t>
        </is>
      </c>
      <c r="I118" s="57" t="n"/>
      <c r="J118" s="57" t="n"/>
      <c r="K118" s="41" t="inlineStr">
        <is>
          <t>Сыпучий / объёмный</t>
        </is>
      </c>
      <c r="L118" s="41" t="inlineStr">
        <is>
          <t>Показать строкой</t>
        </is>
      </c>
      <c r="M118" s="41" t="inlineStr">
        <is>
          <t>Да</t>
        </is>
      </c>
      <c r="N118" s="45" t="inlineStr">
        <is>
          <t>Импортировано из PRICE_MASTER</t>
        </is>
      </c>
      <c r="O118" s="41" t="inlineStr">
        <is>
          <t>Сыпучие / объёмные</t>
        </is>
      </c>
      <c r="P118" s="53" t="n">
        <v>1.08</v>
      </c>
      <c r="Q118" s="41" t="inlineStr">
        <is>
          <t>NetQty x reserve coeff</t>
        </is>
      </c>
      <c r="R118" s="41" t="inlineStr">
        <is>
          <t>Да</t>
        </is>
      </c>
    </row>
    <row r="119">
      <c r="A119" s="42" t="inlineStr">
        <is>
          <t>RMAT-0118</t>
        </is>
      </c>
      <c r="B119" s="42" t="inlineStr">
        <is>
          <t>щебень гранитный фр 5</t>
        </is>
      </c>
      <c r="C119" s="42" t="inlineStr">
        <is>
          <t>Щебень гранитный фр. 5-20мм</t>
        </is>
      </c>
      <c r="D119" s="42" t="inlineStr">
        <is>
          <t>Щебень гранитный фр. 5-20мм</t>
        </is>
      </c>
      <c r="E119" s="42" t="inlineStr">
        <is>
          <t>Дренаж</t>
        </is>
      </c>
      <c r="F119" s="42" t="inlineStr">
        <is>
          <t>Материалы и комплектующие</t>
        </is>
      </c>
      <c r="G119" s="42" t="inlineStr">
        <is>
          <t>Материал</t>
        </is>
      </c>
      <c r="H119" s="42" t="inlineStr">
        <is>
          <t>м3</t>
        </is>
      </c>
      <c r="I119" s="58" t="n"/>
      <c r="J119" s="58" t="n"/>
      <c r="K119" s="42" t="inlineStr">
        <is>
          <t>Сыпучий / объёмный</t>
        </is>
      </c>
      <c r="L119" s="42" t="inlineStr">
        <is>
          <t>Показать строкой</t>
        </is>
      </c>
      <c r="M119" s="42" t="inlineStr">
        <is>
          <t>Да</t>
        </is>
      </c>
      <c r="N119" s="48" t="inlineStr">
        <is>
          <t>Импортировано из PRICE_MASTER</t>
        </is>
      </c>
      <c r="O119" s="42" t="inlineStr">
        <is>
          <t>Сыпучие / объёмные</t>
        </is>
      </c>
      <c r="P119" s="55" t="n">
        <v>1.08</v>
      </c>
      <c r="Q119" s="42" t="inlineStr">
        <is>
          <t>NetQty x reserve coeff</t>
        </is>
      </c>
      <c r="R119" s="42" t="inlineStr">
        <is>
          <t>Да</t>
        </is>
      </c>
    </row>
    <row r="120">
      <c r="A120" s="41" t="inlineStr">
        <is>
          <t>RMAT-0119</t>
        </is>
      </c>
      <c r="B120" s="41" t="inlineStr">
        <is>
          <t>щебень гранитный фр 5</t>
        </is>
      </c>
      <c r="C120" s="41" t="inlineStr">
        <is>
          <t>Щебень гранитный фр. 5-20мм, 50кг</t>
        </is>
      </c>
      <c r="D120" s="41" t="inlineStr">
        <is>
          <t>Щебень гранитный фр. 5-20мм, 50кг</t>
        </is>
      </c>
      <c r="E120" s="41" t="inlineStr">
        <is>
          <t>Освещение</t>
        </is>
      </c>
      <c r="F120" s="41" t="inlineStr">
        <is>
          <t>Основания и расходники</t>
        </is>
      </c>
      <c r="G120" s="41" t="inlineStr">
        <is>
          <t>Материал</t>
        </is>
      </c>
      <c r="H120" s="41" t="inlineStr">
        <is>
          <t>шт</t>
        </is>
      </c>
      <c r="I120" s="57" t="n"/>
      <c r="J120" s="57" t="n"/>
      <c r="K120" s="41" t="inlineStr">
        <is>
          <t>Сыпучий / объёмный</t>
        </is>
      </c>
      <c r="L120" s="41" t="inlineStr">
        <is>
          <t>Показать строкой</t>
        </is>
      </c>
      <c r="M120" s="41" t="inlineStr">
        <is>
          <t>Да</t>
        </is>
      </c>
      <c r="N120" s="45" t="inlineStr">
        <is>
          <t>Импортировано из PRICE_MASTER</t>
        </is>
      </c>
      <c r="O120" s="41" t="inlineStr">
        <is>
          <t>Сыпучие / объёмные</t>
        </is>
      </c>
      <c r="P120" s="53" t="n">
        <v>1.08</v>
      </c>
      <c r="Q120" s="41" t="inlineStr">
        <is>
          <t>NetQty x reserve coeff</t>
        </is>
      </c>
      <c r="R120" s="41" t="inlineStr">
        <is>
          <t>Да</t>
        </is>
      </c>
    </row>
    <row r="121">
      <c r="A121" s="42" t="inlineStr">
        <is>
          <t>RMAT-0120</t>
        </is>
      </c>
      <c r="B121" s="42" t="inlineStr">
        <is>
          <t>щит управления ландшафтным освещением щит dkc мм ip65 кол во модулей 72 элементы на базе иек 3 фазы 32а 8 выходов под защитой узо</t>
        </is>
      </c>
      <c r="C121" s="42" t="inlineStr">
        <is>
          <t>Щит управления ландшафтным освещением (щит DKC 500*600*200мм IP65, кол-во модулей 72 элементы на базе ИЕК, 3 фазы 32А, 8 выходов под защитой УЗО)</t>
        </is>
      </c>
      <c r="D121" s="42" t="inlineStr">
        <is>
          <t>Щит управления ландшафтным освещением (щит DKC 500*600*200мм IP65, кол-во модулей 72 элементы на базе ИЕК, 3 фазы 32А, 8 выходов под защитой УЗО)</t>
        </is>
      </c>
      <c r="E121" s="42" t="inlineStr">
        <is>
          <t>Освещение</t>
        </is>
      </c>
      <c r="F121" s="42" t="inlineStr">
        <is>
          <t>Оборудование и комплектующие</t>
        </is>
      </c>
      <c r="G121" s="42" t="inlineStr">
        <is>
          <t>Материал</t>
        </is>
      </c>
      <c r="H121" s="42" t="inlineStr">
        <is>
          <t>шт</t>
        </is>
      </c>
      <c r="I121" s="58" t="n">
        <v>500</v>
      </c>
      <c r="J121" s="58" t="n">
        <v>600</v>
      </c>
      <c r="K121" s="42" t="inlineStr">
        <is>
          <t>Штучный материал</t>
        </is>
      </c>
      <c r="L121" s="42" t="inlineStr">
        <is>
          <t>Показать строкой</t>
        </is>
      </c>
      <c r="M121" s="42" t="inlineStr">
        <is>
          <t>Да</t>
        </is>
      </c>
      <c r="N121" s="48" t="inlineStr">
        <is>
          <t>Импортировано из PRICE_MASTER</t>
        </is>
      </c>
      <c r="O121" s="42" t="inlineStr">
        <is>
          <t>Штучные / покрытия</t>
        </is>
      </c>
      <c r="P121" s="55" t="n">
        <v>1.05</v>
      </c>
      <c r="Q121" s="42" t="inlineStr">
        <is>
          <t>NetArea/Length x reserve coeff</t>
        </is>
      </c>
      <c r="R121" s="42" t="inlineStr">
        <is>
          <t>Да</t>
        </is>
      </c>
    </row>
    <row r="122">
      <c r="A122" s="41" t="inlineStr">
        <is>
          <t>RMAT-0121</t>
        </is>
      </c>
      <c r="B122" s="41" t="inlineStr">
        <is>
          <t>электроды</t>
        </is>
      </c>
      <c r="C122" s="41" t="inlineStr">
        <is>
          <t>Электроды</t>
        </is>
      </c>
      <c r="D122" s="41" t="inlineStr">
        <is>
          <t>Электроды</t>
        </is>
      </c>
      <c r="E122" s="41" t="inlineStr">
        <is>
          <t>Мощение</t>
        </is>
      </c>
      <c r="F122" s="41" t="inlineStr">
        <is>
          <t>Конструкции и отделка</t>
        </is>
      </c>
      <c r="G122" s="41" t="inlineStr">
        <is>
          <t>Материал</t>
        </is>
      </c>
      <c r="H122" s="41" t="inlineStr">
        <is>
          <t>уп.</t>
        </is>
      </c>
      <c r="I122" s="57" t="n"/>
      <c r="J122" s="57" t="n"/>
      <c r="K122" s="41" t="inlineStr">
        <is>
          <t>Прочий материал</t>
        </is>
      </c>
      <c r="L122" s="41" t="inlineStr">
        <is>
          <t>Показать строкой</t>
        </is>
      </c>
      <c r="M122" s="41" t="inlineStr">
        <is>
          <t>Да</t>
        </is>
      </c>
      <c r="N122" s="45" t="inlineStr">
        <is>
          <t>Импортировано из PRICE_MASTER</t>
        </is>
      </c>
      <c r="O122" s="41" t="inlineStr">
        <is>
          <t>Без доп. запаса</t>
        </is>
      </c>
      <c r="P122" s="53" t="n">
        <v>1</v>
      </c>
      <c r="Q122" s="41" t="inlineStr">
        <is>
          <t>Direct</t>
        </is>
      </c>
      <c r="R122" s="41" t="inlineStr">
        <is>
          <t>Да</t>
        </is>
      </c>
    </row>
  </sheetData>
  <autoFilter ref="A1:R12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A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  <col width="14" customWidth="1" min="9" max="9"/>
    <col width="40" customWidth="1" min="10" max="10"/>
    <col width="19" customWidth="1" min="11" max="11"/>
    <col width="11" customWidth="1" min="12" max="12"/>
    <col width="10" customWidth="1" min="13" max="13"/>
    <col width="40" customWidth="1" min="14" max="14"/>
    <col width="14" customWidth="1" min="15" max="15"/>
    <col width="25" customWidth="1" min="16" max="16"/>
    <col width="14" customWidth="1" min="17" max="17"/>
    <col width="10" customWidth="1" min="18" max="18"/>
    <col width="14" customWidth="1" min="19" max="19"/>
    <col width="24" customWidth="1" min="20" max="20"/>
    <col width="16" customWidth="1" min="21" max="21"/>
    <col width="14" customWidth="1" min="22" max="22"/>
    <col width="10" customWidth="1" min="23" max="23"/>
    <col width="10" customWidth="1" min="24" max="24"/>
    <col width="14" customWidth="1" min="25" max="25"/>
    <col width="19" customWidth="1" min="26" max="26"/>
    <col width="13" customWidth="1" min="27" max="27"/>
  </cols>
  <sheetData>
    <row r="1">
      <c r="A1" s="40" t="inlineStr">
        <is>
          <t>VariantID</t>
        </is>
      </c>
      <c r="B1" s="40" t="inlineStr">
        <is>
          <t>MaterialID</t>
        </is>
      </c>
      <c r="C1" s="40" t="inlineStr">
        <is>
          <t>ThicknessMM</t>
        </is>
      </c>
      <c r="D1" s="40" t="inlineStr">
        <is>
          <t>Color</t>
        </is>
      </c>
      <c r="E1" s="40" t="inlineStr">
        <is>
          <t>Surface</t>
        </is>
      </c>
      <c r="F1" s="40" t="inlineStr">
        <is>
          <t>EdgeType</t>
        </is>
      </c>
      <c r="G1" s="40" t="inlineStr">
        <is>
          <t>LoadClass</t>
        </is>
      </c>
      <c r="H1" s="40" t="inlineStr">
        <is>
          <t>Manufacturer</t>
        </is>
      </c>
      <c r="I1" s="40" t="inlineStr">
        <is>
          <t>PricePerUnit</t>
        </is>
      </c>
      <c r="J1" s="40" t="inlineStr">
        <is>
          <t>ClientName</t>
        </is>
      </c>
      <c r="K1" s="40" t="inlineStr">
        <is>
          <t>ClientDisplayMode</t>
        </is>
      </c>
      <c r="L1" s="40" t="inlineStr">
        <is>
          <t>IsDefault</t>
        </is>
      </c>
      <c r="M1" s="40" t="inlineStr">
        <is>
          <t>IsActive</t>
        </is>
      </c>
      <c r="N1" s="40" t="inlineStr">
        <is>
          <t>Notes</t>
        </is>
      </c>
      <c r="O1" s="40" t="inlineStr">
        <is>
          <t>PurchaseUnit</t>
        </is>
      </c>
      <c r="P1" s="40" t="inlineStr">
        <is>
          <t>CoveragePerPurchaseUnit</t>
        </is>
      </c>
      <c r="Q1" s="40" t="inlineStr">
        <is>
          <t>CoverageUnit</t>
        </is>
      </c>
      <c r="R1" s="40" t="inlineStr">
        <is>
          <t>Supplier</t>
        </is>
      </c>
      <c r="S1" s="40" t="inlineStr">
        <is>
          <t>LeadTimeDays</t>
        </is>
      </c>
      <c r="T1" s="40" t="inlineStr">
        <is>
          <t>PriceSource</t>
        </is>
      </c>
      <c r="U1" s="40" t="inlineStr">
        <is>
          <t>PriceValidFrom</t>
        </is>
      </c>
      <c r="V1" s="40" t="inlineStr">
        <is>
          <t>PriceValidTo</t>
        </is>
      </c>
      <c r="W1" s="40" t="inlineStr">
        <is>
          <t>TaxMode</t>
        </is>
      </c>
      <c r="X1" s="40" t="inlineStr">
        <is>
          <t>MOQ</t>
        </is>
      </c>
      <c r="Y1" s="40" t="inlineStr">
        <is>
          <t>OrderStepQty</t>
        </is>
      </c>
      <c r="Z1" s="40" t="inlineStr">
        <is>
          <t>MappingConfidence</t>
        </is>
      </c>
      <c r="AA1" s="40" t="inlineStr">
        <is>
          <t>SourceRowID</t>
        </is>
      </c>
    </row>
    <row r="2">
      <c r="A2" s="44" t="inlineStr">
        <is>
          <t>MV-0001</t>
        </is>
      </c>
      <c r="B2" s="41" t="inlineStr">
        <is>
          <t>RMAT-0001</t>
        </is>
      </c>
      <c r="C2" s="57" t="n">
        <v>100</v>
      </c>
      <c r="D2" s="41" t="n"/>
      <c r="E2" s="41" t="n"/>
      <c r="F2" s="41" t="n"/>
      <c r="G2" s="41" t="n"/>
      <c r="H2" s="41" t="n"/>
      <c r="I2" s="43" t="n">
        <v>3480</v>
      </c>
      <c r="J2" s="41" t="inlineStr">
        <is>
          <t>Амфиболит колотый 50*100*100мм</t>
        </is>
      </c>
      <c r="K2" s="41" t="inlineStr">
        <is>
          <t>Показать строкой</t>
        </is>
      </c>
      <c r="L2" s="41" t="inlineStr">
        <is>
          <t>Да</t>
        </is>
      </c>
      <c r="M2" s="41" t="inlineStr">
        <is>
          <t>Да</t>
        </is>
      </c>
      <c r="N2" s="45" t="inlineStr">
        <is>
          <t>Автосозданный вариант 1:1 из реального прайса</t>
        </is>
      </c>
      <c r="O2" s="41" t="inlineStr">
        <is>
          <t>м2</t>
        </is>
      </c>
      <c r="P2" s="54" t="n"/>
      <c r="Q2" s="41" t="inlineStr">
        <is>
          <t>м2</t>
        </is>
      </c>
      <c r="R2" s="41" t="n"/>
      <c r="S2" s="57" t="n"/>
      <c r="T2" s="41" t="inlineStr">
        <is>
          <t>Импорт из PRICE_MASTER</t>
        </is>
      </c>
      <c r="U2" s="41" t="n"/>
      <c r="V2" s="41" t="n"/>
      <c r="W2" s="41" t="n"/>
      <c r="X2" s="54" t="n"/>
      <c r="Y2" s="57" t="n"/>
      <c r="Z2" s="41" t="inlineStr">
        <is>
          <t>Высокая</t>
        </is>
      </c>
      <c r="AA2" s="41" t="inlineStr">
        <is>
          <t>SRC-0002</t>
        </is>
      </c>
    </row>
    <row r="3">
      <c r="A3" s="47" t="inlineStr">
        <is>
          <t>MV-0002</t>
        </is>
      </c>
      <c r="B3" s="42" t="inlineStr">
        <is>
          <t>RMAT-0002</t>
        </is>
      </c>
      <c r="C3" s="58" t="n"/>
      <c r="D3" s="42" t="n"/>
      <c r="E3" s="42" t="n"/>
      <c r="F3" s="42" t="n"/>
      <c r="G3" s="42" t="n"/>
      <c r="H3" s="42" t="n"/>
      <c r="I3" s="46" t="n">
        <v>48</v>
      </c>
      <c r="J3" s="42" t="inlineStr">
        <is>
          <t>Анкер крепящий для ландшафтного бордюра (количество для установки по дуге 5шт. на 1м.п.)</t>
        </is>
      </c>
      <c r="K3" s="42" t="inlineStr">
        <is>
          <t>Показать строкой</t>
        </is>
      </c>
      <c r="L3" s="42" t="inlineStr">
        <is>
          <t>Да</t>
        </is>
      </c>
      <c r="M3" s="42" t="inlineStr">
        <is>
          <t>Да</t>
        </is>
      </c>
      <c r="N3" s="48" t="inlineStr">
        <is>
          <t>Автосозданный вариант 1:1 из реального прайса</t>
        </is>
      </c>
      <c r="O3" s="42" t="inlineStr">
        <is>
          <t>шт</t>
        </is>
      </c>
      <c r="P3" s="56" t="n"/>
      <c r="Q3" s="42" t="inlineStr">
        <is>
          <t>шт</t>
        </is>
      </c>
      <c r="R3" s="42" t="n"/>
      <c r="S3" s="58" t="n"/>
      <c r="T3" s="42" t="inlineStr">
        <is>
          <t>Импорт из PRICE_MASTER</t>
        </is>
      </c>
      <c r="U3" s="42" t="n"/>
      <c r="V3" s="42" t="n"/>
      <c r="W3" s="42" t="n"/>
      <c r="X3" s="56" t="n"/>
      <c r="Y3" s="58" t="n"/>
      <c r="Z3" s="42" t="inlineStr">
        <is>
          <t>Высокая</t>
        </is>
      </c>
      <c r="AA3" s="42" t="inlineStr">
        <is>
          <t>SRC-0003</t>
        </is>
      </c>
    </row>
    <row r="4">
      <c r="A4" s="44" t="inlineStr">
        <is>
          <t>MV-0003</t>
        </is>
      </c>
      <c r="B4" s="41" t="inlineStr">
        <is>
          <t>RMAT-0003</t>
        </is>
      </c>
      <c r="C4" s="57" t="n"/>
      <c r="D4" s="41" t="n"/>
      <c r="E4" s="41" t="n"/>
      <c r="F4" s="41" t="n"/>
      <c r="G4" s="41" t="n"/>
      <c r="H4" s="41" t="n"/>
      <c r="I4" s="43" t="n">
        <v>580</v>
      </c>
      <c r="J4" s="41" t="inlineStr">
        <is>
          <t>Антисептик Pinotex Base</t>
        </is>
      </c>
      <c r="K4" s="41" t="inlineStr">
        <is>
          <t>Показать строкой</t>
        </is>
      </c>
      <c r="L4" s="41" t="inlineStr">
        <is>
          <t>Да</t>
        </is>
      </c>
      <c r="M4" s="41" t="inlineStr">
        <is>
          <t>Да</t>
        </is>
      </c>
      <c r="N4" s="45" t="inlineStr">
        <is>
          <t>Автосозданный вариант 1:1 из реального прайса</t>
        </is>
      </c>
      <c r="O4" s="41" t="inlineStr">
        <is>
          <t>л</t>
        </is>
      </c>
      <c r="P4" s="54" t="n"/>
      <c r="Q4" s="41" t="inlineStr">
        <is>
          <t>л</t>
        </is>
      </c>
      <c r="R4" s="41" t="n"/>
      <c r="S4" s="57" t="n"/>
      <c r="T4" s="41" t="inlineStr">
        <is>
          <t>Импорт из PRICE_MASTER</t>
        </is>
      </c>
      <c r="U4" s="41" t="n"/>
      <c r="V4" s="41" t="n"/>
      <c r="W4" s="41" t="n"/>
      <c r="X4" s="54" t="n"/>
      <c r="Y4" s="57" t="n"/>
      <c r="Z4" s="41" t="inlineStr">
        <is>
          <t>Высокая</t>
        </is>
      </c>
      <c r="AA4" s="41" t="inlineStr">
        <is>
          <t>SRC-0004</t>
        </is>
      </c>
    </row>
    <row r="5">
      <c r="A5" s="47" t="inlineStr">
        <is>
          <t>MV-0004</t>
        </is>
      </c>
      <c r="B5" s="42" t="inlineStr">
        <is>
          <t>RMAT-0004</t>
        </is>
      </c>
      <c r="C5" s="58" t="n"/>
      <c r="D5" s="42" t="n"/>
      <c r="E5" s="42" t="n"/>
      <c r="F5" s="42" t="n"/>
      <c r="G5" s="42" t="n"/>
      <c r="H5" s="42" t="n"/>
      <c r="I5" s="46" t="n">
        <v>63</v>
      </c>
      <c r="J5" s="42" t="inlineStr">
        <is>
          <t>арматура рифленая, 10мм</t>
        </is>
      </c>
      <c r="K5" s="42" t="inlineStr">
        <is>
          <t>Показать строкой</t>
        </is>
      </c>
      <c r="L5" s="42" t="inlineStr">
        <is>
          <t>Да</t>
        </is>
      </c>
      <c r="M5" s="42" t="inlineStr">
        <is>
          <t>Да</t>
        </is>
      </c>
      <c r="N5" s="48" t="inlineStr">
        <is>
          <t>Автосозданный вариант 1:1 из реального прайса</t>
        </is>
      </c>
      <c r="O5" s="42" t="inlineStr">
        <is>
          <t>м.пог.</t>
        </is>
      </c>
      <c r="P5" s="56" t="n"/>
      <c r="Q5" s="42" t="inlineStr">
        <is>
          <t>м.пог.</t>
        </is>
      </c>
      <c r="R5" s="42" t="n"/>
      <c r="S5" s="58" t="n"/>
      <c r="T5" s="42" t="inlineStr">
        <is>
          <t>Импорт из PRICE_MASTER</t>
        </is>
      </c>
      <c r="U5" s="42" t="n"/>
      <c r="V5" s="42" t="n"/>
      <c r="W5" s="42" t="n"/>
      <c r="X5" s="56" t="n"/>
      <c r="Y5" s="58" t="n"/>
      <c r="Z5" s="42" t="inlineStr">
        <is>
          <t>Высокая</t>
        </is>
      </c>
      <c r="AA5" s="42" t="inlineStr">
        <is>
          <t>SRC-0012</t>
        </is>
      </c>
    </row>
    <row r="6">
      <c r="A6" s="44" t="inlineStr">
        <is>
          <t>MV-0005</t>
        </is>
      </c>
      <c r="B6" s="41" t="inlineStr">
        <is>
          <t>RMAT-0005</t>
        </is>
      </c>
      <c r="C6" s="57" t="n"/>
      <c r="D6" s="41" t="n"/>
      <c r="E6" s="41" t="n"/>
      <c r="F6" s="41" t="n"/>
      <c r="G6" s="41" t="n"/>
      <c r="H6" s="41" t="n"/>
      <c r="I6" s="43" t="n">
        <v>85</v>
      </c>
      <c r="J6" s="41" t="inlineStr">
        <is>
          <t>Арматура рифленая, 12мм</t>
        </is>
      </c>
      <c r="K6" s="41" t="inlineStr">
        <is>
          <t>Показать строкой</t>
        </is>
      </c>
      <c r="L6" s="41" t="inlineStr">
        <is>
          <t>Да</t>
        </is>
      </c>
      <c r="M6" s="41" t="inlineStr">
        <is>
          <t>Да</t>
        </is>
      </c>
      <c r="N6" s="45" t="inlineStr">
        <is>
          <t>Автосозданный вариант 1:1 из реального прайса</t>
        </is>
      </c>
      <c r="O6" s="41" t="inlineStr">
        <is>
          <t>м.пог.</t>
        </is>
      </c>
      <c r="P6" s="54" t="n"/>
      <c r="Q6" s="41" t="inlineStr">
        <is>
          <t>м.пог.</t>
        </is>
      </c>
      <c r="R6" s="41" t="n"/>
      <c r="S6" s="57" t="n"/>
      <c r="T6" s="41" t="inlineStr">
        <is>
          <t>Импорт из PRICE_MASTER</t>
        </is>
      </c>
      <c r="U6" s="41" t="n"/>
      <c r="V6" s="41" t="n"/>
      <c r="W6" s="41" t="n"/>
      <c r="X6" s="54" t="n"/>
      <c r="Y6" s="57" t="n"/>
      <c r="Z6" s="41" t="inlineStr">
        <is>
          <t>Высокая</t>
        </is>
      </c>
      <c r="AA6" s="41" t="inlineStr">
        <is>
          <t>SRC-0013</t>
        </is>
      </c>
    </row>
    <row r="7">
      <c r="A7" s="47" t="inlineStr">
        <is>
          <t>MV-0006</t>
        </is>
      </c>
      <c r="B7" s="42" t="inlineStr">
        <is>
          <t>RMAT-0006</t>
        </is>
      </c>
      <c r="C7" s="58" t="n"/>
      <c r="D7" s="42" t="n"/>
      <c r="E7" s="42" t="n"/>
      <c r="F7" s="42" t="n"/>
      <c r="G7" s="42" t="n"/>
      <c r="H7" s="42" t="n"/>
      <c r="I7" s="46" t="n">
        <v>15000</v>
      </c>
      <c r="J7" s="42" t="inlineStr">
        <is>
          <t>Бетон, миксер</t>
        </is>
      </c>
      <c r="K7" s="42" t="inlineStr">
        <is>
          <t>Показать строкой</t>
        </is>
      </c>
      <c r="L7" s="42" t="inlineStr">
        <is>
          <t>Да</t>
        </is>
      </c>
      <c r="M7" s="42" t="inlineStr">
        <is>
          <t>Да</t>
        </is>
      </c>
      <c r="N7" s="48" t="inlineStr">
        <is>
          <t>Автосозданный вариант 1:1 из реального прайса</t>
        </is>
      </c>
      <c r="O7" s="42" t="inlineStr">
        <is>
          <t>м3</t>
        </is>
      </c>
      <c r="P7" s="56" t="n"/>
      <c r="Q7" s="42" t="inlineStr">
        <is>
          <t>м3</t>
        </is>
      </c>
      <c r="R7" s="42" t="n"/>
      <c r="S7" s="58" t="n"/>
      <c r="T7" s="42" t="inlineStr">
        <is>
          <t>Импорт из PRICE_MASTER</t>
        </is>
      </c>
      <c r="U7" s="42" t="n"/>
      <c r="V7" s="42" t="n"/>
      <c r="W7" s="42" t="n"/>
      <c r="X7" s="56" t="n"/>
      <c r="Y7" s="58" t="n"/>
      <c r="Z7" s="42" t="inlineStr">
        <is>
          <t>Высокая</t>
        </is>
      </c>
      <c r="AA7" s="42" t="inlineStr">
        <is>
          <t>SRC-0015</t>
        </is>
      </c>
    </row>
    <row r="8">
      <c r="A8" s="44" t="inlineStr">
        <is>
          <t>MV-0007</t>
        </is>
      </c>
      <c r="B8" s="41" t="inlineStr">
        <is>
          <t>RMAT-0007</t>
        </is>
      </c>
      <c r="C8" s="57" t="n"/>
      <c r="D8" s="41" t="n"/>
      <c r="E8" s="41" t="n"/>
      <c r="F8" s="41" t="n"/>
      <c r="G8" s="41" t="n"/>
      <c r="H8" s="41" t="n"/>
      <c r="I8" s="43" t="n">
        <v>6000</v>
      </c>
      <c r="J8" s="41" t="inlineStr">
        <is>
          <t>Блок питания 100Вт</t>
        </is>
      </c>
      <c r="K8" s="41" t="inlineStr">
        <is>
          <t>Показать строкой</t>
        </is>
      </c>
      <c r="L8" s="41" t="inlineStr">
        <is>
          <t>Да</t>
        </is>
      </c>
      <c r="M8" s="41" t="inlineStr">
        <is>
          <t>Да</t>
        </is>
      </c>
      <c r="N8" s="45" t="inlineStr">
        <is>
          <t>Автосозданный вариант 1:1 из реального прайса</t>
        </is>
      </c>
      <c r="O8" s="41" t="inlineStr">
        <is>
          <t>шт</t>
        </is>
      </c>
      <c r="P8" s="54" t="n"/>
      <c r="Q8" s="41" t="inlineStr">
        <is>
          <t>шт</t>
        </is>
      </c>
      <c r="R8" s="41" t="n"/>
      <c r="S8" s="57" t="n"/>
      <c r="T8" s="41" t="inlineStr">
        <is>
          <t>Импорт из PRICE_MASTER</t>
        </is>
      </c>
      <c r="U8" s="41" t="n"/>
      <c r="V8" s="41" t="n"/>
      <c r="W8" s="41" t="n"/>
      <c r="X8" s="54" t="n"/>
      <c r="Y8" s="57" t="n"/>
      <c r="Z8" s="41" t="inlineStr">
        <is>
          <t>Высокая</t>
        </is>
      </c>
      <c r="AA8" s="41" t="inlineStr">
        <is>
          <t>SRC-0017</t>
        </is>
      </c>
    </row>
    <row r="9">
      <c r="A9" s="47" t="inlineStr">
        <is>
          <t>MV-0008</t>
        </is>
      </c>
      <c r="B9" s="42" t="inlineStr">
        <is>
          <t>RMAT-0008</t>
        </is>
      </c>
      <c r="C9" s="58" t="n"/>
      <c r="D9" s="42" t="n"/>
      <c r="E9" s="42" t="n"/>
      <c r="F9" s="42" t="n"/>
      <c r="G9" s="42" t="n"/>
      <c r="H9" s="42" t="n"/>
      <c r="I9" s="46" t="n">
        <v>0</v>
      </c>
      <c r="J9" s="42" t="inlineStr">
        <is>
          <t>Бордюр металлический</t>
        </is>
      </c>
      <c r="K9" s="42" t="inlineStr">
        <is>
          <t>Показать строкой</t>
        </is>
      </c>
      <c r="L9" s="42" t="inlineStr">
        <is>
          <t>Да</t>
        </is>
      </c>
      <c r="M9" s="42" t="inlineStr">
        <is>
          <t>Да</t>
        </is>
      </c>
      <c r="N9" s="48" t="inlineStr">
        <is>
          <t>Автосозданный вариант 1:1 из реального прайса</t>
        </is>
      </c>
      <c r="O9" s="42" t="inlineStr">
        <is>
          <t>м.пог.</t>
        </is>
      </c>
      <c r="P9" s="56" t="n"/>
      <c r="Q9" s="42" t="inlineStr">
        <is>
          <t>м.пог.</t>
        </is>
      </c>
      <c r="R9" s="42" t="n"/>
      <c r="S9" s="58" t="n"/>
      <c r="T9" s="42" t="inlineStr">
        <is>
          <t>Импорт из PRICE_MASTER</t>
        </is>
      </c>
      <c r="U9" s="42" t="n"/>
      <c r="V9" s="42" t="n"/>
      <c r="W9" s="42" t="n"/>
      <c r="X9" s="56" t="n"/>
      <c r="Y9" s="58" t="n"/>
      <c r="Z9" s="42" t="inlineStr">
        <is>
          <t>Высокая</t>
        </is>
      </c>
      <c r="AA9" s="42" t="inlineStr">
        <is>
          <t>SRC-0018</t>
        </is>
      </c>
    </row>
    <row r="10">
      <c r="A10" s="44" t="inlineStr">
        <is>
          <t>MV-0009</t>
        </is>
      </c>
      <c r="B10" s="41" t="inlineStr">
        <is>
          <t>RMAT-0009</t>
        </is>
      </c>
      <c r="C10" s="57" t="n"/>
      <c r="D10" s="41" t="n"/>
      <c r="E10" s="41" t="n"/>
      <c r="F10" s="41" t="n"/>
      <c r="G10" s="41" t="n"/>
      <c r="H10" s="41" t="n"/>
      <c r="I10" s="43" t="n">
        <v>320</v>
      </c>
      <c r="J10" s="41" t="inlineStr">
        <is>
          <t>Бордюр пластиковый Plastbort с крепежом</t>
        </is>
      </c>
      <c r="K10" s="41" t="inlineStr">
        <is>
          <t>Показать строкой</t>
        </is>
      </c>
      <c r="L10" s="41" t="inlineStr">
        <is>
          <t>Да</t>
        </is>
      </c>
      <c r="M10" s="41" t="inlineStr">
        <is>
          <t>Да</t>
        </is>
      </c>
      <c r="N10" s="45" t="inlineStr">
        <is>
          <t>Автосозданный вариант 1:1 из реального прайса</t>
        </is>
      </c>
      <c r="O10" s="41" t="inlineStr">
        <is>
          <t>м.пог.</t>
        </is>
      </c>
      <c r="P10" s="54" t="n"/>
      <c r="Q10" s="41" t="inlineStr">
        <is>
          <t>м.пог.</t>
        </is>
      </c>
      <c r="R10" s="41" t="n"/>
      <c r="S10" s="57" t="n"/>
      <c r="T10" s="41" t="inlineStr">
        <is>
          <t>Импорт из PRICE_MASTER</t>
        </is>
      </c>
      <c r="U10" s="41" t="n"/>
      <c r="V10" s="41" t="n"/>
      <c r="W10" s="41" t="n"/>
      <c r="X10" s="54" t="n"/>
      <c r="Y10" s="57" t="n"/>
      <c r="Z10" s="41" t="inlineStr">
        <is>
          <t>Высокая</t>
        </is>
      </c>
      <c r="AA10" s="41" t="inlineStr">
        <is>
          <t>SRC-0019</t>
        </is>
      </c>
    </row>
    <row r="11">
      <c r="A11" s="47" t="inlineStr">
        <is>
          <t>MV-0010</t>
        </is>
      </c>
      <c r="B11" s="42" t="inlineStr">
        <is>
          <t>RMAT-0010</t>
        </is>
      </c>
      <c r="C11" s="58" t="n">
        <v>4</v>
      </c>
      <c r="D11" s="42" t="n"/>
      <c r="E11" s="42" t="n"/>
      <c r="F11" s="42" t="n"/>
      <c r="G11" s="42" t="n"/>
      <c r="H11" s="42" t="n"/>
      <c r="I11" s="46" t="n">
        <v>430</v>
      </c>
      <c r="J11" s="42" t="inlineStr">
        <is>
          <t>Бордюр пластиковый, 100х8х4.5см</t>
        </is>
      </c>
      <c r="K11" s="42" t="inlineStr">
        <is>
          <t>Показать строкой</t>
        </is>
      </c>
      <c r="L11" s="42" t="inlineStr">
        <is>
          <t>Да</t>
        </is>
      </c>
      <c r="M11" s="42" t="inlineStr">
        <is>
          <t>Да</t>
        </is>
      </c>
      <c r="N11" s="48" t="inlineStr">
        <is>
          <t>Автосозданный вариант 1:1 из реального прайса</t>
        </is>
      </c>
      <c r="O11" s="42" t="inlineStr">
        <is>
          <t>м.пог.</t>
        </is>
      </c>
      <c r="P11" s="56" t="n"/>
      <c r="Q11" s="42" t="inlineStr">
        <is>
          <t>м.пог.</t>
        </is>
      </c>
      <c r="R11" s="42" t="n"/>
      <c r="S11" s="58" t="n"/>
      <c r="T11" s="42" t="inlineStr">
        <is>
          <t>Импорт из PRICE_MASTER</t>
        </is>
      </c>
      <c r="U11" s="42" t="n"/>
      <c r="V11" s="42" t="n"/>
      <c r="W11" s="42" t="n"/>
      <c r="X11" s="56" t="n"/>
      <c r="Y11" s="58" t="n"/>
      <c r="Z11" s="42" t="inlineStr">
        <is>
          <t>Высокая</t>
        </is>
      </c>
      <c r="AA11" s="42" t="inlineStr">
        <is>
          <t>SRC-0020</t>
        </is>
      </c>
    </row>
    <row r="12">
      <c r="A12" s="44" t="inlineStr">
        <is>
          <t>MV-0011</t>
        </is>
      </c>
      <c r="B12" s="41" t="inlineStr">
        <is>
          <t>RMAT-0011</t>
        </is>
      </c>
      <c r="C12" s="57" t="n">
        <v>3000</v>
      </c>
      <c r="D12" s="41" t="n"/>
      <c r="E12" s="41" t="n"/>
      <c r="F12" s="41" t="n"/>
      <c r="G12" s="41" t="n"/>
      <c r="H12" s="41" t="n"/>
      <c r="I12" s="43" t="n">
        <v>280</v>
      </c>
      <c r="J12" s="41" t="inlineStr">
        <is>
          <t>Брус 50х50х3000мм</t>
        </is>
      </c>
      <c r="K12" s="41" t="inlineStr">
        <is>
          <t>Показать строкой</t>
        </is>
      </c>
      <c r="L12" s="41" t="inlineStr">
        <is>
          <t>Да</t>
        </is>
      </c>
      <c r="M12" s="41" t="inlineStr">
        <is>
          <t>Да</t>
        </is>
      </c>
      <c r="N12" s="45" t="inlineStr">
        <is>
          <t>Автосозданный вариант 1:1 из реального прайса</t>
        </is>
      </c>
      <c r="O12" s="41" t="inlineStr">
        <is>
          <t>шт</t>
        </is>
      </c>
      <c r="P12" s="54" t="n"/>
      <c r="Q12" s="41" t="inlineStr">
        <is>
          <t>шт</t>
        </is>
      </c>
      <c r="R12" s="41" t="n"/>
      <c r="S12" s="57" t="n"/>
      <c r="T12" s="41" t="inlineStr">
        <is>
          <t>Импорт из PRICE_MASTER</t>
        </is>
      </c>
      <c r="U12" s="41" t="n"/>
      <c r="V12" s="41" t="n"/>
      <c r="W12" s="41" t="n"/>
      <c r="X12" s="54" t="n"/>
      <c r="Y12" s="57" t="n"/>
      <c r="Z12" s="41" t="inlineStr">
        <is>
          <t>Высокая</t>
        </is>
      </c>
      <c r="AA12" s="41" t="inlineStr">
        <is>
          <t>SRC-0021</t>
        </is>
      </c>
    </row>
    <row r="13">
      <c r="A13" s="47" t="inlineStr">
        <is>
          <t>MV-0012</t>
        </is>
      </c>
      <c r="B13" s="42" t="inlineStr">
        <is>
          <t>RMAT-0012</t>
        </is>
      </c>
      <c r="C13" s="58" t="n">
        <v>3000</v>
      </c>
      <c r="D13" s="42" t="n"/>
      <c r="E13" s="42" t="n"/>
      <c r="F13" s="42" t="n"/>
      <c r="G13" s="42" t="n"/>
      <c r="H13" s="42" t="n"/>
      <c r="I13" s="46" t="n">
        <v>245</v>
      </c>
      <c r="J13" s="42" t="inlineStr">
        <is>
          <t>Брусок сухой сосна 30х45х3000 мм сорт АВ</t>
        </is>
      </c>
      <c r="K13" s="42" t="inlineStr">
        <is>
          <t>Показать строкой</t>
        </is>
      </c>
      <c r="L13" s="42" t="inlineStr">
        <is>
          <t>Да</t>
        </is>
      </c>
      <c r="M13" s="42" t="inlineStr">
        <is>
          <t>Да</t>
        </is>
      </c>
      <c r="N13" s="48" t="inlineStr">
        <is>
          <t>Автосозданный вариант 1:1 из реального прайса</t>
        </is>
      </c>
      <c r="O13" s="42" t="inlineStr">
        <is>
          <t>шт</t>
        </is>
      </c>
      <c r="P13" s="56" t="n"/>
      <c r="Q13" s="42" t="inlineStr">
        <is>
          <t>шт</t>
        </is>
      </c>
      <c r="R13" s="42" t="n"/>
      <c r="S13" s="58" t="n"/>
      <c r="T13" s="42" t="inlineStr">
        <is>
          <t>Импорт из PRICE_MASTER</t>
        </is>
      </c>
      <c r="U13" s="42" t="n"/>
      <c r="V13" s="42" t="n"/>
      <c r="W13" s="42" t="n"/>
      <c r="X13" s="56" t="n"/>
      <c r="Y13" s="58" t="n"/>
      <c r="Z13" s="42" t="inlineStr">
        <is>
          <t>Высокая</t>
        </is>
      </c>
      <c r="AA13" s="42" t="inlineStr">
        <is>
          <t>SRC-0022</t>
        </is>
      </c>
    </row>
    <row r="14">
      <c r="A14" s="44" t="inlineStr">
        <is>
          <t>MV-0013</t>
        </is>
      </c>
      <c r="B14" s="41" t="inlineStr">
        <is>
          <t>RMAT-0013</t>
        </is>
      </c>
      <c r="C14" s="57" t="n">
        <v>100</v>
      </c>
      <c r="D14" s="41" t="n"/>
      <c r="E14" s="41" t="n"/>
      <c r="F14" s="41" t="n"/>
      <c r="G14" s="41" t="n"/>
      <c r="H14" s="41" t="n"/>
      <c r="I14" s="43" t="n">
        <v>2500</v>
      </c>
      <c r="J14" s="41" t="inlineStr">
        <is>
          <t>Брусчатка гранитная, 100х100х100мм</t>
        </is>
      </c>
      <c r="K14" s="41" t="inlineStr">
        <is>
          <t>Показать строкой</t>
        </is>
      </c>
      <c r="L14" s="41" t="inlineStr">
        <is>
          <t>Да</t>
        </is>
      </c>
      <c r="M14" s="41" t="inlineStr">
        <is>
          <t>Да</t>
        </is>
      </c>
      <c r="N14" s="45" t="inlineStr">
        <is>
          <t>Автосозданный вариант 1:1 из реального прайса</t>
        </is>
      </c>
      <c r="O14" s="41" t="inlineStr">
        <is>
          <t>м2</t>
        </is>
      </c>
      <c r="P14" s="54" t="n"/>
      <c r="Q14" s="41" t="inlineStr">
        <is>
          <t>м2</t>
        </is>
      </c>
      <c r="R14" s="41" t="n"/>
      <c r="S14" s="57" t="n"/>
      <c r="T14" s="41" t="inlineStr">
        <is>
          <t>Импорт из PRICE_MASTER</t>
        </is>
      </c>
      <c r="U14" s="41" t="n"/>
      <c r="V14" s="41" t="n"/>
      <c r="W14" s="41" t="n"/>
      <c r="X14" s="54" t="n"/>
      <c r="Y14" s="57" t="n"/>
      <c r="Z14" s="41" t="inlineStr">
        <is>
          <t>Высокая</t>
        </is>
      </c>
      <c r="AA14" s="41" t="inlineStr">
        <is>
          <t>SRC-0023</t>
        </is>
      </c>
    </row>
    <row r="15">
      <c r="A15" s="47" t="inlineStr">
        <is>
          <t>MV-0014</t>
        </is>
      </c>
      <c r="B15" s="42" t="inlineStr">
        <is>
          <t>RMAT-0014</t>
        </is>
      </c>
      <c r="C15" s="58" t="n">
        <v>50</v>
      </c>
      <c r="D15" s="42" t="n"/>
      <c r="E15" s="42" t="n"/>
      <c r="F15" s="42" t="n"/>
      <c r="G15" s="42" t="n"/>
      <c r="H15" s="42" t="n"/>
      <c r="I15" s="46" t="n">
        <v>2300</v>
      </c>
      <c r="J15" s="42" t="inlineStr">
        <is>
          <t>Брусчатка гранитная, 100х100х50мм</t>
        </is>
      </c>
      <c r="K15" s="42" t="inlineStr">
        <is>
          <t>Показать строкой</t>
        </is>
      </c>
      <c r="L15" s="42" t="inlineStr">
        <is>
          <t>Да</t>
        </is>
      </c>
      <c r="M15" s="42" t="inlineStr">
        <is>
          <t>Да</t>
        </is>
      </c>
      <c r="N15" s="48" t="inlineStr">
        <is>
          <t>Автосозданный вариант 1:1 из реального прайса</t>
        </is>
      </c>
      <c r="O15" s="42" t="inlineStr">
        <is>
          <t>м2</t>
        </is>
      </c>
      <c r="P15" s="56" t="n"/>
      <c r="Q15" s="42" t="inlineStr">
        <is>
          <t>м2</t>
        </is>
      </c>
      <c r="R15" s="42" t="n"/>
      <c r="S15" s="58" t="n"/>
      <c r="T15" s="42" t="inlineStr">
        <is>
          <t>Импорт из PRICE_MASTER</t>
        </is>
      </c>
      <c r="U15" s="42" t="n"/>
      <c r="V15" s="42" t="n"/>
      <c r="W15" s="42" t="n"/>
      <c r="X15" s="56" t="n"/>
      <c r="Y15" s="58" t="n"/>
      <c r="Z15" s="42" t="inlineStr">
        <is>
          <t>Высокая</t>
        </is>
      </c>
      <c r="AA15" s="42" t="inlineStr">
        <is>
          <t>SRC-0024</t>
        </is>
      </c>
    </row>
    <row r="16">
      <c r="A16" s="44" t="inlineStr">
        <is>
          <t>MV-0015</t>
        </is>
      </c>
      <c r="B16" s="41" t="inlineStr">
        <is>
          <t>RMAT-0015</t>
        </is>
      </c>
      <c r="C16" s="57" t="n"/>
      <c r="D16" s="41" t="n"/>
      <c r="E16" s="41" t="n"/>
      <c r="F16" s="41" t="n"/>
      <c r="G16" s="41" t="n"/>
      <c r="H16" s="41" t="n"/>
      <c r="I16" s="43" t="n">
        <v>4730</v>
      </c>
      <c r="J16" s="41" t="inlineStr">
        <is>
          <t>Брусчатка пиленная, шунгитный сланец</t>
        </is>
      </c>
      <c r="K16" s="41" t="inlineStr">
        <is>
          <t>Показать строкой</t>
        </is>
      </c>
      <c r="L16" s="41" t="inlineStr">
        <is>
          <t>Да</t>
        </is>
      </c>
      <c r="M16" s="41" t="inlineStr">
        <is>
          <t>Да</t>
        </is>
      </c>
      <c r="N16" s="45" t="inlineStr">
        <is>
          <t>Автосозданный вариант 1:1 из реального прайса</t>
        </is>
      </c>
      <c r="O16" s="41" t="inlineStr">
        <is>
          <t>м2</t>
        </is>
      </c>
      <c r="P16" s="54" t="n"/>
      <c r="Q16" s="41" t="inlineStr">
        <is>
          <t>м2</t>
        </is>
      </c>
      <c r="R16" s="41" t="n"/>
      <c r="S16" s="57" t="n"/>
      <c r="T16" s="41" t="inlineStr">
        <is>
          <t>Импорт из PRICE_MASTER</t>
        </is>
      </c>
      <c r="U16" s="41" t="n"/>
      <c r="V16" s="41" t="n"/>
      <c r="W16" s="41" t="n"/>
      <c r="X16" s="54" t="n"/>
      <c r="Y16" s="57" t="n"/>
      <c r="Z16" s="41" t="inlineStr">
        <is>
          <t>Высокая</t>
        </is>
      </c>
      <c r="AA16" s="41" t="inlineStr">
        <is>
          <t>SRC-0025</t>
        </is>
      </c>
    </row>
    <row r="17">
      <c r="A17" s="47" t="inlineStr">
        <is>
          <t>MV-0016</t>
        </is>
      </c>
      <c r="B17" s="42" t="inlineStr">
        <is>
          <t>RMAT-0016</t>
        </is>
      </c>
      <c r="C17" s="58" t="n">
        <v>50</v>
      </c>
      <c r="D17" s="42" t="n"/>
      <c r="E17" s="42" t="n"/>
      <c r="F17" s="42" t="n"/>
      <c r="G17" s="42" t="n"/>
      <c r="H17" s="42" t="n"/>
      <c r="I17" s="46" t="n">
        <v>4630</v>
      </c>
      <c r="J17" s="42" t="inlineStr">
        <is>
          <t>Брусчатка пилено-колотая, гранит 100х100х50мм</t>
        </is>
      </c>
      <c r="K17" s="42" t="inlineStr">
        <is>
          <t>Показать строкой</t>
        </is>
      </c>
      <c r="L17" s="42" t="inlineStr">
        <is>
          <t>Да</t>
        </is>
      </c>
      <c r="M17" s="42" t="inlineStr">
        <is>
          <t>Да</t>
        </is>
      </c>
      <c r="N17" s="48" t="inlineStr">
        <is>
          <t>Автосозданный вариант 1:1 из реального прайса</t>
        </is>
      </c>
      <c r="O17" s="42" t="inlineStr">
        <is>
          <t>м2</t>
        </is>
      </c>
      <c r="P17" s="56" t="n"/>
      <c r="Q17" s="42" t="inlineStr">
        <is>
          <t>м2</t>
        </is>
      </c>
      <c r="R17" s="42" t="n"/>
      <c r="S17" s="58" t="n"/>
      <c r="T17" s="42" t="inlineStr">
        <is>
          <t>Импорт из PRICE_MASTER</t>
        </is>
      </c>
      <c r="U17" s="42" t="n"/>
      <c r="V17" s="42" t="n"/>
      <c r="W17" s="42" t="n"/>
      <c r="X17" s="56" t="n"/>
      <c r="Y17" s="58" t="n"/>
      <c r="Z17" s="42" t="inlineStr">
        <is>
          <t>Высокая</t>
        </is>
      </c>
      <c r="AA17" s="42" t="inlineStr">
        <is>
          <t>SRC-0026</t>
        </is>
      </c>
    </row>
    <row r="18">
      <c r="A18" s="44" t="inlineStr">
        <is>
          <t>MV-0017</t>
        </is>
      </c>
      <c r="B18" s="41" t="inlineStr">
        <is>
          <t>RMAT-0017</t>
        </is>
      </c>
      <c r="C18" s="57" t="n"/>
      <c r="D18" s="41" t="n"/>
      <c r="E18" s="41" t="n"/>
      <c r="F18" s="41" t="n"/>
      <c r="G18" s="41" t="n"/>
      <c r="H18" s="41" t="n"/>
      <c r="I18" s="43" t="n">
        <v>840</v>
      </c>
      <c r="J18" s="41" t="inlineStr">
        <is>
          <t>Брусчатка ТБП (простая), 60мм</t>
        </is>
      </c>
      <c r="K18" s="41" t="inlineStr">
        <is>
          <t>Показать строкой</t>
        </is>
      </c>
      <c r="L18" s="41" t="inlineStr">
        <is>
          <t>Да</t>
        </is>
      </c>
      <c r="M18" s="41" t="inlineStr">
        <is>
          <t>Да</t>
        </is>
      </c>
      <c r="N18" s="45" t="inlineStr">
        <is>
          <t>Автосозданный вариант 1:1 из реального прайса</t>
        </is>
      </c>
      <c r="O18" s="41" t="inlineStr">
        <is>
          <t>м2</t>
        </is>
      </c>
      <c r="P18" s="54" t="n"/>
      <c r="Q18" s="41" t="inlineStr">
        <is>
          <t>м2</t>
        </is>
      </c>
      <c r="R18" s="41" t="n"/>
      <c r="S18" s="57" t="n"/>
      <c r="T18" s="41" t="inlineStr">
        <is>
          <t>Импорт из PRICE_MASTER</t>
        </is>
      </c>
      <c r="U18" s="41" t="n"/>
      <c r="V18" s="41" t="n"/>
      <c r="W18" s="41" t="n"/>
      <c r="X18" s="54" t="n"/>
      <c r="Y18" s="57" t="n"/>
      <c r="Z18" s="41" t="inlineStr">
        <is>
          <t>Высокая</t>
        </is>
      </c>
      <c r="AA18" s="41" t="inlineStr">
        <is>
          <t>SRC-0027</t>
        </is>
      </c>
    </row>
    <row r="19">
      <c r="A19" s="47" t="inlineStr">
        <is>
          <t>MV-0018</t>
        </is>
      </c>
      <c r="B19" s="42" t="inlineStr">
        <is>
          <t>RMAT-0018</t>
        </is>
      </c>
      <c r="C19" s="58" t="n">
        <v>60</v>
      </c>
      <c r="D19" s="42" t="n"/>
      <c r="E19" s="42" t="n"/>
      <c r="F19" s="42" t="n"/>
      <c r="G19" s="42" t="n"/>
      <c r="H19" s="42" t="n"/>
      <c r="I19" s="46" t="n">
        <v>1100</v>
      </c>
      <c r="J19" s="42" t="inlineStr">
        <is>
          <t>Брусчатка ТБП Антик, 197x97x60мм</t>
        </is>
      </c>
      <c r="K19" s="42" t="inlineStr">
        <is>
          <t>Показать строкой</t>
        </is>
      </c>
      <c r="L19" s="42" t="inlineStr">
        <is>
          <t>Да</t>
        </is>
      </c>
      <c r="M19" s="42" t="inlineStr">
        <is>
          <t>Да</t>
        </is>
      </c>
      <c r="N19" s="48" t="inlineStr">
        <is>
          <t>Автосозданный вариант 1:1 из реального прайса</t>
        </is>
      </c>
      <c r="O19" s="42" t="inlineStr">
        <is>
          <t>м2</t>
        </is>
      </c>
      <c r="P19" s="56" t="n"/>
      <c r="Q19" s="42" t="inlineStr">
        <is>
          <t>м2</t>
        </is>
      </c>
      <c r="R19" s="42" t="n"/>
      <c r="S19" s="58" t="n"/>
      <c r="T19" s="42" t="inlineStr">
        <is>
          <t>Импорт из PRICE_MASTER</t>
        </is>
      </c>
      <c r="U19" s="42" t="n"/>
      <c r="V19" s="42" t="n"/>
      <c r="W19" s="42" t="n"/>
      <c r="X19" s="56" t="n"/>
      <c r="Y19" s="58" t="n"/>
      <c r="Z19" s="42" t="inlineStr">
        <is>
          <t>Высокая</t>
        </is>
      </c>
      <c r="AA19" s="42" t="inlineStr">
        <is>
          <t>SRC-0028</t>
        </is>
      </c>
    </row>
    <row r="20">
      <c r="A20" s="44" t="inlineStr">
        <is>
          <t>MV-0019</t>
        </is>
      </c>
      <c r="B20" s="41" t="inlineStr">
        <is>
          <t>RMAT-0019</t>
        </is>
      </c>
      <c r="C20" s="57" t="n"/>
      <c r="D20" s="41" t="n"/>
      <c r="E20" s="41" t="n"/>
      <c r="F20" s="41" t="n"/>
      <c r="G20" s="41" t="n"/>
      <c r="H20" s="41" t="n"/>
      <c r="I20" s="43" t="n">
        <v>3025</v>
      </c>
      <c r="J20" s="41" t="inlineStr">
        <is>
          <t>Брусчатка ТБП Классико Б.3.КО.6</t>
        </is>
      </c>
      <c r="K20" s="41" t="inlineStr">
        <is>
          <t>Показать строкой</t>
        </is>
      </c>
      <c r="L20" s="41" t="inlineStr">
        <is>
          <t>Да</t>
        </is>
      </c>
      <c r="M20" s="41" t="inlineStr">
        <is>
          <t>Да</t>
        </is>
      </c>
      <c r="N20" s="45" t="inlineStr">
        <is>
          <t>Автосозданный вариант 1:1 из реального прайса</t>
        </is>
      </c>
      <c r="O20" s="41" t="inlineStr">
        <is>
          <t>м2</t>
        </is>
      </c>
      <c r="P20" s="54" t="n"/>
      <c r="Q20" s="41" t="inlineStr">
        <is>
          <t>м2</t>
        </is>
      </c>
      <c r="R20" s="41" t="n"/>
      <c r="S20" s="57" t="n"/>
      <c r="T20" s="41" t="inlineStr">
        <is>
          <t>Импорт из PRICE_MASTER</t>
        </is>
      </c>
      <c r="U20" s="41" t="n"/>
      <c r="V20" s="41" t="n"/>
      <c r="W20" s="41" t="n"/>
      <c r="X20" s="54" t="n"/>
      <c r="Y20" s="57" t="n"/>
      <c r="Z20" s="41" t="inlineStr">
        <is>
          <t>Высокая</t>
        </is>
      </c>
      <c r="AA20" s="41" t="inlineStr">
        <is>
          <t>SRC-0029</t>
        </is>
      </c>
    </row>
    <row r="21">
      <c r="A21" s="47" t="inlineStr">
        <is>
          <t>MV-0020</t>
        </is>
      </c>
      <c r="B21" s="42" t="inlineStr">
        <is>
          <t>RMAT-0020</t>
        </is>
      </c>
      <c r="C21" s="58" t="n">
        <v>50</v>
      </c>
      <c r="D21" s="42" t="n"/>
      <c r="E21" s="42" t="n"/>
      <c r="F21" s="42" t="n"/>
      <c r="G21" s="42" t="n"/>
      <c r="H21" s="42" t="n"/>
      <c r="I21" s="46" t="n">
        <v>3850</v>
      </c>
      <c r="J21" s="42" t="inlineStr">
        <is>
          <t>Габбро-диабаз 100*80*50мм</t>
        </is>
      </c>
      <c r="K21" s="42" t="inlineStr">
        <is>
          <t>Показать строкой</t>
        </is>
      </c>
      <c r="L21" s="42" t="inlineStr">
        <is>
          <t>Да</t>
        </is>
      </c>
      <c r="M21" s="42" t="inlineStr">
        <is>
          <t>Да</t>
        </is>
      </c>
      <c r="N21" s="48" t="inlineStr">
        <is>
          <t>Автосозданный вариант 1:1 из реального прайса</t>
        </is>
      </c>
      <c r="O21" s="42" t="inlineStr">
        <is>
          <t>м2</t>
        </is>
      </c>
      <c r="P21" s="56" t="n"/>
      <c r="Q21" s="42" t="inlineStr">
        <is>
          <t>м2</t>
        </is>
      </c>
      <c r="R21" s="42" t="n"/>
      <c r="S21" s="58" t="n"/>
      <c r="T21" s="42" t="inlineStr">
        <is>
          <t>Импорт из PRICE_MASTER</t>
        </is>
      </c>
      <c r="U21" s="42" t="n"/>
      <c r="V21" s="42" t="n"/>
      <c r="W21" s="42" t="n"/>
      <c r="X21" s="56" t="n"/>
      <c r="Y21" s="58" t="n"/>
      <c r="Z21" s="42" t="inlineStr">
        <is>
          <t>Высокая</t>
        </is>
      </c>
      <c r="AA21" s="42" t="inlineStr">
        <is>
          <t>SRC-0047</t>
        </is>
      </c>
    </row>
    <row r="22">
      <c r="A22" s="44" t="inlineStr">
        <is>
          <t>MV-0021</t>
        </is>
      </c>
      <c r="B22" s="41" t="inlineStr">
        <is>
          <t>RMAT-0021</t>
        </is>
      </c>
      <c r="C22" s="57" t="n">
        <v>80</v>
      </c>
      <c r="D22" s="41" t="n"/>
      <c r="E22" s="41" t="n"/>
      <c r="F22" s="41" t="n"/>
      <c r="G22" s="41" t="n"/>
      <c r="H22" s="41" t="n"/>
      <c r="I22" s="43" t="n">
        <v>4620</v>
      </c>
      <c r="J22" s="41" t="inlineStr">
        <is>
          <t>Габбро-диабаз 80*80*80мм</t>
        </is>
      </c>
      <c r="K22" s="41" t="inlineStr">
        <is>
          <t>Показать строкой</t>
        </is>
      </c>
      <c r="L22" s="41" t="inlineStr">
        <is>
          <t>Да</t>
        </is>
      </c>
      <c r="M22" s="41" t="inlineStr">
        <is>
          <t>Да</t>
        </is>
      </c>
      <c r="N22" s="45" t="inlineStr">
        <is>
          <t>Автосозданный вариант 1:1 из реального прайса</t>
        </is>
      </c>
      <c r="O22" s="41" t="inlineStr">
        <is>
          <t>м2</t>
        </is>
      </c>
      <c r="P22" s="54" t="n"/>
      <c r="Q22" s="41" t="inlineStr">
        <is>
          <t>м2</t>
        </is>
      </c>
      <c r="R22" s="41" t="n"/>
      <c r="S22" s="57" t="n"/>
      <c r="T22" s="41" t="inlineStr">
        <is>
          <t>Импорт из PRICE_MASTER</t>
        </is>
      </c>
      <c r="U22" s="41" t="n"/>
      <c r="V22" s="41" t="n"/>
      <c r="W22" s="41" t="n"/>
      <c r="X22" s="54" t="n"/>
      <c r="Y22" s="57" t="n"/>
      <c r="Z22" s="41" t="inlineStr">
        <is>
          <t>Высокая</t>
        </is>
      </c>
      <c r="AA22" s="41" t="inlineStr">
        <is>
          <t>SRC-0048</t>
        </is>
      </c>
    </row>
    <row r="23">
      <c r="A23" s="47" t="inlineStr">
        <is>
          <t>MV-0022</t>
        </is>
      </c>
      <c r="B23" s="42" t="inlineStr">
        <is>
          <t>RMAT-0022</t>
        </is>
      </c>
      <c r="C23" s="58" t="n"/>
      <c r="D23" s="42" t="n"/>
      <c r="E23" s="42" t="n"/>
      <c r="F23" s="42" t="n"/>
      <c r="G23" s="42" t="n"/>
      <c r="H23" s="42" t="n"/>
      <c r="I23" s="46" t="n">
        <v>330</v>
      </c>
      <c r="J23" s="42" t="inlineStr">
        <is>
          <t>Газон рулонный "Универсальный", 0.8м.кв.</t>
        </is>
      </c>
      <c r="K23" s="42" t="inlineStr">
        <is>
          <t>Показать строкой</t>
        </is>
      </c>
      <c r="L23" s="42" t="inlineStr">
        <is>
          <t>Да</t>
        </is>
      </c>
      <c r="M23" s="42" t="inlineStr">
        <is>
          <t>Да</t>
        </is>
      </c>
      <c r="N23" s="48" t="inlineStr">
        <is>
          <t>Автосозданный вариант 1:1 из реального прайса</t>
        </is>
      </c>
      <c r="O23" s="42" t="inlineStr">
        <is>
          <t>рул.</t>
        </is>
      </c>
      <c r="P23" s="56" t="n"/>
      <c r="Q23" s="42" t="inlineStr">
        <is>
          <t>рул.</t>
        </is>
      </c>
      <c r="R23" s="42" t="n"/>
      <c r="S23" s="58" t="n"/>
      <c r="T23" s="42" t="inlineStr">
        <is>
          <t>Импорт из PRICE_MASTER</t>
        </is>
      </c>
      <c r="U23" s="42" t="n"/>
      <c r="V23" s="42" t="n"/>
      <c r="W23" s="42" t="n"/>
      <c r="X23" s="56" t="n"/>
      <c r="Y23" s="58" t="n"/>
      <c r="Z23" s="42" t="inlineStr">
        <is>
          <t>Высокая</t>
        </is>
      </c>
      <c r="AA23" s="42" t="inlineStr">
        <is>
          <t>SRC-0049</t>
        </is>
      </c>
    </row>
    <row r="24">
      <c r="A24" s="44" t="inlineStr">
        <is>
          <t>MV-0023</t>
        </is>
      </c>
      <c r="B24" s="41" t="inlineStr">
        <is>
          <t>RMAT-0023</t>
        </is>
      </c>
      <c r="C24" s="57" t="n"/>
      <c r="D24" s="41" t="n"/>
      <c r="E24" s="41" t="n"/>
      <c r="F24" s="41" t="n"/>
      <c r="G24" s="41" t="n"/>
      <c r="H24" s="41" t="n"/>
      <c r="I24" s="43" t="n">
        <v>115</v>
      </c>
      <c r="J24" s="41" t="inlineStr">
        <is>
          <t>Газон рулонный бюджетный, 0.8м.кв.</t>
        </is>
      </c>
      <c r="K24" s="41" t="inlineStr">
        <is>
          <t>Показать строкой</t>
        </is>
      </c>
      <c r="L24" s="41" t="inlineStr">
        <is>
          <t>Да</t>
        </is>
      </c>
      <c r="M24" s="41" t="inlineStr">
        <is>
          <t>Да</t>
        </is>
      </c>
      <c r="N24" s="45" t="inlineStr">
        <is>
          <t>Автосозданный вариант 1:1 из реального прайса</t>
        </is>
      </c>
      <c r="O24" s="41" t="inlineStr">
        <is>
          <t>рул.</t>
        </is>
      </c>
      <c r="P24" s="54" t="n"/>
      <c r="Q24" s="41" t="inlineStr">
        <is>
          <t>рул.</t>
        </is>
      </c>
      <c r="R24" s="41" t="n"/>
      <c r="S24" s="57" t="n"/>
      <c r="T24" s="41" t="inlineStr">
        <is>
          <t>Импорт из PRICE_MASTER</t>
        </is>
      </c>
      <c r="U24" s="41" t="n"/>
      <c r="V24" s="41" t="n"/>
      <c r="W24" s="41" t="n"/>
      <c r="X24" s="54" t="n"/>
      <c r="Y24" s="57" t="n"/>
      <c r="Z24" s="41" t="inlineStr">
        <is>
          <t>Высокая</t>
        </is>
      </c>
      <c r="AA24" s="41" t="inlineStr">
        <is>
          <t>SRC-0050</t>
        </is>
      </c>
    </row>
    <row r="25">
      <c r="A25" s="47" t="inlineStr">
        <is>
          <t>MV-0024</t>
        </is>
      </c>
      <c r="B25" s="42" t="inlineStr">
        <is>
          <t>RMAT-0024</t>
        </is>
      </c>
      <c r="C25" s="58" t="n"/>
      <c r="D25" s="42" t="n"/>
      <c r="E25" s="42" t="n"/>
      <c r="F25" s="42" t="n"/>
      <c r="G25" s="42" t="n"/>
      <c r="H25" s="42" t="n"/>
      <c r="I25" s="46" t="n">
        <v>145</v>
      </c>
      <c r="J25" s="42" t="inlineStr">
        <is>
          <t>Газон рулонный бюджетный, 1м.кв.</t>
        </is>
      </c>
      <c r="K25" s="42" t="inlineStr">
        <is>
          <t>Показать строкой</t>
        </is>
      </c>
      <c r="L25" s="42" t="inlineStr">
        <is>
          <t>Да</t>
        </is>
      </c>
      <c r="M25" s="42" t="inlineStr">
        <is>
          <t>Да</t>
        </is>
      </c>
      <c r="N25" s="48" t="inlineStr">
        <is>
          <t>Автосозданный вариант 1:1 из реального прайса</t>
        </is>
      </c>
      <c r="O25" s="42" t="inlineStr">
        <is>
          <t>рул.</t>
        </is>
      </c>
      <c r="P25" s="56" t="n"/>
      <c r="Q25" s="42" t="inlineStr">
        <is>
          <t>рул.</t>
        </is>
      </c>
      <c r="R25" s="42" t="n"/>
      <c r="S25" s="58" t="n"/>
      <c r="T25" s="42" t="inlineStr">
        <is>
          <t>Импорт из PRICE_MASTER</t>
        </is>
      </c>
      <c r="U25" s="42" t="n"/>
      <c r="V25" s="42" t="n"/>
      <c r="W25" s="42" t="n"/>
      <c r="X25" s="56" t="n"/>
      <c r="Y25" s="58" t="n"/>
      <c r="Z25" s="42" t="inlineStr">
        <is>
          <t>Высокая</t>
        </is>
      </c>
      <c r="AA25" s="42" t="inlineStr">
        <is>
          <t>SRC-0051</t>
        </is>
      </c>
    </row>
    <row r="26">
      <c r="A26" s="44" t="inlineStr">
        <is>
          <t>MV-0025</t>
        </is>
      </c>
      <c r="B26" s="41" t="inlineStr">
        <is>
          <t>RMAT-0025</t>
        </is>
      </c>
      <c r="C26" s="57" t="n"/>
      <c r="D26" s="41" t="n"/>
      <c r="E26" s="41" t="n"/>
      <c r="F26" s="41" t="n"/>
      <c r="G26" s="41" t="n"/>
      <c r="H26" s="41" t="n"/>
      <c r="I26" s="43" t="n">
        <v>75</v>
      </c>
      <c r="J26" s="41" t="inlineStr">
        <is>
          <t>Геотекстиль, 200г/м2</t>
        </is>
      </c>
      <c r="K26" s="41" t="inlineStr">
        <is>
          <t>Показать строкой</t>
        </is>
      </c>
      <c r="L26" s="41" t="inlineStr">
        <is>
          <t>Да</t>
        </is>
      </c>
      <c r="M26" s="41" t="inlineStr">
        <is>
          <t>Да</t>
        </is>
      </c>
      <c r="N26" s="45" t="inlineStr">
        <is>
          <t>Автосозданный вариант 1:1 из реального прайса</t>
        </is>
      </c>
      <c r="O26" s="41" t="inlineStr">
        <is>
          <t>м2</t>
        </is>
      </c>
      <c r="P26" s="54" t="n"/>
      <c r="Q26" s="41" t="inlineStr">
        <is>
          <t>м2</t>
        </is>
      </c>
      <c r="R26" s="41" t="n"/>
      <c r="S26" s="57" t="n"/>
      <c r="T26" s="41" t="inlineStr">
        <is>
          <t>Импорт из PRICE_MASTER</t>
        </is>
      </c>
      <c r="U26" s="41" t="n"/>
      <c r="V26" s="41" t="n"/>
      <c r="W26" s="41" t="n"/>
      <c r="X26" s="54" t="n"/>
      <c r="Y26" s="57" t="n"/>
      <c r="Z26" s="41" t="inlineStr">
        <is>
          <t>Высокая</t>
        </is>
      </c>
      <c r="AA26" s="41" t="inlineStr">
        <is>
          <t>SRC-0052</t>
        </is>
      </c>
    </row>
    <row r="27">
      <c r="A27" s="47" t="inlineStr">
        <is>
          <t>MV-0026</t>
        </is>
      </c>
      <c r="B27" s="42" t="inlineStr">
        <is>
          <t>RMAT-0026</t>
        </is>
      </c>
      <c r="C27" s="58" t="n"/>
      <c r="D27" s="42" t="n"/>
      <c r="E27" s="42" t="n"/>
      <c r="F27" s="42" t="n"/>
      <c r="G27" s="42" t="n"/>
      <c r="H27" s="42" t="n"/>
      <c r="I27" s="46" t="n">
        <v>105</v>
      </c>
      <c r="J27" s="42" t="inlineStr">
        <is>
          <t>Геотекстиль, 300г/м2</t>
        </is>
      </c>
      <c r="K27" s="42" t="inlineStr">
        <is>
          <t>Показать строкой</t>
        </is>
      </c>
      <c r="L27" s="42" t="inlineStr">
        <is>
          <t>Да</t>
        </is>
      </c>
      <c r="M27" s="42" t="inlineStr">
        <is>
          <t>Да</t>
        </is>
      </c>
      <c r="N27" s="48" t="inlineStr">
        <is>
          <t>Автосозданный вариант 1:1 из реального прайса</t>
        </is>
      </c>
      <c r="O27" s="42" t="inlineStr">
        <is>
          <t>м2</t>
        </is>
      </c>
      <c r="P27" s="56" t="n"/>
      <c r="Q27" s="42" t="inlineStr">
        <is>
          <t>м2</t>
        </is>
      </c>
      <c r="R27" s="42" t="n"/>
      <c r="S27" s="58" t="n"/>
      <c r="T27" s="42" t="inlineStr">
        <is>
          <t>Импорт из PRICE_MASTER</t>
        </is>
      </c>
      <c r="U27" s="42" t="n"/>
      <c r="V27" s="42" t="n"/>
      <c r="W27" s="42" t="n"/>
      <c r="X27" s="56" t="n"/>
      <c r="Y27" s="58" t="n"/>
      <c r="Z27" s="42" t="inlineStr">
        <is>
          <t>Высокая</t>
        </is>
      </c>
      <c r="AA27" s="42" t="inlineStr">
        <is>
          <t>SRC-0053</t>
        </is>
      </c>
    </row>
    <row r="28">
      <c r="A28" s="44" t="inlineStr">
        <is>
          <t>MV-0027</t>
        </is>
      </c>
      <c r="B28" s="41" t="inlineStr">
        <is>
          <t>RMAT-0027</t>
        </is>
      </c>
      <c r="C28" s="57" t="n"/>
      <c r="D28" s="41" t="n"/>
      <c r="E28" s="41" t="n"/>
      <c r="F28" s="41" t="n"/>
      <c r="G28" s="41" t="n"/>
      <c r="H28" s="41" t="n"/>
      <c r="I28" s="43" t="n">
        <v>650</v>
      </c>
      <c r="J28" s="41" t="inlineStr">
        <is>
          <t>Герметик</t>
        </is>
      </c>
      <c r="K28" s="41" t="inlineStr">
        <is>
          <t>Показать строкой</t>
        </is>
      </c>
      <c r="L28" s="41" t="inlineStr">
        <is>
          <t>Да</t>
        </is>
      </c>
      <c r="M28" s="41" t="inlineStr">
        <is>
          <t>Да</t>
        </is>
      </c>
      <c r="N28" s="45" t="inlineStr">
        <is>
          <t>Автосозданный вариант 1:1 из реального прайса</t>
        </is>
      </c>
      <c r="O28" s="41" t="inlineStr">
        <is>
          <t>шт</t>
        </is>
      </c>
      <c r="P28" s="54" t="n"/>
      <c r="Q28" s="41" t="inlineStr">
        <is>
          <t>шт</t>
        </is>
      </c>
      <c r="R28" s="41" t="n"/>
      <c r="S28" s="57" t="n"/>
      <c r="T28" s="41" t="inlineStr">
        <is>
          <t>Импорт из PRICE_MASTER</t>
        </is>
      </c>
      <c r="U28" s="41" t="n"/>
      <c r="V28" s="41" t="n"/>
      <c r="W28" s="41" t="n"/>
      <c r="X28" s="54" t="n"/>
      <c r="Y28" s="57" t="n"/>
      <c r="Z28" s="41" t="inlineStr">
        <is>
          <t>Высокая</t>
        </is>
      </c>
      <c r="AA28" s="41" t="inlineStr">
        <is>
          <t>SRC-0054</t>
        </is>
      </c>
    </row>
    <row r="29">
      <c r="A29" s="47" t="inlineStr">
        <is>
          <t>MV-0028</t>
        </is>
      </c>
      <c r="B29" s="42" t="inlineStr">
        <is>
          <t>RMAT-0028</t>
        </is>
      </c>
      <c r="C29" s="58" t="n"/>
      <c r="D29" s="42" t="n"/>
      <c r="E29" s="42" t="n"/>
      <c r="F29" s="42" t="n"/>
      <c r="G29" s="42" t="n"/>
      <c r="H29" s="42" t="n"/>
      <c r="I29" s="46" t="n">
        <v>150</v>
      </c>
      <c r="J29" s="42" t="inlineStr">
        <is>
          <t>Гидроизоляция гряд и стенок фундамента теплицы</t>
        </is>
      </c>
      <c r="K29" s="42" t="inlineStr">
        <is>
          <t>Показать строкой</t>
        </is>
      </c>
      <c r="L29" s="42" t="inlineStr">
        <is>
          <t>Да</t>
        </is>
      </c>
      <c r="M29" s="42" t="inlineStr">
        <is>
          <t>Да</t>
        </is>
      </c>
      <c r="N29" s="48" t="inlineStr">
        <is>
          <t>Автосозданный вариант 1:1 из реального прайса</t>
        </is>
      </c>
      <c r="O29" s="42" t="inlineStr">
        <is>
          <t>м.пог.</t>
        </is>
      </c>
      <c r="P29" s="56" t="n"/>
      <c r="Q29" s="42" t="inlineStr">
        <is>
          <t>м.пог.</t>
        </is>
      </c>
      <c r="R29" s="42" t="n"/>
      <c r="S29" s="58" t="n"/>
      <c r="T29" s="42" t="inlineStr">
        <is>
          <t>Импорт из PRICE_MASTER</t>
        </is>
      </c>
      <c r="U29" s="42" t="n"/>
      <c r="V29" s="42" t="n"/>
      <c r="W29" s="42" t="n"/>
      <c r="X29" s="56" t="n"/>
      <c r="Y29" s="58" t="n"/>
      <c r="Z29" s="42" t="inlineStr">
        <is>
          <t>Высокая</t>
        </is>
      </c>
      <c r="AA29" s="42" t="inlineStr">
        <is>
          <t>SRC-0055</t>
        </is>
      </c>
    </row>
    <row r="30">
      <c r="A30" s="44" t="inlineStr">
        <is>
          <t>MV-0029</t>
        </is>
      </c>
      <c r="B30" s="41" t="inlineStr">
        <is>
          <t>RMAT-0029</t>
        </is>
      </c>
      <c r="C30" s="57" t="n"/>
      <c r="D30" s="41" t="n"/>
      <c r="E30" s="41" t="n"/>
      <c r="F30" s="41" t="n"/>
      <c r="G30" s="41" t="n"/>
      <c r="H30" s="41" t="n"/>
      <c r="I30" s="43" t="n">
        <v>1880</v>
      </c>
      <c r="J30" s="41" t="inlineStr">
        <is>
          <t>Гравий (щебень гр. 20-40мм)</t>
        </is>
      </c>
      <c r="K30" s="41" t="inlineStr">
        <is>
          <t>Показать строкой</t>
        </is>
      </c>
      <c r="L30" s="41" t="inlineStr">
        <is>
          <t>Да</t>
        </is>
      </c>
      <c r="M30" s="41" t="inlineStr">
        <is>
          <t>Да</t>
        </is>
      </c>
      <c r="N30" s="45" t="inlineStr">
        <is>
          <t>Автосозданный вариант 1:1 из реального прайса</t>
        </is>
      </c>
      <c r="O30" s="41" t="inlineStr">
        <is>
          <t>м3</t>
        </is>
      </c>
      <c r="P30" s="54" t="n"/>
      <c r="Q30" s="41" t="inlineStr">
        <is>
          <t>м3</t>
        </is>
      </c>
      <c r="R30" s="41" t="n"/>
      <c r="S30" s="57" t="n"/>
      <c r="T30" s="41" t="inlineStr">
        <is>
          <t>Импорт из PRICE_MASTER</t>
        </is>
      </c>
      <c r="U30" s="41" t="n"/>
      <c r="V30" s="41" t="n"/>
      <c r="W30" s="41" t="n"/>
      <c r="X30" s="54" t="n"/>
      <c r="Y30" s="57" t="n"/>
      <c r="Z30" s="41" t="inlineStr">
        <is>
          <t>Высокая</t>
        </is>
      </c>
      <c r="AA30" s="41" t="inlineStr">
        <is>
          <t>SRC-0056</t>
        </is>
      </c>
    </row>
    <row r="31">
      <c r="A31" s="47" t="inlineStr">
        <is>
          <t>MV-0030</t>
        </is>
      </c>
      <c r="B31" s="42" t="inlineStr">
        <is>
          <t>RMAT-0030</t>
        </is>
      </c>
      <c r="C31" s="58" t="n"/>
      <c r="D31" s="42" t="n"/>
      <c r="E31" s="42" t="n"/>
      <c r="F31" s="42" t="n"/>
      <c r="G31" s="42" t="n"/>
      <c r="H31" s="42" t="n"/>
      <c r="I31" s="46" t="n">
        <v>8000</v>
      </c>
      <c r="J31" s="42" t="inlineStr">
        <is>
          <t>Гравий карьерный 5-20мм</t>
        </is>
      </c>
      <c r="K31" s="42" t="inlineStr">
        <is>
          <t>Показать строкой</t>
        </is>
      </c>
      <c r="L31" s="42" t="inlineStr">
        <is>
          <t>Да</t>
        </is>
      </c>
      <c r="M31" s="42" t="inlineStr">
        <is>
          <t>Да</t>
        </is>
      </c>
      <c r="N31" s="48" t="inlineStr">
        <is>
          <t>Автосозданный вариант 1:1 из реального прайса</t>
        </is>
      </c>
      <c r="O31" s="42" t="inlineStr">
        <is>
          <t>м3</t>
        </is>
      </c>
      <c r="P31" s="56" t="n"/>
      <c r="Q31" s="42" t="inlineStr">
        <is>
          <t>м3</t>
        </is>
      </c>
      <c r="R31" s="42" t="n"/>
      <c r="S31" s="58" t="n"/>
      <c r="T31" s="42" t="inlineStr">
        <is>
          <t>Импорт из PRICE_MASTER</t>
        </is>
      </c>
      <c r="U31" s="42" t="n"/>
      <c r="V31" s="42" t="n"/>
      <c r="W31" s="42" t="n"/>
      <c r="X31" s="56" t="n"/>
      <c r="Y31" s="58" t="n"/>
      <c r="Z31" s="42" t="inlineStr">
        <is>
          <t>Высокая</t>
        </is>
      </c>
      <c r="AA31" s="42" t="inlineStr">
        <is>
          <t>SRC-0057</t>
        </is>
      </c>
    </row>
    <row r="32">
      <c r="A32" s="44" t="inlineStr">
        <is>
          <t>MV-0031</t>
        </is>
      </c>
      <c r="B32" s="41" t="inlineStr">
        <is>
          <t>RMAT-0031</t>
        </is>
      </c>
      <c r="C32" s="57" t="n"/>
      <c r="D32" s="41" t="n"/>
      <c r="E32" s="41" t="n"/>
      <c r="F32" s="41" t="n"/>
      <c r="G32" s="41" t="n"/>
      <c r="H32" s="41" t="n"/>
      <c r="I32" s="43" t="n">
        <v>18700</v>
      </c>
      <c r="J32" s="41" t="inlineStr">
        <is>
          <t>Гравий колотый</t>
        </is>
      </c>
      <c r="K32" s="41" t="inlineStr">
        <is>
          <t>Показать строкой</t>
        </is>
      </c>
      <c r="L32" s="41" t="inlineStr">
        <is>
          <t>Да</t>
        </is>
      </c>
      <c r="M32" s="41" t="inlineStr">
        <is>
          <t>Да</t>
        </is>
      </c>
      <c r="N32" s="45" t="inlineStr">
        <is>
          <t>Автосозданный вариант 1:1 из реального прайса</t>
        </is>
      </c>
      <c r="O32" s="41" t="inlineStr">
        <is>
          <t>т</t>
        </is>
      </c>
      <c r="P32" s="54" t="n"/>
      <c r="Q32" s="41" t="inlineStr">
        <is>
          <t>т</t>
        </is>
      </c>
      <c r="R32" s="41" t="n"/>
      <c r="S32" s="57" t="n"/>
      <c r="T32" s="41" t="inlineStr">
        <is>
          <t>Импорт из PRICE_MASTER</t>
        </is>
      </c>
      <c r="U32" s="41" t="n"/>
      <c r="V32" s="41" t="n"/>
      <c r="W32" s="41" t="n"/>
      <c r="X32" s="54" t="n"/>
      <c r="Y32" s="57" t="n"/>
      <c r="Z32" s="41" t="inlineStr">
        <is>
          <t>Высокая</t>
        </is>
      </c>
      <c r="AA32" s="41" t="inlineStr">
        <is>
          <t>SRC-0058</t>
        </is>
      </c>
    </row>
    <row r="33">
      <c r="A33" s="47" t="inlineStr">
        <is>
          <t>MV-0032</t>
        </is>
      </c>
      <c r="B33" s="42" t="inlineStr">
        <is>
          <t>RMAT-0032</t>
        </is>
      </c>
      <c r="C33" s="58" t="n"/>
      <c r="D33" s="42" t="n"/>
      <c r="E33" s="42" t="n"/>
      <c r="F33" s="42" t="n"/>
      <c r="G33" s="42" t="n"/>
      <c r="H33" s="42" t="n"/>
      <c r="I33" s="46" t="n">
        <v>1200</v>
      </c>
      <c r="J33" s="42" t="inlineStr">
        <is>
          <t>Грунт дерновый /просеивание местного грунта</t>
        </is>
      </c>
      <c r="K33" s="42" t="inlineStr">
        <is>
          <t>Показать строкой</t>
        </is>
      </c>
      <c r="L33" s="42" t="inlineStr">
        <is>
          <t>Да</t>
        </is>
      </c>
      <c r="M33" s="42" t="inlineStr">
        <is>
          <t>Да</t>
        </is>
      </c>
      <c r="N33" s="48" t="inlineStr">
        <is>
          <t>Автосозданный вариант 1:1 из реального прайса</t>
        </is>
      </c>
      <c r="O33" s="42" t="inlineStr">
        <is>
          <t>м3</t>
        </is>
      </c>
      <c r="P33" s="56" t="n"/>
      <c r="Q33" s="42" t="inlineStr">
        <is>
          <t>м3</t>
        </is>
      </c>
      <c r="R33" s="42" t="n"/>
      <c r="S33" s="58" t="n"/>
      <c r="T33" s="42" t="inlineStr">
        <is>
          <t>Импорт из PRICE_MASTER</t>
        </is>
      </c>
      <c r="U33" s="42" t="n"/>
      <c r="V33" s="42" t="n"/>
      <c r="W33" s="42" t="n"/>
      <c r="X33" s="56" t="n"/>
      <c r="Y33" s="58" t="n"/>
      <c r="Z33" s="42" t="inlineStr">
        <is>
          <t>Высокая</t>
        </is>
      </c>
      <c r="AA33" s="42" t="inlineStr">
        <is>
          <t>SRC-0059</t>
        </is>
      </c>
    </row>
    <row r="34">
      <c r="A34" s="44" t="inlineStr">
        <is>
          <t>MV-0033</t>
        </is>
      </c>
      <c r="B34" s="41" t="inlineStr">
        <is>
          <t>RMAT-0033</t>
        </is>
      </c>
      <c r="C34" s="57" t="n"/>
      <c r="D34" s="41" t="n"/>
      <c r="E34" s="41" t="n"/>
      <c r="F34" s="41" t="n"/>
      <c r="G34" s="41" t="n"/>
      <c r="H34" s="41" t="n"/>
      <c r="I34" s="43" t="n">
        <v>2300</v>
      </c>
      <c r="J34" s="41" t="inlineStr">
        <is>
          <t>Грунт плодородный</t>
        </is>
      </c>
      <c r="K34" s="41" t="inlineStr">
        <is>
          <t>Показать строкой</t>
        </is>
      </c>
      <c r="L34" s="41" t="inlineStr">
        <is>
          <t>Да</t>
        </is>
      </c>
      <c r="M34" s="41" t="inlineStr">
        <is>
          <t>Да</t>
        </is>
      </c>
      <c r="N34" s="45" t="inlineStr">
        <is>
          <t>Автосозданный вариант 1:1 из реального прайса</t>
        </is>
      </c>
      <c r="O34" s="41" t="inlineStr">
        <is>
          <t>м3</t>
        </is>
      </c>
      <c r="P34" s="54" t="n"/>
      <c r="Q34" s="41" t="inlineStr">
        <is>
          <t>м3</t>
        </is>
      </c>
      <c r="R34" s="41" t="n"/>
      <c r="S34" s="57" t="n"/>
      <c r="T34" s="41" t="inlineStr">
        <is>
          <t>Импорт из PRICE_MASTER</t>
        </is>
      </c>
      <c r="U34" s="41" t="n"/>
      <c r="V34" s="41" t="n"/>
      <c r="W34" s="41" t="n"/>
      <c r="X34" s="54" t="n"/>
      <c r="Y34" s="57" t="n"/>
      <c r="Z34" s="41" t="inlineStr">
        <is>
          <t>Средняя</t>
        </is>
      </c>
      <c r="AA34" s="41" t="inlineStr">
        <is>
          <t>SRC-0060</t>
        </is>
      </c>
    </row>
    <row r="35">
      <c r="A35" s="47" t="inlineStr">
        <is>
          <t>MV-0034</t>
        </is>
      </c>
      <c r="B35" s="42" t="inlineStr">
        <is>
          <t>RMAT-0034</t>
        </is>
      </c>
      <c r="C35" s="58" t="n"/>
      <c r="D35" s="42" t="n"/>
      <c r="E35" s="42" t="n"/>
      <c r="F35" s="42" t="n"/>
      <c r="G35" s="42" t="n"/>
      <c r="H35" s="42" t="n"/>
      <c r="I35" s="46" t="n">
        <v>400</v>
      </c>
      <c r="J35" s="42" t="inlineStr">
        <is>
          <t>Грунтовка концентрат</t>
        </is>
      </c>
      <c r="K35" s="42" t="inlineStr">
        <is>
          <t>Показать строкой</t>
        </is>
      </c>
      <c r="L35" s="42" t="inlineStr">
        <is>
          <t>Да</t>
        </is>
      </c>
      <c r="M35" s="42" t="inlineStr">
        <is>
          <t>Да</t>
        </is>
      </c>
      <c r="N35" s="48" t="inlineStr">
        <is>
          <t>Автосозданный вариант 1:1 из реального прайса</t>
        </is>
      </c>
      <c r="O35" s="42" t="inlineStr">
        <is>
          <t>л</t>
        </is>
      </c>
      <c r="P35" s="56" t="n"/>
      <c r="Q35" s="42" t="inlineStr">
        <is>
          <t>л</t>
        </is>
      </c>
      <c r="R35" s="42" t="n"/>
      <c r="S35" s="58" t="n"/>
      <c r="T35" s="42" t="inlineStr">
        <is>
          <t>Импорт из PRICE_MASTER</t>
        </is>
      </c>
      <c r="U35" s="42" t="n"/>
      <c r="V35" s="42" t="n"/>
      <c r="W35" s="42" t="n"/>
      <c r="X35" s="56" t="n"/>
      <c r="Y35" s="58" t="n"/>
      <c r="Z35" s="42" t="inlineStr">
        <is>
          <t>Высокая</t>
        </is>
      </c>
      <c r="AA35" s="42" t="inlineStr">
        <is>
          <t>SRC-0062</t>
        </is>
      </c>
    </row>
    <row r="36">
      <c r="A36" s="44" t="inlineStr">
        <is>
          <t>MV-0035</t>
        </is>
      </c>
      <c r="B36" s="41" t="inlineStr">
        <is>
          <t>RMAT-0035</t>
        </is>
      </c>
      <c r="C36" s="57" t="n"/>
      <c r="D36" s="41" t="n"/>
      <c r="E36" s="41" t="n"/>
      <c r="F36" s="41" t="n"/>
      <c r="G36" s="41" t="n"/>
      <c r="H36" s="41" t="n"/>
      <c r="I36" s="43" t="n">
        <v>5700</v>
      </c>
      <c r="J36" s="41" t="inlineStr">
        <is>
          <t>Диск алмазный по камню d=230ммхМ14 (гранит)</t>
        </is>
      </c>
      <c r="K36" s="41" t="inlineStr">
        <is>
          <t>Показать строкой</t>
        </is>
      </c>
      <c r="L36" s="41" t="inlineStr">
        <is>
          <t>Да</t>
        </is>
      </c>
      <c r="M36" s="41" t="inlineStr">
        <is>
          <t>Да</t>
        </is>
      </c>
      <c r="N36" s="45" t="inlineStr">
        <is>
          <t>Автосозданный вариант 1:1 из реального прайса</t>
        </is>
      </c>
      <c r="O36" s="41" t="inlineStr">
        <is>
          <t>шт</t>
        </is>
      </c>
      <c r="P36" s="54" t="n"/>
      <c r="Q36" s="41" t="inlineStr">
        <is>
          <t>шт</t>
        </is>
      </c>
      <c r="R36" s="41" t="n"/>
      <c r="S36" s="57" t="n"/>
      <c r="T36" s="41" t="inlineStr">
        <is>
          <t>Импорт из PRICE_MASTER</t>
        </is>
      </c>
      <c r="U36" s="41" t="n"/>
      <c r="V36" s="41" t="n"/>
      <c r="W36" s="41" t="n"/>
      <c r="X36" s="54" t="n"/>
      <c r="Y36" s="57" t="n"/>
      <c r="Z36" s="41" t="inlineStr">
        <is>
          <t>Высокая</t>
        </is>
      </c>
      <c r="AA36" s="41" t="inlineStr">
        <is>
          <t>SRC-0067</t>
        </is>
      </c>
    </row>
    <row r="37">
      <c r="A37" s="47" t="inlineStr">
        <is>
          <t>MV-0036</t>
        </is>
      </c>
      <c r="B37" s="42" t="inlineStr">
        <is>
          <t>RMAT-0036</t>
        </is>
      </c>
      <c r="C37" s="58" t="n"/>
      <c r="D37" s="42" t="n"/>
      <c r="E37" s="42" t="n"/>
      <c r="F37" s="42" t="n"/>
      <c r="G37" s="42" t="n"/>
      <c r="H37" s="42" t="n"/>
      <c r="I37" s="46" t="n">
        <v>72</v>
      </c>
      <c r="J37" s="42" t="inlineStr">
        <is>
          <t>Диск по металлу</t>
        </is>
      </c>
      <c r="K37" s="42" t="inlineStr">
        <is>
          <t>Показать строкой</t>
        </is>
      </c>
      <c r="L37" s="42" t="inlineStr">
        <is>
          <t>Да</t>
        </is>
      </c>
      <c r="M37" s="42" t="inlineStr">
        <is>
          <t>Да</t>
        </is>
      </c>
      <c r="N37" s="48" t="inlineStr">
        <is>
          <t>Автосозданный вариант 1:1 из реального прайса</t>
        </is>
      </c>
      <c r="O37" s="42" t="inlineStr">
        <is>
          <t>шт</t>
        </is>
      </c>
      <c r="P37" s="56" t="n"/>
      <c r="Q37" s="42" t="inlineStr">
        <is>
          <t>шт</t>
        </is>
      </c>
      <c r="R37" s="42" t="n"/>
      <c r="S37" s="58" t="n"/>
      <c r="T37" s="42" t="inlineStr">
        <is>
          <t>Импорт из PRICE_MASTER</t>
        </is>
      </c>
      <c r="U37" s="42" t="n"/>
      <c r="V37" s="42" t="n"/>
      <c r="W37" s="42" t="n"/>
      <c r="X37" s="56" t="n"/>
      <c r="Y37" s="58" t="n"/>
      <c r="Z37" s="42" t="inlineStr">
        <is>
          <t>Высокая</t>
        </is>
      </c>
      <c r="AA37" s="42" t="inlineStr">
        <is>
          <t>SRC-0068</t>
        </is>
      </c>
    </row>
    <row r="38">
      <c r="A38" s="44" t="inlineStr">
        <is>
          <t>MV-0037</t>
        </is>
      </c>
      <c r="B38" s="41" t="inlineStr">
        <is>
          <t>RMAT-0037</t>
        </is>
      </c>
      <c r="C38" s="57" t="n"/>
      <c r="D38" s="41" t="n"/>
      <c r="E38" s="41" t="n"/>
      <c r="F38" s="41" t="n"/>
      <c r="G38" s="41" t="n"/>
      <c r="H38" s="41" t="n"/>
      <c r="I38" s="43" t="n">
        <v>3300</v>
      </c>
      <c r="J38" s="41" t="inlineStr">
        <is>
          <t>Дождеприемник ДП–30.30-ПП с комплектующими и чугунной решеткой, фасонные элементы</t>
        </is>
      </c>
      <c r="K38" s="41" t="inlineStr">
        <is>
          <t>Показать строкой</t>
        </is>
      </c>
      <c r="L38" s="41" t="inlineStr">
        <is>
          <t>Да</t>
        </is>
      </c>
      <c r="M38" s="41" t="inlineStr">
        <is>
          <t>Да</t>
        </is>
      </c>
      <c r="N38" s="45" t="inlineStr">
        <is>
          <t>Автосозданный вариант 1:1 из реального прайса</t>
        </is>
      </c>
      <c r="O38" s="41" t="inlineStr">
        <is>
          <t>шт</t>
        </is>
      </c>
      <c r="P38" s="54" t="n"/>
      <c r="Q38" s="41" t="inlineStr">
        <is>
          <t>шт</t>
        </is>
      </c>
      <c r="R38" s="41" t="n"/>
      <c r="S38" s="57" t="n"/>
      <c r="T38" s="41" t="inlineStr">
        <is>
          <t>Импорт из PRICE_MASTER</t>
        </is>
      </c>
      <c r="U38" s="41" t="n"/>
      <c r="V38" s="41" t="n"/>
      <c r="W38" s="41" t="n"/>
      <c r="X38" s="54" t="n"/>
      <c r="Y38" s="57" t="n"/>
      <c r="Z38" s="41" t="inlineStr">
        <is>
          <t>Высокая</t>
        </is>
      </c>
      <c r="AA38" s="41" t="inlineStr">
        <is>
          <t>SRC-0069</t>
        </is>
      </c>
    </row>
    <row r="39">
      <c r="A39" s="47" t="inlineStr">
        <is>
          <t>MV-0038</t>
        </is>
      </c>
      <c r="B39" s="42" t="inlineStr">
        <is>
          <t>RMAT-0038</t>
        </is>
      </c>
      <c r="C39" s="58" t="n">
        <v>300</v>
      </c>
      <c r="D39" s="42" t="n"/>
      <c r="E39" s="42" t="n"/>
      <c r="F39" s="42" t="n"/>
      <c r="G39" s="42" t="n"/>
      <c r="H39" s="42" t="n"/>
      <c r="I39" s="46" t="n">
        <v>1400</v>
      </c>
      <c r="J39" s="42" t="inlineStr">
        <is>
          <t>Дождеприемник пластик. 300х300х300 мм в сборе с решеткой чугунной</t>
        </is>
      </c>
      <c r="K39" s="42" t="inlineStr">
        <is>
          <t>Показать строкой</t>
        </is>
      </c>
      <c r="L39" s="42" t="inlineStr">
        <is>
          <t>Да</t>
        </is>
      </c>
      <c r="M39" s="42" t="inlineStr">
        <is>
          <t>Да</t>
        </is>
      </c>
      <c r="N39" s="48" t="inlineStr">
        <is>
          <t>Автосозданный вариант 1:1 из реального прайса</t>
        </is>
      </c>
      <c r="O39" s="42" t="inlineStr">
        <is>
          <t>шт</t>
        </is>
      </c>
      <c r="P39" s="56" t="n"/>
      <c r="Q39" s="42" t="inlineStr">
        <is>
          <t>шт</t>
        </is>
      </c>
      <c r="R39" s="42" t="n"/>
      <c r="S39" s="58" t="n"/>
      <c r="T39" s="42" t="inlineStr">
        <is>
          <t>Импорт из PRICE_MASTER</t>
        </is>
      </c>
      <c r="U39" s="42" t="n"/>
      <c r="V39" s="42" t="n"/>
      <c r="W39" s="42" t="n"/>
      <c r="X39" s="56" t="n"/>
      <c r="Y39" s="58" t="n"/>
      <c r="Z39" s="42" t="inlineStr">
        <is>
          <t>Средняя</t>
        </is>
      </c>
      <c r="AA39" s="42" t="inlineStr">
        <is>
          <t>SRC-0070</t>
        </is>
      </c>
    </row>
    <row r="40">
      <c r="A40" s="44" t="inlineStr">
        <is>
          <t>MV-0039</t>
        </is>
      </c>
      <c r="B40" s="41" t="inlineStr">
        <is>
          <t>RMAT-0039</t>
        </is>
      </c>
      <c r="C40" s="57" t="n">
        <v>3000</v>
      </c>
      <c r="D40" s="41" t="n"/>
      <c r="E40" s="41" t="n"/>
      <c r="F40" s="41" t="n"/>
      <c r="G40" s="41" t="n"/>
      <c r="H40" s="41" t="n"/>
      <c r="I40" s="43" t="n">
        <v>70</v>
      </c>
      <c r="J40" s="41" t="inlineStr">
        <is>
          <t>доска для опалубки, 25*100*3000мм</t>
        </is>
      </c>
      <c r="K40" s="41" t="inlineStr">
        <is>
          <t>Показать строкой</t>
        </is>
      </c>
      <c r="L40" s="41" t="inlineStr">
        <is>
          <t>Да</t>
        </is>
      </c>
      <c r="M40" s="41" t="inlineStr">
        <is>
          <t>Да</t>
        </is>
      </c>
      <c r="N40" s="45" t="inlineStr">
        <is>
          <t>Автосозданный вариант 1:1 из реального прайса</t>
        </is>
      </c>
      <c r="O40" s="41" t="inlineStr">
        <is>
          <t>м.пог.</t>
        </is>
      </c>
      <c r="P40" s="54" t="n"/>
      <c r="Q40" s="41" t="inlineStr">
        <is>
          <t>м.пог.</t>
        </is>
      </c>
      <c r="R40" s="41" t="n"/>
      <c r="S40" s="57" t="n"/>
      <c r="T40" s="41" t="inlineStr">
        <is>
          <t>Импорт из PRICE_MASTER</t>
        </is>
      </c>
      <c r="U40" s="41" t="n"/>
      <c r="V40" s="41" t="n"/>
      <c r="W40" s="41" t="n"/>
      <c r="X40" s="54" t="n"/>
      <c r="Y40" s="57" t="n"/>
      <c r="Z40" s="41" t="inlineStr">
        <is>
          <t>Высокая</t>
        </is>
      </c>
      <c r="AA40" s="41" t="inlineStr">
        <is>
          <t>SRC-0071</t>
        </is>
      </c>
    </row>
    <row r="41">
      <c r="A41" s="47" t="inlineStr">
        <is>
          <t>MV-0040</t>
        </is>
      </c>
      <c r="B41" s="42" t="inlineStr">
        <is>
          <t>RMAT-0040</t>
        </is>
      </c>
      <c r="C41" s="58" t="n">
        <v>6000</v>
      </c>
      <c r="D41" s="42" t="n"/>
      <c r="E41" s="42" t="n"/>
      <c r="F41" s="42" t="n"/>
      <c r="G41" s="42" t="n"/>
      <c r="H41" s="42" t="n"/>
      <c r="I41" s="46" t="n">
        <v>1680</v>
      </c>
      <c r="J41" s="42" t="inlineStr">
        <is>
          <t>Доска импрегнированная 45*145*6000мм, строганая</t>
        </is>
      </c>
      <c r="K41" s="42" t="inlineStr">
        <is>
          <t>Показать строкой</t>
        </is>
      </c>
      <c r="L41" s="42" t="inlineStr">
        <is>
          <t>Да</t>
        </is>
      </c>
      <c r="M41" s="42" t="inlineStr">
        <is>
          <t>Да</t>
        </is>
      </c>
      <c r="N41" s="48" t="inlineStr">
        <is>
          <t>Автосозданный вариант 1:1 из реального прайса</t>
        </is>
      </c>
      <c r="O41" s="42" t="inlineStr">
        <is>
          <t>шт</t>
        </is>
      </c>
      <c r="P41" s="56" t="n"/>
      <c r="Q41" s="42" t="inlineStr">
        <is>
          <t>шт</t>
        </is>
      </c>
      <c r="R41" s="42" t="n"/>
      <c r="S41" s="58" t="n"/>
      <c r="T41" s="42" t="inlineStr">
        <is>
          <t>Импорт из PRICE_MASTER</t>
        </is>
      </c>
      <c r="U41" s="42" t="n"/>
      <c r="V41" s="42" t="n"/>
      <c r="W41" s="42" t="n"/>
      <c r="X41" s="56" t="n"/>
      <c r="Y41" s="58" t="n"/>
      <c r="Z41" s="42" t="inlineStr">
        <is>
          <t>Высокая</t>
        </is>
      </c>
      <c r="AA41" s="42" t="inlineStr">
        <is>
          <t>SRC-0072</t>
        </is>
      </c>
    </row>
    <row r="42">
      <c r="A42" s="44" t="inlineStr">
        <is>
          <t>MV-0041</t>
        </is>
      </c>
      <c r="B42" s="41" t="inlineStr">
        <is>
          <t>RMAT-0041</t>
        </is>
      </c>
      <c r="C42" s="57" t="n">
        <v>6000</v>
      </c>
      <c r="D42" s="41" t="n"/>
      <c r="E42" s="41" t="n"/>
      <c r="F42" s="41" t="n"/>
      <c r="G42" s="41" t="n"/>
      <c r="H42" s="41" t="n"/>
      <c r="I42" s="43" t="n">
        <v>1025</v>
      </c>
      <c r="J42" s="41" t="inlineStr">
        <is>
          <t>Доска импрегнированная 50*100*6000мм, обрезная</t>
        </is>
      </c>
      <c r="K42" s="41" t="inlineStr">
        <is>
          <t>Показать строкой</t>
        </is>
      </c>
      <c r="L42" s="41" t="inlineStr">
        <is>
          <t>Да</t>
        </is>
      </c>
      <c r="M42" s="41" t="inlineStr">
        <is>
          <t>Да</t>
        </is>
      </c>
      <c r="N42" s="45" t="inlineStr">
        <is>
          <t>Автосозданный вариант 1:1 из реального прайса</t>
        </is>
      </c>
      <c r="O42" s="41" t="inlineStr">
        <is>
          <t>шт</t>
        </is>
      </c>
      <c r="P42" s="54" t="n"/>
      <c r="Q42" s="41" t="inlineStr">
        <is>
          <t>шт</t>
        </is>
      </c>
      <c r="R42" s="41" t="n"/>
      <c r="S42" s="57" t="n"/>
      <c r="T42" s="41" t="inlineStr">
        <is>
          <t>Импорт из PRICE_MASTER</t>
        </is>
      </c>
      <c r="U42" s="41" t="n"/>
      <c r="V42" s="41" t="n"/>
      <c r="W42" s="41" t="n"/>
      <c r="X42" s="54" t="n"/>
      <c r="Y42" s="57" t="n"/>
      <c r="Z42" s="41" t="inlineStr">
        <is>
          <t>Высокая</t>
        </is>
      </c>
      <c r="AA42" s="41" t="inlineStr">
        <is>
          <t>SRC-0073</t>
        </is>
      </c>
    </row>
    <row r="43">
      <c r="A43" s="47" t="inlineStr">
        <is>
          <t>MV-0042</t>
        </is>
      </c>
      <c r="B43" s="42" t="inlineStr">
        <is>
          <t>RMAT-0042</t>
        </is>
      </c>
      <c r="C43" s="58" t="n">
        <v>3000</v>
      </c>
      <c r="D43" s="42" t="n"/>
      <c r="E43" s="42" t="n"/>
      <c r="F43" s="42" t="n"/>
      <c r="G43" s="42" t="n"/>
      <c r="H43" s="42" t="n"/>
      <c r="I43" s="46" t="n">
        <v>410</v>
      </c>
      <c r="J43" s="42" t="inlineStr">
        <is>
          <t>Доска обрезн., сосна, 20х125х3000мм</t>
        </is>
      </c>
      <c r="K43" s="42" t="inlineStr">
        <is>
          <t>Показать строкой</t>
        </is>
      </c>
      <c r="L43" s="42" t="inlineStr">
        <is>
          <t>Да</t>
        </is>
      </c>
      <c r="M43" s="42" t="inlineStr">
        <is>
          <t>Да</t>
        </is>
      </c>
      <c r="N43" s="48" t="inlineStr">
        <is>
          <t>Автосозданный вариант 1:1 из реального прайса</t>
        </is>
      </c>
      <c r="O43" s="42" t="inlineStr">
        <is>
          <t>шт</t>
        </is>
      </c>
      <c r="P43" s="56" t="n"/>
      <c r="Q43" s="42" t="inlineStr">
        <is>
          <t>шт</t>
        </is>
      </c>
      <c r="R43" s="42" t="n"/>
      <c r="S43" s="58" t="n"/>
      <c r="T43" s="42" t="inlineStr">
        <is>
          <t>Импорт из PRICE_MASTER</t>
        </is>
      </c>
      <c r="U43" s="42" t="n"/>
      <c r="V43" s="42" t="n"/>
      <c r="W43" s="42" t="n"/>
      <c r="X43" s="56" t="n"/>
      <c r="Y43" s="58" t="n"/>
      <c r="Z43" s="42" t="inlineStr">
        <is>
          <t>Высокая</t>
        </is>
      </c>
      <c r="AA43" s="42" t="inlineStr">
        <is>
          <t>SRC-0074</t>
        </is>
      </c>
    </row>
    <row r="44">
      <c r="A44" s="44" t="inlineStr">
        <is>
          <t>MV-0043</t>
        </is>
      </c>
      <c r="B44" s="41" t="inlineStr">
        <is>
          <t>RMAT-0043</t>
        </is>
      </c>
      <c r="C44" s="57" t="n">
        <v>3000</v>
      </c>
      <c r="D44" s="41" t="n"/>
      <c r="E44" s="41" t="n"/>
      <c r="F44" s="41" t="n"/>
      <c r="G44" s="41" t="n"/>
      <c r="H44" s="41" t="n"/>
      <c r="I44" s="43" t="n">
        <v>560</v>
      </c>
      <c r="J44" s="41" t="inlineStr">
        <is>
          <t>Доска обрезн., сосна, 20х145х3000мм</t>
        </is>
      </c>
      <c r="K44" s="41" t="inlineStr">
        <is>
          <t>Показать строкой</t>
        </is>
      </c>
      <c r="L44" s="41" t="inlineStr">
        <is>
          <t>Да</t>
        </is>
      </c>
      <c r="M44" s="41" t="inlineStr">
        <is>
          <t>Да</t>
        </is>
      </c>
      <c r="N44" s="45" t="inlineStr">
        <is>
          <t>Автосозданный вариант 1:1 из реального прайса</t>
        </is>
      </c>
      <c r="O44" s="41" t="inlineStr">
        <is>
          <t>шт</t>
        </is>
      </c>
      <c r="P44" s="54" t="n"/>
      <c r="Q44" s="41" t="inlineStr">
        <is>
          <t>шт</t>
        </is>
      </c>
      <c r="R44" s="41" t="n"/>
      <c r="S44" s="57" t="n"/>
      <c r="T44" s="41" t="inlineStr">
        <is>
          <t>Импорт из PRICE_MASTER</t>
        </is>
      </c>
      <c r="U44" s="41" t="n"/>
      <c r="V44" s="41" t="n"/>
      <c r="W44" s="41" t="n"/>
      <c r="X44" s="54" t="n"/>
      <c r="Y44" s="57" t="n"/>
      <c r="Z44" s="41" t="inlineStr">
        <is>
          <t>Высокая</t>
        </is>
      </c>
      <c r="AA44" s="41" t="inlineStr">
        <is>
          <t>SRC-0075</t>
        </is>
      </c>
    </row>
    <row r="45">
      <c r="A45" s="47" t="inlineStr">
        <is>
          <t>MV-0044</t>
        </is>
      </c>
      <c r="B45" s="42" t="inlineStr">
        <is>
          <t>RMAT-0044</t>
        </is>
      </c>
      <c r="C45" s="58" t="n">
        <v>6000</v>
      </c>
      <c r="D45" s="42" t="n"/>
      <c r="E45" s="42" t="n"/>
      <c r="F45" s="42" t="n"/>
      <c r="G45" s="42" t="n"/>
      <c r="H45" s="42" t="n"/>
      <c r="I45" s="46" t="n">
        <v>1465</v>
      </c>
      <c r="J45" s="42" t="inlineStr">
        <is>
          <t>Доска террасная негофрированная, термообработанная сосна 145*28*6000мм</t>
        </is>
      </c>
      <c r="K45" s="42" t="inlineStr">
        <is>
          <t>Показать строкой</t>
        </is>
      </c>
      <c r="L45" s="42" t="inlineStr">
        <is>
          <t>Да</t>
        </is>
      </c>
      <c r="M45" s="42" t="inlineStr">
        <is>
          <t>Да</t>
        </is>
      </c>
      <c r="N45" s="48" t="inlineStr">
        <is>
          <t>Автосозданный вариант 1:1 из реального прайса</t>
        </is>
      </c>
      <c r="O45" s="42" t="inlineStr">
        <is>
          <t>шт</t>
        </is>
      </c>
      <c r="P45" s="56" t="n"/>
      <c r="Q45" s="42" t="inlineStr">
        <is>
          <t>шт</t>
        </is>
      </c>
      <c r="R45" s="42" t="n"/>
      <c r="S45" s="58" t="n"/>
      <c r="T45" s="42" t="inlineStr">
        <is>
          <t>Импорт из PRICE_MASTER</t>
        </is>
      </c>
      <c r="U45" s="42" t="n"/>
      <c r="V45" s="42" t="n"/>
      <c r="W45" s="42" t="n"/>
      <c r="X45" s="56" t="n"/>
      <c r="Y45" s="58" t="n"/>
      <c r="Z45" s="42" t="inlineStr">
        <is>
          <t>Высокая</t>
        </is>
      </c>
      <c r="AA45" s="42" t="inlineStr">
        <is>
          <t>SRC-0076</t>
        </is>
      </c>
    </row>
    <row r="46">
      <c r="A46" s="44" t="inlineStr">
        <is>
          <t>MV-0045</t>
        </is>
      </c>
      <c r="B46" s="41" t="inlineStr">
        <is>
          <t>RMAT-0045</t>
        </is>
      </c>
      <c r="C46" s="57" t="n">
        <v>6000</v>
      </c>
      <c r="D46" s="41" t="n"/>
      <c r="E46" s="41" t="n"/>
      <c r="F46" s="41" t="n"/>
      <c r="G46" s="41" t="n"/>
      <c r="H46" s="41" t="n"/>
      <c r="I46" s="43" t="n">
        <v>570</v>
      </c>
      <c r="J46" s="41" t="inlineStr">
        <is>
          <t>Доска хвойная сырая, нестроганая 150*25*6000мм (для опалубки)</t>
        </is>
      </c>
      <c r="K46" s="41" t="inlineStr">
        <is>
          <t>Показать строкой</t>
        </is>
      </c>
      <c r="L46" s="41" t="inlineStr">
        <is>
          <t>Да</t>
        </is>
      </c>
      <c r="M46" s="41" t="inlineStr">
        <is>
          <t>Да</t>
        </is>
      </c>
      <c r="N46" s="45" t="inlineStr">
        <is>
          <t>Автосозданный вариант 1:1 из реального прайса</t>
        </is>
      </c>
      <c r="O46" s="41" t="inlineStr">
        <is>
          <t>шт</t>
        </is>
      </c>
      <c r="P46" s="54" t="n"/>
      <c r="Q46" s="41" t="inlineStr">
        <is>
          <t>шт</t>
        </is>
      </c>
      <c r="R46" s="41" t="n"/>
      <c r="S46" s="57" t="n"/>
      <c r="T46" s="41" t="inlineStr">
        <is>
          <t>Импорт из PRICE_MASTER</t>
        </is>
      </c>
      <c r="U46" s="41" t="n"/>
      <c r="V46" s="41" t="n"/>
      <c r="W46" s="41" t="n"/>
      <c r="X46" s="54" t="n"/>
      <c r="Y46" s="57" t="n"/>
      <c r="Z46" s="41" t="inlineStr">
        <is>
          <t>Высокая</t>
        </is>
      </c>
      <c r="AA46" s="41" t="inlineStr">
        <is>
          <t>SRC-0077</t>
        </is>
      </c>
    </row>
    <row r="47">
      <c r="A47" s="47" t="inlineStr">
        <is>
          <t>MV-0046</t>
        </is>
      </c>
      <c r="B47" s="42" t="inlineStr">
        <is>
          <t>RMAT-0046</t>
        </is>
      </c>
      <c r="C47" s="58" t="n"/>
      <c r="D47" s="42" t="n"/>
      <c r="E47" s="42" t="n"/>
      <c r="F47" s="42" t="n"/>
      <c r="G47" s="42" t="n"/>
      <c r="H47" s="42" t="n"/>
      <c r="I47" s="46" t="n">
        <v>2300</v>
      </c>
      <c r="J47" s="42" t="inlineStr">
        <is>
          <t>Дюбель-гвоздь 8x100мм</t>
        </is>
      </c>
      <c r="K47" s="42" t="inlineStr">
        <is>
          <t>Показать строкой</t>
        </is>
      </c>
      <c r="L47" s="42" t="inlineStr">
        <is>
          <t>Да</t>
        </is>
      </c>
      <c r="M47" s="42" t="inlineStr">
        <is>
          <t>Да</t>
        </is>
      </c>
      <c r="N47" s="48" t="inlineStr">
        <is>
          <t>Автосозданный вариант 1:1 из реального прайса</t>
        </is>
      </c>
      <c r="O47" s="42" t="inlineStr">
        <is>
          <t>уп.</t>
        </is>
      </c>
      <c r="P47" s="56" t="n"/>
      <c r="Q47" s="42" t="inlineStr">
        <is>
          <t>уп.</t>
        </is>
      </c>
      <c r="R47" s="42" t="n"/>
      <c r="S47" s="58" t="n"/>
      <c r="T47" s="42" t="inlineStr">
        <is>
          <t>Импорт из PRICE_MASTER</t>
        </is>
      </c>
      <c r="U47" s="42" t="n"/>
      <c r="V47" s="42" t="n"/>
      <c r="W47" s="42" t="n"/>
      <c r="X47" s="56" t="n"/>
      <c r="Y47" s="58" t="n"/>
      <c r="Z47" s="42" t="inlineStr">
        <is>
          <t>Высокая</t>
        </is>
      </c>
      <c r="AA47" s="42" t="inlineStr">
        <is>
          <t>SRC-0080</t>
        </is>
      </c>
    </row>
    <row r="48">
      <c r="A48" s="44" t="inlineStr">
        <is>
          <t>MV-0047</t>
        </is>
      </c>
      <c r="B48" s="41" t="inlineStr">
        <is>
          <t>RMAT-0047</t>
        </is>
      </c>
      <c r="C48" s="57" t="n"/>
      <c r="D48" s="41" t="n"/>
      <c r="E48" s="41" t="n"/>
      <c r="F48" s="41" t="n"/>
      <c r="G48" s="41" t="n"/>
      <c r="H48" s="41" t="n"/>
      <c r="I48" s="43" t="n">
        <v>1420</v>
      </c>
      <c r="J48" s="41" t="inlineStr">
        <is>
          <t>Затирка для широких швов Camonica, 25кг</t>
        </is>
      </c>
      <c r="K48" s="41" t="inlineStr">
        <is>
          <t>Показать строкой</t>
        </is>
      </c>
      <c r="L48" s="41" t="inlineStr">
        <is>
          <t>Да</t>
        </is>
      </c>
      <c r="M48" s="41" t="inlineStr">
        <is>
          <t>Да</t>
        </is>
      </c>
      <c r="N48" s="45" t="inlineStr">
        <is>
          <t>Автосозданный вариант 1:1 из реального прайса</t>
        </is>
      </c>
      <c r="O48" s="41" t="inlineStr">
        <is>
          <t>шт</t>
        </is>
      </c>
      <c r="P48" s="54" t="n"/>
      <c r="Q48" s="41" t="inlineStr">
        <is>
          <t>шт</t>
        </is>
      </c>
      <c r="R48" s="41" t="n"/>
      <c r="S48" s="57" t="n"/>
      <c r="T48" s="41" t="inlineStr">
        <is>
          <t>Импорт из PRICE_MASTER</t>
        </is>
      </c>
      <c r="U48" s="41" t="n"/>
      <c r="V48" s="41" t="n"/>
      <c r="W48" s="41" t="n"/>
      <c r="X48" s="54" t="n"/>
      <c r="Y48" s="57" t="n"/>
      <c r="Z48" s="41" t="inlineStr">
        <is>
          <t>Высокая</t>
        </is>
      </c>
      <c r="AA48" s="41" t="inlineStr">
        <is>
          <t>SRC-0084</t>
        </is>
      </c>
    </row>
    <row r="49">
      <c r="A49" s="47" t="inlineStr">
        <is>
          <t>MV-0048</t>
        </is>
      </c>
      <c r="B49" s="42" t="inlineStr">
        <is>
          <t>RMAT-0048</t>
        </is>
      </c>
      <c r="C49" s="58" t="n"/>
      <c r="D49" s="42" t="n"/>
      <c r="E49" s="42" t="n"/>
      <c r="F49" s="42" t="n"/>
      <c r="G49" s="42" t="n"/>
      <c r="H49" s="42" t="n"/>
      <c r="I49" s="46" t="n">
        <v>170</v>
      </c>
      <c r="J49" s="42" t="inlineStr">
        <is>
          <t>Кабель силовой ВБШв нг(А)LS 3*1,5 0,66кВ броня</t>
        </is>
      </c>
      <c r="K49" s="42" t="inlineStr">
        <is>
          <t>Показать строкой</t>
        </is>
      </c>
      <c r="L49" s="42" t="inlineStr">
        <is>
          <t>Да</t>
        </is>
      </c>
      <c r="M49" s="42" t="inlineStr">
        <is>
          <t>Да</t>
        </is>
      </c>
      <c r="N49" s="48" t="inlineStr">
        <is>
          <t>Автосозданный вариант 1:1 из реального прайса</t>
        </is>
      </c>
      <c r="O49" s="42" t="inlineStr">
        <is>
          <t>шт</t>
        </is>
      </c>
      <c r="P49" s="56" t="n"/>
      <c r="Q49" s="42" t="inlineStr">
        <is>
          <t>шт</t>
        </is>
      </c>
      <c r="R49" s="42" t="n"/>
      <c r="S49" s="58" t="n"/>
      <c r="T49" s="42" t="inlineStr">
        <is>
          <t>Импорт из PRICE_MASTER</t>
        </is>
      </c>
      <c r="U49" s="42" t="n"/>
      <c r="V49" s="42" t="n"/>
      <c r="W49" s="42" t="n"/>
      <c r="X49" s="56" t="n"/>
      <c r="Y49" s="58" t="n"/>
      <c r="Z49" s="42" t="inlineStr">
        <is>
          <t>Высокая</t>
        </is>
      </c>
      <c r="AA49" s="42" t="inlineStr">
        <is>
          <t>SRC-0087</t>
        </is>
      </c>
    </row>
    <row r="50">
      <c r="A50" s="44" t="inlineStr">
        <is>
          <t>MV-0049</t>
        </is>
      </c>
      <c r="B50" s="41" t="inlineStr">
        <is>
          <t>RMAT-0049</t>
        </is>
      </c>
      <c r="C50" s="57" t="n"/>
      <c r="D50" s="41" t="n"/>
      <c r="E50" s="41" t="n"/>
      <c r="F50" s="41" t="n"/>
      <c r="G50" s="41" t="n"/>
      <c r="H50" s="41" t="n"/>
      <c r="I50" s="43" t="n">
        <v>190</v>
      </c>
      <c r="J50" s="41" t="inlineStr">
        <is>
          <t>Кабель силовой ВБШв нг(А)LS 3*2,5 0,66кВ броня</t>
        </is>
      </c>
      <c r="K50" s="41" t="inlineStr">
        <is>
          <t>Показать строкой</t>
        </is>
      </c>
      <c r="L50" s="41" t="inlineStr">
        <is>
          <t>Да</t>
        </is>
      </c>
      <c r="M50" s="41" t="inlineStr">
        <is>
          <t>Да</t>
        </is>
      </c>
      <c r="N50" s="45" t="inlineStr">
        <is>
          <t>Автосозданный вариант 1:1 из реального прайса</t>
        </is>
      </c>
      <c r="O50" s="41" t="inlineStr">
        <is>
          <t>шт</t>
        </is>
      </c>
      <c r="P50" s="54" t="n"/>
      <c r="Q50" s="41" t="inlineStr">
        <is>
          <t>шт</t>
        </is>
      </c>
      <c r="R50" s="41" t="n"/>
      <c r="S50" s="57" t="n"/>
      <c r="T50" s="41" t="inlineStr">
        <is>
          <t>Импорт из PRICE_MASTER</t>
        </is>
      </c>
      <c r="U50" s="41" t="n"/>
      <c r="V50" s="41" t="n"/>
      <c r="W50" s="41" t="n"/>
      <c r="X50" s="54" t="n"/>
      <c r="Y50" s="57" t="n"/>
      <c r="Z50" s="41" t="inlineStr">
        <is>
          <t>Высокая</t>
        </is>
      </c>
      <c r="AA50" s="41" t="inlineStr">
        <is>
          <t>SRC-0088</t>
        </is>
      </c>
    </row>
    <row r="51">
      <c r="A51" s="47" t="inlineStr">
        <is>
          <t>MV-0050</t>
        </is>
      </c>
      <c r="B51" s="42" t="inlineStr">
        <is>
          <t>RMAT-0050</t>
        </is>
      </c>
      <c r="C51" s="58" t="n"/>
      <c r="D51" s="42" t="n"/>
      <c r="E51" s="42" t="n"/>
      <c r="F51" s="42" t="n"/>
      <c r="G51" s="42" t="n"/>
      <c r="H51" s="42" t="n"/>
      <c r="I51" s="46" t="n">
        <v>340</v>
      </c>
      <c r="J51" s="42" t="inlineStr">
        <is>
          <t>Клей по дереву, 0,5л</t>
        </is>
      </c>
      <c r="K51" s="42" t="inlineStr">
        <is>
          <t>Показать строкой</t>
        </is>
      </c>
      <c r="L51" s="42" t="inlineStr">
        <is>
          <t>Да</t>
        </is>
      </c>
      <c r="M51" s="42" t="inlineStr">
        <is>
          <t>Да</t>
        </is>
      </c>
      <c r="N51" s="48" t="inlineStr">
        <is>
          <t>Автосозданный вариант 1:1 из реального прайса</t>
        </is>
      </c>
      <c r="O51" s="42" t="inlineStr">
        <is>
          <t>шт</t>
        </is>
      </c>
      <c r="P51" s="56" t="n"/>
      <c r="Q51" s="42" t="inlineStr">
        <is>
          <t>шт</t>
        </is>
      </c>
      <c r="R51" s="42" t="n"/>
      <c r="S51" s="58" t="n"/>
      <c r="T51" s="42" t="inlineStr">
        <is>
          <t>Импорт из PRICE_MASTER</t>
        </is>
      </c>
      <c r="U51" s="42" t="n"/>
      <c r="V51" s="42" t="n"/>
      <c r="W51" s="42" t="n"/>
      <c r="X51" s="56" t="n"/>
      <c r="Y51" s="58" t="n"/>
      <c r="Z51" s="42" t="inlineStr">
        <is>
          <t>Высокая</t>
        </is>
      </c>
      <c r="AA51" s="42" t="inlineStr">
        <is>
          <t>SRC-0089</t>
        </is>
      </c>
    </row>
    <row r="52">
      <c r="A52" s="44" t="inlineStr">
        <is>
          <t>MV-0051</t>
        </is>
      </c>
      <c r="B52" s="41" t="inlineStr">
        <is>
          <t>RMAT-0051</t>
        </is>
      </c>
      <c r="C52" s="57" t="n"/>
      <c r="D52" s="41" t="n"/>
      <c r="E52" s="41" t="n"/>
      <c r="F52" s="41" t="n"/>
      <c r="G52" s="41" t="n"/>
      <c r="H52" s="41" t="n"/>
      <c r="I52" s="43" t="n">
        <v>1520</v>
      </c>
      <c r="J52" s="41" t="inlineStr">
        <is>
          <t>Колодец дренажный смотровой 315/276х1000 с дном и крышкой</t>
        </is>
      </c>
      <c r="K52" s="41" t="inlineStr">
        <is>
          <t>Показать строкой</t>
        </is>
      </c>
      <c r="L52" s="41" t="inlineStr">
        <is>
          <t>Да</t>
        </is>
      </c>
      <c r="M52" s="41" t="inlineStr">
        <is>
          <t>Да</t>
        </is>
      </c>
      <c r="N52" s="45" t="inlineStr">
        <is>
          <t>Автосозданный вариант 1:1 из реального прайса</t>
        </is>
      </c>
      <c r="O52" s="41" t="inlineStr">
        <is>
          <t>шт</t>
        </is>
      </c>
      <c r="P52" s="54" t="n"/>
      <c r="Q52" s="41" t="inlineStr">
        <is>
          <t>шт</t>
        </is>
      </c>
      <c r="R52" s="41" t="n"/>
      <c r="S52" s="57" t="n"/>
      <c r="T52" s="41" t="inlineStr">
        <is>
          <t>Импорт из PRICE_MASTER</t>
        </is>
      </c>
      <c r="U52" s="41" t="n"/>
      <c r="V52" s="41" t="n"/>
      <c r="W52" s="41" t="n"/>
      <c r="X52" s="54" t="n"/>
      <c r="Y52" s="57" t="n"/>
      <c r="Z52" s="41" t="inlineStr">
        <is>
          <t>Высокая</t>
        </is>
      </c>
      <c r="AA52" s="41" t="inlineStr">
        <is>
          <t>SRC-0090</t>
        </is>
      </c>
    </row>
    <row r="53">
      <c r="A53" s="47" t="inlineStr">
        <is>
          <t>MV-0052</t>
        </is>
      </c>
      <c r="B53" s="42" t="inlineStr">
        <is>
          <t>RMAT-0052</t>
        </is>
      </c>
      <c r="C53" s="58" t="n"/>
      <c r="D53" s="42" t="n"/>
      <c r="E53" s="42" t="n"/>
      <c r="F53" s="42" t="n"/>
      <c r="G53" s="42" t="n"/>
      <c r="H53" s="42" t="n"/>
      <c r="I53" s="46" t="n">
        <v>2070</v>
      </c>
      <c r="J53" s="42" t="inlineStr">
        <is>
          <t>Колодец дренажный смотровой 315/276х1500 с дном и крышкой</t>
        </is>
      </c>
      <c r="K53" s="42" t="inlineStr">
        <is>
          <t>Показать строкой</t>
        </is>
      </c>
      <c r="L53" s="42" t="inlineStr">
        <is>
          <t>Да</t>
        </is>
      </c>
      <c r="M53" s="42" t="inlineStr">
        <is>
          <t>Да</t>
        </is>
      </c>
      <c r="N53" s="48" t="inlineStr">
        <is>
          <t>Автосозданный вариант 1:1 из реального прайса</t>
        </is>
      </c>
      <c r="O53" s="42" t="inlineStr">
        <is>
          <t>шт</t>
        </is>
      </c>
      <c r="P53" s="56" t="n"/>
      <c r="Q53" s="42" t="inlineStr">
        <is>
          <t>шт</t>
        </is>
      </c>
      <c r="R53" s="42" t="n"/>
      <c r="S53" s="58" t="n"/>
      <c r="T53" s="42" t="inlineStr">
        <is>
          <t>Импорт из PRICE_MASTER</t>
        </is>
      </c>
      <c r="U53" s="42" t="n"/>
      <c r="V53" s="42" t="n"/>
      <c r="W53" s="42" t="n"/>
      <c r="X53" s="56" t="n"/>
      <c r="Y53" s="58" t="n"/>
      <c r="Z53" s="42" t="inlineStr">
        <is>
          <t>Высокая</t>
        </is>
      </c>
      <c r="AA53" s="42" t="inlineStr">
        <is>
          <t>SRC-0091</t>
        </is>
      </c>
    </row>
    <row r="54">
      <c r="A54" s="44" t="inlineStr">
        <is>
          <t>MV-0053</t>
        </is>
      </c>
      <c r="B54" s="41" t="inlineStr">
        <is>
          <t>RMAT-0053</t>
        </is>
      </c>
      <c r="C54" s="57" t="n"/>
      <c r="D54" s="41" t="n"/>
      <c r="E54" s="41" t="n"/>
      <c r="F54" s="41" t="n"/>
      <c r="G54" s="41" t="n"/>
      <c r="H54" s="41" t="n"/>
      <c r="I54" s="43" t="n">
        <v>5400</v>
      </c>
      <c r="J54" s="41" t="inlineStr">
        <is>
          <t>Колодец дренажный смотровой 460/400х2000мм с дном и крышкой</t>
        </is>
      </c>
      <c r="K54" s="41" t="inlineStr">
        <is>
          <t>Показать строкой</t>
        </is>
      </c>
      <c r="L54" s="41" t="inlineStr">
        <is>
          <t>Да</t>
        </is>
      </c>
      <c r="M54" s="41" t="inlineStr">
        <is>
          <t>Да</t>
        </is>
      </c>
      <c r="N54" s="45" t="inlineStr">
        <is>
          <t>Автосозданный вариант 1:1 из реального прайса</t>
        </is>
      </c>
      <c r="O54" s="41" t="inlineStr">
        <is>
          <t>шт</t>
        </is>
      </c>
      <c r="P54" s="54" t="n"/>
      <c r="Q54" s="41" t="inlineStr">
        <is>
          <t>шт</t>
        </is>
      </c>
      <c r="R54" s="41" t="n"/>
      <c r="S54" s="57" t="n"/>
      <c r="T54" s="41" t="inlineStr">
        <is>
          <t>Импорт из PRICE_MASTER</t>
        </is>
      </c>
      <c r="U54" s="41" t="n"/>
      <c r="V54" s="41" t="n"/>
      <c r="W54" s="41" t="n"/>
      <c r="X54" s="54" t="n"/>
      <c r="Y54" s="57" t="n"/>
      <c r="Z54" s="41" t="inlineStr">
        <is>
          <t>Высокая</t>
        </is>
      </c>
      <c r="AA54" s="41" t="inlineStr">
        <is>
          <t>SRC-0092</t>
        </is>
      </c>
    </row>
    <row r="55">
      <c r="A55" s="47" t="inlineStr">
        <is>
          <t>MV-0054</t>
        </is>
      </c>
      <c r="B55" s="42" t="inlineStr">
        <is>
          <t>RMAT-0054</t>
        </is>
      </c>
      <c r="C55" s="58" t="n"/>
      <c r="D55" s="42" t="n"/>
      <c r="E55" s="42" t="n"/>
      <c r="F55" s="42" t="n"/>
      <c r="G55" s="42" t="n"/>
      <c r="H55" s="42" t="n"/>
      <c r="I55" s="46" t="n">
        <v>5566</v>
      </c>
      <c r="J55" s="42" t="inlineStr">
        <is>
          <t>Кольцо железобетонное паз/гребень КС10.9 d1000мм</t>
        </is>
      </c>
      <c r="K55" s="42" t="inlineStr">
        <is>
          <t>Показать строкой</t>
        </is>
      </c>
      <c r="L55" s="42" t="inlineStr">
        <is>
          <t>Да</t>
        </is>
      </c>
      <c r="M55" s="42" t="inlineStr">
        <is>
          <t>Да</t>
        </is>
      </c>
      <c r="N55" s="48" t="inlineStr">
        <is>
          <t>Автосозданный вариант 1:1 из реального прайса</t>
        </is>
      </c>
      <c r="O55" s="42" t="inlineStr">
        <is>
          <t>шт</t>
        </is>
      </c>
      <c r="P55" s="56" t="n"/>
      <c r="Q55" s="42" t="inlineStr">
        <is>
          <t>шт</t>
        </is>
      </c>
      <c r="R55" s="42" t="n"/>
      <c r="S55" s="58" t="n"/>
      <c r="T55" s="42" t="inlineStr">
        <is>
          <t>Импорт из PRICE_MASTER</t>
        </is>
      </c>
      <c r="U55" s="42" t="n"/>
      <c r="V55" s="42" t="n"/>
      <c r="W55" s="42" t="n"/>
      <c r="X55" s="56" t="n"/>
      <c r="Y55" s="58" t="n"/>
      <c r="Z55" s="42" t="inlineStr">
        <is>
          <t>Высокая</t>
        </is>
      </c>
      <c r="AA55" s="42" t="inlineStr">
        <is>
          <t>SRC-0093</t>
        </is>
      </c>
    </row>
    <row r="56">
      <c r="A56" s="44" t="inlineStr">
        <is>
          <t>MV-0055</t>
        </is>
      </c>
      <c r="B56" s="41" t="inlineStr">
        <is>
          <t>RMAT-0055</t>
        </is>
      </c>
      <c r="C56" s="57" t="n"/>
      <c r="D56" s="41" t="n"/>
      <c r="E56" s="41" t="n"/>
      <c r="F56" s="41" t="n"/>
      <c r="G56" s="41" t="n"/>
      <c r="H56" s="41" t="n"/>
      <c r="I56" s="43" t="n">
        <v>810</v>
      </c>
      <c r="J56" s="41" t="inlineStr">
        <is>
          <t>Кольцо железобетонное регулировочное КО-6 d840мм</t>
        </is>
      </c>
      <c r="K56" s="41" t="inlineStr">
        <is>
          <t>Показать строкой</t>
        </is>
      </c>
      <c r="L56" s="41" t="inlineStr">
        <is>
          <t>Да</t>
        </is>
      </c>
      <c r="M56" s="41" t="inlineStr">
        <is>
          <t>Да</t>
        </is>
      </c>
      <c r="N56" s="45" t="inlineStr">
        <is>
          <t>Автосозданный вариант 1:1 из реального прайса</t>
        </is>
      </c>
      <c r="O56" s="41" t="inlineStr">
        <is>
          <t>шт</t>
        </is>
      </c>
      <c r="P56" s="54" t="n"/>
      <c r="Q56" s="41" t="inlineStr">
        <is>
          <t>шт</t>
        </is>
      </c>
      <c r="R56" s="41" t="n"/>
      <c r="S56" s="57" t="n"/>
      <c r="T56" s="41" t="inlineStr">
        <is>
          <t>Импорт из PRICE_MASTER</t>
        </is>
      </c>
      <c r="U56" s="41" t="n"/>
      <c r="V56" s="41" t="n"/>
      <c r="W56" s="41" t="n"/>
      <c r="X56" s="54" t="n"/>
      <c r="Y56" s="57" t="n"/>
      <c r="Z56" s="41" t="inlineStr">
        <is>
          <t>Высокая</t>
        </is>
      </c>
      <c r="AA56" s="41" t="inlineStr">
        <is>
          <t>SRC-0094</t>
        </is>
      </c>
    </row>
    <row r="57">
      <c r="A57" s="47" t="inlineStr">
        <is>
          <t>MV-0056</t>
        </is>
      </c>
      <c r="B57" s="42" t="inlineStr">
        <is>
          <t>RMAT-0056</t>
        </is>
      </c>
      <c r="C57" s="58" t="n"/>
      <c r="D57" s="42" t="n"/>
      <c r="E57" s="42" t="n"/>
      <c r="F57" s="42" t="n"/>
      <c r="G57" s="42" t="n"/>
      <c r="H57" s="42" t="n"/>
      <c r="I57" s="46" t="n">
        <v>8165</v>
      </c>
      <c r="J57" s="42" t="inlineStr">
        <is>
          <t>Кольцо железобетонное с днищем ДК-10.9 d1000мм</t>
        </is>
      </c>
      <c r="K57" s="42" t="inlineStr">
        <is>
          <t>Показать строкой</t>
        </is>
      </c>
      <c r="L57" s="42" t="inlineStr">
        <is>
          <t>Да</t>
        </is>
      </c>
      <c r="M57" s="42" t="inlineStr">
        <is>
          <t>Да</t>
        </is>
      </c>
      <c r="N57" s="48" t="inlineStr">
        <is>
          <t>Автосозданный вариант 1:1 из реального прайса</t>
        </is>
      </c>
      <c r="O57" s="42" t="inlineStr">
        <is>
          <t>шт</t>
        </is>
      </c>
      <c r="P57" s="56" t="n"/>
      <c r="Q57" s="42" t="inlineStr">
        <is>
          <t>шт</t>
        </is>
      </c>
      <c r="R57" s="42" t="n"/>
      <c r="S57" s="58" t="n"/>
      <c r="T57" s="42" t="inlineStr">
        <is>
          <t>Импорт из PRICE_MASTER</t>
        </is>
      </c>
      <c r="U57" s="42" t="n"/>
      <c r="V57" s="42" t="n"/>
      <c r="W57" s="42" t="n"/>
      <c r="X57" s="56" t="n"/>
      <c r="Y57" s="58" t="n"/>
      <c r="Z57" s="42" t="inlineStr">
        <is>
          <t>Высокая</t>
        </is>
      </c>
      <c r="AA57" s="42" t="inlineStr">
        <is>
          <t>SRC-0095</t>
        </is>
      </c>
    </row>
    <row r="58">
      <c r="A58" s="44" t="inlineStr">
        <is>
          <t>MV-0057</t>
        </is>
      </c>
      <c r="B58" s="41" t="inlineStr">
        <is>
          <t>RMAT-0057</t>
        </is>
      </c>
      <c r="C58" s="57" t="n"/>
      <c r="D58" s="41" t="n"/>
      <c r="E58" s="41" t="n"/>
      <c r="F58" s="41" t="n"/>
      <c r="G58" s="41" t="n"/>
      <c r="H58" s="41" t="n"/>
      <c r="I58" s="43" t="n">
        <v>1000</v>
      </c>
      <c r="J58" s="41" t="inlineStr">
        <is>
          <t>Короб метал. для подвода кабеля к щиту 100*100мм оцинк., неперфорированный, h=1,5м</t>
        </is>
      </c>
      <c r="K58" s="41" t="inlineStr">
        <is>
          <t>Показать строкой</t>
        </is>
      </c>
      <c r="L58" s="41" t="inlineStr">
        <is>
          <t>Да</t>
        </is>
      </c>
      <c r="M58" s="41" t="inlineStr">
        <is>
          <t>Да</t>
        </is>
      </c>
      <c r="N58" s="45" t="inlineStr">
        <is>
          <t>Автосозданный вариант 1:1 из реального прайса</t>
        </is>
      </c>
      <c r="O58" s="41" t="inlineStr">
        <is>
          <t>компл</t>
        </is>
      </c>
      <c r="P58" s="54" t="n"/>
      <c r="Q58" s="41" t="inlineStr">
        <is>
          <t>компл</t>
        </is>
      </c>
      <c r="R58" s="41" t="n"/>
      <c r="S58" s="57" t="n"/>
      <c r="T58" s="41" t="inlineStr">
        <is>
          <t>Импорт из PRICE_MASTER</t>
        </is>
      </c>
      <c r="U58" s="41" t="n"/>
      <c r="V58" s="41" t="n"/>
      <c r="W58" s="41" t="n"/>
      <c r="X58" s="54" t="n"/>
      <c r="Y58" s="57" t="n"/>
      <c r="Z58" s="41" t="inlineStr">
        <is>
          <t>Высокая</t>
        </is>
      </c>
      <c r="AA58" s="41" t="inlineStr">
        <is>
          <t>SRC-0098</t>
        </is>
      </c>
    </row>
    <row r="59">
      <c r="A59" s="47" t="inlineStr">
        <is>
          <t>MV-0058</t>
        </is>
      </c>
      <c r="B59" s="42" t="inlineStr">
        <is>
          <t>RMAT-0058</t>
        </is>
      </c>
      <c r="C59" s="58" t="n"/>
      <c r="D59" s="42" t="n"/>
      <c r="E59" s="42" t="n"/>
      <c r="F59" s="42" t="n"/>
      <c r="G59" s="42" t="n"/>
      <c r="H59" s="42" t="n"/>
      <c r="I59" s="46" t="n">
        <v>1300</v>
      </c>
      <c r="J59" s="42" t="inlineStr">
        <is>
          <t>Краска Pinotex Extreme One. Колеровка утренний туман 005</t>
        </is>
      </c>
      <c r="K59" s="42" t="inlineStr">
        <is>
          <t>Показать строкой</t>
        </is>
      </c>
      <c r="L59" s="42" t="inlineStr">
        <is>
          <t>Да</t>
        </is>
      </c>
      <c r="M59" s="42" t="inlineStr">
        <is>
          <t>Да</t>
        </is>
      </c>
      <c r="N59" s="48" t="inlineStr">
        <is>
          <t>Автосозданный вариант 1:1 из реального прайса</t>
        </is>
      </c>
      <c r="O59" s="42" t="inlineStr">
        <is>
          <t>л</t>
        </is>
      </c>
      <c r="P59" s="56" t="n"/>
      <c r="Q59" s="42" t="inlineStr">
        <is>
          <t>л</t>
        </is>
      </c>
      <c r="R59" s="42" t="n"/>
      <c r="S59" s="58" t="n"/>
      <c r="T59" s="42" t="inlineStr">
        <is>
          <t>Импорт из PRICE_MASTER</t>
        </is>
      </c>
      <c r="U59" s="42" t="n"/>
      <c r="V59" s="42" t="n"/>
      <c r="W59" s="42" t="n"/>
      <c r="X59" s="56" t="n"/>
      <c r="Y59" s="58" t="n"/>
      <c r="Z59" s="42" t="inlineStr">
        <is>
          <t>Высокая</t>
        </is>
      </c>
      <c r="AA59" s="42" t="inlineStr">
        <is>
          <t>SRC-0100</t>
        </is>
      </c>
    </row>
    <row r="60">
      <c r="A60" s="44" t="inlineStr">
        <is>
          <t>MV-0059</t>
        </is>
      </c>
      <c r="B60" s="41" t="inlineStr">
        <is>
          <t>RMAT-0059</t>
        </is>
      </c>
      <c r="C60" s="57" t="n"/>
      <c r="D60" s="41" t="n"/>
      <c r="E60" s="41" t="n"/>
      <c r="F60" s="41" t="n"/>
      <c r="G60" s="41" t="n"/>
      <c r="H60" s="41" t="n"/>
      <c r="I60" s="43" t="n">
        <v>4115</v>
      </c>
      <c r="J60" s="41" t="inlineStr">
        <is>
          <t>Крышка для железобетонного кольца ПП10 d1000мм</t>
        </is>
      </c>
      <c r="K60" s="41" t="inlineStr">
        <is>
          <t>Показать строкой</t>
        </is>
      </c>
      <c r="L60" s="41" t="inlineStr">
        <is>
          <t>Да</t>
        </is>
      </c>
      <c r="M60" s="41" t="inlineStr">
        <is>
          <t>Да</t>
        </is>
      </c>
      <c r="N60" s="45" t="inlineStr">
        <is>
          <t>Автосозданный вариант 1:1 из реального прайса</t>
        </is>
      </c>
      <c r="O60" s="41" t="inlineStr">
        <is>
          <t>шт</t>
        </is>
      </c>
      <c r="P60" s="54" t="n"/>
      <c r="Q60" s="41" t="inlineStr">
        <is>
          <t>шт</t>
        </is>
      </c>
      <c r="R60" s="41" t="n"/>
      <c r="S60" s="57" t="n"/>
      <c r="T60" s="41" t="inlineStr">
        <is>
          <t>Импорт из PRICE_MASTER</t>
        </is>
      </c>
      <c r="U60" s="41" t="n"/>
      <c r="V60" s="41" t="n"/>
      <c r="W60" s="41" t="n"/>
      <c r="X60" s="54" t="n"/>
      <c r="Y60" s="57" t="n"/>
      <c r="Z60" s="41" t="inlineStr">
        <is>
          <t>Высокая</t>
        </is>
      </c>
      <c r="AA60" s="41" t="inlineStr">
        <is>
          <t>SRC-0101</t>
        </is>
      </c>
    </row>
    <row r="61">
      <c r="A61" s="47" t="inlineStr">
        <is>
          <t>MV-0060</t>
        </is>
      </c>
      <c r="B61" s="42" t="inlineStr">
        <is>
          <t>RMAT-0060</t>
        </is>
      </c>
      <c r="C61" s="58" t="n"/>
      <c r="D61" s="42" t="n"/>
      <c r="E61" s="42" t="n"/>
      <c r="F61" s="42" t="n"/>
      <c r="G61" s="42" t="n"/>
      <c r="H61" s="42" t="n"/>
      <c r="I61" s="46" t="n">
        <v>10000</v>
      </c>
      <c r="J61" s="42" t="inlineStr">
        <is>
          <t>Лента диодная влагозащищенная, профиль</t>
        </is>
      </c>
      <c r="K61" s="42" t="inlineStr">
        <is>
          <t>Показать строкой</t>
        </is>
      </c>
      <c r="L61" s="42" t="inlineStr">
        <is>
          <t>Да</t>
        </is>
      </c>
      <c r="M61" s="42" t="inlineStr">
        <is>
          <t>Да</t>
        </is>
      </c>
      <c r="N61" s="48" t="inlineStr">
        <is>
          <t>Автосозданный вариант 1:1 из реального прайса</t>
        </is>
      </c>
      <c r="O61" s="42" t="inlineStr">
        <is>
          <t>м.пог.</t>
        </is>
      </c>
      <c r="P61" s="56" t="n"/>
      <c r="Q61" s="42" t="inlineStr">
        <is>
          <t>м.пог.</t>
        </is>
      </c>
      <c r="R61" s="42" t="n"/>
      <c r="S61" s="58" t="n"/>
      <c r="T61" s="42" t="inlineStr">
        <is>
          <t>Импорт из PRICE_MASTER</t>
        </is>
      </c>
      <c r="U61" s="42" t="n"/>
      <c r="V61" s="42" t="n"/>
      <c r="W61" s="42" t="n"/>
      <c r="X61" s="56" t="n"/>
      <c r="Y61" s="58" t="n"/>
      <c r="Z61" s="42" t="inlineStr">
        <is>
          <t>Высокая</t>
        </is>
      </c>
      <c r="AA61" s="42" t="inlineStr">
        <is>
          <t>SRC-0102</t>
        </is>
      </c>
    </row>
    <row r="62">
      <c r="A62" s="44" t="inlineStr">
        <is>
          <t>MV-0061</t>
        </is>
      </c>
      <c r="B62" s="41" t="inlineStr">
        <is>
          <t>RMAT-0061</t>
        </is>
      </c>
      <c r="C62" s="57" t="n"/>
      <c r="D62" s="41" t="n"/>
      <c r="E62" s="41" t="n"/>
      <c r="F62" s="41" t="n"/>
      <c r="G62" s="41" t="n"/>
      <c r="H62" s="41" t="n"/>
      <c r="I62" s="43" t="n">
        <v>1500</v>
      </c>
      <c r="J62" s="41" t="inlineStr">
        <is>
          <t>Лента сигнальная 100м</t>
        </is>
      </c>
      <c r="K62" s="41" t="inlineStr">
        <is>
          <t>Показать строкой</t>
        </is>
      </c>
      <c r="L62" s="41" t="inlineStr">
        <is>
          <t>Да</t>
        </is>
      </c>
      <c r="M62" s="41" t="inlineStr">
        <is>
          <t>Да</t>
        </is>
      </c>
      <c r="N62" s="45" t="inlineStr">
        <is>
          <t>Автосозданный вариант 1:1 из реального прайса</t>
        </is>
      </c>
      <c r="O62" s="41" t="inlineStr">
        <is>
          <t>шт</t>
        </is>
      </c>
      <c r="P62" s="54" t="n"/>
      <c r="Q62" s="41" t="inlineStr">
        <is>
          <t>шт</t>
        </is>
      </c>
      <c r="R62" s="41" t="n"/>
      <c r="S62" s="57" t="n"/>
      <c r="T62" s="41" t="inlineStr">
        <is>
          <t>Импорт из PRICE_MASTER</t>
        </is>
      </c>
      <c r="U62" s="41" t="n"/>
      <c r="V62" s="41" t="n"/>
      <c r="W62" s="41" t="n"/>
      <c r="X62" s="54" t="n"/>
      <c r="Y62" s="57" t="n"/>
      <c r="Z62" s="41" t="inlineStr">
        <is>
          <t>Высокая</t>
        </is>
      </c>
      <c r="AA62" s="41" t="inlineStr">
        <is>
          <t>SRC-0103</t>
        </is>
      </c>
    </row>
    <row r="63">
      <c r="A63" s="47" t="inlineStr">
        <is>
          <t>MV-0062</t>
        </is>
      </c>
      <c r="B63" s="42" t="inlineStr">
        <is>
          <t>RMAT-0062</t>
        </is>
      </c>
      <c r="C63" s="58" t="n"/>
      <c r="D63" s="42" t="n"/>
      <c r="E63" s="42" t="n"/>
      <c r="F63" s="42" t="n"/>
      <c r="G63" s="42" t="n"/>
      <c r="H63" s="42" t="n"/>
      <c r="I63" s="46" t="n">
        <v>4000</v>
      </c>
      <c r="J63" s="42" t="inlineStr">
        <is>
          <t>линия подвязки</t>
        </is>
      </c>
      <c r="K63" s="42" t="inlineStr">
        <is>
          <t>Показать строкой</t>
        </is>
      </c>
      <c r="L63" s="42" t="inlineStr">
        <is>
          <t>Да</t>
        </is>
      </c>
      <c r="M63" s="42" t="inlineStr">
        <is>
          <t>Да</t>
        </is>
      </c>
      <c r="N63" s="48" t="inlineStr">
        <is>
          <t>Автосозданный вариант 1:1 из реального прайса</t>
        </is>
      </c>
      <c r="O63" s="42" t="inlineStr">
        <is>
          <t>шт</t>
        </is>
      </c>
      <c r="P63" s="56" t="n"/>
      <c r="Q63" s="42" t="inlineStr">
        <is>
          <t>шт</t>
        </is>
      </c>
      <c r="R63" s="42" t="n"/>
      <c r="S63" s="58" t="n"/>
      <c r="T63" s="42" t="inlineStr">
        <is>
          <t>Импорт из PRICE_MASTER</t>
        </is>
      </c>
      <c r="U63" s="42" t="n"/>
      <c r="V63" s="42" t="n"/>
      <c r="W63" s="42" t="n"/>
      <c r="X63" s="56" t="n"/>
      <c r="Y63" s="58" t="n"/>
      <c r="Z63" s="42" t="inlineStr">
        <is>
          <t>Высокая</t>
        </is>
      </c>
      <c r="AA63" s="42" t="inlineStr">
        <is>
          <t>SRC-0104</t>
        </is>
      </c>
    </row>
    <row r="64">
      <c r="A64" s="44" t="inlineStr">
        <is>
          <t>MV-0063</t>
        </is>
      </c>
      <c r="B64" s="41" t="inlineStr">
        <is>
          <t>RMAT-0063</t>
        </is>
      </c>
      <c r="C64" s="57" t="n"/>
      <c r="D64" s="41" t="n"/>
      <c r="E64" s="41" t="n"/>
      <c r="F64" s="41" t="n"/>
      <c r="G64" s="41" t="n"/>
      <c r="H64" s="41" t="n"/>
      <c r="I64" s="43" t="n">
        <v>4010</v>
      </c>
      <c r="J64" s="41" t="inlineStr">
        <is>
          <t>Лоток пластиковый ЛВ-10.16.12-ПП с решетками ячеистыми чугунными</t>
        </is>
      </c>
      <c r="K64" s="41" t="inlineStr">
        <is>
          <t>Показать строкой</t>
        </is>
      </c>
      <c r="L64" s="41" t="inlineStr">
        <is>
          <t>Да</t>
        </is>
      </c>
      <c r="M64" s="41" t="inlineStr">
        <is>
          <t>Да</t>
        </is>
      </c>
      <c r="N64" s="45" t="inlineStr">
        <is>
          <t>Автосозданный вариант 1:1 из реального прайса</t>
        </is>
      </c>
      <c r="O64" s="41" t="inlineStr">
        <is>
          <t>м.пог.</t>
        </is>
      </c>
      <c r="P64" s="54" t="n"/>
      <c r="Q64" s="41" t="inlineStr">
        <is>
          <t>м.пог.</t>
        </is>
      </c>
      <c r="R64" s="41" t="n"/>
      <c r="S64" s="57" t="n"/>
      <c r="T64" s="41" t="inlineStr">
        <is>
          <t>Импорт из PRICE_MASTER</t>
        </is>
      </c>
      <c r="U64" s="41" t="n"/>
      <c r="V64" s="41" t="n"/>
      <c r="W64" s="41" t="n"/>
      <c r="X64" s="54" t="n"/>
      <c r="Y64" s="57" t="n"/>
      <c r="Z64" s="41" t="inlineStr">
        <is>
          <t>Высокая</t>
        </is>
      </c>
      <c r="AA64" s="41" t="inlineStr">
        <is>
          <t>SRC-0105</t>
        </is>
      </c>
    </row>
    <row r="65">
      <c r="A65" s="47" t="inlineStr">
        <is>
          <t>MV-0064</t>
        </is>
      </c>
      <c r="B65" s="42" t="inlineStr">
        <is>
          <t>RMAT-0064</t>
        </is>
      </c>
      <c r="C65" s="58" t="n"/>
      <c r="D65" s="42" t="inlineStr">
        <is>
          <t>Черный</t>
        </is>
      </c>
      <c r="E65" s="42" t="n"/>
      <c r="F65" s="42" t="n"/>
      <c r="G65" s="42" t="n"/>
      <c r="H65" s="42" t="n"/>
      <c r="I65" s="46" t="n">
        <v>3640</v>
      </c>
      <c r="J65" s="42" t="inlineStr">
        <is>
          <t>Люк садовый пластиковый черный «ДОМИК» d800мм</t>
        </is>
      </c>
      <c r="K65" s="42" t="inlineStr">
        <is>
          <t>Показать строкой</t>
        </is>
      </c>
      <c r="L65" s="42" t="inlineStr">
        <is>
          <t>Да</t>
        </is>
      </c>
      <c r="M65" s="42" t="inlineStr">
        <is>
          <t>Да</t>
        </is>
      </c>
      <c r="N65" s="48" t="inlineStr">
        <is>
          <t>Автосозданный вариант 1:1 из реального прайса</t>
        </is>
      </c>
      <c r="O65" s="42" t="inlineStr">
        <is>
          <t>шт</t>
        </is>
      </c>
      <c r="P65" s="56" t="n"/>
      <c r="Q65" s="42" t="inlineStr">
        <is>
          <t>шт</t>
        </is>
      </c>
      <c r="R65" s="42" t="n"/>
      <c r="S65" s="58" t="n"/>
      <c r="T65" s="42" t="inlineStr">
        <is>
          <t>Импорт из PRICE_MASTER</t>
        </is>
      </c>
      <c r="U65" s="42" t="n"/>
      <c r="V65" s="42" t="n"/>
      <c r="W65" s="42" t="n"/>
      <c r="X65" s="56" t="n"/>
      <c r="Y65" s="58" t="n"/>
      <c r="Z65" s="42" t="inlineStr">
        <is>
          <t>Высокая</t>
        </is>
      </c>
      <c r="AA65" s="42" t="inlineStr">
        <is>
          <t>SRC-0106</t>
        </is>
      </c>
    </row>
    <row r="66">
      <c r="A66" s="44" t="inlineStr">
        <is>
          <t>MV-0065</t>
        </is>
      </c>
      <c r="B66" s="41" t="inlineStr">
        <is>
          <t>RMAT-0065</t>
        </is>
      </c>
      <c r="C66" s="57" t="n"/>
      <c r="D66" s="41" t="n"/>
      <c r="E66" s="41" t="n"/>
      <c r="F66" s="41" t="n"/>
      <c r="G66" s="41" t="n"/>
      <c r="H66" s="41" t="n"/>
      <c r="I66" s="43" t="n">
        <v>330</v>
      </c>
      <c r="J66" s="41" t="inlineStr">
        <is>
          <t>Мастика битумная</t>
        </is>
      </c>
      <c r="K66" s="41" t="inlineStr">
        <is>
          <t>Показать строкой</t>
        </is>
      </c>
      <c r="L66" s="41" t="inlineStr">
        <is>
          <t>Да</t>
        </is>
      </c>
      <c r="M66" s="41" t="inlineStr">
        <is>
          <t>Да</t>
        </is>
      </c>
      <c r="N66" s="45" t="inlineStr">
        <is>
          <t>Автосозданный вариант 1:1 из реального прайса</t>
        </is>
      </c>
      <c r="O66" s="41" t="inlineStr">
        <is>
          <t>кг</t>
        </is>
      </c>
      <c r="P66" s="54" t="n"/>
      <c r="Q66" s="41" t="inlineStr">
        <is>
          <t>кг</t>
        </is>
      </c>
      <c r="R66" s="41" t="n"/>
      <c r="S66" s="57" t="n"/>
      <c r="T66" s="41" t="inlineStr">
        <is>
          <t>Импорт из PRICE_MASTER</t>
        </is>
      </c>
      <c r="U66" s="41" t="n"/>
      <c r="V66" s="41" t="n"/>
      <c r="W66" s="41" t="n"/>
      <c r="X66" s="54" t="n"/>
      <c r="Y66" s="57" t="n"/>
      <c r="Z66" s="41" t="inlineStr">
        <is>
          <t>Высокая</t>
        </is>
      </c>
      <c r="AA66" s="41" t="inlineStr">
        <is>
          <t>SRC-0107</t>
        </is>
      </c>
    </row>
    <row r="67">
      <c r="A67" s="47" t="inlineStr">
        <is>
          <t>MV-0066</t>
        </is>
      </c>
      <c r="B67" s="42" t="inlineStr">
        <is>
          <t>RMAT-0066</t>
        </is>
      </c>
      <c r="C67" s="58" t="n"/>
      <c r="D67" s="42" t="n"/>
      <c r="E67" s="42" t="n"/>
      <c r="F67" s="42" t="n"/>
      <c r="G67" s="42" t="n"/>
      <c r="H67" s="42" t="n"/>
      <c r="I67" s="46" t="n">
        <v>3910</v>
      </c>
      <c r="J67" s="42" t="inlineStr">
        <is>
          <t>Мастика битумная, 20л</t>
        </is>
      </c>
      <c r="K67" s="42" t="inlineStr">
        <is>
          <t>Показать строкой</t>
        </is>
      </c>
      <c r="L67" s="42" t="inlineStr">
        <is>
          <t>Да</t>
        </is>
      </c>
      <c r="M67" s="42" t="inlineStr">
        <is>
          <t>Да</t>
        </is>
      </c>
      <c r="N67" s="48" t="inlineStr">
        <is>
          <t>Автосозданный вариант 1:1 из реального прайса</t>
        </is>
      </c>
      <c r="O67" s="42" t="inlineStr">
        <is>
          <t>шт</t>
        </is>
      </c>
      <c r="P67" s="56" t="n"/>
      <c r="Q67" s="42" t="inlineStr">
        <is>
          <t>шт</t>
        </is>
      </c>
      <c r="R67" s="42" t="n"/>
      <c r="S67" s="58" t="n"/>
      <c r="T67" s="42" t="inlineStr">
        <is>
          <t>Импорт из PRICE_MASTER</t>
        </is>
      </c>
      <c r="U67" s="42" t="n"/>
      <c r="V67" s="42" t="n"/>
      <c r="W67" s="42" t="n"/>
      <c r="X67" s="56" t="n"/>
      <c r="Y67" s="58" t="n"/>
      <c r="Z67" s="42" t="inlineStr">
        <is>
          <t>Высокая</t>
        </is>
      </c>
      <c r="AA67" s="42" t="inlineStr">
        <is>
          <t>SRC-0108</t>
        </is>
      </c>
    </row>
    <row r="68">
      <c r="A68" s="44" t="inlineStr">
        <is>
          <t>MV-0067</t>
        </is>
      </c>
      <c r="B68" s="41" t="inlineStr">
        <is>
          <t>RMAT-0067</t>
        </is>
      </c>
      <c r="C68" s="57" t="n"/>
      <c r="D68" s="41" t="n"/>
      <c r="E68" s="41" t="n"/>
      <c r="F68" s="41" t="n"/>
      <c r="G68" s="41" t="n"/>
      <c r="H68" s="41" t="n"/>
      <c r="I68" s="43" t="n">
        <v>9000</v>
      </c>
      <c r="J68" s="41" t="inlineStr">
        <is>
          <t>Материалы для разметки</t>
        </is>
      </c>
      <c r="K68" s="41" t="inlineStr">
        <is>
          <t>Показать строкой</t>
        </is>
      </c>
      <c r="L68" s="41" t="inlineStr">
        <is>
          <t>Да</t>
        </is>
      </c>
      <c r="M68" s="41" t="inlineStr">
        <is>
          <t>Да</t>
        </is>
      </c>
      <c r="N68" s="45" t="inlineStr">
        <is>
          <t>Автосозданный вариант 1:1 из реального прайса</t>
        </is>
      </c>
      <c r="O68" s="41" t="inlineStr">
        <is>
          <t>компл</t>
        </is>
      </c>
      <c r="P68" s="54" t="n"/>
      <c r="Q68" s="41" t="inlineStr">
        <is>
          <t>компл</t>
        </is>
      </c>
      <c r="R68" s="41" t="n"/>
      <c r="S68" s="57" t="n"/>
      <c r="T68" s="41" t="inlineStr">
        <is>
          <t>Импорт из PRICE_MASTER</t>
        </is>
      </c>
      <c r="U68" s="41" t="n"/>
      <c r="V68" s="41" t="n"/>
      <c r="W68" s="41" t="n"/>
      <c r="X68" s="54" t="n"/>
      <c r="Y68" s="57" t="n"/>
      <c r="Z68" s="41" t="inlineStr">
        <is>
          <t>Средняя</t>
        </is>
      </c>
      <c r="AA68" s="41" t="inlineStr">
        <is>
          <t>SRC-0109</t>
        </is>
      </c>
    </row>
    <row r="69">
      <c r="A69" s="47" t="inlineStr">
        <is>
          <t>MV-0068</t>
        </is>
      </c>
      <c r="B69" s="42" t="inlineStr">
        <is>
          <t>RMAT-0068</t>
        </is>
      </c>
      <c r="C69" s="58" t="n"/>
      <c r="D69" s="42" t="n"/>
      <c r="E69" s="42" t="n"/>
      <c r="F69" s="42" t="n"/>
      <c r="G69" s="42" t="n"/>
      <c r="H69" s="42" t="n"/>
      <c r="I69" s="46" t="n">
        <v>2000</v>
      </c>
      <c r="J69" s="42" t="inlineStr">
        <is>
          <t>Метизы</t>
        </is>
      </c>
      <c r="K69" s="42" t="inlineStr">
        <is>
          <t>Показать строкой</t>
        </is>
      </c>
      <c r="L69" s="42" t="inlineStr">
        <is>
          <t>Да</t>
        </is>
      </c>
      <c r="M69" s="42" t="inlineStr">
        <is>
          <t>Да</t>
        </is>
      </c>
      <c r="N69" s="48" t="inlineStr">
        <is>
          <t>Автосозданный вариант 1:1 из реального прайса</t>
        </is>
      </c>
      <c r="O69" s="42" t="inlineStr">
        <is>
          <t>кг</t>
        </is>
      </c>
      <c r="P69" s="56" t="n"/>
      <c r="Q69" s="42" t="inlineStr">
        <is>
          <t>кг</t>
        </is>
      </c>
      <c r="R69" s="42" t="n"/>
      <c r="S69" s="58" t="n"/>
      <c r="T69" s="42" t="inlineStr">
        <is>
          <t>Импорт из PRICE_MASTER</t>
        </is>
      </c>
      <c r="U69" s="42" t="n"/>
      <c r="V69" s="42" t="n"/>
      <c r="W69" s="42" t="n"/>
      <c r="X69" s="56" t="n"/>
      <c r="Y69" s="58" t="n"/>
      <c r="Z69" s="42" t="inlineStr">
        <is>
          <t>Высокая</t>
        </is>
      </c>
      <c r="AA69" s="42" t="inlineStr">
        <is>
          <t>SRC-0110</t>
        </is>
      </c>
    </row>
    <row r="70">
      <c r="A70" s="44" t="inlineStr">
        <is>
          <t>MV-0069</t>
        </is>
      </c>
      <c r="B70" s="41" t="inlineStr">
        <is>
          <t>RMAT-0069</t>
        </is>
      </c>
      <c r="C70" s="57" t="n"/>
      <c r="D70" s="41" t="n"/>
      <c r="E70" s="41" t="n"/>
      <c r="F70" s="41" t="n"/>
      <c r="G70" s="41" t="n"/>
      <c r="H70" s="41" t="n"/>
      <c r="I70" s="43" t="n">
        <v>630</v>
      </c>
      <c r="J70" s="41" t="inlineStr">
        <is>
          <t>Муфта d110мм для врезки в колодец</t>
        </is>
      </c>
      <c r="K70" s="41" t="inlineStr">
        <is>
          <t>Показать строкой</t>
        </is>
      </c>
      <c r="L70" s="41" t="inlineStr">
        <is>
          <t>Да</t>
        </is>
      </c>
      <c r="M70" s="41" t="inlineStr">
        <is>
          <t>Да</t>
        </is>
      </c>
      <c r="N70" s="45" t="inlineStr">
        <is>
          <t>Автосозданный вариант 1:1 из реального прайса</t>
        </is>
      </c>
      <c r="O70" s="41" t="inlineStr">
        <is>
          <t>шт</t>
        </is>
      </c>
      <c r="P70" s="54" t="n"/>
      <c r="Q70" s="41" t="inlineStr">
        <is>
          <t>шт</t>
        </is>
      </c>
      <c r="R70" s="41" t="n"/>
      <c r="S70" s="57" t="n"/>
      <c r="T70" s="41" t="inlineStr">
        <is>
          <t>Импорт из PRICE_MASTER</t>
        </is>
      </c>
      <c r="U70" s="41" t="n"/>
      <c r="V70" s="41" t="n"/>
      <c r="W70" s="41" t="n"/>
      <c r="X70" s="54" t="n"/>
      <c r="Y70" s="57" t="n"/>
      <c r="Z70" s="41" t="inlineStr">
        <is>
          <t>Высокая</t>
        </is>
      </c>
      <c r="AA70" s="41" t="inlineStr">
        <is>
          <t>SRC-0146</t>
        </is>
      </c>
    </row>
    <row r="71">
      <c r="A71" s="47" t="inlineStr">
        <is>
          <t>MV-0070</t>
        </is>
      </c>
      <c r="B71" s="42" t="inlineStr">
        <is>
          <t>RMAT-0070</t>
        </is>
      </c>
      <c r="C71" s="58" t="n"/>
      <c r="D71" s="42" t="n"/>
      <c r="E71" s="42" t="n"/>
      <c r="F71" s="42" t="n"/>
      <c r="G71" s="42" t="n"/>
      <c r="H71" s="42" t="n"/>
      <c r="I71" s="46" t="n">
        <v>1300</v>
      </c>
      <c r="J71" s="42" t="inlineStr">
        <is>
          <t>Муфта d160мм для врезки в колодец</t>
        </is>
      </c>
      <c r="K71" s="42" t="inlineStr">
        <is>
          <t>Показать строкой</t>
        </is>
      </c>
      <c r="L71" s="42" t="inlineStr">
        <is>
          <t>Да</t>
        </is>
      </c>
      <c r="M71" s="42" t="inlineStr">
        <is>
          <t>Да</t>
        </is>
      </c>
      <c r="N71" s="48" t="inlineStr">
        <is>
          <t>Автосозданный вариант 1:1 из реального прайса</t>
        </is>
      </c>
      <c r="O71" s="42" t="inlineStr">
        <is>
          <t>шт</t>
        </is>
      </c>
      <c r="P71" s="56" t="n"/>
      <c r="Q71" s="42" t="inlineStr">
        <is>
          <t>шт</t>
        </is>
      </c>
      <c r="R71" s="42" t="n"/>
      <c r="S71" s="58" t="n"/>
      <c r="T71" s="42" t="inlineStr">
        <is>
          <t>Импорт из PRICE_MASTER</t>
        </is>
      </c>
      <c r="U71" s="42" t="n"/>
      <c r="V71" s="42" t="n"/>
      <c r="W71" s="42" t="n"/>
      <c r="X71" s="56" t="n"/>
      <c r="Y71" s="58" t="n"/>
      <c r="Z71" s="42" t="inlineStr">
        <is>
          <t>Высокая</t>
        </is>
      </c>
      <c r="AA71" s="42" t="inlineStr">
        <is>
          <t>SRC-0147</t>
        </is>
      </c>
    </row>
    <row r="72">
      <c r="A72" s="44" t="inlineStr">
        <is>
          <t>MV-0071</t>
        </is>
      </c>
      <c r="B72" s="41" t="inlineStr">
        <is>
          <t>RMAT-0071</t>
        </is>
      </c>
      <c r="C72" s="57" t="n"/>
      <c r="D72" s="41" t="n"/>
      <c r="E72" s="41" t="n"/>
      <c r="F72" s="41" t="n"/>
      <c r="G72" s="41" t="n"/>
      <c r="H72" s="41" t="n"/>
      <c r="I72" s="43" t="n">
        <v>2150</v>
      </c>
      <c r="J72" s="41" t="inlineStr">
        <is>
          <t>Опора ландшафтная для установки светильников в бетон</t>
        </is>
      </c>
      <c r="K72" s="41" t="inlineStr">
        <is>
          <t>Показать строкой</t>
        </is>
      </c>
      <c r="L72" s="41" t="inlineStr">
        <is>
          <t>Да</t>
        </is>
      </c>
      <c r="M72" s="41" t="inlineStr">
        <is>
          <t>Да</t>
        </is>
      </c>
      <c r="N72" s="45" t="inlineStr">
        <is>
          <t>Автосозданный вариант 1:1 из реального прайса</t>
        </is>
      </c>
      <c r="O72" s="41" t="inlineStr">
        <is>
          <t>шт</t>
        </is>
      </c>
      <c r="P72" s="54" t="n"/>
      <c r="Q72" s="41" t="inlineStr">
        <is>
          <t>шт</t>
        </is>
      </c>
      <c r="R72" s="41" t="n"/>
      <c r="S72" s="57" t="n"/>
      <c r="T72" s="41" t="inlineStr">
        <is>
          <t>Импорт из PRICE_MASTER</t>
        </is>
      </c>
      <c r="U72" s="41" t="n"/>
      <c r="V72" s="41" t="n"/>
      <c r="W72" s="41" t="n"/>
      <c r="X72" s="54" t="n"/>
      <c r="Y72" s="57" t="n"/>
      <c r="Z72" s="41" t="inlineStr">
        <is>
          <t>Высокая</t>
        </is>
      </c>
      <c r="AA72" s="41" t="inlineStr">
        <is>
          <t>SRC-0156</t>
        </is>
      </c>
    </row>
    <row r="73">
      <c r="A73" s="47" t="inlineStr">
        <is>
          <t>MV-0072</t>
        </is>
      </c>
      <c r="B73" s="42" t="inlineStr">
        <is>
          <t>RMAT-0072</t>
        </is>
      </c>
      <c r="C73" s="58" t="n"/>
      <c r="D73" s="42" t="n"/>
      <c r="E73" s="42" t="n"/>
      <c r="F73" s="42" t="n"/>
      <c r="G73" s="42" t="n"/>
      <c r="H73" s="42" t="n"/>
      <c r="I73" s="46" t="n">
        <v>3100</v>
      </c>
      <c r="J73" s="42" t="inlineStr">
        <is>
          <t>Отсев гранитный</t>
        </is>
      </c>
      <c r="K73" s="42" t="inlineStr">
        <is>
          <t>Показать строкой</t>
        </is>
      </c>
      <c r="L73" s="42" t="inlineStr">
        <is>
          <t>Да</t>
        </is>
      </c>
      <c r="M73" s="42" t="inlineStr">
        <is>
          <t>Да</t>
        </is>
      </c>
      <c r="N73" s="48" t="inlineStr">
        <is>
          <t>Автосозданный вариант 1:1 из реального прайса</t>
        </is>
      </c>
      <c r="O73" s="42" t="inlineStr">
        <is>
          <t>м3</t>
        </is>
      </c>
      <c r="P73" s="56" t="n"/>
      <c r="Q73" s="42" t="inlineStr">
        <is>
          <t>м3</t>
        </is>
      </c>
      <c r="R73" s="42" t="n"/>
      <c r="S73" s="58" t="n"/>
      <c r="T73" s="42" t="inlineStr">
        <is>
          <t>Импорт из PRICE_MASTER</t>
        </is>
      </c>
      <c r="U73" s="42" t="n"/>
      <c r="V73" s="42" t="n"/>
      <c r="W73" s="42" t="n"/>
      <c r="X73" s="56" t="n"/>
      <c r="Y73" s="58" t="n"/>
      <c r="Z73" s="42" t="inlineStr">
        <is>
          <t>Высокая</t>
        </is>
      </c>
      <c r="AA73" s="42" t="inlineStr">
        <is>
          <t>SRC-0157</t>
        </is>
      </c>
    </row>
    <row r="74">
      <c r="A74" s="44" t="inlineStr">
        <is>
          <t>MV-0073</t>
        </is>
      </c>
      <c r="B74" s="41" t="inlineStr">
        <is>
          <t>RMAT-0073</t>
        </is>
      </c>
      <c r="C74" s="57" t="n"/>
      <c r="D74" s="41" t="n"/>
      <c r="E74" s="41" t="n"/>
      <c r="F74" s="41" t="n"/>
      <c r="G74" s="41" t="n"/>
      <c r="H74" s="41" t="n"/>
      <c r="I74" s="43" t="n">
        <v>1500</v>
      </c>
      <c r="J74" s="41" t="inlineStr">
        <is>
          <t>Отсев гранитный 2-5мм</t>
        </is>
      </c>
      <c r="K74" s="41" t="inlineStr">
        <is>
          <t>Показать строкой</t>
        </is>
      </c>
      <c r="L74" s="41" t="inlineStr">
        <is>
          <t>Да</t>
        </is>
      </c>
      <c r="M74" s="41" t="inlineStr">
        <is>
          <t>Да</t>
        </is>
      </c>
      <c r="N74" s="45" t="inlineStr">
        <is>
          <t>Автосозданный вариант 1:1 из реального прайса</t>
        </is>
      </c>
      <c r="O74" s="41" t="inlineStr">
        <is>
          <t>м3</t>
        </is>
      </c>
      <c r="P74" s="54" t="n"/>
      <c r="Q74" s="41" t="inlineStr">
        <is>
          <t>м3</t>
        </is>
      </c>
      <c r="R74" s="41" t="n"/>
      <c r="S74" s="57" t="n"/>
      <c r="T74" s="41" t="inlineStr">
        <is>
          <t>Импорт из PRICE_MASTER</t>
        </is>
      </c>
      <c r="U74" s="41" t="n"/>
      <c r="V74" s="41" t="n"/>
      <c r="W74" s="41" t="n"/>
      <c r="X74" s="54" t="n"/>
      <c r="Y74" s="57" t="n"/>
      <c r="Z74" s="41" t="inlineStr">
        <is>
          <t>Высокая</t>
        </is>
      </c>
      <c r="AA74" s="41" t="inlineStr">
        <is>
          <t>SRC-0158</t>
        </is>
      </c>
    </row>
    <row r="75">
      <c r="A75" s="47" t="inlineStr">
        <is>
          <t>MV-0074</t>
        </is>
      </c>
      <c r="B75" s="42" t="inlineStr">
        <is>
          <t>RMAT-0074</t>
        </is>
      </c>
      <c r="C75" s="58" t="n"/>
      <c r="D75" s="42" t="n"/>
      <c r="E75" s="42" t="n"/>
      <c r="F75" s="42" t="n"/>
      <c r="G75" s="42" t="n"/>
      <c r="H75" s="42" t="n"/>
      <c r="I75" s="46" t="n">
        <v>450</v>
      </c>
      <c r="J75" s="42" t="inlineStr">
        <is>
          <t>Отсев розовый 0-5мм, 50кг</t>
        </is>
      </c>
      <c r="K75" s="42" t="inlineStr">
        <is>
          <t>Показать строкой</t>
        </is>
      </c>
      <c r="L75" s="42" t="inlineStr">
        <is>
          <t>Да</t>
        </is>
      </c>
      <c r="M75" s="42" t="inlineStr">
        <is>
          <t>Да</t>
        </is>
      </c>
      <c r="N75" s="48" t="inlineStr">
        <is>
          <t>Автосозданный вариант 1:1 из реального прайса</t>
        </is>
      </c>
      <c r="O75" s="42" t="inlineStr">
        <is>
          <t>шт</t>
        </is>
      </c>
      <c r="P75" s="56" t="n"/>
      <c r="Q75" s="42" t="inlineStr">
        <is>
          <t>шт</t>
        </is>
      </c>
      <c r="R75" s="42" t="n"/>
      <c r="S75" s="58" t="n"/>
      <c r="T75" s="42" t="inlineStr">
        <is>
          <t>Импорт из PRICE_MASTER</t>
        </is>
      </c>
      <c r="U75" s="42" t="n"/>
      <c r="V75" s="42" t="n"/>
      <c r="W75" s="42" t="n"/>
      <c r="X75" s="56" t="n"/>
      <c r="Y75" s="58" t="n"/>
      <c r="Z75" s="42" t="inlineStr">
        <is>
          <t>Высокая</t>
        </is>
      </c>
      <c r="AA75" s="42" t="inlineStr">
        <is>
          <t>SRC-0159</t>
        </is>
      </c>
    </row>
    <row r="76">
      <c r="A76" s="44" t="inlineStr">
        <is>
          <t>MV-0075</t>
        </is>
      </c>
      <c r="B76" s="41" t="inlineStr">
        <is>
          <t>RMAT-0075</t>
        </is>
      </c>
      <c r="C76" s="57" t="n">
        <v>420</v>
      </c>
      <c r="D76" s="41" t="n"/>
      <c r="E76" s="41" t="n"/>
      <c r="F76" s="41" t="n"/>
      <c r="G76" s="41" t="n"/>
      <c r="H76" s="41" t="n"/>
      <c r="I76" s="43" t="n">
        <v>2700</v>
      </c>
      <c r="J76" s="41" t="inlineStr">
        <is>
          <t>Пескоуловители пластиковые 500х160х420мм с решетками ячеистыми чугунными</t>
        </is>
      </c>
      <c r="K76" s="41" t="inlineStr">
        <is>
          <t>Показать строкой</t>
        </is>
      </c>
      <c r="L76" s="41" t="inlineStr">
        <is>
          <t>Да</t>
        </is>
      </c>
      <c r="M76" s="41" t="inlineStr">
        <is>
          <t>Да</t>
        </is>
      </c>
      <c r="N76" s="45" t="inlineStr">
        <is>
          <t>Автосозданный вариант 1:1 из реального прайса</t>
        </is>
      </c>
      <c r="O76" s="41" t="inlineStr">
        <is>
          <t>шт</t>
        </is>
      </c>
      <c r="P76" s="54" t="n"/>
      <c r="Q76" s="41" t="inlineStr">
        <is>
          <t>шт</t>
        </is>
      </c>
      <c r="R76" s="41" t="n"/>
      <c r="S76" s="57" t="n"/>
      <c r="T76" s="41" t="inlineStr">
        <is>
          <t>Импорт из PRICE_MASTER</t>
        </is>
      </c>
      <c r="U76" s="41" t="n"/>
      <c r="V76" s="41" t="n"/>
      <c r="W76" s="41" t="n"/>
      <c r="X76" s="54" t="n"/>
      <c r="Y76" s="57" t="n"/>
      <c r="Z76" s="41" t="inlineStr">
        <is>
          <t>Высокая</t>
        </is>
      </c>
      <c r="AA76" s="41" t="inlineStr">
        <is>
          <t>SRC-0165</t>
        </is>
      </c>
    </row>
    <row r="77">
      <c r="A77" s="47" t="inlineStr">
        <is>
          <t>MV-0076</t>
        </is>
      </c>
      <c r="B77" s="42" t="inlineStr">
        <is>
          <t>RMAT-0076</t>
        </is>
      </c>
      <c r="C77" s="58" t="n"/>
      <c r="D77" s="42" t="n"/>
      <c r="E77" s="42" t="n"/>
      <c r="F77" s="42" t="n"/>
      <c r="G77" s="42" t="n"/>
      <c r="H77" s="42" t="n"/>
      <c r="I77" s="46" t="n">
        <v>2600</v>
      </c>
      <c r="J77" s="42" t="inlineStr">
        <is>
          <t>Песок крупнозернистый намывной</t>
        </is>
      </c>
      <c r="K77" s="42" t="inlineStr">
        <is>
          <t>Показать строкой</t>
        </is>
      </c>
      <c r="L77" s="42" t="inlineStr">
        <is>
          <t>Да</t>
        </is>
      </c>
      <c r="M77" s="42" t="inlineStr">
        <is>
          <t>Да</t>
        </is>
      </c>
      <c r="N77" s="48" t="inlineStr">
        <is>
          <t>Автосозданный вариант 1:1 из реального прайса</t>
        </is>
      </c>
      <c r="O77" s="42" t="inlineStr">
        <is>
          <t>м3</t>
        </is>
      </c>
      <c r="P77" s="56" t="n"/>
      <c r="Q77" s="42" t="inlineStr">
        <is>
          <t>м3</t>
        </is>
      </c>
      <c r="R77" s="42" t="n"/>
      <c r="S77" s="58" t="n"/>
      <c r="T77" s="42" t="inlineStr">
        <is>
          <t>Импорт из PRICE_MASTER</t>
        </is>
      </c>
      <c r="U77" s="42" t="n"/>
      <c r="V77" s="42" t="n"/>
      <c r="W77" s="42" t="n"/>
      <c r="X77" s="56" t="n"/>
      <c r="Y77" s="58" t="n"/>
      <c r="Z77" s="42" t="inlineStr">
        <is>
          <t>Высокая</t>
        </is>
      </c>
      <c r="AA77" s="42" t="inlineStr">
        <is>
          <t>SRC-0166</t>
        </is>
      </c>
    </row>
    <row r="78">
      <c r="A78" s="44" t="inlineStr">
        <is>
          <t>MV-0077</t>
        </is>
      </c>
      <c r="B78" s="41" t="inlineStr">
        <is>
          <t>RMAT-0077</t>
        </is>
      </c>
      <c r="C78" s="57" t="n"/>
      <c r="D78" s="41" t="n"/>
      <c r="E78" s="41" t="n"/>
      <c r="F78" s="41" t="n"/>
      <c r="G78" s="41" t="n"/>
      <c r="H78" s="41" t="n"/>
      <c r="I78" s="43" t="n">
        <v>399</v>
      </c>
      <c r="J78" s="41" t="inlineStr">
        <is>
          <t>Песок мелкий сеяный для швов, 50кг</t>
        </is>
      </c>
      <c r="K78" s="41" t="inlineStr">
        <is>
          <t>Показать строкой</t>
        </is>
      </c>
      <c r="L78" s="41" t="inlineStr">
        <is>
          <t>Да</t>
        </is>
      </c>
      <c r="M78" s="41" t="inlineStr">
        <is>
          <t>Да</t>
        </is>
      </c>
      <c r="N78" s="45" t="inlineStr">
        <is>
          <t>Автосозданный вариант 1:1 из реального прайса</t>
        </is>
      </c>
      <c r="O78" s="41" t="inlineStr">
        <is>
          <t>шт</t>
        </is>
      </c>
      <c r="P78" s="54" t="n"/>
      <c r="Q78" s="41" t="inlineStr">
        <is>
          <t>шт</t>
        </is>
      </c>
      <c r="R78" s="41" t="n"/>
      <c r="S78" s="57" t="n"/>
      <c r="T78" s="41" t="inlineStr">
        <is>
          <t>Импорт из PRICE_MASTER</t>
        </is>
      </c>
      <c r="U78" s="41" t="n"/>
      <c r="V78" s="41" t="n"/>
      <c r="W78" s="41" t="n"/>
      <c r="X78" s="54" t="n"/>
      <c r="Y78" s="57" t="n"/>
      <c r="Z78" s="41" t="inlineStr">
        <is>
          <t>Высокая</t>
        </is>
      </c>
      <c r="AA78" s="41" t="inlineStr">
        <is>
          <t>SRC-0167</t>
        </is>
      </c>
    </row>
    <row r="79">
      <c r="A79" s="47" t="inlineStr">
        <is>
          <t>MV-0078</t>
        </is>
      </c>
      <c r="B79" s="42" t="inlineStr">
        <is>
          <t>RMAT-0078</t>
        </is>
      </c>
      <c r="C79" s="58" t="n"/>
      <c r="D79" s="42" t="n"/>
      <c r="E79" s="42" t="n"/>
      <c r="F79" s="42" t="n"/>
      <c r="G79" s="42" t="n"/>
      <c r="H79" s="42" t="n"/>
      <c r="I79" s="46" t="n">
        <v>250</v>
      </c>
      <c r="J79" s="42" t="inlineStr">
        <is>
          <t>Песок строительный, 50кг</t>
        </is>
      </c>
      <c r="K79" s="42" t="inlineStr">
        <is>
          <t>Показать строкой</t>
        </is>
      </c>
      <c r="L79" s="42" t="inlineStr">
        <is>
          <t>Да</t>
        </is>
      </c>
      <c r="M79" s="42" t="inlineStr">
        <is>
          <t>Да</t>
        </is>
      </c>
      <c r="N79" s="48" t="inlineStr">
        <is>
          <t>Автосозданный вариант 1:1 из реального прайса</t>
        </is>
      </c>
      <c r="O79" s="42" t="inlineStr">
        <is>
          <t>шт</t>
        </is>
      </c>
      <c r="P79" s="56" t="n"/>
      <c r="Q79" s="42" t="inlineStr">
        <is>
          <t>шт</t>
        </is>
      </c>
      <c r="R79" s="42" t="n"/>
      <c r="S79" s="58" t="n"/>
      <c r="T79" s="42" t="inlineStr">
        <is>
          <t>Импорт из PRICE_MASTER</t>
        </is>
      </c>
      <c r="U79" s="42" t="n"/>
      <c r="V79" s="42" t="n"/>
      <c r="W79" s="42" t="n"/>
      <c r="X79" s="56" t="n"/>
      <c r="Y79" s="58" t="n"/>
      <c r="Z79" s="42" t="inlineStr">
        <is>
          <t>Высокая</t>
        </is>
      </c>
      <c r="AA79" s="42" t="inlineStr">
        <is>
          <t>SRC-0168</t>
        </is>
      </c>
    </row>
    <row r="80">
      <c r="A80" s="44" t="inlineStr">
        <is>
          <t>MV-0079</t>
        </is>
      </c>
      <c r="B80" s="41" t="inlineStr">
        <is>
          <t>RMAT-0079</t>
        </is>
      </c>
      <c r="C80" s="57" t="n"/>
      <c r="D80" s="41" t="n"/>
      <c r="E80" s="41" t="n"/>
      <c r="F80" s="41" t="n"/>
      <c r="G80" s="41" t="n"/>
      <c r="H80" s="41" t="n"/>
      <c r="I80" s="43" t="n">
        <v>30</v>
      </c>
      <c r="J80" s="41" t="inlineStr">
        <is>
          <t>пленка техническая 150мк</t>
        </is>
      </c>
      <c r="K80" s="41" t="inlineStr">
        <is>
          <t>Показать строкой</t>
        </is>
      </c>
      <c r="L80" s="41" t="inlineStr">
        <is>
          <t>Да</t>
        </is>
      </c>
      <c r="M80" s="41" t="inlineStr">
        <is>
          <t>Да</t>
        </is>
      </c>
      <c r="N80" s="45" t="inlineStr">
        <is>
          <t>Автосозданный вариант 1:1 из реального прайса</t>
        </is>
      </c>
      <c r="O80" s="41" t="inlineStr">
        <is>
          <t>м2</t>
        </is>
      </c>
      <c r="P80" s="54" t="n"/>
      <c r="Q80" s="41" t="inlineStr">
        <is>
          <t>м2</t>
        </is>
      </c>
      <c r="R80" s="41" t="n"/>
      <c r="S80" s="57" t="n"/>
      <c r="T80" s="41" t="inlineStr">
        <is>
          <t>Импорт из PRICE_MASTER</t>
        </is>
      </c>
      <c r="U80" s="41" t="n"/>
      <c r="V80" s="41" t="n"/>
      <c r="W80" s="41" t="n"/>
      <c r="X80" s="54" t="n"/>
      <c r="Y80" s="57" t="n"/>
      <c r="Z80" s="41" t="inlineStr">
        <is>
          <t>Высокая</t>
        </is>
      </c>
      <c r="AA80" s="41" t="inlineStr">
        <is>
          <t>SRC-0169</t>
        </is>
      </c>
    </row>
    <row r="81">
      <c r="A81" s="47" t="inlineStr">
        <is>
          <t>MV-0080</t>
        </is>
      </c>
      <c r="B81" s="42" t="inlineStr">
        <is>
          <t>RMAT-0080</t>
        </is>
      </c>
      <c r="C81" s="58" t="n"/>
      <c r="D81" s="42" t="n"/>
      <c r="E81" s="42" t="n"/>
      <c r="F81" s="42" t="n"/>
      <c r="G81" s="42" t="n"/>
      <c r="H81" s="42" t="n"/>
      <c r="I81" s="46" t="n">
        <v>2500</v>
      </c>
      <c r="J81" s="42" t="inlineStr">
        <is>
          <t>Плита бетонная, 40мм</t>
        </is>
      </c>
      <c r="K81" s="42" t="inlineStr">
        <is>
          <t>Показать строкой</t>
        </is>
      </c>
      <c r="L81" s="42" t="inlineStr">
        <is>
          <t>Да</t>
        </is>
      </c>
      <c r="M81" s="42" t="inlineStr">
        <is>
          <t>Да</t>
        </is>
      </c>
      <c r="N81" s="48" t="inlineStr">
        <is>
          <t>Автосозданный вариант 1:1 из реального прайса</t>
        </is>
      </c>
      <c r="O81" s="42" t="inlineStr">
        <is>
          <t>м2</t>
        </is>
      </c>
      <c r="P81" s="56" t="n"/>
      <c r="Q81" s="42" t="inlineStr">
        <is>
          <t>м2</t>
        </is>
      </c>
      <c r="R81" s="42" t="n"/>
      <c r="S81" s="58" t="n"/>
      <c r="T81" s="42" t="inlineStr">
        <is>
          <t>Импорт из PRICE_MASTER</t>
        </is>
      </c>
      <c r="U81" s="42" t="n"/>
      <c r="V81" s="42" t="n"/>
      <c r="W81" s="42" t="n"/>
      <c r="X81" s="56" t="n"/>
      <c r="Y81" s="58" t="n"/>
      <c r="Z81" s="42" t="inlineStr">
        <is>
          <t>Высокая</t>
        </is>
      </c>
      <c r="AA81" s="42" t="inlineStr">
        <is>
          <t>SRC-0170</t>
        </is>
      </c>
    </row>
    <row r="82">
      <c r="A82" s="44" t="inlineStr">
        <is>
          <t>MV-0081</t>
        </is>
      </c>
      <c r="B82" s="41" t="inlineStr">
        <is>
          <t>RMAT-0081</t>
        </is>
      </c>
      <c r="C82" s="57" t="n"/>
      <c r="D82" s="41" t="n"/>
      <c r="E82" s="41" t="n"/>
      <c r="F82" s="41" t="n"/>
      <c r="G82" s="41" t="n"/>
      <c r="H82" s="41" t="n"/>
      <c r="I82" s="43" t="n">
        <v>8500</v>
      </c>
      <c r="J82" s="41" t="inlineStr">
        <is>
          <t>Плита бетонная: толщина 50мм, ширина 0,36м, длина от 1 до 1,8м</t>
        </is>
      </c>
      <c r="K82" s="41" t="inlineStr">
        <is>
          <t>Показать строкой</t>
        </is>
      </c>
      <c r="L82" s="41" t="inlineStr">
        <is>
          <t>Да</t>
        </is>
      </c>
      <c r="M82" s="41" t="inlineStr">
        <is>
          <t>Да</t>
        </is>
      </c>
      <c r="N82" s="45" t="inlineStr">
        <is>
          <t>Автосозданный вариант 1:1 из реального прайса</t>
        </is>
      </c>
      <c r="O82" s="41" t="inlineStr">
        <is>
          <t>м2</t>
        </is>
      </c>
      <c r="P82" s="54" t="n"/>
      <c r="Q82" s="41" t="inlineStr">
        <is>
          <t>м2</t>
        </is>
      </c>
      <c r="R82" s="41" t="n"/>
      <c r="S82" s="57" t="n"/>
      <c r="T82" s="41" t="inlineStr">
        <is>
          <t>Импорт из PRICE_MASTER</t>
        </is>
      </c>
      <c r="U82" s="41" t="n"/>
      <c r="V82" s="41" t="n"/>
      <c r="W82" s="41" t="n"/>
      <c r="X82" s="54" t="n"/>
      <c r="Y82" s="57" t="n"/>
      <c r="Z82" s="41" t="inlineStr">
        <is>
          <t>Высокая</t>
        </is>
      </c>
      <c r="AA82" s="41" t="inlineStr">
        <is>
          <t>SRC-0171</t>
        </is>
      </c>
    </row>
    <row r="83">
      <c r="A83" s="47" t="inlineStr">
        <is>
          <t>MV-0082</t>
        </is>
      </c>
      <c r="B83" s="42" t="inlineStr">
        <is>
          <t>RMAT-0082</t>
        </is>
      </c>
      <c r="C83" s="58" t="n"/>
      <c r="D83" s="42" t="n"/>
      <c r="E83" s="42" t="n"/>
      <c r="F83" s="42" t="n"/>
      <c r="G83" s="42" t="n"/>
      <c r="H83" s="42" t="n"/>
      <c r="I83" s="46" t="n">
        <v>2200</v>
      </c>
      <c r="J83" s="42" t="inlineStr">
        <is>
          <t>Покрытие спортивное (однослойное ударопоглощающее резиновое на однокомпонентном полиуретановом связующем толщиной 15мм )</t>
        </is>
      </c>
      <c r="K83" s="42" t="inlineStr">
        <is>
          <t>Показать строкой</t>
        </is>
      </c>
      <c r="L83" s="42" t="inlineStr">
        <is>
          <t>Да</t>
        </is>
      </c>
      <c r="M83" s="42" t="inlineStr">
        <is>
          <t>Да</t>
        </is>
      </c>
      <c r="N83" s="48" t="inlineStr">
        <is>
          <t>Автосозданный вариант 1:1 из реального прайса</t>
        </is>
      </c>
      <c r="O83" s="42" t="inlineStr">
        <is>
          <t>м2</t>
        </is>
      </c>
      <c r="P83" s="56" t="n"/>
      <c r="Q83" s="42" t="inlineStr">
        <is>
          <t>м2</t>
        </is>
      </c>
      <c r="R83" s="42" t="n"/>
      <c r="S83" s="58" t="n"/>
      <c r="T83" s="42" t="inlineStr">
        <is>
          <t>Импорт из PRICE_MASTER</t>
        </is>
      </c>
      <c r="U83" s="42" t="n"/>
      <c r="V83" s="42" t="n"/>
      <c r="W83" s="42" t="n"/>
      <c r="X83" s="56" t="n"/>
      <c r="Y83" s="58" t="n"/>
      <c r="Z83" s="42" t="inlineStr">
        <is>
          <t>Высокая</t>
        </is>
      </c>
      <c r="AA83" s="42" t="inlineStr">
        <is>
          <t>SRC-0177</t>
        </is>
      </c>
    </row>
    <row r="84">
      <c r="A84" s="44" t="inlineStr">
        <is>
          <t>MV-0083</t>
        </is>
      </c>
      <c r="B84" s="41" t="inlineStr">
        <is>
          <t>RMAT-0083</t>
        </is>
      </c>
      <c r="C84" s="57" t="n"/>
      <c r="D84" s="41" t="n"/>
      <c r="E84" s="41" t="n"/>
      <c r="F84" s="41" t="n"/>
      <c r="G84" s="41" t="n"/>
      <c r="H84" s="41" t="n"/>
      <c r="I84" s="43" t="n">
        <v>605</v>
      </c>
      <c r="J84" s="41" t="inlineStr">
        <is>
          <t>Портландцемент М400, 50кг</t>
        </is>
      </c>
      <c r="K84" s="41" t="inlineStr">
        <is>
          <t>Показать строкой</t>
        </is>
      </c>
      <c r="L84" s="41" t="inlineStr">
        <is>
          <t>Да</t>
        </is>
      </c>
      <c r="M84" s="41" t="inlineStr">
        <is>
          <t>Да</t>
        </is>
      </c>
      <c r="N84" s="45" t="inlineStr">
        <is>
          <t>Автосозданный вариант 1:1 из реального прайса</t>
        </is>
      </c>
      <c r="O84" s="41" t="inlineStr">
        <is>
          <t>шт</t>
        </is>
      </c>
      <c r="P84" s="54" t="n"/>
      <c r="Q84" s="41" t="inlineStr">
        <is>
          <t>шт</t>
        </is>
      </c>
      <c r="R84" s="41" t="n"/>
      <c r="S84" s="57" t="n"/>
      <c r="T84" s="41" t="inlineStr">
        <is>
          <t>Импорт из PRICE_MASTER</t>
        </is>
      </c>
      <c r="U84" s="41" t="n"/>
      <c r="V84" s="41" t="n"/>
      <c r="W84" s="41" t="n"/>
      <c r="X84" s="54" t="n"/>
      <c r="Y84" s="57" t="n"/>
      <c r="Z84" s="41" t="inlineStr">
        <is>
          <t>Высокая</t>
        </is>
      </c>
      <c r="AA84" s="41" t="inlineStr">
        <is>
          <t>SRC-0178</t>
        </is>
      </c>
    </row>
    <row r="85">
      <c r="A85" s="47" t="inlineStr">
        <is>
          <t>MV-0084</t>
        </is>
      </c>
      <c r="B85" s="42" t="inlineStr">
        <is>
          <t>RMAT-0084</t>
        </is>
      </c>
      <c r="C85" s="58" t="n"/>
      <c r="D85" s="42" t="n"/>
      <c r="E85" s="42" t="n"/>
      <c r="F85" s="42" t="n"/>
      <c r="G85" s="42" t="n"/>
      <c r="H85" s="42" t="n"/>
      <c r="I85" s="46" t="n">
        <v>1100</v>
      </c>
      <c r="J85" s="42" t="inlineStr">
        <is>
          <t>Проволока вязальная</t>
        </is>
      </c>
      <c r="K85" s="42" t="inlineStr">
        <is>
          <t>Показать строкой</t>
        </is>
      </c>
      <c r="L85" s="42" t="inlineStr">
        <is>
          <t>Да</t>
        </is>
      </c>
      <c r="M85" s="42" t="inlineStr">
        <is>
          <t>Да</t>
        </is>
      </c>
      <c r="N85" s="48" t="inlineStr">
        <is>
          <t>Автосозданный вариант 1:1 из реального прайса</t>
        </is>
      </c>
      <c r="O85" s="42" t="inlineStr">
        <is>
          <t>шт</t>
        </is>
      </c>
      <c r="P85" s="56" t="n"/>
      <c r="Q85" s="42" t="inlineStr">
        <is>
          <t>шт</t>
        </is>
      </c>
      <c r="R85" s="42" t="n"/>
      <c r="S85" s="58" t="n"/>
      <c r="T85" s="42" t="inlineStr">
        <is>
          <t>Импорт из PRICE_MASTER</t>
        </is>
      </c>
      <c r="U85" s="42" t="n"/>
      <c r="V85" s="42" t="n"/>
      <c r="W85" s="42" t="n"/>
      <c r="X85" s="56" t="n"/>
      <c r="Y85" s="58" t="n"/>
      <c r="Z85" s="42" t="inlineStr">
        <is>
          <t>Высокая</t>
        </is>
      </c>
      <c r="AA85" s="42" t="inlineStr">
        <is>
          <t>SRC-0180</t>
        </is>
      </c>
    </row>
    <row r="86">
      <c r="A86" s="44" t="inlineStr">
        <is>
          <t>MV-0085</t>
        </is>
      </c>
      <c r="B86" s="41" t="inlineStr">
        <is>
          <t>RMAT-0085</t>
        </is>
      </c>
      <c r="C86" s="57" t="n"/>
      <c r="D86" s="41" t="n"/>
      <c r="E86" s="41" t="n"/>
      <c r="F86" s="41" t="n"/>
      <c r="G86" s="41" t="n"/>
      <c r="H86" s="41" t="n"/>
      <c r="I86" s="43" t="n">
        <v>1700</v>
      </c>
      <c r="J86" s="41" t="inlineStr">
        <is>
          <t>Просеивание местного грунта</t>
        </is>
      </c>
      <c r="K86" s="41" t="inlineStr">
        <is>
          <t>Показать строкой</t>
        </is>
      </c>
      <c r="L86" s="41" t="inlineStr">
        <is>
          <t>Да</t>
        </is>
      </c>
      <c r="M86" s="41" t="inlineStr">
        <is>
          <t>Да</t>
        </is>
      </c>
      <c r="N86" s="45" t="inlineStr">
        <is>
          <t>Автосозданный вариант 1:1 из реального прайса</t>
        </is>
      </c>
      <c r="O86" s="41" t="inlineStr">
        <is>
          <t>м3</t>
        </is>
      </c>
      <c r="P86" s="54" t="n"/>
      <c r="Q86" s="41" t="inlineStr">
        <is>
          <t>м3</t>
        </is>
      </c>
      <c r="R86" s="41" t="n"/>
      <c r="S86" s="57" t="n"/>
      <c r="T86" s="41" t="inlineStr">
        <is>
          <t>Импорт из PRICE_MASTER</t>
        </is>
      </c>
      <c r="U86" s="41" t="n"/>
      <c r="V86" s="41" t="n"/>
      <c r="W86" s="41" t="n"/>
      <c r="X86" s="54" t="n"/>
      <c r="Y86" s="57" t="n"/>
      <c r="Z86" s="41" t="inlineStr">
        <is>
          <t>Высокая</t>
        </is>
      </c>
      <c r="AA86" s="41" t="inlineStr">
        <is>
          <t>SRC-0182</t>
        </is>
      </c>
    </row>
    <row r="87">
      <c r="A87" s="47" t="inlineStr">
        <is>
          <t>MV-0086</t>
        </is>
      </c>
      <c r="B87" s="42" t="inlineStr">
        <is>
          <t>RMAT-0086</t>
        </is>
      </c>
      <c r="C87" s="58" t="n"/>
      <c r="D87" s="42" t="n"/>
      <c r="E87" s="42" t="n"/>
      <c r="F87" s="42" t="n"/>
      <c r="G87" s="42" t="n"/>
      <c r="H87" s="42" t="n"/>
      <c r="I87" s="46" t="n">
        <v>131400</v>
      </c>
      <c r="J87" s="42" t="inlineStr">
        <is>
          <t>Профиль алюминиевый</t>
        </is>
      </c>
      <c r="K87" s="42" t="inlineStr">
        <is>
          <t>Показать строкой</t>
        </is>
      </c>
      <c r="L87" s="42" t="inlineStr">
        <is>
          <t>Да</t>
        </is>
      </c>
      <c r="M87" s="42" t="inlineStr">
        <is>
          <t>Да</t>
        </is>
      </c>
      <c r="N87" s="48" t="inlineStr">
        <is>
          <t>Автосозданный вариант 1:1 из реального прайса</t>
        </is>
      </c>
      <c r="O87" s="42" t="inlineStr">
        <is>
          <t>компл</t>
        </is>
      </c>
      <c r="P87" s="56" t="n"/>
      <c r="Q87" s="42" t="inlineStr">
        <is>
          <t>компл</t>
        </is>
      </c>
      <c r="R87" s="42" t="n"/>
      <c r="S87" s="58" t="n"/>
      <c r="T87" s="42" t="inlineStr">
        <is>
          <t>Импорт из PRICE_MASTER</t>
        </is>
      </c>
      <c r="U87" s="42" t="n"/>
      <c r="V87" s="42" t="n"/>
      <c r="W87" s="42" t="n"/>
      <c r="X87" s="56" t="n"/>
      <c r="Y87" s="58" t="n"/>
      <c r="Z87" s="42" t="inlineStr">
        <is>
          <t>Высокая</t>
        </is>
      </c>
      <c r="AA87" s="42" t="inlineStr">
        <is>
          <t>SRC-0183</t>
        </is>
      </c>
    </row>
    <row r="88">
      <c r="A88" s="44" t="inlineStr">
        <is>
          <t>MV-0087</t>
        </is>
      </c>
      <c r="B88" s="41" t="inlineStr">
        <is>
          <t>RMAT-0087</t>
        </is>
      </c>
      <c r="C88" s="57" t="n"/>
      <c r="D88" s="41" t="n"/>
      <c r="E88" s="41" t="n"/>
      <c r="F88" s="41" t="n"/>
      <c r="G88" s="41" t="n"/>
      <c r="H88" s="41" t="n"/>
      <c r="I88" s="43" t="n"/>
      <c r="J88" s="41" t="inlineStr">
        <is>
          <t>Расходные материалы</t>
        </is>
      </c>
      <c r="K88" s="41" t="inlineStr">
        <is>
          <t>Свернуть в раздел</t>
        </is>
      </c>
      <c r="L88" s="41" t="inlineStr">
        <is>
          <t>Да</t>
        </is>
      </c>
      <c r="M88" s="41" t="inlineStr">
        <is>
          <t>Да</t>
        </is>
      </c>
      <c r="N88" s="45" t="inlineStr">
        <is>
          <t>Автосозданный вариант 1:1 из реального прайса</t>
        </is>
      </c>
      <c r="O88" s="41" t="inlineStr">
        <is>
          <t>компл</t>
        </is>
      </c>
      <c r="P88" s="54" t="n"/>
      <c r="Q88" s="41" t="inlineStr">
        <is>
          <t>компл</t>
        </is>
      </c>
      <c r="R88" s="41" t="n"/>
      <c r="S88" s="57" t="n"/>
      <c r="T88" s="41" t="inlineStr">
        <is>
          <t>Импорт из PRICE_MASTER</t>
        </is>
      </c>
      <c r="U88" s="41" t="n"/>
      <c r="V88" s="41" t="n"/>
      <c r="W88" s="41" t="n"/>
      <c r="X88" s="54" t="n"/>
      <c r="Y88" s="57" t="n"/>
      <c r="Z88" s="41" t="inlineStr">
        <is>
          <t>Средняя</t>
        </is>
      </c>
      <c r="AA88" s="41" t="inlineStr">
        <is>
          <t>SRC-0188</t>
        </is>
      </c>
    </row>
    <row r="89">
      <c r="A89" s="47" t="inlineStr">
        <is>
          <t>MV-0088</t>
        </is>
      </c>
      <c r="B89" s="42" t="inlineStr">
        <is>
          <t>RMAT-0088</t>
        </is>
      </c>
      <c r="C89" s="58" t="n"/>
      <c r="D89" s="42" t="n"/>
      <c r="E89" s="42" t="n"/>
      <c r="F89" s="42" t="n"/>
      <c r="G89" s="42" t="n"/>
      <c r="H89" s="42" t="n"/>
      <c r="I89" s="46" t="n">
        <v>645</v>
      </c>
      <c r="J89" s="42" t="inlineStr">
        <is>
          <t>Ровнитель для бетона Plitonit, 25кг</t>
        </is>
      </c>
      <c r="K89" s="42" t="inlineStr">
        <is>
          <t>Показать строкой</t>
        </is>
      </c>
      <c r="L89" s="42" t="inlineStr">
        <is>
          <t>Да</t>
        </is>
      </c>
      <c r="M89" s="42" t="inlineStr">
        <is>
          <t>Да</t>
        </is>
      </c>
      <c r="N89" s="48" t="inlineStr">
        <is>
          <t>Автосозданный вариант 1:1 из реального прайса</t>
        </is>
      </c>
      <c r="O89" s="42" t="inlineStr">
        <is>
          <t>шт</t>
        </is>
      </c>
      <c r="P89" s="56" t="n"/>
      <c r="Q89" s="42" t="inlineStr">
        <is>
          <t>шт</t>
        </is>
      </c>
      <c r="R89" s="42" t="n"/>
      <c r="S89" s="58" t="n"/>
      <c r="T89" s="42" t="inlineStr">
        <is>
          <t>Импорт из PRICE_MASTER</t>
        </is>
      </c>
      <c r="U89" s="42" t="n"/>
      <c r="V89" s="42" t="n"/>
      <c r="W89" s="42" t="n"/>
      <c r="X89" s="56" t="n"/>
      <c r="Y89" s="58" t="n"/>
      <c r="Z89" s="42" t="inlineStr">
        <is>
          <t>Высокая</t>
        </is>
      </c>
      <c r="AA89" s="42" t="inlineStr">
        <is>
          <t>SRC-0189</t>
        </is>
      </c>
    </row>
    <row r="90">
      <c r="A90" s="44" t="inlineStr">
        <is>
          <t>MV-0089</t>
        </is>
      </c>
      <c r="B90" s="41" t="inlineStr">
        <is>
          <t>RMAT-0089</t>
        </is>
      </c>
      <c r="C90" s="57" t="n"/>
      <c r="D90" s="41" t="n"/>
      <c r="E90" s="41" t="n"/>
      <c r="F90" s="41" t="n"/>
      <c r="G90" s="41" t="n"/>
      <c r="H90" s="41" t="n"/>
      <c r="I90" s="43" t="n">
        <v>1100</v>
      </c>
      <c r="J90" s="41" t="inlineStr">
        <is>
          <t>Розетка двойная наружная с заземлением с крышкой ФОРС IP54 ERS22-K03-16-54-DC IEK</t>
        </is>
      </c>
      <c r="K90" s="41" t="inlineStr">
        <is>
          <t>Показать строкой</t>
        </is>
      </c>
      <c r="L90" s="41" t="inlineStr">
        <is>
          <t>Да</t>
        </is>
      </c>
      <c r="M90" s="41" t="inlineStr">
        <is>
          <t>Да</t>
        </is>
      </c>
      <c r="N90" s="45" t="inlineStr">
        <is>
          <t>Автосозданный вариант 1:1 из реального прайса</t>
        </is>
      </c>
      <c r="O90" s="41" t="inlineStr">
        <is>
          <t>шт</t>
        </is>
      </c>
      <c r="P90" s="54" t="n"/>
      <c r="Q90" s="41" t="inlineStr">
        <is>
          <t>шт</t>
        </is>
      </c>
      <c r="R90" s="41" t="n"/>
      <c r="S90" s="57" t="n"/>
      <c r="T90" s="41" t="inlineStr">
        <is>
          <t>Импорт из PRICE_MASTER</t>
        </is>
      </c>
      <c r="U90" s="41" t="n"/>
      <c r="V90" s="41" t="n"/>
      <c r="W90" s="41" t="n"/>
      <c r="X90" s="54" t="n"/>
      <c r="Y90" s="57" t="n"/>
      <c r="Z90" s="41" t="inlineStr">
        <is>
          <t>Высокая</t>
        </is>
      </c>
      <c r="AA90" s="41" t="inlineStr">
        <is>
          <t>SRC-0190</t>
        </is>
      </c>
    </row>
    <row r="91">
      <c r="A91" s="47" t="inlineStr">
        <is>
          <t>MV-0090</t>
        </is>
      </c>
      <c r="B91" s="42" t="inlineStr">
        <is>
          <t>RMAT-0090</t>
        </is>
      </c>
      <c r="C91" s="58" t="n"/>
      <c r="D91" s="42" t="n"/>
      <c r="E91" s="42" t="n"/>
      <c r="F91" s="42" t="n"/>
      <c r="G91" s="42" t="n"/>
      <c r="H91" s="42" t="n"/>
      <c r="I91" s="46" t="n">
        <v>7900</v>
      </c>
      <c r="J91" s="42" t="inlineStr">
        <is>
          <t>Розетка садовая Paulmann Rio 94657, столб с двумя розетками</t>
        </is>
      </c>
      <c r="K91" s="42" t="inlineStr">
        <is>
          <t>Показать строкой</t>
        </is>
      </c>
      <c r="L91" s="42" t="inlineStr">
        <is>
          <t>Да</t>
        </is>
      </c>
      <c r="M91" s="42" t="inlineStr">
        <is>
          <t>Да</t>
        </is>
      </c>
      <c r="N91" s="48" t="inlineStr">
        <is>
          <t>Автосозданный вариант 1:1 из реального прайса</t>
        </is>
      </c>
      <c r="O91" s="42" t="inlineStr">
        <is>
          <t>шт</t>
        </is>
      </c>
      <c r="P91" s="56" t="n"/>
      <c r="Q91" s="42" t="inlineStr">
        <is>
          <t>шт</t>
        </is>
      </c>
      <c r="R91" s="42" t="n"/>
      <c r="S91" s="58" t="n"/>
      <c r="T91" s="42" t="inlineStr">
        <is>
          <t>Импорт из PRICE_MASTER</t>
        </is>
      </c>
      <c r="U91" s="42" t="n"/>
      <c r="V91" s="42" t="n"/>
      <c r="W91" s="42" t="n"/>
      <c r="X91" s="56" t="n"/>
      <c r="Y91" s="58" t="n"/>
      <c r="Z91" s="42" t="inlineStr">
        <is>
          <t>Высокая</t>
        </is>
      </c>
      <c r="AA91" s="42" t="inlineStr">
        <is>
          <t>SRC-0191</t>
        </is>
      </c>
    </row>
    <row r="92">
      <c r="A92" s="44" t="inlineStr">
        <is>
          <t>MV-0091</t>
        </is>
      </c>
      <c r="B92" s="41" t="inlineStr">
        <is>
          <t>RMAT-0091</t>
        </is>
      </c>
      <c r="C92" s="57" t="n"/>
      <c r="D92" s="41" t="n"/>
      <c r="E92" s="41" t="n"/>
      <c r="F92" s="41" t="n"/>
      <c r="G92" s="41" t="n"/>
      <c r="H92" s="41" t="n"/>
      <c r="I92" s="43" t="n">
        <v>1470</v>
      </c>
      <c r="J92" s="41" t="inlineStr">
        <is>
          <t>Саморезы нержавеющие, 5см (1500шт.)</t>
        </is>
      </c>
      <c r="K92" s="41" t="inlineStr">
        <is>
          <t>Показать строкой</t>
        </is>
      </c>
      <c r="L92" s="41" t="inlineStr">
        <is>
          <t>Да</t>
        </is>
      </c>
      <c r="M92" s="41" t="inlineStr">
        <is>
          <t>Да</t>
        </is>
      </c>
      <c r="N92" s="45" t="inlineStr">
        <is>
          <t>Автосозданный вариант 1:1 из реального прайса</t>
        </is>
      </c>
      <c r="O92" s="41" t="inlineStr">
        <is>
          <t>уп.</t>
        </is>
      </c>
      <c r="P92" s="54" t="n"/>
      <c r="Q92" s="41" t="inlineStr">
        <is>
          <t>уп.</t>
        </is>
      </c>
      <c r="R92" s="41" t="n"/>
      <c r="S92" s="57" t="n"/>
      <c r="T92" s="41" t="inlineStr">
        <is>
          <t>Импорт из PRICE_MASTER</t>
        </is>
      </c>
      <c r="U92" s="41" t="n"/>
      <c r="V92" s="41" t="n"/>
      <c r="W92" s="41" t="n"/>
      <c r="X92" s="54" t="n"/>
      <c r="Y92" s="57" t="n"/>
      <c r="Z92" s="41" t="inlineStr">
        <is>
          <t>Высокая</t>
        </is>
      </c>
      <c r="AA92" s="41" t="inlineStr">
        <is>
          <t>SRC-0193</t>
        </is>
      </c>
    </row>
    <row r="93">
      <c r="A93" s="47" t="inlineStr">
        <is>
          <t>MV-0092</t>
        </is>
      </c>
      <c r="B93" s="42" t="inlineStr">
        <is>
          <t>RMAT-0092</t>
        </is>
      </c>
      <c r="C93" s="58" t="n"/>
      <c r="D93" s="42" t="n"/>
      <c r="E93" s="42" t="n"/>
      <c r="F93" s="42" t="n"/>
      <c r="G93" s="42" t="n"/>
      <c r="H93" s="42" t="n"/>
      <c r="I93" s="46" t="n">
        <v>680</v>
      </c>
      <c r="J93" s="42" t="inlineStr">
        <is>
          <t>Саморезы по дереву</t>
        </is>
      </c>
      <c r="K93" s="42" t="inlineStr">
        <is>
          <t>Показать строкой</t>
        </is>
      </c>
      <c r="L93" s="42" t="inlineStr">
        <is>
          <t>Да</t>
        </is>
      </c>
      <c r="M93" s="42" t="inlineStr">
        <is>
          <t>Да</t>
        </is>
      </c>
      <c r="N93" s="48" t="inlineStr">
        <is>
          <t>Автосозданный вариант 1:1 из реального прайса</t>
        </is>
      </c>
      <c r="O93" s="42" t="inlineStr">
        <is>
          <t>уп.</t>
        </is>
      </c>
      <c r="P93" s="56" t="n"/>
      <c r="Q93" s="42" t="inlineStr">
        <is>
          <t>уп.</t>
        </is>
      </c>
      <c r="R93" s="42" t="n"/>
      <c r="S93" s="58" t="n"/>
      <c r="T93" s="42" t="inlineStr">
        <is>
          <t>Импорт из PRICE_MASTER</t>
        </is>
      </c>
      <c r="U93" s="42" t="n"/>
      <c r="V93" s="42" t="n"/>
      <c r="W93" s="42" t="n"/>
      <c r="X93" s="56" t="n"/>
      <c r="Y93" s="58" t="n"/>
      <c r="Z93" s="42" t="inlineStr">
        <is>
          <t>Высокая</t>
        </is>
      </c>
      <c r="AA93" s="42" t="inlineStr">
        <is>
          <t>SRC-0194</t>
        </is>
      </c>
    </row>
    <row r="94">
      <c r="A94" s="44" t="inlineStr">
        <is>
          <t>MV-0093</t>
        </is>
      </c>
      <c r="B94" s="41" t="inlineStr">
        <is>
          <t>RMAT-0093</t>
        </is>
      </c>
      <c r="C94" s="57" t="n"/>
      <c r="D94" s="41" t="n"/>
      <c r="E94" s="41" t="n"/>
      <c r="F94" s="41" t="n"/>
      <c r="G94" s="41" t="n"/>
      <c r="H94" s="41" t="n"/>
      <c r="I94" s="43" t="n">
        <v>540</v>
      </c>
      <c r="J94" s="41" t="inlineStr">
        <is>
          <t>Сверло по дереву 8*100мм</t>
        </is>
      </c>
      <c r="K94" s="41" t="inlineStr">
        <is>
          <t>Показать строкой</t>
        </is>
      </c>
      <c r="L94" s="41" t="inlineStr">
        <is>
          <t>Да</t>
        </is>
      </c>
      <c r="M94" s="41" t="inlineStr">
        <is>
          <t>Да</t>
        </is>
      </c>
      <c r="N94" s="45" t="inlineStr">
        <is>
          <t>Автосозданный вариант 1:1 из реального прайса</t>
        </is>
      </c>
      <c r="O94" s="41" t="inlineStr">
        <is>
          <t>шт</t>
        </is>
      </c>
      <c r="P94" s="54" t="n"/>
      <c r="Q94" s="41" t="inlineStr">
        <is>
          <t>шт</t>
        </is>
      </c>
      <c r="R94" s="41" t="n"/>
      <c r="S94" s="57" t="n"/>
      <c r="T94" s="41" t="inlineStr">
        <is>
          <t>Импорт из PRICE_MASTER</t>
        </is>
      </c>
      <c r="U94" s="41" t="n"/>
      <c r="V94" s="41" t="n"/>
      <c r="W94" s="41" t="n"/>
      <c r="X94" s="54" t="n"/>
      <c r="Y94" s="57" t="n"/>
      <c r="Z94" s="41" t="inlineStr">
        <is>
          <t>Высокая</t>
        </is>
      </c>
      <c r="AA94" s="41" t="inlineStr">
        <is>
          <t>SRC-0195</t>
        </is>
      </c>
    </row>
    <row r="95">
      <c r="A95" s="47" t="inlineStr">
        <is>
          <t>MV-0094</t>
        </is>
      </c>
      <c r="B95" s="42" t="inlineStr">
        <is>
          <t>RMAT-0094</t>
        </is>
      </c>
      <c r="C95" s="58" t="n"/>
      <c r="D95" s="42" t="n"/>
      <c r="E95" s="42" t="n"/>
      <c r="F95" s="42" t="n"/>
      <c r="G95" s="42" t="n"/>
      <c r="H95" s="42" t="n"/>
      <c r="I95" s="46" t="n">
        <v>12000</v>
      </c>
      <c r="J95" s="42" t="inlineStr">
        <is>
          <t>Светильник</t>
        </is>
      </c>
      <c r="K95" s="42" t="inlineStr">
        <is>
          <t>Показать строкой</t>
        </is>
      </c>
      <c r="L95" s="42" t="inlineStr">
        <is>
          <t>Да</t>
        </is>
      </c>
      <c r="M95" s="42" t="inlineStr">
        <is>
          <t>Да</t>
        </is>
      </c>
      <c r="N95" s="48" t="inlineStr">
        <is>
          <t>Автосозданный вариант 1:1 из реального прайса</t>
        </is>
      </c>
      <c r="O95" s="42" t="inlineStr">
        <is>
          <t>шт</t>
        </is>
      </c>
      <c r="P95" s="56" t="n"/>
      <c r="Q95" s="42" t="inlineStr">
        <is>
          <t>шт</t>
        </is>
      </c>
      <c r="R95" s="42" t="n"/>
      <c r="S95" s="58" t="n"/>
      <c r="T95" s="42" t="inlineStr">
        <is>
          <t>Импорт из PRICE_MASTER</t>
        </is>
      </c>
      <c r="U95" s="42" t="n"/>
      <c r="V95" s="42" t="n"/>
      <c r="W95" s="42" t="n"/>
      <c r="X95" s="56" t="n"/>
      <c r="Y95" s="58" t="n"/>
      <c r="Z95" s="42" t="inlineStr">
        <is>
          <t>Высокая</t>
        </is>
      </c>
      <c r="AA95" s="42" t="inlineStr">
        <is>
          <t>SRC-0196</t>
        </is>
      </c>
    </row>
    <row r="96">
      <c r="A96" s="44" t="inlineStr">
        <is>
          <t>MV-0095</t>
        </is>
      </c>
      <c r="B96" s="41" t="inlineStr">
        <is>
          <t>RMAT-0095</t>
        </is>
      </c>
      <c r="C96" s="57" t="n"/>
      <c r="D96" s="41" t="n"/>
      <c r="E96" s="41" t="n"/>
      <c r="F96" s="41" t="n"/>
      <c r="G96" s="41" t="n"/>
      <c r="H96" s="41" t="n"/>
      <c r="I96" s="43" t="n">
        <v>20000</v>
      </c>
      <c r="J96" s="41" t="inlineStr">
        <is>
          <t>Светильник h=1000</t>
        </is>
      </c>
      <c r="K96" s="41" t="inlineStr">
        <is>
          <t>Показать строкой</t>
        </is>
      </c>
      <c r="L96" s="41" t="inlineStr">
        <is>
          <t>Да</t>
        </is>
      </c>
      <c r="M96" s="41" t="inlineStr">
        <is>
          <t>Да</t>
        </is>
      </c>
      <c r="N96" s="45" t="inlineStr">
        <is>
          <t>Автосозданный вариант 1:1 из реального прайса</t>
        </is>
      </c>
      <c r="O96" s="41" t="inlineStr">
        <is>
          <t>шт</t>
        </is>
      </c>
      <c r="P96" s="54" t="n"/>
      <c r="Q96" s="41" t="inlineStr">
        <is>
          <t>шт</t>
        </is>
      </c>
      <c r="R96" s="41" t="n"/>
      <c r="S96" s="57" t="n"/>
      <c r="T96" s="41" t="inlineStr">
        <is>
          <t>Импорт из PRICE_MASTER</t>
        </is>
      </c>
      <c r="U96" s="41" t="n"/>
      <c r="V96" s="41" t="n"/>
      <c r="W96" s="41" t="n"/>
      <c r="X96" s="54" t="n"/>
      <c r="Y96" s="57" t="n"/>
      <c r="Z96" s="41" t="inlineStr">
        <is>
          <t>Высокая</t>
        </is>
      </c>
      <c r="AA96" s="41" t="inlineStr">
        <is>
          <t>SRC-0197</t>
        </is>
      </c>
    </row>
    <row r="97">
      <c r="A97" s="47" t="inlineStr">
        <is>
          <t>MV-0096</t>
        </is>
      </c>
      <c r="B97" s="42" t="inlineStr">
        <is>
          <t>RMAT-0096</t>
        </is>
      </c>
      <c r="C97" s="58" t="n"/>
      <c r="D97" s="42" t="n"/>
      <c r="E97" s="42" t="n"/>
      <c r="F97" s="42" t="n"/>
      <c r="G97" s="42" t="n"/>
      <c r="H97" s="42" t="n"/>
      <c r="I97" s="46" t="n">
        <v>18000</v>
      </c>
      <c r="J97" s="42" t="inlineStr">
        <is>
          <t>Светильник h=600</t>
        </is>
      </c>
      <c r="K97" s="42" t="inlineStr">
        <is>
          <t>Показать строкой</t>
        </is>
      </c>
      <c r="L97" s="42" t="inlineStr">
        <is>
          <t>Да</t>
        </is>
      </c>
      <c r="M97" s="42" t="inlineStr">
        <is>
          <t>Да</t>
        </is>
      </c>
      <c r="N97" s="48" t="inlineStr">
        <is>
          <t>Автосозданный вариант 1:1 из реального прайса</t>
        </is>
      </c>
      <c r="O97" s="42" t="inlineStr">
        <is>
          <t>шт</t>
        </is>
      </c>
      <c r="P97" s="56" t="n"/>
      <c r="Q97" s="42" t="inlineStr">
        <is>
          <t>шт</t>
        </is>
      </c>
      <c r="R97" s="42" t="n"/>
      <c r="S97" s="58" t="n"/>
      <c r="T97" s="42" t="inlineStr">
        <is>
          <t>Импорт из PRICE_MASTER</t>
        </is>
      </c>
      <c r="U97" s="42" t="n"/>
      <c r="V97" s="42" t="n"/>
      <c r="W97" s="42" t="n"/>
      <c r="X97" s="56" t="n"/>
      <c r="Y97" s="58" t="n"/>
      <c r="Z97" s="42" t="inlineStr">
        <is>
          <t>Высокая</t>
        </is>
      </c>
      <c r="AA97" s="42" t="inlineStr">
        <is>
          <t>SRC-0198</t>
        </is>
      </c>
    </row>
    <row r="98">
      <c r="A98" s="44" t="inlineStr">
        <is>
          <t>MV-0097</t>
        </is>
      </c>
      <c r="B98" s="41" t="inlineStr">
        <is>
          <t>RMAT-0097</t>
        </is>
      </c>
      <c r="C98" s="57" t="n"/>
      <c r="D98" s="41" t="n"/>
      <c r="E98" s="41" t="n"/>
      <c r="F98" s="41" t="n"/>
      <c r="G98" s="41" t="n"/>
      <c r="H98" s="41" t="n"/>
      <c r="I98" s="43" t="n">
        <v>225</v>
      </c>
      <c r="J98" s="41" t="inlineStr">
        <is>
          <t>Сетка кладочная яч. 50х50мм d3,5-3,8мм, 0,51х2м</t>
        </is>
      </c>
      <c r="K98" s="41" t="inlineStr">
        <is>
          <t>Показать строкой</t>
        </is>
      </c>
      <c r="L98" s="41" t="inlineStr">
        <is>
          <t>Да</t>
        </is>
      </c>
      <c r="M98" s="41" t="inlineStr">
        <is>
          <t>Да</t>
        </is>
      </c>
      <c r="N98" s="45" t="inlineStr">
        <is>
          <t>Автосозданный вариант 1:1 из реального прайса</t>
        </is>
      </c>
      <c r="O98" s="41" t="inlineStr">
        <is>
          <t>шт</t>
        </is>
      </c>
      <c r="P98" s="54" t="n"/>
      <c r="Q98" s="41" t="inlineStr">
        <is>
          <t>шт</t>
        </is>
      </c>
      <c r="R98" s="41" t="n"/>
      <c r="S98" s="57" t="n"/>
      <c r="T98" s="41" t="inlineStr">
        <is>
          <t>Импорт из PRICE_MASTER</t>
        </is>
      </c>
      <c r="U98" s="41" t="n"/>
      <c r="V98" s="41" t="n"/>
      <c r="W98" s="41" t="n"/>
      <c r="X98" s="54" t="n"/>
      <c r="Y98" s="57" t="n"/>
      <c r="Z98" s="41" t="inlineStr">
        <is>
          <t>Высокая</t>
        </is>
      </c>
      <c r="AA98" s="41" t="inlineStr">
        <is>
          <t>SRC-0199</t>
        </is>
      </c>
    </row>
    <row r="99">
      <c r="A99" s="47" t="inlineStr">
        <is>
          <t>MV-0098</t>
        </is>
      </c>
      <c r="B99" s="42" t="inlineStr">
        <is>
          <t>RMAT-0098</t>
        </is>
      </c>
      <c r="C99" s="58" t="n"/>
      <c r="D99" s="42" t="n"/>
      <c r="E99" s="42" t="n"/>
      <c r="F99" s="42" t="n"/>
      <c r="G99" s="42" t="n"/>
      <c r="H99" s="42" t="n"/>
      <c r="I99" s="46" t="n">
        <v>1600</v>
      </c>
      <c r="J99" s="42" t="inlineStr">
        <is>
          <t>Сланец шунгитный (рваный), 40мм</t>
        </is>
      </c>
      <c r="K99" s="42" t="inlineStr">
        <is>
          <t>Показать строкой</t>
        </is>
      </c>
      <c r="L99" s="42" t="inlineStr">
        <is>
          <t>Да</t>
        </is>
      </c>
      <c r="M99" s="42" t="inlineStr">
        <is>
          <t>Да</t>
        </is>
      </c>
      <c r="N99" s="48" t="inlineStr">
        <is>
          <t>Автосозданный вариант 1:1 из реального прайса</t>
        </is>
      </c>
      <c r="O99" s="42" t="inlineStr">
        <is>
          <t>м2</t>
        </is>
      </c>
      <c r="P99" s="56" t="n"/>
      <c r="Q99" s="42" t="inlineStr">
        <is>
          <t>м2</t>
        </is>
      </c>
      <c r="R99" s="42" t="n"/>
      <c r="S99" s="58" t="n"/>
      <c r="T99" s="42" t="inlineStr">
        <is>
          <t>Импорт из PRICE_MASTER</t>
        </is>
      </c>
      <c r="U99" s="42" t="n"/>
      <c r="V99" s="42" t="n"/>
      <c r="W99" s="42" t="n"/>
      <c r="X99" s="56" t="n"/>
      <c r="Y99" s="58" t="n"/>
      <c r="Z99" s="42" t="inlineStr">
        <is>
          <t>Высокая</t>
        </is>
      </c>
      <c r="AA99" s="42" t="inlineStr">
        <is>
          <t>SRC-0200</t>
        </is>
      </c>
    </row>
    <row r="100">
      <c r="A100" s="44" t="inlineStr">
        <is>
          <t>MV-0099</t>
        </is>
      </c>
      <c r="B100" s="41" t="inlineStr">
        <is>
          <t>RMAT-0099</t>
        </is>
      </c>
      <c r="C100" s="57" t="n"/>
      <c r="D100" s="41" t="n"/>
      <c r="E100" s="41" t="n"/>
      <c r="F100" s="41" t="n"/>
      <c r="G100" s="41" t="n"/>
      <c r="H100" s="41" t="n"/>
      <c r="I100" s="43" t="n">
        <v>2500</v>
      </c>
      <c r="J100" s="41" t="inlineStr">
        <is>
          <t>Соединитель CON T3 PIN IP68</t>
        </is>
      </c>
      <c r="K100" s="41" t="inlineStr">
        <is>
          <t>Показать строкой</t>
        </is>
      </c>
      <c r="L100" s="41" t="inlineStr">
        <is>
          <t>Да</t>
        </is>
      </c>
      <c r="M100" s="41" t="inlineStr">
        <is>
          <t>Да</t>
        </is>
      </c>
      <c r="N100" s="45" t="inlineStr">
        <is>
          <t>Автосозданный вариант 1:1 из реального прайса</t>
        </is>
      </c>
      <c r="O100" s="41" t="inlineStr">
        <is>
          <t>шт</t>
        </is>
      </c>
      <c r="P100" s="54" t="n"/>
      <c r="Q100" s="41" t="inlineStr">
        <is>
          <t>шт</t>
        </is>
      </c>
      <c r="R100" s="41" t="n"/>
      <c r="S100" s="57" t="n"/>
      <c r="T100" s="41" t="inlineStr">
        <is>
          <t>Импорт из PRICE_MASTER</t>
        </is>
      </c>
      <c r="U100" s="41" t="n"/>
      <c r="V100" s="41" t="n"/>
      <c r="W100" s="41" t="n"/>
      <c r="X100" s="54" t="n"/>
      <c r="Y100" s="57" t="n"/>
      <c r="Z100" s="41" t="inlineStr">
        <is>
          <t>Высокая</t>
        </is>
      </c>
      <c r="AA100" s="41" t="inlineStr">
        <is>
          <t>SRC-0203</t>
        </is>
      </c>
    </row>
    <row r="101">
      <c r="A101" s="47" t="inlineStr">
        <is>
          <t>MV-0100</t>
        </is>
      </c>
      <c r="B101" s="42" t="inlineStr">
        <is>
          <t>RMAT-0100</t>
        </is>
      </c>
      <c r="C101" s="58" t="n"/>
      <c r="D101" s="42" t="n"/>
      <c r="E101" s="42" t="n"/>
      <c r="F101" s="42" t="n"/>
      <c r="G101" s="42" t="n"/>
      <c r="H101" s="42" t="n"/>
      <c r="I101" s="46" t="n">
        <v>1200</v>
      </c>
      <c r="J101" s="42" t="inlineStr">
        <is>
          <t>Торф нейтрализованный, 300л</t>
        </is>
      </c>
      <c r="K101" s="42" t="inlineStr">
        <is>
          <t>Показать строкой</t>
        </is>
      </c>
      <c r="L101" s="42" t="inlineStr">
        <is>
          <t>Да</t>
        </is>
      </c>
      <c r="M101" s="42" t="inlineStr">
        <is>
          <t>Да</t>
        </is>
      </c>
      <c r="N101" s="48" t="inlineStr">
        <is>
          <t>Автосозданный вариант 1:1 из реального прайса</t>
        </is>
      </c>
      <c r="O101" s="42" t="inlineStr">
        <is>
          <t>кипа</t>
        </is>
      </c>
      <c r="P101" s="56" t="n"/>
      <c r="Q101" s="42" t="inlineStr">
        <is>
          <t>кипа</t>
        </is>
      </c>
      <c r="R101" s="42" t="n"/>
      <c r="S101" s="58" t="n"/>
      <c r="T101" s="42" t="inlineStr">
        <is>
          <t>Импорт из PRICE_MASTER</t>
        </is>
      </c>
      <c r="U101" s="42" t="n"/>
      <c r="V101" s="42" t="n"/>
      <c r="W101" s="42" t="n"/>
      <c r="X101" s="56" t="n"/>
      <c r="Y101" s="58" t="n"/>
      <c r="Z101" s="42" t="inlineStr">
        <is>
          <t>Средняя</t>
        </is>
      </c>
      <c r="AA101" s="42" t="inlineStr">
        <is>
          <t>SRC-0205</t>
        </is>
      </c>
    </row>
    <row r="102">
      <c r="A102" s="44" t="inlineStr">
        <is>
          <t>MV-0101</t>
        </is>
      </c>
      <c r="B102" s="41" t="inlineStr">
        <is>
          <t>RMAT-0101</t>
        </is>
      </c>
      <c r="C102" s="57" t="n"/>
      <c r="D102" s="41" t="n"/>
      <c r="E102" s="41" t="n"/>
      <c r="F102" s="41" t="n"/>
      <c r="G102" s="41" t="n"/>
      <c r="H102" s="41" t="n"/>
      <c r="I102" s="43" t="n">
        <v>2200</v>
      </c>
      <c r="J102" s="41" t="inlineStr">
        <is>
          <t>Торфогрунт питательный, 300л</t>
        </is>
      </c>
      <c r="K102" s="41" t="inlineStr">
        <is>
          <t>Показать строкой</t>
        </is>
      </c>
      <c r="L102" s="41" t="inlineStr">
        <is>
          <t>Да</t>
        </is>
      </c>
      <c r="M102" s="41" t="inlineStr">
        <is>
          <t>Да</t>
        </is>
      </c>
      <c r="N102" s="45" t="inlineStr">
        <is>
          <t>Автосозданный вариант 1:1 из реального прайса</t>
        </is>
      </c>
      <c r="O102" s="41" t="inlineStr">
        <is>
          <t>кипа</t>
        </is>
      </c>
      <c r="P102" s="54" t="n"/>
      <c r="Q102" s="41" t="inlineStr">
        <is>
          <t>кипа</t>
        </is>
      </c>
      <c r="R102" s="41" t="n"/>
      <c r="S102" s="57" t="n"/>
      <c r="T102" s="41" t="inlineStr">
        <is>
          <t>Импорт из PRICE_MASTER</t>
        </is>
      </c>
      <c r="U102" s="41" t="n"/>
      <c r="V102" s="41" t="n"/>
      <c r="W102" s="41" t="n"/>
      <c r="X102" s="54" t="n"/>
      <c r="Y102" s="57" t="n"/>
      <c r="Z102" s="41" t="inlineStr">
        <is>
          <t>Высокая</t>
        </is>
      </c>
      <c r="AA102" s="41" t="inlineStr">
        <is>
          <t>SRC-0206</t>
        </is>
      </c>
    </row>
    <row r="103">
      <c r="A103" s="47" t="inlineStr">
        <is>
          <t>MV-0102</t>
        </is>
      </c>
      <c r="B103" s="42" t="inlineStr">
        <is>
          <t>RMAT-0102</t>
        </is>
      </c>
      <c r="C103" s="58" t="n"/>
      <c r="D103" s="42" t="n"/>
      <c r="E103" s="42" t="n"/>
      <c r="F103" s="42" t="n"/>
      <c r="G103" s="42" t="n"/>
      <c r="H103" s="42" t="n"/>
      <c r="I103" s="46" t="n">
        <v>480</v>
      </c>
      <c r="J103" s="42" t="inlineStr">
        <is>
          <t>Труба двустенная гофрированная d=110мм SN8</t>
        </is>
      </c>
      <c r="K103" s="42" t="inlineStr">
        <is>
          <t>Показать строкой</t>
        </is>
      </c>
      <c r="L103" s="42" t="inlineStr">
        <is>
          <t>Да</t>
        </is>
      </c>
      <c r="M103" s="42" t="inlineStr">
        <is>
          <t>Да</t>
        </is>
      </c>
      <c r="N103" s="48" t="inlineStr">
        <is>
          <t>Автосозданный вариант 1:1 из реального прайса</t>
        </is>
      </c>
      <c r="O103" s="42" t="inlineStr">
        <is>
          <t>м.пог.</t>
        </is>
      </c>
      <c r="P103" s="56" t="n"/>
      <c r="Q103" s="42" t="inlineStr">
        <is>
          <t>м.пог.</t>
        </is>
      </c>
      <c r="R103" s="42" t="n"/>
      <c r="S103" s="58" t="n"/>
      <c r="T103" s="42" t="inlineStr">
        <is>
          <t>Импорт из PRICE_MASTER</t>
        </is>
      </c>
      <c r="U103" s="42" t="n"/>
      <c r="V103" s="42" t="n"/>
      <c r="W103" s="42" t="n"/>
      <c r="X103" s="56" t="n"/>
      <c r="Y103" s="58" t="n"/>
      <c r="Z103" s="42" t="inlineStr">
        <is>
          <t>Высокая</t>
        </is>
      </c>
      <c r="AA103" s="42" t="inlineStr">
        <is>
          <t>SRC-0208</t>
        </is>
      </c>
    </row>
    <row r="104">
      <c r="A104" s="44" t="inlineStr">
        <is>
          <t>MV-0103</t>
        </is>
      </c>
      <c r="B104" s="41" t="inlineStr">
        <is>
          <t>RMAT-0103</t>
        </is>
      </c>
      <c r="C104" s="57" t="n"/>
      <c r="D104" s="41" t="n"/>
      <c r="E104" s="41" t="n"/>
      <c r="F104" s="41" t="n"/>
      <c r="G104" s="41" t="n"/>
      <c r="H104" s="41" t="n"/>
      <c r="I104" s="43" t="n">
        <v>185</v>
      </c>
      <c r="J104" s="41" t="inlineStr">
        <is>
          <t>Труба дренажная d110 SN6</t>
        </is>
      </c>
      <c r="K104" s="41" t="inlineStr">
        <is>
          <t>Показать строкой</t>
        </is>
      </c>
      <c r="L104" s="41" t="inlineStr">
        <is>
          <t>Да</t>
        </is>
      </c>
      <c r="M104" s="41" t="inlineStr">
        <is>
          <t>Да</t>
        </is>
      </c>
      <c r="N104" s="45" t="inlineStr">
        <is>
          <t>Автосозданный вариант 1:1 из реального прайса</t>
        </is>
      </c>
      <c r="O104" s="41" t="inlineStr">
        <is>
          <t>м.пог.</t>
        </is>
      </c>
      <c r="P104" s="54" t="n"/>
      <c r="Q104" s="41" t="inlineStr">
        <is>
          <t>м.пог.</t>
        </is>
      </c>
      <c r="R104" s="41" t="n"/>
      <c r="S104" s="57" t="n"/>
      <c r="T104" s="41" t="inlineStr">
        <is>
          <t>Импорт из PRICE_MASTER</t>
        </is>
      </c>
      <c r="U104" s="41" t="n"/>
      <c r="V104" s="41" t="n"/>
      <c r="W104" s="41" t="n"/>
      <c r="X104" s="54" t="n"/>
      <c r="Y104" s="57" t="n"/>
      <c r="Z104" s="41" t="inlineStr">
        <is>
          <t>Высокая</t>
        </is>
      </c>
      <c r="AA104" s="41" t="inlineStr">
        <is>
          <t>SRC-0209</t>
        </is>
      </c>
    </row>
    <row r="105">
      <c r="A105" s="47" t="inlineStr">
        <is>
          <t>MV-0104</t>
        </is>
      </c>
      <c r="B105" s="42" t="inlineStr">
        <is>
          <t>RMAT-0104</t>
        </is>
      </c>
      <c r="C105" s="58" t="n"/>
      <c r="D105" s="42" t="n"/>
      <c r="E105" s="42" t="n"/>
      <c r="F105" s="42" t="n"/>
      <c r="G105" s="42" t="n"/>
      <c r="H105" s="42" t="n"/>
      <c r="I105" s="46" t="n">
        <v>305</v>
      </c>
      <c r="J105" s="42" t="inlineStr">
        <is>
          <t>Труба наружной канализации d110мм SN4</t>
        </is>
      </c>
      <c r="K105" s="42" t="inlineStr">
        <is>
          <t>Показать строкой</t>
        </is>
      </c>
      <c r="L105" s="42" t="inlineStr">
        <is>
          <t>Да</t>
        </is>
      </c>
      <c r="M105" s="42" t="inlineStr">
        <is>
          <t>Да</t>
        </is>
      </c>
      <c r="N105" s="48" t="inlineStr">
        <is>
          <t>Автосозданный вариант 1:1 из реального прайса</t>
        </is>
      </c>
      <c r="O105" s="42" t="inlineStr">
        <is>
          <t>м.пог.</t>
        </is>
      </c>
      <c r="P105" s="56" t="n"/>
      <c r="Q105" s="42" t="inlineStr">
        <is>
          <t>м.пог.</t>
        </is>
      </c>
      <c r="R105" s="42" t="n"/>
      <c r="S105" s="58" t="n"/>
      <c r="T105" s="42" t="inlineStr">
        <is>
          <t>Импорт из PRICE_MASTER</t>
        </is>
      </c>
      <c r="U105" s="42" t="n"/>
      <c r="V105" s="42" t="n"/>
      <c r="W105" s="42" t="n"/>
      <c r="X105" s="56" t="n"/>
      <c r="Y105" s="58" t="n"/>
      <c r="Z105" s="42" t="inlineStr">
        <is>
          <t>Высокая</t>
        </is>
      </c>
      <c r="AA105" s="42" t="inlineStr">
        <is>
          <t>SRC-0210</t>
        </is>
      </c>
    </row>
    <row r="106">
      <c r="A106" s="44" t="inlineStr">
        <is>
          <t>MV-0105</t>
        </is>
      </c>
      <c r="B106" s="41" t="inlineStr">
        <is>
          <t>RMAT-0105</t>
        </is>
      </c>
      <c r="C106" s="57" t="n"/>
      <c r="D106" s="41" t="n"/>
      <c r="E106" s="41" t="n"/>
      <c r="F106" s="41" t="n"/>
      <c r="G106" s="41" t="n"/>
      <c r="H106" s="41" t="n"/>
      <c r="I106" s="43" t="n">
        <v>710</v>
      </c>
      <c r="J106" s="41" t="inlineStr">
        <is>
          <t>Труба наружной канализации d110мм SN8</t>
        </is>
      </c>
      <c r="K106" s="41" t="inlineStr">
        <is>
          <t>Показать строкой</t>
        </is>
      </c>
      <c r="L106" s="41" t="inlineStr">
        <is>
          <t>Да</t>
        </is>
      </c>
      <c r="M106" s="41" t="inlineStr">
        <is>
          <t>Да</t>
        </is>
      </c>
      <c r="N106" s="45" t="inlineStr">
        <is>
          <t>Автосозданный вариант 1:1 из реального прайса</t>
        </is>
      </c>
      <c r="O106" s="41" t="inlineStr">
        <is>
          <t>шт</t>
        </is>
      </c>
      <c r="P106" s="54" t="n"/>
      <c r="Q106" s="41" t="inlineStr">
        <is>
          <t>шт</t>
        </is>
      </c>
      <c r="R106" s="41" t="n"/>
      <c r="S106" s="57" t="n"/>
      <c r="T106" s="41" t="inlineStr">
        <is>
          <t>Импорт из PRICE_MASTER</t>
        </is>
      </c>
      <c r="U106" s="41" t="n"/>
      <c r="V106" s="41" t="n"/>
      <c r="W106" s="41" t="n"/>
      <c r="X106" s="54" t="n"/>
      <c r="Y106" s="57" t="n"/>
      <c r="Z106" s="41" t="inlineStr">
        <is>
          <t>Высокая</t>
        </is>
      </c>
      <c r="AA106" s="41" t="inlineStr">
        <is>
          <t>SRC-0211</t>
        </is>
      </c>
    </row>
    <row r="107">
      <c r="A107" s="47" t="inlineStr">
        <is>
          <t>MV-0106</t>
        </is>
      </c>
      <c r="B107" s="42" t="inlineStr">
        <is>
          <t>RMAT-0106</t>
        </is>
      </c>
      <c r="C107" s="58" t="n">
        <v>5</v>
      </c>
      <c r="D107" s="42" t="n"/>
      <c r="E107" s="42" t="n"/>
      <c r="F107" s="42" t="n"/>
      <c r="G107" s="42" t="n"/>
      <c r="H107" s="42" t="n"/>
      <c r="I107" s="46" t="n">
        <v>460</v>
      </c>
      <c r="J107" s="42" t="inlineStr">
        <is>
          <t>Уголок металл., 50*50*5мм</t>
        </is>
      </c>
      <c r="K107" s="42" t="inlineStr">
        <is>
          <t>Показать строкой</t>
        </is>
      </c>
      <c r="L107" s="42" t="inlineStr">
        <is>
          <t>Да</t>
        </is>
      </c>
      <c r="M107" s="42" t="inlineStr">
        <is>
          <t>Да</t>
        </is>
      </c>
      <c r="N107" s="48" t="inlineStr">
        <is>
          <t>Автосозданный вариант 1:1 из реального прайса</t>
        </is>
      </c>
      <c r="O107" s="42" t="inlineStr">
        <is>
          <t>м.пог.</t>
        </is>
      </c>
      <c r="P107" s="56" t="n"/>
      <c r="Q107" s="42" t="inlineStr">
        <is>
          <t>м.пог.</t>
        </is>
      </c>
      <c r="R107" s="42" t="n"/>
      <c r="S107" s="58" t="n"/>
      <c r="T107" s="42" t="inlineStr">
        <is>
          <t>Импорт из PRICE_MASTER</t>
        </is>
      </c>
      <c r="U107" s="42" t="n"/>
      <c r="V107" s="42" t="n"/>
      <c r="W107" s="42" t="n"/>
      <c r="X107" s="56" t="n"/>
      <c r="Y107" s="58" t="n"/>
      <c r="Z107" s="42" t="inlineStr">
        <is>
          <t>Высокая</t>
        </is>
      </c>
      <c r="AA107" s="42" t="inlineStr">
        <is>
          <t>SRC-0212</t>
        </is>
      </c>
    </row>
    <row r="108">
      <c r="A108" s="44" t="inlineStr">
        <is>
          <t>MV-0107</t>
        </is>
      </c>
      <c r="B108" s="41" t="inlineStr">
        <is>
          <t>RMAT-0107</t>
        </is>
      </c>
      <c r="C108" s="57" t="n"/>
      <c r="D108" s="41" t="n"/>
      <c r="E108" s="41" t="n"/>
      <c r="F108" s="41" t="n"/>
      <c r="G108" s="41" t="n"/>
      <c r="H108" s="41" t="n"/>
      <c r="I108" s="43" t="n">
        <v>615</v>
      </c>
      <c r="J108" s="41" t="inlineStr">
        <is>
          <t>Удобрение минеральное длительного действия</t>
        </is>
      </c>
      <c r="K108" s="41" t="inlineStr">
        <is>
          <t>Показать строкой</t>
        </is>
      </c>
      <c r="L108" s="41" t="inlineStr">
        <is>
          <t>Да</t>
        </is>
      </c>
      <c r="M108" s="41" t="inlineStr">
        <is>
          <t>Да</t>
        </is>
      </c>
      <c r="N108" s="45" t="inlineStr">
        <is>
          <t>Автосозданный вариант 1:1 из реального прайса</t>
        </is>
      </c>
      <c r="O108" s="41" t="inlineStr">
        <is>
          <t>кг</t>
        </is>
      </c>
      <c r="P108" s="54" t="n"/>
      <c r="Q108" s="41" t="inlineStr">
        <is>
          <t>кг</t>
        </is>
      </c>
      <c r="R108" s="41" t="n"/>
      <c r="S108" s="57" t="n"/>
      <c r="T108" s="41" t="inlineStr">
        <is>
          <t>Импорт из PRICE_MASTER</t>
        </is>
      </c>
      <c r="U108" s="41" t="n"/>
      <c r="V108" s="41" t="n"/>
      <c r="W108" s="41" t="n"/>
      <c r="X108" s="54" t="n"/>
      <c r="Y108" s="57" t="n"/>
      <c r="Z108" s="41" t="inlineStr">
        <is>
          <t>Высокая</t>
        </is>
      </c>
      <c r="AA108" s="41" t="inlineStr">
        <is>
          <t>SRC-0213</t>
        </is>
      </c>
    </row>
    <row r="109">
      <c r="A109" s="47" t="inlineStr">
        <is>
          <t>MV-0108</t>
        </is>
      </c>
      <c r="B109" s="42" t="inlineStr">
        <is>
          <t>RMAT-0108</t>
        </is>
      </c>
      <c r="C109" s="58" t="n"/>
      <c r="D109" s="42" t="n"/>
      <c r="E109" s="42" t="n"/>
      <c r="F109" s="42" t="n"/>
      <c r="G109" s="42" t="n"/>
      <c r="H109" s="42" t="n"/>
      <c r="I109" s="46" t="n">
        <v>190</v>
      </c>
      <c r="J109" s="42" t="inlineStr">
        <is>
          <t>Удобрение универсальн., газонное</t>
        </is>
      </c>
      <c r="K109" s="42" t="inlineStr">
        <is>
          <t>Показать строкой</t>
        </is>
      </c>
      <c r="L109" s="42" t="inlineStr">
        <is>
          <t>Да</t>
        </is>
      </c>
      <c r="M109" s="42" t="inlineStr">
        <is>
          <t>Да</t>
        </is>
      </c>
      <c r="N109" s="48" t="inlineStr">
        <is>
          <t>Автосозданный вариант 1:1 из реального прайса</t>
        </is>
      </c>
      <c r="O109" s="42" t="inlineStr">
        <is>
          <t>кг</t>
        </is>
      </c>
      <c r="P109" s="56" t="n"/>
      <c r="Q109" s="42" t="inlineStr">
        <is>
          <t>кг</t>
        </is>
      </c>
      <c r="R109" s="42" t="n"/>
      <c r="S109" s="58" t="n"/>
      <c r="T109" s="42" t="inlineStr">
        <is>
          <t>Импорт из PRICE_MASTER</t>
        </is>
      </c>
      <c r="U109" s="42" t="n"/>
      <c r="V109" s="42" t="n"/>
      <c r="W109" s="42" t="n"/>
      <c r="X109" s="56" t="n"/>
      <c r="Y109" s="58" t="n"/>
      <c r="Z109" s="42" t="inlineStr">
        <is>
          <t>Высокая</t>
        </is>
      </c>
      <c r="AA109" s="42" t="inlineStr">
        <is>
          <t>SRC-0214</t>
        </is>
      </c>
    </row>
    <row r="110">
      <c r="A110" s="44" t="inlineStr">
        <is>
          <t>MV-0109</t>
        </is>
      </c>
      <c r="B110" s="41" t="inlineStr">
        <is>
          <t>RMAT-0109</t>
        </is>
      </c>
      <c r="C110" s="57" t="n"/>
      <c r="D110" s="41" t="n"/>
      <c r="E110" s="41" t="n"/>
      <c r="F110" s="41" t="n"/>
      <c r="G110" s="41" t="n"/>
      <c r="H110" s="41" t="n"/>
      <c r="I110" s="43" t="n">
        <v>240</v>
      </c>
      <c r="J110" s="41" t="inlineStr">
        <is>
          <t>Установка бордюра (криволинейная)</t>
        </is>
      </c>
      <c r="K110" s="41" t="inlineStr">
        <is>
          <t>Показать строкой</t>
        </is>
      </c>
      <c r="L110" s="41" t="inlineStr">
        <is>
          <t>Да</t>
        </is>
      </c>
      <c r="M110" s="41" t="inlineStr">
        <is>
          <t>Да</t>
        </is>
      </c>
      <c r="N110" s="45" t="inlineStr">
        <is>
          <t>Автосозданный вариант 1:1 из реального прайса</t>
        </is>
      </c>
      <c r="O110" s="41" t="inlineStr">
        <is>
          <t>м.пог.</t>
        </is>
      </c>
      <c r="P110" s="54" t="n"/>
      <c r="Q110" s="41" t="inlineStr">
        <is>
          <t>м.пог.</t>
        </is>
      </c>
      <c r="R110" s="41" t="n"/>
      <c r="S110" s="57" t="n"/>
      <c r="T110" s="41" t="inlineStr">
        <is>
          <t>Импорт из PRICE_MASTER</t>
        </is>
      </c>
      <c r="U110" s="41" t="n"/>
      <c r="V110" s="41" t="n"/>
      <c r="W110" s="41" t="n"/>
      <c r="X110" s="54" t="n"/>
      <c r="Y110" s="57" t="n"/>
      <c r="Z110" s="41" t="inlineStr">
        <is>
          <t>Высокая</t>
        </is>
      </c>
      <c r="AA110" s="41" t="inlineStr">
        <is>
          <t>SRC-0220</t>
        </is>
      </c>
    </row>
    <row r="111">
      <c r="A111" s="47" t="inlineStr">
        <is>
          <t>MV-0110</t>
        </is>
      </c>
      <c r="B111" s="42" t="inlineStr">
        <is>
          <t>RMAT-0110</t>
        </is>
      </c>
      <c r="C111" s="58" t="n"/>
      <c r="D111" s="42" t="n"/>
      <c r="E111" s="42" t="n"/>
      <c r="F111" s="42" t="n"/>
      <c r="G111" s="42" t="n"/>
      <c r="H111" s="42" t="n"/>
      <c r="I111" s="46" t="n">
        <v>260</v>
      </c>
      <c r="J111" s="42" t="inlineStr">
        <is>
          <t>Установка бордюра металлического</t>
        </is>
      </c>
      <c r="K111" s="42" t="inlineStr">
        <is>
          <t>Показать строкой</t>
        </is>
      </c>
      <c r="L111" s="42" t="inlineStr">
        <is>
          <t>Да</t>
        </is>
      </c>
      <c r="M111" s="42" t="inlineStr">
        <is>
          <t>Да</t>
        </is>
      </c>
      <c r="N111" s="48" t="inlineStr">
        <is>
          <t>Автосозданный вариант 1:1 из реального прайса</t>
        </is>
      </c>
      <c r="O111" s="42" t="inlineStr">
        <is>
          <t>м.пог.</t>
        </is>
      </c>
      <c r="P111" s="56" t="n"/>
      <c r="Q111" s="42" t="inlineStr">
        <is>
          <t>м.пог.</t>
        </is>
      </c>
      <c r="R111" s="42" t="n"/>
      <c r="S111" s="58" t="n"/>
      <c r="T111" s="42" t="inlineStr">
        <is>
          <t>Импорт из PRICE_MASTER</t>
        </is>
      </c>
      <c r="U111" s="42" t="n"/>
      <c r="V111" s="42" t="n"/>
      <c r="W111" s="42" t="n"/>
      <c r="X111" s="56" t="n"/>
      <c r="Y111" s="58" t="n"/>
      <c r="Z111" s="42" t="inlineStr">
        <is>
          <t>Высокая</t>
        </is>
      </c>
      <c r="AA111" s="42" t="inlineStr">
        <is>
          <t>SRC-0221</t>
        </is>
      </c>
    </row>
    <row r="112">
      <c r="A112" s="44" t="inlineStr">
        <is>
          <t>MV-0111</t>
        </is>
      </c>
      <c r="B112" s="41" t="inlineStr">
        <is>
          <t>RMAT-0111</t>
        </is>
      </c>
      <c r="C112" s="57" t="n"/>
      <c r="D112" s="41" t="n"/>
      <c r="E112" s="41" t="n"/>
      <c r="F112" s="41" t="n"/>
      <c r="G112" s="41" t="n"/>
      <c r="H112" s="41" t="n"/>
      <c r="I112" s="43" t="n">
        <v>450</v>
      </c>
      <c r="J112" s="41" t="inlineStr">
        <is>
          <t>Установка бордюра ограничивающего (доска, брусок)</t>
        </is>
      </c>
      <c r="K112" s="41" t="inlineStr">
        <is>
          <t>Показать строкой</t>
        </is>
      </c>
      <c r="L112" s="41" t="inlineStr">
        <is>
          <t>Да</t>
        </is>
      </c>
      <c r="M112" s="41" t="inlineStr">
        <is>
          <t>Да</t>
        </is>
      </c>
      <c r="N112" s="45" t="inlineStr">
        <is>
          <t>Автосозданный вариант 1:1 из реального прайса</t>
        </is>
      </c>
      <c r="O112" s="41" t="inlineStr">
        <is>
          <t>м.пог.</t>
        </is>
      </c>
      <c r="P112" s="54" t="n"/>
      <c r="Q112" s="41" t="inlineStr">
        <is>
          <t>м.пог.</t>
        </is>
      </c>
      <c r="R112" s="41" t="n"/>
      <c r="S112" s="57" t="n"/>
      <c r="T112" s="41" t="inlineStr">
        <is>
          <t>Импорт из PRICE_MASTER</t>
        </is>
      </c>
      <c r="U112" s="41" t="n"/>
      <c r="V112" s="41" t="n"/>
      <c r="W112" s="41" t="n"/>
      <c r="X112" s="54" t="n"/>
      <c r="Y112" s="57" t="n"/>
      <c r="Z112" s="41" t="inlineStr">
        <is>
          <t>Высокая</t>
        </is>
      </c>
      <c r="AA112" s="41" t="inlineStr">
        <is>
          <t>SRC-0222</t>
        </is>
      </c>
    </row>
    <row r="113">
      <c r="A113" s="47" t="inlineStr">
        <is>
          <t>MV-0112</t>
        </is>
      </c>
      <c r="B113" s="42" t="inlineStr">
        <is>
          <t>RMAT-0112</t>
        </is>
      </c>
      <c r="C113" s="58" t="n"/>
      <c r="D113" s="42" t="n"/>
      <c r="E113" s="42" t="n"/>
      <c r="F113" s="42" t="n"/>
      <c r="G113" s="42" t="n"/>
      <c r="H113" s="42" t="n"/>
      <c r="I113" s="46" t="n">
        <v>120</v>
      </c>
      <c r="J113" s="42" t="inlineStr">
        <is>
          <t>Установка бордюра пластикового</t>
        </is>
      </c>
      <c r="K113" s="42" t="inlineStr">
        <is>
          <t>Показать строкой</t>
        </is>
      </c>
      <c r="L113" s="42" t="inlineStr">
        <is>
          <t>Да</t>
        </is>
      </c>
      <c r="M113" s="42" t="inlineStr">
        <is>
          <t>Да</t>
        </is>
      </c>
      <c r="N113" s="48" t="inlineStr">
        <is>
          <t>Автосозданный вариант 1:1 из реального прайса</t>
        </is>
      </c>
      <c r="O113" s="42" t="inlineStr">
        <is>
          <t>м.пог.</t>
        </is>
      </c>
      <c r="P113" s="56" t="n"/>
      <c r="Q113" s="42" t="inlineStr">
        <is>
          <t>м.пог.</t>
        </is>
      </c>
      <c r="R113" s="42" t="n"/>
      <c r="S113" s="58" t="n"/>
      <c r="T113" s="42" t="inlineStr">
        <is>
          <t>Импорт из PRICE_MASTER</t>
        </is>
      </c>
      <c r="U113" s="42" t="n"/>
      <c r="V113" s="42" t="n"/>
      <c r="W113" s="42" t="n"/>
      <c r="X113" s="56" t="n"/>
      <c r="Y113" s="58" t="n"/>
      <c r="Z113" s="42" t="inlineStr">
        <is>
          <t>Высокая</t>
        </is>
      </c>
      <c r="AA113" s="42" t="inlineStr">
        <is>
          <t>SRC-0223</t>
        </is>
      </c>
    </row>
    <row r="114">
      <c r="A114" s="44" t="inlineStr">
        <is>
          <t>MV-0113</t>
        </is>
      </c>
      <c r="B114" s="41" t="inlineStr">
        <is>
          <t>RMAT-0113</t>
        </is>
      </c>
      <c r="C114" s="57" t="n">
        <v>2440</v>
      </c>
      <c r="D114" s="41" t="n"/>
      <c r="E114" s="41" t="n"/>
      <c r="F114" s="41" t="n"/>
      <c r="G114" s="41" t="n"/>
      <c r="H114" s="41" t="n"/>
      <c r="I114" s="43" t="n">
        <v>2880</v>
      </c>
      <c r="J114" s="41" t="inlineStr">
        <is>
          <t>фанера 12х1220*2440мм (для опалубки)</t>
        </is>
      </c>
      <c r="K114" s="41" t="inlineStr">
        <is>
          <t>Показать строкой</t>
        </is>
      </c>
      <c r="L114" s="41" t="inlineStr">
        <is>
          <t>Да</t>
        </is>
      </c>
      <c r="M114" s="41" t="inlineStr">
        <is>
          <t>Да</t>
        </is>
      </c>
      <c r="N114" s="45" t="inlineStr">
        <is>
          <t>Автосозданный вариант 1:1 из реального прайса</t>
        </is>
      </c>
      <c r="O114" s="41" t="inlineStr">
        <is>
          <t>шт</t>
        </is>
      </c>
      <c r="P114" s="54" t="n"/>
      <c r="Q114" s="41" t="inlineStr">
        <is>
          <t>шт</t>
        </is>
      </c>
      <c r="R114" s="41" t="n"/>
      <c r="S114" s="57" t="n"/>
      <c r="T114" s="41" t="inlineStr">
        <is>
          <t>Импорт из PRICE_MASTER</t>
        </is>
      </c>
      <c r="U114" s="41" t="n"/>
      <c r="V114" s="41" t="n"/>
      <c r="W114" s="41" t="n"/>
      <c r="X114" s="54" t="n"/>
      <c r="Y114" s="57" t="n"/>
      <c r="Z114" s="41" t="inlineStr">
        <is>
          <t>Высокая</t>
        </is>
      </c>
      <c r="AA114" s="41" t="inlineStr">
        <is>
          <t>SRC-0269</t>
        </is>
      </c>
    </row>
    <row r="115">
      <c r="A115" s="47" t="inlineStr">
        <is>
          <t>MV-0114</t>
        </is>
      </c>
      <c r="B115" s="42" t="inlineStr">
        <is>
          <t>RMAT-0114</t>
        </is>
      </c>
      <c r="C115" s="58" t="n"/>
      <c r="D115" s="42" t="n"/>
      <c r="E115" s="42" t="n"/>
      <c r="F115" s="42" t="n"/>
      <c r="G115" s="42" t="n"/>
      <c r="H115" s="42" t="n"/>
      <c r="I115" s="46" t="n">
        <v>200</v>
      </c>
      <c r="J115" s="42" t="inlineStr">
        <is>
          <t>Фасонные элементы - тройники, соединения, заглушки</t>
        </is>
      </c>
      <c r="K115" s="42" t="inlineStr">
        <is>
          <t>Показать строкой</t>
        </is>
      </c>
      <c r="L115" s="42" t="inlineStr">
        <is>
          <t>Да</t>
        </is>
      </c>
      <c r="M115" s="42" t="inlineStr">
        <is>
          <t>Да</t>
        </is>
      </c>
      <c r="N115" s="48" t="inlineStr">
        <is>
          <t>Автосозданный вариант 1:1 из реального прайса</t>
        </is>
      </c>
      <c r="O115" s="42" t="inlineStr">
        <is>
          <t>компл</t>
        </is>
      </c>
      <c r="P115" s="56" t="n"/>
      <c r="Q115" s="42" t="inlineStr">
        <is>
          <t>компл</t>
        </is>
      </c>
      <c r="R115" s="42" t="n"/>
      <c r="S115" s="58" t="n"/>
      <c r="T115" s="42" t="inlineStr">
        <is>
          <t>Импорт из PRICE_MASTER</t>
        </is>
      </c>
      <c r="U115" s="42" t="n"/>
      <c r="V115" s="42" t="n"/>
      <c r="W115" s="42" t="n"/>
      <c r="X115" s="56" t="n"/>
      <c r="Y115" s="58" t="n"/>
      <c r="Z115" s="42" t="inlineStr">
        <is>
          <t>Высокая</t>
        </is>
      </c>
      <c r="AA115" s="42" t="inlineStr">
        <is>
          <t>SRC-0270</t>
        </is>
      </c>
    </row>
    <row r="116">
      <c r="A116" s="44" t="inlineStr">
        <is>
          <t>MV-0115</t>
        </is>
      </c>
      <c r="B116" s="41" t="inlineStr">
        <is>
          <t>RMAT-0115</t>
        </is>
      </c>
      <c r="C116" s="57" t="n"/>
      <c r="D116" s="41" t="n"/>
      <c r="E116" s="41" t="n"/>
      <c r="F116" s="41" t="n"/>
      <c r="G116" s="41" t="n"/>
      <c r="H116" s="41" t="n"/>
      <c r="I116" s="43" t="n">
        <v>510</v>
      </c>
      <c r="J116" s="41" t="inlineStr">
        <is>
          <t>Цемент М400, 50кг</t>
        </is>
      </c>
      <c r="K116" s="41" t="inlineStr">
        <is>
          <t>Показать строкой</t>
        </is>
      </c>
      <c r="L116" s="41" t="inlineStr">
        <is>
          <t>Да</t>
        </is>
      </c>
      <c r="M116" s="41" t="inlineStr">
        <is>
          <t>Да</t>
        </is>
      </c>
      <c r="N116" s="45" t="inlineStr">
        <is>
          <t>Автосозданный вариант 1:1 из реального прайса</t>
        </is>
      </c>
      <c r="O116" s="41" t="inlineStr">
        <is>
          <t>шт</t>
        </is>
      </c>
      <c r="P116" s="54" t="n"/>
      <c r="Q116" s="41" t="inlineStr">
        <is>
          <t>шт</t>
        </is>
      </c>
      <c r="R116" s="41" t="n"/>
      <c r="S116" s="57" t="n"/>
      <c r="T116" s="41" t="inlineStr">
        <is>
          <t>Импорт из PRICE_MASTER</t>
        </is>
      </c>
      <c r="U116" s="41" t="n"/>
      <c r="V116" s="41" t="n"/>
      <c r="W116" s="41" t="n"/>
      <c r="X116" s="54" t="n"/>
      <c r="Y116" s="57" t="n"/>
      <c r="Z116" s="41" t="inlineStr">
        <is>
          <t>Высокая</t>
        </is>
      </c>
      <c r="AA116" s="41" t="inlineStr">
        <is>
          <t>SRC-0271</t>
        </is>
      </c>
    </row>
    <row r="117">
      <c r="A117" s="47" t="inlineStr">
        <is>
          <t>MV-0116</t>
        </is>
      </c>
      <c r="B117" s="42" t="inlineStr">
        <is>
          <t>RMAT-0116</t>
        </is>
      </c>
      <c r="C117" s="58" t="n"/>
      <c r="D117" s="42" t="n"/>
      <c r="E117" s="42" t="n"/>
      <c r="F117" s="42" t="n"/>
      <c r="G117" s="42" t="n"/>
      <c r="H117" s="42" t="n"/>
      <c r="I117" s="46" t="n">
        <v>265</v>
      </c>
      <c r="J117" s="42" t="inlineStr">
        <is>
          <t>ЦПС М300, 25кг</t>
        </is>
      </c>
      <c r="K117" s="42" t="inlineStr">
        <is>
          <t>Показать строкой</t>
        </is>
      </c>
      <c r="L117" s="42" t="inlineStr">
        <is>
          <t>Да</t>
        </is>
      </c>
      <c r="M117" s="42" t="inlineStr">
        <is>
          <t>Да</t>
        </is>
      </c>
      <c r="N117" s="48" t="inlineStr">
        <is>
          <t>Автосозданный вариант 1:1 из реального прайса</t>
        </is>
      </c>
      <c r="O117" s="42" t="inlineStr">
        <is>
          <t>шт</t>
        </is>
      </c>
      <c r="P117" s="56" t="n"/>
      <c r="Q117" s="42" t="inlineStr">
        <is>
          <t>шт</t>
        </is>
      </c>
      <c r="R117" s="42" t="n"/>
      <c r="S117" s="58" t="n"/>
      <c r="T117" s="42" t="inlineStr">
        <is>
          <t>Импорт из PRICE_MASTER</t>
        </is>
      </c>
      <c r="U117" s="42" t="n"/>
      <c r="V117" s="42" t="n"/>
      <c r="W117" s="42" t="n"/>
      <c r="X117" s="56" t="n"/>
      <c r="Y117" s="58" t="n"/>
      <c r="Z117" s="42" t="inlineStr">
        <is>
          <t>Высокая</t>
        </is>
      </c>
      <c r="AA117" s="42" t="inlineStr">
        <is>
          <t>SRC-0272</t>
        </is>
      </c>
    </row>
    <row r="118">
      <c r="A118" s="44" t="inlineStr">
        <is>
          <t>MV-0117</t>
        </is>
      </c>
      <c r="B118" s="41" t="inlineStr">
        <is>
          <t>RMAT-0117</t>
        </is>
      </c>
      <c r="C118" s="57" t="n"/>
      <c r="D118" s="41" t="n"/>
      <c r="E118" s="41" t="n"/>
      <c r="F118" s="41" t="n"/>
      <c r="G118" s="41" t="n"/>
      <c r="H118" s="41" t="n"/>
      <c r="I118" s="43" t="n">
        <v>2060</v>
      </c>
      <c r="J118" s="41" t="inlineStr">
        <is>
          <t>Щебень гранитный фр. 20-40мм</t>
        </is>
      </c>
      <c r="K118" s="41" t="inlineStr">
        <is>
          <t>Показать строкой</t>
        </is>
      </c>
      <c r="L118" s="41" t="inlineStr">
        <is>
          <t>Да</t>
        </is>
      </c>
      <c r="M118" s="41" t="inlineStr">
        <is>
          <t>Да</t>
        </is>
      </c>
      <c r="N118" s="45" t="inlineStr">
        <is>
          <t>Автосозданный вариант 1:1 из реального прайса</t>
        </is>
      </c>
      <c r="O118" s="41" t="inlineStr">
        <is>
          <t>м3</t>
        </is>
      </c>
      <c r="P118" s="54" t="n"/>
      <c r="Q118" s="41" t="inlineStr">
        <is>
          <t>м3</t>
        </is>
      </c>
      <c r="R118" s="41" t="n"/>
      <c r="S118" s="57" t="n"/>
      <c r="T118" s="41" t="inlineStr">
        <is>
          <t>Импорт из PRICE_MASTER</t>
        </is>
      </c>
      <c r="U118" s="41" t="n"/>
      <c r="V118" s="41" t="n"/>
      <c r="W118" s="41" t="n"/>
      <c r="X118" s="54" t="n"/>
      <c r="Y118" s="57" t="n"/>
      <c r="Z118" s="41" t="inlineStr">
        <is>
          <t>Высокая</t>
        </is>
      </c>
      <c r="AA118" s="41" t="inlineStr">
        <is>
          <t>SRC-0275</t>
        </is>
      </c>
    </row>
    <row r="119">
      <c r="A119" s="47" t="inlineStr">
        <is>
          <t>MV-0118</t>
        </is>
      </c>
      <c r="B119" s="42" t="inlineStr">
        <is>
          <t>RMAT-0118</t>
        </is>
      </c>
      <c r="C119" s="58" t="n"/>
      <c r="D119" s="42" t="n"/>
      <c r="E119" s="42" t="n"/>
      <c r="F119" s="42" t="n"/>
      <c r="G119" s="42" t="n"/>
      <c r="H119" s="42" t="n"/>
      <c r="I119" s="46" t="n">
        <v>2840</v>
      </c>
      <c r="J119" s="42" t="inlineStr">
        <is>
          <t>Щебень гранитный фр. 5-20мм</t>
        </is>
      </c>
      <c r="K119" s="42" t="inlineStr">
        <is>
          <t>Показать строкой</t>
        </is>
      </c>
      <c r="L119" s="42" t="inlineStr">
        <is>
          <t>Да</t>
        </is>
      </c>
      <c r="M119" s="42" t="inlineStr">
        <is>
          <t>Да</t>
        </is>
      </c>
      <c r="N119" s="48" t="inlineStr">
        <is>
          <t>Автосозданный вариант 1:1 из реального прайса</t>
        </is>
      </c>
      <c r="O119" s="42" t="inlineStr">
        <is>
          <t>м3</t>
        </is>
      </c>
      <c r="P119" s="56" t="n"/>
      <c r="Q119" s="42" t="inlineStr">
        <is>
          <t>м3</t>
        </is>
      </c>
      <c r="R119" s="42" t="n"/>
      <c r="S119" s="58" t="n"/>
      <c r="T119" s="42" t="inlineStr">
        <is>
          <t>Импорт из PRICE_MASTER</t>
        </is>
      </c>
      <c r="U119" s="42" t="n"/>
      <c r="V119" s="42" t="n"/>
      <c r="W119" s="42" t="n"/>
      <c r="X119" s="56" t="n"/>
      <c r="Y119" s="58" t="n"/>
      <c r="Z119" s="42" t="inlineStr">
        <is>
          <t>Высокая</t>
        </is>
      </c>
      <c r="AA119" s="42" t="inlineStr">
        <is>
          <t>SRC-0276</t>
        </is>
      </c>
    </row>
    <row r="120">
      <c r="A120" s="44" t="inlineStr">
        <is>
          <t>MV-0119</t>
        </is>
      </c>
      <c r="B120" s="41" t="inlineStr">
        <is>
          <t>RMAT-0119</t>
        </is>
      </c>
      <c r="C120" s="57" t="n"/>
      <c r="D120" s="41" t="n"/>
      <c r="E120" s="41" t="n"/>
      <c r="F120" s="41" t="n"/>
      <c r="G120" s="41" t="n"/>
      <c r="H120" s="41" t="n"/>
      <c r="I120" s="43" t="n">
        <v>340</v>
      </c>
      <c r="J120" s="41" t="inlineStr">
        <is>
          <t>Щебень гранитный фр. 5-20мм, 50кг</t>
        </is>
      </c>
      <c r="K120" s="41" t="inlineStr">
        <is>
          <t>Показать строкой</t>
        </is>
      </c>
      <c r="L120" s="41" t="inlineStr">
        <is>
          <t>Да</t>
        </is>
      </c>
      <c r="M120" s="41" t="inlineStr">
        <is>
          <t>Да</t>
        </is>
      </c>
      <c r="N120" s="45" t="inlineStr">
        <is>
          <t>Автосозданный вариант 1:1 из реального прайса</t>
        </is>
      </c>
      <c r="O120" s="41" t="inlineStr">
        <is>
          <t>шт</t>
        </is>
      </c>
      <c r="P120" s="54" t="n"/>
      <c r="Q120" s="41" t="inlineStr">
        <is>
          <t>шт</t>
        </is>
      </c>
      <c r="R120" s="41" t="n"/>
      <c r="S120" s="57" t="n"/>
      <c r="T120" s="41" t="inlineStr">
        <is>
          <t>Импорт из PRICE_MASTER</t>
        </is>
      </c>
      <c r="U120" s="41" t="n"/>
      <c r="V120" s="41" t="n"/>
      <c r="W120" s="41" t="n"/>
      <c r="X120" s="54" t="n"/>
      <c r="Y120" s="57" t="n"/>
      <c r="Z120" s="41" t="inlineStr">
        <is>
          <t>Высокая</t>
        </is>
      </c>
      <c r="AA120" s="41" t="inlineStr">
        <is>
          <t>SRC-0277</t>
        </is>
      </c>
    </row>
    <row r="121">
      <c r="A121" s="47" t="inlineStr">
        <is>
          <t>MV-0120</t>
        </is>
      </c>
      <c r="B121" s="42" t="inlineStr">
        <is>
          <t>RMAT-0120</t>
        </is>
      </c>
      <c r="C121" s="58" t="n">
        <v>200</v>
      </c>
      <c r="D121" s="42" t="n"/>
      <c r="E121" s="42" t="n"/>
      <c r="F121" s="42" t="n"/>
      <c r="G121" s="42" t="n"/>
      <c r="H121" s="42" t="n"/>
      <c r="I121" s="46" t="n">
        <v>35000</v>
      </c>
      <c r="J121" s="42" t="inlineStr">
        <is>
          <t>Щит управления ландшафтным освещением (щит DKC 500*600*200мм IP65, кол-во модулей 72 элементы на базе ИЕК, 3 фазы 32А, 8 выходов под защитой УЗО)</t>
        </is>
      </c>
      <c r="K121" s="42" t="inlineStr">
        <is>
          <t>Показать строкой</t>
        </is>
      </c>
      <c r="L121" s="42" t="inlineStr">
        <is>
          <t>Да</t>
        </is>
      </c>
      <c r="M121" s="42" t="inlineStr">
        <is>
          <t>Да</t>
        </is>
      </c>
      <c r="N121" s="48" t="inlineStr">
        <is>
          <t>Автосозданный вариант 1:1 из реального прайса</t>
        </is>
      </c>
      <c r="O121" s="42" t="inlineStr">
        <is>
          <t>шт</t>
        </is>
      </c>
      <c r="P121" s="56" t="n"/>
      <c r="Q121" s="42" t="inlineStr">
        <is>
          <t>шт</t>
        </is>
      </c>
      <c r="R121" s="42" t="n"/>
      <c r="S121" s="58" t="n"/>
      <c r="T121" s="42" t="inlineStr">
        <is>
          <t>Импорт из PRICE_MASTER</t>
        </is>
      </c>
      <c r="U121" s="42" t="n"/>
      <c r="V121" s="42" t="n"/>
      <c r="W121" s="42" t="n"/>
      <c r="X121" s="56" t="n"/>
      <c r="Y121" s="58" t="n"/>
      <c r="Z121" s="42" t="inlineStr">
        <is>
          <t>Высокая</t>
        </is>
      </c>
      <c r="AA121" s="42" t="inlineStr">
        <is>
          <t>SRC-0278</t>
        </is>
      </c>
    </row>
    <row r="122">
      <c r="A122" s="44" t="inlineStr">
        <is>
          <t>MV-0121</t>
        </is>
      </c>
      <c r="B122" s="41" t="inlineStr">
        <is>
          <t>RMAT-0121</t>
        </is>
      </c>
      <c r="C122" s="57" t="n"/>
      <c r="D122" s="41" t="n"/>
      <c r="E122" s="41" t="n"/>
      <c r="F122" s="41" t="n"/>
      <c r="G122" s="41" t="n"/>
      <c r="H122" s="41" t="n"/>
      <c r="I122" s="43" t="n">
        <v>690</v>
      </c>
      <c r="J122" s="41" t="inlineStr">
        <is>
          <t>Электроды</t>
        </is>
      </c>
      <c r="K122" s="41" t="inlineStr">
        <is>
          <t>Показать строкой</t>
        </is>
      </c>
      <c r="L122" s="41" t="inlineStr">
        <is>
          <t>Да</t>
        </is>
      </c>
      <c r="M122" s="41" t="inlineStr">
        <is>
          <t>Да</t>
        </is>
      </c>
      <c r="N122" s="45" t="inlineStr">
        <is>
          <t>Автосозданный вариант 1:1 из реального прайса</t>
        </is>
      </c>
      <c r="O122" s="41" t="inlineStr">
        <is>
          <t>уп.</t>
        </is>
      </c>
      <c r="P122" s="54" t="n"/>
      <c r="Q122" s="41" t="inlineStr">
        <is>
          <t>уп.</t>
        </is>
      </c>
      <c r="R122" s="41" t="n"/>
      <c r="S122" s="57" t="n"/>
      <c r="T122" s="41" t="inlineStr">
        <is>
          <t>Импорт из PRICE_MASTER</t>
        </is>
      </c>
      <c r="U122" s="41" t="n"/>
      <c r="V122" s="41" t="n"/>
      <c r="W122" s="41" t="n"/>
      <c r="X122" s="54" t="n"/>
      <c r="Y122" s="57" t="n"/>
      <c r="Z122" s="41" t="inlineStr">
        <is>
          <t>Высокая</t>
        </is>
      </c>
      <c r="AA122" s="41" t="inlineStr">
        <is>
          <t>SRC-0279</t>
        </is>
      </c>
    </row>
  </sheetData>
  <autoFilter ref="A1:AA12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4" customWidth="1" min="3" max="3"/>
    <col width="17" customWidth="1" min="4" max="4"/>
    <col width="24" customWidth="1" min="5" max="5"/>
    <col width="12" customWidth="1" min="6" max="6"/>
    <col width="12" customWidth="1" min="7" max="7"/>
    <col width="11" customWidth="1" min="8" max="8"/>
    <col width="19" customWidth="1" min="9" max="9"/>
    <col width="15" customWidth="1" min="10" max="10"/>
    <col width="13" customWidth="1" min="11" max="11"/>
    <col width="40" customWidth="1" min="12" max="12"/>
  </cols>
  <sheetData>
    <row r="1">
      <c r="A1" s="40" t="inlineStr">
        <is>
          <t>SourceRowID</t>
        </is>
      </c>
      <c r="B1" s="40" t="inlineStr">
        <is>
          <t>RawName</t>
        </is>
      </c>
      <c r="C1" s="40" t="inlineStr">
        <is>
          <t>SourceSheet</t>
        </is>
      </c>
      <c r="D1" s="40" t="inlineStr">
        <is>
          <t>SourceRowNumber</t>
        </is>
      </c>
      <c r="E1" s="40" t="inlineStr">
        <is>
          <t>SourceSection</t>
        </is>
      </c>
      <c r="F1" s="40" t="inlineStr">
        <is>
          <t>EntityType</t>
        </is>
      </c>
      <c r="G1" s="40" t="inlineStr">
        <is>
          <t>MasterID</t>
        </is>
      </c>
      <c r="H1" s="40" t="inlineStr">
        <is>
          <t>VariantID</t>
        </is>
      </c>
      <c r="I1" s="40" t="inlineStr">
        <is>
          <t>MappingConfidence</t>
        </is>
      </c>
      <c r="J1" s="40" t="inlineStr">
        <is>
          <t>MappingStatus</t>
        </is>
      </c>
      <c r="K1" s="40" t="inlineStr">
        <is>
          <t>NeedsReview</t>
        </is>
      </c>
      <c r="L1" s="40" t="inlineStr">
        <is>
          <t>Notes</t>
        </is>
      </c>
    </row>
    <row r="2">
      <c r="A2" s="41" t="inlineStr">
        <is>
          <t>SRC-0001</t>
        </is>
      </c>
      <c r="B2" s="41" t="inlineStr">
        <is>
          <t>Авторское сопровождение</t>
        </is>
      </c>
      <c r="C2" s="41" t="inlineStr">
        <is>
          <t>PRICE_MASTER/RAW_LINES</t>
        </is>
      </c>
      <c r="D2" s="41" t="n">
        <v>2</v>
      </c>
      <c r="E2" s="41" t="inlineStr">
        <is>
          <t>%</t>
        </is>
      </c>
      <c r="F2" s="41" t="inlineStr">
        <is>
          <t>Work</t>
        </is>
      </c>
      <c r="G2" s="44" t="inlineStr">
        <is>
          <t>RWORK-0001</t>
        </is>
      </c>
      <c r="H2" s="44" t="n"/>
      <c r="I2" s="41" t="inlineStr">
        <is>
          <t>Высокая</t>
        </is>
      </c>
      <c r="J2" s="41" t="inlineStr">
        <is>
          <t>Imported</t>
        </is>
      </c>
      <c r="K2" s="41" t="inlineStr">
        <is>
          <t>Нет</t>
        </is>
      </c>
      <c r="L2" s="45" t="inlineStr">
        <is>
          <t>Это продаваемая услуга, можно показывать отдельной строкой</t>
        </is>
      </c>
    </row>
    <row r="3">
      <c r="A3" s="42" t="inlineStr">
        <is>
          <t>SRC-0002</t>
        </is>
      </c>
      <c r="B3" s="42" t="inlineStr">
        <is>
          <t>Амфиболит колотый 50*100*100мм</t>
        </is>
      </c>
      <c r="C3" s="42" t="inlineStr">
        <is>
          <t>PRICE_MASTER/RAW_LINES</t>
        </is>
      </c>
      <c r="D3" s="42" t="n">
        <v>3</v>
      </c>
      <c r="E3" s="42" t="inlineStr">
        <is>
          <t>Мощение</t>
        </is>
      </c>
      <c r="F3" s="42" t="inlineStr">
        <is>
          <t>Material</t>
        </is>
      </c>
      <c r="G3" s="47" t="inlineStr">
        <is>
          <t>RMAT-0001</t>
        </is>
      </c>
      <c r="H3" s="47" t="inlineStr">
        <is>
          <t>MV-0001</t>
        </is>
      </c>
      <c r="I3" s="42" t="inlineStr">
        <is>
          <t>Высокая</t>
        </is>
      </c>
      <c r="J3" s="42" t="inlineStr">
        <is>
          <t>Imported</t>
        </is>
      </c>
      <c r="K3" s="42" t="inlineStr">
        <is>
          <t>Нет</t>
        </is>
      </c>
      <c r="L3" s="48" t="inlineStr">
        <is>
          <t>Нормализовано под генератор КП</t>
        </is>
      </c>
    </row>
    <row r="4">
      <c r="A4" s="41" t="inlineStr">
        <is>
          <t>SRC-0003</t>
        </is>
      </c>
      <c r="B4" s="41" t="inlineStr">
        <is>
          <t>Анкер крепящий для ландшафтного бордюра (количество для установки по дуге 5шт. на 1м.п.)</t>
        </is>
      </c>
      <c r="C4" s="41" t="inlineStr">
        <is>
          <t>PRICE_MASTER/RAW_LINES</t>
        </is>
      </c>
      <c r="D4" s="41" t="n">
        <v>4</v>
      </c>
      <c r="E4" s="41" t="inlineStr">
        <is>
          <t>газон</t>
        </is>
      </c>
      <c r="F4" s="41" t="inlineStr">
        <is>
          <t>Material</t>
        </is>
      </c>
      <c r="G4" s="44" t="inlineStr">
        <is>
          <t>RMAT-0002</t>
        </is>
      </c>
      <c r="H4" s="44" t="inlineStr">
        <is>
          <t>MV-0002</t>
        </is>
      </c>
      <c r="I4" s="41" t="inlineStr">
        <is>
          <t>Высокая</t>
        </is>
      </c>
      <c r="J4" s="41" t="inlineStr">
        <is>
          <t>Imported</t>
        </is>
      </c>
      <c r="K4" s="41" t="inlineStr">
        <is>
          <t>Нет</t>
        </is>
      </c>
      <c r="L4" s="45" t="inlineStr">
        <is>
          <t>Нормализовано под генератор КП</t>
        </is>
      </c>
    </row>
    <row r="5">
      <c r="A5" s="42" t="inlineStr">
        <is>
          <t>SRC-0004</t>
        </is>
      </c>
      <c r="B5" s="42" t="inlineStr">
        <is>
          <t>Антисептик Pinotex Base</t>
        </is>
      </c>
      <c r="C5" s="42" t="inlineStr">
        <is>
          <t>PRICE_MASTER/RAW_LINES</t>
        </is>
      </c>
      <c r="D5" s="42" t="n">
        <v>5</v>
      </c>
      <c r="E5" s="42" t="inlineStr">
        <is>
          <t>Мощение</t>
        </is>
      </c>
      <c r="F5" s="42" t="inlineStr">
        <is>
          <t>Material</t>
        </is>
      </c>
      <c r="G5" s="47" t="inlineStr">
        <is>
          <t>RMAT-0003</t>
        </is>
      </c>
      <c r="H5" s="47" t="inlineStr">
        <is>
          <t>MV-0003</t>
        </is>
      </c>
      <c r="I5" s="42" t="inlineStr">
        <is>
          <t>Высокая</t>
        </is>
      </c>
      <c r="J5" s="42" t="inlineStr">
        <is>
          <t>Imported</t>
        </is>
      </c>
      <c r="K5" s="42" t="inlineStr">
        <is>
          <t>Нет</t>
        </is>
      </c>
      <c r="L5" s="48" t="inlineStr">
        <is>
          <t>Нормализовано под генератор КП</t>
        </is>
      </c>
    </row>
    <row r="6">
      <c r="A6" s="41" t="inlineStr">
        <is>
          <t>SRC-0005</t>
        </is>
      </c>
      <c r="B6" s="41" t="inlineStr">
        <is>
          <t>Антисептирование пиломатериалов с обеих сторон</t>
        </is>
      </c>
      <c r="C6" s="41" t="inlineStr">
        <is>
          <t>PRICE_MASTER/RAW_LINES</t>
        </is>
      </c>
      <c r="D6" s="41" t="n">
        <v>6</v>
      </c>
      <c r="E6" s="41" t="inlineStr">
        <is>
          <t>Мощение</t>
        </is>
      </c>
      <c r="F6" s="41" t="inlineStr">
        <is>
          <t>Work</t>
        </is>
      </c>
      <c r="G6" s="44" t="inlineStr">
        <is>
          <t>RWORK-0002</t>
        </is>
      </c>
      <c r="H6" s="44" t="n"/>
      <c r="I6" s="41" t="inlineStr">
        <is>
          <t>Высокая</t>
        </is>
      </c>
      <c r="J6" s="41" t="inlineStr">
        <is>
          <t>Imported</t>
        </is>
      </c>
      <c r="K6" s="41" t="inlineStr">
        <is>
          <t>Нет</t>
        </is>
      </c>
      <c r="L6" s="45" t="inlineStr">
        <is>
          <t>Нормализовано под генератор КП</t>
        </is>
      </c>
    </row>
    <row r="7">
      <c r="A7" s="42" t="inlineStr">
        <is>
          <t>SRC-0006</t>
        </is>
      </c>
      <c r="B7" s="42" t="inlineStr">
        <is>
          <t>Аренда вагончика</t>
        </is>
      </c>
      <c r="C7" s="42" t="inlineStr">
        <is>
          <t>PRICE_MASTER/RAW_LINES</t>
        </is>
      </c>
      <c r="D7" s="42" t="n">
        <v>7</v>
      </c>
      <c r="E7" s="42" t="inlineStr">
        <is>
          <t>%</t>
        </is>
      </c>
      <c r="F7" s="42" t="inlineStr">
        <is>
          <t>Work</t>
        </is>
      </c>
      <c r="G7" s="47" t="inlineStr">
        <is>
          <t>RWORK-0003</t>
        </is>
      </c>
      <c r="H7" s="47" t="n"/>
      <c r="I7" s="42" t="inlineStr">
        <is>
          <t>Высокая</t>
        </is>
      </c>
      <c r="J7" s="42" t="inlineStr">
        <is>
          <t>Imported</t>
        </is>
      </c>
      <c r="K7" s="42" t="inlineStr">
        <is>
          <t>Нет</t>
        </is>
      </c>
      <c r="L7" s="48" t="inlineStr">
        <is>
          <t>Для клиентского КП лучше сворачивать в раздел "Организация стройплощадки"</t>
        </is>
      </c>
    </row>
    <row r="8">
      <c r="A8" s="41" t="inlineStr">
        <is>
          <t>SRC-0007</t>
        </is>
      </c>
      <c r="B8" s="41" t="inlineStr">
        <is>
          <t>Аренда виброплиты 140кг</t>
        </is>
      </c>
      <c r="C8" s="41" t="inlineStr">
        <is>
          <t>PRICE_MASTER/RAW_LINES</t>
        </is>
      </c>
      <c r="D8" s="41" t="n">
        <v>8</v>
      </c>
      <c r="E8" s="41" t="inlineStr">
        <is>
          <t>техника</t>
        </is>
      </c>
      <c r="F8" s="41" t="inlineStr">
        <is>
          <t>Work</t>
        </is>
      </c>
      <c r="G8" s="44" t="inlineStr">
        <is>
          <t>RWORK-0004</t>
        </is>
      </c>
      <c r="H8" s="44" t="n"/>
      <c r="I8" s="41" t="inlineStr">
        <is>
          <t>Высокая</t>
        </is>
      </c>
      <c r="J8" s="41" t="inlineStr">
        <is>
          <t>Imported</t>
        </is>
      </c>
      <c r="K8" s="41" t="inlineStr">
        <is>
          <t>Нет</t>
        </is>
      </c>
      <c r="L8" s="45" t="inlineStr">
        <is>
          <t>Из отдельного столбца 6 это нужно убирать: для КП это тип позиции, а не раздел</t>
        </is>
      </c>
    </row>
    <row r="9">
      <c r="A9" s="42" t="inlineStr">
        <is>
          <t>SRC-0008</t>
        </is>
      </c>
      <c r="B9" s="42" t="inlineStr">
        <is>
          <t>Аренда виброплиты 70кг</t>
        </is>
      </c>
      <c r="C9" s="42" t="inlineStr">
        <is>
          <t>PRICE_MASTER/RAW_LINES</t>
        </is>
      </c>
      <c r="D9" s="42" t="n">
        <v>9</v>
      </c>
      <c r="E9" s="42" t="inlineStr">
        <is>
          <t>дренаж</t>
        </is>
      </c>
      <c r="F9" s="42" t="inlineStr">
        <is>
          <t>Work</t>
        </is>
      </c>
      <c r="G9" s="47" t="inlineStr">
        <is>
          <t>RWORK-0005</t>
        </is>
      </c>
      <c r="H9" s="47" t="n"/>
      <c r="I9" s="42" t="inlineStr">
        <is>
          <t>Высокая</t>
        </is>
      </c>
      <c r="J9" s="42" t="inlineStr">
        <is>
          <t>Imported</t>
        </is>
      </c>
      <c r="K9" s="42" t="inlineStr">
        <is>
          <t>Нет</t>
        </is>
      </c>
      <c r="L9" s="48" t="inlineStr">
        <is>
          <t>Нормализовано под генератор КП</t>
        </is>
      </c>
    </row>
    <row r="10">
      <c r="A10" s="41" t="inlineStr">
        <is>
          <t>SRC-0009</t>
        </is>
      </c>
      <c r="B10" s="41" t="inlineStr">
        <is>
          <t>Аренда мотобура</t>
        </is>
      </c>
      <c r="C10" s="41" t="inlineStr">
        <is>
          <t>PRICE_MASTER/RAW_LINES</t>
        </is>
      </c>
      <c r="D10" s="41" t="n">
        <v>10</v>
      </c>
      <c r="E10" s="41" t="inlineStr">
        <is>
          <t>техника</t>
        </is>
      </c>
      <c r="F10" s="41" t="inlineStr">
        <is>
          <t>Work</t>
        </is>
      </c>
      <c r="G10" s="44" t="inlineStr">
        <is>
          <t>RWORK-0006</t>
        </is>
      </c>
      <c r="H10" s="44" t="n"/>
      <c r="I10" s="41" t="inlineStr">
        <is>
          <t>Высокая</t>
        </is>
      </c>
      <c r="J10" s="41" t="inlineStr">
        <is>
          <t>Imported</t>
        </is>
      </c>
      <c r="K10" s="41" t="inlineStr">
        <is>
          <t>Нет</t>
        </is>
      </c>
      <c r="L10" s="45" t="inlineStr">
        <is>
          <t>Из отдельного столбца 6 это нужно убирать: для КП это тип позиции, а не раздел</t>
        </is>
      </c>
    </row>
    <row r="11">
      <c r="A11" s="42" t="inlineStr">
        <is>
          <t>SRC-0010</t>
        </is>
      </c>
      <c r="B11" s="42" t="inlineStr">
        <is>
          <t>Аренда обслуживание (2 раза в месяц) туалетной кабины</t>
        </is>
      </c>
      <c r="C11" s="42" t="inlineStr">
        <is>
          <t>PRICE_MASTER/RAW_LINES</t>
        </is>
      </c>
      <c r="D11" s="42" t="n">
        <v>11</v>
      </c>
      <c r="E11" s="42" t="inlineStr">
        <is>
          <t>%</t>
        </is>
      </c>
      <c r="F11" s="42" t="inlineStr">
        <is>
          <t>Work</t>
        </is>
      </c>
      <c r="G11" s="47" t="inlineStr">
        <is>
          <t>RWORK-0007</t>
        </is>
      </c>
      <c r="H11" s="47" t="n"/>
      <c r="I11" s="42" t="inlineStr">
        <is>
          <t>Высокая</t>
        </is>
      </c>
      <c r="J11" s="42" t="inlineStr">
        <is>
          <t>Imported</t>
        </is>
      </c>
      <c r="K11" s="42" t="inlineStr">
        <is>
          <t>Нет</t>
        </is>
      </c>
      <c r="L11" s="48" t="inlineStr">
        <is>
          <t>Для клиентского КП лучше сворачивать в раздел "Организация стройплощадки"</t>
        </is>
      </c>
    </row>
    <row r="12">
      <c r="A12" s="41" t="inlineStr">
        <is>
          <t>SRC-0011</t>
        </is>
      </c>
      <c r="B12" s="41" t="inlineStr">
        <is>
          <t>Аренда торцовочной пилы</t>
        </is>
      </c>
      <c r="C12" s="41" t="inlineStr">
        <is>
          <t>PRICE_MASTER/RAW_LINES</t>
        </is>
      </c>
      <c r="D12" s="41" t="n">
        <v>12</v>
      </c>
      <c r="E12" s="41" t="inlineStr">
        <is>
          <t>техника</t>
        </is>
      </c>
      <c r="F12" s="41" t="inlineStr">
        <is>
          <t>Work</t>
        </is>
      </c>
      <c r="G12" s="44" t="inlineStr">
        <is>
          <t>RWORK-0008</t>
        </is>
      </c>
      <c r="H12" s="44" t="n"/>
      <c r="I12" s="41" t="inlineStr">
        <is>
          <t>Высокая</t>
        </is>
      </c>
      <c r="J12" s="41" t="inlineStr">
        <is>
          <t>Imported</t>
        </is>
      </c>
      <c r="K12" s="41" t="inlineStr">
        <is>
          <t>Нет</t>
        </is>
      </c>
      <c r="L12" s="45" t="inlineStr">
        <is>
          <t>Из отдельного столбца 6 это нужно убирать: для КП это тип позиции, а не раздел</t>
        </is>
      </c>
    </row>
    <row r="13">
      <c r="A13" s="42" t="inlineStr">
        <is>
          <t>SRC-0012</t>
        </is>
      </c>
      <c r="B13" s="42" t="inlineStr">
        <is>
          <t>арматура рифленая, 10мм</t>
        </is>
      </c>
      <c r="C13" s="42" t="inlineStr">
        <is>
          <t>PRICE_MASTER/RAW_LINES</t>
        </is>
      </c>
      <c r="D13" s="42" t="n">
        <v>13</v>
      </c>
      <c r="E13" s="42" t="inlineStr">
        <is>
          <t>Мощение</t>
        </is>
      </c>
      <c r="F13" s="42" t="inlineStr">
        <is>
          <t>Material</t>
        </is>
      </c>
      <c r="G13" s="47" t="inlineStr">
        <is>
          <t>RMAT-0004</t>
        </is>
      </c>
      <c r="H13" s="47" t="inlineStr">
        <is>
          <t>MV-0004</t>
        </is>
      </c>
      <c r="I13" s="42" t="inlineStr">
        <is>
          <t>Высокая</t>
        </is>
      </c>
      <c r="J13" s="42" t="inlineStr">
        <is>
          <t>Imported</t>
        </is>
      </c>
      <c r="K13" s="42" t="inlineStr">
        <is>
          <t>Нет</t>
        </is>
      </c>
      <c r="L13" s="48" t="inlineStr">
        <is>
          <t>Нормализовано под генератор КП</t>
        </is>
      </c>
    </row>
    <row r="14">
      <c r="A14" s="41" t="inlineStr">
        <is>
          <t>SRC-0013</t>
        </is>
      </c>
      <c r="B14" s="41" t="inlineStr">
        <is>
          <t>Арматура рифленая, 12мм</t>
        </is>
      </c>
      <c r="C14" s="41" t="inlineStr">
        <is>
          <t>PRICE_MASTER/RAW_LINES</t>
        </is>
      </c>
      <c r="D14" s="41" t="n">
        <v>14</v>
      </c>
      <c r="E14" s="41" t="inlineStr">
        <is>
          <t>Мощение</t>
        </is>
      </c>
      <c r="F14" s="41" t="inlineStr">
        <is>
          <t>Material</t>
        </is>
      </c>
      <c r="G14" s="44" t="inlineStr">
        <is>
          <t>RMAT-0005</t>
        </is>
      </c>
      <c r="H14" s="44" t="inlineStr">
        <is>
          <t>MV-0005</t>
        </is>
      </c>
      <c r="I14" s="41" t="inlineStr">
        <is>
          <t>Высокая</t>
        </is>
      </c>
      <c r="J14" s="41" t="inlineStr">
        <is>
          <t>Imported</t>
        </is>
      </c>
      <c r="K14" s="41" t="inlineStr">
        <is>
          <t>Нет</t>
        </is>
      </c>
      <c r="L14" s="45" t="inlineStr">
        <is>
          <t>Нормализовано под генератор КП</t>
        </is>
      </c>
    </row>
    <row r="15">
      <c r="A15" s="42" t="inlineStr">
        <is>
          <t>SRC-0014</t>
        </is>
      </c>
      <c r="B15" s="42" t="inlineStr">
        <is>
          <t>Армирование</t>
        </is>
      </c>
      <c r="C15" s="42" t="inlineStr">
        <is>
          <t>PRICE_MASTER/RAW_LINES</t>
        </is>
      </c>
      <c r="D15" s="42" t="n">
        <v>15</v>
      </c>
      <c r="E15" s="42" t="inlineStr">
        <is>
          <t>Мощение</t>
        </is>
      </c>
      <c r="F15" s="42" t="inlineStr">
        <is>
          <t>Work</t>
        </is>
      </c>
      <c r="G15" s="47" t="inlineStr">
        <is>
          <t>RWORK-0009</t>
        </is>
      </c>
      <c r="H15" s="47" t="n"/>
      <c r="I15" s="42" t="inlineStr">
        <is>
          <t>Высокая</t>
        </is>
      </c>
      <c r="J15" s="42" t="inlineStr">
        <is>
          <t>Imported</t>
        </is>
      </c>
      <c r="K15" s="42" t="inlineStr">
        <is>
          <t>Нет</t>
        </is>
      </c>
      <c r="L15" s="48" t="inlineStr">
        <is>
          <t>Нормализовано под генератор КП</t>
        </is>
      </c>
    </row>
    <row r="16">
      <c r="A16" s="41" t="inlineStr">
        <is>
          <t>SRC-0015</t>
        </is>
      </c>
      <c r="B16" s="41" t="inlineStr">
        <is>
          <t>Бетон, миксер</t>
        </is>
      </c>
      <c r="C16" s="41" t="inlineStr">
        <is>
          <t>PRICE_MASTER/RAW_LINES</t>
        </is>
      </c>
      <c r="D16" s="41" t="n">
        <v>16</v>
      </c>
      <c r="E16" s="41" t="inlineStr">
        <is>
          <t>ступени</t>
        </is>
      </c>
      <c r="F16" s="41" t="inlineStr">
        <is>
          <t>Material</t>
        </is>
      </c>
      <c r="G16" s="44" t="inlineStr">
        <is>
          <t>RMAT-0006</t>
        </is>
      </c>
      <c r="H16" s="44" t="inlineStr">
        <is>
          <t>MV-0006</t>
        </is>
      </c>
      <c r="I16" s="41" t="inlineStr">
        <is>
          <t>Высокая</t>
        </is>
      </c>
      <c r="J16" s="41" t="inlineStr">
        <is>
          <t>Imported</t>
        </is>
      </c>
      <c r="K16" s="41" t="inlineStr">
        <is>
          <t>Нет</t>
        </is>
      </c>
      <c r="L16" s="45" t="inlineStr">
        <is>
          <t>Нормализовано под генератор КП</t>
        </is>
      </c>
    </row>
    <row r="17">
      <c r="A17" s="42" t="inlineStr">
        <is>
          <t>SRC-0016</t>
        </is>
      </c>
      <c r="B17" s="42" t="inlineStr">
        <is>
          <t>Бетононасос</t>
        </is>
      </c>
      <c r="C17" s="42" t="inlineStr">
        <is>
          <t>PRICE_MASTER/RAW_LINES</t>
        </is>
      </c>
      <c r="D17" s="42" t="n">
        <v>17</v>
      </c>
      <c r="E17" s="42" t="inlineStr">
        <is>
          <t>ступени</t>
        </is>
      </c>
      <c r="F17" s="42" t="inlineStr">
        <is>
          <t>Work</t>
        </is>
      </c>
      <c r="G17" s="47" t="inlineStr">
        <is>
          <t>RWORK-0010</t>
        </is>
      </c>
      <c r="H17" s="47" t="n"/>
      <c r="I17" s="42" t="inlineStr">
        <is>
          <t>Высокая</t>
        </is>
      </c>
      <c r="J17" s="42" t="inlineStr">
        <is>
          <t>Imported</t>
        </is>
      </c>
      <c r="K17" s="42" t="inlineStr">
        <is>
          <t>Нет</t>
        </is>
      </c>
      <c r="L17" s="48" t="inlineStr">
        <is>
          <t>Нормализовано под генератор КП</t>
        </is>
      </c>
    </row>
    <row r="18">
      <c r="A18" s="41" t="inlineStr">
        <is>
          <t>SRC-0017</t>
        </is>
      </c>
      <c r="B18" s="41" t="inlineStr">
        <is>
          <t>Блок питания 100Вт</t>
        </is>
      </c>
      <c r="C18" s="41" t="inlineStr">
        <is>
          <t>PRICE_MASTER/RAW_LINES</t>
        </is>
      </c>
      <c r="D18" s="41" t="n">
        <v>18</v>
      </c>
      <c r="E18" s="41" t="inlineStr">
        <is>
          <t>Освещение</t>
        </is>
      </c>
      <c r="F18" s="41" t="inlineStr">
        <is>
          <t>Material</t>
        </is>
      </c>
      <c r="G18" s="44" t="inlineStr">
        <is>
          <t>RMAT-0007</t>
        </is>
      </c>
      <c r="H18" s="44" t="inlineStr">
        <is>
          <t>MV-0007</t>
        </is>
      </c>
      <c r="I18" s="41" t="inlineStr">
        <is>
          <t>Высокая</t>
        </is>
      </c>
      <c r="J18" s="41" t="inlineStr">
        <is>
          <t>Imported</t>
        </is>
      </c>
      <c r="K18" s="41" t="inlineStr">
        <is>
          <t>Нет</t>
        </is>
      </c>
      <c r="L18" s="45" t="inlineStr">
        <is>
          <t>Нормализовано под генератор КП</t>
        </is>
      </c>
    </row>
    <row r="19">
      <c r="A19" s="42" t="inlineStr">
        <is>
          <t>SRC-0018</t>
        </is>
      </c>
      <c r="B19" s="42" t="inlineStr">
        <is>
          <t>Бордюр металлический</t>
        </is>
      </c>
      <c r="C19" s="42" t="inlineStr">
        <is>
          <t>PRICE_MASTER/RAW_LINES</t>
        </is>
      </c>
      <c r="D19" s="42" t="n">
        <v>19</v>
      </c>
      <c r="E19" s="42" t="inlineStr">
        <is>
          <t>Мощение</t>
        </is>
      </c>
      <c r="F19" s="42" t="inlineStr">
        <is>
          <t>Material</t>
        </is>
      </c>
      <c r="G19" s="47" t="inlineStr">
        <is>
          <t>RMAT-0008</t>
        </is>
      </c>
      <c r="H19" s="47" t="inlineStr">
        <is>
          <t>MV-0008</t>
        </is>
      </c>
      <c r="I19" s="42" t="inlineStr">
        <is>
          <t>Высокая</t>
        </is>
      </c>
      <c r="J19" s="42" t="inlineStr">
        <is>
          <t>Imported</t>
        </is>
      </c>
      <c r="K19" s="42" t="inlineStr">
        <is>
          <t>Нет</t>
        </is>
      </c>
      <c r="L19" s="48" t="inlineStr">
        <is>
          <t>Нормализовано под генератор КП</t>
        </is>
      </c>
    </row>
    <row r="20">
      <c r="A20" s="41" t="inlineStr">
        <is>
          <t>SRC-0019</t>
        </is>
      </c>
      <c r="B20" s="41" t="inlineStr">
        <is>
          <t>Бордюр пластиковый Plastbort с крепежом</t>
        </is>
      </c>
      <c r="C20" s="41" t="inlineStr">
        <is>
          <t>PRICE_MASTER/RAW_LINES</t>
        </is>
      </c>
      <c r="D20" s="41" t="n">
        <v>20</v>
      </c>
      <c r="E20" s="41" t="inlineStr">
        <is>
          <t>Мощение</t>
        </is>
      </c>
      <c r="F20" s="41" t="inlineStr">
        <is>
          <t>Material</t>
        </is>
      </c>
      <c r="G20" s="44" t="inlineStr">
        <is>
          <t>RMAT-0009</t>
        </is>
      </c>
      <c r="H20" s="44" t="inlineStr">
        <is>
          <t>MV-0009</t>
        </is>
      </c>
      <c r="I20" s="41" t="inlineStr">
        <is>
          <t>Высокая</t>
        </is>
      </c>
      <c r="J20" s="41" t="inlineStr">
        <is>
          <t>Imported</t>
        </is>
      </c>
      <c r="K20" s="41" t="inlineStr">
        <is>
          <t>Нет</t>
        </is>
      </c>
      <c r="L20" s="45" t="inlineStr">
        <is>
          <t>Нормализовано под генератор КП</t>
        </is>
      </c>
    </row>
    <row r="21">
      <c r="A21" s="42" t="inlineStr">
        <is>
          <t>SRC-0020</t>
        </is>
      </c>
      <c r="B21" s="42" t="inlineStr">
        <is>
          <t>Бордюр пластиковый, 100х8х4.5см</t>
        </is>
      </c>
      <c r="C21" s="42" t="inlineStr">
        <is>
          <t>PRICE_MASTER/RAW_LINES</t>
        </is>
      </c>
      <c r="D21" s="42" t="n">
        <v>21</v>
      </c>
      <c r="E21" s="42" t="inlineStr">
        <is>
          <t>газон</t>
        </is>
      </c>
      <c r="F21" s="42" t="inlineStr">
        <is>
          <t>Material</t>
        </is>
      </c>
      <c r="G21" s="47" t="inlineStr">
        <is>
          <t>RMAT-0010</t>
        </is>
      </c>
      <c r="H21" s="47" t="inlineStr">
        <is>
          <t>MV-0010</t>
        </is>
      </c>
      <c r="I21" s="42" t="inlineStr">
        <is>
          <t>Высокая</t>
        </is>
      </c>
      <c r="J21" s="42" t="inlineStr">
        <is>
          <t>Imported</t>
        </is>
      </c>
      <c r="K21" s="42" t="inlineStr">
        <is>
          <t>Нет</t>
        </is>
      </c>
      <c r="L21" s="48" t="inlineStr">
        <is>
          <t>Нормализовано под генератор КП</t>
        </is>
      </c>
    </row>
    <row r="22">
      <c r="A22" s="41" t="inlineStr">
        <is>
          <t>SRC-0021</t>
        </is>
      </c>
      <c r="B22" s="41" t="inlineStr">
        <is>
          <t>Брус 50х50х3000мм</t>
        </is>
      </c>
      <c r="C22" s="41" t="inlineStr">
        <is>
          <t>PRICE_MASTER/RAW_LINES</t>
        </is>
      </c>
      <c r="D22" s="41" t="n">
        <v>22</v>
      </c>
      <c r="E22" s="41" t="inlineStr">
        <is>
          <t>ступени</t>
        </is>
      </c>
      <c r="F22" s="41" t="inlineStr">
        <is>
          <t>Material</t>
        </is>
      </c>
      <c r="G22" s="44" t="inlineStr">
        <is>
          <t>RMAT-0011</t>
        </is>
      </c>
      <c r="H22" s="44" t="inlineStr">
        <is>
          <t>MV-0011</t>
        </is>
      </c>
      <c r="I22" s="41" t="inlineStr">
        <is>
          <t>Высокая</t>
        </is>
      </c>
      <c r="J22" s="41" t="inlineStr">
        <is>
          <t>Imported</t>
        </is>
      </c>
      <c r="K22" s="41" t="inlineStr">
        <is>
          <t>Нет</t>
        </is>
      </c>
      <c r="L22" s="45" t="inlineStr">
        <is>
          <t>Нормализовано под генератор КП</t>
        </is>
      </c>
    </row>
    <row r="23">
      <c r="A23" s="42" t="inlineStr">
        <is>
          <t>SRC-0022</t>
        </is>
      </c>
      <c r="B23" s="42" t="inlineStr">
        <is>
          <t>Брусок сухой сосна 30х45х3000 мм сорт АВ</t>
        </is>
      </c>
      <c r="C23" s="42" t="inlineStr">
        <is>
          <t>PRICE_MASTER/RAW_LINES</t>
        </is>
      </c>
      <c r="D23" s="42" t="n">
        <v>23</v>
      </c>
      <c r="E23" s="42" t="inlineStr">
        <is>
          <t>Мощение</t>
        </is>
      </c>
      <c r="F23" s="42" t="inlineStr">
        <is>
          <t>Material</t>
        </is>
      </c>
      <c r="G23" s="47" t="inlineStr">
        <is>
          <t>RMAT-0012</t>
        </is>
      </c>
      <c r="H23" s="47" t="inlineStr">
        <is>
          <t>MV-0012</t>
        </is>
      </c>
      <c r="I23" s="42" t="inlineStr">
        <is>
          <t>Высокая</t>
        </is>
      </c>
      <c r="J23" s="42" t="inlineStr">
        <is>
          <t>Imported</t>
        </is>
      </c>
      <c r="K23" s="42" t="inlineStr">
        <is>
          <t>Нет</t>
        </is>
      </c>
      <c r="L23" s="48" t="inlineStr">
        <is>
          <t>Нормализовано под генератор КП</t>
        </is>
      </c>
    </row>
    <row r="24">
      <c r="A24" s="41" t="inlineStr">
        <is>
          <t>SRC-0023</t>
        </is>
      </c>
      <c r="B24" s="41" t="inlineStr">
        <is>
          <t>Брусчатка гранитная, 100х100х100мм</t>
        </is>
      </c>
      <c r="C24" s="41" t="inlineStr">
        <is>
          <t>PRICE_MASTER/RAW_LINES</t>
        </is>
      </c>
      <c r="D24" s="41" t="n">
        <v>24</v>
      </c>
      <c r="E24" s="41" t="inlineStr">
        <is>
          <t>Мощение</t>
        </is>
      </c>
      <c r="F24" s="41" t="inlineStr">
        <is>
          <t>Material</t>
        </is>
      </c>
      <c r="G24" s="44" t="inlineStr">
        <is>
          <t>RMAT-0013</t>
        </is>
      </c>
      <c r="H24" s="44" t="inlineStr">
        <is>
          <t>MV-0013</t>
        </is>
      </c>
      <c r="I24" s="41" t="inlineStr">
        <is>
          <t>Высокая</t>
        </is>
      </c>
      <c r="J24" s="41" t="inlineStr">
        <is>
          <t>Imported</t>
        </is>
      </c>
      <c r="K24" s="41" t="inlineStr">
        <is>
          <t>Нет</t>
        </is>
      </c>
      <c r="L24" s="45" t="inlineStr">
        <is>
          <t>Нормализовано под генератор КП</t>
        </is>
      </c>
    </row>
    <row r="25">
      <c r="A25" s="42" t="inlineStr">
        <is>
          <t>SRC-0024</t>
        </is>
      </c>
      <c r="B25" s="42" t="inlineStr">
        <is>
          <t>Брусчатка гранитная, 100х100х50мм</t>
        </is>
      </c>
      <c r="C25" s="42" t="inlineStr">
        <is>
          <t>PRICE_MASTER/RAW_LINES</t>
        </is>
      </c>
      <c r="D25" s="42" t="n">
        <v>25</v>
      </c>
      <c r="E25" s="42" t="inlineStr">
        <is>
          <t>Мощение</t>
        </is>
      </c>
      <c r="F25" s="42" t="inlineStr">
        <is>
          <t>Material</t>
        </is>
      </c>
      <c r="G25" s="47" t="inlineStr">
        <is>
          <t>RMAT-0014</t>
        </is>
      </c>
      <c r="H25" s="47" t="inlineStr">
        <is>
          <t>MV-0014</t>
        </is>
      </c>
      <c r="I25" s="42" t="inlineStr">
        <is>
          <t>Высокая</t>
        </is>
      </c>
      <c r="J25" s="42" t="inlineStr">
        <is>
          <t>Imported</t>
        </is>
      </c>
      <c r="K25" s="42" t="inlineStr">
        <is>
          <t>Нет</t>
        </is>
      </c>
      <c r="L25" s="48" t="inlineStr">
        <is>
          <t>Нормализовано под генератор КП</t>
        </is>
      </c>
    </row>
    <row r="26">
      <c r="A26" s="41" t="inlineStr">
        <is>
          <t>SRC-0025</t>
        </is>
      </c>
      <c r="B26" s="41" t="inlineStr">
        <is>
          <t>Брусчатка пиленная, шунгитный сланец</t>
        </is>
      </c>
      <c r="C26" s="41" t="inlineStr">
        <is>
          <t>PRICE_MASTER/RAW_LINES</t>
        </is>
      </c>
      <c r="D26" s="41" t="n">
        <v>26</v>
      </c>
      <c r="E26" s="41" t="inlineStr">
        <is>
          <t>Мощение</t>
        </is>
      </c>
      <c r="F26" s="41" t="inlineStr">
        <is>
          <t>Material</t>
        </is>
      </c>
      <c r="G26" s="44" t="inlineStr">
        <is>
          <t>RMAT-0015</t>
        </is>
      </c>
      <c r="H26" s="44" t="inlineStr">
        <is>
          <t>MV-0015</t>
        </is>
      </c>
      <c r="I26" s="41" t="inlineStr">
        <is>
          <t>Высокая</t>
        </is>
      </c>
      <c r="J26" s="41" t="inlineStr">
        <is>
          <t>Imported</t>
        </is>
      </c>
      <c r="K26" s="41" t="inlineStr">
        <is>
          <t>Нет</t>
        </is>
      </c>
      <c r="L26" s="45" t="inlineStr">
        <is>
          <t>Нормализовано под генератор КП</t>
        </is>
      </c>
    </row>
    <row r="27">
      <c r="A27" s="42" t="inlineStr">
        <is>
          <t>SRC-0026</t>
        </is>
      </c>
      <c r="B27" s="42" t="inlineStr">
        <is>
          <t>Брусчатка пилено-колотая, гранит 100х100х50мм</t>
        </is>
      </c>
      <c r="C27" s="42" t="inlineStr">
        <is>
          <t>PRICE_MASTER/RAW_LINES</t>
        </is>
      </c>
      <c r="D27" s="42" t="n">
        <v>27</v>
      </c>
      <c r="E27" s="42" t="inlineStr">
        <is>
          <t>Мощение</t>
        </is>
      </c>
      <c r="F27" s="42" t="inlineStr">
        <is>
          <t>Material</t>
        </is>
      </c>
      <c r="G27" s="47" t="inlineStr">
        <is>
          <t>RMAT-0016</t>
        </is>
      </c>
      <c r="H27" s="47" t="inlineStr">
        <is>
          <t>MV-0016</t>
        </is>
      </c>
      <c r="I27" s="42" t="inlineStr">
        <is>
          <t>Высокая</t>
        </is>
      </c>
      <c r="J27" s="42" t="inlineStr">
        <is>
          <t>Imported</t>
        </is>
      </c>
      <c r="K27" s="42" t="inlineStr">
        <is>
          <t>Нет</t>
        </is>
      </c>
      <c r="L27" s="48" t="inlineStr">
        <is>
          <t>Нормализовано под генератор КП</t>
        </is>
      </c>
    </row>
    <row r="28">
      <c r="A28" s="41" t="inlineStr">
        <is>
          <t>SRC-0027</t>
        </is>
      </c>
      <c r="B28" s="41" t="inlineStr">
        <is>
          <t>Брусчатка ТБП (простая), 60мм</t>
        </is>
      </c>
      <c r="C28" s="41" t="inlineStr">
        <is>
          <t>PRICE_MASTER/RAW_LINES</t>
        </is>
      </c>
      <c r="D28" s="41" t="n">
        <v>28</v>
      </c>
      <c r="E28" s="41" t="inlineStr">
        <is>
          <t>Мощение</t>
        </is>
      </c>
      <c r="F28" s="41" t="inlineStr">
        <is>
          <t>Material</t>
        </is>
      </c>
      <c r="G28" s="44" t="inlineStr">
        <is>
          <t>RMAT-0017</t>
        </is>
      </c>
      <c r="H28" s="44" t="inlineStr">
        <is>
          <t>MV-0017</t>
        </is>
      </c>
      <c r="I28" s="41" t="inlineStr">
        <is>
          <t>Высокая</t>
        </is>
      </c>
      <c r="J28" s="41" t="inlineStr">
        <is>
          <t>Imported</t>
        </is>
      </c>
      <c r="K28" s="41" t="inlineStr">
        <is>
          <t>Нет</t>
        </is>
      </c>
      <c r="L28" s="45" t="inlineStr">
        <is>
          <t>Нормализовано под генератор КП</t>
        </is>
      </c>
    </row>
    <row r="29">
      <c r="A29" s="42" t="inlineStr">
        <is>
          <t>SRC-0028</t>
        </is>
      </c>
      <c r="B29" s="42" t="inlineStr">
        <is>
          <t>Брусчатка ТБП Антик, 197x97x60мм</t>
        </is>
      </c>
      <c r="C29" s="42" t="inlineStr">
        <is>
          <t>PRICE_MASTER/RAW_LINES</t>
        </is>
      </c>
      <c r="D29" s="42" t="n">
        <v>29</v>
      </c>
      <c r="E29" s="42" t="inlineStr">
        <is>
          <t>Мощение</t>
        </is>
      </c>
      <c r="F29" s="42" t="inlineStr">
        <is>
          <t>Material</t>
        </is>
      </c>
      <c r="G29" s="47" t="inlineStr">
        <is>
          <t>RMAT-0018</t>
        </is>
      </c>
      <c r="H29" s="47" t="inlineStr">
        <is>
          <t>MV-0018</t>
        </is>
      </c>
      <c r="I29" s="42" t="inlineStr">
        <is>
          <t>Высокая</t>
        </is>
      </c>
      <c r="J29" s="42" t="inlineStr">
        <is>
          <t>Imported</t>
        </is>
      </c>
      <c r="K29" s="42" t="inlineStr">
        <is>
          <t>Нет</t>
        </is>
      </c>
      <c r="L29" s="48" t="inlineStr">
        <is>
          <t>Нормализовано под генератор КП</t>
        </is>
      </c>
    </row>
    <row r="30">
      <c r="A30" s="41" t="inlineStr">
        <is>
          <t>SRC-0029</t>
        </is>
      </c>
      <c r="B30" s="41" t="inlineStr">
        <is>
          <t>Брусчатка ТБП Классико Б.3.КО.6</t>
        </is>
      </c>
      <c r="C30" s="41" t="inlineStr">
        <is>
          <t>PRICE_MASTER/RAW_LINES</t>
        </is>
      </c>
      <c r="D30" s="41" t="n">
        <v>30</v>
      </c>
      <c r="E30" s="41" t="inlineStr">
        <is>
          <t>Мощение</t>
        </is>
      </c>
      <c r="F30" s="41" t="inlineStr">
        <is>
          <t>Material</t>
        </is>
      </c>
      <c r="G30" s="44" t="inlineStr">
        <is>
          <t>RMAT-0019</t>
        </is>
      </c>
      <c r="H30" s="44" t="inlineStr">
        <is>
          <t>MV-0019</t>
        </is>
      </c>
      <c r="I30" s="41" t="inlineStr">
        <is>
          <t>Высокая</t>
        </is>
      </c>
      <c r="J30" s="41" t="inlineStr">
        <is>
          <t>Imported</t>
        </is>
      </c>
      <c r="K30" s="41" t="inlineStr">
        <is>
          <t>Нет</t>
        </is>
      </c>
      <c r="L30" s="45" t="inlineStr">
        <is>
          <t>Нормализовано под генератор КП</t>
        </is>
      </c>
    </row>
    <row r="31">
      <c r="A31" s="42" t="inlineStr">
        <is>
          <t>SRC-0030</t>
        </is>
      </c>
      <c r="B31" s="42" t="inlineStr">
        <is>
          <t>Вертикальная планировка (геопластика)</t>
        </is>
      </c>
      <c r="C31" s="42" t="inlineStr">
        <is>
          <t>PRICE_MASTER/RAW_LINES</t>
        </is>
      </c>
      <c r="D31" s="42" t="n">
        <v>31</v>
      </c>
      <c r="E31" s="42" t="inlineStr">
        <is>
          <t>Планировочные работы.</t>
        </is>
      </c>
      <c r="F31" s="42" t="inlineStr">
        <is>
          <t>Work</t>
        </is>
      </c>
      <c r="G31" s="47" t="inlineStr">
        <is>
          <t>RWORK-0011</t>
        </is>
      </c>
      <c r="H31" s="47" t="n"/>
      <c r="I31" s="42" t="inlineStr">
        <is>
          <t>Высокая</t>
        </is>
      </c>
      <c r="J31" s="42" t="inlineStr">
        <is>
          <t>Imported</t>
        </is>
      </c>
      <c r="K31" s="42" t="inlineStr">
        <is>
          <t>Нет</t>
        </is>
      </c>
      <c r="L31" s="48" t="inlineStr">
        <is>
          <t>Нормализовано под генератор КП</t>
        </is>
      </c>
    </row>
    <row r="32">
      <c r="A32" s="41" t="inlineStr">
        <is>
          <t>SRC-0031</t>
        </is>
      </c>
      <c r="B32" s="41" t="inlineStr">
        <is>
          <t>Вертикальная планировка, выемка и подсыпка</t>
        </is>
      </c>
      <c r="C32" s="41" t="inlineStr">
        <is>
          <t>PRICE_MASTER/RAW_LINES</t>
        </is>
      </c>
      <c r="D32" s="41" t="n">
        <v>32</v>
      </c>
      <c r="E32" s="41" t="inlineStr">
        <is>
          <t>Планировочные работы.</t>
        </is>
      </c>
      <c r="F32" s="41" t="inlineStr">
        <is>
          <t>Work</t>
        </is>
      </c>
      <c r="G32" s="44" t="inlineStr">
        <is>
          <t>RWORK-0012</t>
        </is>
      </c>
      <c r="H32" s="44" t="n"/>
      <c r="I32" s="41" t="inlineStr">
        <is>
          <t>Высокая</t>
        </is>
      </c>
      <c r="J32" s="41" t="inlineStr">
        <is>
          <t>Imported</t>
        </is>
      </c>
      <c r="K32" s="41" t="inlineStr">
        <is>
          <t>Нет</t>
        </is>
      </c>
      <c r="L32" s="45" t="inlineStr">
        <is>
          <t>Нормализовано под генератор КП</t>
        </is>
      </c>
    </row>
    <row r="33">
      <c r="A33" s="42" t="inlineStr">
        <is>
          <t>SRC-0032</t>
        </is>
      </c>
      <c r="B33" s="42" t="inlineStr">
        <is>
          <t>Восстановление бетонной отмостки</t>
        </is>
      </c>
      <c r="C33" s="42" t="inlineStr">
        <is>
          <t>PRICE_MASTER/RAW_LINES</t>
        </is>
      </c>
      <c r="D33" s="42" t="n">
        <v>33</v>
      </c>
      <c r="E33" s="42" t="inlineStr">
        <is>
          <t>Мощение</t>
        </is>
      </c>
      <c r="F33" s="42" t="inlineStr">
        <is>
          <t>Work</t>
        </is>
      </c>
      <c r="G33" s="47" t="inlineStr">
        <is>
          <t>RWORK-0013</t>
        </is>
      </c>
      <c r="H33" s="47" t="n"/>
      <c r="I33" s="42" t="inlineStr">
        <is>
          <t>Высокая</t>
        </is>
      </c>
      <c r="J33" s="42" t="inlineStr">
        <is>
          <t>Imported</t>
        </is>
      </c>
      <c r="K33" s="42" t="inlineStr">
        <is>
          <t>Нет</t>
        </is>
      </c>
      <c r="L33" s="48" t="inlineStr">
        <is>
          <t>Нормализовано под генератор КП</t>
        </is>
      </c>
    </row>
    <row r="34">
      <c r="A34" s="41" t="inlineStr">
        <is>
          <t>SRC-0033</t>
        </is>
      </c>
      <c r="B34" s="41" t="inlineStr">
        <is>
          <t>Восстановление дернины после устройства дренажа</t>
        </is>
      </c>
      <c r="C34" s="41" t="inlineStr">
        <is>
          <t>PRICE_MASTER/RAW_LINES</t>
        </is>
      </c>
      <c r="D34" s="41" t="n">
        <v>34</v>
      </c>
      <c r="E34" s="41" t="inlineStr">
        <is>
          <t>дренаж</t>
        </is>
      </c>
      <c r="F34" s="41" t="inlineStr">
        <is>
          <t>Work</t>
        </is>
      </c>
      <c r="G34" s="44" t="inlineStr">
        <is>
          <t>RWORK-0014</t>
        </is>
      </c>
      <c r="H34" s="44" t="n"/>
      <c r="I34" s="41" t="inlineStr">
        <is>
          <t>Высокая</t>
        </is>
      </c>
      <c r="J34" s="41" t="inlineStr">
        <is>
          <t>Imported</t>
        </is>
      </c>
      <c r="K34" s="41" t="inlineStr">
        <is>
          <t>Нет</t>
        </is>
      </c>
      <c r="L34" s="45" t="inlineStr">
        <is>
          <t>Нормализовано под генератор КП</t>
        </is>
      </c>
    </row>
    <row r="35">
      <c r="A35" s="49" t="inlineStr">
        <is>
          <t>SRC-0034</t>
        </is>
      </c>
      <c r="B35" s="49" t="inlineStr">
        <is>
          <t>Временные бытовые условия (+ спецодежда, связь, ТО туал.кабины)</t>
        </is>
      </c>
      <c r="C35" s="49" t="inlineStr">
        <is>
          <t>PRICE_MASTER/RAW_LINES</t>
        </is>
      </c>
      <c r="D35" s="49" t="n">
        <v>35</v>
      </c>
      <c r="E35" s="49" t="inlineStr">
        <is>
          <t>%</t>
        </is>
      </c>
      <c r="F35" s="49" t="inlineStr">
        <is>
          <t>Work</t>
        </is>
      </c>
      <c r="G35" s="51" t="inlineStr">
        <is>
          <t>RWORK-0015</t>
        </is>
      </c>
      <c r="H35" s="51" t="n"/>
      <c r="I35" s="49" t="inlineStr">
        <is>
          <t>Высокая</t>
        </is>
      </c>
      <c r="J35" s="49" t="inlineStr">
        <is>
          <t>Imported</t>
        </is>
      </c>
      <c r="K35" s="49" t="inlineStr">
        <is>
          <t>Да</t>
        </is>
      </c>
      <c r="L35" s="52" t="inlineStr">
        <is>
          <t>Лучше включать коэффициентом или свернутым разделом</t>
        </is>
      </c>
    </row>
    <row r="36">
      <c r="A36" s="41" t="inlineStr">
        <is>
          <t>SRC-0035</t>
        </is>
      </c>
      <c r="B36" s="41" t="inlineStr">
        <is>
          <t>Выборка ложа от чистовой отметки (вручную)</t>
        </is>
      </c>
      <c r="C36" s="41" t="inlineStr">
        <is>
          <t>PRICE_MASTER/RAW_LINES</t>
        </is>
      </c>
      <c r="D36" s="41" t="n">
        <v>36</v>
      </c>
      <c r="E36" s="41" t="inlineStr">
        <is>
          <t>газон</t>
        </is>
      </c>
      <c r="F36" s="41" t="inlineStr">
        <is>
          <t>Work</t>
        </is>
      </c>
      <c r="G36" s="44" t="inlineStr">
        <is>
          <t>RWORK-0016</t>
        </is>
      </c>
      <c r="H36" s="44" t="n"/>
      <c r="I36" s="41" t="inlineStr">
        <is>
          <t>Высокая</t>
        </is>
      </c>
      <c r="J36" s="41" t="inlineStr">
        <is>
          <t>Imported</t>
        </is>
      </c>
      <c r="K36" s="41" t="inlineStr">
        <is>
          <t>Нет</t>
        </is>
      </c>
      <c r="L36" s="45" t="inlineStr">
        <is>
          <t>Нормализовано под генератор КП</t>
        </is>
      </c>
    </row>
    <row r="37">
      <c r="A37" s="42" t="inlineStr">
        <is>
          <t>SRC-0036</t>
        </is>
      </c>
      <c r="B37" s="42" t="inlineStr">
        <is>
          <t>Выборка ложа от чистовой отметки в отвал (механическая)</t>
        </is>
      </c>
      <c r="C37" s="42" t="inlineStr">
        <is>
          <t>PRICE_MASTER/RAW_LINES</t>
        </is>
      </c>
      <c r="D37" s="42" t="n">
        <v>37</v>
      </c>
      <c r="E37" s="42" t="inlineStr">
        <is>
          <t>дренаж</t>
        </is>
      </c>
      <c r="F37" s="42" t="inlineStr">
        <is>
          <t>Work</t>
        </is>
      </c>
      <c r="G37" s="47" t="inlineStr">
        <is>
          <t>RWORK-0017</t>
        </is>
      </c>
      <c r="H37" s="47" t="n"/>
      <c r="I37" s="42" t="inlineStr">
        <is>
          <t>Высокая</t>
        </is>
      </c>
      <c r="J37" s="42" t="inlineStr">
        <is>
          <t>Imported</t>
        </is>
      </c>
      <c r="K37" s="42" t="inlineStr">
        <is>
          <t>Нет</t>
        </is>
      </c>
      <c r="L37" s="48" t="inlineStr">
        <is>
          <t>Нормализовано под генератор КП</t>
        </is>
      </c>
    </row>
    <row r="38">
      <c r="A38" s="41" t="inlineStr">
        <is>
          <t>SRC-0037</t>
        </is>
      </c>
      <c r="B38" s="41" t="inlineStr">
        <is>
          <t>Вывоз мусора (грунт)</t>
        </is>
      </c>
      <c r="C38" s="41" t="inlineStr">
        <is>
          <t>PRICE_MASTER/RAW_LINES</t>
        </is>
      </c>
      <c r="D38" s="41" t="n">
        <v>38</v>
      </c>
      <c r="E38" s="41" t="inlineStr">
        <is>
          <t>вывоз мусора</t>
        </is>
      </c>
      <c r="F38" s="41" t="inlineStr">
        <is>
          <t>Work</t>
        </is>
      </c>
      <c r="G38" s="44" t="inlineStr">
        <is>
          <t>RWORK-0018</t>
        </is>
      </c>
      <c r="H38" s="44" t="n"/>
      <c r="I38" s="41" t="inlineStr">
        <is>
          <t>Высокая</t>
        </is>
      </c>
      <c r="J38" s="41" t="inlineStr">
        <is>
          <t>Imported</t>
        </is>
      </c>
      <c r="K38" s="41" t="inlineStr">
        <is>
          <t>Нет</t>
        </is>
      </c>
      <c r="L38" s="45" t="inlineStr">
        <is>
          <t>Для генератора КП лучше собирать в отдельный логистический блок</t>
        </is>
      </c>
    </row>
    <row r="39">
      <c r="A39" s="42" t="inlineStr">
        <is>
          <t>SRC-0038</t>
        </is>
      </c>
      <c r="B39" s="42" t="inlineStr">
        <is>
          <t>Вывоз мусора (пухто 27м.куб.)</t>
        </is>
      </c>
      <c r="C39" s="42" t="inlineStr">
        <is>
          <t>PRICE_MASTER/RAW_LINES</t>
        </is>
      </c>
      <c r="D39" s="42" t="n">
        <v>39</v>
      </c>
      <c r="E39" s="42" t="inlineStr">
        <is>
          <t>вывоз мусора</t>
        </is>
      </c>
      <c r="F39" s="42" t="inlineStr">
        <is>
          <t>Work</t>
        </is>
      </c>
      <c r="G39" s="47" t="inlineStr">
        <is>
          <t>RWORK-0019</t>
        </is>
      </c>
      <c r="H39" s="47" t="n"/>
      <c r="I39" s="42" t="inlineStr">
        <is>
          <t>Высокая</t>
        </is>
      </c>
      <c r="J39" s="42" t="inlineStr">
        <is>
          <t>Imported</t>
        </is>
      </c>
      <c r="K39" s="42" t="inlineStr">
        <is>
          <t>Нет</t>
        </is>
      </c>
      <c r="L39" s="48" t="inlineStr">
        <is>
          <t>Для генератора КП лучше собирать в отдельный логистический блок</t>
        </is>
      </c>
    </row>
    <row r="40">
      <c r="A40" s="41" t="inlineStr">
        <is>
          <t>SRC-0039</t>
        </is>
      </c>
      <c r="B40" s="41" t="inlineStr">
        <is>
          <t>Выезд электрика для подключения в вагончике</t>
        </is>
      </c>
      <c r="C40" s="41" t="inlineStr">
        <is>
          <t>PRICE_MASTER/RAW_LINES</t>
        </is>
      </c>
      <c r="D40" s="41" t="n">
        <v>40</v>
      </c>
      <c r="E40" s="41" t="inlineStr">
        <is>
          <t>%</t>
        </is>
      </c>
      <c r="F40" s="41" t="inlineStr">
        <is>
          <t>Work</t>
        </is>
      </c>
      <c r="G40" s="44" t="inlineStr">
        <is>
          <t>RWORK-0020</t>
        </is>
      </c>
      <c r="H40" s="44" t="n"/>
      <c r="I40" s="41" t="inlineStr">
        <is>
          <t>Высокая</t>
        </is>
      </c>
      <c r="J40" s="41" t="inlineStr">
        <is>
          <t>Imported</t>
        </is>
      </c>
      <c r="K40" s="41" t="inlineStr">
        <is>
          <t>Нет</t>
        </is>
      </c>
      <c r="L40" s="45" t="inlineStr">
        <is>
          <t>Для клиентского КП лучше сворачивать в раздел "Организация стройплощадки"</t>
        </is>
      </c>
    </row>
    <row r="41">
      <c r="A41" s="42" t="inlineStr">
        <is>
          <t>SRC-0040</t>
        </is>
      </c>
      <c r="B41" s="42" t="inlineStr">
        <is>
          <t>Выемка грунта (вручную)</t>
        </is>
      </c>
      <c r="C41" s="42" t="inlineStr">
        <is>
          <t>PRICE_MASTER/RAW_LINES</t>
        </is>
      </c>
      <c r="D41" s="42" t="n">
        <v>41</v>
      </c>
      <c r="E41" s="42" t="inlineStr">
        <is>
          <t>Мощение</t>
        </is>
      </c>
      <c r="F41" s="42" t="inlineStr">
        <is>
          <t>Work</t>
        </is>
      </c>
      <c r="G41" s="47" t="inlineStr">
        <is>
          <t>RWORK-0021</t>
        </is>
      </c>
      <c r="H41" s="47" t="n"/>
      <c r="I41" s="42" t="inlineStr">
        <is>
          <t>Высокая</t>
        </is>
      </c>
      <c r="J41" s="42" t="inlineStr">
        <is>
          <t>Imported</t>
        </is>
      </c>
      <c r="K41" s="42" t="inlineStr">
        <is>
          <t>Нет</t>
        </is>
      </c>
      <c r="L41" s="48" t="inlineStr">
        <is>
          <t>Нормализовано под генератор КП</t>
        </is>
      </c>
    </row>
    <row r="42">
      <c r="A42" s="41" t="inlineStr">
        <is>
          <t>SRC-0041</t>
        </is>
      </c>
      <c r="B42" s="41" t="inlineStr">
        <is>
          <t>Выемка грунта (механическая)</t>
        </is>
      </c>
      <c r="C42" s="41" t="inlineStr">
        <is>
          <t>PRICE_MASTER/RAW_LINES</t>
        </is>
      </c>
      <c r="D42" s="41" t="n">
        <v>42</v>
      </c>
      <c r="E42" s="41" t="inlineStr">
        <is>
          <t>Мощение</t>
        </is>
      </c>
      <c r="F42" s="41" t="inlineStr">
        <is>
          <t>Work</t>
        </is>
      </c>
      <c r="G42" s="44" t="inlineStr">
        <is>
          <t>RWORK-0022</t>
        </is>
      </c>
      <c r="H42" s="44" t="n"/>
      <c r="I42" s="41" t="inlineStr">
        <is>
          <t>Высокая</t>
        </is>
      </c>
      <c r="J42" s="41" t="inlineStr">
        <is>
          <t>Imported</t>
        </is>
      </c>
      <c r="K42" s="41" t="inlineStr">
        <is>
          <t>Нет</t>
        </is>
      </c>
      <c r="L42" s="45" t="inlineStr">
        <is>
          <t>Нормализовано под генератор КП</t>
        </is>
      </c>
    </row>
    <row r="43">
      <c r="A43" s="42" t="inlineStr">
        <is>
          <t>SRC-0042</t>
        </is>
      </c>
      <c r="B43" s="42" t="inlineStr">
        <is>
          <t>Выемка кирпича и бетона (с наружной стороны забора) с упаковкой в мешки</t>
        </is>
      </c>
      <c r="C43" s="42" t="inlineStr">
        <is>
          <t>PRICE_MASTER/RAW_LINES</t>
        </is>
      </c>
      <c r="D43" s="42" t="n">
        <v>43</v>
      </c>
      <c r="E43" s="42" t="inlineStr">
        <is>
          <t>Дополнительные работы.</t>
        </is>
      </c>
      <c r="F43" s="42" t="inlineStr">
        <is>
          <t>Work</t>
        </is>
      </c>
      <c r="G43" s="47" t="inlineStr">
        <is>
          <t>RWORK-0023</t>
        </is>
      </c>
      <c r="H43" s="47" t="n"/>
      <c r="I43" s="42" t="inlineStr">
        <is>
          <t>Высокая</t>
        </is>
      </c>
      <c r="J43" s="42" t="inlineStr">
        <is>
          <t>Imported</t>
        </is>
      </c>
      <c r="K43" s="42" t="inlineStr">
        <is>
          <t>Нет</t>
        </is>
      </c>
      <c r="L43" s="48" t="inlineStr">
        <is>
          <t>Перенесено из мусорной категории "Дополнительные работы."</t>
        </is>
      </c>
    </row>
    <row r="44">
      <c r="A44" s="41" t="inlineStr">
        <is>
          <t>SRC-0043</t>
        </is>
      </c>
      <c r="B44" s="41" t="inlineStr">
        <is>
          <t>Выемка строительного мусора из почвы</t>
        </is>
      </c>
      <c r="C44" s="41" t="inlineStr">
        <is>
          <t>PRICE_MASTER/RAW_LINES</t>
        </is>
      </c>
      <c r="D44" s="41" t="n">
        <v>44</v>
      </c>
      <c r="E44" s="41" t="inlineStr">
        <is>
          <t>Дополнительные работы.</t>
        </is>
      </c>
      <c r="F44" s="41" t="inlineStr">
        <is>
          <t>Work</t>
        </is>
      </c>
      <c r="G44" s="44" t="inlineStr">
        <is>
          <t>RWORK-0024</t>
        </is>
      </c>
      <c r="H44" s="44" t="n"/>
      <c r="I44" s="41" t="inlineStr">
        <is>
          <t>Высокая</t>
        </is>
      </c>
      <c r="J44" s="41" t="inlineStr">
        <is>
          <t>Imported</t>
        </is>
      </c>
      <c r="K44" s="41" t="inlineStr">
        <is>
          <t>Нет</t>
        </is>
      </c>
      <c r="L44" s="45" t="inlineStr">
        <is>
          <t>Перенесено из мусорной категории "Дополнительные работы."</t>
        </is>
      </c>
    </row>
    <row r="45">
      <c r="A45" s="49" t="inlineStr">
        <is>
          <t>SRC-0044</t>
        </is>
      </c>
      <c r="B45" s="49" t="inlineStr">
        <is>
          <t>Выкопка елей 1-1,5м</t>
        </is>
      </c>
      <c r="C45" s="49" t="inlineStr">
        <is>
          <t>PRICE_MASTER/RAW_LINES</t>
        </is>
      </c>
      <c r="D45" s="49" t="n">
        <v>45</v>
      </c>
      <c r="E45" s="49" t="inlineStr">
        <is>
          <t>Дополнительные работы.</t>
        </is>
      </c>
      <c r="F45" s="49" t="inlineStr">
        <is>
          <t>Work</t>
        </is>
      </c>
      <c r="G45" s="51" t="inlineStr">
        <is>
          <t>RWORK-0025</t>
        </is>
      </c>
      <c r="H45" s="51" t="n"/>
      <c r="I45" s="49" t="inlineStr">
        <is>
          <t>Средняя</t>
        </is>
      </c>
      <c r="J45" s="49" t="inlineStr">
        <is>
          <t>Imported</t>
        </is>
      </c>
      <c r="K45" s="49" t="inlineStr">
        <is>
          <t>Да</t>
        </is>
      </c>
      <c r="L45" s="52" t="inlineStr">
        <is>
          <t>Лучше держать вместе с работами по растениям</t>
        </is>
      </c>
    </row>
    <row r="46">
      <c r="A46" s="49" t="inlineStr">
        <is>
          <t>SRC-0045</t>
        </is>
      </c>
      <c r="B46" s="49" t="inlineStr">
        <is>
          <t>Выкопка шиповника</t>
        </is>
      </c>
      <c r="C46" s="49" t="inlineStr">
        <is>
          <t>PRICE_MASTER/RAW_LINES</t>
        </is>
      </c>
      <c r="D46" s="49" t="n">
        <v>46</v>
      </c>
      <c r="E46" s="49" t="inlineStr">
        <is>
          <t>Дополнительные работы.</t>
        </is>
      </c>
      <c r="F46" s="49" t="inlineStr">
        <is>
          <t>Work</t>
        </is>
      </c>
      <c r="G46" s="51" t="inlineStr">
        <is>
          <t>RWORK-0026</t>
        </is>
      </c>
      <c r="H46" s="51" t="n"/>
      <c r="I46" s="49" t="inlineStr">
        <is>
          <t>Средняя</t>
        </is>
      </c>
      <c r="J46" s="49" t="inlineStr">
        <is>
          <t>Imported</t>
        </is>
      </c>
      <c r="K46" s="49" t="inlineStr">
        <is>
          <t>Да</t>
        </is>
      </c>
      <c r="L46" s="52" t="inlineStr">
        <is>
          <t>Можно перенести в "Посадки и уход", если в КП это уход за участком</t>
        </is>
      </c>
    </row>
    <row r="47">
      <c r="A47" s="42" t="inlineStr">
        <is>
          <t>SRC-0046</t>
        </is>
      </c>
      <c r="B47" s="42" t="inlineStr">
        <is>
          <t>Вынос проекта с корректировкой по месту</t>
        </is>
      </c>
      <c r="C47" s="42" t="inlineStr">
        <is>
          <t>PRICE_MASTER/RAW_LINES</t>
        </is>
      </c>
      <c r="D47" s="42" t="n">
        <v>47</v>
      </c>
      <c r="E47" s="42" t="inlineStr">
        <is>
          <t>Планировочные работы.</t>
        </is>
      </c>
      <c r="F47" s="42" t="inlineStr">
        <is>
          <t>Work</t>
        </is>
      </c>
      <c r="G47" s="47" t="inlineStr">
        <is>
          <t>RWORK-0027</t>
        </is>
      </c>
      <c r="H47" s="47" t="n"/>
      <c r="I47" s="42" t="inlineStr">
        <is>
          <t>Высокая</t>
        </is>
      </c>
      <c r="J47" s="42" t="inlineStr">
        <is>
          <t>Imported</t>
        </is>
      </c>
      <c r="K47" s="42" t="inlineStr">
        <is>
          <t>Нет</t>
        </is>
      </c>
      <c r="L47" s="48" t="inlineStr">
        <is>
          <t>Нормализовано под генератор КП</t>
        </is>
      </c>
    </row>
    <row r="48">
      <c r="A48" s="41" t="inlineStr">
        <is>
          <t>SRC-0047</t>
        </is>
      </c>
      <c r="B48" s="41" t="inlineStr">
        <is>
          <t>Габбро-диабаз 100*80*50мм</t>
        </is>
      </c>
      <c r="C48" s="41" t="inlineStr">
        <is>
          <t>PRICE_MASTER/RAW_LINES</t>
        </is>
      </c>
      <c r="D48" s="41" t="n">
        <v>48</v>
      </c>
      <c r="E48" s="41" t="inlineStr">
        <is>
          <t>Мощение</t>
        </is>
      </c>
      <c r="F48" s="41" t="inlineStr">
        <is>
          <t>Material</t>
        </is>
      </c>
      <c r="G48" s="44" t="inlineStr">
        <is>
          <t>RMAT-0020</t>
        </is>
      </c>
      <c r="H48" s="44" t="inlineStr">
        <is>
          <t>MV-0020</t>
        </is>
      </c>
      <c r="I48" s="41" t="inlineStr">
        <is>
          <t>Высокая</t>
        </is>
      </c>
      <c r="J48" s="41" t="inlineStr">
        <is>
          <t>Imported</t>
        </is>
      </c>
      <c r="K48" s="41" t="inlineStr">
        <is>
          <t>Нет</t>
        </is>
      </c>
      <c r="L48" s="45" t="inlineStr">
        <is>
          <t>Нормализовано под генератор КП</t>
        </is>
      </c>
    </row>
    <row r="49">
      <c r="A49" s="42" t="inlineStr">
        <is>
          <t>SRC-0048</t>
        </is>
      </c>
      <c r="B49" s="42" t="inlineStr">
        <is>
          <t>Габбро-диабаз 80*80*80мм</t>
        </is>
      </c>
      <c r="C49" s="42" t="inlineStr">
        <is>
          <t>PRICE_MASTER/RAW_LINES</t>
        </is>
      </c>
      <c r="D49" s="42" t="n">
        <v>49</v>
      </c>
      <c r="E49" s="42" t="inlineStr">
        <is>
          <t>Мощение</t>
        </is>
      </c>
      <c r="F49" s="42" t="inlineStr">
        <is>
          <t>Material</t>
        </is>
      </c>
      <c r="G49" s="47" t="inlineStr">
        <is>
          <t>RMAT-0021</t>
        </is>
      </c>
      <c r="H49" s="47" t="inlineStr">
        <is>
          <t>MV-0021</t>
        </is>
      </c>
      <c r="I49" s="42" t="inlineStr">
        <is>
          <t>Высокая</t>
        </is>
      </c>
      <c r="J49" s="42" t="inlineStr">
        <is>
          <t>Imported</t>
        </is>
      </c>
      <c r="K49" s="42" t="inlineStr">
        <is>
          <t>Нет</t>
        </is>
      </c>
      <c r="L49" s="48" t="inlineStr">
        <is>
          <t>Нормализовано под генератор КП</t>
        </is>
      </c>
    </row>
    <row r="50">
      <c r="A50" s="41" t="inlineStr">
        <is>
          <t>SRC-0049</t>
        </is>
      </c>
      <c r="B50" s="41" t="inlineStr">
        <is>
          <t>Газон рулонный "Универсальный", 0.8м.кв.</t>
        </is>
      </c>
      <c r="C50" s="41" t="inlineStr">
        <is>
          <t>PRICE_MASTER/RAW_LINES</t>
        </is>
      </c>
      <c r="D50" s="41" t="n">
        <v>50</v>
      </c>
      <c r="E50" s="41" t="inlineStr">
        <is>
          <t>газон</t>
        </is>
      </c>
      <c r="F50" s="41" t="inlineStr">
        <is>
          <t>Material</t>
        </is>
      </c>
      <c r="G50" s="44" t="inlineStr">
        <is>
          <t>RMAT-0022</t>
        </is>
      </c>
      <c r="H50" s="44" t="inlineStr">
        <is>
          <t>MV-0022</t>
        </is>
      </c>
      <c r="I50" s="41" t="inlineStr">
        <is>
          <t>Высокая</t>
        </is>
      </c>
      <c r="J50" s="41" t="inlineStr">
        <is>
          <t>Imported</t>
        </is>
      </c>
      <c r="K50" s="41" t="inlineStr">
        <is>
          <t>Нет</t>
        </is>
      </c>
      <c r="L50" s="45" t="inlineStr">
        <is>
          <t>Нормализовано под генератор КП</t>
        </is>
      </c>
    </row>
    <row r="51">
      <c r="A51" s="42" t="inlineStr">
        <is>
          <t>SRC-0050</t>
        </is>
      </c>
      <c r="B51" s="42" t="inlineStr">
        <is>
          <t>Газон рулонный бюджетный, 0.8м.кв.</t>
        </is>
      </c>
      <c r="C51" s="42" t="inlineStr">
        <is>
          <t>PRICE_MASTER/RAW_LINES</t>
        </is>
      </c>
      <c r="D51" s="42" t="n">
        <v>51</v>
      </c>
      <c r="E51" s="42" t="inlineStr">
        <is>
          <t>Мощение</t>
        </is>
      </c>
      <c r="F51" s="42" t="inlineStr">
        <is>
          <t>Material</t>
        </is>
      </c>
      <c r="G51" s="47" t="inlineStr">
        <is>
          <t>RMAT-0023</t>
        </is>
      </c>
      <c r="H51" s="47" t="inlineStr">
        <is>
          <t>MV-0023</t>
        </is>
      </c>
      <c r="I51" s="42" t="inlineStr">
        <is>
          <t>Высокая</t>
        </is>
      </c>
      <c r="J51" s="42" t="inlineStr">
        <is>
          <t>Imported</t>
        </is>
      </c>
      <c r="K51" s="42" t="inlineStr">
        <is>
          <t>Нет</t>
        </is>
      </c>
      <c r="L51" s="48" t="inlineStr">
        <is>
          <t>Нормализовано под генератор КП</t>
        </is>
      </c>
    </row>
    <row r="52">
      <c r="A52" s="41" t="inlineStr">
        <is>
          <t>SRC-0051</t>
        </is>
      </c>
      <c r="B52" s="41" t="inlineStr">
        <is>
          <t>Газон рулонный бюджетный, 1м.кв.</t>
        </is>
      </c>
      <c r="C52" s="41" t="inlineStr">
        <is>
          <t>PRICE_MASTER/RAW_LINES</t>
        </is>
      </c>
      <c r="D52" s="41" t="n">
        <v>52</v>
      </c>
      <c r="E52" s="41" t="inlineStr">
        <is>
          <t>Мощение</t>
        </is>
      </c>
      <c r="F52" s="41" t="inlineStr">
        <is>
          <t>Material</t>
        </is>
      </c>
      <c r="G52" s="44" t="inlineStr">
        <is>
          <t>RMAT-0024</t>
        </is>
      </c>
      <c r="H52" s="44" t="inlineStr">
        <is>
          <t>MV-0024</t>
        </is>
      </c>
      <c r="I52" s="41" t="inlineStr">
        <is>
          <t>Высокая</t>
        </is>
      </c>
      <c r="J52" s="41" t="inlineStr">
        <is>
          <t>Imported</t>
        </is>
      </c>
      <c r="K52" s="41" t="inlineStr">
        <is>
          <t>Нет</t>
        </is>
      </c>
      <c r="L52" s="45" t="inlineStr">
        <is>
          <t>Нормализовано под генератор КП</t>
        </is>
      </c>
    </row>
    <row r="53">
      <c r="A53" s="42" t="inlineStr">
        <is>
          <t>SRC-0052</t>
        </is>
      </c>
      <c r="B53" s="42" t="inlineStr">
        <is>
          <t>Геотекстиль, 200г/м2</t>
        </is>
      </c>
      <c r="C53" s="42" t="inlineStr">
        <is>
          <t>PRICE_MASTER/RAW_LINES</t>
        </is>
      </c>
      <c r="D53" s="42" t="n">
        <v>53</v>
      </c>
      <c r="E53" s="42" t="inlineStr">
        <is>
          <t>Мощение</t>
        </is>
      </c>
      <c r="F53" s="42" t="inlineStr">
        <is>
          <t>Material</t>
        </is>
      </c>
      <c r="G53" s="47" t="inlineStr">
        <is>
          <t>RMAT-0025</t>
        </is>
      </c>
      <c r="H53" s="47" t="inlineStr">
        <is>
          <t>MV-0025</t>
        </is>
      </c>
      <c r="I53" s="42" t="inlineStr">
        <is>
          <t>Высокая</t>
        </is>
      </c>
      <c r="J53" s="42" t="inlineStr">
        <is>
          <t>Imported</t>
        </is>
      </c>
      <c r="K53" s="42" t="inlineStr">
        <is>
          <t>Нет</t>
        </is>
      </c>
      <c r="L53" s="48" t="inlineStr">
        <is>
          <t>Нормализовано под генератор КП</t>
        </is>
      </c>
    </row>
    <row r="54">
      <c r="A54" s="41" t="inlineStr">
        <is>
          <t>SRC-0053</t>
        </is>
      </c>
      <c r="B54" s="41" t="inlineStr">
        <is>
          <t>Геотекстиль, 300г/м2</t>
        </is>
      </c>
      <c r="C54" s="41" t="inlineStr">
        <is>
          <t>PRICE_MASTER/RAW_LINES</t>
        </is>
      </c>
      <c r="D54" s="41" t="n">
        <v>54</v>
      </c>
      <c r="E54" s="41" t="inlineStr">
        <is>
          <t>Мощение</t>
        </is>
      </c>
      <c r="F54" s="41" t="inlineStr">
        <is>
          <t>Material</t>
        </is>
      </c>
      <c r="G54" s="44" t="inlineStr">
        <is>
          <t>RMAT-0026</t>
        </is>
      </c>
      <c r="H54" s="44" t="inlineStr">
        <is>
          <t>MV-0026</t>
        </is>
      </c>
      <c r="I54" s="41" t="inlineStr">
        <is>
          <t>Высокая</t>
        </is>
      </c>
      <c r="J54" s="41" t="inlineStr">
        <is>
          <t>Imported</t>
        </is>
      </c>
      <c r="K54" s="41" t="inlineStr">
        <is>
          <t>Нет</t>
        </is>
      </c>
      <c r="L54" s="45" t="inlineStr">
        <is>
          <t>Нормализовано под генератор КП</t>
        </is>
      </c>
    </row>
    <row r="55">
      <c r="A55" s="42" t="inlineStr">
        <is>
          <t>SRC-0054</t>
        </is>
      </c>
      <c r="B55" s="42" t="inlineStr">
        <is>
          <t>Герметик</t>
        </is>
      </c>
      <c r="C55" s="42" t="inlineStr">
        <is>
          <t>PRICE_MASTER/RAW_LINES</t>
        </is>
      </c>
      <c r="D55" s="42" t="n">
        <v>55</v>
      </c>
      <c r="E55" s="42" t="inlineStr">
        <is>
          <t>дренаж</t>
        </is>
      </c>
      <c r="F55" s="42" t="inlineStr">
        <is>
          <t>Material</t>
        </is>
      </c>
      <c r="G55" s="47" t="inlineStr">
        <is>
          <t>RMAT-0027</t>
        </is>
      </c>
      <c r="H55" s="47" t="inlineStr">
        <is>
          <t>MV-0027</t>
        </is>
      </c>
      <c r="I55" s="42" t="inlineStr">
        <is>
          <t>Высокая</t>
        </is>
      </c>
      <c r="J55" s="42" t="inlineStr">
        <is>
          <t>Imported</t>
        </is>
      </c>
      <c r="K55" s="42" t="inlineStr">
        <is>
          <t>Нет</t>
        </is>
      </c>
      <c r="L55" s="48" t="inlineStr">
        <is>
          <t>Нормализовано под генератор КП</t>
        </is>
      </c>
    </row>
    <row r="56">
      <c r="A56" s="41" t="inlineStr">
        <is>
          <t>SRC-0055</t>
        </is>
      </c>
      <c r="B56" s="41" t="inlineStr">
        <is>
          <t>Гидроизоляция гряд и стенок фундамента теплицы</t>
        </is>
      </c>
      <c r="C56" s="41" t="inlineStr">
        <is>
          <t>PRICE_MASTER/RAW_LINES</t>
        </is>
      </c>
      <c r="D56" s="41" t="n">
        <v>56</v>
      </c>
      <c r="E56" s="41" t="inlineStr">
        <is>
          <t>Мощение</t>
        </is>
      </c>
      <c r="F56" s="41" t="inlineStr">
        <is>
          <t>Material</t>
        </is>
      </c>
      <c r="G56" s="44" t="inlineStr">
        <is>
          <t>RMAT-0028</t>
        </is>
      </c>
      <c r="H56" s="44" t="inlineStr">
        <is>
          <t>MV-0028</t>
        </is>
      </c>
      <c r="I56" s="41" t="inlineStr">
        <is>
          <t>Высокая</t>
        </is>
      </c>
      <c r="J56" s="41" t="inlineStr">
        <is>
          <t>Imported</t>
        </is>
      </c>
      <c r="K56" s="41" t="inlineStr">
        <is>
          <t>Нет</t>
        </is>
      </c>
      <c r="L56" s="45" t="inlineStr">
        <is>
          <t>Нормализовано под генератор КП</t>
        </is>
      </c>
    </row>
    <row r="57">
      <c r="A57" s="42" t="inlineStr">
        <is>
          <t>SRC-0056</t>
        </is>
      </c>
      <c r="B57" s="42" t="inlineStr">
        <is>
          <t>Гравий (щебень гр. 20-40мм)</t>
        </is>
      </c>
      <c r="C57" s="42" t="inlineStr">
        <is>
          <t>PRICE_MASTER/RAW_LINES</t>
        </is>
      </c>
      <c r="D57" s="42" t="n">
        <v>57</v>
      </c>
      <c r="E57" s="42" t="inlineStr">
        <is>
          <t>Мощение</t>
        </is>
      </c>
      <c r="F57" s="42" t="inlineStr">
        <is>
          <t>Material</t>
        </is>
      </c>
      <c r="G57" s="47" t="inlineStr">
        <is>
          <t>RMAT-0029</t>
        </is>
      </c>
      <c r="H57" s="47" t="inlineStr">
        <is>
          <t>MV-0029</t>
        </is>
      </c>
      <c r="I57" s="42" t="inlineStr">
        <is>
          <t>Высокая</t>
        </is>
      </c>
      <c r="J57" s="42" t="inlineStr">
        <is>
          <t>Imported</t>
        </is>
      </c>
      <c r="K57" s="42" t="inlineStr">
        <is>
          <t>Нет</t>
        </is>
      </c>
      <c r="L57" s="48" t="inlineStr">
        <is>
          <t>Нормализовано под генератор КП</t>
        </is>
      </c>
    </row>
    <row r="58">
      <c r="A58" s="41" t="inlineStr">
        <is>
          <t>SRC-0057</t>
        </is>
      </c>
      <c r="B58" s="41" t="inlineStr">
        <is>
          <t>Гравий карьерный 5-20мм</t>
        </is>
      </c>
      <c r="C58" s="41" t="inlineStr">
        <is>
          <t>PRICE_MASTER/RAW_LINES</t>
        </is>
      </c>
      <c r="D58" s="41" t="n">
        <v>58</v>
      </c>
      <c r="E58" s="41" t="inlineStr">
        <is>
          <t>Мощение</t>
        </is>
      </c>
      <c r="F58" s="41" t="inlineStr">
        <is>
          <t>Material</t>
        </is>
      </c>
      <c r="G58" s="44" t="inlineStr">
        <is>
          <t>RMAT-0030</t>
        </is>
      </c>
      <c r="H58" s="44" t="inlineStr">
        <is>
          <t>MV-0030</t>
        </is>
      </c>
      <c r="I58" s="41" t="inlineStr">
        <is>
          <t>Высокая</t>
        </is>
      </c>
      <c r="J58" s="41" t="inlineStr">
        <is>
          <t>Imported</t>
        </is>
      </c>
      <c r="K58" s="41" t="inlineStr">
        <is>
          <t>Нет</t>
        </is>
      </c>
      <c r="L58" s="45" t="inlineStr">
        <is>
          <t>Нормализовано под генератор КП</t>
        </is>
      </c>
    </row>
    <row r="59">
      <c r="A59" s="42" t="inlineStr">
        <is>
          <t>SRC-0058</t>
        </is>
      </c>
      <c r="B59" s="42" t="inlineStr">
        <is>
          <t>Гравий колотый</t>
        </is>
      </c>
      <c r="C59" s="42" t="inlineStr">
        <is>
          <t>PRICE_MASTER/RAW_LINES</t>
        </is>
      </c>
      <c r="D59" s="42" t="n">
        <v>59</v>
      </c>
      <c r="E59" s="42" t="inlineStr">
        <is>
          <t>Мощение</t>
        </is>
      </c>
      <c r="F59" s="42" t="inlineStr">
        <is>
          <t>Material</t>
        </is>
      </c>
      <c r="G59" s="47" t="inlineStr">
        <is>
          <t>RMAT-0031</t>
        </is>
      </c>
      <c r="H59" s="47" t="inlineStr">
        <is>
          <t>MV-0031</t>
        </is>
      </c>
      <c r="I59" s="42" t="inlineStr">
        <is>
          <t>Высокая</t>
        </is>
      </c>
      <c r="J59" s="42" t="inlineStr">
        <is>
          <t>Imported</t>
        </is>
      </c>
      <c r="K59" s="42" t="inlineStr">
        <is>
          <t>Нет</t>
        </is>
      </c>
      <c r="L59" s="48" t="inlineStr">
        <is>
          <t>Нормализовано под генератор КП</t>
        </is>
      </c>
    </row>
    <row r="60">
      <c r="A60" s="41" t="inlineStr">
        <is>
          <t>SRC-0059</t>
        </is>
      </c>
      <c r="B60" s="41" t="inlineStr">
        <is>
          <t>Грунт дерновый /просеивание местного грунта</t>
        </is>
      </c>
      <c r="C60" s="41" t="inlineStr">
        <is>
          <t>PRICE_MASTER/RAW_LINES</t>
        </is>
      </c>
      <c r="D60" s="41" t="n">
        <v>60</v>
      </c>
      <c r="E60" s="41" t="inlineStr">
        <is>
          <t>Мощение</t>
        </is>
      </c>
      <c r="F60" s="41" t="inlineStr">
        <is>
          <t>Material</t>
        </is>
      </c>
      <c r="G60" s="44" t="inlineStr">
        <is>
          <t>RMAT-0032</t>
        </is>
      </c>
      <c r="H60" s="44" t="inlineStr">
        <is>
          <t>MV-0032</t>
        </is>
      </c>
      <c r="I60" s="41" t="inlineStr">
        <is>
          <t>Высокая</t>
        </is>
      </c>
      <c r="J60" s="41" t="inlineStr">
        <is>
          <t>Imported</t>
        </is>
      </c>
      <c r="K60" s="41" t="inlineStr">
        <is>
          <t>Нет</t>
        </is>
      </c>
      <c r="L60" s="45" t="inlineStr">
        <is>
          <t>Нормализовано под генератор КП</t>
        </is>
      </c>
    </row>
    <row r="61">
      <c r="A61" s="49" t="inlineStr">
        <is>
          <t>SRC-0060</t>
        </is>
      </c>
      <c r="B61" s="49" t="inlineStr">
        <is>
          <t>Грунт плодородный</t>
        </is>
      </c>
      <c r="C61" s="49" t="inlineStr">
        <is>
          <t>PRICE_MASTER/RAW_LINES</t>
        </is>
      </c>
      <c r="D61" s="49" t="n">
        <v>61</v>
      </c>
      <c r="E61" s="49" t="inlineStr">
        <is>
          <t>Земельные работы</t>
        </is>
      </c>
      <c r="F61" s="49" t="inlineStr">
        <is>
          <t>Material</t>
        </is>
      </c>
      <c r="G61" s="51" t="inlineStr">
        <is>
          <t>RMAT-0033</t>
        </is>
      </c>
      <c r="H61" s="51" t="inlineStr">
        <is>
          <t>MV-0033</t>
        </is>
      </c>
      <c r="I61" s="49" t="inlineStr">
        <is>
          <t>Средняя</t>
        </is>
      </c>
      <c r="J61" s="49" t="inlineStr">
        <is>
          <t>Imported</t>
        </is>
      </c>
      <c r="K61" s="49" t="inlineStr">
        <is>
          <t>Да</t>
        </is>
      </c>
      <c r="L61" s="52" t="inlineStr">
        <is>
          <t>Нормализовано под генератор КП</t>
        </is>
      </c>
    </row>
    <row r="62">
      <c r="A62" s="41" t="inlineStr">
        <is>
          <t>SRC-0061</t>
        </is>
      </c>
      <c r="B62" s="41" t="inlineStr">
        <is>
          <t>Грунтование бетонной отмостки в 2 слоя</t>
        </is>
      </c>
      <c r="C62" s="41" t="inlineStr">
        <is>
          <t>PRICE_MASTER/RAW_LINES</t>
        </is>
      </c>
      <c r="D62" s="41" t="n">
        <v>62</v>
      </c>
      <c r="E62" s="41" t="inlineStr">
        <is>
          <t>Мощение</t>
        </is>
      </c>
      <c r="F62" s="41" t="inlineStr">
        <is>
          <t>Work</t>
        </is>
      </c>
      <c r="G62" s="44" t="inlineStr">
        <is>
          <t>RWORK-0028</t>
        </is>
      </c>
      <c r="H62" s="44" t="n"/>
      <c r="I62" s="41" t="inlineStr">
        <is>
          <t>Высокая</t>
        </is>
      </c>
      <c r="J62" s="41" t="inlineStr">
        <is>
          <t>Imported</t>
        </is>
      </c>
      <c r="K62" s="41" t="inlineStr">
        <is>
          <t>Нет</t>
        </is>
      </c>
      <c r="L62" s="45" t="inlineStr">
        <is>
          <t>Нормализовано под генератор КП</t>
        </is>
      </c>
    </row>
    <row r="63">
      <c r="A63" s="42" t="inlineStr">
        <is>
          <t>SRC-0062</t>
        </is>
      </c>
      <c r="B63" s="42" t="inlineStr">
        <is>
          <t>Грунтовка концентрат</t>
        </is>
      </c>
      <c r="C63" s="42" t="inlineStr">
        <is>
          <t>PRICE_MASTER/RAW_LINES</t>
        </is>
      </c>
      <c r="D63" s="42" t="n">
        <v>63</v>
      </c>
      <c r="E63" s="42" t="inlineStr">
        <is>
          <t>Мощение</t>
        </is>
      </c>
      <c r="F63" s="42" t="inlineStr">
        <is>
          <t>Material</t>
        </is>
      </c>
      <c r="G63" s="47" t="inlineStr">
        <is>
          <t>RMAT-0034</t>
        </is>
      </c>
      <c r="H63" s="47" t="inlineStr">
        <is>
          <t>MV-0034</t>
        </is>
      </c>
      <c r="I63" s="42" t="inlineStr">
        <is>
          <t>Высокая</t>
        </is>
      </c>
      <c r="J63" s="42" t="inlineStr">
        <is>
          <t>Imported</t>
        </is>
      </c>
      <c r="K63" s="42" t="inlineStr">
        <is>
          <t>Нет</t>
        </is>
      </c>
      <c r="L63" s="48" t="inlineStr">
        <is>
          <t>Нормализовано под генератор КП</t>
        </is>
      </c>
    </row>
    <row r="64">
      <c r="A64" s="41" t="inlineStr">
        <is>
          <t>SRC-0063</t>
        </is>
      </c>
      <c r="B64" s="41" t="inlineStr">
        <is>
          <t>Демонтаж бетона подпорных стенок</t>
        </is>
      </c>
      <c r="C64" s="41" t="inlineStr">
        <is>
          <t>PRICE_MASTER/RAW_LINES</t>
        </is>
      </c>
      <c r="D64" s="41" t="n">
        <v>64</v>
      </c>
      <c r="E64" s="41" t="inlineStr">
        <is>
          <t>Дополнительные работы.</t>
        </is>
      </c>
      <c r="F64" s="41" t="inlineStr">
        <is>
          <t>Work</t>
        </is>
      </c>
      <c r="G64" s="44" t="inlineStr">
        <is>
          <t>RWORK-0029</t>
        </is>
      </c>
      <c r="H64" s="44" t="n"/>
      <c r="I64" s="41" t="inlineStr">
        <is>
          <t>Высокая</t>
        </is>
      </c>
      <c r="J64" s="41" t="inlineStr">
        <is>
          <t>Imported</t>
        </is>
      </c>
      <c r="K64" s="41" t="inlineStr">
        <is>
          <t>Нет</t>
        </is>
      </c>
      <c r="L64" s="45" t="inlineStr">
        <is>
          <t>Перенесено из мусорной категории "Дополнительные работы."</t>
        </is>
      </c>
    </row>
    <row r="65">
      <c r="A65" s="42" t="inlineStr">
        <is>
          <t>SRC-0064</t>
        </is>
      </c>
      <c r="B65" s="42" t="inlineStr">
        <is>
          <t>Демонтаж бетонной стяжки с упаковкой в мешки</t>
        </is>
      </c>
      <c r="C65" s="42" t="inlineStr">
        <is>
          <t>PRICE_MASTER/RAW_LINES</t>
        </is>
      </c>
      <c r="D65" s="42" t="n">
        <v>65</v>
      </c>
      <c r="E65" s="42" t="inlineStr">
        <is>
          <t>Дополнительные работы.</t>
        </is>
      </c>
      <c r="F65" s="42" t="inlineStr">
        <is>
          <t>Work</t>
        </is>
      </c>
      <c r="G65" s="47" t="inlineStr">
        <is>
          <t>RWORK-0030</t>
        </is>
      </c>
      <c r="H65" s="47" t="n"/>
      <c r="I65" s="42" t="inlineStr">
        <is>
          <t>Высокая</t>
        </is>
      </c>
      <c r="J65" s="42" t="inlineStr">
        <is>
          <t>Imported</t>
        </is>
      </c>
      <c r="K65" s="42" t="inlineStr">
        <is>
          <t>Нет</t>
        </is>
      </c>
      <c r="L65" s="48" t="inlineStr">
        <is>
          <t>Перенесено из мусорной категории "Дополнительные работы."</t>
        </is>
      </c>
    </row>
    <row r="66">
      <c r="A66" s="41" t="inlineStr">
        <is>
          <t>SRC-0065</t>
        </is>
      </c>
      <c r="B66" s="41" t="inlineStr">
        <is>
          <t>Демонтаж гряд</t>
        </is>
      </c>
      <c r="C66" s="41" t="inlineStr">
        <is>
          <t>PRICE_MASTER/RAW_LINES</t>
        </is>
      </c>
      <c r="D66" s="41" t="n">
        <v>66</v>
      </c>
      <c r="E66" s="41" t="inlineStr">
        <is>
          <t>Дополнительные работы.</t>
        </is>
      </c>
      <c r="F66" s="41" t="inlineStr">
        <is>
          <t>Work</t>
        </is>
      </c>
      <c r="G66" s="44" t="inlineStr">
        <is>
          <t>RWORK-0031</t>
        </is>
      </c>
      <c r="H66" s="44" t="n"/>
      <c r="I66" s="41" t="inlineStr">
        <is>
          <t>Высокая</t>
        </is>
      </c>
      <c r="J66" s="41" t="inlineStr">
        <is>
          <t>Imported</t>
        </is>
      </c>
      <c r="K66" s="41" t="inlineStr">
        <is>
          <t>Нет</t>
        </is>
      </c>
      <c r="L66" s="45" t="inlineStr">
        <is>
          <t>Перенесено из мусорной категории "Дополнительные работы."</t>
        </is>
      </c>
    </row>
    <row r="67">
      <c r="A67" s="42" t="inlineStr">
        <is>
          <t>SRC-0066</t>
        </is>
      </c>
      <c r="B67" s="42" t="inlineStr">
        <is>
          <t>Демонтаж дождеприемников</t>
        </is>
      </c>
      <c r="C67" s="42" t="inlineStr">
        <is>
          <t>PRICE_MASTER/RAW_LINES</t>
        </is>
      </c>
      <c r="D67" s="42" t="n">
        <v>67</v>
      </c>
      <c r="E67" s="42" t="inlineStr">
        <is>
          <t>ливневка</t>
        </is>
      </c>
      <c r="F67" s="42" t="inlineStr">
        <is>
          <t>Work</t>
        </is>
      </c>
      <c r="G67" s="47" t="inlineStr">
        <is>
          <t>RWORK-0032</t>
        </is>
      </c>
      <c r="H67" s="47" t="n"/>
      <c r="I67" s="42" t="inlineStr">
        <is>
          <t>Высокая</t>
        </is>
      </c>
      <c r="J67" s="42" t="inlineStr">
        <is>
          <t>Imported</t>
        </is>
      </c>
      <c r="K67" s="42" t="inlineStr">
        <is>
          <t>Нет</t>
        </is>
      </c>
      <c r="L67" s="48" t="inlineStr">
        <is>
          <t>Нормализовано под генератор КП</t>
        </is>
      </c>
    </row>
    <row r="68">
      <c r="A68" s="41" t="inlineStr">
        <is>
          <t>SRC-0067</t>
        </is>
      </c>
      <c r="B68" s="41" t="inlineStr">
        <is>
          <t>Диск алмазный по камню d=230ммхМ14 (гранит)</t>
        </is>
      </c>
      <c r="C68" s="41" t="inlineStr">
        <is>
          <t>PRICE_MASTER/RAW_LINES</t>
        </is>
      </c>
      <c r="D68" s="41" t="n">
        <v>68</v>
      </c>
      <c r="E68" s="41" t="inlineStr">
        <is>
          <t>Мощение</t>
        </is>
      </c>
      <c r="F68" s="41" t="inlineStr">
        <is>
          <t>Material</t>
        </is>
      </c>
      <c r="G68" s="44" t="inlineStr">
        <is>
          <t>RMAT-0035</t>
        </is>
      </c>
      <c r="H68" s="44" t="inlineStr">
        <is>
          <t>MV-0035</t>
        </is>
      </c>
      <c r="I68" s="41" t="inlineStr">
        <is>
          <t>Высокая</t>
        </is>
      </c>
      <c r="J68" s="41" t="inlineStr">
        <is>
          <t>Imported</t>
        </is>
      </c>
      <c r="K68" s="41" t="inlineStr">
        <is>
          <t>Нет</t>
        </is>
      </c>
      <c r="L68" s="45" t="inlineStr">
        <is>
          <t>Нормализовано под генератор КП</t>
        </is>
      </c>
    </row>
    <row r="69">
      <c r="A69" s="42" t="inlineStr">
        <is>
          <t>SRC-0068</t>
        </is>
      </c>
      <c r="B69" s="42" t="inlineStr">
        <is>
          <t>Диск по металлу</t>
        </is>
      </c>
      <c r="C69" s="42" t="inlineStr">
        <is>
          <t>PRICE_MASTER/RAW_LINES</t>
        </is>
      </c>
      <c r="D69" s="42" t="n">
        <v>69</v>
      </c>
      <c r="E69" s="42" t="inlineStr">
        <is>
          <t>Мощение</t>
        </is>
      </c>
      <c r="F69" s="42" t="inlineStr">
        <is>
          <t>Material</t>
        </is>
      </c>
      <c r="G69" s="47" t="inlineStr">
        <is>
          <t>RMAT-0036</t>
        </is>
      </c>
      <c r="H69" s="47" t="inlineStr">
        <is>
          <t>MV-0036</t>
        </is>
      </c>
      <c r="I69" s="42" t="inlineStr">
        <is>
          <t>Высокая</t>
        </is>
      </c>
      <c r="J69" s="42" t="inlineStr">
        <is>
          <t>Imported</t>
        </is>
      </c>
      <c r="K69" s="42" t="inlineStr">
        <is>
          <t>Нет</t>
        </is>
      </c>
      <c r="L69" s="48" t="inlineStr">
        <is>
          <t>Нормализовано под генератор КП</t>
        </is>
      </c>
    </row>
    <row r="70">
      <c r="A70" s="41" t="inlineStr">
        <is>
          <t>SRC-0069</t>
        </is>
      </c>
      <c r="B70" s="41" t="inlineStr">
        <is>
          <t>Дождеприемник ДП–30.30-ПП с комплектующими и чугунной решеткой, фасонные элементы</t>
        </is>
      </c>
      <c r="C70" s="41" t="inlineStr">
        <is>
          <t>PRICE_MASTER/RAW_LINES</t>
        </is>
      </c>
      <c r="D70" s="41" t="n">
        <v>70</v>
      </c>
      <c r="E70" s="41" t="inlineStr">
        <is>
          <t>ливневка</t>
        </is>
      </c>
      <c r="F70" s="41" t="inlineStr">
        <is>
          <t>Material</t>
        </is>
      </c>
      <c r="G70" s="44" t="inlineStr">
        <is>
          <t>RMAT-0037</t>
        </is>
      </c>
      <c r="H70" s="44" t="inlineStr">
        <is>
          <t>MV-0037</t>
        </is>
      </c>
      <c r="I70" s="41" t="inlineStr">
        <is>
          <t>Высокая</t>
        </is>
      </c>
      <c r="J70" s="41" t="inlineStr">
        <is>
          <t>Imported</t>
        </is>
      </c>
      <c r="K70" s="41" t="inlineStr">
        <is>
          <t>Нет</t>
        </is>
      </c>
      <c r="L70" s="45" t="inlineStr">
        <is>
          <t>Нормализовано под генератор КП</t>
        </is>
      </c>
    </row>
    <row r="71">
      <c r="A71" s="49" t="inlineStr">
        <is>
          <t>SRC-0070</t>
        </is>
      </c>
      <c r="B71" s="49" t="inlineStr">
        <is>
          <t>Дождеприемник пластик. 300х300х300 мм в сборе с решеткой чугунной</t>
        </is>
      </c>
      <c r="C71" s="49" t="inlineStr">
        <is>
          <t>PRICE_MASTER/RAW_LINES</t>
        </is>
      </c>
      <c r="D71" s="49" t="n">
        <v>71</v>
      </c>
      <c r="E71" s="49" t="inlineStr">
        <is>
          <t>Мощение</t>
        </is>
      </c>
      <c r="F71" s="49" t="inlineStr">
        <is>
          <t>Material</t>
        </is>
      </c>
      <c r="G71" s="51" t="inlineStr">
        <is>
          <t>RMAT-0038</t>
        </is>
      </c>
      <c r="H71" s="51" t="inlineStr">
        <is>
          <t>MV-0038</t>
        </is>
      </c>
      <c r="I71" s="49" t="inlineStr">
        <is>
          <t>Средняя</t>
        </is>
      </c>
      <c r="J71" s="49" t="inlineStr">
        <is>
          <t>Imported</t>
        </is>
      </c>
      <c r="K71" s="49" t="inlineStr">
        <is>
          <t>Да</t>
        </is>
      </c>
      <c r="L71" s="52" t="inlineStr">
        <is>
          <t>В текущем прайсе позиция сидит в мощении; для генератора можно оставить, если это локальный узел в зоне мощения</t>
        </is>
      </c>
    </row>
    <row r="72">
      <c r="A72" s="41" t="inlineStr">
        <is>
          <t>SRC-0071</t>
        </is>
      </c>
      <c r="B72" s="41" t="inlineStr">
        <is>
          <t>доска для опалубки, 25*100*3000мм</t>
        </is>
      </c>
      <c r="C72" s="41" t="inlineStr">
        <is>
          <t>PRICE_MASTER/RAW_LINES</t>
        </is>
      </c>
      <c r="D72" s="41" t="n">
        <v>72</v>
      </c>
      <c r="E72" s="41" t="inlineStr">
        <is>
          <t>Мощение</t>
        </is>
      </c>
      <c r="F72" s="41" t="inlineStr">
        <is>
          <t>Material</t>
        </is>
      </c>
      <c r="G72" s="44" t="inlineStr">
        <is>
          <t>RMAT-0039</t>
        </is>
      </c>
      <c r="H72" s="44" t="inlineStr">
        <is>
          <t>MV-0039</t>
        </is>
      </c>
      <c r="I72" s="41" t="inlineStr">
        <is>
          <t>Высокая</t>
        </is>
      </c>
      <c r="J72" s="41" t="inlineStr">
        <is>
          <t>Imported</t>
        </is>
      </c>
      <c r="K72" s="41" t="inlineStr">
        <is>
          <t>Нет</t>
        </is>
      </c>
      <c r="L72" s="45" t="inlineStr">
        <is>
          <t>Нормализовано под генератор КП</t>
        </is>
      </c>
    </row>
    <row r="73">
      <c r="A73" s="42" t="inlineStr">
        <is>
          <t>SRC-0072</t>
        </is>
      </c>
      <c r="B73" s="42" t="inlineStr">
        <is>
          <t>Доска импрегнированная 45*145*6000мм, строганая</t>
        </is>
      </c>
      <c r="C73" s="42" t="inlineStr">
        <is>
          <t>PRICE_MASTER/RAW_LINES</t>
        </is>
      </c>
      <c r="D73" s="42" t="n">
        <v>73</v>
      </c>
      <c r="E73" s="42" t="inlineStr">
        <is>
          <t>Мощение</t>
        </is>
      </c>
      <c r="F73" s="42" t="inlineStr">
        <is>
          <t>Material</t>
        </is>
      </c>
      <c r="G73" s="47" t="inlineStr">
        <is>
          <t>RMAT-0040</t>
        </is>
      </c>
      <c r="H73" s="47" t="inlineStr">
        <is>
          <t>MV-0040</t>
        </is>
      </c>
      <c r="I73" s="42" t="inlineStr">
        <is>
          <t>Высокая</t>
        </is>
      </c>
      <c r="J73" s="42" t="inlineStr">
        <is>
          <t>Imported</t>
        </is>
      </c>
      <c r="K73" s="42" t="inlineStr">
        <is>
          <t>Нет</t>
        </is>
      </c>
      <c r="L73" s="48" t="inlineStr">
        <is>
          <t>Нормализовано под генератор КП</t>
        </is>
      </c>
    </row>
    <row r="74">
      <c r="A74" s="41" t="inlineStr">
        <is>
          <t>SRC-0073</t>
        </is>
      </c>
      <c r="B74" s="41" t="inlineStr">
        <is>
          <t>Доска импрегнированная 50*100*6000мм, обрезная</t>
        </is>
      </c>
      <c r="C74" s="41" t="inlineStr">
        <is>
          <t>PRICE_MASTER/RAW_LINES</t>
        </is>
      </c>
      <c r="D74" s="41" t="n">
        <v>74</v>
      </c>
      <c r="E74" s="41" t="inlineStr">
        <is>
          <t>Мощение</t>
        </is>
      </c>
      <c r="F74" s="41" t="inlineStr">
        <is>
          <t>Material</t>
        </is>
      </c>
      <c r="G74" s="44" t="inlineStr">
        <is>
          <t>RMAT-0041</t>
        </is>
      </c>
      <c r="H74" s="44" t="inlineStr">
        <is>
          <t>MV-0041</t>
        </is>
      </c>
      <c r="I74" s="41" t="inlineStr">
        <is>
          <t>Высокая</t>
        </is>
      </c>
      <c r="J74" s="41" t="inlineStr">
        <is>
          <t>Imported</t>
        </is>
      </c>
      <c r="K74" s="41" t="inlineStr">
        <is>
          <t>Нет</t>
        </is>
      </c>
      <c r="L74" s="45" t="inlineStr">
        <is>
          <t>Нормализовано под генератор КП</t>
        </is>
      </c>
    </row>
    <row r="75">
      <c r="A75" s="42" t="inlineStr">
        <is>
          <t>SRC-0074</t>
        </is>
      </c>
      <c r="B75" s="42" t="inlineStr">
        <is>
          <t>Доска обрезн., сосна, 20х125х3000мм</t>
        </is>
      </c>
      <c r="C75" s="42" t="inlineStr">
        <is>
          <t>PRICE_MASTER/RAW_LINES</t>
        </is>
      </c>
      <c r="D75" s="42" t="n">
        <v>75</v>
      </c>
      <c r="E75" s="42" t="inlineStr">
        <is>
          <t>Мощение</t>
        </is>
      </c>
      <c r="F75" s="42" t="inlineStr">
        <is>
          <t>Material</t>
        </is>
      </c>
      <c r="G75" s="47" t="inlineStr">
        <is>
          <t>RMAT-0042</t>
        </is>
      </c>
      <c r="H75" s="47" t="inlineStr">
        <is>
          <t>MV-0042</t>
        </is>
      </c>
      <c r="I75" s="42" t="inlineStr">
        <is>
          <t>Высокая</t>
        </is>
      </c>
      <c r="J75" s="42" t="inlineStr">
        <is>
          <t>Imported</t>
        </is>
      </c>
      <c r="K75" s="42" t="inlineStr">
        <is>
          <t>Нет</t>
        </is>
      </c>
      <c r="L75" s="48" t="inlineStr">
        <is>
          <t>Нормализовано под генератор КП</t>
        </is>
      </c>
    </row>
    <row r="76">
      <c r="A76" s="41" t="inlineStr">
        <is>
          <t>SRC-0075</t>
        </is>
      </c>
      <c r="B76" s="41" t="inlineStr">
        <is>
          <t>Доска обрезн., сосна, 20х145х3000мм</t>
        </is>
      </c>
      <c r="C76" s="41" t="inlineStr">
        <is>
          <t>PRICE_MASTER/RAW_LINES</t>
        </is>
      </c>
      <c r="D76" s="41" t="n">
        <v>76</v>
      </c>
      <c r="E76" s="41" t="inlineStr">
        <is>
          <t>Мощение</t>
        </is>
      </c>
      <c r="F76" s="41" t="inlineStr">
        <is>
          <t>Material</t>
        </is>
      </c>
      <c r="G76" s="44" t="inlineStr">
        <is>
          <t>RMAT-0043</t>
        </is>
      </c>
      <c r="H76" s="44" t="inlineStr">
        <is>
          <t>MV-0043</t>
        </is>
      </c>
      <c r="I76" s="41" t="inlineStr">
        <is>
          <t>Высокая</t>
        </is>
      </c>
      <c r="J76" s="41" t="inlineStr">
        <is>
          <t>Imported</t>
        </is>
      </c>
      <c r="K76" s="41" t="inlineStr">
        <is>
          <t>Нет</t>
        </is>
      </c>
      <c r="L76" s="45" t="inlineStr">
        <is>
          <t>Нормализовано под генератор КП</t>
        </is>
      </c>
    </row>
    <row r="77">
      <c r="A77" s="42" t="inlineStr">
        <is>
          <t>SRC-0076</t>
        </is>
      </c>
      <c r="B77" s="42" t="inlineStr">
        <is>
          <t>Доска террасная негофрированная, термообработанная сосна 145*28*6000мм</t>
        </is>
      </c>
      <c r="C77" s="42" t="inlineStr">
        <is>
          <t>PRICE_MASTER/RAW_LINES</t>
        </is>
      </c>
      <c r="D77" s="42" t="n">
        <v>77</v>
      </c>
      <c r="E77" s="42" t="inlineStr">
        <is>
          <t>Мощение</t>
        </is>
      </c>
      <c r="F77" s="42" t="inlineStr">
        <is>
          <t>Material</t>
        </is>
      </c>
      <c r="G77" s="47" t="inlineStr">
        <is>
          <t>RMAT-0044</t>
        </is>
      </c>
      <c r="H77" s="47" t="inlineStr">
        <is>
          <t>MV-0044</t>
        </is>
      </c>
      <c r="I77" s="42" t="inlineStr">
        <is>
          <t>Высокая</t>
        </is>
      </c>
      <c r="J77" s="42" t="inlineStr">
        <is>
          <t>Imported</t>
        </is>
      </c>
      <c r="K77" s="42" t="inlineStr">
        <is>
          <t>Нет</t>
        </is>
      </c>
      <c r="L77" s="48" t="inlineStr">
        <is>
          <t>Нормализовано под генератор КП</t>
        </is>
      </c>
    </row>
    <row r="78">
      <c r="A78" s="41" t="inlineStr">
        <is>
          <t>SRC-0077</t>
        </is>
      </c>
      <c r="B78" s="41" t="inlineStr">
        <is>
          <t>Доска хвойная сырая, нестроганая 150*25*6000мм (для опалубки)</t>
        </is>
      </c>
      <c r="C78" s="41" t="inlineStr">
        <is>
          <t>PRICE_MASTER/RAW_LINES</t>
        </is>
      </c>
      <c r="D78" s="41" t="n">
        <v>78</v>
      </c>
      <c r="E78" s="41" t="inlineStr">
        <is>
          <t>дренаж</t>
        </is>
      </c>
      <c r="F78" s="41" t="inlineStr">
        <is>
          <t>Material</t>
        </is>
      </c>
      <c r="G78" s="44" t="inlineStr">
        <is>
          <t>RMAT-0045</t>
        </is>
      </c>
      <c r="H78" s="44" t="inlineStr">
        <is>
          <t>MV-0045</t>
        </is>
      </c>
      <c r="I78" s="41" t="inlineStr">
        <is>
          <t>Высокая</t>
        </is>
      </c>
      <c r="J78" s="41" t="inlineStr">
        <is>
          <t>Imported</t>
        </is>
      </c>
      <c r="K78" s="41" t="inlineStr">
        <is>
          <t>Нет</t>
        </is>
      </c>
      <c r="L78" s="45" t="inlineStr">
        <is>
          <t>Нормализовано под генератор КП</t>
        </is>
      </c>
    </row>
    <row r="79">
      <c r="A79" s="42" t="inlineStr">
        <is>
          <t>SRC-0078</t>
        </is>
      </c>
      <c r="B79" s="42" t="inlineStr">
        <is>
          <t>Доставка/вывоз туалетной кабины</t>
        </is>
      </c>
      <c r="C79" s="42" t="inlineStr">
        <is>
          <t>PRICE_MASTER/RAW_LINES</t>
        </is>
      </c>
      <c r="D79" s="42" t="n">
        <v>79</v>
      </c>
      <c r="E79" s="42" t="inlineStr">
        <is>
          <t>%</t>
        </is>
      </c>
      <c r="F79" s="42" t="inlineStr">
        <is>
          <t>Work</t>
        </is>
      </c>
      <c r="G79" s="47" t="inlineStr">
        <is>
          <t>RWORK-0033</t>
        </is>
      </c>
      <c r="H79" s="47" t="n"/>
      <c r="I79" s="42" t="inlineStr">
        <is>
          <t>Высокая</t>
        </is>
      </c>
      <c r="J79" s="42" t="inlineStr">
        <is>
          <t>Imported</t>
        </is>
      </c>
      <c r="K79" s="42" t="inlineStr">
        <is>
          <t>Нет</t>
        </is>
      </c>
      <c r="L79" s="48" t="inlineStr">
        <is>
          <t>Для клиентского КП лучше сворачивать в раздел "Организация стройплощадки"</t>
        </is>
      </c>
    </row>
    <row r="80">
      <c r="A80" s="41" t="inlineStr">
        <is>
          <t>SRC-0079</t>
        </is>
      </c>
      <c r="B80" s="41" t="inlineStr">
        <is>
          <t>Доставки материалов и оборудования, погрузочно-разгрузочные работы</t>
        </is>
      </c>
      <c r="C80" s="41" t="inlineStr">
        <is>
          <t>PRICE_MASTER/RAW_LINES</t>
        </is>
      </c>
      <c r="D80" s="41" t="n">
        <v>80</v>
      </c>
      <c r="E80" s="41" t="inlineStr">
        <is>
          <t>%</t>
        </is>
      </c>
      <c r="F80" s="41" t="inlineStr">
        <is>
          <t>Work</t>
        </is>
      </c>
      <c r="G80" s="44" t="inlineStr">
        <is>
          <t>RWORK-0034</t>
        </is>
      </c>
      <c r="H80" s="44" t="n"/>
      <c r="I80" s="41" t="inlineStr">
        <is>
          <t>Высокая</t>
        </is>
      </c>
      <c r="J80" s="41" t="inlineStr">
        <is>
          <t>Imported</t>
        </is>
      </c>
      <c r="K80" s="41" t="inlineStr">
        <is>
          <t>Нет</t>
        </is>
      </c>
      <c r="L80" s="45" t="inlineStr">
        <is>
          <t>Для генератора лучше сворачивать в логистический блок</t>
        </is>
      </c>
    </row>
    <row r="81">
      <c r="A81" s="42" t="inlineStr">
        <is>
          <t>SRC-0080</t>
        </is>
      </c>
      <c r="B81" s="42" t="inlineStr">
        <is>
          <t>Дюбель-гвоздь 8x100мм</t>
        </is>
      </c>
      <c r="C81" s="42" t="inlineStr">
        <is>
          <t>PRICE_MASTER/RAW_LINES</t>
        </is>
      </c>
      <c r="D81" s="42" t="n">
        <v>81</v>
      </c>
      <c r="E81" s="42" t="inlineStr">
        <is>
          <t>Мощение</t>
        </is>
      </c>
      <c r="F81" s="42" t="inlineStr">
        <is>
          <t>Material</t>
        </is>
      </c>
      <c r="G81" s="47" t="inlineStr">
        <is>
          <t>RMAT-0046</t>
        </is>
      </c>
      <c r="H81" s="47" t="inlineStr">
        <is>
          <t>MV-0046</t>
        </is>
      </c>
      <c r="I81" s="42" t="inlineStr">
        <is>
          <t>Высокая</t>
        </is>
      </c>
      <c r="J81" s="42" t="inlineStr">
        <is>
          <t>Imported</t>
        </is>
      </c>
      <c r="K81" s="42" t="inlineStr">
        <is>
          <t>Нет</t>
        </is>
      </c>
      <c r="L81" s="48" t="inlineStr">
        <is>
          <t>Нормализовано под генератор КП</t>
        </is>
      </c>
    </row>
    <row r="82">
      <c r="A82" s="41" t="inlineStr">
        <is>
          <t>SRC-0081</t>
        </is>
      </c>
      <c r="B82" s="41" t="inlineStr">
        <is>
          <t>Завоз-вывоз вагончика</t>
        </is>
      </c>
      <c r="C82" s="41" t="inlineStr">
        <is>
          <t>PRICE_MASTER/RAW_LINES</t>
        </is>
      </c>
      <c r="D82" s="41" t="n">
        <v>82</v>
      </c>
      <c r="E82" s="41" t="inlineStr">
        <is>
          <t>%</t>
        </is>
      </c>
      <c r="F82" s="41" t="inlineStr">
        <is>
          <t>Work</t>
        </is>
      </c>
      <c r="G82" s="44" t="inlineStr">
        <is>
          <t>RWORK-0035</t>
        </is>
      </c>
      <c r="H82" s="44" t="n"/>
      <c r="I82" s="41" t="inlineStr">
        <is>
          <t>Высокая</t>
        </is>
      </c>
      <c r="J82" s="41" t="inlineStr">
        <is>
          <t>Imported</t>
        </is>
      </c>
      <c r="K82" s="41" t="inlineStr">
        <is>
          <t>Нет</t>
        </is>
      </c>
      <c r="L82" s="45" t="inlineStr">
        <is>
          <t>Для клиентского КП лучше сворачивать в раздел "Организация стройплощадки"</t>
        </is>
      </c>
    </row>
    <row r="83">
      <c r="A83" s="42" t="inlineStr">
        <is>
          <t>SRC-0082</t>
        </is>
      </c>
      <c r="B83" s="42" t="inlineStr">
        <is>
          <t>Заливка бетона</t>
        </is>
      </c>
      <c r="C83" s="42" t="inlineStr">
        <is>
          <t>PRICE_MASTER/RAW_LINES</t>
        </is>
      </c>
      <c r="D83" s="42" t="n">
        <v>83</v>
      </c>
      <c r="E83" s="42" t="inlineStr">
        <is>
          <t>Мощение</t>
        </is>
      </c>
      <c r="F83" s="42" t="inlineStr">
        <is>
          <t>Work</t>
        </is>
      </c>
      <c r="G83" s="47" t="inlineStr">
        <is>
          <t>RWORK-0036</t>
        </is>
      </c>
      <c r="H83" s="47" t="n"/>
      <c r="I83" s="42" t="inlineStr">
        <is>
          <t>Высокая</t>
        </is>
      </c>
      <c r="J83" s="42" t="inlineStr">
        <is>
          <t>Imported</t>
        </is>
      </c>
      <c r="K83" s="42" t="inlineStr">
        <is>
          <t>Нет</t>
        </is>
      </c>
      <c r="L83" s="48" t="inlineStr">
        <is>
          <t>Нормализовано под генератор КП</t>
        </is>
      </c>
    </row>
    <row r="84">
      <c r="A84" s="41" t="inlineStr">
        <is>
          <t>SRC-0083</t>
        </is>
      </c>
      <c r="B84" s="41" t="inlineStr">
        <is>
          <t>Заливка бетона</t>
        </is>
      </c>
      <c r="C84" s="41" t="inlineStr">
        <is>
          <t>PRICE_MASTER/RAW_LINES</t>
        </is>
      </c>
      <c r="D84" s="41" t="n">
        <v>84</v>
      </c>
      <c r="E84" s="41" t="inlineStr">
        <is>
          <t>ступени</t>
        </is>
      </c>
      <c r="F84" s="41" t="inlineStr">
        <is>
          <t>Work</t>
        </is>
      </c>
      <c r="G84" s="44" t="inlineStr">
        <is>
          <t>RWORK-0037</t>
        </is>
      </c>
      <c r="H84" s="44" t="n"/>
      <c r="I84" s="41" t="inlineStr">
        <is>
          <t>Высокая</t>
        </is>
      </c>
      <c r="J84" s="41" t="inlineStr">
        <is>
          <t>Imported</t>
        </is>
      </c>
      <c r="K84" s="41" t="inlineStr">
        <is>
          <t>Нет</t>
        </is>
      </c>
      <c r="L84" s="45" t="inlineStr">
        <is>
          <t>Нормализовано под генератор КП</t>
        </is>
      </c>
    </row>
    <row r="85">
      <c r="A85" s="42" t="inlineStr">
        <is>
          <t>SRC-0084</t>
        </is>
      </c>
      <c r="B85" s="42" t="inlineStr">
        <is>
          <t>Затирка для широких швов Camonica, 25кг</t>
        </is>
      </c>
      <c r="C85" s="42" t="inlineStr">
        <is>
          <t>PRICE_MASTER/RAW_LINES</t>
        </is>
      </c>
      <c r="D85" s="42" t="n">
        <v>85</v>
      </c>
      <c r="E85" s="42" t="inlineStr">
        <is>
          <t>Мощение</t>
        </is>
      </c>
      <c r="F85" s="42" t="inlineStr">
        <is>
          <t>Material</t>
        </is>
      </c>
      <c r="G85" s="47" t="inlineStr">
        <is>
          <t>RMAT-0047</t>
        </is>
      </c>
      <c r="H85" s="47" t="inlineStr">
        <is>
          <t>MV-0047</t>
        </is>
      </c>
      <c r="I85" s="42" t="inlineStr">
        <is>
          <t>Высокая</t>
        </is>
      </c>
      <c r="J85" s="42" t="inlineStr">
        <is>
          <t>Imported</t>
        </is>
      </c>
      <c r="K85" s="42" t="inlineStr">
        <is>
          <t>Нет</t>
        </is>
      </c>
      <c r="L85" s="48" t="inlineStr">
        <is>
          <t>Нормализовано под генератор КП</t>
        </is>
      </c>
    </row>
    <row r="86">
      <c r="A86" s="41" t="inlineStr">
        <is>
          <t>SRC-0085</t>
        </is>
      </c>
      <c r="B86" s="41" t="inlineStr">
        <is>
          <t>Изготовление и монтаж грядок в теплице</t>
        </is>
      </c>
      <c r="C86" s="41" t="inlineStr">
        <is>
          <t>PRICE_MASTER/RAW_LINES</t>
        </is>
      </c>
      <c r="D86" s="41" t="n">
        <v>86</v>
      </c>
      <c r="E86" s="41" t="inlineStr">
        <is>
          <t>Мощение</t>
        </is>
      </c>
      <c r="F86" s="41" t="inlineStr">
        <is>
          <t>Work</t>
        </is>
      </c>
      <c r="G86" s="44" t="inlineStr">
        <is>
          <t>RWORK-0038</t>
        </is>
      </c>
      <c r="H86" s="44" t="n"/>
      <c r="I86" s="41" t="inlineStr">
        <is>
          <t>Высокая</t>
        </is>
      </c>
      <c r="J86" s="41" t="inlineStr">
        <is>
          <t>Imported</t>
        </is>
      </c>
      <c r="K86" s="41" t="inlineStr">
        <is>
          <t>Нет</t>
        </is>
      </c>
      <c r="L86" s="45" t="inlineStr">
        <is>
          <t>Нормализовано под генератор КП</t>
        </is>
      </c>
    </row>
    <row r="87">
      <c r="A87" s="42" t="inlineStr">
        <is>
          <t>SRC-0086</t>
        </is>
      </c>
      <c r="B87" s="42" t="inlineStr">
        <is>
          <t>Изготовление и монтаж уличных грядок</t>
        </is>
      </c>
      <c r="C87" s="42" t="inlineStr">
        <is>
          <t>PRICE_MASTER/RAW_LINES</t>
        </is>
      </c>
      <c r="D87" s="42" t="n">
        <v>87</v>
      </c>
      <c r="E87" s="42" t="inlineStr">
        <is>
          <t>Мощение</t>
        </is>
      </c>
      <c r="F87" s="42" t="inlineStr">
        <is>
          <t>Work</t>
        </is>
      </c>
      <c r="G87" s="47" t="inlineStr">
        <is>
          <t>RWORK-0039</t>
        </is>
      </c>
      <c r="H87" s="47" t="n"/>
      <c r="I87" s="42" t="inlineStr">
        <is>
          <t>Высокая</t>
        </is>
      </c>
      <c r="J87" s="42" t="inlineStr">
        <is>
          <t>Imported</t>
        </is>
      </c>
      <c r="K87" s="42" t="inlineStr">
        <is>
          <t>Нет</t>
        </is>
      </c>
      <c r="L87" s="48" t="inlineStr">
        <is>
          <t>Нормализовано под генератор КП</t>
        </is>
      </c>
    </row>
    <row r="88">
      <c r="A88" s="41" t="inlineStr">
        <is>
          <t>SRC-0087</t>
        </is>
      </c>
      <c r="B88" s="41" t="inlineStr">
        <is>
          <t>Кабель силовой ВБШв нг(А)LS 3*1,5 0,66кВ броня</t>
        </is>
      </c>
      <c r="C88" s="41" t="inlineStr">
        <is>
          <t>PRICE_MASTER/RAW_LINES</t>
        </is>
      </c>
      <c r="D88" s="41" t="n">
        <v>88</v>
      </c>
      <c r="E88" s="41" t="inlineStr">
        <is>
          <t>Освещение</t>
        </is>
      </c>
      <c r="F88" s="41" t="inlineStr">
        <is>
          <t>Material</t>
        </is>
      </c>
      <c r="G88" s="44" t="inlineStr">
        <is>
          <t>RMAT-0048</t>
        </is>
      </c>
      <c r="H88" s="44" t="inlineStr">
        <is>
          <t>MV-0048</t>
        </is>
      </c>
      <c r="I88" s="41" t="inlineStr">
        <is>
          <t>Высокая</t>
        </is>
      </c>
      <c r="J88" s="41" t="inlineStr">
        <is>
          <t>Imported</t>
        </is>
      </c>
      <c r="K88" s="41" t="inlineStr">
        <is>
          <t>Нет</t>
        </is>
      </c>
      <c r="L88" s="45" t="inlineStr">
        <is>
          <t>Нормализовано под генератор КП</t>
        </is>
      </c>
    </row>
    <row r="89">
      <c r="A89" s="42" t="inlineStr">
        <is>
          <t>SRC-0088</t>
        </is>
      </c>
      <c r="B89" s="42" t="inlineStr">
        <is>
          <t>Кабель силовой ВБШв нг(А)LS 3*2,5 0,66кВ броня</t>
        </is>
      </c>
      <c r="C89" s="42" t="inlineStr">
        <is>
          <t>PRICE_MASTER/RAW_LINES</t>
        </is>
      </c>
      <c r="D89" s="42" t="n">
        <v>89</v>
      </c>
      <c r="E89" s="42" t="inlineStr">
        <is>
          <t>Освещение</t>
        </is>
      </c>
      <c r="F89" s="42" t="inlineStr">
        <is>
          <t>Material</t>
        </is>
      </c>
      <c r="G89" s="47" t="inlineStr">
        <is>
          <t>RMAT-0049</t>
        </is>
      </c>
      <c r="H89" s="47" t="inlineStr">
        <is>
          <t>MV-0049</t>
        </is>
      </c>
      <c r="I89" s="42" t="inlineStr">
        <is>
          <t>Высокая</t>
        </is>
      </c>
      <c r="J89" s="42" t="inlineStr">
        <is>
          <t>Imported</t>
        </is>
      </c>
      <c r="K89" s="42" t="inlineStr">
        <is>
          <t>Нет</t>
        </is>
      </c>
      <c r="L89" s="48" t="inlineStr">
        <is>
          <t>Нормализовано под генератор КП</t>
        </is>
      </c>
    </row>
    <row r="90">
      <c r="A90" s="41" t="inlineStr">
        <is>
          <t>SRC-0089</t>
        </is>
      </c>
      <c r="B90" s="41" t="inlineStr">
        <is>
          <t>Клей по дереву, 0,5л</t>
        </is>
      </c>
      <c r="C90" s="41" t="inlineStr">
        <is>
          <t>PRICE_MASTER/RAW_LINES</t>
        </is>
      </c>
      <c r="D90" s="41" t="n">
        <v>90</v>
      </c>
      <c r="E90" s="41" t="inlineStr">
        <is>
          <t>Мощение</t>
        </is>
      </c>
      <c r="F90" s="41" t="inlineStr">
        <is>
          <t>Material</t>
        </is>
      </c>
      <c r="G90" s="44" t="inlineStr">
        <is>
          <t>RMAT-0050</t>
        </is>
      </c>
      <c r="H90" s="44" t="inlineStr">
        <is>
          <t>MV-0050</t>
        </is>
      </c>
      <c r="I90" s="41" t="inlineStr">
        <is>
          <t>Высокая</t>
        </is>
      </c>
      <c r="J90" s="41" t="inlineStr">
        <is>
          <t>Imported</t>
        </is>
      </c>
      <c r="K90" s="41" t="inlineStr">
        <is>
          <t>Нет</t>
        </is>
      </c>
      <c r="L90" s="45" t="inlineStr">
        <is>
          <t>Нормализовано под генератор КП</t>
        </is>
      </c>
    </row>
    <row r="91">
      <c r="A91" s="42" t="inlineStr">
        <is>
          <t>SRC-0090</t>
        </is>
      </c>
      <c r="B91" s="42" t="inlineStr">
        <is>
          <t>Колодец дренажный смотровой 315/276х1000 с дном и крышкой</t>
        </is>
      </c>
      <c r="C91" s="42" t="inlineStr">
        <is>
          <t>PRICE_MASTER/RAW_LINES</t>
        </is>
      </c>
      <c r="D91" s="42" t="n">
        <v>91</v>
      </c>
      <c r="E91" s="42" t="inlineStr">
        <is>
          <t>дренаж</t>
        </is>
      </c>
      <c r="F91" s="42" t="inlineStr">
        <is>
          <t>Material</t>
        </is>
      </c>
      <c r="G91" s="47" t="inlineStr">
        <is>
          <t>RMAT-0051</t>
        </is>
      </c>
      <c r="H91" s="47" t="inlineStr">
        <is>
          <t>MV-0051</t>
        </is>
      </c>
      <c r="I91" s="42" t="inlineStr">
        <is>
          <t>Высокая</t>
        </is>
      </c>
      <c r="J91" s="42" t="inlineStr">
        <is>
          <t>Imported</t>
        </is>
      </c>
      <c r="K91" s="42" t="inlineStr">
        <is>
          <t>Нет</t>
        </is>
      </c>
      <c r="L91" s="48" t="inlineStr">
        <is>
          <t>Нормализовано под генератор КП</t>
        </is>
      </c>
    </row>
    <row r="92">
      <c r="A92" s="41" t="inlineStr">
        <is>
          <t>SRC-0091</t>
        </is>
      </c>
      <c r="B92" s="41" t="inlineStr">
        <is>
          <t>Колодец дренажный смотровой 315/276х1500 с дном и крышкой</t>
        </is>
      </c>
      <c r="C92" s="41" t="inlineStr">
        <is>
          <t>PRICE_MASTER/RAW_LINES</t>
        </is>
      </c>
      <c r="D92" s="41" t="n">
        <v>92</v>
      </c>
      <c r="E92" s="41" t="inlineStr">
        <is>
          <t>дренаж</t>
        </is>
      </c>
      <c r="F92" s="41" t="inlineStr">
        <is>
          <t>Material</t>
        </is>
      </c>
      <c r="G92" s="44" t="inlineStr">
        <is>
          <t>RMAT-0052</t>
        </is>
      </c>
      <c r="H92" s="44" t="inlineStr">
        <is>
          <t>MV-0052</t>
        </is>
      </c>
      <c r="I92" s="41" t="inlineStr">
        <is>
          <t>Высокая</t>
        </is>
      </c>
      <c r="J92" s="41" t="inlineStr">
        <is>
          <t>Imported</t>
        </is>
      </c>
      <c r="K92" s="41" t="inlineStr">
        <is>
          <t>Нет</t>
        </is>
      </c>
      <c r="L92" s="45" t="inlineStr">
        <is>
          <t>Нормализовано под генератор КП</t>
        </is>
      </c>
    </row>
    <row r="93">
      <c r="A93" s="42" t="inlineStr">
        <is>
          <t>SRC-0092</t>
        </is>
      </c>
      <c r="B93" s="42" t="inlineStr">
        <is>
          <t>Колодец дренажный смотровой 460/400х2000мм с дном и крышкой</t>
        </is>
      </c>
      <c r="C93" s="42" t="inlineStr">
        <is>
          <t>PRICE_MASTER/RAW_LINES</t>
        </is>
      </c>
      <c r="D93" s="42" t="n">
        <v>93</v>
      </c>
      <c r="E93" s="42" t="inlineStr">
        <is>
          <t>дренаж</t>
        </is>
      </c>
      <c r="F93" s="42" t="inlineStr">
        <is>
          <t>Material</t>
        </is>
      </c>
      <c r="G93" s="47" t="inlineStr">
        <is>
          <t>RMAT-0053</t>
        </is>
      </c>
      <c r="H93" s="47" t="inlineStr">
        <is>
          <t>MV-0053</t>
        </is>
      </c>
      <c r="I93" s="42" t="inlineStr">
        <is>
          <t>Высокая</t>
        </is>
      </c>
      <c r="J93" s="42" t="inlineStr">
        <is>
          <t>Imported</t>
        </is>
      </c>
      <c r="K93" s="42" t="inlineStr">
        <is>
          <t>Нет</t>
        </is>
      </c>
      <c r="L93" s="48" t="inlineStr">
        <is>
          <t>Нормализовано под генератор КП</t>
        </is>
      </c>
    </row>
    <row r="94">
      <c r="A94" s="41" t="inlineStr">
        <is>
          <t>SRC-0093</t>
        </is>
      </c>
      <c r="B94" s="41" t="inlineStr">
        <is>
          <t>Кольцо железобетонное паз/гребень КС10.9 d1000мм</t>
        </is>
      </c>
      <c r="C94" s="41" t="inlineStr">
        <is>
          <t>PRICE_MASTER/RAW_LINES</t>
        </is>
      </c>
      <c r="D94" s="41" t="n">
        <v>94</v>
      </c>
      <c r="E94" s="41" t="inlineStr">
        <is>
          <t>ливневка</t>
        </is>
      </c>
      <c r="F94" s="41" t="inlineStr">
        <is>
          <t>Material</t>
        </is>
      </c>
      <c r="G94" s="44" t="inlineStr">
        <is>
          <t>RMAT-0054</t>
        </is>
      </c>
      <c r="H94" s="44" t="inlineStr">
        <is>
          <t>MV-0054</t>
        </is>
      </c>
      <c r="I94" s="41" t="inlineStr">
        <is>
          <t>Высокая</t>
        </is>
      </c>
      <c r="J94" s="41" t="inlineStr">
        <is>
          <t>Imported</t>
        </is>
      </c>
      <c r="K94" s="41" t="inlineStr">
        <is>
          <t>Нет</t>
        </is>
      </c>
      <c r="L94" s="45" t="inlineStr">
        <is>
          <t>Нормализовано под генератор КП</t>
        </is>
      </c>
    </row>
    <row r="95">
      <c r="A95" s="42" t="inlineStr">
        <is>
          <t>SRC-0094</t>
        </is>
      </c>
      <c r="B95" s="42" t="inlineStr">
        <is>
          <t>Кольцо железобетонное регулировочное КО-6 d840мм</t>
        </is>
      </c>
      <c r="C95" s="42" t="inlineStr">
        <is>
          <t>PRICE_MASTER/RAW_LINES</t>
        </is>
      </c>
      <c r="D95" s="42" t="n">
        <v>95</v>
      </c>
      <c r="E95" s="42" t="inlineStr">
        <is>
          <t>ливневка</t>
        </is>
      </c>
      <c r="F95" s="42" t="inlineStr">
        <is>
          <t>Material</t>
        </is>
      </c>
      <c r="G95" s="47" t="inlineStr">
        <is>
          <t>RMAT-0055</t>
        </is>
      </c>
      <c r="H95" s="47" t="inlineStr">
        <is>
          <t>MV-0055</t>
        </is>
      </c>
      <c r="I95" s="42" t="inlineStr">
        <is>
          <t>Высокая</t>
        </is>
      </c>
      <c r="J95" s="42" t="inlineStr">
        <is>
          <t>Imported</t>
        </is>
      </c>
      <c r="K95" s="42" t="inlineStr">
        <is>
          <t>Нет</t>
        </is>
      </c>
      <c r="L95" s="48" t="inlineStr">
        <is>
          <t>Нормализовано под генератор КП</t>
        </is>
      </c>
    </row>
    <row r="96">
      <c r="A96" s="41" t="inlineStr">
        <is>
          <t>SRC-0095</t>
        </is>
      </c>
      <c r="B96" s="41" t="inlineStr">
        <is>
          <t>Кольцо железобетонное с днищем ДК-10.9 d1000мм</t>
        </is>
      </c>
      <c r="C96" s="41" t="inlineStr">
        <is>
          <t>PRICE_MASTER/RAW_LINES</t>
        </is>
      </c>
      <c r="D96" s="41" t="n">
        <v>96</v>
      </c>
      <c r="E96" s="41" t="inlineStr">
        <is>
          <t>ливневка</t>
        </is>
      </c>
      <c r="F96" s="41" t="inlineStr">
        <is>
          <t>Material</t>
        </is>
      </c>
      <c r="G96" s="44" t="inlineStr">
        <is>
          <t>RMAT-0056</t>
        </is>
      </c>
      <c r="H96" s="44" t="inlineStr">
        <is>
          <t>MV-0056</t>
        </is>
      </c>
      <c r="I96" s="41" t="inlineStr">
        <is>
          <t>Высокая</t>
        </is>
      </c>
      <c r="J96" s="41" t="inlineStr">
        <is>
          <t>Imported</t>
        </is>
      </c>
      <c r="K96" s="41" t="inlineStr">
        <is>
          <t>Нет</t>
        </is>
      </c>
      <c r="L96" s="45" t="inlineStr">
        <is>
          <t>Нормализовано под генератор КП</t>
        </is>
      </c>
    </row>
    <row r="97">
      <c r="A97" s="42" t="inlineStr">
        <is>
          <t>SRC-0096</t>
        </is>
      </c>
      <c r="B97" s="42" t="inlineStr">
        <is>
          <t>Консервация системы полива на зиму</t>
        </is>
      </c>
      <c r="C97" s="42" t="inlineStr">
        <is>
          <t>PRICE_MASTER/RAW_LINES</t>
        </is>
      </c>
      <c r="D97" s="42" t="n">
        <v>97</v>
      </c>
      <c r="E97" s="42" t="inlineStr">
        <is>
          <t>дренаж</t>
        </is>
      </c>
      <c r="F97" s="42" t="inlineStr">
        <is>
          <t>Work</t>
        </is>
      </c>
      <c r="G97" s="47" t="inlineStr">
        <is>
          <t>RWORK-0040</t>
        </is>
      </c>
      <c r="H97" s="47" t="n"/>
      <c r="I97" s="42" t="inlineStr">
        <is>
          <t>Высокая</t>
        </is>
      </c>
      <c r="J97" s="42" t="inlineStr">
        <is>
          <t>Imported</t>
        </is>
      </c>
      <c r="K97" s="42" t="inlineStr">
        <is>
          <t>Нет</t>
        </is>
      </c>
      <c r="L97" s="48" t="inlineStr">
        <is>
          <t>Нормализовано под генератор КП</t>
        </is>
      </c>
    </row>
    <row r="98">
      <c r="A98" s="41" t="inlineStr">
        <is>
          <t>SRC-0097</t>
        </is>
      </c>
      <c r="B98" s="41" t="inlineStr">
        <is>
          <t>Копка траншеи под кабель в песчаном грунте</t>
        </is>
      </c>
      <c r="C98" s="41" t="inlineStr">
        <is>
          <t>PRICE_MASTER/RAW_LINES</t>
        </is>
      </c>
      <c r="D98" s="41" t="n">
        <v>98</v>
      </c>
      <c r="E98" s="41" t="inlineStr">
        <is>
          <t>Дополнительные работы.</t>
        </is>
      </c>
      <c r="F98" s="41" t="inlineStr">
        <is>
          <t>Work</t>
        </is>
      </c>
      <c r="G98" s="44" t="inlineStr">
        <is>
          <t>RWORK-0041</t>
        </is>
      </c>
      <c r="H98" s="44" t="n"/>
      <c r="I98" s="41" t="inlineStr">
        <is>
          <t>Высокая</t>
        </is>
      </c>
      <c r="J98" s="41" t="inlineStr">
        <is>
          <t>Imported</t>
        </is>
      </c>
      <c r="K98" s="41" t="inlineStr">
        <is>
          <t>Нет</t>
        </is>
      </c>
      <c r="L98" s="45" t="inlineStr">
        <is>
          <t>Перенесено из мусорной категории "Дополнительные работы."</t>
        </is>
      </c>
    </row>
    <row r="99">
      <c r="A99" s="42" t="inlineStr">
        <is>
          <t>SRC-0098</t>
        </is>
      </c>
      <c r="B99" s="42" t="inlineStr">
        <is>
          <t>Короб метал. для подвода кабеля к щиту 100*100мм оцинк., неперфорированный, h=1,5м</t>
        </is>
      </c>
      <c r="C99" s="42" t="inlineStr">
        <is>
          <t>PRICE_MASTER/RAW_LINES</t>
        </is>
      </c>
      <c r="D99" s="42" t="n">
        <v>99</v>
      </c>
      <c r="E99" s="42" t="inlineStr">
        <is>
          <t>Освещение</t>
        </is>
      </c>
      <c r="F99" s="42" t="inlineStr">
        <is>
          <t>Material</t>
        </is>
      </c>
      <c r="G99" s="47" t="inlineStr">
        <is>
          <t>RMAT-0057</t>
        </is>
      </c>
      <c r="H99" s="47" t="inlineStr">
        <is>
          <t>MV-0057</t>
        </is>
      </c>
      <c r="I99" s="42" t="inlineStr">
        <is>
          <t>Высокая</t>
        </is>
      </c>
      <c r="J99" s="42" t="inlineStr">
        <is>
          <t>Imported</t>
        </is>
      </c>
      <c r="K99" s="42" t="inlineStr">
        <is>
          <t>Нет</t>
        </is>
      </c>
      <c r="L99" s="48" t="inlineStr">
        <is>
          <t>Нормализовано под генератор КП</t>
        </is>
      </c>
    </row>
    <row r="100">
      <c r="A100" s="41" t="inlineStr">
        <is>
          <t>SRC-0099</t>
        </is>
      </c>
      <c r="B100" s="41" t="inlineStr">
        <is>
          <t>Корчевка поросли механическая и ручная очистка участка от выкорчеванной поросли</t>
        </is>
      </c>
      <c r="C100" s="41" t="inlineStr">
        <is>
          <t>PRICE_MASTER/RAW_LINES</t>
        </is>
      </c>
      <c r="D100" s="41" t="n">
        <v>100</v>
      </c>
      <c r="E100" s="41" t="inlineStr">
        <is>
          <t>Дополнительные работы.</t>
        </is>
      </c>
      <c r="F100" s="41" t="inlineStr">
        <is>
          <t>Work</t>
        </is>
      </c>
      <c r="G100" s="44" t="inlineStr">
        <is>
          <t>RWORK-0042</t>
        </is>
      </c>
      <c r="H100" s="44" t="n"/>
      <c r="I100" s="41" t="inlineStr">
        <is>
          <t>Высокая</t>
        </is>
      </c>
      <c r="J100" s="41" t="inlineStr">
        <is>
          <t>Imported</t>
        </is>
      </c>
      <c r="K100" s="41" t="inlineStr">
        <is>
          <t>Нет</t>
        </is>
      </c>
      <c r="L100" s="45" t="inlineStr">
        <is>
          <t>Перенесено из мусорной категории "Дополнительные работы."</t>
        </is>
      </c>
    </row>
    <row r="101">
      <c r="A101" s="42" t="inlineStr">
        <is>
          <t>SRC-0100</t>
        </is>
      </c>
      <c r="B101" s="42" t="inlineStr">
        <is>
          <t>Краска Pinotex Extreme One. Колеровка утренний туман 005</t>
        </is>
      </c>
      <c r="C101" s="42" t="inlineStr">
        <is>
          <t>PRICE_MASTER/RAW_LINES</t>
        </is>
      </c>
      <c r="D101" s="42" t="n">
        <v>101</v>
      </c>
      <c r="E101" s="42" t="inlineStr">
        <is>
          <t>Мощение</t>
        </is>
      </c>
      <c r="F101" s="42" t="inlineStr">
        <is>
          <t>Material</t>
        </is>
      </c>
      <c r="G101" s="47" t="inlineStr">
        <is>
          <t>RMAT-0058</t>
        </is>
      </c>
      <c r="H101" s="47" t="inlineStr">
        <is>
          <t>MV-0058</t>
        </is>
      </c>
      <c r="I101" s="42" t="inlineStr">
        <is>
          <t>Высокая</t>
        </is>
      </c>
      <c r="J101" s="42" t="inlineStr">
        <is>
          <t>Imported</t>
        </is>
      </c>
      <c r="K101" s="42" t="inlineStr">
        <is>
          <t>Нет</t>
        </is>
      </c>
      <c r="L101" s="48" t="inlineStr">
        <is>
          <t>Нормализовано под генератор КП</t>
        </is>
      </c>
    </row>
    <row r="102">
      <c r="A102" s="41" t="inlineStr">
        <is>
          <t>SRC-0101</t>
        </is>
      </c>
      <c r="B102" s="41" t="inlineStr">
        <is>
          <t>Крышка для железобетонного кольца ПП10 d1000мм</t>
        </is>
      </c>
      <c r="C102" s="41" t="inlineStr">
        <is>
          <t>PRICE_MASTER/RAW_LINES</t>
        </is>
      </c>
      <c r="D102" s="41" t="n">
        <v>102</v>
      </c>
      <c r="E102" s="41" t="inlineStr">
        <is>
          <t>ливневка</t>
        </is>
      </c>
      <c r="F102" s="41" t="inlineStr">
        <is>
          <t>Material</t>
        </is>
      </c>
      <c r="G102" s="44" t="inlineStr">
        <is>
          <t>RMAT-0059</t>
        </is>
      </c>
      <c r="H102" s="44" t="inlineStr">
        <is>
          <t>MV-0059</t>
        </is>
      </c>
      <c r="I102" s="41" t="inlineStr">
        <is>
          <t>Высокая</t>
        </is>
      </c>
      <c r="J102" s="41" t="inlineStr">
        <is>
          <t>Imported</t>
        </is>
      </c>
      <c r="K102" s="41" t="inlineStr">
        <is>
          <t>Нет</t>
        </is>
      </c>
      <c r="L102" s="45" t="inlineStr">
        <is>
          <t>Нормализовано под генератор КП</t>
        </is>
      </c>
    </row>
    <row r="103">
      <c r="A103" s="42" t="inlineStr">
        <is>
          <t>SRC-0102</t>
        </is>
      </c>
      <c r="B103" s="42" t="inlineStr">
        <is>
          <t>Лента диодная влагозащищенная, профиль</t>
        </is>
      </c>
      <c r="C103" s="42" t="inlineStr">
        <is>
          <t>PRICE_MASTER/RAW_LINES</t>
        </is>
      </c>
      <c r="D103" s="42" t="n">
        <v>103</v>
      </c>
      <c r="E103" s="42" t="inlineStr">
        <is>
          <t>Освещение</t>
        </is>
      </c>
      <c r="F103" s="42" t="inlineStr">
        <is>
          <t>Material</t>
        </is>
      </c>
      <c r="G103" s="47" t="inlineStr">
        <is>
          <t>RMAT-0060</t>
        </is>
      </c>
      <c r="H103" s="47" t="inlineStr">
        <is>
          <t>MV-0060</t>
        </is>
      </c>
      <c r="I103" s="42" t="inlineStr">
        <is>
          <t>Высокая</t>
        </is>
      </c>
      <c r="J103" s="42" t="inlineStr">
        <is>
          <t>Imported</t>
        </is>
      </c>
      <c r="K103" s="42" t="inlineStr">
        <is>
          <t>Нет</t>
        </is>
      </c>
      <c r="L103" s="48" t="inlineStr">
        <is>
          <t>Нормализовано под генератор КП</t>
        </is>
      </c>
    </row>
    <row r="104">
      <c r="A104" s="41" t="inlineStr">
        <is>
          <t>SRC-0103</t>
        </is>
      </c>
      <c r="B104" s="41" t="inlineStr">
        <is>
          <t>Лента сигнальная 100м</t>
        </is>
      </c>
      <c r="C104" s="41" t="inlineStr">
        <is>
          <t>PRICE_MASTER/RAW_LINES</t>
        </is>
      </c>
      <c r="D104" s="41" t="n">
        <v>104</v>
      </c>
      <c r="E104" s="41" t="inlineStr">
        <is>
          <t>Освещение</t>
        </is>
      </c>
      <c r="F104" s="41" t="inlineStr">
        <is>
          <t>Material</t>
        </is>
      </c>
      <c r="G104" s="44" t="inlineStr">
        <is>
          <t>RMAT-0061</t>
        </is>
      </c>
      <c r="H104" s="44" t="inlineStr">
        <is>
          <t>MV-0061</t>
        </is>
      </c>
      <c r="I104" s="41" t="inlineStr">
        <is>
          <t>Высокая</t>
        </is>
      </c>
      <c r="J104" s="41" t="inlineStr">
        <is>
          <t>Imported</t>
        </is>
      </c>
      <c r="K104" s="41" t="inlineStr">
        <is>
          <t>Нет</t>
        </is>
      </c>
      <c r="L104" s="45" t="inlineStr">
        <is>
          <t>Нормализовано под генератор КП</t>
        </is>
      </c>
    </row>
    <row r="105">
      <c r="A105" s="42" t="inlineStr">
        <is>
          <t>SRC-0104</t>
        </is>
      </c>
      <c r="B105" s="42" t="inlineStr">
        <is>
          <t>линия подвязки</t>
        </is>
      </c>
      <c r="C105" s="42" t="inlineStr">
        <is>
          <t>PRICE_MASTER/RAW_LINES</t>
        </is>
      </c>
      <c r="D105" s="42" t="n">
        <v>105</v>
      </c>
      <c r="E105" s="42" t="inlineStr">
        <is>
          <t>Мощение</t>
        </is>
      </c>
      <c r="F105" s="42" t="inlineStr">
        <is>
          <t>Material</t>
        </is>
      </c>
      <c r="G105" s="47" t="inlineStr">
        <is>
          <t>RMAT-0062</t>
        </is>
      </c>
      <c r="H105" s="47" t="inlineStr">
        <is>
          <t>MV-0062</t>
        </is>
      </c>
      <c r="I105" s="42" t="inlineStr">
        <is>
          <t>Высокая</t>
        </is>
      </c>
      <c r="J105" s="42" t="inlineStr">
        <is>
          <t>Imported</t>
        </is>
      </c>
      <c r="K105" s="42" t="inlineStr">
        <is>
          <t>Нет</t>
        </is>
      </c>
      <c r="L105" s="48" t="inlineStr">
        <is>
          <t>Нормализовано под генератор КП</t>
        </is>
      </c>
    </row>
    <row r="106">
      <c r="A106" s="41" t="inlineStr">
        <is>
          <t>SRC-0105</t>
        </is>
      </c>
      <c r="B106" s="41" t="inlineStr">
        <is>
          <t>Лоток пластиковый ЛВ-10.16.12-ПП с решетками ячеистыми чугунными</t>
        </is>
      </c>
      <c r="C106" s="41" t="inlineStr">
        <is>
          <t>PRICE_MASTER/RAW_LINES</t>
        </is>
      </c>
      <c r="D106" s="41" t="n">
        <v>106</v>
      </c>
      <c r="E106" s="41" t="inlineStr">
        <is>
          <t>ливневка</t>
        </is>
      </c>
      <c r="F106" s="41" t="inlineStr">
        <is>
          <t>Material</t>
        </is>
      </c>
      <c r="G106" s="44" t="inlineStr">
        <is>
          <t>RMAT-0063</t>
        </is>
      </c>
      <c r="H106" s="44" t="inlineStr">
        <is>
          <t>MV-0063</t>
        </is>
      </c>
      <c r="I106" s="41" t="inlineStr">
        <is>
          <t>Высокая</t>
        </is>
      </c>
      <c r="J106" s="41" t="inlineStr">
        <is>
          <t>Imported</t>
        </is>
      </c>
      <c r="K106" s="41" t="inlineStr">
        <is>
          <t>Нет</t>
        </is>
      </c>
      <c r="L106" s="45" t="inlineStr">
        <is>
          <t>Нормализовано под генератор КП</t>
        </is>
      </c>
    </row>
    <row r="107">
      <c r="A107" s="42" t="inlineStr">
        <is>
          <t>SRC-0106</t>
        </is>
      </c>
      <c r="B107" s="42" t="inlineStr">
        <is>
          <t>Люк садовый пластиковый черный «ДОМИК» d800мм</t>
        </is>
      </c>
      <c r="C107" s="42" t="inlineStr">
        <is>
          <t>PRICE_MASTER/RAW_LINES</t>
        </is>
      </c>
      <c r="D107" s="42" t="n">
        <v>107</v>
      </c>
      <c r="E107" s="42" t="inlineStr">
        <is>
          <t>ливневка</t>
        </is>
      </c>
      <c r="F107" s="42" t="inlineStr">
        <is>
          <t>Material</t>
        </is>
      </c>
      <c r="G107" s="47" t="inlineStr">
        <is>
          <t>RMAT-0064</t>
        </is>
      </c>
      <c r="H107" s="47" t="inlineStr">
        <is>
          <t>MV-0064</t>
        </is>
      </c>
      <c r="I107" s="42" t="inlineStr">
        <is>
          <t>Высокая</t>
        </is>
      </c>
      <c r="J107" s="42" t="inlineStr">
        <is>
          <t>Imported</t>
        </is>
      </c>
      <c r="K107" s="42" t="inlineStr">
        <is>
          <t>Нет</t>
        </is>
      </c>
      <c r="L107" s="48" t="inlineStr">
        <is>
          <t>Нормализовано под генератор КП</t>
        </is>
      </c>
    </row>
    <row r="108">
      <c r="A108" s="41" t="inlineStr">
        <is>
          <t>SRC-0107</t>
        </is>
      </c>
      <c r="B108" s="41" t="inlineStr">
        <is>
          <t>Мастика битумная</t>
        </is>
      </c>
      <c r="C108" s="41" t="inlineStr">
        <is>
          <t>PRICE_MASTER/RAW_LINES</t>
        </is>
      </c>
      <c r="D108" s="41" t="n">
        <v>108</v>
      </c>
      <c r="E108" s="41" t="inlineStr">
        <is>
          <t>Мощение</t>
        </is>
      </c>
      <c r="F108" s="41" t="inlineStr">
        <is>
          <t>Material</t>
        </is>
      </c>
      <c r="G108" s="44" t="inlineStr">
        <is>
          <t>RMAT-0065</t>
        </is>
      </c>
      <c r="H108" s="44" t="inlineStr">
        <is>
          <t>MV-0065</t>
        </is>
      </c>
      <c r="I108" s="41" t="inlineStr">
        <is>
          <t>Высокая</t>
        </is>
      </c>
      <c r="J108" s="41" t="inlineStr">
        <is>
          <t>Imported</t>
        </is>
      </c>
      <c r="K108" s="41" t="inlineStr">
        <is>
          <t>Нет</t>
        </is>
      </c>
      <c r="L108" s="45" t="inlineStr">
        <is>
          <t>Нормализовано под генератор КП</t>
        </is>
      </c>
    </row>
    <row r="109">
      <c r="A109" s="42" t="inlineStr">
        <is>
          <t>SRC-0108</t>
        </is>
      </c>
      <c r="B109" s="42" t="inlineStr">
        <is>
          <t>Мастика битумная, 20л</t>
        </is>
      </c>
      <c r="C109" s="42" t="inlineStr">
        <is>
          <t>PRICE_MASTER/RAW_LINES</t>
        </is>
      </c>
      <c r="D109" s="42" t="n">
        <v>109</v>
      </c>
      <c r="E109" s="42" t="inlineStr">
        <is>
          <t>ливневка</t>
        </is>
      </c>
      <c r="F109" s="42" t="inlineStr">
        <is>
          <t>Material</t>
        </is>
      </c>
      <c r="G109" s="47" t="inlineStr">
        <is>
          <t>RMAT-0066</t>
        </is>
      </c>
      <c r="H109" s="47" t="inlineStr">
        <is>
          <t>MV-0066</t>
        </is>
      </c>
      <c r="I109" s="42" t="inlineStr">
        <is>
          <t>Высокая</t>
        </is>
      </c>
      <c r="J109" s="42" t="inlineStr">
        <is>
          <t>Imported</t>
        </is>
      </c>
      <c r="K109" s="42" t="inlineStr">
        <is>
          <t>Нет</t>
        </is>
      </c>
      <c r="L109" s="48" t="inlineStr">
        <is>
          <t>Нормализовано под генератор КП</t>
        </is>
      </c>
    </row>
    <row r="110">
      <c r="A110" s="49" t="inlineStr">
        <is>
          <t>SRC-0109</t>
        </is>
      </c>
      <c r="B110" s="49" t="inlineStr">
        <is>
          <t>Материалы для разметки</t>
        </is>
      </c>
      <c r="C110" s="49" t="inlineStr">
        <is>
          <t>PRICE_MASTER/RAW_LINES</t>
        </is>
      </c>
      <c r="D110" s="49" t="n">
        <v>110</v>
      </c>
      <c r="E110" s="49" t="inlineStr">
        <is>
          <t>Земельные работы</t>
        </is>
      </c>
      <c r="F110" s="49" t="inlineStr">
        <is>
          <t>Material</t>
        </is>
      </c>
      <c r="G110" s="51" t="inlineStr">
        <is>
          <t>RMAT-0067</t>
        </is>
      </c>
      <c r="H110" s="51" t="inlineStr">
        <is>
          <t>MV-0067</t>
        </is>
      </c>
      <c r="I110" s="49" t="inlineStr">
        <is>
          <t>Средняя</t>
        </is>
      </c>
      <c r="J110" s="49" t="inlineStr">
        <is>
          <t>Imported</t>
        </is>
      </c>
      <c r="K110" s="49" t="inlineStr">
        <is>
          <t>Да</t>
        </is>
      </c>
      <c r="L110" s="52" t="inlineStr">
        <is>
          <t>Нормализовано под генератор КП</t>
        </is>
      </c>
    </row>
    <row r="111">
      <c r="A111" s="42" t="inlineStr">
        <is>
          <t>SRC-0110</t>
        </is>
      </c>
      <c r="B111" s="42" t="inlineStr">
        <is>
          <t>Метизы</t>
        </is>
      </c>
      <c r="C111" s="42" t="inlineStr">
        <is>
          <t>PRICE_MASTER/RAW_LINES</t>
        </is>
      </c>
      <c r="D111" s="42" t="n">
        <v>111</v>
      </c>
      <c r="E111" s="42" t="inlineStr">
        <is>
          <t>Мощение</t>
        </is>
      </c>
      <c r="F111" s="42" t="inlineStr">
        <is>
          <t>Material</t>
        </is>
      </c>
      <c r="G111" s="47" t="inlineStr">
        <is>
          <t>RMAT-0068</t>
        </is>
      </c>
      <c r="H111" s="47" t="inlineStr">
        <is>
          <t>MV-0068</t>
        </is>
      </c>
      <c r="I111" s="42" t="inlineStr">
        <is>
          <t>Высокая</t>
        </is>
      </c>
      <c r="J111" s="42" t="inlineStr">
        <is>
          <t>Imported</t>
        </is>
      </c>
      <c r="K111" s="42" t="inlineStr">
        <is>
          <t>Нет</t>
        </is>
      </c>
      <c r="L111" s="48" t="inlineStr">
        <is>
          <t>Нормализовано под генератор КП</t>
        </is>
      </c>
    </row>
    <row r="112">
      <c r="A112" s="41" t="inlineStr">
        <is>
          <t>SRC-0111</t>
        </is>
      </c>
      <c r="B112" s="41" t="inlineStr">
        <is>
          <t>Механическая планировка участка: выемка грунта</t>
        </is>
      </c>
      <c r="C112" s="41" t="inlineStr">
        <is>
          <t>PRICE_MASTER/RAW_LINES</t>
        </is>
      </c>
      <c r="D112" s="41" t="n">
        <v>112</v>
      </c>
      <c r="E112" s="41" t="inlineStr">
        <is>
          <t>Планировочные работы.</t>
        </is>
      </c>
      <c r="F112" s="41" t="inlineStr">
        <is>
          <t>Work</t>
        </is>
      </c>
      <c r="G112" s="44" t="inlineStr">
        <is>
          <t>RWORK-0043</t>
        </is>
      </c>
      <c r="H112" s="44" t="n"/>
      <c r="I112" s="41" t="inlineStr">
        <is>
          <t>Высокая</t>
        </is>
      </c>
      <c r="J112" s="41" t="inlineStr">
        <is>
          <t>Imported</t>
        </is>
      </c>
      <c r="K112" s="41" t="inlineStr">
        <is>
          <t>Нет</t>
        </is>
      </c>
      <c r="L112" s="45" t="inlineStr">
        <is>
          <t>Нормализовано под генератор КП</t>
        </is>
      </c>
    </row>
    <row r="113">
      <c r="A113" s="42" t="inlineStr">
        <is>
          <t>SRC-0112</t>
        </is>
      </c>
      <c r="B113" s="42" t="inlineStr">
        <is>
          <t>Механическая планировка участка: снятие и подсыпка грунта</t>
        </is>
      </c>
      <c r="C113" s="42" t="inlineStr">
        <is>
          <t>PRICE_MASTER/RAW_LINES</t>
        </is>
      </c>
      <c r="D113" s="42" t="n">
        <v>113</v>
      </c>
      <c r="E113" s="42" t="inlineStr">
        <is>
          <t>Планировочные работы.</t>
        </is>
      </c>
      <c r="F113" s="42" t="inlineStr">
        <is>
          <t>Work</t>
        </is>
      </c>
      <c r="G113" s="47" t="inlineStr">
        <is>
          <t>RWORK-0044</t>
        </is>
      </c>
      <c r="H113" s="47" t="n"/>
      <c r="I113" s="42" t="inlineStr">
        <is>
          <t>Высокая</t>
        </is>
      </c>
      <c r="J113" s="42" t="inlineStr">
        <is>
          <t>Imported</t>
        </is>
      </c>
      <c r="K113" s="42" t="inlineStr">
        <is>
          <t>Нет</t>
        </is>
      </c>
      <c r="L113" s="48" t="inlineStr">
        <is>
          <t>Нормализовано под генератор КП</t>
        </is>
      </c>
    </row>
    <row r="114">
      <c r="A114" s="41" t="inlineStr">
        <is>
          <t>SRC-0113</t>
        </is>
      </c>
      <c r="B114" s="41" t="inlineStr">
        <is>
          <t>Мини-геопластика: создание рельефа в лесной зоне</t>
        </is>
      </c>
      <c r="C114" s="41" t="inlineStr">
        <is>
          <t>PRICE_MASTER/RAW_LINES</t>
        </is>
      </c>
      <c r="D114" s="41" t="n">
        <v>114</v>
      </c>
      <c r="E114" s="41" t="inlineStr">
        <is>
          <t>Планировочные работы.</t>
        </is>
      </c>
      <c r="F114" s="41" t="inlineStr">
        <is>
          <t>Work</t>
        </is>
      </c>
      <c r="G114" s="44" t="inlineStr">
        <is>
          <t>RWORK-0045</t>
        </is>
      </c>
      <c r="H114" s="44" t="n"/>
      <c r="I114" s="41" t="inlineStr">
        <is>
          <t>Высокая</t>
        </is>
      </c>
      <c r="J114" s="41" t="inlineStr">
        <is>
          <t>Imported</t>
        </is>
      </c>
      <c r="K114" s="41" t="inlineStr">
        <is>
          <t>Нет</t>
        </is>
      </c>
      <c r="L114" s="45" t="inlineStr">
        <is>
          <t>Нормализовано под генератор КП</t>
        </is>
      </c>
    </row>
    <row r="115">
      <c r="A115" s="42" t="inlineStr">
        <is>
          <t>SRC-0114</t>
        </is>
      </c>
      <c r="B115" s="42" t="inlineStr">
        <is>
          <t>монтаж алюминиевого каркаса с остеклением</t>
        </is>
      </c>
      <c r="C115" s="42" t="inlineStr">
        <is>
          <t>PRICE_MASTER/RAW_LINES</t>
        </is>
      </c>
      <c r="D115" s="42" t="n">
        <v>115</v>
      </c>
      <c r="E115" s="42" t="inlineStr">
        <is>
          <t>Мощение</t>
        </is>
      </c>
      <c r="F115" s="42" t="inlineStr">
        <is>
          <t>Work</t>
        </is>
      </c>
      <c r="G115" s="47" t="inlineStr">
        <is>
          <t>RWORK-0046</t>
        </is>
      </c>
      <c r="H115" s="47" t="n"/>
      <c r="I115" s="42" t="inlineStr">
        <is>
          <t>Высокая</t>
        </is>
      </c>
      <c r="J115" s="42" t="inlineStr">
        <is>
          <t>Imported</t>
        </is>
      </c>
      <c r="K115" s="42" t="inlineStr">
        <is>
          <t>Нет</t>
        </is>
      </c>
      <c r="L115" s="48" t="inlineStr">
        <is>
          <t>Нормализовано под генератор КП</t>
        </is>
      </c>
    </row>
    <row r="116">
      <c r="A116" s="41" t="inlineStr">
        <is>
          <t>SRC-0115</t>
        </is>
      </c>
      <c r="B116" s="41" t="inlineStr">
        <is>
          <t>Монтаж блоков питания</t>
        </is>
      </c>
      <c r="C116" s="41" t="inlineStr">
        <is>
          <t>PRICE_MASTER/RAW_LINES</t>
        </is>
      </c>
      <c r="D116" s="41" t="n">
        <v>116</v>
      </c>
      <c r="E116" s="41" t="inlineStr">
        <is>
          <t>Освещение</t>
        </is>
      </c>
      <c r="F116" s="41" t="inlineStr">
        <is>
          <t>Work</t>
        </is>
      </c>
      <c r="G116" s="44" t="inlineStr">
        <is>
          <t>RWORK-0047</t>
        </is>
      </c>
      <c r="H116" s="44" t="n"/>
      <c r="I116" s="41" t="inlineStr">
        <is>
          <t>Высокая</t>
        </is>
      </c>
      <c r="J116" s="41" t="inlineStr">
        <is>
          <t>Imported</t>
        </is>
      </c>
      <c r="K116" s="41" t="inlineStr">
        <is>
          <t>Нет</t>
        </is>
      </c>
      <c r="L116" s="45" t="inlineStr">
        <is>
          <t>Нормализовано под генератор КП</t>
        </is>
      </c>
    </row>
    <row r="117">
      <c r="A117" s="42" t="inlineStr">
        <is>
          <t>SRC-0116</t>
        </is>
      </c>
      <c r="B117" s="42" t="inlineStr">
        <is>
          <t>Монтаж водоприемных колодцев 923мм с выемкой</t>
        </is>
      </c>
      <c r="C117" s="42" t="inlineStr">
        <is>
          <t>PRICE_MASTER/RAW_LINES</t>
        </is>
      </c>
      <c r="D117" s="42" t="n">
        <v>117</v>
      </c>
      <c r="E117" s="42" t="inlineStr">
        <is>
          <t>ливневка</t>
        </is>
      </c>
      <c r="F117" s="42" t="inlineStr">
        <is>
          <t>Work</t>
        </is>
      </c>
      <c r="G117" s="47" t="inlineStr">
        <is>
          <t>RWORK-0048</t>
        </is>
      </c>
      <c r="H117" s="47" t="n"/>
      <c r="I117" s="42" t="inlineStr">
        <is>
          <t>Высокая</t>
        </is>
      </c>
      <c r="J117" s="42" t="inlineStr">
        <is>
          <t>Imported</t>
        </is>
      </c>
      <c r="K117" s="42" t="inlineStr">
        <is>
          <t>Нет</t>
        </is>
      </c>
      <c r="L117" s="48" t="inlineStr">
        <is>
          <t>Нормализовано под генератор КП</t>
        </is>
      </c>
    </row>
    <row r="118">
      <c r="A118" s="41" t="inlineStr">
        <is>
          <t>SRC-0117</t>
        </is>
      </c>
      <c r="B118" s="41" t="inlineStr">
        <is>
          <t>Монтаж встроенных в настил светильников с устройством отверстий в облицовке</t>
        </is>
      </c>
      <c r="C118" s="41" t="inlineStr">
        <is>
          <t>PRICE_MASTER/RAW_LINES</t>
        </is>
      </c>
      <c r="D118" s="41" t="n">
        <v>118</v>
      </c>
      <c r="E118" s="41" t="inlineStr">
        <is>
          <t>Освещение</t>
        </is>
      </c>
      <c r="F118" s="41" t="inlineStr">
        <is>
          <t>Work</t>
        </is>
      </c>
      <c r="G118" s="44" t="inlineStr">
        <is>
          <t>RWORK-0049</t>
        </is>
      </c>
      <c r="H118" s="44" t="n"/>
      <c r="I118" s="41" t="inlineStr">
        <is>
          <t>Высокая</t>
        </is>
      </c>
      <c r="J118" s="41" t="inlineStr">
        <is>
          <t>Imported</t>
        </is>
      </c>
      <c r="K118" s="41" t="inlineStr">
        <is>
          <t>Нет</t>
        </is>
      </c>
      <c r="L118" s="45" t="inlineStr">
        <is>
          <t>Нормализовано под генератор КП</t>
        </is>
      </c>
    </row>
    <row r="119">
      <c r="A119" s="42" t="inlineStr">
        <is>
          <t>SRC-0118</t>
        </is>
      </c>
      <c r="B119" s="42" t="inlineStr">
        <is>
          <t>Монтаж грунтовых светильников</t>
        </is>
      </c>
      <c r="C119" s="42" t="inlineStr">
        <is>
          <t>PRICE_MASTER/RAW_LINES</t>
        </is>
      </c>
      <c r="D119" s="42" t="n">
        <v>119</v>
      </c>
      <c r="E119" s="42" t="inlineStr">
        <is>
          <t>Освещение</t>
        </is>
      </c>
      <c r="F119" s="42" t="inlineStr">
        <is>
          <t>Work</t>
        </is>
      </c>
      <c r="G119" s="47" t="inlineStr">
        <is>
          <t>RWORK-0050</t>
        </is>
      </c>
      <c r="H119" s="47" t="n"/>
      <c r="I119" s="42" t="inlineStr">
        <is>
          <t>Высокая</t>
        </is>
      </c>
      <c r="J119" s="42" t="inlineStr">
        <is>
          <t>Imported</t>
        </is>
      </c>
      <c r="K119" s="42" t="inlineStr">
        <is>
          <t>Нет</t>
        </is>
      </c>
      <c r="L119" s="48" t="inlineStr">
        <is>
          <t>Нормализовано под генератор КП</t>
        </is>
      </c>
    </row>
    <row r="120">
      <c r="A120" s="41" t="inlineStr">
        <is>
          <t>SRC-0119</t>
        </is>
      </c>
      <c r="B120" s="41" t="inlineStr">
        <is>
          <t>Монтаж диодной ленты подсветки</t>
        </is>
      </c>
      <c r="C120" s="41" t="inlineStr">
        <is>
          <t>PRICE_MASTER/RAW_LINES</t>
        </is>
      </c>
      <c r="D120" s="41" t="n">
        <v>120</v>
      </c>
      <c r="E120" s="41" t="inlineStr">
        <is>
          <t>Освещение</t>
        </is>
      </c>
      <c r="F120" s="41" t="inlineStr">
        <is>
          <t>Work</t>
        </is>
      </c>
      <c r="G120" s="44" t="inlineStr">
        <is>
          <t>RWORK-0051</t>
        </is>
      </c>
      <c r="H120" s="44" t="n"/>
      <c r="I120" s="41" t="inlineStr">
        <is>
          <t>Высокая</t>
        </is>
      </c>
      <c r="J120" s="41" t="inlineStr">
        <is>
          <t>Imported</t>
        </is>
      </c>
      <c r="K120" s="41" t="inlineStr">
        <is>
          <t>Нет</t>
        </is>
      </c>
      <c r="L120" s="45" t="inlineStr">
        <is>
          <t>Нормализовано под генератор КП</t>
        </is>
      </c>
    </row>
    <row r="121">
      <c r="A121" s="42" t="inlineStr">
        <is>
          <t>SRC-0120</t>
        </is>
      </c>
      <c r="B121" s="42" t="inlineStr">
        <is>
          <t>Монтаж дождеприемника</t>
        </is>
      </c>
      <c r="C121" s="42" t="inlineStr">
        <is>
          <t>PRICE_MASTER/RAW_LINES</t>
        </is>
      </c>
      <c r="D121" s="42" t="n">
        <v>121</v>
      </c>
      <c r="E121" s="42" t="inlineStr">
        <is>
          <t>Мощение</t>
        </is>
      </c>
      <c r="F121" s="42" t="inlineStr">
        <is>
          <t>Work</t>
        </is>
      </c>
      <c r="G121" s="47" t="inlineStr">
        <is>
          <t>RWORK-0052</t>
        </is>
      </c>
      <c r="H121" s="47" t="n"/>
      <c r="I121" s="42" t="inlineStr">
        <is>
          <t>Высокая</t>
        </is>
      </c>
      <c r="J121" s="42" t="inlineStr">
        <is>
          <t>Imported</t>
        </is>
      </c>
      <c r="K121" s="42" t="inlineStr">
        <is>
          <t>Нет</t>
        </is>
      </c>
      <c r="L121" s="48" t="inlineStr">
        <is>
          <t>Нормализовано под генератор КП</t>
        </is>
      </c>
    </row>
    <row r="122">
      <c r="A122" s="41" t="inlineStr">
        <is>
          <t>SRC-0121</t>
        </is>
      </c>
      <c r="B122" s="41" t="inlineStr">
        <is>
          <t>Монтаж дождеприемников со встройкой в террасный настил</t>
        </is>
      </c>
      <c r="C122" s="41" t="inlineStr">
        <is>
          <t>PRICE_MASTER/RAW_LINES</t>
        </is>
      </c>
      <c r="D122" s="41" t="n">
        <v>122</v>
      </c>
      <c r="E122" s="41" t="inlineStr">
        <is>
          <t>ливневка</t>
        </is>
      </c>
      <c r="F122" s="41" t="inlineStr">
        <is>
          <t>Work</t>
        </is>
      </c>
      <c r="G122" s="44" t="inlineStr">
        <is>
          <t>RWORK-0053</t>
        </is>
      </c>
      <c r="H122" s="44" t="n"/>
      <c r="I122" s="41" t="inlineStr">
        <is>
          <t>Высокая</t>
        </is>
      </c>
      <c r="J122" s="41" t="inlineStr">
        <is>
          <t>Imported</t>
        </is>
      </c>
      <c r="K122" s="41" t="inlineStr">
        <is>
          <t>Нет</t>
        </is>
      </c>
      <c r="L122" s="45" t="inlineStr">
        <is>
          <t>Нормализовано под генератор КП</t>
        </is>
      </c>
    </row>
    <row r="123">
      <c r="A123" s="42" t="inlineStr">
        <is>
          <t>SRC-0122</t>
        </is>
      </c>
      <c r="B123" s="42" t="inlineStr">
        <is>
          <t>Монтаж доски</t>
        </is>
      </c>
      <c r="C123" s="42" t="inlineStr">
        <is>
          <t>PRICE_MASTER/RAW_LINES</t>
        </is>
      </c>
      <c r="D123" s="42" t="n">
        <v>123</v>
      </c>
      <c r="E123" s="42" t="inlineStr">
        <is>
          <t>Мощение</t>
        </is>
      </c>
      <c r="F123" s="42" t="inlineStr">
        <is>
          <t>Work</t>
        </is>
      </c>
      <c r="G123" s="47" t="inlineStr">
        <is>
          <t>RWORK-0054</t>
        </is>
      </c>
      <c r="H123" s="47" t="n"/>
      <c r="I123" s="42" t="inlineStr">
        <is>
          <t>Высокая</t>
        </is>
      </c>
      <c r="J123" s="42" t="inlineStr">
        <is>
          <t>Imported</t>
        </is>
      </c>
      <c r="K123" s="42" t="inlineStr">
        <is>
          <t>Нет</t>
        </is>
      </c>
      <c r="L123" s="48" t="inlineStr">
        <is>
          <t>Нормализовано под генератор КП</t>
        </is>
      </c>
    </row>
    <row r="124">
      <c r="A124" s="41" t="inlineStr">
        <is>
          <t>SRC-0123</t>
        </is>
      </c>
      <c r="B124" s="41" t="inlineStr">
        <is>
          <t>Монтаж дренажного колодца h=1,7-2м</t>
        </is>
      </c>
      <c r="C124" s="41" t="inlineStr">
        <is>
          <t>PRICE_MASTER/RAW_LINES</t>
        </is>
      </c>
      <c r="D124" s="41" t="n">
        <v>124</v>
      </c>
      <c r="E124" s="41" t="inlineStr">
        <is>
          <t>дренаж</t>
        </is>
      </c>
      <c r="F124" s="41" t="inlineStr">
        <is>
          <t>Work</t>
        </is>
      </c>
      <c r="G124" s="44" t="inlineStr">
        <is>
          <t>RWORK-0055</t>
        </is>
      </c>
      <c r="H124" s="44" t="n"/>
      <c r="I124" s="41" t="inlineStr">
        <is>
          <t>Высокая</t>
        </is>
      </c>
      <c r="J124" s="41" t="inlineStr">
        <is>
          <t>Imported</t>
        </is>
      </c>
      <c r="K124" s="41" t="inlineStr">
        <is>
          <t>Нет</t>
        </is>
      </c>
      <c r="L124" s="45" t="inlineStr">
        <is>
          <t>Нормализовано под генератор КП</t>
        </is>
      </c>
    </row>
    <row r="125">
      <c r="A125" s="42" t="inlineStr">
        <is>
          <t>SRC-0124</t>
        </is>
      </c>
      <c r="B125" s="42" t="inlineStr">
        <is>
          <t>Монтаж дренажного колодца h=1-1,5м</t>
        </is>
      </c>
      <c r="C125" s="42" t="inlineStr">
        <is>
          <t>PRICE_MASTER/RAW_LINES</t>
        </is>
      </c>
      <c r="D125" s="42" t="n">
        <v>125</v>
      </c>
      <c r="E125" s="42" t="inlineStr">
        <is>
          <t>дренаж</t>
        </is>
      </c>
      <c r="F125" s="42" t="inlineStr">
        <is>
          <t>Work</t>
        </is>
      </c>
      <c r="G125" s="47" t="inlineStr">
        <is>
          <t>RWORK-0056</t>
        </is>
      </c>
      <c r="H125" s="47" t="n"/>
      <c r="I125" s="42" t="inlineStr">
        <is>
          <t>Высокая</t>
        </is>
      </c>
      <c r="J125" s="42" t="inlineStr">
        <is>
          <t>Imported</t>
        </is>
      </c>
      <c r="K125" s="42" t="inlineStr">
        <is>
          <t>Нет</t>
        </is>
      </c>
      <c r="L125" s="48" t="inlineStr">
        <is>
          <t>Нормализовано под генератор КП</t>
        </is>
      </c>
    </row>
    <row r="126">
      <c r="A126" s="41" t="inlineStr">
        <is>
          <t>SRC-0125</t>
        </is>
      </c>
      <c r="B126" s="41" t="inlineStr">
        <is>
          <t>Монтаж и сборка щита</t>
        </is>
      </c>
      <c r="C126" s="41" t="inlineStr">
        <is>
          <t>PRICE_MASTER/RAW_LINES</t>
        </is>
      </c>
      <c r="D126" s="41" t="n">
        <v>126</v>
      </c>
      <c r="E126" s="41" t="inlineStr">
        <is>
          <t>Освещение</t>
        </is>
      </c>
      <c r="F126" s="41" t="inlineStr">
        <is>
          <t>Work</t>
        </is>
      </c>
      <c r="G126" s="44" t="inlineStr">
        <is>
          <t>RWORK-0057</t>
        </is>
      </c>
      <c r="H126" s="44" t="n"/>
      <c r="I126" s="41" t="inlineStr">
        <is>
          <t>Высокая</t>
        </is>
      </c>
      <c r="J126" s="41" t="inlineStr">
        <is>
          <t>Imported</t>
        </is>
      </c>
      <c r="K126" s="41" t="inlineStr">
        <is>
          <t>Нет</t>
        </is>
      </c>
      <c r="L126" s="45" t="inlineStr">
        <is>
          <t>Нормализовано под генератор КП</t>
        </is>
      </c>
    </row>
    <row r="127">
      <c r="A127" s="42" t="inlineStr">
        <is>
          <t>SRC-0126</t>
        </is>
      </c>
      <c r="B127" s="42" t="inlineStr">
        <is>
          <t>Монтаж каркаса на бетонную стенку</t>
        </is>
      </c>
      <c r="C127" s="42" t="inlineStr">
        <is>
          <t>PRICE_MASTER/RAW_LINES</t>
        </is>
      </c>
      <c r="D127" s="42" t="n">
        <v>127</v>
      </c>
      <c r="E127" s="42" t="inlineStr">
        <is>
          <t>Мощение</t>
        </is>
      </c>
      <c r="F127" s="42" t="inlineStr">
        <is>
          <t>Work</t>
        </is>
      </c>
      <c r="G127" s="47" t="inlineStr">
        <is>
          <t>RWORK-0058</t>
        </is>
      </c>
      <c r="H127" s="47" t="n"/>
      <c r="I127" s="42" t="inlineStr">
        <is>
          <t>Высокая</t>
        </is>
      </c>
      <c r="J127" s="42" t="inlineStr">
        <is>
          <t>Imported</t>
        </is>
      </c>
      <c r="K127" s="42" t="inlineStr">
        <is>
          <t>Нет</t>
        </is>
      </c>
      <c r="L127" s="48" t="inlineStr">
        <is>
          <t>Нормализовано под генератор КП</t>
        </is>
      </c>
    </row>
    <row r="128">
      <c r="A128" s="41" t="inlineStr">
        <is>
          <t>SRC-0127</t>
        </is>
      </c>
      <c r="B128" s="41" t="inlineStr">
        <is>
          <t>Монтаж колодцев инспекционных d315мм</t>
        </is>
      </c>
      <c r="C128" s="41" t="inlineStr">
        <is>
          <t>PRICE_MASTER/RAW_LINES</t>
        </is>
      </c>
      <c r="D128" s="41" t="n">
        <v>128</v>
      </c>
      <c r="E128" s="41" t="inlineStr">
        <is>
          <t>ливневка</t>
        </is>
      </c>
      <c r="F128" s="41" t="inlineStr">
        <is>
          <t>Work</t>
        </is>
      </c>
      <c r="G128" s="44" t="inlineStr">
        <is>
          <t>RWORK-0059</t>
        </is>
      </c>
      <c r="H128" s="44" t="n"/>
      <c r="I128" s="41" t="inlineStr">
        <is>
          <t>Высокая</t>
        </is>
      </c>
      <c r="J128" s="41" t="inlineStr">
        <is>
          <t>Imported</t>
        </is>
      </c>
      <c r="K128" s="41" t="inlineStr">
        <is>
          <t>Нет</t>
        </is>
      </c>
      <c r="L128" s="45" t="inlineStr">
        <is>
          <t>Нормализовано под генератор КП</t>
        </is>
      </c>
    </row>
    <row r="129">
      <c r="A129" s="42" t="inlineStr">
        <is>
          <t>SRC-0128</t>
        </is>
      </c>
      <c r="B129" s="42" t="inlineStr">
        <is>
          <t>Монтаж лотков дождеприемных с решетками и отводами к ливневой канализации на раствор</t>
        </is>
      </c>
      <c r="C129" s="42" t="inlineStr">
        <is>
          <t>PRICE_MASTER/RAW_LINES</t>
        </is>
      </c>
      <c r="D129" s="42" t="n">
        <v>129</v>
      </c>
      <c r="E129" s="42" t="inlineStr">
        <is>
          <t>ливневка</t>
        </is>
      </c>
      <c r="F129" s="42" t="inlineStr">
        <is>
          <t>Work</t>
        </is>
      </c>
      <c r="G129" s="47" t="inlineStr">
        <is>
          <t>RWORK-0060</t>
        </is>
      </c>
      <c r="H129" s="47" t="n"/>
      <c r="I129" s="42" t="inlineStr">
        <is>
          <t>Высокая</t>
        </is>
      </c>
      <c r="J129" s="42" t="inlineStr">
        <is>
          <t>Imported</t>
        </is>
      </c>
      <c r="K129" s="42" t="inlineStr">
        <is>
          <t>Нет</t>
        </is>
      </c>
      <c r="L129" s="48" t="inlineStr">
        <is>
          <t>Нормализовано под генератор КП</t>
        </is>
      </c>
    </row>
    <row r="130">
      <c r="A130" s="41" t="inlineStr">
        <is>
          <t>SRC-0129</t>
        </is>
      </c>
      <c r="B130" s="41" t="inlineStr">
        <is>
          <t>Монтаж пескоуловителей на раствор</t>
        </is>
      </c>
      <c r="C130" s="41" t="inlineStr">
        <is>
          <t>PRICE_MASTER/RAW_LINES</t>
        </is>
      </c>
      <c r="D130" s="41" t="n">
        <v>130</v>
      </c>
      <c r="E130" s="41" t="inlineStr">
        <is>
          <t>ливневка</t>
        </is>
      </c>
      <c r="F130" s="41" t="inlineStr">
        <is>
          <t>Work</t>
        </is>
      </c>
      <c r="G130" s="44" t="inlineStr">
        <is>
          <t>RWORK-0061</t>
        </is>
      </c>
      <c r="H130" s="44" t="n"/>
      <c r="I130" s="41" t="inlineStr">
        <is>
          <t>Высокая</t>
        </is>
      </c>
      <c r="J130" s="41" t="inlineStr">
        <is>
          <t>Imported</t>
        </is>
      </c>
      <c r="K130" s="41" t="inlineStr">
        <is>
          <t>Нет</t>
        </is>
      </c>
      <c r="L130" s="45" t="inlineStr">
        <is>
          <t>Нормализовано под генератор КП</t>
        </is>
      </c>
    </row>
    <row r="131">
      <c r="A131" s="42" t="inlineStr">
        <is>
          <t>SRC-0130</t>
        </is>
      </c>
      <c r="B131" s="42" t="inlineStr">
        <is>
          <t>Монтаж светильников накладных на столбы - въездная зона</t>
        </is>
      </c>
      <c r="C131" s="42" t="inlineStr">
        <is>
          <t>PRICE_MASTER/RAW_LINES</t>
        </is>
      </c>
      <c r="D131" s="42" t="n">
        <v>131</v>
      </c>
      <c r="E131" s="42" t="inlineStr">
        <is>
          <t>Освещение</t>
        </is>
      </c>
      <c r="F131" s="42" t="inlineStr">
        <is>
          <t>Work</t>
        </is>
      </c>
      <c r="G131" s="47" t="inlineStr">
        <is>
          <t>RWORK-0062</t>
        </is>
      </c>
      <c r="H131" s="47" t="n"/>
      <c r="I131" s="42" t="inlineStr">
        <is>
          <t>Высокая</t>
        </is>
      </c>
      <c r="J131" s="42" t="inlineStr">
        <is>
          <t>Imported</t>
        </is>
      </c>
      <c r="K131" s="42" t="inlineStr">
        <is>
          <t>Нет</t>
        </is>
      </c>
      <c r="L131" s="48" t="inlineStr">
        <is>
          <t>Нормализовано под генератор КП</t>
        </is>
      </c>
    </row>
    <row r="132">
      <c r="A132" s="41" t="inlineStr">
        <is>
          <t>SRC-0131</t>
        </is>
      </c>
      <c r="B132" s="41" t="inlineStr">
        <is>
          <t>Монтаж светильников столбиков, розеток</t>
        </is>
      </c>
      <c r="C132" s="41" t="inlineStr">
        <is>
          <t>PRICE_MASTER/RAW_LINES</t>
        </is>
      </c>
      <c r="D132" s="41" t="n">
        <v>132</v>
      </c>
      <c r="E132" s="41" t="inlineStr">
        <is>
          <t>Освещение</t>
        </is>
      </c>
      <c r="F132" s="41" t="inlineStr">
        <is>
          <t>Work</t>
        </is>
      </c>
      <c r="G132" s="44" t="inlineStr">
        <is>
          <t>RWORK-0063</t>
        </is>
      </c>
      <c r="H132" s="44" t="n"/>
      <c r="I132" s="41" t="inlineStr">
        <is>
          <t>Высокая</t>
        </is>
      </c>
      <c r="J132" s="41" t="inlineStr">
        <is>
          <t>Imported</t>
        </is>
      </c>
      <c r="K132" s="41" t="inlineStr">
        <is>
          <t>Нет</t>
        </is>
      </c>
      <c r="L132" s="45" t="inlineStr">
        <is>
          <t>Нормализовано под генератор КП</t>
        </is>
      </c>
    </row>
    <row r="133">
      <c r="A133" s="42" t="inlineStr">
        <is>
          <t>SRC-0132</t>
        </is>
      </c>
      <c r="B133" s="42" t="inlineStr">
        <is>
          <t>Монтаж/демонтаж опалубки</t>
        </is>
      </c>
      <c r="C133" s="42" t="inlineStr">
        <is>
          <t>PRICE_MASTER/RAW_LINES</t>
        </is>
      </c>
      <c r="D133" s="42" t="n">
        <v>133</v>
      </c>
      <c r="E133" s="42" t="inlineStr">
        <is>
          <t>Мощение</t>
        </is>
      </c>
      <c r="F133" s="42" t="inlineStr">
        <is>
          <t>Work</t>
        </is>
      </c>
      <c r="G133" s="47" t="inlineStr">
        <is>
          <t>RWORK-0064</t>
        </is>
      </c>
      <c r="H133" s="47" t="n"/>
      <c r="I133" s="42" t="inlineStr">
        <is>
          <t>Высокая</t>
        </is>
      </c>
      <c r="J133" s="42" t="inlineStr">
        <is>
          <t>Imported</t>
        </is>
      </c>
      <c r="K133" s="42" t="inlineStr">
        <is>
          <t>Нет</t>
        </is>
      </c>
      <c r="L133" s="48" t="inlineStr">
        <is>
          <t>Нормализовано под генератор КП</t>
        </is>
      </c>
    </row>
    <row r="134">
      <c r="A134" s="41" t="inlineStr">
        <is>
          <t>SRC-0133</t>
        </is>
      </c>
      <c r="B134" s="41" t="inlineStr">
        <is>
          <t>Монтаж/демонтаж опалубки</t>
        </is>
      </c>
      <c r="C134" s="41" t="inlineStr">
        <is>
          <t>PRICE_MASTER/RAW_LINES</t>
        </is>
      </c>
      <c r="D134" s="41" t="n">
        <v>134</v>
      </c>
      <c r="E134" s="41" t="inlineStr">
        <is>
          <t>ступени</t>
        </is>
      </c>
      <c r="F134" s="41" t="inlineStr">
        <is>
          <t>Work</t>
        </is>
      </c>
      <c r="G134" s="44" t="inlineStr">
        <is>
          <t>RWORK-0065</t>
        </is>
      </c>
      <c r="H134" s="44" t="n"/>
      <c r="I134" s="41" t="inlineStr">
        <is>
          <t>Высокая</t>
        </is>
      </c>
      <c r="J134" s="41" t="inlineStr">
        <is>
          <t>Imported</t>
        </is>
      </c>
      <c r="K134" s="41" t="inlineStr">
        <is>
          <t>Нет</t>
        </is>
      </c>
      <c r="L134" s="45" t="inlineStr">
        <is>
          <t>Нормализовано под генератор КП</t>
        </is>
      </c>
    </row>
    <row r="135">
      <c r="A135" s="42" t="inlineStr">
        <is>
          <t>SRC-0134</t>
        </is>
      </c>
      <c r="B135" s="42" t="inlineStr">
        <is>
          <t>Мощение брусчаткой габбро 100*80*50мм на отсев (пешеходная часть)</t>
        </is>
      </c>
      <c r="C135" s="42" t="inlineStr">
        <is>
          <t>PRICE_MASTER/RAW_LINES</t>
        </is>
      </c>
      <c r="D135" s="42" t="n">
        <v>135</v>
      </c>
      <c r="E135" s="42" t="inlineStr">
        <is>
          <t>Мощение</t>
        </is>
      </c>
      <c r="F135" s="42" t="inlineStr">
        <is>
          <t>Work</t>
        </is>
      </c>
      <c r="G135" s="47" t="inlineStr">
        <is>
          <t>RWORK-0066</t>
        </is>
      </c>
      <c r="H135" s="47" t="n"/>
      <c r="I135" s="42" t="inlineStr">
        <is>
          <t>Высокая</t>
        </is>
      </c>
      <c r="J135" s="42" t="inlineStr">
        <is>
          <t>Imported</t>
        </is>
      </c>
      <c r="K135" s="42" t="inlineStr">
        <is>
          <t>Нет</t>
        </is>
      </c>
      <c r="L135" s="48" t="inlineStr">
        <is>
          <t>Нормализовано под генератор КП</t>
        </is>
      </c>
    </row>
    <row r="136">
      <c r="A136" s="41" t="inlineStr">
        <is>
          <t>SRC-0135</t>
        </is>
      </c>
      <c r="B136" s="41" t="inlineStr">
        <is>
          <t>Мощение брусчаткой габбро 80*80*80мм на отсев (проезжая часть)</t>
        </is>
      </c>
      <c r="C136" s="41" t="inlineStr">
        <is>
          <t>PRICE_MASTER/RAW_LINES</t>
        </is>
      </c>
      <c r="D136" s="41" t="n">
        <v>136</v>
      </c>
      <c r="E136" s="41" t="inlineStr">
        <is>
          <t>Мощение</t>
        </is>
      </c>
      <c r="F136" s="41" t="inlineStr">
        <is>
          <t>Work</t>
        </is>
      </c>
      <c r="G136" s="44" t="inlineStr">
        <is>
          <t>RWORK-0067</t>
        </is>
      </c>
      <c r="H136" s="44" t="n"/>
      <c r="I136" s="41" t="inlineStr">
        <is>
          <t>Высокая</t>
        </is>
      </c>
      <c r="J136" s="41" t="inlineStr">
        <is>
          <t>Imported</t>
        </is>
      </c>
      <c r="K136" s="41" t="inlineStr">
        <is>
          <t>Нет</t>
        </is>
      </c>
      <c r="L136" s="45" t="inlineStr">
        <is>
          <t>Нормализовано под генератор КП</t>
        </is>
      </c>
    </row>
    <row r="137">
      <c r="A137" s="42" t="inlineStr">
        <is>
          <t>SRC-0136</t>
        </is>
      </c>
      <c r="B137" s="42" t="inlineStr">
        <is>
          <t>Мощение брусчаткой пиленной из шунгитного сланца на отсев</t>
        </is>
      </c>
      <c r="C137" s="42" t="inlineStr">
        <is>
          <t>PRICE_MASTER/RAW_LINES</t>
        </is>
      </c>
      <c r="D137" s="42" t="n">
        <v>137</v>
      </c>
      <c r="E137" s="42" t="inlineStr">
        <is>
          <t>Мощение</t>
        </is>
      </c>
      <c r="F137" s="42" t="inlineStr">
        <is>
          <t>Work</t>
        </is>
      </c>
      <c r="G137" s="47" t="inlineStr">
        <is>
          <t>RWORK-0068</t>
        </is>
      </c>
      <c r="H137" s="47" t="n"/>
      <c r="I137" s="42" t="inlineStr">
        <is>
          <t>Высокая</t>
        </is>
      </c>
      <c r="J137" s="42" t="inlineStr">
        <is>
          <t>Imported</t>
        </is>
      </c>
      <c r="K137" s="42" t="inlineStr">
        <is>
          <t>Нет</t>
        </is>
      </c>
      <c r="L137" s="48" t="inlineStr">
        <is>
          <t>Нормализовано под генератор КП</t>
        </is>
      </c>
    </row>
    <row r="138">
      <c r="A138" s="41" t="inlineStr">
        <is>
          <t>SRC-0137</t>
        </is>
      </c>
      <c r="B138" s="41" t="inlineStr">
        <is>
          <t>Мощение гранитной брусчаткой (без рисунка)</t>
        </is>
      </c>
      <c r="C138" s="41" t="inlineStr">
        <is>
          <t>PRICE_MASTER/RAW_LINES</t>
        </is>
      </c>
      <c r="D138" s="41" t="n">
        <v>138</v>
      </c>
      <c r="E138" s="41" t="inlineStr">
        <is>
          <t>Мощение</t>
        </is>
      </c>
      <c r="F138" s="41" t="inlineStr">
        <is>
          <t>Work</t>
        </is>
      </c>
      <c r="G138" s="44" t="inlineStr">
        <is>
          <t>RWORK-0069</t>
        </is>
      </c>
      <c r="H138" s="44" t="n"/>
      <c r="I138" s="41" t="inlineStr">
        <is>
          <t>Высокая</t>
        </is>
      </c>
      <c r="J138" s="41" t="inlineStr">
        <is>
          <t>Imported</t>
        </is>
      </c>
      <c r="K138" s="41" t="inlineStr">
        <is>
          <t>Нет</t>
        </is>
      </c>
      <c r="L138" s="45" t="inlineStr">
        <is>
          <t>Нормализовано под генератор КП</t>
        </is>
      </c>
    </row>
    <row r="139">
      <c r="A139" s="42" t="inlineStr">
        <is>
          <t>SRC-0138</t>
        </is>
      </c>
      <c r="B139" s="42" t="inlineStr">
        <is>
          <t>Мощение колотым амфиболитом</t>
        </is>
      </c>
      <c r="C139" s="42" t="inlineStr">
        <is>
          <t>PRICE_MASTER/RAW_LINES</t>
        </is>
      </c>
      <c r="D139" s="42" t="n">
        <v>139</v>
      </c>
      <c r="E139" s="42" t="inlineStr">
        <is>
          <t>Мощение</t>
        </is>
      </c>
      <c r="F139" s="42" t="inlineStr">
        <is>
          <t>Work</t>
        </is>
      </c>
      <c r="G139" s="47" t="inlineStr">
        <is>
          <t>RWORK-0070</t>
        </is>
      </c>
      <c r="H139" s="47" t="n"/>
      <c r="I139" s="42" t="inlineStr">
        <is>
          <t>Высокая</t>
        </is>
      </c>
      <c r="J139" s="42" t="inlineStr">
        <is>
          <t>Imported</t>
        </is>
      </c>
      <c r="K139" s="42" t="inlineStr">
        <is>
          <t>Нет</t>
        </is>
      </c>
      <c r="L139" s="48" t="inlineStr">
        <is>
          <t>Нормализовано под генератор КП</t>
        </is>
      </c>
    </row>
    <row r="140">
      <c r="A140" s="41" t="inlineStr">
        <is>
          <t>SRC-0139</t>
        </is>
      </c>
      <c r="B140" s="41" t="inlineStr">
        <is>
          <t>Мощение пилено-колотрой гранитной брусчаткой 100х100х50мм</t>
        </is>
      </c>
      <c r="C140" s="41" t="inlineStr">
        <is>
          <t>PRICE_MASTER/RAW_LINES</t>
        </is>
      </c>
      <c r="D140" s="41" t="n">
        <v>140</v>
      </c>
      <c r="E140" s="41" t="inlineStr">
        <is>
          <t>Мощение</t>
        </is>
      </c>
      <c r="F140" s="41" t="inlineStr">
        <is>
          <t>Work</t>
        </is>
      </c>
      <c r="G140" s="44" t="inlineStr">
        <is>
          <t>RWORK-0071</t>
        </is>
      </c>
      <c r="H140" s="44" t="n"/>
      <c r="I140" s="41" t="inlineStr">
        <is>
          <t>Высокая</t>
        </is>
      </c>
      <c r="J140" s="41" t="inlineStr">
        <is>
          <t>Imported</t>
        </is>
      </c>
      <c r="K140" s="41" t="inlineStr">
        <is>
          <t>Нет</t>
        </is>
      </c>
      <c r="L140" s="45" t="inlineStr">
        <is>
          <t>Нормализовано под генератор КП</t>
        </is>
      </c>
    </row>
    <row r="141">
      <c r="A141" s="42" t="inlineStr">
        <is>
          <t>SRC-0140</t>
        </is>
      </c>
      <c r="B141" s="42" t="inlineStr">
        <is>
          <t>Мощение плитами</t>
        </is>
      </c>
      <c r="C141" s="42" t="inlineStr">
        <is>
          <t>PRICE_MASTER/RAW_LINES</t>
        </is>
      </c>
      <c r="D141" s="42" t="n">
        <v>141</v>
      </c>
      <c r="E141" s="42" t="inlineStr">
        <is>
          <t>Мощение</t>
        </is>
      </c>
      <c r="F141" s="42" t="inlineStr">
        <is>
          <t>Work</t>
        </is>
      </c>
      <c r="G141" s="47" t="inlineStr">
        <is>
          <t>RWORK-0072</t>
        </is>
      </c>
      <c r="H141" s="47" t="n"/>
      <c r="I141" s="42" t="inlineStr">
        <is>
          <t>Высокая</t>
        </is>
      </c>
      <c r="J141" s="42" t="inlineStr">
        <is>
          <t>Imported</t>
        </is>
      </c>
      <c r="K141" s="42" t="inlineStr">
        <is>
          <t>Нет</t>
        </is>
      </c>
      <c r="L141" s="48" t="inlineStr">
        <is>
          <t>Нормализовано под генератор КП</t>
        </is>
      </c>
    </row>
    <row r="142">
      <c r="A142" s="41" t="inlineStr">
        <is>
          <t>SRC-0141</t>
        </is>
      </c>
      <c r="B142" s="41" t="inlineStr">
        <is>
          <t>Мощение плитами согласно схеме раскладки</t>
        </is>
      </c>
      <c r="C142" s="41" t="inlineStr">
        <is>
          <t>PRICE_MASTER/RAW_LINES</t>
        </is>
      </c>
      <c r="D142" s="41" t="n">
        <v>142</v>
      </c>
      <c r="E142" s="41" t="inlineStr">
        <is>
          <t>Мощение</t>
        </is>
      </c>
      <c r="F142" s="41" t="inlineStr">
        <is>
          <t>Work</t>
        </is>
      </c>
      <c r="G142" s="44" t="inlineStr">
        <is>
          <t>RWORK-0073</t>
        </is>
      </c>
      <c r="H142" s="44" t="n"/>
      <c r="I142" s="41" t="inlineStr">
        <is>
          <t>Высокая</t>
        </is>
      </c>
      <c r="J142" s="41" t="inlineStr">
        <is>
          <t>Imported</t>
        </is>
      </c>
      <c r="K142" s="41" t="inlineStr">
        <is>
          <t>Нет</t>
        </is>
      </c>
      <c r="L142" s="45" t="inlineStr">
        <is>
          <t>Нормализовано под генератор КП</t>
        </is>
      </c>
    </row>
    <row r="143">
      <c r="A143" s="42" t="inlineStr">
        <is>
          <t>SRC-0142</t>
        </is>
      </c>
      <c r="B143" s="42" t="inlineStr">
        <is>
          <t>Мощение ТБП</t>
        </is>
      </c>
      <c r="C143" s="42" t="inlineStr">
        <is>
          <t>PRICE_MASTER/RAW_LINES</t>
        </is>
      </c>
      <c r="D143" s="42" t="n">
        <v>143</v>
      </c>
      <c r="E143" s="42" t="inlineStr">
        <is>
          <t>Мощение</t>
        </is>
      </c>
      <c r="F143" s="42" t="inlineStr">
        <is>
          <t>Work</t>
        </is>
      </c>
      <c r="G143" s="47" t="inlineStr">
        <is>
          <t>RWORK-0074</t>
        </is>
      </c>
      <c r="H143" s="47" t="n"/>
      <c r="I143" s="42" t="inlineStr">
        <is>
          <t>Высокая</t>
        </is>
      </c>
      <c r="J143" s="42" t="inlineStr">
        <is>
          <t>Imported</t>
        </is>
      </c>
      <c r="K143" s="42" t="inlineStr">
        <is>
          <t>Нет</t>
        </is>
      </c>
      <c r="L143" s="48" t="inlineStr">
        <is>
          <t>Нормализовано под генератор КП</t>
        </is>
      </c>
    </row>
    <row r="144">
      <c r="A144" s="41" t="inlineStr">
        <is>
          <t>SRC-0143</t>
        </is>
      </c>
      <c r="B144" s="41" t="inlineStr">
        <is>
          <t>Мощение ТБП</t>
        </is>
      </c>
      <c r="C144" s="41" t="inlineStr">
        <is>
          <t>PRICE_MASTER/RAW_LINES</t>
        </is>
      </c>
      <c r="D144" s="41" t="n">
        <v>144</v>
      </c>
      <c r="E144" s="41" t="inlineStr">
        <is>
          <t>Мощение</t>
        </is>
      </c>
      <c r="F144" s="41" t="inlineStr">
        <is>
          <t>Work</t>
        </is>
      </c>
      <c r="G144" s="44" t="inlineStr">
        <is>
          <t>RWORK-0074</t>
        </is>
      </c>
      <c r="H144" s="44" t="n"/>
      <c r="I144" s="41" t="inlineStr">
        <is>
          <t>Высокая</t>
        </is>
      </c>
      <c r="J144" s="41" t="inlineStr">
        <is>
          <t>Imported</t>
        </is>
      </c>
      <c r="K144" s="41" t="inlineStr">
        <is>
          <t>Нет</t>
        </is>
      </c>
      <c r="L144" s="45" t="inlineStr">
        <is>
          <t>Нормализовано под генератор КП</t>
        </is>
      </c>
    </row>
    <row r="145">
      <c r="A145" s="42" t="inlineStr">
        <is>
          <t>SRC-0144</t>
        </is>
      </c>
      <c r="B145" s="42" t="inlineStr">
        <is>
          <t>Мощение ТБП 60мм</t>
        </is>
      </c>
      <c r="C145" s="42" t="inlineStr">
        <is>
          <t>PRICE_MASTER/RAW_LINES</t>
        </is>
      </c>
      <c r="D145" s="42" t="n">
        <v>145</v>
      </c>
      <c r="E145" s="42" t="inlineStr">
        <is>
          <t>Мощение</t>
        </is>
      </c>
      <c r="F145" s="42" t="inlineStr">
        <is>
          <t>Work</t>
        </is>
      </c>
      <c r="G145" s="47" t="inlineStr">
        <is>
          <t>RWORK-0075</t>
        </is>
      </c>
      <c r="H145" s="47" t="n"/>
      <c r="I145" s="42" t="inlineStr">
        <is>
          <t>Высокая</t>
        </is>
      </c>
      <c r="J145" s="42" t="inlineStr">
        <is>
          <t>Imported</t>
        </is>
      </c>
      <c r="K145" s="42" t="inlineStr">
        <is>
          <t>Нет</t>
        </is>
      </c>
      <c r="L145" s="48" t="inlineStr">
        <is>
          <t>Нормализовано под генератор КП</t>
        </is>
      </c>
    </row>
    <row r="146">
      <c r="A146" s="41" t="inlineStr">
        <is>
          <t>SRC-0145</t>
        </is>
      </c>
      <c r="B146" s="41" t="inlineStr">
        <is>
          <t>Мощение шунгитным сланцем, рваным</t>
        </is>
      </c>
      <c r="C146" s="41" t="inlineStr">
        <is>
          <t>PRICE_MASTER/RAW_LINES</t>
        </is>
      </c>
      <c r="D146" s="41" t="n">
        <v>146</v>
      </c>
      <c r="E146" s="41" t="inlineStr">
        <is>
          <t>Мощение</t>
        </is>
      </c>
      <c r="F146" s="41" t="inlineStr">
        <is>
          <t>Work</t>
        </is>
      </c>
      <c r="G146" s="44" t="inlineStr">
        <is>
          <t>RWORK-0076</t>
        </is>
      </c>
      <c r="H146" s="44" t="n"/>
      <c r="I146" s="41" t="inlineStr">
        <is>
          <t>Высокая</t>
        </is>
      </c>
      <c r="J146" s="41" t="inlineStr">
        <is>
          <t>Imported</t>
        </is>
      </c>
      <c r="K146" s="41" t="inlineStr">
        <is>
          <t>Нет</t>
        </is>
      </c>
      <c r="L146" s="45" t="inlineStr">
        <is>
          <t>Нормализовано под генератор КП</t>
        </is>
      </c>
    </row>
    <row r="147">
      <c r="A147" s="42" t="inlineStr">
        <is>
          <t>SRC-0146</t>
        </is>
      </c>
      <c r="B147" s="42" t="inlineStr">
        <is>
          <t>Муфта d110мм для врезки в колодец</t>
        </is>
      </c>
      <c r="C147" s="42" t="inlineStr">
        <is>
          <t>PRICE_MASTER/RAW_LINES</t>
        </is>
      </c>
      <c r="D147" s="42" t="n">
        <v>147</v>
      </c>
      <c r="E147" s="42" t="inlineStr">
        <is>
          <t>ливневка</t>
        </is>
      </c>
      <c r="F147" s="42" t="inlineStr">
        <is>
          <t>Material</t>
        </is>
      </c>
      <c r="G147" s="47" t="inlineStr">
        <is>
          <t>RMAT-0069</t>
        </is>
      </c>
      <c r="H147" s="47" t="inlineStr">
        <is>
          <t>MV-0069</t>
        </is>
      </c>
      <c r="I147" s="42" t="inlineStr">
        <is>
          <t>Высокая</t>
        </is>
      </c>
      <c r="J147" s="42" t="inlineStr">
        <is>
          <t>Imported</t>
        </is>
      </c>
      <c r="K147" s="42" t="inlineStr">
        <is>
          <t>Нет</t>
        </is>
      </c>
      <c r="L147" s="48" t="inlineStr">
        <is>
          <t>Нормализовано под генератор КП</t>
        </is>
      </c>
    </row>
    <row r="148">
      <c r="A148" s="41" t="inlineStr">
        <is>
          <t>SRC-0147</t>
        </is>
      </c>
      <c r="B148" s="41" t="inlineStr">
        <is>
          <t>Муфта d160мм для врезки в колодец</t>
        </is>
      </c>
      <c r="C148" s="41" t="inlineStr">
        <is>
          <t>PRICE_MASTER/RAW_LINES</t>
        </is>
      </c>
      <c r="D148" s="41" t="n">
        <v>148</v>
      </c>
      <c r="E148" s="41" t="inlineStr">
        <is>
          <t>ливневка</t>
        </is>
      </c>
      <c r="F148" s="41" t="inlineStr">
        <is>
          <t>Material</t>
        </is>
      </c>
      <c r="G148" s="44" t="inlineStr">
        <is>
          <t>RMAT-0070</t>
        </is>
      </c>
      <c r="H148" s="44" t="inlineStr">
        <is>
          <t>MV-0070</t>
        </is>
      </c>
      <c r="I148" s="41" t="inlineStr">
        <is>
          <t>Высокая</t>
        </is>
      </c>
      <c r="J148" s="41" t="inlineStr">
        <is>
          <t>Imported</t>
        </is>
      </c>
      <c r="K148" s="41" t="inlineStr">
        <is>
          <t>Нет</t>
        </is>
      </c>
      <c r="L148" s="45" t="inlineStr">
        <is>
          <t>Нормализовано под генератор КП</t>
        </is>
      </c>
    </row>
    <row r="149">
      <c r="A149" s="49" t="inlineStr">
        <is>
          <t>SRC-0148</t>
        </is>
      </c>
      <c r="B149" s="49" t="inlineStr">
        <is>
          <t>Накладные расходы (расходные материалы, комплектация заказов, зарплата АУП и пр.)</t>
        </is>
      </c>
      <c r="C149" s="49" t="inlineStr">
        <is>
          <t>PRICE_MASTER/RAW_LINES</t>
        </is>
      </c>
      <c r="D149" s="49" t="n">
        <v>149</v>
      </c>
      <c r="E149" s="49" t="inlineStr">
        <is>
          <t>%</t>
        </is>
      </c>
      <c r="F149" s="49" t="inlineStr">
        <is>
          <t>Work</t>
        </is>
      </c>
      <c r="G149" s="51" t="inlineStr">
        <is>
          <t>RWORK-0077</t>
        </is>
      </c>
      <c r="H149" s="51" t="n"/>
      <c r="I149" s="49" t="inlineStr">
        <is>
          <t>Высокая</t>
        </is>
      </c>
      <c r="J149" s="49" t="inlineStr">
        <is>
          <t>Imported</t>
        </is>
      </c>
      <c r="K149" s="49" t="inlineStr">
        <is>
          <t>Да</t>
        </is>
      </c>
      <c r="L149" s="52" t="inlineStr">
        <is>
          <t>Для клиентской версии КП не выводить отдельной строкой</t>
        </is>
      </c>
    </row>
    <row r="150">
      <c r="A150" s="41" t="inlineStr">
        <is>
          <t>SRC-0149</t>
        </is>
      </c>
      <c r="B150" s="41" t="inlineStr">
        <is>
          <t>Обратная засыпка грунта</t>
        </is>
      </c>
      <c r="C150" s="41" t="inlineStr">
        <is>
          <t>PRICE_MASTER/RAW_LINES</t>
        </is>
      </c>
      <c r="D150" s="41" t="n">
        <v>150</v>
      </c>
      <c r="E150" s="41" t="inlineStr">
        <is>
          <t>Закладные</t>
        </is>
      </c>
      <c r="F150" s="41" t="inlineStr">
        <is>
          <t>Work</t>
        </is>
      </c>
      <c r="G150" s="44" t="inlineStr">
        <is>
          <t>RWORK-0078</t>
        </is>
      </c>
      <c r="H150" s="44" t="n"/>
      <c r="I150" s="41" t="inlineStr">
        <is>
          <t>Высокая</t>
        </is>
      </c>
      <c r="J150" s="41" t="inlineStr">
        <is>
          <t>Imported</t>
        </is>
      </c>
      <c r="K150" s="41" t="inlineStr">
        <is>
          <t>Нет</t>
        </is>
      </c>
      <c r="L150" s="45" t="inlineStr">
        <is>
          <t>Нормализовано под генератор КП</t>
        </is>
      </c>
    </row>
    <row r="151">
      <c r="A151" s="42" t="inlineStr">
        <is>
          <t>SRC-0150</t>
        </is>
      </c>
      <c r="B151" s="42" t="inlineStr">
        <is>
          <t>Обратная засыпка с послойной трамбовкой вручную</t>
        </is>
      </c>
      <c r="C151" s="42" t="inlineStr">
        <is>
          <t>PRICE_MASTER/RAW_LINES</t>
        </is>
      </c>
      <c r="D151" s="42" t="n">
        <v>151</v>
      </c>
      <c r="E151" s="42" t="inlineStr">
        <is>
          <t>Мощение</t>
        </is>
      </c>
      <c r="F151" s="42" t="inlineStr">
        <is>
          <t>Work</t>
        </is>
      </c>
      <c r="G151" s="47" t="inlineStr">
        <is>
          <t>RWORK-0079</t>
        </is>
      </c>
      <c r="H151" s="47" t="n"/>
      <c r="I151" s="42" t="inlineStr">
        <is>
          <t>Высокая</t>
        </is>
      </c>
      <c r="J151" s="42" t="inlineStr">
        <is>
          <t>Imported</t>
        </is>
      </c>
      <c r="K151" s="42" t="inlineStr">
        <is>
          <t>Нет</t>
        </is>
      </c>
      <c r="L151" s="48" t="inlineStr">
        <is>
          <t>Нормализовано под генератор КП</t>
        </is>
      </c>
    </row>
    <row r="152">
      <c r="A152" s="41" t="inlineStr">
        <is>
          <t>SRC-0151</t>
        </is>
      </c>
      <c r="B152" s="41" t="inlineStr">
        <is>
          <t>Обратная засыпка траншеи после прокладки кабеля</t>
        </is>
      </c>
      <c r="C152" s="41" t="inlineStr">
        <is>
          <t>PRICE_MASTER/RAW_LINES</t>
        </is>
      </c>
      <c r="D152" s="41" t="n">
        <v>152</v>
      </c>
      <c r="E152" s="41" t="inlineStr">
        <is>
          <t>Освещение</t>
        </is>
      </c>
      <c r="F152" s="41" t="inlineStr">
        <is>
          <t>Work</t>
        </is>
      </c>
      <c r="G152" s="44" t="inlineStr">
        <is>
          <t>RWORK-0080</t>
        </is>
      </c>
      <c r="H152" s="44" t="n"/>
      <c r="I152" s="41" t="inlineStr">
        <is>
          <t>Высокая</t>
        </is>
      </c>
      <c r="J152" s="41" t="inlineStr">
        <is>
          <t>Imported</t>
        </is>
      </c>
      <c r="K152" s="41" t="inlineStr">
        <is>
          <t>Нет</t>
        </is>
      </c>
      <c r="L152" s="45" t="inlineStr">
        <is>
          <t>Нормализовано под генератор КП</t>
        </is>
      </c>
    </row>
    <row r="153">
      <c r="A153" s="42" t="inlineStr">
        <is>
          <t>SRC-0152</t>
        </is>
      </c>
      <c r="B153" s="42" t="inlineStr">
        <is>
          <t>Обрезка краев газона криволинейная</t>
        </is>
      </c>
      <c r="C153" s="42" t="inlineStr">
        <is>
          <t>PRICE_MASTER/RAW_LINES</t>
        </is>
      </c>
      <c r="D153" s="42" t="n">
        <v>153</v>
      </c>
      <c r="E153" s="42" t="inlineStr">
        <is>
          <t>газон</t>
        </is>
      </c>
      <c r="F153" s="42" t="inlineStr">
        <is>
          <t>Work</t>
        </is>
      </c>
      <c r="G153" s="47" t="inlineStr">
        <is>
          <t>RWORK-0081</t>
        </is>
      </c>
      <c r="H153" s="47" t="n"/>
      <c r="I153" s="42" t="inlineStr">
        <is>
          <t>Высокая</t>
        </is>
      </c>
      <c r="J153" s="42" t="inlineStr">
        <is>
          <t>Imported</t>
        </is>
      </c>
      <c r="K153" s="42" t="inlineStr">
        <is>
          <t>Нет</t>
        </is>
      </c>
      <c r="L153" s="48" t="inlineStr">
        <is>
          <t>Нормализовано под генератор КП</t>
        </is>
      </c>
    </row>
    <row r="154">
      <c r="A154" s="41" t="inlineStr">
        <is>
          <t>SRC-0153</t>
        </is>
      </c>
      <c r="B154" s="41" t="inlineStr">
        <is>
          <t>Обрезка плодовых деревьев (май и сентябрь)</t>
        </is>
      </c>
      <c r="C154" s="41" t="inlineStr">
        <is>
          <t>PRICE_MASTER/RAW_LINES</t>
        </is>
      </c>
      <c r="D154" s="41" t="n">
        <v>154</v>
      </c>
      <c r="E154" s="41" t="inlineStr">
        <is>
          <t>Дополнительные работы.</t>
        </is>
      </c>
      <c r="F154" s="41" t="inlineStr">
        <is>
          <t>Work</t>
        </is>
      </c>
      <c r="G154" s="44" t="inlineStr">
        <is>
          <t>RWORK-0082</t>
        </is>
      </c>
      <c r="H154" s="44" t="n"/>
      <c r="I154" s="41" t="inlineStr">
        <is>
          <t>Высокая</t>
        </is>
      </c>
      <c r="J154" s="41" t="inlineStr">
        <is>
          <t>Imported</t>
        </is>
      </c>
      <c r="K154" s="41" t="inlineStr">
        <is>
          <t>Нет</t>
        </is>
      </c>
      <c r="L154" s="45" t="inlineStr">
        <is>
          <t>Перенесено из мусорной категории "Дополнительные работы."</t>
        </is>
      </c>
    </row>
    <row r="155">
      <c r="A155" s="42" t="inlineStr">
        <is>
          <t>SRC-0154</t>
        </is>
      </c>
      <c r="B155" s="42" t="inlineStr">
        <is>
          <t>окраска в цвет по RAL</t>
        </is>
      </c>
      <c r="C155" s="42" t="inlineStr">
        <is>
          <t>PRICE_MASTER/RAW_LINES</t>
        </is>
      </c>
      <c r="D155" s="42" t="n">
        <v>155</v>
      </c>
      <c r="E155" s="42" t="inlineStr">
        <is>
          <t>Мощение</t>
        </is>
      </c>
      <c r="F155" s="42" t="inlineStr">
        <is>
          <t>Work</t>
        </is>
      </c>
      <c r="G155" s="47" t="inlineStr">
        <is>
          <t>RWORK-0083</t>
        </is>
      </c>
      <c r="H155" s="47" t="n"/>
      <c r="I155" s="42" t="inlineStr">
        <is>
          <t>Высокая</t>
        </is>
      </c>
      <c r="J155" s="42" t="inlineStr">
        <is>
          <t>Imported</t>
        </is>
      </c>
      <c r="K155" s="42" t="inlineStr">
        <is>
          <t>Нет</t>
        </is>
      </c>
      <c r="L155" s="48" t="inlineStr">
        <is>
          <t>Нормализовано под генератор КП</t>
        </is>
      </c>
    </row>
    <row r="156">
      <c r="A156" s="41" t="inlineStr">
        <is>
          <t>SRC-0155</t>
        </is>
      </c>
      <c r="B156" s="41" t="inlineStr">
        <is>
          <t>Окраска доски в один слой с фасадной стороны и торцов</t>
        </is>
      </c>
      <c r="C156" s="41" t="inlineStr">
        <is>
          <t>PRICE_MASTER/RAW_LINES</t>
        </is>
      </c>
      <c r="D156" s="41" t="n">
        <v>156</v>
      </c>
      <c r="E156" s="41" t="inlineStr">
        <is>
          <t>Мощение</t>
        </is>
      </c>
      <c r="F156" s="41" t="inlineStr">
        <is>
          <t>Work</t>
        </is>
      </c>
      <c r="G156" s="44" t="inlineStr">
        <is>
          <t>RWORK-0084</t>
        </is>
      </c>
      <c r="H156" s="44" t="n"/>
      <c r="I156" s="41" t="inlineStr">
        <is>
          <t>Высокая</t>
        </is>
      </c>
      <c r="J156" s="41" t="inlineStr">
        <is>
          <t>Imported</t>
        </is>
      </c>
      <c r="K156" s="41" t="inlineStr">
        <is>
          <t>Нет</t>
        </is>
      </c>
      <c r="L156" s="45" t="inlineStr">
        <is>
          <t>Нормализовано под генератор КП</t>
        </is>
      </c>
    </row>
    <row r="157">
      <c r="A157" s="42" t="inlineStr">
        <is>
          <t>SRC-0156</t>
        </is>
      </c>
      <c r="B157" s="42" t="inlineStr">
        <is>
          <t>Опора ландшафтная для установки светильников в бетон</t>
        </is>
      </c>
      <c r="C157" s="42" t="inlineStr">
        <is>
          <t>PRICE_MASTER/RAW_LINES</t>
        </is>
      </c>
      <c r="D157" s="42" t="n">
        <v>157</v>
      </c>
      <c r="E157" s="42" t="inlineStr">
        <is>
          <t>Освещение</t>
        </is>
      </c>
      <c r="F157" s="42" t="inlineStr">
        <is>
          <t>Material</t>
        </is>
      </c>
      <c r="G157" s="47" t="inlineStr">
        <is>
          <t>RMAT-0071</t>
        </is>
      </c>
      <c r="H157" s="47" t="inlineStr">
        <is>
          <t>MV-0071</t>
        </is>
      </c>
      <c r="I157" s="42" t="inlineStr">
        <is>
          <t>Высокая</t>
        </is>
      </c>
      <c r="J157" s="42" t="inlineStr">
        <is>
          <t>Imported</t>
        </is>
      </c>
      <c r="K157" s="42" t="inlineStr">
        <is>
          <t>Нет</t>
        </is>
      </c>
      <c r="L157" s="48" t="inlineStr">
        <is>
          <t>Нормализовано под генератор КП</t>
        </is>
      </c>
    </row>
    <row r="158">
      <c r="A158" s="41" t="inlineStr">
        <is>
          <t>SRC-0157</t>
        </is>
      </c>
      <c r="B158" s="41" t="inlineStr">
        <is>
          <t>Отсев гранитный</t>
        </is>
      </c>
      <c r="C158" s="41" t="inlineStr">
        <is>
          <t>PRICE_MASTER/RAW_LINES</t>
        </is>
      </c>
      <c r="D158" s="41" t="n">
        <v>158</v>
      </c>
      <c r="E158" s="41" t="inlineStr">
        <is>
          <t>Мощение</t>
        </is>
      </c>
      <c r="F158" s="41" t="inlineStr">
        <is>
          <t>Material</t>
        </is>
      </c>
      <c r="G158" s="44" t="inlineStr">
        <is>
          <t>RMAT-0072</t>
        </is>
      </c>
      <c r="H158" s="44" t="inlineStr">
        <is>
          <t>MV-0072</t>
        </is>
      </c>
      <c r="I158" s="41" t="inlineStr">
        <is>
          <t>Высокая</t>
        </is>
      </c>
      <c r="J158" s="41" t="inlineStr">
        <is>
          <t>Imported</t>
        </is>
      </c>
      <c r="K158" s="41" t="inlineStr">
        <is>
          <t>Нет</t>
        </is>
      </c>
      <c r="L158" s="45" t="inlineStr">
        <is>
          <t>Нормализовано под генератор КП</t>
        </is>
      </c>
    </row>
    <row r="159">
      <c r="A159" s="42" t="inlineStr">
        <is>
          <t>SRC-0158</t>
        </is>
      </c>
      <c r="B159" s="42" t="inlineStr">
        <is>
          <t>Отсев гранитный 2-5мм</t>
        </is>
      </c>
      <c r="C159" s="42" t="inlineStr">
        <is>
          <t>PRICE_MASTER/RAW_LINES</t>
        </is>
      </c>
      <c r="D159" s="42" t="n">
        <v>159</v>
      </c>
      <c r="E159" s="42" t="inlineStr">
        <is>
          <t>Мощение</t>
        </is>
      </c>
      <c r="F159" s="42" t="inlineStr">
        <is>
          <t>Material</t>
        </is>
      </c>
      <c r="G159" s="47" t="inlineStr">
        <is>
          <t>RMAT-0073</t>
        </is>
      </c>
      <c r="H159" s="47" t="inlineStr">
        <is>
          <t>MV-0073</t>
        </is>
      </c>
      <c r="I159" s="42" t="inlineStr">
        <is>
          <t>Высокая</t>
        </is>
      </c>
      <c r="J159" s="42" t="inlineStr">
        <is>
          <t>Imported</t>
        </is>
      </c>
      <c r="K159" s="42" t="inlineStr">
        <is>
          <t>Нет</t>
        </is>
      </c>
      <c r="L159" s="48" t="inlineStr">
        <is>
          <t>Нормализовано под генератор КП</t>
        </is>
      </c>
    </row>
    <row r="160">
      <c r="A160" s="41" t="inlineStr">
        <is>
          <t>SRC-0159</t>
        </is>
      </c>
      <c r="B160" s="41" t="inlineStr">
        <is>
          <t>Отсев розовый 0-5мм, 50кг</t>
        </is>
      </c>
      <c r="C160" s="41" t="inlineStr">
        <is>
          <t>PRICE_MASTER/RAW_LINES</t>
        </is>
      </c>
      <c r="D160" s="41" t="n">
        <v>160</v>
      </c>
      <c r="E160" s="41" t="inlineStr">
        <is>
          <t>дренаж</t>
        </is>
      </c>
      <c r="F160" s="41" t="inlineStr">
        <is>
          <t>Material</t>
        </is>
      </c>
      <c r="G160" s="44" t="inlineStr">
        <is>
          <t>RMAT-0074</t>
        </is>
      </c>
      <c r="H160" s="44" t="inlineStr">
        <is>
          <t>MV-0074</t>
        </is>
      </c>
      <c r="I160" s="41" t="inlineStr">
        <is>
          <t>Высокая</t>
        </is>
      </c>
      <c r="J160" s="41" t="inlineStr">
        <is>
          <t>Imported</t>
        </is>
      </c>
      <c r="K160" s="41" t="inlineStr">
        <is>
          <t>Нет</t>
        </is>
      </c>
      <c r="L160" s="45" t="inlineStr">
        <is>
          <t>Нормализовано под генератор КП</t>
        </is>
      </c>
    </row>
    <row r="161">
      <c r="A161" s="42" t="inlineStr">
        <is>
          <t>SRC-0160</t>
        </is>
      </c>
      <c r="B161" s="42" t="inlineStr">
        <is>
          <t>Перекопка верхнего слоя почвы с выбором корневищ и мусора, внесением грунта и песка</t>
        </is>
      </c>
      <c r="C161" s="42" t="inlineStr">
        <is>
          <t>PRICE_MASTER/RAW_LINES</t>
        </is>
      </c>
      <c r="D161" s="42" t="n">
        <v>161</v>
      </c>
      <c r="E161" s="42" t="inlineStr">
        <is>
          <t>Земельные работы</t>
        </is>
      </c>
      <c r="F161" s="42" t="inlineStr">
        <is>
          <t>Work</t>
        </is>
      </c>
      <c r="G161" s="47" t="inlineStr">
        <is>
          <t>RWORK-0085</t>
        </is>
      </c>
      <c r="H161" s="47" t="n"/>
      <c r="I161" s="42" t="inlineStr">
        <is>
          <t>Высокая</t>
        </is>
      </c>
      <c r="J161" s="42" t="inlineStr">
        <is>
          <t>Imported</t>
        </is>
      </c>
      <c r="K161" s="42" t="inlineStr">
        <is>
          <t>Нет</t>
        </is>
      </c>
      <c r="L161" s="48" t="inlineStr">
        <is>
          <t>Нормализовано под генератор КП</t>
        </is>
      </c>
    </row>
    <row r="162">
      <c r="A162" s="41" t="inlineStr">
        <is>
          <t>SRC-0161</t>
        </is>
      </c>
      <c r="B162" s="41" t="inlineStr">
        <is>
          <t>Перекопка с внесением крупного песка и с дальнейшим выравниванием, выведением уклонов и уплотнением</t>
        </is>
      </c>
      <c r="C162" s="41" t="inlineStr">
        <is>
          <t>PRICE_MASTER/RAW_LINES</t>
        </is>
      </c>
      <c r="D162" s="41" t="n">
        <v>162</v>
      </c>
      <c r="E162" s="41" t="inlineStr">
        <is>
          <t>газон</t>
        </is>
      </c>
      <c r="F162" s="41" t="inlineStr">
        <is>
          <t>Work</t>
        </is>
      </c>
      <c r="G162" s="44" t="inlineStr">
        <is>
          <t>RWORK-0086</t>
        </is>
      </c>
      <c r="H162" s="44" t="n"/>
      <c r="I162" s="41" t="inlineStr">
        <is>
          <t>Высокая</t>
        </is>
      </c>
      <c r="J162" s="41" t="inlineStr">
        <is>
          <t>Imported</t>
        </is>
      </c>
      <c r="K162" s="41" t="inlineStr">
        <is>
          <t>Нет</t>
        </is>
      </c>
      <c r="L162" s="45" t="inlineStr">
        <is>
          <t>Нормализовано под генератор КП</t>
        </is>
      </c>
    </row>
    <row r="163">
      <c r="A163" s="42" t="inlineStr">
        <is>
          <t>SRC-0162</t>
        </is>
      </c>
      <c r="B163" s="42" t="inlineStr">
        <is>
          <t>Перемещение камня по участку</t>
        </is>
      </c>
      <c r="C163" s="42" t="inlineStr">
        <is>
          <t>PRICE_MASTER/RAW_LINES</t>
        </is>
      </c>
      <c r="D163" s="42" t="n">
        <v>163</v>
      </c>
      <c r="E163" s="42" t="inlineStr">
        <is>
          <t>Мощение</t>
        </is>
      </c>
      <c r="F163" s="42" t="inlineStr">
        <is>
          <t>Work</t>
        </is>
      </c>
      <c r="G163" s="47" t="inlineStr">
        <is>
          <t>RWORK-0087</t>
        </is>
      </c>
      <c r="H163" s="47" t="n"/>
      <c r="I163" s="42" t="inlineStr">
        <is>
          <t>Высокая</t>
        </is>
      </c>
      <c r="J163" s="42" t="inlineStr">
        <is>
          <t>Imported</t>
        </is>
      </c>
      <c r="K163" s="42" t="inlineStr">
        <is>
          <t>Нет</t>
        </is>
      </c>
      <c r="L163" s="48" t="inlineStr">
        <is>
          <t>Нормализовано под генератор КП</t>
        </is>
      </c>
    </row>
    <row r="164">
      <c r="A164" s="41" t="inlineStr">
        <is>
          <t>SRC-0163</t>
        </is>
      </c>
      <c r="B164" s="41" t="inlineStr">
        <is>
          <t>Перемещение песка по участку</t>
        </is>
      </c>
      <c r="C164" s="41" t="inlineStr">
        <is>
          <t>PRICE_MASTER/RAW_LINES</t>
        </is>
      </c>
      <c r="D164" s="41" t="n">
        <v>164</v>
      </c>
      <c r="E164" s="41" t="inlineStr">
        <is>
          <t>Мощение</t>
        </is>
      </c>
      <c r="F164" s="41" t="inlineStr">
        <is>
          <t>Work</t>
        </is>
      </c>
      <c r="G164" s="44" t="inlineStr">
        <is>
          <t>RWORK-0088</t>
        </is>
      </c>
      <c r="H164" s="44" t="n"/>
      <c r="I164" s="41" t="inlineStr">
        <is>
          <t>Высокая</t>
        </is>
      </c>
      <c r="J164" s="41" t="inlineStr">
        <is>
          <t>Imported</t>
        </is>
      </c>
      <c r="K164" s="41" t="inlineStr">
        <is>
          <t>Нет</t>
        </is>
      </c>
      <c r="L164" s="45" t="inlineStr">
        <is>
          <t>Нормализовано под генератор КП</t>
        </is>
      </c>
    </row>
    <row r="165">
      <c r="A165" s="42" t="inlineStr">
        <is>
          <t>SRC-0164</t>
        </is>
      </c>
      <c r="B165" s="42" t="inlineStr">
        <is>
          <t>Перемещение щебня по участку</t>
        </is>
      </c>
      <c r="C165" s="42" t="inlineStr">
        <is>
          <t>PRICE_MASTER/RAW_LINES</t>
        </is>
      </c>
      <c r="D165" s="42" t="n">
        <v>165</v>
      </c>
      <c r="E165" s="42" t="inlineStr">
        <is>
          <t>Мощение</t>
        </is>
      </c>
      <c r="F165" s="42" t="inlineStr">
        <is>
          <t>Work</t>
        </is>
      </c>
      <c r="G165" s="47" t="inlineStr">
        <is>
          <t>RWORK-0089</t>
        </is>
      </c>
      <c r="H165" s="47" t="n"/>
      <c r="I165" s="42" t="inlineStr">
        <is>
          <t>Высокая</t>
        </is>
      </c>
      <c r="J165" s="42" t="inlineStr">
        <is>
          <t>Imported</t>
        </is>
      </c>
      <c r="K165" s="42" t="inlineStr">
        <is>
          <t>Нет</t>
        </is>
      </c>
      <c r="L165" s="48" t="inlineStr">
        <is>
          <t>Нормализовано под генератор КП</t>
        </is>
      </c>
    </row>
    <row r="166">
      <c r="A166" s="41" t="inlineStr">
        <is>
          <t>SRC-0165</t>
        </is>
      </c>
      <c r="B166" s="41" t="inlineStr">
        <is>
          <t>Пескоуловители пластиковые 500х160х420мм с решетками ячеистыми чугунными</t>
        </is>
      </c>
      <c r="C166" s="41" t="inlineStr">
        <is>
          <t>PRICE_MASTER/RAW_LINES</t>
        </is>
      </c>
      <c r="D166" s="41" t="n">
        <v>166</v>
      </c>
      <c r="E166" s="41" t="inlineStr">
        <is>
          <t>ливневка</t>
        </is>
      </c>
      <c r="F166" s="41" t="inlineStr">
        <is>
          <t>Material</t>
        </is>
      </c>
      <c r="G166" s="44" t="inlineStr">
        <is>
          <t>RMAT-0075</t>
        </is>
      </c>
      <c r="H166" s="44" t="inlineStr">
        <is>
          <t>MV-0075</t>
        </is>
      </c>
      <c r="I166" s="41" t="inlineStr">
        <is>
          <t>Высокая</t>
        </is>
      </c>
      <c r="J166" s="41" t="inlineStr">
        <is>
          <t>Imported</t>
        </is>
      </c>
      <c r="K166" s="41" t="inlineStr">
        <is>
          <t>Нет</t>
        </is>
      </c>
      <c r="L166" s="45" t="inlineStr">
        <is>
          <t>Нормализовано под генератор КП</t>
        </is>
      </c>
    </row>
    <row r="167">
      <c r="A167" s="42" t="inlineStr">
        <is>
          <t>SRC-0166</t>
        </is>
      </c>
      <c r="B167" s="42" t="inlineStr">
        <is>
          <t>Песок крупнозернистый намывной</t>
        </is>
      </c>
      <c r="C167" s="42" t="inlineStr">
        <is>
          <t>PRICE_MASTER/RAW_LINES</t>
        </is>
      </c>
      <c r="D167" s="42" t="n">
        <v>167</v>
      </c>
      <c r="E167" s="42" t="inlineStr">
        <is>
          <t>газон</t>
        </is>
      </c>
      <c r="F167" s="42" t="inlineStr">
        <is>
          <t>Material</t>
        </is>
      </c>
      <c r="G167" s="47" t="inlineStr">
        <is>
          <t>RMAT-0076</t>
        </is>
      </c>
      <c r="H167" s="47" t="inlineStr">
        <is>
          <t>MV-0076</t>
        </is>
      </c>
      <c r="I167" s="42" t="inlineStr">
        <is>
          <t>Высокая</t>
        </is>
      </c>
      <c r="J167" s="42" t="inlineStr">
        <is>
          <t>Imported</t>
        </is>
      </c>
      <c r="K167" s="42" t="inlineStr">
        <is>
          <t>Нет</t>
        </is>
      </c>
      <c r="L167" s="48" t="inlineStr">
        <is>
          <t>Нормализовано под генератор КП</t>
        </is>
      </c>
    </row>
    <row r="168">
      <c r="A168" s="41" t="inlineStr">
        <is>
          <t>SRC-0167</t>
        </is>
      </c>
      <c r="B168" s="41" t="inlineStr">
        <is>
          <t>Песок мелкий сеяный для швов, 50кг</t>
        </is>
      </c>
      <c r="C168" s="41" t="inlineStr">
        <is>
          <t>PRICE_MASTER/RAW_LINES</t>
        </is>
      </c>
      <c r="D168" s="41" t="n">
        <v>168</v>
      </c>
      <c r="E168" s="41" t="inlineStr">
        <is>
          <t>Мощение</t>
        </is>
      </c>
      <c r="F168" s="41" t="inlineStr">
        <is>
          <t>Material</t>
        </is>
      </c>
      <c r="G168" s="44" t="inlineStr">
        <is>
          <t>RMAT-0077</t>
        </is>
      </c>
      <c r="H168" s="44" t="inlineStr">
        <is>
          <t>MV-0077</t>
        </is>
      </c>
      <c r="I168" s="41" t="inlineStr">
        <is>
          <t>Высокая</t>
        </is>
      </c>
      <c r="J168" s="41" t="inlineStr">
        <is>
          <t>Imported</t>
        </is>
      </c>
      <c r="K168" s="41" t="inlineStr">
        <is>
          <t>Нет</t>
        </is>
      </c>
      <c r="L168" s="45" t="inlineStr">
        <is>
          <t>Нормализовано под генератор КП</t>
        </is>
      </c>
    </row>
    <row r="169">
      <c r="A169" s="42" t="inlineStr">
        <is>
          <t>SRC-0168</t>
        </is>
      </c>
      <c r="B169" s="42" t="inlineStr">
        <is>
          <t>Песок строительный, 50кг</t>
        </is>
      </c>
      <c r="C169" s="42" t="inlineStr">
        <is>
          <t>PRICE_MASTER/RAW_LINES</t>
        </is>
      </c>
      <c r="D169" s="42" t="n">
        <v>169</v>
      </c>
      <c r="E169" s="42" t="inlineStr">
        <is>
          <t>Мощение</t>
        </is>
      </c>
      <c r="F169" s="42" t="inlineStr">
        <is>
          <t>Material</t>
        </is>
      </c>
      <c r="G169" s="47" t="inlineStr">
        <is>
          <t>RMAT-0078</t>
        </is>
      </c>
      <c r="H169" s="47" t="inlineStr">
        <is>
          <t>MV-0078</t>
        </is>
      </c>
      <c r="I169" s="42" t="inlineStr">
        <is>
          <t>Высокая</t>
        </is>
      </c>
      <c r="J169" s="42" t="inlineStr">
        <is>
          <t>Imported</t>
        </is>
      </c>
      <c r="K169" s="42" t="inlineStr">
        <is>
          <t>Нет</t>
        </is>
      </c>
      <c r="L169" s="48" t="inlineStr">
        <is>
          <t>Нормализовано под генератор КП</t>
        </is>
      </c>
    </row>
    <row r="170">
      <c r="A170" s="41" t="inlineStr">
        <is>
          <t>SRC-0169</t>
        </is>
      </c>
      <c r="B170" s="41" t="inlineStr">
        <is>
          <t>пленка техническая 150мк</t>
        </is>
      </c>
      <c r="C170" s="41" t="inlineStr">
        <is>
          <t>PRICE_MASTER/RAW_LINES</t>
        </is>
      </c>
      <c r="D170" s="41" t="n">
        <v>170</v>
      </c>
      <c r="E170" s="41" t="inlineStr">
        <is>
          <t>Мощение</t>
        </is>
      </c>
      <c r="F170" s="41" t="inlineStr">
        <is>
          <t>Material</t>
        </is>
      </c>
      <c r="G170" s="44" t="inlineStr">
        <is>
          <t>RMAT-0079</t>
        </is>
      </c>
      <c r="H170" s="44" t="inlineStr">
        <is>
          <t>MV-0079</t>
        </is>
      </c>
      <c r="I170" s="41" t="inlineStr">
        <is>
          <t>Высокая</t>
        </is>
      </c>
      <c r="J170" s="41" t="inlineStr">
        <is>
          <t>Imported</t>
        </is>
      </c>
      <c r="K170" s="41" t="inlineStr">
        <is>
          <t>Нет</t>
        </is>
      </c>
      <c r="L170" s="45" t="inlineStr">
        <is>
          <t>Нормализовано под генератор КП</t>
        </is>
      </c>
    </row>
    <row r="171">
      <c r="A171" s="42" t="inlineStr">
        <is>
          <t>SRC-0170</t>
        </is>
      </c>
      <c r="B171" s="42" t="inlineStr">
        <is>
          <t>Плита бетонная, 40мм</t>
        </is>
      </c>
      <c r="C171" s="42" t="inlineStr">
        <is>
          <t>PRICE_MASTER/RAW_LINES</t>
        </is>
      </c>
      <c r="D171" s="42" t="n">
        <v>171</v>
      </c>
      <c r="E171" s="42" t="inlineStr">
        <is>
          <t>Мощение</t>
        </is>
      </c>
      <c r="F171" s="42" t="inlineStr">
        <is>
          <t>Material</t>
        </is>
      </c>
      <c r="G171" s="47" t="inlineStr">
        <is>
          <t>RMAT-0080</t>
        </is>
      </c>
      <c r="H171" s="47" t="inlineStr">
        <is>
          <t>MV-0080</t>
        </is>
      </c>
      <c r="I171" s="42" t="inlineStr">
        <is>
          <t>Высокая</t>
        </is>
      </c>
      <c r="J171" s="42" t="inlineStr">
        <is>
          <t>Imported</t>
        </is>
      </c>
      <c r="K171" s="42" t="inlineStr">
        <is>
          <t>Нет</t>
        </is>
      </c>
      <c r="L171" s="48" t="inlineStr">
        <is>
          <t>Нормализовано под генератор КП</t>
        </is>
      </c>
    </row>
    <row r="172">
      <c r="A172" s="41" t="inlineStr">
        <is>
          <t>SRC-0171</t>
        </is>
      </c>
      <c r="B172" s="41" t="inlineStr">
        <is>
          <t>Плита бетонная: толщина 50мм, ширина 0,36м, длина от 1 до 1,8м</t>
        </is>
      </c>
      <c r="C172" s="41" t="inlineStr">
        <is>
          <t>PRICE_MASTER/RAW_LINES</t>
        </is>
      </c>
      <c r="D172" s="41" t="n">
        <v>172</v>
      </c>
      <c r="E172" s="41" t="inlineStr">
        <is>
          <t>Мощение</t>
        </is>
      </c>
      <c r="F172" s="41" t="inlineStr">
        <is>
          <t>Material</t>
        </is>
      </c>
      <c r="G172" s="44" t="inlineStr">
        <is>
          <t>RMAT-0081</t>
        </is>
      </c>
      <c r="H172" s="44" t="inlineStr">
        <is>
          <t>MV-0081</t>
        </is>
      </c>
      <c r="I172" s="41" t="inlineStr">
        <is>
          <t>Высокая</t>
        </is>
      </c>
      <c r="J172" s="41" t="inlineStr">
        <is>
          <t>Imported</t>
        </is>
      </c>
      <c r="K172" s="41" t="inlineStr">
        <is>
          <t>Нет</t>
        </is>
      </c>
      <c r="L172" s="45" t="inlineStr">
        <is>
          <t>Нормализовано под генератор КП</t>
        </is>
      </c>
    </row>
    <row r="173">
      <c r="A173" s="42" t="inlineStr">
        <is>
          <t>SRC-0172</t>
        </is>
      </c>
      <c r="B173" s="42" t="inlineStr">
        <is>
          <t>Погрузка мусора (механическая)</t>
        </is>
      </c>
      <c r="C173" s="42" t="inlineStr">
        <is>
          <t>PRICE_MASTER/RAW_LINES</t>
        </is>
      </c>
      <c r="D173" s="42" t="n">
        <v>173</v>
      </c>
      <c r="E173" s="42" t="inlineStr">
        <is>
          <t>вывоз мусора</t>
        </is>
      </c>
      <c r="F173" s="42" t="inlineStr">
        <is>
          <t>Work</t>
        </is>
      </c>
      <c r="G173" s="47" t="inlineStr">
        <is>
          <t>RWORK-0090</t>
        </is>
      </c>
      <c r="H173" s="47" t="n"/>
      <c r="I173" s="42" t="inlineStr">
        <is>
          <t>Высокая</t>
        </is>
      </c>
      <c r="J173" s="42" t="inlineStr">
        <is>
          <t>Imported</t>
        </is>
      </c>
      <c r="K173" s="42" t="inlineStr">
        <is>
          <t>Нет</t>
        </is>
      </c>
      <c r="L173" s="48" t="inlineStr">
        <is>
          <t>Для генератора КП лучше собирать в отдельный логистический блок</t>
        </is>
      </c>
    </row>
    <row r="174">
      <c r="A174" s="41" t="inlineStr">
        <is>
          <t>SRC-0173</t>
        </is>
      </c>
      <c r="B174" s="41" t="inlineStr">
        <is>
          <t>Подготовка оснований лестниц и пандусов</t>
        </is>
      </c>
      <c r="C174" s="41" t="inlineStr">
        <is>
          <t>PRICE_MASTER/RAW_LINES</t>
        </is>
      </c>
      <c r="D174" s="41" t="n">
        <v>174</v>
      </c>
      <c r="E174" s="41" t="inlineStr">
        <is>
          <t>ступени</t>
        </is>
      </c>
      <c r="F174" s="41" t="inlineStr">
        <is>
          <t>Work</t>
        </is>
      </c>
      <c r="G174" s="44" t="inlineStr">
        <is>
          <t>RWORK-0091</t>
        </is>
      </c>
      <c r="H174" s="44" t="n"/>
      <c r="I174" s="41" t="inlineStr">
        <is>
          <t>Высокая</t>
        </is>
      </c>
      <c r="J174" s="41" t="inlineStr">
        <is>
          <t>Imported</t>
        </is>
      </c>
      <c r="K174" s="41" t="inlineStr">
        <is>
          <t>Нет</t>
        </is>
      </c>
      <c r="L174" s="45" t="inlineStr">
        <is>
          <t>Нормализовано под генератор КП</t>
        </is>
      </c>
    </row>
    <row r="175">
      <c r="A175" s="42" t="inlineStr">
        <is>
          <t>SRC-0174</t>
        </is>
      </c>
      <c r="B175" s="42" t="inlineStr">
        <is>
          <t>Подпиливание бетона подпорных стенок</t>
        </is>
      </c>
      <c r="C175" s="42" t="inlineStr">
        <is>
          <t>PRICE_MASTER/RAW_LINES</t>
        </is>
      </c>
      <c r="D175" s="42" t="n">
        <v>175</v>
      </c>
      <c r="E175" s="42" t="inlineStr">
        <is>
          <t>Мощение</t>
        </is>
      </c>
      <c r="F175" s="42" t="inlineStr">
        <is>
          <t>Work</t>
        </is>
      </c>
      <c r="G175" s="47" t="inlineStr">
        <is>
          <t>RWORK-0092</t>
        </is>
      </c>
      <c r="H175" s="47" t="n"/>
      <c r="I175" s="42" t="inlineStr">
        <is>
          <t>Высокая</t>
        </is>
      </c>
      <c r="J175" s="42" t="inlineStr">
        <is>
          <t>Imported</t>
        </is>
      </c>
      <c r="K175" s="42" t="inlineStr">
        <is>
          <t>Нет</t>
        </is>
      </c>
      <c r="L175" s="48" t="inlineStr">
        <is>
          <t>Нормализовано под генератор КП</t>
        </is>
      </c>
    </row>
    <row r="176">
      <c r="A176" s="41" t="inlineStr">
        <is>
          <t>SRC-0175</t>
        </is>
      </c>
      <c r="B176" s="41" t="inlineStr">
        <is>
          <t>Подрезка плитки</t>
        </is>
      </c>
      <c r="C176" s="41" t="inlineStr">
        <is>
          <t>PRICE_MASTER/RAW_LINES</t>
        </is>
      </c>
      <c r="D176" s="41" t="n">
        <v>176</v>
      </c>
      <c r="E176" s="41" t="inlineStr">
        <is>
          <t>Мощение</t>
        </is>
      </c>
      <c r="F176" s="41" t="inlineStr">
        <is>
          <t>Work</t>
        </is>
      </c>
      <c r="G176" s="44" t="inlineStr">
        <is>
          <t>RWORK-0093</t>
        </is>
      </c>
      <c r="H176" s="44" t="n"/>
      <c r="I176" s="41" t="inlineStr">
        <is>
          <t>Высокая</t>
        </is>
      </c>
      <c r="J176" s="41" t="inlineStr">
        <is>
          <t>Imported</t>
        </is>
      </c>
      <c r="K176" s="41" t="inlineStr">
        <is>
          <t>Нет</t>
        </is>
      </c>
      <c r="L176" s="45" t="inlineStr">
        <is>
          <t>Нормализовано под генератор КП</t>
        </is>
      </c>
    </row>
    <row r="177">
      <c r="A177" s="42" t="inlineStr">
        <is>
          <t>SRC-0176</t>
        </is>
      </c>
      <c r="B177" s="42" t="inlineStr">
        <is>
          <t>Покраска щита и коробов в цвет дома</t>
        </is>
      </c>
      <c r="C177" s="42" t="inlineStr">
        <is>
          <t>PRICE_MASTER/RAW_LINES</t>
        </is>
      </c>
      <c r="D177" s="42" t="n">
        <v>177</v>
      </c>
      <c r="E177" s="42" t="inlineStr">
        <is>
          <t>Освещение</t>
        </is>
      </c>
      <c r="F177" s="42" t="inlineStr">
        <is>
          <t>Work</t>
        </is>
      </c>
      <c r="G177" s="47" t="inlineStr">
        <is>
          <t>RWORK-0094</t>
        </is>
      </c>
      <c r="H177" s="47" t="n"/>
      <c r="I177" s="42" t="inlineStr">
        <is>
          <t>Высокая</t>
        </is>
      </c>
      <c r="J177" s="42" t="inlineStr">
        <is>
          <t>Imported</t>
        </is>
      </c>
      <c r="K177" s="42" t="inlineStr">
        <is>
          <t>Нет</t>
        </is>
      </c>
      <c r="L177" s="48" t="inlineStr">
        <is>
          <t>Нормализовано под генератор КП</t>
        </is>
      </c>
    </row>
    <row r="178">
      <c r="A178" s="41" t="inlineStr">
        <is>
          <t>SRC-0177</t>
        </is>
      </c>
      <c r="B178" s="41" t="inlineStr">
        <is>
          <t>Покрытие спортивное (однослойное ударопоглощающее резиновое на однокомпонентном полиуретановом связующем толщиной 15мм )</t>
        </is>
      </c>
      <c r="C178" s="41" t="inlineStr">
        <is>
          <t>PRICE_MASTER/RAW_LINES</t>
        </is>
      </c>
      <c r="D178" s="41" t="n">
        <v>178</v>
      </c>
      <c r="E178" s="41" t="inlineStr">
        <is>
          <t>Мощение</t>
        </is>
      </c>
      <c r="F178" s="41" t="inlineStr">
        <is>
          <t>Material</t>
        </is>
      </c>
      <c r="G178" s="44" t="inlineStr">
        <is>
          <t>RMAT-0082</t>
        </is>
      </c>
      <c r="H178" s="44" t="inlineStr">
        <is>
          <t>MV-0082</t>
        </is>
      </c>
      <c r="I178" s="41" t="inlineStr">
        <is>
          <t>Высокая</t>
        </is>
      </c>
      <c r="J178" s="41" t="inlineStr">
        <is>
          <t>Imported</t>
        </is>
      </c>
      <c r="K178" s="41" t="inlineStr">
        <is>
          <t>Нет</t>
        </is>
      </c>
      <c r="L178" s="45" t="inlineStr">
        <is>
          <t>Нормализовано под генератор КП</t>
        </is>
      </c>
    </row>
    <row r="179">
      <c r="A179" s="42" t="inlineStr">
        <is>
          <t>SRC-0178</t>
        </is>
      </c>
      <c r="B179" s="42" t="inlineStr">
        <is>
          <t>Портландцемент М400, 50кг</t>
        </is>
      </c>
      <c r="C179" s="42" t="inlineStr">
        <is>
          <t>PRICE_MASTER/RAW_LINES</t>
        </is>
      </c>
      <c r="D179" s="42" t="n">
        <v>179</v>
      </c>
      <c r="E179" s="42" t="inlineStr">
        <is>
          <t>Мощение</t>
        </is>
      </c>
      <c r="F179" s="42" t="inlineStr">
        <is>
          <t>Material</t>
        </is>
      </c>
      <c r="G179" s="47" t="inlineStr">
        <is>
          <t>RMAT-0083</t>
        </is>
      </c>
      <c r="H179" s="47" t="inlineStr">
        <is>
          <t>MV-0083</t>
        </is>
      </c>
      <c r="I179" s="42" t="inlineStr">
        <is>
          <t>Высокая</t>
        </is>
      </c>
      <c r="J179" s="42" t="inlineStr">
        <is>
          <t>Imported</t>
        </is>
      </c>
      <c r="K179" s="42" t="inlineStr">
        <is>
          <t>Нет</t>
        </is>
      </c>
      <c r="L179" s="48" t="inlineStr">
        <is>
          <t>Нормализовано под генератор КП</t>
        </is>
      </c>
    </row>
    <row r="180">
      <c r="A180" s="41" t="inlineStr">
        <is>
          <t>SRC-0179</t>
        </is>
      </c>
      <c r="B180" s="41" t="inlineStr">
        <is>
          <t>Посадка розы</t>
        </is>
      </c>
      <c r="C180" s="41" t="inlineStr">
        <is>
          <t>PRICE_MASTER/RAW_LINES</t>
        </is>
      </c>
      <c r="D180" s="41" t="n">
        <v>180</v>
      </c>
      <c r="E180" s="41" t="inlineStr">
        <is>
          <t>Дополнительные работы.</t>
        </is>
      </c>
      <c r="F180" s="41" t="inlineStr">
        <is>
          <t>Work</t>
        </is>
      </c>
      <c r="G180" s="44" t="inlineStr">
        <is>
          <t>RWORK-0095</t>
        </is>
      </c>
      <c r="H180" s="44" t="n"/>
      <c r="I180" s="41" t="inlineStr">
        <is>
          <t>Высокая</t>
        </is>
      </c>
      <c r="J180" s="41" t="inlineStr">
        <is>
          <t>Imported</t>
        </is>
      </c>
      <c r="K180" s="41" t="inlineStr">
        <is>
          <t>Нет</t>
        </is>
      </c>
      <c r="L180" s="45" t="inlineStr">
        <is>
          <t>Перенесено из мусорной категории "Дополнительные работы."</t>
        </is>
      </c>
    </row>
    <row r="181">
      <c r="A181" s="42" t="inlineStr">
        <is>
          <t>SRC-0180</t>
        </is>
      </c>
      <c r="B181" s="42" t="inlineStr">
        <is>
          <t>Проволока вязальная</t>
        </is>
      </c>
      <c r="C181" s="42" t="inlineStr">
        <is>
          <t>PRICE_MASTER/RAW_LINES</t>
        </is>
      </c>
      <c r="D181" s="42" t="n">
        <v>181</v>
      </c>
      <c r="E181" s="42" t="inlineStr">
        <is>
          <t>ступени</t>
        </is>
      </c>
      <c r="F181" s="42" t="inlineStr">
        <is>
          <t>Material</t>
        </is>
      </c>
      <c r="G181" s="47" t="inlineStr">
        <is>
          <t>RMAT-0084</t>
        </is>
      </c>
      <c r="H181" s="47" t="inlineStr">
        <is>
          <t>MV-0084</t>
        </is>
      </c>
      <c r="I181" s="42" t="inlineStr">
        <is>
          <t>Высокая</t>
        </is>
      </c>
      <c r="J181" s="42" t="inlineStr">
        <is>
          <t>Imported</t>
        </is>
      </c>
      <c r="K181" s="42" t="inlineStr">
        <is>
          <t>Нет</t>
        </is>
      </c>
      <c r="L181" s="48" t="inlineStr">
        <is>
          <t>Нормализовано под генератор КП</t>
        </is>
      </c>
    </row>
    <row r="182">
      <c r="A182" s="41" t="inlineStr">
        <is>
          <t>SRC-0181</t>
        </is>
      </c>
      <c r="B182" s="41" t="inlineStr">
        <is>
          <t>Прометание мощения отсевом/ песком</t>
        </is>
      </c>
      <c r="C182" s="41" t="inlineStr">
        <is>
          <t>PRICE_MASTER/RAW_LINES</t>
        </is>
      </c>
      <c r="D182" s="41" t="n">
        <v>182</v>
      </c>
      <c r="E182" s="41" t="inlineStr">
        <is>
          <t>Мощение</t>
        </is>
      </c>
      <c r="F182" s="41" t="inlineStr">
        <is>
          <t>Work</t>
        </is>
      </c>
      <c r="G182" s="44" t="inlineStr">
        <is>
          <t>RWORK-0096</t>
        </is>
      </c>
      <c r="H182" s="44" t="n"/>
      <c r="I182" s="41" t="inlineStr">
        <is>
          <t>Высокая</t>
        </is>
      </c>
      <c r="J182" s="41" t="inlineStr">
        <is>
          <t>Imported</t>
        </is>
      </c>
      <c r="K182" s="41" t="inlineStr">
        <is>
          <t>Нет</t>
        </is>
      </c>
      <c r="L182" s="45" t="inlineStr">
        <is>
          <t>Нормализовано под генератор КП</t>
        </is>
      </c>
    </row>
    <row r="183">
      <c r="A183" s="42" t="inlineStr">
        <is>
          <t>SRC-0182</t>
        </is>
      </c>
      <c r="B183" s="42" t="inlineStr">
        <is>
          <t>Просеивание местного грунта</t>
        </is>
      </c>
      <c r="C183" s="42" t="inlineStr">
        <is>
          <t>PRICE_MASTER/RAW_LINES</t>
        </is>
      </c>
      <c r="D183" s="42" t="n">
        <v>183</v>
      </c>
      <c r="E183" s="42" t="inlineStr">
        <is>
          <t>газон</t>
        </is>
      </c>
      <c r="F183" s="42" t="inlineStr">
        <is>
          <t>Material</t>
        </is>
      </c>
      <c r="G183" s="47" t="inlineStr">
        <is>
          <t>RMAT-0085</t>
        </is>
      </c>
      <c r="H183" s="47" t="inlineStr">
        <is>
          <t>MV-0085</t>
        </is>
      </c>
      <c r="I183" s="42" t="inlineStr">
        <is>
          <t>Высокая</t>
        </is>
      </c>
      <c r="J183" s="42" t="inlineStr">
        <is>
          <t>Imported</t>
        </is>
      </c>
      <c r="K183" s="42" t="inlineStr">
        <is>
          <t>Нет</t>
        </is>
      </c>
      <c r="L183" s="48" t="inlineStr">
        <is>
          <t>Нормализовано под генератор КП</t>
        </is>
      </c>
    </row>
    <row r="184">
      <c r="A184" s="41" t="inlineStr">
        <is>
          <t>SRC-0183</t>
        </is>
      </c>
      <c r="B184" s="41" t="inlineStr">
        <is>
          <t>Профиль алюминиевый</t>
        </is>
      </c>
      <c r="C184" s="41" t="inlineStr">
        <is>
          <t>PRICE_MASTER/RAW_LINES</t>
        </is>
      </c>
      <c r="D184" s="41" t="n">
        <v>184</v>
      </c>
      <c r="E184" s="41" t="inlineStr">
        <is>
          <t>Мощение</t>
        </is>
      </c>
      <c r="F184" s="41" t="inlineStr">
        <is>
          <t>Material</t>
        </is>
      </c>
      <c r="G184" s="44" t="inlineStr">
        <is>
          <t>RMAT-0086</t>
        </is>
      </c>
      <c r="H184" s="44" t="inlineStr">
        <is>
          <t>MV-0086</t>
        </is>
      </c>
      <c r="I184" s="41" t="inlineStr">
        <is>
          <t>Высокая</t>
        </is>
      </c>
      <c r="J184" s="41" t="inlineStr">
        <is>
          <t>Imported</t>
        </is>
      </c>
      <c r="K184" s="41" t="inlineStr">
        <is>
          <t>Нет</t>
        </is>
      </c>
      <c r="L184" s="45" t="inlineStr">
        <is>
          <t>Нормализовано под генератор КП</t>
        </is>
      </c>
    </row>
    <row r="185">
      <c r="A185" s="42" t="inlineStr">
        <is>
          <t>SRC-0184</t>
        </is>
      </c>
      <c r="B185" s="42" t="inlineStr">
        <is>
          <t>Работа трактора</t>
        </is>
      </c>
      <c r="C185" s="42" t="inlineStr">
        <is>
          <t>PRICE_MASTER/RAW_LINES</t>
        </is>
      </c>
      <c r="D185" s="42" t="n">
        <v>185</v>
      </c>
      <c r="E185" s="42" t="inlineStr">
        <is>
          <t>дренаж</t>
        </is>
      </c>
      <c r="F185" s="42" t="inlineStr">
        <is>
          <t>Work</t>
        </is>
      </c>
      <c r="G185" s="47" t="inlineStr">
        <is>
          <t>RWORK-0097</t>
        </is>
      </c>
      <c r="H185" s="47" t="n"/>
      <c r="I185" s="42" t="inlineStr">
        <is>
          <t>Высокая</t>
        </is>
      </c>
      <c r="J185" s="42" t="inlineStr">
        <is>
          <t>Imported</t>
        </is>
      </c>
      <c r="K185" s="42" t="inlineStr">
        <is>
          <t>Нет</t>
        </is>
      </c>
      <c r="L185" s="48" t="inlineStr">
        <is>
          <t>Нормализовано под генератор КП</t>
        </is>
      </c>
    </row>
    <row r="186">
      <c r="A186" s="41" t="inlineStr">
        <is>
          <t>SRC-0185</t>
        </is>
      </c>
      <c r="B186" s="41" t="inlineStr">
        <is>
          <t>Работы по проверке цепей, параметрированию и настройке оборудования</t>
        </is>
      </c>
      <c r="C186" s="41" t="inlineStr">
        <is>
          <t>PRICE_MASTER/RAW_LINES</t>
        </is>
      </c>
      <c r="D186" s="41" t="n">
        <v>186</v>
      </c>
      <c r="E186" s="41" t="inlineStr">
        <is>
          <t>Освещение</t>
        </is>
      </c>
      <c r="F186" s="41" t="inlineStr">
        <is>
          <t>Work</t>
        </is>
      </c>
      <c r="G186" s="44" t="inlineStr">
        <is>
          <t>RWORK-0098</t>
        </is>
      </c>
      <c r="H186" s="44" t="n"/>
      <c r="I186" s="41" t="inlineStr">
        <is>
          <t>Высокая</t>
        </is>
      </c>
      <c r="J186" s="41" t="inlineStr">
        <is>
          <t>Imported</t>
        </is>
      </c>
      <c r="K186" s="41" t="inlineStr">
        <is>
          <t>Нет</t>
        </is>
      </c>
      <c r="L186" s="45" t="inlineStr">
        <is>
          <t>Нормализовано под генератор КП</t>
        </is>
      </c>
    </row>
    <row r="187">
      <c r="A187" s="42" t="inlineStr">
        <is>
          <t>SRC-0186</t>
        </is>
      </c>
      <c r="B187" s="42" t="inlineStr">
        <is>
          <t>Разборка существующего покрытия</t>
        </is>
      </c>
      <c r="C187" s="42" t="inlineStr">
        <is>
          <t>PRICE_MASTER/RAW_LINES</t>
        </is>
      </c>
      <c r="D187" s="42" t="n">
        <v>187</v>
      </c>
      <c r="E187" s="42" t="inlineStr">
        <is>
          <t>Дополнительные работы.</t>
        </is>
      </c>
      <c r="F187" s="42" t="inlineStr">
        <is>
          <t>Work</t>
        </is>
      </c>
      <c r="G187" s="47" t="inlineStr">
        <is>
          <t>RWORK-0099</t>
        </is>
      </c>
      <c r="H187" s="47" t="n"/>
      <c r="I187" s="42" t="inlineStr">
        <is>
          <t>Высокая</t>
        </is>
      </c>
      <c r="J187" s="42" t="inlineStr">
        <is>
          <t>Imported</t>
        </is>
      </c>
      <c r="K187" s="42" t="inlineStr">
        <is>
          <t>Нет</t>
        </is>
      </c>
      <c r="L187" s="48" t="inlineStr">
        <is>
          <t>Перенесено из мусорной категории "Дополнительные работы."</t>
        </is>
      </c>
    </row>
    <row r="188">
      <c r="A188" s="41" t="inlineStr">
        <is>
          <t>SRC-0187</t>
        </is>
      </c>
      <c r="B188" s="41" t="inlineStr">
        <is>
          <t>Разметка и нивелировка площадей, задание вертикальных уровней и уклона (геодезическая разбивка)</t>
        </is>
      </c>
      <c r="C188" s="41" t="inlineStr">
        <is>
          <t>PRICE_MASTER/RAW_LINES</t>
        </is>
      </c>
      <c r="D188" s="41" t="n">
        <v>188</v>
      </c>
      <c r="E188" s="41" t="inlineStr">
        <is>
          <t>Планировочные работы.</t>
        </is>
      </c>
      <c r="F188" s="41" t="inlineStr">
        <is>
          <t>Work</t>
        </is>
      </c>
      <c r="G188" s="44" t="inlineStr">
        <is>
          <t>RWORK-0100</t>
        </is>
      </c>
      <c r="H188" s="44" t="n"/>
      <c r="I188" s="41" t="inlineStr">
        <is>
          <t>Высокая</t>
        </is>
      </c>
      <c r="J188" s="41" t="inlineStr">
        <is>
          <t>Imported</t>
        </is>
      </c>
      <c r="K188" s="41" t="inlineStr">
        <is>
          <t>Нет</t>
        </is>
      </c>
      <c r="L188" s="45" t="inlineStr">
        <is>
          <t>Нормализовано под генератор КП</t>
        </is>
      </c>
    </row>
    <row r="189">
      <c r="A189" s="49" t="inlineStr">
        <is>
          <t>SRC-0188</t>
        </is>
      </c>
      <c r="B189" s="49" t="inlineStr">
        <is>
          <t>Расходные материалы</t>
        </is>
      </c>
      <c r="C189" s="49" t="inlineStr">
        <is>
          <t>PRICE_MASTER/RAW_LINES</t>
        </is>
      </c>
      <c r="D189" s="49" t="n">
        <v>189</v>
      </c>
      <c r="E189" s="49" t="inlineStr">
        <is>
          <t>дренаж</t>
        </is>
      </c>
      <c r="F189" s="49" t="inlineStr">
        <is>
          <t>Material</t>
        </is>
      </c>
      <c r="G189" s="51" t="inlineStr">
        <is>
          <t>RMAT-0087</t>
        </is>
      </c>
      <c r="H189" s="51" t="inlineStr">
        <is>
          <t>MV-0087</t>
        </is>
      </c>
      <c r="I189" s="49" t="inlineStr">
        <is>
          <t>Средняя</t>
        </is>
      </c>
      <c r="J189" s="49" t="inlineStr">
        <is>
          <t>Imported</t>
        </is>
      </c>
      <c r="K189" s="49" t="inlineStr">
        <is>
          <t>Да</t>
        </is>
      </c>
      <c r="L189" s="52" t="inlineStr">
        <is>
          <t>Расходники лучше не показывать клиенту отдельной строкой</t>
        </is>
      </c>
    </row>
    <row r="190">
      <c r="A190" s="41" t="inlineStr">
        <is>
          <t>SRC-0189</t>
        </is>
      </c>
      <c r="B190" s="41" t="inlineStr">
        <is>
          <t>Ровнитель для бетона Plitonit, 25кг</t>
        </is>
      </c>
      <c r="C190" s="41" t="inlineStr">
        <is>
          <t>PRICE_MASTER/RAW_LINES</t>
        </is>
      </c>
      <c r="D190" s="41" t="n">
        <v>190</v>
      </c>
      <c r="E190" s="41" t="inlineStr">
        <is>
          <t>Мощение</t>
        </is>
      </c>
      <c r="F190" s="41" t="inlineStr">
        <is>
          <t>Material</t>
        </is>
      </c>
      <c r="G190" s="44" t="inlineStr">
        <is>
          <t>RMAT-0088</t>
        </is>
      </c>
      <c r="H190" s="44" t="inlineStr">
        <is>
          <t>MV-0088</t>
        </is>
      </c>
      <c r="I190" s="41" t="inlineStr">
        <is>
          <t>Высокая</t>
        </is>
      </c>
      <c r="J190" s="41" t="inlineStr">
        <is>
          <t>Imported</t>
        </is>
      </c>
      <c r="K190" s="41" t="inlineStr">
        <is>
          <t>Нет</t>
        </is>
      </c>
      <c r="L190" s="45" t="inlineStr">
        <is>
          <t>Нормализовано под генератор КП</t>
        </is>
      </c>
    </row>
    <row r="191">
      <c r="A191" s="42" t="inlineStr">
        <is>
          <t>SRC-0190</t>
        </is>
      </c>
      <c r="B191" s="42" t="inlineStr">
        <is>
          <t>Розетка двойная наружная с заземлением с крышкой ФОРС IP54 ERS22-K03-16-54-DC IEK</t>
        </is>
      </c>
      <c r="C191" s="42" t="inlineStr">
        <is>
          <t>PRICE_MASTER/RAW_LINES</t>
        </is>
      </c>
      <c r="D191" s="42" t="n">
        <v>191</v>
      </c>
      <c r="E191" s="42" t="inlineStr">
        <is>
          <t>Освещение</t>
        </is>
      </c>
      <c r="F191" s="42" t="inlineStr">
        <is>
          <t>Material</t>
        </is>
      </c>
      <c r="G191" s="47" t="inlineStr">
        <is>
          <t>RMAT-0089</t>
        </is>
      </c>
      <c r="H191" s="47" t="inlineStr">
        <is>
          <t>MV-0089</t>
        </is>
      </c>
      <c r="I191" s="42" t="inlineStr">
        <is>
          <t>Высокая</t>
        </is>
      </c>
      <c r="J191" s="42" t="inlineStr">
        <is>
          <t>Imported</t>
        </is>
      </c>
      <c r="K191" s="42" t="inlineStr">
        <is>
          <t>Нет</t>
        </is>
      </c>
      <c r="L191" s="48" t="inlineStr">
        <is>
          <t>Нормализовано под генератор КП</t>
        </is>
      </c>
    </row>
    <row r="192">
      <c r="A192" s="41" t="inlineStr">
        <is>
          <t>SRC-0191</t>
        </is>
      </c>
      <c r="B192" s="41" t="inlineStr">
        <is>
          <t>Розетка садовая Paulmann Rio 94657, столб с двумя розетками</t>
        </is>
      </c>
      <c r="C192" s="41" t="inlineStr">
        <is>
          <t>PRICE_MASTER/RAW_LINES</t>
        </is>
      </c>
      <c r="D192" s="41" t="n">
        <v>192</v>
      </c>
      <c r="E192" s="41" t="inlineStr">
        <is>
          <t>Освещение</t>
        </is>
      </c>
      <c r="F192" s="41" t="inlineStr">
        <is>
          <t>Material</t>
        </is>
      </c>
      <c r="G192" s="44" t="inlineStr">
        <is>
          <t>RMAT-0090</t>
        </is>
      </c>
      <c r="H192" s="44" t="inlineStr">
        <is>
          <t>MV-0090</t>
        </is>
      </c>
      <c r="I192" s="41" t="inlineStr">
        <is>
          <t>Высокая</t>
        </is>
      </c>
      <c r="J192" s="41" t="inlineStr">
        <is>
          <t>Imported</t>
        </is>
      </c>
      <c r="K192" s="41" t="inlineStr">
        <is>
          <t>Нет</t>
        </is>
      </c>
      <c r="L192" s="45" t="inlineStr">
        <is>
          <t>Нормализовано под генератор КП</t>
        </is>
      </c>
    </row>
    <row r="193">
      <c r="A193" s="42" t="inlineStr">
        <is>
          <t>SRC-0192</t>
        </is>
      </c>
      <c r="B193" s="42" t="inlineStr">
        <is>
          <t>Ручная перекопка участка с удалением корней и корневищ</t>
        </is>
      </c>
      <c r="C193" s="42" t="inlineStr">
        <is>
          <t>PRICE_MASTER/RAW_LINES</t>
        </is>
      </c>
      <c r="D193" s="42" t="n">
        <v>193</v>
      </c>
      <c r="E193" s="42" t="inlineStr">
        <is>
          <t>Дополнительные работы.</t>
        </is>
      </c>
      <c r="F193" s="42" t="inlineStr">
        <is>
          <t>Work</t>
        </is>
      </c>
      <c r="G193" s="47" t="inlineStr">
        <is>
          <t>RWORK-0101</t>
        </is>
      </c>
      <c r="H193" s="47" t="n"/>
      <c r="I193" s="42" t="inlineStr">
        <is>
          <t>Высокая</t>
        </is>
      </c>
      <c r="J193" s="42" t="inlineStr">
        <is>
          <t>Imported</t>
        </is>
      </c>
      <c r="K193" s="42" t="inlineStr">
        <is>
          <t>Нет</t>
        </is>
      </c>
      <c r="L193" s="48" t="inlineStr">
        <is>
          <t>Перенесено из мусорной категории "Дополнительные работы."</t>
        </is>
      </c>
    </row>
    <row r="194">
      <c r="A194" s="41" t="inlineStr">
        <is>
          <t>SRC-0193</t>
        </is>
      </c>
      <c r="B194" s="41" t="inlineStr">
        <is>
          <t>Саморезы нержавеющие, 5см (1500шт.)</t>
        </is>
      </c>
      <c r="C194" s="41" t="inlineStr">
        <is>
          <t>PRICE_MASTER/RAW_LINES</t>
        </is>
      </c>
      <c r="D194" s="41" t="n">
        <v>194</v>
      </c>
      <c r="E194" s="41" t="inlineStr">
        <is>
          <t>Мощение</t>
        </is>
      </c>
      <c r="F194" s="41" t="inlineStr">
        <is>
          <t>Material</t>
        </is>
      </c>
      <c r="G194" s="44" t="inlineStr">
        <is>
          <t>RMAT-0091</t>
        </is>
      </c>
      <c r="H194" s="44" t="inlineStr">
        <is>
          <t>MV-0091</t>
        </is>
      </c>
      <c r="I194" s="41" t="inlineStr">
        <is>
          <t>Высокая</t>
        </is>
      </c>
      <c r="J194" s="41" t="inlineStr">
        <is>
          <t>Imported</t>
        </is>
      </c>
      <c r="K194" s="41" t="inlineStr">
        <is>
          <t>Нет</t>
        </is>
      </c>
      <c r="L194" s="45" t="inlineStr">
        <is>
          <t>Нормализовано под генератор КП</t>
        </is>
      </c>
    </row>
    <row r="195">
      <c r="A195" s="42" t="inlineStr">
        <is>
          <t>SRC-0194</t>
        </is>
      </c>
      <c r="B195" s="42" t="inlineStr">
        <is>
          <t>Саморезы по дереву</t>
        </is>
      </c>
      <c r="C195" s="42" t="inlineStr">
        <is>
          <t>PRICE_MASTER/RAW_LINES</t>
        </is>
      </c>
      <c r="D195" s="42" t="n">
        <v>195</v>
      </c>
      <c r="E195" s="42" t="inlineStr">
        <is>
          <t>Мощение</t>
        </is>
      </c>
      <c r="F195" s="42" t="inlineStr">
        <is>
          <t>Material</t>
        </is>
      </c>
      <c r="G195" s="47" t="inlineStr">
        <is>
          <t>RMAT-0092</t>
        </is>
      </c>
      <c r="H195" s="47" t="inlineStr">
        <is>
          <t>MV-0092</t>
        </is>
      </c>
      <c r="I195" s="42" t="inlineStr">
        <is>
          <t>Высокая</t>
        </is>
      </c>
      <c r="J195" s="42" t="inlineStr">
        <is>
          <t>Imported</t>
        </is>
      </c>
      <c r="K195" s="42" t="inlineStr">
        <is>
          <t>Нет</t>
        </is>
      </c>
      <c r="L195" s="48" t="inlineStr">
        <is>
          <t>Нормализовано под генератор КП</t>
        </is>
      </c>
    </row>
    <row r="196">
      <c r="A196" s="41" t="inlineStr">
        <is>
          <t>SRC-0195</t>
        </is>
      </c>
      <c r="B196" s="41" t="inlineStr">
        <is>
          <t>Сверло по дереву 8*100мм</t>
        </is>
      </c>
      <c r="C196" s="41" t="inlineStr">
        <is>
          <t>PRICE_MASTER/RAW_LINES</t>
        </is>
      </c>
      <c r="D196" s="41" t="n">
        <v>196</v>
      </c>
      <c r="E196" s="41" t="inlineStr">
        <is>
          <t>Мощение</t>
        </is>
      </c>
      <c r="F196" s="41" t="inlineStr">
        <is>
          <t>Material</t>
        </is>
      </c>
      <c r="G196" s="44" t="inlineStr">
        <is>
          <t>RMAT-0093</t>
        </is>
      </c>
      <c r="H196" s="44" t="inlineStr">
        <is>
          <t>MV-0093</t>
        </is>
      </c>
      <c r="I196" s="41" t="inlineStr">
        <is>
          <t>Высокая</t>
        </is>
      </c>
      <c r="J196" s="41" t="inlineStr">
        <is>
          <t>Imported</t>
        </is>
      </c>
      <c r="K196" s="41" t="inlineStr">
        <is>
          <t>Нет</t>
        </is>
      </c>
      <c r="L196" s="45" t="inlineStr">
        <is>
          <t>Нормализовано под генератор КП</t>
        </is>
      </c>
    </row>
    <row r="197">
      <c r="A197" s="42" t="inlineStr">
        <is>
          <t>SRC-0196</t>
        </is>
      </c>
      <c r="B197" s="42" t="inlineStr">
        <is>
          <t>Светильник</t>
        </is>
      </c>
      <c r="C197" s="42" t="inlineStr">
        <is>
          <t>PRICE_MASTER/RAW_LINES</t>
        </is>
      </c>
      <c r="D197" s="42" t="n">
        <v>197</v>
      </c>
      <c r="E197" s="42" t="inlineStr">
        <is>
          <t>Освещение</t>
        </is>
      </c>
      <c r="F197" s="42" t="inlineStr">
        <is>
          <t>Material</t>
        </is>
      </c>
      <c r="G197" s="47" t="inlineStr">
        <is>
          <t>RMAT-0094</t>
        </is>
      </c>
      <c r="H197" s="47" t="inlineStr">
        <is>
          <t>MV-0094</t>
        </is>
      </c>
      <c r="I197" s="42" t="inlineStr">
        <is>
          <t>Высокая</t>
        </is>
      </c>
      <c r="J197" s="42" t="inlineStr">
        <is>
          <t>Imported</t>
        </is>
      </c>
      <c r="K197" s="42" t="inlineStr">
        <is>
          <t>Нет</t>
        </is>
      </c>
      <c r="L197" s="48" t="inlineStr">
        <is>
          <t>Нормализовано под генератор КП</t>
        </is>
      </c>
    </row>
    <row r="198">
      <c r="A198" s="41" t="inlineStr">
        <is>
          <t>SRC-0197</t>
        </is>
      </c>
      <c r="B198" s="41" t="inlineStr">
        <is>
          <t>Светильник h=1000</t>
        </is>
      </c>
      <c r="C198" s="41" t="inlineStr">
        <is>
          <t>PRICE_MASTER/RAW_LINES</t>
        </is>
      </c>
      <c r="D198" s="41" t="n">
        <v>198</v>
      </c>
      <c r="E198" s="41" t="inlineStr">
        <is>
          <t>Освещение</t>
        </is>
      </c>
      <c r="F198" s="41" t="inlineStr">
        <is>
          <t>Material</t>
        </is>
      </c>
      <c r="G198" s="44" t="inlineStr">
        <is>
          <t>RMAT-0095</t>
        </is>
      </c>
      <c r="H198" s="44" t="inlineStr">
        <is>
          <t>MV-0095</t>
        </is>
      </c>
      <c r="I198" s="41" t="inlineStr">
        <is>
          <t>Высокая</t>
        </is>
      </c>
      <c r="J198" s="41" t="inlineStr">
        <is>
          <t>Imported</t>
        </is>
      </c>
      <c r="K198" s="41" t="inlineStr">
        <is>
          <t>Нет</t>
        </is>
      </c>
      <c r="L198" s="45" t="inlineStr">
        <is>
          <t>Нормализовано под генератор КП</t>
        </is>
      </c>
    </row>
    <row r="199">
      <c r="A199" s="42" t="inlineStr">
        <is>
          <t>SRC-0198</t>
        </is>
      </c>
      <c r="B199" s="42" t="inlineStr">
        <is>
          <t>Светильник h=600</t>
        </is>
      </c>
      <c r="C199" s="42" t="inlineStr">
        <is>
          <t>PRICE_MASTER/RAW_LINES</t>
        </is>
      </c>
      <c r="D199" s="42" t="n">
        <v>199</v>
      </c>
      <c r="E199" s="42" t="inlineStr">
        <is>
          <t>Освещение</t>
        </is>
      </c>
      <c r="F199" s="42" t="inlineStr">
        <is>
          <t>Material</t>
        </is>
      </c>
      <c r="G199" s="47" t="inlineStr">
        <is>
          <t>RMAT-0096</t>
        </is>
      </c>
      <c r="H199" s="47" t="inlineStr">
        <is>
          <t>MV-0096</t>
        </is>
      </c>
      <c r="I199" s="42" t="inlineStr">
        <is>
          <t>Высокая</t>
        </is>
      </c>
      <c r="J199" s="42" t="inlineStr">
        <is>
          <t>Imported</t>
        </is>
      </c>
      <c r="K199" s="42" t="inlineStr">
        <is>
          <t>Нет</t>
        </is>
      </c>
      <c r="L199" s="48" t="inlineStr">
        <is>
          <t>Нормализовано под генератор КП</t>
        </is>
      </c>
    </row>
    <row r="200">
      <c r="A200" s="41" t="inlineStr">
        <is>
          <t>SRC-0199</t>
        </is>
      </c>
      <c r="B200" s="41" t="inlineStr">
        <is>
          <t>Сетка кладочная яч. 50х50мм d3,5-3,8мм, 0,51х2м</t>
        </is>
      </c>
      <c r="C200" s="41" t="inlineStr">
        <is>
          <t>PRICE_MASTER/RAW_LINES</t>
        </is>
      </c>
      <c r="D200" s="41" t="n">
        <v>200</v>
      </c>
      <c r="E200" s="41" t="inlineStr">
        <is>
          <t>Мощение</t>
        </is>
      </c>
      <c r="F200" s="41" t="inlineStr">
        <is>
          <t>Material</t>
        </is>
      </c>
      <c r="G200" s="44" t="inlineStr">
        <is>
          <t>RMAT-0097</t>
        </is>
      </c>
      <c r="H200" s="44" t="inlineStr">
        <is>
          <t>MV-0097</t>
        </is>
      </c>
      <c r="I200" s="41" t="inlineStr">
        <is>
          <t>Высокая</t>
        </is>
      </c>
      <c r="J200" s="41" t="inlineStr">
        <is>
          <t>Imported</t>
        </is>
      </c>
      <c r="K200" s="41" t="inlineStr">
        <is>
          <t>Нет</t>
        </is>
      </c>
      <c r="L200" s="45" t="inlineStr">
        <is>
          <t>Нормализовано под генератор КП</t>
        </is>
      </c>
    </row>
    <row r="201">
      <c r="A201" s="42" t="inlineStr">
        <is>
          <t>SRC-0200</t>
        </is>
      </c>
      <c r="B201" s="42" t="inlineStr">
        <is>
          <t>Сланец шунгитный (рваный), 40мм</t>
        </is>
      </c>
      <c r="C201" s="42" t="inlineStr">
        <is>
          <t>PRICE_MASTER/RAW_LINES</t>
        </is>
      </c>
      <c r="D201" s="42" t="n">
        <v>201</v>
      </c>
      <c r="E201" s="42" t="inlineStr">
        <is>
          <t>Мощение</t>
        </is>
      </c>
      <c r="F201" s="42" t="inlineStr">
        <is>
          <t>Material</t>
        </is>
      </c>
      <c r="G201" s="47" t="inlineStr">
        <is>
          <t>RMAT-0098</t>
        </is>
      </c>
      <c r="H201" s="47" t="inlineStr">
        <is>
          <t>MV-0098</t>
        </is>
      </c>
      <c r="I201" s="42" t="inlineStr">
        <is>
          <t>Высокая</t>
        </is>
      </c>
      <c r="J201" s="42" t="inlineStr">
        <is>
          <t>Imported</t>
        </is>
      </c>
      <c r="K201" s="42" t="inlineStr">
        <is>
          <t>Нет</t>
        </is>
      </c>
      <c r="L201" s="48" t="inlineStr">
        <is>
          <t>Нормализовано под генератор КП</t>
        </is>
      </c>
    </row>
    <row r="202">
      <c r="A202" s="41" t="inlineStr">
        <is>
          <t>SRC-0201</t>
        </is>
      </c>
      <c r="B202" s="41" t="inlineStr">
        <is>
          <t>Снятие дернины</t>
        </is>
      </c>
      <c r="C202" s="41" t="inlineStr">
        <is>
          <t>PRICE_MASTER/RAW_LINES</t>
        </is>
      </c>
      <c r="D202" s="41" t="n">
        <v>202</v>
      </c>
      <c r="E202" s="41" t="inlineStr">
        <is>
          <t>дренаж</t>
        </is>
      </c>
      <c r="F202" s="41" t="inlineStr">
        <is>
          <t>Work</t>
        </is>
      </c>
      <c r="G202" s="44" t="inlineStr">
        <is>
          <t>RWORK-0102</t>
        </is>
      </c>
      <c r="H202" s="44" t="n"/>
      <c r="I202" s="41" t="inlineStr">
        <is>
          <t>Высокая</t>
        </is>
      </c>
      <c r="J202" s="41" t="inlineStr">
        <is>
          <t>Imported</t>
        </is>
      </c>
      <c r="K202" s="41" t="inlineStr">
        <is>
          <t>Нет</t>
        </is>
      </c>
      <c r="L202" s="45" t="inlineStr">
        <is>
          <t>Нормализовано под генератор КП</t>
        </is>
      </c>
    </row>
    <row r="203">
      <c r="A203" s="42" t="inlineStr">
        <is>
          <t>SRC-0202</t>
        </is>
      </c>
      <c r="B203" s="42" t="inlineStr">
        <is>
          <t>Снятие утрамбованного щебня (бывшая дорожка перед баней)</t>
        </is>
      </c>
      <c r="C203" s="42" t="inlineStr">
        <is>
          <t>PRICE_MASTER/RAW_LINES</t>
        </is>
      </c>
      <c r="D203" s="42" t="n">
        <v>203</v>
      </c>
      <c r="E203" s="42" t="inlineStr">
        <is>
          <t>Дополнительные работы.</t>
        </is>
      </c>
      <c r="F203" s="42" t="inlineStr">
        <is>
          <t>Work</t>
        </is>
      </c>
      <c r="G203" s="47" t="inlineStr">
        <is>
          <t>RWORK-0103</t>
        </is>
      </c>
      <c r="H203" s="47" t="n"/>
      <c r="I203" s="42" t="inlineStr">
        <is>
          <t>Высокая</t>
        </is>
      </c>
      <c r="J203" s="42" t="inlineStr">
        <is>
          <t>Imported</t>
        </is>
      </c>
      <c r="K203" s="42" t="inlineStr">
        <is>
          <t>Нет</t>
        </is>
      </c>
      <c r="L203" s="48" t="inlineStr">
        <is>
          <t>Перенесено из мусорной категории "Дополнительные работы."</t>
        </is>
      </c>
    </row>
    <row r="204">
      <c r="A204" s="41" t="inlineStr">
        <is>
          <t>SRC-0203</t>
        </is>
      </c>
      <c r="B204" s="41" t="inlineStr">
        <is>
          <t>Соединитель CON T3 PIN IP68</t>
        </is>
      </c>
      <c r="C204" s="41" t="inlineStr">
        <is>
          <t>PRICE_MASTER/RAW_LINES</t>
        </is>
      </c>
      <c r="D204" s="41" t="n">
        <v>204</v>
      </c>
      <c r="E204" s="41" t="inlineStr">
        <is>
          <t>Освещение</t>
        </is>
      </c>
      <c r="F204" s="41" t="inlineStr">
        <is>
          <t>Material</t>
        </is>
      </c>
      <c r="G204" s="44" t="inlineStr">
        <is>
          <t>RMAT-0099</t>
        </is>
      </c>
      <c r="H204" s="44" t="inlineStr">
        <is>
          <t>MV-0099</t>
        </is>
      </c>
      <c r="I204" s="41" t="inlineStr">
        <is>
          <t>Высокая</t>
        </is>
      </c>
      <c r="J204" s="41" t="inlineStr">
        <is>
          <t>Imported</t>
        </is>
      </c>
      <c r="K204" s="41" t="inlineStr">
        <is>
          <t>Нет</t>
        </is>
      </c>
      <c r="L204" s="45" t="inlineStr">
        <is>
          <t>Нормализовано под генератор КП</t>
        </is>
      </c>
    </row>
    <row r="205">
      <c r="A205" s="42" t="inlineStr">
        <is>
          <t>SRC-0204</t>
        </is>
      </c>
      <c r="B205" s="42" t="inlineStr">
        <is>
          <t>Спил березы</t>
        </is>
      </c>
      <c r="C205" s="42" t="inlineStr">
        <is>
          <t>PRICE_MASTER/RAW_LINES</t>
        </is>
      </c>
      <c r="D205" s="42" t="n">
        <v>205</v>
      </c>
      <c r="E205" s="42" t="inlineStr">
        <is>
          <t>Дополнительные работы.</t>
        </is>
      </c>
      <c r="F205" s="42" t="inlineStr">
        <is>
          <t>Work</t>
        </is>
      </c>
      <c r="G205" s="47" t="inlineStr">
        <is>
          <t>RWORK-0104</t>
        </is>
      </c>
      <c r="H205" s="47" t="n"/>
      <c r="I205" s="42" t="inlineStr">
        <is>
          <t>Высокая</t>
        </is>
      </c>
      <c r="J205" s="42" t="inlineStr">
        <is>
          <t>Imported</t>
        </is>
      </c>
      <c r="K205" s="42" t="inlineStr">
        <is>
          <t>Нет</t>
        </is>
      </c>
      <c r="L205" s="48" t="inlineStr">
        <is>
          <t>Перенесено из мусорной категории "Дополнительные работы."</t>
        </is>
      </c>
    </row>
    <row r="206">
      <c r="A206" s="49" t="inlineStr">
        <is>
          <t>SRC-0205</t>
        </is>
      </c>
      <c r="B206" s="49" t="inlineStr">
        <is>
          <t>Торф нейтрализованный, 300л</t>
        </is>
      </c>
      <c r="C206" s="49" t="inlineStr">
        <is>
          <t>PRICE_MASTER/RAW_LINES</t>
        </is>
      </c>
      <c r="D206" s="49" t="n">
        <v>206</v>
      </c>
      <c r="E206" s="49" t="inlineStr">
        <is>
          <t>Земельные работы</t>
        </is>
      </c>
      <c r="F206" s="49" t="inlineStr">
        <is>
          <t>Material</t>
        </is>
      </c>
      <c r="G206" s="51" t="inlineStr">
        <is>
          <t>RMAT-0100</t>
        </is>
      </c>
      <c r="H206" s="51" t="inlineStr">
        <is>
          <t>MV-0100</t>
        </is>
      </c>
      <c r="I206" s="49" t="inlineStr">
        <is>
          <t>Средняя</t>
        </is>
      </c>
      <c r="J206" s="49" t="inlineStr">
        <is>
          <t>Imported</t>
        </is>
      </c>
      <c r="K206" s="49" t="inlineStr">
        <is>
          <t>Да</t>
        </is>
      </c>
      <c r="L206" s="52" t="inlineStr">
        <is>
          <t>Нормализовано под генератор КП</t>
        </is>
      </c>
    </row>
    <row r="207">
      <c r="A207" s="42" t="inlineStr">
        <is>
          <t>SRC-0206</t>
        </is>
      </c>
      <c r="B207" s="42" t="inlineStr">
        <is>
          <t>Торфогрунт питательный, 300л</t>
        </is>
      </c>
      <c r="C207" s="42" t="inlineStr">
        <is>
          <t>PRICE_MASTER/RAW_LINES</t>
        </is>
      </c>
      <c r="D207" s="42" t="n">
        <v>207</v>
      </c>
      <c r="E207" s="42" t="inlineStr">
        <is>
          <t>газон</t>
        </is>
      </c>
      <c r="F207" s="42" t="inlineStr">
        <is>
          <t>Material</t>
        </is>
      </c>
      <c r="G207" s="47" t="inlineStr">
        <is>
          <t>RMAT-0101</t>
        </is>
      </c>
      <c r="H207" s="47" t="inlineStr">
        <is>
          <t>MV-0101</t>
        </is>
      </c>
      <c r="I207" s="42" t="inlineStr">
        <is>
          <t>Высокая</t>
        </is>
      </c>
      <c r="J207" s="42" t="inlineStr">
        <is>
          <t>Imported</t>
        </is>
      </c>
      <c r="K207" s="42" t="inlineStr">
        <is>
          <t>Нет</t>
        </is>
      </c>
      <c r="L207" s="48" t="inlineStr">
        <is>
          <t>Нормализовано под генератор КП</t>
        </is>
      </c>
    </row>
    <row r="208">
      <c r="A208" s="49" t="inlineStr">
        <is>
          <t>SRC-0207</t>
        </is>
      </c>
      <c r="B208" s="49" t="inlineStr">
        <is>
          <t>Транспортные расходы</t>
        </is>
      </c>
      <c r="C208" s="49" t="inlineStr">
        <is>
          <t>PRICE_MASTER/RAW_LINES</t>
        </is>
      </c>
      <c r="D208" s="49" t="n">
        <v>208</v>
      </c>
      <c r="E208" s="49" t="inlineStr">
        <is>
          <t>%</t>
        </is>
      </c>
      <c r="F208" s="49" t="inlineStr">
        <is>
          <t>Work</t>
        </is>
      </c>
      <c r="G208" s="51" t="inlineStr">
        <is>
          <t>RWORK-0105</t>
        </is>
      </c>
      <c r="H208" s="51" t="n"/>
      <c r="I208" s="49" t="inlineStr">
        <is>
          <t>Высокая</t>
        </is>
      </c>
      <c r="J208" s="49" t="inlineStr">
        <is>
          <t>Imported</t>
        </is>
      </c>
      <c r="K208" s="49" t="inlineStr">
        <is>
          <t>Да</t>
        </is>
      </c>
      <c r="L208" s="52" t="inlineStr">
        <is>
          <t>Лучше прятать в коэффициент или логистический пакет</t>
        </is>
      </c>
    </row>
    <row r="209">
      <c r="A209" s="42" t="inlineStr">
        <is>
          <t>SRC-0208</t>
        </is>
      </c>
      <c r="B209" s="42" t="inlineStr">
        <is>
          <t>Труба двустенная гофрированная d=110мм SN8</t>
        </is>
      </c>
      <c r="C209" s="42" t="inlineStr">
        <is>
          <t>PRICE_MASTER/RAW_LINES</t>
        </is>
      </c>
      <c r="D209" s="42" t="n">
        <v>209</v>
      </c>
      <c r="E209" s="42" t="inlineStr">
        <is>
          <t>ливневка</t>
        </is>
      </c>
      <c r="F209" s="42" t="inlineStr">
        <is>
          <t>Material</t>
        </is>
      </c>
      <c r="G209" s="47" t="inlineStr">
        <is>
          <t>RMAT-0102</t>
        </is>
      </c>
      <c r="H209" s="47" t="inlineStr">
        <is>
          <t>MV-0102</t>
        </is>
      </c>
      <c r="I209" s="42" t="inlineStr">
        <is>
          <t>Высокая</t>
        </is>
      </c>
      <c r="J209" s="42" t="inlineStr">
        <is>
          <t>Imported</t>
        </is>
      </c>
      <c r="K209" s="42" t="inlineStr">
        <is>
          <t>Нет</t>
        </is>
      </c>
      <c r="L209" s="48" t="inlineStr">
        <is>
          <t>Нормализовано под генератор КП</t>
        </is>
      </c>
    </row>
    <row r="210">
      <c r="A210" s="41" t="inlineStr">
        <is>
          <t>SRC-0209</t>
        </is>
      </c>
      <c r="B210" s="41" t="inlineStr">
        <is>
          <t>Труба дренажная d110 SN6</t>
        </is>
      </c>
      <c r="C210" s="41" t="inlineStr">
        <is>
          <t>PRICE_MASTER/RAW_LINES</t>
        </is>
      </c>
      <c r="D210" s="41" t="n">
        <v>210</v>
      </c>
      <c r="E210" s="41" t="inlineStr">
        <is>
          <t>дренаж</t>
        </is>
      </c>
      <c r="F210" s="41" t="inlineStr">
        <is>
          <t>Material</t>
        </is>
      </c>
      <c r="G210" s="44" t="inlineStr">
        <is>
          <t>RMAT-0103</t>
        </is>
      </c>
      <c r="H210" s="44" t="inlineStr">
        <is>
          <t>MV-0103</t>
        </is>
      </c>
      <c r="I210" s="41" t="inlineStr">
        <is>
          <t>Высокая</t>
        </is>
      </c>
      <c r="J210" s="41" t="inlineStr">
        <is>
          <t>Imported</t>
        </is>
      </c>
      <c r="K210" s="41" t="inlineStr">
        <is>
          <t>Нет</t>
        </is>
      </c>
      <c r="L210" s="45" t="inlineStr">
        <is>
          <t>Нормализовано под генератор КП</t>
        </is>
      </c>
    </row>
    <row r="211">
      <c r="A211" s="42" t="inlineStr">
        <is>
          <t>SRC-0210</t>
        </is>
      </c>
      <c r="B211" s="42" t="inlineStr">
        <is>
          <t>Труба наружной канализации d110мм SN4</t>
        </is>
      </c>
      <c r="C211" s="42" t="inlineStr">
        <is>
          <t>PRICE_MASTER/RAW_LINES</t>
        </is>
      </c>
      <c r="D211" s="42" t="n">
        <v>211</v>
      </c>
      <c r="E211" s="42" t="inlineStr">
        <is>
          <t>Мощение</t>
        </is>
      </c>
      <c r="F211" s="42" t="inlineStr">
        <is>
          <t>Material</t>
        </is>
      </c>
      <c r="G211" s="47" t="inlineStr">
        <is>
          <t>RMAT-0104</t>
        </is>
      </c>
      <c r="H211" s="47" t="inlineStr">
        <is>
          <t>MV-0104</t>
        </is>
      </c>
      <c r="I211" s="42" t="inlineStr">
        <is>
          <t>Высокая</t>
        </is>
      </c>
      <c r="J211" s="42" t="inlineStr">
        <is>
          <t>Imported</t>
        </is>
      </c>
      <c r="K211" s="42" t="inlineStr">
        <is>
          <t>Нет</t>
        </is>
      </c>
      <c r="L211" s="48" t="inlineStr">
        <is>
          <t>Нормализовано под генератор КП</t>
        </is>
      </c>
    </row>
    <row r="212">
      <c r="A212" s="41" t="inlineStr">
        <is>
          <t>SRC-0211</t>
        </is>
      </c>
      <c r="B212" s="41" t="inlineStr">
        <is>
          <t>Труба наружной канализации d110мм SN8</t>
        </is>
      </c>
      <c r="C212" s="41" t="inlineStr">
        <is>
          <t>PRICE_MASTER/RAW_LINES</t>
        </is>
      </c>
      <c r="D212" s="41" t="n">
        <v>212</v>
      </c>
      <c r="E212" s="41" t="inlineStr">
        <is>
          <t>ливневка</t>
        </is>
      </c>
      <c r="F212" s="41" t="inlineStr">
        <is>
          <t>Material</t>
        </is>
      </c>
      <c r="G212" s="44" t="inlineStr">
        <is>
          <t>RMAT-0105</t>
        </is>
      </c>
      <c r="H212" s="44" t="inlineStr">
        <is>
          <t>MV-0105</t>
        </is>
      </c>
      <c r="I212" s="41" t="inlineStr">
        <is>
          <t>Высокая</t>
        </is>
      </c>
      <c r="J212" s="41" t="inlineStr">
        <is>
          <t>Imported</t>
        </is>
      </c>
      <c r="K212" s="41" t="inlineStr">
        <is>
          <t>Нет</t>
        </is>
      </c>
      <c r="L212" s="45" t="inlineStr">
        <is>
          <t>Нормализовано под генератор КП</t>
        </is>
      </c>
    </row>
    <row r="213">
      <c r="A213" s="42" t="inlineStr">
        <is>
          <t>SRC-0212</t>
        </is>
      </c>
      <c r="B213" s="42" t="inlineStr">
        <is>
          <t>Уголок металл., 50*50*5мм</t>
        </is>
      </c>
      <c r="C213" s="42" t="inlineStr">
        <is>
          <t>PRICE_MASTER/RAW_LINES</t>
        </is>
      </c>
      <c r="D213" s="42" t="n">
        <v>213</v>
      </c>
      <c r="E213" s="42" t="inlineStr">
        <is>
          <t>Мощение</t>
        </is>
      </c>
      <c r="F213" s="42" t="inlineStr">
        <is>
          <t>Material</t>
        </is>
      </c>
      <c r="G213" s="47" t="inlineStr">
        <is>
          <t>RMAT-0106</t>
        </is>
      </c>
      <c r="H213" s="47" t="inlineStr">
        <is>
          <t>MV-0106</t>
        </is>
      </c>
      <c r="I213" s="42" t="inlineStr">
        <is>
          <t>Высокая</t>
        </is>
      </c>
      <c r="J213" s="42" t="inlineStr">
        <is>
          <t>Imported</t>
        </is>
      </c>
      <c r="K213" s="42" t="inlineStr">
        <is>
          <t>Нет</t>
        </is>
      </c>
      <c r="L213" s="48" t="inlineStr">
        <is>
          <t>Нормализовано под генератор КП</t>
        </is>
      </c>
    </row>
    <row r="214">
      <c r="A214" s="41" t="inlineStr">
        <is>
          <t>SRC-0213</t>
        </is>
      </c>
      <c r="B214" s="41" t="inlineStr">
        <is>
          <t>Удобрение минеральное длительного действия</t>
        </is>
      </c>
      <c r="C214" s="41" t="inlineStr">
        <is>
          <t>PRICE_MASTER/RAW_LINES</t>
        </is>
      </c>
      <c r="D214" s="41" t="n">
        <v>214</v>
      </c>
      <c r="E214" s="41" t="inlineStr">
        <is>
          <t>Мощение</t>
        </is>
      </c>
      <c r="F214" s="41" t="inlineStr">
        <is>
          <t>Material</t>
        </is>
      </c>
      <c r="G214" s="44" t="inlineStr">
        <is>
          <t>RMAT-0107</t>
        </is>
      </c>
      <c r="H214" s="44" t="inlineStr">
        <is>
          <t>MV-0107</t>
        </is>
      </c>
      <c r="I214" s="41" t="inlineStr">
        <is>
          <t>Высокая</t>
        </is>
      </c>
      <c r="J214" s="41" t="inlineStr">
        <is>
          <t>Imported</t>
        </is>
      </c>
      <c r="K214" s="41" t="inlineStr">
        <is>
          <t>Нет</t>
        </is>
      </c>
      <c r="L214" s="45" t="inlineStr">
        <is>
          <t>Нормализовано под генератор КП</t>
        </is>
      </c>
    </row>
    <row r="215">
      <c r="A215" s="42" t="inlineStr">
        <is>
          <t>SRC-0214</t>
        </is>
      </c>
      <c r="B215" s="42" t="inlineStr">
        <is>
          <t>Удобрение универсальн., газонное</t>
        </is>
      </c>
      <c r="C215" s="42" t="inlineStr">
        <is>
          <t>PRICE_MASTER/RAW_LINES</t>
        </is>
      </c>
      <c r="D215" s="42" t="n">
        <v>215</v>
      </c>
      <c r="E215" s="42" t="inlineStr">
        <is>
          <t>газон</t>
        </is>
      </c>
      <c r="F215" s="42" t="inlineStr">
        <is>
          <t>Material</t>
        </is>
      </c>
      <c r="G215" s="47" t="inlineStr">
        <is>
          <t>RMAT-0108</t>
        </is>
      </c>
      <c r="H215" s="47" t="inlineStr">
        <is>
          <t>MV-0108</t>
        </is>
      </c>
      <c r="I215" s="42" t="inlineStr">
        <is>
          <t>Высокая</t>
        </is>
      </c>
      <c r="J215" s="42" t="inlineStr">
        <is>
          <t>Imported</t>
        </is>
      </c>
      <c r="K215" s="42" t="inlineStr">
        <is>
          <t>Нет</t>
        </is>
      </c>
      <c r="L215" s="48" t="inlineStr">
        <is>
          <t>Нормализовано под генератор КП</t>
        </is>
      </c>
    </row>
    <row r="216">
      <c r="A216" s="41" t="inlineStr">
        <is>
          <t>SRC-0215</t>
        </is>
      </c>
      <c r="B216" s="41" t="inlineStr">
        <is>
          <t>Укладка силового бронированного кабеля с сигнальной лентой</t>
        </is>
      </c>
      <c r="C216" s="41" t="inlineStr">
        <is>
          <t>PRICE_MASTER/RAW_LINES</t>
        </is>
      </c>
      <c r="D216" s="41" t="n">
        <v>216</v>
      </c>
      <c r="E216" s="41" t="inlineStr">
        <is>
          <t>Освещение</t>
        </is>
      </c>
      <c r="F216" s="41" t="inlineStr">
        <is>
          <t>Work</t>
        </is>
      </c>
      <c r="G216" s="44" t="inlineStr">
        <is>
          <t>RWORK-0106</t>
        </is>
      </c>
      <c r="H216" s="44" t="n"/>
      <c r="I216" s="41" t="inlineStr">
        <is>
          <t>Высокая</t>
        </is>
      </c>
      <c r="J216" s="41" t="inlineStr">
        <is>
          <t>Imported</t>
        </is>
      </c>
      <c r="K216" s="41" t="inlineStr">
        <is>
          <t>Нет</t>
        </is>
      </c>
      <c r="L216" s="45" t="inlineStr">
        <is>
          <t>Нормализовано под генератор КП</t>
        </is>
      </c>
    </row>
    <row r="217">
      <c r="A217" s="42" t="inlineStr">
        <is>
          <t>SRC-0216</t>
        </is>
      </c>
      <c r="B217" s="42" t="inlineStr">
        <is>
          <t>Укладка геотекстиля</t>
        </is>
      </c>
      <c r="C217" s="42" t="inlineStr">
        <is>
          <t>PRICE_MASTER/RAW_LINES</t>
        </is>
      </c>
      <c r="D217" s="42" t="n">
        <v>217</v>
      </c>
      <c r="E217" s="42" t="inlineStr">
        <is>
          <t>Мощение</t>
        </is>
      </c>
      <c r="F217" s="42" t="inlineStr">
        <is>
          <t>Work</t>
        </is>
      </c>
      <c r="G217" s="47" t="inlineStr">
        <is>
          <t>RWORK-0107</t>
        </is>
      </c>
      <c r="H217" s="47" t="n"/>
      <c r="I217" s="42" t="inlineStr">
        <is>
          <t>Высокая</t>
        </is>
      </c>
      <c r="J217" s="42" t="inlineStr">
        <is>
          <t>Imported</t>
        </is>
      </c>
      <c r="K217" s="42" t="inlineStr">
        <is>
          <t>Нет</t>
        </is>
      </c>
      <c r="L217" s="48" t="inlineStr">
        <is>
          <t>Нормализовано под генератор КП</t>
        </is>
      </c>
    </row>
    <row r="218">
      <c r="A218" s="41" t="inlineStr">
        <is>
          <t>SRC-0217</t>
        </is>
      </c>
      <c r="B218" s="41" t="inlineStr">
        <is>
          <t>Укладка кабеля с креплением - под настилом, для освещения подпорных стенок, в стойках ограждения</t>
        </is>
      </c>
      <c r="C218" s="41" t="inlineStr">
        <is>
          <t>PRICE_MASTER/RAW_LINES</t>
        </is>
      </c>
      <c r="D218" s="41" t="n">
        <v>218</v>
      </c>
      <c r="E218" s="41" t="inlineStr">
        <is>
          <t>Освещение</t>
        </is>
      </c>
      <c r="F218" s="41" t="inlineStr">
        <is>
          <t>Work</t>
        </is>
      </c>
      <c r="G218" s="44" t="inlineStr">
        <is>
          <t>RWORK-0108</t>
        </is>
      </c>
      <c r="H218" s="44" t="n"/>
      <c r="I218" s="41" t="inlineStr">
        <is>
          <t>Высокая</t>
        </is>
      </c>
      <c r="J218" s="41" t="inlineStr">
        <is>
          <t>Imported</t>
        </is>
      </c>
      <c r="K218" s="41" t="inlineStr">
        <is>
          <t>Нет</t>
        </is>
      </c>
      <c r="L218" s="45" t="inlineStr">
        <is>
          <t>Нормализовано под генератор КП</t>
        </is>
      </c>
    </row>
    <row r="219">
      <c r="A219" s="42" t="inlineStr">
        <is>
          <t>SRC-0218</t>
        </is>
      </c>
      <c r="B219" s="42" t="inlineStr">
        <is>
          <t>Укрепление крайнего ряда мощения</t>
        </is>
      </c>
      <c r="C219" s="42" t="inlineStr">
        <is>
          <t>PRICE_MASTER/RAW_LINES</t>
        </is>
      </c>
      <c r="D219" s="42" t="n">
        <v>219</v>
      </c>
      <c r="E219" s="42" t="inlineStr">
        <is>
          <t>Мощение</t>
        </is>
      </c>
      <c r="F219" s="42" t="inlineStr">
        <is>
          <t>Work</t>
        </is>
      </c>
      <c r="G219" s="47" t="inlineStr">
        <is>
          <t>RWORK-0109</t>
        </is>
      </c>
      <c r="H219" s="47" t="n"/>
      <c r="I219" s="42" t="inlineStr">
        <is>
          <t>Высокая</t>
        </is>
      </c>
      <c r="J219" s="42" t="inlineStr">
        <is>
          <t>Imported</t>
        </is>
      </c>
      <c r="K219" s="42" t="inlineStr">
        <is>
          <t>Нет</t>
        </is>
      </c>
      <c r="L219" s="48" t="inlineStr">
        <is>
          <t>Нормализовано под генератор КП</t>
        </is>
      </c>
    </row>
    <row r="220">
      <c r="A220" s="41" t="inlineStr">
        <is>
          <t>SRC-0219</t>
        </is>
      </c>
      <c r="B220" s="41" t="inlineStr">
        <is>
          <t>Уплотнение основания виброплитой</t>
        </is>
      </c>
      <c r="C220" s="41" t="inlineStr">
        <is>
          <t>PRICE_MASTER/RAW_LINES</t>
        </is>
      </c>
      <c r="D220" s="41" t="n">
        <v>220</v>
      </c>
      <c r="E220" s="41" t="inlineStr">
        <is>
          <t>Мощение</t>
        </is>
      </c>
      <c r="F220" s="41" t="inlineStr">
        <is>
          <t>Work</t>
        </is>
      </c>
      <c r="G220" s="44" t="inlineStr">
        <is>
          <t>RWORK-0110</t>
        </is>
      </c>
      <c r="H220" s="44" t="n"/>
      <c r="I220" s="41" t="inlineStr">
        <is>
          <t>Высокая</t>
        </is>
      </c>
      <c r="J220" s="41" t="inlineStr">
        <is>
          <t>Imported</t>
        </is>
      </c>
      <c r="K220" s="41" t="inlineStr">
        <is>
          <t>Нет</t>
        </is>
      </c>
      <c r="L220" s="45" t="inlineStr">
        <is>
          <t>Нормализовано под генератор КП</t>
        </is>
      </c>
    </row>
    <row r="221">
      <c r="A221" s="42" t="inlineStr">
        <is>
          <t>SRC-0220</t>
        </is>
      </c>
      <c r="B221" s="42" t="inlineStr">
        <is>
          <t>Установка бордюра (криволинейная)</t>
        </is>
      </c>
      <c r="C221" s="42" t="inlineStr">
        <is>
          <t>PRICE_MASTER/RAW_LINES</t>
        </is>
      </c>
      <c r="D221" s="42" t="n">
        <v>221</v>
      </c>
      <c r="E221" s="42" t="inlineStr">
        <is>
          <t>газон</t>
        </is>
      </c>
      <c r="F221" s="42" t="inlineStr">
        <is>
          <t>Material</t>
        </is>
      </c>
      <c r="G221" s="47" t="inlineStr">
        <is>
          <t>RMAT-0109</t>
        </is>
      </c>
      <c r="H221" s="47" t="inlineStr">
        <is>
          <t>MV-0109</t>
        </is>
      </c>
      <c r="I221" s="42" t="inlineStr">
        <is>
          <t>Высокая</t>
        </is>
      </c>
      <c r="J221" s="42" t="inlineStr">
        <is>
          <t>Imported</t>
        </is>
      </c>
      <c r="K221" s="42" t="inlineStr">
        <is>
          <t>Нет</t>
        </is>
      </c>
      <c r="L221" s="48" t="inlineStr">
        <is>
          <t>Нормализовано под генератор КП</t>
        </is>
      </c>
    </row>
    <row r="222">
      <c r="A222" s="41" t="inlineStr">
        <is>
          <t>SRC-0221</t>
        </is>
      </c>
      <c r="B222" s="41" t="inlineStr">
        <is>
          <t>Установка бордюра металлического</t>
        </is>
      </c>
      <c r="C222" s="41" t="inlineStr">
        <is>
          <t>PRICE_MASTER/RAW_LINES</t>
        </is>
      </c>
      <c r="D222" s="41" t="n">
        <v>222</v>
      </c>
      <c r="E222" s="41" t="inlineStr">
        <is>
          <t>Мощение</t>
        </is>
      </c>
      <c r="F222" s="41" t="inlineStr">
        <is>
          <t>Material</t>
        </is>
      </c>
      <c r="G222" s="44" t="inlineStr">
        <is>
          <t>RMAT-0110</t>
        </is>
      </c>
      <c r="H222" s="44" t="inlineStr">
        <is>
          <t>MV-0110</t>
        </is>
      </c>
      <c r="I222" s="41" t="inlineStr">
        <is>
          <t>Высокая</t>
        </is>
      </c>
      <c r="J222" s="41" t="inlineStr">
        <is>
          <t>Imported</t>
        </is>
      </c>
      <c r="K222" s="41" t="inlineStr">
        <is>
          <t>Нет</t>
        </is>
      </c>
      <c r="L222" s="45" t="inlineStr">
        <is>
          <t>Нормализовано под генератор КП</t>
        </is>
      </c>
    </row>
    <row r="223">
      <c r="A223" s="42" t="inlineStr">
        <is>
          <t>SRC-0222</t>
        </is>
      </c>
      <c r="B223" s="42" t="inlineStr">
        <is>
          <t>Установка бордюра ограничивающего (доска, брусок)</t>
        </is>
      </c>
      <c r="C223" s="42" t="inlineStr">
        <is>
          <t>PRICE_MASTER/RAW_LINES</t>
        </is>
      </c>
      <c r="D223" s="42" t="n">
        <v>223</v>
      </c>
      <c r="E223" s="42" t="inlineStr">
        <is>
          <t>газон</t>
        </is>
      </c>
      <c r="F223" s="42" t="inlineStr">
        <is>
          <t>Material</t>
        </is>
      </c>
      <c r="G223" s="47" t="inlineStr">
        <is>
          <t>RMAT-0111</t>
        </is>
      </c>
      <c r="H223" s="47" t="inlineStr">
        <is>
          <t>MV-0111</t>
        </is>
      </c>
      <c r="I223" s="42" t="inlineStr">
        <is>
          <t>Высокая</t>
        </is>
      </c>
      <c r="J223" s="42" t="inlineStr">
        <is>
          <t>Imported</t>
        </is>
      </c>
      <c r="K223" s="42" t="inlineStr">
        <is>
          <t>Нет</t>
        </is>
      </c>
      <c r="L223" s="48" t="inlineStr">
        <is>
          <t>Нормализовано под генератор КП</t>
        </is>
      </c>
    </row>
    <row r="224">
      <c r="A224" s="41" t="inlineStr">
        <is>
          <t>SRC-0223</t>
        </is>
      </c>
      <c r="B224" s="41" t="inlineStr">
        <is>
          <t>Установка бордюра пластикового</t>
        </is>
      </c>
      <c r="C224" s="41" t="inlineStr">
        <is>
          <t>PRICE_MASTER/RAW_LINES</t>
        </is>
      </c>
      <c r="D224" s="41" t="n">
        <v>224</v>
      </c>
      <c r="E224" s="41" t="inlineStr">
        <is>
          <t>Мощение</t>
        </is>
      </c>
      <c r="F224" s="41" t="inlineStr">
        <is>
          <t>Material</t>
        </is>
      </c>
      <c r="G224" s="44" t="inlineStr">
        <is>
          <t>RMAT-0112</t>
        </is>
      </c>
      <c r="H224" s="44" t="inlineStr">
        <is>
          <t>MV-0112</t>
        </is>
      </c>
      <c r="I224" s="41" t="inlineStr">
        <is>
          <t>Высокая</t>
        </is>
      </c>
      <c r="J224" s="41" t="inlineStr">
        <is>
          <t>Imported</t>
        </is>
      </c>
      <c r="K224" s="41" t="inlineStr">
        <is>
          <t>Нет</t>
        </is>
      </c>
      <c r="L224" s="45" t="inlineStr">
        <is>
          <t>Нормализовано под генератор КП</t>
        </is>
      </c>
    </row>
    <row r="225">
      <c r="A225" s="42" t="inlineStr">
        <is>
          <t>SRC-0224</t>
        </is>
      </c>
      <c r="B225" s="42" t="inlineStr">
        <is>
          <t>Устройство армокаркасов</t>
        </is>
      </c>
      <c r="C225" s="42" t="inlineStr">
        <is>
          <t>PRICE_MASTER/RAW_LINES</t>
        </is>
      </c>
      <c r="D225" s="42" t="n">
        <v>225</v>
      </c>
      <c r="E225" s="42" t="inlineStr">
        <is>
          <t>ступени</t>
        </is>
      </c>
      <c r="F225" s="42" t="inlineStr">
        <is>
          <t>Work</t>
        </is>
      </c>
      <c r="G225" s="47" t="inlineStr">
        <is>
          <t>RWORK-0111</t>
        </is>
      </c>
      <c r="H225" s="47" t="n"/>
      <c r="I225" s="42" t="inlineStr">
        <is>
          <t>Высокая</t>
        </is>
      </c>
      <c r="J225" s="42" t="inlineStr">
        <is>
          <t>Imported</t>
        </is>
      </c>
      <c r="K225" s="42" t="inlineStr">
        <is>
          <t>Нет</t>
        </is>
      </c>
      <c r="L225" s="48" t="inlineStr">
        <is>
          <t>Нормализовано под генератор КП</t>
        </is>
      </c>
    </row>
    <row r="226">
      <c r="A226" s="41" t="inlineStr">
        <is>
          <t>SRC-0225</t>
        </is>
      </c>
      <c r="B226" s="41" t="inlineStr">
        <is>
          <t>Устройство бесшовного покрытия отмостки из резиновой крошки, 10мм (с материалами)</t>
        </is>
      </c>
      <c r="C226" s="41" t="inlineStr">
        <is>
          <t>PRICE_MASTER/RAW_LINES</t>
        </is>
      </c>
      <c r="D226" s="41" t="n">
        <v>226</v>
      </c>
      <c r="E226" s="41" t="inlineStr">
        <is>
          <t>Мощение</t>
        </is>
      </c>
      <c r="F226" s="41" t="inlineStr">
        <is>
          <t>Work</t>
        </is>
      </c>
      <c r="G226" s="44" t="inlineStr">
        <is>
          <t>RWORK-0112</t>
        </is>
      </c>
      <c r="H226" s="44" t="n"/>
      <c r="I226" s="41" t="inlineStr">
        <is>
          <t>Высокая</t>
        </is>
      </c>
      <c r="J226" s="41" t="inlineStr">
        <is>
          <t>Imported</t>
        </is>
      </c>
      <c r="K226" s="41" t="inlineStr">
        <is>
          <t>Нет</t>
        </is>
      </c>
      <c r="L226" s="45" t="inlineStr">
        <is>
          <t>Нормализовано под генератор КП</t>
        </is>
      </c>
    </row>
    <row r="227">
      <c r="A227" s="42" t="inlineStr">
        <is>
          <t>SRC-0226</t>
        </is>
      </c>
      <c r="B227" s="42" t="inlineStr">
        <is>
          <t>Устройство бордюра из габбро-диабаза в два ряда на бетон 80*80*80мм</t>
        </is>
      </c>
      <c r="C227" s="42" t="inlineStr">
        <is>
          <t>PRICE_MASTER/RAW_LINES</t>
        </is>
      </c>
      <c r="D227" s="42" t="n">
        <v>227</v>
      </c>
      <c r="E227" s="42" t="inlineStr">
        <is>
          <t>Мощение</t>
        </is>
      </c>
      <c r="F227" s="42" t="inlineStr">
        <is>
          <t>Work</t>
        </is>
      </c>
      <c r="G227" s="47" t="inlineStr">
        <is>
          <t>RWORK-0113</t>
        </is>
      </c>
      <c r="H227" s="47" t="n"/>
      <c r="I227" s="42" t="inlineStr">
        <is>
          <t>Высокая</t>
        </is>
      </c>
      <c r="J227" s="42" t="inlineStr">
        <is>
          <t>Imported</t>
        </is>
      </c>
      <c r="K227" s="42" t="inlineStr">
        <is>
          <t>Нет</t>
        </is>
      </c>
      <c r="L227" s="48" t="inlineStr">
        <is>
          <t>Нормализовано под генератор КП</t>
        </is>
      </c>
    </row>
    <row r="228">
      <c r="A228" s="41" t="inlineStr">
        <is>
          <t>SRC-0227</t>
        </is>
      </c>
      <c r="B228" s="41" t="inlineStr">
        <is>
          <t>Устройство бордюра из габбро-диабаза в один ряд на бетон 80*80*80мм</t>
        </is>
      </c>
      <c r="C228" s="41" t="inlineStr">
        <is>
          <t>PRICE_MASTER/RAW_LINES</t>
        </is>
      </c>
      <c r="D228" s="41" t="n">
        <v>228</v>
      </c>
      <c r="E228" s="41" t="inlineStr">
        <is>
          <t>Мощение</t>
        </is>
      </c>
      <c r="F228" s="41" t="inlineStr">
        <is>
          <t>Work</t>
        </is>
      </c>
      <c r="G228" s="44" t="inlineStr">
        <is>
          <t>RWORK-0114</t>
        </is>
      </c>
      <c r="H228" s="44" t="n"/>
      <c r="I228" s="41" t="inlineStr">
        <is>
          <t>Высокая</t>
        </is>
      </c>
      <c r="J228" s="41" t="inlineStr">
        <is>
          <t>Imported</t>
        </is>
      </c>
      <c r="K228" s="41" t="inlineStr">
        <is>
          <t>Нет</t>
        </is>
      </c>
      <c r="L228" s="45" t="inlineStr">
        <is>
          <t>Нормализовано под генератор КП</t>
        </is>
      </c>
    </row>
    <row r="229">
      <c r="A229" s="42" t="inlineStr">
        <is>
          <t>SRC-0228</t>
        </is>
      </c>
      <c r="B229" s="42" t="inlineStr">
        <is>
          <t>Устройство врезок в бетонный колодец d110мм</t>
        </is>
      </c>
      <c r="C229" s="42" t="inlineStr">
        <is>
          <t>PRICE_MASTER/RAW_LINES</t>
        </is>
      </c>
      <c r="D229" s="42" t="n">
        <v>229</v>
      </c>
      <c r="E229" s="42" t="inlineStr">
        <is>
          <t>ливневка</t>
        </is>
      </c>
      <c r="F229" s="42" t="inlineStr">
        <is>
          <t>Work</t>
        </is>
      </c>
      <c r="G229" s="47" t="inlineStr">
        <is>
          <t>RWORK-0115</t>
        </is>
      </c>
      <c r="H229" s="47" t="n"/>
      <c r="I229" s="42" t="inlineStr">
        <is>
          <t>Высокая</t>
        </is>
      </c>
      <c r="J229" s="42" t="inlineStr">
        <is>
          <t>Imported</t>
        </is>
      </c>
      <c r="K229" s="42" t="inlineStr">
        <is>
          <t>Нет</t>
        </is>
      </c>
      <c r="L229" s="48" t="inlineStr">
        <is>
          <t>Нормализовано под генератор КП</t>
        </is>
      </c>
    </row>
    <row r="230">
      <c r="A230" s="41" t="inlineStr">
        <is>
          <t>SRC-0229</t>
        </is>
      </c>
      <c r="B230" s="41" t="inlineStr">
        <is>
          <t>Устройство врезок в бетонный колодец d160мм</t>
        </is>
      </c>
      <c r="C230" s="41" t="inlineStr">
        <is>
          <t>PRICE_MASTER/RAW_LINES</t>
        </is>
      </c>
      <c r="D230" s="41" t="n">
        <v>230</v>
      </c>
      <c r="E230" s="41" t="inlineStr">
        <is>
          <t>ливневка</t>
        </is>
      </c>
      <c r="F230" s="41" t="inlineStr">
        <is>
          <t>Work</t>
        </is>
      </c>
      <c r="G230" s="44" t="inlineStr">
        <is>
          <t>RWORK-0116</t>
        </is>
      </c>
      <c r="H230" s="44" t="n"/>
      <c r="I230" s="41" t="inlineStr">
        <is>
          <t>Высокая</t>
        </is>
      </c>
      <c r="J230" s="41" t="inlineStr">
        <is>
          <t>Imported</t>
        </is>
      </c>
      <c r="K230" s="41" t="inlineStr">
        <is>
          <t>Нет</t>
        </is>
      </c>
      <c r="L230" s="45" t="inlineStr">
        <is>
          <t>Нормализовано под генератор КП</t>
        </is>
      </c>
    </row>
    <row r="231">
      <c r="A231" s="42" t="inlineStr">
        <is>
          <t>SRC-0230</t>
        </is>
      </c>
      <c r="B231" s="42" t="inlineStr">
        <is>
          <t>Устройство врезок в колодец</t>
        </is>
      </c>
      <c r="C231" s="42" t="inlineStr">
        <is>
          <t>PRICE_MASTER/RAW_LINES</t>
        </is>
      </c>
      <c r="D231" s="42" t="n">
        <v>231</v>
      </c>
      <c r="E231" s="42" t="inlineStr">
        <is>
          <t>ливневка</t>
        </is>
      </c>
      <c r="F231" s="42" t="inlineStr">
        <is>
          <t>Work</t>
        </is>
      </c>
      <c r="G231" s="47" t="inlineStr">
        <is>
          <t>RWORK-0117</t>
        </is>
      </c>
      <c r="H231" s="47" t="n"/>
      <c r="I231" s="42" t="inlineStr">
        <is>
          <t>Высокая</t>
        </is>
      </c>
      <c r="J231" s="42" t="inlineStr">
        <is>
          <t>Imported</t>
        </is>
      </c>
      <c r="K231" s="42" t="inlineStr">
        <is>
          <t>Нет</t>
        </is>
      </c>
      <c r="L231" s="48" t="inlineStr">
        <is>
          <t>Нормализовано под генератор КП</t>
        </is>
      </c>
    </row>
    <row r="232">
      <c r="A232" s="41" t="inlineStr">
        <is>
          <t>SRC-0231</t>
        </is>
      </c>
      <c r="B232" s="41" t="inlineStr">
        <is>
          <t>Устройство временной съемной опалубки</t>
        </is>
      </c>
      <c r="C232" s="41" t="inlineStr">
        <is>
          <t>PRICE_MASTER/RAW_LINES</t>
        </is>
      </c>
      <c r="D232" s="41" t="n">
        <v>232</v>
      </c>
      <c r="E232" s="41" t="inlineStr">
        <is>
          <t>Мощение</t>
        </is>
      </c>
      <c r="F232" s="41" t="inlineStr">
        <is>
          <t>Work</t>
        </is>
      </c>
      <c r="G232" s="44" t="inlineStr">
        <is>
          <t>RWORK-0118</t>
        </is>
      </c>
      <c r="H232" s="44" t="n"/>
      <c r="I232" s="41" t="inlineStr">
        <is>
          <t>Высокая</t>
        </is>
      </c>
      <c r="J232" s="41" t="inlineStr">
        <is>
          <t>Imported</t>
        </is>
      </c>
      <c r="K232" s="41" t="inlineStr">
        <is>
          <t>Нет</t>
        </is>
      </c>
      <c r="L232" s="45" t="inlineStr">
        <is>
          <t>Нормализовано под генератор КП</t>
        </is>
      </c>
    </row>
    <row r="233">
      <c r="A233" s="42" t="inlineStr">
        <is>
          <t>SRC-0232</t>
        </is>
      </c>
      <c r="B233" s="42" t="inlineStr">
        <is>
          <t>Устройство выравнивающего слоя (5-20мм)</t>
        </is>
      </c>
      <c r="C233" s="42" t="inlineStr">
        <is>
          <t>PRICE_MASTER/RAW_LINES</t>
        </is>
      </c>
      <c r="D233" s="42" t="n">
        <v>233</v>
      </c>
      <c r="E233" s="42" t="inlineStr">
        <is>
          <t>Мощение</t>
        </is>
      </c>
      <c r="F233" s="42" t="inlineStr">
        <is>
          <t>Work</t>
        </is>
      </c>
      <c r="G233" s="47" t="inlineStr">
        <is>
          <t>RWORK-0119</t>
        </is>
      </c>
      <c r="H233" s="47" t="n"/>
      <c r="I233" s="42" t="inlineStr">
        <is>
          <t>Высокая</t>
        </is>
      </c>
      <c r="J233" s="42" t="inlineStr">
        <is>
          <t>Imported</t>
        </is>
      </c>
      <c r="K233" s="42" t="inlineStr">
        <is>
          <t>Нет</t>
        </is>
      </c>
      <c r="L233" s="48" t="inlineStr">
        <is>
          <t>Нормализовано под генератор КП</t>
        </is>
      </c>
    </row>
    <row r="234">
      <c r="A234" s="41" t="inlineStr">
        <is>
          <t>SRC-0233</t>
        </is>
      </c>
      <c r="B234" s="41" t="inlineStr">
        <is>
          <t>Устройство газонного ложа</t>
        </is>
      </c>
      <c r="C234" s="41" t="inlineStr">
        <is>
          <t>PRICE_MASTER/RAW_LINES</t>
        </is>
      </c>
      <c r="D234" s="41" t="n">
        <v>234</v>
      </c>
      <c r="E234" s="41" t="inlineStr">
        <is>
          <t>газон</t>
        </is>
      </c>
      <c r="F234" s="41" t="inlineStr">
        <is>
          <t>Work</t>
        </is>
      </c>
      <c r="G234" s="44" t="inlineStr">
        <is>
          <t>RWORK-0120</t>
        </is>
      </c>
      <c r="H234" s="44" t="n"/>
      <c r="I234" s="41" t="inlineStr">
        <is>
          <t>Высокая</t>
        </is>
      </c>
      <c r="J234" s="41" t="inlineStr">
        <is>
          <t>Imported</t>
        </is>
      </c>
      <c r="K234" s="41" t="inlineStr">
        <is>
          <t>Нет</t>
        </is>
      </c>
      <c r="L234" s="45" t="inlineStr">
        <is>
          <t>Нормализовано под генератор КП</t>
        </is>
      </c>
    </row>
    <row r="235">
      <c r="A235" s="42" t="inlineStr">
        <is>
          <t>SRC-0234</t>
        </is>
      </c>
      <c r="B235" s="42" t="inlineStr">
        <is>
          <t>Устройство газонного ложа для обыкновенного газона: грунт плодородный (торфогрунт:песок:дерновая земля - 1:2:3), 150мм</t>
        </is>
      </c>
      <c r="C235" s="42" t="inlineStr">
        <is>
          <t>PRICE_MASTER/RAW_LINES</t>
        </is>
      </c>
      <c r="D235" s="42" t="n">
        <v>235</v>
      </c>
      <c r="E235" s="42" t="inlineStr">
        <is>
          <t>Мощение</t>
        </is>
      </c>
      <c r="F235" s="42" t="inlineStr">
        <is>
          <t>Work</t>
        </is>
      </c>
      <c r="G235" s="47" t="inlineStr">
        <is>
          <t>RWORK-0121</t>
        </is>
      </c>
      <c r="H235" s="47" t="n"/>
      <c r="I235" s="42" t="inlineStr">
        <is>
          <t>Высокая</t>
        </is>
      </c>
      <c r="J235" s="42" t="inlineStr">
        <is>
          <t>Imported</t>
        </is>
      </c>
      <c r="K235" s="42" t="inlineStr">
        <is>
          <t>Нет</t>
        </is>
      </c>
      <c r="L235" s="48" t="inlineStr">
        <is>
          <t>Нормализовано под генератор КП</t>
        </is>
      </c>
    </row>
    <row r="236">
      <c r="A236" s="41" t="inlineStr">
        <is>
          <t>SRC-0235</t>
        </is>
      </c>
      <c r="B236" s="41" t="inlineStr">
        <is>
          <t>Устройство газонного ложа для обыкновенного газона: грунт плодородный (торфогрунт:песок:дерновая земля - 1:2:3), 160мм</t>
        </is>
      </c>
      <c r="C236" s="41" t="inlineStr">
        <is>
          <t>PRICE_MASTER/RAW_LINES</t>
        </is>
      </c>
      <c r="D236" s="41" t="n">
        <v>236</v>
      </c>
      <c r="E236" s="41" t="inlineStr">
        <is>
          <t>газон</t>
        </is>
      </c>
      <c r="F236" s="41" t="inlineStr">
        <is>
          <t>Work</t>
        </is>
      </c>
      <c r="G236" s="44" t="inlineStr">
        <is>
          <t>RWORK-0122</t>
        </is>
      </c>
      <c r="H236" s="44" t="n"/>
      <c r="I236" s="41" t="inlineStr">
        <is>
          <t>Высокая</t>
        </is>
      </c>
      <c r="J236" s="41" t="inlineStr">
        <is>
          <t>Imported</t>
        </is>
      </c>
      <c r="K236" s="41" t="inlineStr">
        <is>
          <t>Нет</t>
        </is>
      </c>
      <c r="L236" s="45" t="inlineStr">
        <is>
          <t>Нормализовано под генератор КП</t>
        </is>
      </c>
    </row>
    <row r="237">
      <c r="A237" s="42" t="inlineStr">
        <is>
          <t>SRC-0236</t>
        </is>
      </c>
      <c r="B237" s="42" t="inlineStr">
        <is>
          <t>Устройство гравийного покрытия</t>
        </is>
      </c>
      <c r="C237" s="42" t="inlineStr">
        <is>
          <t>PRICE_MASTER/RAW_LINES</t>
        </is>
      </c>
      <c r="D237" s="42" t="n">
        <v>237</v>
      </c>
      <c r="E237" s="42" t="inlineStr">
        <is>
          <t>Мощение</t>
        </is>
      </c>
      <c r="F237" s="42" t="inlineStr">
        <is>
          <t>Work</t>
        </is>
      </c>
      <c r="G237" s="47" t="inlineStr">
        <is>
          <t>RWORK-0123</t>
        </is>
      </c>
      <c r="H237" s="47" t="n"/>
      <c r="I237" s="42" t="inlineStr">
        <is>
          <t>Высокая</t>
        </is>
      </c>
      <c r="J237" s="42" t="inlineStr">
        <is>
          <t>Imported</t>
        </is>
      </c>
      <c r="K237" s="42" t="inlineStr">
        <is>
          <t>Нет</t>
        </is>
      </c>
      <c r="L237" s="48" t="inlineStr">
        <is>
          <t>Нормализовано под генератор КП</t>
        </is>
      </c>
    </row>
    <row r="238">
      <c r="A238" s="41" t="inlineStr">
        <is>
          <t>SRC-0237</t>
        </is>
      </c>
      <c r="B238" s="41" t="inlineStr">
        <is>
          <t>Устройство декинга</t>
        </is>
      </c>
      <c r="C238" s="41" t="inlineStr">
        <is>
          <t>PRICE_MASTER/RAW_LINES</t>
        </is>
      </c>
      <c r="D238" s="41" t="n">
        <v>238</v>
      </c>
      <c r="E238" s="41" t="inlineStr">
        <is>
          <t>Мощение</t>
        </is>
      </c>
      <c r="F238" s="41" t="inlineStr">
        <is>
          <t>Work</t>
        </is>
      </c>
      <c r="G238" s="44" t="inlineStr">
        <is>
          <t>RWORK-0124</t>
        </is>
      </c>
      <c r="H238" s="44" t="n"/>
      <c r="I238" s="41" t="inlineStr">
        <is>
          <t>Высокая</t>
        </is>
      </c>
      <c r="J238" s="41" t="inlineStr">
        <is>
          <t>Imported</t>
        </is>
      </c>
      <c r="K238" s="41" t="inlineStr">
        <is>
          <t>Нет</t>
        </is>
      </c>
      <c r="L238" s="45" t="inlineStr">
        <is>
          <t>Нормализовано под генератор КП</t>
        </is>
      </c>
    </row>
    <row r="239">
      <c r="A239" s="42" t="inlineStr">
        <is>
          <t>SRC-0238</t>
        </is>
      </c>
      <c r="B239" s="42" t="inlineStr">
        <is>
          <t>Устройство деревянной опалубки</t>
        </is>
      </c>
      <c r="C239" s="42" t="inlineStr">
        <is>
          <t>PRICE_MASTER/RAW_LINES</t>
        </is>
      </c>
      <c r="D239" s="42" t="n">
        <v>239</v>
      </c>
      <c r="E239" s="42" t="inlineStr">
        <is>
          <t>дренаж</t>
        </is>
      </c>
      <c r="F239" s="42" t="inlineStr">
        <is>
          <t>Work</t>
        </is>
      </c>
      <c r="G239" s="47" t="inlineStr">
        <is>
          <t>RWORK-0125</t>
        </is>
      </c>
      <c r="H239" s="47" t="n"/>
      <c r="I239" s="42" t="inlineStr">
        <is>
          <t>Высокая</t>
        </is>
      </c>
      <c r="J239" s="42" t="inlineStr">
        <is>
          <t>Imported</t>
        </is>
      </c>
      <c r="K239" s="42" t="inlineStr">
        <is>
          <t>Нет</t>
        </is>
      </c>
      <c r="L239" s="48" t="inlineStr">
        <is>
          <t>Нормализовано под генератор КП</t>
        </is>
      </c>
    </row>
    <row r="240">
      <c r="A240" s="41" t="inlineStr">
        <is>
          <t>SRC-0239</t>
        </is>
      </c>
      <c r="B240" s="41" t="inlineStr">
        <is>
          <t>Устройство дорожных одежд в парковочной зоне с расклинцовкой, трамбовкой и проливом водой</t>
        </is>
      </c>
      <c r="C240" s="41" t="inlineStr">
        <is>
          <t>PRICE_MASTER/RAW_LINES</t>
        </is>
      </c>
      <c r="D240" s="41" t="n">
        <v>240</v>
      </c>
      <c r="E240" s="41" t="inlineStr">
        <is>
          <t>Мощение</t>
        </is>
      </c>
      <c r="F240" s="41" t="inlineStr">
        <is>
          <t>Work</t>
        </is>
      </c>
      <c r="G240" s="44" t="inlineStr">
        <is>
          <t>RWORK-0126</t>
        </is>
      </c>
      <c r="H240" s="44" t="n"/>
      <c r="I240" s="41" t="inlineStr">
        <is>
          <t>Высокая</t>
        </is>
      </c>
      <c r="J240" s="41" t="inlineStr">
        <is>
          <t>Imported</t>
        </is>
      </c>
      <c r="K240" s="41" t="inlineStr">
        <is>
          <t>Нет</t>
        </is>
      </c>
      <c r="L240" s="45" t="inlineStr">
        <is>
          <t>Нормализовано под генератор КП</t>
        </is>
      </c>
    </row>
    <row r="241">
      <c r="A241" s="42" t="inlineStr">
        <is>
          <t>SRC-0240</t>
        </is>
      </c>
      <c r="B241" s="42" t="inlineStr">
        <is>
          <t>Устройство дорожных одежд в пешеходной зоне с расклинцовкой, трамбовкой и проливом водой</t>
        </is>
      </c>
      <c r="C241" s="42" t="inlineStr">
        <is>
          <t>PRICE_MASTER/RAW_LINES</t>
        </is>
      </c>
      <c r="D241" s="42" t="n">
        <v>241</v>
      </c>
      <c r="E241" s="42" t="inlineStr">
        <is>
          <t>Мощение</t>
        </is>
      </c>
      <c r="F241" s="42" t="inlineStr">
        <is>
          <t>Work</t>
        </is>
      </c>
      <c r="G241" s="47" t="inlineStr">
        <is>
          <t>RWORK-0127</t>
        </is>
      </c>
      <c r="H241" s="47" t="n"/>
      <c r="I241" s="42" t="inlineStr">
        <is>
          <t>Высокая</t>
        </is>
      </c>
      <c r="J241" s="42" t="inlineStr">
        <is>
          <t>Imported</t>
        </is>
      </c>
      <c r="K241" s="42" t="inlineStr">
        <is>
          <t>Нет</t>
        </is>
      </c>
      <c r="L241" s="48" t="inlineStr">
        <is>
          <t>Нормализовано под генератор КП</t>
        </is>
      </c>
    </row>
    <row r="242">
      <c r="A242" s="41" t="inlineStr">
        <is>
          <t>SRC-0241</t>
        </is>
      </c>
      <c r="B242" s="41" t="inlineStr">
        <is>
          <t>Устройство дренажа на глубине 80-130см</t>
        </is>
      </c>
      <c r="C242" s="41" t="inlineStr">
        <is>
          <t>PRICE_MASTER/RAW_LINES</t>
        </is>
      </c>
      <c r="D242" s="41" t="n">
        <v>242</v>
      </c>
      <c r="E242" s="41" t="inlineStr">
        <is>
          <t>дренаж</t>
        </is>
      </c>
      <c r="F242" s="41" t="inlineStr">
        <is>
          <t>Work</t>
        </is>
      </c>
      <c r="G242" s="44" t="inlineStr">
        <is>
          <t>RWORK-0128</t>
        </is>
      </c>
      <c r="H242" s="44" t="n"/>
      <c r="I242" s="41" t="inlineStr">
        <is>
          <t>Высокая</t>
        </is>
      </c>
      <c r="J242" s="41" t="inlineStr">
        <is>
          <t>Imported</t>
        </is>
      </c>
      <c r="K242" s="41" t="inlineStr">
        <is>
          <t>Нет</t>
        </is>
      </c>
      <c r="L242" s="45" t="inlineStr">
        <is>
          <t>Нормализовано под генератор КП</t>
        </is>
      </c>
    </row>
    <row r="243">
      <c r="A243" s="42" t="inlineStr">
        <is>
          <t>SRC-0242</t>
        </is>
      </c>
      <c r="B243" s="42" t="inlineStr">
        <is>
          <t>Устройство закладных из 3-х труб d=110 мм</t>
        </is>
      </c>
      <c r="C243" s="42" t="inlineStr">
        <is>
          <t>PRICE_MASTER/RAW_LINES</t>
        </is>
      </c>
      <c r="D243" s="42" t="n">
        <v>243</v>
      </c>
      <c r="E243" s="42" t="inlineStr">
        <is>
          <t>Закладные</t>
        </is>
      </c>
      <c r="F243" s="42" t="inlineStr">
        <is>
          <t>Work</t>
        </is>
      </c>
      <c r="G243" s="47" t="inlineStr">
        <is>
          <t>RWORK-0129</t>
        </is>
      </c>
      <c r="H243" s="47" t="n"/>
      <c r="I243" s="42" t="inlineStr">
        <is>
          <t>Высокая</t>
        </is>
      </c>
      <c r="J243" s="42" t="inlineStr">
        <is>
          <t>Imported</t>
        </is>
      </c>
      <c r="K243" s="42" t="inlineStr">
        <is>
          <t>Нет</t>
        </is>
      </c>
      <c r="L243" s="48" t="inlineStr">
        <is>
          <t>Нормализовано под генератор КП</t>
        </is>
      </c>
    </row>
    <row r="244">
      <c r="A244" s="41" t="inlineStr">
        <is>
          <t>SRC-0243</t>
        </is>
      </c>
      <c r="B244" s="41" t="inlineStr">
        <is>
          <t>Устройство закладных из 3-х труб d=110мм</t>
        </is>
      </c>
      <c r="C244" s="41" t="inlineStr">
        <is>
          <t>PRICE_MASTER/RAW_LINES</t>
        </is>
      </c>
      <c r="D244" s="41" t="n">
        <v>244</v>
      </c>
      <c r="E244" s="41" t="inlineStr">
        <is>
          <t>Мощение</t>
        </is>
      </c>
      <c r="F244" s="41" t="inlineStr">
        <is>
          <t>Work</t>
        </is>
      </c>
      <c r="G244" s="44" t="inlineStr">
        <is>
          <t>RWORK-0130</t>
        </is>
      </c>
      <c r="H244" s="44" t="n"/>
      <c r="I244" s="41" t="inlineStr">
        <is>
          <t>Высокая</t>
        </is>
      </c>
      <c r="J244" s="41" t="inlineStr">
        <is>
          <t>Imported</t>
        </is>
      </c>
      <c r="K244" s="41" t="inlineStr">
        <is>
          <t>Нет</t>
        </is>
      </c>
      <c r="L244" s="45" t="inlineStr">
        <is>
          <t>Нормализовано под генератор КП</t>
        </is>
      </c>
    </row>
    <row r="245">
      <c r="A245" s="42" t="inlineStr">
        <is>
          <t>SRC-0244</t>
        </is>
      </c>
      <c r="B245" s="42" t="inlineStr">
        <is>
          <t>Устройство закладных под мощением</t>
        </is>
      </c>
      <c r="C245" s="42" t="inlineStr">
        <is>
          <t>PRICE_MASTER/RAW_LINES</t>
        </is>
      </c>
      <c r="D245" s="42" t="n">
        <v>245</v>
      </c>
      <c r="E245" s="42" t="inlineStr">
        <is>
          <t>Закладные</t>
        </is>
      </c>
      <c r="F245" s="42" t="inlineStr">
        <is>
          <t>Work</t>
        </is>
      </c>
      <c r="G245" s="47" t="inlineStr">
        <is>
          <t>RWORK-0131</t>
        </is>
      </c>
      <c r="H245" s="47" t="n"/>
      <c r="I245" s="42" t="inlineStr">
        <is>
          <t>Высокая</t>
        </is>
      </c>
      <c r="J245" s="42" t="inlineStr">
        <is>
          <t>Imported</t>
        </is>
      </c>
      <c r="K245" s="42" t="inlineStr">
        <is>
          <t>Нет</t>
        </is>
      </c>
      <c r="L245" s="48" t="inlineStr">
        <is>
          <t>Нормализовано под генератор КП</t>
        </is>
      </c>
    </row>
    <row r="246">
      <c r="A246" s="41" t="inlineStr">
        <is>
          <t>SRC-0245</t>
        </is>
      </c>
      <c r="B246" s="41" t="inlineStr">
        <is>
          <t>Устройство ливневой системы (монтаж трубы d110мм с уклоном, средняя глубина 700мм), копка и обратная засыпка траншеи</t>
        </is>
      </c>
      <c r="C246" s="41" t="inlineStr">
        <is>
          <t>PRICE_MASTER/RAW_LINES</t>
        </is>
      </c>
      <c r="D246" s="41" t="n">
        <v>246</v>
      </c>
      <c r="E246" s="41" t="inlineStr">
        <is>
          <t>ливневка</t>
        </is>
      </c>
      <c r="F246" s="41" t="inlineStr">
        <is>
          <t>Work</t>
        </is>
      </c>
      <c r="G246" s="44" t="inlineStr">
        <is>
          <t>RWORK-0132</t>
        </is>
      </c>
      <c r="H246" s="44" t="n"/>
      <c r="I246" s="41" t="inlineStr">
        <is>
          <t>Высокая</t>
        </is>
      </c>
      <c r="J246" s="41" t="inlineStr">
        <is>
          <t>Imported</t>
        </is>
      </c>
      <c r="K246" s="41" t="inlineStr">
        <is>
          <t>Нет</t>
        </is>
      </c>
      <c r="L246" s="45" t="inlineStr">
        <is>
          <t>Нормализовано под генератор КП</t>
        </is>
      </c>
    </row>
    <row r="247">
      <c r="A247" s="42" t="inlineStr">
        <is>
          <t>SRC-0246</t>
        </is>
      </c>
      <c r="B247" s="42" t="inlineStr">
        <is>
          <t>Устройство ливневой системы водоотвода (глубина 700мм)</t>
        </is>
      </c>
      <c r="C247" s="42" t="inlineStr">
        <is>
          <t>PRICE_MASTER/RAW_LINES</t>
        </is>
      </c>
      <c r="D247" s="42" t="n">
        <v>247</v>
      </c>
      <c r="E247" s="42" t="inlineStr">
        <is>
          <t>Мощение</t>
        </is>
      </c>
      <c r="F247" s="42" t="inlineStr">
        <is>
          <t>Work</t>
        </is>
      </c>
      <c r="G247" s="47" t="inlineStr">
        <is>
          <t>RWORK-0133</t>
        </is>
      </c>
      <c r="H247" s="47" t="n"/>
      <c r="I247" s="42" t="inlineStr">
        <is>
          <t>Высокая</t>
        </is>
      </c>
      <c r="J247" s="42" t="inlineStr">
        <is>
          <t>Imported</t>
        </is>
      </c>
      <c r="K247" s="42" t="inlineStr">
        <is>
          <t>Нет</t>
        </is>
      </c>
      <c r="L247" s="48" t="inlineStr">
        <is>
          <t>Нормализовано под генератор КП</t>
        </is>
      </c>
    </row>
    <row r="248">
      <c r="A248" s="41" t="inlineStr">
        <is>
          <t>SRC-0247</t>
        </is>
      </c>
      <c r="B248" s="41" t="inlineStr">
        <is>
          <t>Устройство монтажного слоя из отсева (4см)</t>
        </is>
      </c>
      <c r="C248" s="41" t="inlineStr">
        <is>
          <t>PRICE_MASTER/RAW_LINES</t>
        </is>
      </c>
      <c r="D248" s="41" t="n">
        <v>248</v>
      </c>
      <c r="E248" s="41" t="inlineStr">
        <is>
          <t>Мощение</t>
        </is>
      </c>
      <c r="F248" s="41" t="inlineStr">
        <is>
          <t>Work</t>
        </is>
      </c>
      <c r="G248" s="44" t="inlineStr">
        <is>
          <t>RWORK-0134</t>
        </is>
      </c>
      <c r="H248" s="44" t="n"/>
      <c r="I248" s="41" t="inlineStr">
        <is>
          <t>Высокая</t>
        </is>
      </c>
      <c r="J248" s="41" t="inlineStr">
        <is>
          <t>Imported</t>
        </is>
      </c>
      <c r="K248" s="41" t="inlineStr">
        <is>
          <t>Нет</t>
        </is>
      </c>
      <c r="L248" s="45" t="inlineStr">
        <is>
          <t>Нормализовано под генератор КП</t>
        </is>
      </c>
    </row>
    <row r="249">
      <c r="A249" s="42" t="inlineStr">
        <is>
          <t>SRC-0248</t>
        </is>
      </c>
      <c r="B249" s="42" t="inlineStr">
        <is>
          <t>Устройство монтажного слоя из отсева (70мм)</t>
        </is>
      </c>
      <c r="C249" s="42" t="inlineStr">
        <is>
          <t>PRICE_MASTER/RAW_LINES</t>
        </is>
      </c>
      <c r="D249" s="42" t="n">
        <v>249</v>
      </c>
      <c r="E249" s="42" t="inlineStr">
        <is>
          <t>Мощение</t>
        </is>
      </c>
      <c r="F249" s="42" t="inlineStr">
        <is>
          <t>Work</t>
        </is>
      </c>
      <c r="G249" s="47" t="inlineStr">
        <is>
          <t>RWORK-0135</t>
        </is>
      </c>
      <c r="H249" s="47" t="n"/>
      <c r="I249" s="42" t="inlineStr">
        <is>
          <t>Высокая</t>
        </is>
      </c>
      <c r="J249" s="42" t="inlineStr">
        <is>
          <t>Imported</t>
        </is>
      </c>
      <c r="K249" s="42" t="inlineStr">
        <is>
          <t>Нет</t>
        </is>
      </c>
      <c r="L249" s="48" t="inlineStr">
        <is>
          <t>Нормализовано под генератор КП</t>
        </is>
      </c>
    </row>
    <row r="250">
      <c r="A250" s="41" t="inlineStr">
        <is>
          <t>SRC-0249</t>
        </is>
      </c>
      <c r="B250" s="41" t="inlineStr">
        <is>
          <t>Устройство монтажного слоя из отсева с добавлением цемента (40мм)</t>
        </is>
      </c>
      <c r="C250" s="41" t="inlineStr">
        <is>
          <t>PRICE_MASTER/RAW_LINES</t>
        </is>
      </c>
      <c r="D250" s="41" t="n">
        <v>250</v>
      </c>
      <c r="E250" s="41" t="inlineStr">
        <is>
          <t>Мощение</t>
        </is>
      </c>
      <c r="F250" s="41" t="inlineStr">
        <is>
          <t>Work</t>
        </is>
      </c>
      <c r="G250" s="44" t="inlineStr">
        <is>
          <t>RWORK-0136</t>
        </is>
      </c>
      <c r="H250" s="44" t="n"/>
      <c r="I250" s="41" t="inlineStr">
        <is>
          <t>Высокая</t>
        </is>
      </c>
      <c r="J250" s="41" t="inlineStr">
        <is>
          <t>Imported</t>
        </is>
      </c>
      <c r="K250" s="41" t="inlineStr">
        <is>
          <t>Нет</t>
        </is>
      </c>
      <c r="L250" s="45" t="inlineStr">
        <is>
          <t>Нормализовано под генератор КП</t>
        </is>
      </c>
    </row>
    <row r="251">
      <c r="A251" s="42" t="inlineStr">
        <is>
          <t>SRC-0250</t>
        </is>
      </c>
      <c r="B251" s="42" t="inlineStr">
        <is>
          <t>Устройство набивного финишного покрытия из гравия (40мм) с мытьем</t>
        </is>
      </c>
      <c r="C251" s="42" t="inlineStr">
        <is>
          <t>PRICE_MASTER/RAW_LINES</t>
        </is>
      </c>
      <c r="D251" s="42" t="n">
        <v>251</v>
      </c>
      <c r="E251" s="42" t="inlineStr">
        <is>
          <t>Мощение</t>
        </is>
      </c>
      <c r="F251" s="42" t="inlineStr">
        <is>
          <t>Work</t>
        </is>
      </c>
      <c r="G251" s="47" t="inlineStr">
        <is>
          <t>RWORK-0137</t>
        </is>
      </c>
      <c r="H251" s="47" t="n"/>
      <c r="I251" s="42" t="inlineStr">
        <is>
          <t>Высокая</t>
        </is>
      </c>
      <c r="J251" s="42" t="inlineStr">
        <is>
          <t>Imported</t>
        </is>
      </c>
      <c r="K251" s="42" t="inlineStr">
        <is>
          <t>Нет</t>
        </is>
      </c>
      <c r="L251" s="48" t="inlineStr">
        <is>
          <t>Нормализовано под генератор КП</t>
        </is>
      </c>
    </row>
    <row r="252">
      <c r="A252" s="41" t="inlineStr">
        <is>
          <t>SRC-0251</t>
        </is>
      </c>
      <c r="B252" s="41" t="inlineStr">
        <is>
          <t>Устройство набивного финишного покрытия из отсева (40мм)</t>
        </is>
      </c>
      <c r="C252" s="41" t="inlineStr">
        <is>
          <t>PRICE_MASTER/RAW_LINES</t>
        </is>
      </c>
      <c r="D252" s="41" t="n">
        <v>252</v>
      </c>
      <c r="E252" s="41" t="inlineStr">
        <is>
          <t>Мощение</t>
        </is>
      </c>
      <c r="F252" s="41" t="inlineStr">
        <is>
          <t>Work</t>
        </is>
      </c>
      <c r="G252" s="44" t="inlineStr">
        <is>
          <t>RWORK-0138</t>
        </is>
      </c>
      <c r="H252" s="44" t="n"/>
      <c r="I252" s="41" t="inlineStr">
        <is>
          <t>Высокая</t>
        </is>
      </c>
      <c r="J252" s="41" t="inlineStr">
        <is>
          <t>Imported</t>
        </is>
      </c>
      <c r="K252" s="41" t="inlineStr">
        <is>
          <t>Нет</t>
        </is>
      </c>
      <c r="L252" s="45" t="inlineStr">
        <is>
          <t>Нормализовано под генератор КП</t>
        </is>
      </c>
    </row>
    <row r="253">
      <c r="A253" s="42" t="inlineStr">
        <is>
          <t>SRC-0252</t>
        </is>
      </c>
      <c r="B253" s="42" t="inlineStr">
        <is>
          <t>Устройство несущего щебнистого слоя (120мм) из щебня 20-40мм с проливом водой и трамбовкой с расклинцовкой щебнем 5-20мм</t>
        </is>
      </c>
      <c r="C253" s="42" t="inlineStr">
        <is>
          <t>PRICE_MASTER/RAW_LINES</t>
        </is>
      </c>
      <c r="D253" s="42" t="n">
        <v>253</v>
      </c>
      <c r="E253" s="42" t="inlineStr">
        <is>
          <t>Мощение</t>
        </is>
      </c>
      <c r="F253" s="42" t="inlineStr">
        <is>
          <t>Work</t>
        </is>
      </c>
      <c r="G253" s="47" t="inlineStr">
        <is>
          <t>RWORK-0139</t>
        </is>
      </c>
      <c r="H253" s="47" t="n"/>
      <c r="I253" s="42" t="inlineStr">
        <is>
          <t>Высокая</t>
        </is>
      </c>
      <c r="J253" s="42" t="inlineStr">
        <is>
          <t>Imported</t>
        </is>
      </c>
      <c r="K253" s="42" t="inlineStr">
        <is>
          <t>Нет</t>
        </is>
      </c>
      <c r="L253" s="48" t="inlineStr">
        <is>
          <t>Нормализовано под генератор КП</t>
        </is>
      </c>
    </row>
    <row r="254">
      <c r="A254" s="41" t="inlineStr">
        <is>
          <t>SRC-0253</t>
        </is>
      </c>
      <c r="B254" s="41" t="inlineStr">
        <is>
          <t>Устройство несущего щебнистого слоя (150мм) из щебня 20-40мм с проливом водой и трамбовкой с расклинцовкой щебнем 5-20мм</t>
        </is>
      </c>
      <c r="C254" s="41" t="inlineStr">
        <is>
          <t>PRICE_MASTER/RAW_LINES</t>
        </is>
      </c>
      <c r="D254" s="41" t="n">
        <v>254</v>
      </c>
      <c r="E254" s="41" t="inlineStr">
        <is>
          <t>Мощение</t>
        </is>
      </c>
      <c r="F254" s="41" t="inlineStr">
        <is>
          <t>Work</t>
        </is>
      </c>
      <c r="G254" s="44" t="inlineStr">
        <is>
          <t>RWORK-0140</t>
        </is>
      </c>
      <c r="H254" s="44" t="n"/>
      <c r="I254" s="41" t="inlineStr">
        <is>
          <t>Высокая</t>
        </is>
      </c>
      <c r="J254" s="41" t="inlineStr">
        <is>
          <t>Imported</t>
        </is>
      </c>
      <c r="K254" s="41" t="inlineStr">
        <is>
          <t>Нет</t>
        </is>
      </c>
      <c r="L254" s="45" t="inlineStr">
        <is>
          <t>Нормализовано под генератор КП</t>
        </is>
      </c>
    </row>
    <row r="255">
      <c r="A255" s="42" t="inlineStr">
        <is>
          <t>SRC-0254</t>
        </is>
      </c>
      <c r="B255" s="42" t="inlineStr">
        <is>
          <t>Устройство несущего щебнистого слоя (150мм) из щебня 20-40мм с проливом водой и трамбовкой с расклинцовкой щебнем 5-20мм (пешеходная зона)</t>
        </is>
      </c>
      <c r="C255" s="42" t="inlineStr">
        <is>
          <t>PRICE_MASTER/RAW_LINES</t>
        </is>
      </c>
      <c r="D255" s="42" t="n">
        <v>255</v>
      </c>
      <c r="E255" s="42" t="inlineStr">
        <is>
          <t>Мощение</t>
        </is>
      </c>
      <c r="F255" s="42" t="inlineStr">
        <is>
          <t>Work</t>
        </is>
      </c>
      <c r="G255" s="47" t="inlineStr">
        <is>
          <t>RWORK-0141</t>
        </is>
      </c>
      <c r="H255" s="47" t="n"/>
      <c r="I255" s="42" t="inlineStr">
        <is>
          <t>Высокая</t>
        </is>
      </c>
      <c r="J255" s="42" t="inlineStr">
        <is>
          <t>Imported</t>
        </is>
      </c>
      <c r="K255" s="42" t="inlineStr">
        <is>
          <t>Нет</t>
        </is>
      </c>
      <c r="L255" s="48" t="inlineStr">
        <is>
          <t>Нормализовано под генератор КП</t>
        </is>
      </c>
    </row>
    <row r="256">
      <c r="A256" s="41" t="inlineStr">
        <is>
          <t>SRC-0255</t>
        </is>
      </c>
      <c r="B256" s="41" t="inlineStr">
        <is>
          <t>Устройство несущего щебнистого слоя (250мм) под пешеходное мощение из щебня 20-40мм с проливом водой и трамбовкой с расклинцовкой щебнем 5-20мм</t>
        </is>
      </c>
      <c r="C256" s="41" t="inlineStr">
        <is>
          <t>PRICE_MASTER/RAW_LINES</t>
        </is>
      </c>
      <c r="D256" s="41" t="n">
        <v>256</v>
      </c>
      <c r="E256" s="41" t="inlineStr">
        <is>
          <t>Мощение</t>
        </is>
      </c>
      <c r="F256" s="41" t="inlineStr">
        <is>
          <t>Work</t>
        </is>
      </c>
      <c r="G256" s="44" t="inlineStr">
        <is>
          <t>RWORK-0142</t>
        </is>
      </c>
      <c r="H256" s="44" t="n"/>
      <c r="I256" s="41" t="inlineStr">
        <is>
          <t>Высокая</t>
        </is>
      </c>
      <c r="J256" s="41" t="inlineStr">
        <is>
          <t>Imported</t>
        </is>
      </c>
      <c r="K256" s="41" t="inlineStr">
        <is>
          <t>Нет</t>
        </is>
      </c>
      <c r="L256" s="45" t="inlineStr">
        <is>
          <t>Нормализовано под генератор КП</t>
        </is>
      </c>
    </row>
    <row r="257">
      <c r="A257" s="42" t="inlineStr">
        <is>
          <t>SRC-0256</t>
        </is>
      </c>
      <c r="B257" s="42" t="inlineStr">
        <is>
          <t>Устройство ограничительного бордюра из металлического уголка 50*50мм</t>
        </is>
      </c>
      <c r="C257" s="42" t="inlineStr">
        <is>
          <t>PRICE_MASTER/RAW_LINES</t>
        </is>
      </c>
      <c r="D257" s="42" t="n">
        <v>257</v>
      </c>
      <c r="E257" s="42" t="inlineStr">
        <is>
          <t>Мощение</t>
        </is>
      </c>
      <c r="F257" s="42" t="inlineStr">
        <is>
          <t>Work</t>
        </is>
      </c>
      <c r="G257" s="47" t="inlineStr">
        <is>
          <t>RWORK-0143</t>
        </is>
      </c>
      <c r="H257" s="47" t="n"/>
      <c r="I257" s="42" t="inlineStr">
        <is>
          <t>Высокая</t>
        </is>
      </c>
      <c r="J257" s="42" t="inlineStr">
        <is>
          <t>Imported</t>
        </is>
      </c>
      <c r="K257" s="42" t="inlineStr">
        <is>
          <t>Нет</t>
        </is>
      </c>
      <c r="L257" s="48" t="inlineStr">
        <is>
          <t>Нормализовано под генератор КП</t>
        </is>
      </c>
    </row>
    <row r="258">
      <c r="A258" s="41" t="inlineStr">
        <is>
          <t>SRC-0257</t>
        </is>
      </c>
      <c r="B258" s="41" t="inlineStr">
        <is>
          <t>Устройство песчаного слоя (100мм)</t>
        </is>
      </c>
      <c r="C258" s="41" t="inlineStr">
        <is>
          <t>PRICE_MASTER/RAW_LINES</t>
        </is>
      </c>
      <c r="D258" s="41" t="n">
        <v>258</v>
      </c>
      <c r="E258" s="41" t="inlineStr">
        <is>
          <t>Мощение</t>
        </is>
      </c>
      <c r="F258" s="41" t="inlineStr">
        <is>
          <t>Work</t>
        </is>
      </c>
      <c r="G258" s="44" t="inlineStr">
        <is>
          <t>RWORK-0144</t>
        </is>
      </c>
      <c r="H258" s="44" t="n"/>
      <c r="I258" s="41" t="inlineStr">
        <is>
          <t>Высокая</t>
        </is>
      </c>
      <c r="J258" s="41" t="inlineStr">
        <is>
          <t>Imported</t>
        </is>
      </c>
      <c r="K258" s="41" t="inlineStr">
        <is>
          <t>Нет</t>
        </is>
      </c>
      <c r="L258" s="45" t="inlineStr">
        <is>
          <t>Нормализовано под генератор КП</t>
        </is>
      </c>
    </row>
    <row r="259">
      <c r="A259" s="42" t="inlineStr">
        <is>
          <t>SRC-0258</t>
        </is>
      </c>
      <c r="B259" s="42" t="inlineStr">
        <is>
          <t>Устройство песчаного слоя (150мм)</t>
        </is>
      </c>
      <c r="C259" s="42" t="inlineStr">
        <is>
          <t>PRICE_MASTER/RAW_LINES</t>
        </is>
      </c>
      <c r="D259" s="42" t="n">
        <v>259</v>
      </c>
      <c r="E259" s="42" t="inlineStr">
        <is>
          <t>Мощение</t>
        </is>
      </c>
      <c r="F259" s="42" t="inlineStr">
        <is>
          <t>Work</t>
        </is>
      </c>
      <c r="G259" s="47" t="inlineStr">
        <is>
          <t>RWORK-0145</t>
        </is>
      </c>
      <c r="H259" s="47" t="n"/>
      <c r="I259" s="42" t="inlineStr">
        <is>
          <t>Высокая</t>
        </is>
      </c>
      <c r="J259" s="42" t="inlineStr">
        <is>
          <t>Imported</t>
        </is>
      </c>
      <c r="K259" s="42" t="inlineStr">
        <is>
          <t>Нет</t>
        </is>
      </c>
      <c r="L259" s="48" t="inlineStr">
        <is>
          <t>Нормализовано под генератор КП</t>
        </is>
      </c>
    </row>
    <row r="260">
      <c r="A260" s="41" t="inlineStr">
        <is>
          <t>SRC-0259</t>
        </is>
      </c>
      <c r="B260" s="41" t="inlineStr">
        <is>
          <t>Устройство песчаного слоя (180мм)</t>
        </is>
      </c>
      <c r="C260" s="41" t="inlineStr">
        <is>
          <t>PRICE_MASTER/RAW_LINES</t>
        </is>
      </c>
      <c r="D260" s="41" t="n">
        <v>260</v>
      </c>
      <c r="E260" s="41" t="inlineStr">
        <is>
          <t>Мощение</t>
        </is>
      </c>
      <c r="F260" s="41" t="inlineStr">
        <is>
          <t>Work</t>
        </is>
      </c>
      <c r="G260" s="44" t="inlineStr">
        <is>
          <t>RWORK-0146</t>
        </is>
      </c>
      <c r="H260" s="44" t="n"/>
      <c r="I260" s="41" t="inlineStr">
        <is>
          <t>Высокая</t>
        </is>
      </c>
      <c r="J260" s="41" t="inlineStr">
        <is>
          <t>Imported</t>
        </is>
      </c>
      <c r="K260" s="41" t="inlineStr">
        <is>
          <t>Нет</t>
        </is>
      </c>
      <c r="L260" s="45" t="inlineStr">
        <is>
          <t>Нормализовано под генератор КП</t>
        </is>
      </c>
    </row>
    <row r="261">
      <c r="A261" s="42" t="inlineStr">
        <is>
          <t>SRC-0260</t>
        </is>
      </c>
      <c r="B261" s="42" t="inlineStr">
        <is>
          <t>Устройство песчаного слоя (230мм)</t>
        </is>
      </c>
      <c r="C261" s="42" t="inlineStr">
        <is>
          <t>PRICE_MASTER/RAW_LINES</t>
        </is>
      </c>
      <c r="D261" s="42" t="n">
        <v>261</v>
      </c>
      <c r="E261" s="42" t="inlineStr">
        <is>
          <t>Мощение</t>
        </is>
      </c>
      <c r="F261" s="42" t="inlineStr">
        <is>
          <t>Work</t>
        </is>
      </c>
      <c r="G261" s="47" t="inlineStr">
        <is>
          <t>RWORK-0147</t>
        </is>
      </c>
      <c r="H261" s="47" t="n"/>
      <c r="I261" s="42" t="inlineStr">
        <is>
          <t>Высокая</t>
        </is>
      </c>
      <c r="J261" s="42" t="inlineStr">
        <is>
          <t>Imported</t>
        </is>
      </c>
      <c r="K261" s="42" t="inlineStr">
        <is>
          <t>Нет</t>
        </is>
      </c>
      <c r="L261" s="48" t="inlineStr">
        <is>
          <t>Нормализовано под генератор КП</t>
        </is>
      </c>
    </row>
    <row r="262">
      <c r="A262" s="41" t="inlineStr">
        <is>
          <t>SRC-0261</t>
        </is>
      </c>
      <c r="B262" s="41" t="inlineStr">
        <is>
          <t>Устройство песчаного слоя (250мм)</t>
        </is>
      </c>
      <c r="C262" s="41" t="inlineStr">
        <is>
          <t>PRICE_MASTER/RAW_LINES</t>
        </is>
      </c>
      <c r="D262" s="41" t="n">
        <v>262</v>
      </c>
      <c r="E262" s="41" t="inlineStr">
        <is>
          <t>Мощение</t>
        </is>
      </c>
      <c r="F262" s="41" t="inlineStr">
        <is>
          <t>Work</t>
        </is>
      </c>
      <c r="G262" s="44" t="inlineStr">
        <is>
          <t>RWORK-0148</t>
        </is>
      </c>
      <c r="H262" s="44" t="n"/>
      <c r="I262" s="41" t="inlineStr">
        <is>
          <t>Высокая</t>
        </is>
      </c>
      <c r="J262" s="41" t="inlineStr">
        <is>
          <t>Imported</t>
        </is>
      </c>
      <c r="K262" s="41" t="inlineStr">
        <is>
          <t>Нет</t>
        </is>
      </c>
      <c r="L262" s="45" t="inlineStr">
        <is>
          <t>Нормализовано под генератор КП</t>
        </is>
      </c>
    </row>
    <row r="263">
      <c r="A263" s="42" t="inlineStr">
        <is>
          <t>SRC-0262</t>
        </is>
      </c>
      <c r="B263" s="42" t="inlineStr">
        <is>
          <t>Устройство песчаного слоя (300мм)</t>
        </is>
      </c>
      <c r="C263" s="42" t="inlineStr">
        <is>
          <t>PRICE_MASTER/RAW_LINES</t>
        </is>
      </c>
      <c r="D263" s="42" t="n">
        <v>263</v>
      </c>
      <c r="E263" s="42" t="inlineStr">
        <is>
          <t>Мощение</t>
        </is>
      </c>
      <c r="F263" s="42" t="inlineStr">
        <is>
          <t>Work</t>
        </is>
      </c>
      <c r="G263" s="47" t="inlineStr">
        <is>
          <t>RWORK-0149</t>
        </is>
      </c>
      <c r="H263" s="47" t="n"/>
      <c r="I263" s="42" t="inlineStr">
        <is>
          <t>Высокая</t>
        </is>
      </c>
      <c r="J263" s="42" t="inlineStr">
        <is>
          <t>Imported</t>
        </is>
      </c>
      <c r="K263" s="42" t="inlineStr">
        <is>
          <t>Нет</t>
        </is>
      </c>
      <c r="L263" s="48" t="inlineStr">
        <is>
          <t>Нормализовано под генератор КП</t>
        </is>
      </c>
    </row>
    <row r="264">
      <c r="A264" s="41" t="inlineStr">
        <is>
          <t>SRC-0263</t>
        </is>
      </c>
      <c r="B264" s="41" t="inlineStr">
        <is>
          <t>Устройство песчаного слоя (600мм)</t>
        </is>
      </c>
      <c r="C264" s="41" t="inlineStr">
        <is>
          <t>PRICE_MASTER/RAW_LINES</t>
        </is>
      </c>
      <c r="D264" s="41" t="n">
        <v>264</v>
      </c>
      <c r="E264" s="41" t="inlineStr">
        <is>
          <t>Мощение</t>
        </is>
      </c>
      <c r="F264" s="41" t="inlineStr">
        <is>
          <t>Work</t>
        </is>
      </c>
      <c r="G264" s="44" t="inlineStr">
        <is>
          <t>RWORK-0150</t>
        </is>
      </c>
      <c r="H264" s="44" t="n"/>
      <c r="I264" s="41" t="inlineStr">
        <is>
          <t>Высокая</t>
        </is>
      </c>
      <c r="J264" s="41" t="inlineStr">
        <is>
          <t>Imported</t>
        </is>
      </c>
      <c r="K264" s="41" t="inlineStr">
        <is>
          <t>Нет</t>
        </is>
      </c>
      <c r="L264" s="45" t="inlineStr">
        <is>
          <t>Нормализовано под генератор КП</t>
        </is>
      </c>
    </row>
    <row r="265">
      <c r="A265" s="42" t="inlineStr">
        <is>
          <t>SRC-0264</t>
        </is>
      </c>
      <c r="B265" s="42" t="inlineStr">
        <is>
          <t>Устройство поверхностного дренажного слоя из песка с прикаткой, 2см</t>
        </is>
      </c>
      <c r="C265" s="42" t="inlineStr">
        <is>
          <t>PRICE_MASTER/RAW_LINES</t>
        </is>
      </c>
      <c r="D265" s="42" t="n">
        <v>265</v>
      </c>
      <c r="E265" s="42" t="inlineStr">
        <is>
          <t>газон</t>
        </is>
      </c>
      <c r="F265" s="42" t="inlineStr">
        <is>
          <t>Work</t>
        </is>
      </c>
      <c r="G265" s="47" t="inlineStr">
        <is>
          <t>RWORK-0151</t>
        </is>
      </c>
      <c r="H265" s="47" t="n"/>
      <c r="I265" s="42" t="inlineStr">
        <is>
          <t>Высокая</t>
        </is>
      </c>
      <c r="J265" s="42" t="inlineStr">
        <is>
          <t>Imported</t>
        </is>
      </c>
      <c r="K265" s="42" t="inlineStr">
        <is>
          <t>Нет</t>
        </is>
      </c>
      <c r="L265" s="48" t="inlineStr">
        <is>
          <t>Нормализовано под генератор КП</t>
        </is>
      </c>
    </row>
    <row r="266">
      <c r="A266" s="41" t="inlineStr">
        <is>
          <t>SRC-0265</t>
        </is>
      </c>
      <c r="B266" s="41" t="inlineStr">
        <is>
          <t>Устройство рулонного газона на подготовленном основании</t>
        </is>
      </c>
      <c r="C266" s="41" t="inlineStr">
        <is>
          <t>PRICE_MASTER/RAW_LINES</t>
        </is>
      </c>
      <c r="D266" s="41" t="n">
        <v>266</v>
      </c>
      <c r="E266" s="41" t="inlineStr">
        <is>
          <t>газон</t>
        </is>
      </c>
      <c r="F266" s="41" t="inlineStr">
        <is>
          <t>Work</t>
        </is>
      </c>
      <c r="G266" s="44" t="inlineStr">
        <is>
          <t>RWORK-0152</t>
        </is>
      </c>
      <c r="H266" s="44" t="n"/>
      <c r="I266" s="41" t="inlineStr">
        <is>
          <t>Высокая</t>
        </is>
      </c>
      <c r="J266" s="41" t="inlineStr">
        <is>
          <t>Imported</t>
        </is>
      </c>
      <c r="K266" s="41" t="inlineStr">
        <is>
          <t>Нет</t>
        </is>
      </c>
      <c r="L266" s="45" t="inlineStr">
        <is>
          <t>Нормализовано под генератор КП</t>
        </is>
      </c>
    </row>
    <row r="267">
      <c r="A267" s="42" t="inlineStr">
        <is>
          <t>SRC-0266</t>
        </is>
      </c>
      <c r="B267" s="42" t="inlineStr">
        <is>
          <t>Устройство спортивного ударопоглощающего покрытия из резиновой крошки</t>
        </is>
      </c>
      <c r="C267" s="42" t="inlineStr">
        <is>
          <t>PRICE_MASTER/RAW_LINES</t>
        </is>
      </c>
      <c r="D267" s="42" t="n">
        <v>267</v>
      </c>
      <c r="E267" s="42" t="inlineStr">
        <is>
          <t>Мощение</t>
        </is>
      </c>
      <c r="F267" s="42" t="inlineStr">
        <is>
          <t>Work</t>
        </is>
      </c>
      <c r="G267" s="47" t="inlineStr">
        <is>
          <t>RWORK-0153</t>
        </is>
      </c>
      <c r="H267" s="47" t="n"/>
      <c r="I267" s="42" t="inlineStr">
        <is>
          <t>Высокая</t>
        </is>
      </c>
      <c r="J267" s="42" t="inlineStr">
        <is>
          <t>Imported</t>
        </is>
      </c>
      <c r="K267" s="42" t="inlineStr">
        <is>
          <t>Нет</t>
        </is>
      </c>
      <c r="L267" s="48" t="inlineStr">
        <is>
          <t>Нормализовано под генератор КП</t>
        </is>
      </c>
    </row>
    <row r="268">
      <c r="A268" s="41" t="inlineStr">
        <is>
          <t>SRC-0267</t>
        </is>
      </c>
      <c r="B268" s="41" t="inlineStr">
        <is>
          <t>Устройство траншеи 0,7м с песчаным основанием для кабеля</t>
        </is>
      </c>
      <c r="C268" s="41" t="inlineStr">
        <is>
          <t>PRICE_MASTER/RAW_LINES</t>
        </is>
      </c>
      <c r="D268" s="41" t="n">
        <v>268</v>
      </c>
      <c r="E268" s="41" t="inlineStr">
        <is>
          <t>Освещение</t>
        </is>
      </c>
      <c r="F268" s="41" t="inlineStr">
        <is>
          <t>Work</t>
        </is>
      </c>
      <c r="G268" s="44" t="inlineStr">
        <is>
          <t>RWORK-0154</t>
        </is>
      </c>
      <c r="H268" s="44" t="n"/>
      <c r="I268" s="41" t="inlineStr">
        <is>
          <t>Высокая</t>
        </is>
      </c>
      <c r="J268" s="41" t="inlineStr">
        <is>
          <t>Imported</t>
        </is>
      </c>
      <c r="K268" s="41" t="inlineStr">
        <is>
          <t>Нет</t>
        </is>
      </c>
      <c r="L268" s="45" t="inlineStr">
        <is>
          <t>Нормализовано под генератор КП</t>
        </is>
      </c>
    </row>
    <row r="269">
      <c r="A269" s="42" t="inlineStr">
        <is>
          <t>SRC-0268</t>
        </is>
      </c>
      <c r="B269" s="42" t="inlineStr">
        <is>
          <t>Устройство фундаментов светильников столбиков, розеток</t>
        </is>
      </c>
      <c r="C269" s="42" t="inlineStr">
        <is>
          <t>PRICE_MASTER/RAW_LINES</t>
        </is>
      </c>
      <c r="D269" s="42" t="n">
        <v>269</v>
      </c>
      <c r="E269" s="42" t="inlineStr">
        <is>
          <t>Освещение</t>
        </is>
      </c>
      <c r="F269" s="42" t="inlineStr">
        <is>
          <t>Work</t>
        </is>
      </c>
      <c r="G269" s="47" t="inlineStr">
        <is>
          <t>RWORK-0155</t>
        </is>
      </c>
      <c r="H269" s="47" t="n"/>
      <c r="I269" s="42" t="inlineStr">
        <is>
          <t>Высокая</t>
        </is>
      </c>
      <c r="J269" s="42" t="inlineStr">
        <is>
          <t>Imported</t>
        </is>
      </c>
      <c r="K269" s="42" t="inlineStr">
        <is>
          <t>Нет</t>
        </is>
      </c>
      <c r="L269" s="48" t="inlineStr">
        <is>
          <t>Нормализовано под генератор КП</t>
        </is>
      </c>
    </row>
    <row r="270">
      <c r="A270" s="41" t="inlineStr">
        <is>
          <t>SRC-0269</t>
        </is>
      </c>
      <c r="B270" s="41" t="inlineStr">
        <is>
          <t>фанера 12х1220*2440мм (для опалубки)</t>
        </is>
      </c>
      <c r="C270" s="41" t="inlineStr">
        <is>
          <t>PRICE_MASTER/RAW_LINES</t>
        </is>
      </c>
      <c r="D270" s="41" t="n">
        <v>270</v>
      </c>
      <c r="E270" s="41" t="inlineStr">
        <is>
          <t>Мощение</t>
        </is>
      </c>
      <c r="F270" s="41" t="inlineStr">
        <is>
          <t>Material</t>
        </is>
      </c>
      <c r="G270" s="44" t="inlineStr">
        <is>
          <t>RMAT-0113</t>
        </is>
      </c>
      <c r="H270" s="44" t="inlineStr">
        <is>
          <t>MV-0113</t>
        </is>
      </c>
      <c r="I270" s="41" t="inlineStr">
        <is>
          <t>Высокая</t>
        </is>
      </c>
      <c r="J270" s="41" t="inlineStr">
        <is>
          <t>Imported</t>
        </is>
      </c>
      <c r="K270" s="41" t="inlineStr">
        <is>
          <t>Нет</t>
        </is>
      </c>
      <c r="L270" s="45" t="inlineStr">
        <is>
          <t>Нормализовано под генератор КП</t>
        </is>
      </c>
    </row>
    <row r="271">
      <c r="A271" s="42" t="inlineStr">
        <is>
          <t>SRC-0270</t>
        </is>
      </c>
      <c r="B271" s="42" t="inlineStr">
        <is>
          <t>Фасонные элементы - тройники, соединения, заглушки</t>
        </is>
      </c>
      <c r="C271" s="42" t="inlineStr">
        <is>
          <t>PRICE_MASTER/RAW_LINES</t>
        </is>
      </c>
      <c r="D271" s="42" t="n">
        <v>271</v>
      </c>
      <c r="E271" s="42" t="inlineStr">
        <is>
          <t>ливневка</t>
        </is>
      </c>
      <c r="F271" s="42" t="inlineStr">
        <is>
          <t>Material</t>
        </is>
      </c>
      <c r="G271" s="47" t="inlineStr">
        <is>
          <t>RMAT-0114</t>
        </is>
      </c>
      <c r="H271" s="47" t="inlineStr">
        <is>
          <t>MV-0114</t>
        </is>
      </c>
      <c r="I271" s="42" t="inlineStr">
        <is>
          <t>Высокая</t>
        </is>
      </c>
      <c r="J271" s="42" t="inlineStr">
        <is>
          <t>Imported</t>
        </is>
      </c>
      <c r="K271" s="42" t="inlineStr">
        <is>
          <t>Нет</t>
        </is>
      </c>
      <c r="L271" s="48" t="inlineStr">
        <is>
          <t>Нормализовано под генератор КП</t>
        </is>
      </c>
    </row>
    <row r="272">
      <c r="A272" s="41" t="inlineStr">
        <is>
          <t>SRC-0271</t>
        </is>
      </c>
      <c r="B272" s="41" t="inlineStr">
        <is>
          <t>Цемент М400, 50кг</t>
        </is>
      </c>
      <c r="C272" s="41" t="inlineStr">
        <is>
          <t>PRICE_MASTER/RAW_LINES</t>
        </is>
      </c>
      <c r="D272" s="41" t="n">
        <v>272</v>
      </c>
      <c r="E272" s="41" t="inlineStr">
        <is>
          <t>ливневка</t>
        </is>
      </c>
      <c r="F272" s="41" t="inlineStr">
        <is>
          <t>Material</t>
        </is>
      </c>
      <c r="G272" s="44" t="inlineStr">
        <is>
          <t>RMAT-0115</t>
        </is>
      </c>
      <c r="H272" s="44" t="inlineStr">
        <is>
          <t>MV-0115</t>
        </is>
      </c>
      <c r="I272" s="41" t="inlineStr">
        <is>
          <t>Высокая</t>
        </is>
      </c>
      <c r="J272" s="41" t="inlineStr">
        <is>
          <t>Imported</t>
        </is>
      </c>
      <c r="K272" s="41" t="inlineStr">
        <is>
          <t>Нет</t>
        </is>
      </c>
      <c r="L272" s="45" t="inlineStr">
        <is>
          <t>Нормализовано под генератор КП</t>
        </is>
      </c>
    </row>
    <row r="273">
      <c r="A273" s="42" t="inlineStr">
        <is>
          <t>SRC-0272</t>
        </is>
      </c>
      <c r="B273" s="42" t="inlineStr">
        <is>
          <t>ЦПС М300, 25кг</t>
        </is>
      </c>
      <c r="C273" s="42" t="inlineStr">
        <is>
          <t>PRICE_MASTER/RAW_LINES</t>
        </is>
      </c>
      <c r="D273" s="42" t="n">
        <v>273</v>
      </c>
      <c r="E273" s="42" t="inlineStr">
        <is>
          <t>Освещение</t>
        </is>
      </c>
      <c r="F273" s="42" t="inlineStr">
        <is>
          <t>Material</t>
        </is>
      </c>
      <c r="G273" s="47" t="inlineStr">
        <is>
          <t>RMAT-0116</t>
        </is>
      </c>
      <c r="H273" s="47" t="inlineStr">
        <is>
          <t>MV-0116</t>
        </is>
      </c>
      <c r="I273" s="42" t="inlineStr">
        <is>
          <t>Высокая</t>
        </is>
      </c>
      <c r="J273" s="42" t="inlineStr">
        <is>
          <t>Imported</t>
        </is>
      </c>
      <c r="K273" s="42" t="inlineStr">
        <is>
          <t>Нет</t>
        </is>
      </c>
      <c r="L273" s="48" t="inlineStr">
        <is>
          <t>Нормализовано под генератор КП</t>
        </is>
      </c>
    </row>
    <row r="274">
      <c r="A274" s="41" t="inlineStr">
        <is>
          <t>SRC-0273</t>
        </is>
      </c>
      <c r="B274" s="41" t="inlineStr">
        <is>
          <t>Частичный демонтаж мощения</t>
        </is>
      </c>
      <c r="C274" s="41" t="inlineStr">
        <is>
          <t>PRICE_MASTER/RAW_LINES</t>
        </is>
      </c>
      <c r="D274" s="41" t="n">
        <v>274</v>
      </c>
      <c r="E274" s="41" t="inlineStr">
        <is>
          <t>Мощение</t>
        </is>
      </c>
      <c r="F274" s="41" t="inlineStr">
        <is>
          <t>Work</t>
        </is>
      </c>
      <c r="G274" s="44" t="inlineStr">
        <is>
          <t>RWORK-0156</t>
        </is>
      </c>
      <c r="H274" s="44" t="n"/>
      <c r="I274" s="41" t="inlineStr">
        <is>
          <t>Высокая</t>
        </is>
      </c>
      <c r="J274" s="41" t="inlineStr">
        <is>
          <t>Imported</t>
        </is>
      </c>
      <c r="K274" s="41" t="inlineStr">
        <is>
          <t>Нет</t>
        </is>
      </c>
      <c r="L274" s="45" t="inlineStr">
        <is>
          <t>Нормализовано под генератор КП</t>
        </is>
      </c>
    </row>
    <row r="275">
      <c r="A275" s="42" t="inlineStr">
        <is>
          <t>SRC-0274</t>
        </is>
      </c>
      <c r="B275" s="42" t="inlineStr">
        <is>
          <t>Чистка бетонной отмостки</t>
        </is>
      </c>
      <c r="C275" s="42" t="inlineStr">
        <is>
          <t>PRICE_MASTER/RAW_LINES</t>
        </is>
      </c>
      <c r="D275" s="42" t="n">
        <v>275</v>
      </c>
      <c r="E275" s="42" t="inlineStr">
        <is>
          <t>Мощение</t>
        </is>
      </c>
      <c r="F275" s="42" t="inlineStr">
        <is>
          <t>Work</t>
        </is>
      </c>
      <c r="G275" s="47" t="inlineStr">
        <is>
          <t>RWORK-0157</t>
        </is>
      </c>
      <c r="H275" s="47" t="n"/>
      <c r="I275" s="42" t="inlineStr">
        <is>
          <t>Высокая</t>
        </is>
      </c>
      <c r="J275" s="42" t="inlineStr">
        <is>
          <t>Imported</t>
        </is>
      </c>
      <c r="K275" s="42" t="inlineStr">
        <is>
          <t>Нет</t>
        </is>
      </c>
      <c r="L275" s="48" t="inlineStr">
        <is>
          <t>Нормализовано под генератор КП</t>
        </is>
      </c>
    </row>
    <row r="276">
      <c r="A276" s="41" t="inlineStr">
        <is>
          <t>SRC-0275</t>
        </is>
      </c>
      <c r="B276" s="41" t="inlineStr">
        <is>
          <t>Щебень гранитный фр. 20-40мм</t>
        </is>
      </c>
      <c r="C276" s="41" t="inlineStr">
        <is>
          <t>PRICE_MASTER/RAW_LINES</t>
        </is>
      </c>
      <c r="D276" s="41" t="n">
        <v>276</v>
      </c>
      <c r="E276" s="41" t="inlineStr">
        <is>
          <t>дренаж</t>
        </is>
      </c>
      <c r="F276" s="41" t="inlineStr">
        <is>
          <t>Material</t>
        </is>
      </c>
      <c r="G276" s="44" t="inlineStr">
        <is>
          <t>RMAT-0117</t>
        </is>
      </c>
      <c r="H276" s="44" t="inlineStr">
        <is>
          <t>MV-0117</t>
        </is>
      </c>
      <c r="I276" s="41" t="inlineStr">
        <is>
          <t>Высокая</t>
        </is>
      </c>
      <c r="J276" s="41" t="inlineStr">
        <is>
          <t>Imported</t>
        </is>
      </c>
      <c r="K276" s="41" t="inlineStr">
        <is>
          <t>Нет</t>
        </is>
      </c>
      <c r="L276" s="45" t="inlineStr">
        <is>
          <t>Нормализовано под генератор КП</t>
        </is>
      </c>
    </row>
    <row r="277">
      <c r="A277" s="42" t="inlineStr">
        <is>
          <t>SRC-0276</t>
        </is>
      </c>
      <c r="B277" s="42" t="inlineStr">
        <is>
          <t>Щебень гранитный фр. 5-20мм</t>
        </is>
      </c>
      <c r="C277" s="42" t="inlineStr">
        <is>
          <t>PRICE_MASTER/RAW_LINES</t>
        </is>
      </c>
      <c r="D277" s="42" t="n">
        <v>277</v>
      </c>
      <c r="E277" s="42" t="inlineStr">
        <is>
          <t>дренаж</t>
        </is>
      </c>
      <c r="F277" s="42" t="inlineStr">
        <is>
          <t>Material</t>
        </is>
      </c>
      <c r="G277" s="47" t="inlineStr">
        <is>
          <t>RMAT-0118</t>
        </is>
      </c>
      <c r="H277" s="47" t="inlineStr">
        <is>
          <t>MV-0118</t>
        </is>
      </c>
      <c r="I277" s="42" t="inlineStr">
        <is>
          <t>Высокая</t>
        </is>
      </c>
      <c r="J277" s="42" t="inlineStr">
        <is>
          <t>Imported</t>
        </is>
      </c>
      <c r="K277" s="42" t="inlineStr">
        <is>
          <t>Нет</t>
        </is>
      </c>
      <c r="L277" s="48" t="inlineStr">
        <is>
          <t>Нормализовано под генератор КП</t>
        </is>
      </c>
    </row>
    <row r="278">
      <c r="A278" s="41" t="inlineStr">
        <is>
          <t>SRC-0277</t>
        </is>
      </c>
      <c r="B278" s="41" t="inlineStr">
        <is>
          <t>Щебень гранитный фр. 5-20мм, 50кг</t>
        </is>
      </c>
      <c r="C278" s="41" t="inlineStr">
        <is>
          <t>PRICE_MASTER/RAW_LINES</t>
        </is>
      </c>
      <c r="D278" s="41" t="n">
        <v>278</v>
      </c>
      <c r="E278" s="41" t="inlineStr">
        <is>
          <t>Освещение</t>
        </is>
      </c>
      <c r="F278" s="41" t="inlineStr">
        <is>
          <t>Material</t>
        </is>
      </c>
      <c r="G278" s="44" t="inlineStr">
        <is>
          <t>RMAT-0119</t>
        </is>
      </c>
      <c r="H278" s="44" t="inlineStr">
        <is>
          <t>MV-0119</t>
        </is>
      </c>
      <c r="I278" s="41" t="inlineStr">
        <is>
          <t>Высокая</t>
        </is>
      </c>
      <c r="J278" s="41" t="inlineStr">
        <is>
          <t>Imported</t>
        </is>
      </c>
      <c r="K278" s="41" t="inlineStr">
        <is>
          <t>Нет</t>
        </is>
      </c>
      <c r="L278" s="45" t="inlineStr">
        <is>
          <t>Нормализовано под генератор КП</t>
        </is>
      </c>
    </row>
    <row r="279">
      <c r="A279" s="42" t="inlineStr">
        <is>
          <t>SRC-0278</t>
        </is>
      </c>
      <c r="B279" s="42" t="inlineStr">
        <is>
          <t>Щит управления ландшафтным освещением (щит DKC 500*600*200мм IP65, кол-во модулей 72 элементы на базе ИЕК, 3 фазы 32А, 8 выходов под защитой УЗО)</t>
        </is>
      </c>
      <c r="C279" s="42" t="inlineStr">
        <is>
          <t>PRICE_MASTER/RAW_LINES</t>
        </is>
      </c>
      <c r="D279" s="42" t="n">
        <v>279</v>
      </c>
      <c r="E279" s="42" t="inlineStr">
        <is>
          <t>Освещение</t>
        </is>
      </c>
      <c r="F279" s="42" t="inlineStr">
        <is>
          <t>Material</t>
        </is>
      </c>
      <c r="G279" s="47" t="inlineStr">
        <is>
          <t>RMAT-0120</t>
        </is>
      </c>
      <c r="H279" s="47" t="inlineStr">
        <is>
          <t>MV-0120</t>
        </is>
      </c>
      <c r="I279" s="42" t="inlineStr">
        <is>
          <t>Высокая</t>
        </is>
      </c>
      <c r="J279" s="42" t="inlineStr">
        <is>
          <t>Imported</t>
        </is>
      </c>
      <c r="K279" s="42" t="inlineStr">
        <is>
          <t>Нет</t>
        </is>
      </c>
      <c r="L279" s="48" t="inlineStr">
        <is>
          <t>Нормализовано под генератор КП</t>
        </is>
      </c>
    </row>
    <row r="280">
      <c r="A280" s="41" t="inlineStr">
        <is>
          <t>SRC-0279</t>
        </is>
      </c>
      <c r="B280" s="41" t="inlineStr">
        <is>
          <t>Электроды</t>
        </is>
      </c>
      <c r="C280" s="41" t="inlineStr">
        <is>
          <t>PRICE_MASTER/RAW_LINES</t>
        </is>
      </c>
      <c r="D280" s="41" t="n">
        <v>280</v>
      </c>
      <c r="E280" s="41" t="inlineStr">
        <is>
          <t>Мощение</t>
        </is>
      </c>
      <c r="F280" s="41" t="inlineStr">
        <is>
          <t>Material</t>
        </is>
      </c>
      <c r="G280" s="44" t="inlineStr">
        <is>
          <t>RMAT-0121</t>
        </is>
      </c>
      <c r="H280" s="44" t="inlineStr">
        <is>
          <t>MV-0121</t>
        </is>
      </c>
      <c r="I280" s="41" t="inlineStr">
        <is>
          <t>Высокая</t>
        </is>
      </c>
      <c r="J280" s="41" t="inlineStr">
        <is>
          <t>Imported</t>
        </is>
      </c>
      <c r="K280" s="41" t="inlineStr">
        <is>
          <t>Нет</t>
        </is>
      </c>
      <c r="L280" s="45" t="inlineStr">
        <is>
          <t>Нормализовано под генератор КП</t>
        </is>
      </c>
    </row>
  </sheetData>
  <autoFilter ref="A1:L280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2" customWidth="1" min="4" max="4"/>
    <col width="26" customWidth="1" min="5" max="5"/>
    <col width="23" customWidth="1" min="6" max="6"/>
    <col width="40" customWidth="1" min="7" max="7"/>
    <col width="29" customWidth="1" min="8" max="8"/>
    <col width="12" customWidth="1" min="9" max="9"/>
    <col width="40" customWidth="1" min="10" max="10"/>
  </cols>
  <sheetData>
    <row r="1">
      <c r="A1" s="40" t="inlineStr">
        <is>
          <t>WorkID</t>
        </is>
      </c>
      <c r="B1" s="40" t="inlineStr">
        <is>
          <t>CanonicalWork</t>
        </is>
      </c>
      <c r="C1" s="40" t="inlineStr">
        <is>
          <t>Tariff</t>
        </is>
      </c>
      <c r="D1" s="40" t="inlineStr">
        <is>
          <t>IsIncluded</t>
        </is>
      </c>
      <c r="E1" s="40" t="inlineStr">
        <is>
          <t>PreferredExecutionMethod</t>
        </is>
      </c>
      <c r="F1" s="40" t="inlineStr">
        <is>
          <t>WorkSellCoeffOverride</t>
        </is>
      </c>
      <c r="G1" s="40" t="inlineStr">
        <is>
          <t>CommercialNameOverride</t>
        </is>
      </c>
      <c r="H1" s="40" t="inlineStr">
        <is>
          <t>DisplayModeOverride</t>
        </is>
      </c>
      <c r="I1" s="40" t="inlineStr">
        <is>
          <t>BundleMode</t>
        </is>
      </c>
      <c r="J1" s="40" t="inlineStr">
        <is>
          <t>Notes</t>
        </is>
      </c>
    </row>
    <row r="2">
      <c r="A2" s="41" t="inlineStr">
        <is>
          <t>RWORK-0001</t>
        </is>
      </c>
      <c r="B2" s="41" t="inlineStr">
        <is>
          <t>Авторское сопровождение</t>
        </is>
      </c>
      <c r="C2" s="41" t="inlineStr">
        <is>
          <t>Эконом</t>
        </is>
      </c>
      <c r="D2" s="41" t="inlineStr">
        <is>
          <t>Да</t>
        </is>
      </c>
      <c r="E2" s="41" t="inlineStr">
        <is>
          <t>Стандарт</t>
        </is>
      </c>
      <c r="F2" s="41" t="n"/>
      <c r="G2" s="41" t="inlineStr">
        <is>
          <t>Авторское сопровождение</t>
        </is>
      </c>
      <c r="H2" s="41" t="inlineStr">
        <is>
          <t>Свернуть в раздел</t>
        </is>
      </c>
      <c r="I2" s="41" t="inlineStr">
        <is>
          <t>Минимум</t>
        </is>
      </c>
      <c r="J2" s="41" t="inlineStr">
        <is>
          <t>Автогенерация из реального прайса; проверить вручную</t>
        </is>
      </c>
    </row>
    <row r="3">
      <c r="A3" s="42" t="inlineStr">
        <is>
          <t>RWORK-0001</t>
        </is>
      </c>
      <c r="B3" s="42" t="inlineStr">
        <is>
          <t>Авторское сопровождение</t>
        </is>
      </c>
      <c r="C3" s="42" t="inlineStr">
        <is>
          <t>Стандарт</t>
        </is>
      </c>
      <c r="D3" s="42" t="inlineStr">
        <is>
          <t>Да</t>
        </is>
      </c>
      <c r="E3" s="42" t="inlineStr">
        <is>
          <t>Стандарт</t>
        </is>
      </c>
      <c r="F3" s="42" t="n"/>
      <c r="G3" s="42" t="inlineStr">
        <is>
          <t>Авторское сопровождение</t>
        </is>
      </c>
      <c r="H3" s="42" t="inlineStr">
        <is>
          <t>Показать строкой</t>
        </is>
      </c>
      <c r="I3" s="42" t="inlineStr">
        <is>
          <t>База</t>
        </is>
      </c>
      <c r="J3" s="42" t="inlineStr">
        <is>
          <t>Автогенерация из реального прайса; проверить вручную</t>
        </is>
      </c>
    </row>
    <row r="4">
      <c r="A4" s="41" t="inlineStr">
        <is>
          <t>RWORK-0001</t>
        </is>
      </c>
      <c r="B4" s="41" t="inlineStr">
        <is>
          <t>Авторское сопровождение</t>
        </is>
      </c>
      <c r="C4" s="41" t="inlineStr">
        <is>
          <t>Премиум</t>
        </is>
      </c>
      <c r="D4" s="41" t="inlineStr">
        <is>
          <t>Да</t>
        </is>
      </c>
      <c r="E4" s="41" t="inlineStr">
        <is>
          <t>Стандарт</t>
        </is>
      </c>
      <c r="F4" s="41" t="n"/>
      <c r="G4" s="41" t="inlineStr">
        <is>
          <t>Авторское сопровождение</t>
        </is>
      </c>
      <c r="H4" s="41" t="inlineStr">
        <is>
          <t>Показать строкой</t>
        </is>
      </c>
      <c r="I4" s="41" t="inlineStr">
        <is>
          <t>Детально</t>
        </is>
      </c>
      <c r="J4" s="41" t="inlineStr">
        <is>
          <t>Автогенерация из реального прайса; проверить вручную</t>
        </is>
      </c>
    </row>
    <row r="5">
      <c r="A5" s="42" t="inlineStr">
        <is>
          <t>RWORK-0002</t>
        </is>
      </c>
      <c r="B5" s="42" t="inlineStr">
        <is>
          <t>Антисептирование пиломатериалов с обеих сторон</t>
        </is>
      </c>
      <c r="C5" s="42" t="inlineStr">
        <is>
          <t>Эконом</t>
        </is>
      </c>
      <c r="D5" s="42" t="inlineStr">
        <is>
          <t>Да</t>
        </is>
      </c>
      <c r="E5" s="42" t="inlineStr">
        <is>
          <t>Стандарт</t>
        </is>
      </c>
      <c r="F5" s="42" t="n"/>
      <c r="G5" s="42" t="inlineStr">
        <is>
          <t>Антисептирование пиломатериалов с обеих сторон</t>
        </is>
      </c>
      <c r="H5" s="42" t="inlineStr">
        <is>
          <t>Свернуть в раздел</t>
        </is>
      </c>
      <c r="I5" s="42" t="inlineStr">
        <is>
          <t>Минимум</t>
        </is>
      </c>
      <c r="J5" s="42" t="inlineStr">
        <is>
          <t>Автогенерация из реального прайса; проверить вручную</t>
        </is>
      </c>
    </row>
    <row r="6">
      <c r="A6" s="41" t="inlineStr">
        <is>
          <t>RWORK-0002</t>
        </is>
      </c>
      <c r="B6" s="41" t="inlineStr">
        <is>
          <t>Антисептирование пиломатериалов с обеих сторон</t>
        </is>
      </c>
      <c r="C6" s="41" t="inlineStr">
        <is>
          <t>Стандарт</t>
        </is>
      </c>
      <c r="D6" s="41" t="inlineStr">
        <is>
          <t>Да</t>
        </is>
      </c>
      <c r="E6" s="41" t="inlineStr">
        <is>
          <t>Стандарт</t>
        </is>
      </c>
      <c r="F6" s="41" t="n"/>
      <c r="G6" s="41" t="inlineStr">
        <is>
          <t>Антисептирование пиломатериалов с обеих сторон</t>
        </is>
      </c>
      <c r="H6" s="41" t="inlineStr">
        <is>
          <t>Показать строкой</t>
        </is>
      </c>
      <c r="I6" s="41" t="inlineStr">
        <is>
          <t>База</t>
        </is>
      </c>
      <c r="J6" s="41" t="inlineStr">
        <is>
          <t>Автогенерация из реального прайса; проверить вручную</t>
        </is>
      </c>
    </row>
    <row r="7">
      <c r="A7" s="42" t="inlineStr">
        <is>
          <t>RWORK-0002</t>
        </is>
      </c>
      <c r="B7" s="42" t="inlineStr">
        <is>
          <t>Антисептирование пиломатериалов с обеих сторон</t>
        </is>
      </c>
      <c r="C7" s="42" t="inlineStr">
        <is>
          <t>Премиум</t>
        </is>
      </c>
      <c r="D7" s="42" t="inlineStr">
        <is>
          <t>Да</t>
        </is>
      </c>
      <c r="E7" s="42" t="inlineStr">
        <is>
          <t>Стандарт</t>
        </is>
      </c>
      <c r="F7" s="42" t="n"/>
      <c r="G7" s="42" t="inlineStr">
        <is>
          <t>Антисептирование пиломатериалов с обеих сторон</t>
        </is>
      </c>
      <c r="H7" s="42" t="inlineStr">
        <is>
          <t>Показать строкой</t>
        </is>
      </c>
      <c r="I7" s="42" t="inlineStr">
        <is>
          <t>Детально</t>
        </is>
      </c>
      <c r="J7" s="42" t="inlineStr">
        <is>
          <t>Автогенерация из реального прайса; проверить вручную</t>
        </is>
      </c>
    </row>
    <row r="8">
      <c r="A8" s="41" t="inlineStr">
        <is>
          <t>RWORK-0003</t>
        </is>
      </c>
      <c r="B8" s="41" t="inlineStr">
        <is>
          <t>Аренда вагончика</t>
        </is>
      </c>
      <c r="C8" s="41" t="inlineStr">
        <is>
          <t>Эконом</t>
        </is>
      </c>
      <c r="D8" s="41" t="inlineStr">
        <is>
          <t>Да</t>
        </is>
      </c>
      <c r="E8" s="41" t="inlineStr">
        <is>
          <t>Стандарт</t>
        </is>
      </c>
      <c r="F8" s="41" t="n"/>
      <c r="G8" s="41" t="inlineStr">
        <is>
          <t>Аренда вагончика</t>
        </is>
      </c>
      <c r="H8" s="41" t="inlineStr">
        <is>
          <t>Свернуть в раздел</t>
        </is>
      </c>
      <c r="I8" s="41" t="inlineStr">
        <is>
          <t>Минимум</t>
        </is>
      </c>
      <c r="J8" s="41" t="inlineStr">
        <is>
          <t>Автогенерация из реального прайса; проверить вручную</t>
        </is>
      </c>
    </row>
    <row r="9">
      <c r="A9" s="42" t="inlineStr">
        <is>
          <t>RWORK-0003</t>
        </is>
      </c>
      <c r="B9" s="42" t="inlineStr">
        <is>
          <t>Аренда вагончика</t>
        </is>
      </c>
      <c r="C9" s="42" t="inlineStr">
        <is>
          <t>Стандарт</t>
        </is>
      </c>
      <c r="D9" s="42" t="inlineStr">
        <is>
          <t>Да</t>
        </is>
      </c>
      <c r="E9" s="42" t="inlineStr">
        <is>
          <t>Стандарт</t>
        </is>
      </c>
      <c r="F9" s="42" t="n"/>
      <c r="G9" s="42" t="inlineStr">
        <is>
          <t>Аренда вагончика</t>
        </is>
      </c>
      <c r="H9" s="42" t="inlineStr">
        <is>
          <t>Свернуть в раздел</t>
        </is>
      </c>
      <c r="I9" s="42" t="inlineStr">
        <is>
          <t>База</t>
        </is>
      </c>
      <c r="J9" s="42" t="inlineStr">
        <is>
          <t>Автогенерация из реального прайса; проверить вручную</t>
        </is>
      </c>
    </row>
    <row r="10">
      <c r="A10" s="41" t="inlineStr">
        <is>
          <t>RWORK-0003</t>
        </is>
      </c>
      <c r="B10" s="41" t="inlineStr">
        <is>
          <t>Аренда вагончика</t>
        </is>
      </c>
      <c r="C10" s="41" t="inlineStr">
        <is>
          <t>Премиум</t>
        </is>
      </c>
      <c r="D10" s="41" t="inlineStr">
        <is>
          <t>Да</t>
        </is>
      </c>
      <c r="E10" s="41" t="inlineStr">
        <is>
          <t>Стандарт</t>
        </is>
      </c>
      <c r="F10" s="41" t="n"/>
      <c r="G10" s="41" t="inlineStr">
        <is>
          <t>Аренда вагончика</t>
        </is>
      </c>
      <c r="H10" s="41" t="inlineStr">
        <is>
          <t>Свернуть в раздел</t>
        </is>
      </c>
      <c r="I10" s="41" t="inlineStr">
        <is>
          <t>Детально</t>
        </is>
      </c>
      <c r="J10" s="41" t="inlineStr">
        <is>
          <t>Автогенерация из реального прайса; проверить вручную</t>
        </is>
      </c>
    </row>
    <row r="11">
      <c r="A11" s="42" t="inlineStr">
        <is>
          <t>RWORK-0004</t>
        </is>
      </c>
      <c r="B11" s="42" t="inlineStr">
        <is>
          <t>Аренда виброплиты 140кг</t>
        </is>
      </c>
      <c r="C11" s="42" t="inlineStr">
        <is>
          <t>Эконом</t>
        </is>
      </c>
      <c r="D11" s="42" t="inlineStr">
        <is>
          <t>Да</t>
        </is>
      </c>
      <c r="E11" s="42" t="inlineStr">
        <is>
          <t>Механизированный</t>
        </is>
      </c>
      <c r="F11" s="42" t="n"/>
      <c r="G11" s="42" t="inlineStr">
        <is>
          <t>Аренда виброплиты 140кг</t>
        </is>
      </c>
      <c r="H11" s="42" t="inlineStr">
        <is>
          <t>Свернуть в раздел</t>
        </is>
      </c>
      <c r="I11" s="42" t="inlineStr">
        <is>
          <t>Минимум</t>
        </is>
      </c>
      <c r="J11" s="42" t="inlineStr">
        <is>
          <t>Автогенерация из реального прайса; проверить вручную</t>
        </is>
      </c>
    </row>
    <row r="12">
      <c r="A12" s="41" t="inlineStr">
        <is>
          <t>RWORK-0004</t>
        </is>
      </c>
      <c r="B12" s="41" t="inlineStr">
        <is>
          <t>Аренда виброплиты 140кг</t>
        </is>
      </c>
      <c r="C12" s="41" t="inlineStr">
        <is>
          <t>Стандарт</t>
        </is>
      </c>
      <c r="D12" s="41" t="inlineStr">
        <is>
          <t>Да</t>
        </is>
      </c>
      <c r="E12" s="41" t="inlineStr">
        <is>
          <t>Механизированный</t>
        </is>
      </c>
      <c r="F12" s="41" t="n"/>
      <c r="G12" s="41" t="inlineStr">
        <is>
          <t>Аренда виброплиты 140кг</t>
        </is>
      </c>
      <c r="H12" s="41" t="inlineStr">
        <is>
          <t>Свернуть в раздел</t>
        </is>
      </c>
      <c r="I12" s="41" t="inlineStr">
        <is>
          <t>База</t>
        </is>
      </c>
      <c r="J12" s="41" t="inlineStr">
        <is>
          <t>Автогенерация из реального прайса; проверить вручную</t>
        </is>
      </c>
    </row>
    <row r="13">
      <c r="A13" s="42" t="inlineStr">
        <is>
          <t>RWORK-0004</t>
        </is>
      </c>
      <c r="B13" s="42" t="inlineStr">
        <is>
          <t>Аренда виброплиты 140кг</t>
        </is>
      </c>
      <c r="C13" s="42" t="inlineStr">
        <is>
          <t>Премиум</t>
        </is>
      </c>
      <c r="D13" s="42" t="inlineStr">
        <is>
          <t>Да</t>
        </is>
      </c>
      <c r="E13" s="42" t="inlineStr">
        <is>
          <t>Механизированный</t>
        </is>
      </c>
      <c r="F13" s="42" t="n"/>
      <c r="G13" s="42" t="inlineStr">
        <is>
          <t>Аренда виброплиты 140кг</t>
        </is>
      </c>
      <c r="H13" s="42" t="inlineStr">
        <is>
          <t>Свернуть в раздел</t>
        </is>
      </c>
      <c r="I13" s="42" t="inlineStr">
        <is>
          <t>Детально</t>
        </is>
      </c>
      <c r="J13" s="42" t="inlineStr">
        <is>
          <t>Автогенерация из реального прайса; проверить вручную</t>
        </is>
      </c>
    </row>
    <row r="14">
      <c r="A14" s="41" t="inlineStr">
        <is>
          <t>RWORK-0005</t>
        </is>
      </c>
      <c r="B14" s="41" t="inlineStr">
        <is>
          <t>Аренда виброплиты 70кг</t>
        </is>
      </c>
      <c r="C14" s="41" t="inlineStr">
        <is>
          <t>Эконом</t>
        </is>
      </c>
      <c r="D14" s="41" t="inlineStr">
        <is>
          <t>Да</t>
        </is>
      </c>
      <c r="E14" s="41" t="inlineStr">
        <is>
          <t>Механизированный</t>
        </is>
      </c>
      <c r="F14" s="41" t="n"/>
      <c r="G14" s="41" t="inlineStr">
        <is>
          <t>Аренда виброплиты 70кг</t>
        </is>
      </c>
      <c r="H14" s="41" t="inlineStr">
        <is>
          <t>Свернуть в раздел</t>
        </is>
      </c>
      <c r="I14" s="41" t="inlineStr">
        <is>
          <t>Минимум</t>
        </is>
      </c>
      <c r="J14" s="41" t="inlineStr">
        <is>
          <t>Автогенерация из реального прайса; проверить вручную</t>
        </is>
      </c>
    </row>
    <row r="15">
      <c r="A15" s="42" t="inlineStr">
        <is>
          <t>RWORK-0005</t>
        </is>
      </c>
      <c r="B15" s="42" t="inlineStr">
        <is>
          <t>Аренда виброплиты 70кг</t>
        </is>
      </c>
      <c r="C15" s="42" t="inlineStr">
        <is>
          <t>Стандарт</t>
        </is>
      </c>
      <c r="D15" s="42" t="inlineStr">
        <is>
          <t>Да</t>
        </is>
      </c>
      <c r="E15" s="42" t="inlineStr">
        <is>
          <t>Механизированный</t>
        </is>
      </c>
      <c r="F15" s="42" t="n"/>
      <c r="G15" s="42" t="inlineStr">
        <is>
          <t>Аренда виброплиты 70кг</t>
        </is>
      </c>
      <c r="H15" s="42" t="inlineStr">
        <is>
          <t>Свернуть в раздел</t>
        </is>
      </c>
      <c r="I15" s="42" t="inlineStr">
        <is>
          <t>База</t>
        </is>
      </c>
      <c r="J15" s="42" t="inlineStr">
        <is>
          <t>Автогенерация из реального прайса; проверить вручную</t>
        </is>
      </c>
    </row>
    <row r="16">
      <c r="A16" s="41" t="inlineStr">
        <is>
          <t>RWORK-0005</t>
        </is>
      </c>
      <c r="B16" s="41" t="inlineStr">
        <is>
          <t>Аренда виброплиты 70кг</t>
        </is>
      </c>
      <c r="C16" s="41" t="inlineStr">
        <is>
          <t>Премиум</t>
        </is>
      </c>
      <c r="D16" s="41" t="inlineStr">
        <is>
          <t>Да</t>
        </is>
      </c>
      <c r="E16" s="41" t="inlineStr">
        <is>
          <t>Механизированный</t>
        </is>
      </c>
      <c r="F16" s="41" t="n"/>
      <c r="G16" s="41" t="inlineStr">
        <is>
          <t>Аренда виброплиты 70кг</t>
        </is>
      </c>
      <c r="H16" s="41" t="inlineStr">
        <is>
          <t>Свернуть в раздел</t>
        </is>
      </c>
      <c r="I16" s="41" t="inlineStr">
        <is>
          <t>Детально</t>
        </is>
      </c>
      <c r="J16" s="41" t="inlineStr">
        <is>
          <t>Автогенерация из реального прайса; проверить вручную</t>
        </is>
      </c>
    </row>
    <row r="17">
      <c r="A17" s="42" t="inlineStr">
        <is>
          <t>RWORK-0006</t>
        </is>
      </c>
      <c r="B17" s="42" t="inlineStr">
        <is>
          <t>Аренда мотобура</t>
        </is>
      </c>
      <c r="C17" s="42" t="inlineStr">
        <is>
          <t>Эконом</t>
        </is>
      </c>
      <c r="D17" s="42" t="inlineStr">
        <is>
          <t>Да</t>
        </is>
      </c>
      <c r="E17" s="42" t="inlineStr">
        <is>
          <t>Механизированный</t>
        </is>
      </c>
      <c r="F17" s="42" t="n"/>
      <c r="G17" s="42" t="inlineStr">
        <is>
          <t>Аренда мотобура</t>
        </is>
      </c>
      <c r="H17" s="42" t="inlineStr">
        <is>
          <t>Свернуть в раздел</t>
        </is>
      </c>
      <c r="I17" s="42" t="inlineStr">
        <is>
          <t>Минимум</t>
        </is>
      </c>
      <c r="J17" s="42" t="inlineStr">
        <is>
          <t>Автогенерация из реального прайса; проверить вручную</t>
        </is>
      </c>
    </row>
    <row r="18">
      <c r="A18" s="41" t="inlineStr">
        <is>
          <t>RWORK-0006</t>
        </is>
      </c>
      <c r="B18" s="41" t="inlineStr">
        <is>
          <t>Аренда мотобура</t>
        </is>
      </c>
      <c r="C18" s="41" t="inlineStr">
        <is>
          <t>Стандарт</t>
        </is>
      </c>
      <c r="D18" s="41" t="inlineStr">
        <is>
          <t>Да</t>
        </is>
      </c>
      <c r="E18" s="41" t="inlineStr">
        <is>
          <t>Механизированный</t>
        </is>
      </c>
      <c r="F18" s="41" t="n"/>
      <c r="G18" s="41" t="inlineStr">
        <is>
          <t>Аренда мотобура</t>
        </is>
      </c>
      <c r="H18" s="41" t="inlineStr">
        <is>
          <t>Свернуть в раздел</t>
        </is>
      </c>
      <c r="I18" s="41" t="inlineStr">
        <is>
          <t>База</t>
        </is>
      </c>
      <c r="J18" s="41" t="inlineStr">
        <is>
          <t>Автогенерация из реального прайса; проверить вручную</t>
        </is>
      </c>
    </row>
    <row r="19">
      <c r="A19" s="42" t="inlineStr">
        <is>
          <t>RWORK-0006</t>
        </is>
      </c>
      <c r="B19" s="42" t="inlineStr">
        <is>
          <t>Аренда мотобура</t>
        </is>
      </c>
      <c r="C19" s="42" t="inlineStr">
        <is>
          <t>Премиум</t>
        </is>
      </c>
      <c r="D19" s="42" t="inlineStr">
        <is>
          <t>Да</t>
        </is>
      </c>
      <c r="E19" s="42" t="inlineStr">
        <is>
          <t>Механизированный</t>
        </is>
      </c>
      <c r="F19" s="42" t="n"/>
      <c r="G19" s="42" t="inlineStr">
        <is>
          <t>Аренда мотобура</t>
        </is>
      </c>
      <c r="H19" s="42" t="inlineStr">
        <is>
          <t>Свернуть в раздел</t>
        </is>
      </c>
      <c r="I19" s="42" t="inlineStr">
        <is>
          <t>Детально</t>
        </is>
      </c>
      <c r="J19" s="42" t="inlineStr">
        <is>
          <t>Автогенерация из реального прайса; проверить вручную</t>
        </is>
      </c>
    </row>
    <row r="20">
      <c r="A20" s="41" t="inlineStr">
        <is>
          <t>RWORK-0007</t>
        </is>
      </c>
      <c r="B20" s="41" t="inlineStr">
        <is>
          <t>Аренда обслуживание (2 раза в месяц) туалетной кабины</t>
        </is>
      </c>
      <c r="C20" s="41" t="inlineStr">
        <is>
          <t>Эконом</t>
        </is>
      </c>
      <c r="D20" s="41" t="inlineStr">
        <is>
          <t>Да</t>
        </is>
      </c>
      <c r="E20" s="41" t="inlineStr">
        <is>
          <t>Стандарт</t>
        </is>
      </c>
      <c r="F20" s="41" t="n"/>
      <c r="G20" s="41" t="inlineStr">
        <is>
          <t>Аренда обслуживание (2 раза в месяц) туалетной кабины</t>
        </is>
      </c>
      <c r="H20" s="41" t="inlineStr">
        <is>
          <t>Свернуть в раздел</t>
        </is>
      </c>
      <c r="I20" s="41" t="inlineStr">
        <is>
          <t>Минимум</t>
        </is>
      </c>
      <c r="J20" s="41" t="inlineStr">
        <is>
          <t>Автогенерация из реального прайса; проверить вручную</t>
        </is>
      </c>
    </row>
    <row r="21">
      <c r="A21" s="42" t="inlineStr">
        <is>
          <t>RWORK-0007</t>
        </is>
      </c>
      <c r="B21" s="42" t="inlineStr">
        <is>
          <t>Аренда обслуживание (2 раза в месяц) туалетной кабины</t>
        </is>
      </c>
      <c r="C21" s="42" t="inlineStr">
        <is>
          <t>Стандарт</t>
        </is>
      </c>
      <c r="D21" s="42" t="inlineStr">
        <is>
          <t>Да</t>
        </is>
      </c>
      <c r="E21" s="42" t="inlineStr">
        <is>
          <t>Стандарт</t>
        </is>
      </c>
      <c r="F21" s="42" t="n"/>
      <c r="G21" s="42" t="inlineStr">
        <is>
          <t>Аренда обслуживание (2 раза в месяц) туалетной кабины</t>
        </is>
      </c>
      <c r="H21" s="42" t="inlineStr">
        <is>
          <t>Свернуть в раздел</t>
        </is>
      </c>
      <c r="I21" s="42" t="inlineStr">
        <is>
          <t>База</t>
        </is>
      </c>
      <c r="J21" s="42" t="inlineStr">
        <is>
          <t>Автогенерация из реального прайса; проверить вручную</t>
        </is>
      </c>
    </row>
    <row r="22">
      <c r="A22" s="41" t="inlineStr">
        <is>
          <t>RWORK-0007</t>
        </is>
      </c>
      <c r="B22" s="41" t="inlineStr">
        <is>
          <t>Аренда обслуживание (2 раза в месяц) туалетной кабины</t>
        </is>
      </c>
      <c r="C22" s="41" t="inlineStr">
        <is>
          <t>Премиум</t>
        </is>
      </c>
      <c r="D22" s="41" t="inlineStr">
        <is>
          <t>Да</t>
        </is>
      </c>
      <c r="E22" s="41" t="inlineStr">
        <is>
          <t>Стандарт</t>
        </is>
      </c>
      <c r="F22" s="41" t="n"/>
      <c r="G22" s="41" t="inlineStr">
        <is>
          <t>Аренда обслуживание (2 раза в месяц) туалетной кабины</t>
        </is>
      </c>
      <c r="H22" s="41" t="inlineStr">
        <is>
          <t>Свернуть в раздел</t>
        </is>
      </c>
      <c r="I22" s="41" t="inlineStr">
        <is>
          <t>Детально</t>
        </is>
      </c>
      <c r="J22" s="41" t="inlineStr">
        <is>
          <t>Автогенерация из реального прайса; проверить вручную</t>
        </is>
      </c>
    </row>
    <row r="23">
      <c r="A23" s="42" t="inlineStr">
        <is>
          <t>RWORK-0008</t>
        </is>
      </c>
      <c r="B23" s="42" t="inlineStr">
        <is>
          <t>Аренда торцовочной пилы</t>
        </is>
      </c>
      <c r="C23" s="42" t="inlineStr">
        <is>
          <t>Эконом</t>
        </is>
      </c>
      <c r="D23" s="42" t="inlineStr">
        <is>
          <t>Да</t>
        </is>
      </c>
      <c r="E23" s="42" t="inlineStr">
        <is>
          <t>Механизированный</t>
        </is>
      </c>
      <c r="F23" s="42" t="n"/>
      <c r="G23" s="42" t="inlineStr">
        <is>
          <t>Аренда торцовочной пилы</t>
        </is>
      </c>
      <c r="H23" s="42" t="inlineStr">
        <is>
          <t>Свернуть в раздел</t>
        </is>
      </c>
      <c r="I23" s="42" t="inlineStr">
        <is>
          <t>Минимум</t>
        </is>
      </c>
      <c r="J23" s="42" t="inlineStr">
        <is>
          <t>Автогенерация из реального прайса; проверить вручную</t>
        </is>
      </c>
    </row>
    <row r="24">
      <c r="A24" s="41" t="inlineStr">
        <is>
          <t>RWORK-0008</t>
        </is>
      </c>
      <c r="B24" s="41" t="inlineStr">
        <is>
          <t>Аренда торцовочной пилы</t>
        </is>
      </c>
      <c r="C24" s="41" t="inlineStr">
        <is>
          <t>Стандарт</t>
        </is>
      </c>
      <c r="D24" s="41" t="inlineStr">
        <is>
          <t>Да</t>
        </is>
      </c>
      <c r="E24" s="41" t="inlineStr">
        <is>
          <t>Механизированный</t>
        </is>
      </c>
      <c r="F24" s="41" t="n"/>
      <c r="G24" s="41" t="inlineStr">
        <is>
          <t>Аренда торцовочной пилы</t>
        </is>
      </c>
      <c r="H24" s="41" t="inlineStr">
        <is>
          <t>Свернуть в раздел</t>
        </is>
      </c>
      <c r="I24" s="41" t="inlineStr">
        <is>
          <t>База</t>
        </is>
      </c>
      <c r="J24" s="41" t="inlineStr">
        <is>
          <t>Автогенерация из реального прайса; проверить вручную</t>
        </is>
      </c>
    </row>
    <row r="25">
      <c r="A25" s="42" t="inlineStr">
        <is>
          <t>RWORK-0008</t>
        </is>
      </c>
      <c r="B25" s="42" t="inlineStr">
        <is>
          <t>Аренда торцовочной пилы</t>
        </is>
      </c>
      <c r="C25" s="42" t="inlineStr">
        <is>
          <t>Премиум</t>
        </is>
      </c>
      <c r="D25" s="42" t="inlineStr">
        <is>
          <t>Да</t>
        </is>
      </c>
      <c r="E25" s="42" t="inlineStr">
        <is>
          <t>Механизированный</t>
        </is>
      </c>
      <c r="F25" s="42" t="n"/>
      <c r="G25" s="42" t="inlineStr">
        <is>
          <t>Аренда торцовочной пилы</t>
        </is>
      </c>
      <c r="H25" s="42" t="inlineStr">
        <is>
          <t>Свернуть в раздел</t>
        </is>
      </c>
      <c r="I25" s="42" t="inlineStr">
        <is>
          <t>Детально</t>
        </is>
      </c>
      <c r="J25" s="42" t="inlineStr">
        <is>
          <t>Автогенерация из реального прайса; проверить вручную</t>
        </is>
      </c>
    </row>
    <row r="26">
      <c r="A26" s="41" t="inlineStr">
        <is>
          <t>RWORK-0009</t>
        </is>
      </c>
      <c r="B26" s="41" t="inlineStr">
        <is>
          <t>Армирование</t>
        </is>
      </c>
      <c r="C26" s="41" t="inlineStr">
        <is>
          <t>Эконом</t>
        </is>
      </c>
      <c r="D26" s="41" t="inlineStr">
        <is>
          <t>Да</t>
        </is>
      </c>
      <c r="E26" s="41" t="inlineStr">
        <is>
          <t>Стандарт</t>
        </is>
      </c>
      <c r="F26" s="41" t="n"/>
      <c r="G26" s="41" t="inlineStr">
        <is>
          <t>Армирование</t>
        </is>
      </c>
      <c r="H26" s="41" t="inlineStr">
        <is>
          <t>Свернуть в раздел</t>
        </is>
      </c>
      <c r="I26" s="41" t="inlineStr">
        <is>
          <t>Минимум</t>
        </is>
      </c>
      <c r="J26" s="41" t="inlineStr">
        <is>
          <t>Автогенерация из реального прайса; проверить вручную</t>
        </is>
      </c>
    </row>
    <row r="27">
      <c r="A27" s="42" t="inlineStr">
        <is>
          <t>RWORK-0009</t>
        </is>
      </c>
      <c r="B27" s="42" t="inlineStr">
        <is>
          <t>Армирование</t>
        </is>
      </c>
      <c r="C27" s="42" t="inlineStr">
        <is>
          <t>Стандарт</t>
        </is>
      </c>
      <c r="D27" s="42" t="inlineStr">
        <is>
          <t>Да</t>
        </is>
      </c>
      <c r="E27" s="42" t="inlineStr">
        <is>
          <t>Стандарт</t>
        </is>
      </c>
      <c r="F27" s="42" t="n"/>
      <c r="G27" s="42" t="inlineStr">
        <is>
          <t>Армирование</t>
        </is>
      </c>
      <c r="H27" s="42" t="inlineStr">
        <is>
          <t>Показать строкой</t>
        </is>
      </c>
      <c r="I27" s="42" t="inlineStr">
        <is>
          <t>База</t>
        </is>
      </c>
      <c r="J27" s="42" t="inlineStr">
        <is>
          <t>Автогенерация из реального прайса; проверить вручную</t>
        </is>
      </c>
    </row>
    <row r="28">
      <c r="A28" s="41" t="inlineStr">
        <is>
          <t>RWORK-0009</t>
        </is>
      </c>
      <c r="B28" s="41" t="inlineStr">
        <is>
          <t>Армирование</t>
        </is>
      </c>
      <c r="C28" s="41" t="inlineStr">
        <is>
          <t>Премиум</t>
        </is>
      </c>
      <c r="D28" s="41" t="inlineStr">
        <is>
          <t>Да</t>
        </is>
      </c>
      <c r="E28" s="41" t="inlineStr">
        <is>
          <t>Стандарт</t>
        </is>
      </c>
      <c r="F28" s="41" t="n"/>
      <c r="G28" s="41" t="inlineStr">
        <is>
          <t>Армирование</t>
        </is>
      </c>
      <c r="H28" s="41" t="inlineStr">
        <is>
          <t>Показать строкой</t>
        </is>
      </c>
      <c r="I28" s="41" t="inlineStr">
        <is>
          <t>Детально</t>
        </is>
      </c>
      <c r="J28" s="41" t="inlineStr">
        <is>
          <t>Автогенерация из реального прайса; проверить вручную</t>
        </is>
      </c>
    </row>
    <row r="29">
      <c r="A29" s="42" t="inlineStr">
        <is>
          <t>RWORK-0010</t>
        </is>
      </c>
      <c r="B29" s="42" t="inlineStr">
        <is>
          <t>Бетононасос</t>
        </is>
      </c>
      <c r="C29" s="42" t="inlineStr">
        <is>
          <t>Эконом</t>
        </is>
      </c>
      <c r="D29" s="42" t="inlineStr">
        <is>
          <t>Да</t>
        </is>
      </c>
      <c r="E29" s="42" t="inlineStr">
        <is>
          <t>Механизированный</t>
        </is>
      </c>
      <c r="F29" s="42" t="n"/>
      <c r="G29" s="42" t="inlineStr">
        <is>
          <t>Бетононасос</t>
        </is>
      </c>
      <c r="H29" s="42" t="inlineStr">
        <is>
          <t>Свернуть в раздел</t>
        </is>
      </c>
      <c r="I29" s="42" t="inlineStr">
        <is>
          <t>Минимум</t>
        </is>
      </c>
      <c r="J29" s="42" t="inlineStr">
        <is>
          <t>Автогенерация из реального прайса; проверить вручную</t>
        </is>
      </c>
    </row>
    <row r="30">
      <c r="A30" s="41" t="inlineStr">
        <is>
          <t>RWORK-0010</t>
        </is>
      </c>
      <c r="B30" s="41" t="inlineStr">
        <is>
          <t>Бетононасос</t>
        </is>
      </c>
      <c r="C30" s="41" t="inlineStr">
        <is>
          <t>Стандарт</t>
        </is>
      </c>
      <c r="D30" s="41" t="inlineStr">
        <is>
          <t>Да</t>
        </is>
      </c>
      <c r="E30" s="41" t="inlineStr">
        <is>
          <t>Механизированный</t>
        </is>
      </c>
      <c r="F30" s="41" t="n"/>
      <c r="G30" s="41" t="inlineStr">
        <is>
          <t>Бетононасос</t>
        </is>
      </c>
      <c r="H30" s="41" t="inlineStr">
        <is>
          <t>Свернуть в раздел</t>
        </is>
      </c>
      <c r="I30" s="41" t="inlineStr">
        <is>
          <t>База</t>
        </is>
      </c>
      <c r="J30" s="41" t="inlineStr">
        <is>
          <t>Автогенерация из реального прайса; проверить вручную</t>
        </is>
      </c>
    </row>
    <row r="31">
      <c r="A31" s="42" t="inlineStr">
        <is>
          <t>RWORK-0010</t>
        </is>
      </c>
      <c r="B31" s="42" t="inlineStr">
        <is>
          <t>Бетононасос</t>
        </is>
      </c>
      <c r="C31" s="42" t="inlineStr">
        <is>
          <t>Премиум</t>
        </is>
      </c>
      <c r="D31" s="42" t="inlineStr">
        <is>
          <t>Да</t>
        </is>
      </c>
      <c r="E31" s="42" t="inlineStr">
        <is>
          <t>Механизированный</t>
        </is>
      </c>
      <c r="F31" s="42" t="n"/>
      <c r="G31" s="42" t="inlineStr">
        <is>
          <t>Бетононасос</t>
        </is>
      </c>
      <c r="H31" s="42" t="inlineStr">
        <is>
          <t>Свернуть в раздел</t>
        </is>
      </c>
      <c r="I31" s="42" t="inlineStr">
        <is>
          <t>Детально</t>
        </is>
      </c>
      <c r="J31" s="42" t="inlineStr">
        <is>
          <t>Автогенерация из реального прайса; проверить вручную</t>
        </is>
      </c>
    </row>
    <row r="32">
      <c r="A32" s="41" t="inlineStr">
        <is>
          <t>RWORK-0011</t>
        </is>
      </c>
      <c r="B32" s="41" t="inlineStr">
        <is>
          <t>Вертикальная планировка (геопластика)</t>
        </is>
      </c>
      <c r="C32" s="41" t="inlineStr">
        <is>
          <t>Эконом</t>
        </is>
      </c>
      <c r="D32" s="41" t="inlineStr">
        <is>
          <t>Да</t>
        </is>
      </c>
      <c r="E32" s="41" t="inlineStr">
        <is>
          <t>Стандарт</t>
        </is>
      </c>
      <c r="F32" s="41" t="n"/>
      <c r="G32" s="41" t="inlineStr">
        <is>
          <t>Вертикальная планировка (геопластика)</t>
        </is>
      </c>
      <c r="H32" s="41" t="inlineStr">
        <is>
          <t>Свернуть в раздел</t>
        </is>
      </c>
      <c r="I32" s="41" t="inlineStr">
        <is>
          <t>Минимум</t>
        </is>
      </c>
      <c r="J32" s="41" t="inlineStr">
        <is>
          <t>Автогенерация из реального прайса; проверить вручную</t>
        </is>
      </c>
    </row>
    <row r="33">
      <c r="A33" s="42" t="inlineStr">
        <is>
          <t>RWORK-0011</t>
        </is>
      </c>
      <c r="B33" s="42" t="inlineStr">
        <is>
          <t>Вертикальная планировка (геопластика)</t>
        </is>
      </c>
      <c r="C33" s="42" t="inlineStr">
        <is>
          <t>Стандарт</t>
        </is>
      </c>
      <c r="D33" s="42" t="inlineStr">
        <is>
          <t>Да</t>
        </is>
      </c>
      <c r="E33" s="42" t="inlineStr">
        <is>
          <t>Стандарт</t>
        </is>
      </c>
      <c r="F33" s="42" t="n"/>
      <c r="G33" s="42" t="inlineStr">
        <is>
          <t>Вертикальная планировка (геопластика)</t>
        </is>
      </c>
      <c r="H33" s="42" t="inlineStr">
        <is>
          <t>Показать строкой</t>
        </is>
      </c>
      <c r="I33" s="42" t="inlineStr">
        <is>
          <t>База</t>
        </is>
      </c>
      <c r="J33" s="42" t="inlineStr">
        <is>
          <t>Автогенерация из реального прайса; проверить вручную</t>
        </is>
      </c>
    </row>
    <row r="34">
      <c r="A34" s="41" t="inlineStr">
        <is>
          <t>RWORK-0011</t>
        </is>
      </c>
      <c r="B34" s="41" t="inlineStr">
        <is>
          <t>Вертикальная планировка (геопластика)</t>
        </is>
      </c>
      <c r="C34" s="41" t="inlineStr">
        <is>
          <t>Премиум</t>
        </is>
      </c>
      <c r="D34" s="41" t="inlineStr">
        <is>
          <t>Да</t>
        </is>
      </c>
      <c r="E34" s="41" t="inlineStr">
        <is>
          <t>Стандарт</t>
        </is>
      </c>
      <c r="F34" s="41" t="n"/>
      <c r="G34" s="41" t="inlineStr">
        <is>
          <t>Вертикальная планировка (геопластика)</t>
        </is>
      </c>
      <c r="H34" s="41" t="inlineStr">
        <is>
          <t>Показать строкой</t>
        </is>
      </c>
      <c r="I34" s="41" t="inlineStr">
        <is>
          <t>Детально</t>
        </is>
      </c>
      <c r="J34" s="41" t="inlineStr">
        <is>
          <t>Автогенерация из реального прайса; проверить вручную</t>
        </is>
      </c>
    </row>
    <row r="35">
      <c r="A35" s="42" t="inlineStr">
        <is>
          <t>RWORK-0012</t>
        </is>
      </c>
      <c r="B35" s="42" t="inlineStr">
        <is>
          <t>Вертикальная планировка, выемка и подсыпка</t>
        </is>
      </c>
      <c r="C35" s="42" t="inlineStr">
        <is>
          <t>Эконом</t>
        </is>
      </c>
      <c r="D35" s="42" t="inlineStr">
        <is>
          <t>Да</t>
        </is>
      </c>
      <c r="E35" s="42" t="inlineStr">
        <is>
          <t>Стандарт</t>
        </is>
      </c>
      <c r="F35" s="42" t="n"/>
      <c r="G35" s="42" t="inlineStr">
        <is>
          <t>Вертикальная планировка, выемка и подсыпка</t>
        </is>
      </c>
      <c r="H35" s="42" t="inlineStr">
        <is>
          <t>Свернуть в раздел</t>
        </is>
      </c>
      <c r="I35" s="42" t="inlineStr">
        <is>
          <t>Минимум</t>
        </is>
      </c>
      <c r="J35" s="42" t="inlineStr">
        <is>
          <t>Автогенерация из реального прайса; проверить вручную</t>
        </is>
      </c>
    </row>
    <row r="36">
      <c r="A36" s="41" t="inlineStr">
        <is>
          <t>RWORK-0012</t>
        </is>
      </c>
      <c r="B36" s="41" t="inlineStr">
        <is>
          <t>Вертикальная планировка, выемка и подсыпка</t>
        </is>
      </c>
      <c r="C36" s="41" t="inlineStr">
        <is>
          <t>Стандарт</t>
        </is>
      </c>
      <c r="D36" s="41" t="inlineStr">
        <is>
          <t>Да</t>
        </is>
      </c>
      <c r="E36" s="41" t="inlineStr">
        <is>
          <t>Стандарт</t>
        </is>
      </c>
      <c r="F36" s="41" t="n"/>
      <c r="G36" s="41" t="inlineStr">
        <is>
          <t>Вертикальная планировка, выемка и подсыпка</t>
        </is>
      </c>
      <c r="H36" s="41" t="inlineStr">
        <is>
          <t>Показать строкой</t>
        </is>
      </c>
      <c r="I36" s="41" t="inlineStr">
        <is>
          <t>База</t>
        </is>
      </c>
      <c r="J36" s="41" t="inlineStr">
        <is>
          <t>Автогенерация из реального прайса; проверить вручную</t>
        </is>
      </c>
    </row>
    <row r="37">
      <c r="A37" s="42" t="inlineStr">
        <is>
          <t>RWORK-0012</t>
        </is>
      </c>
      <c r="B37" s="42" t="inlineStr">
        <is>
          <t>Вертикальная планировка, выемка и подсыпка</t>
        </is>
      </c>
      <c r="C37" s="42" t="inlineStr">
        <is>
          <t>Премиум</t>
        </is>
      </c>
      <c r="D37" s="42" t="inlineStr">
        <is>
          <t>Да</t>
        </is>
      </c>
      <c r="E37" s="42" t="inlineStr">
        <is>
          <t>Стандарт</t>
        </is>
      </c>
      <c r="F37" s="42" t="n"/>
      <c r="G37" s="42" t="inlineStr">
        <is>
          <t>Вертикальная планировка, выемка и подсыпка</t>
        </is>
      </c>
      <c r="H37" s="42" t="inlineStr">
        <is>
          <t>Показать строкой</t>
        </is>
      </c>
      <c r="I37" s="42" t="inlineStr">
        <is>
          <t>Детально</t>
        </is>
      </c>
      <c r="J37" s="42" t="inlineStr">
        <is>
          <t>Автогенерация из реального прайса; проверить вручную</t>
        </is>
      </c>
    </row>
    <row r="38">
      <c r="A38" s="41" t="inlineStr">
        <is>
          <t>RWORK-0013</t>
        </is>
      </c>
      <c r="B38" s="41" t="inlineStr">
        <is>
          <t>Восстановление бетонной отмостки</t>
        </is>
      </c>
      <c r="C38" s="41" t="inlineStr">
        <is>
          <t>Эконом</t>
        </is>
      </c>
      <c r="D38" s="41" t="inlineStr">
        <is>
          <t>Да</t>
        </is>
      </c>
      <c r="E38" s="41" t="inlineStr">
        <is>
          <t>Стандарт</t>
        </is>
      </c>
      <c r="F38" s="41" t="n"/>
      <c r="G38" s="41" t="inlineStr">
        <is>
          <t>Восстановление бетонной отмостки</t>
        </is>
      </c>
      <c r="H38" s="41" t="inlineStr">
        <is>
          <t>Свернуть в раздел</t>
        </is>
      </c>
      <c r="I38" s="41" t="inlineStr">
        <is>
          <t>Минимум</t>
        </is>
      </c>
      <c r="J38" s="41" t="inlineStr">
        <is>
          <t>Автогенерация из реального прайса; проверить вручную</t>
        </is>
      </c>
    </row>
    <row r="39">
      <c r="A39" s="42" t="inlineStr">
        <is>
          <t>RWORK-0013</t>
        </is>
      </c>
      <c r="B39" s="42" t="inlineStr">
        <is>
          <t>Восстановление бетонной отмостки</t>
        </is>
      </c>
      <c r="C39" s="42" t="inlineStr">
        <is>
          <t>Стандарт</t>
        </is>
      </c>
      <c r="D39" s="42" t="inlineStr">
        <is>
          <t>Да</t>
        </is>
      </c>
      <c r="E39" s="42" t="inlineStr">
        <is>
          <t>Стандарт</t>
        </is>
      </c>
      <c r="F39" s="42" t="n"/>
      <c r="G39" s="42" t="inlineStr">
        <is>
          <t>Восстановление бетонной отмостки</t>
        </is>
      </c>
      <c r="H39" s="42" t="inlineStr">
        <is>
          <t>Показать строкой</t>
        </is>
      </c>
      <c r="I39" s="42" t="inlineStr">
        <is>
          <t>База</t>
        </is>
      </c>
      <c r="J39" s="42" t="inlineStr">
        <is>
          <t>Автогенерация из реального прайса; проверить вручную</t>
        </is>
      </c>
    </row>
    <row r="40">
      <c r="A40" s="41" t="inlineStr">
        <is>
          <t>RWORK-0013</t>
        </is>
      </c>
      <c r="B40" s="41" t="inlineStr">
        <is>
          <t>Восстановление бетонной отмостки</t>
        </is>
      </c>
      <c r="C40" s="41" t="inlineStr">
        <is>
          <t>Премиум</t>
        </is>
      </c>
      <c r="D40" s="41" t="inlineStr">
        <is>
          <t>Да</t>
        </is>
      </c>
      <c r="E40" s="41" t="inlineStr">
        <is>
          <t>Стандарт</t>
        </is>
      </c>
      <c r="F40" s="41" t="n"/>
      <c r="G40" s="41" t="inlineStr">
        <is>
          <t>Восстановление бетонной отмостки</t>
        </is>
      </c>
      <c r="H40" s="41" t="inlineStr">
        <is>
          <t>Показать строкой</t>
        </is>
      </c>
      <c r="I40" s="41" t="inlineStr">
        <is>
          <t>Детально</t>
        </is>
      </c>
      <c r="J40" s="41" t="inlineStr">
        <is>
          <t>Автогенерация из реального прайса; проверить вручную</t>
        </is>
      </c>
    </row>
    <row r="41">
      <c r="A41" s="42" t="inlineStr">
        <is>
          <t>RWORK-0014</t>
        </is>
      </c>
      <c r="B41" s="42" t="inlineStr">
        <is>
          <t>Восстановление дернины после устройства дренажа</t>
        </is>
      </c>
      <c r="C41" s="42" t="inlineStr">
        <is>
          <t>Эконом</t>
        </is>
      </c>
      <c r="D41" s="42" t="inlineStr">
        <is>
          <t>Да</t>
        </is>
      </c>
      <c r="E41" s="42" t="inlineStr">
        <is>
          <t>Стандарт</t>
        </is>
      </c>
      <c r="F41" s="42" t="n"/>
      <c r="G41" s="42" t="inlineStr">
        <is>
          <t>Восстановление дернины после устройства дренажа</t>
        </is>
      </c>
      <c r="H41" s="42" t="inlineStr">
        <is>
          <t>Свернуть в раздел</t>
        </is>
      </c>
      <c r="I41" s="42" t="inlineStr">
        <is>
          <t>Минимум</t>
        </is>
      </c>
      <c r="J41" s="42" t="inlineStr">
        <is>
          <t>Автогенерация из реального прайса; проверить вручную</t>
        </is>
      </c>
    </row>
    <row r="42">
      <c r="A42" s="41" t="inlineStr">
        <is>
          <t>RWORK-0014</t>
        </is>
      </c>
      <c r="B42" s="41" t="inlineStr">
        <is>
          <t>Восстановление дернины после устройства дренажа</t>
        </is>
      </c>
      <c r="C42" s="41" t="inlineStr">
        <is>
          <t>Стандарт</t>
        </is>
      </c>
      <c r="D42" s="41" t="inlineStr">
        <is>
          <t>Да</t>
        </is>
      </c>
      <c r="E42" s="41" t="inlineStr">
        <is>
          <t>Стандарт</t>
        </is>
      </c>
      <c r="F42" s="41" t="n"/>
      <c r="G42" s="41" t="inlineStr">
        <is>
          <t>Восстановление дернины после устройства дренажа</t>
        </is>
      </c>
      <c r="H42" s="41" t="inlineStr">
        <is>
          <t>Показать строкой</t>
        </is>
      </c>
      <c r="I42" s="41" t="inlineStr">
        <is>
          <t>База</t>
        </is>
      </c>
      <c r="J42" s="41" t="inlineStr">
        <is>
          <t>Автогенерация из реального прайса; проверить вручную</t>
        </is>
      </c>
    </row>
    <row r="43">
      <c r="A43" s="42" t="inlineStr">
        <is>
          <t>RWORK-0014</t>
        </is>
      </c>
      <c r="B43" s="42" t="inlineStr">
        <is>
          <t>Восстановление дернины после устройства дренажа</t>
        </is>
      </c>
      <c r="C43" s="42" t="inlineStr">
        <is>
          <t>Премиум</t>
        </is>
      </c>
      <c r="D43" s="42" t="inlineStr">
        <is>
          <t>Да</t>
        </is>
      </c>
      <c r="E43" s="42" t="inlineStr">
        <is>
          <t>Стандарт</t>
        </is>
      </c>
      <c r="F43" s="42" t="n"/>
      <c r="G43" s="42" t="inlineStr">
        <is>
          <t>Восстановление дернины после устройства дренажа</t>
        </is>
      </c>
      <c r="H43" s="42" t="inlineStr">
        <is>
          <t>Показать строкой</t>
        </is>
      </c>
      <c r="I43" s="42" t="inlineStr">
        <is>
          <t>Детально</t>
        </is>
      </c>
      <c r="J43" s="42" t="inlineStr">
        <is>
          <t>Автогенерация из реального прайса; проверить вручную</t>
        </is>
      </c>
    </row>
    <row r="44">
      <c r="A44" s="41" t="inlineStr">
        <is>
          <t>RWORK-0015</t>
        </is>
      </c>
      <c r="B44" s="41" t="inlineStr">
        <is>
          <t>Временные бытовые условия (+ спецодежда, связь, ТО туал.кабины)</t>
        </is>
      </c>
      <c r="C44" s="41" t="inlineStr">
        <is>
          <t>Эконом</t>
        </is>
      </c>
      <c r="D44" s="41" t="inlineStr">
        <is>
          <t>Да</t>
        </is>
      </c>
      <c r="E44" s="41" t="inlineStr">
        <is>
          <t>Стандарт</t>
        </is>
      </c>
      <c r="F44" s="41" t="n"/>
      <c r="G44" s="41" t="inlineStr">
        <is>
          <t>Временные бытовые условия (+ спецодежда, связь, ТО туал.кабины)</t>
        </is>
      </c>
      <c r="H44" s="41" t="inlineStr">
        <is>
          <t>Скрыть из клиентской версии</t>
        </is>
      </c>
      <c r="I44" s="41" t="inlineStr">
        <is>
          <t>Минимум</t>
        </is>
      </c>
      <c r="J44" s="41" t="inlineStr">
        <is>
          <t>Автогенерация из реального прайса; проверить вручную</t>
        </is>
      </c>
    </row>
    <row r="45">
      <c r="A45" s="42" t="inlineStr">
        <is>
          <t>RWORK-0015</t>
        </is>
      </c>
      <c r="B45" s="42" t="inlineStr">
        <is>
          <t>Временные бытовые условия (+ спецодежда, связь, ТО туал.кабины)</t>
        </is>
      </c>
      <c r="C45" s="42" t="inlineStr">
        <is>
          <t>Стандарт</t>
        </is>
      </c>
      <c r="D45" s="42" t="inlineStr">
        <is>
          <t>Да</t>
        </is>
      </c>
      <c r="E45" s="42" t="inlineStr">
        <is>
          <t>Стандарт</t>
        </is>
      </c>
      <c r="F45" s="42" t="n"/>
      <c r="G45" s="42" t="inlineStr">
        <is>
          <t>Временные бытовые условия (+ спецодежда, связь, ТО туал.кабины)</t>
        </is>
      </c>
      <c r="H45" s="42" t="inlineStr">
        <is>
          <t>Скрыть из клиентской версии</t>
        </is>
      </c>
      <c r="I45" s="42" t="inlineStr">
        <is>
          <t>База</t>
        </is>
      </c>
      <c r="J45" s="42" t="inlineStr">
        <is>
          <t>Автогенерация из реального прайса; проверить вручную</t>
        </is>
      </c>
    </row>
    <row r="46">
      <c r="A46" s="41" t="inlineStr">
        <is>
          <t>RWORK-0015</t>
        </is>
      </c>
      <c r="B46" s="41" t="inlineStr">
        <is>
          <t>Временные бытовые условия (+ спецодежда, связь, ТО туал.кабины)</t>
        </is>
      </c>
      <c r="C46" s="41" t="inlineStr">
        <is>
          <t>Премиум</t>
        </is>
      </c>
      <c r="D46" s="41" t="inlineStr">
        <is>
          <t>Да</t>
        </is>
      </c>
      <c r="E46" s="41" t="inlineStr">
        <is>
          <t>Стандарт</t>
        </is>
      </c>
      <c r="F46" s="41" t="n"/>
      <c r="G46" s="41" t="inlineStr">
        <is>
          <t>Временные бытовые условия (+ спецодежда, связь, ТО туал.кабины)</t>
        </is>
      </c>
      <c r="H46" s="41" t="inlineStr">
        <is>
          <t>Скрыть из клиентской версии</t>
        </is>
      </c>
      <c r="I46" s="41" t="inlineStr">
        <is>
          <t>Детально</t>
        </is>
      </c>
      <c r="J46" s="41" t="inlineStr">
        <is>
          <t>Автогенерация из реального прайса; проверить вручную</t>
        </is>
      </c>
    </row>
    <row r="47">
      <c r="A47" s="42" t="inlineStr">
        <is>
          <t>RWORK-0016</t>
        </is>
      </c>
      <c r="B47" s="42" t="inlineStr">
        <is>
          <t>Выборка ложа от чистовой отметки (вручную)</t>
        </is>
      </c>
      <c r="C47" s="42" t="inlineStr">
        <is>
          <t>Эконом</t>
        </is>
      </c>
      <c r="D47" s="42" t="inlineStr">
        <is>
          <t>Да</t>
        </is>
      </c>
      <c r="E47" s="42" t="inlineStr">
        <is>
          <t>Ручной</t>
        </is>
      </c>
      <c r="F47" s="42" t="n"/>
      <c r="G47" s="42" t="inlineStr">
        <is>
          <t>Выборка ложа от чистовой отметки (вручную)</t>
        </is>
      </c>
      <c r="H47" s="42" t="inlineStr">
        <is>
          <t>Свернуть в раздел</t>
        </is>
      </c>
      <c r="I47" s="42" t="inlineStr">
        <is>
          <t>Минимум</t>
        </is>
      </c>
      <c r="J47" s="42" t="inlineStr">
        <is>
          <t>Автогенерация из реального прайса; проверить вручную</t>
        </is>
      </c>
    </row>
    <row r="48">
      <c r="A48" s="41" t="inlineStr">
        <is>
          <t>RWORK-0016</t>
        </is>
      </c>
      <c r="B48" s="41" t="inlineStr">
        <is>
          <t>Выборка ложа от чистовой отметки (вручную)</t>
        </is>
      </c>
      <c r="C48" s="41" t="inlineStr">
        <is>
          <t>Стандарт</t>
        </is>
      </c>
      <c r="D48" s="41" t="inlineStr">
        <is>
          <t>Да</t>
        </is>
      </c>
      <c r="E48" s="41" t="inlineStr">
        <is>
          <t>Ручной</t>
        </is>
      </c>
      <c r="F48" s="41" t="n"/>
      <c r="G48" s="41" t="inlineStr">
        <is>
          <t>Выборка ложа от чистовой отметки (вручную)</t>
        </is>
      </c>
      <c r="H48" s="41" t="inlineStr">
        <is>
          <t>Показать строкой</t>
        </is>
      </c>
      <c r="I48" s="41" t="inlineStr">
        <is>
          <t>База</t>
        </is>
      </c>
      <c r="J48" s="41" t="inlineStr">
        <is>
          <t>Автогенерация из реального прайса; проверить вручную</t>
        </is>
      </c>
    </row>
    <row r="49">
      <c r="A49" s="42" t="inlineStr">
        <is>
          <t>RWORK-0016</t>
        </is>
      </c>
      <c r="B49" s="42" t="inlineStr">
        <is>
          <t>Выборка ложа от чистовой отметки (вручную)</t>
        </is>
      </c>
      <c r="C49" s="42" t="inlineStr">
        <is>
          <t>Премиум</t>
        </is>
      </c>
      <c r="D49" s="42" t="inlineStr">
        <is>
          <t>Да</t>
        </is>
      </c>
      <c r="E49" s="42" t="inlineStr">
        <is>
          <t>Ручной</t>
        </is>
      </c>
      <c r="F49" s="42" t="n"/>
      <c r="G49" s="42" t="inlineStr">
        <is>
          <t>Выборка ложа от чистовой отметки (вручную)</t>
        </is>
      </c>
      <c r="H49" s="42" t="inlineStr">
        <is>
          <t>Показать строкой</t>
        </is>
      </c>
      <c r="I49" s="42" t="inlineStr">
        <is>
          <t>Детально</t>
        </is>
      </c>
      <c r="J49" s="42" t="inlineStr">
        <is>
          <t>Автогенерация из реального прайса; проверить вручную</t>
        </is>
      </c>
    </row>
    <row r="50">
      <c r="A50" s="41" t="inlineStr">
        <is>
          <t>RWORK-0017</t>
        </is>
      </c>
      <c r="B50" s="41" t="inlineStr">
        <is>
          <t>Выборка ложа от чистовой отметки в отвал (механическая)</t>
        </is>
      </c>
      <c r="C50" s="41" t="inlineStr">
        <is>
          <t>Эконом</t>
        </is>
      </c>
      <c r="D50" s="41" t="inlineStr">
        <is>
          <t>Да</t>
        </is>
      </c>
      <c r="E50" s="41" t="inlineStr">
        <is>
          <t>Стандарт</t>
        </is>
      </c>
      <c r="F50" s="41" t="n"/>
      <c r="G50" s="41" t="inlineStr">
        <is>
          <t>Выборка ложа от чистовой отметки в отвал (механическая)</t>
        </is>
      </c>
      <c r="H50" s="41" t="inlineStr">
        <is>
          <t>Свернуть в раздел</t>
        </is>
      </c>
      <c r="I50" s="41" t="inlineStr">
        <is>
          <t>Минимум</t>
        </is>
      </c>
      <c r="J50" s="41" t="inlineStr">
        <is>
          <t>Автогенерация из реального прайса; проверить вручную</t>
        </is>
      </c>
    </row>
    <row r="51">
      <c r="A51" s="42" t="inlineStr">
        <is>
          <t>RWORK-0017</t>
        </is>
      </c>
      <c r="B51" s="42" t="inlineStr">
        <is>
          <t>Выборка ложа от чистовой отметки в отвал (механическая)</t>
        </is>
      </c>
      <c r="C51" s="42" t="inlineStr">
        <is>
          <t>Стандарт</t>
        </is>
      </c>
      <c r="D51" s="42" t="inlineStr">
        <is>
          <t>Да</t>
        </is>
      </c>
      <c r="E51" s="42" t="inlineStr">
        <is>
          <t>Стандарт</t>
        </is>
      </c>
      <c r="F51" s="42" t="n"/>
      <c r="G51" s="42" t="inlineStr">
        <is>
          <t>Выборка ложа от чистовой отметки в отвал (механическая)</t>
        </is>
      </c>
      <c r="H51" s="42" t="inlineStr">
        <is>
          <t>Показать строкой</t>
        </is>
      </c>
      <c r="I51" s="42" t="inlineStr">
        <is>
          <t>База</t>
        </is>
      </c>
      <c r="J51" s="42" t="inlineStr">
        <is>
          <t>Автогенерация из реального прайса; проверить вручную</t>
        </is>
      </c>
    </row>
    <row r="52">
      <c r="A52" s="41" t="inlineStr">
        <is>
          <t>RWORK-0017</t>
        </is>
      </c>
      <c r="B52" s="41" t="inlineStr">
        <is>
          <t>Выборка ложа от чистовой отметки в отвал (механическая)</t>
        </is>
      </c>
      <c r="C52" s="41" t="inlineStr">
        <is>
          <t>Премиум</t>
        </is>
      </c>
      <c r="D52" s="41" t="inlineStr">
        <is>
          <t>Да</t>
        </is>
      </c>
      <c r="E52" s="41" t="inlineStr">
        <is>
          <t>Стандарт</t>
        </is>
      </c>
      <c r="F52" s="41" t="n"/>
      <c r="G52" s="41" t="inlineStr">
        <is>
          <t>Выборка ложа от чистовой отметки в отвал (механическая)</t>
        </is>
      </c>
      <c r="H52" s="41" t="inlineStr">
        <is>
          <t>Показать строкой</t>
        </is>
      </c>
      <c r="I52" s="41" t="inlineStr">
        <is>
          <t>Детально</t>
        </is>
      </c>
      <c r="J52" s="41" t="inlineStr">
        <is>
          <t>Автогенерация из реального прайса; проверить вручную</t>
        </is>
      </c>
    </row>
    <row r="53">
      <c r="A53" s="42" t="inlineStr">
        <is>
          <t>RWORK-0018</t>
        </is>
      </c>
      <c r="B53" s="42" t="inlineStr">
        <is>
          <t>Вывоз мусора (грунт)</t>
        </is>
      </c>
      <c r="C53" s="42" t="inlineStr">
        <is>
          <t>Эконом</t>
        </is>
      </c>
      <c r="D53" s="42" t="inlineStr">
        <is>
          <t>Да</t>
        </is>
      </c>
      <c r="E53" s="42" t="inlineStr">
        <is>
          <t>Стандарт</t>
        </is>
      </c>
      <c r="F53" s="42" t="n"/>
      <c r="G53" s="42" t="inlineStr">
        <is>
          <t>Вывоз мусора (грунт)</t>
        </is>
      </c>
      <c r="H53" s="42" t="inlineStr">
        <is>
          <t>Свернуть в раздел</t>
        </is>
      </c>
      <c r="I53" s="42" t="inlineStr">
        <is>
          <t>Минимум</t>
        </is>
      </c>
      <c r="J53" s="42" t="inlineStr">
        <is>
          <t>Автогенерация из реального прайса; проверить вручную</t>
        </is>
      </c>
    </row>
    <row r="54">
      <c r="A54" s="41" t="inlineStr">
        <is>
          <t>RWORK-0018</t>
        </is>
      </c>
      <c r="B54" s="41" t="inlineStr">
        <is>
          <t>Вывоз мусора (грунт)</t>
        </is>
      </c>
      <c r="C54" s="41" t="inlineStr">
        <is>
          <t>Стандарт</t>
        </is>
      </c>
      <c r="D54" s="41" t="inlineStr">
        <is>
          <t>Да</t>
        </is>
      </c>
      <c r="E54" s="41" t="inlineStr">
        <is>
          <t>Стандарт</t>
        </is>
      </c>
      <c r="F54" s="41" t="n"/>
      <c r="G54" s="41" t="inlineStr">
        <is>
          <t>Вывоз мусора (грунт)</t>
        </is>
      </c>
      <c r="H54" s="41" t="inlineStr">
        <is>
          <t>Свернуть в раздел</t>
        </is>
      </c>
      <c r="I54" s="41" t="inlineStr">
        <is>
          <t>База</t>
        </is>
      </c>
      <c r="J54" s="41" t="inlineStr">
        <is>
          <t>Автогенерация из реального прайса; проверить вручную</t>
        </is>
      </c>
    </row>
    <row r="55">
      <c r="A55" s="42" t="inlineStr">
        <is>
          <t>RWORK-0018</t>
        </is>
      </c>
      <c r="B55" s="42" t="inlineStr">
        <is>
          <t>Вывоз мусора (грунт)</t>
        </is>
      </c>
      <c r="C55" s="42" t="inlineStr">
        <is>
          <t>Премиум</t>
        </is>
      </c>
      <c r="D55" s="42" t="inlineStr">
        <is>
          <t>Да</t>
        </is>
      </c>
      <c r="E55" s="42" t="inlineStr">
        <is>
          <t>Стандарт</t>
        </is>
      </c>
      <c r="F55" s="42" t="n"/>
      <c r="G55" s="42" t="inlineStr">
        <is>
          <t>Вывоз мусора (грунт)</t>
        </is>
      </c>
      <c r="H55" s="42" t="inlineStr">
        <is>
          <t>Свернуть в раздел</t>
        </is>
      </c>
      <c r="I55" s="42" t="inlineStr">
        <is>
          <t>Детально</t>
        </is>
      </c>
      <c r="J55" s="42" t="inlineStr">
        <is>
          <t>Автогенерация из реального прайса; проверить вручную</t>
        </is>
      </c>
    </row>
    <row r="56">
      <c r="A56" s="41" t="inlineStr">
        <is>
          <t>RWORK-0019</t>
        </is>
      </c>
      <c r="B56" s="41" t="inlineStr">
        <is>
          <t>Вывоз мусора (пухто 27м.куб.)</t>
        </is>
      </c>
      <c r="C56" s="41" t="inlineStr">
        <is>
          <t>Эконом</t>
        </is>
      </c>
      <c r="D56" s="41" t="inlineStr">
        <is>
          <t>Да</t>
        </is>
      </c>
      <c r="E56" s="41" t="inlineStr">
        <is>
          <t>Стандарт</t>
        </is>
      </c>
      <c r="F56" s="41" t="n"/>
      <c r="G56" s="41" t="inlineStr">
        <is>
          <t>Вывоз мусора (пухто 27м.куб.)</t>
        </is>
      </c>
      <c r="H56" s="41" t="inlineStr">
        <is>
          <t>Свернуть в раздел</t>
        </is>
      </c>
      <c r="I56" s="41" t="inlineStr">
        <is>
          <t>Минимум</t>
        </is>
      </c>
      <c r="J56" s="41" t="inlineStr">
        <is>
          <t>Автогенерация из реального прайса; проверить вручную</t>
        </is>
      </c>
    </row>
    <row r="57">
      <c r="A57" s="42" t="inlineStr">
        <is>
          <t>RWORK-0019</t>
        </is>
      </c>
      <c r="B57" s="42" t="inlineStr">
        <is>
          <t>Вывоз мусора (пухто 27м.куб.)</t>
        </is>
      </c>
      <c r="C57" s="42" t="inlineStr">
        <is>
          <t>Стандарт</t>
        </is>
      </c>
      <c r="D57" s="42" t="inlineStr">
        <is>
          <t>Да</t>
        </is>
      </c>
      <c r="E57" s="42" t="inlineStr">
        <is>
          <t>Стандарт</t>
        </is>
      </c>
      <c r="F57" s="42" t="n"/>
      <c r="G57" s="42" t="inlineStr">
        <is>
          <t>Вывоз мусора (пухто 27м.куб.)</t>
        </is>
      </c>
      <c r="H57" s="42" t="inlineStr">
        <is>
          <t>Свернуть в раздел</t>
        </is>
      </c>
      <c r="I57" s="42" t="inlineStr">
        <is>
          <t>База</t>
        </is>
      </c>
      <c r="J57" s="42" t="inlineStr">
        <is>
          <t>Автогенерация из реального прайса; проверить вручную</t>
        </is>
      </c>
    </row>
    <row r="58">
      <c r="A58" s="41" t="inlineStr">
        <is>
          <t>RWORK-0019</t>
        </is>
      </c>
      <c r="B58" s="41" t="inlineStr">
        <is>
          <t>Вывоз мусора (пухто 27м.куб.)</t>
        </is>
      </c>
      <c r="C58" s="41" t="inlineStr">
        <is>
          <t>Премиум</t>
        </is>
      </c>
      <c r="D58" s="41" t="inlineStr">
        <is>
          <t>Да</t>
        </is>
      </c>
      <c r="E58" s="41" t="inlineStr">
        <is>
          <t>Стандарт</t>
        </is>
      </c>
      <c r="F58" s="41" t="n"/>
      <c r="G58" s="41" t="inlineStr">
        <is>
          <t>Вывоз мусора (пухто 27м.куб.)</t>
        </is>
      </c>
      <c r="H58" s="41" t="inlineStr">
        <is>
          <t>Свернуть в раздел</t>
        </is>
      </c>
      <c r="I58" s="41" t="inlineStr">
        <is>
          <t>Детально</t>
        </is>
      </c>
      <c r="J58" s="41" t="inlineStr">
        <is>
          <t>Автогенерация из реального прайса; проверить вручную</t>
        </is>
      </c>
    </row>
    <row r="59">
      <c r="A59" s="42" t="inlineStr">
        <is>
          <t>RWORK-0020</t>
        </is>
      </c>
      <c r="B59" s="42" t="inlineStr">
        <is>
          <t>Выезд электрика для подключения в вагончике</t>
        </is>
      </c>
      <c r="C59" s="42" t="inlineStr">
        <is>
          <t>Эконом</t>
        </is>
      </c>
      <c r="D59" s="42" t="inlineStr">
        <is>
          <t>Да</t>
        </is>
      </c>
      <c r="E59" s="42" t="inlineStr">
        <is>
          <t>Стандарт</t>
        </is>
      </c>
      <c r="F59" s="42" t="n"/>
      <c r="G59" s="42" t="inlineStr">
        <is>
          <t>Выезд электрика для подключения в вагончике</t>
        </is>
      </c>
      <c r="H59" s="42" t="inlineStr">
        <is>
          <t>Свернуть в раздел</t>
        </is>
      </c>
      <c r="I59" s="42" t="inlineStr">
        <is>
          <t>Минимум</t>
        </is>
      </c>
      <c r="J59" s="42" t="inlineStr">
        <is>
          <t>Автогенерация из реального прайса; проверить вручную</t>
        </is>
      </c>
    </row>
    <row r="60">
      <c r="A60" s="41" t="inlineStr">
        <is>
          <t>RWORK-0020</t>
        </is>
      </c>
      <c r="B60" s="41" t="inlineStr">
        <is>
          <t>Выезд электрика для подключения в вагончике</t>
        </is>
      </c>
      <c r="C60" s="41" t="inlineStr">
        <is>
          <t>Стандарт</t>
        </is>
      </c>
      <c r="D60" s="41" t="inlineStr">
        <is>
          <t>Да</t>
        </is>
      </c>
      <c r="E60" s="41" t="inlineStr">
        <is>
          <t>Стандарт</t>
        </is>
      </c>
      <c r="F60" s="41" t="n"/>
      <c r="G60" s="41" t="inlineStr">
        <is>
          <t>Выезд электрика для подключения в вагончике</t>
        </is>
      </c>
      <c r="H60" s="41" t="inlineStr">
        <is>
          <t>Свернуть в раздел</t>
        </is>
      </c>
      <c r="I60" s="41" t="inlineStr">
        <is>
          <t>База</t>
        </is>
      </c>
      <c r="J60" s="41" t="inlineStr">
        <is>
          <t>Автогенерация из реального прайса; проверить вручную</t>
        </is>
      </c>
    </row>
    <row r="61">
      <c r="A61" s="42" t="inlineStr">
        <is>
          <t>RWORK-0020</t>
        </is>
      </c>
      <c r="B61" s="42" t="inlineStr">
        <is>
          <t>Выезд электрика для подключения в вагончике</t>
        </is>
      </c>
      <c r="C61" s="42" t="inlineStr">
        <is>
          <t>Премиум</t>
        </is>
      </c>
      <c r="D61" s="42" t="inlineStr">
        <is>
          <t>Да</t>
        </is>
      </c>
      <c r="E61" s="42" t="inlineStr">
        <is>
          <t>Стандарт</t>
        </is>
      </c>
      <c r="F61" s="42" t="n"/>
      <c r="G61" s="42" t="inlineStr">
        <is>
          <t>Выезд электрика для подключения в вагончике</t>
        </is>
      </c>
      <c r="H61" s="42" t="inlineStr">
        <is>
          <t>Свернуть в раздел</t>
        </is>
      </c>
      <c r="I61" s="42" t="inlineStr">
        <is>
          <t>Детально</t>
        </is>
      </c>
      <c r="J61" s="42" t="inlineStr">
        <is>
          <t>Автогенерация из реального прайса; проверить вручную</t>
        </is>
      </c>
    </row>
    <row r="62">
      <c r="A62" s="41" t="inlineStr">
        <is>
          <t>RWORK-0021</t>
        </is>
      </c>
      <c r="B62" s="41" t="inlineStr">
        <is>
          <t>Выемка грунта (вручную)</t>
        </is>
      </c>
      <c r="C62" s="41" t="inlineStr">
        <is>
          <t>Эконом</t>
        </is>
      </c>
      <c r="D62" s="41" t="inlineStr">
        <is>
          <t>Да</t>
        </is>
      </c>
      <c r="E62" s="41" t="inlineStr">
        <is>
          <t>Ручной</t>
        </is>
      </c>
      <c r="F62" s="41" t="n"/>
      <c r="G62" s="41" t="inlineStr">
        <is>
          <t>Выемка грунта (вручную)</t>
        </is>
      </c>
      <c r="H62" s="41" t="inlineStr">
        <is>
          <t>Свернуть в раздел</t>
        </is>
      </c>
      <c r="I62" s="41" t="inlineStr">
        <is>
          <t>Минимум</t>
        </is>
      </c>
      <c r="J62" s="41" t="inlineStr">
        <is>
          <t>Автогенерация из реального прайса; проверить вручную</t>
        </is>
      </c>
    </row>
    <row r="63">
      <c r="A63" s="42" t="inlineStr">
        <is>
          <t>RWORK-0021</t>
        </is>
      </c>
      <c r="B63" s="42" t="inlineStr">
        <is>
          <t>Выемка грунта (вручную)</t>
        </is>
      </c>
      <c r="C63" s="42" t="inlineStr">
        <is>
          <t>Стандарт</t>
        </is>
      </c>
      <c r="D63" s="42" t="inlineStr">
        <is>
          <t>Да</t>
        </is>
      </c>
      <c r="E63" s="42" t="inlineStr">
        <is>
          <t>Ручной</t>
        </is>
      </c>
      <c r="F63" s="42" t="n"/>
      <c r="G63" s="42" t="inlineStr">
        <is>
          <t>Выемка грунта (вручную)</t>
        </is>
      </c>
      <c r="H63" s="42" t="inlineStr">
        <is>
          <t>Показать строкой</t>
        </is>
      </c>
      <c r="I63" s="42" t="inlineStr">
        <is>
          <t>База</t>
        </is>
      </c>
      <c r="J63" s="42" t="inlineStr">
        <is>
          <t>Автогенерация из реального прайса; проверить вручную</t>
        </is>
      </c>
    </row>
    <row r="64">
      <c r="A64" s="41" t="inlineStr">
        <is>
          <t>RWORK-0021</t>
        </is>
      </c>
      <c r="B64" s="41" t="inlineStr">
        <is>
          <t>Выемка грунта (вручную)</t>
        </is>
      </c>
      <c r="C64" s="41" t="inlineStr">
        <is>
          <t>Премиум</t>
        </is>
      </c>
      <c r="D64" s="41" t="inlineStr">
        <is>
          <t>Да</t>
        </is>
      </c>
      <c r="E64" s="41" t="inlineStr">
        <is>
          <t>Ручной</t>
        </is>
      </c>
      <c r="F64" s="41" t="n"/>
      <c r="G64" s="41" t="inlineStr">
        <is>
          <t>Выемка грунта (вручную)</t>
        </is>
      </c>
      <c r="H64" s="41" t="inlineStr">
        <is>
          <t>Показать строкой</t>
        </is>
      </c>
      <c r="I64" s="41" t="inlineStr">
        <is>
          <t>Детально</t>
        </is>
      </c>
      <c r="J64" s="41" t="inlineStr">
        <is>
          <t>Автогенерация из реального прайса; проверить вручную</t>
        </is>
      </c>
    </row>
    <row r="65">
      <c r="A65" s="42" t="inlineStr">
        <is>
          <t>RWORK-0022</t>
        </is>
      </c>
      <c r="B65" s="42" t="inlineStr">
        <is>
          <t>Выемка грунта (механическая)</t>
        </is>
      </c>
      <c r="C65" s="42" t="inlineStr">
        <is>
          <t>Эконом</t>
        </is>
      </c>
      <c r="D65" s="42" t="inlineStr">
        <is>
          <t>Да</t>
        </is>
      </c>
      <c r="E65" s="42" t="inlineStr">
        <is>
          <t>Стандарт</t>
        </is>
      </c>
      <c r="F65" s="42" t="n"/>
      <c r="G65" s="42" t="inlineStr">
        <is>
          <t>Выемка грунта (механическая)</t>
        </is>
      </c>
      <c r="H65" s="42" t="inlineStr">
        <is>
          <t>Свернуть в раздел</t>
        </is>
      </c>
      <c r="I65" s="42" t="inlineStr">
        <is>
          <t>Минимум</t>
        </is>
      </c>
      <c r="J65" s="42" t="inlineStr">
        <is>
          <t>Автогенерация из реального прайса; проверить вручную</t>
        </is>
      </c>
    </row>
    <row r="66">
      <c r="A66" s="41" t="inlineStr">
        <is>
          <t>RWORK-0022</t>
        </is>
      </c>
      <c r="B66" s="41" t="inlineStr">
        <is>
          <t>Выемка грунта (механическая)</t>
        </is>
      </c>
      <c r="C66" s="41" t="inlineStr">
        <is>
          <t>Стандарт</t>
        </is>
      </c>
      <c r="D66" s="41" t="inlineStr">
        <is>
          <t>Да</t>
        </is>
      </c>
      <c r="E66" s="41" t="inlineStr">
        <is>
          <t>Стандарт</t>
        </is>
      </c>
      <c r="F66" s="41" t="n"/>
      <c r="G66" s="41" t="inlineStr">
        <is>
          <t>Выемка грунта (механическая)</t>
        </is>
      </c>
      <c r="H66" s="41" t="inlineStr">
        <is>
          <t>Показать строкой</t>
        </is>
      </c>
      <c r="I66" s="41" t="inlineStr">
        <is>
          <t>База</t>
        </is>
      </c>
      <c r="J66" s="41" t="inlineStr">
        <is>
          <t>Автогенерация из реального прайса; проверить вручную</t>
        </is>
      </c>
    </row>
    <row r="67">
      <c r="A67" s="42" t="inlineStr">
        <is>
          <t>RWORK-0022</t>
        </is>
      </c>
      <c r="B67" s="42" t="inlineStr">
        <is>
          <t>Выемка грунта (механическая)</t>
        </is>
      </c>
      <c r="C67" s="42" t="inlineStr">
        <is>
          <t>Премиум</t>
        </is>
      </c>
      <c r="D67" s="42" t="inlineStr">
        <is>
          <t>Да</t>
        </is>
      </c>
      <c r="E67" s="42" t="inlineStr">
        <is>
          <t>Стандарт</t>
        </is>
      </c>
      <c r="F67" s="42" t="n"/>
      <c r="G67" s="42" t="inlineStr">
        <is>
          <t>Выемка грунта (механическая)</t>
        </is>
      </c>
      <c r="H67" s="42" t="inlineStr">
        <is>
          <t>Показать строкой</t>
        </is>
      </c>
      <c r="I67" s="42" t="inlineStr">
        <is>
          <t>Детально</t>
        </is>
      </c>
      <c r="J67" s="42" t="inlineStr">
        <is>
          <t>Автогенерация из реального прайса; проверить вручную</t>
        </is>
      </c>
    </row>
    <row r="68">
      <c r="A68" s="41" t="inlineStr">
        <is>
          <t>RWORK-0023</t>
        </is>
      </c>
      <c r="B68" s="41" t="inlineStr">
        <is>
          <t>Выемка кирпича и бетона (с наружной стороны забора) с упаковкой в мешки</t>
        </is>
      </c>
      <c r="C68" s="41" t="inlineStr">
        <is>
          <t>Эконом</t>
        </is>
      </c>
      <c r="D68" s="41" t="inlineStr">
        <is>
          <t>Да</t>
        </is>
      </c>
      <c r="E68" s="41" t="inlineStr">
        <is>
          <t>Стандарт</t>
        </is>
      </c>
      <c r="F68" s="41" t="n"/>
      <c r="G68" s="41" t="inlineStr">
        <is>
          <t>Выемка кирпича и бетона (с наружной стороны забора) с упаковкой в мешки</t>
        </is>
      </c>
      <c r="H68" s="41" t="inlineStr">
        <is>
          <t>Свернуть в раздел</t>
        </is>
      </c>
      <c r="I68" s="41" t="inlineStr">
        <is>
          <t>Минимум</t>
        </is>
      </c>
      <c r="J68" s="41" t="inlineStr">
        <is>
          <t>Автогенерация из реального прайса; проверить вручную</t>
        </is>
      </c>
    </row>
    <row r="69">
      <c r="A69" s="42" t="inlineStr">
        <is>
          <t>RWORK-0023</t>
        </is>
      </c>
      <c r="B69" s="42" t="inlineStr">
        <is>
          <t>Выемка кирпича и бетона (с наружной стороны забора) с упаковкой в мешки</t>
        </is>
      </c>
      <c r="C69" s="42" t="inlineStr">
        <is>
          <t>Стандарт</t>
        </is>
      </c>
      <c r="D69" s="42" t="inlineStr">
        <is>
          <t>Да</t>
        </is>
      </c>
      <c r="E69" s="42" t="inlineStr">
        <is>
          <t>Стандарт</t>
        </is>
      </c>
      <c r="F69" s="42" t="n"/>
      <c r="G69" s="42" t="inlineStr">
        <is>
          <t>Выемка кирпича и бетона (с наружной стороны забора) с упаковкой в мешки</t>
        </is>
      </c>
      <c r="H69" s="42" t="inlineStr">
        <is>
          <t>Показать строкой</t>
        </is>
      </c>
      <c r="I69" s="42" t="inlineStr">
        <is>
          <t>База</t>
        </is>
      </c>
      <c r="J69" s="42" t="inlineStr">
        <is>
          <t>Автогенерация из реального прайса; проверить вручную</t>
        </is>
      </c>
    </row>
    <row r="70">
      <c r="A70" s="41" t="inlineStr">
        <is>
          <t>RWORK-0023</t>
        </is>
      </c>
      <c r="B70" s="41" t="inlineStr">
        <is>
          <t>Выемка кирпича и бетона (с наружной стороны забора) с упаковкой в мешки</t>
        </is>
      </c>
      <c r="C70" s="41" t="inlineStr">
        <is>
          <t>Премиум</t>
        </is>
      </c>
      <c r="D70" s="41" t="inlineStr">
        <is>
          <t>Да</t>
        </is>
      </c>
      <c r="E70" s="41" t="inlineStr">
        <is>
          <t>Стандарт</t>
        </is>
      </c>
      <c r="F70" s="41" t="n"/>
      <c r="G70" s="41" t="inlineStr">
        <is>
          <t>Выемка кирпича и бетона (с наружной стороны забора) с упаковкой в мешки</t>
        </is>
      </c>
      <c r="H70" s="41" t="inlineStr">
        <is>
          <t>Показать строкой</t>
        </is>
      </c>
      <c r="I70" s="41" t="inlineStr">
        <is>
          <t>Детально</t>
        </is>
      </c>
      <c r="J70" s="41" t="inlineStr">
        <is>
          <t>Автогенерация из реального прайса; проверить вручную</t>
        </is>
      </c>
    </row>
    <row r="71">
      <c r="A71" s="42" t="inlineStr">
        <is>
          <t>RWORK-0024</t>
        </is>
      </c>
      <c r="B71" s="42" t="inlineStr">
        <is>
          <t>Выемка строительного мусора из почвы</t>
        </is>
      </c>
      <c r="C71" s="42" t="inlineStr">
        <is>
          <t>Эконом</t>
        </is>
      </c>
      <c r="D71" s="42" t="inlineStr">
        <is>
          <t>Да</t>
        </is>
      </c>
      <c r="E71" s="42" t="inlineStr">
        <is>
          <t>Стандарт</t>
        </is>
      </c>
      <c r="F71" s="42" t="n"/>
      <c r="G71" s="42" t="inlineStr">
        <is>
          <t>Выемка строительного мусора из почвы</t>
        </is>
      </c>
      <c r="H71" s="42" t="inlineStr">
        <is>
          <t>Свернуть в раздел</t>
        </is>
      </c>
      <c r="I71" s="42" t="inlineStr">
        <is>
          <t>Минимум</t>
        </is>
      </c>
      <c r="J71" s="42" t="inlineStr">
        <is>
          <t>Автогенерация из реального прайса; проверить вручную</t>
        </is>
      </c>
    </row>
    <row r="72">
      <c r="A72" s="41" t="inlineStr">
        <is>
          <t>RWORK-0024</t>
        </is>
      </c>
      <c r="B72" s="41" t="inlineStr">
        <is>
          <t>Выемка строительного мусора из почвы</t>
        </is>
      </c>
      <c r="C72" s="41" t="inlineStr">
        <is>
          <t>Стандарт</t>
        </is>
      </c>
      <c r="D72" s="41" t="inlineStr">
        <is>
          <t>Да</t>
        </is>
      </c>
      <c r="E72" s="41" t="inlineStr">
        <is>
          <t>Стандарт</t>
        </is>
      </c>
      <c r="F72" s="41" t="n"/>
      <c r="G72" s="41" t="inlineStr">
        <is>
          <t>Выемка строительного мусора из почвы</t>
        </is>
      </c>
      <c r="H72" s="41" t="inlineStr">
        <is>
          <t>Показать строкой</t>
        </is>
      </c>
      <c r="I72" s="41" t="inlineStr">
        <is>
          <t>База</t>
        </is>
      </c>
      <c r="J72" s="41" t="inlineStr">
        <is>
          <t>Автогенерация из реального прайса; проверить вручную</t>
        </is>
      </c>
    </row>
    <row r="73">
      <c r="A73" s="42" t="inlineStr">
        <is>
          <t>RWORK-0024</t>
        </is>
      </c>
      <c r="B73" s="42" t="inlineStr">
        <is>
          <t>Выемка строительного мусора из почвы</t>
        </is>
      </c>
      <c r="C73" s="42" t="inlineStr">
        <is>
          <t>Премиум</t>
        </is>
      </c>
      <c r="D73" s="42" t="inlineStr">
        <is>
          <t>Да</t>
        </is>
      </c>
      <c r="E73" s="42" t="inlineStr">
        <is>
          <t>Стандарт</t>
        </is>
      </c>
      <c r="F73" s="42" t="n"/>
      <c r="G73" s="42" t="inlineStr">
        <is>
          <t>Выемка строительного мусора из почвы</t>
        </is>
      </c>
      <c r="H73" s="42" t="inlineStr">
        <is>
          <t>Показать строкой</t>
        </is>
      </c>
      <c r="I73" s="42" t="inlineStr">
        <is>
          <t>Детально</t>
        </is>
      </c>
      <c r="J73" s="42" t="inlineStr">
        <is>
          <t>Автогенерация из реального прайса; проверить вручную</t>
        </is>
      </c>
    </row>
    <row r="74">
      <c r="A74" s="41" t="inlineStr">
        <is>
          <t>RWORK-0025</t>
        </is>
      </c>
      <c r="B74" s="41" t="inlineStr">
        <is>
          <t>Выкопка елей 1-1,5м</t>
        </is>
      </c>
      <c r="C74" s="41" t="inlineStr">
        <is>
          <t>Эконом</t>
        </is>
      </c>
      <c r="D74" s="41" t="inlineStr">
        <is>
          <t>Да</t>
        </is>
      </c>
      <c r="E74" s="41" t="inlineStr">
        <is>
          <t>Стандарт</t>
        </is>
      </c>
      <c r="F74" s="41" t="n"/>
      <c r="G74" s="41" t="inlineStr">
        <is>
          <t>Выкопка елей 1-1,5м</t>
        </is>
      </c>
      <c r="H74" s="41" t="inlineStr">
        <is>
          <t>Свернуть в раздел</t>
        </is>
      </c>
      <c r="I74" s="41" t="inlineStr">
        <is>
          <t>Минимум</t>
        </is>
      </c>
      <c r="J74" s="41" t="inlineStr">
        <is>
          <t>Автогенерация из реального прайса; проверить вручную</t>
        </is>
      </c>
    </row>
    <row r="75">
      <c r="A75" s="42" t="inlineStr">
        <is>
          <t>RWORK-0025</t>
        </is>
      </c>
      <c r="B75" s="42" t="inlineStr">
        <is>
          <t>Выкопка елей 1-1,5м</t>
        </is>
      </c>
      <c r="C75" s="42" t="inlineStr">
        <is>
          <t>Стандарт</t>
        </is>
      </c>
      <c r="D75" s="42" t="inlineStr">
        <is>
          <t>Да</t>
        </is>
      </c>
      <c r="E75" s="42" t="inlineStr">
        <is>
          <t>Стандарт</t>
        </is>
      </c>
      <c r="F75" s="42" t="n"/>
      <c r="G75" s="42" t="inlineStr">
        <is>
          <t>Выкопка елей 1-1,5м</t>
        </is>
      </c>
      <c r="H75" s="42" t="inlineStr">
        <is>
          <t>Показать строкой</t>
        </is>
      </c>
      <c r="I75" s="42" t="inlineStr">
        <is>
          <t>База</t>
        </is>
      </c>
      <c r="J75" s="42" t="inlineStr">
        <is>
          <t>Автогенерация из реального прайса; проверить вручную</t>
        </is>
      </c>
    </row>
    <row r="76">
      <c r="A76" s="41" t="inlineStr">
        <is>
          <t>RWORK-0025</t>
        </is>
      </c>
      <c r="B76" s="41" t="inlineStr">
        <is>
          <t>Выкопка елей 1-1,5м</t>
        </is>
      </c>
      <c r="C76" s="41" t="inlineStr">
        <is>
          <t>Премиум</t>
        </is>
      </c>
      <c r="D76" s="41" t="inlineStr">
        <is>
          <t>Да</t>
        </is>
      </c>
      <c r="E76" s="41" t="inlineStr">
        <is>
          <t>Стандарт</t>
        </is>
      </c>
      <c r="F76" s="41" t="n"/>
      <c r="G76" s="41" t="inlineStr">
        <is>
          <t>Выкопка елей 1-1,5м</t>
        </is>
      </c>
      <c r="H76" s="41" t="inlineStr">
        <is>
          <t>Показать строкой</t>
        </is>
      </c>
      <c r="I76" s="41" t="inlineStr">
        <is>
          <t>Детально</t>
        </is>
      </c>
      <c r="J76" s="41" t="inlineStr">
        <is>
          <t>Автогенерация из реального прайса; проверить вручную</t>
        </is>
      </c>
    </row>
    <row r="77">
      <c r="A77" s="42" t="inlineStr">
        <is>
          <t>RWORK-0026</t>
        </is>
      </c>
      <c r="B77" s="42" t="inlineStr">
        <is>
          <t>Выкопка шиповника</t>
        </is>
      </c>
      <c r="C77" s="42" t="inlineStr">
        <is>
          <t>Эконом</t>
        </is>
      </c>
      <c r="D77" s="42" t="inlineStr">
        <is>
          <t>Да</t>
        </is>
      </c>
      <c r="E77" s="42" t="inlineStr">
        <is>
          <t>Стандарт</t>
        </is>
      </c>
      <c r="F77" s="42" t="n"/>
      <c r="G77" s="42" t="inlineStr">
        <is>
          <t>Выкопка шиповника</t>
        </is>
      </c>
      <c r="H77" s="42" t="inlineStr">
        <is>
          <t>Свернуть в раздел</t>
        </is>
      </c>
      <c r="I77" s="42" t="inlineStr">
        <is>
          <t>Минимум</t>
        </is>
      </c>
      <c r="J77" s="42" t="inlineStr">
        <is>
          <t>Автогенерация из реального прайса; проверить вручную</t>
        </is>
      </c>
    </row>
    <row r="78">
      <c r="A78" s="41" t="inlineStr">
        <is>
          <t>RWORK-0026</t>
        </is>
      </c>
      <c r="B78" s="41" t="inlineStr">
        <is>
          <t>Выкопка шиповника</t>
        </is>
      </c>
      <c r="C78" s="41" t="inlineStr">
        <is>
          <t>Стандарт</t>
        </is>
      </c>
      <c r="D78" s="41" t="inlineStr">
        <is>
          <t>Да</t>
        </is>
      </c>
      <c r="E78" s="41" t="inlineStr">
        <is>
          <t>Стандарт</t>
        </is>
      </c>
      <c r="F78" s="41" t="n"/>
      <c r="G78" s="41" t="inlineStr">
        <is>
          <t>Выкопка шиповника</t>
        </is>
      </c>
      <c r="H78" s="41" t="inlineStr">
        <is>
          <t>Показать строкой</t>
        </is>
      </c>
      <c r="I78" s="41" t="inlineStr">
        <is>
          <t>База</t>
        </is>
      </c>
      <c r="J78" s="41" t="inlineStr">
        <is>
          <t>Автогенерация из реального прайса; проверить вручную</t>
        </is>
      </c>
    </row>
    <row r="79">
      <c r="A79" s="42" t="inlineStr">
        <is>
          <t>RWORK-0026</t>
        </is>
      </c>
      <c r="B79" s="42" t="inlineStr">
        <is>
          <t>Выкопка шиповника</t>
        </is>
      </c>
      <c r="C79" s="42" t="inlineStr">
        <is>
          <t>Премиум</t>
        </is>
      </c>
      <c r="D79" s="42" t="inlineStr">
        <is>
          <t>Да</t>
        </is>
      </c>
      <c r="E79" s="42" t="inlineStr">
        <is>
          <t>Стандарт</t>
        </is>
      </c>
      <c r="F79" s="42" t="n"/>
      <c r="G79" s="42" t="inlineStr">
        <is>
          <t>Выкопка шиповника</t>
        </is>
      </c>
      <c r="H79" s="42" t="inlineStr">
        <is>
          <t>Показать строкой</t>
        </is>
      </c>
      <c r="I79" s="42" t="inlineStr">
        <is>
          <t>Детально</t>
        </is>
      </c>
      <c r="J79" s="42" t="inlineStr">
        <is>
          <t>Автогенерация из реального прайса; проверить вручную</t>
        </is>
      </c>
    </row>
    <row r="80">
      <c r="A80" s="41" t="inlineStr">
        <is>
          <t>RWORK-0027</t>
        </is>
      </c>
      <c r="B80" s="41" t="inlineStr">
        <is>
          <t>Вынос проекта с корректировкой по месту</t>
        </is>
      </c>
      <c r="C80" s="41" t="inlineStr">
        <is>
          <t>Эконом</t>
        </is>
      </c>
      <c r="D80" s="41" t="inlineStr">
        <is>
          <t>Да</t>
        </is>
      </c>
      <c r="E80" s="41" t="inlineStr">
        <is>
          <t>Стандарт</t>
        </is>
      </c>
      <c r="F80" s="41" t="n"/>
      <c r="G80" s="41" t="inlineStr">
        <is>
          <t>Вынос проекта с корректировкой по месту</t>
        </is>
      </c>
      <c r="H80" s="41" t="inlineStr">
        <is>
          <t>Свернуть в раздел</t>
        </is>
      </c>
      <c r="I80" s="41" t="inlineStr">
        <is>
          <t>Минимум</t>
        </is>
      </c>
      <c r="J80" s="41" t="inlineStr">
        <is>
          <t>Автогенерация из реального прайса; проверить вручную</t>
        </is>
      </c>
    </row>
    <row r="81">
      <c r="A81" s="42" t="inlineStr">
        <is>
          <t>RWORK-0027</t>
        </is>
      </c>
      <c r="B81" s="42" t="inlineStr">
        <is>
          <t>Вынос проекта с корректировкой по месту</t>
        </is>
      </c>
      <c r="C81" s="42" t="inlineStr">
        <is>
          <t>Стандарт</t>
        </is>
      </c>
      <c r="D81" s="42" t="inlineStr">
        <is>
          <t>Да</t>
        </is>
      </c>
      <c r="E81" s="42" t="inlineStr">
        <is>
          <t>Стандарт</t>
        </is>
      </c>
      <c r="F81" s="42" t="n"/>
      <c r="G81" s="42" t="inlineStr">
        <is>
          <t>Вынос проекта с корректировкой по месту</t>
        </is>
      </c>
      <c r="H81" s="42" t="inlineStr">
        <is>
          <t>Показать строкой</t>
        </is>
      </c>
      <c r="I81" s="42" t="inlineStr">
        <is>
          <t>База</t>
        </is>
      </c>
      <c r="J81" s="42" t="inlineStr">
        <is>
          <t>Автогенерация из реального прайса; проверить вручную</t>
        </is>
      </c>
    </row>
    <row r="82">
      <c r="A82" s="41" t="inlineStr">
        <is>
          <t>RWORK-0027</t>
        </is>
      </c>
      <c r="B82" s="41" t="inlineStr">
        <is>
          <t>Вынос проекта с корректировкой по месту</t>
        </is>
      </c>
      <c r="C82" s="41" t="inlineStr">
        <is>
          <t>Премиум</t>
        </is>
      </c>
      <c r="D82" s="41" t="inlineStr">
        <is>
          <t>Да</t>
        </is>
      </c>
      <c r="E82" s="41" t="inlineStr">
        <is>
          <t>Стандарт</t>
        </is>
      </c>
      <c r="F82" s="41" t="n"/>
      <c r="G82" s="41" t="inlineStr">
        <is>
          <t>Вынос проекта с корректировкой по месту</t>
        </is>
      </c>
      <c r="H82" s="41" t="inlineStr">
        <is>
          <t>Показать строкой</t>
        </is>
      </c>
      <c r="I82" s="41" t="inlineStr">
        <is>
          <t>Детально</t>
        </is>
      </c>
      <c r="J82" s="41" t="inlineStr">
        <is>
          <t>Автогенерация из реального прайса; проверить вручную</t>
        </is>
      </c>
    </row>
    <row r="83">
      <c r="A83" s="42" t="inlineStr">
        <is>
          <t>RWORK-0028</t>
        </is>
      </c>
      <c r="B83" s="42" t="inlineStr">
        <is>
          <t>Грунтование бетонной отмостки в 2 слоя</t>
        </is>
      </c>
      <c r="C83" s="42" t="inlineStr">
        <is>
          <t>Эконом</t>
        </is>
      </c>
      <c r="D83" s="42" t="inlineStr">
        <is>
          <t>Да</t>
        </is>
      </c>
      <c r="E83" s="42" t="inlineStr">
        <is>
          <t>Стандарт</t>
        </is>
      </c>
      <c r="F83" s="42" t="n"/>
      <c r="G83" s="42" t="inlineStr">
        <is>
          <t>Грунтование бетонной отмостки в 2 слоя</t>
        </is>
      </c>
      <c r="H83" s="42" t="inlineStr">
        <is>
          <t>Свернуть в раздел</t>
        </is>
      </c>
      <c r="I83" s="42" t="inlineStr">
        <is>
          <t>Минимум</t>
        </is>
      </c>
      <c r="J83" s="42" t="inlineStr">
        <is>
          <t>Автогенерация из реального прайса; проверить вручную</t>
        </is>
      </c>
    </row>
    <row r="84">
      <c r="A84" s="41" t="inlineStr">
        <is>
          <t>RWORK-0028</t>
        </is>
      </c>
      <c r="B84" s="41" t="inlineStr">
        <is>
          <t>Грунтование бетонной отмостки в 2 слоя</t>
        </is>
      </c>
      <c r="C84" s="41" t="inlineStr">
        <is>
          <t>Стандарт</t>
        </is>
      </c>
      <c r="D84" s="41" t="inlineStr">
        <is>
          <t>Да</t>
        </is>
      </c>
      <c r="E84" s="41" t="inlineStr">
        <is>
          <t>Стандарт</t>
        </is>
      </c>
      <c r="F84" s="41" t="n"/>
      <c r="G84" s="41" t="inlineStr">
        <is>
          <t>Грунтование бетонной отмостки в 2 слоя</t>
        </is>
      </c>
      <c r="H84" s="41" t="inlineStr">
        <is>
          <t>Показать строкой</t>
        </is>
      </c>
      <c r="I84" s="41" t="inlineStr">
        <is>
          <t>База</t>
        </is>
      </c>
      <c r="J84" s="41" t="inlineStr">
        <is>
          <t>Автогенерация из реального прайса; проверить вручную</t>
        </is>
      </c>
    </row>
    <row r="85">
      <c r="A85" s="42" t="inlineStr">
        <is>
          <t>RWORK-0028</t>
        </is>
      </c>
      <c r="B85" s="42" t="inlineStr">
        <is>
          <t>Грунтование бетонной отмостки в 2 слоя</t>
        </is>
      </c>
      <c r="C85" s="42" t="inlineStr">
        <is>
          <t>Премиум</t>
        </is>
      </c>
      <c r="D85" s="42" t="inlineStr">
        <is>
          <t>Да</t>
        </is>
      </c>
      <c r="E85" s="42" t="inlineStr">
        <is>
          <t>Стандарт</t>
        </is>
      </c>
      <c r="F85" s="42" t="n"/>
      <c r="G85" s="42" t="inlineStr">
        <is>
          <t>Грунтование бетонной отмостки в 2 слоя</t>
        </is>
      </c>
      <c r="H85" s="42" t="inlineStr">
        <is>
          <t>Показать строкой</t>
        </is>
      </c>
      <c r="I85" s="42" t="inlineStr">
        <is>
          <t>Детально</t>
        </is>
      </c>
      <c r="J85" s="42" t="inlineStr">
        <is>
          <t>Автогенерация из реального прайса; проверить вручную</t>
        </is>
      </c>
    </row>
    <row r="86">
      <c r="A86" s="41" t="inlineStr">
        <is>
          <t>RWORK-0029</t>
        </is>
      </c>
      <c r="B86" s="41" t="inlineStr">
        <is>
          <t>Демонтаж бетона подпорных стенок</t>
        </is>
      </c>
      <c r="C86" s="41" t="inlineStr">
        <is>
          <t>Эконом</t>
        </is>
      </c>
      <c r="D86" s="41" t="inlineStr">
        <is>
          <t>Да</t>
        </is>
      </c>
      <c r="E86" s="41" t="inlineStr">
        <is>
          <t>Стандарт</t>
        </is>
      </c>
      <c r="F86" s="41" t="n"/>
      <c r="G86" s="41" t="inlineStr">
        <is>
          <t>Демонтаж бетона подпорных стенок</t>
        </is>
      </c>
      <c r="H86" s="41" t="inlineStr">
        <is>
          <t>Свернуть в раздел</t>
        </is>
      </c>
      <c r="I86" s="41" t="inlineStr">
        <is>
          <t>Минимум</t>
        </is>
      </c>
      <c r="J86" s="41" t="inlineStr">
        <is>
          <t>Автогенерация из реального прайса; проверить вручную</t>
        </is>
      </c>
    </row>
    <row r="87">
      <c r="A87" s="42" t="inlineStr">
        <is>
          <t>RWORK-0029</t>
        </is>
      </c>
      <c r="B87" s="42" t="inlineStr">
        <is>
          <t>Демонтаж бетона подпорных стенок</t>
        </is>
      </c>
      <c r="C87" s="42" t="inlineStr">
        <is>
          <t>Стандарт</t>
        </is>
      </c>
      <c r="D87" s="42" t="inlineStr">
        <is>
          <t>Да</t>
        </is>
      </c>
      <c r="E87" s="42" t="inlineStr">
        <is>
          <t>Стандарт</t>
        </is>
      </c>
      <c r="F87" s="42" t="n"/>
      <c r="G87" s="42" t="inlineStr">
        <is>
          <t>Демонтаж бетона подпорных стенок</t>
        </is>
      </c>
      <c r="H87" s="42" t="inlineStr">
        <is>
          <t>Показать строкой</t>
        </is>
      </c>
      <c r="I87" s="42" t="inlineStr">
        <is>
          <t>База</t>
        </is>
      </c>
      <c r="J87" s="42" t="inlineStr">
        <is>
          <t>Автогенерация из реального прайса; проверить вручную</t>
        </is>
      </c>
    </row>
    <row r="88">
      <c r="A88" s="41" t="inlineStr">
        <is>
          <t>RWORK-0029</t>
        </is>
      </c>
      <c r="B88" s="41" t="inlineStr">
        <is>
          <t>Демонтаж бетона подпорных стенок</t>
        </is>
      </c>
      <c r="C88" s="41" t="inlineStr">
        <is>
          <t>Премиум</t>
        </is>
      </c>
      <c r="D88" s="41" t="inlineStr">
        <is>
          <t>Да</t>
        </is>
      </c>
      <c r="E88" s="41" t="inlineStr">
        <is>
          <t>Стандарт</t>
        </is>
      </c>
      <c r="F88" s="41" t="n"/>
      <c r="G88" s="41" t="inlineStr">
        <is>
          <t>Демонтаж бетона подпорных стенок</t>
        </is>
      </c>
      <c r="H88" s="41" t="inlineStr">
        <is>
          <t>Показать строкой</t>
        </is>
      </c>
      <c r="I88" s="41" t="inlineStr">
        <is>
          <t>Детально</t>
        </is>
      </c>
      <c r="J88" s="41" t="inlineStr">
        <is>
          <t>Автогенерация из реального прайса; проверить вручную</t>
        </is>
      </c>
    </row>
    <row r="89">
      <c r="A89" s="42" t="inlineStr">
        <is>
          <t>RWORK-0030</t>
        </is>
      </c>
      <c r="B89" s="42" t="inlineStr">
        <is>
          <t>Демонтаж бетонной стяжки с упаковкой в мешки</t>
        </is>
      </c>
      <c r="C89" s="42" t="inlineStr">
        <is>
          <t>Эконом</t>
        </is>
      </c>
      <c r="D89" s="42" t="inlineStr">
        <is>
          <t>Да</t>
        </is>
      </c>
      <c r="E89" s="42" t="inlineStr">
        <is>
          <t>Стандарт</t>
        </is>
      </c>
      <c r="F89" s="42" t="n"/>
      <c r="G89" s="42" t="inlineStr">
        <is>
          <t>Демонтаж бетонной стяжки с упаковкой в мешки</t>
        </is>
      </c>
      <c r="H89" s="42" t="inlineStr">
        <is>
          <t>Свернуть в раздел</t>
        </is>
      </c>
      <c r="I89" s="42" t="inlineStr">
        <is>
          <t>Минимум</t>
        </is>
      </c>
      <c r="J89" s="42" t="inlineStr">
        <is>
          <t>Автогенерация из реального прайса; проверить вручную</t>
        </is>
      </c>
    </row>
    <row r="90">
      <c r="A90" s="41" t="inlineStr">
        <is>
          <t>RWORK-0030</t>
        </is>
      </c>
      <c r="B90" s="41" t="inlineStr">
        <is>
          <t>Демонтаж бетонной стяжки с упаковкой в мешки</t>
        </is>
      </c>
      <c r="C90" s="41" t="inlineStr">
        <is>
          <t>Стандарт</t>
        </is>
      </c>
      <c r="D90" s="41" t="inlineStr">
        <is>
          <t>Да</t>
        </is>
      </c>
      <c r="E90" s="41" t="inlineStr">
        <is>
          <t>Стандарт</t>
        </is>
      </c>
      <c r="F90" s="41" t="n"/>
      <c r="G90" s="41" t="inlineStr">
        <is>
          <t>Демонтаж бетонной стяжки с упаковкой в мешки</t>
        </is>
      </c>
      <c r="H90" s="41" t="inlineStr">
        <is>
          <t>Показать строкой</t>
        </is>
      </c>
      <c r="I90" s="41" t="inlineStr">
        <is>
          <t>База</t>
        </is>
      </c>
      <c r="J90" s="41" t="inlineStr">
        <is>
          <t>Автогенерация из реального прайса; проверить вручную</t>
        </is>
      </c>
    </row>
    <row r="91">
      <c r="A91" s="42" t="inlineStr">
        <is>
          <t>RWORK-0030</t>
        </is>
      </c>
      <c r="B91" s="42" t="inlineStr">
        <is>
          <t>Демонтаж бетонной стяжки с упаковкой в мешки</t>
        </is>
      </c>
      <c r="C91" s="42" t="inlineStr">
        <is>
          <t>Премиум</t>
        </is>
      </c>
      <c r="D91" s="42" t="inlineStr">
        <is>
          <t>Да</t>
        </is>
      </c>
      <c r="E91" s="42" t="inlineStr">
        <is>
          <t>Стандарт</t>
        </is>
      </c>
      <c r="F91" s="42" t="n"/>
      <c r="G91" s="42" t="inlineStr">
        <is>
          <t>Демонтаж бетонной стяжки с упаковкой в мешки</t>
        </is>
      </c>
      <c r="H91" s="42" t="inlineStr">
        <is>
          <t>Показать строкой</t>
        </is>
      </c>
      <c r="I91" s="42" t="inlineStr">
        <is>
          <t>Детально</t>
        </is>
      </c>
      <c r="J91" s="42" t="inlineStr">
        <is>
          <t>Автогенерация из реального прайса; проверить вручную</t>
        </is>
      </c>
    </row>
    <row r="92">
      <c r="A92" s="41" t="inlineStr">
        <is>
          <t>RWORK-0031</t>
        </is>
      </c>
      <c r="B92" s="41" t="inlineStr">
        <is>
          <t>Демонтаж гряд</t>
        </is>
      </c>
      <c r="C92" s="41" t="inlineStr">
        <is>
          <t>Эконом</t>
        </is>
      </c>
      <c r="D92" s="41" t="inlineStr">
        <is>
          <t>Да</t>
        </is>
      </c>
      <c r="E92" s="41" t="inlineStr">
        <is>
          <t>Стандарт</t>
        </is>
      </c>
      <c r="F92" s="41" t="n"/>
      <c r="G92" s="41" t="inlineStr">
        <is>
          <t>Демонтаж гряд</t>
        </is>
      </c>
      <c r="H92" s="41" t="inlineStr">
        <is>
          <t>Свернуть в раздел</t>
        </is>
      </c>
      <c r="I92" s="41" t="inlineStr">
        <is>
          <t>Минимум</t>
        </is>
      </c>
      <c r="J92" s="41" t="inlineStr">
        <is>
          <t>Автогенерация из реального прайса; проверить вручную</t>
        </is>
      </c>
    </row>
    <row r="93">
      <c r="A93" s="42" t="inlineStr">
        <is>
          <t>RWORK-0031</t>
        </is>
      </c>
      <c r="B93" s="42" t="inlineStr">
        <is>
          <t>Демонтаж гряд</t>
        </is>
      </c>
      <c r="C93" s="42" t="inlineStr">
        <is>
          <t>Стандарт</t>
        </is>
      </c>
      <c r="D93" s="42" t="inlineStr">
        <is>
          <t>Да</t>
        </is>
      </c>
      <c r="E93" s="42" t="inlineStr">
        <is>
          <t>Стандарт</t>
        </is>
      </c>
      <c r="F93" s="42" t="n"/>
      <c r="G93" s="42" t="inlineStr">
        <is>
          <t>Демонтаж гряд</t>
        </is>
      </c>
      <c r="H93" s="42" t="inlineStr">
        <is>
          <t>Показать строкой</t>
        </is>
      </c>
      <c r="I93" s="42" t="inlineStr">
        <is>
          <t>База</t>
        </is>
      </c>
      <c r="J93" s="42" t="inlineStr">
        <is>
          <t>Автогенерация из реального прайса; проверить вручную</t>
        </is>
      </c>
    </row>
    <row r="94">
      <c r="A94" s="41" t="inlineStr">
        <is>
          <t>RWORK-0031</t>
        </is>
      </c>
      <c r="B94" s="41" t="inlineStr">
        <is>
          <t>Демонтаж гряд</t>
        </is>
      </c>
      <c r="C94" s="41" t="inlineStr">
        <is>
          <t>Премиум</t>
        </is>
      </c>
      <c r="D94" s="41" t="inlineStr">
        <is>
          <t>Да</t>
        </is>
      </c>
      <c r="E94" s="41" t="inlineStr">
        <is>
          <t>Стандарт</t>
        </is>
      </c>
      <c r="F94" s="41" t="n"/>
      <c r="G94" s="41" t="inlineStr">
        <is>
          <t>Демонтаж гряд</t>
        </is>
      </c>
      <c r="H94" s="41" t="inlineStr">
        <is>
          <t>Показать строкой</t>
        </is>
      </c>
      <c r="I94" s="41" t="inlineStr">
        <is>
          <t>Детально</t>
        </is>
      </c>
      <c r="J94" s="41" t="inlineStr">
        <is>
          <t>Автогенерация из реального прайса; проверить вручную</t>
        </is>
      </c>
    </row>
    <row r="95">
      <c r="A95" s="42" t="inlineStr">
        <is>
          <t>RWORK-0032</t>
        </is>
      </c>
      <c r="B95" s="42" t="inlineStr">
        <is>
          <t>Демонтаж дождеприемников</t>
        </is>
      </c>
      <c r="C95" s="42" t="inlineStr">
        <is>
          <t>Эконом</t>
        </is>
      </c>
      <c r="D95" s="42" t="inlineStr">
        <is>
          <t>Да</t>
        </is>
      </c>
      <c r="E95" s="42" t="inlineStr">
        <is>
          <t>Стандарт</t>
        </is>
      </c>
      <c r="F95" s="42" t="n"/>
      <c r="G95" s="42" t="inlineStr">
        <is>
          <t>Демонтаж дождеприемников</t>
        </is>
      </c>
      <c r="H95" s="42" t="inlineStr">
        <is>
          <t>Свернуть в раздел</t>
        </is>
      </c>
      <c r="I95" s="42" t="inlineStr">
        <is>
          <t>Минимум</t>
        </is>
      </c>
      <c r="J95" s="42" t="inlineStr">
        <is>
          <t>Автогенерация из реального прайса; проверить вручную</t>
        </is>
      </c>
    </row>
    <row r="96">
      <c r="A96" s="41" t="inlineStr">
        <is>
          <t>RWORK-0032</t>
        </is>
      </c>
      <c r="B96" s="41" t="inlineStr">
        <is>
          <t>Демонтаж дождеприемников</t>
        </is>
      </c>
      <c r="C96" s="41" t="inlineStr">
        <is>
          <t>Стандарт</t>
        </is>
      </c>
      <c r="D96" s="41" t="inlineStr">
        <is>
          <t>Да</t>
        </is>
      </c>
      <c r="E96" s="41" t="inlineStr">
        <is>
          <t>Стандарт</t>
        </is>
      </c>
      <c r="F96" s="41" t="n"/>
      <c r="G96" s="41" t="inlineStr">
        <is>
          <t>Демонтаж дождеприемников</t>
        </is>
      </c>
      <c r="H96" s="41" t="inlineStr">
        <is>
          <t>Показать строкой</t>
        </is>
      </c>
      <c r="I96" s="41" t="inlineStr">
        <is>
          <t>База</t>
        </is>
      </c>
      <c r="J96" s="41" t="inlineStr">
        <is>
          <t>Автогенерация из реального прайса; проверить вручную</t>
        </is>
      </c>
    </row>
    <row r="97">
      <c r="A97" s="42" t="inlineStr">
        <is>
          <t>RWORK-0032</t>
        </is>
      </c>
      <c r="B97" s="42" t="inlineStr">
        <is>
          <t>Демонтаж дождеприемников</t>
        </is>
      </c>
      <c r="C97" s="42" t="inlineStr">
        <is>
          <t>Премиум</t>
        </is>
      </c>
      <c r="D97" s="42" t="inlineStr">
        <is>
          <t>Да</t>
        </is>
      </c>
      <c r="E97" s="42" t="inlineStr">
        <is>
          <t>Стандарт</t>
        </is>
      </c>
      <c r="F97" s="42" t="n"/>
      <c r="G97" s="42" t="inlineStr">
        <is>
          <t>Демонтаж дождеприемников</t>
        </is>
      </c>
      <c r="H97" s="42" t="inlineStr">
        <is>
          <t>Показать строкой</t>
        </is>
      </c>
      <c r="I97" s="42" t="inlineStr">
        <is>
          <t>Детально</t>
        </is>
      </c>
      <c r="J97" s="42" t="inlineStr">
        <is>
          <t>Автогенерация из реального прайса; проверить вручную</t>
        </is>
      </c>
    </row>
    <row r="98">
      <c r="A98" s="41" t="inlineStr">
        <is>
          <t>RWORK-0033</t>
        </is>
      </c>
      <c r="B98" s="41" t="inlineStr">
        <is>
          <t>Доставка/вывоз туалетной кабины</t>
        </is>
      </c>
      <c r="C98" s="41" t="inlineStr">
        <is>
          <t>Эконом</t>
        </is>
      </c>
      <c r="D98" s="41" t="inlineStr">
        <is>
          <t>Да</t>
        </is>
      </c>
      <c r="E98" s="41" t="inlineStr">
        <is>
          <t>Стандарт</t>
        </is>
      </c>
      <c r="F98" s="41" t="n"/>
      <c r="G98" s="41" t="inlineStr">
        <is>
          <t>Доставка/вывоз туалетной кабины</t>
        </is>
      </c>
      <c r="H98" s="41" t="inlineStr">
        <is>
          <t>Свернуть в раздел</t>
        </is>
      </c>
      <c r="I98" s="41" t="inlineStr">
        <is>
          <t>Минимум</t>
        </is>
      </c>
      <c r="J98" s="41" t="inlineStr">
        <is>
          <t>Автогенерация из реального прайса; проверить вручную</t>
        </is>
      </c>
    </row>
    <row r="99">
      <c r="A99" s="42" t="inlineStr">
        <is>
          <t>RWORK-0033</t>
        </is>
      </c>
      <c r="B99" s="42" t="inlineStr">
        <is>
          <t>Доставка/вывоз туалетной кабины</t>
        </is>
      </c>
      <c r="C99" s="42" t="inlineStr">
        <is>
          <t>Стандарт</t>
        </is>
      </c>
      <c r="D99" s="42" t="inlineStr">
        <is>
          <t>Да</t>
        </is>
      </c>
      <c r="E99" s="42" t="inlineStr">
        <is>
          <t>Стандарт</t>
        </is>
      </c>
      <c r="F99" s="42" t="n"/>
      <c r="G99" s="42" t="inlineStr">
        <is>
          <t>Доставка/вывоз туалетной кабины</t>
        </is>
      </c>
      <c r="H99" s="42" t="inlineStr">
        <is>
          <t>Свернуть в раздел</t>
        </is>
      </c>
      <c r="I99" s="42" t="inlineStr">
        <is>
          <t>База</t>
        </is>
      </c>
      <c r="J99" s="42" t="inlineStr">
        <is>
          <t>Автогенерация из реального прайса; проверить вручную</t>
        </is>
      </c>
    </row>
    <row r="100">
      <c r="A100" s="41" t="inlineStr">
        <is>
          <t>RWORK-0033</t>
        </is>
      </c>
      <c r="B100" s="41" t="inlineStr">
        <is>
          <t>Доставка/вывоз туалетной кабины</t>
        </is>
      </c>
      <c r="C100" s="41" t="inlineStr">
        <is>
          <t>Премиум</t>
        </is>
      </c>
      <c r="D100" s="41" t="inlineStr">
        <is>
          <t>Да</t>
        </is>
      </c>
      <c r="E100" s="41" t="inlineStr">
        <is>
          <t>Стандарт</t>
        </is>
      </c>
      <c r="F100" s="41" t="n"/>
      <c r="G100" s="41" t="inlineStr">
        <is>
          <t>Доставка/вывоз туалетной кабины</t>
        </is>
      </c>
      <c r="H100" s="41" t="inlineStr">
        <is>
          <t>Свернуть в раздел</t>
        </is>
      </c>
      <c r="I100" s="41" t="inlineStr">
        <is>
          <t>Детально</t>
        </is>
      </c>
      <c r="J100" s="41" t="inlineStr">
        <is>
          <t>Автогенерация из реального прайса; проверить вручную</t>
        </is>
      </c>
    </row>
    <row r="101">
      <c r="A101" s="42" t="inlineStr">
        <is>
          <t>RWORK-0034</t>
        </is>
      </c>
      <c r="B101" s="42" t="inlineStr">
        <is>
          <t>Доставки материалов и оборудования, погрузочно-разгрузочные работы</t>
        </is>
      </c>
      <c r="C101" s="42" t="inlineStr">
        <is>
          <t>Эконом</t>
        </is>
      </c>
      <c r="D101" s="42" t="inlineStr">
        <is>
          <t>Да</t>
        </is>
      </c>
      <c r="E101" s="42" t="inlineStr">
        <is>
          <t>Стандарт</t>
        </is>
      </c>
      <c r="F101" s="42" t="n"/>
      <c r="G101" s="42" t="inlineStr">
        <is>
          <t>Доставки материалов и оборудования, погрузочно-разгрузочные работы</t>
        </is>
      </c>
      <c r="H101" s="42" t="inlineStr">
        <is>
          <t>Свернуть в раздел</t>
        </is>
      </c>
      <c r="I101" s="42" t="inlineStr">
        <is>
          <t>Минимум</t>
        </is>
      </c>
      <c r="J101" s="42" t="inlineStr">
        <is>
          <t>Автогенерация из реального прайса; проверить вручную</t>
        </is>
      </c>
    </row>
    <row r="102">
      <c r="A102" s="41" t="inlineStr">
        <is>
          <t>RWORK-0034</t>
        </is>
      </c>
      <c r="B102" s="41" t="inlineStr">
        <is>
          <t>Доставки материалов и оборудования, погрузочно-разгрузочные работы</t>
        </is>
      </c>
      <c r="C102" s="41" t="inlineStr">
        <is>
          <t>Стандарт</t>
        </is>
      </c>
      <c r="D102" s="41" t="inlineStr">
        <is>
          <t>Да</t>
        </is>
      </c>
      <c r="E102" s="41" t="inlineStr">
        <is>
          <t>Стандарт</t>
        </is>
      </c>
      <c r="F102" s="41" t="n"/>
      <c r="G102" s="41" t="inlineStr">
        <is>
          <t>Доставки материалов и оборудования, погрузочно-разгрузочные работы</t>
        </is>
      </c>
      <c r="H102" s="41" t="inlineStr">
        <is>
          <t>Свернуть в раздел</t>
        </is>
      </c>
      <c r="I102" s="41" t="inlineStr">
        <is>
          <t>База</t>
        </is>
      </c>
      <c r="J102" s="41" t="inlineStr">
        <is>
          <t>Автогенерация из реального прайса; проверить вручную</t>
        </is>
      </c>
    </row>
    <row r="103">
      <c r="A103" s="42" t="inlineStr">
        <is>
          <t>RWORK-0034</t>
        </is>
      </c>
      <c r="B103" s="42" t="inlineStr">
        <is>
          <t>Доставки материалов и оборудования, погрузочно-разгрузочные работы</t>
        </is>
      </c>
      <c r="C103" s="42" t="inlineStr">
        <is>
          <t>Премиум</t>
        </is>
      </c>
      <c r="D103" s="42" t="inlineStr">
        <is>
          <t>Да</t>
        </is>
      </c>
      <c r="E103" s="42" t="inlineStr">
        <is>
          <t>Стандарт</t>
        </is>
      </c>
      <c r="F103" s="42" t="n"/>
      <c r="G103" s="42" t="inlineStr">
        <is>
          <t>Доставки материалов и оборудования, погрузочно-разгрузочные работы</t>
        </is>
      </c>
      <c r="H103" s="42" t="inlineStr">
        <is>
          <t>Свернуть в раздел</t>
        </is>
      </c>
      <c r="I103" s="42" t="inlineStr">
        <is>
          <t>Детально</t>
        </is>
      </c>
      <c r="J103" s="42" t="inlineStr">
        <is>
          <t>Автогенерация из реального прайса; проверить вручную</t>
        </is>
      </c>
    </row>
    <row r="104">
      <c r="A104" s="41" t="inlineStr">
        <is>
          <t>RWORK-0035</t>
        </is>
      </c>
      <c r="B104" s="41" t="inlineStr">
        <is>
          <t>Завоз-вывоз вагончика</t>
        </is>
      </c>
      <c r="C104" s="41" t="inlineStr">
        <is>
          <t>Эконом</t>
        </is>
      </c>
      <c r="D104" s="41" t="inlineStr">
        <is>
          <t>Да</t>
        </is>
      </c>
      <c r="E104" s="41" t="inlineStr">
        <is>
          <t>Стандарт</t>
        </is>
      </c>
      <c r="F104" s="41" t="n"/>
      <c r="G104" s="41" t="inlineStr">
        <is>
          <t>Завоз-вывоз вагончика</t>
        </is>
      </c>
      <c r="H104" s="41" t="inlineStr">
        <is>
          <t>Свернуть в раздел</t>
        </is>
      </c>
      <c r="I104" s="41" t="inlineStr">
        <is>
          <t>Минимум</t>
        </is>
      </c>
      <c r="J104" s="41" t="inlineStr">
        <is>
          <t>Автогенерация из реального прайса; проверить вручную</t>
        </is>
      </c>
    </row>
    <row r="105">
      <c r="A105" s="42" t="inlineStr">
        <is>
          <t>RWORK-0035</t>
        </is>
      </c>
      <c r="B105" s="42" t="inlineStr">
        <is>
          <t>Завоз-вывоз вагончика</t>
        </is>
      </c>
      <c r="C105" s="42" t="inlineStr">
        <is>
          <t>Стандарт</t>
        </is>
      </c>
      <c r="D105" s="42" t="inlineStr">
        <is>
          <t>Да</t>
        </is>
      </c>
      <c r="E105" s="42" t="inlineStr">
        <is>
          <t>Стандарт</t>
        </is>
      </c>
      <c r="F105" s="42" t="n"/>
      <c r="G105" s="42" t="inlineStr">
        <is>
          <t>Завоз-вывоз вагончика</t>
        </is>
      </c>
      <c r="H105" s="42" t="inlineStr">
        <is>
          <t>Свернуть в раздел</t>
        </is>
      </c>
      <c r="I105" s="42" t="inlineStr">
        <is>
          <t>База</t>
        </is>
      </c>
      <c r="J105" s="42" t="inlineStr">
        <is>
          <t>Автогенерация из реального прайса; проверить вручную</t>
        </is>
      </c>
    </row>
    <row r="106">
      <c r="A106" s="41" t="inlineStr">
        <is>
          <t>RWORK-0035</t>
        </is>
      </c>
      <c r="B106" s="41" t="inlineStr">
        <is>
          <t>Завоз-вывоз вагончика</t>
        </is>
      </c>
      <c r="C106" s="41" t="inlineStr">
        <is>
          <t>Премиум</t>
        </is>
      </c>
      <c r="D106" s="41" t="inlineStr">
        <is>
          <t>Да</t>
        </is>
      </c>
      <c r="E106" s="41" t="inlineStr">
        <is>
          <t>Стандарт</t>
        </is>
      </c>
      <c r="F106" s="41" t="n"/>
      <c r="G106" s="41" t="inlineStr">
        <is>
          <t>Завоз-вывоз вагончика</t>
        </is>
      </c>
      <c r="H106" s="41" t="inlineStr">
        <is>
          <t>Свернуть в раздел</t>
        </is>
      </c>
      <c r="I106" s="41" t="inlineStr">
        <is>
          <t>Детально</t>
        </is>
      </c>
      <c r="J106" s="41" t="inlineStr">
        <is>
          <t>Автогенерация из реального прайса; проверить вручную</t>
        </is>
      </c>
    </row>
    <row r="107">
      <c r="A107" s="42" t="inlineStr">
        <is>
          <t>RWORK-0036</t>
        </is>
      </c>
      <c r="B107" s="42" t="inlineStr">
        <is>
          <t>Заливка бетона</t>
        </is>
      </c>
      <c r="C107" s="42" t="inlineStr">
        <is>
          <t>Эконом</t>
        </is>
      </c>
      <c r="D107" s="42" t="inlineStr">
        <is>
          <t>Да</t>
        </is>
      </c>
      <c r="E107" s="42" t="inlineStr">
        <is>
          <t>Стандарт</t>
        </is>
      </c>
      <c r="F107" s="42" t="n"/>
      <c r="G107" s="42" t="inlineStr">
        <is>
          <t>Заливка бетона</t>
        </is>
      </c>
      <c r="H107" s="42" t="inlineStr">
        <is>
          <t>Свернуть в раздел</t>
        </is>
      </c>
      <c r="I107" s="42" t="inlineStr">
        <is>
          <t>Минимум</t>
        </is>
      </c>
      <c r="J107" s="42" t="inlineStr">
        <is>
          <t>Автогенерация из реального прайса; проверить вручную</t>
        </is>
      </c>
    </row>
    <row r="108">
      <c r="A108" s="41" t="inlineStr">
        <is>
          <t>RWORK-0036</t>
        </is>
      </c>
      <c r="B108" s="41" t="inlineStr">
        <is>
          <t>Заливка бетона</t>
        </is>
      </c>
      <c r="C108" s="41" t="inlineStr">
        <is>
          <t>Стандарт</t>
        </is>
      </c>
      <c r="D108" s="41" t="inlineStr">
        <is>
          <t>Да</t>
        </is>
      </c>
      <c r="E108" s="41" t="inlineStr">
        <is>
          <t>Стандарт</t>
        </is>
      </c>
      <c r="F108" s="41" t="n"/>
      <c r="G108" s="41" t="inlineStr">
        <is>
          <t>Заливка бетона</t>
        </is>
      </c>
      <c r="H108" s="41" t="inlineStr">
        <is>
          <t>Показать строкой</t>
        </is>
      </c>
      <c r="I108" s="41" t="inlineStr">
        <is>
          <t>База</t>
        </is>
      </c>
      <c r="J108" s="41" t="inlineStr">
        <is>
          <t>Автогенерация из реального прайса; проверить вручную</t>
        </is>
      </c>
    </row>
    <row r="109">
      <c r="A109" s="42" t="inlineStr">
        <is>
          <t>RWORK-0036</t>
        </is>
      </c>
      <c r="B109" s="42" t="inlineStr">
        <is>
          <t>Заливка бетона</t>
        </is>
      </c>
      <c r="C109" s="42" t="inlineStr">
        <is>
          <t>Премиум</t>
        </is>
      </c>
      <c r="D109" s="42" t="inlineStr">
        <is>
          <t>Да</t>
        </is>
      </c>
      <c r="E109" s="42" t="inlineStr">
        <is>
          <t>Стандарт</t>
        </is>
      </c>
      <c r="F109" s="42" t="n"/>
      <c r="G109" s="42" t="inlineStr">
        <is>
          <t>Заливка бетона</t>
        </is>
      </c>
      <c r="H109" s="42" t="inlineStr">
        <is>
          <t>Показать строкой</t>
        </is>
      </c>
      <c r="I109" s="42" t="inlineStr">
        <is>
          <t>Детально</t>
        </is>
      </c>
      <c r="J109" s="42" t="inlineStr">
        <is>
          <t>Автогенерация из реального прайса; проверить вручную</t>
        </is>
      </c>
    </row>
    <row r="110">
      <c r="A110" s="41" t="inlineStr">
        <is>
          <t>RWORK-0037</t>
        </is>
      </c>
      <c r="B110" s="41" t="inlineStr">
        <is>
          <t>Заливка бетона</t>
        </is>
      </c>
      <c r="C110" s="41" t="inlineStr">
        <is>
          <t>Эконом</t>
        </is>
      </c>
      <c r="D110" s="41" t="inlineStr">
        <is>
          <t>Да</t>
        </is>
      </c>
      <c r="E110" s="41" t="inlineStr">
        <is>
          <t>Стандарт</t>
        </is>
      </c>
      <c r="F110" s="41" t="n"/>
      <c r="G110" s="41" t="inlineStr">
        <is>
          <t>Заливка бетона</t>
        </is>
      </c>
      <c r="H110" s="41" t="inlineStr">
        <is>
          <t>Свернуть в раздел</t>
        </is>
      </c>
      <c r="I110" s="41" t="inlineStr">
        <is>
          <t>Минимум</t>
        </is>
      </c>
      <c r="J110" s="41" t="inlineStr">
        <is>
          <t>Автогенерация из реального прайса; проверить вручную</t>
        </is>
      </c>
    </row>
    <row r="111">
      <c r="A111" s="42" t="inlineStr">
        <is>
          <t>RWORK-0037</t>
        </is>
      </c>
      <c r="B111" s="42" t="inlineStr">
        <is>
          <t>Заливка бетона</t>
        </is>
      </c>
      <c r="C111" s="42" t="inlineStr">
        <is>
          <t>Стандарт</t>
        </is>
      </c>
      <c r="D111" s="42" t="inlineStr">
        <is>
          <t>Да</t>
        </is>
      </c>
      <c r="E111" s="42" t="inlineStr">
        <is>
          <t>Стандарт</t>
        </is>
      </c>
      <c r="F111" s="42" t="n"/>
      <c r="G111" s="42" t="inlineStr">
        <is>
          <t>Заливка бетона</t>
        </is>
      </c>
      <c r="H111" s="42" t="inlineStr">
        <is>
          <t>Показать строкой</t>
        </is>
      </c>
      <c r="I111" s="42" t="inlineStr">
        <is>
          <t>База</t>
        </is>
      </c>
      <c r="J111" s="42" t="inlineStr">
        <is>
          <t>Автогенерация из реального прайса; проверить вручную</t>
        </is>
      </c>
    </row>
    <row r="112">
      <c r="A112" s="41" t="inlineStr">
        <is>
          <t>RWORK-0037</t>
        </is>
      </c>
      <c r="B112" s="41" t="inlineStr">
        <is>
          <t>Заливка бетона</t>
        </is>
      </c>
      <c r="C112" s="41" t="inlineStr">
        <is>
          <t>Премиум</t>
        </is>
      </c>
      <c r="D112" s="41" t="inlineStr">
        <is>
          <t>Да</t>
        </is>
      </c>
      <c r="E112" s="41" t="inlineStr">
        <is>
          <t>Стандарт</t>
        </is>
      </c>
      <c r="F112" s="41" t="n"/>
      <c r="G112" s="41" t="inlineStr">
        <is>
          <t>Заливка бетона</t>
        </is>
      </c>
      <c r="H112" s="41" t="inlineStr">
        <is>
          <t>Показать строкой</t>
        </is>
      </c>
      <c r="I112" s="41" t="inlineStr">
        <is>
          <t>Детально</t>
        </is>
      </c>
      <c r="J112" s="41" t="inlineStr">
        <is>
          <t>Автогенерация из реального прайса; проверить вручную</t>
        </is>
      </c>
    </row>
    <row r="113">
      <c r="A113" s="42" t="inlineStr">
        <is>
          <t>RWORK-0038</t>
        </is>
      </c>
      <c r="B113" s="42" t="inlineStr">
        <is>
          <t>Изготовление и монтаж грядок в теплице</t>
        </is>
      </c>
      <c r="C113" s="42" t="inlineStr">
        <is>
          <t>Эконом</t>
        </is>
      </c>
      <c r="D113" s="42" t="inlineStr">
        <is>
          <t>Да</t>
        </is>
      </c>
      <c r="E113" s="42" t="inlineStr">
        <is>
          <t>Стандарт</t>
        </is>
      </c>
      <c r="F113" s="42" t="n"/>
      <c r="G113" s="42" t="inlineStr">
        <is>
          <t>Изготовление и монтаж грядок в теплице</t>
        </is>
      </c>
      <c r="H113" s="42" t="inlineStr">
        <is>
          <t>Свернуть в раздел</t>
        </is>
      </c>
      <c r="I113" s="42" t="inlineStr">
        <is>
          <t>Минимум</t>
        </is>
      </c>
      <c r="J113" s="42" t="inlineStr">
        <is>
          <t>Автогенерация из реального прайса; проверить вручную</t>
        </is>
      </c>
    </row>
    <row r="114">
      <c r="A114" s="41" t="inlineStr">
        <is>
          <t>RWORK-0038</t>
        </is>
      </c>
      <c r="B114" s="41" t="inlineStr">
        <is>
          <t>Изготовление и монтаж грядок в теплице</t>
        </is>
      </c>
      <c r="C114" s="41" t="inlineStr">
        <is>
          <t>Стандарт</t>
        </is>
      </c>
      <c r="D114" s="41" t="inlineStr">
        <is>
          <t>Да</t>
        </is>
      </c>
      <c r="E114" s="41" t="inlineStr">
        <is>
          <t>Стандарт</t>
        </is>
      </c>
      <c r="F114" s="41" t="n"/>
      <c r="G114" s="41" t="inlineStr">
        <is>
          <t>Изготовление и монтаж грядок в теплице</t>
        </is>
      </c>
      <c r="H114" s="41" t="inlineStr">
        <is>
          <t>Показать строкой</t>
        </is>
      </c>
      <c r="I114" s="41" t="inlineStr">
        <is>
          <t>База</t>
        </is>
      </c>
      <c r="J114" s="41" t="inlineStr">
        <is>
          <t>Автогенерация из реального прайса; проверить вручную</t>
        </is>
      </c>
    </row>
    <row r="115">
      <c r="A115" s="42" t="inlineStr">
        <is>
          <t>RWORK-0038</t>
        </is>
      </c>
      <c r="B115" s="42" t="inlineStr">
        <is>
          <t>Изготовление и монтаж грядок в теплице</t>
        </is>
      </c>
      <c r="C115" s="42" t="inlineStr">
        <is>
          <t>Премиум</t>
        </is>
      </c>
      <c r="D115" s="42" t="inlineStr">
        <is>
          <t>Да</t>
        </is>
      </c>
      <c r="E115" s="42" t="inlineStr">
        <is>
          <t>Стандарт</t>
        </is>
      </c>
      <c r="F115" s="42" t="n"/>
      <c r="G115" s="42" t="inlineStr">
        <is>
          <t>Изготовление и монтаж грядок в теплице</t>
        </is>
      </c>
      <c r="H115" s="42" t="inlineStr">
        <is>
          <t>Показать строкой</t>
        </is>
      </c>
      <c r="I115" s="42" t="inlineStr">
        <is>
          <t>Детально</t>
        </is>
      </c>
      <c r="J115" s="42" t="inlineStr">
        <is>
          <t>Автогенерация из реального прайса; проверить вручную</t>
        </is>
      </c>
    </row>
    <row r="116">
      <c r="A116" s="41" t="inlineStr">
        <is>
          <t>RWORK-0039</t>
        </is>
      </c>
      <c r="B116" s="41" t="inlineStr">
        <is>
          <t>Изготовление и монтаж уличных грядок</t>
        </is>
      </c>
      <c r="C116" s="41" t="inlineStr">
        <is>
          <t>Эконом</t>
        </is>
      </c>
      <c r="D116" s="41" t="inlineStr">
        <is>
          <t>Да</t>
        </is>
      </c>
      <c r="E116" s="41" t="inlineStr">
        <is>
          <t>Стандарт</t>
        </is>
      </c>
      <c r="F116" s="41" t="n"/>
      <c r="G116" s="41" t="inlineStr">
        <is>
          <t>Изготовление и монтаж уличных грядок</t>
        </is>
      </c>
      <c r="H116" s="41" t="inlineStr">
        <is>
          <t>Свернуть в раздел</t>
        </is>
      </c>
      <c r="I116" s="41" t="inlineStr">
        <is>
          <t>Минимум</t>
        </is>
      </c>
      <c r="J116" s="41" t="inlineStr">
        <is>
          <t>Автогенерация из реального прайса; проверить вручную</t>
        </is>
      </c>
    </row>
    <row r="117">
      <c r="A117" s="42" t="inlineStr">
        <is>
          <t>RWORK-0039</t>
        </is>
      </c>
      <c r="B117" s="42" t="inlineStr">
        <is>
          <t>Изготовление и монтаж уличных грядок</t>
        </is>
      </c>
      <c r="C117" s="42" t="inlineStr">
        <is>
          <t>Стандарт</t>
        </is>
      </c>
      <c r="D117" s="42" t="inlineStr">
        <is>
          <t>Да</t>
        </is>
      </c>
      <c r="E117" s="42" t="inlineStr">
        <is>
          <t>Стандарт</t>
        </is>
      </c>
      <c r="F117" s="42" t="n"/>
      <c r="G117" s="42" t="inlineStr">
        <is>
          <t>Изготовление и монтаж уличных грядок</t>
        </is>
      </c>
      <c r="H117" s="42" t="inlineStr">
        <is>
          <t>Показать строкой</t>
        </is>
      </c>
      <c r="I117" s="42" t="inlineStr">
        <is>
          <t>База</t>
        </is>
      </c>
      <c r="J117" s="42" t="inlineStr">
        <is>
          <t>Автогенерация из реального прайса; проверить вручную</t>
        </is>
      </c>
    </row>
    <row r="118">
      <c r="A118" s="41" t="inlineStr">
        <is>
          <t>RWORK-0039</t>
        </is>
      </c>
      <c r="B118" s="41" t="inlineStr">
        <is>
          <t>Изготовление и монтаж уличных грядок</t>
        </is>
      </c>
      <c r="C118" s="41" t="inlineStr">
        <is>
          <t>Премиум</t>
        </is>
      </c>
      <c r="D118" s="41" t="inlineStr">
        <is>
          <t>Да</t>
        </is>
      </c>
      <c r="E118" s="41" t="inlineStr">
        <is>
          <t>Стандарт</t>
        </is>
      </c>
      <c r="F118" s="41" t="n"/>
      <c r="G118" s="41" t="inlineStr">
        <is>
          <t>Изготовление и монтаж уличных грядок</t>
        </is>
      </c>
      <c r="H118" s="41" t="inlineStr">
        <is>
          <t>Показать строкой</t>
        </is>
      </c>
      <c r="I118" s="41" t="inlineStr">
        <is>
          <t>Детально</t>
        </is>
      </c>
      <c r="J118" s="41" t="inlineStr">
        <is>
          <t>Автогенерация из реального прайса; проверить вручную</t>
        </is>
      </c>
    </row>
    <row r="119">
      <c r="A119" s="42" t="inlineStr">
        <is>
          <t>RWORK-0040</t>
        </is>
      </c>
      <c r="B119" s="42" t="inlineStr">
        <is>
          <t>Консервация системы полива на зиму</t>
        </is>
      </c>
      <c r="C119" s="42" t="inlineStr">
        <is>
          <t>Эконом</t>
        </is>
      </c>
      <c r="D119" s="42" t="inlineStr">
        <is>
          <t>Да</t>
        </is>
      </c>
      <c r="E119" s="42" t="inlineStr">
        <is>
          <t>Стандарт</t>
        </is>
      </c>
      <c r="F119" s="42" t="n"/>
      <c r="G119" s="42" t="inlineStr">
        <is>
          <t>Консервация системы полива на зиму</t>
        </is>
      </c>
      <c r="H119" s="42" t="inlineStr">
        <is>
          <t>Свернуть в раздел</t>
        </is>
      </c>
      <c r="I119" s="42" t="inlineStr">
        <is>
          <t>Минимум</t>
        </is>
      </c>
      <c r="J119" s="42" t="inlineStr">
        <is>
          <t>Автогенерация из реального прайса; проверить вручную</t>
        </is>
      </c>
    </row>
    <row r="120">
      <c r="A120" s="41" t="inlineStr">
        <is>
          <t>RWORK-0040</t>
        </is>
      </c>
      <c r="B120" s="41" t="inlineStr">
        <is>
          <t>Консервация системы полива на зиму</t>
        </is>
      </c>
      <c r="C120" s="41" t="inlineStr">
        <is>
          <t>Стандарт</t>
        </is>
      </c>
      <c r="D120" s="41" t="inlineStr">
        <is>
          <t>Да</t>
        </is>
      </c>
      <c r="E120" s="41" t="inlineStr">
        <is>
          <t>Стандарт</t>
        </is>
      </c>
      <c r="F120" s="41" t="n"/>
      <c r="G120" s="41" t="inlineStr">
        <is>
          <t>Консервация системы полива на зиму</t>
        </is>
      </c>
      <c r="H120" s="41" t="inlineStr">
        <is>
          <t>Показать строкой</t>
        </is>
      </c>
      <c r="I120" s="41" t="inlineStr">
        <is>
          <t>База</t>
        </is>
      </c>
      <c r="J120" s="41" t="inlineStr">
        <is>
          <t>Автогенерация из реального прайса; проверить вручную</t>
        </is>
      </c>
    </row>
    <row r="121">
      <c r="A121" s="42" t="inlineStr">
        <is>
          <t>RWORK-0040</t>
        </is>
      </c>
      <c r="B121" s="42" t="inlineStr">
        <is>
          <t>Консервация системы полива на зиму</t>
        </is>
      </c>
      <c r="C121" s="42" t="inlineStr">
        <is>
          <t>Премиум</t>
        </is>
      </c>
      <c r="D121" s="42" t="inlineStr">
        <is>
          <t>Да</t>
        </is>
      </c>
      <c r="E121" s="42" t="inlineStr">
        <is>
          <t>Стандарт</t>
        </is>
      </c>
      <c r="F121" s="42" t="n"/>
      <c r="G121" s="42" t="inlineStr">
        <is>
          <t>Консервация системы полива на зиму</t>
        </is>
      </c>
      <c r="H121" s="42" t="inlineStr">
        <is>
          <t>Показать строкой</t>
        </is>
      </c>
      <c r="I121" s="42" t="inlineStr">
        <is>
          <t>Детально</t>
        </is>
      </c>
      <c r="J121" s="42" t="inlineStr">
        <is>
          <t>Автогенерация из реального прайса; проверить вручную</t>
        </is>
      </c>
    </row>
    <row r="122">
      <c r="A122" s="41" t="inlineStr">
        <is>
          <t>RWORK-0041</t>
        </is>
      </c>
      <c r="B122" s="41" t="inlineStr">
        <is>
          <t>Копка траншеи под кабель в песчаном грунте</t>
        </is>
      </c>
      <c r="C122" s="41" t="inlineStr">
        <is>
          <t>Эконом</t>
        </is>
      </c>
      <c r="D122" s="41" t="inlineStr">
        <is>
          <t>Да</t>
        </is>
      </c>
      <c r="E122" s="41" t="inlineStr">
        <is>
          <t>Стандарт</t>
        </is>
      </c>
      <c r="F122" s="41" t="n"/>
      <c r="G122" s="41" t="inlineStr">
        <is>
          <t>Копка траншеи под кабель в песчаном грунте</t>
        </is>
      </c>
      <c r="H122" s="41" t="inlineStr">
        <is>
          <t>Свернуть в раздел</t>
        </is>
      </c>
      <c r="I122" s="41" t="inlineStr">
        <is>
          <t>Минимум</t>
        </is>
      </c>
      <c r="J122" s="41" t="inlineStr">
        <is>
          <t>Автогенерация из реального прайса; проверить вручную</t>
        </is>
      </c>
    </row>
    <row r="123">
      <c r="A123" s="42" t="inlineStr">
        <is>
          <t>RWORK-0041</t>
        </is>
      </c>
      <c r="B123" s="42" t="inlineStr">
        <is>
          <t>Копка траншеи под кабель в песчаном грунте</t>
        </is>
      </c>
      <c r="C123" s="42" t="inlineStr">
        <is>
          <t>Стандарт</t>
        </is>
      </c>
      <c r="D123" s="42" t="inlineStr">
        <is>
          <t>Да</t>
        </is>
      </c>
      <c r="E123" s="42" t="inlineStr">
        <is>
          <t>Стандарт</t>
        </is>
      </c>
      <c r="F123" s="42" t="n"/>
      <c r="G123" s="42" t="inlineStr">
        <is>
          <t>Копка траншеи под кабель в песчаном грунте</t>
        </is>
      </c>
      <c r="H123" s="42" t="inlineStr">
        <is>
          <t>Показать строкой</t>
        </is>
      </c>
      <c r="I123" s="42" t="inlineStr">
        <is>
          <t>База</t>
        </is>
      </c>
      <c r="J123" s="42" t="inlineStr">
        <is>
          <t>Автогенерация из реального прайса; проверить вручную</t>
        </is>
      </c>
    </row>
    <row r="124">
      <c r="A124" s="41" t="inlineStr">
        <is>
          <t>RWORK-0041</t>
        </is>
      </c>
      <c r="B124" s="41" t="inlineStr">
        <is>
          <t>Копка траншеи под кабель в песчаном грунте</t>
        </is>
      </c>
      <c r="C124" s="41" t="inlineStr">
        <is>
          <t>Премиум</t>
        </is>
      </c>
      <c r="D124" s="41" t="inlineStr">
        <is>
          <t>Да</t>
        </is>
      </c>
      <c r="E124" s="41" t="inlineStr">
        <is>
          <t>Стандарт</t>
        </is>
      </c>
      <c r="F124" s="41" t="n"/>
      <c r="G124" s="41" t="inlineStr">
        <is>
          <t>Копка траншеи под кабель в песчаном грунте</t>
        </is>
      </c>
      <c r="H124" s="41" t="inlineStr">
        <is>
          <t>Показать строкой</t>
        </is>
      </c>
      <c r="I124" s="41" t="inlineStr">
        <is>
          <t>Детально</t>
        </is>
      </c>
      <c r="J124" s="41" t="inlineStr">
        <is>
          <t>Автогенерация из реального прайса; проверить вручную</t>
        </is>
      </c>
    </row>
    <row r="125">
      <c r="A125" s="42" t="inlineStr">
        <is>
          <t>RWORK-0042</t>
        </is>
      </c>
      <c r="B125" s="42" t="inlineStr">
        <is>
          <t>Корчевка поросли механическая и ручная очистка участка от выкорчеванной поросли</t>
        </is>
      </c>
      <c r="C125" s="42" t="inlineStr">
        <is>
          <t>Эконом</t>
        </is>
      </c>
      <c r="D125" s="42" t="inlineStr">
        <is>
          <t>Да</t>
        </is>
      </c>
      <c r="E125" s="42" t="inlineStr">
        <is>
          <t>Ручной</t>
        </is>
      </c>
      <c r="F125" s="42" t="n"/>
      <c r="G125" s="42" t="inlineStr">
        <is>
          <t>Корчевка поросли механическая и ручная очистка участка от выкорчеванной поросли</t>
        </is>
      </c>
      <c r="H125" s="42" t="inlineStr">
        <is>
          <t>Свернуть в раздел</t>
        </is>
      </c>
      <c r="I125" s="42" t="inlineStr">
        <is>
          <t>Минимум</t>
        </is>
      </c>
      <c r="J125" s="42" t="inlineStr">
        <is>
          <t>Автогенерация из реального прайса; проверить вручную</t>
        </is>
      </c>
    </row>
    <row r="126">
      <c r="A126" s="41" t="inlineStr">
        <is>
          <t>RWORK-0042</t>
        </is>
      </c>
      <c r="B126" s="41" t="inlineStr">
        <is>
          <t>Корчевка поросли механическая и ручная очистка участка от выкорчеванной поросли</t>
        </is>
      </c>
      <c r="C126" s="41" t="inlineStr">
        <is>
          <t>Стандарт</t>
        </is>
      </c>
      <c r="D126" s="41" t="inlineStr">
        <is>
          <t>Да</t>
        </is>
      </c>
      <c r="E126" s="41" t="inlineStr">
        <is>
          <t>Ручной</t>
        </is>
      </c>
      <c r="F126" s="41" t="n"/>
      <c r="G126" s="41" t="inlineStr">
        <is>
          <t>Корчевка поросли механическая и ручная очистка участка от выкорчеванной поросли</t>
        </is>
      </c>
      <c r="H126" s="41" t="inlineStr">
        <is>
          <t>Показать строкой</t>
        </is>
      </c>
      <c r="I126" s="41" t="inlineStr">
        <is>
          <t>База</t>
        </is>
      </c>
      <c r="J126" s="41" t="inlineStr">
        <is>
          <t>Автогенерация из реального прайса; проверить вручную</t>
        </is>
      </c>
    </row>
    <row r="127">
      <c r="A127" s="42" t="inlineStr">
        <is>
          <t>RWORK-0042</t>
        </is>
      </c>
      <c r="B127" s="42" t="inlineStr">
        <is>
          <t>Корчевка поросли механическая и ручная очистка участка от выкорчеванной поросли</t>
        </is>
      </c>
      <c r="C127" s="42" t="inlineStr">
        <is>
          <t>Премиум</t>
        </is>
      </c>
      <c r="D127" s="42" t="inlineStr">
        <is>
          <t>Да</t>
        </is>
      </c>
      <c r="E127" s="42" t="inlineStr">
        <is>
          <t>Ручной</t>
        </is>
      </c>
      <c r="F127" s="42" t="n"/>
      <c r="G127" s="42" t="inlineStr">
        <is>
          <t>Корчевка поросли механическая и ручная очистка участка от выкорчеванной поросли</t>
        </is>
      </c>
      <c r="H127" s="42" t="inlineStr">
        <is>
          <t>Показать строкой</t>
        </is>
      </c>
      <c r="I127" s="42" t="inlineStr">
        <is>
          <t>Детально</t>
        </is>
      </c>
      <c r="J127" s="42" t="inlineStr">
        <is>
          <t>Автогенерация из реального прайса; проверить вручную</t>
        </is>
      </c>
    </row>
    <row r="128">
      <c r="A128" s="41" t="inlineStr">
        <is>
          <t>RWORK-0043</t>
        </is>
      </c>
      <c r="B128" s="41" t="inlineStr">
        <is>
          <t>Механическая планировка участка: выемка грунта</t>
        </is>
      </c>
      <c r="C128" s="41" t="inlineStr">
        <is>
          <t>Эконом</t>
        </is>
      </c>
      <c r="D128" s="41" t="inlineStr">
        <is>
          <t>Да</t>
        </is>
      </c>
      <c r="E128" s="41" t="inlineStr">
        <is>
          <t>Стандарт</t>
        </is>
      </c>
      <c r="F128" s="41" t="n"/>
      <c r="G128" s="41" t="inlineStr">
        <is>
          <t>Механическая планировка участка: выемка грунта</t>
        </is>
      </c>
      <c r="H128" s="41" t="inlineStr">
        <is>
          <t>Свернуть в раздел</t>
        </is>
      </c>
      <c r="I128" s="41" t="inlineStr">
        <is>
          <t>Минимум</t>
        </is>
      </c>
      <c r="J128" s="41" t="inlineStr">
        <is>
          <t>Автогенерация из реального прайса; проверить вручную</t>
        </is>
      </c>
    </row>
    <row r="129">
      <c r="A129" s="42" t="inlineStr">
        <is>
          <t>RWORK-0043</t>
        </is>
      </c>
      <c r="B129" s="42" t="inlineStr">
        <is>
          <t>Механическая планировка участка: выемка грунта</t>
        </is>
      </c>
      <c r="C129" s="42" t="inlineStr">
        <is>
          <t>Стандарт</t>
        </is>
      </c>
      <c r="D129" s="42" t="inlineStr">
        <is>
          <t>Да</t>
        </is>
      </c>
      <c r="E129" s="42" t="inlineStr">
        <is>
          <t>Стандарт</t>
        </is>
      </c>
      <c r="F129" s="42" t="n"/>
      <c r="G129" s="42" t="inlineStr">
        <is>
          <t>Механическая планировка участка: выемка грунта</t>
        </is>
      </c>
      <c r="H129" s="42" t="inlineStr">
        <is>
          <t>Показать строкой</t>
        </is>
      </c>
      <c r="I129" s="42" t="inlineStr">
        <is>
          <t>База</t>
        </is>
      </c>
      <c r="J129" s="42" t="inlineStr">
        <is>
          <t>Автогенерация из реального прайса; проверить вручную</t>
        </is>
      </c>
    </row>
    <row r="130">
      <c r="A130" s="41" t="inlineStr">
        <is>
          <t>RWORK-0043</t>
        </is>
      </c>
      <c r="B130" s="41" t="inlineStr">
        <is>
          <t>Механическая планировка участка: выемка грунта</t>
        </is>
      </c>
      <c r="C130" s="41" t="inlineStr">
        <is>
          <t>Премиум</t>
        </is>
      </c>
      <c r="D130" s="41" t="inlineStr">
        <is>
          <t>Да</t>
        </is>
      </c>
      <c r="E130" s="41" t="inlineStr">
        <is>
          <t>Стандарт</t>
        </is>
      </c>
      <c r="F130" s="41" t="n"/>
      <c r="G130" s="41" t="inlineStr">
        <is>
          <t>Механическая планировка участка: выемка грунта</t>
        </is>
      </c>
      <c r="H130" s="41" t="inlineStr">
        <is>
          <t>Показать строкой</t>
        </is>
      </c>
      <c r="I130" s="41" t="inlineStr">
        <is>
          <t>Детально</t>
        </is>
      </c>
      <c r="J130" s="41" t="inlineStr">
        <is>
          <t>Автогенерация из реального прайса; проверить вручную</t>
        </is>
      </c>
    </row>
    <row r="131">
      <c r="A131" s="42" t="inlineStr">
        <is>
          <t>RWORK-0044</t>
        </is>
      </c>
      <c r="B131" s="42" t="inlineStr">
        <is>
          <t>Механическая планировка участка: снятие и подсыпка грунта</t>
        </is>
      </c>
      <c r="C131" s="42" t="inlineStr">
        <is>
          <t>Эконом</t>
        </is>
      </c>
      <c r="D131" s="42" t="inlineStr">
        <is>
          <t>Да</t>
        </is>
      </c>
      <c r="E131" s="42" t="inlineStr">
        <is>
          <t>Стандарт</t>
        </is>
      </c>
      <c r="F131" s="42" t="n"/>
      <c r="G131" s="42" t="inlineStr">
        <is>
          <t>Механическая планировка участка: снятие и подсыпка грунта</t>
        </is>
      </c>
      <c r="H131" s="42" t="inlineStr">
        <is>
          <t>Свернуть в раздел</t>
        </is>
      </c>
      <c r="I131" s="42" t="inlineStr">
        <is>
          <t>Минимум</t>
        </is>
      </c>
      <c r="J131" s="42" t="inlineStr">
        <is>
          <t>Автогенерация из реального прайса; проверить вручную</t>
        </is>
      </c>
    </row>
    <row r="132">
      <c r="A132" s="41" t="inlineStr">
        <is>
          <t>RWORK-0044</t>
        </is>
      </c>
      <c r="B132" s="41" t="inlineStr">
        <is>
          <t>Механическая планировка участка: снятие и подсыпка грунта</t>
        </is>
      </c>
      <c r="C132" s="41" t="inlineStr">
        <is>
          <t>Стандарт</t>
        </is>
      </c>
      <c r="D132" s="41" t="inlineStr">
        <is>
          <t>Да</t>
        </is>
      </c>
      <c r="E132" s="41" t="inlineStr">
        <is>
          <t>Стандарт</t>
        </is>
      </c>
      <c r="F132" s="41" t="n"/>
      <c r="G132" s="41" t="inlineStr">
        <is>
          <t>Механическая планировка участка: снятие и подсыпка грунта</t>
        </is>
      </c>
      <c r="H132" s="41" t="inlineStr">
        <is>
          <t>Показать строкой</t>
        </is>
      </c>
      <c r="I132" s="41" t="inlineStr">
        <is>
          <t>База</t>
        </is>
      </c>
      <c r="J132" s="41" t="inlineStr">
        <is>
          <t>Автогенерация из реального прайса; проверить вручную</t>
        </is>
      </c>
    </row>
    <row r="133">
      <c r="A133" s="42" t="inlineStr">
        <is>
          <t>RWORK-0044</t>
        </is>
      </c>
      <c r="B133" s="42" t="inlineStr">
        <is>
          <t>Механическая планировка участка: снятие и подсыпка грунта</t>
        </is>
      </c>
      <c r="C133" s="42" t="inlineStr">
        <is>
          <t>Премиум</t>
        </is>
      </c>
      <c r="D133" s="42" t="inlineStr">
        <is>
          <t>Да</t>
        </is>
      </c>
      <c r="E133" s="42" t="inlineStr">
        <is>
          <t>Стандарт</t>
        </is>
      </c>
      <c r="F133" s="42" t="n"/>
      <c r="G133" s="42" t="inlineStr">
        <is>
          <t>Механическая планировка участка: снятие и подсыпка грунта</t>
        </is>
      </c>
      <c r="H133" s="42" t="inlineStr">
        <is>
          <t>Показать строкой</t>
        </is>
      </c>
      <c r="I133" s="42" t="inlineStr">
        <is>
          <t>Детально</t>
        </is>
      </c>
      <c r="J133" s="42" t="inlineStr">
        <is>
          <t>Автогенерация из реального прайса; проверить вручную</t>
        </is>
      </c>
    </row>
    <row r="134">
      <c r="A134" s="41" t="inlineStr">
        <is>
          <t>RWORK-0045</t>
        </is>
      </c>
      <c r="B134" s="41" t="inlineStr">
        <is>
          <t>Мини-геопластика: создание рельефа в лесной зоне</t>
        </is>
      </c>
      <c r="C134" s="41" t="inlineStr">
        <is>
          <t>Эконом</t>
        </is>
      </c>
      <c r="D134" s="41" t="inlineStr">
        <is>
          <t>Да</t>
        </is>
      </c>
      <c r="E134" s="41" t="inlineStr">
        <is>
          <t>Стандарт</t>
        </is>
      </c>
      <c r="F134" s="41" t="n"/>
      <c r="G134" s="41" t="inlineStr">
        <is>
          <t>Мини-геопластика: создание рельефа в лесной зоне</t>
        </is>
      </c>
      <c r="H134" s="41" t="inlineStr">
        <is>
          <t>Свернуть в раздел</t>
        </is>
      </c>
      <c r="I134" s="41" t="inlineStr">
        <is>
          <t>Минимум</t>
        </is>
      </c>
      <c r="J134" s="41" t="inlineStr">
        <is>
          <t>Автогенерация из реального прайса; проверить вручную</t>
        </is>
      </c>
    </row>
    <row r="135">
      <c r="A135" s="42" t="inlineStr">
        <is>
          <t>RWORK-0045</t>
        </is>
      </c>
      <c r="B135" s="42" t="inlineStr">
        <is>
          <t>Мини-геопластика: создание рельефа в лесной зоне</t>
        </is>
      </c>
      <c r="C135" s="42" t="inlineStr">
        <is>
          <t>Стандарт</t>
        </is>
      </c>
      <c r="D135" s="42" t="inlineStr">
        <is>
          <t>Да</t>
        </is>
      </c>
      <c r="E135" s="42" t="inlineStr">
        <is>
          <t>Стандарт</t>
        </is>
      </c>
      <c r="F135" s="42" t="n"/>
      <c r="G135" s="42" t="inlineStr">
        <is>
          <t>Мини-геопластика: создание рельефа в лесной зоне</t>
        </is>
      </c>
      <c r="H135" s="42" t="inlineStr">
        <is>
          <t>Показать строкой</t>
        </is>
      </c>
      <c r="I135" s="42" t="inlineStr">
        <is>
          <t>База</t>
        </is>
      </c>
      <c r="J135" s="42" t="inlineStr">
        <is>
          <t>Автогенерация из реального прайса; проверить вручную</t>
        </is>
      </c>
    </row>
    <row r="136">
      <c r="A136" s="41" t="inlineStr">
        <is>
          <t>RWORK-0045</t>
        </is>
      </c>
      <c r="B136" s="41" t="inlineStr">
        <is>
          <t>Мини-геопластика: создание рельефа в лесной зоне</t>
        </is>
      </c>
      <c r="C136" s="41" t="inlineStr">
        <is>
          <t>Премиум</t>
        </is>
      </c>
      <c r="D136" s="41" t="inlineStr">
        <is>
          <t>Да</t>
        </is>
      </c>
      <c r="E136" s="41" t="inlineStr">
        <is>
          <t>Стандарт</t>
        </is>
      </c>
      <c r="F136" s="41" t="n"/>
      <c r="G136" s="41" t="inlineStr">
        <is>
          <t>Мини-геопластика: создание рельефа в лесной зоне</t>
        </is>
      </c>
      <c r="H136" s="41" t="inlineStr">
        <is>
          <t>Показать строкой</t>
        </is>
      </c>
      <c r="I136" s="41" t="inlineStr">
        <is>
          <t>Детально</t>
        </is>
      </c>
      <c r="J136" s="41" t="inlineStr">
        <is>
          <t>Автогенерация из реального прайса; проверить вручную</t>
        </is>
      </c>
    </row>
    <row r="137">
      <c r="A137" s="42" t="inlineStr">
        <is>
          <t>RWORK-0046</t>
        </is>
      </c>
      <c r="B137" s="42" t="inlineStr">
        <is>
          <t>монтаж алюминиевого каркаса с остеклением</t>
        </is>
      </c>
      <c r="C137" s="42" t="inlineStr">
        <is>
          <t>Эконом</t>
        </is>
      </c>
      <c r="D137" s="42" t="inlineStr">
        <is>
          <t>Да</t>
        </is>
      </c>
      <c r="E137" s="42" t="inlineStr">
        <is>
          <t>Стандарт</t>
        </is>
      </c>
      <c r="F137" s="42" t="n"/>
      <c r="G137" s="42" t="inlineStr">
        <is>
          <t>монтаж алюминиевого каркаса с остеклением</t>
        </is>
      </c>
      <c r="H137" s="42" t="inlineStr">
        <is>
          <t>Свернуть в раздел</t>
        </is>
      </c>
      <c r="I137" s="42" t="inlineStr">
        <is>
          <t>Минимум</t>
        </is>
      </c>
      <c r="J137" s="42" t="inlineStr">
        <is>
          <t>Автогенерация из реального прайса; проверить вручную</t>
        </is>
      </c>
    </row>
    <row r="138">
      <c r="A138" s="41" t="inlineStr">
        <is>
          <t>RWORK-0046</t>
        </is>
      </c>
      <c r="B138" s="41" t="inlineStr">
        <is>
          <t>монтаж алюминиевого каркаса с остеклением</t>
        </is>
      </c>
      <c r="C138" s="41" t="inlineStr">
        <is>
          <t>Стандарт</t>
        </is>
      </c>
      <c r="D138" s="41" t="inlineStr">
        <is>
          <t>Да</t>
        </is>
      </c>
      <c r="E138" s="41" t="inlineStr">
        <is>
          <t>Стандарт</t>
        </is>
      </c>
      <c r="F138" s="41" t="n"/>
      <c r="G138" s="41" t="inlineStr">
        <is>
          <t>монтаж алюминиевого каркаса с остеклением</t>
        </is>
      </c>
      <c r="H138" s="41" t="inlineStr">
        <is>
          <t>Показать строкой</t>
        </is>
      </c>
      <c r="I138" s="41" t="inlineStr">
        <is>
          <t>База</t>
        </is>
      </c>
      <c r="J138" s="41" t="inlineStr">
        <is>
          <t>Автогенерация из реального прайса; проверить вручную</t>
        </is>
      </c>
    </row>
    <row r="139">
      <c r="A139" s="42" t="inlineStr">
        <is>
          <t>RWORK-0046</t>
        </is>
      </c>
      <c r="B139" s="42" t="inlineStr">
        <is>
          <t>монтаж алюминиевого каркаса с остеклением</t>
        </is>
      </c>
      <c r="C139" s="42" t="inlineStr">
        <is>
          <t>Премиум</t>
        </is>
      </c>
      <c r="D139" s="42" t="inlineStr">
        <is>
          <t>Да</t>
        </is>
      </c>
      <c r="E139" s="42" t="inlineStr">
        <is>
          <t>Стандарт</t>
        </is>
      </c>
      <c r="F139" s="42" t="n"/>
      <c r="G139" s="42" t="inlineStr">
        <is>
          <t>монтаж алюминиевого каркаса с остеклением</t>
        </is>
      </c>
      <c r="H139" s="42" t="inlineStr">
        <is>
          <t>Показать строкой</t>
        </is>
      </c>
      <c r="I139" s="42" t="inlineStr">
        <is>
          <t>Детально</t>
        </is>
      </c>
      <c r="J139" s="42" t="inlineStr">
        <is>
          <t>Автогенерация из реального прайса; проверить вручную</t>
        </is>
      </c>
    </row>
    <row r="140">
      <c r="A140" s="41" t="inlineStr">
        <is>
          <t>RWORK-0047</t>
        </is>
      </c>
      <c r="B140" s="41" t="inlineStr">
        <is>
          <t>Монтаж блоков питания</t>
        </is>
      </c>
      <c r="C140" s="41" t="inlineStr">
        <is>
          <t>Эконом</t>
        </is>
      </c>
      <c r="D140" s="41" t="inlineStr">
        <is>
          <t>Да</t>
        </is>
      </c>
      <c r="E140" s="41" t="inlineStr">
        <is>
          <t>Стандарт</t>
        </is>
      </c>
      <c r="F140" s="41" t="n"/>
      <c r="G140" s="41" t="inlineStr">
        <is>
          <t>Монтаж блоков питания</t>
        </is>
      </c>
      <c r="H140" s="41" t="inlineStr">
        <is>
          <t>Свернуть в раздел</t>
        </is>
      </c>
      <c r="I140" s="41" t="inlineStr">
        <is>
          <t>Минимум</t>
        </is>
      </c>
      <c r="J140" s="41" t="inlineStr">
        <is>
          <t>Автогенерация из реального прайса; проверить вручную</t>
        </is>
      </c>
    </row>
    <row r="141">
      <c r="A141" s="42" t="inlineStr">
        <is>
          <t>RWORK-0047</t>
        </is>
      </c>
      <c r="B141" s="42" t="inlineStr">
        <is>
          <t>Монтаж блоков питания</t>
        </is>
      </c>
      <c r="C141" s="42" t="inlineStr">
        <is>
          <t>Стандарт</t>
        </is>
      </c>
      <c r="D141" s="42" t="inlineStr">
        <is>
          <t>Да</t>
        </is>
      </c>
      <c r="E141" s="42" t="inlineStr">
        <is>
          <t>Стандарт</t>
        </is>
      </c>
      <c r="F141" s="42" t="n"/>
      <c r="G141" s="42" t="inlineStr">
        <is>
          <t>Монтаж блоков питания</t>
        </is>
      </c>
      <c r="H141" s="42" t="inlineStr">
        <is>
          <t>Показать строкой</t>
        </is>
      </c>
      <c r="I141" s="42" t="inlineStr">
        <is>
          <t>База</t>
        </is>
      </c>
      <c r="J141" s="42" t="inlineStr">
        <is>
          <t>Автогенерация из реального прайса; проверить вручную</t>
        </is>
      </c>
    </row>
    <row r="142">
      <c r="A142" s="41" t="inlineStr">
        <is>
          <t>RWORK-0047</t>
        </is>
      </c>
      <c r="B142" s="41" t="inlineStr">
        <is>
          <t>Монтаж блоков питания</t>
        </is>
      </c>
      <c r="C142" s="41" t="inlineStr">
        <is>
          <t>Премиум</t>
        </is>
      </c>
      <c r="D142" s="41" t="inlineStr">
        <is>
          <t>Да</t>
        </is>
      </c>
      <c r="E142" s="41" t="inlineStr">
        <is>
          <t>Стандарт</t>
        </is>
      </c>
      <c r="F142" s="41" t="n"/>
      <c r="G142" s="41" t="inlineStr">
        <is>
          <t>Монтаж блоков питания</t>
        </is>
      </c>
      <c r="H142" s="41" t="inlineStr">
        <is>
          <t>Показать строкой</t>
        </is>
      </c>
      <c r="I142" s="41" t="inlineStr">
        <is>
          <t>Детально</t>
        </is>
      </c>
      <c r="J142" s="41" t="inlineStr">
        <is>
          <t>Автогенерация из реального прайса; проверить вручную</t>
        </is>
      </c>
    </row>
    <row r="143">
      <c r="A143" s="42" t="inlineStr">
        <is>
          <t>RWORK-0048</t>
        </is>
      </c>
      <c r="B143" s="42" t="inlineStr">
        <is>
          <t>Монтаж водоприемных колодцев 923мм с выемкой</t>
        </is>
      </c>
      <c r="C143" s="42" t="inlineStr">
        <is>
          <t>Эконом</t>
        </is>
      </c>
      <c r="D143" s="42" t="inlineStr">
        <is>
          <t>Да</t>
        </is>
      </c>
      <c r="E143" s="42" t="inlineStr">
        <is>
          <t>Стандарт</t>
        </is>
      </c>
      <c r="F143" s="42" t="n"/>
      <c r="G143" s="42" t="inlineStr">
        <is>
          <t>Монтаж водоприемных колодцев 923мм с выемкой</t>
        </is>
      </c>
      <c r="H143" s="42" t="inlineStr">
        <is>
          <t>Свернуть в раздел</t>
        </is>
      </c>
      <c r="I143" s="42" t="inlineStr">
        <is>
          <t>Минимум</t>
        </is>
      </c>
      <c r="J143" s="42" t="inlineStr">
        <is>
          <t>Автогенерация из реального прайса; проверить вручную</t>
        </is>
      </c>
    </row>
    <row r="144">
      <c r="A144" s="41" t="inlineStr">
        <is>
          <t>RWORK-0048</t>
        </is>
      </c>
      <c r="B144" s="41" t="inlineStr">
        <is>
          <t>Монтаж водоприемных колодцев 923мм с выемкой</t>
        </is>
      </c>
      <c r="C144" s="41" t="inlineStr">
        <is>
          <t>Стандарт</t>
        </is>
      </c>
      <c r="D144" s="41" t="inlineStr">
        <is>
          <t>Да</t>
        </is>
      </c>
      <c r="E144" s="41" t="inlineStr">
        <is>
          <t>Стандарт</t>
        </is>
      </c>
      <c r="F144" s="41" t="n"/>
      <c r="G144" s="41" t="inlineStr">
        <is>
          <t>Монтаж водоприемных колодцев 923мм с выемкой</t>
        </is>
      </c>
      <c r="H144" s="41" t="inlineStr">
        <is>
          <t>Показать строкой</t>
        </is>
      </c>
      <c r="I144" s="41" t="inlineStr">
        <is>
          <t>База</t>
        </is>
      </c>
      <c r="J144" s="41" t="inlineStr">
        <is>
          <t>Автогенерация из реального прайса; проверить вручную</t>
        </is>
      </c>
    </row>
    <row r="145">
      <c r="A145" s="42" t="inlineStr">
        <is>
          <t>RWORK-0048</t>
        </is>
      </c>
      <c r="B145" s="42" t="inlineStr">
        <is>
          <t>Монтаж водоприемных колодцев 923мм с выемкой</t>
        </is>
      </c>
      <c r="C145" s="42" t="inlineStr">
        <is>
          <t>Премиум</t>
        </is>
      </c>
      <c r="D145" s="42" t="inlineStr">
        <is>
          <t>Да</t>
        </is>
      </c>
      <c r="E145" s="42" t="inlineStr">
        <is>
          <t>Стандарт</t>
        </is>
      </c>
      <c r="F145" s="42" t="n"/>
      <c r="G145" s="42" t="inlineStr">
        <is>
          <t>Монтаж водоприемных колодцев 923мм с выемкой</t>
        </is>
      </c>
      <c r="H145" s="42" t="inlineStr">
        <is>
          <t>Показать строкой</t>
        </is>
      </c>
      <c r="I145" s="42" t="inlineStr">
        <is>
          <t>Детально</t>
        </is>
      </c>
      <c r="J145" s="42" t="inlineStr">
        <is>
          <t>Автогенерация из реального прайса; проверить вручную</t>
        </is>
      </c>
    </row>
    <row r="146">
      <c r="A146" s="41" t="inlineStr">
        <is>
          <t>RWORK-0049</t>
        </is>
      </c>
      <c r="B146" s="41" t="inlineStr">
        <is>
          <t>Монтаж встроенных в настил светильников с устройством отверстий в облицовке</t>
        </is>
      </c>
      <c r="C146" s="41" t="inlineStr">
        <is>
          <t>Эконом</t>
        </is>
      </c>
      <c r="D146" s="41" t="inlineStr">
        <is>
          <t>Да</t>
        </is>
      </c>
      <c r="E146" s="41" t="inlineStr">
        <is>
          <t>Стандарт</t>
        </is>
      </c>
      <c r="F146" s="41" t="n"/>
      <c r="G146" s="41" t="inlineStr">
        <is>
          <t>Монтаж встроенных в настил светильников с устройством отверстий в облицовке</t>
        </is>
      </c>
      <c r="H146" s="41" t="inlineStr">
        <is>
          <t>Свернуть в раздел</t>
        </is>
      </c>
      <c r="I146" s="41" t="inlineStr">
        <is>
          <t>Минимум</t>
        </is>
      </c>
      <c r="J146" s="41" t="inlineStr">
        <is>
          <t>Автогенерация из реального прайса; проверить вручную</t>
        </is>
      </c>
    </row>
    <row r="147">
      <c r="A147" s="42" t="inlineStr">
        <is>
          <t>RWORK-0049</t>
        </is>
      </c>
      <c r="B147" s="42" t="inlineStr">
        <is>
          <t>Монтаж встроенных в настил светильников с устройством отверстий в облицовке</t>
        </is>
      </c>
      <c r="C147" s="42" t="inlineStr">
        <is>
          <t>Стандарт</t>
        </is>
      </c>
      <c r="D147" s="42" t="inlineStr">
        <is>
          <t>Да</t>
        </is>
      </c>
      <c r="E147" s="42" t="inlineStr">
        <is>
          <t>Стандарт</t>
        </is>
      </c>
      <c r="F147" s="42" t="n"/>
      <c r="G147" s="42" t="inlineStr">
        <is>
          <t>Монтаж встроенных в настил светильников с устройством отверстий в облицовке</t>
        </is>
      </c>
      <c r="H147" s="42" t="inlineStr">
        <is>
          <t>Показать строкой</t>
        </is>
      </c>
      <c r="I147" s="42" t="inlineStr">
        <is>
          <t>База</t>
        </is>
      </c>
      <c r="J147" s="42" t="inlineStr">
        <is>
          <t>Автогенерация из реального прайса; проверить вручную</t>
        </is>
      </c>
    </row>
    <row r="148">
      <c r="A148" s="41" t="inlineStr">
        <is>
          <t>RWORK-0049</t>
        </is>
      </c>
      <c r="B148" s="41" t="inlineStr">
        <is>
          <t>Монтаж встроенных в настил светильников с устройством отверстий в облицовке</t>
        </is>
      </c>
      <c r="C148" s="41" t="inlineStr">
        <is>
          <t>Премиум</t>
        </is>
      </c>
      <c r="D148" s="41" t="inlineStr">
        <is>
          <t>Да</t>
        </is>
      </c>
      <c r="E148" s="41" t="inlineStr">
        <is>
          <t>Стандарт</t>
        </is>
      </c>
      <c r="F148" s="41" t="n"/>
      <c r="G148" s="41" t="inlineStr">
        <is>
          <t>Монтаж встроенных в настил светильников с устройством отверстий в облицовке</t>
        </is>
      </c>
      <c r="H148" s="41" t="inlineStr">
        <is>
          <t>Показать строкой</t>
        </is>
      </c>
      <c r="I148" s="41" t="inlineStr">
        <is>
          <t>Детально</t>
        </is>
      </c>
      <c r="J148" s="41" t="inlineStr">
        <is>
          <t>Автогенерация из реального прайса; проверить вручную</t>
        </is>
      </c>
    </row>
    <row r="149">
      <c r="A149" s="42" t="inlineStr">
        <is>
          <t>RWORK-0050</t>
        </is>
      </c>
      <c r="B149" s="42" t="inlineStr">
        <is>
          <t>Монтаж грунтовых светильников</t>
        </is>
      </c>
      <c r="C149" s="42" t="inlineStr">
        <is>
          <t>Эконом</t>
        </is>
      </c>
      <c r="D149" s="42" t="inlineStr">
        <is>
          <t>Да</t>
        </is>
      </c>
      <c r="E149" s="42" t="inlineStr">
        <is>
          <t>Стандарт</t>
        </is>
      </c>
      <c r="F149" s="42" t="n"/>
      <c r="G149" s="42" t="inlineStr">
        <is>
          <t>Монтаж грунтовых светильников</t>
        </is>
      </c>
      <c r="H149" s="42" t="inlineStr">
        <is>
          <t>Свернуть в раздел</t>
        </is>
      </c>
      <c r="I149" s="42" t="inlineStr">
        <is>
          <t>Минимум</t>
        </is>
      </c>
      <c r="J149" s="42" t="inlineStr">
        <is>
          <t>Автогенерация из реального прайса; проверить вручную</t>
        </is>
      </c>
    </row>
    <row r="150">
      <c r="A150" s="41" t="inlineStr">
        <is>
          <t>RWORK-0050</t>
        </is>
      </c>
      <c r="B150" s="41" t="inlineStr">
        <is>
          <t>Монтаж грунтовых светильников</t>
        </is>
      </c>
      <c r="C150" s="41" t="inlineStr">
        <is>
          <t>Стандарт</t>
        </is>
      </c>
      <c r="D150" s="41" t="inlineStr">
        <is>
          <t>Да</t>
        </is>
      </c>
      <c r="E150" s="41" t="inlineStr">
        <is>
          <t>Стандарт</t>
        </is>
      </c>
      <c r="F150" s="41" t="n"/>
      <c r="G150" s="41" t="inlineStr">
        <is>
          <t>Монтаж грунтовых светильников</t>
        </is>
      </c>
      <c r="H150" s="41" t="inlineStr">
        <is>
          <t>Показать строкой</t>
        </is>
      </c>
      <c r="I150" s="41" t="inlineStr">
        <is>
          <t>База</t>
        </is>
      </c>
      <c r="J150" s="41" t="inlineStr">
        <is>
          <t>Автогенерация из реального прайса; проверить вручную</t>
        </is>
      </c>
    </row>
    <row r="151">
      <c r="A151" s="42" t="inlineStr">
        <is>
          <t>RWORK-0050</t>
        </is>
      </c>
      <c r="B151" s="42" t="inlineStr">
        <is>
          <t>Монтаж грунтовых светильников</t>
        </is>
      </c>
      <c r="C151" s="42" t="inlineStr">
        <is>
          <t>Премиум</t>
        </is>
      </c>
      <c r="D151" s="42" t="inlineStr">
        <is>
          <t>Да</t>
        </is>
      </c>
      <c r="E151" s="42" t="inlineStr">
        <is>
          <t>Стандарт</t>
        </is>
      </c>
      <c r="F151" s="42" t="n"/>
      <c r="G151" s="42" t="inlineStr">
        <is>
          <t>Монтаж грунтовых светильников</t>
        </is>
      </c>
      <c r="H151" s="42" t="inlineStr">
        <is>
          <t>Показать строкой</t>
        </is>
      </c>
      <c r="I151" s="42" t="inlineStr">
        <is>
          <t>Детально</t>
        </is>
      </c>
      <c r="J151" s="42" t="inlineStr">
        <is>
          <t>Автогенерация из реального прайса; проверить вручную</t>
        </is>
      </c>
    </row>
    <row r="152">
      <c r="A152" s="41" t="inlineStr">
        <is>
          <t>RWORK-0051</t>
        </is>
      </c>
      <c r="B152" s="41" t="inlineStr">
        <is>
          <t>Монтаж диодной ленты подсветки</t>
        </is>
      </c>
      <c r="C152" s="41" t="inlineStr">
        <is>
          <t>Эконом</t>
        </is>
      </c>
      <c r="D152" s="41" t="inlineStr">
        <is>
          <t>Да</t>
        </is>
      </c>
      <c r="E152" s="41" t="inlineStr">
        <is>
          <t>Стандарт</t>
        </is>
      </c>
      <c r="F152" s="41" t="n"/>
      <c r="G152" s="41" t="inlineStr">
        <is>
          <t>Монтаж диодной ленты подсветки</t>
        </is>
      </c>
      <c r="H152" s="41" t="inlineStr">
        <is>
          <t>Свернуть в раздел</t>
        </is>
      </c>
      <c r="I152" s="41" t="inlineStr">
        <is>
          <t>Минимум</t>
        </is>
      </c>
      <c r="J152" s="41" t="inlineStr">
        <is>
          <t>Автогенерация из реального прайса; проверить вручную</t>
        </is>
      </c>
    </row>
    <row r="153">
      <c r="A153" s="42" t="inlineStr">
        <is>
          <t>RWORK-0051</t>
        </is>
      </c>
      <c r="B153" s="42" t="inlineStr">
        <is>
          <t>Монтаж диодной ленты подсветки</t>
        </is>
      </c>
      <c r="C153" s="42" t="inlineStr">
        <is>
          <t>Стандарт</t>
        </is>
      </c>
      <c r="D153" s="42" t="inlineStr">
        <is>
          <t>Да</t>
        </is>
      </c>
      <c r="E153" s="42" t="inlineStr">
        <is>
          <t>Стандарт</t>
        </is>
      </c>
      <c r="F153" s="42" t="n"/>
      <c r="G153" s="42" t="inlineStr">
        <is>
          <t>Монтаж диодной ленты подсветки</t>
        </is>
      </c>
      <c r="H153" s="42" t="inlineStr">
        <is>
          <t>Показать строкой</t>
        </is>
      </c>
      <c r="I153" s="42" t="inlineStr">
        <is>
          <t>База</t>
        </is>
      </c>
      <c r="J153" s="42" t="inlineStr">
        <is>
          <t>Автогенерация из реального прайса; проверить вручную</t>
        </is>
      </c>
    </row>
    <row r="154">
      <c r="A154" s="41" t="inlineStr">
        <is>
          <t>RWORK-0051</t>
        </is>
      </c>
      <c r="B154" s="41" t="inlineStr">
        <is>
          <t>Монтаж диодной ленты подсветки</t>
        </is>
      </c>
      <c r="C154" s="41" t="inlineStr">
        <is>
          <t>Премиум</t>
        </is>
      </c>
      <c r="D154" s="41" t="inlineStr">
        <is>
          <t>Да</t>
        </is>
      </c>
      <c r="E154" s="41" t="inlineStr">
        <is>
          <t>Стандарт</t>
        </is>
      </c>
      <c r="F154" s="41" t="n"/>
      <c r="G154" s="41" t="inlineStr">
        <is>
          <t>Монтаж диодной ленты подсветки</t>
        </is>
      </c>
      <c r="H154" s="41" t="inlineStr">
        <is>
          <t>Показать строкой</t>
        </is>
      </c>
      <c r="I154" s="41" t="inlineStr">
        <is>
          <t>Детально</t>
        </is>
      </c>
      <c r="J154" s="41" t="inlineStr">
        <is>
          <t>Автогенерация из реального прайса; проверить вручную</t>
        </is>
      </c>
    </row>
    <row r="155">
      <c r="A155" s="42" t="inlineStr">
        <is>
          <t>RWORK-0052</t>
        </is>
      </c>
      <c r="B155" s="42" t="inlineStr">
        <is>
          <t>Монтаж дождеприемника</t>
        </is>
      </c>
      <c r="C155" s="42" t="inlineStr">
        <is>
          <t>Эконом</t>
        </is>
      </c>
      <c r="D155" s="42" t="inlineStr">
        <is>
          <t>Да</t>
        </is>
      </c>
      <c r="E155" s="42" t="inlineStr">
        <is>
          <t>Стандарт</t>
        </is>
      </c>
      <c r="F155" s="42" t="n"/>
      <c r="G155" s="42" t="inlineStr">
        <is>
          <t>Монтаж дождеприемника</t>
        </is>
      </c>
      <c r="H155" s="42" t="inlineStr">
        <is>
          <t>Свернуть в раздел</t>
        </is>
      </c>
      <c r="I155" s="42" t="inlineStr">
        <is>
          <t>Минимум</t>
        </is>
      </c>
      <c r="J155" s="42" t="inlineStr">
        <is>
          <t>Автогенерация из реального прайса; проверить вручную</t>
        </is>
      </c>
    </row>
    <row r="156">
      <c r="A156" s="41" t="inlineStr">
        <is>
          <t>RWORK-0052</t>
        </is>
      </c>
      <c r="B156" s="41" t="inlineStr">
        <is>
          <t>Монтаж дождеприемника</t>
        </is>
      </c>
      <c r="C156" s="41" t="inlineStr">
        <is>
          <t>Стандарт</t>
        </is>
      </c>
      <c r="D156" s="41" t="inlineStr">
        <is>
          <t>Да</t>
        </is>
      </c>
      <c r="E156" s="41" t="inlineStr">
        <is>
          <t>Стандарт</t>
        </is>
      </c>
      <c r="F156" s="41" t="n"/>
      <c r="G156" s="41" t="inlineStr">
        <is>
          <t>Монтаж дождеприемника</t>
        </is>
      </c>
      <c r="H156" s="41" t="inlineStr">
        <is>
          <t>Показать строкой</t>
        </is>
      </c>
      <c r="I156" s="41" t="inlineStr">
        <is>
          <t>База</t>
        </is>
      </c>
      <c r="J156" s="41" t="inlineStr">
        <is>
          <t>Автогенерация из реального прайса; проверить вручную</t>
        </is>
      </c>
    </row>
    <row r="157">
      <c r="A157" s="42" t="inlineStr">
        <is>
          <t>RWORK-0052</t>
        </is>
      </c>
      <c r="B157" s="42" t="inlineStr">
        <is>
          <t>Монтаж дождеприемника</t>
        </is>
      </c>
      <c r="C157" s="42" t="inlineStr">
        <is>
          <t>Премиум</t>
        </is>
      </c>
      <c r="D157" s="42" t="inlineStr">
        <is>
          <t>Да</t>
        </is>
      </c>
      <c r="E157" s="42" t="inlineStr">
        <is>
          <t>Стандарт</t>
        </is>
      </c>
      <c r="F157" s="42" t="n"/>
      <c r="G157" s="42" t="inlineStr">
        <is>
          <t>Монтаж дождеприемника</t>
        </is>
      </c>
      <c r="H157" s="42" t="inlineStr">
        <is>
          <t>Показать строкой</t>
        </is>
      </c>
      <c r="I157" s="42" t="inlineStr">
        <is>
          <t>Детально</t>
        </is>
      </c>
      <c r="J157" s="42" t="inlineStr">
        <is>
          <t>Автогенерация из реального прайса; проверить вручную</t>
        </is>
      </c>
    </row>
    <row r="158">
      <c r="A158" s="41" t="inlineStr">
        <is>
          <t>RWORK-0053</t>
        </is>
      </c>
      <c r="B158" s="41" t="inlineStr">
        <is>
          <t>Монтаж дождеприемников со встройкой в террасный настил</t>
        </is>
      </c>
      <c r="C158" s="41" t="inlineStr">
        <is>
          <t>Эконом</t>
        </is>
      </c>
      <c r="D158" s="41" t="inlineStr">
        <is>
          <t>Да</t>
        </is>
      </c>
      <c r="E158" s="41" t="inlineStr">
        <is>
          <t>Стандарт</t>
        </is>
      </c>
      <c r="F158" s="41" t="n"/>
      <c r="G158" s="41" t="inlineStr">
        <is>
          <t>Монтаж дождеприемников со встройкой в террасный настил</t>
        </is>
      </c>
      <c r="H158" s="41" t="inlineStr">
        <is>
          <t>Свернуть в раздел</t>
        </is>
      </c>
      <c r="I158" s="41" t="inlineStr">
        <is>
          <t>Минимум</t>
        </is>
      </c>
      <c r="J158" s="41" t="inlineStr">
        <is>
          <t>Автогенерация из реального прайса; проверить вручную</t>
        </is>
      </c>
    </row>
    <row r="159">
      <c r="A159" s="42" t="inlineStr">
        <is>
          <t>RWORK-0053</t>
        </is>
      </c>
      <c r="B159" s="42" t="inlineStr">
        <is>
          <t>Монтаж дождеприемников со встройкой в террасный настил</t>
        </is>
      </c>
      <c r="C159" s="42" t="inlineStr">
        <is>
          <t>Стандарт</t>
        </is>
      </c>
      <c r="D159" s="42" t="inlineStr">
        <is>
          <t>Да</t>
        </is>
      </c>
      <c r="E159" s="42" t="inlineStr">
        <is>
          <t>Стандарт</t>
        </is>
      </c>
      <c r="F159" s="42" t="n"/>
      <c r="G159" s="42" t="inlineStr">
        <is>
          <t>Монтаж дождеприемников со встройкой в террасный настил</t>
        </is>
      </c>
      <c r="H159" s="42" t="inlineStr">
        <is>
          <t>Показать строкой</t>
        </is>
      </c>
      <c r="I159" s="42" t="inlineStr">
        <is>
          <t>База</t>
        </is>
      </c>
      <c r="J159" s="42" t="inlineStr">
        <is>
          <t>Автогенерация из реального прайса; проверить вручную</t>
        </is>
      </c>
    </row>
    <row r="160">
      <c r="A160" s="41" t="inlineStr">
        <is>
          <t>RWORK-0053</t>
        </is>
      </c>
      <c r="B160" s="41" t="inlineStr">
        <is>
          <t>Монтаж дождеприемников со встройкой в террасный настил</t>
        </is>
      </c>
      <c r="C160" s="41" t="inlineStr">
        <is>
          <t>Премиум</t>
        </is>
      </c>
      <c r="D160" s="41" t="inlineStr">
        <is>
          <t>Да</t>
        </is>
      </c>
      <c r="E160" s="41" t="inlineStr">
        <is>
          <t>Стандарт</t>
        </is>
      </c>
      <c r="F160" s="41" t="n"/>
      <c r="G160" s="41" t="inlineStr">
        <is>
          <t>Монтаж дождеприемников со встройкой в террасный настил</t>
        </is>
      </c>
      <c r="H160" s="41" t="inlineStr">
        <is>
          <t>Показать строкой</t>
        </is>
      </c>
      <c r="I160" s="41" t="inlineStr">
        <is>
          <t>Детально</t>
        </is>
      </c>
      <c r="J160" s="41" t="inlineStr">
        <is>
          <t>Автогенерация из реального прайса; проверить вручную</t>
        </is>
      </c>
    </row>
    <row r="161">
      <c r="A161" s="42" t="inlineStr">
        <is>
          <t>RWORK-0054</t>
        </is>
      </c>
      <c r="B161" s="42" t="inlineStr">
        <is>
          <t>Монтаж доски</t>
        </is>
      </c>
      <c r="C161" s="42" t="inlineStr">
        <is>
          <t>Эконом</t>
        </is>
      </c>
      <c r="D161" s="42" t="inlineStr">
        <is>
          <t>Да</t>
        </is>
      </c>
      <c r="E161" s="42" t="inlineStr">
        <is>
          <t>Стандарт</t>
        </is>
      </c>
      <c r="F161" s="42" t="n"/>
      <c r="G161" s="42" t="inlineStr">
        <is>
          <t>Монтаж доски</t>
        </is>
      </c>
      <c r="H161" s="42" t="inlineStr">
        <is>
          <t>Свернуть в раздел</t>
        </is>
      </c>
      <c r="I161" s="42" t="inlineStr">
        <is>
          <t>Минимум</t>
        </is>
      </c>
      <c r="J161" s="42" t="inlineStr">
        <is>
          <t>Автогенерация из реального прайса; проверить вручную</t>
        </is>
      </c>
    </row>
    <row r="162">
      <c r="A162" s="41" t="inlineStr">
        <is>
          <t>RWORK-0054</t>
        </is>
      </c>
      <c r="B162" s="41" t="inlineStr">
        <is>
          <t>Монтаж доски</t>
        </is>
      </c>
      <c r="C162" s="41" t="inlineStr">
        <is>
          <t>Стандарт</t>
        </is>
      </c>
      <c r="D162" s="41" t="inlineStr">
        <is>
          <t>Да</t>
        </is>
      </c>
      <c r="E162" s="41" t="inlineStr">
        <is>
          <t>Стандарт</t>
        </is>
      </c>
      <c r="F162" s="41" t="n"/>
      <c r="G162" s="41" t="inlineStr">
        <is>
          <t>Монтаж доски</t>
        </is>
      </c>
      <c r="H162" s="41" t="inlineStr">
        <is>
          <t>Показать строкой</t>
        </is>
      </c>
      <c r="I162" s="41" t="inlineStr">
        <is>
          <t>База</t>
        </is>
      </c>
      <c r="J162" s="41" t="inlineStr">
        <is>
          <t>Автогенерация из реального прайса; проверить вручную</t>
        </is>
      </c>
    </row>
    <row r="163">
      <c r="A163" s="42" t="inlineStr">
        <is>
          <t>RWORK-0054</t>
        </is>
      </c>
      <c r="B163" s="42" t="inlineStr">
        <is>
          <t>Монтаж доски</t>
        </is>
      </c>
      <c r="C163" s="42" t="inlineStr">
        <is>
          <t>Премиум</t>
        </is>
      </c>
      <c r="D163" s="42" t="inlineStr">
        <is>
          <t>Да</t>
        </is>
      </c>
      <c r="E163" s="42" t="inlineStr">
        <is>
          <t>Стандарт</t>
        </is>
      </c>
      <c r="F163" s="42" t="n"/>
      <c r="G163" s="42" t="inlineStr">
        <is>
          <t>Монтаж доски</t>
        </is>
      </c>
      <c r="H163" s="42" t="inlineStr">
        <is>
          <t>Показать строкой</t>
        </is>
      </c>
      <c r="I163" s="42" t="inlineStr">
        <is>
          <t>Детально</t>
        </is>
      </c>
      <c r="J163" s="42" t="inlineStr">
        <is>
          <t>Автогенерация из реального прайса; проверить вручную</t>
        </is>
      </c>
    </row>
    <row r="164">
      <c r="A164" s="41" t="inlineStr">
        <is>
          <t>RWORK-0055</t>
        </is>
      </c>
      <c r="B164" s="41" t="inlineStr">
        <is>
          <t>Монтаж дренажного колодца h=1,7-2м</t>
        </is>
      </c>
      <c r="C164" s="41" t="inlineStr">
        <is>
          <t>Эконом</t>
        </is>
      </c>
      <c r="D164" s="41" t="inlineStr">
        <is>
          <t>Да</t>
        </is>
      </c>
      <c r="E164" s="41" t="inlineStr">
        <is>
          <t>Стандарт</t>
        </is>
      </c>
      <c r="F164" s="41" t="n"/>
      <c r="G164" s="41" t="inlineStr">
        <is>
          <t>Монтаж дренажного колодца h=1,7-2м</t>
        </is>
      </c>
      <c r="H164" s="41" t="inlineStr">
        <is>
          <t>Свернуть в раздел</t>
        </is>
      </c>
      <c r="I164" s="41" t="inlineStr">
        <is>
          <t>Минимум</t>
        </is>
      </c>
      <c r="J164" s="41" t="inlineStr">
        <is>
          <t>Автогенерация из реального прайса; проверить вручную</t>
        </is>
      </c>
    </row>
    <row r="165">
      <c r="A165" s="42" t="inlineStr">
        <is>
          <t>RWORK-0055</t>
        </is>
      </c>
      <c r="B165" s="42" t="inlineStr">
        <is>
          <t>Монтаж дренажного колодца h=1,7-2м</t>
        </is>
      </c>
      <c r="C165" s="42" t="inlineStr">
        <is>
          <t>Стандарт</t>
        </is>
      </c>
      <c r="D165" s="42" t="inlineStr">
        <is>
          <t>Да</t>
        </is>
      </c>
      <c r="E165" s="42" t="inlineStr">
        <is>
          <t>Стандарт</t>
        </is>
      </c>
      <c r="F165" s="42" t="n"/>
      <c r="G165" s="42" t="inlineStr">
        <is>
          <t>Монтаж дренажного колодца h=1,7-2м</t>
        </is>
      </c>
      <c r="H165" s="42" t="inlineStr">
        <is>
          <t>Показать строкой</t>
        </is>
      </c>
      <c r="I165" s="42" t="inlineStr">
        <is>
          <t>База</t>
        </is>
      </c>
      <c r="J165" s="42" t="inlineStr">
        <is>
          <t>Автогенерация из реального прайса; проверить вручную</t>
        </is>
      </c>
    </row>
    <row r="166">
      <c r="A166" s="41" t="inlineStr">
        <is>
          <t>RWORK-0055</t>
        </is>
      </c>
      <c r="B166" s="41" t="inlineStr">
        <is>
          <t>Монтаж дренажного колодца h=1,7-2м</t>
        </is>
      </c>
      <c r="C166" s="41" t="inlineStr">
        <is>
          <t>Премиум</t>
        </is>
      </c>
      <c r="D166" s="41" t="inlineStr">
        <is>
          <t>Да</t>
        </is>
      </c>
      <c r="E166" s="41" t="inlineStr">
        <is>
          <t>Стандарт</t>
        </is>
      </c>
      <c r="F166" s="41" t="n"/>
      <c r="G166" s="41" t="inlineStr">
        <is>
          <t>Монтаж дренажного колодца h=1,7-2м</t>
        </is>
      </c>
      <c r="H166" s="41" t="inlineStr">
        <is>
          <t>Показать строкой</t>
        </is>
      </c>
      <c r="I166" s="41" t="inlineStr">
        <is>
          <t>Детально</t>
        </is>
      </c>
      <c r="J166" s="41" t="inlineStr">
        <is>
          <t>Автогенерация из реального прайса; проверить вручную</t>
        </is>
      </c>
    </row>
    <row r="167">
      <c r="A167" s="42" t="inlineStr">
        <is>
          <t>RWORK-0056</t>
        </is>
      </c>
      <c r="B167" s="42" t="inlineStr">
        <is>
          <t>Монтаж дренажного колодца h=1-1,5м</t>
        </is>
      </c>
      <c r="C167" s="42" t="inlineStr">
        <is>
          <t>Эконом</t>
        </is>
      </c>
      <c r="D167" s="42" t="inlineStr">
        <is>
          <t>Да</t>
        </is>
      </c>
      <c r="E167" s="42" t="inlineStr">
        <is>
          <t>Стандарт</t>
        </is>
      </c>
      <c r="F167" s="42" t="n"/>
      <c r="G167" s="42" t="inlineStr">
        <is>
          <t>Монтаж дренажного колодца h=1-1,5м</t>
        </is>
      </c>
      <c r="H167" s="42" t="inlineStr">
        <is>
          <t>Свернуть в раздел</t>
        </is>
      </c>
      <c r="I167" s="42" t="inlineStr">
        <is>
          <t>Минимум</t>
        </is>
      </c>
      <c r="J167" s="42" t="inlineStr">
        <is>
          <t>Автогенерация из реального прайса; проверить вручную</t>
        </is>
      </c>
    </row>
    <row r="168">
      <c r="A168" s="41" t="inlineStr">
        <is>
          <t>RWORK-0056</t>
        </is>
      </c>
      <c r="B168" s="41" t="inlineStr">
        <is>
          <t>Монтаж дренажного колодца h=1-1,5м</t>
        </is>
      </c>
      <c r="C168" s="41" t="inlineStr">
        <is>
          <t>Стандарт</t>
        </is>
      </c>
      <c r="D168" s="41" t="inlineStr">
        <is>
          <t>Да</t>
        </is>
      </c>
      <c r="E168" s="41" t="inlineStr">
        <is>
          <t>Стандарт</t>
        </is>
      </c>
      <c r="F168" s="41" t="n"/>
      <c r="G168" s="41" t="inlineStr">
        <is>
          <t>Монтаж дренажного колодца h=1-1,5м</t>
        </is>
      </c>
      <c r="H168" s="41" t="inlineStr">
        <is>
          <t>Показать строкой</t>
        </is>
      </c>
      <c r="I168" s="41" t="inlineStr">
        <is>
          <t>База</t>
        </is>
      </c>
      <c r="J168" s="41" t="inlineStr">
        <is>
          <t>Автогенерация из реального прайса; проверить вручную</t>
        </is>
      </c>
    </row>
    <row r="169">
      <c r="A169" s="42" t="inlineStr">
        <is>
          <t>RWORK-0056</t>
        </is>
      </c>
      <c r="B169" s="42" t="inlineStr">
        <is>
          <t>Монтаж дренажного колодца h=1-1,5м</t>
        </is>
      </c>
      <c r="C169" s="42" t="inlineStr">
        <is>
          <t>Премиум</t>
        </is>
      </c>
      <c r="D169" s="42" t="inlineStr">
        <is>
          <t>Да</t>
        </is>
      </c>
      <c r="E169" s="42" t="inlineStr">
        <is>
          <t>Стандарт</t>
        </is>
      </c>
      <c r="F169" s="42" t="n"/>
      <c r="G169" s="42" t="inlineStr">
        <is>
          <t>Монтаж дренажного колодца h=1-1,5м</t>
        </is>
      </c>
      <c r="H169" s="42" t="inlineStr">
        <is>
          <t>Показать строкой</t>
        </is>
      </c>
      <c r="I169" s="42" t="inlineStr">
        <is>
          <t>Детально</t>
        </is>
      </c>
      <c r="J169" s="42" t="inlineStr">
        <is>
          <t>Автогенерация из реального прайса; проверить вручную</t>
        </is>
      </c>
    </row>
    <row r="170">
      <c r="A170" s="41" t="inlineStr">
        <is>
          <t>RWORK-0057</t>
        </is>
      </c>
      <c r="B170" s="41" t="inlineStr">
        <is>
          <t>Монтаж и сборка щита</t>
        </is>
      </c>
      <c r="C170" s="41" t="inlineStr">
        <is>
          <t>Эконом</t>
        </is>
      </c>
      <c r="D170" s="41" t="inlineStr">
        <is>
          <t>Да</t>
        </is>
      </c>
      <c r="E170" s="41" t="inlineStr">
        <is>
          <t>Стандарт</t>
        </is>
      </c>
      <c r="F170" s="41" t="n"/>
      <c r="G170" s="41" t="inlineStr">
        <is>
          <t>Монтаж и сборка щита</t>
        </is>
      </c>
      <c r="H170" s="41" t="inlineStr">
        <is>
          <t>Свернуть в раздел</t>
        </is>
      </c>
      <c r="I170" s="41" t="inlineStr">
        <is>
          <t>Минимум</t>
        </is>
      </c>
      <c r="J170" s="41" t="inlineStr">
        <is>
          <t>Автогенерация из реального прайса; проверить вручную</t>
        </is>
      </c>
    </row>
    <row r="171">
      <c r="A171" s="42" t="inlineStr">
        <is>
          <t>RWORK-0057</t>
        </is>
      </c>
      <c r="B171" s="42" t="inlineStr">
        <is>
          <t>Монтаж и сборка щита</t>
        </is>
      </c>
      <c r="C171" s="42" t="inlineStr">
        <is>
          <t>Стандарт</t>
        </is>
      </c>
      <c r="D171" s="42" t="inlineStr">
        <is>
          <t>Да</t>
        </is>
      </c>
      <c r="E171" s="42" t="inlineStr">
        <is>
          <t>Стандарт</t>
        </is>
      </c>
      <c r="F171" s="42" t="n"/>
      <c r="G171" s="42" t="inlineStr">
        <is>
          <t>Монтаж и сборка щита</t>
        </is>
      </c>
      <c r="H171" s="42" t="inlineStr">
        <is>
          <t>Показать строкой</t>
        </is>
      </c>
      <c r="I171" s="42" t="inlineStr">
        <is>
          <t>База</t>
        </is>
      </c>
      <c r="J171" s="42" t="inlineStr">
        <is>
          <t>Автогенерация из реального прайса; проверить вручную</t>
        </is>
      </c>
    </row>
    <row r="172">
      <c r="A172" s="41" t="inlineStr">
        <is>
          <t>RWORK-0057</t>
        </is>
      </c>
      <c r="B172" s="41" t="inlineStr">
        <is>
          <t>Монтаж и сборка щита</t>
        </is>
      </c>
      <c r="C172" s="41" t="inlineStr">
        <is>
          <t>Премиум</t>
        </is>
      </c>
      <c r="D172" s="41" t="inlineStr">
        <is>
          <t>Да</t>
        </is>
      </c>
      <c r="E172" s="41" t="inlineStr">
        <is>
          <t>Стандарт</t>
        </is>
      </c>
      <c r="F172" s="41" t="n"/>
      <c r="G172" s="41" t="inlineStr">
        <is>
          <t>Монтаж и сборка щита</t>
        </is>
      </c>
      <c r="H172" s="41" t="inlineStr">
        <is>
          <t>Показать строкой</t>
        </is>
      </c>
      <c r="I172" s="41" t="inlineStr">
        <is>
          <t>Детально</t>
        </is>
      </c>
      <c r="J172" s="41" t="inlineStr">
        <is>
          <t>Автогенерация из реального прайса; проверить вручную</t>
        </is>
      </c>
    </row>
    <row r="173">
      <c r="A173" s="42" t="inlineStr">
        <is>
          <t>RWORK-0058</t>
        </is>
      </c>
      <c r="B173" s="42" t="inlineStr">
        <is>
          <t>Монтаж каркаса на бетонную стенку</t>
        </is>
      </c>
      <c r="C173" s="42" t="inlineStr">
        <is>
          <t>Эконом</t>
        </is>
      </c>
      <c r="D173" s="42" t="inlineStr">
        <is>
          <t>Да</t>
        </is>
      </c>
      <c r="E173" s="42" t="inlineStr">
        <is>
          <t>Стандарт</t>
        </is>
      </c>
      <c r="F173" s="42" t="n"/>
      <c r="G173" s="42" t="inlineStr">
        <is>
          <t>Монтаж каркаса на бетонную стенку</t>
        </is>
      </c>
      <c r="H173" s="42" t="inlineStr">
        <is>
          <t>Свернуть в раздел</t>
        </is>
      </c>
      <c r="I173" s="42" t="inlineStr">
        <is>
          <t>Минимум</t>
        </is>
      </c>
      <c r="J173" s="42" t="inlineStr">
        <is>
          <t>Автогенерация из реального прайса; проверить вручную</t>
        </is>
      </c>
    </row>
    <row r="174">
      <c r="A174" s="41" t="inlineStr">
        <is>
          <t>RWORK-0058</t>
        </is>
      </c>
      <c r="B174" s="41" t="inlineStr">
        <is>
          <t>Монтаж каркаса на бетонную стенку</t>
        </is>
      </c>
      <c r="C174" s="41" t="inlineStr">
        <is>
          <t>Стандарт</t>
        </is>
      </c>
      <c r="D174" s="41" t="inlineStr">
        <is>
          <t>Да</t>
        </is>
      </c>
      <c r="E174" s="41" t="inlineStr">
        <is>
          <t>Стандарт</t>
        </is>
      </c>
      <c r="F174" s="41" t="n"/>
      <c r="G174" s="41" t="inlineStr">
        <is>
          <t>Монтаж каркаса на бетонную стенку</t>
        </is>
      </c>
      <c r="H174" s="41" t="inlineStr">
        <is>
          <t>Показать строкой</t>
        </is>
      </c>
      <c r="I174" s="41" t="inlineStr">
        <is>
          <t>База</t>
        </is>
      </c>
      <c r="J174" s="41" t="inlineStr">
        <is>
          <t>Автогенерация из реального прайса; проверить вручную</t>
        </is>
      </c>
    </row>
    <row r="175">
      <c r="A175" s="42" t="inlineStr">
        <is>
          <t>RWORK-0058</t>
        </is>
      </c>
      <c r="B175" s="42" t="inlineStr">
        <is>
          <t>Монтаж каркаса на бетонную стенку</t>
        </is>
      </c>
      <c r="C175" s="42" t="inlineStr">
        <is>
          <t>Премиум</t>
        </is>
      </c>
      <c r="D175" s="42" t="inlineStr">
        <is>
          <t>Да</t>
        </is>
      </c>
      <c r="E175" s="42" t="inlineStr">
        <is>
          <t>Стандарт</t>
        </is>
      </c>
      <c r="F175" s="42" t="n"/>
      <c r="G175" s="42" t="inlineStr">
        <is>
          <t>Монтаж каркаса на бетонную стенку</t>
        </is>
      </c>
      <c r="H175" s="42" t="inlineStr">
        <is>
          <t>Показать строкой</t>
        </is>
      </c>
      <c r="I175" s="42" t="inlineStr">
        <is>
          <t>Детально</t>
        </is>
      </c>
      <c r="J175" s="42" t="inlineStr">
        <is>
          <t>Автогенерация из реального прайса; проверить вручную</t>
        </is>
      </c>
    </row>
    <row r="176">
      <c r="A176" s="41" t="inlineStr">
        <is>
          <t>RWORK-0059</t>
        </is>
      </c>
      <c r="B176" s="41" t="inlineStr">
        <is>
          <t>Монтаж колодцев инспекционных d315мм</t>
        </is>
      </c>
      <c r="C176" s="41" t="inlineStr">
        <is>
          <t>Эконом</t>
        </is>
      </c>
      <c r="D176" s="41" t="inlineStr">
        <is>
          <t>Да</t>
        </is>
      </c>
      <c r="E176" s="41" t="inlineStr">
        <is>
          <t>Стандарт</t>
        </is>
      </c>
      <c r="F176" s="41" t="n"/>
      <c r="G176" s="41" t="inlineStr">
        <is>
          <t>Монтаж колодцев инспекционных d315мм</t>
        </is>
      </c>
      <c r="H176" s="41" t="inlineStr">
        <is>
          <t>Свернуть в раздел</t>
        </is>
      </c>
      <c r="I176" s="41" t="inlineStr">
        <is>
          <t>Минимум</t>
        </is>
      </c>
      <c r="J176" s="41" t="inlineStr">
        <is>
          <t>Автогенерация из реального прайса; проверить вручную</t>
        </is>
      </c>
    </row>
    <row r="177">
      <c r="A177" s="42" t="inlineStr">
        <is>
          <t>RWORK-0059</t>
        </is>
      </c>
      <c r="B177" s="42" t="inlineStr">
        <is>
          <t>Монтаж колодцев инспекционных d315мм</t>
        </is>
      </c>
      <c r="C177" s="42" t="inlineStr">
        <is>
          <t>Стандарт</t>
        </is>
      </c>
      <c r="D177" s="42" t="inlineStr">
        <is>
          <t>Да</t>
        </is>
      </c>
      <c r="E177" s="42" t="inlineStr">
        <is>
          <t>Стандарт</t>
        </is>
      </c>
      <c r="F177" s="42" t="n"/>
      <c r="G177" s="42" t="inlineStr">
        <is>
          <t>Монтаж колодцев инспекционных d315мм</t>
        </is>
      </c>
      <c r="H177" s="42" t="inlineStr">
        <is>
          <t>Показать строкой</t>
        </is>
      </c>
      <c r="I177" s="42" t="inlineStr">
        <is>
          <t>База</t>
        </is>
      </c>
      <c r="J177" s="42" t="inlineStr">
        <is>
          <t>Автогенерация из реального прайса; проверить вручную</t>
        </is>
      </c>
    </row>
    <row r="178">
      <c r="A178" s="41" t="inlineStr">
        <is>
          <t>RWORK-0059</t>
        </is>
      </c>
      <c r="B178" s="41" t="inlineStr">
        <is>
          <t>Монтаж колодцев инспекционных d315мм</t>
        </is>
      </c>
      <c r="C178" s="41" t="inlineStr">
        <is>
          <t>Премиум</t>
        </is>
      </c>
      <c r="D178" s="41" t="inlineStr">
        <is>
          <t>Да</t>
        </is>
      </c>
      <c r="E178" s="41" t="inlineStr">
        <is>
          <t>Стандарт</t>
        </is>
      </c>
      <c r="F178" s="41" t="n"/>
      <c r="G178" s="41" t="inlineStr">
        <is>
          <t>Монтаж колодцев инспекционных d315мм</t>
        </is>
      </c>
      <c r="H178" s="41" t="inlineStr">
        <is>
          <t>Показать строкой</t>
        </is>
      </c>
      <c r="I178" s="41" t="inlineStr">
        <is>
          <t>Детально</t>
        </is>
      </c>
      <c r="J178" s="41" t="inlineStr">
        <is>
          <t>Автогенерация из реального прайса; проверить вручную</t>
        </is>
      </c>
    </row>
    <row r="179">
      <c r="A179" s="42" t="inlineStr">
        <is>
          <t>RWORK-0060</t>
        </is>
      </c>
      <c r="B179" s="42" t="inlineStr">
        <is>
          <t>Монтаж лотков дождеприемных с решетками и отводами к ливневой канализации на раствор</t>
        </is>
      </c>
      <c r="C179" s="42" t="inlineStr">
        <is>
          <t>Эконом</t>
        </is>
      </c>
      <c r="D179" s="42" t="inlineStr">
        <is>
          <t>Да</t>
        </is>
      </c>
      <c r="E179" s="42" t="inlineStr">
        <is>
          <t>Стандарт</t>
        </is>
      </c>
      <c r="F179" s="42" t="n"/>
      <c r="G179" s="42" t="inlineStr">
        <is>
          <t>Монтаж лотков дождеприемных с решетками и отводами к ливневой канализации на раствор</t>
        </is>
      </c>
      <c r="H179" s="42" t="inlineStr">
        <is>
          <t>Свернуть в раздел</t>
        </is>
      </c>
      <c r="I179" s="42" t="inlineStr">
        <is>
          <t>Минимум</t>
        </is>
      </c>
      <c r="J179" s="42" t="inlineStr">
        <is>
          <t>Автогенерация из реального прайса; проверить вручную</t>
        </is>
      </c>
    </row>
    <row r="180">
      <c r="A180" s="41" t="inlineStr">
        <is>
          <t>RWORK-0060</t>
        </is>
      </c>
      <c r="B180" s="41" t="inlineStr">
        <is>
          <t>Монтаж лотков дождеприемных с решетками и отводами к ливневой канализации на раствор</t>
        </is>
      </c>
      <c r="C180" s="41" t="inlineStr">
        <is>
          <t>Стандарт</t>
        </is>
      </c>
      <c r="D180" s="41" t="inlineStr">
        <is>
          <t>Да</t>
        </is>
      </c>
      <c r="E180" s="41" t="inlineStr">
        <is>
          <t>Стандарт</t>
        </is>
      </c>
      <c r="F180" s="41" t="n"/>
      <c r="G180" s="41" t="inlineStr">
        <is>
          <t>Монтаж лотков дождеприемных с решетками и отводами к ливневой канализации на раствор</t>
        </is>
      </c>
      <c r="H180" s="41" t="inlineStr">
        <is>
          <t>Показать строкой</t>
        </is>
      </c>
      <c r="I180" s="41" t="inlineStr">
        <is>
          <t>База</t>
        </is>
      </c>
      <c r="J180" s="41" t="inlineStr">
        <is>
          <t>Автогенерация из реального прайса; проверить вручную</t>
        </is>
      </c>
    </row>
    <row r="181">
      <c r="A181" s="42" t="inlineStr">
        <is>
          <t>RWORK-0060</t>
        </is>
      </c>
      <c r="B181" s="42" t="inlineStr">
        <is>
          <t>Монтаж лотков дождеприемных с решетками и отводами к ливневой канализации на раствор</t>
        </is>
      </c>
      <c r="C181" s="42" t="inlineStr">
        <is>
          <t>Премиум</t>
        </is>
      </c>
      <c r="D181" s="42" t="inlineStr">
        <is>
          <t>Да</t>
        </is>
      </c>
      <c r="E181" s="42" t="inlineStr">
        <is>
          <t>Стандарт</t>
        </is>
      </c>
      <c r="F181" s="42" t="n"/>
      <c r="G181" s="42" t="inlineStr">
        <is>
          <t>Монтаж лотков дождеприемных с решетками и отводами к ливневой канализации на раствор</t>
        </is>
      </c>
      <c r="H181" s="42" t="inlineStr">
        <is>
          <t>Показать строкой</t>
        </is>
      </c>
      <c r="I181" s="42" t="inlineStr">
        <is>
          <t>Детально</t>
        </is>
      </c>
      <c r="J181" s="42" t="inlineStr">
        <is>
          <t>Автогенерация из реального прайса; проверить вручную</t>
        </is>
      </c>
    </row>
    <row r="182">
      <c r="A182" s="41" t="inlineStr">
        <is>
          <t>RWORK-0061</t>
        </is>
      </c>
      <c r="B182" s="41" t="inlineStr">
        <is>
          <t>Монтаж пескоуловителей на раствор</t>
        </is>
      </c>
      <c r="C182" s="41" t="inlineStr">
        <is>
          <t>Эконом</t>
        </is>
      </c>
      <c r="D182" s="41" t="inlineStr">
        <is>
          <t>Да</t>
        </is>
      </c>
      <c r="E182" s="41" t="inlineStr">
        <is>
          <t>Стандарт</t>
        </is>
      </c>
      <c r="F182" s="41" t="n"/>
      <c r="G182" s="41" t="inlineStr">
        <is>
          <t>Монтаж пескоуловителей на раствор</t>
        </is>
      </c>
      <c r="H182" s="41" t="inlineStr">
        <is>
          <t>Свернуть в раздел</t>
        </is>
      </c>
      <c r="I182" s="41" t="inlineStr">
        <is>
          <t>Минимум</t>
        </is>
      </c>
      <c r="J182" s="41" t="inlineStr">
        <is>
          <t>Автогенерация из реального прайса; проверить вручную</t>
        </is>
      </c>
    </row>
    <row r="183">
      <c r="A183" s="42" t="inlineStr">
        <is>
          <t>RWORK-0061</t>
        </is>
      </c>
      <c r="B183" s="42" t="inlineStr">
        <is>
          <t>Монтаж пескоуловителей на раствор</t>
        </is>
      </c>
      <c r="C183" s="42" t="inlineStr">
        <is>
          <t>Стандарт</t>
        </is>
      </c>
      <c r="D183" s="42" t="inlineStr">
        <is>
          <t>Да</t>
        </is>
      </c>
      <c r="E183" s="42" t="inlineStr">
        <is>
          <t>Стандарт</t>
        </is>
      </c>
      <c r="F183" s="42" t="n"/>
      <c r="G183" s="42" t="inlineStr">
        <is>
          <t>Монтаж пескоуловителей на раствор</t>
        </is>
      </c>
      <c r="H183" s="42" t="inlineStr">
        <is>
          <t>Показать строкой</t>
        </is>
      </c>
      <c r="I183" s="42" t="inlineStr">
        <is>
          <t>База</t>
        </is>
      </c>
      <c r="J183" s="42" t="inlineStr">
        <is>
          <t>Автогенерация из реального прайса; проверить вручную</t>
        </is>
      </c>
    </row>
    <row r="184">
      <c r="A184" s="41" t="inlineStr">
        <is>
          <t>RWORK-0061</t>
        </is>
      </c>
      <c r="B184" s="41" t="inlineStr">
        <is>
          <t>Монтаж пескоуловителей на раствор</t>
        </is>
      </c>
      <c r="C184" s="41" t="inlineStr">
        <is>
          <t>Премиум</t>
        </is>
      </c>
      <c r="D184" s="41" t="inlineStr">
        <is>
          <t>Да</t>
        </is>
      </c>
      <c r="E184" s="41" t="inlineStr">
        <is>
          <t>Стандарт</t>
        </is>
      </c>
      <c r="F184" s="41" t="n"/>
      <c r="G184" s="41" t="inlineStr">
        <is>
          <t>Монтаж пескоуловителей на раствор</t>
        </is>
      </c>
      <c r="H184" s="41" t="inlineStr">
        <is>
          <t>Показать строкой</t>
        </is>
      </c>
      <c r="I184" s="41" t="inlineStr">
        <is>
          <t>Детально</t>
        </is>
      </c>
      <c r="J184" s="41" t="inlineStr">
        <is>
          <t>Автогенерация из реального прайса; проверить вручную</t>
        </is>
      </c>
    </row>
    <row r="185">
      <c r="A185" s="42" t="inlineStr">
        <is>
          <t>RWORK-0062</t>
        </is>
      </c>
      <c r="B185" s="42" t="inlineStr">
        <is>
          <t>Монтаж светильников накладных на столбы - въездная зона</t>
        </is>
      </c>
      <c r="C185" s="42" t="inlineStr">
        <is>
          <t>Эконом</t>
        </is>
      </c>
      <c r="D185" s="42" t="inlineStr">
        <is>
          <t>Да</t>
        </is>
      </c>
      <c r="E185" s="42" t="inlineStr">
        <is>
          <t>Стандарт</t>
        </is>
      </c>
      <c r="F185" s="42" t="n"/>
      <c r="G185" s="42" t="inlineStr">
        <is>
          <t>Монтаж светильников накладных на столбы - въездная зона</t>
        </is>
      </c>
      <c r="H185" s="42" t="inlineStr">
        <is>
          <t>Свернуть в раздел</t>
        </is>
      </c>
      <c r="I185" s="42" t="inlineStr">
        <is>
          <t>Минимум</t>
        </is>
      </c>
      <c r="J185" s="42" t="inlineStr">
        <is>
          <t>Автогенерация из реального прайса; проверить вручную</t>
        </is>
      </c>
    </row>
    <row r="186">
      <c r="A186" s="41" t="inlineStr">
        <is>
          <t>RWORK-0062</t>
        </is>
      </c>
      <c r="B186" s="41" t="inlineStr">
        <is>
          <t>Монтаж светильников накладных на столбы - въездная зона</t>
        </is>
      </c>
      <c r="C186" s="41" t="inlineStr">
        <is>
          <t>Стандарт</t>
        </is>
      </c>
      <c r="D186" s="41" t="inlineStr">
        <is>
          <t>Да</t>
        </is>
      </c>
      <c r="E186" s="41" t="inlineStr">
        <is>
          <t>Стандарт</t>
        </is>
      </c>
      <c r="F186" s="41" t="n"/>
      <c r="G186" s="41" t="inlineStr">
        <is>
          <t>Монтаж светильников накладных на столбы - въездная зона</t>
        </is>
      </c>
      <c r="H186" s="41" t="inlineStr">
        <is>
          <t>Показать строкой</t>
        </is>
      </c>
      <c r="I186" s="41" t="inlineStr">
        <is>
          <t>База</t>
        </is>
      </c>
      <c r="J186" s="41" t="inlineStr">
        <is>
          <t>Автогенерация из реального прайса; проверить вручную</t>
        </is>
      </c>
    </row>
    <row r="187">
      <c r="A187" s="42" t="inlineStr">
        <is>
          <t>RWORK-0062</t>
        </is>
      </c>
      <c r="B187" s="42" t="inlineStr">
        <is>
          <t>Монтаж светильников накладных на столбы - въездная зона</t>
        </is>
      </c>
      <c r="C187" s="42" t="inlineStr">
        <is>
          <t>Премиум</t>
        </is>
      </c>
      <c r="D187" s="42" t="inlineStr">
        <is>
          <t>Да</t>
        </is>
      </c>
      <c r="E187" s="42" t="inlineStr">
        <is>
          <t>Стандарт</t>
        </is>
      </c>
      <c r="F187" s="42" t="n"/>
      <c r="G187" s="42" t="inlineStr">
        <is>
          <t>Монтаж светильников накладных на столбы - въездная зона</t>
        </is>
      </c>
      <c r="H187" s="42" t="inlineStr">
        <is>
          <t>Показать строкой</t>
        </is>
      </c>
      <c r="I187" s="42" t="inlineStr">
        <is>
          <t>Детально</t>
        </is>
      </c>
      <c r="J187" s="42" t="inlineStr">
        <is>
          <t>Автогенерация из реального прайса; проверить вручную</t>
        </is>
      </c>
    </row>
    <row r="188">
      <c r="A188" s="41" t="inlineStr">
        <is>
          <t>RWORK-0063</t>
        </is>
      </c>
      <c r="B188" s="41" t="inlineStr">
        <is>
          <t>Монтаж светильников столбиков, розеток</t>
        </is>
      </c>
      <c r="C188" s="41" t="inlineStr">
        <is>
          <t>Эконом</t>
        </is>
      </c>
      <c r="D188" s="41" t="inlineStr">
        <is>
          <t>Да</t>
        </is>
      </c>
      <c r="E188" s="41" t="inlineStr">
        <is>
          <t>Стандарт</t>
        </is>
      </c>
      <c r="F188" s="41" t="n"/>
      <c r="G188" s="41" t="inlineStr">
        <is>
          <t>Монтаж светильников столбиков, розеток</t>
        </is>
      </c>
      <c r="H188" s="41" t="inlineStr">
        <is>
          <t>Свернуть в раздел</t>
        </is>
      </c>
      <c r="I188" s="41" t="inlineStr">
        <is>
          <t>Минимум</t>
        </is>
      </c>
      <c r="J188" s="41" t="inlineStr">
        <is>
          <t>Автогенерация из реального прайса; проверить вручную</t>
        </is>
      </c>
    </row>
    <row r="189">
      <c r="A189" s="42" t="inlineStr">
        <is>
          <t>RWORK-0063</t>
        </is>
      </c>
      <c r="B189" s="42" t="inlineStr">
        <is>
          <t>Монтаж светильников столбиков, розеток</t>
        </is>
      </c>
      <c r="C189" s="42" t="inlineStr">
        <is>
          <t>Стандарт</t>
        </is>
      </c>
      <c r="D189" s="42" t="inlineStr">
        <is>
          <t>Да</t>
        </is>
      </c>
      <c r="E189" s="42" t="inlineStr">
        <is>
          <t>Стандарт</t>
        </is>
      </c>
      <c r="F189" s="42" t="n"/>
      <c r="G189" s="42" t="inlineStr">
        <is>
          <t>Монтаж светильников столбиков, розеток</t>
        </is>
      </c>
      <c r="H189" s="42" t="inlineStr">
        <is>
          <t>Показать строкой</t>
        </is>
      </c>
      <c r="I189" s="42" t="inlineStr">
        <is>
          <t>База</t>
        </is>
      </c>
      <c r="J189" s="42" t="inlineStr">
        <is>
          <t>Автогенерация из реального прайса; проверить вручную</t>
        </is>
      </c>
    </row>
    <row r="190">
      <c r="A190" s="41" t="inlineStr">
        <is>
          <t>RWORK-0063</t>
        </is>
      </c>
      <c r="B190" s="41" t="inlineStr">
        <is>
          <t>Монтаж светильников столбиков, розеток</t>
        </is>
      </c>
      <c r="C190" s="41" t="inlineStr">
        <is>
          <t>Премиум</t>
        </is>
      </c>
      <c r="D190" s="41" t="inlineStr">
        <is>
          <t>Да</t>
        </is>
      </c>
      <c r="E190" s="41" t="inlineStr">
        <is>
          <t>Стандарт</t>
        </is>
      </c>
      <c r="F190" s="41" t="n"/>
      <c r="G190" s="41" t="inlineStr">
        <is>
          <t>Монтаж светильников столбиков, розеток</t>
        </is>
      </c>
      <c r="H190" s="41" t="inlineStr">
        <is>
          <t>Показать строкой</t>
        </is>
      </c>
      <c r="I190" s="41" t="inlineStr">
        <is>
          <t>Детально</t>
        </is>
      </c>
      <c r="J190" s="41" t="inlineStr">
        <is>
          <t>Автогенерация из реального прайса; проверить вручную</t>
        </is>
      </c>
    </row>
    <row r="191">
      <c r="A191" s="42" t="inlineStr">
        <is>
          <t>RWORK-0064</t>
        </is>
      </c>
      <c r="B191" s="42" t="inlineStr">
        <is>
          <t>Монтаж/демонтаж опалубки</t>
        </is>
      </c>
      <c r="C191" s="42" t="inlineStr">
        <is>
          <t>Эконом</t>
        </is>
      </c>
      <c r="D191" s="42" t="inlineStr">
        <is>
          <t>Да</t>
        </is>
      </c>
      <c r="E191" s="42" t="inlineStr">
        <is>
          <t>Стандарт</t>
        </is>
      </c>
      <c r="F191" s="42" t="n"/>
      <c r="G191" s="42" t="inlineStr">
        <is>
          <t>Монтаж/демонтаж опалубки</t>
        </is>
      </c>
      <c r="H191" s="42" t="inlineStr">
        <is>
          <t>Свернуть в раздел</t>
        </is>
      </c>
      <c r="I191" s="42" t="inlineStr">
        <is>
          <t>Минимум</t>
        </is>
      </c>
      <c r="J191" s="42" t="inlineStr">
        <is>
          <t>Автогенерация из реального прайса; проверить вручную</t>
        </is>
      </c>
    </row>
    <row r="192">
      <c r="A192" s="41" t="inlineStr">
        <is>
          <t>RWORK-0064</t>
        </is>
      </c>
      <c r="B192" s="41" t="inlineStr">
        <is>
          <t>Монтаж/демонтаж опалубки</t>
        </is>
      </c>
      <c r="C192" s="41" t="inlineStr">
        <is>
          <t>Стандарт</t>
        </is>
      </c>
      <c r="D192" s="41" t="inlineStr">
        <is>
          <t>Да</t>
        </is>
      </c>
      <c r="E192" s="41" t="inlineStr">
        <is>
          <t>Стандарт</t>
        </is>
      </c>
      <c r="F192" s="41" t="n"/>
      <c r="G192" s="41" t="inlineStr">
        <is>
          <t>Монтаж/демонтаж опалубки</t>
        </is>
      </c>
      <c r="H192" s="41" t="inlineStr">
        <is>
          <t>Показать строкой</t>
        </is>
      </c>
      <c r="I192" s="41" t="inlineStr">
        <is>
          <t>База</t>
        </is>
      </c>
      <c r="J192" s="41" t="inlineStr">
        <is>
          <t>Автогенерация из реального прайса; проверить вручную</t>
        </is>
      </c>
    </row>
    <row r="193">
      <c r="A193" s="42" t="inlineStr">
        <is>
          <t>RWORK-0064</t>
        </is>
      </c>
      <c r="B193" s="42" t="inlineStr">
        <is>
          <t>Монтаж/демонтаж опалубки</t>
        </is>
      </c>
      <c r="C193" s="42" t="inlineStr">
        <is>
          <t>Премиум</t>
        </is>
      </c>
      <c r="D193" s="42" t="inlineStr">
        <is>
          <t>Да</t>
        </is>
      </c>
      <c r="E193" s="42" t="inlineStr">
        <is>
          <t>Стандарт</t>
        </is>
      </c>
      <c r="F193" s="42" t="n"/>
      <c r="G193" s="42" t="inlineStr">
        <is>
          <t>Монтаж/демонтаж опалубки</t>
        </is>
      </c>
      <c r="H193" s="42" t="inlineStr">
        <is>
          <t>Показать строкой</t>
        </is>
      </c>
      <c r="I193" s="42" t="inlineStr">
        <is>
          <t>Детально</t>
        </is>
      </c>
      <c r="J193" s="42" t="inlineStr">
        <is>
          <t>Автогенерация из реального прайса; проверить вручную</t>
        </is>
      </c>
    </row>
    <row r="194">
      <c r="A194" s="41" t="inlineStr">
        <is>
          <t>RWORK-0065</t>
        </is>
      </c>
      <c r="B194" s="41" t="inlineStr">
        <is>
          <t>Монтаж/демонтаж опалубки</t>
        </is>
      </c>
      <c r="C194" s="41" t="inlineStr">
        <is>
          <t>Эконом</t>
        </is>
      </c>
      <c r="D194" s="41" t="inlineStr">
        <is>
          <t>Да</t>
        </is>
      </c>
      <c r="E194" s="41" t="inlineStr">
        <is>
          <t>Стандарт</t>
        </is>
      </c>
      <c r="F194" s="41" t="n"/>
      <c r="G194" s="41" t="inlineStr">
        <is>
          <t>Монтаж/демонтаж опалубки</t>
        </is>
      </c>
      <c r="H194" s="41" t="inlineStr">
        <is>
          <t>Свернуть в раздел</t>
        </is>
      </c>
      <c r="I194" s="41" t="inlineStr">
        <is>
          <t>Минимум</t>
        </is>
      </c>
      <c r="J194" s="41" t="inlineStr">
        <is>
          <t>Автогенерация из реального прайса; проверить вручную</t>
        </is>
      </c>
    </row>
    <row r="195">
      <c r="A195" s="42" t="inlineStr">
        <is>
          <t>RWORK-0065</t>
        </is>
      </c>
      <c r="B195" s="42" t="inlineStr">
        <is>
          <t>Монтаж/демонтаж опалубки</t>
        </is>
      </c>
      <c r="C195" s="42" t="inlineStr">
        <is>
          <t>Стандарт</t>
        </is>
      </c>
      <c r="D195" s="42" t="inlineStr">
        <is>
          <t>Да</t>
        </is>
      </c>
      <c r="E195" s="42" t="inlineStr">
        <is>
          <t>Стандарт</t>
        </is>
      </c>
      <c r="F195" s="42" t="n"/>
      <c r="G195" s="42" t="inlineStr">
        <is>
          <t>Монтаж/демонтаж опалубки</t>
        </is>
      </c>
      <c r="H195" s="42" t="inlineStr">
        <is>
          <t>Показать строкой</t>
        </is>
      </c>
      <c r="I195" s="42" t="inlineStr">
        <is>
          <t>База</t>
        </is>
      </c>
      <c r="J195" s="42" t="inlineStr">
        <is>
          <t>Автогенерация из реального прайса; проверить вручную</t>
        </is>
      </c>
    </row>
    <row r="196">
      <c r="A196" s="41" t="inlineStr">
        <is>
          <t>RWORK-0065</t>
        </is>
      </c>
      <c r="B196" s="41" t="inlineStr">
        <is>
          <t>Монтаж/демонтаж опалубки</t>
        </is>
      </c>
      <c r="C196" s="41" t="inlineStr">
        <is>
          <t>Премиум</t>
        </is>
      </c>
      <c r="D196" s="41" t="inlineStr">
        <is>
          <t>Да</t>
        </is>
      </c>
      <c r="E196" s="41" t="inlineStr">
        <is>
          <t>Стандарт</t>
        </is>
      </c>
      <c r="F196" s="41" t="n"/>
      <c r="G196" s="41" t="inlineStr">
        <is>
          <t>Монтаж/демонтаж опалубки</t>
        </is>
      </c>
      <c r="H196" s="41" t="inlineStr">
        <is>
          <t>Показать строкой</t>
        </is>
      </c>
      <c r="I196" s="41" t="inlineStr">
        <is>
          <t>Детально</t>
        </is>
      </c>
      <c r="J196" s="41" t="inlineStr">
        <is>
          <t>Автогенерация из реального прайса; проверить вручную</t>
        </is>
      </c>
    </row>
    <row r="197">
      <c r="A197" s="42" t="inlineStr">
        <is>
          <t>RWORK-0066</t>
        </is>
      </c>
      <c r="B197" s="42" t="inlineStr">
        <is>
          <t>Мощение брусчаткой габбро 100*80*50мм на отсев (пешеходная часть)</t>
        </is>
      </c>
      <c r="C197" s="42" t="inlineStr">
        <is>
          <t>Эконом</t>
        </is>
      </c>
      <c r="D197" s="42" t="inlineStr">
        <is>
          <t>Да</t>
        </is>
      </c>
      <c r="E197" s="42" t="inlineStr">
        <is>
          <t>Стандарт</t>
        </is>
      </c>
      <c r="F197" s="42" t="n"/>
      <c r="G197" s="42" t="inlineStr">
        <is>
          <t>Мощение брусчаткой габбро 100*80*50мм на отсев (пешеходная часть)</t>
        </is>
      </c>
      <c r="H197" s="42" t="inlineStr">
        <is>
          <t>Свернуть в раздел</t>
        </is>
      </c>
      <c r="I197" s="42" t="inlineStr">
        <is>
          <t>Минимум</t>
        </is>
      </c>
      <c r="J197" s="42" t="inlineStr">
        <is>
          <t>Автогенерация из реального прайса; проверить вручную</t>
        </is>
      </c>
    </row>
    <row r="198">
      <c r="A198" s="41" t="inlineStr">
        <is>
          <t>RWORK-0066</t>
        </is>
      </c>
      <c r="B198" s="41" t="inlineStr">
        <is>
          <t>Мощение брусчаткой габбро 100*80*50мм на отсев (пешеходная часть)</t>
        </is>
      </c>
      <c r="C198" s="41" t="inlineStr">
        <is>
          <t>Стандарт</t>
        </is>
      </c>
      <c r="D198" s="41" t="inlineStr">
        <is>
          <t>Да</t>
        </is>
      </c>
      <c r="E198" s="41" t="inlineStr">
        <is>
          <t>Стандарт</t>
        </is>
      </c>
      <c r="F198" s="41" t="n"/>
      <c r="G198" s="41" t="inlineStr">
        <is>
          <t>Мощение брусчаткой габбро 100*80*50мм на отсев (пешеходная часть)</t>
        </is>
      </c>
      <c r="H198" s="41" t="inlineStr">
        <is>
          <t>Показать строкой</t>
        </is>
      </c>
      <c r="I198" s="41" t="inlineStr">
        <is>
          <t>База</t>
        </is>
      </c>
      <c r="J198" s="41" t="inlineStr">
        <is>
          <t>Автогенерация из реального прайса; проверить вручную</t>
        </is>
      </c>
    </row>
    <row r="199">
      <c r="A199" s="42" t="inlineStr">
        <is>
          <t>RWORK-0066</t>
        </is>
      </c>
      <c r="B199" s="42" t="inlineStr">
        <is>
          <t>Мощение брусчаткой габбро 100*80*50мм на отсев (пешеходная часть)</t>
        </is>
      </c>
      <c r="C199" s="42" t="inlineStr">
        <is>
          <t>Премиум</t>
        </is>
      </c>
      <c r="D199" s="42" t="inlineStr">
        <is>
          <t>Да</t>
        </is>
      </c>
      <c r="E199" s="42" t="inlineStr">
        <is>
          <t>Стандарт</t>
        </is>
      </c>
      <c r="F199" s="42" t="n"/>
      <c r="G199" s="42" t="inlineStr">
        <is>
          <t>Мощение брусчаткой габбро 100*80*50мм на отсев (пешеходная часть)</t>
        </is>
      </c>
      <c r="H199" s="42" t="inlineStr">
        <is>
          <t>Показать строкой</t>
        </is>
      </c>
      <c r="I199" s="42" t="inlineStr">
        <is>
          <t>Детально</t>
        </is>
      </c>
      <c r="J199" s="42" t="inlineStr">
        <is>
          <t>Автогенерация из реального прайса; проверить вручную</t>
        </is>
      </c>
    </row>
    <row r="200">
      <c r="A200" s="41" t="inlineStr">
        <is>
          <t>RWORK-0067</t>
        </is>
      </c>
      <c r="B200" s="41" t="inlineStr">
        <is>
          <t>Мощение брусчаткой габбро 80*80*80мм на отсев (проезжая часть)</t>
        </is>
      </c>
      <c r="C200" s="41" t="inlineStr">
        <is>
          <t>Эконом</t>
        </is>
      </c>
      <c r="D200" s="41" t="inlineStr">
        <is>
          <t>Да</t>
        </is>
      </c>
      <c r="E200" s="41" t="inlineStr">
        <is>
          <t>Стандарт</t>
        </is>
      </c>
      <c r="F200" s="41" t="n"/>
      <c r="G200" s="41" t="inlineStr">
        <is>
          <t>Мощение брусчаткой габбро 80*80*80мм на отсев (проезжая часть)</t>
        </is>
      </c>
      <c r="H200" s="41" t="inlineStr">
        <is>
          <t>Свернуть в раздел</t>
        </is>
      </c>
      <c r="I200" s="41" t="inlineStr">
        <is>
          <t>Минимум</t>
        </is>
      </c>
      <c r="J200" s="41" t="inlineStr">
        <is>
          <t>Автогенерация из реального прайса; проверить вручную</t>
        </is>
      </c>
    </row>
    <row r="201">
      <c r="A201" s="42" t="inlineStr">
        <is>
          <t>RWORK-0067</t>
        </is>
      </c>
      <c r="B201" s="42" t="inlineStr">
        <is>
          <t>Мощение брусчаткой габбро 80*80*80мм на отсев (проезжая часть)</t>
        </is>
      </c>
      <c r="C201" s="42" t="inlineStr">
        <is>
          <t>Стандарт</t>
        </is>
      </c>
      <c r="D201" s="42" t="inlineStr">
        <is>
          <t>Да</t>
        </is>
      </c>
      <c r="E201" s="42" t="inlineStr">
        <is>
          <t>Стандарт</t>
        </is>
      </c>
      <c r="F201" s="42" t="n"/>
      <c r="G201" s="42" t="inlineStr">
        <is>
          <t>Мощение брусчаткой габбро 80*80*80мм на отсев (проезжая часть)</t>
        </is>
      </c>
      <c r="H201" s="42" t="inlineStr">
        <is>
          <t>Показать строкой</t>
        </is>
      </c>
      <c r="I201" s="42" t="inlineStr">
        <is>
          <t>База</t>
        </is>
      </c>
      <c r="J201" s="42" t="inlineStr">
        <is>
          <t>Автогенерация из реального прайса; проверить вручную</t>
        </is>
      </c>
    </row>
    <row r="202">
      <c r="A202" s="41" t="inlineStr">
        <is>
          <t>RWORK-0067</t>
        </is>
      </c>
      <c r="B202" s="41" t="inlineStr">
        <is>
          <t>Мощение брусчаткой габбро 80*80*80мм на отсев (проезжая часть)</t>
        </is>
      </c>
      <c r="C202" s="41" t="inlineStr">
        <is>
          <t>Премиум</t>
        </is>
      </c>
      <c r="D202" s="41" t="inlineStr">
        <is>
          <t>Да</t>
        </is>
      </c>
      <c r="E202" s="41" t="inlineStr">
        <is>
          <t>Стандарт</t>
        </is>
      </c>
      <c r="F202" s="41" t="n"/>
      <c r="G202" s="41" t="inlineStr">
        <is>
          <t>Мощение брусчаткой габбро 80*80*80мм на отсев (проезжая часть)</t>
        </is>
      </c>
      <c r="H202" s="41" t="inlineStr">
        <is>
          <t>Показать строкой</t>
        </is>
      </c>
      <c r="I202" s="41" t="inlineStr">
        <is>
          <t>Детально</t>
        </is>
      </c>
      <c r="J202" s="41" t="inlineStr">
        <is>
          <t>Автогенерация из реального прайса; проверить вручную</t>
        </is>
      </c>
    </row>
    <row r="203">
      <c r="A203" s="42" t="inlineStr">
        <is>
          <t>RWORK-0068</t>
        </is>
      </c>
      <c r="B203" s="42" t="inlineStr">
        <is>
          <t>Мощение брусчаткой пиленной из шунгитного сланца на отсев</t>
        </is>
      </c>
      <c r="C203" s="42" t="inlineStr">
        <is>
          <t>Эконом</t>
        </is>
      </c>
      <c r="D203" s="42" t="inlineStr">
        <is>
          <t>Да</t>
        </is>
      </c>
      <c r="E203" s="42" t="inlineStr">
        <is>
          <t>Стандарт</t>
        </is>
      </c>
      <c r="F203" s="42" t="n"/>
      <c r="G203" s="42" t="inlineStr">
        <is>
          <t>Мощение брусчаткой пиленной из шунгитного сланца на отсев</t>
        </is>
      </c>
      <c r="H203" s="42" t="inlineStr">
        <is>
          <t>Свернуть в раздел</t>
        </is>
      </c>
      <c r="I203" s="42" t="inlineStr">
        <is>
          <t>Минимум</t>
        </is>
      </c>
      <c r="J203" s="42" t="inlineStr">
        <is>
          <t>Автогенерация из реального прайса; проверить вручную</t>
        </is>
      </c>
    </row>
    <row r="204">
      <c r="A204" s="41" t="inlineStr">
        <is>
          <t>RWORK-0068</t>
        </is>
      </c>
      <c r="B204" s="41" t="inlineStr">
        <is>
          <t>Мощение брусчаткой пиленной из шунгитного сланца на отсев</t>
        </is>
      </c>
      <c r="C204" s="41" t="inlineStr">
        <is>
          <t>Стандарт</t>
        </is>
      </c>
      <c r="D204" s="41" t="inlineStr">
        <is>
          <t>Да</t>
        </is>
      </c>
      <c r="E204" s="41" t="inlineStr">
        <is>
          <t>Стандарт</t>
        </is>
      </c>
      <c r="F204" s="41" t="n"/>
      <c r="G204" s="41" t="inlineStr">
        <is>
          <t>Мощение брусчаткой пиленной из шунгитного сланца на отсев</t>
        </is>
      </c>
      <c r="H204" s="41" t="inlineStr">
        <is>
          <t>Показать строкой</t>
        </is>
      </c>
      <c r="I204" s="41" t="inlineStr">
        <is>
          <t>База</t>
        </is>
      </c>
      <c r="J204" s="41" t="inlineStr">
        <is>
          <t>Автогенерация из реального прайса; проверить вручную</t>
        </is>
      </c>
    </row>
    <row r="205">
      <c r="A205" s="42" t="inlineStr">
        <is>
          <t>RWORK-0068</t>
        </is>
      </c>
      <c r="B205" s="42" t="inlineStr">
        <is>
          <t>Мощение брусчаткой пиленной из шунгитного сланца на отсев</t>
        </is>
      </c>
      <c r="C205" s="42" t="inlineStr">
        <is>
          <t>Премиум</t>
        </is>
      </c>
      <c r="D205" s="42" t="inlineStr">
        <is>
          <t>Да</t>
        </is>
      </c>
      <c r="E205" s="42" t="inlineStr">
        <is>
          <t>Стандарт</t>
        </is>
      </c>
      <c r="F205" s="42" t="n"/>
      <c r="G205" s="42" t="inlineStr">
        <is>
          <t>Мощение брусчаткой пиленной из шунгитного сланца на отсев</t>
        </is>
      </c>
      <c r="H205" s="42" t="inlineStr">
        <is>
          <t>Показать строкой</t>
        </is>
      </c>
      <c r="I205" s="42" t="inlineStr">
        <is>
          <t>Детально</t>
        </is>
      </c>
      <c r="J205" s="42" t="inlineStr">
        <is>
          <t>Автогенерация из реального прайса; проверить вручную</t>
        </is>
      </c>
    </row>
    <row r="206">
      <c r="A206" s="41" t="inlineStr">
        <is>
          <t>RWORK-0069</t>
        </is>
      </c>
      <c r="B206" s="41" t="inlineStr">
        <is>
          <t>Мощение гранитной брусчаткой (без рисунка)</t>
        </is>
      </c>
      <c r="C206" s="41" t="inlineStr">
        <is>
          <t>Эконом</t>
        </is>
      </c>
      <c r="D206" s="41" t="inlineStr">
        <is>
          <t>Да</t>
        </is>
      </c>
      <c r="E206" s="41" t="inlineStr">
        <is>
          <t>Стандарт</t>
        </is>
      </c>
      <c r="F206" s="41" t="n"/>
      <c r="G206" s="41" t="inlineStr">
        <is>
          <t>Мощение гранитной брусчаткой (без рисунка)</t>
        </is>
      </c>
      <c r="H206" s="41" t="inlineStr">
        <is>
          <t>Свернуть в раздел</t>
        </is>
      </c>
      <c r="I206" s="41" t="inlineStr">
        <is>
          <t>Минимум</t>
        </is>
      </c>
      <c r="J206" s="41" t="inlineStr">
        <is>
          <t>Автогенерация из реального прайса; проверить вручную</t>
        </is>
      </c>
    </row>
    <row r="207">
      <c r="A207" s="42" t="inlineStr">
        <is>
          <t>RWORK-0069</t>
        </is>
      </c>
      <c r="B207" s="42" t="inlineStr">
        <is>
          <t>Мощение гранитной брусчаткой (без рисунка)</t>
        </is>
      </c>
      <c r="C207" s="42" t="inlineStr">
        <is>
          <t>Стандарт</t>
        </is>
      </c>
      <c r="D207" s="42" t="inlineStr">
        <is>
          <t>Да</t>
        </is>
      </c>
      <c r="E207" s="42" t="inlineStr">
        <is>
          <t>Стандарт</t>
        </is>
      </c>
      <c r="F207" s="42" t="n"/>
      <c r="G207" s="42" t="inlineStr">
        <is>
          <t>Мощение гранитной брусчаткой (без рисунка)</t>
        </is>
      </c>
      <c r="H207" s="42" t="inlineStr">
        <is>
          <t>Показать строкой</t>
        </is>
      </c>
      <c r="I207" s="42" t="inlineStr">
        <is>
          <t>База</t>
        </is>
      </c>
      <c r="J207" s="42" t="inlineStr">
        <is>
          <t>Автогенерация из реального прайса; проверить вручную</t>
        </is>
      </c>
    </row>
    <row r="208">
      <c r="A208" s="41" t="inlineStr">
        <is>
          <t>RWORK-0069</t>
        </is>
      </c>
      <c r="B208" s="41" t="inlineStr">
        <is>
          <t>Мощение гранитной брусчаткой (без рисунка)</t>
        </is>
      </c>
      <c r="C208" s="41" t="inlineStr">
        <is>
          <t>Премиум</t>
        </is>
      </c>
      <c r="D208" s="41" t="inlineStr">
        <is>
          <t>Да</t>
        </is>
      </c>
      <c r="E208" s="41" t="inlineStr">
        <is>
          <t>Стандарт</t>
        </is>
      </c>
      <c r="F208" s="41" t="n"/>
      <c r="G208" s="41" t="inlineStr">
        <is>
          <t>Мощение гранитной брусчаткой (без рисунка)</t>
        </is>
      </c>
      <c r="H208" s="41" t="inlineStr">
        <is>
          <t>Показать строкой</t>
        </is>
      </c>
      <c r="I208" s="41" t="inlineStr">
        <is>
          <t>Детально</t>
        </is>
      </c>
      <c r="J208" s="41" t="inlineStr">
        <is>
          <t>Автогенерация из реального прайса; проверить вручную</t>
        </is>
      </c>
    </row>
    <row r="209">
      <c r="A209" s="42" t="inlineStr">
        <is>
          <t>RWORK-0070</t>
        </is>
      </c>
      <c r="B209" s="42" t="inlineStr">
        <is>
          <t>Мощение колотым амфиболитом</t>
        </is>
      </c>
      <c r="C209" s="42" t="inlineStr">
        <is>
          <t>Эконом</t>
        </is>
      </c>
      <c r="D209" s="42" t="inlineStr">
        <is>
          <t>Да</t>
        </is>
      </c>
      <c r="E209" s="42" t="inlineStr">
        <is>
          <t>Стандарт</t>
        </is>
      </c>
      <c r="F209" s="42" t="n"/>
      <c r="G209" s="42" t="inlineStr">
        <is>
          <t>Мощение колотым амфиболитом</t>
        </is>
      </c>
      <c r="H209" s="42" t="inlineStr">
        <is>
          <t>Свернуть в раздел</t>
        </is>
      </c>
      <c r="I209" s="42" t="inlineStr">
        <is>
          <t>Минимум</t>
        </is>
      </c>
      <c r="J209" s="42" t="inlineStr">
        <is>
          <t>Автогенерация из реального прайса; проверить вручную</t>
        </is>
      </c>
    </row>
    <row r="210">
      <c r="A210" s="41" t="inlineStr">
        <is>
          <t>RWORK-0070</t>
        </is>
      </c>
      <c r="B210" s="41" t="inlineStr">
        <is>
          <t>Мощение колотым амфиболитом</t>
        </is>
      </c>
      <c r="C210" s="41" t="inlineStr">
        <is>
          <t>Стандарт</t>
        </is>
      </c>
      <c r="D210" s="41" t="inlineStr">
        <is>
          <t>Да</t>
        </is>
      </c>
      <c r="E210" s="41" t="inlineStr">
        <is>
          <t>Стандарт</t>
        </is>
      </c>
      <c r="F210" s="41" t="n"/>
      <c r="G210" s="41" t="inlineStr">
        <is>
          <t>Мощение колотым амфиболитом</t>
        </is>
      </c>
      <c r="H210" s="41" t="inlineStr">
        <is>
          <t>Показать строкой</t>
        </is>
      </c>
      <c r="I210" s="41" t="inlineStr">
        <is>
          <t>База</t>
        </is>
      </c>
      <c r="J210" s="41" t="inlineStr">
        <is>
          <t>Автогенерация из реального прайса; проверить вручную</t>
        </is>
      </c>
    </row>
    <row r="211">
      <c r="A211" s="42" t="inlineStr">
        <is>
          <t>RWORK-0070</t>
        </is>
      </c>
      <c r="B211" s="42" t="inlineStr">
        <is>
          <t>Мощение колотым амфиболитом</t>
        </is>
      </c>
      <c r="C211" s="42" t="inlineStr">
        <is>
          <t>Премиум</t>
        </is>
      </c>
      <c r="D211" s="42" t="inlineStr">
        <is>
          <t>Да</t>
        </is>
      </c>
      <c r="E211" s="42" t="inlineStr">
        <is>
          <t>Стандарт</t>
        </is>
      </c>
      <c r="F211" s="42" t="n"/>
      <c r="G211" s="42" t="inlineStr">
        <is>
          <t>Мощение колотым амфиболитом</t>
        </is>
      </c>
      <c r="H211" s="42" t="inlineStr">
        <is>
          <t>Показать строкой</t>
        </is>
      </c>
      <c r="I211" s="42" t="inlineStr">
        <is>
          <t>Детально</t>
        </is>
      </c>
      <c r="J211" s="42" t="inlineStr">
        <is>
          <t>Автогенерация из реального прайса; проверить вручную</t>
        </is>
      </c>
    </row>
    <row r="212">
      <c r="A212" s="41" t="inlineStr">
        <is>
          <t>RWORK-0071</t>
        </is>
      </c>
      <c r="B212" s="41" t="inlineStr">
        <is>
          <t>Мощение пилено-колотрой гранитной брусчаткой 100х100х50мм</t>
        </is>
      </c>
      <c r="C212" s="41" t="inlineStr">
        <is>
          <t>Эконом</t>
        </is>
      </c>
      <c r="D212" s="41" t="inlineStr">
        <is>
          <t>Да</t>
        </is>
      </c>
      <c r="E212" s="41" t="inlineStr">
        <is>
          <t>Стандарт</t>
        </is>
      </c>
      <c r="F212" s="41" t="n"/>
      <c r="G212" s="41" t="inlineStr">
        <is>
          <t>Мощение пилено-колотрой гранитной брусчаткой 100х100х50мм</t>
        </is>
      </c>
      <c r="H212" s="41" t="inlineStr">
        <is>
          <t>Свернуть в раздел</t>
        </is>
      </c>
      <c r="I212" s="41" t="inlineStr">
        <is>
          <t>Минимум</t>
        </is>
      </c>
      <c r="J212" s="41" t="inlineStr">
        <is>
          <t>Автогенерация из реального прайса; проверить вручную</t>
        </is>
      </c>
    </row>
    <row r="213">
      <c r="A213" s="42" t="inlineStr">
        <is>
          <t>RWORK-0071</t>
        </is>
      </c>
      <c r="B213" s="42" t="inlineStr">
        <is>
          <t>Мощение пилено-колотрой гранитной брусчаткой 100х100х50мм</t>
        </is>
      </c>
      <c r="C213" s="42" t="inlineStr">
        <is>
          <t>Стандарт</t>
        </is>
      </c>
      <c r="D213" s="42" t="inlineStr">
        <is>
          <t>Да</t>
        </is>
      </c>
      <c r="E213" s="42" t="inlineStr">
        <is>
          <t>Стандарт</t>
        </is>
      </c>
      <c r="F213" s="42" t="n"/>
      <c r="G213" s="42" t="inlineStr">
        <is>
          <t>Мощение пилено-колотрой гранитной брусчаткой 100х100х50мм</t>
        </is>
      </c>
      <c r="H213" s="42" t="inlineStr">
        <is>
          <t>Показать строкой</t>
        </is>
      </c>
      <c r="I213" s="42" t="inlineStr">
        <is>
          <t>База</t>
        </is>
      </c>
      <c r="J213" s="42" t="inlineStr">
        <is>
          <t>Автогенерация из реального прайса; проверить вручную</t>
        </is>
      </c>
    </row>
    <row r="214">
      <c r="A214" s="41" t="inlineStr">
        <is>
          <t>RWORK-0071</t>
        </is>
      </c>
      <c r="B214" s="41" t="inlineStr">
        <is>
          <t>Мощение пилено-колотрой гранитной брусчаткой 100х100х50мм</t>
        </is>
      </c>
      <c r="C214" s="41" t="inlineStr">
        <is>
          <t>Премиум</t>
        </is>
      </c>
      <c r="D214" s="41" t="inlineStr">
        <is>
          <t>Да</t>
        </is>
      </c>
      <c r="E214" s="41" t="inlineStr">
        <is>
          <t>Стандарт</t>
        </is>
      </c>
      <c r="F214" s="41" t="n"/>
      <c r="G214" s="41" t="inlineStr">
        <is>
          <t>Мощение пилено-колотрой гранитной брусчаткой 100х100х50мм</t>
        </is>
      </c>
      <c r="H214" s="41" t="inlineStr">
        <is>
          <t>Показать строкой</t>
        </is>
      </c>
      <c r="I214" s="41" t="inlineStr">
        <is>
          <t>Детально</t>
        </is>
      </c>
      <c r="J214" s="41" t="inlineStr">
        <is>
          <t>Автогенерация из реального прайса; проверить вручную</t>
        </is>
      </c>
    </row>
    <row r="215">
      <c r="A215" s="42" t="inlineStr">
        <is>
          <t>RWORK-0072</t>
        </is>
      </c>
      <c r="B215" s="42" t="inlineStr">
        <is>
          <t>Мощение плитами</t>
        </is>
      </c>
      <c r="C215" s="42" t="inlineStr">
        <is>
          <t>Эконом</t>
        </is>
      </c>
      <c r="D215" s="42" t="inlineStr">
        <is>
          <t>Да</t>
        </is>
      </c>
      <c r="E215" s="42" t="inlineStr">
        <is>
          <t>Стандарт</t>
        </is>
      </c>
      <c r="F215" s="42" t="n"/>
      <c r="G215" s="42" t="inlineStr">
        <is>
          <t>Мощение плитами</t>
        </is>
      </c>
      <c r="H215" s="42" t="inlineStr">
        <is>
          <t>Свернуть в раздел</t>
        </is>
      </c>
      <c r="I215" s="42" t="inlineStr">
        <is>
          <t>Минимум</t>
        </is>
      </c>
      <c r="J215" s="42" t="inlineStr">
        <is>
          <t>Автогенерация из реального прайса; проверить вручную</t>
        </is>
      </c>
    </row>
    <row r="216">
      <c r="A216" s="41" t="inlineStr">
        <is>
          <t>RWORK-0072</t>
        </is>
      </c>
      <c r="B216" s="41" t="inlineStr">
        <is>
          <t>Мощение плитами</t>
        </is>
      </c>
      <c r="C216" s="41" t="inlineStr">
        <is>
          <t>Стандарт</t>
        </is>
      </c>
      <c r="D216" s="41" t="inlineStr">
        <is>
          <t>Да</t>
        </is>
      </c>
      <c r="E216" s="41" t="inlineStr">
        <is>
          <t>Стандарт</t>
        </is>
      </c>
      <c r="F216" s="41" t="n"/>
      <c r="G216" s="41" t="inlineStr">
        <is>
          <t>Мощение плитами</t>
        </is>
      </c>
      <c r="H216" s="41" t="inlineStr">
        <is>
          <t>Показать строкой</t>
        </is>
      </c>
      <c r="I216" s="41" t="inlineStr">
        <is>
          <t>База</t>
        </is>
      </c>
      <c r="J216" s="41" t="inlineStr">
        <is>
          <t>Автогенерация из реального прайса; проверить вручную</t>
        </is>
      </c>
    </row>
    <row r="217">
      <c r="A217" s="42" t="inlineStr">
        <is>
          <t>RWORK-0072</t>
        </is>
      </c>
      <c r="B217" s="42" t="inlineStr">
        <is>
          <t>Мощение плитами</t>
        </is>
      </c>
      <c r="C217" s="42" t="inlineStr">
        <is>
          <t>Премиум</t>
        </is>
      </c>
      <c r="D217" s="42" t="inlineStr">
        <is>
          <t>Да</t>
        </is>
      </c>
      <c r="E217" s="42" t="inlineStr">
        <is>
          <t>Стандарт</t>
        </is>
      </c>
      <c r="F217" s="42" t="n"/>
      <c r="G217" s="42" t="inlineStr">
        <is>
          <t>Мощение плитами</t>
        </is>
      </c>
      <c r="H217" s="42" t="inlineStr">
        <is>
          <t>Показать строкой</t>
        </is>
      </c>
      <c r="I217" s="42" t="inlineStr">
        <is>
          <t>Детально</t>
        </is>
      </c>
      <c r="J217" s="42" t="inlineStr">
        <is>
          <t>Автогенерация из реального прайса; проверить вручную</t>
        </is>
      </c>
    </row>
    <row r="218">
      <c r="A218" s="41" t="inlineStr">
        <is>
          <t>RWORK-0073</t>
        </is>
      </c>
      <c r="B218" s="41" t="inlineStr">
        <is>
          <t>Мощение плитами согласно схеме раскладки</t>
        </is>
      </c>
      <c r="C218" s="41" t="inlineStr">
        <is>
          <t>Эконом</t>
        </is>
      </c>
      <c r="D218" s="41" t="inlineStr">
        <is>
          <t>Да</t>
        </is>
      </c>
      <c r="E218" s="41" t="inlineStr">
        <is>
          <t>Стандарт</t>
        </is>
      </c>
      <c r="F218" s="41" t="n"/>
      <c r="G218" s="41" t="inlineStr">
        <is>
          <t>Мощение плитами согласно схеме раскладки</t>
        </is>
      </c>
      <c r="H218" s="41" t="inlineStr">
        <is>
          <t>Свернуть в раздел</t>
        </is>
      </c>
      <c r="I218" s="41" t="inlineStr">
        <is>
          <t>Минимум</t>
        </is>
      </c>
      <c r="J218" s="41" t="inlineStr">
        <is>
          <t>Автогенерация из реального прайса; проверить вручную</t>
        </is>
      </c>
    </row>
    <row r="219">
      <c r="A219" s="42" t="inlineStr">
        <is>
          <t>RWORK-0073</t>
        </is>
      </c>
      <c r="B219" s="42" t="inlineStr">
        <is>
          <t>Мощение плитами согласно схеме раскладки</t>
        </is>
      </c>
      <c r="C219" s="42" t="inlineStr">
        <is>
          <t>Стандарт</t>
        </is>
      </c>
      <c r="D219" s="42" t="inlineStr">
        <is>
          <t>Да</t>
        </is>
      </c>
      <c r="E219" s="42" t="inlineStr">
        <is>
          <t>Стандарт</t>
        </is>
      </c>
      <c r="F219" s="42" t="n"/>
      <c r="G219" s="42" t="inlineStr">
        <is>
          <t>Мощение плитами согласно схеме раскладки</t>
        </is>
      </c>
      <c r="H219" s="42" t="inlineStr">
        <is>
          <t>Показать строкой</t>
        </is>
      </c>
      <c r="I219" s="42" t="inlineStr">
        <is>
          <t>База</t>
        </is>
      </c>
      <c r="J219" s="42" t="inlineStr">
        <is>
          <t>Автогенерация из реального прайса; проверить вручную</t>
        </is>
      </c>
    </row>
    <row r="220">
      <c r="A220" s="41" t="inlineStr">
        <is>
          <t>RWORK-0073</t>
        </is>
      </c>
      <c r="B220" s="41" t="inlineStr">
        <is>
          <t>Мощение плитами согласно схеме раскладки</t>
        </is>
      </c>
      <c r="C220" s="41" t="inlineStr">
        <is>
          <t>Премиум</t>
        </is>
      </c>
      <c r="D220" s="41" t="inlineStr">
        <is>
          <t>Да</t>
        </is>
      </c>
      <c r="E220" s="41" t="inlineStr">
        <is>
          <t>Стандарт</t>
        </is>
      </c>
      <c r="F220" s="41" t="n"/>
      <c r="G220" s="41" t="inlineStr">
        <is>
          <t>Мощение плитами согласно схеме раскладки</t>
        </is>
      </c>
      <c r="H220" s="41" t="inlineStr">
        <is>
          <t>Показать строкой</t>
        </is>
      </c>
      <c r="I220" s="41" t="inlineStr">
        <is>
          <t>Детально</t>
        </is>
      </c>
      <c r="J220" s="41" t="inlineStr">
        <is>
          <t>Автогенерация из реального прайса; проверить вручную</t>
        </is>
      </c>
    </row>
    <row r="221">
      <c r="A221" s="42" t="inlineStr">
        <is>
          <t>RWORK-0074</t>
        </is>
      </c>
      <c r="B221" s="42" t="inlineStr">
        <is>
          <t>Мощение ТБП</t>
        </is>
      </c>
      <c r="C221" s="42" t="inlineStr">
        <is>
          <t>Эконом</t>
        </is>
      </c>
      <c r="D221" s="42" t="inlineStr">
        <is>
          <t>Да</t>
        </is>
      </c>
      <c r="E221" s="42" t="inlineStr">
        <is>
          <t>Стандарт</t>
        </is>
      </c>
      <c r="F221" s="42" t="n"/>
      <c r="G221" s="42" t="inlineStr">
        <is>
          <t>Мощение ТБП</t>
        </is>
      </c>
      <c r="H221" s="42" t="inlineStr">
        <is>
          <t>Свернуть в раздел</t>
        </is>
      </c>
      <c r="I221" s="42" t="inlineStr">
        <is>
          <t>Минимум</t>
        </is>
      </c>
      <c r="J221" s="42" t="inlineStr">
        <is>
          <t>Автогенерация из реального прайса; проверить вручную</t>
        </is>
      </c>
    </row>
    <row r="222">
      <c r="A222" s="41" t="inlineStr">
        <is>
          <t>RWORK-0074</t>
        </is>
      </c>
      <c r="B222" s="41" t="inlineStr">
        <is>
          <t>Мощение ТБП</t>
        </is>
      </c>
      <c r="C222" s="41" t="inlineStr">
        <is>
          <t>Стандарт</t>
        </is>
      </c>
      <c r="D222" s="41" t="inlineStr">
        <is>
          <t>Да</t>
        </is>
      </c>
      <c r="E222" s="41" t="inlineStr">
        <is>
          <t>Стандарт</t>
        </is>
      </c>
      <c r="F222" s="41" t="n"/>
      <c r="G222" s="41" t="inlineStr">
        <is>
          <t>Мощение ТБП</t>
        </is>
      </c>
      <c r="H222" s="41" t="inlineStr">
        <is>
          <t>Показать строкой</t>
        </is>
      </c>
      <c r="I222" s="41" t="inlineStr">
        <is>
          <t>База</t>
        </is>
      </c>
      <c r="J222" s="41" t="inlineStr">
        <is>
          <t>Автогенерация из реального прайса; проверить вручную</t>
        </is>
      </c>
    </row>
    <row r="223">
      <c r="A223" s="42" t="inlineStr">
        <is>
          <t>RWORK-0074</t>
        </is>
      </c>
      <c r="B223" s="42" t="inlineStr">
        <is>
          <t>Мощение ТБП</t>
        </is>
      </c>
      <c r="C223" s="42" t="inlineStr">
        <is>
          <t>Премиум</t>
        </is>
      </c>
      <c r="D223" s="42" t="inlineStr">
        <is>
          <t>Да</t>
        </is>
      </c>
      <c r="E223" s="42" t="inlineStr">
        <is>
          <t>Стандарт</t>
        </is>
      </c>
      <c r="F223" s="42" t="n"/>
      <c r="G223" s="42" t="inlineStr">
        <is>
          <t>Мощение ТБП</t>
        </is>
      </c>
      <c r="H223" s="42" t="inlineStr">
        <is>
          <t>Показать строкой</t>
        </is>
      </c>
      <c r="I223" s="42" t="inlineStr">
        <is>
          <t>Детально</t>
        </is>
      </c>
      <c r="J223" s="42" t="inlineStr">
        <is>
          <t>Автогенерация из реального прайса; проверить вручную</t>
        </is>
      </c>
    </row>
    <row r="224">
      <c r="A224" s="41" t="inlineStr">
        <is>
          <t>RWORK-0075</t>
        </is>
      </c>
      <c r="B224" s="41" t="inlineStr">
        <is>
          <t>Мощение ТБП 60мм</t>
        </is>
      </c>
      <c r="C224" s="41" t="inlineStr">
        <is>
          <t>Эконом</t>
        </is>
      </c>
      <c r="D224" s="41" t="inlineStr">
        <is>
          <t>Да</t>
        </is>
      </c>
      <c r="E224" s="41" t="inlineStr">
        <is>
          <t>Стандарт</t>
        </is>
      </c>
      <c r="F224" s="41" t="n"/>
      <c r="G224" s="41" t="inlineStr">
        <is>
          <t>Мощение ТБП 60мм</t>
        </is>
      </c>
      <c r="H224" s="41" t="inlineStr">
        <is>
          <t>Свернуть в раздел</t>
        </is>
      </c>
      <c r="I224" s="41" t="inlineStr">
        <is>
          <t>Минимум</t>
        </is>
      </c>
      <c r="J224" s="41" t="inlineStr">
        <is>
          <t>Автогенерация из реального прайса; проверить вручную</t>
        </is>
      </c>
    </row>
    <row r="225">
      <c r="A225" s="42" t="inlineStr">
        <is>
          <t>RWORK-0075</t>
        </is>
      </c>
      <c r="B225" s="42" t="inlineStr">
        <is>
          <t>Мощение ТБП 60мм</t>
        </is>
      </c>
      <c r="C225" s="42" t="inlineStr">
        <is>
          <t>Стандарт</t>
        </is>
      </c>
      <c r="D225" s="42" t="inlineStr">
        <is>
          <t>Да</t>
        </is>
      </c>
      <c r="E225" s="42" t="inlineStr">
        <is>
          <t>Стандарт</t>
        </is>
      </c>
      <c r="F225" s="42" t="n"/>
      <c r="G225" s="42" t="inlineStr">
        <is>
          <t>Мощение ТБП 60мм</t>
        </is>
      </c>
      <c r="H225" s="42" t="inlineStr">
        <is>
          <t>Показать строкой</t>
        </is>
      </c>
      <c r="I225" s="42" t="inlineStr">
        <is>
          <t>База</t>
        </is>
      </c>
      <c r="J225" s="42" t="inlineStr">
        <is>
          <t>Автогенерация из реального прайса; проверить вручную</t>
        </is>
      </c>
    </row>
    <row r="226">
      <c r="A226" s="41" t="inlineStr">
        <is>
          <t>RWORK-0075</t>
        </is>
      </c>
      <c r="B226" s="41" t="inlineStr">
        <is>
          <t>Мощение ТБП 60мм</t>
        </is>
      </c>
      <c r="C226" s="41" t="inlineStr">
        <is>
          <t>Премиум</t>
        </is>
      </c>
      <c r="D226" s="41" t="inlineStr">
        <is>
          <t>Да</t>
        </is>
      </c>
      <c r="E226" s="41" t="inlineStr">
        <is>
          <t>Стандарт</t>
        </is>
      </c>
      <c r="F226" s="41" t="n"/>
      <c r="G226" s="41" t="inlineStr">
        <is>
          <t>Мощение ТБП 60мм</t>
        </is>
      </c>
      <c r="H226" s="41" t="inlineStr">
        <is>
          <t>Показать строкой</t>
        </is>
      </c>
      <c r="I226" s="41" t="inlineStr">
        <is>
          <t>Детально</t>
        </is>
      </c>
      <c r="J226" s="41" t="inlineStr">
        <is>
          <t>Автогенерация из реального прайса; проверить вручную</t>
        </is>
      </c>
    </row>
    <row r="227">
      <c r="A227" s="42" t="inlineStr">
        <is>
          <t>RWORK-0076</t>
        </is>
      </c>
      <c r="B227" s="42" t="inlineStr">
        <is>
          <t>Мощение шунгитным сланцем, рваным</t>
        </is>
      </c>
      <c r="C227" s="42" t="inlineStr">
        <is>
          <t>Эконом</t>
        </is>
      </c>
      <c r="D227" s="42" t="inlineStr">
        <is>
          <t>Да</t>
        </is>
      </c>
      <c r="E227" s="42" t="inlineStr">
        <is>
          <t>Стандарт</t>
        </is>
      </c>
      <c r="F227" s="42" t="n"/>
      <c r="G227" s="42" t="inlineStr">
        <is>
          <t>Мощение шунгитным сланцем, рваным</t>
        </is>
      </c>
      <c r="H227" s="42" t="inlineStr">
        <is>
          <t>Свернуть в раздел</t>
        </is>
      </c>
      <c r="I227" s="42" t="inlineStr">
        <is>
          <t>Минимум</t>
        </is>
      </c>
      <c r="J227" s="42" t="inlineStr">
        <is>
          <t>Автогенерация из реального прайса; проверить вручную</t>
        </is>
      </c>
    </row>
    <row r="228">
      <c r="A228" s="41" t="inlineStr">
        <is>
          <t>RWORK-0076</t>
        </is>
      </c>
      <c r="B228" s="41" t="inlineStr">
        <is>
          <t>Мощение шунгитным сланцем, рваным</t>
        </is>
      </c>
      <c r="C228" s="41" t="inlineStr">
        <is>
          <t>Стандарт</t>
        </is>
      </c>
      <c r="D228" s="41" t="inlineStr">
        <is>
          <t>Да</t>
        </is>
      </c>
      <c r="E228" s="41" t="inlineStr">
        <is>
          <t>Стандарт</t>
        </is>
      </c>
      <c r="F228" s="41" t="n"/>
      <c r="G228" s="41" t="inlineStr">
        <is>
          <t>Мощение шунгитным сланцем, рваным</t>
        </is>
      </c>
      <c r="H228" s="41" t="inlineStr">
        <is>
          <t>Показать строкой</t>
        </is>
      </c>
      <c r="I228" s="41" t="inlineStr">
        <is>
          <t>База</t>
        </is>
      </c>
      <c r="J228" s="41" t="inlineStr">
        <is>
          <t>Автогенерация из реального прайса; проверить вручную</t>
        </is>
      </c>
    </row>
    <row r="229">
      <c r="A229" s="42" t="inlineStr">
        <is>
          <t>RWORK-0076</t>
        </is>
      </c>
      <c r="B229" s="42" t="inlineStr">
        <is>
          <t>Мощение шунгитным сланцем, рваным</t>
        </is>
      </c>
      <c r="C229" s="42" t="inlineStr">
        <is>
          <t>Премиум</t>
        </is>
      </c>
      <c r="D229" s="42" t="inlineStr">
        <is>
          <t>Да</t>
        </is>
      </c>
      <c r="E229" s="42" t="inlineStr">
        <is>
          <t>Стандарт</t>
        </is>
      </c>
      <c r="F229" s="42" t="n"/>
      <c r="G229" s="42" t="inlineStr">
        <is>
          <t>Мощение шунгитным сланцем, рваным</t>
        </is>
      </c>
      <c r="H229" s="42" t="inlineStr">
        <is>
          <t>Показать строкой</t>
        </is>
      </c>
      <c r="I229" s="42" t="inlineStr">
        <is>
          <t>Детально</t>
        </is>
      </c>
      <c r="J229" s="42" t="inlineStr">
        <is>
          <t>Автогенерация из реального прайса; проверить вручную</t>
        </is>
      </c>
    </row>
    <row r="230">
      <c r="A230" s="41" t="inlineStr">
        <is>
          <t>RWORK-0077</t>
        </is>
      </c>
      <c r="B230" s="41" t="inlineStr">
        <is>
          <t>Накладные расходы (расходные материалы, комплектация заказов, зарплата АУП и пр.)</t>
        </is>
      </c>
      <c r="C230" s="41" t="inlineStr">
        <is>
          <t>Эконом</t>
        </is>
      </c>
      <c r="D230" s="41" t="inlineStr">
        <is>
          <t>Да</t>
        </is>
      </c>
      <c r="E230" s="41" t="inlineStr">
        <is>
          <t>Стандарт</t>
        </is>
      </c>
      <c r="F230" s="41" t="n"/>
      <c r="G230" s="41" t="inlineStr">
        <is>
          <t>Накладные расходы (расходные материалы, комплектация заказов, зарплата АУП и пр.)</t>
        </is>
      </c>
      <c r="H230" s="41" t="inlineStr">
        <is>
          <t>Скрыть из клиентской версии</t>
        </is>
      </c>
      <c r="I230" s="41" t="inlineStr">
        <is>
          <t>Минимум</t>
        </is>
      </c>
      <c r="J230" s="41" t="inlineStr">
        <is>
          <t>Автогенерация из реального прайса; проверить вручную</t>
        </is>
      </c>
    </row>
    <row r="231">
      <c r="A231" s="42" t="inlineStr">
        <is>
          <t>RWORK-0077</t>
        </is>
      </c>
      <c r="B231" s="42" t="inlineStr">
        <is>
          <t>Накладные расходы (расходные материалы, комплектация заказов, зарплата АУП и пр.)</t>
        </is>
      </c>
      <c r="C231" s="42" t="inlineStr">
        <is>
          <t>Стандарт</t>
        </is>
      </c>
      <c r="D231" s="42" t="inlineStr">
        <is>
          <t>Да</t>
        </is>
      </c>
      <c r="E231" s="42" t="inlineStr">
        <is>
          <t>Стандарт</t>
        </is>
      </c>
      <c r="F231" s="42" t="n"/>
      <c r="G231" s="42" t="inlineStr">
        <is>
          <t>Накладные расходы (расходные материалы, комплектация заказов, зарплата АУП и пр.)</t>
        </is>
      </c>
      <c r="H231" s="42" t="inlineStr">
        <is>
          <t>Скрыть из клиентской версии</t>
        </is>
      </c>
      <c r="I231" s="42" t="inlineStr">
        <is>
          <t>База</t>
        </is>
      </c>
      <c r="J231" s="42" t="inlineStr">
        <is>
          <t>Автогенерация из реального прайса; проверить вручную</t>
        </is>
      </c>
    </row>
    <row r="232">
      <c r="A232" s="41" t="inlineStr">
        <is>
          <t>RWORK-0077</t>
        </is>
      </c>
      <c r="B232" s="41" t="inlineStr">
        <is>
          <t>Накладные расходы (расходные материалы, комплектация заказов, зарплата АУП и пр.)</t>
        </is>
      </c>
      <c r="C232" s="41" t="inlineStr">
        <is>
          <t>Премиум</t>
        </is>
      </c>
      <c r="D232" s="41" t="inlineStr">
        <is>
          <t>Да</t>
        </is>
      </c>
      <c r="E232" s="41" t="inlineStr">
        <is>
          <t>Стандарт</t>
        </is>
      </c>
      <c r="F232" s="41" t="n"/>
      <c r="G232" s="41" t="inlineStr">
        <is>
          <t>Накладные расходы (расходные материалы, комплектация заказов, зарплата АУП и пр.)</t>
        </is>
      </c>
      <c r="H232" s="41" t="inlineStr">
        <is>
          <t>Скрыть из клиентской версии</t>
        </is>
      </c>
      <c r="I232" s="41" t="inlineStr">
        <is>
          <t>Детально</t>
        </is>
      </c>
      <c r="J232" s="41" t="inlineStr">
        <is>
          <t>Автогенерация из реального прайса; проверить вручную</t>
        </is>
      </c>
    </row>
    <row r="233">
      <c r="A233" s="42" t="inlineStr">
        <is>
          <t>RWORK-0078</t>
        </is>
      </c>
      <c r="B233" s="42" t="inlineStr">
        <is>
          <t>Обратная засыпка грунта</t>
        </is>
      </c>
      <c r="C233" s="42" t="inlineStr">
        <is>
          <t>Эконом</t>
        </is>
      </c>
      <c r="D233" s="42" t="inlineStr">
        <is>
          <t>Да</t>
        </is>
      </c>
      <c r="E233" s="42" t="inlineStr">
        <is>
          <t>Стандарт</t>
        </is>
      </c>
      <c r="F233" s="42" t="n"/>
      <c r="G233" s="42" t="inlineStr">
        <is>
          <t>Обратная засыпка грунта</t>
        </is>
      </c>
      <c r="H233" s="42" t="inlineStr">
        <is>
          <t>Свернуть в раздел</t>
        </is>
      </c>
      <c r="I233" s="42" t="inlineStr">
        <is>
          <t>Минимум</t>
        </is>
      </c>
      <c r="J233" s="42" t="inlineStr">
        <is>
          <t>Автогенерация из реального прайса; проверить вручную</t>
        </is>
      </c>
    </row>
    <row r="234">
      <c r="A234" s="41" t="inlineStr">
        <is>
          <t>RWORK-0078</t>
        </is>
      </c>
      <c r="B234" s="41" t="inlineStr">
        <is>
          <t>Обратная засыпка грунта</t>
        </is>
      </c>
      <c r="C234" s="41" t="inlineStr">
        <is>
          <t>Стандарт</t>
        </is>
      </c>
      <c r="D234" s="41" t="inlineStr">
        <is>
          <t>Да</t>
        </is>
      </c>
      <c r="E234" s="41" t="inlineStr">
        <is>
          <t>Стандарт</t>
        </is>
      </c>
      <c r="F234" s="41" t="n"/>
      <c r="G234" s="41" t="inlineStr">
        <is>
          <t>Обратная засыпка грунта</t>
        </is>
      </c>
      <c r="H234" s="41" t="inlineStr">
        <is>
          <t>Показать строкой</t>
        </is>
      </c>
      <c r="I234" s="41" t="inlineStr">
        <is>
          <t>База</t>
        </is>
      </c>
      <c r="J234" s="41" t="inlineStr">
        <is>
          <t>Автогенерация из реального прайса; проверить вручную</t>
        </is>
      </c>
    </row>
    <row r="235">
      <c r="A235" s="42" t="inlineStr">
        <is>
          <t>RWORK-0078</t>
        </is>
      </c>
      <c r="B235" s="42" t="inlineStr">
        <is>
          <t>Обратная засыпка грунта</t>
        </is>
      </c>
      <c r="C235" s="42" t="inlineStr">
        <is>
          <t>Премиум</t>
        </is>
      </c>
      <c r="D235" s="42" t="inlineStr">
        <is>
          <t>Да</t>
        </is>
      </c>
      <c r="E235" s="42" t="inlineStr">
        <is>
          <t>Стандарт</t>
        </is>
      </c>
      <c r="F235" s="42" t="n"/>
      <c r="G235" s="42" t="inlineStr">
        <is>
          <t>Обратная засыпка грунта</t>
        </is>
      </c>
      <c r="H235" s="42" t="inlineStr">
        <is>
          <t>Показать строкой</t>
        </is>
      </c>
      <c r="I235" s="42" t="inlineStr">
        <is>
          <t>Детально</t>
        </is>
      </c>
      <c r="J235" s="42" t="inlineStr">
        <is>
          <t>Автогенерация из реального прайса; проверить вручную</t>
        </is>
      </c>
    </row>
    <row r="236">
      <c r="A236" s="41" t="inlineStr">
        <is>
          <t>RWORK-0079</t>
        </is>
      </c>
      <c r="B236" s="41" t="inlineStr">
        <is>
          <t>Обратная засыпка с послойной трамбовкой вручную</t>
        </is>
      </c>
      <c r="C236" s="41" t="inlineStr">
        <is>
          <t>Эконом</t>
        </is>
      </c>
      <c r="D236" s="41" t="inlineStr">
        <is>
          <t>Да</t>
        </is>
      </c>
      <c r="E236" s="41" t="inlineStr">
        <is>
          <t>Ручной</t>
        </is>
      </c>
      <c r="F236" s="41" t="n"/>
      <c r="G236" s="41" t="inlineStr">
        <is>
          <t>Обратная засыпка с послойной трамбовкой вручную</t>
        </is>
      </c>
      <c r="H236" s="41" t="inlineStr">
        <is>
          <t>Свернуть в раздел</t>
        </is>
      </c>
      <c r="I236" s="41" t="inlineStr">
        <is>
          <t>Минимум</t>
        </is>
      </c>
      <c r="J236" s="41" t="inlineStr">
        <is>
          <t>Автогенерация из реального прайса; проверить вручную</t>
        </is>
      </c>
    </row>
    <row r="237">
      <c r="A237" s="42" t="inlineStr">
        <is>
          <t>RWORK-0079</t>
        </is>
      </c>
      <c r="B237" s="42" t="inlineStr">
        <is>
          <t>Обратная засыпка с послойной трамбовкой вручную</t>
        </is>
      </c>
      <c r="C237" s="42" t="inlineStr">
        <is>
          <t>Стандарт</t>
        </is>
      </c>
      <c r="D237" s="42" t="inlineStr">
        <is>
          <t>Да</t>
        </is>
      </c>
      <c r="E237" s="42" t="inlineStr">
        <is>
          <t>Ручной</t>
        </is>
      </c>
      <c r="F237" s="42" t="n"/>
      <c r="G237" s="42" t="inlineStr">
        <is>
          <t>Обратная засыпка с послойной трамбовкой вручную</t>
        </is>
      </c>
      <c r="H237" s="42" t="inlineStr">
        <is>
          <t>Показать строкой</t>
        </is>
      </c>
      <c r="I237" s="42" t="inlineStr">
        <is>
          <t>База</t>
        </is>
      </c>
      <c r="J237" s="42" t="inlineStr">
        <is>
          <t>Автогенерация из реального прайса; проверить вручную</t>
        </is>
      </c>
    </row>
    <row r="238">
      <c r="A238" s="41" t="inlineStr">
        <is>
          <t>RWORK-0079</t>
        </is>
      </c>
      <c r="B238" s="41" t="inlineStr">
        <is>
          <t>Обратная засыпка с послойной трамбовкой вручную</t>
        </is>
      </c>
      <c r="C238" s="41" t="inlineStr">
        <is>
          <t>Премиум</t>
        </is>
      </c>
      <c r="D238" s="41" t="inlineStr">
        <is>
          <t>Да</t>
        </is>
      </c>
      <c r="E238" s="41" t="inlineStr">
        <is>
          <t>Ручной</t>
        </is>
      </c>
      <c r="F238" s="41" t="n"/>
      <c r="G238" s="41" t="inlineStr">
        <is>
          <t>Обратная засыпка с послойной трамбовкой вручную</t>
        </is>
      </c>
      <c r="H238" s="41" t="inlineStr">
        <is>
          <t>Показать строкой</t>
        </is>
      </c>
      <c r="I238" s="41" t="inlineStr">
        <is>
          <t>Детально</t>
        </is>
      </c>
      <c r="J238" s="41" t="inlineStr">
        <is>
          <t>Автогенерация из реального прайса; проверить вручную</t>
        </is>
      </c>
    </row>
    <row r="239">
      <c r="A239" s="42" t="inlineStr">
        <is>
          <t>RWORK-0080</t>
        </is>
      </c>
      <c r="B239" s="42" t="inlineStr">
        <is>
          <t>Обратная засыпка траншеи после прокладки кабеля</t>
        </is>
      </c>
      <c r="C239" s="42" t="inlineStr">
        <is>
          <t>Эконом</t>
        </is>
      </c>
      <c r="D239" s="42" t="inlineStr">
        <is>
          <t>Да</t>
        </is>
      </c>
      <c r="E239" s="42" t="inlineStr">
        <is>
          <t>Стандарт</t>
        </is>
      </c>
      <c r="F239" s="42" t="n"/>
      <c r="G239" s="42" t="inlineStr">
        <is>
          <t>Обратная засыпка траншеи после прокладки кабеля</t>
        </is>
      </c>
      <c r="H239" s="42" t="inlineStr">
        <is>
          <t>Свернуть в раздел</t>
        </is>
      </c>
      <c r="I239" s="42" t="inlineStr">
        <is>
          <t>Минимум</t>
        </is>
      </c>
      <c r="J239" s="42" t="inlineStr">
        <is>
          <t>Автогенерация из реального прайса; проверить вручную</t>
        </is>
      </c>
    </row>
    <row r="240">
      <c r="A240" s="41" t="inlineStr">
        <is>
          <t>RWORK-0080</t>
        </is>
      </c>
      <c r="B240" s="41" t="inlineStr">
        <is>
          <t>Обратная засыпка траншеи после прокладки кабеля</t>
        </is>
      </c>
      <c r="C240" s="41" t="inlineStr">
        <is>
          <t>Стандарт</t>
        </is>
      </c>
      <c r="D240" s="41" t="inlineStr">
        <is>
          <t>Да</t>
        </is>
      </c>
      <c r="E240" s="41" t="inlineStr">
        <is>
          <t>Стандарт</t>
        </is>
      </c>
      <c r="F240" s="41" t="n"/>
      <c r="G240" s="41" t="inlineStr">
        <is>
          <t>Обратная засыпка траншеи после прокладки кабеля</t>
        </is>
      </c>
      <c r="H240" s="41" t="inlineStr">
        <is>
          <t>Показать строкой</t>
        </is>
      </c>
      <c r="I240" s="41" t="inlineStr">
        <is>
          <t>База</t>
        </is>
      </c>
      <c r="J240" s="41" t="inlineStr">
        <is>
          <t>Автогенерация из реального прайса; проверить вручную</t>
        </is>
      </c>
    </row>
    <row r="241">
      <c r="A241" s="42" t="inlineStr">
        <is>
          <t>RWORK-0080</t>
        </is>
      </c>
      <c r="B241" s="42" t="inlineStr">
        <is>
          <t>Обратная засыпка траншеи после прокладки кабеля</t>
        </is>
      </c>
      <c r="C241" s="42" t="inlineStr">
        <is>
          <t>Премиум</t>
        </is>
      </c>
      <c r="D241" s="42" t="inlineStr">
        <is>
          <t>Да</t>
        </is>
      </c>
      <c r="E241" s="42" t="inlineStr">
        <is>
          <t>Стандарт</t>
        </is>
      </c>
      <c r="F241" s="42" t="n"/>
      <c r="G241" s="42" t="inlineStr">
        <is>
          <t>Обратная засыпка траншеи после прокладки кабеля</t>
        </is>
      </c>
      <c r="H241" s="42" t="inlineStr">
        <is>
          <t>Показать строкой</t>
        </is>
      </c>
      <c r="I241" s="42" t="inlineStr">
        <is>
          <t>Детально</t>
        </is>
      </c>
      <c r="J241" s="42" t="inlineStr">
        <is>
          <t>Автогенерация из реального прайса; проверить вручную</t>
        </is>
      </c>
    </row>
    <row r="242">
      <c r="A242" s="41" t="inlineStr">
        <is>
          <t>RWORK-0081</t>
        </is>
      </c>
      <c r="B242" s="41" t="inlineStr">
        <is>
          <t>Обрезка краев газона криволинейная</t>
        </is>
      </c>
      <c r="C242" s="41" t="inlineStr">
        <is>
          <t>Эконом</t>
        </is>
      </c>
      <c r="D242" s="41" t="inlineStr">
        <is>
          <t>Да</t>
        </is>
      </c>
      <c r="E242" s="41" t="inlineStr">
        <is>
          <t>Стандарт</t>
        </is>
      </c>
      <c r="F242" s="41" t="n"/>
      <c r="G242" s="41" t="inlineStr">
        <is>
          <t>Обрезка краев газона криволинейная</t>
        </is>
      </c>
      <c r="H242" s="41" t="inlineStr">
        <is>
          <t>Свернуть в раздел</t>
        </is>
      </c>
      <c r="I242" s="41" t="inlineStr">
        <is>
          <t>Минимум</t>
        </is>
      </c>
      <c r="J242" s="41" t="inlineStr">
        <is>
          <t>Автогенерация из реального прайса; проверить вручную</t>
        </is>
      </c>
    </row>
    <row r="243">
      <c r="A243" s="42" t="inlineStr">
        <is>
          <t>RWORK-0081</t>
        </is>
      </c>
      <c r="B243" s="42" t="inlineStr">
        <is>
          <t>Обрезка краев газона криволинейная</t>
        </is>
      </c>
      <c r="C243" s="42" t="inlineStr">
        <is>
          <t>Стандарт</t>
        </is>
      </c>
      <c r="D243" s="42" t="inlineStr">
        <is>
          <t>Да</t>
        </is>
      </c>
      <c r="E243" s="42" t="inlineStr">
        <is>
          <t>Стандарт</t>
        </is>
      </c>
      <c r="F243" s="42" t="n"/>
      <c r="G243" s="42" t="inlineStr">
        <is>
          <t>Обрезка краев газона криволинейная</t>
        </is>
      </c>
      <c r="H243" s="42" t="inlineStr">
        <is>
          <t>Показать строкой</t>
        </is>
      </c>
      <c r="I243" s="42" t="inlineStr">
        <is>
          <t>База</t>
        </is>
      </c>
      <c r="J243" s="42" t="inlineStr">
        <is>
          <t>Автогенерация из реального прайса; проверить вручную</t>
        </is>
      </c>
    </row>
    <row r="244">
      <c r="A244" s="41" t="inlineStr">
        <is>
          <t>RWORK-0081</t>
        </is>
      </c>
      <c r="B244" s="41" t="inlineStr">
        <is>
          <t>Обрезка краев газона криволинейная</t>
        </is>
      </c>
      <c r="C244" s="41" t="inlineStr">
        <is>
          <t>Премиум</t>
        </is>
      </c>
      <c r="D244" s="41" t="inlineStr">
        <is>
          <t>Да</t>
        </is>
      </c>
      <c r="E244" s="41" t="inlineStr">
        <is>
          <t>Стандарт</t>
        </is>
      </c>
      <c r="F244" s="41" t="n"/>
      <c r="G244" s="41" t="inlineStr">
        <is>
          <t>Обрезка краев газона криволинейная</t>
        </is>
      </c>
      <c r="H244" s="41" t="inlineStr">
        <is>
          <t>Показать строкой</t>
        </is>
      </c>
      <c r="I244" s="41" t="inlineStr">
        <is>
          <t>Детально</t>
        </is>
      </c>
      <c r="J244" s="41" t="inlineStr">
        <is>
          <t>Автогенерация из реального прайса; проверить вручную</t>
        </is>
      </c>
    </row>
    <row r="245">
      <c r="A245" s="42" t="inlineStr">
        <is>
          <t>RWORK-0082</t>
        </is>
      </c>
      <c r="B245" s="42" t="inlineStr">
        <is>
          <t>Обрезка плодовых деревьев (май и сентябрь)</t>
        </is>
      </c>
      <c r="C245" s="42" t="inlineStr">
        <is>
          <t>Эконом</t>
        </is>
      </c>
      <c r="D245" s="42" t="inlineStr">
        <is>
          <t>Да</t>
        </is>
      </c>
      <c r="E245" s="42" t="inlineStr">
        <is>
          <t>Стандарт</t>
        </is>
      </c>
      <c r="F245" s="42" t="n"/>
      <c r="G245" s="42" t="inlineStr">
        <is>
          <t>Обрезка плодовых деревьев (май и сентябрь)</t>
        </is>
      </c>
      <c r="H245" s="42" t="inlineStr">
        <is>
          <t>Свернуть в раздел</t>
        </is>
      </c>
      <c r="I245" s="42" t="inlineStr">
        <is>
          <t>Минимум</t>
        </is>
      </c>
      <c r="J245" s="42" t="inlineStr">
        <is>
          <t>Автогенерация из реального прайса; проверить вручную</t>
        </is>
      </c>
    </row>
    <row r="246">
      <c r="A246" s="41" t="inlineStr">
        <is>
          <t>RWORK-0082</t>
        </is>
      </c>
      <c r="B246" s="41" t="inlineStr">
        <is>
          <t>Обрезка плодовых деревьев (май и сентябрь)</t>
        </is>
      </c>
      <c r="C246" s="41" t="inlineStr">
        <is>
          <t>Стандарт</t>
        </is>
      </c>
      <c r="D246" s="41" t="inlineStr">
        <is>
          <t>Да</t>
        </is>
      </c>
      <c r="E246" s="41" t="inlineStr">
        <is>
          <t>Стандарт</t>
        </is>
      </c>
      <c r="F246" s="41" t="n"/>
      <c r="G246" s="41" t="inlineStr">
        <is>
          <t>Обрезка плодовых деревьев (май и сентябрь)</t>
        </is>
      </c>
      <c r="H246" s="41" t="inlineStr">
        <is>
          <t>Показать строкой</t>
        </is>
      </c>
      <c r="I246" s="41" t="inlineStr">
        <is>
          <t>База</t>
        </is>
      </c>
      <c r="J246" s="41" t="inlineStr">
        <is>
          <t>Автогенерация из реального прайса; проверить вручную</t>
        </is>
      </c>
    </row>
    <row r="247">
      <c r="A247" s="42" t="inlineStr">
        <is>
          <t>RWORK-0082</t>
        </is>
      </c>
      <c r="B247" s="42" t="inlineStr">
        <is>
          <t>Обрезка плодовых деревьев (май и сентябрь)</t>
        </is>
      </c>
      <c r="C247" s="42" t="inlineStr">
        <is>
          <t>Премиум</t>
        </is>
      </c>
      <c r="D247" s="42" t="inlineStr">
        <is>
          <t>Да</t>
        </is>
      </c>
      <c r="E247" s="42" t="inlineStr">
        <is>
          <t>Стандарт</t>
        </is>
      </c>
      <c r="F247" s="42" t="n"/>
      <c r="G247" s="42" t="inlineStr">
        <is>
          <t>Обрезка плодовых деревьев (май и сентябрь)</t>
        </is>
      </c>
      <c r="H247" s="42" t="inlineStr">
        <is>
          <t>Показать строкой</t>
        </is>
      </c>
      <c r="I247" s="42" t="inlineStr">
        <is>
          <t>Детально</t>
        </is>
      </c>
      <c r="J247" s="42" t="inlineStr">
        <is>
          <t>Автогенерация из реального прайса; проверить вручную</t>
        </is>
      </c>
    </row>
    <row r="248">
      <c r="A248" s="41" t="inlineStr">
        <is>
          <t>RWORK-0083</t>
        </is>
      </c>
      <c r="B248" s="41" t="inlineStr">
        <is>
          <t>окраска в цвет по RAL</t>
        </is>
      </c>
      <c r="C248" s="41" t="inlineStr">
        <is>
          <t>Эконом</t>
        </is>
      </c>
      <c r="D248" s="41" t="inlineStr">
        <is>
          <t>Да</t>
        </is>
      </c>
      <c r="E248" s="41" t="inlineStr">
        <is>
          <t>Стандарт</t>
        </is>
      </c>
      <c r="F248" s="41" t="n"/>
      <c r="G248" s="41" t="inlineStr">
        <is>
          <t>окраска в цвет по RAL</t>
        </is>
      </c>
      <c r="H248" s="41" t="inlineStr">
        <is>
          <t>Свернуть в раздел</t>
        </is>
      </c>
      <c r="I248" s="41" t="inlineStr">
        <is>
          <t>Минимум</t>
        </is>
      </c>
      <c r="J248" s="41" t="inlineStr">
        <is>
          <t>Автогенерация из реального прайса; проверить вручную</t>
        </is>
      </c>
    </row>
    <row r="249">
      <c r="A249" s="42" t="inlineStr">
        <is>
          <t>RWORK-0083</t>
        </is>
      </c>
      <c r="B249" s="42" t="inlineStr">
        <is>
          <t>окраска в цвет по RAL</t>
        </is>
      </c>
      <c r="C249" s="42" t="inlineStr">
        <is>
          <t>Стандарт</t>
        </is>
      </c>
      <c r="D249" s="42" t="inlineStr">
        <is>
          <t>Да</t>
        </is>
      </c>
      <c r="E249" s="42" t="inlineStr">
        <is>
          <t>Стандарт</t>
        </is>
      </c>
      <c r="F249" s="42" t="n"/>
      <c r="G249" s="42" t="inlineStr">
        <is>
          <t>окраска в цвет по RAL</t>
        </is>
      </c>
      <c r="H249" s="42" t="inlineStr">
        <is>
          <t>Показать строкой</t>
        </is>
      </c>
      <c r="I249" s="42" t="inlineStr">
        <is>
          <t>База</t>
        </is>
      </c>
      <c r="J249" s="42" t="inlineStr">
        <is>
          <t>Автогенерация из реального прайса; проверить вручную</t>
        </is>
      </c>
    </row>
    <row r="250">
      <c r="A250" s="41" t="inlineStr">
        <is>
          <t>RWORK-0083</t>
        </is>
      </c>
      <c r="B250" s="41" t="inlineStr">
        <is>
          <t>окраска в цвет по RAL</t>
        </is>
      </c>
      <c r="C250" s="41" t="inlineStr">
        <is>
          <t>Премиум</t>
        </is>
      </c>
      <c r="D250" s="41" t="inlineStr">
        <is>
          <t>Да</t>
        </is>
      </c>
      <c r="E250" s="41" t="inlineStr">
        <is>
          <t>Стандарт</t>
        </is>
      </c>
      <c r="F250" s="41" t="n"/>
      <c r="G250" s="41" t="inlineStr">
        <is>
          <t>окраска в цвет по RAL</t>
        </is>
      </c>
      <c r="H250" s="41" t="inlineStr">
        <is>
          <t>Показать строкой</t>
        </is>
      </c>
      <c r="I250" s="41" t="inlineStr">
        <is>
          <t>Детально</t>
        </is>
      </c>
      <c r="J250" s="41" t="inlineStr">
        <is>
          <t>Автогенерация из реального прайса; проверить вручную</t>
        </is>
      </c>
    </row>
    <row r="251">
      <c r="A251" s="42" t="inlineStr">
        <is>
          <t>RWORK-0084</t>
        </is>
      </c>
      <c r="B251" s="42" t="inlineStr">
        <is>
          <t>Окраска доски в один слой с фасадной стороны и торцов</t>
        </is>
      </c>
      <c r="C251" s="42" t="inlineStr">
        <is>
          <t>Эконом</t>
        </is>
      </c>
      <c r="D251" s="42" t="inlineStr">
        <is>
          <t>Да</t>
        </is>
      </c>
      <c r="E251" s="42" t="inlineStr">
        <is>
          <t>Стандарт</t>
        </is>
      </c>
      <c r="F251" s="42" t="n"/>
      <c r="G251" s="42" t="inlineStr">
        <is>
          <t>Окраска доски в один слой с фасадной стороны и торцов</t>
        </is>
      </c>
      <c r="H251" s="42" t="inlineStr">
        <is>
          <t>Свернуть в раздел</t>
        </is>
      </c>
      <c r="I251" s="42" t="inlineStr">
        <is>
          <t>Минимум</t>
        </is>
      </c>
      <c r="J251" s="42" t="inlineStr">
        <is>
          <t>Автогенерация из реального прайса; проверить вручную</t>
        </is>
      </c>
    </row>
    <row r="252">
      <c r="A252" s="41" t="inlineStr">
        <is>
          <t>RWORK-0084</t>
        </is>
      </c>
      <c r="B252" s="41" t="inlineStr">
        <is>
          <t>Окраска доски в один слой с фасадной стороны и торцов</t>
        </is>
      </c>
      <c r="C252" s="41" t="inlineStr">
        <is>
          <t>Стандарт</t>
        </is>
      </c>
      <c r="D252" s="41" t="inlineStr">
        <is>
          <t>Да</t>
        </is>
      </c>
      <c r="E252" s="41" t="inlineStr">
        <is>
          <t>Стандарт</t>
        </is>
      </c>
      <c r="F252" s="41" t="n"/>
      <c r="G252" s="41" t="inlineStr">
        <is>
          <t>Окраска доски в один слой с фасадной стороны и торцов</t>
        </is>
      </c>
      <c r="H252" s="41" t="inlineStr">
        <is>
          <t>Показать строкой</t>
        </is>
      </c>
      <c r="I252" s="41" t="inlineStr">
        <is>
          <t>База</t>
        </is>
      </c>
      <c r="J252" s="41" t="inlineStr">
        <is>
          <t>Автогенерация из реального прайса; проверить вручную</t>
        </is>
      </c>
    </row>
    <row r="253">
      <c r="A253" s="42" t="inlineStr">
        <is>
          <t>RWORK-0084</t>
        </is>
      </c>
      <c r="B253" s="42" t="inlineStr">
        <is>
          <t>Окраска доски в один слой с фасадной стороны и торцов</t>
        </is>
      </c>
      <c r="C253" s="42" t="inlineStr">
        <is>
          <t>Премиум</t>
        </is>
      </c>
      <c r="D253" s="42" t="inlineStr">
        <is>
          <t>Да</t>
        </is>
      </c>
      <c r="E253" s="42" t="inlineStr">
        <is>
          <t>Стандарт</t>
        </is>
      </c>
      <c r="F253" s="42" t="n"/>
      <c r="G253" s="42" t="inlineStr">
        <is>
          <t>Окраска доски в один слой с фасадной стороны и торцов</t>
        </is>
      </c>
      <c r="H253" s="42" t="inlineStr">
        <is>
          <t>Показать строкой</t>
        </is>
      </c>
      <c r="I253" s="42" t="inlineStr">
        <is>
          <t>Детально</t>
        </is>
      </c>
      <c r="J253" s="42" t="inlineStr">
        <is>
          <t>Автогенерация из реального прайса; проверить вручную</t>
        </is>
      </c>
    </row>
    <row r="254">
      <c r="A254" s="41" t="inlineStr">
        <is>
          <t>RWORK-0085</t>
        </is>
      </c>
      <c r="B254" s="41" t="inlineStr">
        <is>
          <t>Перекопка верхнего слоя почвы с выбором корневищ и мусора, внесением грунта и песка</t>
        </is>
      </c>
      <c r="C254" s="41" t="inlineStr">
        <is>
          <t>Эконом</t>
        </is>
      </c>
      <c r="D254" s="41" t="inlineStr">
        <is>
          <t>Да</t>
        </is>
      </c>
      <c r="E254" s="41" t="inlineStr">
        <is>
          <t>Стандарт</t>
        </is>
      </c>
      <c r="F254" s="41" t="n"/>
      <c r="G254" s="41" t="inlineStr">
        <is>
          <t>Перекопка верхнего слоя почвы с выбором корневищ и мусора, внесением грунта и песка</t>
        </is>
      </c>
      <c r="H254" s="41" t="inlineStr">
        <is>
          <t>Свернуть в раздел</t>
        </is>
      </c>
      <c r="I254" s="41" t="inlineStr">
        <is>
          <t>Минимум</t>
        </is>
      </c>
      <c r="J254" s="41" t="inlineStr">
        <is>
          <t>Автогенерация из реального прайса; проверить вручную</t>
        </is>
      </c>
    </row>
    <row r="255">
      <c r="A255" s="42" t="inlineStr">
        <is>
          <t>RWORK-0085</t>
        </is>
      </c>
      <c r="B255" s="42" t="inlineStr">
        <is>
          <t>Перекопка верхнего слоя почвы с выбором корневищ и мусора, внесением грунта и песка</t>
        </is>
      </c>
      <c r="C255" s="42" t="inlineStr">
        <is>
          <t>Стандарт</t>
        </is>
      </c>
      <c r="D255" s="42" t="inlineStr">
        <is>
          <t>Да</t>
        </is>
      </c>
      <c r="E255" s="42" t="inlineStr">
        <is>
          <t>Стандарт</t>
        </is>
      </c>
      <c r="F255" s="42" t="n"/>
      <c r="G255" s="42" t="inlineStr">
        <is>
          <t>Перекопка верхнего слоя почвы с выбором корневищ и мусора, внесением грунта и песка</t>
        </is>
      </c>
      <c r="H255" s="42" t="inlineStr">
        <is>
          <t>Показать строкой</t>
        </is>
      </c>
      <c r="I255" s="42" t="inlineStr">
        <is>
          <t>База</t>
        </is>
      </c>
      <c r="J255" s="42" t="inlineStr">
        <is>
          <t>Автогенерация из реального прайса; проверить вручную</t>
        </is>
      </c>
    </row>
    <row r="256">
      <c r="A256" s="41" t="inlineStr">
        <is>
          <t>RWORK-0085</t>
        </is>
      </c>
      <c r="B256" s="41" t="inlineStr">
        <is>
          <t>Перекопка верхнего слоя почвы с выбором корневищ и мусора, внесением грунта и песка</t>
        </is>
      </c>
      <c r="C256" s="41" t="inlineStr">
        <is>
          <t>Премиум</t>
        </is>
      </c>
      <c r="D256" s="41" t="inlineStr">
        <is>
          <t>Да</t>
        </is>
      </c>
      <c r="E256" s="41" t="inlineStr">
        <is>
          <t>Стандарт</t>
        </is>
      </c>
      <c r="F256" s="41" t="n"/>
      <c r="G256" s="41" t="inlineStr">
        <is>
          <t>Перекопка верхнего слоя почвы с выбором корневищ и мусора, внесением грунта и песка</t>
        </is>
      </c>
      <c r="H256" s="41" t="inlineStr">
        <is>
          <t>Показать строкой</t>
        </is>
      </c>
      <c r="I256" s="41" t="inlineStr">
        <is>
          <t>Детально</t>
        </is>
      </c>
      <c r="J256" s="41" t="inlineStr">
        <is>
          <t>Автогенерация из реального прайса; проверить вручную</t>
        </is>
      </c>
    </row>
    <row r="257">
      <c r="A257" s="42" t="inlineStr">
        <is>
          <t>RWORK-0086</t>
        </is>
      </c>
      <c r="B257" s="42" t="inlineStr">
        <is>
          <t>Перекопка с внесением крупного песка и с дальнейшим выравниванием, выведением уклонов и уплотнением</t>
        </is>
      </c>
      <c r="C257" s="42" t="inlineStr">
        <is>
          <t>Эконом</t>
        </is>
      </c>
      <c r="D257" s="42" t="inlineStr">
        <is>
          <t>Да</t>
        </is>
      </c>
      <c r="E257" s="42" t="inlineStr">
        <is>
          <t>Стандарт</t>
        </is>
      </c>
      <c r="F257" s="42" t="n"/>
      <c r="G257" s="42" t="inlineStr">
        <is>
          <t>Перекопка с внесением крупного песка и с дальнейшим выравниванием, выведением уклонов и уплотнением</t>
        </is>
      </c>
      <c r="H257" s="42" t="inlineStr">
        <is>
          <t>Свернуть в раздел</t>
        </is>
      </c>
      <c r="I257" s="42" t="inlineStr">
        <is>
          <t>Минимум</t>
        </is>
      </c>
      <c r="J257" s="42" t="inlineStr">
        <is>
          <t>Автогенерация из реального прайса; проверить вручную</t>
        </is>
      </c>
    </row>
    <row r="258">
      <c r="A258" s="41" t="inlineStr">
        <is>
          <t>RWORK-0086</t>
        </is>
      </c>
      <c r="B258" s="41" t="inlineStr">
        <is>
          <t>Перекопка с внесением крупного песка и с дальнейшим выравниванием, выведением уклонов и уплотнением</t>
        </is>
      </c>
      <c r="C258" s="41" t="inlineStr">
        <is>
          <t>Стандарт</t>
        </is>
      </c>
      <c r="D258" s="41" t="inlineStr">
        <is>
          <t>Да</t>
        </is>
      </c>
      <c r="E258" s="41" t="inlineStr">
        <is>
          <t>Стандарт</t>
        </is>
      </c>
      <c r="F258" s="41" t="n"/>
      <c r="G258" s="41" t="inlineStr">
        <is>
          <t>Перекопка с внесением крупного песка и с дальнейшим выравниванием, выведением уклонов и уплотнением</t>
        </is>
      </c>
      <c r="H258" s="41" t="inlineStr">
        <is>
          <t>Показать строкой</t>
        </is>
      </c>
      <c r="I258" s="41" t="inlineStr">
        <is>
          <t>База</t>
        </is>
      </c>
      <c r="J258" s="41" t="inlineStr">
        <is>
          <t>Автогенерация из реального прайса; проверить вручную</t>
        </is>
      </c>
    </row>
    <row r="259">
      <c r="A259" s="42" t="inlineStr">
        <is>
          <t>RWORK-0086</t>
        </is>
      </c>
      <c r="B259" s="42" t="inlineStr">
        <is>
          <t>Перекопка с внесением крупного песка и с дальнейшим выравниванием, выведением уклонов и уплотнением</t>
        </is>
      </c>
      <c r="C259" s="42" t="inlineStr">
        <is>
          <t>Премиум</t>
        </is>
      </c>
      <c r="D259" s="42" t="inlineStr">
        <is>
          <t>Да</t>
        </is>
      </c>
      <c r="E259" s="42" t="inlineStr">
        <is>
          <t>Стандарт</t>
        </is>
      </c>
      <c r="F259" s="42" t="n"/>
      <c r="G259" s="42" t="inlineStr">
        <is>
          <t>Перекопка с внесением крупного песка и с дальнейшим выравниванием, выведением уклонов и уплотнением</t>
        </is>
      </c>
      <c r="H259" s="42" t="inlineStr">
        <is>
          <t>Показать строкой</t>
        </is>
      </c>
      <c r="I259" s="42" t="inlineStr">
        <is>
          <t>Детально</t>
        </is>
      </c>
      <c r="J259" s="42" t="inlineStr">
        <is>
          <t>Автогенерация из реального прайса; проверить вручную</t>
        </is>
      </c>
    </row>
    <row r="260">
      <c r="A260" s="41" t="inlineStr">
        <is>
          <t>RWORK-0087</t>
        </is>
      </c>
      <c r="B260" s="41" t="inlineStr">
        <is>
          <t>Перемещение камня по участку</t>
        </is>
      </c>
      <c r="C260" s="41" t="inlineStr">
        <is>
          <t>Эконом</t>
        </is>
      </c>
      <c r="D260" s="41" t="inlineStr">
        <is>
          <t>Да</t>
        </is>
      </c>
      <c r="E260" s="41" t="inlineStr">
        <is>
          <t>Стандарт</t>
        </is>
      </c>
      <c r="F260" s="41" t="n"/>
      <c r="G260" s="41" t="inlineStr">
        <is>
          <t>Перемещение камня по участку</t>
        </is>
      </c>
      <c r="H260" s="41" t="inlineStr">
        <is>
          <t>Свернуть в раздел</t>
        </is>
      </c>
      <c r="I260" s="41" t="inlineStr">
        <is>
          <t>Минимум</t>
        </is>
      </c>
      <c r="J260" s="41" t="inlineStr">
        <is>
          <t>Автогенерация из реального прайса; проверить вручную</t>
        </is>
      </c>
    </row>
    <row r="261">
      <c r="A261" s="42" t="inlineStr">
        <is>
          <t>RWORK-0087</t>
        </is>
      </c>
      <c r="B261" s="42" t="inlineStr">
        <is>
          <t>Перемещение камня по участку</t>
        </is>
      </c>
      <c r="C261" s="42" t="inlineStr">
        <is>
          <t>Стандарт</t>
        </is>
      </c>
      <c r="D261" s="42" t="inlineStr">
        <is>
          <t>Да</t>
        </is>
      </c>
      <c r="E261" s="42" t="inlineStr">
        <is>
          <t>Стандарт</t>
        </is>
      </c>
      <c r="F261" s="42" t="n"/>
      <c r="G261" s="42" t="inlineStr">
        <is>
          <t>Перемещение камня по участку</t>
        </is>
      </c>
      <c r="H261" s="42" t="inlineStr">
        <is>
          <t>Показать строкой</t>
        </is>
      </c>
      <c r="I261" s="42" t="inlineStr">
        <is>
          <t>База</t>
        </is>
      </c>
      <c r="J261" s="42" t="inlineStr">
        <is>
          <t>Автогенерация из реального прайса; проверить вручную</t>
        </is>
      </c>
    </row>
    <row r="262">
      <c r="A262" s="41" t="inlineStr">
        <is>
          <t>RWORK-0087</t>
        </is>
      </c>
      <c r="B262" s="41" t="inlineStr">
        <is>
          <t>Перемещение камня по участку</t>
        </is>
      </c>
      <c r="C262" s="41" t="inlineStr">
        <is>
          <t>Премиум</t>
        </is>
      </c>
      <c r="D262" s="41" t="inlineStr">
        <is>
          <t>Да</t>
        </is>
      </c>
      <c r="E262" s="41" t="inlineStr">
        <is>
          <t>Стандарт</t>
        </is>
      </c>
      <c r="F262" s="41" t="n"/>
      <c r="G262" s="41" t="inlineStr">
        <is>
          <t>Перемещение камня по участку</t>
        </is>
      </c>
      <c r="H262" s="41" t="inlineStr">
        <is>
          <t>Показать строкой</t>
        </is>
      </c>
      <c r="I262" s="41" t="inlineStr">
        <is>
          <t>Детально</t>
        </is>
      </c>
      <c r="J262" s="41" t="inlineStr">
        <is>
          <t>Автогенерация из реального прайса; проверить вручную</t>
        </is>
      </c>
    </row>
    <row r="263">
      <c r="A263" s="42" t="inlineStr">
        <is>
          <t>RWORK-0088</t>
        </is>
      </c>
      <c r="B263" s="42" t="inlineStr">
        <is>
          <t>Перемещение песка по участку</t>
        </is>
      </c>
      <c r="C263" s="42" t="inlineStr">
        <is>
          <t>Эконом</t>
        </is>
      </c>
      <c r="D263" s="42" t="inlineStr">
        <is>
          <t>Да</t>
        </is>
      </c>
      <c r="E263" s="42" t="inlineStr">
        <is>
          <t>Стандарт</t>
        </is>
      </c>
      <c r="F263" s="42" t="n"/>
      <c r="G263" s="42" t="inlineStr">
        <is>
          <t>Перемещение песка по участку</t>
        </is>
      </c>
      <c r="H263" s="42" t="inlineStr">
        <is>
          <t>Свернуть в раздел</t>
        </is>
      </c>
      <c r="I263" s="42" t="inlineStr">
        <is>
          <t>Минимум</t>
        </is>
      </c>
      <c r="J263" s="42" t="inlineStr">
        <is>
          <t>Автогенерация из реального прайса; проверить вручную</t>
        </is>
      </c>
    </row>
    <row r="264">
      <c r="A264" s="41" t="inlineStr">
        <is>
          <t>RWORK-0088</t>
        </is>
      </c>
      <c r="B264" s="41" t="inlineStr">
        <is>
          <t>Перемещение песка по участку</t>
        </is>
      </c>
      <c r="C264" s="41" t="inlineStr">
        <is>
          <t>Стандарт</t>
        </is>
      </c>
      <c r="D264" s="41" t="inlineStr">
        <is>
          <t>Да</t>
        </is>
      </c>
      <c r="E264" s="41" t="inlineStr">
        <is>
          <t>Стандарт</t>
        </is>
      </c>
      <c r="F264" s="41" t="n"/>
      <c r="G264" s="41" t="inlineStr">
        <is>
          <t>Перемещение песка по участку</t>
        </is>
      </c>
      <c r="H264" s="41" t="inlineStr">
        <is>
          <t>Показать строкой</t>
        </is>
      </c>
      <c r="I264" s="41" t="inlineStr">
        <is>
          <t>База</t>
        </is>
      </c>
      <c r="J264" s="41" t="inlineStr">
        <is>
          <t>Автогенерация из реального прайса; проверить вручную</t>
        </is>
      </c>
    </row>
    <row r="265">
      <c r="A265" s="42" t="inlineStr">
        <is>
          <t>RWORK-0088</t>
        </is>
      </c>
      <c r="B265" s="42" t="inlineStr">
        <is>
          <t>Перемещение песка по участку</t>
        </is>
      </c>
      <c r="C265" s="42" t="inlineStr">
        <is>
          <t>Премиум</t>
        </is>
      </c>
      <c r="D265" s="42" t="inlineStr">
        <is>
          <t>Да</t>
        </is>
      </c>
      <c r="E265" s="42" t="inlineStr">
        <is>
          <t>Стандарт</t>
        </is>
      </c>
      <c r="F265" s="42" t="n"/>
      <c r="G265" s="42" t="inlineStr">
        <is>
          <t>Перемещение песка по участку</t>
        </is>
      </c>
      <c r="H265" s="42" t="inlineStr">
        <is>
          <t>Показать строкой</t>
        </is>
      </c>
      <c r="I265" s="42" t="inlineStr">
        <is>
          <t>Детально</t>
        </is>
      </c>
      <c r="J265" s="42" t="inlineStr">
        <is>
          <t>Автогенерация из реального прайса; проверить вручную</t>
        </is>
      </c>
    </row>
    <row r="266">
      <c r="A266" s="41" t="inlineStr">
        <is>
          <t>RWORK-0089</t>
        </is>
      </c>
      <c r="B266" s="41" t="inlineStr">
        <is>
          <t>Перемещение щебня по участку</t>
        </is>
      </c>
      <c r="C266" s="41" t="inlineStr">
        <is>
          <t>Эконом</t>
        </is>
      </c>
      <c r="D266" s="41" t="inlineStr">
        <is>
          <t>Да</t>
        </is>
      </c>
      <c r="E266" s="41" t="inlineStr">
        <is>
          <t>Стандарт</t>
        </is>
      </c>
      <c r="F266" s="41" t="n"/>
      <c r="G266" s="41" t="inlineStr">
        <is>
          <t>Перемещение щебня по участку</t>
        </is>
      </c>
      <c r="H266" s="41" t="inlineStr">
        <is>
          <t>Свернуть в раздел</t>
        </is>
      </c>
      <c r="I266" s="41" t="inlineStr">
        <is>
          <t>Минимум</t>
        </is>
      </c>
      <c r="J266" s="41" t="inlineStr">
        <is>
          <t>Автогенерация из реального прайса; проверить вручную</t>
        </is>
      </c>
    </row>
    <row r="267">
      <c r="A267" s="42" t="inlineStr">
        <is>
          <t>RWORK-0089</t>
        </is>
      </c>
      <c r="B267" s="42" t="inlineStr">
        <is>
          <t>Перемещение щебня по участку</t>
        </is>
      </c>
      <c r="C267" s="42" t="inlineStr">
        <is>
          <t>Стандарт</t>
        </is>
      </c>
      <c r="D267" s="42" t="inlineStr">
        <is>
          <t>Да</t>
        </is>
      </c>
      <c r="E267" s="42" t="inlineStr">
        <is>
          <t>Стандарт</t>
        </is>
      </c>
      <c r="F267" s="42" t="n"/>
      <c r="G267" s="42" t="inlineStr">
        <is>
          <t>Перемещение щебня по участку</t>
        </is>
      </c>
      <c r="H267" s="42" t="inlineStr">
        <is>
          <t>Показать строкой</t>
        </is>
      </c>
      <c r="I267" s="42" t="inlineStr">
        <is>
          <t>База</t>
        </is>
      </c>
      <c r="J267" s="42" t="inlineStr">
        <is>
          <t>Автогенерация из реального прайса; проверить вручную</t>
        </is>
      </c>
    </row>
    <row r="268">
      <c r="A268" s="41" t="inlineStr">
        <is>
          <t>RWORK-0089</t>
        </is>
      </c>
      <c r="B268" s="41" t="inlineStr">
        <is>
          <t>Перемещение щебня по участку</t>
        </is>
      </c>
      <c r="C268" s="41" t="inlineStr">
        <is>
          <t>Премиум</t>
        </is>
      </c>
      <c r="D268" s="41" t="inlineStr">
        <is>
          <t>Да</t>
        </is>
      </c>
      <c r="E268" s="41" t="inlineStr">
        <is>
          <t>Стандарт</t>
        </is>
      </c>
      <c r="F268" s="41" t="n"/>
      <c r="G268" s="41" t="inlineStr">
        <is>
          <t>Перемещение щебня по участку</t>
        </is>
      </c>
      <c r="H268" s="41" t="inlineStr">
        <is>
          <t>Показать строкой</t>
        </is>
      </c>
      <c r="I268" s="41" t="inlineStr">
        <is>
          <t>Детально</t>
        </is>
      </c>
      <c r="J268" s="41" t="inlineStr">
        <is>
          <t>Автогенерация из реального прайса; проверить вручную</t>
        </is>
      </c>
    </row>
    <row r="269">
      <c r="A269" s="42" t="inlineStr">
        <is>
          <t>RWORK-0090</t>
        </is>
      </c>
      <c r="B269" s="42" t="inlineStr">
        <is>
          <t>Погрузка мусора (механическая)</t>
        </is>
      </c>
      <c r="C269" s="42" t="inlineStr">
        <is>
          <t>Эконом</t>
        </is>
      </c>
      <c r="D269" s="42" t="inlineStr">
        <is>
          <t>Да</t>
        </is>
      </c>
      <c r="E269" s="42" t="inlineStr">
        <is>
          <t>Стандарт</t>
        </is>
      </c>
      <c r="F269" s="42" t="n"/>
      <c r="G269" s="42" t="inlineStr">
        <is>
          <t>Погрузка мусора (механическая)</t>
        </is>
      </c>
      <c r="H269" s="42" t="inlineStr">
        <is>
          <t>Свернуть в раздел</t>
        </is>
      </c>
      <c r="I269" s="42" t="inlineStr">
        <is>
          <t>Минимум</t>
        </is>
      </c>
      <c r="J269" s="42" t="inlineStr">
        <is>
          <t>Автогенерация из реального прайса; проверить вручную</t>
        </is>
      </c>
    </row>
    <row r="270">
      <c r="A270" s="41" t="inlineStr">
        <is>
          <t>RWORK-0090</t>
        </is>
      </c>
      <c r="B270" s="41" t="inlineStr">
        <is>
          <t>Погрузка мусора (механическая)</t>
        </is>
      </c>
      <c r="C270" s="41" t="inlineStr">
        <is>
          <t>Стандарт</t>
        </is>
      </c>
      <c r="D270" s="41" t="inlineStr">
        <is>
          <t>Да</t>
        </is>
      </c>
      <c r="E270" s="41" t="inlineStr">
        <is>
          <t>Стандарт</t>
        </is>
      </c>
      <c r="F270" s="41" t="n"/>
      <c r="G270" s="41" t="inlineStr">
        <is>
          <t>Погрузка мусора (механическая)</t>
        </is>
      </c>
      <c r="H270" s="41" t="inlineStr">
        <is>
          <t>Свернуть в раздел</t>
        </is>
      </c>
      <c r="I270" s="41" t="inlineStr">
        <is>
          <t>База</t>
        </is>
      </c>
      <c r="J270" s="41" t="inlineStr">
        <is>
          <t>Автогенерация из реального прайса; проверить вручную</t>
        </is>
      </c>
    </row>
    <row r="271">
      <c r="A271" s="42" t="inlineStr">
        <is>
          <t>RWORK-0090</t>
        </is>
      </c>
      <c r="B271" s="42" t="inlineStr">
        <is>
          <t>Погрузка мусора (механическая)</t>
        </is>
      </c>
      <c r="C271" s="42" t="inlineStr">
        <is>
          <t>Премиум</t>
        </is>
      </c>
      <c r="D271" s="42" t="inlineStr">
        <is>
          <t>Да</t>
        </is>
      </c>
      <c r="E271" s="42" t="inlineStr">
        <is>
          <t>Стандарт</t>
        </is>
      </c>
      <c r="F271" s="42" t="n"/>
      <c r="G271" s="42" t="inlineStr">
        <is>
          <t>Погрузка мусора (механическая)</t>
        </is>
      </c>
      <c r="H271" s="42" t="inlineStr">
        <is>
          <t>Показать строкой</t>
        </is>
      </c>
      <c r="I271" s="42" t="inlineStr">
        <is>
          <t>Детально</t>
        </is>
      </c>
      <c r="J271" s="42" t="inlineStr">
        <is>
          <t>Автогенерация из реального прайса; проверить вручную</t>
        </is>
      </c>
    </row>
    <row r="272">
      <c r="A272" s="41" t="inlineStr">
        <is>
          <t>RWORK-0091</t>
        </is>
      </c>
      <c r="B272" s="41" t="inlineStr">
        <is>
          <t>Подготовка оснований лестниц и пандусов</t>
        </is>
      </c>
      <c r="C272" s="41" t="inlineStr">
        <is>
          <t>Эконом</t>
        </is>
      </c>
      <c r="D272" s="41" t="inlineStr">
        <is>
          <t>Да</t>
        </is>
      </c>
      <c r="E272" s="41" t="inlineStr">
        <is>
          <t>Стандарт</t>
        </is>
      </c>
      <c r="F272" s="41" t="n"/>
      <c r="G272" s="41" t="inlineStr">
        <is>
          <t>Подготовка оснований лестниц и пандусов</t>
        </is>
      </c>
      <c r="H272" s="41" t="inlineStr">
        <is>
          <t>Свернуть в раздел</t>
        </is>
      </c>
      <c r="I272" s="41" t="inlineStr">
        <is>
          <t>Минимум</t>
        </is>
      </c>
      <c r="J272" s="41" t="inlineStr">
        <is>
          <t>Автогенерация из реального прайса; проверить вручную</t>
        </is>
      </c>
    </row>
    <row r="273">
      <c r="A273" s="42" t="inlineStr">
        <is>
          <t>RWORK-0091</t>
        </is>
      </c>
      <c r="B273" s="42" t="inlineStr">
        <is>
          <t>Подготовка оснований лестниц и пандусов</t>
        </is>
      </c>
      <c r="C273" s="42" t="inlineStr">
        <is>
          <t>Стандарт</t>
        </is>
      </c>
      <c r="D273" s="42" t="inlineStr">
        <is>
          <t>Да</t>
        </is>
      </c>
      <c r="E273" s="42" t="inlineStr">
        <is>
          <t>Стандарт</t>
        </is>
      </c>
      <c r="F273" s="42" t="n"/>
      <c r="G273" s="42" t="inlineStr">
        <is>
          <t>Подготовка оснований лестниц и пандусов</t>
        </is>
      </c>
      <c r="H273" s="42" t="inlineStr">
        <is>
          <t>Показать строкой</t>
        </is>
      </c>
      <c r="I273" s="42" t="inlineStr">
        <is>
          <t>База</t>
        </is>
      </c>
      <c r="J273" s="42" t="inlineStr">
        <is>
          <t>Автогенерация из реального прайса; проверить вручную</t>
        </is>
      </c>
    </row>
    <row r="274">
      <c r="A274" s="41" t="inlineStr">
        <is>
          <t>RWORK-0091</t>
        </is>
      </c>
      <c r="B274" s="41" t="inlineStr">
        <is>
          <t>Подготовка оснований лестниц и пандусов</t>
        </is>
      </c>
      <c r="C274" s="41" t="inlineStr">
        <is>
          <t>Премиум</t>
        </is>
      </c>
      <c r="D274" s="41" t="inlineStr">
        <is>
          <t>Да</t>
        </is>
      </c>
      <c r="E274" s="41" t="inlineStr">
        <is>
          <t>Стандарт</t>
        </is>
      </c>
      <c r="F274" s="41" t="n"/>
      <c r="G274" s="41" t="inlineStr">
        <is>
          <t>Подготовка оснований лестниц и пандусов</t>
        </is>
      </c>
      <c r="H274" s="41" t="inlineStr">
        <is>
          <t>Показать строкой</t>
        </is>
      </c>
      <c r="I274" s="41" t="inlineStr">
        <is>
          <t>Детально</t>
        </is>
      </c>
      <c r="J274" s="41" t="inlineStr">
        <is>
          <t>Автогенерация из реального прайса; проверить вручную</t>
        </is>
      </c>
    </row>
    <row r="275">
      <c r="A275" s="42" t="inlineStr">
        <is>
          <t>RWORK-0092</t>
        </is>
      </c>
      <c r="B275" s="42" t="inlineStr">
        <is>
          <t>Подпиливание бетона подпорных стенок</t>
        </is>
      </c>
      <c r="C275" s="42" t="inlineStr">
        <is>
          <t>Эконом</t>
        </is>
      </c>
      <c r="D275" s="42" t="inlineStr">
        <is>
          <t>Да</t>
        </is>
      </c>
      <c r="E275" s="42" t="inlineStr">
        <is>
          <t>Стандарт</t>
        </is>
      </c>
      <c r="F275" s="42" t="n"/>
      <c r="G275" s="42" t="inlineStr">
        <is>
          <t>Подпиливание бетона подпорных стенок</t>
        </is>
      </c>
      <c r="H275" s="42" t="inlineStr">
        <is>
          <t>Свернуть в раздел</t>
        </is>
      </c>
      <c r="I275" s="42" t="inlineStr">
        <is>
          <t>Минимум</t>
        </is>
      </c>
      <c r="J275" s="42" t="inlineStr">
        <is>
          <t>Автогенерация из реального прайса; проверить вручную</t>
        </is>
      </c>
    </row>
    <row r="276">
      <c r="A276" s="41" t="inlineStr">
        <is>
          <t>RWORK-0092</t>
        </is>
      </c>
      <c r="B276" s="41" t="inlineStr">
        <is>
          <t>Подпиливание бетона подпорных стенок</t>
        </is>
      </c>
      <c r="C276" s="41" t="inlineStr">
        <is>
          <t>Стандарт</t>
        </is>
      </c>
      <c r="D276" s="41" t="inlineStr">
        <is>
          <t>Да</t>
        </is>
      </c>
      <c r="E276" s="41" t="inlineStr">
        <is>
          <t>Стандарт</t>
        </is>
      </c>
      <c r="F276" s="41" t="n"/>
      <c r="G276" s="41" t="inlineStr">
        <is>
          <t>Подпиливание бетона подпорных стенок</t>
        </is>
      </c>
      <c r="H276" s="41" t="inlineStr">
        <is>
          <t>Показать строкой</t>
        </is>
      </c>
      <c r="I276" s="41" t="inlineStr">
        <is>
          <t>База</t>
        </is>
      </c>
      <c r="J276" s="41" t="inlineStr">
        <is>
          <t>Автогенерация из реального прайса; проверить вручную</t>
        </is>
      </c>
    </row>
    <row r="277">
      <c r="A277" s="42" t="inlineStr">
        <is>
          <t>RWORK-0092</t>
        </is>
      </c>
      <c r="B277" s="42" t="inlineStr">
        <is>
          <t>Подпиливание бетона подпорных стенок</t>
        </is>
      </c>
      <c r="C277" s="42" t="inlineStr">
        <is>
          <t>Премиум</t>
        </is>
      </c>
      <c r="D277" s="42" t="inlineStr">
        <is>
          <t>Да</t>
        </is>
      </c>
      <c r="E277" s="42" t="inlineStr">
        <is>
          <t>Стандарт</t>
        </is>
      </c>
      <c r="F277" s="42" t="n"/>
      <c r="G277" s="42" t="inlineStr">
        <is>
          <t>Подпиливание бетона подпорных стенок</t>
        </is>
      </c>
      <c r="H277" s="42" t="inlineStr">
        <is>
          <t>Показать строкой</t>
        </is>
      </c>
      <c r="I277" s="42" t="inlineStr">
        <is>
          <t>Детально</t>
        </is>
      </c>
      <c r="J277" s="42" t="inlineStr">
        <is>
          <t>Автогенерация из реального прайса; проверить вручную</t>
        </is>
      </c>
    </row>
    <row r="278">
      <c r="A278" s="41" t="inlineStr">
        <is>
          <t>RWORK-0093</t>
        </is>
      </c>
      <c r="B278" s="41" t="inlineStr">
        <is>
          <t>Подрезка плитки</t>
        </is>
      </c>
      <c r="C278" s="41" t="inlineStr">
        <is>
          <t>Эконом</t>
        </is>
      </c>
      <c r="D278" s="41" t="inlineStr">
        <is>
          <t>Да</t>
        </is>
      </c>
      <c r="E278" s="41" t="inlineStr">
        <is>
          <t>Стандарт</t>
        </is>
      </c>
      <c r="F278" s="41" t="n"/>
      <c r="G278" s="41" t="inlineStr">
        <is>
          <t>Подрезка плитки</t>
        </is>
      </c>
      <c r="H278" s="41" t="inlineStr">
        <is>
          <t>Свернуть в раздел</t>
        </is>
      </c>
      <c r="I278" s="41" t="inlineStr">
        <is>
          <t>Минимум</t>
        </is>
      </c>
      <c r="J278" s="41" t="inlineStr">
        <is>
          <t>Автогенерация из реального прайса; проверить вручную</t>
        </is>
      </c>
    </row>
    <row r="279">
      <c r="A279" s="42" t="inlineStr">
        <is>
          <t>RWORK-0093</t>
        </is>
      </c>
      <c r="B279" s="42" t="inlineStr">
        <is>
          <t>Подрезка плитки</t>
        </is>
      </c>
      <c r="C279" s="42" t="inlineStr">
        <is>
          <t>Стандарт</t>
        </is>
      </c>
      <c r="D279" s="42" t="inlineStr">
        <is>
          <t>Да</t>
        </is>
      </c>
      <c r="E279" s="42" t="inlineStr">
        <is>
          <t>Стандарт</t>
        </is>
      </c>
      <c r="F279" s="42" t="n"/>
      <c r="G279" s="42" t="inlineStr">
        <is>
          <t>Подрезка плитки</t>
        </is>
      </c>
      <c r="H279" s="42" t="inlineStr">
        <is>
          <t>Показать строкой</t>
        </is>
      </c>
      <c r="I279" s="42" t="inlineStr">
        <is>
          <t>База</t>
        </is>
      </c>
      <c r="J279" s="42" t="inlineStr">
        <is>
          <t>Автогенерация из реального прайса; проверить вручную</t>
        </is>
      </c>
    </row>
    <row r="280">
      <c r="A280" s="41" t="inlineStr">
        <is>
          <t>RWORK-0093</t>
        </is>
      </c>
      <c r="B280" s="41" t="inlineStr">
        <is>
          <t>Подрезка плитки</t>
        </is>
      </c>
      <c r="C280" s="41" t="inlineStr">
        <is>
          <t>Премиум</t>
        </is>
      </c>
      <c r="D280" s="41" t="inlineStr">
        <is>
          <t>Да</t>
        </is>
      </c>
      <c r="E280" s="41" t="inlineStr">
        <is>
          <t>Стандарт</t>
        </is>
      </c>
      <c r="F280" s="41" t="n"/>
      <c r="G280" s="41" t="inlineStr">
        <is>
          <t>Подрезка плитки</t>
        </is>
      </c>
      <c r="H280" s="41" t="inlineStr">
        <is>
          <t>Показать строкой</t>
        </is>
      </c>
      <c r="I280" s="41" t="inlineStr">
        <is>
          <t>Детально</t>
        </is>
      </c>
      <c r="J280" s="41" t="inlineStr">
        <is>
          <t>Автогенерация из реального прайса; проверить вручную</t>
        </is>
      </c>
    </row>
    <row r="281">
      <c r="A281" s="42" t="inlineStr">
        <is>
          <t>RWORK-0094</t>
        </is>
      </c>
      <c r="B281" s="42" t="inlineStr">
        <is>
          <t>Покраска щита и коробов в цвет дома</t>
        </is>
      </c>
      <c r="C281" s="42" t="inlineStr">
        <is>
          <t>Эконом</t>
        </is>
      </c>
      <c r="D281" s="42" t="inlineStr">
        <is>
          <t>Да</t>
        </is>
      </c>
      <c r="E281" s="42" t="inlineStr">
        <is>
          <t>Стандарт</t>
        </is>
      </c>
      <c r="F281" s="42" t="n"/>
      <c r="G281" s="42" t="inlineStr">
        <is>
          <t>Покраска щита и коробов в цвет дома</t>
        </is>
      </c>
      <c r="H281" s="42" t="inlineStr">
        <is>
          <t>Свернуть в раздел</t>
        </is>
      </c>
      <c r="I281" s="42" t="inlineStr">
        <is>
          <t>Минимум</t>
        </is>
      </c>
      <c r="J281" s="42" t="inlineStr">
        <is>
          <t>Автогенерация из реального прайса; проверить вручную</t>
        </is>
      </c>
    </row>
    <row r="282">
      <c r="A282" s="41" t="inlineStr">
        <is>
          <t>RWORK-0094</t>
        </is>
      </c>
      <c r="B282" s="41" t="inlineStr">
        <is>
          <t>Покраска щита и коробов в цвет дома</t>
        </is>
      </c>
      <c r="C282" s="41" t="inlineStr">
        <is>
          <t>Стандарт</t>
        </is>
      </c>
      <c r="D282" s="41" t="inlineStr">
        <is>
          <t>Да</t>
        </is>
      </c>
      <c r="E282" s="41" t="inlineStr">
        <is>
          <t>Стандарт</t>
        </is>
      </c>
      <c r="F282" s="41" t="n"/>
      <c r="G282" s="41" t="inlineStr">
        <is>
          <t>Покраска щита и коробов в цвет дома</t>
        </is>
      </c>
      <c r="H282" s="41" t="inlineStr">
        <is>
          <t>Показать строкой</t>
        </is>
      </c>
      <c r="I282" s="41" t="inlineStr">
        <is>
          <t>База</t>
        </is>
      </c>
      <c r="J282" s="41" t="inlineStr">
        <is>
          <t>Автогенерация из реального прайса; проверить вручную</t>
        </is>
      </c>
    </row>
    <row r="283">
      <c r="A283" s="42" t="inlineStr">
        <is>
          <t>RWORK-0094</t>
        </is>
      </c>
      <c r="B283" s="42" t="inlineStr">
        <is>
          <t>Покраска щита и коробов в цвет дома</t>
        </is>
      </c>
      <c r="C283" s="42" t="inlineStr">
        <is>
          <t>Премиум</t>
        </is>
      </c>
      <c r="D283" s="42" t="inlineStr">
        <is>
          <t>Да</t>
        </is>
      </c>
      <c r="E283" s="42" t="inlineStr">
        <is>
          <t>Стандарт</t>
        </is>
      </c>
      <c r="F283" s="42" t="n"/>
      <c r="G283" s="42" t="inlineStr">
        <is>
          <t>Покраска щита и коробов в цвет дома</t>
        </is>
      </c>
      <c r="H283" s="42" t="inlineStr">
        <is>
          <t>Показать строкой</t>
        </is>
      </c>
      <c r="I283" s="42" t="inlineStr">
        <is>
          <t>Детально</t>
        </is>
      </c>
      <c r="J283" s="42" t="inlineStr">
        <is>
          <t>Автогенерация из реального прайса; проверить вручную</t>
        </is>
      </c>
    </row>
    <row r="284">
      <c r="A284" s="41" t="inlineStr">
        <is>
          <t>RWORK-0095</t>
        </is>
      </c>
      <c r="B284" s="41" t="inlineStr">
        <is>
          <t>Посадка розы</t>
        </is>
      </c>
      <c r="C284" s="41" t="inlineStr">
        <is>
          <t>Эконом</t>
        </is>
      </c>
      <c r="D284" s="41" t="inlineStr">
        <is>
          <t>Да</t>
        </is>
      </c>
      <c r="E284" s="41" t="inlineStr">
        <is>
          <t>Стандарт</t>
        </is>
      </c>
      <c r="F284" s="41" t="n"/>
      <c r="G284" s="41" t="inlineStr">
        <is>
          <t>Посадка розы</t>
        </is>
      </c>
      <c r="H284" s="41" t="inlineStr">
        <is>
          <t>Свернуть в раздел</t>
        </is>
      </c>
      <c r="I284" s="41" t="inlineStr">
        <is>
          <t>Минимум</t>
        </is>
      </c>
      <c r="J284" s="41" t="inlineStr">
        <is>
          <t>Автогенерация из реального прайса; проверить вручную</t>
        </is>
      </c>
    </row>
    <row r="285">
      <c r="A285" s="42" t="inlineStr">
        <is>
          <t>RWORK-0095</t>
        </is>
      </c>
      <c r="B285" s="42" t="inlineStr">
        <is>
          <t>Посадка розы</t>
        </is>
      </c>
      <c r="C285" s="42" t="inlineStr">
        <is>
          <t>Стандарт</t>
        </is>
      </c>
      <c r="D285" s="42" t="inlineStr">
        <is>
          <t>Да</t>
        </is>
      </c>
      <c r="E285" s="42" t="inlineStr">
        <is>
          <t>Стандарт</t>
        </is>
      </c>
      <c r="F285" s="42" t="n"/>
      <c r="G285" s="42" t="inlineStr">
        <is>
          <t>Посадка розы</t>
        </is>
      </c>
      <c r="H285" s="42" t="inlineStr">
        <is>
          <t>Показать строкой</t>
        </is>
      </c>
      <c r="I285" s="42" t="inlineStr">
        <is>
          <t>База</t>
        </is>
      </c>
      <c r="J285" s="42" t="inlineStr">
        <is>
          <t>Автогенерация из реального прайса; проверить вручную</t>
        </is>
      </c>
    </row>
    <row r="286">
      <c r="A286" s="41" t="inlineStr">
        <is>
          <t>RWORK-0095</t>
        </is>
      </c>
      <c r="B286" s="41" t="inlineStr">
        <is>
          <t>Посадка розы</t>
        </is>
      </c>
      <c r="C286" s="41" t="inlineStr">
        <is>
          <t>Премиум</t>
        </is>
      </c>
      <c r="D286" s="41" t="inlineStr">
        <is>
          <t>Да</t>
        </is>
      </c>
      <c r="E286" s="41" t="inlineStr">
        <is>
          <t>Стандарт</t>
        </is>
      </c>
      <c r="F286" s="41" t="n"/>
      <c r="G286" s="41" t="inlineStr">
        <is>
          <t>Посадка розы</t>
        </is>
      </c>
      <c r="H286" s="41" t="inlineStr">
        <is>
          <t>Показать строкой</t>
        </is>
      </c>
      <c r="I286" s="41" t="inlineStr">
        <is>
          <t>Детально</t>
        </is>
      </c>
      <c r="J286" s="41" t="inlineStr">
        <is>
          <t>Автогенерация из реального прайса; проверить вручную</t>
        </is>
      </c>
    </row>
    <row r="287">
      <c r="A287" s="42" t="inlineStr">
        <is>
          <t>RWORK-0096</t>
        </is>
      </c>
      <c r="B287" s="42" t="inlineStr">
        <is>
          <t>Прометание мощения отсевом/ песком</t>
        </is>
      </c>
      <c r="C287" s="42" t="inlineStr">
        <is>
          <t>Эконом</t>
        </is>
      </c>
      <c r="D287" s="42" t="inlineStr">
        <is>
          <t>Да</t>
        </is>
      </c>
      <c r="E287" s="42" t="inlineStr">
        <is>
          <t>Стандарт</t>
        </is>
      </c>
      <c r="F287" s="42" t="n"/>
      <c r="G287" s="42" t="inlineStr">
        <is>
          <t>Прометание мощения отсевом/ песком</t>
        </is>
      </c>
      <c r="H287" s="42" t="inlineStr">
        <is>
          <t>Свернуть в раздел</t>
        </is>
      </c>
      <c r="I287" s="42" t="inlineStr">
        <is>
          <t>Минимум</t>
        </is>
      </c>
      <c r="J287" s="42" t="inlineStr">
        <is>
          <t>Автогенерация из реального прайса; проверить вручную</t>
        </is>
      </c>
    </row>
    <row r="288">
      <c r="A288" s="41" t="inlineStr">
        <is>
          <t>RWORK-0096</t>
        </is>
      </c>
      <c r="B288" s="41" t="inlineStr">
        <is>
          <t>Прометание мощения отсевом/ песком</t>
        </is>
      </c>
      <c r="C288" s="41" t="inlineStr">
        <is>
          <t>Стандарт</t>
        </is>
      </c>
      <c r="D288" s="41" t="inlineStr">
        <is>
          <t>Да</t>
        </is>
      </c>
      <c r="E288" s="41" t="inlineStr">
        <is>
          <t>Стандарт</t>
        </is>
      </c>
      <c r="F288" s="41" t="n"/>
      <c r="G288" s="41" t="inlineStr">
        <is>
          <t>Прометание мощения отсевом/ песком</t>
        </is>
      </c>
      <c r="H288" s="41" t="inlineStr">
        <is>
          <t>Показать строкой</t>
        </is>
      </c>
      <c r="I288" s="41" t="inlineStr">
        <is>
          <t>База</t>
        </is>
      </c>
      <c r="J288" s="41" t="inlineStr">
        <is>
          <t>Автогенерация из реального прайса; проверить вручную</t>
        </is>
      </c>
    </row>
    <row r="289">
      <c r="A289" s="42" t="inlineStr">
        <is>
          <t>RWORK-0096</t>
        </is>
      </c>
      <c r="B289" s="42" t="inlineStr">
        <is>
          <t>Прометание мощения отсевом/ песком</t>
        </is>
      </c>
      <c r="C289" s="42" t="inlineStr">
        <is>
          <t>Премиум</t>
        </is>
      </c>
      <c r="D289" s="42" t="inlineStr">
        <is>
          <t>Да</t>
        </is>
      </c>
      <c r="E289" s="42" t="inlineStr">
        <is>
          <t>Стандарт</t>
        </is>
      </c>
      <c r="F289" s="42" t="n"/>
      <c r="G289" s="42" t="inlineStr">
        <is>
          <t>Прометание мощения отсевом/ песком</t>
        </is>
      </c>
      <c r="H289" s="42" t="inlineStr">
        <is>
          <t>Показать строкой</t>
        </is>
      </c>
      <c r="I289" s="42" t="inlineStr">
        <is>
          <t>Детально</t>
        </is>
      </c>
      <c r="J289" s="42" t="inlineStr">
        <is>
          <t>Автогенерация из реального прайса; проверить вручную</t>
        </is>
      </c>
    </row>
    <row r="290">
      <c r="A290" s="41" t="inlineStr">
        <is>
          <t>RWORK-0097</t>
        </is>
      </c>
      <c r="B290" s="41" t="inlineStr">
        <is>
          <t>Работа трактора</t>
        </is>
      </c>
      <c r="C290" s="41" t="inlineStr">
        <is>
          <t>Эконом</t>
        </is>
      </c>
      <c r="D290" s="41" t="inlineStr">
        <is>
          <t>Да</t>
        </is>
      </c>
      <c r="E290" s="41" t="inlineStr">
        <is>
          <t>Механизированный</t>
        </is>
      </c>
      <c r="F290" s="41" t="n"/>
      <c r="G290" s="41" t="inlineStr">
        <is>
          <t>Работа трактора</t>
        </is>
      </c>
      <c r="H290" s="41" t="inlineStr">
        <is>
          <t>Свернуть в раздел</t>
        </is>
      </c>
      <c r="I290" s="41" t="inlineStr">
        <is>
          <t>Минимум</t>
        </is>
      </c>
      <c r="J290" s="41" t="inlineStr">
        <is>
          <t>Автогенерация из реального прайса; проверить вручную</t>
        </is>
      </c>
    </row>
    <row r="291">
      <c r="A291" s="42" t="inlineStr">
        <is>
          <t>RWORK-0097</t>
        </is>
      </c>
      <c r="B291" s="42" t="inlineStr">
        <is>
          <t>Работа трактора</t>
        </is>
      </c>
      <c r="C291" s="42" t="inlineStr">
        <is>
          <t>Стандарт</t>
        </is>
      </c>
      <c r="D291" s="42" t="inlineStr">
        <is>
          <t>Да</t>
        </is>
      </c>
      <c r="E291" s="42" t="inlineStr">
        <is>
          <t>Механизированный</t>
        </is>
      </c>
      <c r="F291" s="42" t="n"/>
      <c r="G291" s="42" t="inlineStr">
        <is>
          <t>Работа трактора</t>
        </is>
      </c>
      <c r="H291" s="42" t="inlineStr">
        <is>
          <t>Свернуть в раздел</t>
        </is>
      </c>
      <c r="I291" s="42" t="inlineStr">
        <is>
          <t>База</t>
        </is>
      </c>
      <c r="J291" s="42" t="inlineStr">
        <is>
          <t>Автогенерация из реального прайса; проверить вручную</t>
        </is>
      </c>
    </row>
    <row r="292">
      <c r="A292" s="41" t="inlineStr">
        <is>
          <t>RWORK-0097</t>
        </is>
      </c>
      <c r="B292" s="41" t="inlineStr">
        <is>
          <t>Работа трактора</t>
        </is>
      </c>
      <c r="C292" s="41" t="inlineStr">
        <is>
          <t>Премиум</t>
        </is>
      </c>
      <c r="D292" s="41" t="inlineStr">
        <is>
          <t>Да</t>
        </is>
      </c>
      <c r="E292" s="41" t="inlineStr">
        <is>
          <t>Механизированный</t>
        </is>
      </c>
      <c r="F292" s="41" t="n"/>
      <c r="G292" s="41" t="inlineStr">
        <is>
          <t>Работа трактора</t>
        </is>
      </c>
      <c r="H292" s="41" t="inlineStr">
        <is>
          <t>Свернуть в раздел</t>
        </is>
      </c>
      <c r="I292" s="41" t="inlineStr">
        <is>
          <t>Детально</t>
        </is>
      </c>
      <c r="J292" s="41" t="inlineStr">
        <is>
          <t>Автогенерация из реального прайса; проверить вручную</t>
        </is>
      </c>
    </row>
    <row r="293">
      <c r="A293" s="42" t="inlineStr">
        <is>
          <t>RWORK-0098</t>
        </is>
      </c>
      <c r="B293" s="42" t="inlineStr">
        <is>
          <t>Работы по проверке цепей, параметрированию и настройке оборудования</t>
        </is>
      </c>
      <c r="C293" s="42" t="inlineStr">
        <is>
          <t>Эконом</t>
        </is>
      </c>
      <c r="D293" s="42" t="inlineStr">
        <is>
          <t>Да</t>
        </is>
      </c>
      <c r="E293" s="42" t="inlineStr">
        <is>
          <t>Стандарт</t>
        </is>
      </c>
      <c r="F293" s="42" t="n"/>
      <c r="G293" s="42" t="inlineStr">
        <is>
          <t>Работы по проверке цепей, параметрированию и настройке оборудования</t>
        </is>
      </c>
      <c r="H293" s="42" t="inlineStr">
        <is>
          <t>Свернуть в раздел</t>
        </is>
      </c>
      <c r="I293" s="42" t="inlineStr">
        <is>
          <t>Минимум</t>
        </is>
      </c>
      <c r="J293" s="42" t="inlineStr">
        <is>
          <t>Автогенерация из реального прайса; проверить вручную</t>
        </is>
      </c>
    </row>
    <row r="294">
      <c r="A294" s="41" t="inlineStr">
        <is>
          <t>RWORK-0098</t>
        </is>
      </c>
      <c r="B294" s="41" t="inlineStr">
        <is>
          <t>Работы по проверке цепей, параметрированию и настройке оборудования</t>
        </is>
      </c>
      <c r="C294" s="41" t="inlineStr">
        <is>
          <t>Стандарт</t>
        </is>
      </c>
      <c r="D294" s="41" t="inlineStr">
        <is>
          <t>Да</t>
        </is>
      </c>
      <c r="E294" s="41" t="inlineStr">
        <is>
          <t>Стандарт</t>
        </is>
      </c>
      <c r="F294" s="41" t="n"/>
      <c r="G294" s="41" t="inlineStr">
        <is>
          <t>Работы по проверке цепей, параметрированию и настройке оборудования</t>
        </is>
      </c>
      <c r="H294" s="41" t="inlineStr">
        <is>
          <t>Показать строкой</t>
        </is>
      </c>
      <c r="I294" s="41" t="inlineStr">
        <is>
          <t>База</t>
        </is>
      </c>
      <c r="J294" s="41" t="inlineStr">
        <is>
          <t>Автогенерация из реального прайса; проверить вручную</t>
        </is>
      </c>
    </row>
    <row r="295">
      <c r="A295" s="42" t="inlineStr">
        <is>
          <t>RWORK-0098</t>
        </is>
      </c>
      <c r="B295" s="42" t="inlineStr">
        <is>
          <t>Работы по проверке цепей, параметрированию и настройке оборудования</t>
        </is>
      </c>
      <c r="C295" s="42" t="inlineStr">
        <is>
          <t>Премиум</t>
        </is>
      </c>
      <c r="D295" s="42" t="inlineStr">
        <is>
          <t>Да</t>
        </is>
      </c>
      <c r="E295" s="42" t="inlineStr">
        <is>
          <t>Стандарт</t>
        </is>
      </c>
      <c r="F295" s="42" t="n"/>
      <c r="G295" s="42" t="inlineStr">
        <is>
          <t>Работы по проверке цепей, параметрированию и настройке оборудования</t>
        </is>
      </c>
      <c r="H295" s="42" t="inlineStr">
        <is>
          <t>Показать строкой</t>
        </is>
      </c>
      <c r="I295" s="42" t="inlineStr">
        <is>
          <t>Детально</t>
        </is>
      </c>
      <c r="J295" s="42" t="inlineStr">
        <is>
          <t>Автогенерация из реального прайса; проверить вручную</t>
        </is>
      </c>
    </row>
    <row r="296">
      <c r="A296" s="41" t="inlineStr">
        <is>
          <t>RWORK-0099</t>
        </is>
      </c>
      <c r="B296" s="41" t="inlineStr">
        <is>
          <t>Разборка существующего покрытия</t>
        </is>
      </c>
      <c r="C296" s="41" t="inlineStr">
        <is>
          <t>Эконом</t>
        </is>
      </c>
      <c r="D296" s="41" t="inlineStr">
        <is>
          <t>Да</t>
        </is>
      </c>
      <c r="E296" s="41" t="inlineStr">
        <is>
          <t>Стандарт</t>
        </is>
      </c>
      <c r="F296" s="41" t="n"/>
      <c r="G296" s="41" t="inlineStr">
        <is>
          <t>Разборка существующего покрытия</t>
        </is>
      </c>
      <c r="H296" s="41" t="inlineStr">
        <is>
          <t>Свернуть в раздел</t>
        </is>
      </c>
      <c r="I296" s="41" t="inlineStr">
        <is>
          <t>Минимум</t>
        </is>
      </c>
      <c r="J296" s="41" t="inlineStr">
        <is>
          <t>Автогенерация из реального прайса; проверить вручную</t>
        </is>
      </c>
    </row>
    <row r="297">
      <c r="A297" s="42" t="inlineStr">
        <is>
          <t>RWORK-0099</t>
        </is>
      </c>
      <c r="B297" s="42" t="inlineStr">
        <is>
          <t>Разборка существующего покрытия</t>
        </is>
      </c>
      <c r="C297" s="42" t="inlineStr">
        <is>
          <t>Стандарт</t>
        </is>
      </c>
      <c r="D297" s="42" t="inlineStr">
        <is>
          <t>Да</t>
        </is>
      </c>
      <c r="E297" s="42" t="inlineStr">
        <is>
          <t>Стандарт</t>
        </is>
      </c>
      <c r="F297" s="42" t="n"/>
      <c r="G297" s="42" t="inlineStr">
        <is>
          <t>Разборка существующего покрытия</t>
        </is>
      </c>
      <c r="H297" s="42" t="inlineStr">
        <is>
          <t>Показать строкой</t>
        </is>
      </c>
      <c r="I297" s="42" t="inlineStr">
        <is>
          <t>База</t>
        </is>
      </c>
      <c r="J297" s="42" t="inlineStr">
        <is>
          <t>Автогенерация из реального прайса; проверить вручную</t>
        </is>
      </c>
    </row>
    <row r="298">
      <c r="A298" s="41" t="inlineStr">
        <is>
          <t>RWORK-0099</t>
        </is>
      </c>
      <c r="B298" s="41" t="inlineStr">
        <is>
          <t>Разборка существующего покрытия</t>
        </is>
      </c>
      <c r="C298" s="41" t="inlineStr">
        <is>
          <t>Премиум</t>
        </is>
      </c>
      <c r="D298" s="41" t="inlineStr">
        <is>
          <t>Да</t>
        </is>
      </c>
      <c r="E298" s="41" t="inlineStr">
        <is>
          <t>Стандарт</t>
        </is>
      </c>
      <c r="F298" s="41" t="n"/>
      <c r="G298" s="41" t="inlineStr">
        <is>
          <t>Разборка существующего покрытия</t>
        </is>
      </c>
      <c r="H298" s="41" t="inlineStr">
        <is>
          <t>Показать строкой</t>
        </is>
      </c>
      <c r="I298" s="41" t="inlineStr">
        <is>
          <t>Детально</t>
        </is>
      </c>
      <c r="J298" s="41" t="inlineStr">
        <is>
          <t>Автогенерация из реального прайса; проверить вручную</t>
        </is>
      </c>
    </row>
    <row r="299">
      <c r="A299" s="42" t="inlineStr">
        <is>
          <t>RWORK-0100</t>
        </is>
      </c>
      <c r="B299" s="42" t="inlineStr">
        <is>
          <t>Разметка и нивелировка площадей, задание вертикальных уровней и уклона (геодезическая разбивка)</t>
        </is>
      </c>
      <c r="C299" s="42" t="inlineStr">
        <is>
          <t>Эконом</t>
        </is>
      </c>
      <c r="D299" s="42" t="inlineStr">
        <is>
          <t>Да</t>
        </is>
      </c>
      <c r="E299" s="42" t="inlineStr">
        <is>
          <t>Стандарт</t>
        </is>
      </c>
      <c r="F299" s="42" t="n"/>
      <c r="G299" s="42" t="inlineStr">
        <is>
          <t>Разметка и нивелировка площадей, задание вертикальных уровней и уклона (геодезическая разбивка)</t>
        </is>
      </c>
      <c r="H299" s="42" t="inlineStr">
        <is>
          <t>Свернуть в раздел</t>
        </is>
      </c>
      <c r="I299" s="42" t="inlineStr">
        <is>
          <t>Минимум</t>
        </is>
      </c>
      <c r="J299" s="42" t="inlineStr">
        <is>
          <t>Автогенерация из реального прайса; проверить вручную</t>
        </is>
      </c>
    </row>
    <row r="300">
      <c r="A300" s="41" t="inlineStr">
        <is>
          <t>RWORK-0100</t>
        </is>
      </c>
      <c r="B300" s="41" t="inlineStr">
        <is>
          <t>Разметка и нивелировка площадей, задание вертикальных уровней и уклона (геодезическая разбивка)</t>
        </is>
      </c>
      <c r="C300" s="41" t="inlineStr">
        <is>
          <t>Стандарт</t>
        </is>
      </c>
      <c r="D300" s="41" t="inlineStr">
        <is>
          <t>Да</t>
        </is>
      </c>
      <c r="E300" s="41" t="inlineStr">
        <is>
          <t>Стандарт</t>
        </is>
      </c>
      <c r="F300" s="41" t="n"/>
      <c r="G300" s="41" t="inlineStr">
        <is>
          <t>Разметка и нивелировка площадей, задание вертикальных уровней и уклона (геодезическая разбивка)</t>
        </is>
      </c>
      <c r="H300" s="41" t="inlineStr">
        <is>
          <t>Показать строкой</t>
        </is>
      </c>
      <c r="I300" s="41" t="inlineStr">
        <is>
          <t>База</t>
        </is>
      </c>
      <c r="J300" s="41" t="inlineStr">
        <is>
          <t>Автогенерация из реального прайса; проверить вручную</t>
        </is>
      </c>
    </row>
    <row r="301">
      <c r="A301" s="42" t="inlineStr">
        <is>
          <t>RWORK-0100</t>
        </is>
      </c>
      <c r="B301" s="42" t="inlineStr">
        <is>
          <t>Разметка и нивелировка площадей, задание вертикальных уровней и уклона (геодезическая разбивка)</t>
        </is>
      </c>
      <c r="C301" s="42" t="inlineStr">
        <is>
          <t>Премиум</t>
        </is>
      </c>
      <c r="D301" s="42" t="inlineStr">
        <is>
          <t>Да</t>
        </is>
      </c>
      <c r="E301" s="42" t="inlineStr">
        <is>
          <t>Стандарт</t>
        </is>
      </c>
      <c r="F301" s="42" t="n"/>
      <c r="G301" s="42" t="inlineStr">
        <is>
          <t>Разметка и нивелировка площадей, задание вертикальных уровней и уклона (геодезическая разбивка)</t>
        </is>
      </c>
      <c r="H301" s="42" t="inlineStr">
        <is>
          <t>Показать строкой</t>
        </is>
      </c>
      <c r="I301" s="42" t="inlineStr">
        <is>
          <t>Детально</t>
        </is>
      </c>
      <c r="J301" s="42" t="inlineStr">
        <is>
          <t>Автогенерация из реального прайса; проверить вручную</t>
        </is>
      </c>
    </row>
    <row r="302">
      <c r="A302" s="41" t="inlineStr">
        <is>
          <t>RWORK-0101</t>
        </is>
      </c>
      <c r="B302" s="41" t="inlineStr">
        <is>
          <t>Ручная перекопка участка с удалением корней и корневищ</t>
        </is>
      </c>
      <c r="C302" s="41" t="inlineStr">
        <is>
          <t>Эконом</t>
        </is>
      </c>
      <c r="D302" s="41" t="inlineStr">
        <is>
          <t>Да</t>
        </is>
      </c>
      <c r="E302" s="41" t="inlineStr">
        <is>
          <t>Ручной</t>
        </is>
      </c>
      <c r="F302" s="41" t="n"/>
      <c r="G302" s="41" t="inlineStr">
        <is>
          <t>Ручная перекопка участка с удалением корней и корневищ</t>
        </is>
      </c>
      <c r="H302" s="41" t="inlineStr">
        <is>
          <t>Свернуть в раздел</t>
        </is>
      </c>
      <c r="I302" s="41" t="inlineStr">
        <is>
          <t>Минимум</t>
        </is>
      </c>
      <c r="J302" s="41" t="inlineStr">
        <is>
          <t>Автогенерация из реального прайса; проверить вручную</t>
        </is>
      </c>
    </row>
    <row r="303">
      <c r="A303" s="42" t="inlineStr">
        <is>
          <t>RWORK-0101</t>
        </is>
      </c>
      <c r="B303" s="42" t="inlineStr">
        <is>
          <t>Ручная перекопка участка с удалением корней и корневищ</t>
        </is>
      </c>
      <c r="C303" s="42" t="inlineStr">
        <is>
          <t>Стандарт</t>
        </is>
      </c>
      <c r="D303" s="42" t="inlineStr">
        <is>
          <t>Да</t>
        </is>
      </c>
      <c r="E303" s="42" t="inlineStr">
        <is>
          <t>Ручной</t>
        </is>
      </c>
      <c r="F303" s="42" t="n"/>
      <c r="G303" s="42" t="inlineStr">
        <is>
          <t>Ручная перекопка участка с удалением корней и корневищ</t>
        </is>
      </c>
      <c r="H303" s="42" t="inlineStr">
        <is>
          <t>Показать строкой</t>
        </is>
      </c>
      <c r="I303" s="42" t="inlineStr">
        <is>
          <t>База</t>
        </is>
      </c>
      <c r="J303" s="42" t="inlineStr">
        <is>
          <t>Автогенерация из реального прайса; проверить вручную</t>
        </is>
      </c>
    </row>
    <row r="304">
      <c r="A304" s="41" t="inlineStr">
        <is>
          <t>RWORK-0101</t>
        </is>
      </c>
      <c r="B304" s="41" t="inlineStr">
        <is>
          <t>Ручная перекопка участка с удалением корней и корневищ</t>
        </is>
      </c>
      <c r="C304" s="41" t="inlineStr">
        <is>
          <t>Премиум</t>
        </is>
      </c>
      <c r="D304" s="41" t="inlineStr">
        <is>
          <t>Да</t>
        </is>
      </c>
      <c r="E304" s="41" t="inlineStr">
        <is>
          <t>Ручной</t>
        </is>
      </c>
      <c r="F304" s="41" t="n"/>
      <c r="G304" s="41" t="inlineStr">
        <is>
          <t>Ручная перекопка участка с удалением корней и корневищ</t>
        </is>
      </c>
      <c r="H304" s="41" t="inlineStr">
        <is>
          <t>Показать строкой</t>
        </is>
      </c>
      <c r="I304" s="41" t="inlineStr">
        <is>
          <t>Детально</t>
        </is>
      </c>
      <c r="J304" s="41" t="inlineStr">
        <is>
          <t>Автогенерация из реального прайса; проверить вручную</t>
        </is>
      </c>
    </row>
    <row r="305">
      <c r="A305" s="42" t="inlineStr">
        <is>
          <t>RWORK-0102</t>
        </is>
      </c>
      <c r="B305" s="42" t="inlineStr">
        <is>
          <t>Снятие дернины</t>
        </is>
      </c>
      <c r="C305" s="42" t="inlineStr">
        <is>
          <t>Эконом</t>
        </is>
      </c>
      <c r="D305" s="42" t="inlineStr">
        <is>
          <t>Да</t>
        </is>
      </c>
      <c r="E305" s="42" t="inlineStr">
        <is>
          <t>Стандарт</t>
        </is>
      </c>
      <c r="F305" s="42" t="n"/>
      <c r="G305" s="42" t="inlineStr">
        <is>
          <t>Снятие дернины</t>
        </is>
      </c>
      <c r="H305" s="42" t="inlineStr">
        <is>
          <t>Свернуть в раздел</t>
        </is>
      </c>
      <c r="I305" s="42" t="inlineStr">
        <is>
          <t>Минимум</t>
        </is>
      </c>
      <c r="J305" s="42" t="inlineStr">
        <is>
          <t>Автогенерация из реального прайса; проверить вручную</t>
        </is>
      </c>
    </row>
    <row r="306">
      <c r="A306" s="41" t="inlineStr">
        <is>
          <t>RWORK-0102</t>
        </is>
      </c>
      <c r="B306" s="41" t="inlineStr">
        <is>
          <t>Снятие дернины</t>
        </is>
      </c>
      <c r="C306" s="41" t="inlineStr">
        <is>
          <t>Стандарт</t>
        </is>
      </c>
      <c r="D306" s="41" t="inlineStr">
        <is>
          <t>Да</t>
        </is>
      </c>
      <c r="E306" s="41" t="inlineStr">
        <is>
          <t>Стандарт</t>
        </is>
      </c>
      <c r="F306" s="41" t="n"/>
      <c r="G306" s="41" t="inlineStr">
        <is>
          <t>Снятие дернины</t>
        </is>
      </c>
      <c r="H306" s="41" t="inlineStr">
        <is>
          <t>Показать строкой</t>
        </is>
      </c>
      <c r="I306" s="41" t="inlineStr">
        <is>
          <t>База</t>
        </is>
      </c>
      <c r="J306" s="41" t="inlineStr">
        <is>
          <t>Автогенерация из реального прайса; проверить вручную</t>
        </is>
      </c>
    </row>
    <row r="307">
      <c r="A307" s="42" t="inlineStr">
        <is>
          <t>RWORK-0102</t>
        </is>
      </c>
      <c r="B307" s="42" t="inlineStr">
        <is>
          <t>Снятие дернины</t>
        </is>
      </c>
      <c r="C307" s="42" t="inlineStr">
        <is>
          <t>Премиум</t>
        </is>
      </c>
      <c r="D307" s="42" t="inlineStr">
        <is>
          <t>Да</t>
        </is>
      </c>
      <c r="E307" s="42" t="inlineStr">
        <is>
          <t>Стандарт</t>
        </is>
      </c>
      <c r="F307" s="42" t="n"/>
      <c r="G307" s="42" t="inlineStr">
        <is>
          <t>Снятие дернины</t>
        </is>
      </c>
      <c r="H307" s="42" t="inlineStr">
        <is>
          <t>Показать строкой</t>
        </is>
      </c>
      <c r="I307" s="42" t="inlineStr">
        <is>
          <t>Детально</t>
        </is>
      </c>
      <c r="J307" s="42" t="inlineStr">
        <is>
          <t>Автогенерация из реального прайса; проверить вручную</t>
        </is>
      </c>
    </row>
    <row r="308">
      <c r="A308" s="41" t="inlineStr">
        <is>
          <t>RWORK-0103</t>
        </is>
      </c>
      <c r="B308" s="41" t="inlineStr">
        <is>
          <t>Снятие утрамбованного щебня (бывшая дорожка перед баней)</t>
        </is>
      </c>
      <c r="C308" s="41" t="inlineStr">
        <is>
          <t>Эконом</t>
        </is>
      </c>
      <c r="D308" s="41" t="inlineStr">
        <is>
          <t>Да</t>
        </is>
      </c>
      <c r="E308" s="41" t="inlineStr">
        <is>
          <t>Стандарт</t>
        </is>
      </c>
      <c r="F308" s="41" t="n"/>
      <c r="G308" s="41" t="inlineStr">
        <is>
          <t>Снятие утрамбованного щебня (бывшая дорожка перед баней)</t>
        </is>
      </c>
      <c r="H308" s="41" t="inlineStr">
        <is>
          <t>Свернуть в раздел</t>
        </is>
      </c>
      <c r="I308" s="41" t="inlineStr">
        <is>
          <t>Минимум</t>
        </is>
      </c>
      <c r="J308" s="41" t="inlineStr">
        <is>
          <t>Автогенерация из реального прайса; проверить вручную</t>
        </is>
      </c>
    </row>
    <row r="309">
      <c r="A309" s="42" t="inlineStr">
        <is>
          <t>RWORK-0103</t>
        </is>
      </c>
      <c r="B309" s="42" t="inlineStr">
        <is>
          <t>Снятие утрамбованного щебня (бывшая дорожка перед баней)</t>
        </is>
      </c>
      <c r="C309" s="42" t="inlineStr">
        <is>
          <t>Стандарт</t>
        </is>
      </c>
      <c r="D309" s="42" t="inlineStr">
        <is>
          <t>Да</t>
        </is>
      </c>
      <c r="E309" s="42" t="inlineStr">
        <is>
          <t>Стандарт</t>
        </is>
      </c>
      <c r="F309" s="42" t="n"/>
      <c r="G309" s="42" t="inlineStr">
        <is>
          <t>Снятие утрамбованного щебня (бывшая дорожка перед баней)</t>
        </is>
      </c>
      <c r="H309" s="42" t="inlineStr">
        <is>
          <t>Показать строкой</t>
        </is>
      </c>
      <c r="I309" s="42" t="inlineStr">
        <is>
          <t>База</t>
        </is>
      </c>
      <c r="J309" s="42" t="inlineStr">
        <is>
          <t>Автогенерация из реального прайса; проверить вручную</t>
        </is>
      </c>
    </row>
    <row r="310">
      <c r="A310" s="41" t="inlineStr">
        <is>
          <t>RWORK-0103</t>
        </is>
      </c>
      <c r="B310" s="41" t="inlineStr">
        <is>
          <t>Снятие утрамбованного щебня (бывшая дорожка перед баней)</t>
        </is>
      </c>
      <c r="C310" s="41" t="inlineStr">
        <is>
          <t>Премиум</t>
        </is>
      </c>
      <c r="D310" s="41" t="inlineStr">
        <is>
          <t>Да</t>
        </is>
      </c>
      <c r="E310" s="41" t="inlineStr">
        <is>
          <t>Стандарт</t>
        </is>
      </c>
      <c r="F310" s="41" t="n"/>
      <c r="G310" s="41" t="inlineStr">
        <is>
          <t>Снятие утрамбованного щебня (бывшая дорожка перед баней)</t>
        </is>
      </c>
      <c r="H310" s="41" t="inlineStr">
        <is>
          <t>Показать строкой</t>
        </is>
      </c>
      <c r="I310" s="41" t="inlineStr">
        <is>
          <t>Детально</t>
        </is>
      </c>
      <c r="J310" s="41" t="inlineStr">
        <is>
          <t>Автогенерация из реального прайса; проверить вручную</t>
        </is>
      </c>
    </row>
    <row r="311">
      <c r="A311" s="42" t="inlineStr">
        <is>
          <t>RWORK-0104</t>
        </is>
      </c>
      <c r="B311" s="42" t="inlineStr">
        <is>
          <t>Спил березы</t>
        </is>
      </c>
      <c r="C311" s="42" t="inlineStr">
        <is>
          <t>Эконом</t>
        </is>
      </c>
      <c r="D311" s="42" t="inlineStr">
        <is>
          <t>Да</t>
        </is>
      </c>
      <c r="E311" s="42" t="inlineStr">
        <is>
          <t>Стандарт</t>
        </is>
      </c>
      <c r="F311" s="42" t="n"/>
      <c r="G311" s="42" t="inlineStr">
        <is>
          <t>Спил березы</t>
        </is>
      </c>
      <c r="H311" s="42" t="inlineStr">
        <is>
          <t>Свернуть в раздел</t>
        </is>
      </c>
      <c r="I311" s="42" t="inlineStr">
        <is>
          <t>Минимум</t>
        </is>
      </c>
      <c r="J311" s="42" t="inlineStr">
        <is>
          <t>Автогенерация из реального прайса; проверить вручную</t>
        </is>
      </c>
    </row>
    <row r="312">
      <c r="A312" s="41" t="inlineStr">
        <is>
          <t>RWORK-0104</t>
        </is>
      </c>
      <c r="B312" s="41" t="inlineStr">
        <is>
          <t>Спил березы</t>
        </is>
      </c>
      <c r="C312" s="41" t="inlineStr">
        <is>
          <t>Стандарт</t>
        </is>
      </c>
      <c r="D312" s="41" t="inlineStr">
        <is>
          <t>Да</t>
        </is>
      </c>
      <c r="E312" s="41" t="inlineStr">
        <is>
          <t>Стандарт</t>
        </is>
      </c>
      <c r="F312" s="41" t="n"/>
      <c r="G312" s="41" t="inlineStr">
        <is>
          <t>Спил березы</t>
        </is>
      </c>
      <c r="H312" s="41" t="inlineStr">
        <is>
          <t>Показать строкой</t>
        </is>
      </c>
      <c r="I312" s="41" t="inlineStr">
        <is>
          <t>База</t>
        </is>
      </c>
      <c r="J312" s="41" t="inlineStr">
        <is>
          <t>Автогенерация из реального прайса; проверить вручную</t>
        </is>
      </c>
    </row>
    <row r="313">
      <c r="A313" s="42" t="inlineStr">
        <is>
          <t>RWORK-0104</t>
        </is>
      </c>
      <c r="B313" s="42" t="inlineStr">
        <is>
          <t>Спил березы</t>
        </is>
      </c>
      <c r="C313" s="42" t="inlineStr">
        <is>
          <t>Премиум</t>
        </is>
      </c>
      <c r="D313" s="42" t="inlineStr">
        <is>
          <t>Да</t>
        </is>
      </c>
      <c r="E313" s="42" t="inlineStr">
        <is>
          <t>Стандарт</t>
        </is>
      </c>
      <c r="F313" s="42" t="n"/>
      <c r="G313" s="42" t="inlineStr">
        <is>
          <t>Спил березы</t>
        </is>
      </c>
      <c r="H313" s="42" t="inlineStr">
        <is>
          <t>Показать строкой</t>
        </is>
      </c>
      <c r="I313" s="42" t="inlineStr">
        <is>
          <t>Детально</t>
        </is>
      </c>
      <c r="J313" s="42" t="inlineStr">
        <is>
          <t>Автогенерация из реального прайса; проверить вручную</t>
        </is>
      </c>
    </row>
    <row r="314">
      <c r="A314" s="41" t="inlineStr">
        <is>
          <t>RWORK-0105</t>
        </is>
      </c>
      <c r="B314" s="41" t="inlineStr">
        <is>
          <t>Транспортные расходы</t>
        </is>
      </c>
      <c r="C314" s="41" t="inlineStr">
        <is>
          <t>Эконом</t>
        </is>
      </c>
      <c r="D314" s="41" t="inlineStr">
        <is>
          <t>Да</t>
        </is>
      </c>
      <c r="E314" s="41" t="inlineStr">
        <is>
          <t>Стандарт</t>
        </is>
      </c>
      <c r="F314" s="41" t="n"/>
      <c r="G314" s="41" t="inlineStr">
        <is>
          <t>Транспортные расходы</t>
        </is>
      </c>
      <c r="H314" s="41" t="inlineStr">
        <is>
          <t>Скрыть из клиентской версии</t>
        </is>
      </c>
      <c r="I314" s="41" t="inlineStr">
        <is>
          <t>Минимум</t>
        </is>
      </c>
      <c r="J314" s="41" t="inlineStr">
        <is>
          <t>Автогенерация из реального прайса; проверить вручную</t>
        </is>
      </c>
    </row>
    <row r="315">
      <c r="A315" s="42" t="inlineStr">
        <is>
          <t>RWORK-0105</t>
        </is>
      </c>
      <c r="B315" s="42" t="inlineStr">
        <is>
          <t>Транспортные расходы</t>
        </is>
      </c>
      <c r="C315" s="42" t="inlineStr">
        <is>
          <t>Стандарт</t>
        </is>
      </c>
      <c r="D315" s="42" t="inlineStr">
        <is>
          <t>Да</t>
        </is>
      </c>
      <c r="E315" s="42" t="inlineStr">
        <is>
          <t>Стандарт</t>
        </is>
      </c>
      <c r="F315" s="42" t="n"/>
      <c r="G315" s="42" t="inlineStr">
        <is>
          <t>Транспортные расходы</t>
        </is>
      </c>
      <c r="H315" s="42" t="inlineStr">
        <is>
          <t>Скрыть из клиентской версии</t>
        </is>
      </c>
      <c r="I315" s="42" t="inlineStr">
        <is>
          <t>База</t>
        </is>
      </c>
      <c r="J315" s="42" t="inlineStr">
        <is>
          <t>Автогенерация из реального прайса; проверить вручную</t>
        </is>
      </c>
    </row>
    <row r="316">
      <c r="A316" s="41" t="inlineStr">
        <is>
          <t>RWORK-0105</t>
        </is>
      </c>
      <c r="B316" s="41" t="inlineStr">
        <is>
          <t>Транспортные расходы</t>
        </is>
      </c>
      <c r="C316" s="41" t="inlineStr">
        <is>
          <t>Премиум</t>
        </is>
      </c>
      <c r="D316" s="41" t="inlineStr">
        <is>
          <t>Да</t>
        </is>
      </c>
      <c r="E316" s="41" t="inlineStr">
        <is>
          <t>Стандарт</t>
        </is>
      </c>
      <c r="F316" s="41" t="n"/>
      <c r="G316" s="41" t="inlineStr">
        <is>
          <t>Транспортные расходы</t>
        </is>
      </c>
      <c r="H316" s="41" t="inlineStr">
        <is>
          <t>Скрыть из клиентской версии</t>
        </is>
      </c>
      <c r="I316" s="41" t="inlineStr">
        <is>
          <t>Детально</t>
        </is>
      </c>
      <c r="J316" s="41" t="inlineStr">
        <is>
          <t>Автогенерация из реального прайса; проверить вручную</t>
        </is>
      </c>
    </row>
    <row r="317">
      <c r="A317" s="42" t="inlineStr">
        <is>
          <t>RWORK-0106</t>
        </is>
      </c>
      <c r="B317" s="42" t="inlineStr">
        <is>
          <t>Укладка силового бронированного кабеля с сигнальной лентой</t>
        </is>
      </c>
      <c r="C317" s="42" t="inlineStr">
        <is>
          <t>Эконом</t>
        </is>
      </c>
      <c r="D317" s="42" t="inlineStr">
        <is>
          <t>Да</t>
        </is>
      </c>
      <c r="E317" s="42" t="inlineStr">
        <is>
          <t>Стандарт</t>
        </is>
      </c>
      <c r="F317" s="42" t="n"/>
      <c r="G317" s="42" t="inlineStr">
        <is>
          <t>Укладка силового бронированного кабеля с сигнальной лентой</t>
        </is>
      </c>
      <c r="H317" s="42" t="inlineStr">
        <is>
          <t>Свернуть в раздел</t>
        </is>
      </c>
      <c r="I317" s="42" t="inlineStr">
        <is>
          <t>Минимум</t>
        </is>
      </c>
      <c r="J317" s="42" t="inlineStr">
        <is>
          <t>Автогенерация из реального прайса; проверить вручную</t>
        </is>
      </c>
    </row>
    <row r="318">
      <c r="A318" s="41" t="inlineStr">
        <is>
          <t>RWORK-0106</t>
        </is>
      </c>
      <c r="B318" s="41" t="inlineStr">
        <is>
          <t>Укладка силового бронированного кабеля с сигнальной лентой</t>
        </is>
      </c>
      <c r="C318" s="41" t="inlineStr">
        <is>
          <t>Стандарт</t>
        </is>
      </c>
      <c r="D318" s="41" t="inlineStr">
        <is>
          <t>Да</t>
        </is>
      </c>
      <c r="E318" s="41" t="inlineStr">
        <is>
          <t>Стандарт</t>
        </is>
      </c>
      <c r="F318" s="41" t="n"/>
      <c r="G318" s="41" t="inlineStr">
        <is>
          <t>Укладка силового бронированного кабеля с сигнальной лентой</t>
        </is>
      </c>
      <c r="H318" s="41" t="inlineStr">
        <is>
          <t>Показать строкой</t>
        </is>
      </c>
      <c r="I318" s="41" t="inlineStr">
        <is>
          <t>База</t>
        </is>
      </c>
      <c r="J318" s="41" t="inlineStr">
        <is>
          <t>Автогенерация из реального прайса; проверить вручную</t>
        </is>
      </c>
    </row>
    <row r="319">
      <c r="A319" s="42" t="inlineStr">
        <is>
          <t>RWORK-0106</t>
        </is>
      </c>
      <c r="B319" s="42" t="inlineStr">
        <is>
          <t>Укладка силового бронированного кабеля с сигнальной лентой</t>
        </is>
      </c>
      <c r="C319" s="42" t="inlineStr">
        <is>
          <t>Премиум</t>
        </is>
      </c>
      <c r="D319" s="42" t="inlineStr">
        <is>
          <t>Да</t>
        </is>
      </c>
      <c r="E319" s="42" t="inlineStr">
        <is>
          <t>Стандарт</t>
        </is>
      </c>
      <c r="F319" s="42" t="n"/>
      <c r="G319" s="42" t="inlineStr">
        <is>
          <t>Укладка силового бронированного кабеля с сигнальной лентой</t>
        </is>
      </c>
      <c r="H319" s="42" t="inlineStr">
        <is>
          <t>Показать строкой</t>
        </is>
      </c>
      <c r="I319" s="42" t="inlineStr">
        <is>
          <t>Детально</t>
        </is>
      </c>
      <c r="J319" s="42" t="inlineStr">
        <is>
          <t>Автогенерация из реального прайса; проверить вручную</t>
        </is>
      </c>
    </row>
    <row r="320">
      <c r="A320" s="41" t="inlineStr">
        <is>
          <t>RWORK-0107</t>
        </is>
      </c>
      <c r="B320" s="41" t="inlineStr">
        <is>
          <t>Укладка геотекстиля</t>
        </is>
      </c>
      <c r="C320" s="41" t="inlineStr">
        <is>
          <t>Эконом</t>
        </is>
      </c>
      <c r="D320" s="41" t="inlineStr">
        <is>
          <t>Да</t>
        </is>
      </c>
      <c r="E320" s="41" t="inlineStr">
        <is>
          <t>Стандарт</t>
        </is>
      </c>
      <c r="F320" s="41" t="n"/>
      <c r="G320" s="41" t="inlineStr">
        <is>
          <t>Укладка геотекстиля</t>
        </is>
      </c>
      <c r="H320" s="41" t="inlineStr">
        <is>
          <t>Свернуть в раздел</t>
        </is>
      </c>
      <c r="I320" s="41" t="inlineStr">
        <is>
          <t>Минимум</t>
        </is>
      </c>
      <c r="J320" s="41" t="inlineStr">
        <is>
          <t>Автогенерация из реального прайса; проверить вручную</t>
        </is>
      </c>
    </row>
    <row r="321">
      <c r="A321" s="42" t="inlineStr">
        <is>
          <t>RWORK-0107</t>
        </is>
      </c>
      <c r="B321" s="42" t="inlineStr">
        <is>
          <t>Укладка геотекстиля</t>
        </is>
      </c>
      <c r="C321" s="42" t="inlineStr">
        <is>
          <t>Стандарт</t>
        </is>
      </c>
      <c r="D321" s="42" t="inlineStr">
        <is>
          <t>Да</t>
        </is>
      </c>
      <c r="E321" s="42" t="inlineStr">
        <is>
          <t>Стандарт</t>
        </is>
      </c>
      <c r="F321" s="42" t="n"/>
      <c r="G321" s="42" t="inlineStr">
        <is>
          <t>Укладка геотекстиля</t>
        </is>
      </c>
      <c r="H321" s="42" t="inlineStr">
        <is>
          <t>Показать строкой</t>
        </is>
      </c>
      <c r="I321" s="42" t="inlineStr">
        <is>
          <t>База</t>
        </is>
      </c>
      <c r="J321" s="42" t="inlineStr">
        <is>
          <t>Автогенерация из реального прайса; проверить вручную</t>
        </is>
      </c>
    </row>
    <row r="322">
      <c r="A322" s="41" t="inlineStr">
        <is>
          <t>RWORK-0107</t>
        </is>
      </c>
      <c r="B322" s="41" t="inlineStr">
        <is>
          <t>Укладка геотекстиля</t>
        </is>
      </c>
      <c r="C322" s="41" t="inlineStr">
        <is>
          <t>Премиум</t>
        </is>
      </c>
      <c r="D322" s="41" t="inlineStr">
        <is>
          <t>Да</t>
        </is>
      </c>
      <c r="E322" s="41" t="inlineStr">
        <is>
          <t>Стандарт</t>
        </is>
      </c>
      <c r="F322" s="41" t="n"/>
      <c r="G322" s="41" t="inlineStr">
        <is>
          <t>Укладка геотекстиля</t>
        </is>
      </c>
      <c r="H322" s="41" t="inlineStr">
        <is>
          <t>Показать строкой</t>
        </is>
      </c>
      <c r="I322" s="41" t="inlineStr">
        <is>
          <t>Детально</t>
        </is>
      </c>
      <c r="J322" s="41" t="inlineStr">
        <is>
          <t>Автогенерация из реального прайса; проверить вручную</t>
        </is>
      </c>
    </row>
    <row r="323">
      <c r="A323" s="42" t="inlineStr">
        <is>
          <t>RWORK-0108</t>
        </is>
      </c>
      <c r="B323" s="42" t="inlineStr">
        <is>
          <t>Укладка кабеля с креплением - под настилом, для освещения подпорных стенок, в стойках ограждения</t>
        </is>
      </c>
      <c r="C323" s="42" t="inlineStr">
        <is>
          <t>Эконом</t>
        </is>
      </c>
      <c r="D323" s="42" t="inlineStr">
        <is>
          <t>Да</t>
        </is>
      </c>
      <c r="E323" s="42" t="inlineStr">
        <is>
          <t>Стандарт</t>
        </is>
      </c>
      <c r="F323" s="42" t="n"/>
      <c r="G323" s="42" t="inlineStr">
        <is>
          <t>Укладка кабеля с креплением - под настилом, для освещения подпорных стенок, в стойках ограждения</t>
        </is>
      </c>
      <c r="H323" s="42" t="inlineStr">
        <is>
          <t>Свернуть в раздел</t>
        </is>
      </c>
      <c r="I323" s="42" t="inlineStr">
        <is>
          <t>Минимум</t>
        </is>
      </c>
      <c r="J323" s="42" t="inlineStr">
        <is>
          <t>Автогенерация из реального прайса; проверить вручную</t>
        </is>
      </c>
    </row>
    <row r="324">
      <c r="A324" s="41" t="inlineStr">
        <is>
          <t>RWORK-0108</t>
        </is>
      </c>
      <c r="B324" s="41" t="inlineStr">
        <is>
          <t>Укладка кабеля с креплением - под настилом, для освещения подпорных стенок, в стойках ограждения</t>
        </is>
      </c>
      <c r="C324" s="41" t="inlineStr">
        <is>
          <t>Стандарт</t>
        </is>
      </c>
      <c r="D324" s="41" t="inlineStr">
        <is>
          <t>Да</t>
        </is>
      </c>
      <c r="E324" s="41" t="inlineStr">
        <is>
          <t>Стандарт</t>
        </is>
      </c>
      <c r="F324" s="41" t="n"/>
      <c r="G324" s="41" t="inlineStr">
        <is>
          <t>Укладка кабеля с креплением - под настилом, для освещения подпорных стенок, в стойках ограждения</t>
        </is>
      </c>
      <c r="H324" s="41" t="inlineStr">
        <is>
          <t>Показать строкой</t>
        </is>
      </c>
      <c r="I324" s="41" t="inlineStr">
        <is>
          <t>База</t>
        </is>
      </c>
      <c r="J324" s="41" t="inlineStr">
        <is>
          <t>Автогенерация из реального прайса; проверить вручную</t>
        </is>
      </c>
    </row>
    <row r="325">
      <c r="A325" s="42" t="inlineStr">
        <is>
          <t>RWORK-0108</t>
        </is>
      </c>
      <c r="B325" s="42" t="inlineStr">
        <is>
          <t>Укладка кабеля с креплением - под настилом, для освещения подпорных стенок, в стойках ограждения</t>
        </is>
      </c>
      <c r="C325" s="42" t="inlineStr">
        <is>
          <t>Премиум</t>
        </is>
      </c>
      <c r="D325" s="42" t="inlineStr">
        <is>
          <t>Да</t>
        </is>
      </c>
      <c r="E325" s="42" t="inlineStr">
        <is>
          <t>Стандарт</t>
        </is>
      </c>
      <c r="F325" s="42" t="n"/>
      <c r="G325" s="42" t="inlineStr">
        <is>
          <t>Укладка кабеля с креплением - под настилом, для освещения подпорных стенок, в стойках ограждения</t>
        </is>
      </c>
      <c r="H325" s="42" t="inlineStr">
        <is>
          <t>Показать строкой</t>
        </is>
      </c>
      <c r="I325" s="42" t="inlineStr">
        <is>
          <t>Детально</t>
        </is>
      </c>
      <c r="J325" s="42" t="inlineStr">
        <is>
          <t>Автогенерация из реального прайса; проверить вручную</t>
        </is>
      </c>
    </row>
    <row r="326">
      <c r="A326" s="41" t="inlineStr">
        <is>
          <t>RWORK-0109</t>
        </is>
      </c>
      <c r="B326" s="41" t="inlineStr">
        <is>
          <t>Укрепление крайнего ряда мощения</t>
        </is>
      </c>
      <c r="C326" s="41" t="inlineStr">
        <is>
          <t>Эконом</t>
        </is>
      </c>
      <c r="D326" s="41" t="inlineStr">
        <is>
          <t>Да</t>
        </is>
      </c>
      <c r="E326" s="41" t="inlineStr">
        <is>
          <t>Стандарт</t>
        </is>
      </c>
      <c r="F326" s="41" t="n"/>
      <c r="G326" s="41" t="inlineStr">
        <is>
          <t>Укрепление крайнего ряда мощения</t>
        </is>
      </c>
      <c r="H326" s="41" t="inlineStr">
        <is>
          <t>Свернуть в раздел</t>
        </is>
      </c>
      <c r="I326" s="41" t="inlineStr">
        <is>
          <t>Минимум</t>
        </is>
      </c>
      <c r="J326" s="41" t="inlineStr">
        <is>
          <t>Автогенерация из реального прайса; проверить вручную</t>
        </is>
      </c>
    </row>
    <row r="327">
      <c r="A327" s="42" t="inlineStr">
        <is>
          <t>RWORK-0109</t>
        </is>
      </c>
      <c r="B327" s="42" t="inlineStr">
        <is>
          <t>Укрепление крайнего ряда мощения</t>
        </is>
      </c>
      <c r="C327" s="42" t="inlineStr">
        <is>
          <t>Стандарт</t>
        </is>
      </c>
      <c r="D327" s="42" t="inlineStr">
        <is>
          <t>Да</t>
        </is>
      </c>
      <c r="E327" s="42" t="inlineStr">
        <is>
          <t>Стандарт</t>
        </is>
      </c>
      <c r="F327" s="42" t="n"/>
      <c r="G327" s="42" t="inlineStr">
        <is>
          <t>Укрепление крайнего ряда мощения</t>
        </is>
      </c>
      <c r="H327" s="42" t="inlineStr">
        <is>
          <t>Показать строкой</t>
        </is>
      </c>
      <c r="I327" s="42" t="inlineStr">
        <is>
          <t>База</t>
        </is>
      </c>
      <c r="J327" s="42" t="inlineStr">
        <is>
          <t>Автогенерация из реального прайса; проверить вручную</t>
        </is>
      </c>
    </row>
    <row r="328">
      <c r="A328" s="41" t="inlineStr">
        <is>
          <t>RWORK-0109</t>
        </is>
      </c>
      <c r="B328" s="41" t="inlineStr">
        <is>
          <t>Укрепление крайнего ряда мощения</t>
        </is>
      </c>
      <c r="C328" s="41" t="inlineStr">
        <is>
          <t>Премиум</t>
        </is>
      </c>
      <c r="D328" s="41" t="inlineStr">
        <is>
          <t>Да</t>
        </is>
      </c>
      <c r="E328" s="41" t="inlineStr">
        <is>
          <t>Стандарт</t>
        </is>
      </c>
      <c r="F328" s="41" t="n"/>
      <c r="G328" s="41" t="inlineStr">
        <is>
          <t>Укрепление крайнего ряда мощения</t>
        </is>
      </c>
      <c r="H328" s="41" t="inlineStr">
        <is>
          <t>Показать строкой</t>
        </is>
      </c>
      <c r="I328" s="41" t="inlineStr">
        <is>
          <t>Детально</t>
        </is>
      </c>
      <c r="J328" s="41" t="inlineStr">
        <is>
          <t>Автогенерация из реального прайса; проверить вручную</t>
        </is>
      </c>
    </row>
    <row r="329">
      <c r="A329" s="42" t="inlineStr">
        <is>
          <t>RWORK-0110</t>
        </is>
      </c>
      <c r="B329" s="42" t="inlineStr">
        <is>
          <t>Уплотнение основания виброплитой</t>
        </is>
      </c>
      <c r="C329" s="42" t="inlineStr">
        <is>
          <t>Эконом</t>
        </is>
      </c>
      <c r="D329" s="42" t="inlineStr">
        <is>
          <t>Да</t>
        </is>
      </c>
      <c r="E329" s="42" t="inlineStr">
        <is>
          <t>Механизированный</t>
        </is>
      </c>
      <c r="F329" s="42" t="n"/>
      <c r="G329" s="42" t="inlineStr">
        <is>
          <t>Уплотнение основания виброплитой</t>
        </is>
      </c>
      <c r="H329" s="42" t="inlineStr">
        <is>
          <t>Свернуть в раздел</t>
        </is>
      </c>
      <c r="I329" s="42" t="inlineStr">
        <is>
          <t>Минимум</t>
        </is>
      </c>
      <c r="J329" s="42" t="inlineStr">
        <is>
          <t>Автогенерация из реального прайса; проверить вручную</t>
        </is>
      </c>
    </row>
    <row r="330">
      <c r="A330" s="41" t="inlineStr">
        <is>
          <t>RWORK-0110</t>
        </is>
      </c>
      <c r="B330" s="41" t="inlineStr">
        <is>
          <t>Уплотнение основания виброплитой</t>
        </is>
      </c>
      <c r="C330" s="41" t="inlineStr">
        <is>
          <t>Стандарт</t>
        </is>
      </c>
      <c r="D330" s="41" t="inlineStr">
        <is>
          <t>Да</t>
        </is>
      </c>
      <c r="E330" s="41" t="inlineStr">
        <is>
          <t>Механизированный</t>
        </is>
      </c>
      <c r="F330" s="41" t="n"/>
      <c r="G330" s="41" t="inlineStr">
        <is>
          <t>Уплотнение основания виброплитой</t>
        </is>
      </c>
      <c r="H330" s="41" t="inlineStr">
        <is>
          <t>Показать строкой</t>
        </is>
      </c>
      <c r="I330" s="41" t="inlineStr">
        <is>
          <t>База</t>
        </is>
      </c>
      <c r="J330" s="41" t="inlineStr">
        <is>
          <t>Автогенерация из реального прайса; проверить вручную</t>
        </is>
      </c>
    </row>
    <row r="331">
      <c r="A331" s="42" t="inlineStr">
        <is>
          <t>RWORK-0110</t>
        </is>
      </c>
      <c r="B331" s="42" t="inlineStr">
        <is>
          <t>Уплотнение основания виброплитой</t>
        </is>
      </c>
      <c r="C331" s="42" t="inlineStr">
        <is>
          <t>Премиум</t>
        </is>
      </c>
      <c r="D331" s="42" t="inlineStr">
        <is>
          <t>Да</t>
        </is>
      </c>
      <c r="E331" s="42" t="inlineStr">
        <is>
          <t>Механизированный</t>
        </is>
      </c>
      <c r="F331" s="42" t="n"/>
      <c r="G331" s="42" t="inlineStr">
        <is>
          <t>Уплотнение основания виброплитой</t>
        </is>
      </c>
      <c r="H331" s="42" t="inlineStr">
        <is>
          <t>Показать строкой</t>
        </is>
      </c>
      <c r="I331" s="42" t="inlineStr">
        <is>
          <t>Детально</t>
        </is>
      </c>
      <c r="J331" s="42" t="inlineStr">
        <is>
          <t>Автогенерация из реального прайса; проверить вручную</t>
        </is>
      </c>
    </row>
    <row r="332">
      <c r="A332" s="41" t="inlineStr">
        <is>
          <t>RWORK-0111</t>
        </is>
      </c>
      <c r="B332" s="41" t="inlineStr">
        <is>
          <t>Устройство армокаркасов</t>
        </is>
      </c>
      <c r="C332" s="41" t="inlineStr">
        <is>
          <t>Эконом</t>
        </is>
      </c>
      <c r="D332" s="41" t="inlineStr">
        <is>
          <t>Да</t>
        </is>
      </c>
      <c r="E332" s="41" t="inlineStr">
        <is>
          <t>Стандарт</t>
        </is>
      </c>
      <c r="F332" s="41" t="n"/>
      <c r="G332" s="41" t="inlineStr">
        <is>
          <t>Устройство армокаркасов</t>
        </is>
      </c>
      <c r="H332" s="41" t="inlineStr">
        <is>
          <t>Свернуть в раздел</t>
        </is>
      </c>
      <c r="I332" s="41" t="inlineStr">
        <is>
          <t>Минимум</t>
        </is>
      </c>
      <c r="J332" s="41" t="inlineStr">
        <is>
          <t>Автогенерация из реального прайса; проверить вручную</t>
        </is>
      </c>
    </row>
    <row r="333">
      <c r="A333" s="42" t="inlineStr">
        <is>
          <t>RWORK-0111</t>
        </is>
      </c>
      <c r="B333" s="42" t="inlineStr">
        <is>
          <t>Устройство армокаркасов</t>
        </is>
      </c>
      <c r="C333" s="42" t="inlineStr">
        <is>
          <t>Стандарт</t>
        </is>
      </c>
      <c r="D333" s="42" t="inlineStr">
        <is>
          <t>Да</t>
        </is>
      </c>
      <c r="E333" s="42" t="inlineStr">
        <is>
          <t>Стандарт</t>
        </is>
      </c>
      <c r="F333" s="42" t="n"/>
      <c r="G333" s="42" t="inlineStr">
        <is>
          <t>Устройство армокаркасов</t>
        </is>
      </c>
      <c r="H333" s="42" t="inlineStr">
        <is>
          <t>Показать строкой</t>
        </is>
      </c>
      <c r="I333" s="42" t="inlineStr">
        <is>
          <t>База</t>
        </is>
      </c>
      <c r="J333" s="42" t="inlineStr">
        <is>
          <t>Автогенерация из реального прайса; проверить вручную</t>
        </is>
      </c>
    </row>
    <row r="334">
      <c r="A334" s="41" t="inlineStr">
        <is>
          <t>RWORK-0111</t>
        </is>
      </c>
      <c r="B334" s="41" t="inlineStr">
        <is>
          <t>Устройство армокаркасов</t>
        </is>
      </c>
      <c r="C334" s="41" t="inlineStr">
        <is>
          <t>Премиум</t>
        </is>
      </c>
      <c r="D334" s="41" t="inlineStr">
        <is>
          <t>Да</t>
        </is>
      </c>
      <c r="E334" s="41" t="inlineStr">
        <is>
          <t>Стандарт</t>
        </is>
      </c>
      <c r="F334" s="41" t="n"/>
      <c r="G334" s="41" t="inlineStr">
        <is>
          <t>Устройство армокаркасов</t>
        </is>
      </c>
      <c r="H334" s="41" t="inlineStr">
        <is>
          <t>Показать строкой</t>
        </is>
      </c>
      <c r="I334" s="41" t="inlineStr">
        <is>
          <t>Детально</t>
        </is>
      </c>
      <c r="J334" s="41" t="inlineStr">
        <is>
          <t>Автогенерация из реального прайса; проверить вручную</t>
        </is>
      </c>
    </row>
    <row r="335">
      <c r="A335" s="42" t="inlineStr">
        <is>
          <t>RWORK-0112</t>
        </is>
      </c>
      <c r="B335" s="42" t="inlineStr">
        <is>
          <t>Устройство бесшовного покрытия отмостки из резиновой крошки, 10мм (с материалами)</t>
        </is>
      </c>
      <c r="C335" s="42" t="inlineStr">
        <is>
          <t>Эконом</t>
        </is>
      </c>
      <c r="D335" s="42" t="inlineStr">
        <is>
          <t>Да</t>
        </is>
      </c>
      <c r="E335" s="42" t="inlineStr">
        <is>
          <t>Стандарт</t>
        </is>
      </c>
      <c r="F335" s="42" t="n"/>
      <c r="G335" s="42" t="inlineStr">
        <is>
          <t>Устройство бесшовного покрытия отмостки из резиновой крошки, 10мм (с материалами)</t>
        </is>
      </c>
      <c r="H335" s="42" t="inlineStr">
        <is>
          <t>Свернуть в раздел</t>
        </is>
      </c>
      <c r="I335" s="42" t="inlineStr">
        <is>
          <t>Минимум</t>
        </is>
      </c>
      <c r="J335" s="42" t="inlineStr">
        <is>
          <t>Автогенерация из реального прайса; проверить вручную</t>
        </is>
      </c>
    </row>
    <row r="336">
      <c r="A336" s="41" t="inlineStr">
        <is>
          <t>RWORK-0112</t>
        </is>
      </c>
      <c r="B336" s="41" t="inlineStr">
        <is>
          <t>Устройство бесшовного покрытия отмостки из резиновой крошки, 10мм (с материалами)</t>
        </is>
      </c>
      <c r="C336" s="41" t="inlineStr">
        <is>
          <t>Стандарт</t>
        </is>
      </c>
      <c r="D336" s="41" t="inlineStr">
        <is>
          <t>Да</t>
        </is>
      </c>
      <c r="E336" s="41" t="inlineStr">
        <is>
          <t>Стандарт</t>
        </is>
      </c>
      <c r="F336" s="41" t="n"/>
      <c r="G336" s="41" t="inlineStr">
        <is>
          <t>Устройство бесшовного покрытия отмостки из резиновой крошки, 10мм (с материалами)</t>
        </is>
      </c>
      <c r="H336" s="41" t="inlineStr">
        <is>
          <t>Показать строкой</t>
        </is>
      </c>
      <c r="I336" s="41" t="inlineStr">
        <is>
          <t>База</t>
        </is>
      </c>
      <c r="J336" s="41" t="inlineStr">
        <is>
          <t>Автогенерация из реального прайса; проверить вручную</t>
        </is>
      </c>
    </row>
    <row r="337">
      <c r="A337" s="42" t="inlineStr">
        <is>
          <t>RWORK-0112</t>
        </is>
      </c>
      <c r="B337" s="42" t="inlineStr">
        <is>
          <t>Устройство бесшовного покрытия отмостки из резиновой крошки, 10мм (с материалами)</t>
        </is>
      </c>
      <c r="C337" s="42" t="inlineStr">
        <is>
          <t>Премиум</t>
        </is>
      </c>
      <c r="D337" s="42" t="inlineStr">
        <is>
          <t>Да</t>
        </is>
      </c>
      <c r="E337" s="42" t="inlineStr">
        <is>
          <t>Стандарт</t>
        </is>
      </c>
      <c r="F337" s="42" t="n"/>
      <c r="G337" s="42" t="inlineStr">
        <is>
          <t>Устройство бесшовного покрытия отмостки из резиновой крошки, 10мм (с материалами)</t>
        </is>
      </c>
      <c r="H337" s="42" t="inlineStr">
        <is>
          <t>Показать строкой</t>
        </is>
      </c>
      <c r="I337" s="42" t="inlineStr">
        <is>
          <t>Детально</t>
        </is>
      </c>
      <c r="J337" s="42" t="inlineStr">
        <is>
          <t>Автогенерация из реального прайса; проверить вручную</t>
        </is>
      </c>
    </row>
    <row r="338">
      <c r="A338" s="41" t="inlineStr">
        <is>
          <t>RWORK-0113</t>
        </is>
      </c>
      <c r="B338" s="41" t="inlineStr">
        <is>
          <t>Устройство бордюра из габбро-диабаза в два ряда на бетон 80*80*80мм</t>
        </is>
      </c>
      <c r="C338" s="41" t="inlineStr">
        <is>
          <t>Эконом</t>
        </is>
      </c>
      <c r="D338" s="41" t="inlineStr">
        <is>
          <t>Да</t>
        </is>
      </c>
      <c r="E338" s="41" t="inlineStr">
        <is>
          <t>Стандарт</t>
        </is>
      </c>
      <c r="F338" s="41" t="n"/>
      <c r="G338" s="41" t="inlineStr">
        <is>
          <t>Устройство бордюра из габбро-диабаза в два ряда на бетон 80*80*80мм</t>
        </is>
      </c>
      <c r="H338" s="41" t="inlineStr">
        <is>
          <t>Свернуть в раздел</t>
        </is>
      </c>
      <c r="I338" s="41" t="inlineStr">
        <is>
          <t>Минимум</t>
        </is>
      </c>
      <c r="J338" s="41" t="inlineStr">
        <is>
          <t>Автогенерация из реального прайса; проверить вручную</t>
        </is>
      </c>
    </row>
    <row r="339">
      <c r="A339" s="42" t="inlineStr">
        <is>
          <t>RWORK-0113</t>
        </is>
      </c>
      <c r="B339" s="42" t="inlineStr">
        <is>
          <t>Устройство бордюра из габбро-диабаза в два ряда на бетон 80*80*80мм</t>
        </is>
      </c>
      <c r="C339" s="42" t="inlineStr">
        <is>
          <t>Стандарт</t>
        </is>
      </c>
      <c r="D339" s="42" t="inlineStr">
        <is>
          <t>Да</t>
        </is>
      </c>
      <c r="E339" s="42" t="inlineStr">
        <is>
          <t>Стандарт</t>
        </is>
      </c>
      <c r="F339" s="42" t="n"/>
      <c r="G339" s="42" t="inlineStr">
        <is>
          <t>Устройство бордюра из габбро-диабаза в два ряда на бетон 80*80*80мм</t>
        </is>
      </c>
      <c r="H339" s="42" t="inlineStr">
        <is>
          <t>Показать строкой</t>
        </is>
      </c>
      <c r="I339" s="42" t="inlineStr">
        <is>
          <t>База</t>
        </is>
      </c>
      <c r="J339" s="42" t="inlineStr">
        <is>
          <t>Автогенерация из реального прайса; проверить вручную</t>
        </is>
      </c>
    </row>
    <row r="340">
      <c r="A340" s="41" t="inlineStr">
        <is>
          <t>RWORK-0113</t>
        </is>
      </c>
      <c r="B340" s="41" t="inlineStr">
        <is>
          <t>Устройство бордюра из габбро-диабаза в два ряда на бетон 80*80*80мм</t>
        </is>
      </c>
      <c r="C340" s="41" t="inlineStr">
        <is>
          <t>Премиум</t>
        </is>
      </c>
      <c r="D340" s="41" t="inlineStr">
        <is>
          <t>Да</t>
        </is>
      </c>
      <c r="E340" s="41" t="inlineStr">
        <is>
          <t>Стандарт</t>
        </is>
      </c>
      <c r="F340" s="41" t="n"/>
      <c r="G340" s="41" t="inlineStr">
        <is>
          <t>Устройство бордюра из габбро-диабаза в два ряда на бетон 80*80*80мм</t>
        </is>
      </c>
      <c r="H340" s="41" t="inlineStr">
        <is>
          <t>Показать строкой</t>
        </is>
      </c>
      <c r="I340" s="41" t="inlineStr">
        <is>
          <t>Детально</t>
        </is>
      </c>
      <c r="J340" s="41" t="inlineStr">
        <is>
          <t>Автогенерация из реального прайса; проверить вручную</t>
        </is>
      </c>
    </row>
    <row r="341">
      <c r="A341" s="42" t="inlineStr">
        <is>
          <t>RWORK-0114</t>
        </is>
      </c>
      <c r="B341" s="42" t="inlineStr">
        <is>
          <t>Устройство бордюра из габбро-диабаза в один ряд на бетон 80*80*80мм</t>
        </is>
      </c>
      <c r="C341" s="42" t="inlineStr">
        <is>
          <t>Эконом</t>
        </is>
      </c>
      <c r="D341" s="42" t="inlineStr">
        <is>
          <t>Да</t>
        </is>
      </c>
      <c r="E341" s="42" t="inlineStr">
        <is>
          <t>Стандарт</t>
        </is>
      </c>
      <c r="F341" s="42" t="n"/>
      <c r="G341" s="42" t="inlineStr">
        <is>
          <t>Устройство бордюра из габбро-диабаза в один ряд на бетон 80*80*80мм</t>
        </is>
      </c>
      <c r="H341" s="42" t="inlineStr">
        <is>
          <t>Свернуть в раздел</t>
        </is>
      </c>
      <c r="I341" s="42" t="inlineStr">
        <is>
          <t>Минимум</t>
        </is>
      </c>
      <c r="J341" s="42" t="inlineStr">
        <is>
          <t>Автогенерация из реального прайса; проверить вручную</t>
        </is>
      </c>
    </row>
    <row r="342">
      <c r="A342" s="41" t="inlineStr">
        <is>
          <t>RWORK-0114</t>
        </is>
      </c>
      <c r="B342" s="41" t="inlineStr">
        <is>
          <t>Устройство бордюра из габбро-диабаза в один ряд на бетон 80*80*80мм</t>
        </is>
      </c>
      <c r="C342" s="41" t="inlineStr">
        <is>
          <t>Стандарт</t>
        </is>
      </c>
      <c r="D342" s="41" t="inlineStr">
        <is>
          <t>Да</t>
        </is>
      </c>
      <c r="E342" s="41" t="inlineStr">
        <is>
          <t>Стандарт</t>
        </is>
      </c>
      <c r="F342" s="41" t="n"/>
      <c r="G342" s="41" t="inlineStr">
        <is>
          <t>Устройство бордюра из габбро-диабаза в один ряд на бетон 80*80*80мм</t>
        </is>
      </c>
      <c r="H342" s="41" t="inlineStr">
        <is>
          <t>Показать строкой</t>
        </is>
      </c>
      <c r="I342" s="41" t="inlineStr">
        <is>
          <t>База</t>
        </is>
      </c>
      <c r="J342" s="41" t="inlineStr">
        <is>
          <t>Автогенерация из реального прайса; проверить вручную</t>
        </is>
      </c>
    </row>
    <row r="343">
      <c r="A343" s="42" t="inlineStr">
        <is>
          <t>RWORK-0114</t>
        </is>
      </c>
      <c r="B343" s="42" t="inlineStr">
        <is>
          <t>Устройство бордюра из габбро-диабаза в один ряд на бетон 80*80*80мм</t>
        </is>
      </c>
      <c r="C343" s="42" t="inlineStr">
        <is>
          <t>Премиум</t>
        </is>
      </c>
      <c r="D343" s="42" t="inlineStr">
        <is>
          <t>Да</t>
        </is>
      </c>
      <c r="E343" s="42" t="inlineStr">
        <is>
          <t>Стандарт</t>
        </is>
      </c>
      <c r="F343" s="42" t="n"/>
      <c r="G343" s="42" t="inlineStr">
        <is>
          <t>Устройство бордюра из габбро-диабаза в один ряд на бетон 80*80*80мм</t>
        </is>
      </c>
      <c r="H343" s="42" t="inlineStr">
        <is>
          <t>Показать строкой</t>
        </is>
      </c>
      <c r="I343" s="42" t="inlineStr">
        <is>
          <t>Детально</t>
        </is>
      </c>
      <c r="J343" s="42" t="inlineStr">
        <is>
          <t>Автогенерация из реального прайса; проверить вручную</t>
        </is>
      </c>
    </row>
    <row r="344">
      <c r="A344" s="41" t="inlineStr">
        <is>
          <t>RWORK-0115</t>
        </is>
      </c>
      <c r="B344" s="41" t="inlineStr">
        <is>
          <t>Устройство врезок в бетонный колодец d110мм</t>
        </is>
      </c>
      <c r="C344" s="41" t="inlineStr">
        <is>
          <t>Эконом</t>
        </is>
      </c>
      <c r="D344" s="41" t="inlineStr">
        <is>
          <t>Да</t>
        </is>
      </c>
      <c r="E344" s="41" t="inlineStr">
        <is>
          <t>Стандарт</t>
        </is>
      </c>
      <c r="F344" s="41" t="n"/>
      <c r="G344" s="41" t="inlineStr">
        <is>
          <t>Устройство врезок в бетонный колодец d110мм</t>
        </is>
      </c>
      <c r="H344" s="41" t="inlineStr">
        <is>
          <t>Свернуть в раздел</t>
        </is>
      </c>
      <c r="I344" s="41" t="inlineStr">
        <is>
          <t>Минимум</t>
        </is>
      </c>
      <c r="J344" s="41" t="inlineStr">
        <is>
          <t>Автогенерация из реального прайса; проверить вручную</t>
        </is>
      </c>
    </row>
    <row r="345">
      <c r="A345" s="42" t="inlineStr">
        <is>
          <t>RWORK-0115</t>
        </is>
      </c>
      <c r="B345" s="42" t="inlineStr">
        <is>
          <t>Устройство врезок в бетонный колодец d110мм</t>
        </is>
      </c>
      <c r="C345" s="42" t="inlineStr">
        <is>
          <t>Стандарт</t>
        </is>
      </c>
      <c r="D345" s="42" t="inlineStr">
        <is>
          <t>Да</t>
        </is>
      </c>
      <c r="E345" s="42" t="inlineStr">
        <is>
          <t>Стандарт</t>
        </is>
      </c>
      <c r="F345" s="42" t="n"/>
      <c r="G345" s="42" t="inlineStr">
        <is>
          <t>Устройство врезок в бетонный колодец d110мм</t>
        </is>
      </c>
      <c r="H345" s="42" t="inlineStr">
        <is>
          <t>Показать строкой</t>
        </is>
      </c>
      <c r="I345" s="42" t="inlineStr">
        <is>
          <t>База</t>
        </is>
      </c>
      <c r="J345" s="42" t="inlineStr">
        <is>
          <t>Автогенерация из реального прайса; проверить вручную</t>
        </is>
      </c>
    </row>
    <row r="346">
      <c r="A346" s="41" t="inlineStr">
        <is>
          <t>RWORK-0115</t>
        </is>
      </c>
      <c r="B346" s="41" t="inlineStr">
        <is>
          <t>Устройство врезок в бетонный колодец d110мм</t>
        </is>
      </c>
      <c r="C346" s="41" t="inlineStr">
        <is>
          <t>Премиум</t>
        </is>
      </c>
      <c r="D346" s="41" t="inlineStr">
        <is>
          <t>Да</t>
        </is>
      </c>
      <c r="E346" s="41" t="inlineStr">
        <is>
          <t>Стандарт</t>
        </is>
      </c>
      <c r="F346" s="41" t="n"/>
      <c r="G346" s="41" t="inlineStr">
        <is>
          <t>Устройство врезок в бетонный колодец d110мм</t>
        </is>
      </c>
      <c r="H346" s="41" t="inlineStr">
        <is>
          <t>Показать строкой</t>
        </is>
      </c>
      <c r="I346" s="41" t="inlineStr">
        <is>
          <t>Детально</t>
        </is>
      </c>
      <c r="J346" s="41" t="inlineStr">
        <is>
          <t>Автогенерация из реального прайса; проверить вручную</t>
        </is>
      </c>
    </row>
    <row r="347">
      <c r="A347" s="42" t="inlineStr">
        <is>
          <t>RWORK-0116</t>
        </is>
      </c>
      <c r="B347" s="42" t="inlineStr">
        <is>
          <t>Устройство врезок в бетонный колодец d160мм</t>
        </is>
      </c>
      <c r="C347" s="42" t="inlineStr">
        <is>
          <t>Эконом</t>
        </is>
      </c>
      <c r="D347" s="42" t="inlineStr">
        <is>
          <t>Да</t>
        </is>
      </c>
      <c r="E347" s="42" t="inlineStr">
        <is>
          <t>Стандарт</t>
        </is>
      </c>
      <c r="F347" s="42" t="n"/>
      <c r="G347" s="42" t="inlineStr">
        <is>
          <t>Устройство врезок в бетонный колодец d160мм</t>
        </is>
      </c>
      <c r="H347" s="42" t="inlineStr">
        <is>
          <t>Свернуть в раздел</t>
        </is>
      </c>
      <c r="I347" s="42" t="inlineStr">
        <is>
          <t>Минимум</t>
        </is>
      </c>
      <c r="J347" s="42" t="inlineStr">
        <is>
          <t>Автогенерация из реального прайса; проверить вручную</t>
        </is>
      </c>
    </row>
    <row r="348">
      <c r="A348" s="41" t="inlineStr">
        <is>
          <t>RWORK-0116</t>
        </is>
      </c>
      <c r="B348" s="41" t="inlineStr">
        <is>
          <t>Устройство врезок в бетонный колодец d160мм</t>
        </is>
      </c>
      <c r="C348" s="41" t="inlineStr">
        <is>
          <t>Стандарт</t>
        </is>
      </c>
      <c r="D348" s="41" t="inlineStr">
        <is>
          <t>Да</t>
        </is>
      </c>
      <c r="E348" s="41" t="inlineStr">
        <is>
          <t>Стандарт</t>
        </is>
      </c>
      <c r="F348" s="41" t="n"/>
      <c r="G348" s="41" t="inlineStr">
        <is>
          <t>Устройство врезок в бетонный колодец d160мм</t>
        </is>
      </c>
      <c r="H348" s="41" t="inlineStr">
        <is>
          <t>Показать строкой</t>
        </is>
      </c>
      <c r="I348" s="41" t="inlineStr">
        <is>
          <t>База</t>
        </is>
      </c>
      <c r="J348" s="41" t="inlineStr">
        <is>
          <t>Автогенерация из реального прайса; проверить вручную</t>
        </is>
      </c>
    </row>
    <row r="349">
      <c r="A349" s="42" t="inlineStr">
        <is>
          <t>RWORK-0116</t>
        </is>
      </c>
      <c r="B349" s="42" t="inlineStr">
        <is>
          <t>Устройство врезок в бетонный колодец d160мм</t>
        </is>
      </c>
      <c r="C349" s="42" t="inlineStr">
        <is>
          <t>Премиум</t>
        </is>
      </c>
      <c r="D349" s="42" t="inlineStr">
        <is>
          <t>Да</t>
        </is>
      </c>
      <c r="E349" s="42" t="inlineStr">
        <is>
          <t>Стандарт</t>
        </is>
      </c>
      <c r="F349" s="42" t="n"/>
      <c r="G349" s="42" t="inlineStr">
        <is>
          <t>Устройство врезок в бетонный колодец d160мм</t>
        </is>
      </c>
      <c r="H349" s="42" t="inlineStr">
        <is>
          <t>Показать строкой</t>
        </is>
      </c>
      <c r="I349" s="42" t="inlineStr">
        <is>
          <t>Детально</t>
        </is>
      </c>
      <c r="J349" s="42" t="inlineStr">
        <is>
          <t>Автогенерация из реального прайса; проверить вручную</t>
        </is>
      </c>
    </row>
    <row r="350">
      <c r="A350" s="41" t="inlineStr">
        <is>
          <t>RWORK-0117</t>
        </is>
      </c>
      <c r="B350" s="41" t="inlineStr">
        <is>
          <t>Устройство врезок в колодец</t>
        </is>
      </c>
      <c r="C350" s="41" t="inlineStr">
        <is>
          <t>Эконом</t>
        </is>
      </c>
      <c r="D350" s="41" t="inlineStr">
        <is>
          <t>Да</t>
        </is>
      </c>
      <c r="E350" s="41" t="inlineStr">
        <is>
          <t>Стандарт</t>
        </is>
      </c>
      <c r="F350" s="41" t="n"/>
      <c r="G350" s="41" t="inlineStr">
        <is>
          <t>Устройство врезок в колодец</t>
        </is>
      </c>
      <c r="H350" s="41" t="inlineStr">
        <is>
          <t>Свернуть в раздел</t>
        </is>
      </c>
      <c r="I350" s="41" t="inlineStr">
        <is>
          <t>Минимум</t>
        </is>
      </c>
      <c r="J350" s="41" t="inlineStr">
        <is>
          <t>Автогенерация из реального прайса; проверить вручную</t>
        </is>
      </c>
    </row>
    <row r="351">
      <c r="A351" s="42" t="inlineStr">
        <is>
          <t>RWORK-0117</t>
        </is>
      </c>
      <c r="B351" s="42" t="inlineStr">
        <is>
          <t>Устройство врезок в колодец</t>
        </is>
      </c>
      <c r="C351" s="42" t="inlineStr">
        <is>
          <t>Стандарт</t>
        </is>
      </c>
      <c r="D351" s="42" t="inlineStr">
        <is>
          <t>Да</t>
        </is>
      </c>
      <c r="E351" s="42" t="inlineStr">
        <is>
          <t>Стандарт</t>
        </is>
      </c>
      <c r="F351" s="42" t="n"/>
      <c r="G351" s="42" t="inlineStr">
        <is>
          <t>Устройство врезок в колодец</t>
        </is>
      </c>
      <c r="H351" s="42" t="inlineStr">
        <is>
          <t>Показать строкой</t>
        </is>
      </c>
      <c r="I351" s="42" t="inlineStr">
        <is>
          <t>База</t>
        </is>
      </c>
      <c r="J351" s="42" t="inlineStr">
        <is>
          <t>Автогенерация из реального прайса; проверить вручную</t>
        </is>
      </c>
    </row>
    <row r="352">
      <c r="A352" s="41" t="inlineStr">
        <is>
          <t>RWORK-0117</t>
        </is>
      </c>
      <c r="B352" s="41" t="inlineStr">
        <is>
          <t>Устройство врезок в колодец</t>
        </is>
      </c>
      <c r="C352" s="41" t="inlineStr">
        <is>
          <t>Премиум</t>
        </is>
      </c>
      <c r="D352" s="41" t="inlineStr">
        <is>
          <t>Да</t>
        </is>
      </c>
      <c r="E352" s="41" t="inlineStr">
        <is>
          <t>Стандарт</t>
        </is>
      </c>
      <c r="F352" s="41" t="n"/>
      <c r="G352" s="41" t="inlineStr">
        <is>
          <t>Устройство врезок в колодец</t>
        </is>
      </c>
      <c r="H352" s="41" t="inlineStr">
        <is>
          <t>Показать строкой</t>
        </is>
      </c>
      <c r="I352" s="41" t="inlineStr">
        <is>
          <t>Детально</t>
        </is>
      </c>
      <c r="J352" s="41" t="inlineStr">
        <is>
          <t>Автогенерация из реального прайса; проверить вручную</t>
        </is>
      </c>
    </row>
    <row r="353">
      <c r="A353" s="42" t="inlineStr">
        <is>
          <t>RWORK-0118</t>
        </is>
      </c>
      <c r="B353" s="42" t="inlineStr">
        <is>
          <t>Устройство временной съемной опалубки</t>
        </is>
      </c>
      <c r="C353" s="42" t="inlineStr">
        <is>
          <t>Эконом</t>
        </is>
      </c>
      <c r="D353" s="42" t="inlineStr">
        <is>
          <t>Да</t>
        </is>
      </c>
      <c r="E353" s="42" t="inlineStr">
        <is>
          <t>Стандарт</t>
        </is>
      </c>
      <c r="F353" s="42" t="n"/>
      <c r="G353" s="42" t="inlineStr">
        <is>
          <t>Устройство временной съемной опалубки</t>
        </is>
      </c>
      <c r="H353" s="42" t="inlineStr">
        <is>
          <t>Свернуть в раздел</t>
        </is>
      </c>
      <c r="I353" s="42" t="inlineStr">
        <is>
          <t>Минимум</t>
        </is>
      </c>
      <c r="J353" s="42" t="inlineStr">
        <is>
          <t>Автогенерация из реального прайса; проверить вручную</t>
        </is>
      </c>
    </row>
    <row r="354">
      <c r="A354" s="41" t="inlineStr">
        <is>
          <t>RWORK-0118</t>
        </is>
      </c>
      <c r="B354" s="41" t="inlineStr">
        <is>
          <t>Устройство временной съемной опалубки</t>
        </is>
      </c>
      <c r="C354" s="41" t="inlineStr">
        <is>
          <t>Стандарт</t>
        </is>
      </c>
      <c r="D354" s="41" t="inlineStr">
        <is>
          <t>Да</t>
        </is>
      </c>
      <c r="E354" s="41" t="inlineStr">
        <is>
          <t>Стандарт</t>
        </is>
      </c>
      <c r="F354" s="41" t="n"/>
      <c r="G354" s="41" t="inlineStr">
        <is>
          <t>Устройство временной съемной опалубки</t>
        </is>
      </c>
      <c r="H354" s="41" t="inlineStr">
        <is>
          <t>Показать строкой</t>
        </is>
      </c>
      <c r="I354" s="41" t="inlineStr">
        <is>
          <t>База</t>
        </is>
      </c>
      <c r="J354" s="41" t="inlineStr">
        <is>
          <t>Автогенерация из реального прайса; проверить вручную</t>
        </is>
      </c>
    </row>
    <row r="355">
      <c r="A355" s="42" t="inlineStr">
        <is>
          <t>RWORK-0118</t>
        </is>
      </c>
      <c r="B355" s="42" t="inlineStr">
        <is>
          <t>Устройство временной съемной опалубки</t>
        </is>
      </c>
      <c r="C355" s="42" t="inlineStr">
        <is>
          <t>Премиум</t>
        </is>
      </c>
      <c r="D355" s="42" t="inlineStr">
        <is>
          <t>Да</t>
        </is>
      </c>
      <c r="E355" s="42" t="inlineStr">
        <is>
          <t>Стандарт</t>
        </is>
      </c>
      <c r="F355" s="42" t="n"/>
      <c r="G355" s="42" t="inlineStr">
        <is>
          <t>Устройство временной съемной опалубки</t>
        </is>
      </c>
      <c r="H355" s="42" t="inlineStr">
        <is>
          <t>Показать строкой</t>
        </is>
      </c>
      <c r="I355" s="42" t="inlineStr">
        <is>
          <t>Детально</t>
        </is>
      </c>
      <c r="J355" s="42" t="inlineStr">
        <is>
          <t>Автогенерация из реального прайса; проверить вручную</t>
        </is>
      </c>
    </row>
    <row r="356">
      <c r="A356" s="41" t="inlineStr">
        <is>
          <t>RWORK-0119</t>
        </is>
      </c>
      <c r="B356" s="41" t="inlineStr">
        <is>
          <t>Устройство выравнивающего слоя (5-20мм)</t>
        </is>
      </c>
      <c r="C356" s="41" t="inlineStr">
        <is>
          <t>Эконом</t>
        </is>
      </c>
      <c r="D356" s="41" t="inlineStr">
        <is>
          <t>Да</t>
        </is>
      </c>
      <c r="E356" s="41" t="inlineStr">
        <is>
          <t>Стандарт</t>
        </is>
      </c>
      <c r="F356" s="41" t="n"/>
      <c r="G356" s="41" t="inlineStr">
        <is>
          <t>Устройство выравнивающего слоя (5-20мм)</t>
        </is>
      </c>
      <c r="H356" s="41" t="inlineStr">
        <is>
          <t>Свернуть в раздел</t>
        </is>
      </c>
      <c r="I356" s="41" t="inlineStr">
        <is>
          <t>Минимум</t>
        </is>
      </c>
      <c r="J356" s="41" t="inlineStr">
        <is>
          <t>Автогенерация из реального прайса; проверить вручную</t>
        </is>
      </c>
    </row>
    <row r="357">
      <c r="A357" s="42" t="inlineStr">
        <is>
          <t>RWORK-0119</t>
        </is>
      </c>
      <c r="B357" s="42" t="inlineStr">
        <is>
          <t>Устройство выравнивающего слоя (5-20мм)</t>
        </is>
      </c>
      <c r="C357" s="42" t="inlineStr">
        <is>
          <t>Стандарт</t>
        </is>
      </c>
      <c r="D357" s="42" t="inlineStr">
        <is>
          <t>Да</t>
        </is>
      </c>
      <c r="E357" s="42" t="inlineStr">
        <is>
          <t>Стандарт</t>
        </is>
      </c>
      <c r="F357" s="42" t="n"/>
      <c r="G357" s="42" t="inlineStr">
        <is>
          <t>Устройство выравнивающего слоя (5-20мм)</t>
        </is>
      </c>
      <c r="H357" s="42" t="inlineStr">
        <is>
          <t>Показать строкой</t>
        </is>
      </c>
      <c r="I357" s="42" t="inlineStr">
        <is>
          <t>База</t>
        </is>
      </c>
      <c r="J357" s="42" t="inlineStr">
        <is>
          <t>Автогенерация из реального прайса; проверить вручную</t>
        </is>
      </c>
    </row>
    <row r="358">
      <c r="A358" s="41" t="inlineStr">
        <is>
          <t>RWORK-0119</t>
        </is>
      </c>
      <c r="B358" s="41" t="inlineStr">
        <is>
          <t>Устройство выравнивающего слоя (5-20мм)</t>
        </is>
      </c>
      <c r="C358" s="41" t="inlineStr">
        <is>
          <t>Премиум</t>
        </is>
      </c>
      <c r="D358" s="41" t="inlineStr">
        <is>
          <t>Да</t>
        </is>
      </c>
      <c r="E358" s="41" t="inlineStr">
        <is>
          <t>Стандарт</t>
        </is>
      </c>
      <c r="F358" s="41" t="n"/>
      <c r="G358" s="41" t="inlineStr">
        <is>
          <t>Устройство выравнивающего слоя (5-20мм)</t>
        </is>
      </c>
      <c r="H358" s="41" t="inlineStr">
        <is>
          <t>Показать строкой</t>
        </is>
      </c>
      <c r="I358" s="41" t="inlineStr">
        <is>
          <t>Детально</t>
        </is>
      </c>
      <c r="J358" s="41" t="inlineStr">
        <is>
          <t>Автогенерация из реального прайса; проверить вручную</t>
        </is>
      </c>
    </row>
    <row r="359">
      <c r="A359" s="42" t="inlineStr">
        <is>
          <t>RWORK-0120</t>
        </is>
      </c>
      <c r="B359" s="42" t="inlineStr">
        <is>
          <t>Устройство газонного ложа</t>
        </is>
      </c>
      <c r="C359" s="42" t="inlineStr">
        <is>
          <t>Эконом</t>
        </is>
      </c>
      <c r="D359" s="42" t="inlineStr">
        <is>
          <t>Да</t>
        </is>
      </c>
      <c r="E359" s="42" t="inlineStr">
        <is>
          <t>Стандарт</t>
        </is>
      </c>
      <c r="F359" s="42" t="n"/>
      <c r="G359" s="42" t="inlineStr">
        <is>
          <t>Устройство газонного ложа</t>
        </is>
      </c>
      <c r="H359" s="42" t="inlineStr">
        <is>
          <t>Свернуть в раздел</t>
        </is>
      </c>
      <c r="I359" s="42" t="inlineStr">
        <is>
          <t>Минимум</t>
        </is>
      </c>
      <c r="J359" s="42" t="inlineStr">
        <is>
          <t>Автогенерация из реального прайса; проверить вручную</t>
        </is>
      </c>
    </row>
    <row r="360">
      <c r="A360" s="41" t="inlineStr">
        <is>
          <t>RWORK-0120</t>
        </is>
      </c>
      <c r="B360" s="41" t="inlineStr">
        <is>
          <t>Устройство газонного ложа</t>
        </is>
      </c>
      <c r="C360" s="41" t="inlineStr">
        <is>
          <t>Стандарт</t>
        </is>
      </c>
      <c r="D360" s="41" t="inlineStr">
        <is>
          <t>Да</t>
        </is>
      </c>
      <c r="E360" s="41" t="inlineStr">
        <is>
          <t>Стандарт</t>
        </is>
      </c>
      <c r="F360" s="41" t="n"/>
      <c r="G360" s="41" t="inlineStr">
        <is>
          <t>Устройство газонного ложа</t>
        </is>
      </c>
      <c r="H360" s="41" t="inlineStr">
        <is>
          <t>Показать строкой</t>
        </is>
      </c>
      <c r="I360" s="41" t="inlineStr">
        <is>
          <t>База</t>
        </is>
      </c>
      <c r="J360" s="41" t="inlineStr">
        <is>
          <t>Автогенерация из реального прайса; проверить вручную</t>
        </is>
      </c>
    </row>
    <row r="361">
      <c r="A361" s="42" t="inlineStr">
        <is>
          <t>RWORK-0120</t>
        </is>
      </c>
      <c r="B361" s="42" t="inlineStr">
        <is>
          <t>Устройство газонного ложа</t>
        </is>
      </c>
      <c r="C361" s="42" t="inlineStr">
        <is>
          <t>Премиум</t>
        </is>
      </c>
      <c r="D361" s="42" t="inlineStr">
        <is>
          <t>Да</t>
        </is>
      </c>
      <c r="E361" s="42" t="inlineStr">
        <is>
          <t>Стандарт</t>
        </is>
      </c>
      <c r="F361" s="42" t="n"/>
      <c r="G361" s="42" t="inlineStr">
        <is>
          <t>Устройство газонного ложа</t>
        </is>
      </c>
      <c r="H361" s="42" t="inlineStr">
        <is>
          <t>Показать строкой</t>
        </is>
      </c>
      <c r="I361" s="42" t="inlineStr">
        <is>
          <t>Детально</t>
        </is>
      </c>
      <c r="J361" s="42" t="inlineStr">
        <is>
          <t>Автогенерация из реального прайса; проверить вручную</t>
        </is>
      </c>
    </row>
    <row r="362">
      <c r="A362" s="41" t="inlineStr">
        <is>
          <t>RWORK-0121</t>
        </is>
      </c>
      <c r="B362" s="41" t="inlineStr">
        <is>
          <t>Устройство газонного ложа для обыкновенного газона: грунт плодородный (торфогрунт:песок:дерновая земля - 1:2:3), 150мм</t>
        </is>
      </c>
      <c r="C362" s="41" t="inlineStr">
        <is>
          <t>Эконом</t>
        </is>
      </c>
      <c r="D362" s="41" t="inlineStr">
        <is>
          <t>Да</t>
        </is>
      </c>
      <c r="E362" s="41" t="inlineStr">
        <is>
          <t>Стандарт</t>
        </is>
      </c>
      <c r="F362" s="41" t="n"/>
      <c r="G362" s="41" t="inlineStr">
        <is>
          <t>Устройство газонного ложа для обыкновенного газона: грунт плодородный (торфогрунт:песок:дерновая земля - 1:2:3), 150мм</t>
        </is>
      </c>
      <c r="H362" s="41" t="inlineStr">
        <is>
          <t>Свернуть в раздел</t>
        </is>
      </c>
      <c r="I362" s="41" t="inlineStr">
        <is>
          <t>Минимум</t>
        </is>
      </c>
      <c r="J362" s="41" t="inlineStr">
        <is>
          <t>Автогенерация из реального прайса; проверить вручную</t>
        </is>
      </c>
    </row>
    <row r="363">
      <c r="A363" s="42" t="inlineStr">
        <is>
          <t>RWORK-0121</t>
        </is>
      </c>
      <c r="B363" s="42" t="inlineStr">
        <is>
          <t>Устройство газонного ложа для обыкновенного газона: грунт плодородный (торфогрунт:песок:дерновая земля - 1:2:3), 150мм</t>
        </is>
      </c>
      <c r="C363" s="42" t="inlineStr">
        <is>
          <t>Стандарт</t>
        </is>
      </c>
      <c r="D363" s="42" t="inlineStr">
        <is>
          <t>Да</t>
        </is>
      </c>
      <c r="E363" s="42" t="inlineStr">
        <is>
          <t>Стандарт</t>
        </is>
      </c>
      <c r="F363" s="42" t="n"/>
      <c r="G363" s="42" t="inlineStr">
        <is>
          <t>Устройство газонного ложа для обыкновенного газона: грунт плодородный (торфогрунт:песок:дерновая земля - 1:2:3), 150мм</t>
        </is>
      </c>
      <c r="H363" s="42" t="inlineStr">
        <is>
          <t>Показать строкой</t>
        </is>
      </c>
      <c r="I363" s="42" t="inlineStr">
        <is>
          <t>База</t>
        </is>
      </c>
      <c r="J363" s="42" t="inlineStr">
        <is>
          <t>Автогенерация из реального прайса; проверить вручную</t>
        </is>
      </c>
    </row>
    <row r="364">
      <c r="A364" s="41" t="inlineStr">
        <is>
          <t>RWORK-0121</t>
        </is>
      </c>
      <c r="B364" s="41" t="inlineStr">
        <is>
          <t>Устройство газонного ложа для обыкновенного газона: грунт плодородный (торфогрунт:песок:дерновая земля - 1:2:3), 150мм</t>
        </is>
      </c>
      <c r="C364" s="41" t="inlineStr">
        <is>
          <t>Премиум</t>
        </is>
      </c>
      <c r="D364" s="41" t="inlineStr">
        <is>
          <t>Да</t>
        </is>
      </c>
      <c r="E364" s="41" t="inlineStr">
        <is>
          <t>Стандарт</t>
        </is>
      </c>
      <c r="F364" s="41" t="n"/>
      <c r="G364" s="41" t="inlineStr">
        <is>
          <t>Устройство газонного ложа для обыкновенного газона: грунт плодородный (торфогрунт:песок:дерновая земля - 1:2:3), 150мм</t>
        </is>
      </c>
      <c r="H364" s="41" t="inlineStr">
        <is>
          <t>Показать строкой</t>
        </is>
      </c>
      <c r="I364" s="41" t="inlineStr">
        <is>
          <t>Детально</t>
        </is>
      </c>
      <c r="J364" s="41" t="inlineStr">
        <is>
          <t>Автогенерация из реального прайса; проверить вручную</t>
        </is>
      </c>
    </row>
    <row r="365">
      <c r="A365" s="42" t="inlineStr">
        <is>
          <t>RWORK-0122</t>
        </is>
      </c>
      <c r="B365" s="42" t="inlineStr">
        <is>
          <t>Устройство газонного ложа для обыкновенного газона: грунт плодородный (торфогрунт:песок:дерновая земля - 1:2:3), 160мм</t>
        </is>
      </c>
      <c r="C365" s="42" t="inlineStr">
        <is>
          <t>Эконом</t>
        </is>
      </c>
      <c r="D365" s="42" t="inlineStr">
        <is>
          <t>Да</t>
        </is>
      </c>
      <c r="E365" s="42" t="inlineStr">
        <is>
          <t>Стандарт</t>
        </is>
      </c>
      <c r="F365" s="42" t="n"/>
      <c r="G365" s="42" t="inlineStr">
        <is>
          <t>Устройство газонного ложа для обыкновенного газона: грунт плодородный (торфогрунт:песок:дерновая земля - 1:2:3), 160мм</t>
        </is>
      </c>
      <c r="H365" s="42" t="inlineStr">
        <is>
          <t>Свернуть в раздел</t>
        </is>
      </c>
      <c r="I365" s="42" t="inlineStr">
        <is>
          <t>Минимум</t>
        </is>
      </c>
      <c r="J365" s="42" t="inlineStr">
        <is>
          <t>Автогенерация из реального прайса; проверить вручную</t>
        </is>
      </c>
    </row>
    <row r="366">
      <c r="A366" s="41" t="inlineStr">
        <is>
          <t>RWORK-0122</t>
        </is>
      </c>
      <c r="B366" s="41" t="inlineStr">
        <is>
          <t>Устройство газонного ложа для обыкновенного газона: грунт плодородный (торфогрунт:песок:дерновая земля - 1:2:3), 160мм</t>
        </is>
      </c>
      <c r="C366" s="41" t="inlineStr">
        <is>
          <t>Стандарт</t>
        </is>
      </c>
      <c r="D366" s="41" t="inlineStr">
        <is>
          <t>Да</t>
        </is>
      </c>
      <c r="E366" s="41" t="inlineStr">
        <is>
          <t>Стандарт</t>
        </is>
      </c>
      <c r="F366" s="41" t="n"/>
      <c r="G366" s="41" t="inlineStr">
        <is>
          <t>Устройство газонного ложа для обыкновенного газона: грунт плодородный (торфогрунт:песок:дерновая земля - 1:2:3), 160мм</t>
        </is>
      </c>
      <c r="H366" s="41" t="inlineStr">
        <is>
          <t>Показать строкой</t>
        </is>
      </c>
      <c r="I366" s="41" t="inlineStr">
        <is>
          <t>База</t>
        </is>
      </c>
      <c r="J366" s="41" t="inlineStr">
        <is>
          <t>Автогенерация из реального прайса; проверить вручную</t>
        </is>
      </c>
    </row>
    <row r="367">
      <c r="A367" s="42" t="inlineStr">
        <is>
          <t>RWORK-0122</t>
        </is>
      </c>
      <c r="B367" s="42" t="inlineStr">
        <is>
          <t>Устройство газонного ложа для обыкновенного газона: грунт плодородный (торфогрунт:песок:дерновая земля - 1:2:3), 160мм</t>
        </is>
      </c>
      <c r="C367" s="42" t="inlineStr">
        <is>
          <t>Премиум</t>
        </is>
      </c>
      <c r="D367" s="42" t="inlineStr">
        <is>
          <t>Да</t>
        </is>
      </c>
      <c r="E367" s="42" t="inlineStr">
        <is>
          <t>Стандарт</t>
        </is>
      </c>
      <c r="F367" s="42" t="n"/>
      <c r="G367" s="42" t="inlineStr">
        <is>
          <t>Устройство газонного ложа для обыкновенного газона: грунт плодородный (торфогрунт:песок:дерновая земля - 1:2:3), 160мм</t>
        </is>
      </c>
      <c r="H367" s="42" t="inlineStr">
        <is>
          <t>Показать строкой</t>
        </is>
      </c>
      <c r="I367" s="42" t="inlineStr">
        <is>
          <t>Детально</t>
        </is>
      </c>
      <c r="J367" s="42" t="inlineStr">
        <is>
          <t>Автогенерация из реального прайса; проверить вручную</t>
        </is>
      </c>
    </row>
    <row r="368">
      <c r="A368" s="41" t="inlineStr">
        <is>
          <t>RWORK-0123</t>
        </is>
      </c>
      <c r="B368" s="41" t="inlineStr">
        <is>
          <t>Устройство гравийного покрытия</t>
        </is>
      </c>
      <c r="C368" s="41" t="inlineStr">
        <is>
          <t>Эконом</t>
        </is>
      </c>
      <c r="D368" s="41" t="inlineStr">
        <is>
          <t>Да</t>
        </is>
      </c>
      <c r="E368" s="41" t="inlineStr">
        <is>
          <t>Стандарт</t>
        </is>
      </c>
      <c r="F368" s="41" t="n"/>
      <c r="G368" s="41" t="inlineStr">
        <is>
          <t>Устройство гравийного покрытия</t>
        </is>
      </c>
      <c r="H368" s="41" t="inlineStr">
        <is>
          <t>Свернуть в раздел</t>
        </is>
      </c>
      <c r="I368" s="41" t="inlineStr">
        <is>
          <t>Минимум</t>
        </is>
      </c>
      <c r="J368" s="41" t="inlineStr">
        <is>
          <t>Автогенерация из реального прайса; проверить вручную</t>
        </is>
      </c>
    </row>
    <row r="369">
      <c r="A369" s="42" t="inlineStr">
        <is>
          <t>RWORK-0123</t>
        </is>
      </c>
      <c r="B369" s="42" t="inlineStr">
        <is>
          <t>Устройство гравийного покрытия</t>
        </is>
      </c>
      <c r="C369" s="42" t="inlineStr">
        <is>
          <t>Стандарт</t>
        </is>
      </c>
      <c r="D369" s="42" t="inlineStr">
        <is>
          <t>Да</t>
        </is>
      </c>
      <c r="E369" s="42" t="inlineStr">
        <is>
          <t>Стандарт</t>
        </is>
      </c>
      <c r="F369" s="42" t="n"/>
      <c r="G369" s="42" t="inlineStr">
        <is>
          <t>Устройство гравийного покрытия</t>
        </is>
      </c>
      <c r="H369" s="42" t="inlineStr">
        <is>
          <t>Показать строкой</t>
        </is>
      </c>
      <c r="I369" s="42" t="inlineStr">
        <is>
          <t>База</t>
        </is>
      </c>
      <c r="J369" s="42" t="inlineStr">
        <is>
          <t>Автогенерация из реального прайса; проверить вручную</t>
        </is>
      </c>
    </row>
    <row r="370">
      <c r="A370" s="41" t="inlineStr">
        <is>
          <t>RWORK-0123</t>
        </is>
      </c>
      <c r="B370" s="41" t="inlineStr">
        <is>
          <t>Устройство гравийного покрытия</t>
        </is>
      </c>
      <c r="C370" s="41" t="inlineStr">
        <is>
          <t>Премиум</t>
        </is>
      </c>
      <c r="D370" s="41" t="inlineStr">
        <is>
          <t>Да</t>
        </is>
      </c>
      <c r="E370" s="41" t="inlineStr">
        <is>
          <t>Стандарт</t>
        </is>
      </c>
      <c r="F370" s="41" t="n"/>
      <c r="G370" s="41" t="inlineStr">
        <is>
          <t>Устройство гравийного покрытия</t>
        </is>
      </c>
      <c r="H370" s="41" t="inlineStr">
        <is>
          <t>Показать строкой</t>
        </is>
      </c>
      <c r="I370" s="41" t="inlineStr">
        <is>
          <t>Детально</t>
        </is>
      </c>
      <c r="J370" s="41" t="inlineStr">
        <is>
          <t>Автогенерация из реального прайса; проверить вручную</t>
        </is>
      </c>
    </row>
    <row r="371">
      <c r="A371" s="42" t="inlineStr">
        <is>
          <t>RWORK-0124</t>
        </is>
      </c>
      <c r="B371" s="42" t="inlineStr">
        <is>
          <t>Устройство декинга</t>
        </is>
      </c>
      <c r="C371" s="42" t="inlineStr">
        <is>
          <t>Эконом</t>
        </is>
      </c>
      <c r="D371" s="42" t="inlineStr">
        <is>
          <t>Да</t>
        </is>
      </c>
      <c r="E371" s="42" t="inlineStr">
        <is>
          <t>Стандарт</t>
        </is>
      </c>
      <c r="F371" s="42" t="n"/>
      <c r="G371" s="42" t="inlineStr">
        <is>
          <t>Устройство декинга</t>
        </is>
      </c>
      <c r="H371" s="42" t="inlineStr">
        <is>
          <t>Свернуть в раздел</t>
        </is>
      </c>
      <c r="I371" s="42" t="inlineStr">
        <is>
          <t>Минимум</t>
        </is>
      </c>
      <c r="J371" s="42" t="inlineStr">
        <is>
          <t>Автогенерация из реального прайса; проверить вручную</t>
        </is>
      </c>
    </row>
    <row r="372">
      <c r="A372" s="41" t="inlineStr">
        <is>
          <t>RWORK-0124</t>
        </is>
      </c>
      <c r="B372" s="41" t="inlineStr">
        <is>
          <t>Устройство декинга</t>
        </is>
      </c>
      <c r="C372" s="41" t="inlineStr">
        <is>
          <t>Стандарт</t>
        </is>
      </c>
      <c r="D372" s="41" t="inlineStr">
        <is>
          <t>Да</t>
        </is>
      </c>
      <c r="E372" s="41" t="inlineStr">
        <is>
          <t>Стандарт</t>
        </is>
      </c>
      <c r="F372" s="41" t="n"/>
      <c r="G372" s="41" t="inlineStr">
        <is>
          <t>Устройство декинга</t>
        </is>
      </c>
      <c r="H372" s="41" t="inlineStr">
        <is>
          <t>Показать строкой</t>
        </is>
      </c>
      <c r="I372" s="41" t="inlineStr">
        <is>
          <t>База</t>
        </is>
      </c>
      <c r="J372" s="41" t="inlineStr">
        <is>
          <t>Автогенерация из реального прайса; проверить вручную</t>
        </is>
      </c>
    </row>
    <row r="373">
      <c r="A373" s="42" t="inlineStr">
        <is>
          <t>RWORK-0124</t>
        </is>
      </c>
      <c r="B373" s="42" t="inlineStr">
        <is>
          <t>Устройство декинга</t>
        </is>
      </c>
      <c r="C373" s="42" t="inlineStr">
        <is>
          <t>Премиум</t>
        </is>
      </c>
      <c r="D373" s="42" t="inlineStr">
        <is>
          <t>Да</t>
        </is>
      </c>
      <c r="E373" s="42" t="inlineStr">
        <is>
          <t>Стандарт</t>
        </is>
      </c>
      <c r="F373" s="42" t="n"/>
      <c r="G373" s="42" t="inlineStr">
        <is>
          <t>Устройство декинга</t>
        </is>
      </c>
      <c r="H373" s="42" t="inlineStr">
        <is>
          <t>Показать строкой</t>
        </is>
      </c>
      <c r="I373" s="42" t="inlineStr">
        <is>
          <t>Детально</t>
        </is>
      </c>
      <c r="J373" s="42" t="inlineStr">
        <is>
          <t>Автогенерация из реального прайса; проверить вручную</t>
        </is>
      </c>
    </row>
    <row r="374">
      <c r="A374" s="41" t="inlineStr">
        <is>
          <t>RWORK-0125</t>
        </is>
      </c>
      <c r="B374" s="41" t="inlineStr">
        <is>
          <t>Устройство деревянной опалубки</t>
        </is>
      </c>
      <c r="C374" s="41" t="inlineStr">
        <is>
          <t>Эконом</t>
        </is>
      </c>
      <c r="D374" s="41" t="inlineStr">
        <is>
          <t>Да</t>
        </is>
      </c>
      <c r="E374" s="41" t="inlineStr">
        <is>
          <t>Стандарт</t>
        </is>
      </c>
      <c r="F374" s="41" t="n"/>
      <c r="G374" s="41" t="inlineStr">
        <is>
          <t>Устройство деревянной опалубки</t>
        </is>
      </c>
      <c r="H374" s="41" t="inlineStr">
        <is>
          <t>Свернуть в раздел</t>
        </is>
      </c>
      <c r="I374" s="41" t="inlineStr">
        <is>
          <t>Минимум</t>
        </is>
      </c>
      <c r="J374" s="41" t="inlineStr">
        <is>
          <t>Автогенерация из реального прайса; проверить вручную</t>
        </is>
      </c>
    </row>
    <row r="375">
      <c r="A375" s="42" t="inlineStr">
        <is>
          <t>RWORK-0125</t>
        </is>
      </c>
      <c r="B375" s="42" t="inlineStr">
        <is>
          <t>Устройство деревянной опалубки</t>
        </is>
      </c>
      <c r="C375" s="42" t="inlineStr">
        <is>
          <t>Стандарт</t>
        </is>
      </c>
      <c r="D375" s="42" t="inlineStr">
        <is>
          <t>Да</t>
        </is>
      </c>
      <c r="E375" s="42" t="inlineStr">
        <is>
          <t>Стандарт</t>
        </is>
      </c>
      <c r="F375" s="42" t="n"/>
      <c r="G375" s="42" t="inlineStr">
        <is>
          <t>Устройство деревянной опалубки</t>
        </is>
      </c>
      <c r="H375" s="42" t="inlineStr">
        <is>
          <t>Показать строкой</t>
        </is>
      </c>
      <c r="I375" s="42" t="inlineStr">
        <is>
          <t>База</t>
        </is>
      </c>
      <c r="J375" s="42" t="inlineStr">
        <is>
          <t>Автогенерация из реального прайса; проверить вручную</t>
        </is>
      </c>
    </row>
    <row r="376">
      <c r="A376" s="41" t="inlineStr">
        <is>
          <t>RWORK-0125</t>
        </is>
      </c>
      <c r="B376" s="41" t="inlineStr">
        <is>
          <t>Устройство деревянной опалубки</t>
        </is>
      </c>
      <c r="C376" s="41" t="inlineStr">
        <is>
          <t>Премиум</t>
        </is>
      </c>
      <c r="D376" s="41" t="inlineStr">
        <is>
          <t>Да</t>
        </is>
      </c>
      <c r="E376" s="41" t="inlineStr">
        <is>
          <t>Стандарт</t>
        </is>
      </c>
      <c r="F376" s="41" t="n"/>
      <c r="G376" s="41" t="inlineStr">
        <is>
          <t>Устройство деревянной опалубки</t>
        </is>
      </c>
      <c r="H376" s="41" t="inlineStr">
        <is>
          <t>Показать строкой</t>
        </is>
      </c>
      <c r="I376" s="41" t="inlineStr">
        <is>
          <t>Детально</t>
        </is>
      </c>
      <c r="J376" s="41" t="inlineStr">
        <is>
          <t>Автогенерация из реального прайса; проверить вручную</t>
        </is>
      </c>
    </row>
    <row r="377">
      <c r="A377" s="42" t="inlineStr">
        <is>
          <t>RWORK-0126</t>
        </is>
      </c>
      <c r="B377" s="42" t="inlineStr">
        <is>
          <t>Устройство дорожных одежд в парковочной зоне с расклинцовкой, трамбовкой и проливом водой</t>
        </is>
      </c>
      <c r="C377" s="42" t="inlineStr">
        <is>
          <t>Эконом</t>
        </is>
      </c>
      <c r="D377" s="42" t="inlineStr">
        <is>
          <t>Да</t>
        </is>
      </c>
      <c r="E377" s="42" t="inlineStr">
        <is>
          <t>Стандарт</t>
        </is>
      </c>
      <c r="F377" s="42" t="n"/>
      <c r="G377" s="42" t="inlineStr">
        <is>
          <t>Устройство дорожных одежд в парковочной зоне с расклинцовкой, трамбовкой и проливом водой</t>
        </is>
      </c>
      <c r="H377" s="42" t="inlineStr">
        <is>
          <t>Свернуть в раздел</t>
        </is>
      </c>
      <c r="I377" s="42" t="inlineStr">
        <is>
          <t>Минимум</t>
        </is>
      </c>
      <c r="J377" s="42" t="inlineStr">
        <is>
          <t>Автогенерация из реального прайса; проверить вручную</t>
        </is>
      </c>
    </row>
    <row r="378">
      <c r="A378" s="41" t="inlineStr">
        <is>
          <t>RWORK-0126</t>
        </is>
      </c>
      <c r="B378" s="41" t="inlineStr">
        <is>
          <t>Устройство дорожных одежд в парковочной зоне с расклинцовкой, трамбовкой и проливом водой</t>
        </is>
      </c>
      <c r="C378" s="41" t="inlineStr">
        <is>
          <t>Стандарт</t>
        </is>
      </c>
      <c r="D378" s="41" t="inlineStr">
        <is>
          <t>Да</t>
        </is>
      </c>
      <c r="E378" s="41" t="inlineStr">
        <is>
          <t>Стандарт</t>
        </is>
      </c>
      <c r="F378" s="41" t="n"/>
      <c r="G378" s="41" t="inlineStr">
        <is>
          <t>Устройство дорожных одежд в парковочной зоне с расклинцовкой, трамбовкой и проливом водой</t>
        </is>
      </c>
      <c r="H378" s="41" t="inlineStr">
        <is>
          <t>Показать строкой</t>
        </is>
      </c>
      <c r="I378" s="41" t="inlineStr">
        <is>
          <t>База</t>
        </is>
      </c>
      <c r="J378" s="41" t="inlineStr">
        <is>
          <t>Автогенерация из реального прайса; проверить вручную</t>
        </is>
      </c>
    </row>
    <row r="379">
      <c r="A379" s="42" t="inlineStr">
        <is>
          <t>RWORK-0126</t>
        </is>
      </c>
      <c r="B379" s="42" t="inlineStr">
        <is>
          <t>Устройство дорожных одежд в парковочной зоне с расклинцовкой, трамбовкой и проливом водой</t>
        </is>
      </c>
      <c r="C379" s="42" t="inlineStr">
        <is>
          <t>Премиум</t>
        </is>
      </c>
      <c r="D379" s="42" t="inlineStr">
        <is>
          <t>Да</t>
        </is>
      </c>
      <c r="E379" s="42" t="inlineStr">
        <is>
          <t>Стандарт</t>
        </is>
      </c>
      <c r="F379" s="42" t="n"/>
      <c r="G379" s="42" t="inlineStr">
        <is>
          <t>Устройство дорожных одежд в парковочной зоне с расклинцовкой, трамбовкой и проливом водой</t>
        </is>
      </c>
      <c r="H379" s="42" t="inlineStr">
        <is>
          <t>Показать строкой</t>
        </is>
      </c>
      <c r="I379" s="42" t="inlineStr">
        <is>
          <t>Детально</t>
        </is>
      </c>
      <c r="J379" s="42" t="inlineStr">
        <is>
          <t>Автогенерация из реального прайса; проверить вручную</t>
        </is>
      </c>
    </row>
    <row r="380">
      <c r="A380" s="41" t="inlineStr">
        <is>
          <t>RWORK-0127</t>
        </is>
      </c>
      <c r="B380" s="41" t="inlineStr">
        <is>
          <t>Устройство дорожных одежд в пешеходной зоне с расклинцовкой, трамбовкой и проливом водой</t>
        </is>
      </c>
      <c r="C380" s="41" t="inlineStr">
        <is>
          <t>Эконом</t>
        </is>
      </c>
      <c r="D380" s="41" t="inlineStr">
        <is>
          <t>Да</t>
        </is>
      </c>
      <c r="E380" s="41" t="inlineStr">
        <is>
          <t>Стандарт</t>
        </is>
      </c>
      <c r="F380" s="41" t="n"/>
      <c r="G380" s="41" t="inlineStr">
        <is>
          <t>Устройство дорожных одежд в пешеходной зоне с расклинцовкой, трамбовкой и проливом водой</t>
        </is>
      </c>
      <c r="H380" s="41" t="inlineStr">
        <is>
          <t>Свернуть в раздел</t>
        </is>
      </c>
      <c r="I380" s="41" t="inlineStr">
        <is>
          <t>Минимум</t>
        </is>
      </c>
      <c r="J380" s="41" t="inlineStr">
        <is>
          <t>Автогенерация из реального прайса; проверить вручную</t>
        </is>
      </c>
    </row>
    <row r="381">
      <c r="A381" s="42" t="inlineStr">
        <is>
          <t>RWORK-0127</t>
        </is>
      </c>
      <c r="B381" s="42" t="inlineStr">
        <is>
          <t>Устройство дорожных одежд в пешеходной зоне с расклинцовкой, трамбовкой и проливом водой</t>
        </is>
      </c>
      <c r="C381" s="42" t="inlineStr">
        <is>
          <t>Стандарт</t>
        </is>
      </c>
      <c r="D381" s="42" t="inlineStr">
        <is>
          <t>Да</t>
        </is>
      </c>
      <c r="E381" s="42" t="inlineStr">
        <is>
          <t>Стандарт</t>
        </is>
      </c>
      <c r="F381" s="42" t="n"/>
      <c r="G381" s="42" t="inlineStr">
        <is>
          <t>Устройство дорожных одежд в пешеходной зоне с расклинцовкой, трамбовкой и проливом водой</t>
        </is>
      </c>
      <c r="H381" s="42" t="inlineStr">
        <is>
          <t>Показать строкой</t>
        </is>
      </c>
      <c r="I381" s="42" t="inlineStr">
        <is>
          <t>База</t>
        </is>
      </c>
      <c r="J381" s="42" t="inlineStr">
        <is>
          <t>Автогенерация из реального прайса; проверить вручную</t>
        </is>
      </c>
    </row>
    <row r="382">
      <c r="A382" s="41" t="inlineStr">
        <is>
          <t>RWORK-0127</t>
        </is>
      </c>
      <c r="B382" s="41" t="inlineStr">
        <is>
          <t>Устройство дорожных одежд в пешеходной зоне с расклинцовкой, трамбовкой и проливом водой</t>
        </is>
      </c>
      <c r="C382" s="41" t="inlineStr">
        <is>
          <t>Премиум</t>
        </is>
      </c>
      <c r="D382" s="41" t="inlineStr">
        <is>
          <t>Да</t>
        </is>
      </c>
      <c r="E382" s="41" t="inlineStr">
        <is>
          <t>Стандарт</t>
        </is>
      </c>
      <c r="F382" s="41" t="n"/>
      <c r="G382" s="41" t="inlineStr">
        <is>
          <t>Устройство дорожных одежд в пешеходной зоне с расклинцовкой, трамбовкой и проливом водой</t>
        </is>
      </c>
      <c r="H382" s="41" t="inlineStr">
        <is>
          <t>Показать строкой</t>
        </is>
      </c>
      <c r="I382" s="41" t="inlineStr">
        <is>
          <t>Детально</t>
        </is>
      </c>
      <c r="J382" s="41" t="inlineStr">
        <is>
          <t>Автогенерация из реального прайса; проверить вручную</t>
        </is>
      </c>
    </row>
    <row r="383">
      <c r="A383" s="42" t="inlineStr">
        <is>
          <t>RWORK-0128</t>
        </is>
      </c>
      <c r="B383" s="42" t="inlineStr">
        <is>
          <t>Устройство дренажа на глубине 80-130см</t>
        </is>
      </c>
      <c r="C383" s="42" t="inlineStr">
        <is>
          <t>Эконом</t>
        </is>
      </c>
      <c r="D383" s="42" t="inlineStr">
        <is>
          <t>Да</t>
        </is>
      </c>
      <c r="E383" s="42" t="inlineStr">
        <is>
          <t>Стандарт</t>
        </is>
      </c>
      <c r="F383" s="42" t="n"/>
      <c r="G383" s="42" t="inlineStr">
        <is>
          <t>Устройство дренажа на глубине 80-130см</t>
        </is>
      </c>
      <c r="H383" s="42" t="inlineStr">
        <is>
          <t>Свернуть в раздел</t>
        </is>
      </c>
      <c r="I383" s="42" t="inlineStr">
        <is>
          <t>Минимум</t>
        </is>
      </c>
      <c r="J383" s="42" t="inlineStr">
        <is>
          <t>Автогенерация из реального прайса; проверить вручную</t>
        </is>
      </c>
    </row>
    <row r="384">
      <c r="A384" s="41" t="inlineStr">
        <is>
          <t>RWORK-0128</t>
        </is>
      </c>
      <c r="B384" s="41" t="inlineStr">
        <is>
          <t>Устройство дренажа на глубине 80-130см</t>
        </is>
      </c>
      <c r="C384" s="41" t="inlineStr">
        <is>
          <t>Стандарт</t>
        </is>
      </c>
      <c r="D384" s="41" t="inlineStr">
        <is>
          <t>Да</t>
        </is>
      </c>
      <c r="E384" s="41" t="inlineStr">
        <is>
          <t>Стандарт</t>
        </is>
      </c>
      <c r="F384" s="41" t="n"/>
      <c r="G384" s="41" t="inlineStr">
        <is>
          <t>Устройство дренажа на глубине 80-130см</t>
        </is>
      </c>
      <c r="H384" s="41" t="inlineStr">
        <is>
          <t>Показать строкой</t>
        </is>
      </c>
      <c r="I384" s="41" t="inlineStr">
        <is>
          <t>База</t>
        </is>
      </c>
      <c r="J384" s="41" t="inlineStr">
        <is>
          <t>Автогенерация из реального прайса; проверить вручную</t>
        </is>
      </c>
    </row>
    <row r="385">
      <c r="A385" s="42" t="inlineStr">
        <is>
          <t>RWORK-0128</t>
        </is>
      </c>
      <c r="B385" s="42" t="inlineStr">
        <is>
          <t>Устройство дренажа на глубине 80-130см</t>
        </is>
      </c>
      <c r="C385" s="42" t="inlineStr">
        <is>
          <t>Премиум</t>
        </is>
      </c>
      <c r="D385" s="42" t="inlineStr">
        <is>
          <t>Да</t>
        </is>
      </c>
      <c r="E385" s="42" t="inlineStr">
        <is>
          <t>Стандарт</t>
        </is>
      </c>
      <c r="F385" s="42" t="n"/>
      <c r="G385" s="42" t="inlineStr">
        <is>
          <t>Устройство дренажа на глубине 80-130см</t>
        </is>
      </c>
      <c r="H385" s="42" t="inlineStr">
        <is>
          <t>Показать строкой</t>
        </is>
      </c>
      <c r="I385" s="42" t="inlineStr">
        <is>
          <t>Детально</t>
        </is>
      </c>
      <c r="J385" s="42" t="inlineStr">
        <is>
          <t>Автогенерация из реального прайса; проверить вручную</t>
        </is>
      </c>
    </row>
    <row r="386">
      <c r="A386" s="41" t="inlineStr">
        <is>
          <t>RWORK-0129</t>
        </is>
      </c>
      <c r="B386" s="41" t="inlineStr">
        <is>
          <t>Устройство закладных из 3-х труб d=110 мм</t>
        </is>
      </c>
      <c r="C386" s="41" t="inlineStr">
        <is>
          <t>Эконом</t>
        </is>
      </c>
      <c r="D386" s="41" t="inlineStr">
        <is>
          <t>Да</t>
        </is>
      </c>
      <c r="E386" s="41" t="inlineStr">
        <is>
          <t>Стандарт</t>
        </is>
      </c>
      <c r="F386" s="41" t="n"/>
      <c r="G386" s="41" t="inlineStr">
        <is>
          <t>Устройство закладных из 3-х труб d=110 мм</t>
        </is>
      </c>
      <c r="H386" s="41" t="inlineStr">
        <is>
          <t>Свернуть в раздел</t>
        </is>
      </c>
      <c r="I386" s="41" t="inlineStr">
        <is>
          <t>Минимум</t>
        </is>
      </c>
      <c r="J386" s="41" t="inlineStr">
        <is>
          <t>Автогенерация из реального прайса; проверить вручную</t>
        </is>
      </c>
    </row>
    <row r="387">
      <c r="A387" s="42" t="inlineStr">
        <is>
          <t>RWORK-0129</t>
        </is>
      </c>
      <c r="B387" s="42" t="inlineStr">
        <is>
          <t>Устройство закладных из 3-х труб d=110 мм</t>
        </is>
      </c>
      <c r="C387" s="42" t="inlineStr">
        <is>
          <t>Стандарт</t>
        </is>
      </c>
      <c r="D387" s="42" t="inlineStr">
        <is>
          <t>Да</t>
        </is>
      </c>
      <c r="E387" s="42" t="inlineStr">
        <is>
          <t>Стандарт</t>
        </is>
      </c>
      <c r="F387" s="42" t="n"/>
      <c r="G387" s="42" t="inlineStr">
        <is>
          <t>Устройство закладных из 3-х труб d=110 мм</t>
        </is>
      </c>
      <c r="H387" s="42" t="inlineStr">
        <is>
          <t>Показать строкой</t>
        </is>
      </c>
      <c r="I387" s="42" t="inlineStr">
        <is>
          <t>База</t>
        </is>
      </c>
      <c r="J387" s="42" t="inlineStr">
        <is>
          <t>Автогенерация из реального прайса; проверить вручную</t>
        </is>
      </c>
    </row>
    <row r="388">
      <c r="A388" s="41" t="inlineStr">
        <is>
          <t>RWORK-0129</t>
        </is>
      </c>
      <c r="B388" s="41" t="inlineStr">
        <is>
          <t>Устройство закладных из 3-х труб d=110 мм</t>
        </is>
      </c>
      <c r="C388" s="41" t="inlineStr">
        <is>
          <t>Премиум</t>
        </is>
      </c>
      <c r="D388" s="41" t="inlineStr">
        <is>
          <t>Да</t>
        </is>
      </c>
      <c r="E388" s="41" t="inlineStr">
        <is>
          <t>Стандарт</t>
        </is>
      </c>
      <c r="F388" s="41" t="n"/>
      <c r="G388" s="41" t="inlineStr">
        <is>
          <t>Устройство закладных из 3-х труб d=110 мм</t>
        </is>
      </c>
      <c r="H388" s="41" t="inlineStr">
        <is>
          <t>Показать строкой</t>
        </is>
      </c>
      <c r="I388" s="41" t="inlineStr">
        <is>
          <t>Детально</t>
        </is>
      </c>
      <c r="J388" s="41" t="inlineStr">
        <is>
          <t>Автогенерация из реального прайса; проверить вручную</t>
        </is>
      </c>
    </row>
    <row r="389">
      <c r="A389" s="42" t="inlineStr">
        <is>
          <t>RWORK-0130</t>
        </is>
      </c>
      <c r="B389" s="42" t="inlineStr">
        <is>
          <t>Устройство закладных из 3-х труб d=110мм</t>
        </is>
      </c>
      <c r="C389" s="42" t="inlineStr">
        <is>
          <t>Эконом</t>
        </is>
      </c>
      <c r="D389" s="42" t="inlineStr">
        <is>
          <t>Да</t>
        </is>
      </c>
      <c r="E389" s="42" t="inlineStr">
        <is>
          <t>Стандарт</t>
        </is>
      </c>
      <c r="F389" s="42" t="n"/>
      <c r="G389" s="42" t="inlineStr">
        <is>
          <t>Устройство закладных из 3-х труб d=110мм</t>
        </is>
      </c>
      <c r="H389" s="42" t="inlineStr">
        <is>
          <t>Свернуть в раздел</t>
        </is>
      </c>
      <c r="I389" s="42" t="inlineStr">
        <is>
          <t>Минимум</t>
        </is>
      </c>
      <c r="J389" s="42" t="inlineStr">
        <is>
          <t>Автогенерация из реального прайса; проверить вручную</t>
        </is>
      </c>
    </row>
    <row r="390">
      <c r="A390" s="41" t="inlineStr">
        <is>
          <t>RWORK-0130</t>
        </is>
      </c>
      <c r="B390" s="41" t="inlineStr">
        <is>
          <t>Устройство закладных из 3-х труб d=110мм</t>
        </is>
      </c>
      <c r="C390" s="41" t="inlineStr">
        <is>
          <t>Стандарт</t>
        </is>
      </c>
      <c r="D390" s="41" t="inlineStr">
        <is>
          <t>Да</t>
        </is>
      </c>
      <c r="E390" s="41" t="inlineStr">
        <is>
          <t>Стандарт</t>
        </is>
      </c>
      <c r="F390" s="41" t="n"/>
      <c r="G390" s="41" t="inlineStr">
        <is>
          <t>Устройство закладных из 3-х труб d=110мм</t>
        </is>
      </c>
      <c r="H390" s="41" t="inlineStr">
        <is>
          <t>Показать строкой</t>
        </is>
      </c>
      <c r="I390" s="41" t="inlineStr">
        <is>
          <t>База</t>
        </is>
      </c>
      <c r="J390" s="41" t="inlineStr">
        <is>
          <t>Автогенерация из реального прайса; проверить вручную</t>
        </is>
      </c>
    </row>
    <row r="391">
      <c r="A391" s="42" t="inlineStr">
        <is>
          <t>RWORK-0130</t>
        </is>
      </c>
      <c r="B391" s="42" t="inlineStr">
        <is>
          <t>Устройство закладных из 3-х труб d=110мм</t>
        </is>
      </c>
      <c r="C391" s="42" t="inlineStr">
        <is>
          <t>Премиум</t>
        </is>
      </c>
      <c r="D391" s="42" t="inlineStr">
        <is>
          <t>Да</t>
        </is>
      </c>
      <c r="E391" s="42" t="inlineStr">
        <is>
          <t>Стандарт</t>
        </is>
      </c>
      <c r="F391" s="42" t="n"/>
      <c r="G391" s="42" t="inlineStr">
        <is>
          <t>Устройство закладных из 3-х труб d=110мм</t>
        </is>
      </c>
      <c r="H391" s="42" t="inlineStr">
        <is>
          <t>Показать строкой</t>
        </is>
      </c>
      <c r="I391" s="42" t="inlineStr">
        <is>
          <t>Детально</t>
        </is>
      </c>
      <c r="J391" s="42" t="inlineStr">
        <is>
          <t>Автогенерация из реального прайса; проверить вручную</t>
        </is>
      </c>
    </row>
    <row r="392">
      <c r="A392" s="41" t="inlineStr">
        <is>
          <t>RWORK-0131</t>
        </is>
      </c>
      <c r="B392" s="41" t="inlineStr">
        <is>
          <t>Устройство закладных под мощением</t>
        </is>
      </c>
      <c r="C392" s="41" t="inlineStr">
        <is>
          <t>Эконом</t>
        </is>
      </c>
      <c r="D392" s="41" t="inlineStr">
        <is>
          <t>Да</t>
        </is>
      </c>
      <c r="E392" s="41" t="inlineStr">
        <is>
          <t>Стандарт</t>
        </is>
      </c>
      <c r="F392" s="41" t="n"/>
      <c r="G392" s="41" t="inlineStr">
        <is>
          <t>Устройство закладных под мощением</t>
        </is>
      </c>
      <c r="H392" s="41" t="inlineStr">
        <is>
          <t>Свернуть в раздел</t>
        </is>
      </c>
      <c r="I392" s="41" t="inlineStr">
        <is>
          <t>Минимум</t>
        </is>
      </c>
      <c r="J392" s="41" t="inlineStr">
        <is>
          <t>Автогенерация из реального прайса; проверить вручную</t>
        </is>
      </c>
    </row>
    <row r="393">
      <c r="A393" s="42" t="inlineStr">
        <is>
          <t>RWORK-0131</t>
        </is>
      </c>
      <c r="B393" s="42" t="inlineStr">
        <is>
          <t>Устройство закладных под мощением</t>
        </is>
      </c>
      <c r="C393" s="42" t="inlineStr">
        <is>
          <t>Стандарт</t>
        </is>
      </c>
      <c r="D393" s="42" t="inlineStr">
        <is>
          <t>Да</t>
        </is>
      </c>
      <c r="E393" s="42" t="inlineStr">
        <is>
          <t>Стандарт</t>
        </is>
      </c>
      <c r="F393" s="42" t="n"/>
      <c r="G393" s="42" t="inlineStr">
        <is>
          <t>Устройство закладных под мощением</t>
        </is>
      </c>
      <c r="H393" s="42" t="inlineStr">
        <is>
          <t>Показать строкой</t>
        </is>
      </c>
      <c r="I393" s="42" t="inlineStr">
        <is>
          <t>База</t>
        </is>
      </c>
      <c r="J393" s="42" t="inlineStr">
        <is>
          <t>Автогенерация из реального прайса; проверить вручную</t>
        </is>
      </c>
    </row>
    <row r="394">
      <c r="A394" s="41" t="inlineStr">
        <is>
          <t>RWORK-0131</t>
        </is>
      </c>
      <c r="B394" s="41" t="inlineStr">
        <is>
          <t>Устройство закладных под мощением</t>
        </is>
      </c>
      <c r="C394" s="41" t="inlineStr">
        <is>
          <t>Премиум</t>
        </is>
      </c>
      <c r="D394" s="41" t="inlineStr">
        <is>
          <t>Да</t>
        </is>
      </c>
      <c r="E394" s="41" t="inlineStr">
        <is>
          <t>Стандарт</t>
        </is>
      </c>
      <c r="F394" s="41" t="n"/>
      <c r="G394" s="41" t="inlineStr">
        <is>
          <t>Устройство закладных под мощением</t>
        </is>
      </c>
      <c r="H394" s="41" t="inlineStr">
        <is>
          <t>Показать строкой</t>
        </is>
      </c>
      <c r="I394" s="41" t="inlineStr">
        <is>
          <t>Детально</t>
        </is>
      </c>
      <c r="J394" s="41" t="inlineStr">
        <is>
          <t>Автогенерация из реального прайса; проверить вручную</t>
        </is>
      </c>
    </row>
    <row r="395">
      <c r="A395" s="42" t="inlineStr">
        <is>
          <t>RWORK-0132</t>
        </is>
      </c>
      <c r="B395" s="42" t="inlineStr">
        <is>
          <t>Устройство ливневой системы (монтаж трубы d110мм с уклоном, средняя глубина 700мм), копка и обратная засыпка траншеи</t>
        </is>
      </c>
      <c r="C395" s="42" t="inlineStr">
        <is>
          <t>Эконом</t>
        </is>
      </c>
      <c r="D395" s="42" t="inlineStr">
        <is>
          <t>Да</t>
        </is>
      </c>
      <c r="E395" s="42" t="inlineStr">
        <is>
          <t>Стандарт</t>
        </is>
      </c>
      <c r="F395" s="42" t="n"/>
      <c r="G395" s="42" t="inlineStr">
        <is>
          <t>Устройство ливневой системы (монтаж трубы d110мм с уклоном, средняя глубина 700мм), копка и обратная засыпка траншеи</t>
        </is>
      </c>
      <c r="H395" s="42" t="inlineStr">
        <is>
          <t>Свернуть в раздел</t>
        </is>
      </c>
      <c r="I395" s="42" t="inlineStr">
        <is>
          <t>Минимум</t>
        </is>
      </c>
      <c r="J395" s="42" t="inlineStr">
        <is>
          <t>Автогенерация из реального прайса; проверить вручную</t>
        </is>
      </c>
    </row>
    <row r="396">
      <c r="A396" s="41" t="inlineStr">
        <is>
          <t>RWORK-0132</t>
        </is>
      </c>
      <c r="B396" s="41" t="inlineStr">
        <is>
          <t>Устройство ливневой системы (монтаж трубы d110мм с уклоном, средняя глубина 700мм), копка и обратная засыпка траншеи</t>
        </is>
      </c>
      <c r="C396" s="41" t="inlineStr">
        <is>
          <t>Стандарт</t>
        </is>
      </c>
      <c r="D396" s="41" t="inlineStr">
        <is>
          <t>Да</t>
        </is>
      </c>
      <c r="E396" s="41" t="inlineStr">
        <is>
          <t>Стандарт</t>
        </is>
      </c>
      <c r="F396" s="41" t="n"/>
      <c r="G396" s="41" t="inlineStr">
        <is>
          <t>Устройство ливневой системы (монтаж трубы d110мм с уклоном, средняя глубина 700мм), копка и обратная засыпка траншеи</t>
        </is>
      </c>
      <c r="H396" s="41" t="inlineStr">
        <is>
          <t>Показать строкой</t>
        </is>
      </c>
      <c r="I396" s="41" t="inlineStr">
        <is>
          <t>База</t>
        </is>
      </c>
      <c r="J396" s="41" t="inlineStr">
        <is>
          <t>Автогенерация из реального прайса; проверить вручную</t>
        </is>
      </c>
    </row>
    <row r="397">
      <c r="A397" s="42" t="inlineStr">
        <is>
          <t>RWORK-0132</t>
        </is>
      </c>
      <c r="B397" s="42" t="inlineStr">
        <is>
          <t>Устройство ливневой системы (монтаж трубы d110мм с уклоном, средняя глубина 700мм), копка и обратная засыпка траншеи</t>
        </is>
      </c>
      <c r="C397" s="42" t="inlineStr">
        <is>
          <t>Премиум</t>
        </is>
      </c>
      <c r="D397" s="42" t="inlineStr">
        <is>
          <t>Да</t>
        </is>
      </c>
      <c r="E397" s="42" t="inlineStr">
        <is>
          <t>Стандарт</t>
        </is>
      </c>
      <c r="F397" s="42" t="n"/>
      <c r="G397" s="42" t="inlineStr">
        <is>
          <t>Устройство ливневой системы (монтаж трубы d110мм с уклоном, средняя глубина 700мм), копка и обратная засыпка траншеи</t>
        </is>
      </c>
      <c r="H397" s="42" t="inlineStr">
        <is>
          <t>Показать строкой</t>
        </is>
      </c>
      <c r="I397" s="42" t="inlineStr">
        <is>
          <t>Детально</t>
        </is>
      </c>
      <c r="J397" s="42" t="inlineStr">
        <is>
          <t>Автогенерация из реального прайса; проверить вручную</t>
        </is>
      </c>
    </row>
    <row r="398">
      <c r="A398" s="41" t="inlineStr">
        <is>
          <t>RWORK-0133</t>
        </is>
      </c>
      <c r="B398" s="41" t="inlineStr">
        <is>
          <t>Устройство ливневой системы водоотвода (глубина 700мм)</t>
        </is>
      </c>
      <c r="C398" s="41" t="inlineStr">
        <is>
          <t>Эконом</t>
        </is>
      </c>
      <c r="D398" s="41" t="inlineStr">
        <is>
          <t>Да</t>
        </is>
      </c>
      <c r="E398" s="41" t="inlineStr">
        <is>
          <t>Стандарт</t>
        </is>
      </c>
      <c r="F398" s="41" t="n"/>
      <c r="G398" s="41" t="inlineStr">
        <is>
          <t>Устройство ливневой системы водоотвода (глубина 700мм)</t>
        </is>
      </c>
      <c r="H398" s="41" t="inlineStr">
        <is>
          <t>Свернуть в раздел</t>
        </is>
      </c>
      <c r="I398" s="41" t="inlineStr">
        <is>
          <t>Минимум</t>
        </is>
      </c>
      <c r="J398" s="41" t="inlineStr">
        <is>
          <t>Автогенерация из реального прайса; проверить вручную</t>
        </is>
      </c>
    </row>
    <row r="399">
      <c r="A399" s="42" t="inlineStr">
        <is>
          <t>RWORK-0133</t>
        </is>
      </c>
      <c r="B399" s="42" t="inlineStr">
        <is>
          <t>Устройство ливневой системы водоотвода (глубина 700мм)</t>
        </is>
      </c>
      <c r="C399" s="42" t="inlineStr">
        <is>
          <t>Стандарт</t>
        </is>
      </c>
      <c r="D399" s="42" t="inlineStr">
        <is>
          <t>Да</t>
        </is>
      </c>
      <c r="E399" s="42" t="inlineStr">
        <is>
          <t>Стандарт</t>
        </is>
      </c>
      <c r="F399" s="42" t="n"/>
      <c r="G399" s="42" t="inlineStr">
        <is>
          <t>Устройство ливневой системы водоотвода (глубина 700мм)</t>
        </is>
      </c>
      <c r="H399" s="42" t="inlineStr">
        <is>
          <t>Показать строкой</t>
        </is>
      </c>
      <c r="I399" s="42" t="inlineStr">
        <is>
          <t>База</t>
        </is>
      </c>
      <c r="J399" s="42" t="inlineStr">
        <is>
          <t>Автогенерация из реального прайса; проверить вручную</t>
        </is>
      </c>
    </row>
    <row r="400">
      <c r="A400" s="41" t="inlineStr">
        <is>
          <t>RWORK-0133</t>
        </is>
      </c>
      <c r="B400" s="41" t="inlineStr">
        <is>
          <t>Устройство ливневой системы водоотвода (глубина 700мм)</t>
        </is>
      </c>
      <c r="C400" s="41" t="inlineStr">
        <is>
          <t>Премиум</t>
        </is>
      </c>
      <c r="D400" s="41" t="inlineStr">
        <is>
          <t>Да</t>
        </is>
      </c>
      <c r="E400" s="41" t="inlineStr">
        <is>
          <t>Стандарт</t>
        </is>
      </c>
      <c r="F400" s="41" t="n"/>
      <c r="G400" s="41" t="inlineStr">
        <is>
          <t>Устройство ливневой системы водоотвода (глубина 700мм)</t>
        </is>
      </c>
      <c r="H400" s="41" t="inlineStr">
        <is>
          <t>Показать строкой</t>
        </is>
      </c>
      <c r="I400" s="41" t="inlineStr">
        <is>
          <t>Детально</t>
        </is>
      </c>
      <c r="J400" s="41" t="inlineStr">
        <is>
          <t>Автогенерация из реального прайса; проверить вручную</t>
        </is>
      </c>
    </row>
    <row r="401">
      <c r="A401" s="42" t="inlineStr">
        <is>
          <t>RWORK-0134</t>
        </is>
      </c>
      <c r="B401" s="42" t="inlineStr">
        <is>
          <t>Устройство монтажного слоя из отсева (4см)</t>
        </is>
      </c>
      <c r="C401" s="42" t="inlineStr">
        <is>
          <t>Эконом</t>
        </is>
      </c>
      <c r="D401" s="42" t="inlineStr">
        <is>
          <t>Да</t>
        </is>
      </c>
      <c r="E401" s="42" t="inlineStr">
        <is>
          <t>Стандарт</t>
        </is>
      </c>
      <c r="F401" s="42" t="n"/>
      <c r="G401" s="42" t="inlineStr">
        <is>
          <t>Устройство монтажного слоя из отсева (4см)</t>
        </is>
      </c>
      <c r="H401" s="42" t="inlineStr">
        <is>
          <t>Свернуть в раздел</t>
        </is>
      </c>
      <c r="I401" s="42" t="inlineStr">
        <is>
          <t>Минимум</t>
        </is>
      </c>
      <c r="J401" s="42" t="inlineStr">
        <is>
          <t>Автогенерация из реального прайса; проверить вручную</t>
        </is>
      </c>
    </row>
    <row r="402">
      <c r="A402" s="41" t="inlineStr">
        <is>
          <t>RWORK-0134</t>
        </is>
      </c>
      <c r="B402" s="41" t="inlineStr">
        <is>
          <t>Устройство монтажного слоя из отсева (4см)</t>
        </is>
      </c>
      <c r="C402" s="41" t="inlineStr">
        <is>
          <t>Стандарт</t>
        </is>
      </c>
      <c r="D402" s="41" t="inlineStr">
        <is>
          <t>Да</t>
        </is>
      </c>
      <c r="E402" s="41" t="inlineStr">
        <is>
          <t>Стандарт</t>
        </is>
      </c>
      <c r="F402" s="41" t="n"/>
      <c r="G402" s="41" t="inlineStr">
        <is>
          <t>Устройство монтажного слоя из отсева (4см)</t>
        </is>
      </c>
      <c r="H402" s="41" t="inlineStr">
        <is>
          <t>Показать строкой</t>
        </is>
      </c>
      <c r="I402" s="41" t="inlineStr">
        <is>
          <t>База</t>
        </is>
      </c>
      <c r="J402" s="41" t="inlineStr">
        <is>
          <t>Автогенерация из реального прайса; проверить вручную</t>
        </is>
      </c>
    </row>
    <row r="403">
      <c r="A403" s="42" t="inlineStr">
        <is>
          <t>RWORK-0134</t>
        </is>
      </c>
      <c r="B403" s="42" t="inlineStr">
        <is>
          <t>Устройство монтажного слоя из отсева (4см)</t>
        </is>
      </c>
      <c r="C403" s="42" t="inlineStr">
        <is>
          <t>Премиум</t>
        </is>
      </c>
      <c r="D403" s="42" t="inlineStr">
        <is>
          <t>Да</t>
        </is>
      </c>
      <c r="E403" s="42" t="inlineStr">
        <is>
          <t>Стандарт</t>
        </is>
      </c>
      <c r="F403" s="42" t="n"/>
      <c r="G403" s="42" t="inlineStr">
        <is>
          <t>Устройство монтажного слоя из отсева (4см)</t>
        </is>
      </c>
      <c r="H403" s="42" t="inlineStr">
        <is>
          <t>Показать строкой</t>
        </is>
      </c>
      <c r="I403" s="42" t="inlineStr">
        <is>
          <t>Детально</t>
        </is>
      </c>
      <c r="J403" s="42" t="inlineStr">
        <is>
          <t>Автогенерация из реального прайса; проверить вручную</t>
        </is>
      </c>
    </row>
    <row r="404">
      <c r="A404" s="41" t="inlineStr">
        <is>
          <t>RWORK-0135</t>
        </is>
      </c>
      <c r="B404" s="41" t="inlineStr">
        <is>
          <t>Устройство монтажного слоя из отсева (70мм)</t>
        </is>
      </c>
      <c r="C404" s="41" t="inlineStr">
        <is>
          <t>Эконом</t>
        </is>
      </c>
      <c r="D404" s="41" t="inlineStr">
        <is>
          <t>Да</t>
        </is>
      </c>
      <c r="E404" s="41" t="inlineStr">
        <is>
          <t>Стандарт</t>
        </is>
      </c>
      <c r="F404" s="41" t="n"/>
      <c r="G404" s="41" t="inlineStr">
        <is>
          <t>Устройство монтажного слоя из отсева (70мм)</t>
        </is>
      </c>
      <c r="H404" s="41" t="inlineStr">
        <is>
          <t>Свернуть в раздел</t>
        </is>
      </c>
      <c r="I404" s="41" t="inlineStr">
        <is>
          <t>Минимум</t>
        </is>
      </c>
      <c r="J404" s="41" t="inlineStr">
        <is>
          <t>Автогенерация из реального прайса; проверить вручную</t>
        </is>
      </c>
    </row>
    <row r="405">
      <c r="A405" s="42" t="inlineStr">
        <is>
          <t>RWORK-0135</t>
        </is>
      </c>
      <c r="B405" s="42" t="inlineStr">
        <is>
          <t>Устройство монтажного слоя из отсева (70мм)</t>
        </is>
      </c>
      <c r="C405" s="42" t="inlineStr">
        <is>
          <t>Стандарт</t>
        </is>
      </c>
      <c r="D405" s="42" t="inlineStr">
        <is>
          <t>Да</t>
        </is>
      </c>
      <c r="E405" s="42" t="inlineStr">
        <is>
          <t>Стандарт</t>
        </is>
      </c>
      <c r="F405" s="42" t="n"/>
      <c r="G405" s="42" t="inlineStr">
        <is>
          <t>Устройство монтажного слоя из отсева (70мм)</t>
        </is>
      </c>
      <c r="H405" s="42" t="inlineStr">
        <is>
          <t>Показать строкой</t>
        </is>
      </c>
      <c r="I405" s="42" t="inlineStr">
        <is>
          <t>База</t>
        </is>
      </c>
      <c r="J405" s="42" t="inlineStr">
        <is>
          <t>Автогенерация из реального прайса; проверить вручную</t>
        </is>
      </c>
    </row>
    <row r="406">
      <c r="A406" s="41" t="inlineStr">
        <is>
          <t>RWORK-0135</t>
        </is>
      </c>
      <c r="B406" s="41" t="inlineStr">
        <is>
          <t>Устройство монтажного слоя из отсева (70мм)</t>
        </is>
      </c>
      <c r="C406" s="41" t="inlineStr">
        <is>
          <t>Премиум</t>
        </is>
      </c>
      <c r="D406" s="41" t="inlineStr">
        <is>
          <t>Да</t>
        </is>
      </c>
      <c r="E406" s="41" t="inlineStr">
        <is>
          <t>Стандарт</t>
        </is>
      </c>
      <c r="F406" s="41" t="n"/>
      <c r="G406" s="41" t="inlineStr">
        <is>
          <t>Устройство монтажного слоя из отсева (70мм)</t>
        </is>
      </c>
      <c r="H406" s="41" t="inlineStr">
        <is>
          <t>Показать строкой</t>
        </is>
      </c>
      <c r="I406" s="41" t="inlineStr">
        <is>
          <t>Детально</t>
        </is>
      </c>
      <c r="J406" s="41" t="inlineStr">
        <is>
          <t>Автогенерация из реального прайса; проверить вручную</t>
        </is>
      </c>
    </row>
    <row r="407">
      <c r="A407" s="42" t="inlineStr">
        <is>
          <t>RWORK-0136</t>
        </is>
      </c>
      <c r="B407" s="42" t="inlineStr">
        <is>
          <t>Устройство монтажного слоя из отсева с добавлением цемента (40мм)</t>
        </is>
      </c>
      <c r="C407" s="42" t="inlineStr">
        <is>
          <t>Эконом</t>
        </is>
      </c>
      <c r="D407" s="42" t="inlineStr">
        <is>
          <t>Да</t>
        </is>
      </c>
      <c r="E407" s="42" t="inlineStr">
        <is>
          <t>Стандарт</t>
        </is>
      </c>
      <c r="F407" s="42" t="n"/>
      <c r="G407" s="42" t="inlineStr">
        <is>
          <t>Устройство монтажного слоя из отсева с добавлением цемента (40мм)</t>
        </is>
      </c>
      <c r="H407" s="42" t="inlineStr">
        <is>
          <t>Свернуть в раздел</t>
        </is>
      </c>
      <c r="I407" s="42" t="inlineStr">
        <is>
          <t>Минимум</t>
        </is>
      </c>
      <c r="J407" s="42" t="inlineStr">
        <is>
          <t>Автогенерация из реального прайса; проверить вручную</t>
        </is>
      </c>
    </row>
    <row r="408">
      <c r="A408" s="41" t="inlineStr">
        <is>
          <t>RWORK-0136</t>
        </is>
      </c>
      <c r="B408" s="41" t="inlineStr">
        <is>
          <t>Устройство монтажного слоя из отсева с добавлением цемента (40мм)</t>
        </is>
      </c>
      <c r="C408" s="41" t="inlineStr">
        <is>
          <t>Стандарт</t>
        </is>
      </c>
      <c r="D408" s="41" t="inlineStr">
        <is>
          <t>Да</t>
        </is>
      </c>
      <c r="E408" s="41" t="inlineStr">
        <is>
          <t>Стандарт</t>
        </is>
      </c>
      <c r="F408" s="41" t="n"/>
      <c r="G408" s="41" t="inlineStr">
        <is>
          <t>Устройство монтажного слоя из отсева с добавлением цемента (40мм)</t>
        </is>
      </c>
      <c r="H408" s="41" t="inlineStr">
        <is>
          <t>Показать строкой</t>
        </is>
      </c>
      <c r="I408" s="41" t="inlineStr">
        <is>
          <t>База</t>
        </is>
      </c>
      <c r="J408" s="41" t="inlineStr">
        <is>
          <t>Автогенерация из реального прайса; проверить вручную</t>
        </is>
      </c>
    </row>
    <row r="409">
      <c r="A409" s="42" t="inlineStr">
        <is>
          <t>RWORK-0136</t>
        </is>
      </c>
      <c r="B409" s="42" t="inlineStr">
        <is>
          <t>Устройство монтажного слоя из отсева с добавлением цемента (40мм)</t>
        </is>
      </c>
      <c r="C409" s="42" t="inlineStr">
        <is>
          <t>Премиум</t>
        </is>
      </c>
      <c r="D409" s="42" t="inlineStr">
        <is>
          <t>Да</t>
        </is>
      </c>
      <c r="E409" s="42" t="inlineStr">
        <is>
          <t>Стандарт</t>
        </is>
      </c>
      <c r="F409" s="42" t="n"/>
      <c r="G409" s="42" t="inlineStr">
        <is>
          <t>Устройство монтажного слоя из отсева с добавлением цемента (40мм)</t>
        </is>
      </c>
      <c r="H409" s="42" t="inlineStr">
        <is>
          <t>Показать строкой</t>
        </is>
      </c>
      <c r="I409" s="42" t="inlineStr">
        <is>
          <t>Детально</t>
        </is>
      </c>
      <c r="J409" s="42" t="inlineStr">
        <is>
          <t>Автогенерация из реального прайса; проверить вручную</t>
        </is>
      </c>
    </row>
    <row r="410">
      <c r="A410" s="41" t="inlineStr">
        <is>
          <t>RWORK-0137</t>
        </is>
      </c>
      <c r="B410" s="41" t="inlineStr">
        <is>
          <t>Устройство набивного финишного покрытия из гравия (40мм) с мытьем</t>
        </is>
      </c>
      <c r="C410" s="41" t="inlineStr">
        <is>
          <t>Эконом</t>
        </is>
      </c>
      <c r="D410" s="41" t="inlineStr">
        <is>
          <t>Да</t>
        </is>
      </c>
      <c r="E410" s="41" t="inlineStr">
        <is>
          <t>Стандарт</t>
        </is>
      </c>
      <c r="F410" s="41" t="n"/>
      <c r="G410" s="41" t="inlineStr">
        <is>
          <t>Устройство набивного финишного покрытия из гравия (40мм) с мытьем</t>
        </is>
      </c>
      <c r="H410" s="41" t="inlineStr">
        <is>
          <t>Свернуть в раздел</t>
        </is>
      </c>
      <c r="I410" s="41" t="inlineStr">
        <is>
          <t>Минимум</t>
        </is>
      </c>
      <c r="J410" s="41" t="inlineStr">
        <is>
          <t>Автогенерация из реального прайса; проверить вручную</t>
        </is>
      </c>
    </row>
    <row r="411">
      <c r="A411" s="42" t="inlineStr">
        <is>
          <t>RWORK-0137</t>
        </is>
      </c>
      <c r="B411" s="42" t="inlineStr">
        <is>
          <t>Устройство набивного финишного покрытия из гравия (40мм) с мытьем</t>
        </is>
      </c>
      <c r="C411" s="42" t="inlineStr">
        <is>
          <t>Стандарт</t>
        </is>
      </c>
      <c r="D411" s="42" t="inlineStr">
        <is>
          <t>Да</t>
        </is>
      </c>
      <c r="E411" s="42" t="inlineStr">
        <is>
          <t>Стандарт</t>
        </is>
      </c>
      <c r="F411" s="42" t="n"/>
      <c r="G411" s="42" t="inlineStr">
        <is>
          <t>Устройство набивного финишного покрытия из гравия (40мм) с мытьем</t>
        </is>
      </c>
      <c r="H411" s="42" t="inlineStr">
        <is>
          <t>Показать строкой</t>
        </is>
      </c>
      <c r="I411" s="42" t="inlineStr">
        <is>
          <t>База</t>
        </is>
      </c>
      <c r="J411" s="42" t="inlineStr">
        <is>
          <t>Автогенерация из реального прайса; проверить вручную</t>
        </is>
      </c>
    </row>
    <row r="412">
      <c r="A412" s="41" t="inlineStr">
        <is>
          <t>RWORK-0137</t>
        </is>
      </c>
      <c r="B412" s="41" t="inlineStr">
        <is>
          <t>Устройство набивного финишного покрытия из гравия (40мм) с мытьем</t>
        </is>
      </c>
      <c r="C412" s="41" t="inlineStr">
        <is>
          <t>Премиум</t>
        </is>
      </c>
      <c r="D412" s="41" t="inlineStr">
        <is>
          <t>Да</t>
        </is>
      </c>
      <c r="E412" s="41" t="inlineStr">
        <is>
          <t>Стандарт</t>
        </is>
      </c>
      <c r="F412" s="41" t="n"/>
      <c r="G412" s="41" t="inlineStr">
        <is>
          <t>Устройство набивного финишного покрытия из гравия (40мм) с мытьем</t>
        </is>
      </c>
      <c r="H412" s="41" t="inlineStr">
        <is>
          <t>Показать строкой</t>
        </is>
      </c>
      <c r="I412" s="41" t="inlineStr">
        <is>
          <t>Детально</t>
        </is>
      </c>
      <c r="J412" s="41" t="inlineStr">
        <is>
          <t>Автогенерация из реального прайса; проверить вручную</t>
        </is>
      </c>
    </row>
    <row r="413">
      <c r="A413" s="42" t="inlineStr">
        <is>
          <t>RWORK-0138</t>
        </is>
      </c>
      <c r="B413" s="42" t="inlineStr">
        <is>
          <t>Устройство набивного финишного покрытия из отсева (40мм)</t>
        </is>
      </c>
      <c r="C413" s="42" t="inlineStr">
        <is>
          <t>Эконом</t>
        </is>
      </c>
      <c r="D413" s="42" t="inlineStr">
        <is>
          <t>Да</t>
        </is>
      </c>
      <c r="E413" s="42" t="inlineStr">
        <is>
          <t>Стандарт</t>
        </is>
      </c>
      <c r="F413" s="42" t="n"/>
      <c r="G413" s="42" t="inlineStr">
        <is>
          <t>Устройство набивного финишного покрытия из отсева (40мм)</t>
        </is>
      </c>
      <c r="H413" s="42" t="inlineStr">
        <is>
          <t>Свернуть в раздел</t>
        </is>
      </c>
      <c r="I413" s="42" t="inlineStr">
        <is>
          <t>Минимум</t>
        </is>
      </c>
      <c r="J413" s="42" t="inlineStr">
        <is>
          <t>Автогенерация из реального прайса; проверить вручную</t>
        </is>
      </c>
    </row>
    <row r="414">
      <c r="A414" s="41" t="inlineStr">
        <is>
          <t>RWORK-0138</t>
        </is>
      </c>
      <c r="B414" s="41" t="inlineStr">
        <is>
          <t>Устройство набивного финишного покрытия из отсева (40мм)</t>
        </is>
      </c>
      <c r="C414" s="41" t="inlineStr">
        <is>
          <t>Стандарт</t>
        </is>
      </c>
      <c r="D414" s="41" t="inlineStr">
        <is>
          <t>Да</t>
        </is>
      </c>
      <c r="E414" s="41" t="inlineStr">
        <is>
          <t>Стандарт</t>
        </is>
      </c>
      <c r="F414" s="41" t="n"/>
      <c r="G414" s="41" t="inlineStr">
        <is>
          <t>Устройство набивного финишного покрытия из отсева (40мм)</t>
        </is>
      </c>
      <c r="H414" s="41" t="inlineStr">
        <is>
          <t>Показать строкой</t>
        </is>
      </c>
      <c r="I414" s="41" t="inlineStr">
        <is>
          <t>База</t>
        </is>
      </c>
      <c r="J414" s="41" t="inlineStr">
        <is>
          <t>Автогенерация из реального прайса; проверить вручную</t>
        </is>
      </c>
    </row>
    <row r="415">
      <c r="A415" s="42" t="inlineStr">
        <is>
          <t>RWORK-0138</t>
        </is>
      </c>
      <c r="B415" s="42" t="inlineStr">
        <is>
          <t>Устройство набивного финишного покрытия из отсева (40мм)</t>
        </is>
      </c>
      <c r="C415" s="42" t="inlineStr">
        <is>
          <t>Премиум</t>
        </is>
      </c>
      <c r="D415" s="42" t="inlineStr">
        <is>
          <t>Да</t>
        </is>
      </c>
      <c r="E415" s="42" t="inlineStr">
        <is>
          <t>Стандарт</t>
        </is>
      </c>
      <c r="F415" s="42" t="n"/>
      <c r="G415" s="42" t="inlineStr">
        <is>
          <t>Устройство набивного финишного покрытия из отсева (40мм)</t>
        </is>
      </c>
      <c r="H415" s="42" t="inlineStr">
        <is>
          <t>Показать строкой</t>
        </is>
      </c>
      <c r="I415" s="42" t="inlineStr">
        <is>
          <t>Детально</t>
        </is>
      </c>
      <c r="J415" s="42" t="inlineStr">
        <is>
          <t>Автогенерация из реального прайса; проверить вручную</t>
        </is>
      </c>
    </row>
    <row r="416">
      <c r="A416" s="41" t="inlineStr">
        <is>
          <t>RWORK-0139</t>
        </is>
      </c>
      <c r="B416" s="41" t="inlineStr">
        <is>
          <t>Устройство несущего щебнистого слоя (120мм) из щебня 20-40мм с проливом водой и трамбовкой с расклинцовкой щебнем 5-20мм</t>
        </is>
      </c>
      <c r="C416" s="41" t="inlineStr">
        <is>
          <t>Эконом</t>
        </is>
      </c>
      <c r="D416" s="41" t="inlineStr">
        <is>
          <t>Да</t>
        </is>
      </c>
      <c r="E416" s="41" t="inlineStr">
        <is>
          <t>Стандарт</t>
        </is>
      </c>
      <c r="F416" s="41" t="n"/>
      <c r="G416" s="41" t="inlineStr">
        <is>
          <t>Устройство несущего щебнистого слоя (120мм) из щебня 20-40мм с проливом водой и трамбовкой с расклинцовкой щебнем 5-20мм</t>
        </is>
      </c>
      <c r="H416" s="41" t="inlineStr">
        <is>
          <t>Свернуть в раздел</t>
        </is>
      </c>
      <c r="I416" s="41" t="inlineStr">
        <is>
          <t>Минимум</t>
        </is>
      </c>
      <c r="J416" s="41" t="inlineStr">
        <is>
          <t>Автогенерация из реального прайса; проверить вручную</t>
        </is>
      </c>
    </row>
    <row r="417">
      <c r="A417" s="42" t="inlineStr">
        <is>
          <t>RWORK-0139</t>
        </is>
      </c>
      <c r="B417" s="42" t="inlineStr">
        <is>
          <t>Устройство несущего щебнистого слоя (120мм) из щебня 20-40мм с проливом водой и трамбовкой с расклинцовкой щебнем 5-20мм</t>
        </is>
      </c>
      <c r="C417" s="42" t="inlineStr">
        <is>
          <t>Стандарт</t>
        </is>
      </c>
      <c r="D417" s="42" t="inlineStr">
        <is>
          <t>Да</t>
        </is>
      </c>
      <c r="E417" s="42" t="inlineStr">
        <is>
          <t>Стандарт</t>
        </is>
      </c>
      <c r="F417" s="42" t="n"/>
      <c r="G417" s="42" t="inlineStr">
        <is>
          <t>Устройство несущего щебнистого слоя (120мм) из щебня 20-40мм с проливом водой и трамбовкой с расклинцовкой щебнем 5-20мм</t>
        </is>
      </c>
      <c r="H417" s="42" t="inlineStr">
        <is>
          <t>Показать строкой</t>
        </is>
      </c>
      <c r="I417" s="42" t="inlineStr">
        <is>
          <t>База</t>
        </is>
      </c>
      <c r="J417" s="42" t="inlineStr">
        <is>
          <t>Автогенерация из реального прайса; проверить вручную</t>
        </is>
      </c>
    </row>
    <row r="418">
      <c r="A418" s="41" t="inlineStr">
        <is>
          <t>RWORK-0139</t>
        </is>
      </c>
      <c r="B418" s="41" t="inlineStr">
        <is>
          <t>Устройство несущего щебнистого слоя (120мм) из щебня 20-40мм с проливом водой и трамбовкой с расклинцовкой щебнем 5-20мм</t>
        </is>
      </c>
      <c r="C418" s="41" t="inlineStr">
        <is>
          <t>Премиум</t>
        </is>
      </c>
      <c r="D418" s="41" t="inlineStr">
        <is>
          <t>Да</t>
        </is>
      </c>
      <c r="E418" s="41" t="inlineStr">
        <is>
          <t>Стандарт</t>
        </is>
      </c>
      <c r="F418" s="41" t="n"/>
      <c r="G418" s="41" t="inlineStr">
        <is>
          <t>Устройство несущего щебнистого слоя (120мм) из щебня 20-40мм с проливом водой и трамбовкой с расклинцовкой щебнем 5-20мм</t>
        </is>
      </c>
      <c r="H418" s="41" t="inlineStr">
        <is>
          <t>Показать строкой</t>
        </is>
      </c>
      <c r="I418" s="41" t="inlineStr">
        <is>
          <t>Детально</t>
        </is>
      </c>
      <c r="J418" s="41" t="inlineStr">
        <is>
          <t>Автогенерация из реального прайса; проверить вручную</t>
        </is>
      </c>
    </row>
    <row r="419">
      <c r="A419" s="42" t="inlineStr">
        <is>
          <t>RWORK-0140</t>
        </is>
      </c>
      <c r="B419" s="42" t="inlineStr">
        <is>
          <t>Устройство несущего щебнистого слоя (150мм) из щебня 20-40мм с проливом водой и трамбовкой с расклинцовкой щебнем 5-20мм</t>
        </is>
      </c>
      <c r="C419" s="42" t="inlineStr">
        <is>
          <t>Эконом</t>
        </is>
      </c>
      <c r="D419" s="42" t="inlineStr">
        <is>
          <t>Да</t>
        </is>
      </c>
      <c r="E419" s="42" t="inlineStr">
        <is>
          <t>Стандарт</t>
        </is>
      </c>
      <c r="F419" s="42" t="n"/>
      <c r="G419" s="42" t="inlineStr">
        <is>
          <t>Устройство несущего щебнистого слоя (150мм) из щебня 20-40мм с проливом водой и трамбовкой с расклинцовкой щебнем 5-20мм</t>
        </is>
      </c>
      <c r="H419" s="42" t="inlineStr">
        <is>
          <t>Свернуть в раздел</t>
        </is>
      </c>
      <c r="I419" s="42" t="inlineStr">
        <is>
          <t>Минимум</t>
        </is>
      </c>
      <c r="J419" s="42" t="inlineStr">
        <is>
          <t>Автогенерация из реального прайса; проверить вручную</t>
        </is>
      </c>
    </row>
    <row r="420">
      <c r="A420" s="41" t="inlineStr">
        <is>
          <t>RWORK-0140</t>
        </is>
      </c>
      <c r="B420" s="41" t="inlineStr">
        <is>
          <t>Устройство несущего щебнистого слоя (150мм) из щебня 20-40мм с проливом водой и трамбовкой с расклинцовкой щебнем 5-20мм</t>
        </is>
      </c>
      <c r="C420" s="41" t="inlineStr">
        <is>
          <t>Стандарт</t>
        </is>
      </c>
      <c r="D420" s="41" t="inlineStr">
        <is>
          <t>Да</t>
        </is>
      </c>
      <c r="E420" s="41" t="inlineStr">
        <is>
          <t>Стандарт</t>
        </is>
      </c>
      <c r="F420" s="41" t="n"/>
      <c r="G420" s="41" t="inlineStr">
        <is>
          <t>Устройство несущего щебнистого слоя (150мм) из щебня 20-40мм с проливом водой и трамбовкой с расклинцовкой щебнем 5-20мм</t>
        </is>
      </c>
      <c r="H420" s="41" t="inlineStr">
        <is>
          <t>Показать строкой</t>
        </is>
      </c>
      <c r="I420" s="41" t="inlineStr">
        <is>
          <t>База</t>
        </is>
      </c>
      <c r="J420" s="41" t="inlineStr">
        <is>
          <t>Автогенерация из реального прайса; проверить вручную</t>
        </is>
      </c>
    </row>
    <row r="421">
      <c r="A421" s="42" t="inlineStr">
        <is>
          <t>RWORK-0140</t>
        </is>
      </c>
      <c r="B421" s="42" t="inlineStr">
        <is>
          <t>Устройство несущего щебнистого слоя (150мм) из щебня 20-40мм с проливом водой и трамбовкой с расклинцовкой щебнем 5-20мм</t>
        </is>
      </c>
      <c r="C421" s="42" t="inlineStr">
        <is>
          <t>Премиум</t>
        </is>
      </c>
      <c r="D421" s="42" t="inlineStr">
        <is>
          <t>Да</t>
        </is>
      </c>
      <c r="E421" s="42" t="inlineStr">
        <is>
          <t>Стандарт</t>
        </is>
      </c>
      <c r="F421" s="42" t="n"/>
      <c r="G421" s="42" t="inlineStr">
        <is>
          <t>Устройство несущего щебнистого слоя (150мм) из щебня 20-40мм с проливом водой и трамбовкой с расклинцовкой щебнем 5-20мм</t>
        </is>
      </c>
      <c r="H421" s="42" t="inlineStr">
        <is>
          <t>Показать строкой</t>
        </is>
      </c>
      <c r="I421" s="42" t="inlineStr">
        <is>
          <t>Детально</t>
        </is>
      </c>
      <c r="J421" s="42" t="inlineStr">
        <is>
          <t>Автогенерация из реального прайса; проверить вручную</t>
        </is>
      </c>
    </row>
    <row r="422">
      <c r="A422" s="41" t="inlineStr">
        <is>
          <t>RWORK-0141</t>
        </is>
      </c>
      <c r="B422" s="41" t="inlineStr">
        <is>
          <t>Устройство несущего щебнистого слоя (150мм) из щебня 20-40мм с проливом водой и трамбовкой с расклинцовкой щебнем 5-20мм (пешеходная зона)</t>
        </is>
      </c>
      <c r="C422" s="41" t="inlineStr">
        <is>
          <t>Эконом</t>
        </is>
      </c>
      <c r="D422" s="41" t="inlineStr">
        <is>
          <t>Да</t>
        </is>
      </c>
      <c r="E422" s="41" t="inlineStr">
        <is>
          <t>Стандарт</t>
        </is>
      </c>
      <c r="F422" s="41" t="n"/>
      <c r="G422" s="41" t="inlineStr">
        <is>
          <t>Устройство несущего щебнистого слоя (150мм) из щебня 20-40мм с проливом водой и трамбовкой с расклинцовкой щебнем 5-20мм (пешеходная зона)</t>
        </is>
      </c>
      <c r="H422" s="41" t="inlineStr">
        <is>
          <t>Свернуть в раздел</t>
        </is>
      </c>
      <c r="I422" s="41" t="inlineStr">
        <is>
          <t>Минимум</t>
        </is>
      </c>
      <c r="J422" s="41" t="inlineStr">
        <is>
          <t>Автогенерация из реального прайса; проверить вручную</t>
        </is>
      </c>
    </row>
    <row r="423">
      <c r="A423" s="42" t="inlineStr">
        <is>
          <t>RWORK-0141</t>
        </is>
      </c>
      <c r="B423" s="42" t="inlineStr">
        <is>
          <t>Устройство несущего щебнистого слоя (150мм) из щебня 20-40мм с проливом водой и трамбовкой с расклинцовкой щебнем 5-20мм (пешеходная зона)</t>
        </is>
      </c>
      <c r="C423" s="42" t="inlineStr">
        <is>
          <t>Стандарт</t>
        </is>
      </c>
      <c r="D423" s="42" t="inlineStr">
        <is>
          <t>Да</t>
        </is>
      </c>
      <c r="E423" s="42" t="inlineStr">
        <is>
          <t>Стандарт</t>
        </is>
      </c>
      <c r="F423" s="42" t="n"/>
      <c r="G423" s="42" t="inlineStr">
        <is>
          <t>Устройство несущего щебнистого слоя (150мм) из щебня 20-40мм с проливом водой и трамбовкой с расклинцовкой щебнем 5-20мм (пешеходная зона)</t>
        </is>
      </c>
      <c r="H423" s="42" t="inlineStr">
        <is>
          <t>Показать строкой</t>
        </is>
      </c>
      <c r="I423" s="42" t="inlineStr">
        <is>
          <t>База</t>
        </is>
      </c>
      <c r="J423" s="42" t="inlineStr">
        <is>
          <t>Автогенерация из реального прайса; проверить вручную</t>
        </is>
      </c>
    </row>
    <row r="424">
      <c r="A424" s="41" t="inlineStr">
        <is>
          <t>RWORK-0141</t>
        </is>
      </c>
      <c r="B424" s="41" t="inlineStr">
        <is>
          <t>Устройство несущего щебнистого слоя (150мм) из щебня 20-40мм с проливом водой и трамбовкой с расклинцовкой щебнем 5-20мм (пешеходная зона)</t>
        </is>
      </c>
      <c r="C424" s="41" t="inlineStr">
        <is>
          <t>Премиум</t>
        </is>
      </c>
      <c r="D424" s="41" t="inlineStr">
        <is>
          <t>Да</t>
        </is>
      </c>
      <c r="E424" s="41" t="inlineStr">
        <is>
          <t>Стандарт</t>
        </is>
      </c>
      <c r="F424" s="41" t="n"/>
      <c r="G424" s="41" t="inlineStr">
        <is>
          <t>Устройство несущего щебнистого слоя (150мм) из щебня 20-40мм с проливом водой и трамбовкой с расклинцовкой щебнем 5-20мм (пешеходная зона)</t>
        </is>
      </c>
      <c r="H424" s="41" t="inlineStr">
        <is>
          <t>Показать строкой</t>
        </is>
      </c>
      <c r="I424" s="41" t="inlineStr">
        <is>
          <t>Детально</t>
        </is>
      </c>
      <c r="J424" s="41" t="inlineStr">
        <is>
          <t>Автогенерация из реального прайса; проверить вручную</t>
        </is>
      </c>
    </row>
    <row r="425">
      <c r="A425" s="42" t="inlineStr">
        <is>
          <t>RWORK-0142</t>
        </is>
      </c>
      <c r="B425" s="42" t="inlineStr">
        <is>
          <t>Устройство несущего щебнистого слоя (250мм) под пешеходное мощение из щебня 20-40мм с проливом водой и трамбовкой с расклинцовкой щебнем 5-20мм</t>
        </is>
      </c>
      <c r="C425" s="42" t="inlineStr">
        <is>
          <t>Эконом</t>
        </is>
      </c>
      <c r="D425" s="42" t="inlineStr">
        <is>
          <t>Да</t>
        </is>
      </c>
      <c r="E425" s="42" t="inlineStr">
        <is>
          <t>Стандарт</t>
        </is>
      </c>
      <c r="F425" s="42" t="n"/>
      <c r="G425" s="42" t="inlineStr">
        <is>
          <t>Устройство несущего щебнистого слоя (250мм) под пешеходное мощение из щебня 20-40мм с проливом водой и трамбовкой с расклинцовкой щебнем 5-20мм</t>
        </is>
      </c>
      <c r="H425" s="42" t="inlineStr">
        <is>
          <t>Свернуть в раздел</t>
        </is>
      </c>
      <c r="I425" s="42" t="inlineStr">
        <is>
          <t>Минимум</t>
        </is>
      </c>
      <c r="J425" s="42" t="inlineStr">
        <is>
          <t>Автогенерация из реального прайса; проверить вручную</t>
        </is>
      </c>
    </row>
    <row r="426">
      <c r="A426" s="41" t="inlineStr">
        <is>
          <t>RWORK-0142</t>
        </is>
      </c>
      <c r="B426" s="41" t="inlineStr">
        <is>
          <t>Устройство несущего щебнистого слоя (250мм) под пешеходное мощение из щебня 20-40мм с проливом водой и трамбовкой с расклинцовкой щебнем 5-20мм</t>
        </is>
      </c>
      <c r="C426" s="41" t="inlineStr">
        <is>
          <t>Стандарт</t>
        </is>
      </c>
      <c r="D426" s="41" t="inlineStr">
        <is>
          <t>Да</t>
        </is>
      </c>
      <c r="E426" s="41" t="inlineStr">
        <is>
          <t>Стандарт</t>
        </is>
      </c>
      <c r="F426" s="41" t="n"/>
      <c r="G426" s="41" t="inlineStr">
        <is>
          <t>Устройство несущего щебнистого слоя (250мм) под пешеходное мощение из щебня 20-40мм с проливом водой и трамбовкой с расклинцовкой щебнем 5-20мм</t>
        </is>
      </c>
      <c r="H426" s="41" t="inlineStr">
        <is>
          <t>Показать строкой</t>
        </is>
      </c>
      <c r="I426" s="41" t="inlineStr">
        <is>
          <t>База</t>
        </is>
      </c>
      <c r="J426" s="41" t="inlineStr">
        <is>
          <t>Автогенерация из реального прайса; проверить вручную</t>
        </is>
      </c>
    </row>
    <row r="427">
      <c r="A427" s="42" t="inlineStr">
        <is>
          <t>RWORK-0142</t>
        </is>
      </c>
      <c r="B427" s="42" t="inlineStr">
        <is>
          <t>Устройство несущего щебнистого слоя (250мм) под пешеходное мощение из щебня 20-40мм с проливом водой и трамбовкой с расклинцовкой щебнем 5-20мм</t>
        </is>
      </c>
      <c r="C427" s="42" t="inlineStr">
        <is>
          <t>Премиум</t>
        </is>
      </c>
      <c r="D427" s="42" t="inlineStr">
        <is>
          <t>Да</t>
        </is>
      </c>
      <c r="E427" s="42" t="inlineStr">
        <is>
          <t>Стандарт</t>
        </is>
      </c>
      <c r="F427" s="42" t="n"/>
      <c r="G427" s="42" t="inlineStr">
        <is>
          <t>Устройство несущего щебнистого слоя (250мм) под пешеходное мощение из щебня 20-40мм с проливом водой и трамбовкой с расклинцовкой щебнем 5-20мм</t>
        </is>
      </c>
      <c r="H427" s="42" t="inlineStr">
        <is>
          <t>Показать строкой</t>
        </is>
      </c>
      <c r="I427" s="42" t="inlineStr">
        <is>
          <t>Детально</t>
        </is>
      </c>
      <c r="J427" s="42" t="inlineStr">
        <is>
          <t>Автогенерация из реального прайса; проверить вручную</t>
        </is>
      </c>
    </row>
    <row r="428">
      <c r="A428" s="41" t="inlineStr">
        <is>
          <t>RWORK-0143</t>
        </is>
      </c>
      <c r="B428" s="41" t="inlineStr">
        <is>
          <t>Устройство ограничительного бордюра из металлического уголка 50*50мм</t>
        </is>
      </c>
      <c r="C428" s="41" t="inlineStr">
        <is>
          <t>Эконом</t>
        </is>
      </c>
      <c r="D428" s="41" t="inlineStr">
        <is>
          <t>Да</t>
        </is>
      </c>
      <c r="E428" s="41" t="inlineStr">
        <is>
          <t>Стандарт</t>
        </is>
      </c>
      <c r="F428" s="41" t="n"/>
      <c r="G428" s="41" t="inlineStr">
        <is>
          <t>Устройство ограничительного бордюра из металлического уголка 50*50мм</t>
        </is>
      </c>
      <c r="H428" s="41" t="inlineStr">
        <is>
          <t>Свернуть в раздел</t>
        </is>
      </c>
      <c r="I428" s="41" t="inlineStr">
        <is>
          <t>Минимум</t>
        </is>
      </c>
      <c r="J428" s="41" t="inlineStr">
        <is>
          <t>Автогенерация из реального прайса; проверить вручную</t>
        </is>
      </c>
    </row>
    <row r="429">
      <c r="A429" s="42" t="inlineStr">
        <is>
          <t>RWORK-0143</t>
        </is>
      </c>
      <c r="B429" s="42" t="inlineStr">
        <is>
          <t>Устройство ограничительного бордюра из металлического уголка 50*50мм</t>
        </is>
      </c>
      <c r="C429" s="42" t="inlineStr">
        <is>
          <t>Стандарт</t>
        </is>
      </c>
      <c r="D429" s="42" t="inlineStr">
        <is>
          <t>Да</t>
        </is>
      </c>
      <c r="E429" s="42" t="inlineStr">
        <is>
          <t>Стандарт</t>
        </is>
      </c>
      <c r="F429" s="42" t="n"/>
      <c r="G429" s="42" t="inlineStr">
        <is>
          <t>Устройство ограничительного бордюра из металлического уголка 50*50мм</t>
        </is>
      </c>
      <c r="H429" s="42" t="inlineStr">
        <is>
          <t>Показать строкой</t>
        </is>
      </c>
      <c r="I429" s="42" t="inlineStr">
        <is>
          <t>База</t>
        </is>
      </c>
      <c r="J429" s="42" t="inlineStr">
        <is>
          <t>Автогенерация из реального прайса; проверить вручную</t>
        </is>
      </c>
    </row>
    <row r="430">
      <c r="A430" s="41" t="inlineStr">
        <is>
          <t>RWORK-0143</t>
        </is>
      </c>
      <c r="B430" s="41" t="inlineStr">
        <is>
          <t>Устройство ограничительного бордюра из металлического уголка 50*50мм</t>
        </is>
      </c>
      <c r="C430" s="41" t="inlineStr">
        <is>
          <t>Премиум</t>
        </is>
      </c>
      <c r="D430" s="41" t="inlineStr">
        <is>
          <t>Да</t>
        </is>
      </c>
      <c r="E430" s="41" t="inlineStr">
        <is>
          <t>Стандарт</t>
        </is>
      </c>
      <c r="F430" s="41" t="n"/>
      <c r="G430" s="41" t="inlineStr">
        <is>
          <t>Устройство ограничительного бордюра из металлического уголка 50*50мм</t>
        </is>
      </c>
      <c r="H430" s="41" t="inlineStr">
        <is>
          <t>Показать строкой</t>
        </is>
      </c>
      <c r="I430" s="41" t="inlineStr">
        <is>
          <t>Детально</t>
        </is>
      </c>
      <c r="J430" s="41" t="inlineStr">
        <is>
          <t>Автогенерация из реального прайса; проверить вручную</t>
        </is>
      </c>
    </row>
    <row r="431">
      <c r="A431" s="42" t="inlineStr">
        <is>
          <t>RWORK-0144</t>
        </is>
      </c>
      <c r="B431" s="42" t="inlineStr">
        <is>
          <t>Устройство песчаного слоя (100мм)</t>
        </is>
      </c>
      <c r="C431" s="42" t="inlineStr">
        <is>
          <t>Эконом</t>
        </is>
      </c>
      <c r="D431" s="42" t="inlineStr">
        <is>
          <t>Да</t>
        </is>
      </c>
      <c r="E431" s="42" t="inlineStr">
        <is>
          <t>Стандарт</t>
        </is>
      </c>
      <c r="F431" s="42" t="n"/>
      <c r="G431" s="42" t="inlineStr">
        <is>
          <t>Устройство песчаного слоя (100мм)</t>
        </is>
      </c>
      <c r="H431" s="42" t="inlineStr">
        <is>
          <t>Свернуть в раздел</t>
        </is>
      </c>
      <c r="I431" s="42" t="inlineStr">
        <is>
          <t>Минимум</t>
        </is>
      </c>
      <c r="J431" s="42" t="inlineStr">
        <is>
          <t>Автогенерация из реального прайса; проверить вручную</t>
        </is>
      </c>
    </row>
    <row r="432">
      <c r="A432" s="41" t="inlineStr">
        <is>
          <t>RWORK-0144</t>
        </is>
      </c>
      <c r="B432" s="41" t="inlineStr">
        <is>
          <t>Устройство песчаного слоя (100мм)</t>
        </is>
      </c>
      <c r="C432" s="41" t="inlineStr">
        <is>
          <t>Стандарт</t>
        </is>
      </c>
      <c r="D432" s="41" t="inlineStr">
        <is>
          <t>Да</t>
        </is>
      </c>
      <c r="E432" s="41" t="inlineStr">
        <is>
          <t>Стандарт</t>
        </is>
      </c>
      <c r="F432" s="41" t="n"/>
      <c r="G432" s="41" t="inlineStr">
        <is>
          <t>Устройство песчаного слоя (100мм)</t>
        </is>
      </c>
      <c r="H432" s="41" t="inlineStr">
        <is>
          <t>Показать строкой</t>
        </is>
      </c>
      <c r="I432" s="41" t="inlineStr">
        <is>
          <t>База</t>
        </is>
      </c>
      <c r="J432" s="41" t="inlineStr">
        <is>
          <t>Автогенерация из реального прайса; проверить вручную</t>
        </is>
      </c>
    </row>
    <row r="433">
      <c r="A433" s="42" t="inlineStr">
        <is>
          <t>RWORK-0144</t>
        </is>
      </c>
      <c r="B433" s="42" t="inlineStr">
        <is>
          <t>Устройство песчаного слоя (100мм)</t>
        </is>
      </c>
      <c r="C433" s="42" t="inlineStr">
        <is>
          <t>Премиум</t>
        </is>
      </c>
      <c r="D433" s="42" t="inlineStr">
        <is>
          <t>Да</t>
        </is>
      </c>
      <c r="E433" s="42" t="inlineStr">
        <is>
          <t>Стандарт</t>
        </is>
      </c>
      <c r="F433" s="42" t="n"/>
      <c r="G433" s="42" t="inlineStr">
        <is>
          <t>Устройство песчаного слоя (100мм)</t>
        </is>
      </c>
      <c r="H433" s="42" t="inlineStr">
        <is>
          <t>Показать строкой</t>
        </is>
      </c>
      <c r="I433" s="42" t="inlineStr">
        <is>
          <t>Детально</t>
        </is>
      </c>
      <c r="J433" s="42" t="inlineStr">
        <is>
          <t>Автогенерация из реального прайса; проверить вручную</t>
        </is>
      </c>
    </row>
    <row r="434">
      <c r="A434" s="41" t="inlineStr">
        <is>
          <t>RWORK-0145</t>
        </is>
      </c>
      <c r="B434" s="41" t="inlineStr">
        <is>
          <t>Устройство песчаного слоя (150мм)</t>
        </is>
      </c>
      <c r="C434" s="41" t="inlineStr">
        <is>
          <t>Эконом</t>
        </is>
      </c>
      <c r="D434" s="41" t="inlineStr">
        <is>
          <t>Да</t>
        </is>
      </c>
      <c r="E434" s="41" t="inlineStr">
        <is>
          <t>Стандарт</t>
        </is>
      </c>
      <c r="F434" s="41" t="n"/>
      <c r="G434" s="41" t="inlineStr">
        <is>
          <t>Устройство песчаного слоя (150мм)</t>
        </is>
      </c>
      <c r="H434" s="41" t="inlineStr">
        <is>
          <t>Свернуть в раздел</t>
        </is>
      </c>
      <c r="I434" s="41" t="inlineStr">
        <is>
          <t>Минимум</t>
        </is>
      </c>
      <c r="J434" s="41" t="inlineStr">
        <is>
          <t>Автогенерация из реального прайса; проверить вручную</t>
        </is>
      </c>
    </row>
    <row r="435">
      <c r="A435" s="42" t="inlineStr">
        <is>
          <t>RWORK-0145</t>
        </is>
      </c>
      <c r="B435" s="42" t="inlineStr">
        <is>
          <t>Устройство песчаного слоя (150мм)</t>
        </is>
      </c>
      <c r="C435" s="42" t="inlineStr">
        <is>
          <t>Стандарт</t>
        </is>
      </c>
      <c r="D435" s="42" t="inlineStr">
        <is>
          <t>Да</t>
        </is>
      </c>
      <c r="E435" s="42" t="inlineStr">
        <is>
          <t>Стандарт</t>
        </is>
      </c>
      <c r="F435" s="42" t="n"/>
      <c r="G435" s="42" t="inlineStr">
        <is>
          <t>Устройство песчаного слоя (150мм)</t>
        </is>
      </c>
      <c r="H435" s="42" t="inlineStr">
        <is>
          <t>Показать строкой</t>
        </is>
      </c>
      <c r="I435" s="42" t="inlineStr">
        <is>
          <t>База</t>
        </is>
      </c>
      <c r="J435" s="42" t="inlineStr">
        <is>
          <t>Автогенерация из реального прайса; проверить вручную</t>
        </is>
      </c>
    </row>
    <row r="436">
      <c r="A436" s="41" t="inlineStr">
        <is>
          <t>RWORK-0145</t>
        </is>
      </c>
      <c r="B436" s="41" t="inlineStr">
        <is>
          <t>Устройство песчаного слоя (150мм)</t>
        </is>
      </c>
      <c r="C436" s="41" t="inlineStr">
        <is>
          <t>Премиум</t>
        </is>
      </c>
      <c r="D436" s="41" t="inlineStr">
        <is>
          <t>Да</t>
        </is>
      </c>
      <c r="E436" s="41" t="inlineStr">
        <is>
          <t>Стандарт</t>
        </is>
      </c>
      <c r="F436" s="41" t="n"/>
      <c r="G436" s="41" t="inlineStr">
        <is>
          <t>Устройство песчаного слоя (150мм)</t>
        </is>
      </c>
      <c r="H436" s="41" t="inlineStr">
        <is>
          <t>Показать строкой</t>
        </is>
      </c>
      <c r="I436" s="41" t="inlineStr">
        <is>
          <t>Детально</t>
        </is>
      </c>
      <c r="J436" s="41" t="inlineStr">
        <is>
          <t>Автогенерация из реального прайса; проверить вручную</t>
        </is>
      </c>
    </row>
    <row r="437">
      <c r="A437" s="42" t="inlineStr">
        <is>
          <t>RWORK-0146</t>
        </is>
      </c>
      <c r="B437" s="42" t="inlineStr">
        <is>
          <t>Устройство песчаного слоя (180мм)</t>
        </is>
      </c>
      <c r="C437" s="42" t="inlineStr">
        <is>
          <t>Эконом</t>
        </is>
      </c>
      <c r="D437" s="42" t="inlineStr">
        <is>
          <t>Да</t>
        </is>
      </c>
      <c r="E437" s="42" t="inlineStr">
        <is>
          <t>Стандарт</t>
        </is>
      </c>
      <c r="F437" s="42" t="n"/>
      <c r="G437" s="42" t="inlineStr">
        <is>
          <t>Устройство песчаного слоя (180мм)</t>
        </is>
      </c>
      <c r="H437" s="42" t="inlineStr">
        <is>
          <t>Свернуть в раздел</t>
        </is>
      </c>
      <c r="I437" s="42" t="inlineStr">
        <is>
          <t>Минимум</t>
        </is>
      </c>
      <c r="J437" s="42" t="inlineStr">
        <is>
          <t>Автогенерация из реального прайса; проверить вручную</t>
        </is>
      </c>
    </row>
    <row r="438">
      <c r="A438" s="41" t="inlineStr">
        <is>
          <t>RWORK-0146</t>
        </is>
      </c>
      <c r="B438" s="41" t="inlineStr">
        <is>
          <t>Устройство песчаного слоя (180мм)</t>
        </is>
      </c>
      <c r="C438" s="41" t="inlineStr">
        <is>
          <t>Стандарт</t>
        </is>
      </c>
      <c r="D438" s="41" t="inlineStr">
        <is>
          <t>Да</t>
        </is>
      </c>
      <c r="E438" s="41" t="inlineStr">
        <is>
          <t>Стандарт</t>
        </is>
      </c>
      <c r="F438" s="41" t="n"/>
      <c r="G438" s="41" t="inlineStr">
        <is>
          <t>Устройство песчаного слоя (180мм)</t>
        </is>
      </c>
      <c r="H438" s="41" t="inlineStr">
        <is>
          <t>Показать строкой</t>
        </is>
      </c>
      <c r="I438" s="41" t="inlineStr">
        <is>
          <t>База</t>
        </is>
      </c>
      <c r="J438" s="41" t="inlineStr">
        <is>
          <t>Автогенерация из реального прайса; проверить вручную</t>
        </is>
      </c>
    </row>
    <row r="439">
      <c r="A439" s="42" t="inlineStr">
        <is>
          <t>RWORK-0146</t>
        </is>
      </c>
      <c r="B439" s="42" t="inlineStr">
        <is>
          <t>Устройство песчаного слоя (180мм)</t>
        </is>
      </c>
      <c r="C439" s="42" t="inlineStr">
        <is>
          <t>Премиум</t>
        </is>
      </c>
      <c r="D439" s="42" t="inlineStr">
        <is>
          <t>Да</t>
        </is>
      </c>
      <c r="E439" s="42" t="inlineStr">
        <is>
          <t>Стандарт</t>
        </is>
      </c>
      <c r="F439" s="42" t="n"/>
      <c r="G439" s="42" t="inlineStr">
        <is>
          <t>Устройство песчаного слоя (180мм)</t>
        </is>
      </c>
      <c r="H439" s="42" t="inlineStr">
        <is>
          <t>Показать строкой</t>
        </is>
      </c>
      <c r="I439" s="42" t="inlineStr">
        <is>
          <t>Детально</t>
        </is>
      </c>
      <c r="J439" s="42" t="inlineStr">
        <is>
          <t>Автогенерация из реального прайса; проверить вручную</t>
        </is>
      </c>
    </row>
    <row r="440">
      <c r="A440" s="41" t="inlineStr">
        <is>
          <t>RWORK-0147</t>
        </is>
      </c>
      <c r="B440" s="41" t="inlineStr">
        <is>
          <t>Устройство песчаного слоя (230мм)</t>
        </is>
      </c>
      <c r="C440" s="41" t="inlineStr">
        <is>
          <t>Эконом</t>
        </is>
      </c>
      <c r="D440" s="41" t="inlineStr">
        <is>
          <t>Да</t>
        </is>
      </c>
      <c r="E440" s="41" t="inlineStr">
        <is>
          <t>Стандарт</t>
        </is>
      </c>
      <c r="F440" s="41" t="n"/>
      <c r="G440" s="41" t="inlineStr">
        <is>
          <t>Устройство песчаного слоя (230мм)</t>
        </is>
      </c>
      <c r="H440" s="41" t="inlineStr">
        <is>
          <t>Свернуть в раздел</t>
        </is>
      </c>
      <c r="I440" s="41" t="inlineStr">
        <is>
          <t>Минимум</t>
        </is>
      </c>
      <c r="J440" s="41" t="inlineStr">
        <is>
          <t>Автогенерация из реального прайса; проверить вручную</t>
        </is>
      </c>
    </row>
    <row r="441">
      <c r="A441" s="42" t="inlineStr">
        <is>
          <t>RWORK-0147</t>
        </is>
      </c>
      <c r="B441" s="42" t="inlineStr">
        <is>
          <t>Устройство песчаного слоя (230мм)</t>
        </is>
      </c>
      <c r="C441" s="42" t="inlineStr">
        <is>
          <t>Стандарт</t>
        </is>
      </c>
      <c r="D441" s="42" t="inlineStr">
        <is>
          <t>Да</t>
        </is>
      </c>
      <c r="E441" s="42" t="inlineStr">
        <is>
          <t>Стандарт</t>
        </is>
      </c>
      <c r="F441" s="42" t="n"/>
      <c r="G441" s="42" t="inlineStr">
        <is>
          <t>Устройство песчаного слоя (230мм)</t>
        </is>
      </c>
      <c r="H441" s="42" t="inlineStr">
        <is>
          <t>Показать строкой</t>
        </is>
      </c>
      <c r="I441" s="42" t="inlineStr">
        <is>
          <t>База</t>
        </is>
      </c>
      <c r="J441" s="42" t="inlineStr">
        <is>
          <t>Автогенерация из реального прайса; проверить вручную</t>
        </is>
      </c>
    </row>
    <row r="442">
      <c r="A442" s="41" t="inlineStr">
        <is>
          <t>RWORK-0147</t>
        </is>
      </c>
      <c r="B442" s="41" t="inlineStr">
        <is>
          <t>Устройство песчаного слоя (230мм)</t>
        </is>
      </c>
      <c r="C442" s="41" t="inlineStr">
        <is>
          <t>Премиум</t>
        </is>
      </c>
      <c r="D442" s="41" t="inlineStr">
        <is>
          <t>Да</t>
        </is>
      </c>
      <c r="E442" s="41" t="inlineStr">
        <is>
          <t>Стандарт</t>
        </is>
      </c>
      <c r="F442" s="41" t="n"/>
      <c r="G442" s="41" t="inlineStr">
        <is>
          <t>Устройство песчаного слоя (230мм)</t>
        </is>
      </c>
      <c r="H442" s="41" t="inlineStr">
        <is>
          <t>Показать строкой</t>
        </is>
      </c>
      <c r="I442" s="41" t="inlineStr">
        <is>
          <t>Детально</t>
        </is>
      </c>
      <c r="J442" s="41" t="inlineStr">
        <is>
          <t>Автогенерация из реального прайса; проверить вручную</t>
        </is>
      </c>
    </row>
    <row r="443">
      <c r="A443" s="42" t="inlineStr">
        <is>
          <t>RWORK-0148</t>
        </is>
      </c>
      <c r="B443" s="42" t="inlineStr">
        <is>
          <t>Устройство песчаного слоя (250мм)</t>
        </is>
      </c>
      <c r="C443" s="42" t="inlineStr">
        <is>
          <t>Эконом</t>
        </is>
      </c>
      <c r="D443" s="42" t="inlineStr">
        <is>
          <t>Да</t>
        </is>
      </c>
      <c r="E443" s="42" t="inlineStr">
        <is>
          <t>Стандарт</t>
        </is>
      </c>
      <c r="F443" s="42" t="n"/>
      <c r="G443" s="42" t="inlineStr">
        <is>
          <t>Устройство песчаного слоя (250мм)</t>
        </is>
      </c>
      <c r="H443" s="42" t="inlineStr">
        <is>
          <t>Свернуть в раздел</t>
        </is>
      </c>
      <c r="I443" s="42" t="inlineStr">
        <is>
          <t>Минимум</t>
        </is>
      </c>
      <c r="J443" s="42" t="inlineStr">
        <is>
          <t>Автогенерация из реального прайса; проверить вручную</t>
        </is>
      </c>
    </row>
    <row r="444">
      <c r="A444" s="41" t="inlineStr">
        <is>
          <t>RWORK-0148</t>
        </is>
      </c>
      <c r="B444" s="41" t="inlineStr">
        <is>
          <t>Устройство песчаного слоя (250мм)</t>
        </is>
      </c>
      <c r="C444" s="41" t="inlineStr">
        <is>
          <t>Стандарт</t>
        </is>
      </c>
      <c r="D444" s="41" t="inlineStr">
        <is>
          <t>Да</t>
        </is>
      </c>
      <c r="E444" s="41" t="inlineStr">
        <is>
          <t>Стандарт</t>
        </is>
      </c>
      <c r="F444" s="41" t="n"/>
      <c r="G444" s="41" t="inlineStr">
        <is>
          <t>Устройство песчаного слоя (250мм)</t>
        </is>
      </c>
      <c r="H444" s="41" t="inlineStr">
        <is>
          <t>Показать строкой</t>
        </is>
      </c>
      <c r="I444" s="41" t="inlineStr">
        <is>
          <t>База</t>
        </is>
      </c>
      <c r="J444" s="41" t="inlineStr">
        <is>
          <t>Автогенерация из реального прайса; проверить вручную</t>
        </is>
      </c>
    </row>
    <row r="445">
      <c r="A445" s="42" t="inlineStr">
        <is>
          <t>RWORK-0148</t>
        </is>
      </c>
      <c r="B445" s="42" t="inlineStr">
        <is>
          <t>Устройство песчаного слоя (250мм)</t>
        </is>
      </c>
      <c r="C445" s="42" t="inlineStr">
        <is>
          <t>Премиум</t>
        </is>
      </c>
      <c r="D445" s="42" t="inlineStr">
        <is>
          <t>Да</t>
        </is>
      </c>
      <c r="E445" s="42" t="inlineStr">
        <is>
          <t>Стандарт</t>
        </is>
      </c>
      <c r="F445" s="42" t="n"/>
      <c r="G445" s="42" t="inlineStr">
        <is>
          <t>Устройство песчаного слоя (250мм)</t>
        </is>
      </c>
      <c r="H445" s="42" t="inlineStr">
        <is>
          <t>Показать строкой</t>
        </is>
      </c>
      <c r="I445" s="42" t="inlineStr">
        <is>
          <t>Детально</t>
        </is>
      </c>
      <c r="J445" s="42" t="inlineStr">
        <is>
          <t>Автогенерация из реального прайса; проверить вручную</t>
        </is>
      </c>
    </row>
    <row r="446">
      <c r="A446" s="41" t="inlineStr">
        <is>
          <t>RWORK-0149</t>
        </is>
      </c>
      <c r="B446" s="41" t="inlineStr">
        <is>
          <t>Устройство песчаного слоя (300мм)</t>
        </is>
      </c>
      <c r="C446" s="41" t="inlineStr">
        <is>
          <t>Эконом</t>
        </is>
      </c>
      <c r="D446" s="41" t="inlineStr">
        <is>
          <t>Да</t>
        </is>
      </c>
      <c r="E446" s="41" t="inlineStr">
        <is>
          <t>Стандарт</t>
        </is>
      </c>
      <c r="F446" s="41" t="n"/>
      <c r="G446" s="41" t="inlineStr">
        <is>
          <t>Устройство песчаного слоя (300мм)</t>
        </is>
      </c>
      <c r="H446" s="41" t="inlineStr">
        <is>
          <t>Свернуть в раздел</t>
        </is>
      </c>
      <c r="I446" s="41" t="inlineStr">
        <is>
          <t>Минимум</t>
        </is>
      </c>
      <c r="J446" s="41" t="inlineStr">
        <is>
          <t>Автогенерация из реального прайса; проверить вручную</t>
        </is>
      </c>
    </row>
    <row r="447">
      <c r="A447" s="42" t="inlineStr">
        <is>
          <t>RWORK-0149</t>
        </is>
      </c>
      <c r="B447" s="42" t="inlineStr">
        <is>
          <t>Устройство песчаного слоя (300мм)</t>
        </is>
      </c>
      <c r="C447" s="42" t="inlineStr">
        <is>
          <t>Стандарт</t>
        </is>
      </c>
      <c r="D447" s="42" t="inlineStr">
        <is>
          <t>Да</t>
        </is>
      </c>
      <c r="E447" s="42" t="inlineStr">
        <is>
          <t>Стандарт</t>
        </is>
      </c>
      <c r="F447" s="42" t="n"/>
      <c r="G447" s="42" t="inlineStr">
        <is>
          <t>Устройство песчаного слоя (300мм)</t>
        </is>
      </c>
      <c r="H447" s="42" t="inlineStr">
        <is>
          <t>Показать строкой</t>
        </is>
      </c>
      <c r="I447" s="42" t="inlineStr">
        <is>
          <t>База</t>
        </is>
      </c>
      <c r="J447" s="42" t="inlineStr">
        <is>
          <t>Автогенерация из реального прайса; проверить вручную</t>
        </is>
      </c>
    </row>
    <row r="448">
      <c r="A448" s="41" t="inlineStr">
        <is>
          <t>RWORK-0149</t>
        </is>
      </c>
      <c r="B448" s="41" t="inlineStr">
        <is>
          <t>Устройство песчаного слоя (300мм)</t>
        </is>
      </c>
      <c r="C448" s="41" t="inlineStr">
        <is>
          <t>Премиум</t>
        </is>
      </c>
      <c r="D448" s="41" t="inlineStr">
        <is>
          <t>Да</t>
        </is>
      </c>
      <c r="E448" s="41" t="inlineStr">
        <is>
          <t>Стандарт</t>
        </is>
      </c>
      <c r="F448" s="41" t="n"/>
      <c r="G448" s="41" t="inlineStr">
        <is>
          <t>Устройство песчаного слоя (300мм)</t>
        </is>
      </c>
      <c r="H448" s="41" t="inlineStr">
        <is>
          <t>Показать строкой</t>
        </is>
      </c>
      <c r="I448" s="41" t="inlineStr">
        <is>
          <t>Детально</t>
        </is>
      </c>
      <c r="J448" s="41" t="inlineStr">
        <is>
          <t>Автогенерация из реального прайса; проверить вручную</t>
        </is>
      </c>
    </row>
    <row r="449">
      <c r="A449" s="42" t="inlineStr">
        <is>
          <t>RWORK-0150</t>
        </is>
      </c>
      <c r="B449" s="42" t="inlineStr">
        <is>
          <t>Устройство песчаного слоя (600мм)</t>
        </is>
      </c>
      <c r="C449" s="42" t="inlineStr">
        <is>
          <t>Эконом</t>
        </is>
      </c>
      <c r="D449" s="42" t="inlineStr">
        <is>
          <t>Да</t>
        </is>
      </c>
      <c r="E449" s="42" t="inlineStr">
        <is>
          <t>Стандарт</t>
        </is>
      </c>
      <c r="F449" s="42" t="n"/>
      <c r="G449" s="42" t="inlineStr">
        <is>
          <t>Устройство песчаного слоя (600мм)</t>
        </is>
      </c>
      <c r="H449" s="42" t="inlineStr">
        <is>
          <t>Свернуть в раздел</t>
        </is>
      </c>
      <c r="I449" s="42" t="inlineStr">
        <is>
          <t>Минимум</t>
        </is>
      </c>
      <c r="J449" s="42" t="inlineStr">
        <is>
          <t>Автогенерация из реального прайса; проверить вручную</t>
        </is>
      </c>
    </row>
    <row r="450">
      <c r="A450" s="41" t="inlineStr">
        <is>
          <t>RWORK-0150</t>
        </is>
      </c>
      <c r="B450" s="41" t="inlineStr">
        <is>
          <t>Устройство песчаного слоя (600мм)</t>
        </is>
      </c>
      <c r="C450" s="41" t="inlineStr">
        <is>
          <t>Стандарт</t>
        </is>
      </c>
      <c r="D450" s="41" t="inlineStr">
        <is>
          <t>Да</t>
        </is>
      </c>
      <c r="E450" s="41" t="inlineStr">
        <is>
          <t>Стандарт</t>
        </is>
      </c>
      <c r="F450" s="41" t="n"/>
      <c r="G450" s="41" t="inlineStr">
        <is>
          <t>Устройство песчаного слоя (600мм)</t>
        </is>
      </c>
      <c r="H450" s="41" t="inlineStr">
        <is>
          <t>Показать строкой</t>
        </is>
      </c>
      <c r="I450" s="41" t="inlineStr">
        <is>
          <t>База</t>
        </is>
      </c>
      <c r="J450" s="41" t="inlineStr">
        <is>
          <t>Автогенерация из реального прайса; проверить вручную</t>
        </is>
      </c>
    </row>
    <row r="451">
      <c r="A451" s="42" t="inlineStr">
        <is>
          <t>RWORK-0150</t>
        </is>
      </c>
      <c r="B451" s="42" t="inlineStr">
        <is>
          <t>Устройство песчаного слоя (600мм)</t>
        </is>
      </c>
      <c r="C451" s="42" t="inlineStr">
        <is>
          <t>Премиум</t>
        </is>
      </c>
      <c r="D451" s="42" t="inlineStr">
        <is>
          <t>Да</t>
        </is>
      </c>
      <c r="E451" s="42" t="inlineStr">
        <is>
          <t>Стандарт</t>
        </is>
      </c>
      <c r="F451" s="42" t="n"/>
      <c r="G451" s="42" t="inlineStr">
        <is>
          <t>Устройство песчаного слоя (600мм)</t>
        </is>
      </c>
      <c r="H451" s="42" t="inlineStr">
        <is>
          <t>Показать строкой</t>
        </is>
      </c>
      <c r="I451" s="42" t="inlineStr">
        <is>
          <t>Детально</t>
        </is>
      </c>
      <c r="J451" s="42" t="inlineStr">
        <is>
          <t>Автогенерация из реального прайса; проверить вручную</t>
        </is>
      </c>
    </row>
    <row r="452">
      <c r="A452" s="41" t="inlineStr">
        <is>
          <t>RWORK-0151</t>
        </is>
      </c>
      <c r="B452" s="41" t="inlineStr">
        <is>
          <t>Устройство поверхностного дренажного слоя из песка с прикаткой, 2см</t>
        </is>
      </c>
      <c r="C452" s="41" t="inlineStr">
        <is>
          <t>Эконом</t>
        </is>
      </c>
      <c r="D452" s="41" t="inlineStr">
        <is>
          <t>Да</t>
        </is>
      </c>
      <c r="E452" s="41" t="inlineStr">
        <is>
          <t>Стандарт</t>
        </is>
      </c>
      <c r="F452" s="41" t="n"/>
      <c r="G452" s="41" t="inlineStr">
        <is>
          <t>Устройство поверхностного дренажного слоя из песка с прикаткой, 2см</t>
        </is>
      </c>
      <c r="H452" s="41" t="inlineStr">
        <is>
          <t>Свернуть в раздел</t>
        </is>
      </c>
      <c r="I452" s="41" t="inlineStr">
        <is>
          <t>Минимум</t>
        </is>
      </c>
      <c r="J452" s="41" t="inlineStr">
        <is>
          <t>Автогенерация из реального прайса; проверить вручную</t>
        </is>
      </c>
    </row>
    <row r="453">
      <c r="A453" s="42" t="inlineStr">
        <is>
          <t>RWORK-0151</t>
        </is>
      </c>
      <c r="B453" s="42" t="inlineStr">
        <is>
          <t>Устройство поверхностного дренажного слоя из песка с прикаткой, 2см</t>
        </is>
      </c>
      <c r="C453" s="42" t="inlineStr">
        <is>
          <t>Стандарт</t>
        </is>
      </c>
      <c r="D453" s="42" t="inlineStr">
        <is>
          <t>Да</t>
        </is>
      </c>
      <c r="E453" s="42" t="inlineStr">
        <is>
          <t>Стандарт</t>
        </is>
      </c>
      <c r="F453" s="42" t="n"/>
      <c r="G453" s="42" t="inlineStr">
        <is>
          <t>Устройство поверхностного дренажного слоя из песка с прикаткой, 2см</t>
        </is>
      </c>
      <c r="H453" s="42" t="inlineStr">
        <is>
          <t>Показать строкой</t>
        </is>
      </c>
      <c r="I453" s="42" t="inlineStr">
        <is>
          <t>База</t>
        </is>
      </c>
      <c r="J453" s="42" t="inlineStr">
        <is>
          <t>Автогенерация из реального прайса; проверить вручную</t>
        </is>
      </c>
    </row>
    <row r="454">
      <c r="A454" s="41" t="inlineStr">
        <is>
          <t>RWORK-0151</t>
        </is>
      </c>
      <c r="B454" s="41" t="inlineStr">
        <is>
          <t>Устройство поверхностного дренажного слоя из песка с прикаткой, 2см</t>
        </is>
      </c>
      <c r="C454" s="41" t="inlineStr">
        <is>
          <t>Премиум</t>
        </is>
      </c>
      <c r="D454" s="41" t="inlineStr">
        <is>
          <t>Да</t>
        </is>
      </c>
      <c r="E454" s="41" t="inlineStr">
        <is>
          <t>Стандарт</t>
        </is>
      </c>
      <c r="F454" s="41" t="n"/>
      <c r="G454" s="41" t="inlineStr">
        <is>
          <t>Устройство поверхностного дренажного слоя из песка с прикаткой, 2см</t>
        </is>
      </c>
      <c r="H454" s="41" t="inlineStr">
        <is>
          <t>Показать строкой</t>
        </is>
      </c>
      <c r="I454" s="41" t="inlineStr">
        <is>
          <t>Детально</t>
        </is>
      </c>
      <c r="J454" s="41" t="inlineStr">
        <is>
          <t>Автогенерация из реального прайса; проверить вручную</t>
        </is>
      </c>
    </row>
    <row r="455">
      <c r="A455" s="42" t="inlineStr">
        <is>
          <t>RWORK-0152</t>
        </is>
      </c>
      <c r="B455" s="42" t="inlineStr">
        <is>
          <t>Устройство рулонного газона на подготовленном основании</t>
        </is>
      </c>
      <c r="C455" s="42" t="inlineStr">
        <is>
          <t>Эконом</t>
        </is>
      </c>
      <c r="D455" s="42" t="inlineStr">
        <is>
          <t>Да</t>
        </is>
      </c>
      <c r="E455" s="42" t="inlineStr">
        <is>
          <t>Стандарт</t>
        </is>
      </c>
      <c r="F455" s="42" t="n"/>
      <c r="G455" s="42" t="inlineStr">
        <is>
          <t>Устройство рулонного газона на подготовленном основании</t>
        </is>
      </c>
      <c r="H455" s="42" t="inlineStr">
        <is>
          <t>Свернуть в раздел</t>
        </is>
      </c>
      <c r="I455" s="42" t="inlineStr">
        <is>
          <t>Минимум</t>
        </is>
      </c>
      <c r="J455" s="42" t="inlineStr">
        <is>
          <t>Автогенерация из реального прайса; проверить вручную</t>
        </is>
      </c>
    </row>
    <row r="456">
      <c r="A456" s="41" t="inlineStr">
        <is>
          <t>RWORK-0152</t>
        </is>
      </c>
      <c r="B456" s="41" t="inlineStr">
        <is>
          <t>Устройство рулонного газона на подготовленном основании</t>
        </is>
      </c>
      <c r="C456" s="41" t="inlineStr">
        <is>
          <t>Стандарт</t>
        </is>
      </c>
      <c r="D456" s="41" t="inlineStr">
        <is>
          <t>Да</t>
        </is>
      </c>
      <c r="E456" s="41" t="inlineStr">
        <is>
          <t>Стандарт</t>
        </is>
      </c>
      <c r="F456" s="41" t="n"/>
      <c r="G456" s="41" t="inlineStr">
        <is>
          <t>Устройство рулонного газона на подготовленном основании</t>
        </is>
      </c>
      <c r="H456" s="41" t="inlineStr">
        <is>
          <t>Показать строкой</t>
        </is>
      </c>
      <c r="I456" s="41" t="inlineStr">
        <is>
          <t>База</t>
        </is>
      </c>
      <c r="J456" s="41" t="inlineStr">
        <is>
          <t>Автогенерация из реального прайса; проверить вручную</t>
        </is>
      </c>
    </row>
    <row r="457">
      <c r="A457" s="42" t="inlineStr">
        <is>
          <t>RWORK-0152</t>
        </is>
      </c>
      <c r="B457" s="42" t="inlineStr">
        <is>
          <t>Устройство рулонного газона на подготовленном основании</t>
        </is>
      </c>
      <c r="C457" s="42" t="inlineStr">
        <is>
          <t>Премиум</t>
        </is>
      </c>
      <c r="D457" s="42" t="inlineStr">
        <is>
          <t>Да</t>
        </is>
      </c>
      <c r="E457" s="42" t="inlineStr">
        <is>
          <t>Стандарт</t>
        </is>
      </c>
      <c r="F457" s="42" t="n"/>
      <c r="G457" s="42" t="inlineStr">
        <is>
          <t>Устройство рулонного газона на подготовленном основании</t>
        </is>
      </c>
      <c r="H457" s="42" t="inlineStr">
        <is>
          <t>Показать строкой</t>
        </is>
      </c>
      <c r="I457" s="42" t="inlineStr">
        <is>
          <t>Детально</t>
        </is>
      </c>
      <c r="J457" s="42" t="inlineStr">
        <is>
          <t>Автогенерация из реального прайса; проверить вручную</t>
        </is>
      </c>
    </row>
    <row r="458">
      <c r="A458" s="41" t="inlineStr">
        <is>
          <t>RWORK-0153</t>
        </is>
      </c>
      <c r="B458" s="41" t="inlineStr">
        <is>
          <t>Устройство спортивного ударопоглощающего покрытия из резиновой крошки</t>
        </is>
      </c>
      <c r="C458" s="41" t="inlineStr">
        <is>
          <t>Эконом</t>
        </is>
      </c>
      <c r="D458" s="41" t="inlineStr">
        <is>
          <t>Да</t>
        </is>
      </c>
      <c r="E458" s="41" t="inlineStr">
        <is>
          <t>Стандарт</t>
        </is>
      </c>
      <c r="F458" s="41" t="n"/>
      <c r="G458" s="41" t="inlineStr">
        <is>
          <t>Устройство спортивного ударопоглощающего покрытия из резиновой крошки</t>
        </is>
      </c>
      <c r="H458" s="41" t="inlineStr">
        <is>
          <t>Свернуть в раздел</t>
        </is>
      </c>
      <c r="I458" s="41" t="inlineStr">
        <is>
          <t>Минимум</t>
        </is>
      </c>
      <c r="J458" s="41" t="inlineStr">
        <is>
          <t>Автогенерация из реального прайса; проверить вручную</t>
        </is>
      </c>
    </row>
    <row r="459">
      <c r="A459" s="42" t="inlineStr">
        <is>
          <t>RWORK-0153</t>
        </is>
      </c>
      <c r="B459" s="42" t="inlineStr">
        <is>
          <t>Устройство спортивного ударопоглощающего покрытия из резиновой крошки</t>
        </is>
      </c>
      <c r="C459" s="42" t="inlineStr">
        <is>
          <t>Стандарт</t>
        </is>
      </c>
      <c r="D459" s="42" t="inlineStr">
        <is>
          <t>Да</t>
        </is>
      </c>
      <c r="E459" s="42" t="inlineStr">
        <is>
          <t>Стандарт</t>
        </is>
      </c>
      <c r="F459" s="42" t="n"/>
      <c r="G459" s="42" t="inlineStr">
        <is>
          <t>Устройство спортивного ударопоглощающего покрытия из резиновой крошки</t>
        </is>
      </c>
      <c r="H459" s="42" t="inlineStr">
        <is>
          <t>Показать строкой</t>
        </is>
      </c>
      <c r="I459" s="42" t="inlineStr">
        <is>
          <t>База</t>
        </is>
      </c>
      <c r="J459" s="42" t="inlineStr">
        <is>
          <t>Автогенерация из реального прайса; проверить вручную</t>
        </is>
      </c>
    </row>
    <row r="460">
      <c r="A460" s="41" t="inlineStr">
        <is>
          <t>RWORK-0153</t>
        </is>
      </c>
      <c r="B460" s="41" t="inlineStr">
        <is>
          <t>Устройство спортивного ударопоглощающего покрытия из резиновой крошки</t>
        </is>
      </c>
      <c r="C460" s="41" t="inlineStr">
        <is>
          <t>Премиум</t>
        </is>
      </c>
      <c r="D460" s="41" t="inlineStr">
        <is>
          <t>Да</t>
        </is>
      </c>
      <c r="E460" s="41" t="inlineStr">
        <is>
          <t>Стандарт</t>
        </is>
      </c>
      <c r="F460" s="41" t="n"/>
      <c r="G460" s="41" t="inlineStr">
        <is>
          <t>Устройство спортивного ударопоглощающего покрытия из резиновой крошки</t>
        </is>
      </c>
      <c r="H460" s="41" t="inlineStr">
        <is>
          <t>Показать строкой</t>
        </is>
      </c>
      <c r="I460" s="41" t="inlineStr">
        <is>
          <t>Детально</t>
        </is>
      </c>
      <c r="J460" s="41" t="inlineStr">
        <is>
          <t>Автогенерация из реального прайса; проверить вручную</t>
        </is>
      </c>
    </row>
    <row r="461">
      <c r="A461" s="42" t="inlineStr">
        <is>
          <t>RWORK-0154</t>
        </is>
      </c>
      <c r="B461" s="42" t="inlineStr">
        <is>
          <t>Устройство траншеи 0,7м с песчаным основанием для кабеля</t>
        </is>
      </c>
      <c r="C461" s="42" t="inlineStr">
        <is>
          <t>Эконом</t>
        </is>
      </c>
      <c r="D461" s="42" t="inlineStr">
        <is>
          <t>Да</t>
        </is>
      </c>
      <c r="E461" s="42" t="inlineStr">
        <is>
          <t>Стандарт</t>
        </is>
      </c>
      <c r="F461" s="42" t="n"/>
      <c r="G461" s="42" t="inlineStr">
        <is>
          <t>Устройство траншеи 0,7м с песчаным основанием для кабеля</t>
        </is>
      </c>
      <c r="H461" s="42" t="inlineStr">
        <is>
          <t>Свернуть в раздел</t>
        </is>
      </c>
      <c r="I461" s="42" t="inlineStr">
        <is>
          <t>Минимум</t>
        </is>
      </c>
      <c r="J461" s="42" t="inlineStr">
        <is>
          <t>Автогенерация из реального прайса; проверить вручную</t>
        </is>
      </c>
    </row>
    <row r="462">
      <c r="A462" s="41" t="inlineStr">
        <is>
          <t>RWORK-0154</t>
        </is>
      </c>
      <c r="B462" s="41" t="inlineStr">
        <is>
          <t>Устройство траншеи 0,7м с песчаным основанием для кабеля</t>
        </is>
      </c>
      <c r="C462" s="41" t="inlineStr">
        <is>
          <t>Стандарт</t>
        </is>
      </c>
      <c r="D462" s="41" t="inlineStr">
        <is>
          <t>Да</t>
        </is>
      </c>
      <c r="E462" s="41" t="inlineStr">
        <is>
          <t>Стандарт</t>
        </is>
      </c>
      <c r="F462" s="41" t="n"/>
      <c r="G462" s="41" t="inlineStr">
        <is>
          <t>Устройство траншеи 0,7м с песчаным основанием для кабеля</t>
        </is>
      </c>
      <c r="H462" s="41" t="inlineStr">
        <is>
          <t>Показать строкой</t>
        </is>
      </c>
      <c r="I462" s="41" t="inlineStr">
        <is>
          <t>База</t>
        </is>
      </c>
      <c r="J462" s="41" t="inlineStr">
        <is>
          <t>Автогенерация из реального прайса; проверить вручную</t>
        </is>
      </c>
    </row>
    <row r="463">
      <c r="A463" s="42" t="inlineStr">
        <is>
          <t>RWORK-0154</t>
        </is>
      </c>
      <c r="B463" s="42" t="inlineStr">
        <is>
          <t>Устройство траншеи 0,7м с песчаным основанием для кабеля</t>
        </is>
      </c>
      <c r="C463" s="42" t="inlineStr">
        <is>
          <t>Премиум</t>
        </is>
      </c>
      <c r="D463" s="42" t="inlineStr">
        <is>
          <t>Да</t>
        </is>
      </c>
      <c r="E463" s="42" t="inlineStr">
        <is>
          <t>Стандарт</t>
        </is>
      </c>
      <c r="F463" s="42" t="n"/>
      <c r="G463" s="42" t="inlineStr">
        <is>
          <t>Устройство траншеи 0,7м с песчаным основанием для кабеля</t>
        </is>
      </c>
      <c r="H463" s="42" t="inlineStr">
        <is>
          <t>Показать строкой</t>
        </is>
      </c>
      <c r="I463" s="42" t="inlineStr">
        <is>
          <t>Детально</t>
        </is>
      </c>
      <c r="J463" s="42" t="inlineStr">
        <is>
          <t>Автогенерация из реального прайса; проверить вручную</t>
        </is>
      </c>
    </row>
    <row r="464">
      <c r="A464" s="41" t="inlineStr">
        <is>
          <t>RWORK-0155</t>
        </is>
      </c>
      <c r="B464" s="41" t="inlineStr">
        <is>
          <t>Устройство фундаментов светильников столбиков, розеток</t>
        </is>
      </c>
      <c r="C464" s="41" t="inlineStr">
        <is>
          <t>Эконом</t>
        </is>
      </c>
      <c r="D464" s="41" t="inlineStr">
        <is>
          <t>Да</t>
        </is>
      </c>
      <c r="E464" s="41" t="inlineStr">
        <is>
          <t>Стандарт</t>
        </is>
      </c>
      <c r="F464" s="41" t="n"/>
      <c r="G464" s="41" t="inlineStr">
        <is>
          <t>Устройство фундаментов светильников столбиков, розеток</t>
        </is>
      </c>
      <c r="H464" s="41" t="inlineStr">
        <is>
          <t>Свернуть в раздел</t>
        </is>
      </c>
      <c r="I464" s="41" t="inlineStr">
        <is>
          <t>Минимум</t>
        </is>
      </c>
      <c r="J464" s="41" t="inlineStr">
        <is>
          <t>Автогенерация из реального прайса; проверить вручную</t>
        </is>
      </c>
    </row>
    <row r="465">
      <c r="A465" s="42" t="inlineStr">
        <is>
          <t>RWORK-0155</t>
        </is>
      </c>
      <c r="B465" s="42" t="inlineStr">
        <is>
          <t>Устройство фундаментов светильников столбиков, розеток</t>
        </is>
      </c>
      <c r="C465" s="42" t="inlineStr">
        <is>
          <t>Стандарт</t>
        </is>
      </c>
      <c r="D465" s="42" t="inlineStr">
        <is>
          <t>Да</t>
        </is>
      </c>
      <c r="E465" s="42" t="inlineStr">
        <is>
          <t>Стандарт</t>
        </is>
      </c>
      <c r="F465" s="42" t="n"/>
      <c r="G465" s="42" t="inlineStr">
        <is>
          <t>Устройство фундаментов светильников столбиков, розеток</t>
        </is>
      </c>
      <c r="H465" s="42" t="inlineStr">
        <is>
          <t>Показать строкой</t>
        </is>
      </c>
      <c r="I465" s="42" t="inlineStr">
        <is>
          <t>База</t>
        </is>
      </c>
      <c r="J465" s="42" t="inlineStr">
        <is>
          <t>Автогенерация из реального прайса; проверить вручную</t>
        </is>
      </c>
    </row>
    <row r="466">
      <c r="A466" s="41" t="inlineStr">
        <is>
          <t>RWORK-0155</t>
        </is>
      </c>
      <c r="B466" s="41" t="inlineStr">
        <is>
          <t>Устройство фундаментов светильников столбиков, розеток</t>
        </is>
      </c>
      <c r="C466" s="41" t="inlineStr">
        <is>
          <t>Премиум</t>
        </is>
      </c>
      <c r="D466" s="41" t="inlineStr">
        <is>
          <t>Да</t>
        </is>
      </c>
      <c r="E466" s="41" t="inlineStr">
        <is>
          <t>Стандарт</t>
        </is>
      </c>
      <c r="F466" s="41" t="n"/>
      <c r="G466" s="41" t="inlineStr">
        <is>
          <t>Устройство фундаментов светильников столбиков, розеток</t>
        </is>
      </c>
      <c r="H466" s="41" t="inlineStr">
        <is>
          <t>Показать строкой</t>
        </is>
      </c>
      <c r="I466" s="41" t="inlineStr">
        <is>
          <t>Детально</t>
        </is>
      </c>
      <c r="J466" s="41" t="inlineStr">
        <is>
          <t>Автогенерация из реального прайса; проверить вручную</t>
        </is>
      </c>
    </row>
    <row r="467">
      <c r="A467" s="42" t="inlineStr">
        <is>
          <t>RWORK-0156</t>
        </is>
      </c>
      <c r="B467" s="42" t="inlineStr">
        <is>
          <t>Частичный демонтаж мощения</t>
        </is>
      </c>
      <c r="C467" s="42" t="inlineStr">
        <is>
          <t>Эконом</t>
        </is>
      </c>
      <c r="D467" s="42" t="inlineStr">
        <is>
          <t>Да</t>
        </is>
      </c>
      <c r="E467" s="42" t="inlineStr">
        <is>
          <t>Стандарт</t>
        </is>
      </c>
      <c r="F467" s="42" t="n"/>
      <c r="G467" s="42" t="inlineStr">
        <is>
          <t>Частичный демонтаж мощения</t>
        </is>
      </c>
      <c r="H467" s="42" t="inlineStr">
        <is>
          <t>Свернуть в раздел</t>
        </is>
      </c>
      <c r="I467" s="42" t="inlineStr">
        <is>
          <t>Минимум</t>
        </is>
      </c>
      <c r="J467" s="42" t="inlineStr">
        <is>
          <t>Автогенерация из реального прайса; проверить вручную</t>
        </is>
      </c>
    </row>
    <row r="468">
      <c r="A468" s="41" t="inlineStr">
        <is>
          <t>RWORK-0156</t>
        </is>
      </c>
      <c r="B468" s="41" t="inlineStr">
        <is>
          <t>Частичный демонтаж мощения</t>
        </is>
      </c>
      <c r="C468" s="41" t="inlineStr">
        <is>
          <t>Стандарт</t>
        </is>
      </c>
      <c r="D468" s="41" t="inlineStr">
        <is>
          <t>Да</t>
        </is>
      </c>
      <c r="E468" s="41" t="inlineStr">
        <is>
          <t>Стандарт</t>
        </is>
      </c>
      <c r="F468" s="41" t="n"/>
      <c r="G468" s="41" t="inlineStr">
        <is>
          <t>Частичный демонтаж мощения</t>
        </is>
      </c>
      <c r="H468" s="41" t="inlineStr">
        <is>
          <t>Показать строкой</t>
        </is>
      </c>
      <c r="I468" s="41" t="inlineStr">
        <is>
          <t>База</t>
        </is>
      </c>
      <c r="J468" s="41" t="inlineStr">
        <is>
          <t>Автогенерация из реального прайса; проверить вручную</t>
        </is>
      </c>
    </row>
    <row r="469">
      <c r="A469" s="42" t="inlineStr">
        <is>
          <t>RWORK-0156</t>
        </is>
      </c>
      <c r="B469" s="42" t="inlineStr">
        <is>
          <t>Частичный демонтаж мощения</t>
        </is>
      </c>
      <c r="C469" s="42" t="inlineStr">
        <is>
          <t>Премиум</t>
        </is>
      </c>
      <c r="D469" s="42" t="inlineStr">
        <is>
          <t>Да</t>
        </is>
      </c>
      <c r="E469" s="42" t="inlineStr">
        <is>
          <t>Стандарт</t>
        </is>
      </c>
      <c r="F469" s="42" t="n"/>
      <c r="G469" s="42" t="inlineStr">
        <is>
          <t>Частичный демонтаж мощения</t>
        </is>
      </c>
      <c r="H469" s="42" t="inlineStr">
        <is>
          <t>Показать строкой</t>
        </is>
      </c>
      <c r="I469" s="42" t="inlineStr">
        <is>
          <t>Детально</t>
        </is>
      </c>
      <c r="J469" s="42" t="inlineStr">
        <is>
          <t>Автогенерация из реального прайса; проверить вручную</t>
        </is>
      </c>
    </row>
    <row r="470">
      <c r="A470" s="41" t="inlineStr">
        <is>
          <t>RWORK-0157</t>
        </is>
      </c>
      <c r="B470" s="41" t="inlineStr">
        <is>
          <t>Чистка бетонной отмостки</t>
        </is>
      </c>
      <c r="C470" s="41" t="inlineStr">
        <is>
          <t>Эконом</t>
        </is>
      </c>
      <c r="D470" s="41" t="inlineStr">
        <is>
          <t>Да</t>
        </is>
      </c>
      <c r="E470" s="41" t="inlineStr">
        <is>
          <t>Стандарт</t>
        </is>
      </c>
      <c r="F470" s="41" t="n"/>
      <c r="G470" s="41" t="inlineStr">
        <is>
          <t>Чистка бетонной отмостки</t>
        </is>
      </c>
      <c r="H470" s="41" t="inlineStr">
        <is>
          <t>Свернуть в раздел</t>
        </is>
      </c>
      <c r="I470" s="41" t="inlineStr">
        <is>
          <t>Минимум</t>
        </is>
      </c>
      <c r="J470" s="41" t="inlineStr">
        <is>
          <t>Автогенерация из реального прайса; проверить вручную</t>
        </is>
      </c>
    </row>
    <row r="471">
      <c r="A471" s="42" t="inlineStr">
        <is>
          <t>RWORK-0157</t>
        </is>
      </c>
      <c r="B471" s="42" t="inlineStr">
        <is>
          <t>Чистка бетонной отмостки</t>
        </is>
      </c>
      <c r="C471" s="42" t="inlineStr">
        <is>
          <t>Стандарт</t>
        </is>
      </c>
      <c r="D471" s="42" t="inlineStr">
        <is>
          <t>Да</t>
        </is>
      </c>
      <c r="E471" s="42" t="inlineStr">
        <is>
          <t>Стандарт</t>
        </is>
      </c>
      <c r="F471" s="42" t="n"/>
      <c r="G471" s="42" t="inlineStr">
        <is>
          <t>Чистка бетонной отмостки</t>
        </is>
      </c>
      <c r="H471" s="42" t="inlineStr">
        <is>
          <t>Показать строкой</t>
        </is>
      </c>
      <c r="I471" s="42" t="inlineStr">
        <is>
          <t>База</t>
        </is>
      </c>
      <c r="J471" s="42" t="inlineStr">
        <is>
          <t>Автогенерация из реального прайса; проверить вручную</t>
        </is>
      </c>
    </row>
    <row r="472">
      <c r="A472" s="41" t="inlineStr">
        <is>
          <t>RWORK-0157</t>
        </is>
      </c>
      <c r="B472" s="41" t="inlineStr">
        <is>
          <t>Чистка бетонной отмостки</t>
        </is>
      </c>
      <c r="C472" s="41" t="inlineStr">
        <is>
          <t>Премиум</t>
        </is>
      </c>
      <c r="D472" s="41" t="inlineStr">
        <is>
          <t>Да</t>
        </is>
      </c>
      <c r="E472" s="41" t="inlineStr">
        <is>
          <t>Стандарт</t>
        </is>
      </c>
      <c r="F472" s="41" t="n"/>
      <c r="G472" s="41" t="inlineStr">
        <is>
          <t>Чистка бетонной отмостки</t>
        </is>
      </c>
      <c r="H472" s="41" t="inlineStr">
        <is>
          <t>Показать строкой</t>
        </is>
      </c>
      <c r="I472" s="41" t="inlineStr">
        <is>
          <t>Детально</t>
        </is>
      </c>
      <c r="J472" s="41" t="inlineStr">
        <is>
          <t>Автогенерация из реального прайса; проверить вручную</t>
        </is>
      </c>
    </row>
  </sheetData>
  <autoFilter ref="A1:J47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3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20" customWidth="1" min="4" max="4"/>
    <col width="27" customWidth="1" min="5" max="5"/>
    <col width="21" customWidth="1" min="6" max="6"/>
    <col width="40" customWidth="1" min="7" max="7"/>
    <col width="21" customWidth="1" min="8" max="8"/>
    <col width="15" customWidth="1" min="9" max="9"/>
    <col width="40" customWidth="1" min="10" max="10"/>
  </cols>
  <sheetData>
    <row r="1">
      <c r="A1" s="40" t="inlineStr">
        <is>
          <t>MaterialID</t>
        </is>
      </c>
      <c r="B1" s="40" t="inlineStr">
        <is>
          <t>CanonicalMaterial</t>
        </is>
      </c>
      <c r="C1" s="40" t="inlineStr">
        <is>
          <t>Tariff</t>
        </is>
      </c>
      <c r="D1" s="40" t="inlineStr">
        <is>
          <t>PreferredVariantID</t>
        </is>
      </c>
      <c r="E1" s="40" t="inlineStr">
        <is>
          <t>MaterialSellCoeffOverride</t>
        </is>
      </c>
      <c r="F1" s="40" t="inlineStr">
        <is>
          <t>ReserveBiasOverride</t>
        </is>
      </c>
      <c r="G1" s="40" t="inlineStr">
        <is>
          <t>ClientNameOverride</t>
        </is>
      </c>
      <c r="H1" s="40" t="inlineStr">
        <is>
          <t>DisplayModeOverride</t>
        </is>
      </c>
      <c r="I1" s="40" t="inlineStr">
        <is>
          <t>QualityIntent</t>
        </is>
      </c>
      <c r="J1" s="40" t="inlineStr">
        <is>
          <t>Notes</t>
        </is>
      </c>
    </row>
    <row r="2">
      <c r="A2" s="41" t="inlineStr">
        <is>
          <t>RMAT-0001</t>
        </is>
      </c>
      <c r="B2" s="41" t="inlineStr">
        <is>
          <t>Амфиболит колотый 50*100*100мм</t>
        </is>
      </c>
      <c r="C2" s="41" t="inlineStr">
        <is>
          <t>Эконом</t>
        </is>
      </c>
      <c r="D2" s="41" t="inlineStr">
        <is>
          <t>MV-0001</t>
        </is>
      </c>
      <c r="E2" s="59" t="n"/>
      <c r="F2" s="59" t="n">
        <v>1</v>
      </c>
      <c r="G2" s="41" t="inlineStr">
        <is>
          <t>Амфиболит колотый 50*100*100мм</t>
        </is>
      </c>
      <c r="H2" s="41" t="inlineStr">
        <is>
          <t>Показать строкой</t>
        </is>
      </c>
      <c r="I2" s="41" t="inlineStr">
        <is>
          <t>Эконом</t>
        </is>
      </c>
      <c r="J2" s="41" t="inlineStr">
        <is>
          <t>Автогенерация 1:1; тарифные различия ещё не настроены</t>
        </is>
      </c>
    </row>
    <row r="3">
      <c r="A3" s="42" t="inlineStr">
        <is>
          <t>RMAT-0001</t>
        </is>
      </c>
      <c r="B3" s="42" t="inlineStr">
        <is>
          <t>Амфиболит колотый 50*100*100мм</t>
        </is>
      </c>
      <c r="C3" s="42" t="inlineStr">
        <is>
          <t>Стандарт</t>
        </is>
      </c>
      <c r="D3" s="42" t="inlineStr">
        <is>
          <t>MV-0001</t>
        </is>
      </c>
      <c r="E3" s="60" t="n"/>
      <c r="F3" s="60" t="n">
        <v>1</v>
      </c>
      <c r="G3" s="42" t="inlineStr">
        <is>
          <t>Амфиболит колотый 50*100*100мм</t>
        </is>
      </c>
      <c r="H3" s="42" t="inlineStr">
        <is>
          <t>Показать строкой</t>
        </is>
      </c>
      <c r="I3" s="42" t="inlineStr">
        <is>
          <t>Стандарт</t>
        </is>
      </c>
      <c r="J3" s="42" t="inlineStr">
        <is>
          <t>Автогенерация 1:1; тарифные различия ещё не настроены</t>
        </is>
      </c>
    </row>
    <row r="4">
      <c r="A4" s="41" t="inlineStr">
        <is>
          <t>RMAT-0001</t>
        </is>
      </c>
      <c r="B4" s="41" t="inlineStr">
        <is>
          <t>Амфиболит колотый 50*100*100мм</t>
        </is>
      </c>
      <c r="C4" s="41" t="inlineStr">
        <is>
          <t>Премиум</t>
        </is>
      </c>
      <c r="D4" s="41" t="inlineStr">
        <is>
          <t>MV-0001</t>
        </is>
      </c>
      <c r="E4" s="59" t="n"/>
      <c r="F4" s="59" t="n">
        <v>1</v>
      </c>
      <c r="G4" s="41" t="inlineStr">
        <is>
          <t>Амфиболит колотый 50*100*100мм</t>
        </is>
      </c>
      <c r="H4" s="41" t="inlineStr">
        <is>
          <t>Показать строкой</t>
        </is>
      </c>
      <c r="I4" s="41" t="inlineStr">
        <is>
          <t>Премиум</t>
        </is>
      </c>
      <c r="J4" s="41" t="inlineStr">
        <is>
          <t>Автогенерация 1:1; тарифные различия ещё не настроены</t>
        </is>
      </c>
    </row>
    <row r="5">
      <c r="A5" s="42" t="inlineStr">
        <is>
          <t>RMAT-0002</t>
        </is>
      </c>
      <c r="B5" s="42" t="inlineStr">
        <is>
          <t>Анкер крепящий для ландшафтного бордюра (количество для установки по дуге 5шт. на 1м.п.)</t>
        </is>
      </c>
      <c r="C5" s="42" t="inlineStr">
        <is>
          <t>Эконом</t>
        </is>
      </c>
      <c r="D5" s="42" t="inlineStr">
        <is>
          <t>MV-0002</t>
        </is>
      </c>
      <c r="E5" s="60" t="n"/>
      <c r="F5" s="60" t="n">
        <v>1</v>
      </c>
      <c r="G5" s="42" t="inlineStr">
        <is>
          <t>Анкер крепящий для ландшафтного бордюра (количество для установки по дуге 5шт. на 1м.п.)</t>
        </is>
      </c>
      <c r="H5" s="42" t="inlineStr">
        <is>
          <t>Показать строкой</t>
        </is>
      </c>
      <c r="I5" s="42" t="inlineStr">
        <is>
          <t>Эконом</t>
        </is>
      </c>
      <c r="J5" s="42" t="inlineStr">
        <is>
          <t>Автогенерация 1:1; тарифные различия ещё не настроены</t>
        </is>
      </c>
    </row>
    <row r="6">
      <c r="A6" s="41" t="inlineStr">
        <is>
          <t>RMAT-0002</t>
        </is>
      </c>
      <c r="B6" s="41" t="inlineStr">
        <is>
          <t>Анкер крепящий для ландшафтного бордюра (количество для установки по дуге 5шт. на 1м.п.)</t>
        </is>
      </c>
      <c r="C6" s="41" t="inlineStr">
        <is>
          <t>Стандарт</t>
        </is>
      </c>
      <c r="D6" s="41" t="inlineStr">
        <is>
          <t>MV-0002</t>
        </is>
      </c>
      <c r="E6" s="59" t="n"/>
      <c r="F6" s="59" t="n">
        <v>1</v>
      </c>
      <c r="G6" s="41" t="inlineStr">
        <is>
          <t>Анкер крепящий для ландшафтного бордюра (количество для установки по дуге 5шт. на 1м.п.)</t>
        </is>
      </c>
      <c r="H6" s="41" t="inlineStr">
        <is>
          <t>Показать строкой</t>
        </is>
      </c>
      <c r="I6" s="41" t="inlineStr">
        <is>
          <t>Стандарт</t>
        </is>
      </c>
      <c r="J6" s="41" t="inlineStr">
        <is>
          <t>Автогенерация 1:1; тарифные различия ещё не настроены</t>
        </is>
      </c>
    </row>
    <row r="7">
      <c r="A7" s="42" t="inlineStr">
        <is>
          <t>RMAT-0002</t>
        </is>
      </c>
      <c r="B7" s="42" t="inlineStr">
        <is>
          <t>Анкер крепящий для ландшафтного бордюра (количество для установки по дуге 5шт. на 1м.п.)</t>
        </is>
      </c>
      <c r="C7" s="42" t="inlineStr">
        <is>
          <t>Премиум</t>
        </is>
      </c>
      <c r="D7" s="42" t="inlineStr">
        <is>
          <t>MV-0002</t>
        </is>
      </c>
      <c r="E7" s="60" t="n"/>
      <c r="F7" s="60" t="n">
        <v>1</v>
      </c>
      <c r="G7" s="42" t="inlineStr">
        <is>
          <t>Анкер крепящий для ландшафтного бордюра (количество для установки по дуге 5шт. на 1м.п.)</t>
        </is>
      </c>
      <c r="H7" s="42" t="inlineStr">
        <is>
          <t>Показать строкой</t>
        </is>
      </c>
      <c r="I7" s="42" t="inlineStr">
        <is>
          <t>Премиум</t>
        </is>
      </c>
      <c r="J7" s="42" t="inlineStr">
        <is>
          <t>Автогенерация 1:1; тарифные различия ещё не настроены</t>
        </is>
      </c>
    </row>
    <row r="8">
      <c r="A8" s="41" t="inlineStr">
        <is>
          <t>RMAT-0003</t>
        </is>
      </c>
      <c r="B8" s="41" t="inlineStr">
        <is>
          <t>Антисептик Pinotex Base</t>
        </is>
      </c>
      <c r="C8" s="41" t="inlineStr">
        <is>
          <t>Эконом</t>
        </is>
      </c>
      <c r="D8" s="41" t="inlineStr">
        <is>
          <t>MV-0003</t>
        </is>
      </c>
      <c r="E8" s="59" t="n"/>
      <c r="F8" s="59" t="n">
        <v>1</v>
      </c>
      <c r="G8" s="41" t="inlineStr">
        <is>
          <t>Антисептик Pinotex Base</t>
        </is>
      </c>
      <c r="H8" s="41" t="inlineStr">
        <is>
          <t>Показать строкой</t>
        </is>
      </c>
      <c r="I8" s="41" t="inlineStr">
        <is>
          <t>Эконом</t>
        </is>
      </c>
      <c r="J8" s="41" t="inlineStr">
        <is>
          <t>Автогенерация 1:1; тарифные различия ещё не настроены</t>
        </is>
      </c>
    </row>
    <row r="9">
      <c r="A9" s="42" t="inlineStr">
        <is>
          <t>RMAT-0003</t>
        </is>
      </c>
      <c r="B9" s="42" t="inlineStr">
        <is>
          <t>Антисептик Pinotex Base</t>
        </is>
      </c>
      <c r="C9" s="42" t="inlineStr">
        <is>
          <t>Стандарт</t>
        </is>
      </c>
      <c r="D9" s="42" t="inlineStr">
        <is>
          <t>MV-0003</t>
        </is>
      </c>
      <c r="E9" s="60" t="n"/>
      <c r="F9" s="60" t="n">
        <v>1</v>
      </c>
      <c r="G9" s="42" t="inlineStr">
        <is>
          <t>Антисептик Pinotex Base</t>
        </is>
      </c>
      <c r="H9" s="42" t="inlineStr">
        <is>
          <t>Показать строкой</t>
        </is>
      </c>
      <c r="I9" s="42" t="inlineStr">
        <is>
          <t>Стандарт</t>
        </is>
      </c>
      <c r="J9" s="42" t="inlineStr">
        <is>
          <t>Автогенерация 1:1; тарифные различия ещё не настроены</t>
        </is>
      </c>
    </row>
    <row r="10">
      <c r="A10" s="41" t="inlineStr">
        <is>
          <t>RMAT-0003</t>
        </is>
      </c>
      <c r="B10" s="41" t="inlineStr">
        <is>
          <t>Антисептик Pinotex Base</t>
        </is>
      </c>
      <c r="C10" s="41" t="inlineStr">
        <is>
          <t>Премиум</t>
        </is>
      </c>
      <c r="D10" s="41" t="inlineStr">
        <is>
          <t>MV-0003</t>
        </is>
      </c>
      <c r="E10" s="59" t="n"/>
      <c r="F10" s="59" t="n">
        <v>1</v>
      </c>
      <c r="G10" s="41" t="inlineStr">
        <is>
          <t>Антисептик Pinotex Base</t>
        </is>
      </c>
      <c r="H10" s="41" t="inlineStr">
        <is>
          <t>Показать строкой</t>
        </is>
      </c>
      <c r="I10" s="41" t="inlineStr">
        <is>
          <t>Премиум</t>
        </is>
      </c>
      <c r="J10" s="41" t="inlineStr">
        <is>
          <t>Автогенерация 1:1; тарифные различия ещё не настроены</t>
        </is>
      </c>
    </row>
    <row r="11">
      <c r="A11" s="42" t="inlineStr">
        <is>
          <t>RMAT-0004</t>
        </is>
      </c>
      <c r="B11" s="42" t="inlineStr">
        <is>
          <t>арматура рифленая, 10мм</t>
        </is>
      </c>
      <c r="C11" s="42" t="inlineStr">
        <is>
          <t>Эконом</t>
        </is>
      </c>
      <c r="D11" s="42" t="inlineStr">
        <is>
          <t>MV-0004</t>
        </is>
      </c>
      <c r="E11" s="60" t="n"/>
      <c r="F11" s="60" t="n">
        <v>1</v>
      </c>
      <c r="G11" s="42" t="inlineStr">
        <is>
          <t>арматура рифленая, 10мм</t>
        </is>
      </c>
      <c r="H11" s="42" t="inlineStr">
        <is>
          <t>Показать строкой</t>
        </is>
      </c>
      <c r="I11" s="42" t="inlineStr">
        <is>
          <t>Эконом</t>
        </is>
      </c>
      <c r="J11" s="42" t="inlineStr">
        <is>
          <t>Автогенерация 1:1; тарифные различия ещё не настроены</t>
        </is>
      </c>
    </row>
    <row r="12">
      <c r="A12" s="41" t="inlineStr">
        <is>
          <t>RMAT-0004</t>
        </is>
      </c>
      <c r="B12" s="41" t="inlineStr">
        <is>
          <t>арматура рифленая, 10мм</t>
        </is>
      </c>
      <c r="C12" s="41" t="inlineStr">
        <is>
          <t>Стандарт</t>
        </is>
      </c>
      <c r="D12" s="41" t="inlineStr">
        <is>
          <t>MV-0004</t>
        </is>
      </c>
      <c r="E12" s="59" t="n"/>
      <c r="F12" s="59" t="n">
        <v>1</v>
      </c>
      <c r="G12" s="41" t="inlineStr">
        <is>
          <t>арматура рифленая, 10мм</t>
        </is>
      </c>
      <c r="H12" s="41" t="inlineStr">
        <is>
          <t>Показать строкой</t>
        </is>
      </c>
      <c r="I12" s="41" t="inlineStr">
        <is>
          <t>Стандарт</t>
        </is>
      </c>
      <c r="J12" s="41" t="inlineStr">
        <is>
          <t>Автогенерация 1:1; тарифные различия ещё не настроены</t>
        </is>
      </c>
    </row>
    <row r="13">
      <c r="A13" s="42" t="inlineStr">
        <is>
          <t>RMAT-0004</t>
        </is>
      </c>
      <c r="B13" s="42" t="inlineStr">
        <is>
          <t>арматура рифленая, 10мм</t>
        </is>
      </c>
      <c r="C13" s="42" t="inlineStr">
        <is>
          <t>Премиум</t>
        </is>
      </c>
      <c r="D13" s="42" t="inlineStr">
        <is>
          <t>MV-0004</t>
        </is>
      </c>
      <c r="E13" s="60" t="n"/>
      <c r="F13" s="60" t="n">
        <v>1</v>
      </c>
      <c r="G13" s="42" t="inlineStr">
        <is>
          <t>арматура рифленая, 10мм</t>
        </is>
      </c>
      <c r="H13" s="42" t="inlineStr">
        <is>
          <t>Показать строкой</t>
        </is>
      </c>
      <c r="I13" s="42" t="inlineStr">
        <is>
          <t>Премиум</t>
        </is>
      </c>
      <c r="J13" s="42" t="inlineStr">
        <is>
          <t>Автогенерация 1:1; тарифные различия ещё не настроены</t>
        </is>
      </c>
    </row>
    <row r="14">
      <c r="A14" s="41" t="inlineStr">
        <is>
          <t>RMAT-0005</t>
        </is>
      </c>
      <c r="B14" s="41" t="inlineStr">
        <is>
          <t>Арматура рифленая, 12мм</t>
        </is>
      </c>
      <c r="C14" s="41" t="inlineStr">
        <is>
          <t>Эконом</t>
        </is>
      </c>
      <c r="D14" s="41" t="inlineStr">
        <is>
          <t>MV-0005</t>
        </is>
      </c>
      <c r="E14" s="59" t="n"/>
      <c r="F14" s="59" t="n">
        <v>1</v>
      </c>
      <c r="G14" s="41" t="inlineStr">
        <is>
          <t>Арматура рифленая, 12мм</t>
        </is>
      </c>
      <c r="H14" s="41" t="inlineStr">
        <is>
          <t>Показать строкой</t>
        </is>
      </c>
      <c r="I14" s="41" t="inlineStr">
        <is>
          <t>Эконом</t>
        </is>
      </c>
      <c r="J14" s="41" t="inlineStr">
        <is>
          <t>Автогенерация 1:1; тарифные различия ещё не настроены</t>
        </is>
      </c>
    </row>
    <row r="15">
      <c r="A15" s="42" t="inlineStr">
        <is>
          <t>RMAT-0005</t>
        </is>
      </c>
      <c r="B15" s="42" t="inlineStr">
        <is>
          <t>Арматура рифленая, 12мм</t>
        </is>
      </c>
      <c r="C15" s="42" t="inlineStr">
        <is>
          <t>Стандарт</t>
        </is>
      </c>
      <c r="D15" s="42" t="inlineStr">
        <is>
          <t>MV-0005</t>
        </is>
      </c>
      <c r="E15" s="60" t="n"/>
      <c r="F15" s="60" t="n">
        <v>1</v>
      </c>
      <c r="G15" s="42" t="inlineStr">
        <is>
          <t>Арматура рифленая, 12мм</t>
        </is>
      </c>
      <c r="H15" s="42" t="inlineStr">
        <is>
          <t>Показать строкой</t>
        </is>
      </c>
      <c r="I15" s="42" t="inlineStr">
        <is>
          <t>Стандарт</t>
        </is>
      </c>
      <c r="J15" s="42" t="inlineStr">
        <is>
          <t>Автогенерация 1:1; тарифные различия ещё не настроены</t>
        </is>
      </c>
    </row>
    <row r="16">
      <c r="A16" s="41" t="inlineStr">
        <is>
          <t>RMAT-0005</t>
        </is>
      </c>
      <c r="B16" s="41" t="inlineStr">
        <is>
          <t>Арматура рифленая, 12мм</t>
        </is>
      </c>
      <c r="C16" s="41" t="inlineStr">
        <is>
          <t>Премиум</t>
        </is>
      </c>
      <c r="D16" s="41" t="inlineStr">
        <is>
          <t>MV-0005</t>
        </is>
      </c>
      <c r="E16" s="59" t="n"/>
      <c r="F16" s="59" t="n">
        <v>1</v>
      </c>
      <c r="G16" s="41" t="inlineStr">
        <is>
          <t>Арматура рифленая, 12мм</t>
        </is>
      </c>
      <c r="H16" s="41" t="inlineStr">
        <is>
          <t>Показать строкой</t>
        </is>
      </c>
      <c r="I16" s="41" t="inlineStr">
        <is>
          <t>Премиум</t>
        </is>
      </c>
      <c r="J16" s="41" t="inlineStr">
        <is>
          <t>Автогенерация 1:1; тарифные различия ещё не настроены</t>
        </is>
      </c>
    </row>
    <row r="17">
      <c r="A17" s="42" t="inlineStr">
        <is>
          <t>RMAT-0006</t>
        </is>
      </c>
      <c r="B17" s="42" t="inlineStr">
        <is>
          <t>Бетон, миксер</t>
        </is>
      </c>
      <c r="C17" s="42" t="inlineStr">
        <is>
          <t>Эконом</t>
        </is>
      </c>
      <c r="D17" s="42" t="inlineStr">
        <is>
          <t>MV-0006</t>
        </is>
      </c>
      <c r="E17" s="60" t="n"/>
      <c r="F17" s="60" t="n">
        <v>1</v>
      </c>
      <c r="G17" s="42" t="inlineStr">
        <is>
          <t>Бетон, миксер</t>
        </is>
      </c>
      <c r="H17" s="42" t="inlineStr">
        <is>
          <t>Показать строкой</t>
        </is>
      </c>
      <c r="I17" s="42" t="inlineStr">
        <is>
          <t>Эконом</t>
        </is>
      </c>
      <c r="J17" s="42" t="inlineStr">
        <is>
          <t>Автогенерация 1:1; тарифные различия ещё не настроены</t>
        </is>
      </c>
    </row>
    <row r="18">
      <c r="A18" s="41" t="inlineStr">
        <is>
          <t>RMAT-0006</t>
        </is>
      </c>
      <c r="B18" s="41" t="inlineStr">
        <is>
          <t>Бетон, миксер</t>
        </is>
      </c>
      <c r="C18" s="41" t="inlineStr">
        <is>
          <t>Стандарт</t>
        </is>
      </c>
      <c r="D18" s="41" t="inlineStr">
        <is>
          <t>MV-0006</t>
        </is>
      </c>
      <c r="E18" s="59" t="n"/>
      <c r="F18" s="59" t="n">
        <v>1</v>
      </c>
      <c r="G18" s="41" t="inlineStr">
        <is>
          <t>Бетон, миксер</t>
        </is>
      </c>
      <c r="H18" s="41" t="inlineStr">
        <is>
          <t>Показать строкой</t>
        </is>
      </c>
      <c r="I18" s="41" t="inlineStr">
        <is>
          <t>Стандарт</t>
        </is>
      </c>
      <c r="J18" s="41" t="inlineStr">
        <is>
          <t>Автогенерация 1:1; тарифные различия ещё не настроены</t>
        </is>
      </c>
    </row>
    <row r="19">
      <c r="A19" s="42" t="inlineStr">
        <is>
          <t>RMAT-0006</t>
        </is>
      </c>
      <c r="B19" s="42" t="inlineStr">
        <is>
          <t>Бетон, миксер</t>
        </is>
      </c>
      <c r="C19" s="42" t="inlineStr">
        <is>
          <t>Премиум</t>
        </is>
      </c>
      <c r="D19" s="42" t="inlineStr">
        <is>
          <t>MV-0006</t>
        </is>
      </c>
      <c r="E19" s="60" t="n"/>
      <c r="F19" s="60" t="n">
        <v>1</v>
      </c>
      <c r="G19" s="42" t="inlineStr">
        <is>
          <t>Бетон, миксер</t>
        </is>
      </c>
      <c r="H19" s="42" t="inlineStr">
        <is>
          <t>Показать строкой</t>
        </is>
      </c>
      <c r="I19" s="42" t="inlineStr">
        <is>
          <t>Премиум</t>
        </is>
      </c>
      <c r="J19" s="42" t="inlineStr">
        <is>
          <t>Автогенерация 1:1; тарифные различия ещё не настроены</t>
        </is>
      </c>
    </row>
    <row r="20">
      <c r="A20" s="41" t="inlineStr">
        <is>
          <t>RMAT-0007</t>
        </is>
      </c>
      <c r="B20" s="41" t="inlineStr">
        <is>
          <t>Блок питания 100Вт</t>
        </is>
      </c>
      <c r="C20" s="41" t="inlineStr">
        <is>
          <t>Эконом</t>
        </is>
      </c>
      <c r="D20" s="41" t="inlineStr">
        <is>
          <t>MV-0007</t>
        </is>
      </c>
      <c r="E20" s="59" t="n"/>
      <c r="F20" s="59" t="n">
        <v>1</v>
      </c>
      <c r="G20" s="41" t="inlineStr">
        <is>
          <t>Блок питания 100Вт</t>
        </is>
      </c>
      <c r="H20" s="41" t="inlineStr">
        <is>
          <t>Показать строкой</t>
        </is>
      </c>
      <c r="I20" s="41" t="inlineStr">
        <is>
          <t>Эконом</t>
        </is>
      </c>
      <c r="J20" s="41" t="inlineStr">
        <is>
          <t>Автогенерация 1:1; тарифные различия ещё не настроены</t>
        </is>
      </c>
    </row>
    <row r="21">
      <c r="A21" s="42" t="inlineStr">
        <is>
          <t>RMAT-0007</t>
        </is>
      </c>
      <c r="B21" s="42" t="inlineStr">
        <is>
          <t>Блок питания 100Вт</t>
        </is>
      </c>
      <c r="C21" s="42" t="inlineStr">
        <is>
          <t>Стандарт</t>
        </is>
      </c>
      <c r="D21" s="42" t="inlineStr">
        <is>
          <t>MV-0007</t>
        </is>
      </c>
      <c r="E21" s="60" t="n"/>
      <c r="F21" s="60" t="n">
        <v>1</v>
      </c>
      <c r="G21" s="42" t="inlineStr">
        <is>
          <t>Блок питания 100Вт</t>
        </is>
      </c>
      <c r="H21" s="42" t="inlineStr">
        <is>
          <t>Показать строкой</t>
        </is>
      </c>
      <c r="I21" s="42" t="inlineStr">
        <is>
          <t>Стандарт</t>
        </is>
      </c>
      <c r="J21" s="42" t="inlineStr">
        <is>
          <t>Автогенерация 1:1; тарифные различия ещё не настроены</t>
        </is>
      </c>
    </row>
    <row r="22">
      <c r="A22" s="41" t="inlineStr">
        <is>
          <t>RMAT-0007</t>
        </is>
      </c>
      <c r="B22" s="41" t="inlineStr">
        <is>
          <t>Блок питания 100Вт</t>
        </is>
      </c>
      <c r="C22" s="41" t="inlineStr">
        <is>
          <t>Премиум</t>
        </is>
      </c>
      <c r="D22" s="41" t="inlineStr">
        <is>
          <t>MV-0007</t>
        </is>
      </c>
      <c r="E22" s="59" t="n"/>
      <c r="F22" s="59" t="n">
        <v>1</v>
      </c>
      <c r="G22" s="41" t="inlineStr">
        <is>
          <t>Блок питания 100Вт</t>
        </is>
      </c>
      <c r="H22" s="41" t="inlineStr">
        <is>
          <t>Показать строкой</t>
        </is>
      </c>
      <c r="I22" s="41" t="inlineStr">
        <is>
          <t>Премиум</t>
        </is>
      </c>
      <c r="J22" s="41" t="inlineStr">
        <is>
          <t>Автогенерация 1:1; тарифные различия ещё не настроены</t>
        </is>
      </c>
    </row>
    <row r="23">
      <c r="A23" s="42" t="inlineStr">
        <is>
          <t>RMAT-0008</t>
        </is>
      </c>
      <c r="B23" s="42" t="inlineStr">
        <is>
          <t>Бордюр металлический</t>
        </is>
      </c>
      <c r="C23" s="42" t="inlineStr">
        <is>
          <t>Эконом</t>
        </is>
      </c>
      <c r="D23" s="42" t="inlineStr">
        <is>
          <t>MV-0008</t>
        </is>
      </c>
      <c r="E23" s="60" t="n"/>
      <c r="F23" s="60" t="n">
        <v>1</v>
      </c>
      <c r="G23" s="42" t="inlineStr">
        <is>
          <t>Бордюр металлический</t>
        </is>
      </c>
      <c r="H23" s="42" t="inlineStr">
        <is>
          <t>Показать строкой</t>
        </is>
      </c>
      <c r="I23" s="42" t="inlineStr">
        <is>
          <t>Эконом</t>
        </is>
      </c>
      <c r="J23" s="42" t="inlineStr">
        <is>
          <t>Автогенерация 1:1; тарифные различия ещё не настроены</t>
        </is>
      </c>
    </row>
    <row r="24">
      <c r="A24" s="41" t="inlineStr">
        <is>
          <t>RMAT-0008</t>
        </is>
      </c>
      <c r="B24" s="41" t="inlineStr">
        <is>
          <t>Бордюр металлический</t>
        </is>
      </c>
      <c r="C24" s="41" t="inlineStr">
        <is>
          <t>Стандарт</t>
        </is>
      </c>
      <c r="D24" s="41" t="inlineStr">
        <is>
          <t>MV-0008</t>
        </is>
      </c>
      <c r="E24" s="59" t="n"/>
      <c r="F24" s="59" t="n">
        <v>1</v>
      </c>
      <c r="G24" s="41" t="inlineStr">
        <is>
          <t>Бордюр металлический</t>
        </is>
      </c>
      <c r="H24" s="41" t="inlineStr">
        <is>
          <t>Показать строкой</t>
        </is>
      </c>
      <c r="I24" s="41" t="inlineStr">
        <is>
          <t>Стандарт</t>
        </is>
      </c>
      <c r="J24" s="41" t="inlineStr">
        <is>
          <t>Автогенерация 1:1; тарифные различия ещё не настроены</t>
        </is>
      </c>
    </row>
    <row r="25">
      <c r="A25" s="42" t="inlineStr">
        <is>
          <t>RMAT-0008</t>
        </is>
      </c>
      <c r="B25" s="42" t="inlineStr">
        <is>
          <t>Бордюр металлический</t>
        </is>
      </c>
      <c r="C25" s="42" t="inlineStr">
        <is>
          <t>Премиум</t>
        </is>
      </c>
      <c r="D25" s="42" t="inlineStr">
        <is>
          <t>MV-0008</t>
        </is>
      </c>
      <c r="E25" s="60" t="n"/>
      <c r="F25" s="60" t="n">
        <v>1</v>
      </c>
      <c r="G25" s="42" t="inlineStr">
        <is>
          <t>Бордюр металлический</t>
        </is>
      </c>
      <c r="H25" s="42" t="inlineStr">
        <is>
          <t>Показать строкой</t>
        </is>
      </c>
      <c r="I25" s="42" t="inlineStr">
        <is>
          <t>Премиум</t>
        </is>
      </c>
      <c r="J25" s="42" t="inlineStr">
        <is>
          <t>Автогенерация 1:1; тарифные различия ещё не настроены</t>
        </is>
      </c>
    </row>
    <row r="26">
      <c r="A26" s="41" t="inlineStr">
        <is>
          <t>RMAT-0009</t>
        </is>
      </c>
      <c r="B26" s="41" t="inlineStr">
        <is>
          <t>Бордюр пластиковый Plastbort с крепежом</t>
        </is>
      </c>
      <c r="C26" s="41" t="inlineStr">
        <is>
          <t>Эконом</t>
        </is>
      </c>
      <c r="D26" s="41" t="inlineStr">
        <is>
          <t>MV-0009</t>
        </is>
      </c>
      <c r="E26" s="59" t="n"/>
      <c r="F26" s="59" t="n">
        <v>1</v>
      </c>
      <c r="G26" s="41" t="inlineStr">
        <is>
          <t>Бордюр пластиковый Plastbort с крепежом</t>
        </is>
      </c>
      <c r="H26" s="41" t="inlineStr">
        <is>
          <t>Показать строкой</t>
        </is>
      </c>
      <c r="I26" s="41" t="inlineStr">
        <is>
          <t>Эконом</t>
        </is>
      </c>
      <c r="J26" s="41" t="inlineStr">
        <is>
          <t>Автогенерация 1:1; тарифные различия ещё не настроены</t>
        </is>
      </c>
    </row>
    <row r="27">
      <c r="A27" s="42" t="inlineStr">
        <is>
          <t>RMAT-0009</t>
        </is>
      </c>
      <c r="B27" s="42" t="inlineStr">
        <is>
          <t>Бордюр пластиковый Plastbort с крепежом</t>
        </is>
      </c>
      <c r="C27" s="42" t="inlineStr">
        <is>
          <t>Стандарт</t>
        </is>
      </c>
      <c r="D27" s="42" t="inlineStr">
        <is>
          <t>MV-0009</t>
        </is>
      </c>
      <c r="E27" s="60" t="n"/>
      <c r="F27" s="60" t="n">
        <v>1</v>
      </c>
      <c r="G27" s="42" t="inlineStr">
        <is>
          <t>Бордюр пластиковый Plastbort с крепежом</t>
        </is>
      </c>
      <c r="H27" s="42" t="inlineStr">
        <is>
          <t>Показать строкой</t>
        </is>
      </c>
      <c r="I27" s="42" t="inlineStr">
        <is>
          <t>Стандарт</t>
        </is>
      </c>
      <c r="J27" s="42" t="inlineStr">
        <is>
          <t>Автогенерация 1:1; тарифные различия ещё не настроены</t>
        </is>
      </c>
    </row>
    <row r="28">
      <c r="A28" s="41" t="inlineStr">
        <is>
          <t>RMAT-0009</t>
        </is>
      </c>
      <c r="B28" s="41" t="inlineStr">
        <is>
          <t>Бордюр пластиковый Plastbort с крепежом</t>
        </is>
      </c>
      <c r="C28" s="41" t="inlineStr">
        <is>
          <t>Премиум</t>
        </is>
      </c>
      <c r="D28" s="41" t="inlineStr">
        <is>
          <t>MV-0009</t>
        </is>
      </c>
      <c r="E28" s="59" t="n"/>
      <c r="F28" s="59" t="n">
        <v>1</v>
      </c>
      <c r="G28" s="41" t="inlineStr">
        <is>
          <t>Бордюр пластиковый Plastbort с крепежом</t>
        </is>
      </c>
      <c r="H28" s="41" t="inlineStr">
        <is>
          <t>Показать строкой</t>
        </is>
      </c>
      <c r="I28" s="41" t="inlineStr">
        <is>
          <t>Премиум</t>
        </is>
      </c>
      <c r="J28" s="41" t="inlineStr">
        <is>
          <t>Автогенерация 1:1; тарифные различия ещё не настроены</t>
        </is>
      </c>
    </row>
    <row r="29">
      <c r="A29" s="42" t="inlineStr">
        <is>
          <t>RMAT-0010</t>
        </is>
      </c>
      <c r="B29" s="42" t="inlineStr">
        <is>
          <t>Бордюр пластиковый, 100х8х4.5см</t>
        </is>
      </c>
      <c r="C29" s="42" t="inlineStr">
        <is>
          <t>Эконом</t>
        </is>
      </c>
      <c r="D29" s="42" t="inlineStr">
        <is>
          <t>MV-0010</t>
        </is>
      </c>
      <c r="E29" s="60" t="n"/>
      <c r="F29" s="60" t="n">
        <v>1</v>
      </c>
      <c r="G29" s="42" t="inlineStr">
        <is>
          <t>Бордюр пластиковый, 100х8х4.5см</t>
        </is>
      </c>
      <c r="H29" s="42" t="inlineStr">
        <is>
          <t>Показать строкой</t>
        </is>
      </c>
      <c r="I29" s="42" t="inlineStr">
        <is>
          <t>Эконом</t>
        </is>
      </c>
      <c r="J29" s="42" t="inlineStr">
        <is>
          <t>Автогенерация 1:1; тарифные различия ещё не настроены</t>
        </is>
      </c>
    </row>
    <row r="30">
      <c r="A30" s="41" t="inlineStr">
        <is>
          <t>RMAT-0010</t>
        </is>
      </c>
      <c r="B30" s="41" t="inlineStr">
        <is>
          <t>Бордюр пластиковый, 100х8х4.5см</t>
        </is>
      </c>
      <c r="C30" s="41" t="inlineStr">
        <is>
          <t>Стандарт</t>
        </is>
      </c>
      <c r="D30" s="41" t="inlineStr">
        <is>
          <t>MV-0010</t>
        </is>
      </c>
      <c r="E30" s="59" t="n"/>
      <c r="F30" s="59" t="n">
        <v>1</v>
      </c>
      <c r="G30" s="41" t="inlineStr">
        <is>
          <t>Бордюр пластиковый, 100х8х4.5см</t>
        </is>
      </c>
      <c r="H30" s="41" t="inlineStr">
        <is>
          <t>Показать строкой</t>
        </is>
      </c>
      <c r="I30" s="41" t="inlineStr">
        <is>
          <t>Стандарт</t>
        </is>
      </c>
      <c r="J30" s="41" t="inlineStr">
        <is>
          <t>Автогенерация 1:1; тарифные различия ещё не настроены</t>
        </is>
      </c>
    </row>
    <row r="31">
      <c r="A31" s="42" t="inlineStr">
        <is>
          <t>RMAT-0010</t>
        </is>
      </c>
      <c r="B31" s="42" t="inlineStr">
        <is>
          <t>Бордюр пластиковый, 100х8х4.5см</t>
        </is>
      </c>
      <c r="C31" s="42" t="inlineStr">
        <is>
          <t>Премиум</t>
        </is>
      </c>
      <c r="D31" s="42" t="inlineStr">
        <is>
          <t>MV-0010</t>
        </is>
      </c>
      <c r="E31" s="60" t="n"/>
      <c r="F31" s="60" t="n">
        <v>1</v>
      </c>
      <c r="G31" s="42" t="inlineStr">
        <is>
          <t>Бордюр пластиковый, 100х8х4.5см</t>
        </is>
      </c>
      <c r="H31" s="42" t="inlineStr">
        <is>
          <t>Показать строкой</t>
        </is>
      </c>
      <c r="I31" s="42" t="inlineStr">
        <is>
          <t>Премиум</t>
        </is>
      </c>
      <c r="J31" s="42" t="inlineStr">
        <is>
          <t>Автогенерация 1:1; тарифные различия ещё не настроены</t>
        </is>
      </c>
    </row>
    <row r="32">
      <c r="A32" s="41" t="inlineStr">
        <is>
          <t>RMAT-0011</t>
        </is>
      </c>
      <c r="B32" s="41" t="inlineStr">
        <is>
          <t>Брус 50х50х3000мм</t>
        </is>
      </c>
      <c r="C32" s="41" t="inlineStr">
        <is>
          <t>Эконом</t>
        </is>
      </c>
      <c r="D32" s="41" t="inlineStr">
        <is>
          <t>MV-0011</t>
        </is>
      </c>
      <c r="E32" s="59" t="n"/>
      <c r="F32" s="59" t="n">
        <v>1</v>
      </c>
      <c r="G32" s="41" t="inlineStr">
        <is>
          <t>Брус 50х50х3000мм</t>
        </is>
      </c>
      <c r="H32" s="41" t="inlineStr">
        <is>
          <t>Показать строкой</t>
        </is>
      </c>
      <c r="I32" s="41" t="inlineStr">
        <is>
          <t>Эконом</t>
        </is>
      </c>
      <c r="J32" s="41" t="inlineStr">
        <is>
          <t>Автогенерация 1:1; тарифные различия ещё не настроены</t>
        </is>
      </c>
    </row>
    <row r="33">
      <c r="A33" s="42" t="inlineStr">
        <is>
          <t>RMAT-0011</t>
        </is>
      </c>
      <c r="B33" s="42" t="inlineStr">
        <is>
          <t>Брус 50х50х3000мм</t>
        </is>
      </c>
      <c r="C33" s="42" t="inlineStr">
        <is>
          <t>Стандарт</t>
        </is>
      </c>
      <c r="D33" s="42" t="inlineStr">
        <is>
          <t>MV-0011</t>
        </is>
      </c>
      <c r="E33" s="60" t="n"/>
      <c r="F33" s="60" t="n">
        <v>1</v>
      </c>
      <c r="G33" s="42" t="inlineStr">
        <is>
          <t>Брус 50х50х3000мм</t>
        </is>
      </c>
      <c r="H33" s="42" t="inlineStr">
        <is>
          <t>Показать строкой</t>
        </is>
      </c>
      <c r="I33" s="42" t="inlineStr">
        <is>
          <t>Стандарт</t>
        </is>
      </c>
      <c r="J33" s="42" t="inlineStr">
        <is>
          <t>Автогенерация 1:1; тарифные различия ещё не настроены</t>
        </is>
      </c>
    </row>
    <row r="34">
      <c r="A34" s="41" t="inlineStr">
        <is>
          <t>RMAT-0011</t>
        </is>
      </c>
      <c r="B34" s="41" t="inlineStr">
        <is>
          <t>Брус 50х50х3000мм</t>
        </is>
      </c>
      <c r="C34" s="41" t="inlineStr">
        <is>
          <t>Премиум</t>
        </is>
      </c>
      <c r="D34" s="41" t="inlineStr">
        <is>
          <t>MV-0011</t>
        </is>
      </c>
      <c r="E34" s="59" t="n"/>
      <c r="F34" s="59" t="n">
        <v>1</v>
      </c>
      <c r="G34" s="41" t="inlineStr">
        <is>
          <t>Брус 50х50х3000мм</t>
        </is>
      </c>
      <c r="H34" s="41" t="inlineStr">
        <is>
          <t>Показать строкой</t>
        </is>
      </c>
      <c r="I34" s="41" t="inlineStr">
        <is>
          <t>Премиум</t>
        </is>
      </c>
      <c r="J34" s="41" t="inlineStr">
        <is>
          <t>Автогенерация 1:1; тарифные различия ещё не настроены</t>
        </is>
      </c>
    </row>
    <row r="35">
      <c r="A35" s="42" t="inlineStr">
        <is>
          <t>RMAT-0012</t>
        </is>
      </c>
      <c r="B35" s="42" t="inlineStr">
        <is>
          <t>Брусок сухой сосна 30х45х3000 мм сорт АВ</t>
        </is>
      </c>
      <c r="C35" s="42" t="inlineStr">
        <is>
          <t>Эконом</t>
        </is>
      </c>
      <c r="D35" s="42" t="inlineStr">
        <is>
          <t>MV-0012</t>
        </is>
      </c>
      <c r="E35" s="60" t="n"/>
      <c r="F35" s="60" t="n">
        <v>1</v>
      </c>
      <c r="G35" s="42" t="inlineStr">
        <is>
          <t>Брусок сухой сосна 30х45х3000 мм сорт АВ</t>
        </is>
      </c>
      <c r="H35" s="42" t="inlineStr">
        <is>
          <t>Показать строкой</t>
        </is>
      </c>
      <c r="I35" s="42" t="inlineStr">
        <is>
          <t>Эконом</t>
        </is>
      </c>
      <c r="J35" s="42" t="inlineStr">
        <is>
          <t>Автогенерация 1:1; тарифные различия ещё не настроены</t>
        </is>
      </c>
    </row>
    <row r="36">
      <c r="A36" s="41" t="inlineStr">
        <is>
          <t>RMAT-0012</t>
        </is>
      </c>
      <c r="B36" s="41" t="inlineStr">
        <is>
          <t>Брусок сухой сосна 30х45х3000 мм сорт АВ</t>
        </is>
      </c>
      <c r="C36" s="41" t="inlineStr">
        <is>
          <t>Стандарт</t>
        </is>
      </c>
      <c r="D36" s="41" t="inlineStr">
        <is>
          <t>MV-0012</t>
        </is>
      </c>
      <c r="E36" s="59" t="n"/>
      <c r="F36" s="59" t="n">
        <v>1</v>
      </c>
      <c r="G36" s="41" t="inlineStr">
        <is>
          <t>Брусок сухой сосна 30х45х3000 мм сорт АВ</t>
        </is>
      </c>
      <c r="H36" s="41" t="inlineStr">
        <is>
          <t>Показать строкой</t>
        </is>
      </c>
      <c r="I36" s="41" t="inlineStr">
        <is>
          <t>Стандарт</t>
        </is>
      </c>
      <c r="J36" s="41" t="inlineStr">
        <is>
          <t>Автогенерация 1:1; тарифные различия ещё не настроены</t>
        </is>
      </c>
    </row>
    <row r="37">
      <c r="A37" s="42" t="inlineStr">
        <is>
          <t>RMAT-0012</t>
        </is>
      </c>
      <c r="B37" s="42" t="inlineStr">
        <is>
          <t>Брусок сухой сосна 30х45х3000 мм сорт АВ</t>
        </is>
      </c>
      <c r="C37" s="42" t="inlineStr">
        <is>
          <t>Премиум</t>
        </is>
      </c>
      <c r="D37" s="42" t="inlineStr">
        <is>
          <t>MV-0012</t>
        </is>
      </c>
      <c r="E37" s="60" t="n"/>
      <c r="F37" s="60" t="n">
        <v>1</v>
      </c>
      <c r="G37" s="42" t="inlineStr">
        <is>
          <t>Брусок сухой сосна 30х45х3000 мм сорт АВ</t>
        </is>
      </c>
      <c r="H37" s="42" t="inlineStr">
        <is>
          <t>Показать строкой</t>
        </is>
      </c>
      <c r="I37" s="42" t="inlineStr">
        <is>
          <t>Премиум</t>
        </is>
      </c>
      <c r="J37" s="42" t="inlineStr">
        <is>
          <t>Автогенерация 1:1; тарифные различия ещё не настроены</t>
        </is>
      </c>
    </row>
    <row r="38">
      <c r="A38" s="41" t="inlineStr">
        <is>
          <t>RMAT-0013</t>
        </is>
      </c>
      <c r="B38" s="41" t="inlineStr">
        <is>
          <t>Брусчатка гранитная, 100х100х100мм</t>
        </is>
      </c>
      <c r="C38" s="41" t="inlineStr">
        <is>
          <t>Эконом</t>
        </is>
      </c>
      <c r="D38" s="41" t="inlineStr">
        <is>
          <t>MV-0013</t>
        </is>
      </c>
      <c r="E38" s="59" t="n"/>
      <c r="F38" s="59" t="n">
        <v>1</v>
      </c>
      <c r="G38" s="41" t="inlineStr">
        <is>
          <t>Брусчатка гранитная, 100х100х100мм</t>
        </is>
      </c>
      <c r="H38" s="41" t="inlineStr">
        <is>
          <t>Показать строкой</t>
        </is>
      </c>
      <c r="I38" s="41" t="inlineStr">
        <is>
          <t>Эконом</t>
        </is>
      </c>
      <c r="J38" s="41" t="inlineStr">
        <is>
          <t>Автогенерация 1:1; тарифные различия ещё не настроены</t>
        </is>
      </c>
    </row>
    <row r="39">
      <c r="A39" s="42" t="inlineStr">
        <is>
          <t>RMAT-0013</t>
        </is>
      </c>
      <c r="B39" s="42" t="inlineStr">
        <is>
          <t>Брусчатка гранитная, 100х100х100мм</t>
        </is>
      </c>
      <c r="C39" s="42" t="inlineStr">
        <is>
          <t>Стандарт</t>
        </is>
      </c>
      <c r="D39" s="42" t="inlineStr">
        <is>
          <t>MV-0013</t>
        </is>
      </c>
      <c r="E39" s="60" t="n"/>
      <c r="F39" s="60" t="n">
        <v>1</v>
      </c>
      <c r="G39" s="42" t="inlineStr">
        <is>
          <t>Брусчатка гранитная, 100х100х100мм</t>
        </is>
      </c>
      <c r="H39" s="42" t="inlineStr">
        <is>
          <t>Показать строкой</t>
        </is>
      </c>
      <c r="I39" s="42" t="inlineStr">
        <is>
          <t>Стандарт</t>
        </is>
      </c>
      <c r="J39" s="42" t="inlineStr">
        <is>
          <t>Автогенерация 1:1; тарифные различия ещё не настроены</t>
        </is>
      </c>
    </row>
    <row r="40">
      <c r="A40" s="41" t="inlineStr">
        <is>
          <t>RMAT-0013</t>
        </is>
      </c>
      <c r="B40" s="41" t="inlineStr">
        <is>
          <t>Брусчатка гранитная, 100х100х100мм</t>
        </is>
      </c>
      <c r="C40" s="41" t="inlineStr">
        <is>
          <t>Премиум</t>
        </is>
      </c>
      <c r="D40" s="41" t="inlineStr">
        <is>
          <t>MV-0013</t>
        </is>
      </c>
      <c r="E40" s="59" t="n"/>
      <c r="F40" s="59" t="n">
        <v>1</v>
      </c>
      <c r="G40" s="41" t="inlineStr">
        <is>
          <t>Брусчатка гранитная, 100х100х100мм</t>
        </is>
      </c>
      <c r="H40" s="41" t="inlineStr">
        <is>
          <t>Показать строкой</t>
        </is>
      </c>
      <c r="I40" s="41" t="inlineStr">
        <is>
          <t>Премиум</t>
        </is>
      </c>
      <c r="J40" s="41" t="inlineStr">
        <is>
          <t>Автогенерация 1:1; тарифные различия ещё не настроены</t>
        </is>
      </c>
    </row>
    <row r="41">
      <c r="A41" s="42" t="inlineStr">
        <is>
          <t>RMAT-0014</t>
        </is>
      </c>
      <c r="B41" s="42" t="inlineStr">
        <is>
          <t>Брусчатка гранитная, 100х100х50мм</t>
        </is>
      </c>
      <c r="C41" s="42" t="inlineStr">
        <is>
          <t>Эконом</t>
        </is>
      </c>
      <c r="D41" s="42" t="inlineStr">
        <is>
          <t>MV-0014</t>
        </is>
      </c>
      <c r="E41" s="60" t="n"/>
      <c r="F41" s="60" t="n">
        <v>1</v>
      </c>
      <c r="G41" s="42" t="inlineStr">
        <is>
          <t>Брусчатка гранитная, 100х100х50мм</t>
        </is>
      </c>
      <c r="H41" s="42" t="inlineStr">
        <is>
          <t>Показать строкой</t>
        </is>
      </c>
      <c r="I41" s="42" t="inlineStr">
        <is>
          <t>Эконом</t>
        </is>
      </c>
      <c r="J41" s="42" t="inlineStr">
        <is>
          <t>Автогенерация 1:1; тарифные различия ещё не настроены</t>
        </is>
      </c>
    </row>
    <row r="42">
      <c r="A42" s="41" t="inlineStr">
        <is>
          <t>RMAT-0014</t>
        </is>
      </c>
      <c r="B42" s="41" t="inlineStr">
        <is>
          <t>Брусчатка гранитная, 100х100х50мм</t>
        </is>
      </c>
      <c r="C42" s="41" t="inlineStr">
        <is>
          <t>Стандарт</t>
        </is>
      </c>
      <c r="D42" s="41" t="inlineStr">
        <is>
          <t>MV-0014</t>
        </is>
      </c>
      <c r="E42" s="59" t="n"/>
      <c r="F42" s="59" t="n">
        <v>1</v>
      </c>
      <c r="G42" s="41" t="inlineStr">
        <is>
          <t>Брусчатка гранитная, 100х100х50мм</t>
        </is>
      </c>
      <c r="H42" s="41" t="inlineStr">
        <is>
          <t>Показать строкой</t>
        </is>
      </c>
      <c r="I42" s="41" t="inlineStr">
        <is>
          <t>Стандарт</t>
        </is>
      </c>
      <c r="J42" s="41" t="inlineStr">
        <is>
          <t>Автогенерация 1:1; тарифные различия ещё не настроены</t>
        </is>
      </c>
    </row>
    <row r="43">
      <c r="A43" s="42" t="inlineStr">
        <is>
          <t>RMAT-0014</t>
        </is>
      </c>
      <c r="B43" s="42" t="inlineStr">
        <is>
          <t>Брусчатка гранитная, 100х100х50мм</t>
        </is>
      </c>
      <c r="C43" s="42" t="inlineStr">
        <is>
          <t>Премиум</t>
        </is>
      </c>
      <c r="D43" s="42" t="inlineStr">
        <is>
          <t>MV-0014</t>
        </is>
      </c>
      <c r="E43" s="60" t="n"/>
      <c r="F43" s="60" t="n">
        <v>1</v>
      </c>
      <c r="G43" s="42" t="inlineStr">
        <is>
          <t>Брусчатка гранитная, 100х100х50мм</t>
        </is>
      </c>
      <c r="H43" s="42" t="inlineStr">
        <is>
          <t>Показать строкой</t>
        </is>
      </c>
      <c r="I43" s="42" t="inlineStr">
        <is>
          <t>Премиум</t>
        </is>
      </c>
      <c r="J43" s="42" t="inlineStr">
        <is>
          <t>Автогенерация 1:1; тарифные различия ещё не настроены</t>
        </is>
      </c>
    </row>
    <row r="44">
      <c r="A44" s="41" t="inlineStr">
        <is>
          <t>RMAT-0015</t>
        </is>
      </c>
      <c r="B44" s="41" t="inlineStr">
        <is>
          <t>Брусчатка пиленная, шунгитный сланец</t>
        </is>
      </c>
      <c r="C44" s="41" t="inlineStr">
        <is>
          <t>Эконом</t>
        </is>
      </c>
      <c r="D44" s="41" t="inlineStr">
        <is>
          <t>MV-0015</t>
        </is>
      </c>
      <c r="E44" s="59" t="n"/>
      <c r="F44" s="59" t="n">
        <v>1</v>
      </c>
      <c r="G44" s="41" t="inlineStr">
        <is>
          <t>Брусчатка пиленная, шунгитный сланец</t>
        </is>
      </c>
      <c r="H44" s="41" t="inlineStr">
        <is>
          <t>Показать строкой</t>
        </is>
      </c>
      <c r="I44" s="41" t="inlineStr">
        <is>
          <t>Эконом</t>
        </is>
      </c>
      <c r="J44" s="41" t="inlineStr">
        <is>
          <t>Автогенерация 1:1; тарифные различия ещё не настроены</t>
        </is>
      </c>
    </row>
    <row r="45">
      <c r="A45" s="42" t="inlineStr">
        <is>
          <t>RMAT-0015</t>
        </is>
      </c>
      <c r="B45" s="42" t="inlineStr">
        <is>
          <t>Брусчатка пиленная, шунгитный сланец</t>
        </is>
      </c>
      <c r="C45" s="42" t="inlineStr">
        <is>
          <t>Стандарт</t>
        </is>
      </c>
      <c r="D45" s="42" t="inlineStr">
        <is>
          <t>MV-0015</t>
        </is>
      </c>
      <c r="E45" s="60" t="n"/>
      <c r="F45" s="60" t="n">
        <v>1</v>
      </c>
      <c r="G45" s="42" t="inlineStr">
        <is>
          <t>Брусчатка пиленная, шунгитный сланец</t>
        </is>
      </c>
      <c r="H45" s="42" t="inlineStr">
        <is>
          <t>Показать строкой</t>
        </is>
      </c>
      <c r="I45" s="42" t="inlineStr">
        <is>
          <t>Стандарт</t>
        </is>
      </c>
      <c r="J45" s="42" t="inlineStr">
        <is>
          <t>Автогенерация 1:1; тарифные различия ещё не настроены</t>
        </is>
      </c>
    </row>
    <row r="46">
      <c r="A46" s="41" t="inlineStr">
        <is>
          <t>RMAT-0015</t>
        </is>
      </c>
      <c r="B46" s="41" t="inlineStr">
        <is>
          <t>Брусчатка пиленная, шунгитный сланец</t>
        </is>
      </c>
      <c r="C46" s="41" t="inlineStr">
        <is>
          <t>Премиум</t>
        </is>
      </c>
      <c r="D46" s="41" t="inlineStr">
        <is>
          <t>MV-0015</t>
        </is>
      </c>
      <c r="E46" s="59" t="n"/>
      <c r="F46" s="59" t="n">
        <v>1</v>
      </c>
      <c r="G46" s="41" t="inlineStr">
        <is>
          <t>Брусчатка пиленная, шунгитный сланец</t>
        </is>
      </c>
      <c r="H46" s="41" t="inlineStr">
        <is>
          <t>Показать строкой</t>
        </is>
      </c>
      <c r="I46" s="41" t="inlineStr">
        <is>
          <t>Премиум</t>
        </is>
      </c>
      <c r="J46" s="41" t="inlineStr">
        <is>
          <t>Автогенерация 1:1; тарифные различия ещё не настроены</t>
        </is>
      </c>
    </row>
    <row r="47">
      <c r="A47" s="42" t="inlineStr">
        <is>
          <t>RMAT-0016</t>
        </is>
      </c>
      <c r="B47" s="42" t="inlineStr">
        <is>
          <t>Брусчатка пилено-колотая, гранит 100х100х50мм</t>
        </is>
      </c>
      <c r="C47" s="42" t="inlineStr">
        <is>
          <t>Эконом</t>
        </is>
      </c>
      <c r="D47" s="42" t="inlineStr">
        <is>
          <t>MV-0016</t>
        </is>
      </c>
      <c r="E47" s="60" t="n"/>
      <c r="F47" s="60" t="n">
        <v>1</v>
      </c>
      <c r="G47" s="42" t="inlineStr">
        <is>
          <t>Брусчатка пилено-колотая, гранит 100х100х50мм</t>
        </is>
      </c>
      <c r="H47" s="42" t="inlineStr">
        <is>
          <t>Показать строкой</t>
        </is>
      </c>
      <c r="I47" s="42" t="inlineStr">
        <is>
          <t>Эконом</t>
        </is>
      </c>
      <c r="J47" s="42" t="inlineStr">
        <is>
          <t>Автогенерация 1:1; тарифные различия ещё не настроены</t>
        </is>
      </c>
    </row>
    <row r="48">
      <c r="A48" s="41" t="inlineStr">
        <is>
          <t>RMAT-0016</t>
        </is>
      </c>
      <c r="B48" s="41" t="inlineStr">
        <is>
          <t>Брусчатка пилено-колотая, гранит 100х100х50мм</t>
        </is>
      </c>
      <c r="C48" s="41" t="inlineStr">
        <is>
          <t>Стандарт</t>
        </is>
      </c>
      <c r="D48" s="41" t="inlineStr">
        <is>
          <t>MV-0016</t>
        </is>
      </c>
      <c r="E48" s="59" t="n"/>
      <c r="F48" s="59" t="n">
        <v>1</v>
      </c>
      <c r="G48" s="41" t="inlineStr">
        <is>
          <t>Брусчатка пилено-колотая, гранит 100х100х50мм</t>
        </is>
      </c>
      <c r="H48" s="41" t="inlineStr">
        <is>
          <t>Показать строкой</t>
        </is>
      </c>
      <c r="I48" s="41" t="inlineStr">
        <is>
          <t>Стандарт</t>
        </is>
      </c>
      <c r="J48" s="41" t="inlineStr">
        <is>
          <t>Автогенерация 1:1; тарифные различия ещё не настроены</t>
        </is>
      </c>
    </row>
    <row r="49">
      <c r="A49" s="42" t="inlineStr">
        <is>
          <t>RMAT-0016</t>
        </is>
      </c>
      <c r="B49" s="42" t="inlineStr">
        <is>
          <t>Брусчатка пилено-колотая, гранит 100х100х50мм</t>
        </is>
      </c>
      <c r="C49" s="42" t="inlineStr">
        <is>
          <t>Премиум</t>
        </is>
      </c>
      <c r="D49" s="42" t="inlineStr">
        <is>
          <t>MV-0016</t>
        </is>
      </c>
      <c r="E49" s="60" t="n"/>
      <c r="F49" s="60" t="n">
        <v>1</v>
      </c>
      <c r="G49" s="42" t="inlineStr">
        <is>
          <t>Брусчатка пилено-колотая, гранит 100х100х50мм</t>
        </is>
      </c>
      <c r="H49" s="42" t="inlineStr">
        <is>
          <t>Показать строкой</t>
        </is>
      </c>
      <c r="I49" s="42" t="inlineStr">
        <is>
          <t>Премиум</t>
        </is>
      </c>
      <c r="J49" s="42" t="inlineStr">
        <is>
          <t>Автогенерация 1:1; тарифные различия ещё не настроены</t>
        </is>
      </c>
    </row>
    <row r="50">
      <c r="A50" s="41" t="inlineStr">
        <is>
          <t>RMAT-0017</t>
        </is>
      </c>
      <c r="B50" s="41" t="inlineStr">
        <is>
          <t>Брусчатка ТБП (простая), 60мм</t>
        </is>
      </c>
      <c r="C50" s="41" t="inlineStr">
        <is>
          <t>Эконом</t>
        </is>
      </c>
      <c r="D50" s="41" t="inlineStr">
        <is>
          <t>MV-0017</t>
        </is>
      </c>
      <c r="E50" s="59" t="n"/>
      <c r="F50" s="59" t="n">
        <v>1</v>
      </c>
      <c r="G50" s="41" t="inlineStr">
        <is>
          <t>Брусчатка ТБП (простая), 60мм</t>
        </is>
      </c>
      <c r="H50" s="41" t="inlineStr">
        <is>
          <t>Показать строкой</t>
        </is>
      </c>
      <c r="I50" s="41" t="inlineStr">
        <is>
          <t>Эконом</t>
        </is>
      </c>
      <c r="J50" s="41" t="inlineStr">
        <is>
          <t>Автогенерация 1:1; тарифные различия ещё не настроены</t>
        </is>
      </c>
    </row>
    <row r="51">
      <c r="A51" s="42" t="inlineStr">
        <is>
          <t>RMAT-0017</t>
        </is>
      </c>
      <c r="B51" s="42" t="inlineStr">
        <is>
          <t>Брусчатка ТБП (простая), 60мм</t>
        </is>
      </c>
      <c r="C51" s="42" t="inlineStr">
        <is>
          <t>Стандарт</t>
        </is>
      </c>
      <c r="D51" s="42" t="inlineStr">
        <is>
          <t>MV-0017</t>
        </is>
      </c>
      <c r="E51" s="60" t="n"/>
      <c r="F51" s="60" t="n">
        <v>1</v>
      </c>
      <c r="G51" s="42" t="inlineStr">
        <is>
          <t>Брусчатка ТБП (простая), 60мм</t>
        </is>
      </c>
      <c r="H51" s="42" t="inlineStr">
        <is>
          <t>Показать строкой</t>
        </is>
      </c>
      <c r="I51" s="42" t="inlineStr">
        <is>
          <t>Стандарт</t>
        </is>
      </c>
      <c r="J51" s="42" t="inlineStr">
        <is>
          <t>Автогенерация 1:1; тарифные различия ещё не настроены</t>
        </is>
      </c>
    </row>
    <row r="52">
      <c r="A52" s="41" t="inlineStr">
        <is>
          <t>RMAT-0017</t>
        </is>
      </c>
      <c r="B52" s="41" t="inlineStr">
        <is>
          <t>Брусчатка ТБП (простая), 60мм</t>
        </is>
      </c>
      <c r="C52" s="41" t="inlineStr">
        <is>
          <t>Премиум</t>
        </is>
      </c>
      <c r="D52" s="41" t="inlineStr">
        <is>
          <t>MV-0017</t>
        </is>
      </c>
      <c r="E52" s="59" t="n"/>
      <c r="F52" s="59" t="n">
        <v>1</v>
      </c>
      <c r="G52" s="41" t="inlineStr">
        <is>
          <t>Брусчатка ТБП (простая), 60мм</t>
        </is>
      </c>
      <c r="H52" s="41" t="inlineStr">
        <is>
          <t>Показать строкой</t>
        </is>
      </c>
      <c r="I52" s="41" t="inlineStr">
        <is>
          <t>Премиум</t>
        </is>
      </c>
      <c r="J52" s="41" t="inlineStr">
        <is>
          <t>Автогенерация 1:1; тарифные различия ещё не настроены</t>
        </is>
      </c>
    </row>
    <row r="53">
      <c r="A53" s="42" t="inlineStr">
        <is>
          <t>RMAT-0018</t>
        </is>
      </c>
      <c r="B53" s="42" t="inlineStr">
        <is>
          <t>Брусчатка ТБП Антик, 197x97x60мм</t>
        </is>
      </c>
      <c r="C53" s="42" t="inlineStr">
        <is>
          <t>Эконом</t>
        </is>
      </c>
      <c r="D53" s="42" t="inlineStr">
        <is>
          <t>MV-0018</t>
        </is>
      </c>
      <c r="E53" s="60" t="n"/>
      <c r="F53" s="60" t="n">
        <v>1</v>
      </c>
      <c r="G53" s="42" t="inlineStr">
        <is>
          <t>Брусчатка ТБП Антик, 197x97x60мм</t>
        </is>
      </c>
      <c r="H53" s="42" t="inlineStr">
        <is>
          <t>Показать строкой</t>
        </is>
      </c>
      <c r="I53" s="42" t="inlineStr">
        <is>
          <t>Эконом</t>
        </is>
      </c>
      <c r="J53" s="42" t="inlineStr">
        <is>
          <t>Автогенерация 1:1; тарифные различия ещё не настроены</t>
        </is>
      </c>
    </row>
    <row r="54">
      <c r="A54" s="41" t="inlineStr">
        <is>
          <t>RMAT-0018</t>
        </is>
      </c>
      <c r="B54" s="41" t="inlineStr">
        <is>
          <t>Брусчатка ТБП Антик, 197x97x60мм</t>
        </is>
      </c>
      <c r="C54" s="41" t="inlineStr">
        <is>
          <t>Стандарт</t>
        </is>
      </c>
      <c r="D54" s="41" t="inlineStr">
        <is>
          <t>MV-0018</t>
        </is>
      </c>
      <c r="E54" s="59" t="n"/>
      <c r="F54" s="59" t="n">
        <v>1</v>
      </c>
      <c r="G54" s="41" t="inlineStr">
        <is>
          <t>Брусчатка ТБП Антик, 197x97x60мм</t>
        </is>
      </c>
      <c r="H54" s="41" t="inlineStr">
        <is>
          <t>Показать строкой</t>
        </is>
      </c>
      <c r="I54" s="41" t="inlineStr">
        <is>
          <t>Стандарт</t>
        </is>
      </c>
      <c r="J54" s="41" t="inlineStr">
        <is>
          <t>Автогенерация 1:1; тарифные различия ещё не настроены</t>
        </is>
      </c>
    </row>
    <row r="55">
      <c r="A55" s="42" t="inlineStr">
        <is>
          <t>RMAT-0018</t>
        </is>
      </c>
      <c r="B55" s="42" t="inlineStr">
        <is>
          <t>Брусчатка ТБП Антик, 197x97x60мм</t>
        </is>
      </c>
      <c r="C55" s="42" t="inlineStr">
        <is>
          <t>Премиум</t>
        </is>
      </c>
      <c r="D55" s="42" t="inlineStr">
        <is>
          <t>MV-0018</t>
        </is>
      </c>
      <c r="E55" s="60" t="n"/>
      <c r="F55" s="60" t="n">
        <v>1</v>
      </c>
      <c r="G55" s="42" t="inlineStr">
        <is>
          <t>Брусчатка ТБП Антик, 197x97x60мм</t>
        </is>
      </c>
      <c r="H55" s="42" t="inlineStr">
        <is>
          <t>Показать строкой</t>
        </is>
      </c>
      <c r="I55" s="42" t="inlineStr">
        <is>
          <t>Премиум</t>
        </is>
      </c>
      <c r="J55" s="42" t="inlineStr">
        <is>
          <t>Автогенерация 1:1; тарифные различия ещё не настроены</t>
        </is>
      </c>
    </row>
    <row r="56">
      <c r="A56" s="41" t="inlineStr">
        <is>
          <t>RMAT-0019</t>
        </is>
      </c>
      <c r="B56" s="41" t="inlineStr">
        <is>
          <t>Брусчатка ТБП Классико Б.3.КО.6</t>
        </is>
      </c>
      <c r="C56" s="41" t="inlineStr">
        <is>
          <t>Эконом</t>
        </is>
      </c>
      <c r="D56" s="41" t="inlineStr">
        <is>
          <t>MV-0019</t>
        </is>
      </c>
      <c r="E56" s="59" t="n"/>
      <c r="F56" s="59" t="n">
        <v>1</v>
      </c>
      <c r="G56" s="41" t="inlineStr">
        <is>
          <t>Брусчатка ТБП Классико Б.3.КО.6</t>
        </is>
      </c>
      <c r="H56" s="41" t="inlineStr">
        <is>
          <t>Показать строкой</t>
        </is>
      </c>
      <c r="I56" s="41" t="inlineStr">
        <is>
          <t>Эконом</t>
        </is>
      </c>
      <c r="J56" s="41" t="inlineStr">
        <is>
          <t>Автогенерация 1:1; тарифные различия ещё не настроены</t>
        </is>
      </c>
    </row>
    <row r="57">
      <c r="A57" s="42" t="inlineStr">
        <is>
          <t>RMAT-0019</t>
        </is>
      </c>
      <c r="B57" s="42" t="inlineStr">
        <is>
          <t>Брусчатка ТБП Классико Б.3.КО.6</t>
        </is>
      </c>
      <c r="C57" s="42" t="inlineStr">
        <is>
          <t>Стандарт</t>
        </is>
      </c>
      <c r="D57" s="42" t="inlineStr">
        <is>
          <t>MV-0019</t>
        </is>
      </c>
      <c r="E57" s="60" t="n"/>
      <c r="F57" s="60" t="n">
        <v>1</v>
      </c>
      <c r="G57" s="42" t="inlineStr">
        <is>
          <t>Брусчатка ТБП Классико Б.3.КО.6</t>
        </is>
      </c>
      <c r="H57" s="42" t="inlineStr">
        <is>
          <t>Показать строкой</t>
        </is>
      </c>
      <c r="I57" s="42" t="inlineStr">
        <is>
          <t>Стандарт</t>
        </is>
      </c>
      <c r="J57" s="42" t="inlineStr">
        <is>
          <t>Автогенерация 1:1; тарифные различия ещё не настроены</t>
        </is>
      </c>
    </row>
    <row r="58">
      <c r="A58" s="41" t="inlineStr">
        <is>
          <t>RMAT-0019</t>
        </is>
      </c>
      <c r="B58" s="41" t="inlineStr">
        <is>
          <t>Брусчатка ТБП Классико Б.3.КО.6</t>
        </is>
      </c>
      <c r="C58" s="41" t="inlineStr">
        <is>
          <t>Премиум</t>
        </is>
      </c>
      <c r="D58" s="41" t="inlineStr">
        <is>
          <t>MV-0019</t>
        </is>
      </c>
      <c r="E58" s="59" t="n"/>
      <c r="F58" s="59" t="n">
        <v>1</v>
      </c>
      <c r="G58" s="41" t="inlineStr">
        <is>
          <t>Брусчатка ТБП Классико Б.3.КО.6</t>
        </is>
      </c>
      <c r="H58" s="41" t="inlineStr">
        <is>
          <t>Показать строкой</t>
        </is>
      </c>
      <c r="I58" s="41" t="inlineStr">
        <is>
          <t>Премиум</t>
        </is>
      </c>
      <c r="J58" s="41" t="inlineStr">
        <is>
          <t>Автогенерация 1:1; тарифные различия ещё не настроены</t>
        </is>
      </c>
    </row>
    <row r="59">
      <c r="A59" s="42" t="inlineStr">
        <is>
          <t>RMAT-0020</t>
        </is>
      </c>
      <c r="B59" s="42" t="inlineStr">
        <is>
          <t>Габбро-диабаз 100*80*50мм</t>
        </is>
      </c>
      <c r="C59" s="42" t="inlineStr">
        <is>
          <t>Эконом</t>
        </is>
      </c>
      <c r="D59" s="42" t="inlineStr">
        <is>
          <t>MV-0020</t>
        </is>
      </c>
      <c r="E59" s="60" t="n"/>
      <c r="F59" s="60" t="n">
        <v>1</v>
      </c>
      <c r="G59" s="42" t="inlineStr">
        <is>
          <t>Габбро-диабаз 100*80*50мм</t>
        </is>
      </c>
      <c r="H59" s="42" t="inlineStr">
        <is>
          <t>Показать строкой</t>
        </is>
      </c>
      <c r="I59" s="42" t="inlineStr">
        <is>
          <t>Эконом</t>
        </is>
      </c>
      <c r="J59" s="42" t="inlineStr">
        <is>
          <t>Автогенерация 1:1; тарифные различия ещё не настроены</t>
        </is>
      </c>
    </row>
    <row r="60">
      <c r="A60" s="41" t="inlineStr">
        <is>
          <t>RMAT-0020</t>
        </is>
      </c>
      <c r="B60" s="41" t="inlineStr">
        <is>
          <t>Габбро-диабаз 100*80*50мм</t>
        </is>
      </c>
      <c r="C60" s="41" t="inlineStr">
        <is>
          <t>Стандарт</t>
        </is>
      </c>
      <c r="D60" s="41" t="inlineStr">
        <is>
          <t>MV-0020</t>
        </is>
      </c>
      <c r="E60" s="59" t="n"/>
      <c r="F60" s="59" t="n">
        <v>1</v>
      </c>
      <c r="G60" s="41" t="inlineStr">
        <is>
          <t>Габбро-диабаз 100*80*50мм</t>
        </is>
      </c>
      <c r="H60" s="41" t="inlineStr">
        <is>
          <t>Показать строкой</t>
        </is>
      </c>
      <c r="I60" s="41" t="inlineStr">
        <is>
          <t>Стандарт</t>
        </is>
      </c>
      <c r="J60" s="41" t="inlineStr">
        <is>
          <t>Автогенерация 1:1; тарифные различия ещё не настроены</t>
        </is>
      </c>
    </row>
    <row r="61">
      <c r="A61" s="42" t="inlineStr">
        <is>
          <t>RMAT-0020</t>
        </is>
      </c>
      <c r="B61" s="42" t="inlineStr">
        <is>
          <t>Габбро-диабаз 100*80*50мм</t>
        </is>
      </c>
      <c r="C61" s="42" t="inlineStr">
        <is>
          <t>Премиум</t>
        </is>
      </c>
      <c r="D61" s="42" t="inlineStr">
        <is>
          <t>MV-0020</t>
        </is>
      </c>
      <c r="E61" s="60" t="n"/>
      <c r="F61" s="60" t="n">
        <v>1</v>
      </c>
      <c r="G61" s="42" t="inlineStr">
        <is>
          <t>Габбро-диабаз 100*80*50мм</t>
        </is>
      </c>
      <c r="H61" s="42" t="inlineStr">
        <is>
          <t>Показать строкой</t>
        </is>
      </c>
      <c r="I61" s="42" t="inlineStr">
        <is>
          <t>Премиум</t>
        </is>
      </c>
      <c r="J61" s="42" t="inlineStr">
        <is>
          <t>Автогенерация 1:1; тарифные различия ещё не настроены</t>
        </is>
      </c>
    </row>
    <row r="62">
      <c r="A62" s="41" t="inlineStr">
        <is>
          <t>RMAT-0021</t>
        </is>
      </c>
      <c r="B62" s="41" t="inlineStr">
        <is>
          <t>Габбро-диабаз 80*80*80мм</t>
        </is>
      </c>
      <c r="C62" s="41" t="inlineStr">
        <is>
          <t>Эконом</t>
        </is>
      </c>
      <c r="D62" s="41" t="inlineStr">
        <is>
          <t>MV-0021</t>
        </is>
      </c>
      <c r="E62" s="59" t="n"/>
      <c r="F62" s="59" t="n">
        <v>1</v>
      </c>
      <c r="G62" s="41" t="inlineStr">
        <is>
          <t>Габбро-диабаз 80*80*80мм</t>
        </is>
      </c>
      <c r="H62" s="41" t="inlineStr">
        <is>
          <t>Показать строкой</t>
        </is>
      </c>
      <c r="I62" s="41" t="inlineStr">
        <is>
          <t>Эконом</t>
        </is>
      </c>
      <c r="J62" s="41" t="inlineStr">
        <is>
          <t>Автогенерация 1:1; тарифные различия ещё не настроены</t>
        </is>
      </c>
    </row>
    <row r="63">
      <c r="A63" s="42" t="inlineStr">
        <is>
          <t>RMAT-0021</t>
        </is>
      </c>
      <c r="B63" s="42" t="inlineStr">
        <is>
          <t>Габбро-диабаз 80*80*80мм</t>
        </is>
      </c>
      <c r="C63" s="42" t="inlineStr">
        <is>
          <t>Стандарт</t>
        </is>
      </c>
      <c r="D63" s="42" t="inlineStr">
        <is>
          <t>MV-0021</t>
        </is>
      </c>
      <c r="E63" s="60" t="n"/>
      <c r="F63" s="60" t="n">
        <v>1</v>
      </c>
      <c r="G63" s="42" t="inlineStr">
        <is>
          <t>Габбро-диабаз 80*80*80мм</t>
        </is>
      </c>
      <c r="H63" s="42" t="inlineStr">
        <is>
          <t>Показать строкой</t>
        </is>
      </c>
      <c r="I63" s="42" t="inlineStr">
        <is>
          <t>Стандарт</t>
        </is>
      </c>
      <c r="J63" s="42" t="inlineStr">
        <is>
          <t>Автогенерация 1:1; тарифные различия ещё не настроены</t>
        </is>
      </c>
    </row>
    <row r="64">
      <c r="A64" s="41" t="inlineStr">
        <is>
          <t>RMAT-0021</t>
        </is>
      </c>
      <c r="B64" s="41" t="inlineStr">
        <is>
          <t>Габбро-диабаз 80*80*80мм</t>
        </is>
      </c>
      <c r="C64" s="41" t="inlineStr">
        <is>
          <t>Премиум</t>
        </is>
      </c>
      <c r="D64" s="41" t="inlineStr">
        <is>
          <t>MV-0021</t>
        </is>
      </c>
      <c r="E64" s="59" t="n"/>
      <c r="F64" s="59" t="n">
        <v>1</v>
      </c>
      <c r="G64" s="41" t="inlineStr">
        <is>
          <t>Габбро-диабаз 80*80*80мм</t>
        </is>
      </c>
      <c r="H64" s="41" t="inlineStr">
        <is>
          <t>Показать строкой</t>
        </is>
      </c>
      <c r="I64" s="41" t="inlineStr">
        <is>
          <t>Премиум</t>
        </is>
      </c>
      <c r="J64" s="41" t="inlineStr">
        <is>
          <t>Автогенерация 1:1; тарифные различия ещё не настроены</t>
        </is>
      </c>
    </row>
    <row r="65">
      <c r="A65" s="42" t="inlineStr">
        <is>
          <t>RMAT-0022</t>
        </is>
      </c>
      <c r="B65" s="42" t="inlineStr">
        <is>
          <t>Газон рулонный "Универсальный", 0.8м.кв.</t>
        </is>
      </c>
      <c r="C65" s="42" t="inlineStr">
        <is>
          <t>Эконом</t>
        </is>
      </c>
      <c r="D65" s="42" t="inlineStr">
        <is>
          <t>MV-0022</t>
        </is>
      </c>
      <c r="E65" s="60" t="n"/>
      <c r="F65" s="60" t="n">
        <v>1</v>
      </c>
      <c r="G65" s="42" t="inlineStr">
        <is>
          <t>Газон рулонный "Универсальный", 0.8м.кв.</t>
        </is>
      </c>
      <c r="H65" s="42" t="inlineStr">
        <is>
          <t>Показать строкой</t>
        </is>
      </c>
      <c r="I65" s="42" t="inlineStr">
        <is>
          <t>Эконом</t>
        </is>
      </c>
      <c r="J65" s="42" t="inlineStr">
        <is>
          <t>Автогенерация 1:1; тарифные различия ещё не настроены</t>
        </is>
      </c>
    </row>
    <row r="66">
      <c r="A66" s="41" t="inlineStr">
        <is>
          <t>RMAT-0022</t>
        </is>
      </c>
      <c r="B66" s="41" t="inlineStr">
        <is>
          <t>Газон рулонный "Универсальный", 0.8м.кв.</t>
        </is>
      </c>
      <c r="C66" s="41" t="inlineStr">
        <is>
          <t>Стандарт</t>
        </is>
      </c>
      <c r="D66" s="41" t="inlineStr">
        <is>
          <t>MV-0022</t>
        </is>
      </c>
      <c r="E66" s="59" t="n"/>
      <c r="F66" s="59" t="n">
        <v>1</v>
      </c>
      <c r="G66" s="41" t="inlineStr">
        <is>
          <t>Газон рулонный "Универсальный", 0.8м.кв.</t>
        </is>
      </c>
      <c r="H66" s="41" t="inlineStr">
        <is>
          <t>Показать строкой</t>
        </is>
      </c>
      <c r="I66" s="41" t="inlineStr">
        <is>
          <t>Стандарт</t>
        </is>
      </c>
      <c r="J66" s="41" t="inlineStr">
        <is>
          <t>Автогенерация 1:1; тарифные различия ещё не настроены</t>
        </is>
      </c>
    </row>
    <row r="67">
      <c r="A67" s="42" t="inlineStr">
        <is>
          <t>RMAT-0022</t>
        </is>
      </c>
      <c r="B67" s="42" t="inlineStr">
        <is>
          <t>Газон рулонный "Универсальный", 0.8м.кв.</t>
        </is>
      </c>
      <c r="C67" s="42" t="inlineStr">
        <is>
          <t>Премиум</t>
        </is>
      </c>
      <c r="D67" s="42" t="inlineStr">
        <is>
          <t>MV-0022</t>
        </is>
      </c>
      <c r="E67" s="60" t="n"/>
      <c r="F67" s="60" t="n">
        <v>1</v>
      </c>
      <c r="G67" s="42" t="inlineStr">
        <is>
          <t>Газон рулонный "Универсальный", 0.8м.кв.</t>
        </is>
      </c>
      <c r="H67" s="42" t="inlineStr">
        <is>
          <t>Показать строкой</t>
        </is>
      </c>
      <c r="I67" s="42" t="inlineStr">
        <is>
          <t>Премиум</t>
        </is>
      </c>
      <c r="J67" s="42" t="inlineStr">
        <is>
          <t>Автогенерация 1:1; тарифные различия ещё не настроены</t>
        </is>
      </c>
    </row>
    <row r="68">
      <c r="A68" s="41" t="inlineStr">
        <is>
          <t>RMAT-0023</t>
        </is>
      </c>
      <c r="B68" s="41" t="inlineStr">
        <is>
          <t>Газон рулонный бюджетный, 0.8м.кв.</t>
        </is>
      </c>
      <c r="C68" s="41" t="inlineStr">
        <is>
          <t>Эконом</t>
        </is>
      </c>
      <c r="D68" s="41" t="inlineStr">
        <is>
          <t>MV-0023</t>
        </is>
      </c>
      <c r="E68" s="59" t="n"/>
      <c r="F68" s="59" t="n">
        <v>1</v>
      </c>
      <c r="G68" s="41" t="inlineStr">
        <is>
          <t>Газон рулонный бюджетный, 0.8м.кв.</t>
        </is>
      </c>
      <c r="H68" s="41" t="inlineStr">
        <is>
          <t>Показать строкой</t>
        </is>
      </c>
      <c r="I68" s="41" t="inlineStr">
        <is>
          <t>Эконом</t>
        </is>
      </c>
      <c r="J68" s="41" t="inlineStr">
        <is>
          <t>Автогенерация 1:1; тарифные различия ещё не настроены</t>
        </is>
      </c>
    </row>
    <row r="69">
      <c r="A69" s="42" t="inlineStr">
        <is>
          <t>RMAT-0023</t>
        </is>
      </c>
      <c r="B69" s="42" t="inlineStr">
        <is>
          <t>Газон рулонный бюджетный, 0.8м.кв.</t>
        </is>
      </c>
      <c r="C69" s="42" t="inlineStr">
        <is>
          <t>Стандарт</t>
        </is>
      </c>
      <c r="D69" s="42" t="inlineStr">
        <is>
          <t>MV-0023</t>
        </is>
      </c>
      <c r="E69" s="60" t="n"/>
      <c r="F69" s="60" t="n">
        <v>1</v>
      </c>
      <c r="G69" s="42" t="inlineStr">
        <is>
          <t>Газон рулонный бюджетный, 0.8м.кв.</t>
        </is>
      </c>
      <c r="H69" s="42" t="inlineStr">
        <is>
          <t>Показать строкой</t>
        </is>
      </c>
      <c r="I69" s="42" t="inlineStr">
        <is>
          <t>Стандарт</t>
        </is>
      </c>
      <c r="J69" s="42" t="inlineStr">
        <is>
          <t>Автогенерация 1:1; тарифные различия ещё не настроены</t>
        </is>
      </c>
    </row>
    <row r="70">
      <c r="A70" s="41" t="inlineStr">
        <is>
          <t>RMAT-0023</t>
        </is>
      </c>
      <c r="B70" s="41" t="inlineStr">
        <is>
          <t>Газон рулонный бюджетный, 0.8м.кв.</t>
        </is>
      </c>
      <c r="C70" s="41" t="inlineStr">
        <is>
          <t>Премиум</t>
        </is>
      </c>
      <c r="D70" s="41" t="inlineStr">
        <is>
          <t>MV-0023</t>
        </is>
      </c>
      <c r="E70" s="59" t="n"/>
      <c r="F70" s="59" t="n">
        <v>1</v>
      </c>
      <c r="G70" s="41" t="inlineStr">
        <is>
          <t>Газон рулонный бюджетный, 0.8м.кв.</t>
        </is>
      </c>
      <c r="H70" s="41" t="inlineStr">
        <is>
          <t>Показать строкой</t>
        </is>
      </c>
      <c r="I70" s="41" t="inlineStr">
        <is>
          <t>Премиум</t>
        </is>
      </c>
      <c r="J70" s="41" t="inlineStr">
        <is>
          <t>Автогенерация 1:1; тарифные различия ещё не настроены</t>
        </is>
      </c>
    </row>
    <row r="71">
      <c r="A71" s="42" t="inlineStr">
        <is>
          <t>RMAT-0024</t>
        </is>
      </c>
      <c r="B71" s="42" t="inlineStr">
        <is>
          <t>Газон рулонный бюджетный, 1м.кв.</t>
        </is>
      </c>
      <c r="C71" s="42" t="inlineStr">
        <is>
          <t>Эконом</t>
        </is>
      </c>
      <c r="D71" s="42" t="inlineStr">
        <is>
          <t>MV-0024</t>
        </is>
      </c>
      <c r="E71" s="60" t="n"/>
      <c r="F71" s="60" t="n">
        <v>1</v>
      </c>
      <c r="G71" s="42" t="inlineStr">
        <is>
          <t>Газон рулонный бюджетный, 1м.кв.</t>
        </is>
      </c>
      <c r="H71" s="42" t="inlineStr">
        <is>
          <t>Показать строкой</t>
        </is>
      </c>
      <c r="I71" s="42" t="inlineStr">
        <is>
          <t>Эконом</t>
        </is>
      </c>
      <c r="J71" s="42" t="inlineStr">
        <is>
          <t>Автогенерация 1:1; тарифные различия ещё не настроены</t>
        </is>
      </c>
    </row>
    <row r="72">
      <c r="A72" s="41" t="inlineStr">
        <is>
          <t>RMAT-0024</t>
        </is>
      </c>
      <c r="B72" s="41" t="inlineStr">
        <is>
          <t>Газон рулонный бюджетный, 1м.кв.</t>
        </is>
      </c>
      <c r="C72" s="41" t="inlineStr">
        <is>
          <t>Стандарт</t>
        </is>
      </c>
      <c r="D72" s="41" t="inlineStr">
        <is>
          <t>MV-0024</t>
        </is>
      </c>
      <c r="E72" s="59" t="n"/>
      <c r="F72" s="59" t="n">
        <v>1</v>
      </c>
      <c r="G72" s="41" t="inlineStr">
        <is>
          <t>Газон рулонный бюджетный, 1м.кв.</t>
        </is>
      </c>
      <c r="H72" s="41" t="inlineStr">
        <is>
          <t>Показать строкой</t>
        </is>
      </c>
      <c r="I72" s="41" t="inlineStr">
        <is>
          <t>Стандарт</t>
        </is>
      </c>
      <c r="J72" s="41" t="inlineStr">
        <is>
          <t>Автогенерация 1:1; тарифные различия ещё не настроены</t>
        </is>
      </c>
    </row>
    <row r="73">
      <c r="A73" s="42" t="inlineStr">
        <is>
          <t>RMAT-0024</t>
        </is>
      </c>
      <c r="B73" s="42" t="inlineStr">
        <is>
          <t>Газон рулонный бюджетный, 1м.кв.</t>
        </is>
      </c>
      <c r="C73" s="42" t="inlineStr">
        <is>
          <t>Премиум</t>
        </is>
      </c>
      <c r="D73" s="42" t="inlineStr">
        <is>
          <t>MV-0024</t>
        </is>
      </c>
      <c r="E73" s="60" t="n"/>
      <c r="F73" s="60" t="n">
        <v>1</v>
      </c>
      <c r="G73" s="42" t="inlineStr">
        <is>
          <t>Газон рулонный бюджетный, 1м.кв.</t>
        </is>
      </c>
      <c r="H73" s="42" t="inlineStr">
        <is>
          <t>Показать строкой</t>
        </is>
      </c>
      <c r="I73" s="42" t="inlineStr">
        <is>
          <t>Премиум</t>
        </is>
      </c>
      <c r="J73" s="42" t="inlineStr">
        <is>
          <t>Автогенерация 1:1; тарифные различия ещё не настроены</t>
        </is>
      </c>
    </row>
    <row r="74">
      <c r="A74" s="41" t="inlineStr">
        <is>
          <t>RMAT-0025</t>
        </is>
      </c>
      <c r="B74" s="41" t="inlineStr">
        <is>
          <t>Геотекстиль, 200г/м2</t>
        </is>
      </c>
      <c r="C74" s="41" t="inlineStr">
        <is>
          <t>Эконом</t>
        </is>
      </c>
      <c r="D74" s="41" t="inlineStr">
        <is>
          <t>MV-0025</t>
        </is>
      </c>
      <c r="E74" s="59" t="n"/>
      <c r="F74" s="59" t="n">
        <v>1</v>
      </c>
      <c r="G74" s="41" t="inlineStr">
        <is>
          <t>Геотекстиль, 200г/м2</t>
        </is>
      </c>
      <c r="H74" s="41" t="inlineStr">
        <is>
          <t>Показать строкой</t>
        </is>
      </c>
      <c r="I74" s="41" t="inlineStr">
        <is>
          <t>Эконом</t>
        </is>
      </c>
      <c r="J74" s="41" t="inlineStr">
        <is>
          <t>Автогенерация 1:1; тарифные различия ещё не настроены</t>
        </is>
      </c>
    </row>
    <row r="75">
      <c r="A75" s="42" t="inlineStr">
        <is>
          <t>RMAT-0025</t>
        </is>
      </c>
      <c r="B75" s="42" t="inlineStr">
        <is>
          <t>Геотекстиль, 200г/м2</t>
        </is>
      </c>
      <c r="C75" s="42" t="inlineStr">
        <is>
          <t>Стандарт</t>
        </is>
      </c>
      <c r="D75" s="42" t="inlineStr">
        <is>
          <t>MV-0025</t>
        </is>
      </c>
      <c r="E75" s="60" t="n"/>
      <c r="F75" s="60" t="n">
        <v>1</v>
      </c>
      <c r="G75" s="42" t="inlineStr">
        <is>
          <t>Геотекстиль, 200г/м2</t>
        </is>
      </c>
      <c r="H75" s="42" t="inlineStr">
        <is>
          <t>Показать строкой</t>
        </is>
      </c>
      <c r="I75" s="42" t="inlineStr">
        <is>
          <t>Стандарт</t>
        </is>
      </c>
      <c r="J75" s="42" t="inlineStr">
        <is>
          <t>Автогенерация 1:1; тарифные различия ещё не настроены</t>
        </is>
      </c>
    </row>
    <row r="76">
      <c r="A76" s="41" t="inlineStr">
        <is>
          <t>RMAT-0025</t>
        </is>
      </c>
      <c r="B76" s="41" t="inlineStr">
        <is>
          <t>Геотекстиль, 200г/м2</t>
        </is>
      </c>
      <c r="C76" s="41" t="inlineStr">
        <is>
          <t>Премиум</t>
        </is>
      </c>
      <c r="D76" s="41" t="inlineStr">
        <is>
          <t>MV-0025</t>
        </is>
      </c>
      <c r="E76" s="59" t="n"/>
      <c r="F76" s="59" t="n">
        <v>1</v>
      </c>
      <c r="G76" s="41" t="inlineStr">
        <is>
          <t>Геотекстиль, 200г/м2</t>
        </is>
      </c>
      <c r="H76" s="41" t="inlineStr">
        <is>
          <t>Показать строкой</t>
        </is>
      </c>
      <c r="I76" s="41" t="inlineStr">
        <is>
          <t>Премиум</t>
        </is>
      </c>
      <c r="J76" s="41" t="inlineStr">
        <is>
          <t>Автогенерация 1:1; тарифные различия ещё не настроены</t>
        </is>
      </c>
    </row>
    <row r="77">
      <c r="A77" s="42" t="inlineStr">
        <is>
          <t>RMAT-0026</t>
        </is>
      </c>
      <c r="B77" s="42" t="inlineStr">
        <is>
          <t>Геотекстиль, 300г/м2</t>
        </is>
      </c>
      <c r="C77" s="42" t="inlineStr">
        <is>
          <t>Эконом</t>
        </is>
      </c>
      <c r="D77" s="42" t="inlineStr">
        <is>
          <t>MV-0026</t>
        </is>
      </c>
      <c r="E77" s="60" t="n"/>
      <c r="F77" s="60" t="n">
        <v>1</v>
      </c>
      <c r="G77" s="42" t="inlineStr">
        <is>
          <t>Геотекстиль, 300г/м2</t>
        </is>
      </c>
      <c r="H77" s="42" t="inlineStr">
        <is>
          <t>Показать строкой</t>
        </is>
      </c>
      <c r="I77" s="42" t="inlineStr">
        <is>
          <t>Эконом</t>
        </is>
      </c>
      <c r="J77" s="42" t="inlineStr">
        <is>
          <t>Автогенерация 1:1; тарифные различия ещё не настроены</t>
        </is>
      </c>
    </row>
    <row r="78">
      <c r="A78" s="41" t="inlineStr">
        <is>
          <t>RMAT-0026</t>
        </is>
      </c>
      <c r="B78" s="41" t="inlineStr">
        <is>
          <t>Геотекстиль, 300г/м2</t>
        </is>
      </c>
      <c r="C78" s="41" t="inlineStr">
        <is>
          <t>Стандарт</t>
        </is>
      </c>
      <c r="D78" s="41" t="inlineStr">
        <is>
          <t>MV-0026</t>
        </is>
      </c>
      <c r="E78" s="59" t="n"/>
      <c r="F78" s="59" t="n">
        <v>1</v>
      </c>
      <c r="G78" s="41" t="inlineStr">
        <is>
          <t>Геотекстиль, 300г/м2</t>
        </is>
      </c>
      <c r="H78" s="41" t="inlineStr">
        <is>
          <t>Показать строкой</t>
        </is>
      </c>
      <c r="I78" s="41" t="inlineStr">
        <is>
          <t>Стандарт</t>
        </is>
      </c>
      <c r="J78" s="41" t="inlineStr">
        <is>
          <t>Автогенерация 1:1; тарифные различия ещё не настроены</t>
        </is>
      </c>
    </row>
    <row r="79">
      <c r="A79" s="42" t="inlineStr">
        <is>
          <t>RMAT-0026</t>
        </is>
      </c>
      <c r="B79" s="42" t="inlineStr">
        <is>
          <t>Геотекстиль, 300г/м2</t>
        </is>
      </c>
      <c r="C79" s="42" t="inlineStr">
        <is>
          <t>Премиум</t>
        </is>
      </c>
      <c r="D79" s="42" t="inlineStr">
        <is>
          <t>MV-0026</t>
        </is>
      </c>
      <c r="E79" s="60" t="n"/>
      <c r="F79" s="60" t="n">
        <v>1</v>
      </c>
      <c r="G79" s="42" t="inlineStr">
        <is>
          <t>Геотекстиль, 300г/м2</t>
        </is>
      </c>
      <c r="H79" s="42" t="inlineStr">
        <is>
          <t>Показать строкой</t>
        </is>
      </c>
      <c r="I79" s="42" t="inlineStr">
        <is>
          <t>Премиум</t>
        </is>
      </c>
      <c r="J79" s="42" t="inlineStr">
        <is>
          <t>Автогенерация 1:1; тарифные различия ещё не настроены</t>
        </is>
      </c>
    </row>
    <row r="80">
      <c r="A80" s="41" t="inlineStr">
        <is>
          <t>RMAT-0027</t>
        </is>
      </c>
      <c r="B80" s="41" t="inlineStr">
        <is>
          <t>Герметик</t>
        </is>
      </c>
      <c r="C80" s="41" t="inlineStr">
        <is>
          <t>Эконом</t>
        </is>
      </c>
      <c r="D80" s="41" t="inlineStr">
        <is>
          <t>MV-0027</t>
        </is>
      </c>
      <c r="E80" s="59" t="n"/>
      <c r="F80" s="59" t="n">
        <v>1</v>
      </c>
      <c r="G80" s="41" t="inlineStr">
        <is>
          <t>Герметик</t>
        </is>
      </c>
      <c r="H80" s="41" t="inlineStr">
        <is>
          <t>Показать строкой</t>
        </is>
      </c>
      <c r="I80" s="41" t="inlineStr">
        <is>
          <t>Эконом</t>
        </is>
      </c>
      <c r="J80" s="41" t="inlineStr">
        <is>
          <t>Автогенерация 1:1; тарифные различия ещё не настроены</t>
        </is>
      </c>
    </row>
    <row r="81">
      <c r="A81" s="42" t="inlineStr">
        <is>
          <t>RMAT-0027</t>
        </is>
      </c>
      <c r="B81" s="42" t="inlineStr">
        <is>
          <t>Герметик</t>
        </is>
      </c>
      <c r="C81" s="42" t="inlineStr">
        <is>
          <t>Стандарт</t>
        </is>
      </c>
      <c r="D81" s="42" t="inlineStr">
        <is>
          <t>MV-0027</t>
        </is>
      </c>
      <c r="E81" s="60" t="n"/>
      <c r="F81" s="60" t="n">
        <v>1</v>
      </c>
      <c r="G81" s="42" t="inlineStr">
        <is>
          <t>Герметик</t>
        </is>
      </c>
      <c r="H81" s="42" t="inlineStr">
        <is>
          <t>Показать строкой</t>
        </is>
      </c>
      <c r="I81" s="42" t="inlineStr">
        <is>
          <t>Стандарт</t>
        </is>
      </c>
      <c r="J81" s="42" t="inlineStr">
        <is>
          <t>Автогенерация 1:1; тарифные различия ещё не настроены</t>
        </is>
      </c>
    </row>
    <row r="82">
      <c r="A82" s="41" t="inlineStr">
        <is>
          <t>RMAT-0027</t>
        </is>
      </c>
      <c r="B82" s="41" t="inlineStr">
        <is>
          <t>Герметик</t>
        </is>
      </c>
      <c r="C82" s="41" t="inlineStr">
        <is>
          <t>Премиум</t>
        </is>
      </c>
      <c r="D82" s="41" t="inlineStr">
        <is>
          <t>MV-0027</t>
        </is>
      </c>
      <c r="E82" s="59" t="n"/>
      <c r="F82" s="59" t="n">
        <v>1</v>
      </c>
      <c r="G82" s="41" t="inlineStr">
        <is>
          <t>Герметик</t>
        </is>
      </c>
      <c r="H82" s="41" t="inlineStr">
        <is>
          <t>Показать строкой</t>
        </is>
      </c>
      <c r="I82" s="41" t="inlineStr">
        <is>
          <t>Премиум</t>
        </is>
      </c>
      <c r="J82" s="41" t="inlineStr">
        <is>
          <t>Автогенерация 1:1; тарифные различия ещё не настроены</t>
        </is>
      </c>
    </row>
    <row r="83">
      <c r="A83" s="42" t="inlineStr">
        <is>
          <t>RMAT-0028</t>
        </is>
      </c>
      <c r="B83" s="42" t="inlineStr">
        <is>
          <t>Гидроизоляция гряд и стенок фундамента теплицы</t>
        </is>
      </c>
      <c r="C83" s="42" t="inlineStr">
        <is>
          <t>Эконом</t>
        </is>
      </c>
      <c r="D83" s="42" t="inlineStr">
        <is>
          <t>MV-0028</t>
        </is>
      </c>
      <c r="E83" s="60" t="n"/>
      <c r="F83" s="60" t="n">
        <v>1</v>
      </c>
      <c r="G83" s="42" t="inlineStr">
        <is>
          <t>Гидроизоляция гряд и стенок фундамента теплицы</t>
        </is>
      </c>
      <c r="H83" s="42" t="inlineStr">
        <is>
          <t>Показать строкой</t>
        </is>
      </c>
      <c r="I83" s="42" t="inlineStr">
        <is>
          <t>Эконом</t>
        </is>
      </c>
      <c r="J83" s="42" t="inlineStr">
        <is>
          <t>Автогенерация 1:1; тарифные различия ещё не настроены</t>
        </is>
      </c>
    </row>
    <row r="84">
      <c r="A84" s="41" t="inlineStr">
        <is>
          <t>RMAT-0028</t>
        </is>
      </c>
      <c r="B84" s="41" t="inlineStr">
        <is>
          <t>Гидроизоляция гряд и стенок фундамента теплицы</t>
        </is>
      </c>
      <c r="C84" s="41" t="inlineStr">
        <is>
          <t>Стандарт</t>
        </is>
      </c>
      <c r="D84" s="41" t="inlineStr">
        <is>
          <t>MV-0028</t>
        </is>
      </c>
      <c r="E84" s="59" t="n"/>
      <c r="F84" s="59" t="n">
        <v>1</v>
      </c>
      <c r="G84" s="41" t="inlineStr">
        <is>
          <t>Гидроизоляция гряд и стенок фундамента теплицы</t>
        </is>
      </c>
      <c r="H84" s="41" t="inlineStr">
        <is>
          <t>Показать строкой</t>
        </is>
      </c>
      <c r="I84" s="41" t="inlineStr">
        <is>
          <t>Стандарт</t>
        </is>
      </c>
      <c r="J84" s="41" t="inlineStr">
        <is>
          <t>Автогенерация 1:1; тарифные различия ещё не настроены</t>
        </is>
      </c>
    </row>
    <row r="85">
      <c r="A85" s="42" t="inlineStr">
        <is>
          <t>RMAT-0028</t>
        </is>
      </c>
      <c r="B85" s="42" t="inlineStr">
        <is>
          <t>Гидроизоляция гряд и стенок фундамента теплицы</t>
        </is>
      </c>
      <c r="C85" s="42" t="inlineStr">
        <is>
          <t>Премиум</t>
        </is>
      </c>
      <c r="D85" s="42" t="inlineStr">
        <is>
          <t>MV-0028</t>
        </is>
      </c>
      <c r="E85" s="60" t="n"/>
      <c r="F85" s="60" t="n">
        <v>1</v>
      </c>
      <c r="G85" s="42" t="inlineStr">
        <is>
          <t>Гидроизоляция гряд и стенок фундамента теплицы</t>
        </is>
      </c>
      <c r="H85" s="42" t="inlineStr">
        <is>
          <t>Показать строкой</t>
        </is>
      </c>
      <c r="I85" s="42" t="inlineStr">
        <is>
          <t>Премиум</t>
        </is>
      </c>
      <c r="J85" s="42" t="inlineStr">
        <is>
          <t>Автогенерация 1:1; тарифные различия ещё не настроены</t>
        </is>
      </c>
    </row>
    <row r="86">
      <c r="A86" s="41" t="inlineStr">
        <is>
          <t>RMAT-0029</t>
        </is>
      </c>
      <c r="B86" s="41" t="inlineStr">
        <is>
          <t>Гравий (щебень гр. 20-40мм)</t>
        </is>
      </c>
      <c r="C86" s="41" t="inlineStr">
        <is>
          <t>Эконом</t>
        </is>
      </c>
      <c r="D86" s="41" t="inlineStr">
        <is>
          <t>MV-0029</t>
        </is>
      </c>
      <c r="E86" s="59" t="n"/>
      <c r="F86" s="59" t="n">
        <v>1</v>
      </c>
      <c r="G86" s="41" t="inlineStr">
        <is>
          <t>Гравий (щебень гр. 20-40мм)</t>
        </is>
      </c>
      <c r="H86" s="41" t="inlineStr">
        <is>
          <t>Показать строкой</t>
        </is>
      </c>
      <c r="I86" s="41" t="inlineStr">
        <is>
          <t>Эконом</t>
        </is>
      </c>
      <c r="J86" s="41" t="inlineStr">
        <is>
          <t>Автогенерация 1:1; тарифные различия ещё не настроены</t>
        </is>
      </c>
    </row>
    <row r="87">
      <c r="A87" s="42" t="inlineStr">
        <is>
          <t>RMAT-0029</t>
        </is>
      </c>
      <c r="B87" s="42" t="inlineStr">
        <is>
          <t>Гравий (щебень гр. 20-40мм)</t>
        </is>
      </c>
      <c r="C87" s="42" t="inlineStr">
        <is>
          <t>Стандарт</t>
        </is>
      </c>
      <c r="D87" s="42" t="inlineStr">
        <is>
          <t>MV-0029</t>
        </is>
      </c>
      <c r="E87" s="60" t="n"/>
      <c r="F87" s="60" t="n">
        <v>1</v>
      </c>
      <c r="G87" s="42" t="inlineStr">
        <is>
          <t>Гравий (щебень гр. 20-40мм)</t>
        </is>
      </c>
      <c r="H87" s="42" t="inlineStr">
        <is>
          <t>Показать строкой</t>
        </is>
      </c>
      <c r="I87" s="42" t="inlineStr">
        <is>
          <t>Стандарт</t>
        </is>
      </c>
      <c r="J87" s="42" t="inlineStr">
        <is>
          <t>Автогенерация 1:1; тарифные различия ещё не настроены</t>
        </is>
      </c>
    </row>
    <row r="88">
      <c r="A88" s="41" t="inlineStr">
        <is>
          <t>RMAT-0029</t>
        </is>
      </c>
      <c r="B88" s="41" t="inlineStr">
        <is>
          <t>Гравий (щебень гр. 20-40мм)</t>
        </is>
      </c>
      <c r="C88" s="41" t="inlineStr">
        <is>
          <t>Премиум</t>
        </is>
      </c>
      <c r="D88" s="41" t="inlineStr">
        <is>
          <t>MV-0029</t>
        </is>
      </c>
      <c r="E88" s="59" t="n"/>
      <c r="F88" s="59" t="n">
        <v>1</v>
      </c>
      <c r="G88" s="41" t="inlineStr">
        <is>
          <t>Гравий (щебень гр. 20-40мм)</t>
        </is>
      </c>
      <c r="H88" s="41" t="inlineStr">
        <is>
          <t>Показать строкой</t>
        </is>
      </c>
      <c r="I88" s="41" t="inlineStr">
        <is>
          <t>Премиум</t>
        </is>
      </c>
      <c r="J88" s="41" t="inlineStr">
        <is>
          <t>Автогенерация 1:1; тарифные различия ещё не настроены</t>
        </is>
      </c>
    </row>
    <row r="89">
      <c r="A89" s="42" t="inlineStr">
        <is>
          <t>RMAT-0030</t>
        </is>
      </c>
      <c r="B89" s="42" t="inlineStr">
        <is>
          <t>Гравий карьерный 5-20мм</t>
        </is>
      </c>
      <c r="C89" s="42" t="inlineStr">
        <is>
          <t>Эконом</t>
        </is>
      </c>
      <c r="D89" s="42" t="inlineStr">
        <is>
          <t>MV-0030</t>
        </is>
      </c>
      <c r="E89" s="60" t="n"/>
      <c r="F89" s="60" t="n">
        <v>1</v>
      </c>
      <c r="G89" s="42" t="inlineStr">
        <is>
          <t>Гравий карьерный 5-20мм</t>
        </is>
      </c>
      <c r="H89" s="42" t="inlineStr">
        <is>
          <t>Показать строкой</t>
        </is>
      </c>
      <c r="I89" s="42" t="inlineStr">
        <is>
          <t>Эконом</t>
        </is>
      </c>
      <c r="J89" s="42" t="inlineStr">
        <is>
          <t>Автогенерация 1:1; тарифные различия ещё не настроены</t>
        </is>
      </c>
    </row>
    <row r="90">
      <c r="A90" s="41" t="inlineStr">
        <is>
          <t>RMAT-0030</t>
        </is>
      </c>
      <c r="B90" s="41" t="inlineStr">
        <is>
          <t>Гравий карьерный 5-20мм</t>
        </is>
      </c>
      <c r="C90" s="41" t="inlineStr">
        <is>
          <t>Стандарт</t>
        </is>
      </c>
      <c r="D90" s="41" t="inlineStr">
        <is>
          <t>MV-0030</t>
        </is>
      </c>
      <c r="E90" s="59" t="n"/>
      <c r="F90" s="59" t="n">
        <v>1</v>
      </c>
      <c r="G90" s="41" t="inlineStr">
        <is>
          <t>Гравий карьерный 5-20мм</t>
        </is>
      </c>
      <c r="H90" s="41" t="inlineStr">
        <is>
          <t>Показать строкой</t>
        </is>
      </c>
      <c r="I90" s="41" t="inlineStr">
        <is>
          <t>Стандарт</t>
        </is>
      </c>
      <c r="J90" s="41" t="inlineStr">
        <is>
          <t>Автогенерация 1:1; тарифные различия ещё не настроены</t>
        </is>
      </c>
    </row>
    <row r="91">
      <c r="A91" s="42" t="inlineStr">
        <is>
          <t>RMAT-0030</t>
        </is>
      </c>
      <c r="B91" s="42" t="inlineStr">
        <is>
          <t>Гравий карьерный 5-20мм</t>
        </is>
      </c>
      <c r="C91" s="42" t="inlineStr">
        <is>
          <t>Премиум</t>
        </is>
      </c>
      <c r="D91" s="42" t="inlineStr">
        <is>
          <t>MV-0030</t>
        </is>
      </c>
      <c r="E91" s="60" t="n"/>
      <c r="F91" s="60" t="n">
        <v>1</v>
      </c>
      <c r="G91" s="42" t="inlineStr">
        <is>
          <t>Гравий карьерный 5-20мм</t>
        </is>
      </c>
      <c r="H91" s="42" t="inlineStr">
        <is>
          <t>Показать строкой</t>
        </is>
      </c>
      <c r="I91" s="42" t="inlineStr">
        <is>
          <t>Премиум</t>
        </is>
      </c>
      <c r="J91" s="42" t="inlineStr">
        <is>
          <t>Автогенерация 1:1; тарифные различия ещё не настроены</t>
        </is>
      </c>
    </row>
    <row r="92">
      <c r="A92" s="41" t="inlineStr">
        <is>
          <t>RMAT-0031</t>
        </is>
      </c>
      <c r="B92" s="41" t="inlineStr">
        <is>
          <t>Гравий колотый</t>
        </is>
      </c>
      <c r="C92" s="41" t="inlineStr">
        <is>
          <t>Эконом</t>
        </is>
      </c>
      <c r="D92" s="41" t="inlineStr">
        <is>
          <t>MV-0031</t>
        </is>
      </c>
      <c r="E92" s="59" t="n"/>
      <c r="F92" s="59" t="n">
        <v>1</v>
      </c>
      <c r="G92" s="41" t="inlineStr">
        <is>
          <t>Гравий колотый</t>
        </is>
      </c>
      <c r="H92" s="41" t="inlineStr">
        <is>
          <t>Показать строкой</t>
        </is>
      </c>
      <c r="I92" s="41" t="inlineStr">
        <is>
          <t>Эконом</t>
        </is>
      </c>
      <c r="J92" s="41" t="inlineStr">
        <is>
          <t>Автогенерация 1:1; тарифные различия ещё не настроены</t>
        </is>
      </c>
    </row>
    <row r="93">
      <c r="A93" s="42" t="inlineStr">
        <is>
          <t>RMAT-0031</t>
        </is>
      </c>
      <c r="B93" s="42" t="inlineStr">
        <is>
          <t>Гравий колотый</t>
        </is>
      </c>
      <c r="C93" s="42" t="inlineStr">
        <is>
          <t>Стандарт</t>
        </is>
      </c>
      <c r="D93" s="42" t="inlineStr">
        <is>
          <t>MV-0031</t>
        </is>
      </c>
      <c r="E93" s="60" t="n"/>
      <c r="F93" s="60" t="n">
        <v>1</v>
      </c>
      <c r="G93" s="42" t="inlineStr">
        <is>
          <t>Гравий колотый</t>
        </is>
      </c>
      <c r="H93" s="42" t="inlineStr">
        <is>
          <t>Показать строкой</t>
        </is>
      </c>
      <c r="I93" s="42" t="inlineStr">
        <is>
          <t>Стандарт</t>
        </is>
      </c>
      <c r="J93" s="42" t="inlineStr">
        <is>
          <t>Автогенерация 1:1; тарифные различия ещё не настроены</t>
        </is>
      </c>
    </row>
    <row r="94">
      <c r="A94" s="41" t="inlineStr">
        <is>
          <t>RMAT-0031</t>
        </is>
      </c>
      <c r="B94" s="41" t="inlineStr">
        <is>
          <t>Гравий колотый</t>
        </is>
      </c>
      <c r="C94" s="41" t="inlineStr">
        <is>
          <t>Премиум</t>
        </is>
      </c>
      <c r="D94" s="41" t="inlineStr">
        <is>
          <t>MV-0031</t>
        </is>
      </c>
      <c r="E94" s="59" t="n"/>
      <c r="F94" s="59" t="n">
        <v>1</v>
      </c>
      <c r="G94" s="41" t="inlineStr">
        <is>
          <t>Гравий колотый</t>
        </is>
      </c>
      <c r="H94" s="41" t="inlineStr">
        <is>
          <t>Показать строкой</t>
        </is>
      </c>
      <c r="I94" s="41" t="inlineStr">
        <is>
          <t>Премиум</t>
        </is>
      </c>
      <c r="J94" s="41" t="inlineStr">
        <is>
          <t>Автогенерация 1:1; тарифные различия ещё не настроены</t>
        </is>
      </c>
    </row>
    <row r="95">
      <c r="A95" s="42" t="inlineStr">
        <is>
          <t>RMAT-0032</t>
        </is>
      </c>
      <c r="B95" s="42" t="inlineStr">
        <is>
          <t>Грунт дерновый /просеивание местного грунта</t>
        </is>
      </c>
      <c r="C95" s="42" t="inlineStr">
        <is>
          <t>Эконом</t>
        </is>
      </c>
      <c r="D95" s="42" t="inlineStr">
        <is>
          <t>MV-0032</t>
        </is>
      </c>
      <c r="E95" s="60" t="n"/>
      <c r="F95" s="60" t="n">
        <v>1</v>
      </c>
      <c r="G95" s="42" t="inlineStr">
        <is>
          <t>Грунт дерновый /просеивание местного грунта</t>
        </is>
      </c>
      <c r="H95" s="42" t="inlineStr">
        <is>
          <t>Показать строкой</t>
        </is>
      </c>
      <c r="I95" s="42" t="inlineStr">
        <is>
          <t>Эконом</t>
        </is>
      </c>
      <c r="J95" s="42" t="inlineStr">
        <is>
          <t>Автогенерация 1:1; тарифные различия ещё не настроены</t>
        </is>
      </c>
    </row>
    <row r="96">
      <c r="A96" s="41" t="inlineStr">
        <is>
          <t>RMAT-0032</t>
        </is>
      </c>
      <c r="B96" s="41" t="inlineStr">
        <is>
          <t>Грунт дерновый /просеивание местного грунта</t>
        </is>
      </c>
      <c r="C96" s="41" t="inlineStr">
        <is>
          <t>Стандарт</t>
        </is>
      </c>
      <c r="D96" s="41" t="inlineStr">
        <is>
          <t>MV-0032</t>
        </is>
      </c>
      <c r="E96" s="59" t="n"/>
      <c r="F96" s="59" t="n">
        <v>1</v>
      </c>
      <c r="G96" s="41" t="inlineStr">
        <is>
          <t>Грунт дерновый /просеивание местного грунта</t>
        </is>
      </c>
      <c r="H96" s="41" t="inlineStr">
        <is>
          <t>Показать строкой</t>
        </is>
      </c>
      <c r="I96" s="41" t="inlineStr">
        <is>
          <t>Стандарт</t>
        </is>
      </c>
      <c r="J96" s="41" t="inlineStr">
        <is>
          <t>Автогенерация 1:1; тарифные различия ещё не настроены</t>
        </is>
      </c>
    </row>
    <row r="97">
      <c r="A97" s="42" t="inlineStr">
        <is>
          <t>RMAT-0032</t>
        </is>
      </c>
      <c r="B97" s="42" t="inlineStr">
        <is>
          <t>Грунт дерновый /просеивание местного грунта</t>
        </is>
      </c>
      <c r="C97" s="42" t="inlineStr">
        <is>
          <t>Премиум</t>
        </is>
      </c>
      <c r="D97" s="42" t="inlineStr">
        <is>
          <t>MV-0032</t>
        </is>
      </c>
      <c r="E97" s="60" t="n"/>
      <c r="F97" s="60" t="n">
        <v>1</v>
      </c>
      <c r="G97" s="42" t="inlineStr">
        <is>
          <t>Грунт дерновый /просеивание местного грунта</t>
        </is>
      </c>
      <c r="H97" s="42" t="inlineStr">
        <is>
          <t>Показать строкой</t>
        </is>
      </c>
      <c r="I97" s="42" t="inlineStr">
        <is>
          <t>Премиум</t>
        </is>
      </c>
      <c r="J97" s="42" t="inlineStr">
        <is>
          <t>Автогенерация 1:1; тарифные различия ещё не настроены</t>
        </is>
      </c>
    </row>
    <row r="98">
      <c r="A98" s="41" t="inlineStr">
        <is>
          <t>RMAT-0033</t>
        </is>
      </c>
      <c r="B98" s="41" t="inlineStr">
        <is>
          <t>Грунт плодородный</t>
        </is>
      </c>
      <c r="C98" s="41" t="inlineStr">
        <is>
          <t>Эконом</t>
        </is>
      </c>
      <c r="D98" s="41" t="inlineStr">
        <is>
          <t>MV-0033</t>
        </is>
      </c>
      <c r="E98" s="59" t="n"/>
      <c r="F98" s="59" t="n">
        <v>1</v>
      </c>
      <c r="G98" s="41" t="inlineStr">
        <is>
          <t>Грунт плодородный</t>
        </is>
      </c>
      <c r="H98" s="41" t="inlineStr">
        <is>
          <t>Показать строкой</t>
        </is>
      </c>
      <c r="I98" s="41" t="inlineStr">
        <is>
          <t>Эконом</t>
        </is>
      </c>
      <c r="J98" s="41" t="inlineStr">
        <is>
          <t>Автогенерация 1:1; тарифные различия ещё не настроены</t>
        </is>
      </c>
    </row>
    <row r="99">
      <c r="A99" s="42" t="inlineStr">
        <is>
          <t>RMAT-0033</t>
        </is>
      </c>
      <c r="B99" s="42" t="inlineStr">
        <is>
          <t>Грунт плодородный</t>
        </is>
      </c>
      <c r="C99" s="42" t="inlineStr">
        <is>
          <t>Стандарт</t>
        </is>
      </c>
      <c r="D99" s="42" t="inlineStr">
        <is>
          <t>MV-0033</t>
        </is>
      </c>
      <c r="E99" s="60" t="n"/>
      <c r="F99" s="60" t="n">
        <v>1</v>
      </c>
      <c r="G99" s="42" t="inlineStr">
        <is>
          <t>Грунт плодородный</t>
        </is>
      </c>
      <c r="H99" s="42" t="inlineStr">
        <is>
          <t>Показать строкой</t>
        </is>
      </c>
      <c r="I99" s="42" t="inlineStr">
        <is>
          <t>Стандарт</t>
        </is>
      </c>
      <c r="J99" s="42" t="inlineStr">
        <is>
          <t>Автогенерация 1:1; тарифные различия ещё не настроены</t>
        </is>
      </c>
    </row>
    <row r="100">
      <c r="A100" s="41" t="inlineStr">
        <is>
          <t>RMAT-0033</t>
        </is>
      </c>
      <c r="B100" s="41" t="inlineStr">
        <is>
          <t>Грунт плодородный</t>
        </is>
      </c>
      <c r="C100" s="41" t="inlineStr">
        <is>
          <t>Премиум</t>
        </is>
      </c>
      <c r="D100" s="41" t="inlineStr">
        <is>
          <t>MV-0033</t>
        </is>
      </c>
      <c r="E100" s="59" t="n"/>
      <c r="F100" s="59" t="n">
        <v>1</v>
      </c>
      <c r="G100" s="41" t="inlineStr">
        <is>
          <t>Грунт плодородный</t>
        </is>
      </c>
      <c r="H100" s="41" t="inlineStr">
        <is>
          <t>Показать строкой</t>
        </is>
      </c>
      <c r="I100" s="41" t="inlineStr">
        <is>
          <t>Премиум</t>
        </is>
      </c>
      <c r="J100" s="41" t="inlineStr">
        <is>
          <t>Автогенерация 1:1; тарифные различия ещё не настроены</t>
        </is>
      </c>
    </row>
    <row r="101">
      <c r="A101" s="42" t="inlineStr">
        <is>
          <t>RMAT-0034</t>
        </is>
      </c>
      <c r="B101" s="42" t="inlineStr">
        <is>
          <t>Грунтовка концентрат</t>
        </is>
      </c>
      <c r="C101" s="42" t="inlineStr">
        <is>
          <t>Эконом</t>
        </is>
      </c>
      <c r="D101" s="42" t="inlineStr">
        <is>
          <t>MV-0034</t>
        </is>
      </c>
      <c r="E101" s="60" t="n"/>
      <c r="F101" s="60" t="n">
        <v>1</v>
      </c>
      <c r="G101" s="42" t="inlineStr">
        <is>
          <t>Грунтовка концентрат</t>
        </is>
      </c>
      <c r="H101" s="42" t="inlineStr">
        <is>
          <t>Показать строкой</t>
        </is>
      </c>
      <c r="I101" s="42" t="inlineStr">
        <is>
          <t>Эконом</t>
        </is>
      </c>
      <c r="J101" s="42" t="inlineStr">
        <is>
          <t>Автогенерация 1:1; тарифные различия ещё не настроены</t>
        </is>
      </c>
    </row>
    <row r="102">
      <c r="A102" s="41" t="inlineStr">
        <is>
          <t>RMAT-0034</t>
        </is>
      </c>
      <c r="B102" s="41" t="inlineStr">
        <is>
          <t>Грунтовка концентрат</t>
        </is>
      </c>
      <c r="C102" s="41" t="inlineStr">
        <is>
          <t>Стандарт</t>
        </is>
      </c>
      <c r="D102" s="41" t="inlineStr">
        <is>
          <t>MV-0034</t>
        </is>
      </c>
      <c r="E102" s="59" t="n"/>
      <c r="F102" s="59" t="n">
        <v>1</v>
      </c>
      <c r="G102" s="41" t="inlineStr">
        <is>
          <t>Грунтовка концентрат</t>
        </is>
      </c>
      <c r="H102" s="41" t="inlineStr">
        <is>
          <t>Показать строкой</t>
        </is>
      </c>
      <c r="I102" s="41" t="inlineStr">
        <is>
          <t>Стандарт</t>
        </is>
      </c>
      <c r="J102" s="41" t="inlineStr">
        <is>
          <t>Автогенерация 1:1; тарифные различия ещё не настроены</t>
        </is>
      </c>
    </row>
    <row r="103">
      <c r="A103" s="42" t="inlineStr">
        <is>
          <t>RMAT-0034</t>
        </is>
      </c>
      <c r="B103" s="42" t="inlineStr">
        <is>
          <t>Грунтовка концентрат</t>
        </is>
      </c>
      <c r="C103" s="42" t="inlineStr">
        <is>
          <t>Премиум</t>
        </is>
      </c>
      <c r="D103" s="42" t="inlineStr">
        <is>
          <t>MV-0034</t>
        </is>
      </c>
      <c r="E103" s="60" t="n"/>
      <c r="F103" s="60" t="n">
        <v>1</v>
      </c>
      <c r="G103" s="42" t="inlineStr">
        <is>
          <t>Грунтовка концентрат</t>
        </is>
      </c>
      <c r="H103" s="42" t="inlineStr">
        <is>
          <t>Показать строкой</t>
        </is>
      </c>
      <c r="I103" s="42" t="inlineStr">
        <is>
          <t>Премиум</t>
        </is>
      </c>
      <c r="J103" s="42" t="inlineStr">
        <is>
          <t>Автогенерация 1:1; тарифные различия ещё не настроены</t>
        </is>
      </c>
    </row>
    <row r="104">
      <c r="A104" s="41" t="inlineStr">
        <is>
          <t>RMAT-0035</t>
        </is>
      </c>
      <c r="B104" s="41" t="inlineStr">
        <is>
          <t>Диск алмазный по камню d=230ммхМ14 (гранит)</t>
        </is>
      </c>
      <c r="C104" s="41" t="inlineStr">
        <is>
          <t>Эконом</t>
        </is>
      </c>
      <c r="D104" s="41" t="inlineStr">
        <is>
          <t>MV-0035</t>
        </is>
      </c>
      <c r="E104" s="59" t="n"/>
      <c r="F104" s="59" t="n">
        <v>1</v>
      </c>
      <c r="G104" s="41" t="inlineStr">
        <is>
          <t>Диск алмазный по камню d=230ммхМ14 (гранит)</t>
        </is>
      </c>
      <c r="H104" s="41" t="inlineStr">
        <is>
          <t>Показать строкой</t>
        </is>
      </c>
      <c r="I104" s="41" t="inlineStr">
        <is>
          <t>Эконом</t>
        </is>
      </c>
      <c r="J104" s="41" t="inlineStr">
        <is>
          <t>Автогенерация 1:1; тарифные различия ещё не настроены</t>
        </is>
      </c>
    </row>
    <row r="105">
      <c r="A105" s="42" t="inlineStr">
        <is>
          <t>RMAT-0035</t>
        </is>
      </c>
      <c r="B105" s="42" t="inlineStr">
        <is>
          <t>Диск алмазный по камню d=230ммхМ14 (гранит)</t>
        </is>
      </c>
      <c r="C105" s="42" t="inlineStr">
        <is>
          <t>Стандарт</t>
        </is>
      </c>
      <c r="D105" s="42" t="inlineStr">
        <is>
          <t>MV-0035</t>
        </is>
      </c>
      <c r="E105" s="60" t="n"/>
      <c r="F105" s="60" t="n">
        <v>1</v>
      </c>
      <c r="G105" s="42" t="inlineStr">
        <is>
          <t>Диск алмазный по камню d=230ммхМ14 (гранит)</t>
        </is>
      </c>
      <c r="H105" s="42" t="inlineStr">
        <is>
          <t>Показать строкой</t>
        </is>
      </c>
      <c r="I105" s="42" t="inlineStr">
        <is>
          <t>Стандарт</t>
        </is>
      </c>
      <c r="J105" s="42" t="inlineStr">
        <is>
          <t>Автогенерация 1:1; тарифные различия ещё не настроены</t>
        </is>
      </c>
    </row>
    <row r="106">
      <c r="A106" s="41" t="inlineStr">
        <is>
          <t>RMAT-0035</t>
        </is>
      </c>
      <c r="B106" s="41" t="inlineStr">
        <is>
          <t>Диск алмазный по камню d=230ммхМ14 (гранит)</t>
        </is>
      </c>
      <c r="C106" s="41" t="inlineStr">
        <is>
          <t>Премиум</t>
        </is>
      </c>
      <c r="D106" s="41" t="inlineStr">
        <is>
          <t>MV-0035</t>
        </is>
      </c>
      <c r="E106" s="59" t="n"/>
      <c r="F106" s="59" t="n">
        <v>1</v>
      </c>
      <c r="G106" s="41" t="inlineStr">
        <is>
          <t>Диск алмазный по камню d=230ммхМ14 (гранит)</t>
        </is>
      </c>
      <c r="H106" s="41" t="inlineStr">
        <is>
          <t>Показать строкой</t>
        </is>
      </c>
      <c r="I106" s="41" t="inlineStr">
        <is>
          <t>Премиум</t>
        </is>
      </c>
      <c r="J106" s="41" t="inlineStr">
        <is>
          <t>Автогенерация 1:1; тарифные различия ещё не настроены</t>
        </is>
      </c>
    </row>
    <row r="107">
      <c r="A107" s="42" t="inlineStr">
        <is>
          <t>RMAT-0036</t>
        </is>
      </c>
      <c r="B107" s="42" t="inlineStr">
        <is>
          <t>Диск по металлу</t>
        </is>
      </c>
      <c r="C107" s="42" t="inlineStr">
        <is>
          <t>Эконом</t>
        </is>
      </c>
      <c r="D107" s="42" t="inlineStr">
        <is>
          <t>MV-0036</t>
        </is>
      </c>
      <c r="E107" s="60" t="n"/>
      <c r="F107" s="60" t="n">
        <v>1</v>
      </c>
      <c r="G107" s="42" t="inlineStr">
        <is>
          <t>Диск по металлу</t>
        </is>
      </c>
      <c r="H107" s="42" t="inlineStr">
        <is>
          <t>Показать строкой</t>
        </is>
      </c>
      <c r="I107" s="42" t="inlineStr">
        <is>
          <t>Эконом</t>
        </is>
      </c>
      <c r="J107" s="42" t="inlineStr">
        <is>
          <t>Автогенерация 1:1; тарифные различия ещё не настроены</t>
        </is>
      </c>
    </row>
    <row r="108">
      <c r="A108" s="41" t="inlineStr">
        <is>
          <t>RMAT-0036</t>
        </is>
      </c>
      <c r="B108" s="41" t="inlineStr">
        <is>
          <t>Диск по металлу</t>
        </is>
      </c>
      <c r="C108" s="41" t="inlineStr">
        <is>
          <t>Стандарт</t>
        </is>
      </c>
      <c r="D108" s="41" t="inlineStr">
        <is>
          <t>MV-0036</t>
        </is>
      </c>
      <c r="E108" s="59" t="n"/>
      <c r="F108" s="59" t="n">
        <v>1</v>
      </c>
      <c r="G108" s="41" t="inlineStr">
        <is>
          <t>Диск по металлу</t>
        </is>
      </c>
      <c r="H108" s="41" t="inlineStr">
        <is>
          <t>Показать строкой</t>
        </is>
      </c>
      <c r="I108" s="41" t="inlineStr">
        <is>
          <t>Стандарт</t>
        </is>
      </c>
      <c r="J108" s="41" t="inlineStr">
        <is>
          <t>Автогенерация 1:1; тарифные различия ещё не настроены</t>
        </is>
      </c>
    </row>
    <row r="109">
      <c r="A109" s="42" t="inlineStr">
        <is>
          <t>RMAT-0036</t>
        </is>
      </c>
      <c r="B109" s="42" t="inlineStr">
        <is>
          <t>Диск по металлу</t>
        </is>
      </c>
      <c r="C109" s="42" t="inlineStr">
        <is>
          <t>Премиум</t>
        </is>
      </c>
      <c r="D109" s="42" t="inlineStr">
        <is>
          <t>MV-0036</t>
        </is>
      </c>
      <c r="E109" s="60" t="n"/>
      <c r="F109" s="60" t="n">
        <v>1</v>
      </c>
      <c r="G109" s="42" t="inlineStr">
        <is>
          <t>Диск по металлу</t>
        </is>
      </c>
      <c r="H109" s="42" t="inlineStr">
        <is>
          <t>Показать строкой</t>
        </is>
      </c>
      <c r="I109" s="42" t="inlineStr">
        <is>
          <t>Премиум</t>
        </is>
      </c>
      <c r="J109" s="42" t="inlineStr">
        <is>
          <t>Автогенерация 1:1; тарифные различия ещё не настроены</t>
        </is>
      </c>
    </row>
    <row r="110">
      <c r="A110" s="41" t="inlineStr">
        <is>
          <t>RMAT-0037</t>
        </is>
      </c>
      <c r="B110" s="41" t="inlineStr">
        <is>
          <t>Дождеприемник ДП–30.30-ПП с комплектующими и чугунной решеткой, фасонные элементы</t>
        </is>
      </c>
      <c r="C110" s="41" t="inlineStr">
        <is>
          <t>Эконом</t>
        </is>
      </c>
      <c r="D110" s="41" t="inlineStr">
        <is>
          <t>MV-0037</t>
        </is>
      </c>
      <c r="E110" s="59" t="n"/>
      <c r="F110" s="59" t="n">
        <v>1</v>
      </c>
      <c r="G110" s="41" t="inlineStr">
        <is>
          <t>Дождеприемник ДП–30.30-ПП с комплектующими и чугунной решеткой, фасонные элементы</t>
        </is>
      </c>
      <c r="H110" s="41" t="inlineStr">
        <is>
          <t>Показать строкой</t>
        </is>
      </c>
      <c r="I110" s="41" t="inlineStr">
        <is>
          <t>Эконом</t>
        </is>
      </c>
      <c r="J110" s="41" t="inlineStr">
        <is>
          <t>Автогенерация 1:1; тарифные различия ещё не настроены</t>
        </is>
      </c>
    </row>
    <row r="111">
      <c r="A111" s="42" t="inlineStr">
        <is>
          <t>RMAT-0037</t>
        </is>
      </c>
      <c r="B111" s="42" t="inlineStr">
        <is>
          <t>Дождеприемник ДП–30.30-ПП с комплектующими и чугунной решеткой, фасонные элементы</t>
        </is>
      </c>
      <c r="C111" s="42" t="inlineStr">
        <is>
          <t>Стандарт</t>
        </is>
      </c>
      <c r="D111" s="42" t="inlineStr">
        <is>
          <t>MV-0037</t>
        </is>
      </c>
      <c r="E111" s="60" t="n"/>
      <c r="F111" s="60" t="n">
        <v>1</v>
      </c>
      <c r="G111" s="42" t="inlineStr">
        <is>
          <t>Дождеприемник ДП–30.30-ПП с комплектующими и чугунной решеткой, фасонные элементы</t>
        </is>
      </c>
      <c r="H111" s="42" t="inlineStr">
        <is>
          <t>Показать строкой</t>
        </is>
      </c>
      <c r="I111" s="42" t="inlineStr">
        <is>
          <t>Стандарт</t>
        </is>
      </c>
      <c r="J111" s="42" t="inlineStr">
        <is>
          <t>Автогенерация 1:1; тарифные различия ещё не настроены</t>
        </is>
      </c>
    </row>
    <row r="112">
      <c r="A112" s="41" t="inlineStr">
        <is>
          <t>RMAT-0037</t>
        </is>
      </c>
      <c r="B112" s="41" t="inlineStr">
        <is>
          <t>Дождеприемник ДП–30.30-ПП с комплектующими и чугунной решеткой, фасонные элементы</t>
        </is>
      </c>
      <c r="C112" s="41" t="inlineStr">
        <is>
          <t>Премиум</t>
        </is>
      </c>
      <c r="D112" s="41" t="inlineStr">
        <is>
          <t>MV-0037</t>
        </is>
      </c>
      <c r="E112" s="59" t="n"/>
      <c r="F112" s="59" t="n">
        <v>1</v>
      </c>
      <c r="G112" s="41" t="inlineStr">
        <is>
          <t>Дождеприемник ДП–30.30-ПП с комплектующими и чугунной решеткой, фасонные элементы</t>
        </is>
      </c>
      <c r="H112" s="41" t="inlineStr">
        <is>
          <t>Показать строкой</t>
        </is>
      </c>
      <c r="I112" s="41" t="inlineStr">
        <is>
          <t>Премиум</t>
        </is>
      </c>
      <c r="J112" s="41" t="inlineStr">
        <is>
          <t>Автогенерация 1:1; тарифные различия ещё не настроены</t>
        </is>
      </c>
    </row>
    <row r="113">
      <c r="A113" s="42" t="inlineStr">
        <is>
          <t>RMAT-0038</t>
        </is>
      </c>
      <c r="B113" s="42" t="inlineStr">
        <is>
          <t>Дождеприемник пластик. 300х300х300 мм в сборе с решеткой чугунной</t>
        </is>
      </c>
      <c r="C113" s="42" t="inlineStr">
        <is>
          <t>Эконом</t>
        </is>
      </c>
      <c r="D113" s="42" t="inlineStr">
        <is>
          <t>MV-0038</t>
        </is>
      </c>
      <c r="E113" s="60" t="n"/>
      <c r="F113" s="60" t="n">
        <v>1</v>
      </c>
      <c r="G113" s="42" t="inlineStr">
        <is>
          <t>Дождеприемник пластик. 300х300х300 мм в сборе с решеткой чугунной</t>
        </is>
      </c>
      <c r="H113" s="42" t="inlineStr">
        <is>
          <t>Показать строкой</t>
        </is>
      </c>
      <c r="I113" s="42" t="inlineStr">
        <is>
          <t>Эконом</t>
        </is>
      </c>
      <c r="J113" s="42" t="inlineStr">
        <is>
          <t>Автогенерация 1:1; тарифные различия ещё не настроены</t>
        </is>
      </c>
    </row>
    <row r="114">
      <c r="A114" s="41" t="inlineStr">
        <is>
          <t>RMAT-0038</t>
        </is>
      </c>
      <c r="B114" s="41" t="inlineStr">
        <is>
          <t>Дождеприемник пластик. 300х300х300 мм в сборе с решеткой чугунной</t>
        </is>
      </c>
      <c r="C114" s="41" t="inlineStr">
        <is>
          <t>Стандарт</t>
        </is>
      </c>
      <c r="D114" s="41" t="inlineStr">
        <is>
          <t>MV-0038</t>
        </is>
      </c>
      <c r="E114" s="59" t="n"/>
      <c r="F114" s="59" t="n">
        <v>1</v>
      </c>
      <c r="G114" s="41" t="inlineStr">
        <is>
          <t>Дождеприемник пластик. 300х300х300 мм в сборе с решеткой чугунной</t>
        </is>
      </c>
      <c r="H114" s="41" t="inlineStr">
        <is>
          <t>Показать строкой</t>
        </is>
      </c>
      <c r="I114" s="41" t="inlineStr">
        <is>
          <t>Стандарт</t>
        </is>
      </c>
      <c r="J114" s="41" t="inlineStr">
        <is>
          <t>Автогенерация 1:1; тарифные различия ещё не настроены</t>
        </is>
      </c>
    </row>
    <row r="115">
      <c r="A115" s="42" t="inlineStr">
        <is>
          <t>RMAT-0038</t>
        </is>
      </c>
      <c r="B115" s="42" t="inlineStr">
        <is>
          <t>Дождеприемник пластик. 300х300х300 мм в сборе с решеткой чугунной</t>
        </is>
      </c>
      <c r="C115" s="42" t="inlineStr">
        <is>
          <t>Премиум</t>
        </is>
      </c>
      <c r="D115" s="42" t="inlineStr">
        <is>
          <t>MV-0038</t>
        </is>
      </c>
      <c r="E115" s="60" t="n"/>
      <c r="F115" s="60" t="n">
        <v>1</v>
      </c>
      <c r="G115" s="42" t="inlineStr">
        <is>
          <t>Дождеприемник пластик. 300х300х300 мм в сборе с решеткой чугунной</t>
        </is>
      </c>
      <c r="H115" s="42" t="inlineStr">
        <is>
          <t>Показать строкой</t>
        </is>
      </c>
      <c r="I115" s="42" t="inlineStr">
        <is>
          <t>Премиум</t>
        </is>
      </c>
      <c r="J115" s="42" t="inlineStr">
        <is>
          <t>Автогенерация 1:1; тарифные различия ещё не настроены</t>
        </is>
      </c>
    </row>
    <row r="116">
      <c r="A116" s="41" t="inlineStr">
        <is>
          <t>RMAT-0039</t>
        </is>
      </c>
      <c r="B116" s="41" t="inlineStr">
        <is>
          <t>доска для опалубки, 25*100*3000мм</t>
        </is>
      </c>
      <c r="C116" s="41" t="inlineStr">
        <is>
          <t>Эконом</t>
        </is>
      </c>
      <c r="D116" s="41" t="inlineStr">
        <is>
          <t>MV-0039</t>
        </is>
      </c>
      <c r="E116" s="59" t="n"/>
      <c r="F116" s="59" t="n">
        <v>1</v>
      </c>
      <c r="G116" s="41" t="inlineStr">
        <is>
          <t>доска для опалубки, 25*100*3000мм</t>
        </is>
      </c>
      <c r="H116" s="41" t="inlineStr">
        <is>
          <t>Показать строкой</t>
        </is>
      </c>
      <c r="I116" s="41" t="inlineStr">
        <is>
          <t>Эконом</t>
        </is>
      </c>
      <c r="J116" s="41" t="inlineStr">
        <is>
          <t>Автогенерация 1:1; тарифные различия ещё не настроены</t>
        </is>
      </c>
    </row>
    <row r="117">
      <c r="A117" s="42" t="inlineStr">
        <is>
          <t>RMAT-0039</t>
        </is>
      </c>
      <c r="B117" s="42" t="inlineStr">
        <is>
          <t>доска для опалубки, 25*100*3000мм</t>
        </is>
      </c>
      <c r="C117" s="42" t="inlineStr">
        <is>
          <t>Стандарт</t>
        </is>
      </c>
      <c r="D117" s="42" t="inlineStr">
        <is>
          <t>MV-0039</t>
        </is>
      </c>
      <c r="E117" s="60" t="n"/>
      <c r="F117" s="60" t="n">
        <v>1</v>
      </c>
      <c r="G117" s="42" t="inlineStr">
        <is>
          <t>доска для опалубки, 25*100*3000мм</t>
        </is>
      </c>
      <c r="H117" s="42" t="inlineStr">
        <is>
          <t>Показать строкой</t>
        </is>
      </c>
      <c r="I117" s="42" t="inlineStr">
        <is>
          <t>Стандарт</t>
        </is>
      </c>
      <c r="J117" s="42" t="inlineStr">
        <is>
          <t>Автогенерация 1:1; тарифные различия ещё не настроены</t>
        </is>
      </c>
    </row>
    <row r="118">
      <c r="A118" s="41" t="inlineStr">
        <is>
          <t>RMAT-0039</t>
        </is>
      </c>
      <c r="B118" s="41" t="inlineStr">
        <is>
          <t>доска для опалубки, 25*100*3000мм</t>
        </is>
      </c>
      <c r="C118" s="41" t="inlineStr">
        <is>
          <t>Премиум</t>
        </is>
      </c>
      <c r="D118" s="41" t="inlineStr">
        <is>
          <t>MV-0039</t>
        </is>
      </c>
      <c r="E118" s="59" t="n"/>
      <c r="F118" s="59" t="n">
        <v>1</v>
      </c>
      <c r="G118" s="41" t="inlineStr">
        <is>
          <t>доска для опалубки, 25*100*3000мм</t>
        </is>
      </c>
      <c r="H118" s="41" t="inlineStr">
        <is>
          <t>Показать строкой</t>
        </is>
      </c>
      <c r="I118" s="41" t="inlineStr">
        <is>
          <t>Премиум</t>
        </is>
      </c>
      <c r="J118" s="41" t="inlineStr">
        <is>
          <t>Автогенерация 1:1; тарифные различия ещё не настроены</t>
        </is>
      </c>
    </row>
    <row r="119">
      <c r="A119" s="42" t="inlineStr">
        <is>
          <t>RMAT-0040</t>
        </is>
      </c>
      <c r="B119" s="42" t="inlineStr">
        <is>
          <t>Доска импрегнированная 45*145*6000мм, строганая</t>
        </is>
      </c>
      <c r="C119" s="42" t="inlineStr">
        <is>
          <t>Эконом</t>
        </is>
      </c>
      <c r="D119" s="42" t="inlineStr">
        <is>
          <t>MV-0040</t>
        </is>
      </c>
      <c r="E119" s="60" t="n"/>
      <c r="F119" s="60" t="n">
        <v>1</v>
      </c>
      <c r="G119" s="42" t="inlineStr">
        <is>
          <t>Доска импрегнированная 45*145*6000мм, строганая</t>
        </is>
      </c>
      <c r="H119" s="42" t="inlineStr">
        <is>
          <t>Показать строкой</t>
        </is>
      </c>
      <c r="I119" s="42" t="inlineStr">
        <is>
          <t>Эконом</t>
        </is>
      </c>
      <c r="J119" s="42" t="inlineStr">
        <is>
          <t>Автогенерация 1:1; тарифные различия ещё не настроены</t>
        </is>
      </c>
    </row>
    <row r="120">
      <c r="A120" s="41" t="inlineStr">
        <is>
          <t>RMAT-0040</t>
        </is>
      </c>
      <c r="B120" s="41" t="inlineStr">
        <is>
          <t>Доска импрегнированная 45*145*6000мм, строганая</t>
        </is>
      </c>
      <c r="C120" s="41" t="inlineStr">
        <is>
          <t>Стандарт</t>
        </is>
      </c>
      <c r="D120" s="41" t="inlineStr">
        <is>
          <t>MV-0040</t>
        </is>
      </c>
      <c r="E120" s="59" t="n"/>
      <c r="F120" s="59" t="n">
        <v>1</v>
      </c>
      <c r="G120" s="41" t="inlineStr">
        <is>
          <t>Доска импрегнированная 45*145*6000мм, строганая</t>
        </is>
      </c>
      <c r="H120" s="41" t="inlineStr">
        <is>
          <t>Показать строкой</t>
        </is>
      </c>
      <c r="I120" s="41" t="inlineStr">
        <is>
          <t>Стандарт</t>
        </is>
      </c>
      <c r="J120" s="41" t="inlineStr">
        <is>
          <t>Автогенерация 1:1; тарифные различия ещё не настроены</t>
        </is>
      </c>
    </row>
    <row r="121">
      <c r="A121" s="42" t="inlineStr">
        <is>
          <t>RMAT-0040</t>
        </is>
      </c>
      <c r="B121" s="42" t="inlineStr">
        <is>
          <t>Доска импрегнированная 45*145*6000мм, строганая</t>
        </is>
      </c>
      <c r="C121" s="42" t="inlineStr">
        <is>
          <t>Премиум</t>
        </is>
      </c>
      <c r="D121" s="42" t="inlineStr">
        <is>
          <t>MV-0040</t>
        </is>
      </c>
      <c r="E121" s="60" t="n"/>
      <c r="F121" s="60" t="n">
        <v>1</v>
      </c>
      <c r="G121" s="42" t="inlineStr">
        <is>
          <t>Доска импрегнированная 45*145*6000мм, строганая</t>
        </is>
      </c>
      <c r="H121" s="42" t="inlineStr">
        <is>
          <t>Показать строкой</t>
        </is>
      </c>
      <c r="I121" s="42" t="inlineStr">
        <is>
          <t>Премиум</t>
        </is>
      </c>
      <c r="J121" s="42" t="inlineStr">
        <is>
          <t>Автогенерация 1:1; тарифные различия ещё не настроены</t>
        </is>
      </c>
    </row>
    <row r="122">
      <c r="A122" s="41" t="inlineStr">
        <is>
          <t>RMAT-0041</t>
        </is>
      </c>
      <c r="B122" s="41" t="inlineStr">
        <is>
          <t>Доска импрегнированная 50*100*6000мм, обрезная</t>
        </is>
      </c>
      <c r="C122" s="41" t="inlineStr">
        <is>
          <t>Эконом</t>
        </is>
      </c>
      <c r="D122" s="41" t="inlineStr">
        <is>
          <t>MV-0041</t>
        </is>
      </c>
      <c r="E122" s="59" t="n"/>
      <c r="F122" s="59" t="n">
        <v>1</v>
      </c>
      <c r="G122" s="41" t="inlineStr">
        <is>
          <t>Доска импрегнированная 50*100*6000мм, обрезная</t>
        </is>
      </c>
      <c r="H122" s="41" t="inlineStr">
        <is>
          <t>Показать строкой</t>
        </is>
      </c>
      <c r="I122" s="41" t="inlineStr">
        <is>
          <t>Эконом</t>
        </is>
      </c>
      <c r="J122" s="41" t="inlineStr">
        <is>
          <t>Автогенерация 1:1; тарифные различия ещё не настроены</t>
        </is>
      </c>
    </row>
    <row r="123">
      <c r="A123" s="42" t="inlineStr">
        <is>
          <t>RMAT-0041</t>
        </is>
      </c>
      <c r="B123" s="42" t="inlineStr">
        <is>
          <t>Доска импрегнированная 50*100*6000мм, обрезная</t>
        </is>
      </c>
      <c r="C123" s="42" t="inlineStr">
        <is>
          <t>Стандарт</t>
        </is>
      </c>
      <c r="D123" s="42" t="inlineStr">
        <is>
          <t>MV-0041</t>
        </is>
      </c>
      <c r="E123" s="60" t="n"/>
      <c r="F123" s="60" t="n">
        <v>1</v>
      </c>
      <c r="G123" s="42" t="inlineStr">
        <is>
          <t>Доска импрегнированная 50*100*6000мм, обрезная</t>
        </is>
      </c>
      <c r="H123" s="42" t="inlineStr">
        <is>
          <t>Показать строкой</t>
        </is>
      </c>
      <c r="I123" s="42" t="inlineStr">
        <is>
          <t>Стандарт</t>
        </is>
      </c>
      <c r="J123" s="42" t="inlineStr">
        <is>
          <t>Автогенерация 1:1; тарифные различия ещё не настроены</t>
        </is>
      </c>
    </row>
    <row r="124">
      <c r="A124" s="41" t="inlineStr">
        <is>
          <t>RMAT-0041</t>
        </is>
      </c>
      <c r="B124" s="41" t="inlineStr">
        <is>
          <t>Доска импрегнированная 50*100*6000мм, обрезная</t>
        </is>
      </c>
      <c r="C124" s="41" t="inlineStr">
        <is>
          <t>Премиум</t>
        </is>
      </c>
      <c r="D124" s="41" t="inlineStr">
        <is>
          <t>MV-0041</t>
        </is>
      </c>
      <c r="E124" s="59" t="n"/>
      <c r="F124" s="59" t="n">
        <v>1</v>
      </c>
      <c r="G124" s="41" t="inlineStr">
        <is>
          <t>Доска импрегнированная 50*100*6000мм, обрезная</t>
        </is>
      </c>
      <c r="H124" s="41" t="inlineStr">
        <is>
          <t>Показать строкой</t>
        </is>
      </c>
      <c r="I124" s="41" t="inlineStr">
        <is>
          <t>Премиум</t>
        </is>
      </c>
      <c r="J124" s="41" t="inlineStr">
        <is>
          <t>Автогенерация 1:1; тарифные различия ещё не настроены</t>
        </is>
      </c>
    </row>
    <row r="125">
      <c r="A125" s="42" t="inlineStr">
        <is>
          <t>RMAT-0042</t>
        </is>
      </c>
      <c r="B125" s="42" t="inlineStr">
        <is>
          <t>Доска обрезн., сосна, 20х125х3000мм</t>
        </is>
      </c>
      <c r="C125" s="42" t="inlineStr">
        <is>
          <t>Эконом</t>
        </is>
      </c>
      <c r="D125" s="42" t="inlineStr">
        <is>
          <t>MV-0042</t>
        </is>
      </c>
      <c r="E125" s="60" t="n"/>
      <c r="F125" s="60" t="n">
        <v>1</v>
      </c>
      <c r="G125" s="42" t="inlineStr">
        <is>
          <t>Доска обрезн., сосна, 20х125х3000мм</t>
        </is>
      </c>
      <c r="H125" s="42" t="inlineStr">
        <is>
          <t>Показать строкой</t>
        </is>
      </c>
      <c r="I125" s="42" t="inlineStr">
        <is>
          <t>Эконом</t>
        </is>
      </c>
      <c r="J125" s="42" t="inlineStr">
        <is>
          <t>Автогенерация 1:1; тарифные различия ещё не настроены</t>
        </is>
      </c>
    </row>
    <row r="126">
      <c r="A126" s="41" t="inlineStr">
        <is>
          <t>RMAT-0042</t>
        </is>
      </c>
      <c r="B126" s="41" t="inlineStr">
        <is>
          <t>Доска обрезн., сосна, 20х125х3000мм</t>
        </is>
      </c>
      <c r="C126" s="41" t="inlineStr">
        <is>
          <t>Стандарт</t>
        </is>
      </c>
      <c r="D126" s="41" t="inlineStr">
        <is>
          <t>MV-0042</t>
        </is>
      </c>
      <c r="E126" s="59" t="n"/>
      <c r="F126" s="59" t="n">
        <v>1</v>
      </c>
      <c r="G126" s="41" t="inlineStr">
        <is>
          <t>Доска обрезн., сосна, 20х125х3000мм</t>
        </is>
      </c>
      <c r="H126" s="41" t="inlineStr">
        <is>
          <t>Показать строкой</t>
        </is>
      </c>
      <c r="I126" s="41" t="inlineStr">
        <is>
          <t>Стандарт</t>
        </is>
      </c>
      <c r="J126" s="41" t="inlineStr">
        <is>
          <t>Автогенерация 1:1; тарифные различия ещё не настроены</t>
        </is>
      </c>
    </row>
    <row r="127">
      <c r="A127" s="42" t="inlineStr">
        <is>
          <t>RMAT-0042</t>
        </is>
      </c>
      <c r="B127" s="42" t="inlineStr">
        <is>
          <t>Доска обрезн., сосна, 20х125х3000мм</t>
        </is>
      </c>
      <c r="C127" s="42" t="inlineStr">
        <is>
          <t>Премиум</t>
        </is>
      </c>
      <c r="D127" s="42" t="inlineStr">
        <is>
          <t>MV-0042</t>
        </is>
      </c>
      <c r="E127" s="60" t="n"/>
      <c r="F127" s="60" t="n">
        <v>1</v>
      </c>
      <c r="G127" s="42" t="inlineStr">
        <is>
          <t>Доска обрезн., сосна, 20х125х3000мм</t>
        </is>
      </c>
      <c r="H127" s="42" t="inlineStr">
        <is>
          <t>Показать строкой</t>
        </is>
      </c>
      <c r="I127" s="42" t="inlineStr">
        <is>
          <t>Премиум</t>
        </is>
      </c>
      <c r="J127" s="42" t="inlineStr">
        <is>
          <t>Автогенерация 1:1; тарифные различия ещё не настроены</t>
        </is>
      </c>
    </row>
    <row r="128">
      <c r="A128" s="41" t="inlineStr">
        <is>
          <t>RMAT-0043</t>
        </is>
      </c>
      <c r="B128" s="41" t="inlineStr">
        <is>
          <t>Доска обрезн., сосна, 20х145х3000мм</t>
        </is>
      </c>
      <c r="C128" s="41" t="inlineStr">
        <is>
          <t>Эконом</t>
        </is>
      </c>
      <c r="D128" s="41" t="inlineStr">
        <is>
          <t>MV-0043</t>
        </is>
      </c>
      <c r="E128" s="59" t="n"/>
      <c r="F128" s="59" t="n">
        <v>1</v>
      </c>
      <c r="G128" s="41" t="inlineStr">
        <is>
          <t>Доска обрезн., сосна, 20х145х3000мм</t>
        </is>
      </c>
      <c r="H128" s="41" t="inlineStr">
        <is>
          <t>Показать строкой</t>
        </is>
      </c>
      <c r="I128" s="41" t="inlineStr">
        <is>
          <t>Эконом</t>
        </is>
      </c>
      <c r="J128" s="41" t="inlineStr">
        <is>
          <t>Автогенерация 1:1; тарифные различия ещё не настроены</t>
        </is>
      </c>
    </row>
    <row r="129">
      <c r="A129" s="42" t="inlineStr">
        <is>
          <t>RMAT-0043</t>
        </is>
      </c>
      <c r="B129" s="42" t="inlineStr">
        <is>
          <t>Доска обрезн., сосна, 20х145х3000мм</t>
        </is>
      </c>
      <c r="C129" s="42" t="inlineStr">
        <is>
          <t>Стандарт</t>
        </is>
      </c>
      <c r="D129" s="42" t="inlineStr">
        <is>
          <t>MV-0043</t>
        </is>
      </c>
      <c r="E129" s="60" t="n"/>
      <c r="F129" s="60" t="n">
        <v>1</v>
      </c>
      <c r="G129" s="42" t="inlineStr">
        <is>
          <t>Доска обрезн., сосна, 20х145х3000мм</t>
        </is>
      </c>
      <c r="H129" s="42" t="inlineStr">
        <is>
          <t>Показать строкой</t>
        </is>
      </c>
      <c r="I129" s="42" t="inlineStr">
        <is>
          <t>Стандарт</t>
        </is>
      </c>
      <c r="J129" s="42" t="inlineStr">
        <is>
          <t>Автогенерация 1:1; тарифные различия ещё не настроены</t>
        </is>
      </c>
    </row>
    <row r="130">
      <c r="A130" s="41" t="inlineStr">
        <is>
          <t>RMAT-0043</t>
        </is>
      </c>
      <c r="B130" s="41" t="inlineStr">
        <is>
          <t>Доска обрезн., сосна, 20х145х3000мм</t>
        </is>
      </c>
      <c r="C130" s="41" t="inlineStr">
        <is>
          <t>Премиум</t>
        </is>
      </c>
      <c r="D130" s="41" t="inlineStr">
        <is>
          <t>MV-0043</t>
        </is>
      </c>
      <c r="E130" s="59" t="n"/>
      <c r="F130" s="59" t="n">
        <v>1</v>
      </c>
      <c r="G130" s="41" t="inlineStr">
        <is>
          <t>Доска обрезн., сосна, 20х145х3000мм</t>
        </is>
      </c>
      <c r="H130" s="41" t="inlineStr">
        <is>
          <t>Показать строкой</t>
        </is>
      </c>
      <c r="I130" s="41" t="inlineStr">
        <is>
          <t>Премиум</t>
        </is>
      </c>
      <c r="J130" s="41" t="inlineStr">
        <is>
          <t>Автогенерация 1:1; тарифные различия ещё не настроены</t>
        </is>
      </c>
    </row>
    <row r="131">
      <c r="A131" s="42" t="inlineStr">
        <is>
          <t>RMAT-0044</t>
        </is>
      </c>
      <c r="B131" s="42" t="inlineStr">
        <is>
          <t>Доска террасная негофрированная, термообработанная сосна 145*28*6000мм</t>
        </is>
      </c>
      <c r="C131" s="42" t="inlineStr">
        <is>
          <t>Эконом</t>
        </is>
      </c>
      <c r="D131" s="42" t="inlineStr">
        <is>
          <t>MV-0044</t>
        </is>
      </c>
      <c r="E131" s="60" t="n"/>
      <c r="F131" s="60" t="n">
        <v>1</v>
      </c>
      <c r="G131" s="42" t="inlineStr">
        <is>
          <t>Доска террасная негофрированная, термообработанная сосна 145*28*6000мм</t>
        </is>
      </c>
      <c r="H131" s="42" t="inlineStr">
        <is>
          <t>Показать строкой</t>
        </is>
      </c>
      <c r="I131" s="42" t="inlineStr">
        <is>
          <t>Эконом</t>
        </is>
      </c>
      <c r="J131" s="42" t="inlineStr">
        <is>
          <t>Автогенерация 1:1; тарифные различия ещё не настроены</t>
        </is>
      </c>
    </row>
    <row r="132">
      <c r="A132" s="41" t="inlineStr">
        <is>
          <t>RMAT-0044</t>
        </is>
      </c>
      <c r="B132" s="41" t="inlineStr">
        <is>
          <t>Доска террасная негофрированная, термообработанная сосна 145*28*6000мм</t>
        </is>
      </c>
      <c r="C132" s="41" t="inlineStr">
        <is>
          <t>Стандарт</t>
        </is>
      </c>
      <c r="D132" s="41" t="inlineStr">
        <is>
          <t>MV-0044</t>
        </is>
      </c>
      <c r="E132" s="59" t="n"/>
      <c r="F132" s="59" t="n">
        <v>1</v>
      </c>
      <c r="G132" s="41" t="inlineStr">
        <is>
          <t>Доска террасная негофрированная, термообработанная сосна 145*28*6000мм</t>
        </is>
      </c>
      <c r="H132" s="41" t="inlineStr">
        <is>
          <t>Показать строкой</t>
        </is>
      </c>
      <c r="I132" s="41" t="inlineStr">
        <is>
          <t>Стандарт</t>
        </is>
      </c>
      <c r="J132" s="41" t="inlineStr">
        <is>
          <t>Автогенерация 1:1; тарифные различия ещё не настроены</t>
        </is>
      </c>
    </row>
    <row r="133">
      <c r="A133" s="42" t="inlineStr">
        <is>
          <t>RMAT-0044</t>
        </is>
      </c>
      <c r="B133" s="42" t="inlineStr">
        <is>
          <t>Доска террасная негофрированная, термообработанная сосна 145*28*6000мм</t>
        </is>
      </c>
      <c r="C133" s="42" t="inlineStr">
        <is>
          <t>Премиум</t>
        </is>
      </c>
      <c r="D133" s="42" t="inlineStr">
        <is>
          <t>MV-0044</t>
        </is>
      </c>
      <c r="E133" s="60" t="n"/>
      <c r="F133" s="60" t="n">
        <v>1</v>
      </c>
      <c r="G133" s="42" t="inlineStr">
        <is>
          <t>Доска террасная негофрированная, термообработанная сосна 145*28*6000мм</t>
        </is>
      </c>
      <c r="H133" s="42" t="inlineStr">
        <is>
          <t>Показать строкой</t>
        </is>
      </c>
      <c r="I133" s="42" t="inlineStr">
        <is>
          <t>Премиум</t>
        </is>
      </c>
      <c r="J133" s="42" t="inlineStr">
        <is>
          <t>Автогенерация 1:1; тарифные различия ещё не настроены</t>
        </is>
      </c>
    </row>
    <row r="134">
      <c r="A134" s="41" t="inlineStr">
        <is>
          <t>RMAT-0045</t>
        </is>
      </c>
      <c r="B134" s="41" t="inlineStr">
        <is>
          <t>Доска хвойная сырая, нестроганая 150*25*6000мм (для опалубки)</t>
        </is>
      </c>
      <c r="C134" s="41" t="inlineStr">
        <is>
          <t>Эконом</t>
        </is>
      </c>
      <c r="D134" s="41" t="inlineStr">
        <is>
          <t>MV-0045</t>
        </is>
      </c>
      <c r="E134" s="59" t="n"/>
      <c r="F134" s="59" t="n">
        <v>1</v>
      </c>
      <c r="G134" s="41" t="inlineStr">
        <is>
          <t>Доска хвойная сырая, нестроганая 150*25*6000мм (для опалубки)</t>
        </is>
      </c>
      <c r="H134" s="41" t="inlineStr">
        <is>
          <t>Показать строкой</t>
        </is>
      </c>
      <c r="I134" s="41" t="inlineStr">
        <is>
          <t>Эконом</t>
        </is>
      </c>
      <c r="J134" s="41" t="inlineStr">
        <is>
          <t>Автогенерация 1:1; тарифные различия ещё не настроены</t>
        </is>
      </c>
    </row>
    <row r="135">
      <c r="A135" s="42" t="inlineStr">
        <is>
          <t>RMAT-0045</t>
        </is>
      </c>
      <c r="B135" s="42" t="inlineStr">
        <is>
          <t>Доска хвойная сырая, нестроганая 150*25*6000мм (для опалубки)</t>
        </is>
      </c>
      <c r="C135" s="42" t="inlineStr">
        <is>
          <t>Стандарт</t>
        </is>
      </c>
      <c r="D135" s="42" t="inlineStr">
        <is>
          <t>MV-0045</t>
        </is>
      </c>
      <c r="E135" s="60" t="n"/>
      <c r="F135" s="60" t="n">
        <v>1</v>
      </c>
      <c r="G135" s="42" t="inlineStr">
        <is>
          <t>Доска хвойная сырая, нестроганая 150*25*6000мм (для опалубки)</t>
        </is>
      </c>
      <c r="H135" s="42" t="inlineStr">
        <is>
          <t>Показать строкой</t>
        </is>
      </c>
      <c r="I135" s="42" t="inlineStr">
        <is>
          <t>Стандарт</t>
        </is>
      </c>
      <c r="J135" s="42" t="inlineStr">
        <is>
          <t>Автогенерация 1:1; тарифные различия ещё не настроены</t>
        </is>
      </c>
    </row>
    <row r="136">
      <c r="A136" s="41" t="inlineStr">
        <is>
          <t>RMAT-0045</t>
        </is>
      </c>
      <c r="B136" s="41" t="inlineStr">
        <is>
          <t>Доска хвойная сырая, нестроганая 150*25*6000мм (для опалубки)</t>
        </is>
      </c>
      <c r="C136" s="41" t="inlineStr">
        <is>
          <t>Премиум</t>
        </is>
      </c>
      <c r="D136" s="41" t="inlineStr">
        <is>
          <t>MV-0045</t>
        </is>
      </c>
      <c r="E136" s="59" t="n"/>
      <c r="F136" s="59" t="n">
        <v>1</v>
      </c>
      <c r="G136" s="41" t="inlineStr">
        <is>
          <t>Доска хвойная сырая, нестроганая 150*25*6000мм (для опалубки)</t>
        </is>
      </c>
      <c r="H136" s="41" t="inlineStr">
        <is>
          <t>Показать строкой</t>
        </is>
      </c>
      <c r="I136" s="41" t="inlineStr">
        <is>
          <t>Премиум</t>
        </is>
      </c>
      <c r="J136" s="41" t="inlineStr">
        <is>
          <t>Автогенерация 1:1; тарифные различия ещё не настроены</t>
        </is>
      </c>
    </row>
    <row r="137">
      <c r="A137" s="42" t="inlineStr">
        <is>
          <t>RMAT-0046</t>
        </is>
      </c>
      <c r="B137" s="42" t="inlineStr">
        <is>
          <t>Дюбель-гвоздь 8x100мм</t>
        </is>
      </c>
      <c r="C137" s="42" t="inlineStr">
        <is>
          <t>Эконом</t>
        </is>
      </c>
      <c r="D137" s="42" t="inlineStr">
        <is>
          <t>MV-0046</t>
        </is>
      </c>
      <c r="E137" s="60" t="n"/>
      <c r="F137" s="60" t="n">
        <v>1</v>
      </c>
      <c r="G137" s="42" t="inlineStr">
        <is>
          <t>Дюбель-гвоздь 8x100мм</t>
        </is>
      </c>
      <c r="H137" s="42" t="inlineStr">
        <is>
          <t>Показать строкой</t>
        </is>
      </c>
      <c r="I137" s="42" t="inlineStr">
        <is>
          <t>Эконом</t>
        </is>
      </c>
      <c r="J137" s="42" t="inlineStr">
        <is>
          <t>Автогенерация 1:1; тарифные различия ещё не настроены</t>
        </is>
      </c>
    </row>
    <row r="138">
      <c r="A138" s="41" t="inlineStr">
        <is>
          <t>RMAT-0046</t>
        </is>
      </c>
      <c r="B138" s="41" t="inlineStr">
        <is>
          <t>Дюбель-гвоздь 8x100мм</t>
        </is>
      </c>
      <c r="C138" s="41" t="inlineStr">
        <is>
          <t>Стандарт</t>
        </is>
      </c>
      <c r="D138" s="41" t="inlineStr">
        <is>
          <t>MV-0046</t>
        </is>
      </c>
      <c r="E138" s="59" t="n"/>
      <c r="F138" s="59" t="n">
        <v>1</v>
      </c>
      <c r="G138" s="41" t="inlineStr">
        <is>
          <t>Дюбель-гвоздь 8x100мм</t>
        </is>
      </c>
      <c r="H138" s="41" t="inlineStr">
        <is>
          <t>Показать строкой</t>
        </is>
      </c>
      <c r="I138" s="41" t="inlineStr">
        <is>
          <t>Стандарт</t>
        </is>
      </c>
      <c r="J138" s="41" t="inlineStr">
        <is>
          <t>Автогенерация 1:1; тарифные различия ещё не настроены</t>
        </is>
      </c>
    </row>
    <row r="139">
      <c r="A139" s="42" t="inlineStr">
        <is>
          <t>RMAT-0046</t>
        </is>
      </c>
      <c r="B139" s="42" t="inlineStr">
        <is>
          <t>Дюбель-гвоздь 8x100мм</t>
        </is>
      </c>
      <c r="C139" s="42" t="inlineStr">
        <is>
          <t>Премиум</t>
        </is>
      </c>
      <c r="D139" s="42" t="inlineStr">
        <is>
          <t>MV-0046</t>
        </is>
      </c>
      <c r="E139" s="60" t="n"/>
      <c r="F139" s="60" t="n">
        <v>1</v>
      </c>
      <c r="G139" s="42" t="inlineStr">
        <is>
          <t>Дюбель-гвоздь 8x100мм</t>
        </is>
      </c>
      <c r="H139" s="42" t="inlineStr">
        <is>
          <t>Показать строкой</t>
        </is>
      </c>
      <c r="I139" s="42" t="inlineStr">
        <is>
          <t>Премиум</t>
        </is>
      </c>
      <c r="J139" s="42" t="inlineStr">
        <is>
          <t>Автогенерация 1:1; тарифные различия ещё не настроены</t>
        </is>
      </c>
    </row>
    <row r="140">
      <c r="A140" s="41" t="inlineStr">
        <is>
          <t>RMAT-0047</t>
        </is>
      </c>
      <c r="B140" s="41" t="inlineStr">
        <is>
          <t>Затирка для широких швов Camonica, 25кг</t>
        </is>
      </c>
      <c r="C140" s="41" t="inlineStr">
        <is>
          <t>Эконом</t>
        </is>
      </c>
      <c r="D140" s="41" t="inlineStr">
        <is>
          <t>MV-0047</t>
        </is>
      </c>
      <c r="E140" s="59" t="n"/>
      <c r="F140" s="59" t="n">
        <v>1</v>
      </c>
      <c r="G140" s="41" t="inlineStr">
        <is>
          <t>Затирка для широких швов Camonica, 25кг</t>
        </is>
      </c>
      <c r="H140" s="41" t="inlineStr">
        <is>
          <t>Показать строкой</t>
        </is>
      </c>
      <c r="I140" s="41" t="inlineStr">
        <is>
          <t>Эконом</t>
        </is>
      </c>
      <c r="J140" s="41" t="inlineStr">
        <is>
          <t>Автогенерация 1:1; тарифные различия ещё не настроены</t>
        </is>
      </c>
    </row>
    <row r="141">
      <c r="A141" s="42" t="inlineStr">
        <is>
          <t>RMAT-0047</t>
        </is>
      </c>
      <c r="B141" s="42" t="inlineStr">
        <is>
          <t>Затирка для широких швов Camonica, 25кг</t>
        </is>
      </c>
      <c r="C141" s="42" t="inlineStr">
        <is>
          <t>Стандарт</t>
        </is>
      </c>
      <c r="D141" s="42" t="inlineStr">
        <is>
          <t>MV-0047</t>
        </is>
      </c>
      <c r="E141" s="60" t="n"/>
      <c r="F141" s="60" t="n">
        <v>1</v>
      </c>
      <c r="G141" s="42" t="inlineStr">
        <is>
          <t>Затирка для широких швов Camonica, 25кг</t>
        </is>
      </c>
      <c r="H141" s="42" t="inlineStr">
        <is>
          <t>Показать строкой</t>
        </is>
      </c>
      <c r="I141" s="42" t="inlineStr">
        <is>
          <t>Стандарт</t>
        </is>
      </c>
      <c r="J141" s="42" t="inlineStr">
        <is>
          <t>Автогенерация 1:1; тарифные различия ещё не настроены</t>
        </is>
      </c>
    </row>
    <row r="142">
      <c r="A142" s="41" t="inlineStr">
        <is>
          <t>RMAT-0047</t>
        </is>
      </c>
      <c r="B142" s="41" t="inlineStr">
        <is>
          <t>Затирка для широких швов Camonica, 25кг</t>
        </is>
      </c>
      <c r="C142" s="41" t="inlineStr">
        <is>
          <t>Премиум</t>
        </is>
      </c>
      <c r="D142" s="41" t="inlineStr">
        <is>
          <t>MV-0047</t>
        </is>
      </c>
      <c r="E142" s="59" t="n"/>
      <c r="F142" s="59" t="n">
        <v>1</v>
      </c>
      <c r="G142" s="41" t="inlineStr">
        <is>
          <t>Затирка для широких швов Camonica, 25кг</t>
        </is>
      </c>
      <c r="H142" s="41" t="inlineStr">
        <is>
          <t>Показать строкой</t>
        </is>
      </c>
      <c r="I142" s="41" t="inlineStr">
        <is>
          <t>Премиум</t>
        </is>
      </c>
      <c r="J142" s="41" t="inlineStr">
        <is>
          <t>Автогенерация 1:1; тарифные различия ещё не настроены</t>
        </is>
      </c>
    </row>
    <row r="143">
      <c r="A143" s="42" t="inlineStr">
        <is>
          <t>RMAT-0048</t>
        </is>
      </c>
      <c r="B143" s="42" t="inlineStr">
        <is>
          <t>Кабель силовой ВБШв нг(А)LS 3*1,5 0,66кВ броня</t>
        </is>
      </c>
      <c r="C143" s="42" t="inlineStr">
        <is>
          <t>Эконом</t>
        </is>
      </c>
      <c r="D143" s="42" t="inlineStr">
        <is>
          <t>MV-0048</t>
        </is>
      </c>
      <c r="E143" s="60" t="n"/>
      <c r="F143" s="60" t="n">
        <v>1</v>
      </c>
      <c r="G143" s="42" t="inlineStr">
        <is>
          <t>Кабель силовой ВБШв нг(А)LS 3*1,5 0,66кВ броня</t>
        </is>
      </c>
      <c r="H143" s="42" t="inlineStr">
        <is>
          <t>Показать строкой</t>
        </is>
      </c>
      <c r="I143" s="42" t="inlineStr">
        <is>
          <t>Эконом</t>
        </is>
      </c>
      <c r="J143" s="42" t="inlineStr">
        <is>
          <t>Автогенерация 1:1; тарифные различия ещё не настроены</t>
        </is>
      </c>
    </row>
    <row r="144">
      <c r="A144" s="41" t="inlineStr">
        <is>
          <t>RMAT-0048</t>
        </is>
      </c>
      <c r="B144" s="41" t="inlineStr">
        <is>
          <t>Кабель силовой ВБШв нг(А)LS 3*1,5 0,66кВ броня</t>
        </is>
      </c>
      <c r="C144" s="41" t="inlineStr">
        <is>
          <t>Стандарт</t>
        </is>
      </c>
      <c r="D144" s="41" t="inlineStr">
        <is>
          <t>MV-0048</t>
        </is>
      </c>
      <c r="E144" s="59" t="n"/>
      <c r="F144" s="59" t="n">
        <v>1</v>
      </c>
      <c r="G144" s="41" t="inlineStr">
        <is>
          <t>Кабель силовой ВБШв нг(А)LS 3*1,5 0,66кВ броня</t>
        </is>
      </c>
      <c r="H144" s="41" t="inlineStr">
        <is>
          <t>Показать строкой</t>
        </is>
      </c>
      <c r="I144" s="41" t="inlineStr">
        <is>
          <t>Стандарт</t>
        </is>
      </c>
      <c r="J144" s="41" t="inlineStr">
        <is>
          <t>Автогенерация 1:1; тарифные различия ещё не настроены</t>
        </is>
      </c>
    </row>
    <row r="145">
      <c r="A145" s="42" t="inlineStr">
        <is>
          <t>RMAT-0048</t>
        </is>
      </c>
      <c r="B145" s="42" t="inlineStr">
        <is>
          <t>Кабель силовой ВБШв нг(А)LS 3*1,5 0,66кВ броня</t>
        </is>
      </c>
      <c r="C145" s="42" t="inlineStr">
        <is>
          <t>Премиум</t>
        </is>
      </c>
      <c r="D145" s="42" t="inlineStr">
        <is>
          <t>MV-0048</t>
        </is>
      </c>
      <c r="E145" s="60" t="n"/>
      <c r="F145" s="60" t="n">
        <v>1</v>
      </c>
      <c r="G145" s="42" t="inlineStr">
        <is>
          <t>Кабель силовой ВБШв нг(А)LS 3*1,5 0,66кВ броня</t>
        </is>
      </c>
      <c r="H145" s="42" t="inlineStr">
        <is>
          <t>Показать строкой</t>
        </is>
      </c>
      <c r="I145" s="42" t="inlineStr">
        <is>
          <t>Премиум</t>
        </is>
      </c>
      <c r="J145" s="42" t="inlineStr">
        <is>
          <t>Автогенерация 1:1; тарифные различия ещё не настроены</t>
        </is>
      </c>
    </row>
    <row r="146">
      <c r="A146" s="41" t="inlineStr">
        <is>
          <t>RMAT-0049</t>
        </is>
      </c>
      <c r="B146" s="41" t="inlineStr">
        <is>
          <t>Кабель силовой ВБШв нг(А)LS 3*2,5 0,66кВ броня</t>
        </is>
      </c>
      <c r="C146" s="41" t="inlineStr">
        <is>
          <t>Эконом</t>
        </is>
      </c>
      <c r="D146" s="41" t="inlineStr">
        <is>
          <t>MV-0049</t>
        </is>
      </c>
      <c r="E146" s="59" t="n"/>
      <c r="F146" s="59" t="n">
        <v>1</v>
      </c>
      <c r="G146" s="41" t="inlineStr">
        <is>
          <t>Кабель силовой ВБШв нг(А)LS 3*2,5 0,66кВ броня</t>
        </is>
      </c>
      <c r="H146" s="41" t="inlineStr">
        <is>
          <t>Показать строкой</t>
        </is>
      </c>
      <c r="I146" s="41" t="inlineStr">
        <is>
          <t>Эконом</t>
        </is>
      </c>
      <c r="J146" s="41" t="inlineStr">
        <is>
          <t>Автогенерация 1:1; тарифные различия ещё не настроены</t>
        </is>
      </c>
    </row>
    <row r="147">
      <c r="A147" s="42" t="inlineStr">
        <is>
          <t>RMAT-0049</t>
        </is>
      </c>
      <c r="B147" s="42" t="inlineStr">
        <is>
          <t>Кабель силовой ВБШв нг(А)LS 3*2,5 0,66кВ броня</t>
        </is>
      </c>
      <c r="C147" s="42" t="inlineStr">
        <is>
          <t>Стандарт</t>
        </is>
      </c>
      <c r="D147" s="42" t="inlineStr">
        <is>
          <t>MV-0049</t>
        </is>
      </c>
      <c r="E147" s="60" t="n"/>
      <c r="F147" s="60" t="n">
        <v>1</v>
      </c>
      <c r="G147" s="42" t="inlineStr">
        <is>
          <t>Кабель силовой ВБШв нг(А)LS 3*2,5 0,66кВ броня</t>
        </is>
      </c>
      <c r="H147" s="42" t="inlineStr">
        <is>
          <t>Показать строкой</t>
        </is>
      </c>
      <c r="I147" s="42" t="inlineStr">
        <is>
          <t>Стандарт</t>
        </is>
      </c>
      <c r="J147" s="42" t="inlineStr">
        <is>
          <t>Автогенерация 1:1; тарифные различия ещё не настроены</t>
        </is>
      </c>
    </row>
    <row r="148">
      <c r="A148" s="41" t="inlineStr">
        <is>
          <t>RMAT-0049</t>
        </is>
      </c>
      <c r="B148" s="41" t="inlineStr">
        <is>
          <t>Кабель силовой ВБШв нг(А)LS 3*2,5 0,66кВ броня</t>
        </is>
      </c>
      <c r="C148" s="41" t="inlineStr">
        <is>
          <t>Премиум</t>
        </is>
      </c>
      <c r="D148" s="41" t="inlineStr">
        <is>
          <t>MV-0049</t>
        </is>
      </c>
      <c r="E148" s="59" t="n"/>
      <c r="F148" s="59" t="n">
        <v>1</v>
      </c>
      <c r="G148" s="41" t="inlineStr">
        <is>
          <t>Кабель силовой ВБШв нг(А)LS 3*2,5 0,66кВ броня</t>
        </is>
      </c>
      <c r="H148" s="41" t="inlineStr">
        <is>
          <t>Показать строкой</t>
        </is>
      </c>
      <c r="I148" s="41" t="inlineStr">
        <is>
          <t>Премиум</t>
        </is>
      </c>
      <c r="J148" s="41" t="inlineStr">
        <is>
          <t>Автогенерация 1:1; тарифные различия ещё не настроены</t>
        </is>
      </c>
    </row>
    <row r="149">
      <c r="A149" s="42" t="inlineStr">
        <is>
          <t>RMAT-0050</t>
        </is>
      </c>
      <c r="B149" s="42" t="inlineStr">
        <is>
          <t>Клей по дереву, 0,5л</t>
        </is>
      </c>
      <c r="C149" s="42" t="inlineStr">
        <is>
          <t>Эконом</t>
        </is>
      </c>
      <c r="D149" s="42" t="inlineStr">
        <is>
          <t>MV-0050</t>
        </is>
      </c>
      <c r="E149" s="60" t="n"/>
      <c r="F149" s="60" t="n">
        <v>1</v>
      </c>
      <c r="G149" s="42" t="inlineStr">
        <is>
          <t>Клей по дереву, 0,5л</t>
        </is>
      </c>
      <c r="H149" s="42" t="inlineStr">
        <is>
          <t>Показать строкой</t>
        </is>
      </c>
      <c r="I149" s="42" t="inlineStr">
        <is>
          <t>Эконом</t>
        </is>
      </c>
      <c r="J149" s="42" t="inlineStr">
        <is>
          <t>Автогенерация 1:1; тарифные различия ещё не настроены</t>
        </is>
      </c>
    </row>
    <row r="150">
      <c r="A150" s="41" t="inlineStr">
        <is>
          <t>RMAT-0050</t>
        </is>
      </c>
      <c r="B150" s="41" t="inlineStr">
        <is>
          <t>Клей по дереву, 0,5л</t>
        </is>
      </c>
      <c r="C150" s="41" t="inlineStr">
        <is>
          <t>Стандарт</t>
        </is>
      </c>
      <c r="D150" s="41" t="inlineStr">
        <is>
          <t>MV-0050</t>
        </is>
      </c>
      <c r="E150" s="59" t="n"/>
      <c r="F150" s="59" t="n">
        <v>1</v>
      </c>
      <c r="G150" s="41" t="inlineStr">
        <is>
          <t>Клей по дереву, 0,5л</t>
        </is>
      </c>
      <c r="H150" s="41" t="inlineStr">
        <is>
          <t>Показать строкой</t>
        </is>
      </c>
      <c r="I150" s="41" t="inlineStr">
        <is>
          <t>Стандарт</t>
        </is>
      </c>
      <c r="J150" s="41" t="inlineStr">
        <is>
          <t>Автогенерация 1:1; тарифные различия ещё не настроены</t>
        </is>
      </c>
    </row>
    <row r="151">
      <c r="A151" s="42" t="inlineStr">
        <is>
          <t>RMAT-0050</t>
        </is>
      </c>
      <c r="B151" s="42" t="inlineStr">
        <is>
          <t>Клей по дереву, 0,5л</t>
        </is>
      </c>
      <c r="C151" s="42" t="inlineStr">
        <is>
          <t>Премиум</t>
        </is>
      </c>
      <c r="D151" s="42" t="inlineStr">
        <is>
          <t>MV-0050</t>
        </is>
      </c>
      <c r="E151" s="60" t="n"/>
      <c r="F151" s="60" t="n">
        <v>1</v>
      </c>
      <c r="G151" s="42" t="inlineStr">
        <is>
          <t>Клей по дереву, 0,5л</t>
        </is>
      </c>
      <c r="H151" s="42" t="inlineStr">
        <is>
          <t>Показать строкой</t>
        </is>
      </c>
      <c r="I151" s="42" t="inlineStr">
        <is>
          <t>Премиум</t>
        </is>
      </c>
      <c r="J151" s="42" t="inlineStr">
        <is>
          <t>Автогенерация 1:1; тарифные различия ещё не настроены</t>
        </is>
      </c>
    </row>
    <row r="152">
      <c r="A152" s="41" t="inlineStr">
        <is>
          <t>RMAT-0051</t>
        </is>
      </c>
      <c r="B152" s="41" t="inlineStr">
        <is>
          <t>Колодец дренажный смотровой 315/276х1000 с дном и крышкой</t>
        </is>
      </c>
      <c r="C152" s="41" t="inlineStr">
        <is>
          <t>Эконом</t>
        </is>
      </c>
      <c r="D152" s="41" t="inlineStr">
        <is>
          <t>MV-0051</t>
        </is>
      </c>
      <c r="E152" s="59" t="n"/>
      <c r="F152" s="59" t="n">
        <v>1</v>
      </c>
      <c r="G152" s="41" t="inlineStr">
        <is>
          <t>Колодец дренажный смотровой 315/276х1000 с дном и крышкой</t>
        </is>
      </c>
      <c r="H152" s="41" t="inlineStr">
        <is>
          <t>Показать строкой</t>
        </is>
      </c>
      <c r="I152" s="41" t="inlineStr">
        <is>
          <t>Эконом</t>
        </is>
      </c>
      <c r="J152" s="41" t="inlineStr">
        <is>
          <t>Автогенерация 1:1; тарифные различия ещё не настроены</t>
        </is>
      </c>
    </row>
    <row r="153">
      <c r="A153" s="42" t="inlineStr">
        <is>
          <t>RMAT-0051</t>
        </is>
      </c>
      <c r="B153" s="42" t="inlineStr">
        <is>
          <t>Колодец дренажный смотровой 315/276х1000 с дном и крышкой</t>
        </is>
      </c>
      <c r="C153" s="42" t="inlineStr">
        <is>
          <t>Стандарт</t>
        </is>
      </c>
      <c r="D153" s="42" t="inlineStr">
        <is>
          <t>MV-0051</t>
        </is>
      </c>
      <c r="E153" s="60" t="n"/>
      <c r="F153" s="60" t="n">
        <v>1</v>
      </c>
      <c r="G153" s="42" t="inlineStr">
        <is>
          <t>Колодец дренажный смотровой 315/276х1000 с дном и крышкой</t>
        </is>
      </c>
      <c r="H153" s="42" t="inlineStr">
        <is>
          <t>Показать строкой</t>
        </is>
      </c>
      <c r="I153" s="42" t="inlineStr">
        <is>
          <t>Стандарт</t>
        </is>
      </c>
      <c r="J153" s="42" t="inlineStr">
        <is>
          <t>Автогенерация 1:1; тарифные различия ещё не настроены</t>
        </is>
      </c>
    </row>
    <row r="154">
      <c r="A154" s="41" t="inlineStr">
        <is>
          <t>RMAT-0051</t>
        </is>
      </c>
      <c r="B154" s="41" t="inlineStr">
        <is>
          <t>Колодец дренажный смотровой 315/276х1000 с дном и крышкой</t>
        </is>
      </c>
      <c r="C154" s="41" t="inlineStr">
        <is>
          <t>Премиум</t>
        </is>
      </c>
      <c r="D154" s="41" t="inlineStr">
        <is>
          <t>MV-0051</t>
        </is>
      </c>
      <c r="E154" s="59" t="n"/>
      <c r="F154" s="59" t="n">
        <v>1</v>
      </c>
      <c r="G154" s="41" t="inlineStr">
        <is>
          <t>Колодец дренажный смотровой 315/276х1000 с дном и крышкой</t>
        </is>
      </c>
      <c r="H154" s="41" t="inlineStr">
        <is>
          <t>Показать строкой</t>
        </is>
      </c>
      <c r="I154" s="41" t="inlineStr">
        <is>
          <t>Премиум</t>
        </is>
      </c>
      <c r="J154" s="41" t="inlineStr">
        <is>
          <t>Автогенерация 1:1; тарифные различия ещё не настроены</t>
        </is>
      </c>
    </row>
    <row r="155">
      <c r="A155" s="42" t="inlineStr">
        <is>
          <t>RMAT-0052</t>
        </is>
      </c>
      <c r="B155" s="42" t="inlineStr">
        <is>
          <t>Колодец дренажный смотровой 315/276х1500 с дном и крышкой</t>
        </is>
      </c>
      <c r="C155" s="42" t="inlineStr">
        <is>
          <t>Эконом</t>
        </is>
      </c>
      <c r="D155" s="42" t="inlineStr">
        <is>
          <t>MV-0052</t>
        </is>
      </c>
      <c r="E155" s="60" t="n"/>
      <c r="F155" s="60" t="n">
        <v>1</v>
      </c>
      <c r="G155" s="42" t="inlineStr">
        <is>
          <t>Колодец дренажный смотровой 315/276х1500 с дном и крышкой</t>
        </is>
      </c>
      <c r="H155" s="42" t="inlineStr">
        <is>
          <t>Показать строкой</t>
        </is>
      </c>
      <c r="I155" s="42" t="inlineStr">
        <is>
          <t>Эконом</t>
        </is>
      </c>
      <c r="J155" s="42" t="inlineStr">
        <is>
          <t>Автогенерация 1:1; тарифные различия ещё не настроены</t>
        </is>
      </c>
    </row>
    <row r="156">
      <c r="A156" s="41" t="inlineStr">
        <is>
          <t>RMAT-0052</t>
        </is>
      </c>
      <c r="B156" s="41" t="inlineStr">
        <is>
          <t>Колодец дренажный смотровой 315/276х1500 с дном и крышкой</t>
        </is>
      </c>
      <c r="C156" s="41" t="inlineStr">
        <is>
          <t>Стандарт</t>
        </is>
      </c>
      <c r="D156" s="41" t="inlineStr">
        <is>
          <t>MV-0052</t>
        </is>
      </c>
      <c r="E156" s="59" t="n"/>
      <c r="F156" s="59" t="n">
        <v>1</v>
      </c>
      <c r="G156" s="41" t="inlineStr">
        <is>
          <t>Колодец дренажный смотровой 315/276х1500 с дном и крышкой</t>
        </is>
      </c>
      <c r="H156" s="41" t="inlineStr">
        <is>
          <t>Показать строкой</t>
        </is>
      </c>
      <c r="I156" s="41" t="inlineStr">
        <is>
          <t>Стандарт</t>
        </is>
      </c>
      <c r="J156" s="41" t="inlineStr">
        <is>
          <t>Автогенерация 1:1; тарифные различия ещё не настроены</t>
        </is>
      </c>
    </row>
    <row r="157">
      <c r="A157" s="42" t="inlineStr">
        <is>
          <t>RMAT-0052</t>
        </is>
      </c>
      <c r="B157" s="42" t="inlineStr">
        <is>
          <t>Колодец дренажный смотровой 315/276х1500 с дном и крышкой</t>
        </is>
      </c>
      <c r="C157" s="42" t="inlineStr">
        <is>
          <t>Премиум</t>
        </is>
      </c>
      <c r="D157" s="42" t="inlineStr">
        <is>
          <t>MV-0052</t>
        </is>
      </c>
      <c r="E157" s="60" t="n"/>
      <c r="F157" s="60" t="n">
        <v>1</v>
      </c>
      <c r="G157" s="42" t="inlineStr">
        <is>
          <t>Колодец дренажный смотровой 315/276х1500 с дном и крышкой</t>
        </is>
      </c>
      <c r="H157" s="42" t="inlineStr">
        <is>
          <t>Показать строкой</t>
        </is>
      </c>
      <c r="I157" s="42" t="inlineStr">
        <is>
          <t>Премиум</t>
        </is>
      </c>
      <c r="J157" s="42" t="inlineStr">
        <is>
          <t>Автогенерация 1:1; тарифные различия ещё не настроены</t>
        </is>
      </c>
    </row>
    <row r="158">
      <c r="A158" s="41" t="inlineStr">
        <is>
          <t>RMAT-0053</t>
        </is>
      </c>
      <c r="B158" s="41" t="inlineStr">
        <is>
          <t>Колодец дренажный смотровой 460/400х2000мм с дном и крышкой</t>
        </is>
      </c>
      <c r="C158" s="41" t="inlineStr">
        <is>
          <t>Эконом</t>
        </is>
      </c>
      <c r="D158" s="41" t="inlineStr">
        <is>
          <t>MV-0053</t>
        </is>
      </c>
      <c r="E158" s="59" t="n"/>
      <c r="F158" s="59" t="n">
        <v>1</v>
      </c>
      <c r="G158" s="41" t="inlineStr">
        <is>
          <t>Колодец дренажный смотровой 460/400х2000мм с дном и крышкой</t>
        </is>
      </c>
      <c r="H158" s="41" t="inlineStr">
        <is>
          <t>Показать строкой</t>
        </is>
      </c>
      <c r="I158" s="41" t="inlineStr">
        <is>
          <t>Эконом</t>
        </is>
      </c>
      <c r="J158" s="41" t="inlineStr">
        <is>
          <t>Автогенерация 1:1; тарифные различия ещё не настроены</t>
        </is>
      </c>
    </row>
    <row r="159">
      <c r="A159" s="42" t="inlineStr">
        <is>
          <t>RMAT-0053</t>
        </is>
      </c>
      <c r="B159" s="42" t="inlineStr">
        <is>
          <t>Колодец дренажный смотровой 460/400х2000мм с дном и крышкой</t>
        </is>
      </c>
      <c r="C159" s="42" t="inlineStr">
        <is>
          <t>Стандарт</t>
        </is>
      </c>
      <c r="D159" s="42" t="inlineStr">
        <is>
          <t>MV-0053</t>
        </is>
      </c>
      <c r="E159" s="60" t="n"/>
      <c r="F159" s="60" t="n">
        <v>1</v>
      </c>
      <c r="G159" s="42" t="inlineStr">
        <is>
          <t>Колодец дренажный смотровой 460/400х2000мм с дном и крышкой</t>
        </is>
      </c>
      <c r="H159" s="42" t="inlineStr">
        <is>
          <t>Показать строкой</t>
        </is>
      </c>
      <c r="I159" s="42" t="inlineStr">
        <is>
          <t>Стандарт</t>
        </is>
      </c>
      <c r="J159" s="42" t="inlineStr">
        <is>
          <t>Автогенерация 1:1; тарифные различия ещё не настроены</t>
        </is>
      </c>
    </row>
    <row r="160">
      <c r="A160" s="41" t="inlineStr">
        <is>
          <t>RMAT-0053</t>
        </is>
      </c>
      <c r="B160" s="41" t="inlineStr">
        <is>
          <t>Колодец дренажный смотровой 460/400х2000мм с дном и крышкой</t>
        </is>
      </c>
      <c r="C160" s="41" t="inlineStr">
        <is>
          <t>Премиум</t>
        </is>
      </c>
      <c r="D160" s="41" t="inlineStr">
        <is>
          <t>MV-0053</t>
        </is>
      </c>
      <c r="E160" s="59" t="n"/>
      <c r="F160" s="59" t="n">
        <v>1</v>
      </c>
      <c r="G160" s="41" t="inlineStr">
        <is>
          <t>Колодец дренажный смотровой 460/400х2000мм с дном и крышкой</t>
        </is>
      </c>
      <c r="H160" s="41" t="inlineStr">
        <is>
          <t>Показать строкой</t>
        </is>
      </c>
      <c r="I160" s="41" t="inlineStr">
        <is>
          <t>Премиум</t>
        </is>
      </c>
      <c r="J160" s="41" t="inlineStr">
        <is>
          <t>Автогенерация 1:1; тарифные различия ещё не настроены</t>
        </is>
      </c>
    </row>
    <row r="161">
      <c r="A161" s="42" t="inlineStr">
        <is>
          <t>RMAT-0054</t>
        </is>
      </c>
      <c r="B161" s="42" t="inlineStr">
        <is>
          <t>Кольцо железобетонное паз/гребень КС10.9 d1000мм</t>
        </is>
      </c>
      <c r="C161" s="42" t="inlineStr">
        <is>
          <t>Эконом</t>
        </is>
      </c>
      <c r="D161" s="42" t="inlineStr">
        <is>
          <t>MV-0054</t>
        </is>
      </c>
      <c r="E161" s="60" t="n"/>
      <c r="F161" s="60" t="n">
        <v>1</v>
      </c>
      <c r="G161" s="42" t="inlineStr">
        <is>
          <t>Кольцо железобетонное паз/гребень КС10.9 d1000мм</t>
        </is>
      </c>
      <c r="H161" s="42" t="inlineStr">
        <is>
          <t>Показать строкой</t>
        </is>
      </c>
      <c r="I161" s="42" t="inlineStr">
        <is>
          <t>Эконом</t>
        </is>
      </c>
      <c r="J161" s="42" t="inlineStr">
        <is>
          <t>Автогенерация 1:1; тарифные различия ещё не настроены</t>
        </is>
      </c>
    </row>
    <row r="162">
      <c r="A162" s="41" t="inlineStr">
        <is>
          <t>RMAT-0054</t>
        </is>
      </c>
      <c r="B162" s="41" t="inlineStr">
        <is>
          <t>Кольцо железобетонное паз/гребень КС10.9 d1000мм</t>
        </is>
      </c>
      <c r="C162" s="41" t="inlineStr">
        <is>
          <t>Стандарт</t>
        </is>
      </c>
      <c r="D162" s="41" t="inlineStr">
        <is>
          <t>MV-0054</t>
        </is>
      </c>
      <c r="E162" s="59" t="n"/>
      <c r="F162" s="59" t="n">
        <v>1</v>
      </c>
      <c r="G162" s="41" t="inlineStr">
        <is>
          <t>Кольцо железобетонное паз/гребень КС10.9 d1000мм</t>
        </is>
      </c>
      <c r="H162" s="41" t="inlineStr">
        <is>
          <t>Показать строкой</t>
        </is>
      </c>
      <c r="I162" s="41" t="inlineStr">
        <is>
          <t>Стандарт</t>
        </is>
      </c>
      <c r="J162" s="41" t="inlineStr">
        <is>
          <t>Автогенерация 1:1; тарифные различия ещё не настроены</t>
        </is>
      </c>
    </row>
    <row r="163">
      <c r="A163" s="42" t="inlineStr">
        <is>
          <t>RMAT-0054</t>
        </is>
      </c>
      <c r="B163" s="42" t="inlineStr">
        <is>
          <t>Кольцо железобетонное паз/гребень КС10.9 d1000мм</t>
        </is>
      </c>
      <c r="C163" s="42" t="inlineStr">
        <is>
          <t>Премиум</t>
        </is>
      </c>
      <c r="D163" s="42" t="inlineStr">
        <is>
          <t>MV-0054</t>
        </is>
      </c>
      <c r="E163" s="60" t="n"/>
      <c r="F163" s="60" t="n">
        <v>1</v>
      </c>
      <c r="G163" s="42" t="inlineStr">
        <is>
          <t>Кольцо железобетонное паз/гребень КС10.9 d1000мм</t>
        </is>
      </c>
      <c r="H163" s="42" t="inlineStr">
        <is>
          <t>Показать строкой</t>
        </is>
      </c>
      <c r="I163" s="42" t="inlineStr">
        <is>
          <t>Премиум</t>
        </is>
      </c>
      <c r="J163" s="42" t="inlineStr">
        <is>
          <t>Автогенерация 1:1; тарифные различия ещё не настроены</t>
        </is>
      </c>
    </row>
    <row r="164">
      <c r="A164" s="41" t="inlineStr">
        <is>
          <t>RMAT-0055</t>
        </is>
      </c>
      <c r="B164" s="41" t="inlineStr">
        <is>
          <t>Кольцо железобетонное регулировочное КО-6 d840мм</t>
        </is>
      </c>
      <c r="C164" s="41" t="inlineStr">
        <is>
          <t>Эконом</t>
        </is>
      </c>
      <c r="D164" s="41" t="inlineStr">
        <is>
          <t>MV-0055</t>
        </is>
      </c>
      <c r="E164" s="59" t="n"/>
      <c r="F164" s="59" t="n">
        <v>1</v>
      </c>
      <c r="G164" s="41" t="inlineStr">
        <is>
          <t>Кольцо железобетонное регулировочное КО-6 d840мм</t>
        </is>
      </c>
      <c r="H164" s="41" t="inlineStr">
        <is>
          <t>Показать строкой</t>
        </is>
      </c>
      <c r="I164" s="41" t="inlineStr">
        <is>
          <t>Эконом</t>
        </is>
      </c>
      <c r="J164" s="41" t="inlineStr">
        <is>
          <t>Автогенерация 1:1; тарифные различия ещё не настроены</t>
        </is>
      </c>
    </row>
    <row r="165">
      <c r="A165" s="42" t="inlineStr">
        <is>
          <t>RMAT-0055</t>
        </is>
      </c>
      <c r="B165" s="42" t="inlineStr">
        <is>
          <t>Кольцо железобетонное регулировочное КО-6 d840мм</t>
        </is>
      </c>
      <c r="C165" s="42" t="inlineStr">
        <is>
          <t>Стандарт</t>
        </is>
      </c>
      <c r="D165" s="42" t="inlineStr">
        <is>
          <t>MV-0055</t>
        </is>
      </c>
      <c r="E165" s="60" t="n"/>
      <c r="F165" s="60" t="n">
        <v>1</v>
      </c>
      <c r="G165" s="42" t="inlineStr">
        <is>
          <t>Кольцо железобетонное регулировочное КО-6 d840мм</t>
        </is>
      </c>
      <c r="H165" s="42" t="inlineStr">
        <is>
          <t>Показать строкой</t>
        </is>
      </c>
      <c r="I165" s="42" t="inlineStr">
        <is>
          <t>Стандарт</t>
        </is>
      </c>
      <c r="J165" s="42" t="inlineStr">
        <is>
          <t>Автогенерация 1:1; тарифные различия ещё не настроены</t>
        </is>
      </c>
    </row>
    <row r="166">
      <c r="A166" s="41" t="inlineStr">
        <is>
          <t>RMAT-0055</t>
        </is>
      </c>
      <c r="B166" s="41" t="inlineStr">
        <is>
          <t>Кольцо железобетонное регулировочное КО-6 d840мм</t>
        </is>
      </c>
      <c r="C166" s="41" t="inlineStr">
        <is>
          <t>Премиум</t>
        </is>
      </c>
      <c r="D166" s="41" t="inlineStr">
        <is>
          <t>MV-0055</t>
        </is>
      </c>
      <c r="E166" s="59" t="n"/>
      <c r="F166" s="59" t="n">
        <v>1</v>
      </c>
      <c r="G166" s="41" t="inlineStr">
        <is>
          <t>Кольцо железобетонное регулировочное КО-6 d840мм</t>
        </is>
      </c>
      <c r="H166" s="41" t="inlineStr">
        <is>
          <t>Показать строкой</t>
        </is>
      </c>
      <c r="I166" s="41" t="inlineStr">
        <is>
          <t>Премиум</t>
        </is>
      </c>
      <c r="J166" s="41" t="inlineStr">
        <is>
          <t>Автогенерация 1:1; тарифные различия ещё не настроены</t>
        </is>
      </c>
    </row>
    <row r="167">
      <c r="A167" s="42" t="inlineStr">
        <is>
          <t>RMAT-0056</t>
        </is>
      </c>
      <c r="B167" s="42" t="inlineStr">
        <is>
          <t>Кольцо железобетонное с днищем ДК-10.9 d1000мм</t>
        </is>
      </c>
      <c r="C167" s="42" t="inlineStr">
        <is>
          <t>Эконом</t>
        </is>
      </c>
      <c r="D167" s="42" t="inlineStr">
        <is>
          <t>MV-0056</t>
        </is>
      </c>
      <c r="E167" s="60" t="n"/>
      <c r="F167" s="60" t="n">
        <v>1</v>
      </c>
      <c r="G167" s="42" t="inlineStr">
        <is>
          <t>Кольцо железобетонное с днищем ДК-10.9 d1000мм</t>
        </is>
      </c>
      <c r="H167" s="42" t="inlineStr">
        <is>
          <t>Показать строкой</t>
        </is>
      </c>
      <c r="I167" s="42" t="inlineStr">
        <is>
          <t>Эконом</t>
        </is>
      </c>
      <c r="J167" s="42" t="inlineStr">
        <is>
          <t>Автогенерация 1:1; тарифные различия ещё не настроены</t>
        </is>
      </c>
    </row>
    <row r="168">
      <c r="A168" s="41" t="inlineStr">
        <is>
          <t>RMAT-0056</t>
        </is>
      </c>
      <c r="B168" s="41" t="inlineStr">
        <is>
          <t>Кольцо железобетонное с днищем ДК-10.9 d1000мм</t>
        </is>
      </c>
      <c r="C168" s="41" t="inlineStr">
        <is>
          <t>Стандарт</t>
        </is>
      </c>
      <c r="D168" s="41" t="inlineStr">
        <is>
          <t>MV-0056</t>
        </is>
      </c>
      <c r="E168" s="59" t="n"/>
      <c r="F168" s="59" t="n">
        <v>1</v>
      </c>
      <c r="G168" s="41" t="inlineStr">
        <is>
          <t>Кольцо железобетонное с днищем ДК-10.9 d1000мм</t>
        </is>
      </c>
      <c r="H168" s="41" t="inlineStr">
        <is>
          <t>Показать строкой</t>
        </is>
      </c>
      <c r="I168" s="41" t="inlineStr">
        <is>
          <t>Стандарт</t>
        </is>
      </c>
      <c r="J168" s="41" t="inlineStr">
        <is>
          <t>Автогенерация 1:1; тарифные различия ещё не настроены</t>
        </is>
      </c>
    </row>
    <row r="169">
      <c r="A169" s="42" t="inlineStr">
        <is>
          <t>RMAT-0056</t>
        </is>
      </c>
      <c r="B169" s="42" t="inlineStr">
        <is>
          <t>Кольцо железобетонное с днищем ДК-10.9 d1000мм</t>
        </is>
      </c>
      <c r="C169" s="42" t="inlineStr">
        <is>
          <t>Премиум</t>
        </is>
      </c>
      <c r="D169" s="42" t="inlineStr">
        <is>
          <t>MV-0056</t>
        </is>
      </c>
      <c r="E169" s="60" t="n"/>
      <c r="F169" s="60" t="n">
        <v>1</v>
      </c>
      <c r="G169" s="42" t="inlineStr">
        <is>
          <t>Кольцо железобетонное с днищем ДК-10.9 d1000мм</t>
        </is>
      </c>
      <c r="H169" s="42" t="inlineStr">
        <is>
          <t>Показать строкой</t>
        </is>
      </c>
      <c r="I169" s="42" t="inlineStr">
        <is>
          <t>Премиум</t>
        </is>
      </c>
      <c r="J169" s="42" t="inlineStr">
        <is>
          <t>Автогенерация 1:1; тарифные различия ещё не настроены</t>
        </is>
      </c>
    </row>
    <row r="170">
      <c r="A170" s="41" t="inlineStr">
        <is>
          <t>RMAT-0057</t>
        </is>
      </c>
      <c r="B170" s="41" t="inlineStr">
        <is>
          <t>Короб метал. для подвода кабеля к щиту 100*100мм оцинк., неперфорированный, h=1,5м</t>
        </is>
      </c>
      <c r="C170" s="41" t="inlineStr">
        <is>
          <t>Эконом</t>
        </is>
      </c>
      <c r="D170" s="41" t="inlineStr">
        <is>
          <t>MV-0057</t>
        </is>
      </c>
      <c r="E170" s="59" t="n"/>
      <c r="F170" s="59" t="n">
        <v>1</v>
      </c>
      <c r="G170" s="41" t="inlineStr">
        <is>
          <t>Короб метал. для подвода кабеля к щиту 100*100мм оцинк., неперфорированный, h=1,5м</t>
        </is>
      </c>
      <c r="H170" s="41" t="inlineStr">
        <is>
          <t>Показать строкой</t>
        </is>
      </c>
      <c r="I170" s="41" t="inlineStr">
        <is>
          <t>Эконом</t>
        </is>
      </c>
      <c r="J170" s="41" t="inlineStr">
        <is>
          <t>Автогенерация 1:1; тарифные различия ещё не настроены</t>
        </is>
      </c>
    </row>
    <row r="171">
      <c r="A171" s="42" t="inlineStr">
        <is>
          <t>RMAT-0057</t>
        </is>
      </c>
      <c r="B171" s="42" t="inlineStr">
        <is>
          <t>Короб метал. для подвода кабеля к щиту 100*100мм оцинк., неперфорированный, h=1,5м</t>
        </is>
      </c>
      <c r="C171" s="42" t="inlineStr">
        <is>
          <t>Стандарт</t>
        </is>
      </c>
      <c r="D171" s="42" t="inlineStr">
        <is>
          <t>MV-0057</t>
        </is>
      </c>
      <c r="E171" s="60" t="n"/>
      <c r="F171" s="60" t="n">
        <v>1</v>
      </c>
      <c r="G171" s="42" t="inlineStr">
        <is>
          <t>Короб метал. для подвода кабеля к щиту 100*100мм оцинк., неперфорированный, h=1,5м</t>
        </is>
      </c>
      <c r="H171" s="42" t="inlineStr">
        <is>
          <t>Показать строкой</t>
        </is>
      </c>
      <c r="I171" s="42" t="inlineStr">
        <is>
          <t>Стандарт</t>
        </is>
      </c>
      <c r="J171" s="42" t="inlineStr">
        <is>
          <t>Автогенерация 1:1; тарифные различия ещё не настроены</t>
        </is>
      </c>
    </row>
    <row r="172">
      <c r="A172" s="41" t="inlineStr">
        <is>
          <t>RMAT-0057</t>
        </is>
      </c>
      <c r="B172" s="41" t="inlineStr">
        <is>
          <t>Короб метал. для подвода кабеля к щиту 100*100мм оцинк., неперфорированный, h=1,5м</t>
        </is>
      </c>
      <c r="C172" s="41" t="inlineStr">
        <is>
          <t>Премиум</t>
        </is>
      </c>
      <c r="D172" s="41" t="inlineStr">
        <is>
          <t>MV-0057</t>
        </is>
      </c>
      <c r="E172" s="59" t="n"/>
      <c r="F172" s="59" t="n">
        <v>1</v>
      </c>
      <c r="G172" s="41" t="inlineStr">
        <is>
          <t>Короб метал. для подвода кабеля к щиту 100*100мм оцинк., неперфорированный, h=1,5м</t>
        </is>
      </c>
      <c r="H172" s="41" t="inlineStr">
        <is>
          <t>Показать строкой</t>
        </is>
      </c>
      <c r="I172" s="41" t="inlineStr">
        <is>
          <t>Премиум</t>
        </is>
      </c>
      <c r="J172" s="41" t="inlineStr">
        <is>
          <t>Автогенерация 1:1; тарифные различия ещё не настроены</t>
        </is>
      </c>
    </row>
    <row r="173">
      <c r="A173" s="42" t="inlineStr">
        <is>
          <t>RMAT-0058</t>
        </is>
      </c>
      <c r="B173" s="42" t="inlineStr">
        <is>
          <t>Краска Pinotex Extreme One. Колеровка утренний туман 005</t>
        </is>
      </c>
      <c r="C173" s="42" t="inlineStr">
        <is>
          <t>Эконом</t>
        </is>
      </c>
      <c r="D173" s="42" t="inlineStr">
        <is>
          <t>MV-0058</t>
        </is>
      </c>
      <c r="E173" s="60" t="n"/>
      <c r="F173" s="60" t="n">
        <v>1</v>
      </c>
      <c r="G173" s="42" t="inlineStr">
        <is>
          <t>Краска Pinotex Extreme One. Колеровка утренний туман 005</t>
        </is>
      </c>
      <c r="H173" s="42" t="inlineStr">
        <is>
          <t>Показать строкой</t>
        </is>
      </c>
      <c r="I173" s="42" t="inlineStr">
        <is>
          <t>Эконом</t>
        </is>
      </c>
      <c r="J173" s="42" t="inlineStr">
        <is>
          <t>Автогенерация 1:1; тарифные различия ещё не настроены</t>
        </is>
      </c>
    </row>
    <row r="174">
      <c r="A174" s="41" t="inlineStr">
        <is>
          <t>RMAT-0058</t>
        </is>
      </c>
      <c r="B174" s="41" t="inlineStr">
        <is>
          <t>Краска Pinotex Extreme One. Колеровка утренний туман 005</t>
        </is>
      </c>
      <c r="C174" s="41" t="inlineStr">
        <is>
          <t>Стандарт</t>
        </is>
      </c>
      <c r="D174" s="41" t="inlineStr">
        <is>
          <t>MV-0058</t>
        </is>
      </c>
      <c r="E174" s="59" t="n"/>
      <c r="F174" s="59" t="n">
        <v>1</v>
      </c>
      <c r="G174" s="41" t="inlineStr">
        <is>
          <t>Краска Pinotex Extreme One. Колеровка утренний туман 005</t>
        </is>
      </c>
      <c r="H174" s="41" t="inlineStr">
        <is>
          <t>Показать строкой</t>
        </is>
      </c>
      <c r="I174" s="41" t="inlineStr">
        <is>
          <t>Стандарт</t>
        </is>
      </c>
      <c r="J174" s="41" t="inlineStr">
        <is>
          <t>Автогенерация 1:1; тарифные различия ещё не настроены</t>
        </is>
      </c>
    </row>
    <row r="175">
      <c r="A175" s="42" t="inlineStr">
        <is>
          <t>RMAT-0058</t>
        </is>
      </c>
      <c r="B175" s="42" t="inlineStr">
        <is>
          <t>Краска Pinotex Extreme One. Колеровка утренний туман 005</t>
        </is>
      </c>
      <c r="C175" s="42" t="inlineStr">
        <is>
          <t>Премиум</t>
        </is>
      </c>
      <c r="D175" s="42" t="inlineStr">
        <is>
          <t>MV-0058</t>
        </is>
      </c>
      <c r="E175" s="60" t="n"/>
      <c r="F175" s="60" t="n">
        <v>1</v>
      </c>
      <c r="G175" s="42" t="inlineStr">
        <is>
          <t>Краска Pinotex Extreme One. Колеровка утренний туман 005</t>
        </is>
      </c>
      <c r="H175" s="42" t="inlineStr">
        <is>
          <t>Показать строкой</t>
        </is>
      </c>
      <c r="I175" s="42" t="inlineStr">
        <is>
          <t>Премиум</t>
        </is>
      </c>
      <c r="J175" s="42" t="inlineStr">
        <is>
          <t>Автогенерация 1:1; тарифные различия ещё не настроены</t>
        </is>
      </c>
    </row>
    <row r="176">
      <c r="A176" s="41" t="inlineStr">
        <is>
          <t>RMAT-0059</t>
        </is>
      </c>
      <c r="B176" s="41" t="inlineStr">
        <is>
          <t>Крышка для железобетонного кольца ПП10 d1000мм</t>
        </is>
      </c>
      <c r="C176" s="41" t="inlineStr">
        <is>
          <t>Эконом</t>
        </is>
      </c>
      <c r="D176" s="41" t="inlineStr">
        <is>
          <t>MV-0059</t>
        </is>
      </c>
      <c r="E176" s="59" t="n"/>
      <c r="F176" s="59" t="n">
        <v>1</v>
      </c>
      <c r="G176" s="41" t="inlineStr">
        <is>
          <t>Крышка для железобетонного кольца ПП10 d1000мм</t>
        </is>
      </c>
      <c r="H176" s="41" t="inlineStr">
        <is>
          <t>Показать строкой</t>
        </is>
      </c>
      <c r="I176" s="41" t="inlineStr">
        <is>
          <t>Эконом</t>
        </is>
      </c>
      <c r="J176" s="41" t="inlineStr">
        <is>
          <t>Автогенерация 1:1; тарифные различия ещё не настроены</t>
        </is>
      </c>
    </row>
    <row r="177">
      <c r="A177" s="42" t="inlineStr">
        <is>
          <t>RMAT-0059</t>
        </is>
      </c>
      <c r="B177" s="42" t="inlineStr">
        <is>
          <t>Крышка для железобетонного кольца ПП10 d1000мм</t>
        </is>
      </c>
      <c r="C177" s="42" t="inlineStr">
        <is>
          <t>Стандарт</t>
        </is>
      </c>
      <c r="D177" s="42" t="inlineStr">
        <is>
          <t>MV-0059</t>
        </is>
      </c>
      <c r="E177" s="60" t="n"/>
      <c r="F177" s="60" t="n">
        <v>1</v>
      </c>
      <c r="G177" s="42" t="inlineStr">
        <is>
          <t>Крышка для железобетонного кольца ПП10 d1000мм</t>
        </is>
      </c>
      <c r="H177" s="42" t="inlineStr">
        <is>
          <t>Показать строкой</t>
        </is>
      </c>
      <c r="I177" s="42" t="inlineStr">
        <is>
          <t>Стандарт</t>
        </is>
      </c>
      <c r="J177" s="42" t="inlineStr">
        <is>
          <t>Автогенерация 1:1; тарифные различия ещё не настроены</t>
        </is>
      </c>
    </row>
    <row r="178">
      <c r="A178" s="41" t="inlineStr">
        <is>
          <t>RMAT-0059</t>
        </is>
      </c>
      <c r="B178" s="41" t="inlineStr">
        <is>
          <t>Крышка для железобетонного кольца ПП10 d1000мм</t>
        </is>
      </c>
      <c r="C178" s="41" t="inlineStr">
        <is>
          <t>Премиум</t>
        </is>
      </c>
      <c r="D178" s="41" t="inlineStr">
        <is>
          <t>MV-0059</t>
        </is>
      </c>
      <c r="E178" s="59" t="n"/>
      <c r="F178" s="59" t="n">
        <v>1</v>
      </c>
      <c r="G178" s="41" t="inlineStr">
        <is>
          <t>Крышка для железобетонного кольца ПП10 d1000мм</t>
        </is>
      </c>
      <c r="H178" s="41" t="inlineStr">
        <is>
          <t>Показать строкой</t>
        </is>
      </c>
      <c r="I178" s="41" t="inlineStr">
        <is>
          <t>Премиум</t>
        </is>
      </c>
      <c r="J178" s="41" t="inlineStr">
        <is>
          <t>Автогенерация 1:1; тарифные различия ещё не настроены</t>
        </is>
      </c>
    </row>
    <row r="179">
      <c r="A179" s="42" t="inlineStr">
        <is>
          <t>RMAT-0060</t>
        </is>
      </c>
      <c r="B179" s="42" t="inlineStr">
        <is>
          <t>Лента диодная влагозащищенная, профиль</t>
        </is>
      </c>
      <c r="C179" s="42" t="inlineStr">
        <is>
          <t>Эконом</t>
        </is>
      </c>
      <c r="D179" s="42" t="inlineStr">
        <is>
          <t>MV-0060</t>
        </is>
      </c>
      <c r="E179" s="60" t="n"/>
      <c r="F179" s="60" t="n">
        <v>1</v>
      </c>
      <c r="G179" s="42" t="inlineStr">
        <is>
          <t>Лента диодная влагозащищенная, профиль</t>
        </is>
      </c>
      <c r="H179" s="42" t="inlineStr">
        <is>
          <t>Показать строкой</t>
        </is>
      </c>
      <c r="I179" s="42" t="inlineStr">
        <is>
          <t>Эконом</t>
        </is>
      </c>
      <c r="J179" s="42" t="inlineStr">
        <is>
          <t>Автогенерация 1:1; тарифные различия ещё не настроены</t>
        </is>
      </c>
    </row>
    <row r="180">
      <c r="A180" s="41" t="inlineStr">
        <is>
          <t>RMAT-0060</t>
        </is>
      </c>
      <c r="B180" s="41" t="inlineStr">
        <is>
          <t>Лента диодная влагозащищенная, профиль</t>
        </is>
      </c>
      <c r="C180" s="41" t="inlineStr">
        <is>
          <t>Стандарт</t>
        </is>
      </c>
      <c r="D180" s="41" t="inlineStr">
        <is>
          <t>MV-0060</t>
        </is>
      </c>
      <c r="E180" s="59" t="n"/>
      <c r="F180" s="59" t="n">
        <v>1</v>
      </c>
      <c r="G180" s="41" t="inlineStr">
        <is>
          <t>Лента диодная влагозащищенная, профиль</t>
        </is>
      </c>
      <c r="H180" s="41" t="inlineStr">
        <is>
          <t>Показать строкой</t>
        </is>
      </c>
      <c r="I180" s="41" t="inlineStr">
        <is>
          <t>Стандарт</t>
        </is>
      </c>
      <c r="J180" s="41" t="inlineStr">
        <is>
          <t>Автогенерация 1:1; тарифные различия ещё не настроены</t>
        </is>
      </c>
    </row>
    <row r="181">
      <c r="A181" s="42" t="inlineStr">
        <is>
          <t>RMAT-0060</t>
        </is>
      </c>
      <c r="B181" s="42" t="inlineStr">
        <is>
          <t>Лента диодная влагозащищенная, профиль</t>
        </is>
      </c>
      <c r="C181" s="42" t="inlineStr">
        <is>
          <t>Премиум</t>
        </is>
      </c>
      <c r="D181" s="42" t="inlineStr">
        <is>
          <t>MV-0060</t>
        </is>
      </c>
      <c r="E181" s="60" t="n"/>
      <c r="F181" s="60" t="n">
        <v>1</v>
      </c>
      <c r="G181" s="42" t="inlineStr">
        <is>
          <t>Лента диодная влагозащищенная, профиль</t>
        </is>
      </c>
      <c r="H181" s="42" t="inlineStr">
        <is>
          <t>Показать строкой</t>
        </is>
      </c>
      <c r="I181" s="42" t="inlineStr">
        <is>
          <t>Премиум</t>
        </is>
      </c>
      <c r="J181" s="42" t="inlineStr">
        <is>
          <t>Автогенерация 1:1; тарифные различия ещё не настроены</t>
        </is>
      </c>
    </row>
    <row r="182">
      <c r="A182" s="41" t="inlineStr">
        <is>
          <t>RMAT-0061</t>
        </is>
      </c>
      <c r="B182" s="41" t="inlineStr">
        <is>
          <t>Лента сигнальная 100м</t>
        </is>
      </c>
      <c r="C182" s="41" t="inlineStr">
        <is>
          <t>Эконом</t>
        </is>
      </c>
      <c r="D182" s="41" t="inlineStr">
        <is>
          <t>MV-0061</t>
        </is>
      </c>
      <c r="E182" s="59" t="n"/>
      <c r="F182" s="59" t="n">
        <v>1</v>
      </c>
      <c r="G182" s="41" t="inlineStr">
        <is>
          <t>Лента сигнальная 100м</t>
        </is>
      </c>
      <c r="H182" s="41" t="inlineStr">
        <is>
          <t>Показать строкой</t>
        </is>
      </c>
      <c r="I182" s="41" t="inlineStr">
        <is>
          <t>Эконом</t>
        </is>
      </c>
      <c r="J182" s="41" t="inlineStr">
        <is>
          <t>Автогенерация 1:1; тарифные различия ещё не настроены</t>
        </is>
      </c>
    </row>
    <row r="183">
      <c r="A183" s="42" t="inlineStr">
        <is>
          <t>RMAT-0061</t>
        </is>
      </c>
      <c r="B183" s="42" t="inlineStr">
        <is>
          <t>Лента сигнальная 100м</t>
        </is>
      </c>
      <c r="C183" s="42" t="inlineStr">
        <is>
          <t>Стандарт</t>
        </is>
      </c>
      <c r="D183" s="42" t="inlineStr">
        <is>
          <t>MV-0061</t>
        </is>
      </c>
      <c r="E183" s="60" t="n"/>
      <c r="F183" s="60" t="n">
        <v>1</v>
      </c>
      <c r="G183" s="42" t="inlineStr">
        <is>
          <t>Лента сигнальная 100м</t>
        </is>
      </c>
      <c r="H183" s="42" t="inlineStr">
        <is>
          <t>Показать строкой</t>
        </is>
      </c>
      <c r="I183" s="42" t="inlineStr">
        <is>
          <t>Стандарт</t>
        </is>
      </c>
      <c r="J183" s="42" t="inlineStr">
        <is>
          <t>Автогенерация 1:1; тарифные различия ещё не настроены</t>
        </is>
      </c>
    </row>
    <row r="184">
      <c r="A184" s="41" t="inlineStr">
        <is>
          <t>RMAT-0061</t>
        </is>
      </c>
      <c r="B184" s="41" t="inlineStr">
        <is>
          <t>Лента сигнальная 100м</t>
        </is>
      </c>
      <c r="C184" s="41" t="inlineStr">
        <is>
          <t>Премиум</t>
        </is>
      </c>
      <c r="D184" s="41" t="inlineStr">
        <is>
          <t>MV-0061</t>
        </is>
      </c>
      <c r="E184" s="59" t="n"/>
      <c r="F184" s="59" t="n">
        <v>1</v>
      </c>
      <c r="G184" s="41" t="inlineStr">
        <is>
          <t>Лента сигнальная 100м</t>
        </is>
      </c>
      <c r="H184" s="41" t="inlineStr">
        <is>
          <t>Показать строкой</t>
        </is>
      </c>
      <c r="I184" s="41" t="inlineStr">
        <is>
          <t>Премиум</t>
        </is>
      </c>
      <c r="J184" s="41" t="inlineStr">
        <is>
          <t>Автогенерация 1:1; тарифные различия ещё не настроены</t>
        </is>
      </c>
    </row>
    <row r="185">
      <c r="A185" s="42" t="inlineStr">
        <is>
          <t>RMAT-0062</t>
        </is>
      </c>
      <c r="B185" s="42" t="inlineStr">
        <is>
          <t>линия подвязки</t>
        </is>
      </c>
      <c r="C185" s="42" t="inlineStr">
        <is>
          <t>Эконом</t>
        </is>
      </c>
      <c r="D185" s="42" t="inlineStr">
        <is>
          <t>MV-0062</t>
        </is>
      </c>
      <c r="E185" s="60" t="n"/>
      <c r="F185" s="60" t="n">
        <v>1</v>
      </c>
      <c r="G185" s="42" t="inlineStr">
        <is>
          <t>линия подвязки</t>
        </is>
      </c>
      <c r="H185" s="42" t="inlineStr">
        <is>
          <t>Показать строкой</t>
        </is>
      </c>
      <c r="I185" s="42" t="inlineStr">
        <is>
          <t>Эконом</t>
        </is>
      </c>
      <c r="J185" s="42" t="inlineStr">
        <is>
          <t>Автогенерация 1:1; тарифные различия ещё не настроены</t>
        </is>
      </c>
    </row>
    <row r="186">
      <c r="A186" s="41" t="inlineStr">
        <is>
          <t>RMAT-0062</t>
        </is>
      </c>
      <c r="B186" s="41" t="inlineStr">
        <is>
          <t>линия подвязки</t>
        </is>
      </c>
      <c r="C186" s="41" t="inlineStr">
        <is>
          <t>Стандарт</t>
        </is>
      </c>
      <c r="D186" s="41" t="inlineStr">
        <is>
          <t>MV-0062</t>
        </is>
      </c>
      <c r="E186" s="59" t="n"/>
      <c r="F186" s="59" t="n">
        <v>1</v>
      </c>
      <c r="G186" s="41" t="inlineStr">
        <is>
          <t>линия подвязки</t>
        </is>
      </c>
      <c r="H186" s="41" t="inlineStr">
        <is>
          <t>Показать строкой</t>
        </is>
      </c>
      <c r="I186" s="41" t="inlineStr">
        <is>
          <t>Стандарт</t>
        </is>
      </c>
      <c r="J186" s="41" t="inlineStr">
        <is>
          <t>Автогенерация 1:1; тарифные различия ещё не настроены</t>
        </is>
      </c>
    </row>
    <row r="187">
      <c r="A187" s="42" t="inlineStr">
        <is>
          <t>RMAT-0062</t>
        </is>
      </c>
      <c r="B187" s="42" t="inlineStr">
        <is>
          <t>линия подвязки</t>
        </is>
      </c>
      <c r="C187" s="42" t="inlineStr">
        <is>
          <t>Премиум</t>
        </is>
      </c>
      <c r="D187" s="42" t="inlineStr">
        <is>
          <t>MV-0062</t>
        </is>
      </c>
      <c r="E187" s="60" t="n"/>
      <c r="F187" s="60" t="n">
        <v>1</v>
      </c>
      <c r="G187" s="42" t="inlineStr">
        <is>
          <t>линия подвязки</t>
        </is>
      </c>
      <c r="H187" s="42" t="inlineStr">
        <is>
          <t>Показать строкой</t>
        </is>
      </c>
      <c r="I187" s="42" t="inlineStr">
        <is>
          <t>Премиум</t>
        </is>
      </c>
      <c r="J187" s="42" t="inlineStr">
        <is>
          <t>Автогенерация 1:1; тарифные различия ещё не настроены</t>
        </is>
      </c>
    </row>
    <row r="188">
      <c r="A188" s="41" t="inlineStr">
        <is>
          <t>RMAT-0063</t>
        </is>
      </c>
      <c r="B188" s="41" t="inlineStr">
        <is>
          <t>Лоток пластиковый ЛВ-10.16.12-ПП с решетками ячеистыми чугунными</t>
        </is>
      </c>
      <c r="C188" s="41" t="inlineStr">
        <is>
          <t>Эконом</t>
        </is>
      </c>
      <c r="D188" s="41" t="inlineStr">
        <is>
          <t>MV-0063</t>
        </is>
      </c>
      <c r="E188" s="59" t="n"/>
      <c r="F188" s="59" t="n">
        <v>1</v>
      </c>
      <c r="G188" s="41" t="inlineStr">
        <is>
          <t>Лоток пластиковый ЛВ-10.16.12-ПП с решетками ячеистыми чугунными</t>
        </is>
      </c>
      <c r="H188" s="41" t="inlineStr">
        <is>
          <t>Показать строкой</t>
        </is>
      </c>
      <c r="I188" s="41" t="inlineStr">
        <is>
          <t>Эконом</t>
        </is>
      </c>
      <c r="J188" s="41" t="inlineStr">
        <is>
          <t>Автогенерация 1:1; тарифные различия ещё не настроены</t>
        </is>
      </c>
    </row>
    <row r="189">
      <c r="A189" s="42" t="inlineStr">
        <is>
          <t>RMAT-0063</t>
        </is>
      </c>
      <c r="B189" s="42" t="inlineStr">
        <is>
          <t>Лоток пластиковый ЛВ-10.16.12-ПП с решетками ячеистыми чугунными</t>
        </is>
      </c>
      <c r="C189" s="42" t="inlineStr">
        <is>
          <t>Стандарт</t>
        </is>
      </c>
      <c r="D189" s="42" t="inlineStr">
        <is>
          <t>MV-0063</t>
        </is>
      </c>
      <c r="E189" s="60" t="n"/>
      <c r="F189" s="60" t="n">
        <v>1</v>
      </c>
      <c r="G189" s="42" t="inlineStr">
        <is>
          <t>Лоток пластиковый ЛВ-10.16.12-ПП с решетками ячеистыми чугунными</t>
        </is>
      </c>
      <c r="H189" s="42" t="inlineStr">
        <is>
          <t>Показать строкой</t>
        </is>
      </c>
      <c r="I189" s="42" t="inlineStr">
        <is>
          <t>Стандарт</t>
        </is>
      </c>
      <c r="J189" s="42" t="inlineStr">
        <is>
          <t>Автогенерация 1:1; тарифные различия ещё не настроены</t>
        </is>
      </c>
    </row>
    <row r="190">
      <c r="A190" s="41" t="inlineStr">
        <is>
          <t>RMAT-0063</t>
        </is>
      </c>
      <c r="B190" s="41" t="inlineStr">
        <is>
          <t>Лоток пластиковый ЛВ-10.16.12-ПП с решетками ячеистыми чугунными</t>
        </is>
      </c>
      <c r="C190" s="41" t="inlineStr">
        <is>
          <t>Премиум</t>
        </is>
      </c>
      <c r="D190" s="41" t="inlineStr">
        <is>
          <t>MV-0063</t>
        </is>
      </c>
      <c r="E190" s="59" t="n"/>
      <c r="F190" s="59" t="n">
        <v>1</v>
      </c>
      <c r="G190" s="41" t="inlineStr">
        <is>
          <t>Лоток пластиковый ЛВ-10.16.12-ПП с решетками ячеистыми чугунными</t>
        </is>
      </c>
      <c r="H190" s="41" t="inlineStr">
        <is>
          <t>Показать строкой</t>
        </is>
      </c>
      <c r="I190" s="41" t="inlineStr">
        <is>
          <t>Премиум</t>
        </is>
      </c>
      <c r="J190" s="41" t="inlineStr">
        <is>
          <t>Автогенерация 1:1; тарифные различия ещё не настроены</t>
        </is>
      </c>
    </row>
    <row r="191">
      <c r="A191" s="42" t="inlineStr">
        <is>
          <t>RMAT-0064</t>
        </is>
      </c>
      <c r="B191" s="42" t="inlineStr">
        <is>
          <t>Люк садовый пластиковый черный «ДОМИК» d800мм</t>
        </is>
      </c>
      <c r="C191" s="42" t="inlineStr">
        <is>
          <t>Эконом</t>
        </is>
      </c>
      <c r="D191" s="42" t="inlineStr">
        <is>
          <t>MV-0064</t>
        </is>
      </c>
      <c r="E191" s="60" t="n"/>
      <c r="F191" s="60" t="n">
        <v>1</v>
      </c>
      <c r="G191" s="42" t="inlineStr">
        <is>
          <t>Люк садовый пластиковый черный «ДОМИК» d800мм</t>
        </is>
      </c>
      <c r="H191" s="42" t="inlineStr">
        <is>
          <t>Показать строкой</t>
        </is>
      </c>
      <c r="I191" s="42" t="inlineStr">
        <is>
          <t>Эконом</t>
        </is>
      </c>
      <c r="J191" s="42" t="inlineStr">
        <is>
          <t>Автогенерация 1:1; тарифные различия ещё не настроены</t>
        </is>
      </c>
    </row>
    <row r="192">
      <c r="A192" s="41" t="inlineStr">
        <is>
          <t>RMAT-0064</t>
        </is>
      </c>
      <c r="B192" s="41" t="inlineStr">
        <is>
          <t>Люк садовый пластиковый черный «ДОМИК» d800мм</t>
        </is>
      </c>
      <c r="C192" s="41" t="inlineStr">
        <is>
          <t>Стандарт</t>
        </is>
      </c>
      <c r="D192" s="41" t="inlineStr">
        <is>
          <t>MV-0064</t>
        </is>
      </c>
      <c r="E192" s="59" t="n"/>
      <c r="F192" s="59" t="n">
        <v>1</v>
      </c>
      <c r="G192" s="41" t="inlineStr">
        <is>
          <t>Люк садовый пластиковый черный «ДОМИК» d800мм</t>
        </is>
      </c>
      <c r="H192" s="41" t="inlineStr">
        <is>
          <t>Показать строкой</t>
        </is>
      </c>
      <c r="I192" s="41" t="inlineStr">
        <is>
          <t>Стандарт</t>
        </is>
      </c>
      <c r="J192" s="41" t="inlineStr">
        <is>
          <t>Автогенерация 1:1; тарифные различия ещё не настроены</t>
        </is>
      </c>
    </row>
    <row r="193">
      <c r="A193" s="42" t="inlineStr">
        <is>
          <t>RMAT-0064</t>
        </is>
      </c>
      <c r="B193" s="42" t="inlineStr">
        <is>
          <t>Люк садовый пластиковый черный «ДОМИК» d800мм</t>
        </is>
      </c>
      <c r="C193" s="42" t="inlineStr">
        <is>
          <t>Премиум</t>
        </is>
      </c>
      <c r="D193" s="42" t="inlineStr">
        <is>
          <t>MV-0064</t>
        </is>
      </c>
      <c r="E193" s="60" t="n"/>
      <c r="F193" s="60" t="n">
        <v>1</v>
      </c>
      <c r="G193" s="42" t="inlineStr">
        <is>
          <t>Люк садовый пластиковый черный «ДОМИК» d800мм</t>
        </is>
      </c>
      <c r="H193" s="42" t="inlineStr">
        <is>
          <t>Показать строкой</t>
        </is>
      </c>
      <c r="I193" s="42" t="inlineStr">
        <is>
          <t>Премиум</t>
        </is>
      </c>
      <c r="J193" s="42" t="inlineStr">
        <is>
          <t>Автогенерация 1:1; тарифные различия ещё не настроены</t>
        </is>
      </c>
    </row>
    <row r="194">
      <c r="A194" s="41" t="inlineStr">
        <is>
          <t>RMAT-0065</t>
        </is>
      </c>
      <c r="B194" s="41" t="inlineStr">
        <is>
          <t>Мастика битумная</t>
        </is>
      </c>
      <c r="C194" s="41" t="inlineStr">
        <is>
          <t>Эконом</t>
        </is>
      </c>
      <c r="D194" s="41" t="inlineStr">
        <is>
          <t>MV-0065</t>
        </is>
      </c>
      <c r="E194" s="59" t="n"/>
      <c r="F194" s="59" t="n">
        <v>1</v>
      </c>
      <c r="G194" s="41" t="inlineStr">
        <is>
          <t>Мастика битумная</t>
        </is>
      </c>
      <c r="H194" s="41" t="inlineStr">
        <is>
          <t>Показать строкой</t>
        </is>
      </c>
      <c r="I194" s="41" t="inlineStr">
        <is>
          <t>Эконом</t>
        </is>
      </c>
      <c r="J194" s="41" t="inlineStr">
        <is>
          <t>Автогенерация 1:1; тарифные различия ещё не настроены</t>
        </is>
      </c>
    </row>
    <row r="195">
      <c r="A195" s="42" t="inlineStr">
        <is>
          <t>RMAT-0065</t>
        </is>
      </c>
      <c r="B195" s="42" t="inlineStr">
        <is>
          <t>Мастика битумная</t>
        </is>
      </c>
      <c r="C195" s="42" t="inlineStr">
        <is>
          <t>Стандарт</t>
        </is>
      </c>
      <c r="D195" s="42" t="inlineStr">
        <is>
          <t>MV-0065</t>
        </is>
      </c>
      <c r="E195" s="60" t="n"/>
      <c r="F195" s="60" t="n">
        <v>1</v>
      </c>
      <c r="G195" s="42" t="inlineStr">
        <is>
          <t>Мастика битумная</t>
        </is>
      </c>
      <c r="H195" s="42" t="inlineStr">
        <is>
          <t>Показать строкой</t>
        </is>
      </c>
      <c r="I195" s="42" t="inlineStr">
        <is>
          <t>Стандарт</t>
        </is>
      </c>
      <c r="J195" s="42" t="inlineStr">
        <is>
          <t>Автогенерация 1:1; тарифные различия ещё не настроены</t>
        </is>
      </c>
    </row>
    <row r="196">
      <c r="A196" s="41" t="inlineStr">
        <is>
          <t>RMAT-0065</t>
        </is>
      </c>
      <c r="B196" s="41" t="inlineStr">
        <is>
          <t>Мастика битумная</t>
        </is>
      </c>
      <c r="C196" s="41" t="inlineStr">
        <is>
          <t>Премиум</t>
        </is>
      </c>
      <c r="D196" s="41" t="inlineStr">
        <is>
          <t>MV-0065</t>
        </is>
      </c>
      <c r="E196" s="59" t="n"/>
      <c r="F196" s="59" t="n">
        <v>1</v>
      </c>
      <c r="G196" s="41" t="inlineStr">
        <is>
          <t>Мастика битумная</t>
        </is>
      </c>
      <c r="H196" s="41" t="inlineStr">
        <is>
          <t>Показать строкой</t>
        </is>
      </c>
      <c r="I196" s="41" t="inlineStr">
        <is>
          <t>Премиум</t>
        </is>
      </c>
      <c r="J196" s="41" t="inlineStr">
        <is>
          <t>Автогенерация 1:1; тарифные различия ещё не настроены</t>
        </is>
      </c>
    </row>
    <row r="197">
      <c r="A197" s="42" t="inlineStr">
        <is>
          <t>RMAT-0066</t>
        </is>
      </c>
      <c r="B197" s="42" t="inlineStr">
        <is>
          <t>Мастика битумная, 20л</t>
        </is>
      </c>
      <c r="C197" s="42" t="inlineStr">
        <is>
          <t>Эконом</t>
        </is>
      </c>
      <c r="D197" s="42" t="inlineStr">
        <is>
          <t>MV-0066</t>
        </is>
      </c>
      <c r="E197" s="60" t="n"/>
      <c r="F197" s="60" t="n">
        <v>1</v>
      </c>
      <c r="G197" s="42" t="inlineStr">
        <is>
          <t>Мастика битумная, 20л</t>
        </is>
      </c>
      <c r="H197" s="42" t="inlineStr">
        <is>
          <t>Показать строкой</t>
        </is>
      </c>
      <c r="I197" s="42" t="inlineStr">
        <is>
          <t>Эконом</t>
        </is>
      </c>
      <c r="J197" s="42" t="inlineStr">
        <is>
          <t>Автогенерация 1:1; тарифные различия ещё не настроены</t>
        </is>
      </c>
    </row>
    <row r="198">
      <c r="A198" s="41" t="inlineStr">
        <is>
          <t>RMAT-0066</t>
        </is>
      </c>
      <c r="B198" s="41" t="inlineStr">
        <is>
          <t>Мастика битумная, 20л</t>
        </is>
      </c>
      <c r="C198" s="41" t="inlineStr">
        <is>
          <t>Стандарт</t>
        </is>
      </c>
      <c r="D198" s="41" t="inlineStr">
        <is>
          <t>MV-0066</t>
        </is>
      </c>
      <c r="E198" s="59" t="n"/>
      <c r="F198" s="59" t="n">
        <v>1</v>
      </c>
      <c r="G198" s="41" t="inlineStr">
        <is>
          <t>Мастика битумная, 20л</t>
        </is>
      </c>
      <c r="H198" s="41" t="inlineStr">
        <is>
          <t>Показать строкой</t>
        </is>
      </c>
      <c r="I198" s="41" t="inlineStr">
        <is>
          <t>Стандарт</t>
        </is>
      </c>
      <c r="J198" s="41" t="inlineStr">
        <is>
          <t>Автогенерация 1:1; тарифные различия ещё не настроены</t>
        </is>
      </c>
    </row>
    <row r="199">
      <c r="A199" s="42" t="inlineStr">
        <is>
          <t>RMAT-0066</t>
        </is>
      </c>
      <c r="B199" s="42" t="inlineStr">
        <is>
          <t>Мастика битумная, 20л</t>
        </is>
      </c>
      <c r="C199" s="42" t="inlineStr">
        <is>
          <t>Премиум</t>
        </is>
      </c>
      <c r="D199" s="42" t="inlineStr">
        <is>
          <t>MV-0066</t>
        </is>
      </c>
      <c r="E199" s="60" t="n"/>
      <c r="F199" s="60" t="n">
        <v>1</v>
      </c>
      <c r="G199" s="42" t="inlineStr">
        <is>
          <t>Мастика битумная, 20л</t>
        </is>
      </c>
      <c r="H199" s="42" t="inlineStr">
        <is>
          <t>Показать строкой</t>
        </is>
      </c>
      <c r="I199" s="42" t="inlineStr">
        <is>
          <t>Премиум</t>
        </is>
      </c>
      <c r="J199" s="42" t="inlineStr">
        <is>
          <t>Автогенерация 1:1; тарифные различия ещё не настроены</t>
        </is>
      </c>
    </row>
    <row r="200">
      <c r="A200" s="41" t="inlineStr">
        <is>
          <t>RMAT-0067</t>
        </is>
      </c>
      <c r="B200" s="41" t="inlineStr">
        <is>
          <t>Материалы для разметки</t>
        </is>
      </c>
      <c r="C200" s="41" t="inlineStr">
        <is>
          <t>Эконом</t>
        </is>
      </c>
      <c r="D200" s="41" t="inlineStr">
        <is>
          <t>MV-0067</t>
        </is>
      </c>
      <c r="E200" s="59" t="n"/>
      <c r="F200" s="59" t="n">
        <v>1</v>
      </c>
      <c r="G200" s="41" t="inlineStr">
        <is>
          <t>Материалы для разметки</t>
        </is>
      </c>
      <c r="H200" s="41" t="inlineStr">
        <is>
          <t>Показать строкой</t>
        </is>
      </c>
      <c r="I200" s="41" t="inlineStr">
        <is>
          <t>Эконом</t>
        </is>
      </c>
      <c r="J200" s="41" t="inlineStr">
        <is>
          <t>Автогенерация 1:1; тарифные различия ещё не настроены</t>
        </is>
      </c>
    </row>
    <row r="201">
      <c r="A201" s="42" t="inlineStr">
        <is>
          <t>RMAT-0067</t>
        </is>
      </c>
      <c r="B201" s="42" t="inlineStr">
        <is>
          <t>Материалы для разметки</t>
        </is>
      </c>
      <c r="C201" s="42" t="inlineStr">
        <is>
          <t>Стандарт</t>
        </is>
      </c>
      <c r="D201" s="42" t="inlineStr">
        <is>
          <t>MV-0067</t>
        </is>
      </c>
      <c r="E201" s="60" t="n"/>
      <c r="F201" s="60" t="n">
        <v>1</v>
      </c>
      <c r="G201" s="42" t="inlineStr">
        <is>
          <t>Материалы для разметки</t>
        </is>
      </c>
      <c r="H201" s="42" t="inlineStr">
        <is>
          <t>Показать строкой</t>
        </is>
      </c>
      <c r="I201" s="42" t="inlineStr">
        <is>
          <t>Стандарт</t>
        </is>
      </c>
      <c r="J201" s="42" t="inlineStr">
        <is>
          <t>Автогенерация 1:1; тарифные различия ещё не настроены</t>
        </is>
      </c>
    </row>
    <row r="202">
      <c r="A202" s="41" t="inlineStr">
        <is>
          <t>RMAT-0067</t>
        </is>
      </c>
      <c r="B202" s="41" t="inlineStr">
        <is>
          <t>Материалы для разметки</t>
        </is>
      </c>
      <c r="C202" s="41" t="inlineStr">
        <is>
          <t>Премиум</t>
        </is>
      </c>
      <c r="D202" s="41" t="inlineStr">
        <is>
          <t>MV-0067</t>
        </is>
      </c>
      <c r="E202" s="59" t="n"/>
      <c r="F202" s="59" t="n">
        <v>1</v>
      </c>
      <c r="G202" s="41" t="inlineStr">
        <is>
          <t>Материалы для разметки</t>
        </is>
      </c>
      <c r="H202" s="41" t="inlineStr">
        <is>
          <t>Показать строкой</t>
        </is>
      </c>
      <c r="I202" s="41" t="inlineStr">
        <is>
          <t>Премиум</t>
        </is>
      </c>
      <c r="J202" s="41" t="inlineStr">
        <is>
          <t>Автогенерация 1:1; тарифные различия ещё не настроены</t>
        </is>
      </c>
    </row>
    <row r="203">
      <c r="A203" s="42" t="inlineStr">
        <is>
          <t>RMAT-0068</t>
        </is>
      </c>
      <c r="B203" s="42" t="inlineStr">
        <is>
          <t>Метизы</t>
        </is>
      </c>
      <c r="C203" s="42" t="inlineStr">
        <is>
          <t>Эконом</t>
        </is>
      </c>
      <c r="D203" s="42" t="inlineStr">
        <is>
          <t>MV-0068</t>
        </is>
      </c>
      <c r="E203" s="60" t="n"/>
      <c r="F203" s="60" t="n">
        <v>1</v>
      </c>
      <c r="G203" s="42" t="inlineStr">
        <is>
          <t>Метизы</t>
        </is>
      </c>
      <c r="H203" s="42" t="inlineStr">
        <is>
          <t>Показать строкой</t>
        </is>
      </c>
      <c r="I203" s="42" t="inlineStr">
        <is>
          <t>Эконом</t>
        </is>
      </c>
      <c r="J203" s="42" t="inlineStr">
        <is>
          <t>Автогенерация 1:1; тарифные различия ещё не настроены</t>
        </is>
      </c>
    </row>
    <row r="204">
      <c r="A204" s="41" t="inlineStr">
        <is>
          <t>RMAT-0068</t>
        </is>
      </c>
      <c r="B204" s="41" t="inlineStr">
        <is>
          <t>Метизы</t>
        </is>
      </c>
      <c r="C204" s="41" t="inlineStr">
        <is>
          <t>Стандарт</t>
        </is>
      </c>
      <c r="D204" s="41" t="inlineStr">
        <is>
          <t>MV-0068</t>
        </is>
      </c>
      <c r="E204" s="59" t="n"/>
      <c r="F204" s="59" t="n">
        <v>1</v>
      </c>
      <c r="G204" s="41" t="inlineStr">
        <is>
          <t>Метизы</t>
        </is>
      </c>
      <c r="H204" s="41" t="inlineStr">
        <is>
          <t>Показать строкой</t>
        </is>
      </c>
      <c r="I204" s="41" t="inlineStr">
        <is>
          <t>Стандарт</t>
        </is>
      </c>
      <c r="J204" s="41" t="inlineStr">
        <is>
          <t>Автогенерация 1:1; тарифные различия ещё не настроены</t>
        </is>
      </c>
    </row>
    <row r="205">
      <c r="A205" s="42" t="inlineStr">
        <is>
          <t>RMAT-0068</t>
        </is>
      </c>
      <c r="B205" s="42" t="inlineStr">
        <is>
          <t>Метизы</t>
        </is>
      </c>
      <c r="C205" s="42" t="inlineStr">
        <is>
          <t>Премиум</t>
        </is>
      </c>
      <c r="D205" s="42" t="inlineStr">
        <is>
          <t>MV-0068</t>
        </is>
      </c>
      <c r="E205" s="60" t="n"/>
      <c r="F205" s="60" t="n">
        <v>1</v>
      </c>
      <c r="G205" s="42" t="inlineStr">
        <is>
          <t>Метизы</t>
        </is>
      </c>
      <c r="H205" s="42" t="inlineStr">
        <is>
          <t>Показать строкой</t>
        </is>
      </c>
      <c r="I205" s="42" t="inlineStr">
        <is>
          <t>Премиум</t>
        </is>
      </c>
      <c r="J205" s="42" t="inlineStr">
        <is>
          <t>Автогенерация 1:1; тарифные различия ещё не настроены</t>
        </is>
      </c>
    </row>
    <row r="206">
      <c r="A206" s="41" t="inlineStr">
        <is>
          <t>RMAT-0069</t>
        </is>
      </c>
      <c r="B206" s="41" t="inlineStr">
        <is>
          <t>Муфта d110мм для врезки в колодец</t>
        </is>
      </c>
      <c r="C206" s="41" t="inlineStr">
        <is>
          <t>Эконом</t>
        </is>
      </c>
      <c r="D206" s="41" t="inlineStr">
        <is>
          <t>MV-0069</t>
        </is>
      </c>
      <c r="E206" s="59" t="n"/>
      <c r="F206" s="59" t="n">
        <v>1</v>
      </c>
      <c r="G206" s="41" t="inlineStr">
        <is>
          <t>Муфта d110мм для врезки в колодец</t>
        </is>
      </c>
      <c r="H206" s="41" t="inlineStr">
        <is>
          <t>Показать строкой</t>
        </is>
      </c>
      <c r="I206" s="41" t="inlineStr">
        <is>
          <t>Эконом</t>
        </is>
      </c>
      <c r="J206" s="41" t="inlineStr">
        <is>
          <t>Автогенерация 1:1; тарифные различия ещё не настроены</t>
        </is>
      </c>
    </row>
    <row r="207">
      <c r="A207" s="42" t="inlineStr">
        <is>
          <t>RMAT-0069</t>
        </is>
      </c>
      <c r="B207" s="42" t="inlineStr">
        <is>
          <t>Муфта d110мм для врезки в колодец</t>
        </is>
      </c>
      <c r="C207" s="42" t="inlineStr">
        <is>
          <t>Стандарт</t>
        </is>
      </c>
      <c r="D207" s="42" t="inlineStr">
        <is>
          <t>MV-0069</t>
        </is>
      </c>
      <c r="E207" s="60" t="n"/>
      <c r="F207" s="60" t="n">
        <v>1</v>
      </c>
      <c r="G207" s="42" t="inlineStr">
        <is>
          <t>Муфта d110мм для врезки в колодец</t>
        </is>
      </c>
      <c r="H207" s="42" t="inlineStr">
        <is>
          <t>Показать строкой</t>
        </is>
      </c>
      <c r="I207" s="42" t="inlineStr">
        <is>
          <t>Стандарт</t>
        </is>
      </c>
      <c r="J207" s="42" t="inlineStr">
        <is>
          <t>Автогенерация 1:1; тарифные различия ещё не настроены</t>
        </is>
      </c>
    </row>
    <row r="208">
      <c r="A208" s="41" t="inlineStr">
        <is>
          <t>RMAT-0069</t>
        </is>
      </c>
      <c r="B208" s="41" t="inlineStr">
        <is>
          <t>Муфта d110мм для врезки в колодец</t>
        </is>
      </c>
      <c r="C208" s="41" t="inlineStr">
        <is>
          <t>Премиум</t>
        </is>
      </c>
      <c r="D208" s="41" t="inlineStr">
        <is>
          <t>MV-0069</t>
        </is>
      </c>
      <c r="E208" s="59" t="n"/>
      <c r="F208" s="59" t="n">
        <v>1</v>
      </c>
      <c r="G208" s="41" t="inlineStr">
        <is>
          <t>Муфта d110мм для врезки в колодец</t>
        </is>
      </c>
      <c r="H208" s="41" t="inlineStr">
        <is>
          <t>Показать строкой</t>
        </is>
      </c>
      <c r="I208" s="41" t="inlineStr">
        <is>
          <t>Премиум</t>
        </is>
      </c>
      <c r="J208" s="41" t="inlineStr">
        <is>
          <t>Автогенерация 1:1; тарифные различия ещё не настроены</t>
        </is>
      </c>
    </row>
    <row r="209">
      <c r="A209" s="42" t="inlineStr">
        <is>
          <t>RMAT-0070</t>
        </is>
      </c>
      <c r="B209" s="42" t="inlineStr">
        <is>
          <t>Муфта d160мм для врезки в колодец</t>
        </is>
      </c>
      <c r="C209" s="42" t="inlineStr">
        <is>
          <t>Эконом</t>
        </is>
      </c>
      <c r="D209" s="42" t="inlineStr">
        <is>
          <t>MV-0070</t>
        </is>
      </c>
      <c r="E209" s="60" t="n"/>
      <c r="F209" s="60" t="n">
        <v>1</v>
      </c>
      <c r="G209" s="42" t="inlineStr">
        <is>
          <t>Муфта d160мм для врезки в колодец</t>
        </is>
      </c>
      <c r="H209" s="42" t="inlineStr">
        <is>
          <t>Показать строкой</t>
        </is>
      </c>
      <c r="I209" s="42" t="inlineStr">
        <is>
          <t>Эконом</t>
        </is>
      </c>
      <c r="J209" s="42" t="inlineStr">
        <is>
          <t>Автогенерация 1:1; тарифные различия ещё не настроены</t>
        </is>
      </c>
    </row>
    <row r="210">
      <c r="A210" s="41" t="inlineStr">
        <is>
          <t>RMAT-0070</t>
        </is>
      </c>
      <c r="B210" s="41" t="inlineStr">
        <is>
          <t>Муфта d160мм для врезки в колодец</t>
        </is>
      </c>
      <c r="C210" s="41" t="inlineStr">
        <is>
          <t>Стандарт</t>
        </is>
      </c>
      <c r="D210" s="41" t="inlineStr">
        <is>
          <t>MV-0070</t>
        </is>
      </c>
      <c r="E210" s="59" t="n"/>
      <c r="F210" s="59" t="n">
        <v>1</v>
      </c>
      <c r="G210" s="41" t="inlineStr">
        <is>
          <t>Муфта d160мм для врезки в колодец</t>
        </is>
      </c>
      <c r="H210" s="41" t="inlineStr">
        <is>
          <t>Показать строкой</t>
        </is>
      </c>
      <c r="I210" s="41" t="inlineStr">
        <is>
          <t>Стандарт</t>
        </is>
      </c>
      <c r="J210" s="41" t="inlineStr">
        <is>
          <t>Автогенерация 1:1; тарифные различия ещё не настроены</t>
        </is>
      </c>
    </row>
    <row r="211">
      <c r="A211" s="42" t="inlineStr">
        <is>
          <t>RMAT-0070</t>
        </is>
      </c>
      <c r="B211" s="42" t="inlineStr">
        <is>
          <t>Муфта d160мм для врезки в колодец</t>
        </is>
      </c>
      <c r="C211" s="42" t="inlineStr">
        <is>
          <t>Премиум</t>
        </is>
      </c>
      <c r="D211" s="42" t="inlineStr">
        <is>
          <t>MV-0070</t>
        </is>
      </c>
      <c r="E211" s="60" t="n"/>
      <c r="F211" s="60" t="n">
        <v>1</v>
      </c>
      <c r="G211" s="42" t="inlineStr">
        <is>
          <t>Муфта d160мм для врезки в колодец</t>
        </is>
      </c>
      <c r="H211" s="42" t="inlineStr">
        <is>
          <t>Показать строкой</t>
        </is>
      </c>
      <c r="I211" s="42" t="inlineStr">
        <is>
          <t>Премиум</t>
        </is>
      </c>
      <c r="J211" s="42" t="inlineStr">
        <is>
          <t>Автогенерация 1:1; тарифные различия ещё не настроены</t>
        </is>
      </c>
    </row>
    <row r="212">
      <c r="A212" s="41" t="inlineStr">
        <is>
          <t>RMAT-0071</t>
        </is>
      </c>
      <c r="B212" s="41" t="inlineStr">
        <is>
          <t>Опора ландшафтная для установки светильников в бетон</t>
        </is>
      </c>
      <c r="C212" s="41" t="inlineStr">
        <is>
          <t>Эконом</t>
        </is>
      </c>
      <c r="D212" s="41" t="inlineStr">
        <is>
          <t>MV-0071</t>
        </is>
      </c>
      <c r="E212" s="59" t="n"/>
      <c r="F212" s="59" t="n">
        <v>1</v>
      </c>
      <c r="G212" s="41" t="inlineStr">
        <is>
          <t>Опора ландшафтная для установки светильников в бетон</t>
        </is>
      </c>
      <c r="H212" s="41" t="inlineStr">
        <is>
          <t>Показать строкой</t>
        </is>
      </c>
      <c r="I212" s="41" t="inlineStr">
        <is>
          <t>Эконом</t>
        </is>
      </c>
      <c r="J212" s="41" t="inlineStr">
        <is>
          <t>Автогенерация 1:1; тарифные различия ещё не настроены</t>
        </is>
      </c>
    </row>
    <row r="213">
      <c r="A213" s="42" t="inlineStr">
        <is>
          <t>RMAT-0071</t>
        </is>
      </c>
      <c r="B213" s="42" t="inlineStr">
        <is>
          <t>Опора ландшафтная для установки светильников в бетон</t>
        </is>
      </c>
      <c r="C213" s="42" t="inlineStr">
        <is>
          <t>Стандарт</t>
        </is>
      </c>
      <c r="D213" s="42" t="inlineStr">
        <is>
          <t>MV-0071</t>
        </is>
      </c>
      <c r="E213" s="60" t="n"/>
      <c r="F213" s="60" t="n">
        <v>1</v>
      </c>
      <c r="G213" s="42" t="inlineStr">
        <is>
          <t>Опора ландшафтная для установки светильников в бетон</t>
        </is>
      </c>
      <c r="H213" s="42" t="inlineStr">
        <is>
          <t>Показать строкой</t>
        </is>
      </c>
      <c r="I213" s="42" t="inlineStr">
        <is>
          <t>Стандарт</t>
        </is>
      </c>
      <c r="J213" s="42" t="inlineStr">
        <is>
          <t>Автогенерация 1:1; тарифные различия ещё не настроены</t>
        </is>
      </c>
    </row>
    <row r="214">
      <c r="A214" s="41" t="inlineStr">
        <is>
          <t>RMAT-0071</t>
        </is>
      </c>
      <c r="B214" s="41" t="inlineStr">
        <is>
          <t>Опора ландшафтная для установки светильников в бетон</t>
        </is>
      </c>
      <c r="C214" s="41" t="inlineStr">
        <is>
          <t>Премиум</t>
        </is>
      </c>
      <c r="D214" s="41" t="inlineStr">
        <is>
          <t>MV-0071</t>
        </is>
      </c>
      <c r="E214" s="59" t="n"/>
      <c r="F214" s="59" t="n">
        <v>1</v>
      </c>
      <c r="G214" s="41" t="inlineStr">
        <is>
          <t>Опора ландшафтная для установки светильников в бетон</t>
        </is>
      </c>
      <c r="H214" s="41" t="inlineStr">
        <is>
          <t>Показать строкой</t>
        </is>
      </c>
      <c r="I214" s="41" t="inlineStr">
        <is>
          <t>Премиум</t>
        </is>
      </c>
      <c r="J214" s="41" t="inlineStr">
        <is>
          <t>Автогенерация 1:1; тарифные различия ещё не настроены</t>
        </is>
      </c>
    </row>
    <row r="215">
      <c r="A215" s="42" t="inlineStr">
        <is>
          <t>RMAT-0072</t>
        </is>
      </c>
      <c r="B215" s="42" t="inlineStr">
        <is>
          <t>Отсев гранитный</t>
        </is>
      </c>
      <c r="C215" s="42" t="inlineStr">
        <is>
          <t>Эконом</t>
        </is>
      </c>
      <c r="D215" s="42" t="inlineStr">
        <is>
          <t>MV-0072</t>
        </is>
      </c>
      <c r="E215" s="60" t="n"/>
      <c r="F215" s="60" t="n">
        <v>1</v>
      </c>
      <c r="G215" s="42" t="inlineStr">
        <is>
          <t>Отсев гранитный</t>
        </is>
      </c>
      <c r="H215" s="42" t="inlineStr">
        <is>
          <t>Показать строкой</t>
        </is>
      </c>
      <c r="I215" s="42" t="inlineStr">
        <is>
          <t>Эконом</t>
        </is>
      </c>
      <c r="J215" s="42" t="inlineStr">
        <is>
          <t>Автогенерация 1:1; тарифные различия ещё не настроены</t>
        </is>
      </c>
    </row>
    <row r="216">
      <c r="A216" s="41" t="inlineStr">
        <is>
          <t>RMAT-0072</t>
        </is>
      </c>
      <c r="B216" s="41" t="inlineStr">
        <is>
          <t>Отсев гранитный</t>
        </is>
      </c>
      <c r="C216" s="41" t="inlineStr">
        <is>
          <t>Стандарт</t>
        </is>
      </c>
      <c r="D216" s="41" t="inlineStr">
        <is>
          <t>MV-0072</t>
        </is>
      </c>
      <c r="E216" s="59" t="n"/>
      <c r="F216" s="59" t="n">
        <v>1</v>
      </c>
      <c r="G216" s="41" t="inlineStr">
        <is>
          <t>Отсев гранитный</t>
        </is>
      </c>
      <c r="H216" s="41" t="inlineStr">
        <is>
          <t>Показать строкой</t>
        </is>
      </c>
      <c r="I216" s="41" t="inlineStr">
        <is>
          <t>Стандарт</t>
        </is>
      </c>
      <c r="J216" s="41" t="inlineStr">
        <is>
          <t>Автогенерация 1:1; тарифные различия ещё не настроены</t>
        </is>
      </c>
    </row>
    <row r="217">
      <c r="A217" s="42" t="inlineStr">
        <is>
          <t>RMAT-0072</t>
        </is>
      </c>
      <c r="B217" s="42" t="inlineStr">
        <is>
          <t>Отсев гранитный</t>
        </is>
      </c>
      <c r="C217" s="42" t="inlineStr">
        <is>
          <t>Премиум</t>
        </is>
      </c>
      <c r="D217" s="42" t="inlineStr">
        <is>
          <t>MV-0072</t>
        </is>
      </c>
      <c r="E217" s="60" t="n"/>
      <c r="F217" s="60" t="n">
        <v>1</v>
      </c>
      <c r="G217" s="42" t="inlineStr">
        <is>
          <t>Отсев гранитный</t>
        </is>
      </c>
      <c r="H217" s="42" t="inlineStr">
        <is>
          <t>Показать строкой</t>
        </is>
      </c>
      <c r="I217" s="42" t="inlineStr">
        <is>
          <t>Премиум</t>
        </is>
      </c>
      <c r="J217" s="42" t="inlineStr">
        <is>
          <t>Автогенерация 1:1; тарифные различия ещё не настроены</t>
        </is>
      </c>
    </row>
    <row r="218">
      <c r="A218" s="41" t="inlineStr">
        <is>
          <t>RMAT-0073</t>
        </is>
      </c>
      <c r="B218" s="41" t="inlineStr">
        <is>
          <t>Отсев гранитный 2-5мм</t>
        </is>
      </c>
      <c r="C218" s="41" t="inlineStr">
        <is>
          <t>Эконом</t>
        </is>
      </c>
      <c r="D218" s="41" t="inlineStr">
        <is>
          <t>MV-0073</t>
        </is>
      </c>
      <c r="E218" s="59" t="n"/>
      <c r="F218" s="59" t="n">
        <v>1</v>
      </c>
      <c r="G218" s="41" t="inlineStr">
        <is>
          <t>Отсев гранитный 2-5мм</t>
        </is>
      </c>
      <c r="H218" s="41" t="inlineStr">
        <is>
          <t>Показать строкой</t>
        </is>
      </c>
      <c r="I218" s="41" t="inlineStr">
        <is>
          <t>Эконом</t>
        </is>
      </c>
      <c r="J218" s="41" t="inlineStr">
        <is>
          <t>Автогенерация 1:1; тарифные различия ещё не настроены</t>
        </is>
      </c>
    </row>
    <row r="219">
      <c r="A219" s="42" t="inlineStr">
        <is>
          <t>RMAT-0073</t>
        </is>
      </c>
      <c r="B219" s="42" t="inlineStr">
        <is>
          <t>Отсев гранитный 2-5мм</t>
        </is>
      </c>
      <c r="C219" s="42" t="inlineStr">
        <is>
          <t>Стандарт</t>
        </is>
      </c>
      <c r="D219" s="42" t="inlineStr">
        <is>
          <t>MV-0073</t>
        </is>
      </c>
      <c r="E219" s="60" t="n"/>
      <c r="F219" s="60" t="n">
        <v>1</v>
      </c>
      <c r="G219" s="42" t="inlineStr">
        <is>
          <t>Отсев гранитный 2-5мм</t>
        </is>
      </c>
      <c r="H219" s="42" t="inlineStr">
        <is>
          <t>Показать строкой</t>
        </is>
      </c>
      <c r="I219" s="42" t="inlineStr">
        <is>
          <t>Стандарт</t>
        </is>
      </c>
      <c r="J219" s="42" t="inlineStr">
        <is>
          <t>Автогенерация 1:1; тарифные различия ещё не настроены</t>
        </is>
      </c>
    </row>
    <row r="220">
      <c r="A220" s="41" t="inlineStr">
        <is>
          <t>RMAT-0073</t>
        </is>
      </c>
      <c r="B220" s="41" t="inlineStr">
        <is>
          <t>Отсев гранитный 2-5мм</t>
        </is>
      </c>
      <c r="C220" s="41" t="inlineStr">
        <is>
          <t>Премиум</t>
        </is>
      </c>
      <c r="D220" s="41" t="inlineStr">
        <is>
          <t>MV-0073</t>
        </is>
      </c>
      <c r="E220" s="59" t="n"/>
      <c r="F220" s="59" t="n">
        <v>1</v>
      </c>
      <c r="G220" s="41" t="inlineStr">
        <is>
          <t>Отсев гранитный 2-5мм</t>
        </is>
      </c>
      <c r="H220" s="41" t="inlineStr">
        <is>
          <t>Показать строкой</t>
        </is>
      </c>
      <c r="I220" s="41" t="inlineStr">
        <is>
          <t>Премиум</t>
        </is>
      </c>
      <c r="J220" s="41" t="inlineStr">
        <is>
          <t>Автогенерация 1:1; тарифные различия ещё не настроены</t>
        </is>
      </c>
    </row>
    <row r="221">
      <c r="A221" s="42" t="inlineStr">
        <is>
          <t>RMAT-0074</t>
        </is>
      </c>
      <c r="B221" s="42" t="inlineStr">
        <is>
          <t>Отсев розовый 0-5мм, 50кг</t>
        </is>
      </c>
      <c r="C221" s="42" t="inlineStr">
        <is>
          <t>Эконом</t>
        </is>
      </c>
      <c r="D221" s="42" t="inlineStr">
        <is>
          <t>MV-0074</t>
        </is>
      </c>
      <c r="E221" s="60" t="n"/>
      <c r="F221" s="60" t="n">
        <v>1</v>
      </c>
      <c r="G221" s="42" t="inlineStr">
        <is>
          <t>Отсев розовый 0-5мм, 50кг</t>
        </is>
      </c>
      <c r="H221" s="42" t="inlineStr">
        <is>
          <t>Показать строкой</t>
        </is>
      </c>
      <c r="I221" s="42" t="inlineStr">
        <is>
          <t>Эконом</t>
        </is>
      </c>
      <c r="J221" s="42" t="inlineStr">
        <is>
          <t>Автогенерация 1:1; тарифные различия ещё не настроены</t>
        </is>
      </c>
    </row>
    <row r="222">
      <c r="A222" s="41" t="inlineStr">
        <is>
          <t>RMAT-0074</t>
        </is>
      </c>
      <c r="B222" s="41" t="inlineStr">
        <is>
          <t>Отсев розовый 0-5мм, 50кг</t>
        </is>
      </c>
      <c r="C222" s="41" t="inlineStr">
        <is>
          <t>Стандарт</t>
        </is>
      </c>
      <c r="D222" s="41" t="inlineStr">
        <is>
          <t>MV-0074</t>
        </is>
      </c>
      <c r="E222" s="59" t="n"/>
      <c r="F222" s="59" t="n">
        <v>1</v>
      </c>
      <c r="G222" s="41" t="inlineStr">
        <is>
          <t>Отсев розовый 0-5мм, 50кг</t>
        </is>
      </c>
      <c r="H222" s="41" t="inlineStr">
        <is>
          <t>Показать строкой</t>
        </is>
      </c>
      <c r="I222" s="41" t="inlineStr">
        <is>
          <t>Стандарт</t>
        </is>
      </c>
      <c r="J222" s="41" t="inlineStr">
        <is>
          <t>Автогенерация 1:1; тарифные различия ещё не настроены</t>
        </is>
      </c>
    </row>
    <row r="223">
      <c r="A223" s="42" t="inlineStr">
        <is>
          <t>RMAT-0074</t>
        </is>
      </c>
      <c r="B223" s="42" t="inlineStr">
        <is>
          <t>Отсев розовый 0-5мм, 50кг</t>
        </is>
      </c>
      <c r="C223" s="42" t="inlineStr">
        <is>
          <t>Премиум</t>
        </is>
      </c>
      <c r="D223" s="42" t="inlineStr">
        <is>
          <t>MV-0074</t>
        </is>
      </c>
      <c r="E223" s="60" t="n"/>
      <c r="F223" s="60" t="n">
        <v>1</v>
      </c>
      <c r="G223" s="42" t="inlineStr">
        <is>
          <t>Отсев розовый 0-5мм, 50кг</t>
        </is>
      </c>
      <c r="H223" s="42" t="inlineStr">
        <is>
          <t>Показать строкой</t>
        </is>
      </c>
      <c r="I223" s="42" t="inlineStr">
        <is>
          <t>Премиум</t>
        </is>
      </c>
      <c r="J223" s="42" t="inlineStr">
        <is>
          <t>Автогенерация 1:1; тарифные различия ещё не настроены</t>
        </is>
      </c>
    </row>
    <row r="224">
      <c r="A224" s="41" t="inlineStr">
        <is>
          <t>RMAT-0075</t>
        </is>
      </c>
      <c r="B224" s="41" t="inlineStr">
        <is>
          <t>Пескоуловители пластиковые 500х160х420мм с решетками ячеистыми чугунными</t>
        </is>
      </c>
      <c r="C224" s="41" t="inlineStr">
        <is>
          <t>Эконом</t>
        </is>
      </c>
      <c r="D224" s="41" t="inlineStr">
        <is>
          <t>MV-0075</t>
        </is>
      </c>
      <c r="E224" s="59" t="n"/>
      <c r="F224" s="59" t="n">
        <v>1</v>
      </c>
      <c r="G224" s="41" t="inlineStr">
        <is>
          <t>Пескоуловители пластиковые 500х160х420мм с решетками ячеистыми чугунными</t>
        </is>
      </c>
      <c r="H224" s="41" t="inlineStr">
        <is>
          <t>Показать строкой</t>
        </is>
      </c>
      <c r="I224" s="41" t="inlineStr">
        <is>
          <t>Эконом</t>
        </is>
      </c>
      <c r="J224" s="41" t="inlineStr">
        <is>
          <t>Автогенерация 1:1; тарифные различия ещё не настроены</t>
        </is>
      </c>
    </row>
    <row r="225">
      <c r="A225" s="42" t="inlineStr">
        <is>
          <t>RMAT-0075</t>
        </is>
      </c>
      <c r="B225" s="42" t="inlineStr">
        <is>
          <t>Пескоуловители пластиковые 500х160х420мм с решетками ячеистыми чугунными</t>
        </is>
      </c>
      <c r="C225" s="42" t="inlineStr">
        <is>
          <t>Стандарт</t>
        </is>
      </c>
      <c r="D225" s="42" t="inlineStr">
        <is>
          <t>MV-0075</t>
        </is>
      </c>
      <c r="E225" s="60" t="n"/>
      <c r="F225" s="60" t="n">
        <v>1</v>
      </c>
      <c r="G225" s="42" t="inlineStr">
        <is>
          <t>Пескоуловители пластиковые 500х160х420мм с решетками ячеистыми чугунными</t>
        </is>
      </c>
      <c r="H225" s="42" t="inlineStr">
        <is>
          <t>Показать строкой</t>
        </is>
      </c>
      <c r="I225" s="42" t="inlineStr">
        <is>
          <t>Стандарт</t>
        </is>
      </c>
      <c r="J225" s="42" t="inlineStr">
        <is>
          <t>Автогенерация 1:1; тарифные различия ещё не настроены</t>
        </is>
      </c>
    </row>
    <row r="226">
      <c r="A226" s="41" t="inlineStr">
        <is>
          <t>RMAT-0075</t>
        </is>
      </c>
      <c r="B226" s="41" t="inlineStr">
        <is>
          <t>Пескоуловители пластиковые 500х160х420мм с решетками ячеистыми чугунными</t>
        </is>
      </c>
      <c r="C226" s="41" t="inlineStr">
        <is>
          <t>Премиум</t>
        </is>
      </c>
      <c r="D226" s="41" t="inlineStr">
        <is>
          <t>MV-0075</t>
        </is>
      </c>
      <c r="E226" s="59" t="n"/>
      <c r="F226" s="59" t="n">
        <v>1</v>
      </c>
      <c r="G226" s="41" t="inlineStr">
        <is>
          <t>Пескоуловители пластиковые 500х160х420мм с решетками ячеистыми чугунными</t>
        </is>
      </c>
      <c r="H226" s="41" t="inlineStr">
        <is>
          <t>Показать строкой</t>
        </is>
      </c>
      <c r="I226" s="41" t="inlineStr">
        <is>
          <t>Премиум</t>
        </is>
      </c>
      <c r="J226" s="41" t="inlineStr">
        <is>
          <t>Автогенерация 1:1; тарифные различия ещё не настроены</t>
        </is>
      </c>
    </row>
    <row r="227">
      <c r="A227" s="42" t="inlineStr">
        <is>
          <t>RMAT-0076</t>
        </is>
      </c>
      <c r="B227" s="42" t="inlineStr">
        <is>
          <t>Песок крупнозернистый намывной</t>
        </is>
      </c>
      <c r="C227" s="42" t="inlineStr">
        <is>
          <t>Эконом</t>
        </is>
      </c>
      <c r="D227" s="42" t="inlineStr">
        <is>
          <t>MV-0076</t>
        </is>
      </c>
      <c r="E227" s="60" t="n"/>
      <c r="F227" s="60" t="n">
        <v>1</v>
      </c>
      <c r="G227" s="42" t="inlineStr">
        <is>
          <t>Песок крупнозернистый намывной</t>
        </is>
      </c>
      <c r="H227" s="42" t="inlineStr">
        <is>
          <t>Показать строкой</t>
        </is>
      </c>
      <c r="I227" s="42" t="inlineStr">
        <is>
          <t>Эконом</t>
        </is>
      </c>
      <c r="J227" s="42" t="inlineStr">
        <is>
          <t>Автогенерация 1:1; тарифные различия ещё не настроены</t>
        </is>
      </c>
    </row>
    <row r="228">
      <c r="A228" s="41" t="inlineStr">
        <is>
          <t>RMAT-0076</t>
        </is>
      </c>
      <c r="B228" s="41" t="inlineStr">
        <is>
          <t>Песок крупнозернистый намывной</t>
        </is>
      </c>
      <c r="C228" s="41" t="inlineStr">
        <is>
          <t>Стандарт</t>
        </is>
      </c>
      <c r="D228" s="41" t="inlineStr">
        <is>
          <t>MV-0076</t>
        </is>
      </c>
      <c r="E228" s="59" t="n"/>
      <c r="F228" s="59" t="n">
        <v>1</v>
      </c>
      <c r="G228" s="41" t="inlineStr">
        <is>
          <t>Песок крупнозернистый намывной</t>
        </is>
      </c>
      <c r="H228" s="41" t="inlineStr">
        <is>
          <t>Показать строкой</t>
        </is>
      </c>
      <c r="I228" s="41" t="inlineStr">
        <is>
          <t>Стандарт</t>
        </is>
      </c>
      <c r="J228" s="41" t="inlineStr">
        <is>
          <t>Автогенерация 1:1; тарифные различия ещё не настроены</t>
        </is>
      </c>
    </row>
    <row r="229">
      <c r="A229" s="42" t="inlineStr">
        <is>
          <t>RMAT-0076</t>
        </is>
      </c>
      <c r="B229" s="42" t="inlineStr">
        <is>
          <t>Песок крупнозернистый намывной</t>
        </is>
      </c>
      <c r="C229" s="42" t="inlineStr">
        <is>
          <t>Премиум</t>
        </is>
      </c>
      <c r="D229" s="42" t="inlineStr">
        <is>
          <t>MV-0076</t>
        </is>
      </c>
      <c r="E229" s="60" t="n"/>
      <c r="F229" s="60" t="n">
        <v>1</v>
      </c>
      <c r="G229" s="42" t="inlineStr">
        <is>
          <t>Песок крупнозернистый намывной</t>
        </is>
      </c>
      <c r="H229" s="42" t="inlineStr">
        <is>
          <t>Показать строкой</t>
        </is>
      </c>
      <c r="I229" s="42" t="inlineStr">
        <is>
          <t>Премиум</t>
        </is>
      </c>
      <c r="J229" s="42" t="inlineStr">
        <is>
          <t>Автогенерация 1:1; тарифные различия ещё не настроены</t>
        </is>
      </c>
    </row>
    <row r="230">
      <c r="A230" s="41" t="inlineStr">
        <is>
          <t>RMAT-0077</t>
        </is>
      </c>
      <c r="B230" s="41" t="inlineStr">
        <is>
          <t>Песок мелкий сеяный для швов, 50кг</t>
        </is>
      </c>
      <c r="C230" s="41" t="inlineStr">
        <is>
          <t>Эконом</t>
        </is>
      </c>
      <c r="D230" s="41" t="inlineStr">
        <is>
          <t>MV-0077</t>
        </is>
      </c>
      <c r="E230" s="59" t="n"/>
      <c r="F230" s="59" t="n">
        <v>1</v>
      </c>
      <c r="G230" s="41" t="inlineStr">
        <is>
          <t>Песок мелкий сеяный для швов, 50кг</t>
        </is>
      </c>
      <c r="H230" s="41" t="inlineStr">
        <is>
          <t>Показать строкой</t>
        </is>
      </c>
      <c r="I230" s="41" t="inlineStr">
        <is>
          <t>Эконом</t>
        </is>
      </c>
      <c r="J230" s="41" t="inlineStr">
        <is>
          <t>Автогенерация 1:1; тарифные различия ещё не настроены</t>
        </is>
      </c>
    </row>
    <row r="231">
      <c r="A231" s="42" t="inlineStr">
        <is>
          <t>RMAT-0077</t>
        </is>
      </c>
      <c r="B231" s="42" t="inlineStr">
        <is>
          <t>Песок мелкий сеяный для швов, 50кг</t>
        </is>
      </c>
      <c r="C231" s="42" t="inlineStr">
        <is>
          <t>Стандарт</t>
        </is>
      </c>
      <c r="D231" s="42" t="inlineStr">
        <is>
          <t>MV-0077</t>
        </is>
      </c>
      <c r="E231" s="60" t="n"/>
      <c r="F231" s="60" t="n">
        <v>1</v>
      </c>
      <c r="G231" s="42" t="inlineStr">
        <is>
          <t>Песок мелкий сеяный для швов, 50кг</t>
        </is>
      </c>
      <c r="H231" s="42" t="inlineStr">
        <is>
          <t>Показать строкой</t>
        </is>
      </c>
      <c r="I231" s="42" t="inlineStr">
        <is>
          <t>Стандарт</t>
        </is>
      </c>
      <c r="J231" s="42" t="inlineStr">
        <is>
          <t>Автогенерация 1:1; тарифные различия ещё не настроены</t>
        </is>
      </c>
    </row>
    <row r="232">
      <c r="A232" s="41" t="inlineStr">
        <is>
          <t>RMAT-0077</t>
        </is>
      </c>
      <c r="B232" s="41" t="inlineStr">
        <is>
          <t>Песок мелкий сеяный для швов, 50кг</t>
        </is>
      </c>
      <c r="C232" s="41" t="inlineStr">
        <is>
          <t>Премиум</t>
        </is>
      </c>
      <c r="D232" s="41" t="inlineStr">
        <is>
          <t>MV-0077</t>
        </is>
      </c>
      <c r="E232" s="59" t="n"/>
      <c r="F232" s="59" t="n">
        <v>1</v>
      </c>
      <c r="G232" s="41" t="inlineStr">
        <is>
          <t>Песок мелкий сеяный для швов, 50кг</t>
        </is>
      </c>
      <c r="H232" s="41" t="inlineStr">
        <is>
          <t>Показать строкой</t>
        </is>
      </c>
      <c r="I232" s="41" t="inlineStr">
        <is>
          <t>Премиум</t>
        </is>
      </c>
      <c r="J232" s="41" t="inlineStr">
        <is>
          <t>Автогенерация 1:1; тарифные различия ещё не настроены</t>
        </is>
      </c>
    </row>
    <row r="233">
      <c r="A233" s="42" t="inlineStr">
        <is>
          <t>RMAT-0078</t>
        </is>
      </c>
      <c r="B233" s="42" t="inlineStr">
        <is>
          <t>Песок строительный, 50кг</t>
        </is>
      </c>
      <c r="C233" s="42" t="inlineStr">
        <is>
          <t>Эконом</t>
        </is>
      </c>
      <c r="D233" s="42" t="inlineStr">
        <is>
          <t>MV-0078</t>
        </is>
      </c>
      <c r="E233" s="60" t="n"/>
      <c r="F233" s="60" t="n">
        <v>1</v>
      </c>
      <c r="G233" s="42" t="inlineStr">
        <is>
          <t>Песок строительный, 50кг</t>
        </is>
      </c>
      <c r="H233" s="42" t="inlineStr">
        <is>
          <t>Показать строкой</t>
        </is>
      </c>
      <c r="I233" s="42" t="inlineStr">
        <is>
          <t>Эконом</t>
        </is>
      </c>
      <c r="J233" s="42" t="inlineStr">
        <is>
          <t>Автогенерация 1:1; тарифные различия ещё не настроены</t>
        </is>
      </c>
    </row>
    <row r="234">
      <c r="A234" s="41" t="inlineStr">
        <is>
          <t>RMAT-0078</t>
        </is>
      </c>
      <c r="B234" s="41" t="inlineStr">
        <is>
          <t>Песок строительный, 50кг</t>
        </is>
      </c>
      <c r="C234" s="41" t="inlineStr">
        <is>
          <t>Стандарт</t>
        </is>
      </c>
      <c r="D234" s="41" t="inlineStr">
        <is>
          <t>MV-0078</t>
        </is>
      </c>
      <c r="E234" s="59" t="n"/>
      <c r="F234" s="59" t="n">
        <v>1</v>
      </c>
      <c r="G234" s="41" t="inlineStr">
        <is>
          <t>Песок строительный, 50кг</t>
        </is>
      </c>
      <c r="H234" s="41" t="inlineStr">
        <is>
          <t>Показать строкой</t>
        </is>
      </c>
      <c r="I234" s="41" t="inlineStr">
        <is>
          <t>Стандарт</t>
        </is>
      </c>
      <c r="J234" s="41" t="inlineStr">
        <is>
          <t>Автогенерация 1:1; тарифные различия ещё не настроены</t>
        </is>
      </c>
    </row>
    <row r="235">
      <c r="A235" s="42" t="inlineStr">
        <is>
          <t>RMAT-0078</t>
        </is>
      </c>
      <c r="B235" s="42" t="inlineStr">
        <is>
          <t>Песок строительный, 50кг</t>
        </is>
      </c>
      <c r="C235" s="42" t="inlineStr">
        <is>
          <t>Премиум</t>
        </is>
      </c>
      <c r="D235" s="42" t="inlineStr">
        <is>
          <t>MV-0078</t>
        </is>
      </c>
      <c r="E235" s="60" t="n"/>
      <c r="F235" s="60" t="n">
        <v>1</v>
      </c>
      <c r="G235" s="42" t="inlineStr">
        <is>
          <t>Песок строительный, 50кг</t>
        </is>
      </c>
      <c r="H235" s="42" t="inlineStr">
        <is>
          <t>Показать строкой</t>
        </is>
      </c>
      <c r="I235" s="42" t="inlineStr">
        <is>
          <t>Премиум</t>
        </is>
      </c>
      <c r="J235" s="42" t="inlineStr">
        <is>
          <t>Автогенерация 1:1; тарифные различия ещё не настроены</t>
        </is>
      </c>
    </row>
    <row r="236">
      <c r="A236" s="41" t="inlineStr">
        <is>
          <t>RMAT-0079</t>
        </is>
      </c>
      <c r="B236" s="41" t="inlineStr">
        <is>
          <t>пленка техническая 150мк</t>
        </is>
      </c>
      <c r="C236" s="41" t="inlineStr">
        <is>
          <t>Эконом</t>
        </is>
      </c>
      <c r="D236" s="41" t="inlineStr">
        <is>
          <t>MV-0079</t>
        </is>
      </c>
      <c r="E236" s="59" t="n"/>
      <c r="F236" s="59" t="n">
        <v>1</v>
      </c>
      <c r="G236" s="41" t="inlineStr">
        <is>
          <t>пленка техническая 150мк</t>
        </is>
      </c>
      <c r="H236" s="41" t="inlineStr">
        <is>
          <t>Показать строкой</t>
        </is>
      </c>
      <c r="I236" s="41" t="inlineStr">
        <is>
          <t>Эконом</t>
        </is>
      </c>
      <c r="J236" s="41" t="inlineStr">
        <is>
          <t>Автогенерация 1:1; тарифные различия ещё не настроены</t>
        </is>
      </c>
    </row>
    <row r="237">
      <c r="A237" s="42" t="inlineStr">
        <is>
          <t>RMAT-0079</t>
        </is>
      </c>
      <c r="B237" s="42" t="inlineStr">
        <is>
          <t>пленка техническая 150мк</t>
        </is>
      </c>
      <c r="C237" s="42" t="inlineStr">
        <is>
          <t>Стандарт</t>
        </is>
      </c>
      <c r="D237" s="42" t="inlineStr">
        <is>
          <t>MV-0079</t>
        </is>
      </c>
      <c r="E237" s="60" t="n"/>
      <c r="F237" s="60" t="n">
        <v>1</v>
      </c>
      <c r="G237" s="42" t="inlineStr">
        <is>
          <t>пленка техническая 150мк</t>
        </is>
      </c>
      <c r="H237" s="42" t="inlineStr">
        <is>
          <t>Показать строкой</t>
        </is>
      </c>
      <c r="I237" s="42" t="inlineStr">
        <is>
          <t>Стандарт</t>
        </is>
      </c>
      <c r="J237" s="42" t="inlineStr">
        <is>
          <t>Автогенерация 1:1; тарифные различия ещё не настроены</t>
        </is>
      </c>
    </row>
    <row r="238">
      <c r="A238" s="41" t="inlineStr">
        <is>
          <t>RMAT-0079</t>
        </is>
      </c>
      <c r="B238" s="41" t="inlineStr">
        <is>
          <t>пленка техническая 150мк</t>
        </is>
      </c>
      <c r="C238" s="41" t="inlineStr">
        <is>
          <t>Премиум</t>
        </is>
      </c>
      <c r="D238" s="41" t="inlineStr">
        <is>
          <t>MV-0079</t>
        </is>
      </c>
      <c r="E238" s="59" t="n"/>
      <c r="F238" s="59" t="n">
        <v>1</v>
      </c>
      <c r="G238" s="41" t="inlineStr">
        <is>
          <t>пленка техническая 150мк</t>
        </is>
      </c>
      <c r="H238" s="41" t="inlineStr">
        <is>
          <t>Показать строкой</t>
        </is>
      </c>
      <c r="I238" s="41" t="inlineStr">
        <is>
          <t>Премиум</t>
        </is>
      </c>
      <c r="J238" s="41" t="inlineStr">
        <is>
          <t>Автогенерация 1:1; тарифные различия ещё не настроены</t>
        </is>
      </c>
    </row>
    <row r="239">
      <c r="A239" s="42" t="inlineStr">
        <is>
          <t>RMAT-0080</t>
        </is>
      </c>
      <c r="B239" s="42" t="inlineStr">
        <is>
          <t>Плита бетонная, 40мм</t>
        </is>
      </c>
      <c r="C239" s="42" t="inlineStr">
        <is>
          <t>Эконом</t>
        </is>
      </c>
      <c r="D239" s="42" t="inlineStr">
        <is>
          <t>MV-0080</t>
        </is>
      </c>
      <c r="E239" s="60" t="n"/>
      <c r="F239" s="60" t="n">
        <v>1</v>
      </c>
      <c r="G239" s="42" t="inlineStr">
        <is>
          <t>Плита бетонная, 40мм</t>
        </is>
      </c>
      <c r="H239" s="42" t="inlineStr">
        <is>
          <t>Показать строкой</t>
        </is>
      </c>
      <c r="I239" s="42" t="inlineStr">
        <is>
          <t>Эконом</t>
        </is>
      </c>
      <c r="J239" s="42" t="inlineStr">
        <is>
          <t>Автогенерация 1:1; тарифные различия ещё не настроены</t>
        </is>
      </c>
    </row>
    <row r="240">
      <c r="A240" s="41" t="inlineStr">
        <is>
          <t>RMAT-0080</t>
        </is>
      </c>
      <c r="B240" s="41" t="inlineStr">
        <is>
          <t>Плита бетонная, 40мм</t>
        </is>
      </c>
      <c r="C240" s="41" t="inlineStr">
        <is>
          <t>Стандарт</t>
        </is>
      </c>
      <c r="D240" s="41" t="inlineStr">
        <is>
          <t>MV-0080</t>
        </is>
      </c>
      <c r="E240" s="59" t="n"/>
      <c r="F240" s="59" t="n">
        <v>1</v>
      </c>
      <c r="G240" s="41" t="inlineStr">
        <is>
          <t>Плита бетонная, 40мм</t>
        </is>
      </c>
      <c r="H240" s="41" t="inlineStr">
        <is>
          <t>Показать строкой</t>
        </is>
      </c>
      <c r="I240" s="41" t="inlineStr">
        <is>
          <t>Стандарт</t>
        </is>
      </c>
      <c r="J240" s="41" t="inlineStr">
        <is>
          <t>Автогенерация 1:1; тарифные различия ещё не настроены</t>
        </is>
      </c>
    </row>
    <row r="241">
      <c r="A241" s="42" t="inlineStr">
        <is>
          <t>RMAT-0080</t>
        </is>
      </c>
      <c r="B241" s="42" t="inlineStr">
        <is>
          <t>Плита бетонная, 40мм</t>
        </is>
      </c>
      <c r="C241" s="42" t="inlineStr">
        <is>
          <t>Премиум</t>
        </is>
      </c>
      <c r="D241" s="42" t="inlineStr">
        <is>
          <t>MV-0080</t>
        </is>
      </c>
      <c r="E241" s="60" t="n"/>
      <c r="F241" s="60" t="n">
        <v>1</v>
      </c>
      <c r="G241" s="42" t="inlineStr">
        <is>
          <t>Плита бетонная, 40мм</t>
        </is>
      </c>
      <c r="H241" s="42" t="inlineStr">
        <is>
          <t>Показать строкой</t>
        </is>
      </c>
      <c r="I241" s="42" t="inlineStr">
        <is>
          <t>Премиум</t>
        </is>
      </c>
      <c r="J241" s="42" t="inlineStr">
        <is>
          <t>Автогенерация 1:1; тарифные различия ещё не настроены</t>
        </is>
      </c>
    </row>
    <row r="242">
      <c r="A242" s="41" t="inlineStr">
        <is>
          <t>RMAT-0081</t>
        </is>
      </c>
      <c r="B242" s="41" t="inlineStr">
        <is>
          <t>Плита бетонная: толщина 50мм, ширина 0,36м, длина от 1 до 1,8м</t>
        </is>
      </c>
      <c r="C242" s="41" t="inlineStr">
        <is>
          <t>Эконом</t>
        </is>
      </c>
      <c r="D242" s="41" t="inlineStr">
        <is>
          <t>MV-0081</t>
        </is>
      </c>
      <c r="E242" s="59" t="n"/>
      <c r="F242" s="59" t="n">
        <v>1</v>
      </c>
      <c r="G242" s="41" t="inlineStr">
        <is>
          <t>Плита бетонная: толщина 50мм, ширина 0,36м, длина от 1 до 1,8м</t>
        </is>
      </c>
      <c r="H242" s="41" t="inlineStr">
        <is>
          <t>Показать строкой</t>
        </is>
      </c>
      <c r="I242" s="41" t="inlineStr">
        <is>
          <t>Эконом</t>
        </is>
      </c>
      <c r="J242" s="41" t="inlineStr">
        <is>
          <t>Автогенерация 1:1; тарифные различия ещё не настроены</t>
        </is>
      </c>
    </row>
    <row r="243">
      <c r="A243" s="42" t="inlineStr">
        <is>
          <t>RMAT-0081</t>
        </is>
      </c>
      <c r="B243" s="42" t="inlineStr">
        <is>
          <t>Плита бетонная: толщина 50мм, ширина 0,36м, длина от 1 до 1,8м</t>
        </is>
      </c>
      <c r="C243" s="42" t="inlineStr">
        <is>
          <t>Стандарт</t>
        </is>
      </c>
      <c r="D243" s="42" t="inlineStr">
        <is>
          <t>MV-0081</t>
        </is>
      </c>
      <c r="E243" s="60" t="n"/>
      <c r="F243" s="60" t="n">
        <v>1</v>
      </c>
      <c r="G243" s="42" t="inlineStr">
        <is>
          <t>Плита бетонная: толщина 50мм, ширина 0,36м, длина от 1 до 1,8м</t>
        </is>
      </c>
      <c r="H243" s="42" t="inlineStr">
        <is>
          <t>Показать строкой</t>
        </is>
      </c>
      <c r="I243" s="42" t="inlineStr">
        <is>
          <t>Стандарт</t>
        </is>
      </c>
      <c r="J243" s="42" t="inlineStr">
        <is>
          <t>Автогенерация 1:1; тарифные различия ещё не настроены</t>
        </is>
      </c>
    </row>
    <row r="244">
      <c r="A244" s="41" t="inlineStr">
        <is>
          <t>RMAT-0081</t>
        </is>
      </c>
      <c r="B244" s="41" t="inlineStr">
        <is>
          <t>Плита бетонная: толщина 50мм, ширина 0,36м, длина от 1 до 1,8м</t>
        </is>
      </c>
      <c r="C244" s="41" t="inlineStr">
        <is>
          <t>Премиум</t>
        </is>
      </c>
      <c r="D244" s="41" t="inlineStr">
        <is>
          <t>MV-0081</t>
        </is>
      </c>
      <c r="E244" s="59" t="n"/>
      <c r="F244" s="59" t="n">
        <v>1</v>
      </c>
      <c r="G244" s="41" t="inlineStr">
        <is>
          <t>Плита бетонная: толщина 50мм, ширина 0,36м, длина от 1 до 1,8м</t>
        </is>
      </c>
      <c r="H244" s="41" t="inlineStr">
        <is>
          <t>Показать строкой</t>
        </is>
      </c>
      <c r="I244" s="41" t="inlineStr">
        <is>
          <t>Премиум</t>
        </is>
      </c>
      <c r="J244" s="41" t="inlineStr">
        <is>
          <t>Автогенерация 1:1; тарифные различия ещё не настроены</t>
        </is>
      </c>
    </row>
    <row r="245">
      <c r="A245" s="42" t="inlineStr">
        <is>
          <t>RMAT-0082</t>
        </is>
      </c>
      <c r="B245" s="42" t="inlineStr">
        <is>
          <t>Покрытие спортивное (однослойное ударопоглощающее резиновое на однокомпонентном полиуретановом связующем толщиной 15мм )</t>
        </is>
      </c>
      <c r="C245" s="42" t="inlineStr">
        <is>
          <t>Эконом</t>
        </is>
      </c>
      <c r="D245" s="42" t="inlineStr">
        <is>
          <t>MV-0082</t>
        </is>
      </c>
      <c r="E245" s="60" t="n"/>
      <c r="F245" s="60" t="n">
        <v>1</v>
      </c>
      <c r="G245" s="42" t="inlineStr">
        <is>
          <t>Покрытие спортивное (однослойное ударопоглощающее резиновое на однокомпонентном полиуретановом связующем толщиной 15мм )</t>
        </is>
      </c>
      <c r="H245" s="42" t="inlineStr">
        <is>
          <t>Показать строкой</t>
        </is>
      </c>
      <c r="I245" s="42" t="inlineStr">
        <is>
          <t>Эконом</t>
        </is>
      </c>
      <c r="J245" s="42" t="inlineStr">
        <is>
          <t>Автогенерация 1:1; тарифные различия ещё не настроены</t>
        </is>
      </c>
    </row>
    <row r="246">
      <c r="A246" s="41" t="inlineStr">
        <is>
          <t>RMAT-0082</t>
        </is>
      </c>
      <c r="B246" s="41" t="inlineStr">
        <is>
          <t>Покрытие спортивное (однослойное ударопоглощающее резиновое на однокомпонентном полиуретановом связующем толщиной 15мм )</t>
        </is>
      </c>
      <c r="C246" s="41" t="inlineStr">
        <is>
          <t>Стандарт</t>
        </is>
      </c>
      <c r="D246" s="41" t="inlineStr">
        <is>
          <t>MV-0082</t>
        </is>
      </c>
      <c r="E246" s="59" t="n"/>
      <c r="F246" s="59" t="n">
        <v>1</v>
      </c>
      <c r="G246" s="41" t="inlineStr">
        <is>
          <t>Покрытие спортивное (однослойное ударопоглощающее резиновое на однокомпонентном полиуретановом связующем толщиной 15мм )</t>
        </is>
      </c>
      <c r="H246" s="41" t="inlineStr">
        <is>
          <t>Показать строкой</t>
        </is>
      </c>
      <c r="I246" s="41" t="inlineStr">
        <is>
          <t>Стандарт</t>
        </is>
      </c>
      <c r="J246" s="41" t="inlineStr">
        <is>
          <t>Автогенерация 1:1; тарифные различия ещё не настроены</t>
        </is>
      </c>
    </row>
    <row r="247">
      <c r="A247" s="42" t="inlineStr">
        <is>
          <t>RMAT-0082</t>
        </is>
      </c>
      <c r="B247" s="42" t="inlineStr">
        <is>
          <t>Покрытие спортивное (однослойное ударопоглощающее резиновое на однокомпонентном полиуретановом связующем толщиной 15мм )</t>
        </is>
      </c>
      <c r="C247" s="42" t="inlineStr">
        <is>
          <t>Премиум</t>
        </is>
      </c>
      <c r="D247" s="42" t="inlineStr">
        <is>
          <t>MV-0082</t>
        </is>
      </c>
      <c r="E247" s="60" t="n"/>
      <c r="F247" s="60" t="n">
        <v>1</v>
      </c>
      <c r="G247" s="42" t="inlineStr">
        <is>
          <t>Покрытие спортивное (однослойное ударопоглощающее резиновое на однокомпонентном полиуретановом связующем толщиной 15мм )</t>
        </is>
      </c>
      <c r="H247" s="42" t="inlineStr">
        <is>
          <t>Показать строкой</t>
        </is>
      </c>
      <c r="I247" s="42" t="inlineStr">
        <is>
          <t>Премиум</t>
        </is>
      </c>
      <c r="J247" s="42" t="inlineStr">
        <is>
          <t>Автогенерация 1:1; тарифные различия ещё не настроены</t>
        </is>
      </c>
    </row>
    <row r="248">
      <c r="A248" s="41" t="inlineStr">
        <is>
          <t>RMAT-0083</t>
        </is>
      </c>
      <c r="B248" s="41" t="inlineStr">
        <is>
          <t>Портландцемент М400, 50кг</t>
        </is>
      </c>
      <c r="C248" s="41" t="inlineStr">
        <is>
          <t>Эконом</t>
        </is>
      </c>
      <c r="D248" s="41" t="inlineStr">
        <is>
          <t>MV-0083</t>
        </is>
      </c>
      <c r="E248" s="59" t="n"/>
      <c r="F248" s="59" t="n">
        <v>1</v>
      </c>
      <c r="G248" s="41" t="inlineStr">
        <is>
          <t>Портландцемент М400, 50кг</t>
        </is>
      </c>
      <c r="H248" s="41" t="inlineStr">
        <is>
          <t>Показать строкой</t>
        </is>
      </c>
      <c r="I248" s="41" t="inlineStr">
        <is>
          <t>Эконом</t>
        </is>
      </c>
      <c r="J248" s="41" t="inlineStr">
        <is>
          <t>Автогенерация 1:1; тарифные различия ещё не настроены</t>
        </is>
      </c>
    </row>
    <row r="249">
      <c r="A249" s="42" t="inlineStr">
        <is>
          <t>RMAT-0083</t>
        </is>
      </c>
      <c r="B249" s="42" t="inlineStr">
        <is>
          <t>Портландцемент М400, 50кг</t>
        </is>
      </c>
      <c r="C249" s="42" t="inlineStr">
        <is>
          <t>Стандарт</t>
        </is>
      </c>
      <c r="D249" s="42" t="inlineStr">
        <is>
          <t>MV-0083</t>
        </is>
      </c>
      <c r="E249" s="60" t="n"/>
      <c r="F249" s="60" t="n">
        <v>1</v>
      </c>
      <c r="G249" s="42" t="inlineStr">
        <is>
          <t>Портландцемент М400, 50кг</t>
        </is>
      </c>
      <c r="H249" s="42" t="inlineStr">
        <is>
          <t>Показать строкой</t>
        </is>
      </c>
      <c r="I249" s="42" t="inlineStr">
        <is>
          <t>Стандарт</t>
        </is>
      </c>
      <c r="J249" s="42" t="inlineStr">
        <is>
          <t>Автогенерация 1:1; тарифные различия ещё не настроены</t>
        </is>
      </c>
    </row>
    <row r="250">
      <c r="A250" s="41" t="inlineStr">
        <is>
          <t>RMAT-0083</t>
        </is>
      </c>
      <c r="B250" s="41" t="inlineStr">
        <is>
          <t>Портландцемент М400, 50кг</t>
        </is>
      </c>
      <c r="C250" s="41" t="inlineStr">
        <is>
          <t>Премиум</t>
        </is>
      </c>
      <c r="D250" s="41" t="inlineStr">
        <is>
          <t>MV-0083</t>
        </is>
      </c>
      <c r="E250" s="59" t="n"/>
      <c r="F250" s="59" t="n">
        <v>1</v>
      </c>
      <c r="G250" s="41" t="inlineStr">
        <is>
          <t>Портландцемент М400, 50кг</t>
        </is>
      </c>
      <c r="H250" s="41" t="inlineStr">
        <is>
          <t>Показать строкой</t>
        </is>
      </c>
      <c r="I250" s="41" t="inlineStr">
        <is>
          <t>Премиум</t>
        </is>
      </c>
      <c r="J250" s="41" t="inlineStr">
        <is>
          <t>Автогенерация 1:1; тарифные различия ещё не настроены</t>
        </is>
      </c>
    </row>
    <row r="251">
      <c r="A251" s="42" t="inlineStr">
        <is>
          <t>RMAT-0084</t>
        </is>
      </c>
      <c r="B251" s="42" t="inlineStr">
        <is>
          <t>Проволока вязальная</t>
        </is>
      </c>
      <c r="C251" s="42" t="inlineStr">
        <is>
          <t>Эконом</t>
        </is>
      </c>
      <c r="D251" s="42" t="inlineStr">
        <is>
          <t>MV-0084</t>
        </is>
      </c>
      <c r="E251" s="60" t="n"/>
      <c r="F251" s="60" t="n">
        <v>1</v>
      </c>
      <c r="G251" s="42" t="inlineStr">
        <is>
          <t>Проволока вязальная</t>
        </is>
      </c>
      <c r="H251" s="42" t="inlineStr">
        <is>
          <t>Показать строкой</t>
        </is>
      </c>
      <c r="I251" s="42" t="inlineStr">
        <is>
          <t>Эконом</t>
        </is>
      </c>
      <c r="J251" s="42" t="inlineStr">
        <is>
          <t>Автогенерация 1:1; тарифные различия ещё не настроены</t>
        </is>
      </c>
    </row>
    <row r="252">
      <c r="A252" s="41" t="inlineStr">
        <is>
          <t>RMAT-0084</t>
        </is>
      </c>
      <c r="B252" s="41" t="inlineStr">
        <is>
          <t>Проволока вязальная</t>
        </is>
      </c>
      <c r="C252" s="41" t="inlineStr">
        <is>
          <t>Стандарт</t>
        </is>
      </c>
      <c r="D252" s="41" t="inlineStr">
        <is>
          <t>MV-0084</t>
        </is>
      </c>
      <c r="E252" s="59" t="n"/>
      <c r="F252" s="59" t="n">
        <v>1</v>
      </c>
      <c r="G252" s="41" t="inlineStr">
        <is>
          <t>Проволока вязальная</t>
        </is>
      </c>
      <c r="H252" s="41" t="inlineStr">
        <is>
          <t>Показать строкой</t>
        </is>
      </c>
      <c r="I252" s="41" t="inlineStr">
        <is>
          <t>Стандарт</t>
        </is>
      </c>
      <c r="J252" s="41" t="inlineStr">
        <is>
          <t>Автогенерация 1:1; тарифные различия ещё не настроены</t>
        </is>
      </c>
    </row>
    <row r="253">
      <c r="A253" s="42" t="inlineStr">
        <is>
          <t>RMAT-0084</t>
        </is>
      </c>
      <c r="B253" s="42" t="inlineStr">
        <is>
          <t>Проволока вязальная</t>
        </is>
      </c>
      <c r="C253" s="42" t="inlineStr">
        <is>
          <t>Премиум</t>
        </is>
      </c>
      <c r="D253" s="42" t="inlineStr">
        <is>
          <t>MV-0084</t>
        </is>
      </c>
      <c r="E253" s="60" t="n"/>
      <c r="F253" s="60" t="n">
        <v>1</v>
      </c>
      <c r="G253" s="42" t="inlineStr">
        <is>
          <t>Проволока вязальная</t>
        </is>
      </c>
      <c r="H253" s="42" t="inlineStr">
        <is>
          <t>Показать строкой</t>
        </is>
      </c>
      <c r="I253" s="42" t="inlineStr">
        <is>
          <t>Премиум</t>
        </is>
      </c>
      <c r="J253" s="42" t="inlineStr">
        <is>
          <t>Автогенерация 1:1; тарифные различия ещё не настроены</t>
        </is>
      </c>
    </row>
    <row r="254">
      <c r="A254" s="41" t="inlineStr">
        <is>
          <t>RMAT-0085</t>
        </is>
      </c>
      <c r="B254" s="41" t="inlineStr">
        <is>
          <t>Просеивание местного грунта</t>
        </is>
      </c>
      <c r="C254" s="41" t="inlineStr">
        <is>
          <t>Эконом</t>
        </is>
      </c>
      <c r="D254" s="41" t="inlineStr">
        <is>
          <t>MV-0085</t>
        </is>
      </c>
      <c r="E254" s="59" t="n"/>
      <c r="F254" s="59" t="n">
        <v>1</v>
      </c>
      <c r="G254" s="41" t="inlineStr">
        <is>
          <t>Просеивание местного грунта</t>
        </is>
      </c>
      <c r="H254" s="41" t="inlineStr">
        <is>
          <t>Показать строкой</t>
        </is>
      </c>
      <c r="I254" s="41" t="inlineStr">
        <is>
          <t>Эконом</t>
        </is>
      </c>
      <c r="J254" s="41" t="inlineStr">
        <is>
          <t>Автогенерация 1:1; тарифные различия ещё не настроены</t>
        </is>
      </c>
    </row>
    <row r="255">
      <c r="A255" s="42" t="inlineStr">
        <is>
          <t>RMAT-0085</t>
        </is>
      </c>
      <c r="B255" s="42" t="inlineStr">
        <is>
          <t>Просеивание местного грунта</t>
        </is>
      </c>
      <c r="C255" s="42" t="inlineStr">
        <is>
          <t>Стандарт</t>
        </is>
      </c>
      <c r="D255" s="42" t="inlineStr">
        <is>
          <t>MV-0085</t>
        </is>
      </c>
      <c r="E255" s="60" t="n"/>
      <c r="F255" s="60" t="n">
        <v>1</v>
      </c>
      <c r="G255" s="42" t="inlineStr">
        <is>
          <t>Просеивание местного грунта</t>
        </is>
      </c>
      <c r="H255" s="42" t="inlineStr">
        <is>
          <t>Показать строкой</t>
        </is>
      </c>
      <c r="I255" s="42" t="inlineStr">
        <is>
          <t>Стандарт</t>
        </is>
      </c>
      <c r="J255" s="42" t="inlineStr">
        <is>
          <t>Автогенерация 1:1; тарифные различия ещё не настроены</t>
        </is>
      </c>
    </row>
    <row r="256">
      <c r="A256" s="41" t="inlineStr">
        <is>
          <t>RMAT-0085</t>
        </is>
      </c>
      <c r="B256" s="41" t="inlineStr">
        <is>
          <t>Просеивание местного грунта</t>
        </is>
      </c>
      <c r="C256" s="41" t="inlineStr">
        <is>
          <t>Премиум</t>
        </is>
      </c>
      <c r="D256" s="41" t="inlineStr">
        <is>
          <t>MV-0085</t>
        </is>
      </c>
      <c r="E256" s="59" t="n"/>
      <c r="F256" s="59" t="n">
        <v>1</v>
      </c>
      <c r="G256" s="41" t="inlineStr">
        <is>
          <t>Просеивание местного грунта</t>
        </is>
      </c>
      <c r="H256" s="41" t="inlineStr">
        <is>
          <t>Показать строкой</t>
        </is>
      </c>
      <c r="I256" s="41" t="inlineStr">
        <is>
          <t>Премиум</t>
        </is>
      </c>
      <c r="J256" s="41" t="inlineStr">
        <is>
          <t>Автогенерация 1:1; тарифные различия ещё не настроены</t>
        </is>
      </c>
    </row>
    <row r="257">
      <c r="A257" s="42" t="inlineStr">
        <is>
          <t>RMAT-0086</t>
        </is>
      </c>
      <c r="B257" s="42" t="inlineStr">
        <is>
          <t>Профиль алюминиевый</t>
        </is>
      </c>
      <c r="C257" s="42" t="inlineStr">
        <is>
          <t>Эконом</t>
        </is>
      </c>
      <c r="D257" s="42" t="inlineStr">
        <is>
          <t>MV-0086</t>
        </is>
      </c>
      <c r="E257" s="60" t="n"/>
      <c r="F257" s="60" t="n">
        <v>1</v>
      </c>
      <c r="G257" s="42" t="inlineStr">
        <is>
          <t>Профиль алюминиевый</t>
        </is>
      </c>
      <c r="H257" s="42" t="inlineStr">
        <is>
          <t>Показать строкой</t>
        </is>
      </c>
      <c r="I257" s="42" t="inlineStr">
        <is>
          <t>Эконом</t>
        </is>
      </c>
      <c r="J257" s="42" t="inlineStr">
        <is>
          <t>Автогенерация 1:1; тарифные различия ещё не настроены</t>
        </is>
      </c>
    </row>
    <row r="258">
      <c r="A258" s="41" t="inlineStr">
        <is>
          <t>RMAT-0086</t>
        </is>
      </c>
      <c r="B258" s="41" t="inlineStr">
        <is>
          <t>Профиль алюминиевый</t>
        </is>
      </c>
      <c r="C258" s="41" t="inlineStr">
        <is>
          <t>Стандарт</t>
        </is>
      </c>
      <c r="D258" s="41" t="inlineStr">
        <is>
          <t>MV-0086</t>
        </is>
      </c>
      <c r="E258" s="59" t="n"/>
      <c r="F258" s="59" t="n">
        <v>1</v>
      </c>
      <c r="G258" s="41" t="inlineStr">
        <is>
          <t>Профиль алюминиевый</t>
        </is>
      </c>
      <c r="H258" s="41" t="inlineStr">
        <is>
          <t>Показать строкой</t>
        </is>
      </c>
      <c r="I258" s="41" t="inlineStr">
        <is>
          <t>Стандарт</t>
        </is>
      </c>
      <c r="J258" s="41" t="inlineStr">
        <is>
          <t>Автогенерация 1:1; тарифные различия ещё не настроены</t>
        </is>
      </c>
    </row>
    <row r="259">
      <c r="A259" s="42" t="inlineStr">
        <is>
          <t>RMAT-0086</t>
        </is>
      </c>
      <c r="B259" s="42" t="inlineStr">
        <is>
          <t>Профиль алюминиевый</t>
        </is>
      </c>
      <c r="C259" s="42" t="inlineStr">
        <is>
          <t>Премиум</t>
        </is>
      </c>
      <c r="D259" s="42" t="inlineStr">
        <is>
          <t>MV-0086</t>
        </is>
      </c>
      <c r="E259" s="60" t="n"/>
      <c r="F259" s="60" t="n">
        <v>1</v>
      </c>
      <c r="G259" s="42" t="inlineStr">
        <is>
          <t>Профиль алюминиевый</t>
        </is>
      </c>
      <c r="H259" s="42" t="inlineStr">
        <is>
          <t>Показать строкой</t>
        </is>
      </c>
      <c r="I259" s="42" t="inlineStr">
        <is>
          <t>Премиум</t>
        </is>
      </c>
      <c r="J259" s="42" t="inlineStr">
        <is>
          <t>Автогенерация 1:1; тарифные различия ещё не настроены</t>
        </is>
      </c>
    </row>
    <row r="260">
      <c r="A260" s="41" t="inlineStr">
        <is>
          <t>RMAT-0087</t>
        </is>
      </c>
      <c r="B260" s="41" t="inlineStr">
        <is>
          <t>Расходные материалы</t>
        </is>
      </c>
      <c r="C260" s="41" t="inlineStr">
        <is>
          <t>Эконом</t>
        </is>
      </c>
      <c r="D260" s="41" t="inlineStr">
        <is>
          <t>MV-0087</t>
        </is>
      </c>
      <c r="E260" s="59" t="n"/>
      <c r="F260" s="59" t="n">
        <v>1</v>
      </c>
      <c r="G260" s="41" t="inlineStr">
        <is>
          <t>Расходные материалы</t>
        </is>
      </c>
      <c r="H260" s="41" t="inlineStr">
        <is>
          <t>Свернуть в раздел</t>
        </is>
      </c>
      <c r="I260" s="41" t="inlineStr">
        <is>
          <t>Эконом</t>
        </is>
      </c>
      <c r="J260" s="41" t="inlineStr">
        <is>
          <t>Автогенерация 1:1; тарифные различия ещё не настроены</t>
        </is>
      </c>
    </row>
    <row r="261">
      <c r="A261" s="42" t="inlineStr">
        <is>
          <t>RMAT-0087</t>
        </is>
      </c>
      <c r="B261" s="42" t="inlineStr">
        <is>
          <t>Расходные материалы</t>
        </is>
      </c>
      <c r="C261" s="42" t="inlineStr">
        <is>
          <t>Стандарт</t>
        </is>
      </c>
      <c r="D261" s="42" t="inlineStr">
        <is>
          <t>MV-0087</t>
        </is>
      </c>
      <c r="E261" s="60" t="n"/>
      <c r="F261" s="60" t="n">
        <v>1</v>
      </c>
      <c r="G261" s="42" t="inlineStr">
        <is>
          <t>Расходные материалы</t>
        </is>
      </c>
      <c r="H261" s="42" t="inlineStr">
        <is>
          <t>Свернуть в раздел</t>
        </is>
      </c>
      <c r="I261" s="42" t="inlineStr">
        <is>
          <t>Стандарт</t>
        </is>
      </c>
      <c r="J261" s="42" t="inlineStr">
        <is>
          <t>Автогенерация 1:1; тарифные различия ещё не настроены</t>
        </is>
      </c>
    </row>
    <row r="262">
      <c r="A262" s="41" t="inlineStr">
        <is>
          <t>RMAT-0087</t>
        </is>
      </c>
      <c r="B262" s="41" t="inlineStr">
        <is>
          <t>Расходные материалы</t>
        </is>
      </c>
      <c r="C262" s="41" t="inlineStr">
        <is>
          <t>Премиум</t>
        </is>
      </c>
      <c r="D262" s="41" t="inlineStr">
        <is>
          <t>MV-0087</t>
        </is>
      </c>
      <c r="E262" s="59" t="n"/>
      <c r="F262" s="59" t="n">
        <v>1</v>
      </c>
      <c r="G262" s="41" t="inlineStr">
        <is>
          <t>Расходные материалы</t>
        </is>
      </c>
      <c r="H262" s="41" t="inlineStr">
        <is>
          <t>Свернуть в раздел</t>
        </is>
      </c>
      <c r="I262" s="41" t="inlineStr">
        <is>
          <t>Премиум</t>
        </is>
      </c>
      <c r="J262" s="41" t="inlineStr">
        <is>
          <t>Автогенерация 1:1; тарифные различия ещё не настроены</t>
        </is>
      </c>
    </row>
    <row r="263">
      <c r="A263" s="42" t="inlineStr">
        <is>
          <t>RMAT-0088</t>
        </is>
      </c>
      <c r="B263" s="42" t="inlineStr">
        <is>
          <t>Ровнитель для бетона Plitonit, 25кг</t>
        </is>
      </c>
      <c r="C263" s="42" t="inlineStr">
        <is>
          <t>Эконом</t>
        </is>
      </c>
      <c r="D263" s="42" t="inlineStr">
        <is>
          <t>MV-0088</t>
        </is>
      </c>
      <c r="E263" s="60" t="n"/>
      <c r="F263" s="60" t="n">
        <v>1</v>
      </c>
      <c r="G263" s="42" t="inlineStr">
        <is>
          <t>Ровнитель для бетона Plitonit, 25кг</t>
        </is>
      </c>
      <c r="H263" s="42" t="inlineStr">
        <is>
          <t>Показать строкой</t>
        </is>
      </c>
      <c r="I263" s="42" t="inlineStr">
        <is>
          <t>Эконом</t>
        </is>
      </c>
      <c r="J263" s="42" t="inlineStr">
        <is>
          <t>Автогенерация 1:1; тарифные различия ещё не настроены</t>
        </is>
      </c>
    </row>
    <row r="264">
      <c r="A264" s="41" t="inlineStr">
        <is>
          <t>RMAT-0088</t>
        </is>
      </c>
      <c r="B264" s="41" t="inlineStr">
        <is>
          <t>Ровнитель для бетона Plitonit, 25кг</t>
        </is>
      </c>
      <c r="C264" s="41" t="inlineStr">
        <is>
          <t>Стандарт</t>
        </is>
      </c>
      <c r="D264" s="41" t="inlineStr">
        <is>
          <t>MV-0088</t>
        </is>
      </c>
      <c r="E264" s="59" t="n"/>
      <c r="F264" s="59" t="n">
        <v>1</v>
      </c>
      <c r="G264" s="41" t="inlineStr">
        <is>
          <t>Ровнитель для бетона Plitonit, 25кг</t>
        </is>
      </c>
      <c r="H264" s="41" t="inlineStr">
        <is>
          <t>Показать строкой</t>
        </is>
      </c>
      <c r="I264" s="41" t="inlineStr">
        <is>
          <t>Стандарт</t>
        </is>
      </c>
      <c r="J264" s="41" t="inlineStr">
        <is>
          <t>Автогенерация 1:1; тарифные различия ещё не настроены</t>
        </is>
      </c>
    </row>
    <row r="265">
      <c r="A265" s="42" t="inlineStr">
        <is>
          <t>RMAT-0088</t>
        </is>
      </c>
      <c r="B265" s="42" t="inlineStr">
        <is>
          <t>Ровнитель для бетона Plitonit, 25кг</t>
        </is>
      </c>
      <c r="C265" s="42" t="inlineStr">
        <is>
          <t>Премиум</t>
        </is>
      </c>
      <c r="D265" s="42" t="inlineStr">
        <is>
          <t>MV-0088</t>
        </is>
      </c>
      <c r="E265" s="60" t="n"/>
      <c r="F265" s="60" t="n">
        <v>1</v>
      </c>
      <c r="G265" s="42" t="inlineStr">
        <is>
          <t>Ровнитель для бетона Plitonit, 25кг</t>
        </is>
      </c>
      <c r="H265" s="42" t="inlineStr">
        <is>
          <t>Показать строкой</t>
        </is>
      </c>
      <c r="I265" s="42" t="inlineStr">
        <is>
          <t>Премиум</t>
        </is>
      </c>
      <c r="J265" s="42" t="inlineStr">
        <is>
          <t>Автогенерация 1:1; тарифные различия ещё не настроены</t>
        </is>
      </c>
    </row>
    <row r="266">
      <c r="A266" s="41" t="inlineStr">
        <is>
          <t>RMAT-0089</t>
        </is>
      </c>
      <c r="B266" s="41" t="inlineStr">
        <is>
          <t>Розетка двойная наружная с заземлением с крышкой ФОРС IP54 ERS22-K03-16-54-DC IEK</t>
        </is>
      </c>
      <c r="C266" s="41" t="inlineStr">
        <is>
          <t>Эконом</t>
        </is>
      </c>
      <c r="D266" s="41" t="inlineStr">
        <is>
          <t>MV-0089</t>
        </is>
      </c>
      <c r="E266" s="59" t="n"/>
      <c r="F266" s="59" t="n">
        <v>1</v>
      </c>
      <c r="G266" s="41" t="inlineStr">
        <is>
          <t>Розетка двойная наружная с заземлением с крышкой ФОРС IP54 ERS22-K03-16-54-DC IEK</t>
        </is>
      </c>
      <c r="H266" s="41" t="inlineStr">
        <is>
          <t>Показать строкой</t>
        </is>
      </c>
      <c r="I266" s="41" t="inlineStr">
        <is>
          <t>Эконом</t>
        </is>
      </c>
      <c r="J266" s="41" t="inlineStr">
        <is>
          <t>Автогенерация 1:1; тарифные различия ещё не настроены</t>
        </is>
      </c>
    </row>
    <row r="267">
      <c r="A267" s="42" t="inlineStr">
        <is>
          <t>RMAT-0089</t>
        </is>
      </c>
      <c r="B267" s="42" t="inlineStr">
        <is>
          <t>Розетка двойная наружная с заземлением с крышкой ФОРС IP54 ERS22-K03-16-54-DC IEK</t>
        </is>
      </c>
      <c r="C267" s="42" t="inlineStr">
        <is>
          <t>Стандарт</t>
        </is>
      </c>
      <c r="D267" s="42" t="inlineStr">
        <is>
          <t>MV-0089</t>
        </is>
      </c>
      <c r="E267" s="60" t="n"/>
      <c r="F267" s="60" t="n">
        <v>1</v>
      </c>
      <c r="G267" s="42" t="inlineStr">
        <is>
          <t>Розетка двойная наружная с заземлением с крышкой ФОРС IP54 ERS22-K03-16-54-DC IEK</t>
        </is>
      </c>
      <c r="H267" s="42" t="inlineStr">
        <is>
          <t>Показать строкой</t>
        </is>
      </c>
      <c r="I267" s="42" t="inlineStr">
        <is>
          <t>Стандарт</t>
        </is>
      </c>
      <c r="J267" s="42" t="inlineStr">
        <is>
          <t>Автогенерация 1:1; тарифные различия ещё не настроены</t>
        </is>
      </c>
    </row>
    <row r="268">
      <c r="A268" s="41" t="inlineStr">
        <is>
          <t>RMAT-0089</t>
        </is>
      </c>
      <c r="B268" s="41" t="inlineStr">
        <is>
          <t>Розетка двойная наружная с заземлением с крышкой ФОРС IP54 ERS22-K03-16-54-DC IEK</t>
        </is>
      </c>
      <c r="C268" s="41" t="inlineStr">
        <is>
          <t>Премиум</t>
        </is>
      </c>
      <c r="D268" s="41" t="inlineStr">
        <is>
          <t>MV-0089</t>
        </is>
      </c>
      <c r="E268" s="59" t="n"/>
      <c r="F268" s="59" t="n">
        <v>1</v>
      </c>
      <c r="G268" s="41" t="inlineStr">
        <is>
          <t>Розетка двойная наружная с заземлением с крышкой ФОРС IP54 ERS22-K03-16-54-DC IEK</t>
        </is>
      </c>
      <c r="H268" s="41" t="inlineStr">
        <is>
          <t>Показать строкой</t>
        </is>
      </c>
      <c r="I268" s="41" t="inlineStr">
        <is>
          <t>Премиум</t>
        </is>
      </c>
      <c r="J268" s="41" t="inlineStr">
        <is>
          <t>Автогенерация 1:1; тарифные различия ещё не настроены</t>
        </is>
      </c>
    </row>
    <row r="269">
      <c r="A269" s="42" t="inlineStr">
        <is>
          <t>RMAT-0090</t>
        </is>
      </c>
      <c r="B269" s="42" t="inlineStr">
        <is>
          <t>Розетка садовая Paulmann Rio 94657, столб с двумя розетками</t>
        </is>
      </c>
      <c r="C269" s="42" t="inlineStr">
        <is>
          <t>Эконом</t>
        </is>
      </c>
      <c r="D269" s="42" t="inlineStr">
        <is>
          <t>MV-0090</t>
        </is>
      </c>
      <c r="E269" s="60" t="n"/>
      <c r="F269" s="60" t="n">
        <v>1</v>
      </c>
      <c r="G269" s="42" t="inlineStr">
        <is>
          <t>Розетка садовая Paulmann Rio 94657, столб с двумя розетками</t>
        </is>
      </c>
      <c r="H269" s="42" t="inlineStr">
        <is>
          <t>Показать строкой</t>
        </is>
      </c>
      <c r="I269" s="42" t="inlineStr">
        <is>
          <t>Эконом</t>
        </is>
      </c>
      <c r="J269" s="42" t="inlineStr">
        <is>
          <t>Автогенерация 1:1; тарифные различия ещё не настроены</t>
        </is>
      </c>
    </row>
    <row r="270">
      <c r="A270" s="41" t="inlineStr">
        <is>
          <t>RMAT-0090</t>
        </is>
      </c>
      <c r="B270" s="41" t="inlineStr">
        <is>
          <t>Розетка садовая Paulmann Rio 94657, столб с двумя розетками</t>
        </is>
      </c>
      <c r="C270" s="41" t="inlineStr">
        <is>
          <t>Стандарт</t>
        </is>
      </c>
      <c r="D270" s="41" t="inlineStr">
        <is>
          <t>MV-0090</t>
        </is>
      </c>
      <c r="E270" s="59" t="n"/>
      <c r="F270" s="59" t="n">
        <v>1</v>
      </c>
      <c r="G270" s="41" t="inlineStr">
        <is>
          <t>Розетка садовая Paulmann Rio 94657, столб с двумя розетками</t>
        </is>
      </c>
      <c r="H270" s="41" t="inlineStr">
        <is>
          <t>Показать строкой</t>
        </is>
      </c>
      <c r="I270" s="41" t="inlineStr">
        <is>
          <t>Стандарт</t>
        </is>
      </c>
      <c r="J270" s="41" t="inlineStr">
        <is>
          <t>Автогенерация 1:1; тарифные различия ещё не настроены</t>
        </is>
      </c>
    </row>
    <row r="271">
      <c r="A271" s="42" t="inlineStr">
        <is>
          <t>RMAT-0090</t>
        </is>
      </c>
      <c r="B271" s="42" t="inlineStr">
        <is>
          <t>Розетка садовая Paulmann Rio 94657, столб с двумя розетками</t>
        </is>
      </c>
      <c r="C271" s="42" t="inlineStr">
        <is>
          <t>Премиум</t>
        </is>
      </c>
      <c r="D271" s="42" t="inlineStr">
        <is>
          <t>MV-0090</t>
        </is>
      </c>
      <c r="E271" s="60" t="n"/>
      <c r="F271" s="60" t="n">
        <v>1</v>
      </c>
      <c r="G271" s="42" t="inlineStr">
        <is>
          <t>Розетка садовая Paulmann Rio 94657, столб с двумя розетками</t>
        </is>
      </c>
      <c r="H271" s="42" t="inlineStr">
        <is>
          <t>Показать строкой</t>
        </is>
      </c>
      <c r="I271" s="42" t="inlineStr">
        <is>
          <t>Премиум</t>
        </is>
      </c>
      <c r="J271" s="42" t="inlineStr">
        <is>
          <t>Автогенерация 1:1; тарифные различия ещё не настроены</t>
        </is>
      </c>
    </row>
    <row r="272">
      <c r="A272" s="41" t="inlineStr">
        <is>
          <t>RMAT-0091</t>
        </is>
      </c>
      <c r="B272" s="41" t="inlineStr">
        <is>
          <t>Саморезы нержавеющие, 5см (1500шт.)</t>
        </is>
      </c>
      <c r="C272" s="41" t="inlineStr">
        <is>
          <t>Эконом</t>
        </is>
      </c>
      <c r="D272" s="41" t="inlineStr">
        <is>
          <t>MV-0091</t>
        </is>
      </c>
      <c r="E272" s="59" t="n"/>
      <c r="F272" s="59" t="n">
        <v>1</v>
      </c>
      <c r="G272" s="41" t="inlineStr">
        <is>
          <t>Саморезы нержавеющие, 5см (1500шт.)</t>
        </is>
      </c>
      <c r="H272" s="41" t="inlineStr">
        <is>
          <t>Показать строкой</t>
        </is>
      </c>
      <c r="I272" s="41" t="inlineStr">
        <is>
          <t>Эконом</t>
        </is>
      </c>
      <c r="J272" s="41" t="inlineStr">
        <is>
          <t>Автогенерация 1:1; тарифные различия ещё не настроены</t>
        </is>
      </c>
    </row>
    <row r="273">
      <c r="A273" s="42" t="inlineStr">
        <is>
          <t>RMAT-0091</t>
        </is>
      </c>
      <c r="B273" s="42" t="inlineStr">
        <is>
          <t>Саморезы нержавеющие, 5см (1500шт.)</t>
        </is>
      </c>
      <c r="C273" s="42" t="inlineStr">
        <is>
          <t>Стандарт</t>
        </is>
      </c>
      <c r="D273" s="42" t="inlineStr">
        <is>
          <t>MV-0091</t>
        </is>
      </c>
      <c r="E273" s="60" t="n"/>
      <c r="F273" s="60" t="n">
        <v>1</v>
      </c>
      <c r="G273" s="42" t="inlineStr">
        <is>
          <t>Саморезы нержавеющие, 5см (1500шт.)</t>
        </is>
      </c>
      <c r="H273" s="42" t="inlineStr">
        <is>
          <t>Показать строкой</t>
        </is>
      </c>
      <c r="I273" s="42" t="inlineStr">
        <is>
          <t>Стандарт</t>
        </is>
      </c>
      <c r="J273" s="42" t="inlineStr">
        <is>
          <t>Автогенерация 1:1; тарифные различия ещё не настроены</t>
        </is>
      </c>
    </row>
    <row r="274">
      <c r="A274" s="41" t="inlineStr">
        <is>
          <t>RMAT-0091</t>
        </is>
      </c>
      <c r="B274" s="41" t="inlineStr">
        <is>
          <t>Саморезы нержавеющие, 5см (1500шт.)</t>
        </is>
      </c>
      <c r="C274" s="41" t="inlineStr">
        <is>
          <t>Премиум</t>
        </is>
      </c>
      <c r="D274" s="41" t="inlineStr">
        <is>
          <t>MV-0091</t>
        </is>
      </c>
      <c r="E274" s="59" t="n"/>
      <c r="F274" s="59" t="n">
        <v>1</v>
      </c>
      <c r="G274" s="41" t="inlineStr">
        <is>
          <t>Саморезы нержавеющие, 5см (1500шт.)</t>
        </is>
      </c>
      <c r="H274" s="41" t="inlineStr">
        <is>
          <t>Показать строкой</t>
        </is>
      </c>
      <c r="I274" s="41" t="inlineStr">
        <is>
          <t>Премиум</t>
        </is>
      </c>
      <c r="J274" s="41" t="inlineStr">
        <is>
          <t>Автогенерация 1:1; тарифные различия ещё не настроены</t>
        </is>
      </c>
    </row>
    <row r="275">
      <c r="A275" s="42" t="inlineStr">
        <is>
          <t>RMAT-0092</t>
        </is>
      </c>
      <c r="B275" s="42" t="inlineStr">
        <is>
          <t>Саморезы по дереву</t>
        </is>
      </c>
      <c r="C275" s="42" t="inlineStr">
        <is>
          <t>Эконом</t>
        </is>
      </c>
      <c r="D275" s="42" t="inlineStr">
        <is>
          <t>MV-0092</t>
        </is>
      </c>
      <c r="E275" s="60" t="n"/>
      <c r="F275" s="60" t="n">
        <v>1</v>
      </c>
      <c r="G275" s="42" t="inlineStr">
        <is>
          <t>Саморезы по дереву</t>
        </is>
      </c>
      <c r="H275" s="42" t="inlineStr">
        <is>
          <t>Показать строкой</t>
        </is>
      </c>
      <c r="I275" s="42" t="inlineStr">
        <is>
          <t>Эконом</t>
        </is>
      </c>
      <c r="J275" s="42" t="inlineStr">
        <is>
          <t>Автогенерация 1:1; тарифные различия ещё не настроены</t>
        </is>
      </c>
    </row>
    <row r="276">
      <c r="A276" s="41" t="inlineStr">
        <is>
          <t>RMAT-0092</t>
        </is>
      </c>
      <c r="B276" s="41" t="inlineStr">
        <is>
          <t>Саморезы по дереву</t>
        </is>
      </c>
      <c r="C276" s="41" t="inlineStr">
        <is>
          <t>Стандарт</t>
        </is>
      </c>
      <c r="D276" s="41" t="inlineStr">
        <is>
          <t>MV-0092</t>
        </is>
      </c>
      <c r="E276" s="59" t="n"/>
      <c r="F276" s="59" t="n">
        <v>1</v>
      </c>
      <c r="G276" s="41" t="inlineStr">
        <is>
          <t>Саморезы по дереву</t>
        </is>
      </c>
      <c r="H276" s="41" t="inlineStr">
        <is>
          <t>Показать строкой</t>
        </is>
      </c>
      <c r="I276" s="41" t="inlineStr">
        <is>
          <t>Стандарт</t>
        </is>
      </c>
      <c r="J276" s="41" t="inlineStr">
        <is>
          <t>Автогенерация 1:1; тарифные различия ещё не настроены</t>
        </is>
      </c>
    </row>
    <row r="277">
      <c r="A277" s="42" t="inlineStr">
        <is>
          <t>RMAT-0092</t>
        </is>
      </c>
      <c r="B277" s="42" t="inlineStr">
        <is>
          <t>Саморезы по дереву</t>
        </is>
      </c>
      <c r="C277" s="42" t="inlineStr">
        <is>
          <t>Премиум</t>
        </is>
      </c>
      <c r="D277" s="42" t="inlineStr">
        <is>
          <t>MV-0092</t>
        </is>
      </c>
      <c r="E277" s="60" t="n"/>
      <c r="F277" s="60" t="n">
        <v>1</v>
      </c>
      <c r="G277" s="42" t="inlineStr">
        <is>
          <t>Саморезы по дереву</t>
        </is>
      </c>
      <c r="H277" s="42" t="inlineStr">
        <is>
          <t>Показать строкой</t>
        </is>
      </c>
      <c r="I277" s="42" t="inlineStr">
        <is>
          <t>Премиум</t>
        </is>
      </c>
      <c r="J277" s="42" t="inlineStr">
        <is>
          <t>Автогенерация 1:1; тарифные различия ещё не настроены</t>
        </is>
      </c>
    </row>
    <row r="278">
      <c r="A278" s="41" t="inlineStr">
        <is>
          <t>RMAT-0093</t>
        </is>
      </c>
      <c r="B278" s="41" t="inlineStr">
        <is>
          <t>Сверло по дереву 8*100мм</t>
        </is>
      </c>
      <c r="C278" s="41" t="inlineStr">
        <is>
          <t>Эконом</t>
        </is>
      </c>
      <c r="D278" s="41" t="inlineStr">
        <is>
          <t>MV-0093</t>
        </is>
      </c>
      <c r="E278" s="59" t="n"/>
      <c r="F278" s="59" t="n">
        <v>1</v>
      </c>
      <c r="G278" s="41" t="inlineStr">
        <is>
          <t>Сверло по дереву 8*100мм</t>
        </is>
      </c>
      <c r="H278" s="41" t="inlineStr">
        <is>
          <t>Показать строкой</t>
        </is>
      </c>
      <c r="I278" s="41" t="inlineStr">
        <is>
          <t>Эконом</t>
        </is>
      </c>
      <c r="J278" s="41" t="inlineStr">
        <is>
          <t>Автогенерация 1:1; тарифные различия ещё не настроены</t>
        </is>
      </c>
    </row>
    <row r="279">
      <c r="A279" s="42" t="inlineStr">
        <is>
          <t>RMAT-0093</t>
        </is>
      </c>
      <c r="B279" s="42" t="inlineStr">
        <is>
          <t>Сверло по дереву 8*100мм</t>
        </is>
      </c>
      <c r="C279" s="42" t="inlineStr">
        <is>
          <t>Стандарт</t>
        </is>
      </c>
      <c r="D279" s="42" t="inlineStr">
        <is>
          <t>MV-0093</t>
        </is>
      </c>
      <c r="E279" s="60" t="n"/>
      <c r="F279" s="60" t="n">
        <v>1</v>
      </c>
      <c r="G279" s="42" t="inlineStr">
        <is>
          <t>Сверло по дереву 8*100мм</t>
        </is>
      </c>
      <c r="H279" s="42" t="inlineStr">
        <is>
          <t>Показать строкой</t>
        </is>
      </c>
      <c r="I279" s="42" t="inlineStr">
        <is>
          <t>Стандарт</t>
        </is>
      </c>
      <c r="J279" s="42" t="inlineStr">
        <is>
          <t>Автогенерация 1:1; тарифные различия ещё не настроены</t>
        </is>
      </c>
    </row>
    <row r="280">
      <c r="A280" s="41" t="inlineStr">
        <is>
          <t>RMAT-0093</t>
        </is>
      </c>
      <c r="B280" s="41" t="inlineStr">
        <is>
          <t>Сверло по дереву 8*100мм</t>
        </is>
      </c>
      <c r="C280" s="41" t="inlineStr">
        <is>
          <t>Премиум</t>
        </is>
      </c>
      <c r="D280" s="41" t="inlineStr">
        <is>
          <t>MV-0093</t>
        </is>
      </c>
      <c r="E280" s="59" t="n"/>
      <c r="F280" s="59" t="n">
        <v>1</v>
      </c>
      <c r="G280" s="41" t="inlineStr">
        <is>
          <t>Сверло по дереву 8*100мм</t>
        </is>
      </c>
      <c r="H280" s="41" t="inlineStr">
        <is>
          <t>Показать строкой</t>
        </is>
      </c>
      <c r="I280" s="41" t="inlineStr">
        <is>
          <t>Премиум</t>
        </is>
      </c>
      <c r="J280" s="41" t="inlineStr">
        <is>
          <t>Автогенерация 1:1; тарифные различия ещё не настроены</t>
        </is>
      </c>
    </row>
    <row r="281">
      <c r="A281" s="42" t="inlineStr">
        <is>
          <t>RMAT-0094</t>
        </is>
      </c>
      <c r="B281" s="42" t="inlineStr">
        <is>
          <t>Светильник</t>
        </is>
      </c>
      <c r="C281" s="42" t="inlineStr">
        <is>
          <t>Эконом</t>
        </is>
      </c>
      <c r="D281" s="42" t="inlineStr">
        <is>
          <t>MV-0094</t>
        </is>
      </c>
      <c r="E281" s="60" t="n"/>
      <c r="F281" s="60" t="n">
        <v>1</v>
      </c>
      <c r="G281" s="42" t="inlineStr">
        <is>
          <t>Светильник</t>
        </is>
      </c>
      <c r="H281" s="42" t="inlineStr">
        <is>
          <t>Показать строкой</t>
        </is>
      </c>
      <c r="I281" s="42" t="inlineStr">
        <is>
          <t>Эконом</t>
        </is>
      </c>
      <c r="J281" s="42" t="inlineStr">
        <is>
          <t>Автогенерация 1:1; тарифные различия ещё не настроены</t>
        </is>
      </c>
    </row>
    <row r="282">
      <c r="A282" s="41" t="inlineStr">
        <is>
          <t>RMAT-0094</t>
        </is>
      </c>
      <c r="B282" s="41" t="inlineStr">
        <is>
          <t>Светильник</t>
        </is>
      </c>
      <c r="C282" s="41" t="inlineStr">
        <is>
          <t>Стандарт</t>
        </is>
      </c>
      <c r="D282" s="41" t="inlineStr">
        <is>
          <t>MV-0094</t>
        </is>
      </c>
      <c r="E282" s="59" t="n"/>
      <c r="F282" s="59" t="n">
        <v>1</v>
      </c>
      <c r="G282" s="41" t="inlineStr">
        <is>
          <t>Светильник</t>
        </is>
      </c>
      <c r="H282" s="41" t="inlineStr">
        <is>
          <t>Показать строкой</t>
        </is>
      </c>
      <c r="I282" s="41" t="inlineStr">
        <is>
          <t>Стандарт</t>
        </is>
      </c>
      <c r="J282" s="41" t="inlineStr">
        <is>
          <t>Автогенерация 1:1; тарифные различия ещё не настроены</t>
        </is>
      </c>
    </row>
    <row r="283">
      <c r="A283" s="42" t="inlineStr">
        <is>
          <t>RMAT-0094</t>
        </is>
      </c>
      <c r="B283" s="42" t="inlineStr">
        <is>
          <t>Светильник</t>
        </is>
      </c>
      <c r="C283" s="42" t="inlineStr">
        <is>
          <t>Премиум</t>
        </is>
      </c>
      <c r="D283" s="42" t="inlineStr">
        <is>
          <t>MV-0094</t>
        </is>
      </c>
      <c r="E283" s="60" t="n"/>
      <c r="F283" s="60" t="n">
        <v>1</v>
      </c>
      <c r="G283" s="42" t="inlineStr">
        <is>
          <t>Светильник</t>
        </is>
      </c>
      <c r="H283" s="42" t="inlineStr">
        <is>
          <t>Показать строкой</t>
        </is>
      </c>
      <c r="I283" s="42" t="inlineStr">
        <is>
          <t>Премиум</t>
        </is>
      </c>
      <c r="J283" s="42" t="inlineStr">
        <is>
          <t>Автогенерация 1:1; тарифные различия ещё не настроены</t>
        </is>
      </c>
    </row>
    <row r="284">
      <c r="A284" s="41" t="inlineStr">
        <is>
          <t>RMAT-0095</t>
        </is>
      </c>
      <c r="B284" s="41" t="inlineStr">
        <is>
          <t>Светильник h=1000</t>
        </is>
      </c>
      <c r="C284" s="41" t="inlineStr">
        <is>
          <t>Эконом</t>
        </is>
      </c>
      <c r="D284" s="41" t="inlineStr">
        <is>
          <t>MV-0095</t>
        </is>
      </c>
      <c r="E284" s="59" t="n"/>
      <c r="F284" s="59" t="n">
        <v>1</v>
      </c>
      <c r="G284" s="41" t="inlineStr">
        <is>
          <t>Светильник h=1000</t>
        </is>
      </c>
      <c r="H284" s="41" t="inlineStr">
        <is>
          <t>Показать строкой</t>
        </is>
      </c>
      <c r="I284" s="41" t="inlineStr">
        <is>
          <t>Эконом</t>
        </is>
      </c>
      <c r="J284" s="41" t="inlineStr">
        <is>
          <t>Автогенерация 1:1; тарифные различия ещё не настроены</t>
        </is>
      </c>
    </row>
    <row r="285">
      <c r="A285" s="42" t="inlineStr">
        <is>
          <t>RMAT-0095</t>
        </is>
      </c>
      <c r="B285" s="42" t="inlineStr">
        <is>
          <t>Светильник h=1000</t>
        </is>
      </c>
      <c r="C285" s="42" t="inlineStr">
        <is>
          <t>Стандарт</t>
        </is>
      </c>
      <c r="D285" s="42" t="inlineStr">
        <is>
          <t>MV-0095</t>
        </is>
      </c>
      <c r="E285" s="60" t="n"/>
      <c r="F285" s="60" t="n">
        <v>1</v>
      </c>
      <c r="G285" s="42" t="inlineStr">
        <is>
          <t>Светильник h=1000</t>
        </is>
      </c>
      <c r="H285" s="42" t="inlineStr">
        <is>
          <t>Показать строкой</t>
        </is>
      </c>
      <c r="I285" s="42" t="inlineStr">
        <is>
          <t>Стандарт</t>
        </is>
      </c>
      <c r="J285" s="42" t="inlineStr">
        <is>
          <t>Автогенерация 1:1; тарифные различия ещё не настроены</t>
        </is>
      </c>
    </row>
    <row r="286">
      <c r="A286" s="41" t="inlineStr">
        <is>
          <t>RMAT-0095</t>
        </is>
      </c>
      <c r="B286" s="41" t="inlineStr">
        <is>
          <t>Светильник h=1000</t>
        </is>
      </c>
      <c r="C286" s="41" t="inlineStr">
        <is>
          <t>Премиум</t>
        </is>
      </c>
      <c r="D286" s="41" t="inlineStr">
        <is>
          <t>MV-0095</t>
        </is>
      </c>
      <c r="E286" s="59" t="n"/>
      <c r="F286" s="59" t="n">
        <v>1</v>
      </c>
      <c r="G286" s="41" t="inlineStr">
        <is>
          <t>Светильник h=1000</t>
        </is>
      </c>
      <c r="H286" s="41" t="inlineStr">
        <is>
          <t>Показать строкой</t>
        </is>
      </c>
      <c r="I286" s="41" t="inlineStr">
        <is>
          <t>Премиум</t>
        </is>
      </c>
      <c r="J286" s="41" t="inlineStr">
        <is>
          <t>Автогенерация 1:1; тарифные различия ещё не настроены</t>
        </is>
      </c>
    </row>
    <row r="287">
      <c r="A287" s="42" t="inlineStr">
        <is>
          <t>RMAT-0096</t>
        </is>
      </c>
      <c r="B287" s="42" t="inlineStr">
        <is>
          <t>Светильник h=600</t>
        </is>
      </c>
      <c r="C287" s="42" t="inlineStr">
        <is>
          <t>Эконом</t>
        </is>
      </c>
      <c r="D287" s="42" t="inlineStr">
        <is>
          <t>MV-0096</t>
        </is>
      </c>
      <c r="E287" s="60" t="n"/>
      <c r="F287" s="60" t="n">
        <v>1</v>
      </c>
      <c r="G287" s="42" t="inlineStr">
        <is>
          <t>Светильник h=600</t>
        </is>
      </c>
      <c r="H287" s="42" t="inlineStr">
        <is>
          <t>Показать строкой</t>
        </is>
      </c>
      <c r="I287" s="42" t="inlineStr">
        <is>
          <t>Эконом</t>
        </is>
      </c>
      <c r="J287" s="42" t="inlineStr">
        <is>
          <t>Автогенерация 1:1; тарифные различия ещё не настроены</t>
        </is>
      </c>
    </row>
    <row r="288">
      <c r="A288" s="41" t="inlineStr">
        <is>
          <t>RMAT-0096</t>
        </is>
      </c>
      <c r="B288" s="41" t="inlineStr">
        <is>
          <t>Светильник h=600</t>
        </is>
      </c>
      <c r="C288" s="41" t="inlineStr">
        <is>
          <t>Стандарт</t>
        </is>
      </c>
      <c r="D288" s="41" t="inlineStr">
        <is>
          <t>MV-0096</t>
        </is>
      </c>
      <c r="E288" s="59" t="n"/>
      <c r="F288" s="59" t="n">
        <v>1</v>
      </c>
      <c r="G288" s="41" t="inlineStr">
        <is>
          <t>Светильник h=600</t>
        </is>
      </c>
      <c r="H288" s="41" t="inlineStr">
        <is>
          <t>Показать строкой</t>
        </is>
      </c>
      <c r="I288" s="41" t="inlineStr">
        <is>
          <t>Стандарт</t>
        </is>
      </c>
      <c r="J288" s="41" t="inlineStr">
        <is>
          <t>Автогенерация 1:1; тарифные различия ещё не настроены</t>
        </is>
      </c>
    </row>
    <row r="289">
      <c r="A289" s="42" t="inlineStr">
        <is>
          <t>RMAT-0096</t>
        </is>
      </c>
      <c r="B289" s="42" t="inlineStr">
        <is>
          <t>Светильник h=600</t>
        </is>
      </c>
      <c r="C289" s="42" t="inlineStr">
        <is>
          <t>Премиум</t>
        </is>
      </c>
      <c r="D289" s="42" t="inlineStr">
        <is>
          <t>MV-0096</t>
        </is>
      </c>
      <c r="E289" s="60" t="n"/>
      <c r="F289" s="60" t="n">
        <v>1</v>
      </c>
      <c r="G289" s="42" t="inlineStr">
        <is>
          <t>Светильник h=600</t>
        </is>
      </c>
      <c r="H289" s="42" t="inlineStr">
        <is>
          <t>Показать строкой</t>
        </is>
      </c>
      <c r="I289" s="42" t="inlineStr">
        <is>
          <t>Премиум</t>
        </is>
      </c>
      <c r="J289" s="42" t="inlineStr">
        <is>
          <t>Автогенерация 1:1; тарифные различия ещё не настроены</t>
        </is>
      </c>
    </row>
    <row r="290">
      <c r="A290" s="41" t="inlineStr">
        <is>
          <t>RMAT-0097</t>
        </is>
      </c>
      <c r="B290" s="41" t="inlineStr">
        <is>
          <t>Сетка кладочная яч. 50х50мм d3,5-3,8мм, 0,51х2м</t>
        </is>
      </c>
      <c r="C290" s="41" t="inlineStr">
        <is>
          <t>Эконом</t>
        </is>
      </c>
      <c r="D290" s="41" t="inlineStr">
        <is>
          <t>MV-0097</t>
        </is>
      </c>
      <c r="E290" s="59" t="n"/>
      <c r="F290" s="59" t="n">
        <v>1</v>
      </c>
      <c r="G290" s="41" t="inlineStr">
        <is>
          <t>Сетка кладочная яч. 50х50мм d3,5-3,8мм, 0,51х2м</t>
        </is>
      </c>
      <c r="H290" s="41" t="inlineStr">
        <is>
          <t>Показать строкой</t>
        </is>
      </c>
      <c r="I290" s="41" t="inlineStr">
        <is>
          <t>Эконом</t>
        </is>
      </c>
      <c r="J290" s="41" t="inlineStr">
        <is>
          <t>Автогенерация 1:1; тарифные различия ещё не настроены</t>
        </is>
      </c>
    </row>
    <row r="291">
      <c r="A291" s="42" t="inlineStr">
        <is>
          <t>RMAT-0097</t>
        </is>
      </c>
      <c r="B291" s="42" t="inlineStr">
        <is>
          <t>Сетка кладочная яч. 50х50мм d3,5-3,8мм, 0,51х2м</t>
        </is>
      </c>
      <c r="C291" s="42" t="inlineStr">
        <is>
          <t>Стандарт</t>
        </is>
      </c>
      <c r="D291" s="42" t="inlineStr">
        <is>
          <t>MV-0097</t>
        </is>
      </c>
      <c r="E291" s="60" t="n"/>
      <c r="F291" s="60" t="n">
        <v>1</v>
      </c>
      <c r="G291" s="42" t="inlineStr">
        <is>
          <t>Сетка кладочная яч. 50х50мм d3,5-3,8мм, 0,51х2м</t>
        </is>
      </c>
      <c r="H291" s="42" t="inlineStr">
        <is>
          <t>Показать строкой</t>
        </is>
      </c>
      <c r="I291" s="42" t="inlineStr">
        <is>
          <t>Стандарт</t>
        </is>
      </c>
      <c r="J291" s="42" t="inlineStr">
        <is>
          <t>Автогенерация 1:1; тарифные различия ещё не настроены</t>
        </is>
      </c>
    </row>
    <row r="292">
      <c r="A292" s="41" t="inlineStr">
        <is>
          <t>RMAT-0097</t>
        </is>
      </c>
      <c r="B292" s="41" t="inlineStr">
        <is>
          <t>Сетка кладочная яч. 50х50мм d3,5-3,8мм, 0,51х2м</t>
        </is>
      </c>
      <c r="C292" s="41" t="inlineStr">
        <is>
          <t>Премиум</t>
        </is>
      </c>
      <c r="D292" s="41" t="inlineStr">
        <is>
          <t>MV-0097</t>
        </is>
      </c>
      <c r="E292" s="59" t="n"/>
      <c r="F292" s="59" t="n">
        <v>1</v>
      </c>
      <c r="G292" s="41" t="inlineStr">
        <is>
          <t>Сетка кладочная яч. 50х50мм d3,5-3,8мм, 0,51х2м</t>
        </is>
      </c>
      <c r="H292" s="41" t="inlineStr">
        <is>
          <t>Показать строкой</t>
        </is>
      </c>
      <c r="I292" s="41" t="inlineStr">
        <is>
          <t>Премиум</t>
        </is>
      </c>
      <c r="J292" s="41" t="inlineStr">
        <is>
          <t>Автогенерация 1:1; тарифные различия ещё не настроены</t>
        </is>
      </c>
    </row>
    <row r="293">
      <c r="A293" s="42" t="inlineStr">
        <is>
          <t>RMAT-0098</t>
        </is>
      </c>
      <c r="B293" s="42" t="inlineStr">
        <is>
          <t>Сланец шунгитный (рваный), 40мм</t>
        </is>
      </c>
      <c r="C293" s="42" t="inlineStr">
        <is>
          <t>Эконом</t>
        </is>
      </c>
      <c r="D293" s="42" t="inlineStr">
        <is>
          <t>MV-0098</t>
        </is>
      </c>
      <c r="E293" s="60" t="n"/>
      <c r="F293" s="60" t="n">
        <v>1</v>
      </c>
      <c r="G293" s="42" t="inlineStr">
        <is>
          <t>Сланец шунгитный (рваный), 40мм</t>
        </is>
      </c>
      <c r="H293" s="42" t="inlineStr">
        <is>
          <t>Показать строкой</t>
        </is>
      </c>
      <c r="I293" s="42" t="inlineStr">
        <is>
          <t>Эконом</t>
        </is>
      </c>
      <c r="J293" s="42" t="inlineStr">
        <is>
          <t>Автогенерация 1:1; тарифные различия ещё не настроены</t>
        </is>
      </c>
    </row>
    <row r="294">
      <c r="A294" s="41" t="inlineStr">
        <is>
          <t>RMAT-0098</t>
        </is>
      </c>
      <c r="B294" s="41" t="inlineStr">
        <is>
          <t>Сланец шунгитный (рваный), 40мм</t>
        </is>
      </c>
      <c r="C294" s="41" t="inlineStr">
        <is>
          <t>Стандарт</t>
        </is>
      </c>
      <c r="D294" s="41" t="inlineStr">
        <is>
          <t>MV-0098</t>
        </is>
      </c>
      <c r="E294" s="59" t="n"/>
      <c r="F294" s="59" t="n">
        <v>1</v>
      </c>
      <c r="G294" s="41" t="inlineStr">
        <is>
          <t>Сланец шунгитный (рваный), 40мм</t>
        </is>
      </c>
      <c r="H294" s="41" t="inlineStr">
        <is>
          <t>Показать строкой</t>
        </is>
      </c>
      <c r="I294" s="41" t="inlineStr">
        <is>
          <t>Стандарт</t>
        </is>
      </c>
      <c r="J294" s="41" t="inlineStr">
        <is>
          <t>Автогенерация 1:1; тарифные различия ещё не настроены</t>
        </is>
      </c>
    </row>
    <row r="295">
      <c r="A295" s="42" t="inlineStr">
        <is>
          <t>RMAT-0098</t>
        </is>
      </c>
      <c r="B295" s="42" t="inlineStr">
        <is>
          <t>Сланец шунгитный (рваный), 40мм</t>
        </is>
      </c>
      <c r="C295" s="42" t="inlineStr">
        <is>
          <t>Премиум</t>
        </is>
      </c>
      <c r="D295" s="42" t="inlineStr">
        <is>
          <t>MV-0098</t>
        </is>
      </c>
      <c r="E295" s="60" t="n"/>
      <c r="F295" s="60" t="n">
        <v>1</v>
      </c>
      <c r="G295" s="42" t="inlineStr">
        <is>
          <t>Сланец шунгитный (рваный), 40мм</t>
        </is>
      </c>
      <c r="H295" s="42" t="inlineStr">
        <is>
          <t>Показать строкой</t>
        </is>
      </c>
      <c r="I295" s="42" t="inlineStr">
        <is>
          <t>Премиум</t>
        </is>
      </c>
      <c r="J295" s="42" t="inlineStr">
        <is>
          <t>Автогенерация 1:1; тарифные различия ещё не настроены</t>
        </is>
      </c>
    </row>
    <row r="296">
      <c r="A296" s="41" t="inlineStr">
        <is>
          <t>RMAT-0099</t>
        </is>
      </c>
      <c r="B296" s="41" t="inlineStr">
        <is>
          <t>Соединитель CON T3 PIN IP68</t>
        </is>
      </c>
      <c r="C296" s="41" t="inlineStr">
        <is>
          <t>Эконом</t>
        </is>
      </c>
      <c r="D296" s="41" t="inlineStr">
        <is>
          <t>MV-0099</t>
        </is>
      </c>
      <c r="E296" s="59" t="n"/>
      <c r="F296" s="59" t="n">
        <v>1</v>
      </c>
      <c r="G296" s="41" t="inlineStr">
        <is>
          <t>Соединитель CON T3 PIN IP68</t>
        </is>
      </c>
      <c r="H296" s="41" t="inlineStr">
        <is>
          <t>Показать строкой</t>
        </is>
      </c>
      <c r="I296" s="41" t="inlineStr">
        <is>
          <t>Эконом</t>
        </is>
      </c>
      <c r="J296" s="41" t="inlineStr">
        <is>
          <t>Автогенерация 1:1; тарифные различия ещё не настроены</t>
        </is>
      </c>
    </row>
    <row r="297">
      <c r="A297" s="42" t="inlineStr">
        <is>
          <t>RMAT-0099</t>
        </is>
      </c>
      <c r="B297" s="42" t="inlineStr">
        <is>
          <t>Соединитель CON T3 PIN IP68</t>
        </is>
      </c>
      <c r="C297" s="42" t="inlineStr">
        <is>
          <t>Стандарт</t>
        </is>
      </c>
      <c r="D297" s="42" t="inlineStr">
        <is>
          <t>MV-0099</t>
        </is>
      </c>
      <c r="E297" s="60" t="n"/>
      <c r="F297" s="60" t="n">
        <v>1</v>
      </c>
      <c r="G297" s="42" t="inlineStr">
        <is>
          <t>Соединитель CON T3 PIN IP68</t>
        </is>
      </c>
      <c r="H297" s="42" t="inlineStr">
        <is>
          <t>Показать строкой</t>
        </is>
      </c>
      <c r="I297" s="42" t="inlineStr">
        <is>
          <t>Стандарт</t>
        </is>
      </c>
      <c r="J297" s="42" t="inlineStr">
        <is>
          <t>Автогенерация 1:1; тарифные различия ещё не настроены</t>
        </is>
      </c>
    </row>
    <row r="298">
      <c r="A298" s="41" t="inlineStr">
        <is>
          <t>RMAT-0099</t>
        </is>
      </c>
      <c r="B298" s="41" t="inlineStr">
        <is>
          <t>Соединитель CON T3 PIN IP68</t>
        </is>
      </c>
      <c r="C298" s="41" t="inlineStr">
        <is>
          <t>Премиум</t>
        </is>
      </c>
      <c r="D298" s="41" t="inlineStr">
        <is>
          <t>MV-0099</t>
        </is>
      </c>
      <c r="E298" s="59" t="n"/>
      <c r="F298" s="59" t="n">
        <v>1</v>
      </c>
      <c r="G298" s="41" t="inlineStr">
        <is>
          <t>Соединитель CON T3 PIN IP68</t>
        </is>
      </c>
      <c r="H298" s="41" t="inlineStr">
        <is>
          <t>Показать строкой</t>
        </is>
      </c>
      <c r="I298" s="41" t="inlineStr">
        <is>
          <t>Премиум</t>
        </is>
      </c>
      <c r="J298" s="41" t="inlineStr">
        <is>
          <t>Автогенерация 1:1; тарифные различия ещё не настроены</t>
        </is>
      </c>
    </row>
    <row r="299">
      <c r="A299" s="42" t="inlineStr">
        <is>
          <t>RMAT-0100</t>
        </is>
      </c>
      <c r="B299" s="42" t="inlineStr">
        <is>
          <t>Торф нейтрализованный, 300л</t>
        </is>
      </c>
      <c r="C299" s="42" t="inlineStr">
        <is>
          <t>Эконом</t>
        </is>
      </c>
      <c r="D299" s="42" t="inlineStr">
        <is>
          <t>MV-0100</t>
        </is>
      </c>
      <c r="E299" s="60" t="n"/>
      <c r="F299" s="60" t="n">
        <v>1</v>
      </c>
      <c r="G299" s="42" t="inlineStr">
        <is>
          <t>Торф нейтрализованный, 300л</t>
        </is>
      </c>
      <c r="H299" s="42" t="inlineStr">
        <is>
          <t>Показать строкой</t>
        </is>
      </c>
      <c r="I299" s="42" t="inlineStr">
        <is>
          <t>Эконом</t>
        </is>
      </c>
      <c r="J299" s="42" t="inlineStr">
        <is>
          <t>Автогенерация 1:1; тарифные различия ещё не настроены</t>
        </is>
      </c>
    </row>
    <row r="300">
      <c r="A300" s="41" t="inlineStr">
        <is>
          <t>RMAT-0100</t>
        </is>
      </c>
      <c r="B300" s="41" t="inlineStr">
        <is>
          <t>Торф нейтрализованный, 300л</t>
        </is>
      </c>
      <c r="C300" s="41" t="inlineStr">
        <is>
          <t>Стандарт</t>
        </is>
      </c>
      <c r="D300" s="41" t="inlineStr">
        <is>
          <t>MV-0100</t>
        </is>
      </c>
      <c r="E300" s="59" t="n"/>
      <c r="F300" s="59" t="n">
        <v>1</v>
      </c>
      <c r="G300" s="41" t="inlineStr">
        <is>
          <t>Торф нейтрализованный, 300л</t>
        </is>
      </c>
      <c r="H300" s="41" t="inlineStr">
        <is>
          <t>Показать строкой</t>
        </is>
      </c>
      <c r="I300" s="41" t="inlineStr">
        <is>
          <t>Стандарт</t>
        </is>
      </c>
      <c r="J300" s="41" t="inlineStr">
        <is>
          <t>Автогенерация 1:1; тарифные различия ещё не настроены</t>
        </is>
      </c>
    </row>
    <row r="301">
      <c r="A301" s="42" t="inlineStr">
        <is>
          <t>RMAT-0100</t>
        </is>
      </c>
      <c r="B301" s="42" t="inlineStr">
        <is>
          <t>Торф нейтрализованный, 300л</t>
        </is>
      </c>
      <c r="C301" s="42" t="inlineStr">
        <is>
          <t>Премиум</t>
        </is>
      </c>
      <c r="D301" s="42" t="inlineStr">
        <is>
          <t>MV-0100</t>
        </is>
      </c>
      <c r="E301" s="60" t="n"/>
      <c r="F301" s="60" t="n">
        <v>1</v>
      </c>
      <c r="G301" s="42" t="inlineStr">
        <is>
          <t>Торф нейтрализованный, 300л</t>
        </is>
      </c>
      <c r="H301" s="42" t="inlineStr">
        <is>
          <t>Показать строкой</t>
        </is>
      </c>
      <c r="I301" s="42" t="inlineStr">
        <is>
          <t>Премиум</t>
        </is>
      </c>
      <c r="J301" s="42" t="inlineStr">
        <is>
          <t>Автогенерация 1:1; тарифные различия ещё не настроены</t>
        </is>
      </c>
    </row>
    <row r="302">
      <c r="A302" s="41" t="inlineStr">
        <is>
          <t>RMAT-0101</t>
        </is>
      </c>
      <c r="B302" s="41" t="inlineStr">
        <is>
          <t>Торфогрунт питательный, 300л</t>
        </is>
      </c>
      <c r="C302" s="41" t="inlineStr">
        <is>
          <t>Эконом</t>
        </is>
      </c>
      <c r="D302" s="41" t="inlineStr">
        <is>
          <t>MV-0101</t>
        </is>
      </c>
      <c r="E302" s="59" t="n"/>
      <c r="F302" s="59" t="n">
        <v>1</v>
      </c>
      <c r="G302" s="41" t="inlineStr">
        <is>
          <t>Торфогрунт питательный, 300л</t>
        </is>
      </c>
      <c r="H302" s="41" t="inlineStr">
        <is>
          <t>Показать строкой</t>
        </is>
      </c>
      <c r="I302" s="41" t="inlineStr">
        <is>
          <t>Эконом</t>
        </is>
      </c>
      <c r="J302" s="41" t="inlineStr">
        <is>
          <t>Автогенерация 1:1; тарифные различия ещё не настроены</t>
        </is>
      </c>
    </row>
    <row r="303">
      <c r="A303" s="42" t="inlineStr">
        <is>
          <t>RMAT-0101</t>
        </is>
      </c>
      <c r="B303" s="42" t="inlineStr">
        <is>
          <t>Торфогрунт питательный, 300л</t>
        </is>
      </c>
      <c r="C303" s="42" t="inlineStr">
        <is>
          <t>Стандарт</t>
        </is>
      </c>
      <c r="D303" s="42" t="inlineStr">
        <is>
          <t>MV-0101</t>
        </is>
      </c>
      <c r="E303" s="60" t="n"/>
      <c r="F303" s="60" t="n">
        <v>1</v>
      </c>
      <c r="G303" s="42" t="inlineStr">
        <is>
          <t>Торфогрунт питательный, 300л</t>
        </is>
      </c>
      <c r="H303" s="42" t="inlineStr">
        <is>
          <t>Показать строкой</t>
        </is>
      </c>
      <c r="I303" s="42" t="inlineStr">
        <is>
          <t>Стандарт</t>
        </is>
      </c>
      <c r="J303" s="42" t="inlineStr">
        <is>
          <t>Автогенерация 1:1; тарифные различия ещё не настроены</t>
        </is>
      </c>
    </row>
    <row r="304">
      <c r="A304" s="41" t="inlineStr">
        <is>
          <t>RMAT-0101</t>
        </is>
      </c>
      <c r="B304" s="41" t="inlineStr">
        <is>
          <t>Торфогрунт питательный, 300л</t>
        </is>
      </c>
      <c r="C304" s="41" t="inlineStr">
        <is>
          <t>Премиум</t>
        </is>
      </c>
      <c r="D304" s="41" t="inlineStr">
        <is>
          <t>MV-0101</t>
        </is>
      </c>
      <c r="E304" s="59" t="n"/>
      <c r="F304" s="59" t="n">
        <v>1</v>
      </c>
      <c r="G304" s="41" t="inlineStr">
        <is>
          <t>Торфогрунт питательный, 300л</t>
        </is>
      </c>
      <c r="H304" s="41" t="inlineStr">
        <is>
          <t>Показать строкой</t>
        </is>
      </c>
      <c r="I304" s="41" t="inlineStr">
        <is>
          <t>Премиум</t>
        </is>
      </c>
      <c r="J304" s="41" t="inlineStr">
        <is>
          <t>Автогенерация 1:1; тарифные различия ещё не настроены</t>
        </is>
      </c>
    </row>
    <row r="305">
      <c r="A305" s="42" t="inlineStr">
        <is>
          <t>RMAT-0102</t>
        </is>
      </c>
      <c r="B305" s="42" t="inlineStr">
        <is>
          <t>Труба двустенная гофрированная d=110мм SN8</t>
        </is>
      </c>
      <c r="C305" s="42" t="inlineStr">
        <is>
          <t>Эконом</t>
        </is>
      </c>
      <c r="D305" s="42" t="inlineStr">
        <is>
          <t>MV-0102</t>
        </is>
      </c>
      <c r="E305" s="60" t="n"/>
      <c r="F305" s="60" t="n">
        <v>1</v>
      </c>
      <c r="G305" s="42" t="inlineStr">
        <is>
          <t>Труба двустенная гофрированная d=110мм SN8</t>
        </is>
      </c>
      <c r="H305" s="42" t="inlineStr">
        <is>
          <t>Показать строкой</t>
        </is>
      </c>
      <c r="I305" s="42" t="inlineStr">
        <is>
          <t>Эконом</t>
        </is>
      </c>
      <c r="J305" s="42" t="inlineStr">
        <is>
          <t>Автогенерация 1:1; тарифные различия ещё не настроены</t>
        </is>
      </c>
    </row>
    <row r="306">
      <c r="A306" s="41" t="inlineStr">
        <is>
          <t>RMAT-0102</t>
        </is>
      </c>
      <c r="B306" s="41" t="inlineStr">
        <is>
          <t>Труба двустенная гофрированная d=110мм SN8</t>
        </is>
      </c>
      <c r="C306" s="41" t="inlineStr">
        <is>
          <t>Стандарт</t>
        </is>
      </c>
      <c r="D306" s="41" t="inlineStr">
        <is>
          <t>MV-0102</t>
        </is>
      </c>
      <c r="E306" s="59" t="n"/>
      <c r="F306" s="59" t="n">
        <v>1</v>
      </c>
      <c r="G306" s="41" t="inlineStr">
        <is>
          <t>Труба двустенная гофрированная d=110мм SN8</t>
        </is>
      </c>
      <c r="H306" s="41" t="inlineStr">
        <is>
          <t>Показать строкой</t>
        </is>
      </c>
      <c r="I306" s="41" t="inlineStr">
        <is>
          <t>Стандарт</t>
        </is>
      </c>
      <c r="J306" s="41" t="inlineStr">
        <is>
          <t>Автогенерация 1:1; тарифные различия ещё не настроены</t>
        </is>
      </c>
    </row>
    <row r="307">
      <c r="A307" s="42" t="inlineStr">
        <is>
          <t>RMAT-0102</t>
        </is>
      </c>
      <c r="B307" s="42" t="inlineStr">
        <is>
          <t>Труба двустенная гофрированная d=110мм SN8</t>
        </is>
      </c>
      <c r="C307" s="42" t="inlineStr">
        <is>
          <t>Премиум</t>
        </is>
      </c>
      <c r="D307" s="42" t="inlineStr">
        <is>
          <t>MV-0102</t>
        </is>
      </c>
      <c r="E307" s="60" t="n"/>
      <c r="F307" s="60" t="n">
        <v>1</v>
      </c>
      <c r="G307" s="42" t="inlineStr">
        <is>
          <t>Труба двустенная гофрированная d=110мм SN8</t>
        </is>
      </c>
      <c r="H307" s="42" t="inlineStr">
        <is>
          <t>Показать строкой</t>
        </is>
      </c>
      <c r="I307" s="42" t="inlineStr">
        <is>
          <t>Премиум</t>
        </is>
      </c>
      <c r="J307" s="42" t="inlineStr">
        <is>
          <t>Автогенерация 1:1; тарифные различия ещё не настроены</t>
        </is>
      </c>
    </row>
    <row r="308">
      <c r="A308" s="41" t="inlineStr">
        <is>
          <t>RMAT-0103</t>
        </is>
      </c>
      <c r="B308" s="41" t="inlineStr">
        <is>
          <t>Труба дренажная d110 SN6</t>
        </is>
      </c>
      <c r="C308" s="41" t="inlineStr">
        <is>
          <t>Эконом</t>
        </is>
      </c>
      <c r="D308" s="41" t="inlineStr">
        <is>
          <t>MV-0103</t>
        </is>
      </c>
      <c r="E308" s="59" t="n"/>
      <c r="F308" s="59" t="n">
        <v>1</v>
      </c>
      <c r="G308" s="41" t="inlineStr">
        <is>
          <t>Труба дренажная d110 SN6</t>
        </is>
      </c>
      <c r="H308" s="41" t="inlineStr">
        <is>
          <t>Показать строкой</t>
        </is>
      </c>
      <c r="I308" s="41" t="inlineStr">
        <is>
          <t>Эконом</t>
        </is>
      </c>
      <c r="J308" s="41" t="inlineStr">
        <is>
          <t>Автогенерация 1:1; тарифные различия ещё не настроены</t>
        </is>
      </c>
    </row>
    <row r="309">
      <c r="A309" s="42" t="inlineStr">
        <is>
          <t>RMAT-0103</t>
        </is>
      </c>
      <c r="B309" s="42" t="inlineStr">
        <is>
          <t>Труба дренажная d110 SN6</t>
        </is>
      </c>
      <c r="C309" s="42" t="inlineStr">
        <is>
          <t>Стандарт</t>
        </is>
      </c>
      <c r="D309" s="42" t="inlineStr">
        <is>
          <t>MV-0103</t>
        </is>
      </c>
      <c r="E309" s="60" t="n"/>
      <c r="F309" s="60" t="n">
        <v>1</v>
      </c>
      <c r="G309" s="42" t="inlineStr">
        <is>
          <t>Труба дренажная d110 SN6</t>
        </is>
      </c>
      <c r="H309" s="42" t="inlineStr">
        <is>
          <t>Показать строкой</t>
        </is>
      </c>
      <c r="I309" s="42" t="inlineStr">
        <is>
          <t>Стандарт</t>
        </is>
      </c>
      <c r="J309" s="42" t="inlineStr">
        <is>
          <t>Автогенерация 1:1; тарифные различия ещё не настроены</t>
        </is>
      </c>
    </row>
    <row r="310">
      <c r="A310" s="41" t="inlineStr">
        <is>
          <t>RMAT-0103</t>
        </is>
      </c>
      <c r="B310" s="41" t="inlineStr">
        <is>
          <t>Труба дренажная d110 SN6</t>
        </is>
      </c>
      <c r="C310" s="41" t="inlineStr">
        <is>
          <t>Премиум</t>
        </is>
      </c>
      <c r="D310" s="41" t="inlineStr">
        <is>
          <t>MV-0103</t>
        </is>
      </c>
      <c r="E310" s="59" t="n"/>
      <c r="F310" s="59" t="n">
        <v>1</v>
      </c>
      <c r="G310" s="41" t="inlineStr">
        <is>
          <t>Труба дренажная d110 SN6</t>
        </is>
      </c>
      <c r="H310" s="41" t="inlineStr">
        <is>
          <t>Показать строкой</t>
        </is>
      </c>
      <c r="I310" s="41" t="inlineStr">
        <is>
          <t>Премиум</t>
        </is>
      </c>
      <c r="J310" s="41" t="inlineStr">
        <is>
          <t>Автогенерация 1:1; тарифные различия ещё не настроены</t>
        </is>
      </c>
    </row>
    <row r="311">
      <c r="A311" s="42" t="inlineStr">
        <is>
          <t>RMAT-0104</t>
        </is>
      </c>
      <c r="B311" s="42" t="inlineStr">
        <is>
          <t>Труба наружной канализации d110мм SN4</t>
        </is>
      </c>
      <c r="C311" s="42" t="inlineStr">
        <is>
          <t>Эконом</t>
        </is>
      </c>
      <c r="D311" s="42" t="inlineStr">
        <is>
          <t>MV-0104</t>
        </is>
      </c>
      <c r="E311" s="60" t="n"/>
      <c r="F311" s="60" t="n">
        <v>1</v>
      </c>
      <c r="G311" s="42" t="inlineStr">
        <is>
          <t>Труба наружной канализации d110мм SN4</t>
        </is>
      </c>
      <c r="H311" s="42" t="inlineStr">
        <is>
          <t>Показать строкой</t>
        </is>
      </c>
      <c r="I311" s="42" t="inlineStr">
        <is>
          <t>Эконом</t>
        </is>
      </c>
      <c r="J311" s="42" t="inlineStr">
        <is>
          <t>Автогенерация 1:1; тарифные различия ещё не настроены</t>
        </is>
      </c>
    </row>
    <row r="312">
      <c r="A312" s="41" t="inlineStr">
        <is>
          <t>RMAT-0104</t>
        </is>
      </c>
      <c r="B312" s="41" t="inlineStr">
        <is>
          <t>Труба наружной канализации d110мм SN4</t>
        </is>
      </c>
      <c r="C312" s="41" t="inlineStr">
        <is>
          <t>Стандарт</t>
        </is>
      </c>
      <c r="D312" s="41" t="inlineStr">
        <is>
          <t>MV-0104</t>
        </is>
      </c>
      <c r="E312" s="59" t="n"/>
      <c r="F312" s="59" t="n">
        <v>1</v>
      </c>
      <c r="G312" s="41" t="inlineStr">
        <is>
          <t>Труба наружной канализации d110мм SN4</t>
        </is>
      </c>
      <c r="H312" s="41" t="inlineStr">
        <is>
          <t>Показать строкой</t>
        </is>
      </c>
      <c r="I312" s="41" t="inlineStr">
        <is>
          <t>Стандарт</t>
        </is>
      </c>
      <c r="J312" s="41" t="inlineStr">
        <is>
          <t>Автогенерация 1:1; тарифные различия ещё не настроены</t>
        </is>
      </c>
    </row>
    <row r="313">
      <c r="A313" s="42" t="inlineStr">
        <is>
          <t>RMAT-0104</t>
        </is>
      </c>
      <c r="B313" s="42" t="inlineStr">
        <is>
          <t>Труба наружной канализации d110мм SN4</t>
        </is>
      </c>
      <c r="C313" s="42" t="inlineStr">
        <is>
          <t>Премиум</t>
        </is>
      </c>
      <c r="D313" s="42" t="inlineStr">
        <is>
          <t>MV-0104</t>
        </is>
      </c>
      <c r="E313" s="60" t="n"/>
      <c r="F313" s="60" t="n">
        <v>1</v>
      </c>
      <c r="G313" s="42" t="inlineStr">
        <is>
          <t>Труба наружной канализации d110мм SN4</t>
        </is>
      </c>
      <c r="H313" s="42" t="inlineStr">
        <is>
          <t>Показать строкой</t>
        </is>
      </c>
      <c r="I313" s="42" t="inlineStr">
        <is>
          <t>Премиум</t>
        </is>
      </c>
      <c r="J313" s="42" t="inlineStr">
        <is>
          <t>Автогенерация 1:1; тарифные различия ещё не настроены</t>
        </is>
      </c>
    </row>
    <row r="314">
      <c r="A314" s="41" t="inlineStr">
        <is>
          <t>RMAT-0105</t>
        </is>
      </c>
      <c r="B314" s="41" t="inlineStr">
        <is>
          <t>Труба наружной канализации d110мм SN8</t>
        </is>
      </c>
      <c r="C314" s="41" t="inlineStr">
        <is>
          <t>Эконом</t>
        </is>
      </c>
      <c r="D314" s="41" t="inlineStr">
        <is>
          <t>MV-0105</t>
        </is>
      </c>
      <c r="E314" s="59" t="n"/>
      <c r="F314" s="59" t="n">
        <v>1</v>
      </c>
      <c r="G314" s="41" t="inlineStr">
        <is>
          <t>Труба наружной канализации d110мм SN8</t>
        </is>
      </c>
      <c r="H314" s="41" t="inlineStr">
        <is>
          <t>Показать строкой</t>
        </is>
      </c>
      <c r="I314" s="41" t="inlineStr">
        <is>
          <t>Эконом</t>
        </is>
      </c>
      <c r="J314" s="41" t="inlineStr">
        <is>
          <t>Автогенерация 1:1; тарифные различия ещё не настроены</t>
        </is>
      </c>
    </row>
    <row r="315">
      <c r="A315" s="42" t="inlineStr">
        <is>
          <t>RMAT-0105</t>
        </is>
      </c>
      <c r="B315" s="42" t="inlineStr">
        <is>
          <t>Труба наружной канализации d110мм SN8</t>
        </is>
      </c>
      <c r="C315" s="42" t="inlineStr">
        <is>
          <t>Стандарт</t>
        </is>
      </c>
      <c r="D315" s="42" t="inlineStr">
        <is>
          <t>MV-0105</t>
        </is>
      </c>
      <c r="E315" s="60" t="n"/>
      <c r="F315" s="60" t="n">
        <v>1</v>
      </c>
      <c r="G315" s="42" t="inlineStr">
        <is>
          <t>Труба наружной канализации d110мм SN8</t>
        </is>
      </c>
      <c r="H315" s="42" t="inlineStr">
        <is>
          <t>Показать строкой</t>
        </is>
      </c>
      <c r="I315" s="42" t="inlineStr">
        <is>
          <t>Стандарт</t>
        </is>
      </c>
      <c r="J315" s="42" t="inlineStr">
        <is>
          <t>Автогенерация 1:1; тарифные различия ещё не настроены</t>
        </is>
      </c>
    </row>
    <row r="316">
      <c r="A316" s="41" t="inlineStr">
        <is>
          <t>RMAT-0105</t>
        </is>
      </c>
      <c r="B316" s="41" t="inlineStr">
        <is>
          <t>Труба наружной канализации d110мм SN8</t>
        </is>
      </c>
      <c r="C316" s="41" t="inlineStr">
        <is>
          <t>Премиум</t>
        </is>
      </c>
      <c r="D316" s="41" t="inlineStr">
        <is>
          <t>MV-0105</t>
        </is>
      </c>
      <c r="E316" s="59" t="n"/>
      <c r="F316" s="59" t="n">
        <v>1</v>
      </c>
      <c r="G316" s="41" t="inlineStr">
        <is>
          <t>Труба наружной канализации d110мм SN8</t>
        </is>
      </c>
      <c r="H316" s="41" t="inlineStr">
        <is>
          <t>Показать строкой</t>
        </is>
      </c>
      <c r="I316" s="41" t="inlineStr">
        <is>
          <t>Премиум</t>
        </is>
      </c>
      <c r="J316" s="41" t="inlineStr">
        <is>
          <t>Автогенерация 1:1; тарифные различия ещё не настроены</t>
        </is>
      </c>
    </row>
    <row r="317">
      <c r="A317" s="42" t="inlineStr">
        <is>
          <t>RMAT-0106</t>
        </is>
      </c>
      <c r="B317" s="42" t="inlineStr">
        <is>
          <t>Уголок металл., 50*50*5мм</t>
        </is>
      </c>
      <c r="C317" s="42" t="inlineStr">
        <is>
          <t>Эконом</t>
        </is>
      </c>
      <c r="D317" s="42" t="inlineStr">
        <is>
          <t>MV-0106</t>
        </is>
      </c>
      <c r="E317" s="60" t="n"/>
      <c r="F317" s="60" t="n">
        <v>1</v>
      </c>
      <c r="G317" s="42" t="inlineStr">
        <is>
          <t>Уголок металл., 50*50*5мм</t>
        </is>
      </c>
      <c r="H317" s="42" t="inlineStr">
        <is>
          <t>Показать строкой</t>
        </is>
      </c>
      <c r="I317" s="42" t="inlineStr">
        <is>
          <t>Эконом</t>
        </is>
      </c>
      <c r="J317" s="42" t="inlineStr">
        <is>
          <t>Автогенерация 1:1; тарифные различия ещё не настроены</t>
        </is>
      </c>
    </row>
    <row r="318">
      <c r="A318" s="41" t="inlineStr">
        <is>
          <t>RMAT-0106</t>
        </is>
      </c>
      <c r="B318" s="41" t="inlineStr">
        <is>
          <t>Уголок металл., 50*50*5мм</t>
        </is>
      </c>
      <c r="C318" s="41" t="inlineStr">
        <is>
          <t>Стандарт</t>
        </is>
      </c>
      <c r="D318" s="41" t="inlineStr">
        <is>
          <t>MV-0106</t>
        </is>
      </c>
      <c r="E318" s="59" t="n"/>
      <c r="F318" s="59" t="n">
        <v>1</v>
      </c>
      <c r="G318" s="41" t="inlineStr">
        <is>
          <t>Уголок металл., 50*50*5мм</t>
        </is>
      </c>
      <c r="H318" s="41" t="inlineStr">
        <is>
          <t>Показать строкой</t>
        </is>
      </c>
      <c r="I318" s="41" t="inlineStr">
        <is>
          <t>Стандарт</t>
        </is>
      </c>
      <c r="J318" s="41" t="inlineStr">
        <is>
          <t>Автогенерация 1:1; тарифные различия ещё не настроены</t>
        </is>
      </c>
    </row>
    <row r="319">
      <c r="A319" s="42" t="inlineStr">
        <is>
          <t>RMAT-0106</t>
        </is>
      </c>
      <c r="B319" s="42" t="inlineStr">
        <is>
          <t>Уголок металл., 50*50*5мм</t>
        </is>
      </c>
      <c r="C319" s="42" t="inlineStr">
        <is>
          <t>Премиум</t>
        </is>
      </c>
      <c r="D319" s="42" t="inlineStr">
        <is>
          <t>MV-0106</t>
        </is>
      </c>
      <c r="E319" s="60" t="n"/>
      <c r="F319" s="60" t="n">
        <v>1</v>
      </c>
      <c r="G319" s="42" t="inlineStr">
        <is>
          <t>Уголок металл., 50*50*5мм</t>
        </is>
      </c>
      <c r="H319" s="42" t="inlineStr">
        <is>
          <t>Показать строкой</t>
        </is>
      </c>
      <c r="I319" s="42" t="inlineStr">
        <is>
          <t>Премиум</t>
        </is>
      </c>
      <c r="J319" s="42" t="inlineStr">
        <is>
          <t>Автогенерация 1:1; тарифные различия ещё не настроены</t>
        </is>
      </c>
    </row>
    <row r="320">
      <c r="A320" s="41" t="inlineStr">
        <is>
          <t>RMAT-0107</t>
        </is>
      </c>
      <c r="B320" s="41" t="inlineStr">
        <is>
          <t>Удобрение минеральное длительного действия</t>
        </is>
      </c>
      <c r="C320" s="41" t="inlineStr">
        <is>
          <t>Эконом</t>
        </is>
      </c>
      <c r="D320" s="41" t="inlineStr">
        <is>
          <t>MV-0107</t>
        </is>
      </c>
      <c r="E320" s="59" t="n"/>
      <c r="F320" s="59" t="n">
        <v>1</v>
      </c>
      <c r="G320" s="41" t="inlineStr">
        <is>
          <t>Удобрение минеральное длительного действия</t>
        </is>
      </c>
      <c r="H320" s="41" t="inlineStr">
        <is>
          <t>Показать строкой</t>
        </is>
      </c>
      <c r="I320" s="41" t="inlineStr">
        <is>
          <t>Эконом</t>
        </is>
      </c>
      <c r="J320" s="41" t="inlineStr">
        <is>
          <t>Автогенерация 1:1; тарифные различия ещё не настроены</t>
        </is>
      </c>
    </row>
    <row r="321">
      <c r="A321" s="42" t="inlineStr">
        <is>
          <t>RMAT-0107</t>
        </is>
      </c>
      <c r="B321" s="42" t="inlineStr">
        <is>
          <t>Удобрение минеральное длительного действия</t>
        </is>
      </c>
      <c r="C321" s="42" t="inlineStr">
        <is>
          <t>Стандарт</t>
        </is>
      </c>
      <c r="D321" s="42" t="inlineStr">
        <is>
          <t>MV-0107</t>
        </is>
      </c>
      <c r="E321" s="60" t="n"/>
      <c r="F321" s="60" t="n">
        <v>1</v>
      </c>
      <c r="G321" s="42" t="inlineStr">
        <is>
          <t>Удобрение минеральное длительного действия</t>
        </is>
      </c>
      <c r="H321" s="42" t="inlineStr">
        <is>
          <t>Показать строкой</t>
        </is>
      </c>
      <c r="I321" s="42" t="inlineStr">
        <is>
          <t>Стандарт</t>
        </is>
      </c>
      <c r="J321" s="42" t="inlineStr">
        <is>
          <t>Автогенерация 1:1; тарифные различия ещё не настроены</t>
        </is>
      </c>
    </row>
    <row r="322">
      <c r="A322" s="41" t="inlineStr">
        <is>
          <t>RMAT-0107</t>
        </is>
      </c>
      <c r="B322" s="41" t="inlineStr">
        <is>
          <t>Удобрение минеральное длительного действия</t>
        </is>
      </c>
      <c r="C322" s="41" t="inlineStr">
        <is>
          <t>Премиум</t>
        </is>
      </c>
      <c r="D322" s="41" t="inlineStr">
        <is>
          <t>MV-0107</t>
        </is>
      </c>
      <c r="E322" s="59" t="n"/>
      <c r="F322" s="59" t="n">
        <v>1</v>
      </c>
      <c r="G322" s="41" t="inlineStr">
        <is>
          <t>Удобрение минеральное длительного действия</t>
        </is>
      </c>
      <c r="H322" s="41" t="inlineStr">
        <is>
          <t>Показать строкой</t>
        </is>
      </c>
      <c r="I322" s="41" t="inlineStr">
        <is>
          <t>Премиум</t>
        </is>
      </c>
      <c r="J322" s="41" t="inlineStr">
        <is>
          <t>Автогенерация 1:1; тарифные различия ещё не настроены</t>
        </is>
      </c>
    </row>
    <row r="323">
      <c r="A323" s="42" t="inlineStr">
        <is>
          <t>RMAT-0108</t>
        </is>
      </c>
      <c r="B323" s="42" t="inlineStr">
        <is>
          <t>Удобрение универсальн., газонное</t>
        </is>
      </c>
      <c r="C323" s="42" t="inlineStr">
        <is>
          <t>Эконом</t>
        </is>
      </c>
      <c r="D323" s="42" t="inlineStr">
        <is>
          <t>MV-0108</t>
        </is>
      </c>
      <c r="E323" s="60" t="n"/>
      <c r="F323" s="60" t="n">
        <v>1</v>
      </c>
      <c r="G323" s="42" t="inlineStr">
        <is>
          <t>Удобрение универсальн., газонное</t>
        </is>
      </c>
      <c r="H323" s="42" t="inlineStr">
        <is>
          <t>Показать строкой</t>
        </is>
      </c>
      <c r="I323" s="42" t="inlineStr">
        <is>
          <t>Эконом</t>
        </is>
      </c>
      <c r="J323" s="42" t="inlineStr">
        <is>
          <t>Автогенерация 1:1; тарифные различия ещё не настроены</t>
        </is>
      </c>
    </row>
    <row r="324">
      <c r="A324" s="41" t="inlineStr">
        <is>
          <t>RMAT-0108</t>
        </is>
      </c>
      <c r="B324" s="41" t="inlineStr">
        <is>
          <t>Удобрение универсальн., газонное</t>
        </is>
      </c>
      <c r="C324" s="41" t="inlineStr">
        <is>
          <t>Стандарт</t>
        </is>
      </c>
      <c r="D324" s="41" t="inlineStr">
        <is>
          <t>MV-0108</t>
        </is>
      </c>
      <c r="E324" s="59" t="n"/>
      <c r="F324" s="59" t="n">
        <v>1</v>
      </c>
      <c r="G324" s="41" t="inlineStr">
        <is>
          <t>Удобрение универсальн., газонное</t>
        </is>
      </c>
      <c r="H324" s="41" t="inlineStr">
        <is>
          <t>Показать строкой</t>
        </is>
      </c>
      <c r="I324" s="41" t="inlineStr">
        <is>
          <t>Стандарт</t>
        </is>
      </c>
      <c r="J324" s="41" t="inlineStr">
        <is>
          <t>Автогенерация 1:1; тарифные различия ещё не настроены</t>
        </is>
      </c>
    </row>
    <row r="325">
      <c r="A325" s="42" t="inlineStr">
        <is>
          <t>RMAT-0108</t>
        </is>
      </c>
      <c r="B325" s="42" t="inlineStr">
        <is>
          <t>Удобрение универсальн., газонное</t>
        </is>
      </c>
      <c r="C325" s="42" t="inlineStr">
        <is>
          <t>Премиум</t>
        </is>
      </c>
      <c r="D325" s="42" t="inlineStr">
        <is>
          <t>MV-0108</t>
        </is>
      </c>
      <c r="E325" s="60" t="n"/>
      <c r="F325" s="60" t="n">
        <v>1</v>
      </c>
      <c r="G325" s="42" t="inlineStr">
        <is>
          <t>Удобрение универсальн., газонное</t>
        </is>
      </c>
      <c r="H325" s="42" t="inlineStr">
        <is>
          <t>Показать строкой</t>
        </is>
      </c>
      <c r="I325" s="42" t="inlineStr">
        <is>
          <t>Премиум</t>
        </is>
      </c>
      <c r="J325" s="42" t="inlineStr">
        <is>
          <t>Автогенерация 1:1; тарифные различия ещё не настроены</t>
        </is>
      </c>
    </row>
    <row r="326">
      <c r="A326" s="41" t="inlineStr">
        <is>
          <t>RMAT-0109</t>
        </is>
      </c>
      <c r="B326" s="41" t="inlineStr">
        <is>
          <t>Установка бордюра (криволинейная)</t>
        </is>
      </c>
      <c r="C326" s="41" t="inlineStr">
        <is>
          <t>Эконом</t>
        </is>
      </c>
      <c r="D326" s="41" t="inlineStr">
        <is>
          <t>MV-0109</t>
        </is>
      </c>
      <c r="E326" s="59" t="n"/>
      <c r="F326" s="59" t="n">
        <v>1</v>
      </c>
      <c r="G326" s="41" t="inlineStr">
        <is>
          <t>Установка бордюра (криволинейная)</t>
        </is>
      </c>
      <c r="H326" s="41" t="inlineStr">
        <is>
          <t>Показать строкой</t>
        </is>
      </c>
      <c r="I326" s="41" t="inlineStr">
        <is>
          <t>Эконом</t>
        </is>
      </c>
      <c r="J326" s="41" t="inlineStr">
        <is>
          <t>Автогенерация 1:1; тарифные различия ещё не настроены</t>
        </is>
      </c>
    </row>
    <row r="327">
      <c r="A327" s="42" t="inlineStr">
        <is>
          <t>RMAT-0109</t>
        </is>
      </c>
      <c r="B327" s="42" t="inlineStr">
        <is>
          <t>Установка бордюра (криволинейная)</t>
        </is>
      </c>
      <c r="C327" s="42" t="inlineStr">
        <is>
          <t>Стандарт</t>
        </is>
      </c>
      <c r="D327" s="42" t="inlineStr">
        <is>
          <t>MV-0109</t>
        </is>
      </c>
      <c r="E327" s="60" t="n"/>
      <c r="F327" s="60" t="n">
        <v>1</v>
      </c>
      <c r="G327" s="42" t="inlineStr">
        <is>
          <t>Установка бордюра (криволинейная)</t>
        </is>
      </c>
      <c r="H327" s="42" t="inlineStr">
        <is>
          <t>Показать строкой</t>
        </is>
      </c>
      <c r="I327" s="42" t="inlineStr">
        <is>
          <t>Стандарт</t>
        </is>
      </c>
      <c r="J327" s="42" t="inlineStr">
        <is>
          <t>Автогенерация 1:1; тарифные различия ещё не настроены</t>
        </is>
      </c>
    </row>
    <row r="328">
      <c r="A328" s="41" t="inlineStr">
        <is>
          <t>RMAT-0109</t>
        </is>
      </c>
      <c r="B328" s="41" t="inlineStr">
        <is>
          <t>Установка бордюра (криволинейная)</t>
        </is>
      </c>
      <c r="C328" s="41" t="inlineStr">
        <is>
          <t>Премиум</t>
        </is>
      </c>
      <c r="D328" s="41" t="inlineStr">
        <is>
          <t>MV-0109</t>
        </is>
      </c>
      <c r="E328" s="59" t="n"/>
      <c r="F328" s="59" t="n">
        <v>1</v>
      </c>
      <c r="G328" s="41" t="inlineStr">
        <is>
          <t>Установка бордюра (криволинейная)</t>
        </is>
      </c>
      <c r="H328" s="41" t="inlineStr">
        <is>
          <t>Показать строкой</t>
        </is>
      </c>
      <c r="I328" s="41" t="inlineStr">
        <is>
          <t>Премиум</t>
        </is>
      </c>
      <c r="J328" s="41" t="inlineStr">
        <is>
          <t>Автогенерация 1:1; тарифные различия ещё не настроены</t>
        </is>
      </c>
    </row>
    <row r="329">
      <c r="A329" s="42" t="inlineStr">
        <is>
          <t>RMAT-0110</t>
        </is>
      </c>
      <c r="B329" s="42" t="inlineStr">
        <is>
          <t>Установка бордюра металлического</t>
        </is>
      </c>
      <c r="C329" s="42" t="inlineStr">
        <is>
          <t>Эконом</t>
        </is>
      </c>
      <c r="D329" s="42" t="inlineStr">
        <is>
          <t>MV-0110</t>
        </is>
      </c>
      <c r="E329" s="60" t="n"/>
      <c r="F329" s="60" t="n">
        <v>1</v>
      </c>
      <c r="G329" s="42" t="inlineStr">
        <is>
          <t>Установка бордюра металлического</t>
        </is>
      </c>
      <c r="H329" s="42" t="inlineStr">
        <is>
          <t>Показать строкой</t>
        </is>
      </c>
      <c r="I329" s="42" t="inlineStr">
        <is>
          <t>Эконом</t>
        </is>
      </c>
      <c r="J329" s="42" t="inlineStr">
        <is>
          <t>Автогенерация 1:1; тарифные различия ещё не настроены</t>
        </is>
      </c>
    </row>
    <row r="330">
      <c r="A330" s="41" t="inlineStr">
        <is>
          <t>RMAT-0110</t>
        </is>
      </c>
      <c r="B330" s="41" t="inlineStr">
        <is>
          <t>Установка бордюра металлического</t>
        </is>
      </c>
      <c r="C330" s="41" t="inlineStr">
        <is>
          <t>Стандарт</t>
        </is>
      </c>
      <c r="D330" s="41" t="inlineStr">
        <is>
          <t>MV-0110</t>
        </is>
      </c>
      <c r="E330" s="59" t="n"/>
      <c r="F330" s="59" t="n">
        <v>1</v>
      </c>
      <c r="G330" s="41" t="inlineStr">
        <is>
          <t>Установка бордюра металлического</t>
        </is>
      </c>
      <c r="H330" s="41" t="inlineStr">
        <is>
          <t>Показать строкой</t>
        </is>
      </c>
      <c r="I330" s="41" t="inlineStr">
        <is>
          <t>Стандарт</t>
        </is>
      </c>
      <c r="J330" s="41" t="inlineStr">
        <is>
          <t>Автогенерация 1:1; тарифные различия ещё не настроены</t>
        </is>
      </c>
    </row>
    <row r="331">
      <c r="A331" s="42" t="inlineStr">
        <is>
          <t>RMAT-0110</t>
        </is>
      </c>
      <c r="B331" s="42" t="inlineStr">
        <is>
          <t>Установка бордюра металлического</t>
        </is>
      </c>
      <c r="C331" s="42" t="inlineStr">
        <is>
          <t>Премиум</t>
        </is>
      </c>
      <c r="D331" s="42" t="inlineStr">
        <is>
          <t>MV-0110</t>
        </is>
      </c>
      <c r="E331" s="60" t="n"/>
      <c r="F331" s="60" t="n">
        <v>1</v>
      </c>
      <c r="G331" s="42" t="inlineStr">
        <is>
          <t>Установка бордюра металлического</t>
        </is>
      </c>
      <c r="H331" s="42" t="inlineStr">
        <is>
          <t>Показать строкой</t>
        </is>
      </c>
      <c r="I331" s="42" t="inlineStr">
        <is>
          <t>Премиум</t>
        </is>
      </c>
      <c r="J331" s="42" t="inlineStr">
        <is>
          <t>Автогенерация 1:1; тарифные различия ещё не настроены</t>
        </is>
      </c>
    </row>
    <row r="332">
      <c r="A332" s="41" t="inlineStr">
        <is>
          <t>RMAT-0111</t>
        </is>
      </c>
      <c r="B332" s="41" t="inlineStr">
        <is>
          <t>Установка бордюра ограничивающего (доска, брусок)</t>
        </is>
      </c>
      <c r="C332" s="41" t="inlineStr">
        <is>
          <t>Эконом</t>
        </is>
      </c>
      <c r="D332" s="41" t="inlineStr">
        <is>
          <t>MV-0111</t>
        </is>
      </c>
      <c r="E332" s="59" t="n"/>
      <c r="F332" s="59" t="n">
        <v>1</v>
      </c>
      <c r="G332" s="41" t="inlineStr">
        <is>
          <t>Установка бордюра ограничивающего (доска, брусок)</t>
        </is>
      </c>
      <c r="H332" s="41" t="inlineStr">
        <is>
          <t>Показать строкой</t>
        </is>
      </c>
      <c r="I332" s="41" t="inlineStr">
        <is>
          <t>Эконом</t>
        </is>
      </c>
      <c r="J332" s="41" t="inlineStr">
        <is>
          <t>Автогенерация 1:1; тарифные различия ещё не настроены</t>
        </is>
      </c>
    </row>
    <row r="333">
      <c r="A333" s="42" t="inlineStr">
        <is>
          <t>RMAT-0111</t>
        </is>
      </c>
      <c r="B333" s="42" t="inlineStr">
        <is>
          <t>Установка бордюра ограничивающего (доска, брусок)</t>
        </is>
      </c>
      <c r="C333" s="42" t="inlineStr">
        <is>
          <t>Стандарт</t>
        </is>
      </c>
      <c r="D333" s="42" t="inlineStr">
        <is>
          <t>MV-0111</t>
        </is>
      </c>
      <c r="E333" s="60" t="n"/>
      <c r="F333" s="60" t="n">
        <v>1</v>
      </c>
      <c r="G333" s="42" t="inlineStr">
        <is>
          <t>Установка бордюра ограничивающего (доска, брусок)</t>
        </is>
      </c>
      <c r="H333" s="42" t="inlineStr">
        <is>
          <t>Показать строкой</t>
        </is>
      </c>
      <c r="I333" s="42" t="inlineStr">
        <is>
          <t>Стандарт</t>
        </is>
      </c>
      <c r="J333" s="42" t="inlineStr">
        <is>
          <t>Автогенерация 1:1; тарифные различия ещё не настроены</t>
        </is>
      </c>
    </row>
    <row r="334">
      <c r="A334" s="41" t="inlineStr">
        <is>
          <t>RMAT-0111</t>
        </is>
      </c>
      <c r="B334" s="41" t="inlineStr">
        <is>
          <t>Установка бордюра ограничивающего (доска, брусок)</t>
        </is>
      </c>
      <c r="C334" s="41" t="inlineStr">
        <is>
          <t>Премиум</t>
        </is>
      </c>
      <c r="D334" s="41" t="inlineStr">
        <is>
          <t>MV-0111</t>
        </is>
      </c>
      <c r="E334" s="59" t="n"/>
      <c r="F334" s="59" t="n">
        <v>1</v>
      </c>
      <c r="G334" s="41" t="inlineStr">
        <is>
          <t>Установка бордюра ограничивающего (доска, брусок)</t>
        </is>
      </c>
      <c r="H334" s="41" t="inlineStr">
        <is>
          <t>Показать строкой</t>
        </is>
      </c>
      <c r="I334" s="41" t="inlineStr">
        <is>
          <t>Премиум</t>
        </is>
      </c>
      <c r="J334" s="41" t="inlineStr">
        <is>
          <t>Автогенерация 1:1; тарифные различия ещё не настроены</t>
        </is>
      </c>
    </row>
    <row r="335">
      <c r="A335" s="42" t="inlineStr">
        <is>
          <t>RMAT-0112</t>
        </is>
      </c>
      <c r="B335" s="42" t="inlineStr">
        <is>
          <t>Установка бордюра пластикового</t>
        </is>
      </c>
      <c r="C335" s="42" t="inlineStr">
        <is>
          <t>Эконом</t>
        </is>
      </c>
      <c r="D335" s="42" t="inlineStr">
        <is>
          <t>MV-0112</t>
        </is>
      </c>
      <c r="E335" s="60" t="n"/>
      <c r="F335" s="60" t="n">
        <v>1</v>
      </c>
      <c r="G335" s="42" t="inlineStr">
        <is>
          <t>Установка бордюра пластикового</t>
        </is>
      </c>
      <c r="H335" s="42" t="inlineStr">
        <is>
          <t>Показать строкой</t>
        </is>
      </c>
      <c r="I335" s="42" t="inlineStr">
        <is>
          <t>Эконом</t>
        </is>
      </c>
      <c r="J335" s="42" t="inlineStr">
        <is>
          <t>Автогенерация 1:1; тарифные различия ещё не настроены</t>
        </is>
      </c>
    </row>
    <row r="336">
      <c r="A336" s="41" t="inlineStr">
        <is>
          <t>RMAT-0112</t>
        </is>
      </c>
      <c r="B336" s="41" t="inlineStr">
        <is>
          <t>Установка бордюра пластикового</t>
        </is>
      </c>
      <c r="C336" s="41" t="inlineStr">
        <is>
          <t>Стандарт</t>
        </is>
      </c>
      <c r="D336" s="41" t="inlineStr">
        <is>
          <t>MV-0112</t>
        </is>
      </c>
      <c r="E336" s="59" t="n"/>
      <c r="F336" s="59" t="n">
        <v>1</v>
      </c>
      <c r="G336" s="41" t="inlineStr">
        <is>
          <t>Установка бордюра пластикового</t>
        </is>
      </c>
      <c r="H336" s="41" t="inlineStr">
        <is>
          <t>Показать строкой</t>
        </is>
      </c>
      <c r="I336" s="41" t="inlineStr">
        <is>
          <t>Стандарт</t>
        </is>
      </c>
      <c r="J336" s="41" t="inlineStr">
        <is>
          <t>Автогенерация 1:1; тарифные различия ещё не настроены</t>
        </is>
      </c>
    </row>
    <row r="337">
      <c r="A337" s="42" t="inlineStr">
        <is>
          <t>RMAT-0112</t>
        </is>
      </c>
      <c r="B337" s="42" t="inlineStr">
        <is>
          <t>Установка бордюра пластикового</t>
        </is>
      </c>
      <c r="C337" s="42" t="inlineStr">
        <is>
          <t>Премиум</t>
        </is>
      </c>
      <c r="D337" s="42" t="inlineStr">
        <is>
          <t>MV-0112</t>
        </is>
      </c>
      <c r="E337" s="60" t="n"/>
      <c r="F337" s="60" t="n">
        <v>1</v>
      </c>
      <c r="G337" s="42" t="inlineStr">
        <is>
          <t>Установка бордюра пластикового</t>
        </is>
      </c>
      <c r="H337" s="42" t="inlineStr">
        <is>
          <t>Показать строкой</t>
        </is>
      </c>
      <c r="I337" s="42" t="inlineStr">
        <is>
          <t>Премиум</t>
        </is>
      </c>
      <c r="J337" s="42" t="inlineStr">
        <is>
          <t>Автогенерация 1:1; тарифные различия ещё не настроены</t>
        </is>
      </c>
    </row>
    <row r="338">
      <c r="A338" s="41" t="inlineStr">
        <is>
          <t>RMAT-0113</t>
        </is>
      </c>
      <c r="B338" s="41" t="inlineStr">
        <is>
          <t>фанера 12х1220*2440мм (для опалубки)</t>
        </is>
      </c>
      <c r="C338" s="41" t="inlineStr">
        <is>
          <t>Эконом</t>
        </is>
      </c>
      <c r="D338" s="41" t="inlineStr">
        <is>
          <t>MV-0113</t>
        </is>
      </c>
      <c r="E338" s="59" t="n"/>
      <c r="F338" s="59" t="n">
        <v>1</v>
      </c>
      <c r="G338" s="41" t="inlineStr">
        <is>
          <t>фанера 12х1220*2440мм (для опалубки)</t>
        </is>
      </c>
      <c r="H338" s="41" t="inlineStr">
        <is>
          <t>Показать строкой</t>
        </is>
      </c>
      <c r="I338" s="41" t="inlineStr">
        <is>
          <t>Эконом</t>
        </is>
      </c>
      <c r="J338" s="41" t="inlineStr">
        <is>
          <t>Автогенерация 1:1; тарифные различия ещё не настроены</t>
        </is>
      </c>
    </row>
    <row r="339">
      <c r="A339" s="42" t="inlineStr">
        <is>
          <t>RMAT-0113</t>
        </is>
      </c>
      <c r="B339" s="42" t="inlineStr">
        <is>
          <t>фанера 12х1220*2440мм (для опалубки)</t>
        </is>
      </c>
      <c r="C339" s="42" t="inlineStr">
        <is>
          <t>Стандарт</t>
        </is>
      </c>
      <c r="D339" s="42" t="inlineStr">
        <is>
          <t>MV-0113</t>
        </is>
      </c>
      <c r="E339" s="60" t="n"/>
      <c r="F339" s="60" t="n">
        <v>1</v>
      </c>
      <c r="G339" s="42" t="inlineStr">
        <is>
          <t>фанера 12х1220*2440мм (для опалубки)</t>
        </is>
      </c>
      <c r="H339" s="42" t="inlineStr">
        <is>
          <t>Показать строкой</t>
        </is>
      </c>
      <c r="I339" s="42" t="inlineStr">
        <is>
          <t>Стандарт</t>
        </is>
      </c>
      <c r="J339" s="42" t="inlineStr">
        <is>
          <t>Автогенерация 1:1; тарифные различия ещё не настроены</t>
        </is>
      </c>
    </row>
    <row r="340">
      <c r="A340" s="41" t="inlineStr">
        <is>
          <t>RMAT-0113</t>
        </is>
      </c>
      <c r="B340" s="41" t="inlineStr">
        <is>
          <t>фанера 12х1220*2440мм (для опалубки)</t>
        </is>
      </c>
      <c r="C340" s="41" t="inlineStr">
        <is>
          <t>Премиум</t>
        </is>
      </c>
      <c r="D340" s="41" t="inlineStr">
        <is>
          <t>MV-0113</t>
        </is>
      </c>
      <c r="E340" s="59" t="n"/>
      <c r="F340" s="59" t="n">
        <v>1</v>
      </c>
      <c r="G340" s="41" t="inlineStr">
        <is>
          <t>фанера 12х1220*2440мм (для опалубки)</t>
        </is>
      </c>
      <c r="H340" s="41" t="inlineStr">
        <is>
          <t>Показать строкой</t>
        </is>
      </c>
      <c r="I340" s="41" t="inlineStr">
        <is>
          <t>Премиум</t>
        </is>
      </c>
      <c r="J340" s="41" t="inlineStr">
        <is>
          <t>Автогенерация 1:1; тарифные различия ещё не настроены</t>
        </is>
      </c>
    </row>
    <row r="341">
      <c r="A341" s="42" t="inlineStr">
        <is>
          <t>RMAT-0114</t>
        </is>
      </c>
      <c r="B341" s="42" t="inlineStr">
        <is>
          <t>Фасонные элементы - тройники, соединения, заглушки</t>
        </is>
      </c>
      <c r="C341" s="42" t="inlineStr">
        <is>
          <t>Эконом</t>
        </is>
      </c>
      <c r="D341" s="42" t="inlineStr">
        <is>
          <t>MV-0114</t>
        </is>
      </c>
      <c r="E341" s="60" t="n"/>
      <c r="F341" s="60" t="n">
        <v>1</v>
      </c>
      <c r="G341" s="42" t="inlineStr">
        <is>
          <t>Фасонные элементы - тройники, соединения, заглушки</t>
        </is>
      </c>
      <c r="H341" s="42" t="inlineStr">
        <is>
          <t>Показать строкой</t>
        </is>
      </c>
      <c r="I341" s="42" t="inlineStr">
        <is>
          <t>Эконом</t>
        </is>
      </c>
      <c r="J341" s="42" t="inlineStr">
        <is>
          <t>Автогенерация 1:1; тарифные различия ещё не настроены</t>
        </is>
      </c>
    </row>
    <row r="342">
      <c r="A342" s="41" t="inlineStr">
        <is>
          <t>RMAT-0114</t>
        </is>
      </c>
      <c r="B342" s="41" t="inlineStr">
        <is>
          <t>Фасонные элементы - тройники, соединения, заглушки</t>
        </is>
      </c>
      <c r="C342" s="41" t="inlineStr">
        <is>
          <t>Стандарт</t>
        </is>
      </c>
      <c r="D342" s="41" t="inlineStr">
        <is>
          <t>MV-0114</t>
        </is>
      </c>
      <c r="E342" s="59" t="n"/>
      <c r="F342" s="59" t="n">
        <v>1</v>
      </c>
      <c r="G342" s="41" t="inlineStr">
        <is>
          <t>Фасонные элементы - тройники, соединения, заглушки</t>
        </is>
      </c>
      <c r="H342" s="41" t="inlineStr">
        <is>
          <t>Показать строкой</t>
        </is>
      </c>
      <c r="I342" s="41" t="inlineStr">
        <is>
          <t>Стандарт</t>
        </is>
      </c>
      <c r="J342" s="41" t="inlineStr">
        <is>
          <t>Автогенерация 1:1; тарифные различия ещё не настроены</t>
        </is>
      </c>
    </row>
    <row r="343">
      <c r="A343" s="42" t="inlineStr">
        <is>
          <t>RMAT-0114</t>
        </is>
      </c>
      <c r="B343" s="42" t="inlineStr">
        <is>
          <t>Фасонные элементы - тройники, соединения, заглушки</t>
        </is>
      </c>
      <c r="C343" s="42" t="inlineStr">
        <is>
          <t>Премиум</t>
        </is>
      </c>
      <c r="D343" s="42" t="inlineStr">
        <is>
          <t>MV-0114</t>
        </is>
      </c>
      <c r="E343" s="60" t="n"/>
      <c r="F343" s="60" t="n">
        <v>1</v>
      </c>
      <c r="G343" s="42" t="inlineStr">
        <is>
          <t>Фасонные элементы - тройники, соединения, заглушки</t>
        </is>
      </c>
      <c r="H343" s="42" t="inlineStr">
        <is>
          <t>Показать строкой</t>
        </is>
      </c>
      <c r="I343" s="42" t="inlineStr">
        <is>
          <t>Премиум</t>
        </is>
      </c>
      <c r="J343" s="42" t="inlineStr">
        <is>
          <t>Автогенерация 1:1; тарифные различия ещё не настроены</t>
        </is>
      </c>
    </row>
    <row r="344">
      <c r="A344" s="41" t="inlineStr">
        <is>
          <t>RMAT-0115</t>
        </is>
      </c>
      <c r="B344" s="41" t="inlineStr">
        <is>
          <t>Цемент М400, 50кг</t>
        </is>
      </c>
      <c r="C344" s="41" t="inlineStr">
        <is>
          <t>Эконом</t>
        </is>
      </c>
      <c r="D344" s="41" t="inlineStr">
        <is>
          <t>MV-0115</t>
        </is>
      </c>
      <c r="E344" s="59" t="n"/>
      <c r="F344" s="59" t="n">
        <v>1</v>
      </c>
      <c r="G344" s="41" t="inlineStr">
        <is>
          <t>Цемент М400, 50кг</t>
        </is>
      </c>
      <c r="H344" s="41" t="inlineStr">
        <is>
          <t>Показать строкой</t>
        </is>
      </c>
      <c r="I344" s="41" t="inlineStr">
        <is>
          <t>Эконом</t>
        </is>
      </c>
      <c r="J344" s="41" t="inlineStr">
        <is>
          <t>Автогенерация 1:1; тарифные различия ещё не настроены</t>
        </is>
      </c>
    </row>
    <row r="345">
      <c r="A345" s="42" t="inlineStr">
        <is>
          <t>RMAT-0115</t>
        </is>
      </c>
      <c r="B345" s="42" t="inlineStr">
        <is>
          <t>Цемент М400, 50кг</t>
        </is>
      </c>
      <c r="C345" s="42" t="inlineStr">
        <is>
          <t>Стандарт</t>
        </is>
      </c>
      <c r="D345" s="42" t="inlineStr">
        <is>
          <t>MV-0115</t>
        </is>
      </c>
      <c r="E345" s="60" t="n"/>
      <c r="F345" s="60" t="n">
        <v>1</v>
      </c>
      <c r="G345" s="42" t="inlineStr">
        <is>
          <t>Цемент М400, 50кг</t>
        </is>
      </c>
      <c r="H345" s="42" t="inlineStr">
        <is>
          <t>Показать строкой</t>
        </is>
      </c>
      <c r="I345" s="42" t="inlineStr">
        <is>
          <t>Стандарт</t>
        </is>
      </c>
      <c r="J345" s="42" t="inlineStr">
        <is>
          <t>Автогенерация 1:1; тарифные различия ещё не настроены</t>
        </is>
      </c>
    </row>
    <row r="346">
      <c r="A346" s="41" t="inlineStr">
        <is>
          <t>RMAT-0115</t>
        </is>
      </c>
      <c r="B346" s="41" t="inlineStr">
        <is>
          <t>Цемент М400, 50кг</t>
        </is>
      </c>
      <c r="C346" s="41" t="inlineStr">
        <is>
          <t>Премиум</t>
        </is>
      </c>
      <c r="D346" s="41" t="inlineStr">
        <is>
          <t>MV-0115</t>
        </is>
      </c>
      <c r="E346" s="59" t="n"/>
      <c r="F346" s="59" t="n">
        <v>1</v>
      </c>
      <c r="G346" s="41" t="inlineStr">
        <is>
          <t>Цемент М400, 50кг</t>
        </is>
      </c>
      <c r="H346" s="41" t="inlineStr">
        <is>
          <t>Показать строкой</t>
        </is>
      </c>
      <c r="I346" s="41" t="inlineStr">
        <is>
          <t>Премиум</t>
        </is>
      </c>
      <c r="J346" s="41" t="inlineStr">
        <is>
          <t>Автогенерация 1:1; тарифные различия ещё не настроены</t>
        </is>
      </c>
    </row>
    <row r="347">
      <c r="A347" s="42" t="inlineStr">
        <is>
          <t>RMAT-0116</t>
        </is>
      </c>
      <c r="B347" s="42" t="inlineStr">
        <is>
          <t>ЦПС М300, 25кг</t>
        </is>
      </c>
      <c r="C347" s="42" t="inlineStr">
        <is>
          <t>Эконом</t>
        </is>
      </c>
      <c r="D347" s="42" t="inlineStr">
        <is>
          <t>MV-0116</t>
        </is>
      </c>
      <c r="E347" s="60" t="n"/>
      <c r="F347" s="60" t="n">
        <v>1</v>
      </c>
      <c r="G347" s="42" t="inlineStr">
        <is>
          <t>ЦПС М300, 25кг</t>
        </is>
      </c>
      <c r="H347" s="42" t="inlineStr">
        <is>
          <t>Показать строкой</t>
        </is>
      </c>
      <c r="I347" s="42" t="inlineStr">
        <is>
          <t>Эконом</t>
        </is>
      </c>
      <c r="J347" s="42" t="inlineStr">
        <is>
          <t>Автогенерация 1:1; тарифные различия ещё не настроены</t>
        </is>
      </c>
    </row>
    <row r="348">
      <c r="A348" s="41" t="inlineStr">
        <is>
          <t>RMAT-0116</t>
        </is>
      </c>
      <c r="B348" s="41" t="inlineStr">
        <is>
          <t>ЦПС М300, 25кг</t>
        </is>
      </c>
      <c r="C348" s="41" t="inlineStr">
        <is>
          <t>Стандарт</t>
        </is>
      </c>
      <c r="D348" s="41" t="inlineStr">
        <is>
          <t>MV-0116</t>
        </is>
      </c>
      <c r="E348" s="59" t="n"/>
      <c r="F348" s="59" t="n">
        <v>1</v>
      </c>
      <c r="G348" s="41" t="inlineStr">
        <is>
          <t>ЦПС М300, 25кг</t>
        </is>
      </c>
      <c r="H348" s="41" t="inlineStr">
        <is>
          <t>Показать строкой</t>
        </is>
      </c>
      <c r="I348" s="41" t="inlineStr">
        <is>
          <t>Стандарт</t>
        </is>
      </c>
      <c r="J348" s="41" t="inlineStr">
        <is>
          <t>Автогенерация 1:1; тарифные различия ещё не настроены</t>
        </is>
      </c>
    </row>
    <row r="349">
      <c r="A349" s="42" t="inlineStr">
        <is>
          <t>RMAT-0116</t>
        </is>
      </c>
      <c r="B349" s="42" t="inlineStr">
        <is>
          <t>ЦПС М300, 25кг</t>
        </is>
      </c>
      <c r="C349" s="42" t="inlineStr">
        <is>
          <t>Премиум</t>
        </is>
      </c>
      <c r="D349" s="42" t="inlineStr">
        <is>
          <t>MV-0116</t>
        </is>
      </c>
      <c r="E349" s="60" t="n"/>
      <c r="F349" s="60" t="n">
        <v>1</v>
      </c>
      <c r="G349" s="42" t="inlineStr">
        <is>
          <t>ЦПС М300, 25кг</t>
        </is>
      </c>
      <c r="H349" s="42" t="inlineStr">
        <is>
          <t>Показать строкой</t>
        </is>
      </c>
      <c r="I349" s="42" t="inlineStr">
        <is>
          <t>Премиум</t>
        </is>
      </c>
      <c r="J349" s="42" t="inlineStr">
        <is>
          <t>Автогенерация 1:1; тарифные различия ещё не настроены</t>
        </is>
      </c>
    </row>
    <row r="350">
      <c r="A350" s="41" t="inlineStr">
        <is>
          <t>RMAT-0117</t>
        </is>
      </c>
      <c r="B350" s="41" t="inlineStr">
        <is>
          <t>Щебень гранитный фр. 20-40мм</t>
        </is>
      </c>
      <c r="C350" s="41" t="inlineStr">
        <is>
          <t>Эконом</t>
        </is>
      </c>
      <c r="D350" s="41" t="inlineStr">
        <is>
          <t>MV-0117</t>
        </is>
      </c>
      <c r="E350" s="59" t="n"/>
      <c r="F350" s="59" t="n">
        <v>1</v>
      </c>
      <c r="G350" s="41" t="inlineStr">
        <is>
          <t>Щебень гранитный фр. 20-40мм</t>
        </is>
      </c>
      <c r="H350" s="41" t="inlineStr">
        <is>
          <t>Показать строкой</t>
        </is>
      </c>
      <c r="I350" s="41" t="inlineStr">
        <is>
          <t>Эконом</t>
        </is>
      </c>
      <c r="J350" s="41" t="inlineStr">
        <is>
          <t>Автогенерация 1:1; тарифные различия ещё не настроены</t>
        </is>
      </c>
    </row>
    <row r="351">
      <c r="A351" s="42" t="inlineStr">
        <is>
          <t>RMAT-0117</t>
        </is>
      </c>
      <c r="B351" s="42" t="inlineStr">
        <is>
          <t>Щебень гранитный фр. 20-40мм</t>
        </is>
      </c>
      <c r="C351" s="42" t="inlineStr">
        <is>
          <t>Стандарт</t>
        </is>
      </c>
      <c r="D351" s="42" t="inlineStr">
        <is>
          <t>MV-0117</t>
        </is>
      </c>
      <c r="E351" s="60" t="n"/>
      <c r="F351" s="60" t="n">
        <v>1</v>
      </c>
      <c r="G351" s="42" t="inlineStr">
        <is>
          <t>Щебень гранитный фр. 20-40мм</t>
        </is>
      </c>
      <c r="H351" s="42" t="inlineStr">
        <is>
          <t>Показать строкой</t>
        </is>
      </c>
      <c r="I351" s="42" t="inlineStr">
        <is>
          <t>Стандарт</t>
        </is>
      </c>
      <c r="J351" s="42" t="inlineStr">
        <is>
          <t>Автогенерация 1:1; тарифные различия ещё не настроены</t>
        </is>
      </c>
    </row>
    <row r="352">
      <c r="A352" s="41" t="inlineStr">
        <is>
          <t>RMAT-0117</t>
        </is>
      </c>
      <c r="B352" s="41" t="inlineStr">
        <is>
          <t>Щебень гранитный фр. 20-40мм</t>
        </is>
      </c>
      <c r="C352" s="41" t="inlineStr">
        <is>
          <t>Премиум</t>
        </is>
      </c>
      <c r="D352" s="41" t="inlineStr">
        <is>
          <t>MV-0117</t>
        </is>
      </c>
      <c r="E352" s="59" t="n"/>
      <c r="F352" s="59" t="n">
        <v>1</v>
      </c>
      <c r="G352" s="41" t="inlineStr">
        <is>
          <t>Щебень гранитный фр. 20-40мм</t>
        </is>
      </c>
      <c r="H352" s="41" t="inlineStr">
        <is>
          <t>Показать строкой</t>
        </is>
      </c>
      <c r="I352" s="41" t="inlineStr">
        <is>
          <t>Премиум</t>
        </is>
      </c>
      <c r="J352" s="41" t="inlineStr">
        <is>
          <t>Автогенерация 1:1; тарифные различия ещё не настроены</t>
        </is>
      </c>
    </row>
    <row r="353">
      <c r="A353" s="42" t="inlineStr">
        <is>
          <t>RMAT-0118</t>
        </is>
      </c>
      <c r="B353" s="42" t="inlineStr">
        <is>
          <t>Щебень гранитный фр. 5-20мм</t>
        </is>
      </c>
      <c r="C353" s="42" t="inlineStr">
        <is>
          <t>Эконом</t>
        </is>
      </c>
      <c r="D353" s="42" t="inlineStr">
        <is>
          <t>MV-0118</t>
        </is>
      </c>
      <c r="E353" s="60" t="n"/>
      <c r="F353" s="60" t="n">
        <v>1</v>
      </c>
      <c r="G353" s="42" t="inlineStr">
        <is>
          <t>Щебень гранитный фр. 5-20мм</t>
        </is>
      </c>
      <c r="H353" s="42" t="inlineStr">
        <is>
          <t>Показать строкой</t>
        </is>
      </c>
      <c r="I353" s="42" t="inlineStr">
        <is>
          <t>Эконом</t>
        </is>
      </c>
      <c r="J353" s="42" t="inlineStr">
        <is>
          <t>Автогенерация 1:1; тарифные различия ещё не настроены</t>
        </is>
      </c>
    </row>
    <row r="354">
      <c r="A354" s="41" t="inlineStr">
        <is>
          <t>RMAT-0118</t>
        </is>
      </c>
      <c r="B354" s="41" t="inlineStr">
        <is>
          <t>Щебень гранитный фр. 5-20мм</t>
        </is>
      </c>
      <c r="C354" s="41" t="inlineStr">
        <is>
          <t>Стандарт</t>
        </is>
      </c>
      <c r="D354" s="41" t="inlineStr">
        <is>
          <t>MV-0118</t>
        </is>
      </c>
      <c r="E354" s="59" t="n"/>
      <c r="F354" s="59" t="n">
        <v>1</v>
      </c>
      <c r="G354" s="41" t="inlineStr">
        <is>
          <t>Щебень гранитный фр. 5-20мм</t>
        </is>
      </c>
      <c r="H354" s="41" t="inlineStr">
        <is>
          <t>Показать строкой</t>
        </is>
      </c>
      <c r="I354" s="41" t="inlineStr">
        <is>
          <t>Стандарт</t>
        </is>
      </c>
      <c r="J354" s="41" t="inlineStr">
        <is>
          <t>Автогенерация 1:1; тарифные различия ещё не настроены</t>
        </is>
      </c>
    </row>
    <row r="355">
      <c r="A355" s="42" t="inlineStr">
        <is>
          <t>RMAT-0118</t>
        </is>
      </c>
      <c r="B355" s="42" t="inlineStr">
        <is>
          <t>Щебень гранитный фр. 5-20мм</t>
        </is>
      </c>
      <c r="C355" s="42" t="inlineStr">
        <is>
          <t>Премиум</t>
        </is>
      </c>
      <c r="D355" s="42" t="inlineStr">
        <is>
          <t>MV-0118</t>
        </is>
      </c>
      <c r="E355" s="60" t="n"/>
      <c r="F355" s="60" t="n">
        <v>1</v>
      </c>
      <c r="G355" s="42" t="inlineStr">
        <is>
          <t>Щебень гранитный фр. 5-20мм</t>
        </is>
      </c>
      <c r="H355" s="42" t="inlineStr">
        <is>
          <t>Показать строкой</t>
        </is>
      </c>
      <c r="I355" s="42" t="inlineStr">
        <is>
          <t>Премиум</t>
        </is>
      </c>
      <c r="J355" s="42" t="inlineStr">
        <is>
          <t>Автогенерация 1:1; тарифные различия ещё не настроены</t>
        </is>
      </c>
    </row>
    <row r="356">
      <c r="A356" s="41" t="inlineStr">
        <is>
          <t>RMAT-0119</t>
        </is>
      </c>
      <c r="B356" s="41" t="inlineStr">
        <is>
          <t>Щебень гранитный фр. 5-20мм, 50кг</t>
        </is>
      </c>
      <c r="C356" s="41" t="inlineStr">
        <is>
          <t>Эконом</t>
        </is>
      </c>
      <c r="D356" s="41" t="inlineStr">
        <is>
          <t>MV-0119</t>
        </is>
      </c>
      <c r="E356" s="59" t="n"/>
      <c r="F356" s="59" t="n">
        <v>1</v>
      </c>
      <c r="G356" s="41" t="inlineStr">
        <is>
          <t>Щебень гранитный фр. 5-20мм, 50кг</t>
        </is>
      </c>
      <c r="H356" s="41" t="inlineStr">
        <is>
          <t>Показать строкой</t>
        </is>
      </c>
      <c r="I356" s="41" t="inlineStr">
        <is>
          <t>Эконом</t>
        </is>
      </c>
      <c r="J356" s="41" t="inlineStr">
        <is>
          <t>Автогенерация 1:1; тарифные различия ещё не настроены</t>
        </is>
      </c>
    </row>
    <row r="357">
      <c r="A357" s="42" t="inlineStr">
        <is>
          <t>RMAT-0119</t>
        </is>
      </c>
      <c r="B357" s="42" t="inlineStr">
        <is>
          <t>Щебень гранитный фр. 5-20мм, 50кг</t>
        </is>
      </c>
      <c r="C357" s="42" t="inlineStr">
        <is>
          <t>Стандарт</t>
        </is>
      </c>
      <c r="D357" s="42" t="inlineStr">
        <is>
          <t>MV-0119</t>
        </is>
      </c>
      <c r="E357" s="60" t="n"/>
      <c r="F357" s="60" t="n">
        <v>1</v>
      </c>
      <c r="G357" s="42" t="inlineStr">
        <is>
          <t>Щебень гранитный фр. 5-20мм, 50кг</t>
        </is>
      </c>
      <c r="H357" s="42" t="inlineStr">
        <is>
          <t>Показать строкой</t>
        </is>
      </c>
      <c r="I357" s="42" t="inlineStr">
        <is>
          <t>Стандарт</t>
        </is>
      </c>
      <c r="J357" s="42" t="inlineStr">
        <is>
          <t>Автогенерация 1:1; тарифные различия ещё не настроены</t>
        </is>
      </c>
    </row>
    <row r="358">
      <c r="A358" s="41" t="inlineStr">
        <is>
          <t>RMAT-0119</t>
        </is>
      </c>
      <c r="B358" s="41" t="inlineStr">
        <is>
          <t>Щебень гранитный фр. 5-20мм, 50кг</t>
        </is>
      </c>
      <c r="C358" s="41" t="inlineStr">
        <is>
          <t>Премиум</t>
        </is>
      </c>
      <c r="D358" s="41" t="inlineStr">
        <is>
          <t>MV-0119</t>
        </is>
      </c>
      <c r="E358" s="59" t="n"/>
      <c r="F358" s="59" t="n">
        <v>1</v>
      </c>
      <c r="G358" s="41" t="inlineStr">
        <is>
          <t>Щебень гранитный фр. 5-20мм, 50кг</t>
        </is>
      </c>
      <c r="H358" s="41" t="inlineStr">
        <is>
          <t>Показать строкой</t>
        </is>
      </c>
      <c r="I358" s="41" t="inlineStr">
        <is>
          <t>Премиум</t>
        </is>
      </c>
      <c r="J358" s="41" t="inlineStr">
        <is>
          <t>Автогенерация 1:1; тарифные различия ещё не настроены</t>
        </is>
      </c>
    </row>
    <row r="359">
      <c r="A359" s="42" t="inlineStr">
        <is>
          <t>RMAT-0120</t>
        </is>
      </c>
      <c r="B359" s="42" t="inlineStr">
        <is>
          <t>Щит управления ландшафтным освещением (щит DKC 500*600*200мм IP65, кол-во модулей 72 элементы на базе ИЕК, 3 фазы 32А, 8 выходов под защитой УЗО)</t>
        </is>
      </c>
      <c r="C359" s="42" t="inlineStr">
        <is>
          <t>Эконом</t>
        </is>
      </c>
      <c r="D359" s="42" t="inlineStr">
        <is>
          <t>MV-0120</t>
        </is>
      </c>
      <c r="E359" s="60" t="n"/>
      <c r="F359" s="60" t="n">
        <v>1</v>
      </c>
      <c r="G359" s="42" t="inlineStr">
        <is>
          <t>Щит управления ландшафтным освещением (щит DKC 500*600*200мм IP65, кол-во модулей 72 элементы на базе ИЕК, 3 фазы 32А, 8 выходов под защитой УЗО)</t>
        </is>
      </c>
      <c r="H359" s="42" t="inlineStr">
        <is>
          <t>Показать строкой</t>
        </is>
      </c>
      <c r="I359" s="42" t="inlineStr">
        <is>
          <t>Эконом</t>
        </is>
      </c>
      <c r="J359" s="42" t="inlineStr">
        <is>
          <t>Автогенерация 1:1; тарифные различия ещё не настроены</t>
        </is>
      </c>
    </row>
    <row r="360">
      <c r="A360" s="41" t="inlineStr">
        <is>
          <t>RMAT-0120</t>
        </is>
      </c>
      <c r="B360" s="41" t="inlineStr">
        <is>
          <t>Щит управления ландшафтным освещением (щит DKC 500*600*200мм IP65, кол-во модулей 72 элементы на базе ИЕК, 3 фазы 32А, 8 выходов под защитой УЗО)</t>
        </is>
      </c>
      <c r="C360" s="41" t="inlineStr">
        <is>
          <t>Стандарт</t>
        </is>
      </c>
      <c r="D360" s="41" t="inlineStr">
        <is>
          <t>MV-0120</t>
        </is>
      </c>
      <c r="E360" s="59" t="n"/>
      <c r="F360" s="59" t="n">
        <v>1</v>
      </c>
      <c r="G360" s="41" t="inlineStr">
        <is>
          <t>Щит управления ландшафтным освещением (щит DKC 500*600*200мм IP65, кол-во модулей 72 элементы на базе ИЕК, 3 фазы 32А, 8 выходов под защитой УЗО)</t>
        </is>
      </c>
      <c r="H360" s="41" t="inlineStr">
        <is>
          <t>Показать строкой</t>
        </is>
      </c>
      <c r="I360" s="41" t="inlineStr">
        <is>
          <t>Стандарт</t>
        </is>
      </c>
      <c r="J360" s="41" t="inlineStr">
        <is>
          <t>Автогенерация 1:1; тарифные различия ещё не настроены</t>
        </is>
      </c>
    </row>
    <row r="361">
      <c r="A361" s="42" t="inlineStr">
        <is>
          <t>RMAT-0120</t>
        </is>
      </c>
      <c r="B361" s="42" t="inlineStr">
        <is>
          <t>Щит управления ландшафтным освещением (щит DKC 500*600*200мм IP65, кол-во модулей 72 элементы на базе ИЕК, 3 фазы 32А, 8 выходов под защитой УЗО)</t>
        </is>
      </c>
      <c r="C361" s="42" t="inlineStr">
        <is>
          <t>Премиум</t>
        </is>
      </c>
      <c r="D361" s="42" t="inlineStr">
        <is>
          <t>MV-0120</t>
        </is>
      </c>
      <c r="E361" s="60" t="n"/>
      <c r="F361" s="60" t="n">
        <v>1</v>
      </c>
      <c r="G361" s="42" t="inlineStr">
        <is>
          <t>Щит управления ландшафтным освещением (щит DKC 500*600*200мм IP65, кол-во модулей 72 элементы на базе ИЕК, 3 фазы 32А, 8 выходов под защитой УЗО)</t>
        </is>
      </c>
      <c r="H361" s="42" t="inlineStr">
        <is>
          <t>Показать строкой</t>
        </is>
      </c>
      <c r="I361" s="42" t="inlineStr">
        <is>
          <t>Премиум</t>
        </is>
      </c>
      <c r="J361" s="42" t="inlineStr">
        <is>
          <t>Автогенерация 1:1; тарифные различия ещё не настроены</t>
        </is>
      </c>
    </row>
    <row r="362">
      <c r="A362" s="41" t="inlineStr">
        <is>
          <t>RMAT-0121</t>
        </is>
      </c>
      <c r="B362" s="41" t="inlineStr">
        <is>
          <t>Электроды</t>
        </is>
      </c>
      <c r="C362" s="41" t="inlineStr">
        <is>
          <t>Эконом</t>
        </is>
      </c>
      <c r="D362" s="41" t="inlineStr">
        <is>
          <t>MV-0121</t>
        </is>
      </c>
      <c r="E362" s="59" t="n"/>
      <c r="F362" s="59" t="n">
        <v>1</v>
      </c>
      <c r="G362" s="41" t="inlineStr">
        <is>
          <t>Электроды</t>
        </is>
      </c>
      <c r="H362" s="41" t="inlineStr">
        <is>
          <t>Показать строкой</t>
        </is>
      </c>
      <c r="I362" s="41" t="inlineStr">
        <is>
          <t>Эконом</t>
        </is>
      </c>
      <c r="J362" s="41" t="inlineStr">
        <is>
          <t>Автогенерация 1:1; тарифные различия ещё не настроены</t>
        </is>
      </c>
    </row>
    <row r="363">
      <c r="A363" s="42" t="inlineStr">
        <is>
          <t>RMAT-0121</t>
        </is>
      </c>
      <c r="B363" s="42" t="inlineStr">
        <is>
          <t>Электроды</t>
        </is>
      </c>
      <c r="C363" s="42" t="inlineStr">
        <is>
          <t>Стандарт</t>
        </is>
      </c>
      <c r="D363" s="42" t="inlineStr">
        <is>
          <t>MV-0121</t>
        </is>
      </c>
      <c r="E363" s="60" t="n"/>
      <c r="F363" s="60" t="n">
        <v>1</v>
      </c>
      <c r="G363" s="42" t="inlineStr">
        <is>
          <t>Электроды</t>
        </is>
      </c>
      <c r="H363" s="42" t="inlineStr">
        <is>
          <t>Показать строкой</t>
        </is>
      </c>
      <c r="I363" s="42" t="inlineStr">
        <is>
          <t>Стандарт</t>
        </is>
      </c>
      <c r="J363" s="42" t="inlineStr">
        <is>
          <t>Автогенерация 1:1; тарифные различия ещё не настроены</t>
        </is>
      </c>
    </row>
    <row r="364">
      <c r="A364" s="41" t="inlineStr">
        <is>
          <t>RMAT-0121</t>
        </is>
      </c>
      <c r="B364" s="41" t="inlineStr">
        <is>
          <t>Электроды</t>
        </is>
      </c>
      <c r="C364" s="41" t="inlineStr">
        <is>
          <t>Премиум</t>
        </is>
      </c>
      <c r="D364" s="41" t="inlineStr">
        <is>
          <t>MV-0121</t>
        </is>
      </c>
      <c r="E364" s="59" t="n"/>
      <c r="F364" s="59" t="n">
        <v>1</v>
      </c>
      <c r="G364" s="41" t="inlineStr">
        <is>
          <t>Электроды</t>
        </is>
      </c>
      <c r="H364" s="41" t="inlineStr">
        <is>
          <t>Показать строкой</t>
        </is>
      </c>
      <c r="I364" s="41" t="inlineStr">
        <is>
          <t>Премиум</t>
        </is>
      </c>
      <c r="J364" s="41" t="inlineStr">
        <is>
          <t>Автогенерация 1:1; тарифные различия ещё не настроены</t>
        </is>
      </c>
    </row>
  </sheetData>
  <autoFilter ref="A1:J36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7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40" t="inlineStr">
        <is>
          <t>Scope</t>
        </is>
      </c>
      <c r="B1" s="40" t="inlineStr">
        <is>
          <t>NormalizedRoot</t>
        </is>
      </c>
      <c r="C1" s="40" t="inlineStr">
        <is>
          <t>CandidatesCount</t>
        </is>
      </c>
      <c r="D1" s="40" t="inlineStr">
        <is>
          <t>CandidateIDs</t>
        </is>
      </c>
      <c r="E1" s="40" t="inlineStr">
        <is>
          <t>ExampleNames</t>
        </is>
      </c>
      <c r="F1" s="40" t="inlineStr">
        <is>
          <t>SuggestedAction</t>
        </is>
      </c>
      <c r="G1" s="40" t="inlineStr">
        <is>
          <t>RiskComment</t>
        </is>
      </c>
    </row>
    <row r="2">
      <c r="A2" s="41" t="inlineStr">
        <is>
          <t>Work</t>
        </is>
      </c>
      <c r="B2" s="41" t="inlineStr">
        <is>
          <t>аренда виброплиты</t>
        </is>
      </c>
      <c r="C2" s="57" t="n">
        <v>2</v>
      </c>
      <c r="D2" s="41" t="inlineStr">
        <is>
          <t>RWORK-0004, RWORK-0005</t>
        </is>
      </c>
      <c r="E2" s="41" t="inlineStr">
        <is>
          <t>Аренда виброплиты 140кг | Аренда виброплиты 70кг</t>
        </is>
      </c>
      <c r="F2" s="41" t="inlineStr">
        <is>
          <t>Проверить на объединение в одну каноническую сущность / семейство</t>
        </is>
      </c>
      <c r="G2" s="41" t="inlineStr">
        <is>
          <t>Автоимпорт оставил строки раздельно, чтобы не потерять смысл и цену</t>
        </is>
      </c>
    </row>
    <row r="3">
      <c r="A3" s="42" t="inlineStr">
        <is>
          <t>Work</t>
        </is>
      </c>
      <c r="B3" s="42" t="inlineStr">
        <is>
          <t>устройство газонного ложа для обыкновенного газона грунт плодородный торфогрунт песок дерновая земля 1 2 3</t>
        </is>
      </c>
      <c r="C3" s="58" t="n">
        <v>2</v>
      </c>
      <c r="D3" s="42" t="inlineStr">
        <is>
          <t>RWORK-0121, RWORK-0122</t>
        </is>
      </c>
      <c r="E3" s="42" t="inlineStr">
        <is>
          <t>Устройство газонного ложа для обыкновенного газона: грунт плодородный (торфогрунт:песок:дерновая земля - 1:2:3), 150мм | Устройство газонного ложа для обыкновенного газона: грунт плодородный (торфогрунт:песок:дерновая земля - 1:2:3), 160мм</t>
        </is>
      </c>
      <c r="F3" s="42" t="inlineStr">
        <is>
          <t>Проверить на объединение в одну каноническую сущность / семейство</t>
        </is>
      </c>
      <c r="G3" s="42" t="inlineStr">
        <is>
          <t>Автоимпорт оставил строки раздельно, чтобы не потерять смысл и цену</t>
        </is>
      </c>
    </row>
    <row r="4">
      <c r="A4" s="41" t="inlineStr">
        <is>
          <t>Work</t>
        </is>
      </c>
      <c r="B4" s="41" t="inlineStr">
        <is>
          <t>устройство закладных из 3 х труб d</t>
        </is>
      </c>
      <c r="C4" s="57" t="n">
        <v>2</v>
      </c>
      <c r="D4" s="41" t="inlineStr">
        <is>
          <t>RWORK-0129, RWORK-0130</t>
        </is>
      </c>
      <c r="E4" s="41" t="inlineStr">
        <is>
          <t>Устройство закладных из 3-х труб d=110 мм | Устройство закладных из 3-х труб d=110мм</t>
        </is>
      </c>
      <c r="F4" s="41" t="inlineStr">
        <is>
          <t>Проверить на объединение в одну каноническую сущность / семейство</t>
        </is>
      </c>
      <c r="G4" s="41" t="inlineStr">
        <is>
          <t>Автоимпорт оставил строки раздельно, чтобы не потерять смысл и цену</t>
        </is>
      </c>
    </row>
    <row r="5">
      <c r="A5" s="42" t="inlineStr">
        <is>
          <t>Work</t>
        </is>
      </c>
      <c r="B5" s="42" t="inlineStr">
        <is>
          <t>устройство монтажного слоя из отсева</t>
        </is>
      </c>
      <c r="C5" s="58" t="n">
        <v>2</v>
      </c>
      <c r="D5" s="42" t="inlineStr">
        <is>
          <t>RWORK-0134, RWORK-0135</t>
        </is>
      </c>
      <c r="E5" s="42" t="inlineStr">
        <is>
          <t>Устройство монтажного слоя из отсева (4см) | Устройство монтажного слоя из отсева (70мм)</t>
        </is>
      </c>
      <c r="F5" s="42" t="inlineStr">
        <is>
          <t>Проверить на объединение в одну каноническую сущность / семейство</t>
        </is>
      </c>
      <c r="G5" s="42" t="inlineStr">
        <is>
          <t>Автоимпорт оставил строки раздельно, чтобы не потерять смысл и цену</t>
        </is>
      </c>
    </row>
    <row r="6">
      <c r="A6" s="41" t="inlineStr">
        <is>
          <t>Work</t>
        </is>
      </c>
      <c r="B6" s="41" t="inlineStr">
        <is>
          <t>устройство несущего щебнистого слоя из щебня 20 с проливом водой и трамбовкой с расклинцовкой щебнем 5</t>
        </is>
      </c>
      <c r="C6" s="57" t="n">
        <v>2</v>
      </c>
      <c r="D6" s="41" t="inlineStr">
        <is>
          <t>RWORK-0139, RWORK-0140</t>
        </is>
      </c>
      <c r="E6" s="41" t="inlineStr">
        <is>
          <t>Устройство несущего щебнистого слоя (120мм) из щебня 20-40мм с проливом водой и трамбовкой с расклинцовкой щебнем 5-20мм | Устройство несущего щебнистого слоя (150мм) из щебня 20-40мм с проливом водой и трамбовкой с расклинцовкой щебнем 5-20мм</t>
        </is>
      </c>
      <c r="F6" s="41" t="inlineStr">
        <is>
          <t>Проверить на объединение в одну каноническую сущность / семейство</t>
        </is>
      </c>
      <c r="G6" s="41" t="inlineStr">
        <is>
          <t>Автоимпорт оставил строки раздельно, чтобы не потерять смысл и цену</t>
        </is>
      </c>
    </row>
    <row r="7">
      <c r="A7" s="42" t="inlineStr">
        <is>
          <t>Work</t>
        </is>
      </c>
      <c r="B7" s="42" t="inlineStr">
        <is>
          <t>устройство песчаного слоя</t>
        </is>
      </c>
      <c r="C7" s="58" t="n">
        <v>7</v>
      </c>
      <c r="D7" s="42" t="inlineStr">
        <is>
          <t>RWORK-0144, RWORK-0145, RWORK-0146, RWORK-0147, RWORK-0148, RWORK-0149, RWORK-0150</t>
        </is>
      </c>
      <c r="E7" s="42" t="inlineStr">
        <is>
          <t>Устройство песчаного слоя (100мм) | Устройство песчаного слоя (150мм) | Устройство песчаного слоя (180мм) | Устройство песчаного слоя (230мм) | Устройство песчаного слоя (250мм)</t>
        </is>
      </c>
      <c r="F7" s="42" t="inlineStr">
        <is>
          <t>Проверить на объединение в одну каноническую сущность / семейство</t>
        </is>
      </c>
      <c r="G7" s="42" t="inlineStr">
        <is>
          <t>Автоимпорт оставил строки раздельно, чтобы не потерять смысл и цену</t>
        </is>
      </c>
    </row>
    <row r="8">
      <c r="A8" s="41" t="inlineStr">
        <is>
          <t>Material</t>
        </is>
      </c>
      <c r="B8" s="41" t="inlineStr">
        <is>
          <t>арматура рифленая</t>
        </is>
      </c>
      <c r="C8" s="57" t="n">
        <v>2</v>
      </c>
      <c r="D8" s="41" t="inlineStr">
        <is>
          <t>RMAT-0004, RMAT-0005</t>
        </is>
      </c>
      <c r="E8" s="41" t="inlineStr">
        <is>
          <t>арматура рифленая, 10мм | Арматура рифленая, 12мм</t>
        </is>
      </c>
      <c r="F8" s="41" t="inlineStr">
        <is>
          <t>Проверить на объединение в одну каноническую сущность / семейство</t>
        </is>
      </c>
      <c r="G8" s="41" t="inlineStr">
        <is>
          <t>Автоимпорт оставил строки раздельно, чтобы не потерять смысл и цену</t>
        </is>
      </c>
    </row>
    <row r="9">
      <c r="A9" s="42" t="inlineStr">
        <is>
          <t>Material</t>
        </is>
      </c>
      <c r="B9" s="42" t="inlineStr">
        <is>
          <t>брусчатка гранитная мм</t>
        </is>
      </c>
      <c r="C9" s="58" t="n">
        <v>2</v>
      </c>
      <c r="D9" s="42" t="inlineStr">
        <is>
          <t>RMAT-0013, RMAT-0014</t>
        </is>
      </c>
      <c r="E9" s="42" t="inlineStr">
        <is>
          <t>Брусчатка гранитная, 100х100х100мм | Брусчатка гранитная, 100х100х50мм</t>
        </is>
      </c>
      <c r="F9" s="42" t="inlineStr">
        <is>
          <t>Проверить на объединение в одну каноническую сущность / семейство</t>
        </is>
      </c>
      <c r="G9" s="42" t="inlineStr">
        <is>
          <t>Автоимпорт оставил строки раздельно, чтобы не потерять смысл и цену</t>
        </is>
      </c>
    </row>
    <row r="10">
      <c r="A10" s="41" t="inlineStr">
        <is>
          <t>Material</t>
        </is>
      </c>
      <c r="B10" s="41" t="inlineStr">
        <is>
          <t>габбро диабаз мм</t>
        </is>
      </c>
      <c r="C10" s="57" t="n">
        <v>2</v>
      </c>
      <c r="D10" s="41" t="inlineStr">
        <is>
          <t>RMAT-0020, RMAT-0021</t>
        </is>
      </c>
      <c r="E10" s="41" t="inlineStr">
        <is>
          <t>Габбро-диабаз 100*80*50мм | Габбро-диабаз 80*80*80мм</t>
        </is>
      </c>
      <c r="F10" s="41" t="inlineStr">
        <is>
          <t>Проверить на объединение в одну каноническую сущность / семейство</t>
        </is>
      </c>
      <c r="G10" s="41" t="inlineStr">
        <is>
          <t>Автоимпорт оставил строки раздельно, чтобы не потерять смысл и цену</t>
        </is>
      </c>
    </row>
    <row r="11">
      <c r="A11" s="42" t="inlineStr">
        <is>
          <t>Material</t>
        </is>
      </c>
      <c r="B11" s="42" t="inlineStr">
        <is>
          <t>газон рулонный бюджетный кв</t>
        </is>
      </c>
      <c r="C11" s="58" t="n">
        <v>2</v>
      </c>
      <c r="D11" s="42" t="inlineStr">
        <is>
          <t>RMAT-0023, RMAT-0024</t>
        </is>
      </c>
      <c r="E11" s="42" t="inlineStr">
        <is>
          <t>Газон рулонный бюджетный, 0.8м.кв. | Газон рулонный бюджетный, 1м.кв.</t>
        </is>
      </c>
      <c r="F11" s="42" t="inlineStr">
        <is>
          <t>Проверить на объединение в одну каноническую сущность / семейство</t>
        </is>
      </c>
      <c r="G11" s="42" t="inlineStr">
        <is>
          <t>Автоимпорт оставил строки раздельно, чтобы не потерять смысл и цену</t>
        </is>
      </c>
    </row>
    <row r="12">
      <c r="A12" s="41" t="inlineStr">
        <is>
          <t>Material</t>
        </is>
      </c>
      <c r="B12" s="41" t="inlineStr">
        <is>
          <t>геотекстиль</t>
        </is>
      </c>
      <c r="C12" s="57" t="n">
        <v>2</v>
      </c>
      <c r="D12" s="41" t="inlineStr">
        <is>
          <t>RMAT-0025, RMAT-0026</t>
        </is>
      </c>
      <c r="E12" s="41" t="inlineStr">
        <is>
          <t>Геотекстиль, 200г/м2 | Геотекстиль, 300г/м2</t>
        </is>
      </c>
      <c r="F12" s="41" t="inlineStr">
        <is>
          <t>Проверить на объединение в одну каноническую сущность / семейство</t>
        </is>
      </c>
      <c r="G12" s="41" t="inlineStr">
        <is>
          <t>Автоимпорт оставил строки раздельно, чтобы не потерять смысл и цену</t>
        </is>
      </c>
    </row>
    <row r="13">
      <c r="A13" s="42" t="inlineStr">
        <is>
          <t>Material</t>
        </is>
      </c>
      <c r="B13" s="42" t="inlineStr">
        <is>
          <t>доска обрезн сосна мм</t>
        </is>
      </c>
      <c r="C13" s="58" t="n">
        <v>2</v>
      </c>
      <c r="D13" s="42" t="inlineStr">
        <is>
          <t>RMAT-0042, RMAT-0043</t>
        </is>
      </c>
      <c r="E13" s="42" t="inlineStr">
        <is>
          <t>Доска обрезн., сосна, 20х125х3000мм | Доска обрезн., сосна, 20х145х3000мм</t>
        </is>
      </c>
      <c r="F13" s="42" t="inlineStr">
        <is>
          <t>Проверить на объединение в одну каноническую сущность / семейство</t>
        </is>
      </c>
      <c r="G13" s="42" t="inlineStr">
        <is>
          <t>Автоимпорт оставил строки раздельно, чтобы не потерять смысл и цену</t>
        </is>
      </c>
    </row>
    <row r="14">
      <c r="A14" s="41" t="inlineStr">
        <is>
          <t>Material</t>
        </is>
      </c>
      <c r="B14" s="41" t="inlineStr">
        <is>
          <t>кабель силовой вбшв нг а ls 5 0 66кв броня</t>
        </is>
      </c>
      <c r="C14" s="57" t="n">
        <v>2</v>
      </c>
      <c r="D14" s="41" t="inlineStr">
        <is>
          <t>RMAT-0048, RMAT-0049</t>
        </is>
      </c>
      <c r="E14" s="41" t="inlineStr">
        <is>
          <t>Кабель силовой ВБШв нг(А)LS 3*1,5 0,66кВ броня | Кабель силовой ВБШв нг(А)LS 3*2,5 0,66кВ броня</t>
        </is>
      </c>
      <c r="F14" s="41" t="inlineStr">
        <is>
          <t>Проверить на объединение в одну каноническую сущность / семейство</t>
        </is>
      </c>
      <c r="G14" s="41" t="inlineStr">
        <is>
          <t>Автоимпорт оставил строки раздельно, чтобы не потерять смысл и цену</t>
        </is>
      </c>
    </row>
    <row r="15">
      <c r="A15" s="42" t="inlineStr">
        <is>
          <t>Material</t>
        </is>
      </c>
      <c r="B15" s="42" t="inlineStr">
        <is>
          <t>колодец дренажный смотровой 315 с дном и крышкой</t>
        </is>
      </c>
      <c r="C15" s="58" t="n">
        <v>2</v>
      </c>
      <c r="D15" s="42" t="inlineStr">
        <is>
          <t>RMAT-0051, RMAT-0052</t>
        </is>
      </c>
      <c r="E15" s="42" t="inlineStr">
        <is>
          <t>Колодец дренажный смотровой 315/276х1000 с дном и крышкой | Колодец дренажный смотровой 315/276х1500 с дном и крышкой</t>
        </is>
      </c>
      <c r="F15" s="42" t="inlineStr">
        <is>
          <t>Проверить на объединение в одну каноническую сущность / семейство</t>
        </is>
      </c>
      <c r="G15" s="42" t="inlineStr">
        <is>
          <t>Автоимпорт оставил строки раздельно, чтобы не потерять смысл и цену</t>
        </is>
      </c>
    </row>
    <row r="16">
      <c r="A16" s="41" t="inlineStr">
        <is>
          <t>Material</t>
        </is>
      </c>
      <c r="B16" s="41" t="inlineStr">
        <is>
          <t>щебень гранитный фр 5</t>
        </is>
      </c>
      <c r="C16" s="57" t="n">
        <v>2</v>
      </c>
      <c r="D16" s="41" t="inlineStr">
        <is>
          <t>RMAT-0118, RMAT-0119</t>
        </is>
      </c>
      <c r="E16" s="41" t="inlineStr">
        <is>
          <t>Щебень гранитный фр. 5-20мм | Щебень гранитный фр. 5-20мм, 50кг</t>
        </is>
      </c>
      <c r="F16" s="41" t="inlineStr">
        <is>
          <t>Проверить на объединение в одну каноническую сущность / семейство</t>
        </is>
      </c>
      <c r="G16" s="41" t="inlineStr">
        <is>
          <t>Автоимпорт оставил строки раздельно, чтобы не потерять смысл и цену</t>
        </is>
      </c>
    </row>
    <row r="17">
      <c r="A17" s="42" t="inlineStr">
        <is>
          <t>RowReview</t>
        </is>
      </c>
      <c r="B17" s="42" t="inlineStr">
        <is>
          <t>Выкопка елей 1-1,5м</t>
        </is>
      </c>
      <c r="C17" s="58" t="n">
        <v>1</v>
      </c>
      <c r="D17" s="42" t="inlineStr">
        <is>
          <t>SRC-0044</t>
        </is>
      </c>
      <c r="E17" s="42" t="inlineStr">
        <is>
          <t>Выкопка елей 1-1,5м</t>
        </is>
      </c>
      <c r="F17" s="42" t="inlineStr">
        <is>
          <t>Проверить вручную классификацию/объединение</t>
        </is>
      </c>
      <c r="G17" s="42" t="inlineStr">
        <is>
          <t>Лучше держать вместе с работами по растениям</t>
        </is>
      </c>
    </row>
    <row r="18">
      <c r="A18" s="41" t="inlineStr">
        <is>
          <t>RowReview</t>
        </is>
      </c>
      <c r="B18" s="41" t="inlineStr">
        <is>
          <t>Выкопка шиповника</t>
        </is>
      </c>
      <c r="C18" s="57" t="n">
        <v>1</v>
      </c>
      <c r="D18" s="41" t="inlineStr">
        <is>
          <t>SRC-0045</t>
        </is>
      </c>
      <c r="E18" s="41" t="inlineStr">
        <is>
          <t>Выкопка шиповника</t>
        </is>
      </c>
      <c r="F18" s="41" t="inlineStr">
        <is>
          <t>Проверить вручную классификацию/объединение</t>
        </is>
      </c>
      <c r="G18" s="41" t="inlineStr">
        <is>
          <t>Можно перенести в "Посадки и уход", если в КП это уход за участком</t>
        </is>
      </c>
    </row>
    <row r="19">
      <c r="A19" s="42" t="inlineStr">
        <is>
          <t>RowReview</t>
        </is>
      </c>
      <c r="B19" s="42" t="inlineStr">
        <is>
          <t>Грунт плодородный</t>
        </is>
      </c>
      <c r="C19" s="58" t="n">
        <v>1</v>
      </c>
      <c r="D19" s="42" t="inlineStr">
        <is>
          <t>SRC-0060</t>
        </is>
      </c>
      <c r="E19" s="42" t="inlineStr">
        <is>
          <t>Грунт плодородный</t>
        </is>
      </c>
      <c r="F19" s="42" t="inlineStr">
        <is>
          <t>Проверить вручную классификацию/объединение</t>
        </is>
      </c>
      <c r="G19" s="42" t="inlineStr">
        <is>
          <t>Нормализовано под генератор КП</t>
        </is>
      </c>
    </row>
    <row r="20">
      <c r="A20" s="41" t="inlineStr">
        <is>
          <t>RowReview</t>
        </is>
      </c>
      <c r="B20" s="41" t="inlineStr">
        <is>
          <t>Дождеприемник пластик. 300х300х300 мм в сборе с решеткой чугунной</t>
        </is>
      </c>
      <c r="C20" s="57" t="n">
        <v>1</v>
      </c>
      <c r="D20" s="41" t="inlineStr">
        <is>
          <t>SRC-0070</t>
        </is>
      </c>
      <c r="E20" s="41" t="inlineStr">
        <is>
          <t>Дождеприемник пластик. 300х300х300 мм в сборе с решеткой чугунной</t>
        </is>
      </c>
      <c r="F20" s="41" t="inlineStr">
        <is>
          <t>Проверить вручную классификацию/объединение</t>
        </is>
      </c>
      <c r="G20" s="41" t="inlineStr">
        <is>
          <t>В текущем прайсе позиция сидит в мощении; для генератора можно оставить, если это локальный узел в зоне мощения</t>
        </is>
      </c>
    </row>
    <row r="21">
      <c r="A21" s="42" t="inlineStr">
        <is>
          <t>RowReview</t>
        </is>
      </c>
      <c r="B21" s="42" t="inlineStr">
        <is>
          <t>Материалы для разметки</t>
        </is>
      </c>
      <c r="C21" s="58" t="n">
        <v>1</v>
      </c>
      <c r="D21" s="42" t="inlineStr">
        <is>
          <t>SRC-0109</t>
        </is>
      </c>
      <c r="E21" s="42" t="inlineStr">
        <is>
          <t>Материалы для разметки</t>
        </is>
      </c>
      <c r="F21" s="42" t="inlineStr">
        <is>
          <t>Проверить вручную классификацию/объединение</t>
        </is>
      </c>
      <c r="G21" s="42" t="inlineStr">
        <is>
          <t>Нормализовано под генератор КП</t>
        </is>
      </c>
    </row>
    <row r="22">
      <c r="A22" s="41" t="inlineStr">
        <is>
          <t>RowReview</t>
        </is>
      </c>
      <c r="B22" s="41" t="inlineStr">
        <is>
          <t>Расходные материалы</t>
        </is>
      </c>
      <c r="C22" s="57" t="n">
        <v>1</v>
      </c>
      <c r="D22" s="41" t="inlineStr">
        <is>
          <t>SRC-0188</t>
        </is>
      </c>
      <c r="E22" s="41" t="inlineStr">
        <is>
          <t>Расходные материалы</t>
        </is>
      </c>
      <c r="F22" s="41" t="inlineStr">
        <is>
          <t>Проверить вручную классификацию/объединение</t>
        </is>
      </c>
      <c r="G22" s="41" t="inlineStr">
        <is>
          <t>Расходники лучше не показывать клиенту отдельной строкой</t>
        </is>
      </c>
    </row>
    <row r="23">
      <c r="A23" s="42" t="inlineStr">
        <is>
          <t>RowReview</t>
        </is>
      </c>
      <c r="B23" s="42" t="inlineStr">
        <is>
          <t>Торф нейтрализованный, 300л</t>
        </is>
      </c>
      <c r="C23" s="58" t="n">
        <v>1</v>
      </c>
      <c r="D23" s="42" t="inlineStr">
        <is>
          <t>SRC-0205</t>
        </is>
      </c>
      <c r="E23" s="42" t="inlineStr">
        <is>
          <t>Торф нейтрализованный, 300л</t>
        </is>
      </c>
      <c r="F23" s="42" t="inlineStr">
        <is>
          <t>Проверить вручную классификацию/объединение</t>
        </is>
      </c>
      <c r="G23" s="42" t="inlineStr">
        <is>
          <t>Нормализовано под генератор КП</t>
        </is>
      </c>
    </row>
  </sheetData>
  <autoFilter ref="A1:G2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2" customWidth="1" min="3" max="3"/>
    <col width="36" customWidth="1" min="4" max="4"/>
    <col width="14" customWidth="1" min="5" max="5"/>
    <col width="19" customWidth="1" min="6" max="6"/>
    <col width="40" customWidth="1" min="7" max="7"/>
    <col width="40" customWidth="1" min="8" max="8"/>
  </cols>
  <sheetData>
    <row r="1">
      <c r="A1" s="40" t="inlineStr">
        <is>
          <t>SourceRowID</t>
        </is>
      </c>
      <c r="B1" s="40" t="inlineStr">
        <is>
          <t>RawName</t>
        </is>
      </c>
      <c r="C1" s="40" t="inlineStr">
        <is>
          <t>SourceFile</t>
        </is>
      </c>
      <c r="D1" s="40" t="inlineStr">
        <is>
          <t>RecommendedSection</t>
        </is>
      </c>
      <c r="E1" s="40" t="inlineStr">
        <is>
          <t>PositionType</t>
        </is>
      </c>
      <c r="F1" s="40" t="inlineStr">
        <is>
          <t>MappingConfidence</t>
        </is>
      </c>
      <c r="G1" s="40" t="inlineStr">
        <is>
          <t>WhyReview</t>
        </is>
      </c>
      <c r="H1" s="40" t="inlineStr">
        <is>
          <t>Comment</t>
        </is>
      </c>
    </row>
    <row r="2">
      <c r="A2" s="41" t="inlineStr">
        <is>
          <t>SRC-0001</t>
        </is>
      </c>
      <c r="B2" s="41" t="inlineStr">
        <is>
          <t>Авторское сопровождение</t>
        </is>
      </c>
      <c r="C2" s="41" t="inlineStr">
        <is>
          <t>%</t>
        </is>
      </c>
      <c r="D2" s="41" t="inlineStr">
        <is>
          <t>Сопровождение проекта / услуги</t>
        </is>
      </c>
      <c r="E2" s="41" t="inlineStr">
        <is>
          <t>Услуга</t>
        </is>
      </c>
      <c r="F2" s="41" t="inlineStr">
        <is>
          <t>Высокая</t>
        </is>
      </c>
      <c r="G2" s="41" t="inlineStr">
        <is>
          <t>процент/коммерческая логика</t>
        </is>
      </c>
      <c r="H2" s="41" t="inlineStr">
        <is>
          <t>Это продаваемая услуга, можно показывать отдельной строкой</t>
        </is>
      </c>
    </row>
    <row r="3">
      <c r="A3" s="42" t="inlineStr">
        <is>
          <t>SRC-0006</t>
        </is>
      </c>
      <c r="B3" s="42" t="inlineStr">
        <is>
          <t>Аренда вагончика</t>
        </is>
      </c>
      <c r="C3" s="42" t="inlineStr">
        <is>
          <t>%</t>
        </is>
      </c>
      <c r="D3" s="42" t="inlineStr">
        <is>
          <t>Временные сооружения и обеспечение</t>
        </is>
      </c>
      <c r="E3" s="42" t="inlineStr">
        <is>
          <t>Логистика</t>
        </is>
      </c>
      <c r="F3" s="42" t="inlineStr">
        <is>
          <t>Высокая</t>
        </is>
      </c>
      <c r="G3" s="42" t="inlineStr">
        <is>
          <t>процент/коммерческая логика</t>
        </is>
      </c>
      <c r="H3" s="42" t="inlineStr">
        <is>
          <t>Для клиентского КП лучше сворачивать в раздел "Организация стройплощадки"</t>
        </is>
      </c>
    </row>
    <row r="4">
      <c r="A4" s="41" t="inlineStr">
        <is>
          <t>SRC-0010</t>
        </is>
      </c>
      <c r="B4" s="41" t="inlineStr">
        <is>
          <t>Аренда обслуживание (2 раза в месяц) туалетной кабины</t>
        </is>
      </c>
      <c r="C4" s="41" t="inlineStr">
        <is>
          <t>%</t>
        </is>
      </c>
      <c r="D4" s="41" t="inlineStr">
        <is>
          <t>Временные сооружения и обеспечение</t>
        </is>
      </c>
      <c r="E4" s="41" t="inlineStr">
        <is>
          <t>Логистика</t>
        </is>
      </c>
      <c r="F4" s="41" t="inlineStr">
        <is>
          <t>Высокая</t>
        </is>
      </c>
      <c r="G4" s="41" t="inlineStr">
        <is>
          <t>процент/коммерческая логика</t>
        </is>
      </c>
      <c r="H4" s="41" t="inlineStr">
        <is>
          <t>Для клиентского КП лучше сворачивать в раздел "Организация стройплощадки"</t>
        </is>
      </c>
    </row>
    <row r="5">
      <c r="A5" s="42" t="inlineStr">
        <is>
          <t>SRC-0034</t>
        </is>
      </c>
      <c r="B5" s="42" t="inlineStr">
        <is>
          <t>Временные бытовые условия (+ спецодежда, связь, ТО туал.кабины)</t>
        </is>
      </c>
      <c r="C5" s="42" t="inlineStr">
        <is>
          <t>%</t>
        </is>
      </c>
      <c r="D5" s="42" t="inlineStr">
        <is>
          <t>Временные сооружения и обеспечение</t>
        </is>
      </c>
      <c r="E5" s="42" t="inlineStr">
        <is>
          <t>Накладные</t>
        </is>
      </c>
      <c r="F5" s="42" t="inlineStr">
        <is>
          <t>Высокая</t>
        </is>
      </c>
      <c r="G5" s="42" t="inlineStr">
        <is>
          <t>накладная строка; процент/коммерческая логика</t>
        </is>
      </c>
      <c r="H5" s="42" t="inlineStr">
        <is>
          <t>Лучше включать коэффициентом или свернутым разделом</t>
        </is>
      </c>
    </row>
    <row r="6">
      <c r="A6" s="41" t="inlineStr">
        <is>
          <t>SRC-0039</t>
        </is>
      </c>
      <c r="B6" s="41" t="inlineStr">
        <is>
          <t>Выезд электрика для подключения в вагончике</t>
        </is>
      </c>
      <c r="C6" s="41" t="inlineStr">
        <is>
          <t>%</t>
        </is>
      </c>
      <c r="D6" s="41" t="inlineStr">
        <is>
          <t>Временные сооружения и обеспечение</t>
        </is>
      </c>
      <c r="E6" s="41" t="inlineStr">
        <is>
          <t>Логистика</t>
        </is>
      </c>
      <c r="F6" s="41" t="inlineStr">
        <is>
          <t>Высокая</t>
        </is>
      </c>
      <c r="G6" s="41" t="inlineStr">
        <is>
          <t>процент/коммерческая логика</t>
        </is>
      </c>
      <c r="H6" s="41" t="inlineStr">
        <is>
          <t>Для клиентского КП лучше сворачивать в раздел "Организация стройплощадки"</t>
        </is>
      </c>
    </row>
    <row r="7">
      <c r="A7" s="49" t="inlineStr">
        <is>
          <t>SRC-0044</t>
        </is>
      </c>
      <c r="B7" s="49" t="inlineStr">
        <is>
          <t>Выкопка елей 1-1,5м</t>
        </is>
      </c>
      <c r="C7" s="49" t="inlineStr">
        <is>
          <t>работа</t>
        </is>
      </c>
      <c r="D7" s="49" t="inlineStr">
        <is>
          <t>Посадки и уход</t>
        </is>
      </c>
      <c r="E7" s="49" t="inlineStr">
        <is>
          <t>Работа</t>
        </is>
      </c>
      <c r="F7" s="49" t="inlineStr">
        <is>
          <t>Средняя</t>
        </is>
      </c>
      <c r="G7" s="49" t="inlineStr">
        <is>
          <t>средняя уверенность</t>
        </is>
      </c>
      <c r="H7" s="49" t="inlineStr">
        <is>
          <t>Лучше держать вместе с работами по растениям</t>
        </is>
      </c>
    </row>
    <row r="8">
      <c r="A8" s="49" t="inlineStr">
        <is>
          <t>SRC-0045</t>
        </is>
      </c>
      <c r="B8" s="49" t="inlineStr">
        <is>
          <t>Выкопка шиповника</t>
        </is>
      </c>
      <c r="C8" s="49" t="inlineStr">
        <is>
          <t>работа</t>
        </is>
      </c>
      <c r="D8" s="49" t="inlineStr">
        <is>
          <t>Демонтаж и расчистка</t>
        </is>
      </c>
      <c r="E8" s="49" t="inlineStr">
        <is>
          <t>Работа</t>
        </is>
      </c>
      <c r="F8" s="49" t="inlineStr">
        <is>
          <t>Средняя</t>
        </is>
      </c>
      <c r="G8" s="49" t="inlineStr">
        <is>
          <t>средняя уверенность</t>
        </is>
      </c>
      <c r="H8" s="49" t="inlineStr">
        <is>
          <t>Можно перенести в "Посадки и уход", если в КП это уход за участком</t>
        </is>
      </c>
    </row>
    <row r="9">
      <c r="A9" s="49" t="inlineStr">
        <is>
          <t>SRC-0060</t>
        </is>
      </c>
      <c r="B9" s="49" t="inlineStr">
        <is>
          <t>Грунт плодородный</t>
        </is>
      </c>
      <c r="C9" s="49" t="inlineStr">
        <is>
          <t>материалы</t>
        </is>
      </c>
      <c r="D9" s="49" t="inlineStr">
        <is>
          <t>Земляные и планировочные работы</t>
        </is>
      </c>
      <c r="E9" s="49" t="inlineStr">
        <is>
          <t>Материал</t>
        </is>
      </c>
      <c r="F9" s="49" t="inlineStr">
        <is>
          <t>Средняя</t>
        </is>
      </c>
      <c r="G9" s="49" t="inlineStr">
        <is>
          <t>средняя уверенность</t>
        </is>
      </c>
      <c r="H9" s="49" t="inlineStr">
        <is>
          <t>Нормализовано под генератор КП</t>
        </is>
      </c>
    </row>
    <row r="10">
      <c r="A10" s="49" t="inlineStr">
        <is>
          <t>SRC-0070</t>
        </is>
      </c>
      <c r="B10" s="49" t="inlineStr">
        <is>
          <t>Дождеприемник пластик. 300х300х300 мм в сборе с решеткой чугунной</t>
        </is>
      </c>
      <c r="C10" s="49" t="inlineStr">
        <is>
          <t>материалы</t>
        </is>
      </c>
      <c r="D10" s="49" t="inlineStr">
        <is>
          <t>Мощение</t>
        </is>
      </c>
      <c r="E10" s="49" t="inlineStr">
        <is>
          <t>Материал</t>
        </is>
      </c>
      <c r="F10" s="49" t="inlineStr">
        <is>
          <t>Средняя</t>
        </is>
      </c>
      <c r="G10" s="49" t="inlineStr">
        <is>
          <t>средняя уверенность</t>
        </is>
      </c>
      <c r="H10" s="49" t="inlineStr">
        <is>
          <t>В текущем прайсе позиция сидит в мощении; для генератора можно оставить, если это локальный узел в зоне мощения</t>
        </is>
      </c>
    </row>
    <row r="11">
      <c r="A11" s="42" t="inlineStr">
        <is>
          <t>SRC-0078</t>
        </is>
      </c>
      <c r="B11" s="42" t="inlineStr">
        <is>
          <t>Доставка/вывоз туалетной кабины</t>
        </is>
      </c>
      <c r="C11" s="42" t="inlineStr">
        <is>
          <t>%</t>
        </is>
      </c>
      <c r="D11" s="42" t="inlineStr">
        <is>
          <t>Временные сооружения и обеспечение</t>
        </is>
      </c>
      <c r="E11" s="42" t="inlineStr">
        <is>
          <t>Логистика</t>
        </is>
      </c>
      <c r="F11" s="42" t="inlineStr">
        <is>
          <t>Высокая</t>
        </is>
      </c>
      <c r="G11" s="42" t="inlineStr">
        <is>
          <t>процент/коммерческая логика</t>
        </is>
      </c>
      <c r="H11" s="42" t="inlineStr">
        <is>
          <t>Для клиентского КП лучше сворачивать в раздел "Организация стройплощадки"</t>
        </is>
      </c>
    </row>
    <row r="12">
      <c r="A12" s="41" t="inlineStr">
        <is>
          <t>SRC-0079</t>
        </is>
      </c>
      <c r="B12" s="41" t="inlineStr">
        <is>
          <t>Доставки материалов и оборудования, погрузочно-разгрузочные работы</t>
        </is>
      </c>
      <c r="C12" s="41" t="inlineStr">
        <is>
          <t>%</t>
        </is>
      </c>
      <c r="D12" s="41" t="inlineStr">
        <is>
          <t>Логистика и снабжение</t>
        </is>
      </c>
      <c r="E12" s="41" t="inlineStr">
        <is>
          <t>Логистика</t>
        </is>
      </c>
      <c r="F12" s="41" t="inlineStr">
        <is>
          <t>Высокая</t>
        </is>
      </c>
      <c r="G12" s="41" t="inlineStr">
        <is>
          <t>процент/коммерческая логика</t>
        </is>
      </c>
      <c r="H12" s="41" t="inlineStr">
        <is>
          <t>Для генератора лучше сворачивать в логистический блок</t>
        </is>
      </c>
    </row>
    <row r="13">
      <c r="A13" s="42" t="inlineStr">
        <is>
          <t>SRC-0081</t>
        </is>
      </c>
      <c r="B13" s="42" t="inlineStr">
        <is>
          <t>Завоз-вывоз вагончика</t>
        </is>
      </c>
      <c r="C13" s="42" t="inlineStr">
        <is>
          <t>%</t>
        </is>
      </c>
      <c r="D13" s="42" t="inlineStr">
        <is>
          <t>Временные сооружения и обеспечение</t>
        </is>
      </c>
      <c r="E13" s="42" t="inlineStr">
        <is>
          <t>Логистика</t>
        </is>
      </c>
      <c r="F13" s="42" t="inlineStr">
        <is>
          <t>Высокая</t>
        </is>
      </c>
      <c r="G13" s="42" t="inlineStr">
        <is>
          <t>процент/коммерческая логика</t>
        </is>
      </c>
      <c r="H13" s="42" t="inlineStr">
        <is>
          <t>Для клиентского КП лучше сворачивать в раздел "Организация стройплощадки"</t>
        </is>
      </c>
    </row>
    <row r="14">
      <c r="A14" s="49" t="inlineStr">
        <is>
          <t>SRC-0109</t>
        </is>
      </c>
      <c r="B14" s="49" t="inlineStr">
        <is>
          <t>Материалы для разметки</t>
        </is>
      </c>
      <c r="C14" s="49" t="inlineStr">
        <is>
          <t>материалы</t>
        </is>
      </c>
      <c r="D14" s="49" t="inlineStr">
        <is>
          <t>Земляные и планировочные работы</t>
        </is>
      </c>
      <c r="E14" s="49" t="inlineStr">
        <is>
          <t>Материал</t>
        </is>
      </c>
      <c r="F14" s="49" t="inlineStr">
        <is>
          <t>Средняя</t>
        </is>
      </c>
      <c r="G14" s="49" t="inlineStr">
        <is>
          <t>средняя уверенность</t>
        </is>
      </c>
      <c r="H14" s="49" t="inlineStr">
        <is>
          <t>Нормализовано под генератор КП</t>
        </is>
      </c>
    </row>
    <row r="15">
      <c r="A15" s="42" t="inlineStr">
        <is>
          <t>SRC-0148</t>
        </is>
      </c>
      <c r="B15" s="42" t="inlineStr">
        <is>
          <t>Накладные расходы (расходные материалы, комплектация заказов, зарплата АУП и пр.)</t>
        </is>
      </c>
      <c r="C15" s="42" t="inlineStr">
        <is>
          <t>%</t>
        </is>
      </c>
      <c r="D15" s="42" t="inlineStr">
        <is>
          <t>Накладные / коэффициенты</t>
        </is>
      </c>
      <c r="E15" s="42" t="inlineStr">
        <is>
          <t>Накладные</t>
        </is>
      </c>
      <c r="F15" s="42" t="inlineStr">
        <is>
          <t>Высокая</t>
        </is>
      </c>
      <c r="G15" s="42" t="inlineStr">
        <is>
          <t>накладная строка; процент/коммерческая логика</t>
        </is>
      </c>
      <c r="H15" s="42" t="inlineStr">
        <is>
          <t>Для клиентской версии КП не выводить отдельной строкой</t>
        </is>
      </c>
    </row>
    <row r="16">
      <c r="A16" s="49" t="inlineStr">
        <is>
          <t>SRC-0188</t>
        </is>
      </c>
      <c r="B16" s="49" t="inlineStr">
        <is>
          <t>Расходные материалы</t>
        </is>
      </c>
      <c r="C16" s="49" t="inlineStr">
        <is>
          <t>материалы</t>
        </is>
      </c>
      <c r="D16" s="49" t="inlineStr">
        <is>
          <t>Дренаж</t>
        </is>
      </c>
      <c r="E16" s="49" t="inlineStr">
        <is>
          <t>Материал</t>
        </is>
      </c>
      <c r="F16" s="49" t="inlineStr">
        <is>
          <t>Средняя</t>
        </is>
      </c>
      <c r="G16" s="49" t="inlineStr">
        <is>
          <t>средняя уверенность</t>
        </is>
      </c>
      <c r="H16" s="49" t="inlineStr">
        <is>
          <t>Расходники лучше не показывать клиенту отдельной строкой</t>
        </is>
      </c>
    </row>
    <row r="17">
      <c r="A17" s="49" t="inlineStr">
        <is>
          <t>SRC-0205</t>
        </is>
      </c>
      <c r="B17" s="49" t="inlineStr">
        <is>
          <t>Торф нейтрализованный, 300л</t>
        </is>
      </c>
      <c r="C17" s="49" t="inlineStr">
        <is>
          <t>материалы</t>
        </is>
      </c>
      <c r="D17" s="49" t="inlineStr">
        <is>
          <t>Земляные и планировочные работы</t>
        </is>
      </c>
      <c r="E17" s="49" t="inlineStr">
        <is>
          <t>Материал</t>
        </is>
      </c>
      <c r="F17" s="49" t="inlineStr">
        <is>
          <t>Средняя</t>
        </is>
      </c>
      <c r="G17" s="49" t="inlineStr">
        <is>
          <t>средняя уверенность</t>
        </is>
      </c>
      <c r="H17" s="49" t="inlineStr">
        <is>
          <t>Нормализовано под генератор КП</t>
        </is>
      </c>
    </row>
    <row r="18">
      <c r="A18" s="41" t="inlineStr">
        <is>
          <t>SRC-0207</t>
        </is>
      </c>
      <c r="B18" s="41" t="inlineStr">
        <is>
          <t>Транспортные расходы</t>
        </is>
      </c>
      <c r="C18" s="41" t="inlineStr">
        <is>
          <t>%</t>
        </is>
      </c>
      <c r="D18" s="41" t="inlineStr">
        <is>
          <t>Логистика и снабжение</t>
        </is>
      </c>
      <c r="E18" s="41" t="inlineStr">
        <is>
          <t>Накладные</t>
        </is>
      </c>
      <c r="F18" s="41" t="inlineStr">
        <is>
          <t>Высокая</t>
        </is>
      </c>
      <c r="G18" s="41" t="inlineStr">
        <is>
          <t>накладная строка; процент/коммерческая логика</t>
        </is>
      </c>
      <c r="H18" s="41" t="inlineStr">
        <is>
          <t>Лучше прятать в коэффициент или логистический пакет</t>
        </is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2026-03-19T21:57:55Z</dcterms:created>
  <dcterms:modified xmlns:dcterms="http://purl.org/dc/terms/" xmlns:xsi="http://www.w3.org/2001/XMLSchema-instance" xsi:type="dcterms:W3CDTF">2026-03-19T22:36:50Z</dcterms:modified>
</cp:coreProperties>
</file>